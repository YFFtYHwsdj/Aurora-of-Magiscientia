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设定\数值设定\aom数值\"/>
    </mc:Choice>
  </mc:AlternateContent>
  <xr:revisionPtr revIDLastSave="0" documentId="13_ncr:1_{78C4DC72-D6A6-4542-B46C-E4A375B31167}" xr6:coauthVersionLast="47" xr6:coauthVersionMax="47" xr10:uidLastSave="{00000000-0000-0000-0000-000000000000}"/>
  <bookViews>
    <workbookView xWindow="12707" yWindow="-93" windowWidth="25786" windowHeight="13866" xr2:uid="{00000000-000D-0000-FFFF-FFFF00000000}"/>
  </bookViews>
  <sheets>
    <sheet name="商品" sheetId="13" r:id="rId1"/>
    <sheet name="职业" sheetId="12" r:id="rId2"/>
    <sheet name="生产方式定位" sheetId="11" r:id="rId3"/>
    <sheet name="生产方式组" sheetId="10" r:id="rId4"/>
    <sheet name="生产方式演算表" sheetId="8" r:id="rId5"/>
    <sheet name="生产方式配置表" sheetId="9" r:id="rId6"/>
    <sheet name="string_dictionary" sheetId="4" r:id="rId7"/>
  </sheets>
  <externalReferences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1207" i="9" l="1"/>
  <c r="AE1207" i="9"/>
  <c r="V1207" i="9" s="1"/>
  <c r="AD1207" i="9"/>
  <c r="AC1207" i="9"/>
  <c r="AB1207" i="9"/>
  <c r="AA1207" i="9"/>
  <c r="Z1207" i="9"/>
  <c r="Y1207" i="9"/>
  <c r="T1207" i="9" s="1"/>
  <c r="AF1206" i="9"/>
  <c r="AE1206" i="9"/>
  <c r="V1206" i="9" s="1"/>
  <c r="AD1206" i="9"/>
  <c r="AC1206" i="9"/>
  <c r="AB1206" i="9"/>
  <c r="U1206" i="9" s="1"/>
  <c r="AA1206" i="9"/>
  <c r="Z1206" i="9"/>
  <c r="Y1206" i="9"/>
  <c r="T1206" i="9"/>
  <c r="AF1205" i="9"/>
  <c r="AE1205" i="9"/>
  <c r="AD1205" i="9"/>
  <c r="AC1205" i="9"/>
  <c r="AB1205" i="9"/>
  <c r="AA1205" i="9"/>
  <c r="Z1205" i="9"/>
  <c r="Y1205" i="9"/>
  <c r="V1205" i="9"/>
  <c r="AF1204" i="9"/>
  <c r="AE1204" i="9"/>
  <c r="AD1204" i="9"/>
  <c r="AC1204" i="9"/>
  <c r="AB1204" i="9"/>
  <c r="AA1204" i="9"/>
  <c r="Z1204" i="9"/>
  <c r="Y1204" i="9"/>
  <c r="T1204" i="9" s="1"/>
  <c r="V1204" i="9"/>
  <c r="AF1203" i="9"/>
  <c r="AE1203" i="9"/>
  <c r="AD1203" i="9"/>
  <c r="AC1203" i="9"/>
  <c r="AB1203" i="9"/>
  <c r="U1203" i="9" s="1"/>
  <c r="AA1203" i="9"/>
  <c r="Z1203" i="9"/>
  <c r="Y1203" i="9"/>
  <c r="AF1202" i="9"/>
  <c r="AE1202" i="9"/>
  <c r="V1202" i="9" s="1"/>
  <c r="AD1202" i="9"/>
  <c r="AC1202" i="9"/>
  <c r="AB1202" i="9"/>
  <c r="U1202" i="9" s="1"/>
  <c r="AA1202" i="9"/>
  <c r="Z1202" i="9"/>
  <c r="Y1202" i="9"/>
  <c r="T1202" i="9" s="1"/>
  <c r="AF1201" i="9"/>
  <c r="AE1201" i="9"/>
  <c r="AD1201" i="9"/>
  <c r="AC1201" i="9"/>
  <c r="AB1201" i="9"/>
  <c r="AA1201" i="9"/>
  <c r="T1201" i="9" s="1"/>
  <c r="Z1201" i="9"/>
  <c r="Y1201" i="9"/>
  <c r="V1201" i="9"/>
  <c r="AF1200" i="9"/>
  <c r="AE1200" i="9"/>
  <c r="AD1200" i="9"/>
  <c r="AC1200" i="9"/>
  <c r="AB1200" i="9"/>
  <c r="AA1200" i="9"/>
  <c r="Z1200" i="9"/>
  <c r="Y1200" i="9"/>
  <c r="V1200" i="9"/>
  <c r="AF1199" i="9"/>
  <c r="AE1199" i="9"/>
  <c r="AD1199" i="9"/>
  <c r="AC1199" i="9"/>
  <c r="AB1199" i="9"/>
  <c r="U1199" i="9" s="1"/>
  <c r="AA1199" i="9"/>
  <c r="Z1199" i="9"/>
  <c r="Y1199" i="9"/>
  <c r="AF1198" i="9"/>
  <c r="AE1198" i="9"/>
  <c r="V1198" i="9" s="1"/>
  <c r="AD1198" i="9"/>
  <c r="AC1198" i="9"/>
  <c r="AB1198" i="9"/>
  <c r="AA1198" i="9"/>
  <c r="Z1198" i="9"/>
  <c r="T1198" i="9" s="1"/>
  <c r="Y1198" i="9"/>
  <c r="AF1197" i="9"/>
  <c r="AE1197" i="9"/>
  <c r="V1197" i="9" s="1"/>
  <c r="AD1197" i="9"/>
  <c r="AC1197" i="9"/>
  <c r="AB1197" i="9"/>
  <c r="U1197" i="9" s="1"/>
  <c r="AA1197" i="9"/>
  <c r="T1197" i="9" s="1"/>
  <c r="Z1197" i="9"/>
  <c r="Y1197" i="9"/>
  <c r="AF1196" i="9"/>
  <c r="AE1196" i="9"/>
  <c r="AD1196" i="9"/>
  <c r="AC1196" i="9"/>
  <c r="AB1196" i="9"/>
  <c r="AA1196" i="9"/>
  <c r="Z1196" i="9"/>
  <c r="Y1196" i="9"/>
  <c r="T1196" i="9" s="1"/>
  <c r="V1196" i="9"/>
  <c r="AF1195" i="9"/>
  <c r="AE1195" i="9"/>
  <c r="AD1195" i="9"/>
  <c r="AC1195" i="9"/>
  <c r="AB1195" i="9"/>
  <c r="AA1195" i="9"/>
  <c r="Z1195" i="9"/>
  <c r="Y1195" i="9"/>
  <c r="T1195" i="9" s="1"/>
  <c r="AF1194" i="9"/>
  <c r="AE1194" i="9"/>
  <c r="AD1194" i="9"/>
  <c r="AC1194" i="9"/>
  <c r="AB1194" i="9"/>
  <c r="AA1194" i="9"/>
  <c r="Z1194" i="9"/>
  <c r="Y1194" i="9"/>
  <c r="T1194" i="9"/>
  <c r="AF1193" i="9"/>
  <c r="AE1193" i="9"/>
  <c r="AD1193" i="9"/>
  <c r="AC1193" i="9"/>
  <c r="AB1193" i="9"/>
  <c r="AA1193" i="9"/>
  <c r="Z1193" i="9"/>
  <c r="Y1193" i="9"/>
  <c r="V1193" i="9"/>
  <c r="AF1192" i="9"/>
  <c r="AE1192" i="9"/>
  <c r="V1192" i="9" s="1"/>
  <c r="AD1192" i="9"/>
  <c r="AC1192" i="9"/>
  <c r="AB1192" i="9"/>
  <c r="AA1192" i="9"/>
  <c r="Z1192" i="9"/>
  <c r="Y1192" i="9"/>
  <c r="AF1191" i="9"/>
  <c r="AE1191" i="9"/>
  <c r="AD1191" i="9"/>
  <c r="AC1191" i="9"/>
  <c r="AB1191" i="9"/>
  <c r="U1191" i="9" s="1"/>
  <c r="AA1191" i="9"/>
  <c r="Z1191" i="9"/>
  <c r="Y1191" i="9"/>
  <c r="AF1190" i="9"/>
  <c r="AE1190" i="9"/>
  <c r="AD1190" i="9"/>
  <c r="AC1190" i="9"/>
  <c r="AB1190" i="9"/>
  <c r="AA1190" i="9"/>
  <c r="Z1190" i="9"/>
  <c r="Y1190" i="9"/>
  <c r="AF1189" i="9"/>
  <c r="V1189" i="9" s="1"/>
  <c r="AE1189" i="9"/>
  <c r="AD1189" i="9"/>
  <c r="AC1189" i="9"/>
  <c r="AB1189" i="9"/>
  <c r="AA1189" i="9"/>
  <c r="Z1189" i="9"/>
  <c r="Y1189" i="9"/>
  <c r="AF1188" i="9"/>
  <c r="AE1188" i="9"/>
  <c r="V1188" i="9" s="1"/>
  <c r="AD1188" i="9"/>
  <c r="AC1188" i="9"/>
  <c r="U1188" i="9" s="1"/>
  <c r="AB1188" i="9"/>
  <c r="AA1188" i="9"/>
  <c r="Z1188" i="9"/>
  <c r="Y1188" i="9"/>
  <c r="T1188" i="9" s="1"/>
  <c r="AF1187" i="9"/>
  <c r="AE1187" i="9"/>
  <c r="AD1187" i="9"/>
  <c r="AC1187" i="9"/>
  <c r="AB1187" i="9"/>
  <c r="U1187" i="9" s="1"/>
  <c r="AA1187" i="9"/>
  <c r="Z1187" i="9"/>
  <c r="Y1187" i="9"/>
  <c r="T1187" i="9" s="1"/>
  <c r="AF1186" i="9"/>
  <c r="AE1186" i="9"/>
  <c r="V1186" i="9" s="1"/>
  <c r="AD1186" i="9"/>
  <c r="AC1186" i="9"/>
  <c r="AB1186" i="9"/>
  <c r="AA1186" i="9"/>
  <c r="Z1186" i="9"/>
  <c r="T1186" i="9" s="1"/>
  <c r="Y1186" i="9"/>
  <c r="AF1185" i="9"/>
  <c r="AE1185" i="9"/>
  <c r="AD1185" i="9"/>
  <c r="AC1185" i="9"/>
  <c r="AB1185" i="9"/>
  <c r="AA1185" i="9"/>
  <c r="Z1185" i="9"/>
  <c r="Y1185" i="9"/>
  <c r="V1185" i="9"/>
  <c r="AF1184" i="9"/>
  <c r="V1184" i="9" s="1"/>
  <c r="AE1184" i="9"/>
  <c r="AD1184" i="9"/>
  <c r="AC1184" i="9"/>
  <c r="AB1184" i="9"/>
  <c r="AA1184" i="9"/>
  <c r="Z1184" i="9"/>
  <c r="Y1184" i="9"/>
  <c r="T1184" i="9" s="1"/>
  <c r="AF1183" i="9"/>
  <c r="AE1183" i="9"/>
  <c r="AD1183" i="9"/>
  <c r="AC1183" i="9"/>
  <c r="AB1183" i="9"/>
  <c r="AA1183" i="9"/>
  <c r="Z1183" i="9"/>
  <c r="Y1183" i="9"/>
  <c r="AF1182" i="9"/>
  <c r="AE1182" i="9"/>
  <c r="AD1182" i="9"/>
  <c r="AC1182" i="9"/>
  <c r="AB1182" i="9"/>
  <c r="AA1182" i="9"/>
  <c r="Z1182" i="9"/>
  <c r="Y1182" i="9"/>
  <c r="T1182" i="9" s="1"/>
  <c r="AF1181" i="9"/>
  <c r="AE1181" i="9"/>
  <c r="V1181" i="9" s="1"/>
  <c r="AD1181" i="9"/>
  <c r="AC1181" i="9"/>
  <c r="AB1181" i="9"/>
  <c r="AA1181" i="9"/>
  <c r="Z1181" i="9"/>
  <c r="Y1181" i="9"/>
  <c r="AF1180" i="9"/>
  <c r="AE1180" i="9"/>
  <c r="AD1180" i="9"/>
  <c r="AC1180" i="9"/>
  <c r="U1180" i="9" s="1"/>
  <c r="AB1180" i="9"/>
  <c r="AA1180" i="9"/>
  <c r="Z1180" i="9"/>
  <c r="Y1180" i="9"/>
  <c r="V1180" i="9"/>
  <c r="AF1179" i="9"/>
  <c r="AE1179" i="9"/>
  <c r="V1179" i="9" s="1"/>
  <c r="AD1179" i="9"/>
  <c r="AC1179" i="9"/>
  <c r="AB1179" i="9"/>
  <c r="AA1179" i="9"/>
  <c r="Z1179" i="9"/>
  <c r="Y1179" i="9"/>
  <c r="AF1178" i="9"/>
  <c r="AE1178" i="9"/>
  <c r="AD1178" i="9"/>
  <c r="AC1178" i="9"/>
  <c r="AB1178" i="9"/>
  <c r="AA1178" i="9"/>
  <c r="Z1178" i="9"/>
  <c r="Y1178" i="9"/>
  <c r="T1178" i="9" s="1"/>
  <c r="AF1177" i="9"/>
  <c r="AE1177" i="9"/>
  <c r="V1177" i="9" s="1"/>
  <c r="AD1177" i="9"/>
  <c r="AC1177" i="9"/>
  <c r="AB1177" i="9"/>
  <c r="AA1177" i="9"/>
  <c r="Z1177" i="9"/>
  <c r="Y1177" i="9"/>
  <c r="AF1176" i="9"/>
  <c r="AE1176" i="9"/>
  <c r="AD1176" i="9"/>
  <c r="AC1176" i="9"/>
  <c r="U1176" i="9" s="1"/>
  <c r="AB1176" i="9"/>
  <c r="AA1176" i="9"/>
  <c r="Z1176" i="9"/>
  <c r="Y1176" i="9"/>
  <c r="T1176" i="9" s="1"/>
  <c r="V1176" i="9"/>
  <c r="AF1175" i="9"/>
  <c r="AE1175" i="9"/>
  <c r="AD1175" i="9"/>
  <c r="AC1175" i="9"/>
  <c r="AB1175" i="9"/>
  <c r="U1175" i="9" s="1"/>
  <c r="AA1175" i="9"/>
  <c r="Z1175" i="9"/>
  <c r="Y1175" i="9"/>
  <c r="AF1174" i="9"/>
  <c r="AE1174" i="9"/>
  <c r="V1174" i="9" s="1"/>
  <c r="AD1174" i="9"/>
  <c r="AC1174" i="9"/>
  <c r="AB1174" i="9"/>
  <c r="AA1174" i="9"/>
  <c r="Z1174" i="9"/>
  <c r="Y1174" i="9"/>
  <c r="T1174" i="9"/>
  <c r="AF1173" i="9"/>
  <c r="V1173" i="9" s="1"/>
  <c r="AE1173" i="9"/>
  <c r="AD1173" i="9"/>
  <c r="AC1173" i="9"/>
  <c r="AB1173" i="9"/>
  <c r="AA1173" i="9"/>
  <c r="Z1173" i="9"/>
  <c r="Y1173" i="9"/>
  <c r="AF1172" i="9"/>
  <c r="AE1172" i="9"/>
  <c r="V1172" i="9" s="1"/>
  <c r="AD1172" i="9"/>
  <c r="AC1172" i="9"/>
  <c r="U1172" i="9" s="1"/>
  <c r="AB1172" i="9"/>
  <c r="AA1172" i="9"/>
  <c r="Z1172" i="9"/>
  <c r="Y1172" i="9"/>
  <c r="T1172" i="9" s="1"/>
  <c r="AF1171" i="9"/>
  <c r="AE1171" i="9"/>
  <c r="AD1171" i="9"/>
  <c r="AC1171" i="9"/>
  <c r="AB1171" i="9"/>
  <c r="AA1171" i="9"/>
  <c r="Z1171" i="9"/>
  <c r="Y1171" i="9"/>
  <c r="AF1170" i="9"/>
  <c r="AE1170" i="9"/>
  <c r="V1170" i="9" s="1"/>
  <c r="AD1170" i="9"/>
  <c r="AC1170" i="9"/>
  <c r="AB1170" i="9"/>
  <c r="AA1170" i="9"/>
  <c r="Z1170" i="9"/>
  <c r="Y1170" i="9"/>
  <c r="AF1169" i="9"/>
  <c r="AE1169" i="9"/>
  <c r="V1169" i="9" s="1"/>
  <c r="AD1169" i="9"/>
  <c r="AC1169" i="9"/>
  <c r="AB1169" i="9"/>
  <c r="AA1169" i="9"/>
  <c r="T1169" i="9" s="1"/>
  <c r="Z1169" i="9"/>
  <c r="Y1169" i="9"/>
  <c r="AF1168" i="9"/>
  <c r="AE1168" i="9"/>
  <c r="V1168" i="9" s="1"/>
  <c r="AD1168" i="9"/>
  <c r="AC1168" i="9"/>
  <c r="U1168" i="9" s="1"/>
  <c r="AB1168" i="9"/>
  <c r="AA1168" i="9"/>
  <c r="Z1168" i="9"/>
  <c r="Y1168" i="9"/>
  <c r="AF1167" i="9"/>
  <c r="AE1167" i="9"/>
  <c r="AD1167" i="9"/>
  <c r="AC1167" i="9"/>
  <c r="AB1167" i="9"/>
  <c r="AA1167" i="9"/>
  <c r="Z1167" i="9"/>
  <c r="Y1167" i="9"/>
  <c r="T1167" i="9" s="1"/>
  <c r="AF1166" i="9"/>
  <c r="AE1166" i="9"/>
  <c r="V1166" i="9" s="1"/>
  <c r="AD1166" i="9"/>
  <c r="AC1166" i="9"/>
  <c r="AB1166" i="9"/>
  <c r="AA1166" i="9"/>
  <c r="Z1166" i="9"/>
  <c r="Y1166" i="9"/>
  <c r="T1166" i="9" s="1"/>
  <c r="AF1165" i="9"/>
  <c r="AE1165" i="9"/>
  <c r="AD1165" i="9"/>
  <c r="AC1165" i="9"/>
  <c r="AB1165" i="9"/>
  <c r="AA1165" i="9"/>
  <c r="Z1165" i="9"/>
  <c r="Y1165" i="9"/>
  <c r="V1165" i="9"/>
  <c r="AF1164" i="9"/>
  <c r="V1164" i="9" s="1"/>
  <c r="AE1164" i="9"/>
  <c r="AD1164" i="9"/>
  <c r="AC1164" i="9"/>
  <c r="AB1164" i="9"/>
  <c r="AA1164" i="9"/>
  <c r="Z1164" i="9"/>
  <c r="Y1164" i="9"/>
  <c r="AF1163" i="9"/>
  <c r="AE1163" i="9"/>
  <c r="AD1163" i="9"/>
  <c r="AC1163" i="9"/>
  <c r="AB1163" i="9"/>
  <c r="AA1163" i="9"/>
  <c r="Z1163" i="9"/>
  <c r="Y1163" i="9"/>
  <c r="T1163" i="9" s="1"/>
  <c r="AF1162" i="9"/>
  <c r="AE1162" i="9"/>
  <c r="AD1162" i="9"/>
  <c r="AC1162" i="9"/>
  <c r="AB1162" i="9"/>
  <c r="AA1162" i="9"/>
  <c r="Z1162" i="9"/>
  <c r="Y1162" i="9"/>
  <c r="T1162" i="9" s="1"/>
  <c r="AF1161" i="9"/>
  <c r="AE1161" i="9"/>
  <c r="V1161" i="9" s="1"/>
  <c r="AD1161" i="9"/>
  <c r="AC1161" i="9"/>
  <c r="AB1161" i="9"/>
  <c r="AA1161" i="9"/>
  <c r="Z1161" i="9"/>
  <c r="Y1161" i="9"/>
  <c r="AF1160" i="9"/>
  <c r="V1160" i="9" s="1"/>
  <c r="AE1160" i="9"/>
  <c r="AD1160" i="9"/>
  <c r="AC1160" i="9"/>
  <c r="U1160" i="9" s="1"/>
  <c r="AB1160" i="9"/>
  <c r="AA1160" i="9"/>
  <c r="Z1160" i="9"/>
  <c r="Y1160" i="9"/>
  <c r="AF1159" i="9"/>
  <c r="AE1159" i="9"/>
  <c r="AD1159" i="9"/>
  <c r="AC1159" i="9"/>
  <c r="AB1159" i="9"/>
  <c r="AA1159" i="9"/>
  <c r="Z1159" i="9"/>
  <c r="Y1159" i="9"/>
  <c r="AF1158" i="9"/>
  <c r="AE1158" i="9"/>
  <c r="AD1158" i="9"/>
  <c r="AC1158" i="9"/>
  <c r="AB1158" i="9"/>
  <c r="AA1158" i="9"/>
  <c r="Z1158" i="9"/>
  <c r="Y1158" i="9"/>
  <c r="T1158" i="9" s="1"/>
  <c r="AF1157" i="9"/>
  <c r="AE1157" i="9"/>
  <c r="V1157" i="9" s="1"/>
  <c r="AD1157" i="9"/>
  <c r="AC1157" i="9"/>
  <c r="AB1157" i="9"/>
  <c r="AA1157" i="9"/>
  <c r="Z1157" i="9"/>
  <c r="Y1157" i="9"/>
  <c r="AF1156" i="9"/>
  <c r="AE1156" i="9"/>
  <c r="AD1156" i="9"/>
  <c r="AC1156" i="9"/>
  <c r="U1156" i="9" s="1"/>
  <c r="AB1156" i="9"/>
  <c r="AA1156" i="9"/>
  <c r="Z1156" i="9"/>
  <c r="Y1156" i="9"/>
  <c r="T1156" i="9" s="1"/>
  <c r="V1156" i="9"/>
  <c r="AF1155" i="9"/>
  <c r="AE1155" i="9"/>
  <c r="AD1155" i="9"/>
  <c r="AC1155" i="9"/>
  <c r="AB1155" i="9"/>
  <c r="AA1155" i="9"/>
  <c r="Z1155" i="9"/>
  <c r="Y1155" i="9"/>
  <c r="T1155" i="9" s="1"/>
  <c r="AF1154" i="9"/>
  <c r="AE1154" i="9"/>
  <c r="V1154" i="9" s="1"/>
  <c r="AD1154" i="9"/>
  <c r="AC1154" i="9"/>
  <c r="AB1154" i="9"/>
  <c r="AA1154" i="9"/>
  <c r="Z1154" i="9"/>
  <c r="Y1154" i="9"/>
  <c r="T1154" i="9"/>
  <c r="AF1153" i="9"/>
  <c r="V1153" i="9" s="1"/>
  <c r="AE1153" i="9"/>
  <c r="AD1153" i="9"/>
  <c r="AC1153" i="9"/>
  <c r="AB1153" i="9"/>
  <c r="U1153" i="9" s="1"/>
  <c r="AA1153" i="9"/>
  <c r="Z1153" i="9"/>
  <c r="Y1153" i="9"/>
  <c r="AF1152" i="9"/>
  <c r="AE1152" i="9"/>
  <c r="V1152" i="9" s="1"/>
  <c r="AD1152" i="9"/>
  <c r="AC1152" i="9"/>
  <c r="AB1152" i="9"/>
  <c r="AA1152" i="9"/>
  <c r="Z1152" i="9"/>
  <c r="Y1152" i="9"/>
  <c r="T1152" i="9" s="1"/>
  <c r="AF1151" i="9"/>
  <c r="AE1151" i="9"/>
  <c r="AD1151" i="9"/>
  <c r="AC1151" i="9"/>
  <c r="AB1151" i="9"/>
  <c r="U1151" i="9" s="1"/>
  <c r="AA1151" i="9"/>
  <c r="Z1151" i="9"/>
  <c r="Y1151" i="9"/>
  <c r="AF1150" i="9"/>
  <c r="AE1150" i="9"/>
  <c r="AD1150" i="9"/>
  <c r="AC1150" i="9"/>
  <c r="AB1150" i="9"/>
  <c r="AA1150" i="9"/>
  <c r="Z1150" i="9"/>
  <c r="Y1150" i="9"/>
  <c r="T1150" i="9" s="1"/>
  <c r="AF1149" i="9"/>
  <c r="AE1149" i="9"/>
  <c r="V1149" i="9" s="1"/>
  <c r="AD1149" i="9"/>
  <c r="AC1149" i="9"/>
  <c r="AB1149" i="9"/>
  <c r="AA1149" i="9"/>
  <c r="T1149" i="9" s="1"/>
  <c r="Z1149" i="9"/>
  <c r="Y1149" i="9"/>
  <c r="AF1148" i="9"/>
  <c r="AE1148" i="9"/>
  <c r="V1148" i="9" s="1"/>
  <c r="AD1148" i="9"/>
  <c r="AC1148" i="9"/>
  <c r="AB1148" i="9"/>
  <c r="AA1148" i="9"/>
  <c r="Z1148" i="9"/>
  <c r="Y1148" i="9"/>
  <c r="T1148" i="9" s="1"/>
  <c r="AF1147" i="9"/>
  <c r="AE1147" i="9"/>
  <c r="V1147" i="9" s="1"/>
  <c r="AD1147" i="9"/>
  <c r="AC1147" i="9"/>
  <c r="AB1147" i="9"/>
  <c r="AA1147" i="9"/>
  <c r="Z1147" i="9"/>
  <c r="Y1147" i="9"/>
  <c r="AF1146" i="9"/>
  <c r="AE1146" i="9"/>
  <c r="V1146" i="9" s="1"/>
  <c r="AD1146" i="9"/>
  <c r="AC1146" i="9"/>
  <c r="AB1146" i="9"/>
  <c r="AA1146" i="9"/>
  <c r="Z1146" i="9"/>
  <c r="Y1146" i="9"/>
  <c r="T1146" i="9" s="1"/>
  <c r="AF1145" i="9"/>
  <c r="AE1145" i="9"/>
  <c r="AD1145" i="9"/>
  <c r="AC1145" i="9"/>
  <c r="AB1145" i="9"/>
  <c r="U1145" i="9" s="1"/>
  <c r="AA1145" i="9"/>
  <c r="Z1145" i="9"/>
  <c r="Y1145" i="9"/>
  <c r="V1145" i="9"/>
  <c r="AF1144" i="9"/>
  <c r="AE1144" i="9"/>
  <c r="V1144" i="9" s="1"/>
  <c r="AD1144" i="9"/>
  <c r="AC1144" i="9"/>
  <c r="AB1144" i="9"/>
  <c r="U1144" i="9" s="1"/>
  <c r="AA1144" i="9"/>
  <c r="Z1144" i="9"/>
  <c r="Y1144" i="9"/>
  <c r="T1144" i="9" s="1"/>
  <c r="AF1143" i="9"/>
  <c r="AE1143" i="9"/>
  <c r="AD1143" i="9"/>
  <c r="AC1143" i="9"/>
  <c r="AB1143" i="9"/>
  <c r="AA1143" i="9"/>
  <c r="Z1143" i="9"/>
  <c r="Y1143" i="9"/>
  <c r="T1143" i="9" s="1"/>
  <c r="AF1142" i="9"/>
  <c r="AE1142" i="9"/>
  <c r="AD1142" i="9"/>
  <c r="AC1142" i="9"/>
  <c r="AB1142" i="9"/>
  <c r="AA1142" i="9"/>
  <c r="Z1142" i="9"/>
  <c r="T1142" i="9" s="1"/>
  <c r="Y1142" i="9"/>
  <c r="AF1141" i="9"/>
  <c r="AE1141" i="9"/>
  <c r="V1141" i="9" s="1"/>
  <c r="AD1141" i="9"/>
  <c r="AC1141" i="9"/>
  <c r="AB1141" i="9"/>
  <c r="AA1141" i="9"/>
  <c r="Z1141" i="9"/>
  <c r="Y1141" i="9"/>
  <c r="AF1140" i="9"/>
  <c r="AE1140" i="9"/>
  <c r="V1140" i="9" s="1"/>
  <c r="AD1140" i="9"/>
  <c r="AC1140" i="9"/>
  <c r="AB1140" i="9"/>
  <c r="U1140" i="9" s="1"/>
  <c r="AA1140" i="9"/>
  <c r="Z1140" i="9"/>
  <c r="Y1140" i="9"/>
  <c r="T1140" i="9" s="1"/>
  <c r="AF1139" i="9"/>
  <c r="AE1139" i="9"/>
  <c r="AD1139" i="9"/>
  <c r="AC1139" i="9"/>
  <c r="AB1139" i="9"/>
  <c r="AA1139" i="9"/>
  <c r="Z1139" i="9"/>
  <c r="Y1139" i="9"/>
  <c r="AF1138" i="9"/>
  <c r="AE1138" i="9"/>
  <c r="AD1138" i="9"/>
  <c r="AC1138" i="9"/>
  <c r="AB1138" i="9"/>
  <c r="U1138" i="9" s="1"/>
  <c r="AA1138" i="9"/>
  <c r="Z1138" i="9"/>
  <c r="Y1138" i="9"/>
  <c r="T1138" i="9" s="1"/>
  <c r="AF1137" i="9"/>
  <c r="AE1137" i="9"/>
  <c r="V1137" i="9" s="1"/>
  <c r="AD1137" i="9"/>
  <c r="AC1137" i="9"/>
  <c r="AB1137" i="9"/>
  <c r="AA1137" i="9"/>
  <c r="Z1137" i="9"/>
  <c r="Y1137" i="9"/>
  <c r="AF1136" i="9"/>
  <c r="AE1136" i="9"/>
  <c r="AD1136" i="9"/>
  <c r="AC1136" i="9"/>
  <c r="AB1136" i="9"/>
  <c r="AA1136" i="9"/>
  <c r="Z1136" i="9"/>
  <c r="Y1136" i="9"/>
  <c r="T1136" i="9" s="1"/>
  <c r="V1136" i="9"/>
  <c r="AF1135" i="9"/>
  <c r="AE1135" i="9"/>
  <c r="AD1135" i="9"/>
  <c r="AC1135" i="9"/>
  <c r="AB1135" i="9"/>
  <c r="AA1135" i="9"/>
  <c r="Z1135" i="9"/>
  <c r="Y1135" i="9"/>
  <c r="AF1134" i="9"/>
  <c r="AE1134" i="9"/>
  <c r="AD1134" i="9"/>
  <c r="AC1134" i="9"/>
  <c r="AB1134" i="9"/>
  <c r="AA1134" i="9"/>
  <c r="Z1134" i="9"/>
  <c r="Y1134" i="9"/>
  <c r="T1134" i="9" s="1"/>
  <c r="AF1133" i="9"/>
  <c r="AE1133" i="9"/>
  <c r="AD1133" i="9"/>
  <c r="AC1133" i="9"/>
  <c r="AB1133" i="9"/>
  <c r="AA1133" i="9"/>
  <c r="Z1133" i="9"/>
  <c r="Y1133" i="9"/>
  <c r="AF1132" i="9"/>
  <c r="AE1132" i="9"/>
  <c r="AD1132" i="9"/>
  <c r="AC1132" i="9"/>
  <c r="AB1132" i="9"/>
  <c r="AA1132" i="9"/>
  <c r="Z1132" i="9"/>
  <c r="Y1132" i="9"/>
  <c r="T1132" i="9" s="1"/>
  <c r="V1132" i="9"/>
  <c r="AF1131" i="9"/>
  <c r="AE1131" i="9"/>
  <c r="V1131" i="9" s="1"/>
  <c r="AD1131" i="9"/>
  <c r="AC1131" i="9"/>
  <c r="AB1131" i="9"/>
  <c r="AA1131" i="9"/>
  <c r="Z1131" i="9"/>
  <c r="Y1131" i="9"/>
  <c r="T1131" i="9" s="1"/>
  <c r="AF1130" i="9"/>
  <c r="AE1130" i="9"/>
  <c r="AD1130" i="9"/>
  <c r="AC1130" i="9"/>
  <c r="AB1130" i="9"/>
  <c r="AA1130" i="9"/>
  <c r="Z1130" i="9"/>
  <c r="Y1130" i="9"/>
  <c r="T1130" i="9" s="1"/>
  <c r="AF1129" i="9"/>
  <c r="AE1129" i="9"/>
  <c r="V1129" i="9" s="1"/>
  <c r="AD1129" i="9"/>
  <c r="AC1129" i="9"/>
  <c r="AB1129" i="9"/>
  <c r="AA1129" i="9"/>
  <c r="Z1129" i="9"/>
  <c r="Y1129" i="9"/>
  <c r="AF1128" i="9"/>
  <c r="AE1128" i="9"/>
  <c r="V1128" i="9" s="1"/>
  <c r="AD1128" i="9"/>
  <c r="AC1128" i="9"/>
  <c r="AB1128" i="9"/>
  <c r="AA1128" i="9"/>
  <c r="Z1128" i="9"/>
  <c r="Y1128" i="9"/>
  <c r="AF1127" i="9"/>
  <c r="AE1127" i="9"/>
  <c r="AD1127" i="9"/>
  <c r="AC1127" i="9"/>
  <c r="AB1127" i="9"/>
  <c r="AA1127" i="9"/>
  <c r="Z1127" i="9"/>
  <c r="Y1127" i="9"/>
  <c r="AF1126" i="9"/>
  <c r="AE1126" i="9"/>
  <c r="V1126" i="9" s="1"/>
  <c r="AD1126" i="9"/>
  <c r="AC1126" i="9"/>
  <c r="AB1126" i="9"/>
  <c r="AA1126" i="9"/>
  <c r="Z1126" i="9"/>
  <c r="Y1126" i="9"/>
  <c r="T1126" i="9" s="1"/>
  <c r="AF1125" i="9"/>
  <c r="AE1125" i="9"/>
  <c r="AD1125" i="9"/>
  <c r="AC1125" i="9"/>
  <c r="AB1125" i="9"/>
  <c r="AA1125" i="9"/>
  <c r="Z1125" i="9"/>
  <c r="Y1125" i="9"/>
  <c r="V1125" i="9"/>
  <c r="AF1124" i="9"/>
  <c r="AE1124" i="9"/>
  <c r="V1124" i="9" s="1"/>
  <c r="AD1124" i="9"/>
  <c r="AC1124" i="9"/>
  <c r="AB1124" i="9"/>
  <c r="U1124" i="9" s="1"/>
  <c r="AA1124" i="9"/>
  <c r="Z1124" i="9"/>
  <c r="Y1124" i="9"/>
  <c r="T1124" i="9" s="1"/>
  <c r="AF1123" i="9"/>
  <c r="AE1123" i="9"/>
  <c r="AD1123" i="9"/>
  <c r="AC1123" i="9"/>
  <c r="AB1123" i="9"/>
  <c r="AA1123" i="9"/>
  <c r="Z1123" i="9"/>
  <c r="Y1123" i="9"/>
  <c r="AF1122" i="9"/>
  <c r="AE1122" i="9"/>
  <c r="V1122" i="9" s="1"/>
  <c r="AD1122" i="9"/>
  <c r="AC1122" i="9"/>
  <c r="AB1122" i="9"/>
  <c r="U1122" i="9" s="1"/>
  <c r="AA1122" i="9"/>
  <c r="Z1122" i="9"/>
  <c r="Y1122" i="9"/>
  <c r="T1122" i="9" s="1"/>
  <c r="AF1121" i="9"/>
  <c r="AE1121" i="9"/>
  <c r="AD1121" i="9"/>
  <c r="AC1121" i="9"/>
  <c r="AB1121" i="9"/>
  <c r="AA1121" i="9"/>
  <c r="Z1121" i="9"/>
  <c r="Y1121" i="9"/>
  <c r="V1121" i="9"/>
  <c r="AF1120" i="9"/>
  <c r="AE1120" i="9"/>
  <c r="AD1120" i="9"/>
  <c r="AC1120" i="9"/>
  <c r="AB1120" i="9"/>
  <c r="AA1120" i="9"/>
  <c r="Z1120" i="9"/>
  <c r="Y1120" i="9"/>
  <c r="T1120" i="9" s="1"/>
  <c r="V1120" i="9"/>
  <c r="AF1119" i="9"/>
  <c r="AE1119" i="9"/>
  <c r="AD1119" i="9"/>
  <c r="AC1119" i="9"/>
  <c r="AB1119" i="9"/>
  <c r="AA1119" i="9"/>
  <c r="Z1119" i="9"/>
  <c r="Y1119" i="9"/>
  <c r="AF1118" i="9"/>
  <c r="AE1118" i="9"/>
  <c r="AD1118" i="9"/>
  <c r="AC1118" i="9"/>
  <c r="AB1118" i="9"/>
  <c r="U1118" i="9" s="1"/>
  <c r="AA1118" i="9"/>
  <c r="Z1118" i="9"/>
  <c r="Y1118" i="9"/>
  <c r="T1118" i="9" s="1"/>
  <c r="AF1117" i="9"/>
  <c r="AE1117" i="9"/>
  <c r="V1117" i="9" s="1"/>
  <c r="AD1117" i="9"/>
  <c r="AC1117" i="9"/>
  <c r="AB1117" i="9"/>
  <c r="AA1117" i="9"/>
  <c r="T1117" i="9" s="1"/>
  <c r="Z1117" i="9"/>
  <c r="Y1117" i="9"/>
  <c r="AF1116" i="9"/>
  <c r="AE1116" i="9"/>
  <c r="V1116" i="9" s="1"/>
  <c r="AD1116" i="9"/>
  <c r="AC1116" i="9"/>
  <c r="AB1116" i="9"/>
  <c r="AA1116" i="9"/>
  <c r="Z1116" i="9"/>
  <c r="Y1116" i="9"/>
  <c r="AF1115" i="9"/>
  <c r="AE1115" i="9"/>
  <c r="V1115" i="9" s="1"/>
  <c r="AD1115" i="9"/>
  <c r="AC1115" i="9"/>
  <c r="AB1115" i="9"/>
  <c r="AA1115" i="9"/>
  <c r="Z1115" i="9"/>
  <c r="Y1115" i="9"/>
  <c r="AF1114" i="9"/>
  <c r="AE1114" i="9"/>
  <c r="AD1114" i="9"/>
  <c r="AC1114" i="9"/>
  <c r="AB1114" i="9"/>
  <c r="U1114" i="9" s="1"/>
  <c r="AA1114" i="9"/>
  <c r="Z1114" i="9"/>
  <c r="Y1114" i="9"/>
  <c r="T1114" i="9" s="1"/>
  <c r="AF1113" i="9"/>
  <c r="AE1113" i="9"/>
  <c r="V1113" i="9" s="1"/>
  <c r="AD1113" i="9"/>
  <c r="AC1113" i="9"/>
  <c r="AB1113" i="9"/>
  <c r="U1113" i="9" s="1"/>
  <c r="AA1113" i="9"/>
  <c r="Z1113" i="9"/>
  <c r="Y1113" i="9"/>
  <c r="AF1112" i="9"/>
  <c r="AE1112" i="9"/>
  <c r="AD1112" i="9"/>
  <c r="AC1112" i="9"/>
  <c r="AB1112" i="9"/>
  <c r="AA1112" i="9"/>
  <c r="Z1112" i="9"/>
  <c r="Y1112" i="9"/>
  <c r="V1112" i="9"/>
  <c r="T1112" i="9"/>
  <c r="AF1111" i="9"/>
  <c r="AE1111" i="9"/>
  <c r="V1111" i="9" s="1"/>
  <c r="AD1111" i="9"/>
  <c r="AC1111" i="9"/>
  <c r="AB1111" i="9"/>
  <c r="U1111" i="9" s="1"/>
  <c r="AA1111" i="9"/>
  <c r="Z1111" i="9"/>
  <c r="Y1111" i="9"/>
  <c r="T1111" i="9" s="1"/>
  <c r="AF1110" i="9"/>
  <c r="AE1110" i="9"/>
  <c r="AD1110" i="9"/>
  <c r="AC1110" i="9"/>
  <c r="AB1110" i="9"/>
  <c r="U1110" i="9" s="1"/>
  <c r="AA1110" i="9"/>
  <c r="Z1110" i="9"/>
  <c r="Y1110" i="9"/>
  <c r="T1110" i="9" s="1"/>
  <c r="AF1109" i="9"/>
  <c r="AE1109" i="9"/>
  <c r="V1109" i="9" s="1"/>
  <c r="AD1109" i="9"/>
  <c r="AC1109" i="9"/>
  <c r="AB1109" i="9"/>
  <c r="AA1109" i="9"/>
  <c r="Z1109" i="9"/>
  <c r="Y1109" i="9"/>
  <c r="AF1108" i="9"/>
  <c r="AE1108" i="9"/>
  <c r="V1108" i="9" s="1"/>
  <c r="AD1108" i="9"/>
  <c r="AC1108" i="9"/>
  <c r="AB1108" i="9"/>
  <c r="AA1108" i="9"/>
  <c r="Z1108" i="9"/>
  <c r="Y1108" i="9"/>
  <c r="T1108" i="9" s="1"/>
  <c r="AF1107" i="9"/>
  <c r="AE1107" i="9"/>
  <c r="AD1107" i="9"/>
  <c r="AC1107" i="9"/>
  <c r="AB1107" i="9"/>
  <c r="U1107" i="9" s="1"/>
  <c r="AA1107" i="9"/>
  <c r="Z1107" i="9"/>
  <c r="Y1107" i="9"/>
  <c r="T1107" i="9" s="1"/>
  <c r="AF1106" i="9"/>
  <c r="AE1106" i="9"/>
  <c r="V1106" i="9" s="1"/>
  <c r="AD1106" i="9"/>
  <c r="AC1106" i="9"/>
  <c r="AB1106" i="9"/>
  <c r="AA1106" i="9"/>
  <c r="Z1106" i="9"/>
  <c r="T1106" i="9" s="1"/>
  <c r="Y1106" i="9"/>
  <c r="AF1105" i="9"/>
  <c r="AE1105" i="9"/>
  <c r="AD1105" i="9"/>
  <c r="AC1105" i="9"/>
  <c r="AB1105" i="9"/>
  <c r="AA1105" i="9"/>
  <c r="Z1105" i="9"/>
  <c r="Y1105" i="9"/>
  <c r="V1105" i="9"/>
  <c r="AF1104" i="9"/>
  <c r="AE1104" i="9"/>
  <c r="V1104" i="9" s="1"/>
  <c r="AD1104" i="9"/>
  <c r="AC1104" i="9"/>
  <c r="AB1104" i="9"/>
  <c r="AA1104" i="9"/>
  <c r="Z1104" i="9"/>
  <c r="T1104" i="9" s="1"/>
  <c r="Y1104" i="9"/>
  <c r="AF1103" i="9"/>
  <c r="AE1103" i="9"/>
  <c r="AD1103" i="9"/>
  <c r="AC1103" i="9"/>
  <c r="AB1103" i="9"/>
  <c r="U1103" i="9" s="1"/>
  <c r="AA1103" i="9"/>
  <c r="Z1103" i="9"/>
  <c r="Y1103" i="9"/>
  <c r="AF1102" i="9"/>
  <c r="AE1102" i="9"/>
  <c r="V1102" i="9" s="1"/>
  <c r="AD1102" i="9"/>
  <c r="AC1102" i="9"/>
  <c r="AB1102" i="9"/>
  <c r="AA1102" i="9"/>
  <c r="Z1102" i="9"/>
  <c r="Y1102" i="9"/>
  <c r="T1102" i="9"/>
  <c r="AF1101" i="9"/>
  <c r="AE1101" i="9"/>
  <c r="AD1101" i="9"/>
  <c r="AC1101" i="9"/>
  <c r="AB1101" i="9"/>
  <c r="AA1101" i="9"/>
  <c r="T1101" i="9" s="1"/>
  <c r="Z1101" i="9"/>
  <c r="Y1101" i="9"/>
  <c r="V1101" i="9"/>
  <c r="AF1100" i="9"/>
  <c r="AE1100" i="9"/>
  <c r="AD1100" i="9"/>
  <c r="AC1100" i="9"/>
  <c r="AB1100" i="9"/>
  <c r="U1100" i="9" s="1"/>
  <c r="AA1100" i="9"/>
  <c r="Z1100" i="9"/>
  <c r="Y1100" i="9"/>
  <c r="T1100" i="9" s="1"/>
  <c r="V1100" i="9"/>
  <c r="AF1099" i="9"/>
  <c r="AE1099" i="9"/>
  <c r="AD1099" i="9"/>
  <c r="AC1099" i="9"/>
  <c r="AB1099" i="9"/>
  <c r="U1099" i="9" s="1"/>
  <c r="AA1099" i="9"/>
  <c r="Z1099" i="9"/>
  <c r="Y1099" i="9"/>
  <c r="AF1098" i="9"/>
  <c r="AE1098" i="9"/>
  <c r="V1098" i="9" s="1"/>
  <c r="AD1098" i="9"/>
  <c r="AC1098" i="9"/>
  <c r="AB1098" i="9"/>
  <c r="U1098" i="9" s="1"/>
  <c r="AA1098" i="9"/>
  <c r="Z1098" i="9"/>
  <c r="Y1098" i="9"/>
  <c r="T1098" i="9" s="1"/>
  <c r="AF1097" i="9"/>
  <c r="AE1097" i="9"/>
  <c r="V1097" i="9" s="1"/>
  <c r="AD1097" i="9"/>
  <c r="AC1097" i="9"/>
  <c r="AB1097" i="9"/>
  <c r="AA1097" i="9"/>
  <c r="T1097" i="9" s="1"/>
  <c r="Z1097" i="9"/>
  <c r="Y1097" i="9"/>
  <c r="AF1096" i="9"/>
  <c r="AE1096" i="9"/>
  <c r="AD1096" i="9"/>
  <c r="AC1096" i="9"/>
  <c r="AB1096" i="9"/>
  <c r="AA1096" i="9"/>
  <c r="Z1096" i="9"/>
  <c r="Y1096" i="9"/>
  <c r="V1096" i="9"/>
  <c r="T1096" i="9"/>
  <c r="AF1095" i="9"/>
  <c r="AE1095" i="9"/>
  <c r="AD1095" i="9"/>
  <c r="AC1095" i="9"/>
  <c r="AB1095" i="9"/>
  <c r="U1095" i="9" s="1"/>
  <c r="AA1095" i="9"/>
  <c r="Z1095" i="9"/>
  <c r="Y1095" i="9"/>
  <c r="T1095" i="9" s="1"/>
  <c r="AF1094" i="9"/>
  <c r="AE1094" i="9"/>
  <c r="V1094" i="9" s="1"/>
  <c r="AD1094" i="9"/>
  <c r="AC1094" i="9"/>
  <c r="AB1094" i="9"/>
  <c r="AA1094" i="9"/>
  <c r="Z1094" i="9"/>
  <c r="Y1094" i="9"/>
  <c r="T1094" i="9" s="1"/>
  <c r="AF1093" i="9"/>
  <c r="V1093" i="9" s="1"/>
  <c r="AE1093" i="9"/>
  <c r="AD1093" i="9"/>
  <c r="AC1093" i="9"/>
  <c r="AB1093" i="9"/>
  <c r="AA1093" i="9"/>
  <c r="Z1093" i="9"/>
  <c r="Y1093" i="9"/>
  <c r="AF1092" i="9"/>
  <c r="AE1092" i="9"/>
  <c r="V1092" i="9" s="1"/>
  <c r="AD1092" i="9"/>
  <c r="AC1092" i="9"/>
  <c r="AB1092" i="9"/>
  <c r="AA1092" i="9"/>
  <c r="Z1092" i="9"/>
  <c r="Y1092" i="9"/>
  <c r="T1092" i="9" s="1"/>
  <c r="AF1091" i="9"/>
  <c r="AE1091" i="9"/>
  <c r="V1091" i="9" s="1"/>
  <c r="AD1091" i="9"/>
  <c r="AC1091" i="9"/>
  <c r="AB1091" i="9"/>
  <c r="U1091" i="9" s="1"/>
  <c r="AA1091" i="9"/>
  <c r="Z1091" i="9"/>
  <c r="Y1091" i="9"/>
  <c r="AF1090" i="9"/>
  <c r="AE1090" i="9"/>
  <c r="V1090" i="9" s="1"/>
  <c r="AD1090" i="9"/>
  <c r="AC1090" i="9"/>
  <c r="AB1090" i="9"/>
  <c r="U1090" i="9" s="1"/>
  <c r="AA1090" i="9"/>
  <c r="Z1090" i="9"/>
  <c r="Y1090" i="9"/>
  <c r="T1090" i="9" s="1"/>
  <c r="AF1089" i="9"/>
  <c r="AE1089" i="9"/>
  <c r="AD1089" i="9"/>
  <c r="AC1089" i="9"/>
  <c r="AB1089" i="9"/>
  <c r="AA1089" i="9"/>
  <c r="Z1089" i="9"/>
  <c r="Y1089" i="9"/>
  <c r="V1089" i="9"/>
  <c r="AF1088" i="9"/>
  <c r="AE1088" i="9"/>
  <c r="AD1088" i="9"/>
  <c r="AC1088" i="9"/>
  <c r="AB1088" i="9"/>
  <c r="AA1088" i="9"/>
  <c r="Z1088" i="9"/>
  <c r="Y1088" i="9"/>
  <c r="T1088" i="9"/>
  <c r="AF1087" i="9"/>
  <c r="AE1087" i="9"/>
  <c r="AD1087" i="9"/>
  <c r="AC1087" i="9"/>
  <c r="AB1087" i="9"/>
  <c r="U1087" i="9" s="1"/>
  <c r="AA1087" i="9"/>
  <c r="Z1087" i="9"/>
  <c r="Y1087" i="9"/>
  <c r="T1087" i="9" s="1"/>
  <c r="AF1086" i="9"/>
  <c r="AE1086" i="9"/>
  <c r="V1086" i="9" s="1"/>
  <c r="AD1086" i="9"/>
  <c r="AC1086" i="9"/>
  <c r="AB1086" i="9"/>
  <c r="U1086" i="9" s="1"/>
  <c r="AA1086" i="9"/>
  <c r="Z1086" i="9"/>
  <c r="Y1086" i="9"/>
  <c r="T1086" i="9" s="1"/>
  <c r="AF1085" i="9"/>
  <c r="AE1085" i="9"/>
  <c r="AD1085" i="9"/>
  <c r="AC1085" i="9"/>
  <c r="AB1085" i="9"/>
  <c r="AA1085" i="9"/>
  <c r="Z1085" i="9"/>
  <c r="Y1085" i="9"/>
  <c r="V1085" i="9"/>
  <c r="AF1084" i="9"/>
  <c r="AE1084" i="9"/>
  <c r="AD1084" i="9"/>
  <c r="AC1084" i="9"/>
  <c r="AB1084" i="9"/>
  <c r="AA1084" i="9"/>
  <c r="Z1084" i="9"/>
  <c r="Y1084" i="9"/>
  <c r="T1084" i="9" s="1"/>
  <c r="V1084" i="9"/>
  <c r="AF1083" i="9"/>
  <c r="AE1083" i="9"/>
  <c r="AD1083" i="9"/>
  <c r="AC1083" i="9"/>
  <c r="AB1083" i="9"/>
  <c r="AA1083" i="9"/>
  <c r="Z1083" i="9"/>
  <c r="Y1083" i="9"/>
  <c r="AF1082" i="9"/>
  <c r="AE1082" i="9"/>
  <c r="V1082" i="9" s="1"/>
  <c r="AD1082" i="9"/>
  <c r="AC1082" i="9"/>
  <c r="AB1082" i="9"/>
  <c r="AA1082" i="9"/>
  <c r="Z1082" i="9"/>
  <c r="Y1082" i="9"/>
  <c r="T1082" i="9" s="1"/>
  <c r="AF1081" i="9"/>
  <c r="AE1081" i="9"/>
  <c r="V1081" i="9" s="1"/>
  <c r="AD1081" i="9"/>
  <c r="AC1081" i="9"/>
  <c r="AB1081" i="9"/>
  <c r="AA1081" i="9"/>
  <c r="Z1081" i="9"/>
  <c r="Y1081" i="9"/>
  <c r="AF1080" i="9"/>
  <c r="AE1080" i="9"/>
  <c r="AD1080" i="9"/>
  <c r="AC1080" i="9"/>
  <c r="AB1080" i="9"/>
  <c r="AA1080" i="9"/>
  <c r="Z1080" i="9"/>
  <c r="Y1080" i="9"/>
  <c r="V1080" i="9"/>
  <c r="T1080" i="9"/>
  <c r="AF1079" i="9"/>
  <c r="AE1079" i="9"/>
  <c r="V1079" i="9" s="1"/>
  <c r="AD1079" i="9"/>
  <c r="AC1079" i="9"/>
  <c r="AB1079" i="9"/>
  <c r="AA1079" i="9"/>
  <c r="Z1079" i="9"/>
  <c r="Y1079" i="9"/>
  <c r="T1079" i="9" s="1"/>
  <c r="AF1078" i="9"/>
  <c r="AE1078" i="9"/>
  <c r="V1078" i="9" s="1"/>
  <c r="AD1078" i="9"/>
  <c r="AC1078" i="9"/>
  <c r="AB1078" i="9"/>
  <c r="U1078" i="9" s="1"/>
  <c r="AA1078" i="9"/>
  <c r="Z1078" i="9"/>
  <c r="Y1078" i="9"/>
  <c r="AF1077" i="9"/>
  <c r="V1077" i="9" s="1"/>
  <c r="AE1077" i="9"/>
  <c r="AD1077" i="9"/>
  <c r="AC1077" i="9"/>
  <c r="AB1077" i="9"/>
  <c r="U1077" i="9" s="1"/>
  <c r="AA1077" i="9"/>
  <c r="Z1077" i="9"/>
  <c r="Y1077" i="9"/>
  <c r="AF1076" i="9"/>
  <c r="AE1076" i="9"/>
  <c r="V1076" i="9" s="1"/>
  <c r="AD1076" i="9"/>
  <c r="AC1076" i="9"/>
  <c r="AB1076" i="9"/>
  <c r="U1076" i="9" s="1"/>
  <c r="AA1076" i="9"/>
  <c r="Z1076" i="9"/>
  <c r="Y1076" i="9"/>
  <c r="T1076" i="9" s="1"/>
  <c r="AF1075" i="9"/>
  <c r="AE1075" i="9"/>
  <c r="V1075" i="9" s="1"/>
  <c r="AD1075" i="9"/>
  <c r="AC1075" i="9"/>
  <c r="AB1075" i="9"/>
  <c r="U1075" i="9" s="1"/>
  <c r="AA1075" i="9"/>
  <c r="Z1075" i="9"/>
  <c r="Y1075" i="9"/>
  <c r="AF1074" i="9"/>
  <c r="AE1074" i="9"/>
  <c r="V1074" i="9" s="1"/>
  <c r="AD1074" i="9"/>
  <c r="AC1074" i="9"/>
  <c r="AB1074" i="9"/>
  <c r="AA1074" i="9"/>
  <c r="Z1074" i="9"/>
  <c r="Y1074" i="9"/>
  <c r="T1074" i="9" s="1"/>
  <c r="AF1073" i="9"/>
  <c r="AE1073" i="9"/>
  <c r="AD1073" i="9"/>
  <c r="AC1073" i="9"/>
  <c r="AB1073" i="9"/>
  <c r="AA1073" i="9"/>
  <c r="Z1073" i="9"/>
  <c r="Y1073" i="9"/>
  <c r="V1073" i="9"/>
  <c r="AF1072" i="9"/>
  <c r="AE1072" i="9"/>
  <c r="AD1072" i="9"/>
  <c r="AC1072" i="9"/>
  <c r="AB1072" i="9"/>
  <c r="AA1072" i="9"/>
  <c r="Z1072" i="9"/>
  <c r="Y1072" i="9"/>
  <c r="T1072" i="9" s="1"/>
  <c r="AF1071" i="9"/>
  <c r="AE1071" i="9"/>
  <c r="AD1071" i="9"/>
  <c r="AC1071" i="9"/>
  <c r="AB1071" i="9"/>
  <c r="AA1071" i="9"/>
  <c r="Z1071" i="9"/>
  <c r="Y1071" i="9"/>
  <c r="T1071" i="9" s="1"/>
  <c r="AF1070" i="9"/>
  <c r="AE1070" i="9"/>
  <c r="V1070" i="9" s="1"/>
  <c r="AD1070" i="9"/>
  <c r="AC1070" i="9"/>
  <c r="AB1070" i="9"/>
  <c r="AA1070" i="9"/>
  <c r="Z1070" i="9"/>
  <c r="Y1070" i="9"/>
  <c r="T1070" i="9" s="1"/>
  <c r="AF1069" i="9"/>
  <c r="AE1069" i="9"/>
  <c r="AD1069" i="9"/>
  <c r="AC1069" i="9"/>
  <c r="AB1069" i="9"/>
  <c r="AA1069" i="9"/>
  <c r="T1069" i="9" s="1"/>
  <c r="Z1069" i="9"/>
  <c r="Y1069" i="9"/>
  <c r="V1069" i="9"/>
  <c r="AF1068" i="9"/>
  <c r="AE1068" i="9"/>
  <c r="AD1068" i="9"/>
  <c r="AC1068" i="9"/>
  <c r="AB1068" i="9"/>
  <c r="U1068" i="9" s="1"/>
  <c r="AA1068" i="9"/>
  <c r="Z1068" i="9"/>
  <c r="Y1068" i="9"/>
  <c r="T1068" i="9" s="1"/>
  <c r="V1068" i="9"/>
  <c r="AF1067" i="9"/>
  <c r="AE1067" i="9"/>
  <c r="AD1067" i="9"/>
  <c r="AC1067" i="9"/>
  <c r="AB1067" i="9"/>
  <c r="AA1067" i="9"/>
  <c r="Z1067" i="9"/>
  <c r="Y1067" i="9"/>
  <c r="AF1066" i="9"/>
  <c r="AE1066" i="9"/>
  <c r="V1066" i="9" s="1"/>
  <c r="AD1066" i="9"/>
  <c r="AC1066" i="9"/>
  <c r="AB1066" i="9"/>
  <c r="AA1066" i="9"/>
  <c r="Z1066" i="9"/>
  <c r="Y1066" i="9"/>
  <c r="T1066" i="9" s="1"/>
  <c r="AF1065" i="9"/>
  <c r="AE1065" i="9"/>
  <c r="V1065" i="9" s="1"/>
  <c r="AD1065" i="9"/>
  <c r="AC1065" i="9"/>
  <c r="AB1065" i="9"/>
  <c r="AA1065" i="9"/>
  <c r="Z1065" i="9"/>
  <c r="Y1065" i="9"/>
  <c r="AF1064" i="9"/>
  <c r="AE1064" i="9"/>
  <c r="AD1064" i="9"/>
  <c r="AC1064" i="9"/>
  <c r="AB1064" i="9"/>
  <c r="AA1064" i="9"/>
  <c r="Z1064" i="9"/>
  <c r="Y1064" i="9"/>
  <c r="V1064" i="9"/>
  <c r="T1064" i="9"/>
  <c r="AF1063" i="9"/>
  <c r="AE1063" i="9"/>
  <c r="AD1063" i="9"/>
  <c r="AC1063" i="9"/>
  <c r="AB1063" i="9"/>
  <c r="U1063" i="9" s="1"/>
  <c r="AA1063" i="9"/>
  <c r="Z1063" i="9"/>
  <c r="Y1063" i="9"/>
  <c r="T1063" i="9" s="1"/>
  <c r="AF1062" i="9"/>
  <c r="AE1062" i="9"/>
  <c r="V1062" i="9" s="1"/>
  <c r="AD1062" i="9"/>
  <c r="AC1062" i="9"/>
  <c r="AB1062" i="9"/>
  <c r="AA1062" i="9"/>
  <c r="Z1062" i="9"/>
  <c r="Y1062" i="9"/>
  <c r="AF1061" i="9"/>
  <c r="V1061" i="9" s="1"/>
  <c r="AE1061" i="9"/>
  <c r="AD1061" i="9"/>
  <c r="AC1061" i="9"/>
  <c r="AB1061" i="9"/>
  <c r="AA1061" i="9"/>
  <c r="Z1061" i="9"/>
  <c r="Y1061" i="9"/>
  <c r="AF1060" i="9"/>
  <c r="AE1060" i="9"/>
  <c r="AD1060" i="9"/>
  <c r="AC1060" i="9"/>
  <c r="AB1060" i="9"/>
  <c r="AA1060" i="9"/>
  <c r="Z1060" i="9"/>
  <c r="Y1060" i="9"/>
  <c r="V1060" i="9"/>
  <c r="AF1059" i="9"/>
  <c r="AE1059" i="9"/>
  <c r="V1059" i="9" s="1"/>
  <c r="AD1059" i="9"/>
  <c r="AC1059" i="9"/>
  <c r="AB1059" i="9"/>
  <c r="AA1059" i="9"/>
  <c r="Z1059" i="9"/>
  <c r="Y1059" i="9"/>
  <c r="AF1058" i="9"/>
  <c r="AE1058" i="9"/>
  <c r="V1058" i="9" s="1"/>
  <c r="AD1058" i="9"/>
  <c r="AC1058" i="9"/>
  <c r="AB1058" i="9"/>
  <c r="AA1058" i="9"/>
  <c r="Z1058" i="9"/>
  <c r="Y1058" i="9"/>
  <c r="T1058" i="9" s="1"/>
  <c r="AF1057" i="9"/>
  <c r="AE1057" i="9"/>
  <c r="AD1057" i="9"/>
  <c r="AC1057" i="9"/>
  <c r="AB1057" i="9"/>
  <c r="AA1057" i="9"/>
  <c r="Z1057" i="9"/>
  <c r="Y1057" i="9"/>
  <c r="V1057" i="9"/>
  <c r="AF1056" i="9"/>
  <c r="AE1056" i="9"/>
  <c r="AD1056" i="9"/>
  <c r="AC1056" i="9"/>
  <c r="AB1056" i="9"/>
  <c r="AA1056" i="9"/>
  <c r="Z1056" i="9"/>
  <c r="Y1056" i="9"/>
  <c r="T1056" i="9" s="1"/>
  <c r="AF1055" i="9"/>
  <c r="AE1055" i="9"/>
  <c r="V1055" i="9" s="1"/>
  <c r="AD1055" i="9"/>
  <c r="AC1055" i="9"/>
  <c r="AB1055" i="9"/>
  <c r="AA1055" i="9"/>
  <c r="Z1055" i="9"/>
  <c r="Y1055" i="9"/>
  <c r="T1055" i="9" s="1"/>
  <c r="AF1054" i="9"/>
  <c r="AE1054" i="9"/>
  <c r="V1054" i="9" s="1"/>
  <c r="AD1054" i="9"/>
  <c r="AC1054" i="9"/>
  <c r="AB1054" i="9"/>
  <c r="AA1054" i="9"/>
  <c r="Z1054" i="9"/>
  <c r="Y1054" i="9"/>
  <c r="T1054" i="9" s="1"/>
  <c r="AF1053" i="9"/>
  <c r="AE1053" i="9"/>
  <c r="AD1053" i="9"/>
  <c r="AC1053" i="9"/>
  <c r="AB1053" i="9"/>
  <c r="AA1053" i="9"/>
  <c r="T1053" i="9" s="1"/>
  <c r="Z1053" i="9"/>
  <c r="Y1053" i="9"/>
  <c r="V1053" i="9"/>
  <c r="AF1052" i="9"/>
  <c r="AE1052" i="9"/>
  <c r="AD1052" i="9"/>
  <c r="AC1052" i="9"/>
  <c r="AB1052" i="9"/>
  <c r="AA1052" i="9"/>
  <c r="Z1052" i="9"/>
  <c r="Y1052" i="9"/>
  <c r="T1052" i="9" s="1"/>
  <c r="V1052" i="9"/>
  <c r="AF1051" i="9"/>
  <c r="AE1051" i="9"/>
  <c r="V1051" i="9" s="1"/>
  <c r="AD1051" i="9"/>
  <c r="AC1051" i="9"/>
  <c r="AB1051" i="9"/>
  <c r="AA1051" i="9"/>
  <c r="Z1051" i="9"/>
  <c r="Y1051" i="9"/>
  <c r="AF1050" i="9"/>
  <c r="AE1050" i="9"/>
  <c r="V1050" i="9" s="1"/>
  <c r="AD1050" i="9"/>
  <c r="AC1050" i="9"/>
  <c r="AB1050" i="9"/>
  <c r="AA1050" i="9"/>
  <c r="Z1050" i="9"/>
  <c r="Y1050" i="9"/>
  <c r="T1050" i="9" s="1"/>
  <c r="AF1049" i="9"/>
  <c r="AE1049" i="9"/>
  <c r="V1049" i="9" s="1"/>
  <c r="AD1049" i="9"/>
  <c r="AC1049" i="9"/>
  <c r="AB1049" i="9"/>
  <c r="AA1049" i="9"/>
  <c r="Z1049" i="9"/>
  <c r="Y1049" i="9"/>
  <c r="AF1048" i="9"/>
  <c r="AE1048" i="9"/>
  <c r="AD1048" i="9"/>
  <c r="AC1048" i="9"/>
  <c r="AB1048" i="9"/>
  <c r="AA1048" i="9"/>
  <c r="Z1048" i="9"/>
  <c r="Y1048" i="9"/>
  <c r="V1048" i="9"/>
  <c r="T1048" i="9"/>
  <c r="AF1047" i="9"/>
  <c r="AE1047" i="9"/>
  <c r="AD1047" i="9"/>
  <c r="AC1047" i="9"/>
  <c r="AB1047" i="9"/>
  <c r="AA1047" i="9"/>
  <c r="Z1047" i="9"/>
  <c r="Y1047" i="9"/>
  <c r="T1047" i="9" s="1"/>
  <c r="AF1046" i="9"/>
  <c r="AE1046" i="9"/>
  <c r="V1046" i="9" s="1"/>
  <c r="AD1046" i="9"/>
  <c r="AC1046" i="9"/>
  <c r="AB1046" i="9"/>
  <c r="AA1046" i="9"/>
  <c r="Z1046" i="9"/>
  <c r="Y1046" i="9"/>
  <c r="AF1045" i="9"/>
  <c r="AE1045" i="9"/>
  <c r="AD1045" i="9"/>
  <c r="AC1045" i="9"/>
  <c r="AB1045" i="9"/>
  <c r="AA1045" i="9"/>
  <c r="Z1045" i="9"/>
  <c r="Y1045" i="9"/>
  <c r="V1045" i="9"/>
  <c r="AF1044" i="9"/>
  <c r="AE1044" i="9"/>
  <c r="AD1044" i="9"/>
  <c r="AC1044" i="9"/>
  <c r="AB1044" i="9"/>
  <c r="AA1044" i="9"/>
  <c r="Z1044" i="9"/>
  <c r="Y1044" i="9"/>
  <c r="T1044" i="9" s="1"/>
  <c r="V1044" i="9"/>
  <c r="AF1043" i="9"/>
  <c r="AE1043" i="9"/>
  <c r="AD1043" i="9"/>
  <c r="AC1043" i="9"/>
  <c r="AB1043" i="9"/>
  <c r="AA1043" i="9"/>
  <c r="Z1043" i="9"/>
  <c r="Y1043" i="9"/>
  <c r="AF1042" i="9"/>
  <c r="AE1042" i="9"/>
  <c r="V1042" i="9" s="1"/>
  <c r="AD1042" i="9"/>
  <c r="AC1042" i="9"/>
  <c r="AB1042" i="9"/>
  <c r="U1042" i="9" s="1"/>
  <c r="AA1042" i="9"/>
  <c r="Z1042" i="9"/>
  <c r="Y1042" i="9"/>
  <c r="T1042" i="9" s="1"/>
  <c r="AF1041" i="9"/>
  <c r="AE1041" i="9"/>
  <c r="AD1041" i="9"/>
  <c r="AC1041" i="9"/>
  <c r="AB1041" i="9"/>
  <c r="AA1041" i="9"/>
  <c r="Z1041" i="9"/>
  <c r="Y1041" i="9"/>
  <c r="V1041" i="9"/>
  <c r="AF1040" i="9"/>
  <c r="AE1040" i="9"/>
  <c r="AD1040" i="9"/>
  <c r="AC1040" i="9"/>
  <c r="AB1040" i="9"/>
  <c r="AA1040" i="9"/>
  <c r="Z1040" i="9"/>
  <c r="Y1040" i="9"/>
  <c r="T1040" i="9" s="1"/>
  <c r="AF1039" i="9"/>
  <c r="AE1039" i="9"/>
  <c r="V1039" i="9" s="1"/>
  <c r="AD1039" i="9"/>
  <c r="AC1039" i="9"/>
  <c r="AB1039" i="9"/>
  <c r="AA1039" i="9"/>
  <c r="Z1039" i="9"/>
  <c r="Y1039" i="9"/>
  <c r="T1039" i="9" s="1"/>
  <c r="AF1038" i="9"/>
  <c r="AE1038" i="9"/>
  <c r="V1038" i="9" s="1"/>
  <c r="AD1038" i="9"/>
  <c r="AC1038" i="9"/>
  <c r="AB1038" i="9"/>
  <c r="AA1038" i="9"/>
  <c r="Z1038" i="9"/>
  <c r="Y1038" i="9"/>
  <c r="T1038" i="9" s="1"/>
  <c r="AF1037" i="9"/>
  <c r="V1037" i="9" s="1"/>
  <c r="AE1037" i="9"/>
  <c r="AD1037" i="9"/>
  <c r="AC1037" i="9"/>
  <c r="AB1037" i="9"/>
  <c r="AA1037" i="9"/>
  <c r="T1037" i="9" s="1"/>
  <c r="Z1037" i="9"/>
  <c r="Y1037" i="9"/>
  <c r="AF1036" i="9"/>
  <c r="AE1036" i="9"/>
  <c r="AD1036" i="9"/>
  <c r="AC1036" i="9"/>
  <c r="AB1036" i="9"/>
  <c r="AA1036" i="9"/>
  <c r="Z1036" i="9"/>
  <c r="Y1036" i="9"/>
  <c r="T1036" i="9" s="1"/>
  <c r="V1036" i="9"/>
  <c r="AF1035" i="9"/>
  <c r="AE1035" i="9"/>
  <c r="AD1035" i="9"/>
  <c r="AC1035" i="9"/>
  <c r="AB1035" i="9"/>
  <c r="AA1035" i="9"/>
  <c r="Z1035" i="9"/>
  <c r="Y1035" i="9"/>
  <c r="AF1034" i="9"/>
  <c r="AE1034" i="9"/>
  <c r="V1034" i="9" s="1"/>
  <c r="AD1034" i="9"/>
  <c r="AC1034" i="9"/>
  <c r="AB1034" i="9"/>
  <c r="AA1034" i="9"/>
  <c r="Z1034" i="9"/>
  <c r="Y1034" i="9"/>
  <c r="T1034" i="9" s="1"/>
  <c r="AF1033" i="9"/>
  <c r="AE1033" i="9"/>
  <c r="V1033" i="9" s="1"/>
  <c r="AD1033" i="9"/>
  <c r="AC1033" i="9"/>
  <c r="AB1033" i="9"/>
  <c r="AA1033" i="9"/>
  <c r="T1033" i="9" s="1"/>
  <c r="Z1033" i="9"/>
  <c r="Y1033" i="9"/>
  <c r="AF1032" i="9"/>
  <c r="AE1032" i="9"/>
  <c r="AD1032" i="9"/>
  <c r="AC1032" i="9"/>
  <c r="AB1032" i="9"/>
  <c r="AA1032" i="9"/>
  <c r="Z1032" i="9"/>
  <c r="Y1032" i="9"/>
  <c r="V1032" i="9"/>
  <c r="T1032" i="9"/>
  <c r="AF1031" i="9"/>
  <c r="AE1031" i="9"/>
  <c r="AD1031" i="9"/>
  <c r="AC1031" i="9"/>
  <c r="AB1031" i="9"/>
  <c r="AA1031" i="9"/>
  <c r="Z1031" i="9"/>
  <c r="Y1031" i="9"/>
  <c r="T1031" i="9" s="1"/>
  <c r="AF1030" i="9"/>
  <c r="AE1030" i="9"/>
  <c r="V1030" i="9" s="1"/>
  <c r="AD1030" i="9"/>
  <c r="AC1030" i="9"/>
  <c r="AB1030" i="9"/>
  <c r="AA1030" i="9"/>
  <c r="Z1030" i="9"/>
  <c r="Y1030" i="9"/>
  <c r="AF1029" i="9"/>
  <c r="AE1029" i="9"/>
  <c r="AD1029" i="9"/>
  <c r="AC1029" i="9"/>
  <c r="AB1029" i="9"/>
  <c r="AA1029" i="9"/>
  <c r="Z1029" i="9"/>
  <c r="Y1029" i="9"/>
  <c r="V1029" i="9"/>
  <c r="AF1028" i="9"/>
  <c r="AE1028" i="9"/>
  <c r="AD1028" i="9"/>
  <c r="AC1028" i="9"/>
  <c r="AB1028" i="9"/>
  <c r="AA1028" i="9"/>
  <c r="Z1028" i="9"/>
  <c r="Y1028" i="9"/>
  <c r="V1028" i="9"/>
  <c r="AF1027" i="9"/>
  <c r="AE1027" i="9"/>
  <c r="V1027" i="9" s="1"/>
  <c r="AD1027" i="9"/>
  <c r="AC1027" i="9"/>
  <c r="AB1027" i="9"/>
  <c r="U1027" i="9" s="1"/>
  <c r="AA1027" i="9"/>
  <c r="Z1027" i="9"/>
  <c r="Y1027" i="9"/>
  <c r="AF1026" i="9"/>
  <c r="AE1026" i="9"/>
  <c r="V1026" i="9" s="1"/>
  <c r="AD1026" i="9"/>
  <c r="AC1026" i="9"/>
  <c r="AB1026" i="9"/>
  <c r="AA1026" i="9"/>
  <c r="Z1026" i="9"/>
  <c r="Y1026" i="9"/>
  <c r="T1026" i="9" s="1"/>
  <c r="AF1025" i="9"/>
  <c r="AE1025" i="9"/>
  <c r="AD1025" i="9"/>
  <c r="AC1025" i="9"/>
  <c r="AB1025" i="9"/>
  <c r="AA1025" i="9"/>
  <c r="Z1025" i="9"/>
  <c r="Y1025" i="9"/>
  <c r="V1025" i="9"/>
  <c r="AF1024" i="9"/>
  <c r="AE1024" i="9"/>
  <c r="AD1024" i="9"/>
  <c r="AC1024" i="9"/>
  <c r="AB1024" i="9"/>
  <c r="AA1024" i="9"/>
  <c r="Z1024" i="9"/>
  <c r="Y1024" i="9"/>
  <c r="T1024" i="9" s="1"/>
  <c r="AF1023" i="9"/>
  <c r="AE1023" i="9"/>
  <c r="AD1023" i="9"/>
  <c r="AC1023" i="9"/>
  <c r="AB1023" i="9"/>
  <c r="U1023" i="9" s="1"/>
  <c r="AA1023" i="9"/>
  <c r="Z1023" i="9"/>
  <c r="Y1023" i="9"/>
  <c r="T1023" i="9" s="1"/>
  <c r="AF1022" i="9"/>
  <c r="AE1022" i="9"/>
  <c r="V1022" i="9" s="1"/>
  <c r="AD1022" i="9"/>
  <c r="AC1022" i="9"/>
  <c r="AB1022" i="9"/>
  <c r="U1022" i="9" s="1"/>
  <c r="AA1022" i="9"/>
  <c r="Z1022" i="9"/>
  <c r="Y1022" i="9"/>
  <c r="T1022" i="9" s="1"/>
  <c r="AF1021" i="9"/>
  <c r="V1021" i="9" s="1"/>
  <c r="AE1021" i="9"/>
  <c r="AD1021" i="9"/>
  <c r="AC1021" i="9"/>
  <c r="AB1021" i="9"/>
  <c r="U1021" i="9" s="1"/>
  <c r="AA1021" i="9"/>
  <c r="T1021" i="9" s="1"/>
  <c r="Z1021" i="9"/>
  <c r="Y1021" i="9"/>
  <c r="AF1020" i="9"/>
  <c r="V1020" i="9" s="1"/>
  <c r="AE1020" i="9"/>
  <c r="AD1020" i="9"/>
  <c r="AC1020" i="9"/>
  <c r="AB1020" i="9"/>
  <c r="AA1020" i="9"/>
  <c r="Z1020" i="9"/>
  <c r="Y1020" i="9"/>
  <c r="T1020" i="9" s="1"/>
  <c r="AF1019" i="9"/>
  <c r="AE1019" i="9"/>
  <c r="AD1019" i="9"/>
  <c r="AC1019" i="9"/>
  <c r="AB1019" i="9"/>
  <c r="U1019" i="9" s="1"/>
  <c r="AA1019" i="9"/>
  <c r="Z1019" i="9"/>
  <c r="Y1019" i="9"/>
  <c r="AF1018" i="9"/>
  <c r="AE1018" i="9"/>
  <c r="V1018" i="9" s="1"/>
  <c r="AD1018" i="9"/>
  <c r="AC1018" i="9"/>
  <c r="AB1018" i="9"/>
  <c r="U1018" i="9" s="1"/>
  <c r="AA1018" i="9"/>
  <c r="Z1018" i="9"/>
  <c r="Y1018" i="9"/>
  <c r="T1018" i="9" s="1"/>
  <c r="AF1017" i="9"/>
  <c r="AE1017" i="9"/>
  <c r="V1017" i="9" s="1"/>
  <c r="AD1017" i="9"/>
  <c r="AC1017" i="9"/>
  <c r="AB1017" i="9"/>
  <c r="AA1017" i="9"/>
  <c r="T1017" i="9" s="1"/>
  <c r="Z1017" i="9"/>
  <c r="Y1017" i="9"/>
  <c r="AF1016" i="9"/>
  <c r="AE1016" i="9"/>
  <c r="AD1016" i="9"/>
  <c r="AC1016" i="9"/>
  <c r="AB1016" i="9"/>
  <c r="U1016" i="9" s="1"/>
  <c r="AA1016" i="9"/>
  <c r="Z1016" i="9"/>
  <c r="Y1016" i="9"/>
  <c r="V1016" i="9"/>
  <c r="T1016" i="9"/>
  <c r="AF1015" i="9"/>
  <c r="AE1015" i="9"/>
  <c r="V1015" i="9" s="1"/>
  <c r="AD1015" i="9"/>
  <c r="AC1015" i="9"/>
  <c r="AB1015" i="9"/>
  <c r="AA1015" i="9"/>
  <c r="Z1015" i="9"/>
  <c r="Y1015" i="9"/>
  <c r="T1015" i="9" s="1"/>
  <c r="AF1014" i="9"/>
  <c r="AE1014" i="9"/>
  <c r="V1014" i="9" s="1"/>
  <c r="AD1014" i="9"/>
  <c r="AC1014" i="9"/>
  <c r="AB1014" i="9"/>
  <c r="AA1014" i="9"/>
  <c r="Z1014" i="9"/>
  <c r="Y1014" i="9"/>
  <c r="AF1013" i="9"/>
  <c r="AE1013" i="9"/>
  <c r="V1013" i="9" s="1"/>
  <c r="AD1013" i="9"/>
  <c r="AC1013" i="9"/>
  <c r="AB1013" i="9"/>
  <c r="AA1013" i="9"/>
  <c r="Z1013" i="9"/>
  <c r="Y1013" i="9"/>
  <c r="AF1012" i="9"/>
  <c r="V1012" i="9" s="1"/>
  <c r="AE1012" i="9"/>
  <c r="AD1012" i="9"/>
  <c r="AC1012" i="9"/>
  <c r="AB1012" i="9"/>
  <c r="AA1012" i="9"/>
  <c r="Z1012" i="9"/>
  <c r="Y1012" i="9"/>
  <c r="AF1011" i="9"/>
  <c r="AE1011" i="9"/>
  <c r="AD1011" i="9"/>
  <c r="AC1011" i="9"/>
  <c r="AB1011" i="9"/>
  <c r="AA1011" i="9"/>
  <c r="Z1011" i="9"/>
  <c r="Y1011" i="9"/>
  <c r="AF1010" i="9"/>
  <c r="AE1010" i="9"/>
  <c r="AD1010" i="9"/>
  <c r="AC1010" i="9"/>
  <c r="AB1010" i="9"/>
  <c r="AA1010" i="9"/>
  <c r="Z1010" i="9"/>
  <c r="Y1010" i="9"/>
  <c r="AF1009" i="9"/>
  <c r="V1009" i="9" s="1"/>
  <c r="AE1009" i="9"/>
  <c r="AD1009" i="9"/>
  <c r="AC1009" i="9"/>
  <c r="AB1009" i="9"/>
  <c r="AA1009" i="9"/>
  <c r="Z1009" i="9"/>
  <c r="Y1009" i="9"/>
  <c r="AF1008" i="9"/>
  <c r="AE1008" i="9"/>
  <c r="V1008" i="9" s="1"/>
  <c r="AD1008" i="9"/>
  <c r="AC1008" i="9"/>
  <c r="AB1008" i="9"/>
  <c r="AA1008" i="9"/>
  <c r="Z1008" i="9"/>
  <c r="Y1008" i="9"/>
  <c r="T1008" i="9" s="1"/>
  <c r="AF1007" i="9"/>
  <c r="AE1007" i="9"/>
  <c r="AD1007" i="9"/>
  <c r="AC1007" i="9"/>
  <c r="AB1007" i="9"/>
  <c r="AA1007" i="9"/>
  <c r="Z1007" i="9"/>
  <c r="Y1007" i="9"/>
  <c r="T1007" i="9" s="1"/>
  <c r="AF1006" i="9"/>
  <c r="AE1006" i="9"/>
  <c r="AD1006" i="9"/>
  <c r="AC1006" i="9"/>
  <c r="AB1006" i="9"/>
  <c r="AA1006" i="9"/>
  <c r="Z1006" i="9"/>
  <c r="Y1006" i="9"/>
  <c r="T1006" i="9" s="1"/>
  <c r="AF1005" i="9"/>
  <c r="AE1005" i="9"/>
  <c r="AD1005" i="9"/>
  <c r="AC1005" i="9"/>
  <c r="AB1005" i="9"/>
  <c r="AA1005" i="9"/>
  <c r="Z1005" i="9"/>
  <c r="Y1005" i="9"/>
  <c r="V1005" i="9"/>
  <c r="AF1004" i="9"/>
  <c r="AE1004" i="9"/>
  <c r="V1004" i="9" s="1"/>
  <c r="AD1004" i="9"/>
  <c r="AC1004" i="9"/>
  <c r="AB1004" i="9"/>
  <c r="AA1004" i="9"/>
  <c r="Z1004" i="9"/>
  <c r="Y1004" i="9"/>
  <c r="T1004" i="9"/>
  <c r="AF1003" i="9"/>
  <c r="AE1003" i="9"/>
  <c r="AD1003" i="9"/>
  <c r="AC1003" i="9"/>
  <c r="AB1003" i="9"/>
  <c r="AA1003" i="9"/>
  <c r="Z1003" i="9"/>
  <c r="Y1003" i="9"/>
  <c r="AF1002" i="9"/>
  <c r="AE1002" i="9"/>
  <c r="V1002" i="9" s="1"/>
  <c r="AD1002" i="9"/>
  <c r="AC1002" i="9"/>
  <c r="AB1002" i="9"/>
  <c r="AA1002" i="9"/>
  <c r="Z1002" i="9"/>
  <c r="Y1002" i="9"/>
  <c r="T1002" i="9" s="1"/>
  <c r="AF1001" i="9"/>
  <c r="AE1001" i="9"/>
  <c r="AD1001" i="9"/>
  <c r="AC1001" i="9"/>
  <c r="AB1001" i="9"/>
  <c r="U1001" i="9" s="1"/>
  <c r="AA1001" i="9"/>
  <c r="Z1001" i="9"/>
  <c r="Y1001" i="9"/>
  <c r="V1001" i="9"/>
  <c r="AF1000" i="9"/>
  <c r="AE1000" i="9"/>
  <c r="AD1000" i="9"/>
  <c r="AC1000" i="9"/>
  <c r="AB1000" i="9"/>
  <c r="AA1000" i="9"/>
  <c r="T1000" i="9" s="1"/>
  <c r="Z1000" i="9"/>
  <c r="Y1000" i="9"/>
  <c r="V1000" i="9"/>
  <c r="AF999" i="9"/>
  <c r="AE999" i="9"/>
  <c r="AD999" i="9"/>
  <c r="AC999" i="9"/>
  <c r="AB999" i="9"/>
  <c r="U999" i="9" s="1"/>
  <c r="AA999" i="9"/>
  <c r="Z999" i="9"/>
  <c r="Y999" i="9"/>
  <c r="AF998" i="9"/>
  <c r="AE998" i="9"/>
  <c r="V998" i="9" s="1"/>
  <c r="AD998" i="9"/>
  <c r="AC998" i="9"/>
  <c r="AB998" i="9"/>
  <c r="U998" i="9" s="1"/>
  <c r="AA998" i="9"/>
  <c r="Z998" i="9"/>
  <c r="Y998" i="9"/>
  <c r="T998" i="9"/>
  <c r="AF997" i="9"/>
  <c r="V997" i="9" s="1"/>
  <c r="AE997" i="9"/>
  <c r="AD997" i="9"/>
  <c r="AC997" i="9"/>
  <c r="AB997" i="9"/>
  <c r="AA997" i="9"/>
  <c r="Z997" i="9"/>
  <c r="Y997" i="9"/>
  <c r="AF996" i="9"/>
  <c r="AE996" i="9"/>
  <c r="V996" i="9" s="1"/>
  <c r="AD996" i="9"/>
  <c r="AC996" i="9"/>
  <c r="AB996" i="9"/>
  <c r="AA996" i="9"/>
  <c r="Z996" i="9"/>
  <c r="Y996" i="9"/>
  <c r="AF995" i="9"/>
  <c r="AE995" i="9"/>
  <c r="V995" i="9" s="1"/>
  <c r="AD995" i="9"/>
  <c r="AC995" i="9"/>
  <c r="AB995" i="9"/>
  <c r="AA995" i="9"/>
  <c r="Z995" i="9"/>
  <c r="Y995" i="9"/>
  <c r="T995" i="9" s="1"/>
  <c r="AF994" i="9"/>
  <c r="AE994" i="9"/>
  <c r="V994" i="9" s="1"/>
  <c r="AD994" i="9"/>
  <c r="AC994" i="9"/>
  <c r="AB994" i="9"/>
  <c r="AA994" i="9"/>
  <c r="T994" i="9" s="1"/>
  <c r="Z994" i="9"/>
  <c r="Y994" i="9"/>
  <c r="AF993" i="9"/>
  <c r="AE993" i="9"/>
  <c r="V993" i="9" s="1"/>
  <c r="AD993" i="9"/>
  <c r="AC993" i="9"/>
  <c r="AB993" i="9"/>
  <c r="AA993" i="9"/>
  <c r="Z993" i="9"/>
  <c r="Y993" i="9"/>
  <c r="AF992" i="9"/>
  <c r="AE992" i="9"/>
  <c r="AD992" i="9"/>
  <c r="AC992" i="9"/>
  <c r="AB992" i="9"/>
  <c r="AA992" i="9"/>
  <c r="Z992" i="9"/>
  <c r="Y992" i="9"/>
  <c r="T992" i="9" s="1"/>
  <c r="V992" i="9"/>
  <c r="AF991" i="9"/>
  <c r="AE991" i="9"/>
  <c r="AD991" i="9"/>
  <c r="AC991" i="9"/>
  <c r="AB991" i="9"/>
  <c r="U991" i="9" s="1"/>
  <c r="AA991" i="9"/>
  <c r="Z991" i="9"/>
  <c r="Y991" i="9"/>
  <c r="AF990" i="9"/>
  <c r="AE990" i="9"/>
  <c r="V990" i="9" s="1"/>
  <c r="AD990" i="9"/>
  <c r="AC990" i="9"/>
  <c r="AB990" i="9"/>
  <c r="U990" i="9" s="1"/>
  <c r="AA990" i="9"/>
  <c r="T990" i="9" s="1"/>
  <c r="Z990" i="9"/>
  <c r="Y990" i="9"/>
  <c r="AF989" i="9"/>
  <c r="AE989" i="9"/>
  <c r="AD989" i="9"/>
  <c r="AC989" i="9"/>
  <c r="AB989" i="9"/>
  <c r="U989" i="9" s="1"/>
  <c r="AA989" i="9"/>
  <c r="Z989" i="9"/>
  <c r="Y989" i="9"/>
  <c r="V989" i="9"/>
  <c r="AF988" i="9"/>
  <c r="AE988" i="9"/>
  <c r="V988" i="9" s="1"/>
  <c r="AD988" i="9"/>
  <c r="AC988" i="9"/>
  <c r="AB988" i="9"/>
  <c r="U988" i="9" s="1"/>
  <c r="AA988" i="9"/>
  <c r="T988" i="9" s="1"/>
  <c r="Z988" i="9"/>
  <c r="Y988" i="9"/>
  <c r="AF987" i="9"/>
  <c r="AE987" i="9"/>
  <c r="V987" i="9" s="1"/>
  <c r="AD987" i="9"/>
  <c r="AC987" i="9"/>
  <c r="AB987" i="9"/>
  <c r="AA987" i="9"/>
  <c r="Z987" i="9"/>
  <c r="Y987" i="9"/>
  <c r="AF986" i="9"/>
  <c r="AE986" i="9"/>
  <c r="V986" i="9" s="1"/>
  <c r="AD986" i="9"/>
  <c r="AC986" i="9"/>
  <c r="AB986" i="9"/>
  <c r="U986" i="9" s="1"/>
  <c r="AA986" i="9"/>
  <c r="Z986" i="9"/>
  <c r="Y986" i="9"/>
  <c r="T986" i="9" s="1"/>
  <c r="AF985" i="9"/>
  <c r="V985" i="9" s="1"/>
  <c r="AE985" i="9"/>
  <c r="AD985" i="9"/>
  <c r="AC985" i="9"/>
  <c r="AB985" i="9"/>
  <c r="AA985" i="9"/>
  <c r="Z985" i="9"/>
  <c r="Y985" i="9"/>
  <c r="AF984" i="9"/>
  <c r="AE984" i="9"/>
  <c r="V984" i="9" s="1"/>
  <c r="AD984" i="9"/>
  <c r="AC984" i="9"/>
  <c r="AB984" i="9"/>
  <c r="U984" i="9" s="1"/>
  <c r="AA984" i="9"/>
  <c r="Z984" i="9"/>
  <c r="Y984" i="9"/>
  <c r="T984" i="9" s="1"/>
  <c r="AF983" i="9"/>
  <c r="AE983" i="9"/>
  <c r="AD983" i="9"/>
  <c r="AC983" i="9"/>
  <c r="AB983" i="9"/>
  <c r="AA983" i="9"/>
  <c r="Z983" i="9"/>
  <c r="Y983" i="9"/>
  <c r="AF982" i="9"/>
  <c r="AE982" i="9"/>
  <c r="V982" i="9" s="1"/>
  <c r="AD982" i="9"/>
  <c r="AC982" i="9"/>
  <c r="AB982" i="9"/>
  <c r="U982" i="9" s="1"/>
  <c r="AA982" i="9"/>
  <c r="Z982" i="9"/>
  <c r="Y982" i="9"/>
  <c r="T982" i="9" s="1"/>
  <c r="AF981" i="9"/>
  <c r="AE981" i="9"/>
  <c r="V981" i="9" s="1"/>
  <c r="AD981" i="9"/>
  <c r="AC981" i="9"/>
  <c r="AB981" i="9"/>
  <c r="AA981" i="9"/>
  <c r="Z981" i="9"/>
  <c r="Y981" i="9"/>
  <c r="AF980" i="9"/>
  <c r="AE980" i="9"/>
  <c r="AD980" i="9"/>
  <c r="AC980" i="9"/>
  <c r="AB980" i="9"/>
  <c r="AA980" i="9"/>
  <c r="Z980" i="9"/>
  <c r="Y980" i="9"/>
  <c r="V980" i="9"/>
  <c r="T980" i="9"/>
  <c r="AF979" i="9"/>
  <c r="AE979" i="9"/>
  <c r="AD979" i="9"/>
  <c r="AC979" i="9"/>
  <c r="AB979" i="9"/>
  <c r="AA979" i="9"/>
  <c r="Z979" i="9"/>
  <c r="Y979" i="9"/>
  <c r="T979" i="9" s="1"/>
  <c r="AF978" i="9"/>
  <c r="AE978" i="9"/>
  <c r="V978" i="9" s="1"/>
  <c r="AD978" i="9"/>
  <c r="AC978" i="9"/>
  <c r="AB978" i="9"/>
  <c r="AA978" i="9"/>
  <c r="Z978" i="9"/>
  <c r="Y978" i="9"/>
  <c r="AF977" i="9"/>
  <c r="AE977" i="9"/>
  <c r="V977" i="9" s="1"/>
  <c r="AD977" i="9"/>
  <c r="AC977" i="9"/>
  <c r="AB977" i="9"/>
  <c r="AA977" i="9"/>
  <c r="Z977" i="9"/>
  <c r="Y977" i="9"/>
  <c r="AF976" i="9"/>
  <c r="V976" i="9" s="1"/>
  <c r="AE976" i="9"/>
  <c r="AD976" i="9"/>
  <c r="AC976" i="9"/>
  <c r="AB976" i="9"/>
  <c r="AA976" i="9"/>
  <c r="Z976" i="9"/>
  <c r="T976" i="9" s="1"/>
  <c r="Y976" i="9"/>
  <c r="AF975" i="9"/>
  <c r="AE975" i="9"/>
  <c r="AD975" i="9"/>
  <c r="AC975" i="9"/>
  <c r="AB975" i="9"/>
  <c r="AA975" i="9"/>
  <c r="Z975" i="9"/>
  <c r="Y975" i="9"/>
  <c r="AF974" i="9"/>
  <c r="AE974" i="9"/>
  <c r="AD974" i="9"/>
  <c r="AC974" i="9"/>
  <c r="AB974" i="9"/>
  <c r="AA974" i="9"/>
  <c r="Z974" i="9"/>
  <c r="T974" i="9" s="1"/>
  <c r="Y974" i="9"/>
  <c r="AF973" i="9"/>
  <c r="AE973" i="9"/>
  <c r="AD973" i="9"/>
  <c r="AC973" i="9"/>
  <c r="AB973" i="9"/>
  <c r="AA973" i="9"/>
  <c r="T973" i="9" s="1"/>
  <c r="Z973" i="9"/>
  <c r="Y973" i="9"/>
  <c r="V973" i="9"/>
  <c r="AF972" i="9"/>
  <c r="AE972" i="9"/>
  <c r="V972" i="9" s="1"/>
  <c r="AD972" i="9"/>
  <c r="AC972" i="9"/>
  <c r="AB972" i="9"/>
  <c r="AA972" i="9"/>
  <c r="T972" i="9" s="1"/>
  <c r="Z972" i="9"/>
  <c r="Y972" i="9"/>
  <c r="AF971" i="9"/>
  <c r="AE971" i="9"/>
  <c r="AD971" i="9"/>
  <c r="AC971" i="9"/>
  <c r="AB971" i="9"/>
  <c r="AA971" i="9"/>
  <c r="Z971" i="9"/>
  <c r="Y971" i="9"/>
  <c r="AF970" i="9"/>
  <c r="AE970" i="9"/>
  <c r="V970" i="9" s="1"/>
  <c r="AD970" i="9"/>
  <c r="AC970" i="9"/>
  <c r="AB970" i="9"/>
  <c r="U970" i="9" s="1"/>
  <c r="AA970" i="9"/>
  <c r="Z970" i="9"/>
  <c r="Y970" i="9"/>
  <c r="AF969" i="9"/>
  <c r="AE969" i="9"/>
  <c r="V969" i="9" s="1"/>
  <c r="AD969" i="9"/>
  <c r="AC969" i="9"/>
  <c r="AB969" i="9"/>
  <c r="AA969" i="9"/>
  <c r="Z969" i="9"/>
  <c r="Y969" i="9"/>
  <c r="AF968" i="9"/>
  <c r="AE968" i="9"/>
  <c r="AD968" i="9"/>
  <c r="AC968" i="9"/>
  <c r="AB968" i="9"/>
  <c r="AA968" i="9"/>
  <c r="Z968" i="9"/>
  <c r="T968" i="9" s="1"/>
  <c r="Y968" i="9"/>
  <c r="V968" i="9"/>
  <c r="AF967" i="9"/>
  <c r="AE967" i="9"/>
  <c r="AD967" i="9"/>
  <c r="AC967" i="9"/>
  <c r="AB967" i="9"/>
  <c r="AA967" i="9"/>
  <c r="Z967" i="9"/>
  <c r="Y967" i="9"/>
  <c r="AF966" i="9"/>
  <c r="AE966" i="9"/>
  <c r="AD966" i="9"/>
  <c r="AC966" i="9"/>
  <c r="AB966" i="9"/>
  <c r="AA966" i="9"/>
  <c r="Z966" i="9"/>
  <c r="T966" i="9" s="1"/>
  <c r="Y966" i="9"/>
  <c r="AF965" i="9"/>
  <c r="AE965" i="9"/>
  <c r="V965" i="9" s="1"/>
  <c r="AD965" i="9"/>
  <c r="AC965" i="9"/>
  <c r="AB965" i="9"/>
  <c r="AA965" i="9"/>
  <c r="T965" i="9" s="1"/>
  <c r="Z965" i="9"/>
  <c r="Y965" i="9"/>
  <c r="AF964" i="9"/>
  <c r="AE964" i="9"/>
  <c r="AD964" i="9"/>
  <c r="AC964" i="9"/>
  <c r="AB964" i="9"/>
  <c r="AA964" i="9"/>
  <c r="Z964" i="9"/>
  <c r="Y964" i="9"/>
  <c r="V964" i="9"/>
  <c r="T964" i="9"/>
  <c r="AF963" i="9"/>
  <c r="AE963" i="9"/>
  <c r="AD963" i="9"/>
  <c r="AC963" i="9"/>
  <c r="AB963" i="9"/>
  <c r="U963" i="9" s="1"/>
  <c r="AA963" i="9"/>
  <c r="Z963" i="9"/>
  <c r="Y963" i="9"/>
  <c r="AF962" i="9"/>
  <c r="AE962" i="9"/>
  <c r="AD962" i="9"/>
  <c r="AC962" i="9"/>
  <c r="AB962" i="9"/>
  <c r="AA962" i="9"/>
  <c r="Z962" i="9"/>
  <c r="Y962" i="9"/>
  <c r="T962" i="9"/>
  <c r="AF961" i="9"/>
  <c r="AE961" i="9"/>
  <c r="V961" i="9" s="1"/>
  <c r="AD961" i="9"/>
  <c r="AC961" i="9"/>
  <c r="AB961" i="9"/>
  <c r="AA961" i="9"/>
  <c r="Z961" i="9"/>
  <c r="Y961" i="9"/>
  <c r="AF960" i="9"/>
  <c r="V960" i="9" s="1"/>
  <c r="AE960" i="9"/>
  <c r="AD960" i="9"/>
  <c r="AC960" i="9"/>
  <c r="AB960" i="9"/>
  <c r="AA960" i="9"/>
  <c r="Z960" i="9"/>
  <c r="Y960" i="9"/>
  <c r="T960" i="9" s="1"/>
  <c r="AF959" i="9"/>
  <c r="AE959" i="9"/>
  <c r="AD959" i="9"/>
  <c r="AC959" i="9"/>
  <c r="AB959" i="9"/>
  <c r="U959" i="9" s="1"/>
  <c r="AA959" i="9"/>
  <c r="Z959" i="9"/>
  <c r="Y959" i="9"/>
  <c r="AF958" i="9"/>
  <c r="AE958" i="9"/>
  <c r="AD958" i="9"/>
  <c r="AC958" i="9"/>
  <c r="AB958" i="9"/>
  <c r="AA958" i="9"/>
  <c r="Z958" i="9"/>
  <c r="T958" i="9" s="1"/>
  <c r="Y958" i="9"/>
  <c r="AF957" i="9"/>
  <c r="AE957" i="9"/>
  <c r="V957" i="9" s="1"/>
  <c r="AD957" i="9"/>
  <c r="AC957" i="9"/>
  <c r="AB957" i="9"/>
  <c r="AA957" i="9"/>
  <c r="T957" i="9" s="1"/>
  <c r="Z957" i="9"/>
  <c r="Y957" i="9"/>
  <c r="AF956" i="9"/>
  <c r="AE956" i="9"/>
  <c r="V956" i="9" s="1"/>
  <c r="AD956" i="9"/>
  <c r="AC956" i="9"/>
  <c r="AB956" i="9"/>
  <c r="AA956" i="9"/>
  <c r="Z956" i="9"/>
  <c r="Y956" i="9"/>
  <c r="T956" i="9" s="1"/>
  <c r="AF955" i="9"/>
  <c r="AE955" i="9"/>
  <c r="AD955" i="9"/>
  <c r="AC955" i="9"/>
  <c r="AB955" i="9"/>
  <c r="U955" i="9" s="1"/>
  <c r="AA955" i="9"/>
  <c r="Z955" i="9"/>
  <c r="Y955" i="9"/>
  <c r="T955" i="9" s="1"/>
  <c r="AF954" i="9"/>
  <c r="AE954" i="9"/>
  <c r="AD954" i="9"/>
  <c r="AC954" i="9"/>
  <c r="AB954" i="9"/>
  <c r="U954" i="9" s="1"/>
  <c r="AA954" i="9"/>
  <c r="T954" i="9" s="1"/>
  <c r="Z954" i="9"/>
  <c r="Y954" i="9"/>
  <c r="AF953" i="9"/>
  <c r="AE953" i="9"/>
  <c r="V953" i="9" s="1"/>
  <c r="AD953" i="9"/>
  <c r="AC953" i="9"/>
  <c r="AB953" i="9"/>
  <c r="AA953" i="9"/>
  <c r="Z953" i="9"/>
  <c r="Y953" i="9"/>
  <c r="AF952" i="9"/>
  <c r="AE952" i="9"/>
  <c r="AD952" i="9"/>
  <c r="AC952" i="9"/>
  <c r="AB952" i="9"/>
  <c r="AA952" i="9"/>
  <c r="Z952" i="9"/>
  <c r="Y952" i="9"/>
  <c r="T952" i="9" s="1"/>
  <c r="V952" i="9"/>
  <c r="AF951" i="9"/>
  <c r="AE951" i="9"/>
  <c r="AD951" i="9"/>
  <c r="AC951" i="9"/>
  <c r="AB951" i="9"/>
  <c r="U951" i="9" s="1"/>
  <c r="AA951" i="9"/>
  <c r="Z951" i="9"/>
  <c r="Y951" i="9"/>
  <c r="AF950" i="9"/>
  <c r="AE950" i="9"/>
  <c r="AD950" i="9"/>
  <c r="AC950" i="9"/>
  <c r="AB950" i="9"/>
  <c r="AA950" i="9"/>
  <c r="Z950" i="9"/>
  <c r="Y950" i="9"/>
  <c r="T950" i="9" s="1"/>
  <c r="AF949" i="9"/>
  <c r="AE949" i="9"/>
  <c r="V949" i="9" s="1"/>
  <c r="AD949" i="9"/>
  <c r="AC949" i="9"/>
  <c r="AB949" i="9"/>
  <c r="AA949" i="9"/>
  <c r="T949" i="9" s="1"/>
  <c r="Z949" i="9"/>
  <c r="Y949" i="9"/>
  <c r="AF948" i="9"/>
  <c r="AE948" i="9"/>
  <c r="AD948" i="9"/>
  <c r="AC948" i="9"/>
  <c r="AB948" i="9"/>
  <c r="AA948" i="9"/>
  <c r="Z948" i="9"/>
  <c r="Y948" i="9"/>
  <c r="V948" i="9"/>
  <c r="AF947" i="9"/>
  <c r="AE947" i="9"/>
  <c r="AD947" i="9"/>
  <c r="AC947" i="9"/>
  <c r="AB947" i="9"/>
  <c r="AA947" i="9"/>
  <c r="Z947" i="9"/>
  <c r="Y947" i="9"/>
  <c r="AF946" i="9"/>
  <c r="AE946" i="9"/>
  <c r="AD946" i="9"/>
  <c r="AC946" i="9"/>
  <c r="AB946" i="9"/>
  <c r="AA946" i="9"/>
  <c r="Z946" i="9"/>
  <c r="Y946" i="9"/>
  <c r="AF945" i="9"/>
  <c r="AE945" i="9"/>
  <c r="AD945" i="9"/>
  <c r="AC945" i="9"/>
  <c r="AB945" i="9"/>
  <c r="AA945" i="9"/>
  <c r="T945" i="9" s="1"/>
  <c r="Z945" i="9"/>
  <c r="Y945" i="9"/>
  <c r="AF944" i="9"/>
  <c r="AE944" i="9"/>
  <c r="AD944" i="9"/>
  <c r="AC944" i="9"/>
  <c r="AB944" i="9"/>
  <c r="AA944" i="9"/>
  <c r="Z944" i="9"/>
  <c r="Y944" i="9"/>
  <c r="V944" i="9"/>
  <c r="AF943" i="9"/>
  <c r="AE943" i="9"/>
  <c r="V943" i="9" s="1"/>
  <c r="AD943" i="9"/>
  <c r="AC943" i="9"/>
  <c r="AB943" i="9"/>
  <c r="AA943" i="9"/>
  <c r="Z943" i="9"/>
  <c r="Y943" i="9"/>
  <c r="T943" i="9" s="1"/>
  <c r="AF942" i="9"/>
  <c r="AE942" i="9"/>
  <c r="AD942" i="9"/>
  <c r="AC942" i="9"/>
  <c r="AB942" i="9"/>
  <c r="AA942" i="9"/>
  <c r="Z942" i="9"/>
  <c r="Y942" i="9"/>
  <c r="T942" i="9" s="1"/>
  <c r="AF941" i="9"/>
  <c r="V941" i="9" s="1"/>
  <c r="AE941" i="9"/>
  <c r="AD941" i="9"/>
  <c r="AC941" i="9"/>
  <c r="AB941" i="9"/>
  <c r="AA941" i="9"/>
  <c r="Z941" i="9"/>
  <c r="Y941" i="9"/>
  <c r="AF940" i="9"/>
  <c r="AE940" i="9"/>
  <c r="AD940" i="9"/>
  <c r="AC940" i="9"/>
  <c r="AB940" i="9"/>
  <c r="AA940" i="9"/>
  <c r="T940" i="9" s="1"/>
  <c r="Z940" i="9"/>
  <c r="Y940" i="9"/>
  <c r="V940" i="9"/>
  <c r="AF939" i="9"/>
  <c r="AE939" i="9"/>
  <c r="AD939" i="9"/>
  <c r="AC939" i="9"/>
  <c r="AB939" i="9"/>
  <c r="U939" i="9" s="1"/>
  <c r="AA939" i="9"/>
  <c r="Z939" i="9"/>
  <c r="Y939" i="9"/>
  <c r="AF938" i="9"/>
  <c r="AE938" i="9"/>
  <c r="V938" i="9" s="1"/>
  <c r="AD938" i="9"/>
  <c r="AC938" i="9"/>
  <c r="AB938" i="9"/>
  <c r="AA938" i="9"/>
  <c r="Z938" i="9"/>
  <c r="Y938" i="9"/>
  <c r="T938" i="9" s="1"/>
  <c r="AF937" i="9"/>
  <c r="V937" i="9" s="1"/>
  <c r="AE937" i="9"/>
  <c r="AD937" i="9"/>
  <c r="AC937" i="9"/>
  <c r="AB937" i="9"/>
  <c r="AA937" i="9"/>
  <c r="T937" i="9" s="1"/>
  <c r="Z937" i="9"/>
  <c r="Y937" i="9"/>
  <c r="AF936" i="9"/>
  <c r="AE936" i="9"/>
  <c r="V936" i="9" s="1"/>
  <c r="AD936" i="9"/>
  <c r="AC936" i="9"/>
  <c r="U936" i="9" s="1"/>
  <c r="AB936" i="9"/>
  <c r="AA936" i="9"/>
  <c r="Z936" i="9"/>
  <c r="Y936" i="9"/>
  <c r="AF935" i="9"/>
  <c r="AE935" i="9"/>
  <c r="V935" i="9" s="1"/>
  <c r="AD935" i="9"/>
  <c r="AC935" i="9"/>
  <c r="AB935" i="9"/>
  <c r="AA935" i="9"/>
  <c r="Z935" i="9"/>
  <c r="Y935" i="9"/>
  <c r="T935" i="9" s="1"/>
  <c r="AF934" i="9"/>
  <c r="AE934" i="9"/>
  <c r="AD934" i="9"/>
  <c r="AC934" i="9"/>
  <c r="AB934" i="9"/>
  <c r="AA934" i="9"/>
  <c r="Z934" i="9"/>
  <c r="Y934" i="9"/>
  <c r="AF933" i="9"/>
  <c r="AE933" i="9"/>
  <c r="AD933" i="9"/>
  <c r="AC933" i="9"/>
  <c r="AB933" i="9"/>
  <c r="AA933" i="9"/>
  <c r="Z933" i="9"/>
  <c r="Y933" i="9"/>
  <c r="T933" i="9" s="1"/>
  <c r="V933" i="9"/>
  <c r="AF932" i="9"/>
  <c r="V932" i="9" s="1"/>
  <c r="AE932" i="9"/>
  <c r="AD932" i="9"/>
  <c r="AC932" i="9"/>
  <c r="AB932" i="9"/>
  <c r="AA932" i="9"/>
  <c r="Z932" i="9"/>
  <c r="Y932" i="9"/>
  <c r="AF931" i="9"/>
  <c r="AE931" i="9"/>
  <c r="AD931" i="9"/>
  <c r="AC931" i="9"/>
  <c r="AB931" i="9"/>
  <c r="AA931" i="9"/>
  <c r="Z931" i="9"/>
  <c r="Y931" i="9"/>
  <c r="AF930" i="9"/>
  <c r="AE930" i="9"/>
  <c r="AD930" i="9"/>
  <c r="AC930" i="9"/>
  <c r="AB930" i="9"/>
  <c r="AA930" i="9"/>
  <c r="Z930" i="9"/>
  <c r="Y930" i="9"/>
  <c r="T930" i="9" s="1"/>
  <c r="AF929" i="9"/>
  <c r="AE929" i="9"/>
  <c r="V929" i="9" s="1"/>
  <c r="AD929" i="9"/>
  <c r="AC929" i="9"/>
  <c r="AB929" i="9"/>
  <c r="AA929" i="9"/>
  <c r="Z929" i="9"/>
  <c r="Y929" i="9"/>
  <c r="AF928" i="9"/>
  <c r="V928" i="9" s="1"/>
  <c r="AE928" i="9"/>
  <c r="AD928" i="9"/>
  <c r="AC928" i="9"/>
  <c r="AB928" i="9"/>
  <c r="AA928" i="9"/>
  <c r="T928" i="9" s="1"/>
  <c r="Z928" i="9"/>
  <c r="Y928" i="9"/>
  <c r="AF927" i="9"/>
  <c r="AE927" i="9"/>
  <c r="V927" i="9" s="1"/>
  <c r="AD927" i="9"/>
  <c r="AC927" i="9"/>
  <c r="AB927" i="9"/>
  <c r="AA927" i="9"/>
  <c r="Z927" i="9"/>
  <c r="Y927" i="9"/>
  <c r="AF926" i="9"/>
  <c r="AE926" i="9"/>
  <c r="V926" i="9" s="1"/>
  <c r="AD926" i="9"/>
  <c r="AC926" i="9"/>
  <c r="AB926" i="9"/>
  <c r="AA926" i="9"/>
  <c r="Z926" i="9"/>
  <c r="Y926" i="9"/>
  <c r="AF925" i="9"/>
  <c r="AE925" i="9"/>
  <c r="V925" i="9" s="1"/>
  <c r="AD925" i="9"/>
  <c r="AC925" i="9"/>
  <c r="AB925" i="9"/>
  <c r="AA925" i="9"/>
  <c r="Z925" i="9"/>
  <c r="Y925" i="9"/>
  <c r="AF924" i="9"/>
  <c r="AE924" i="9"/>
  <c r="AD924" i="9"/>
  <c r="AC924" i="9"/>
  <c r="AB924" i="9"/>
  <c r="AA924" i="9"/>
  <c r="Z924" i="9"/>
  <c r="Y924" i="9"/>
  <c r="V924" i="9"/>
  <c r="AF923" i="9"/>
  <c r="AE923" i="9"/>
  <c r="AD923" i="9"/>
  <c r="AC923" i="9"/>
  <c r="AB923" i="9"/>
  <c r="U923" i="9" s="1"/>
  <c r="AA923" i="9"/>
  <c r="Z923" i="9"/>
  <c r="Y923" i="9"/>
  <c r="AF922" i="9"/>
  <c r="AE922" i="9"/>
  <c r="AD922" i="9"/>
  <c r="AC922" i="9"/>
  <c r="AB922" i="9"/>
  <c r="AA922" i="9"/>
  <c r="Z922" i="9"/>
  <c r="Y922" i="9"/>
  <c r="AF921" i="9"/>
  <c r="AE921" i="9"/>
  <c r="AD921" i="9"/>
  <c r="AC921" i="9"/>
  <c r="AB921" i="9"/>
  <c r="U921" i="9" s="1"/>
  <c r="AA921" i="9"/>
  <c r="Z921" i="9"/>
  <c r="Y921" i="9"/>
  <c r="T921" i="9" s="1"/>
  <c r="AF920" i="9"/>
  <c r="V920" i="9" s="1"/>
  <c r="AE920" i="9"/>
  <c r="AD920" i="9"/>
  <c r="AC920" i="9"/>
  <c r="AB920" i="9"/>
  <c r="AA920" i="9"/>
  <c r="T920" i="9" s="1"/>
  <c r="Z920" i="9"/>
  <c r="Y920" i="9"/>
  <c r="AF919" i="9"/>
  <c r="AE919" i="9"/>
  <c r="AD919" i="9"/>
  <c r="AC919" i="9"/>
  <c r="AB919" i="9"/>
  <c r="AA919" i="9"/>
  <c r="Z919" i="9"/>
  <c r="Y919" i="9"/>
  <c r="T919" i="9" s="1"/>
  <c r="AF918" i="9"/>
  <c r="AE918" i="9"/>
  <c r="V918" i="9" s="1"/>
  <c r="AD918" i="9"/>
  <c r="AC918" i="9"/>
  <c r="AB918" i="9"/>
  <c r="AA918" i="9"/>
  <c r="T918" i="9" s="1"/>
  <c r="Z918" i="9"/>
  <c r="Y918" i="9"/>
  <c r="AF917" i="9"/>
  <c r="AE917" i="9"/>
  <c r="V917" i="9" s="1"/>
  <c r="AD917" i="9"/>
  <c r="AC917" i="9"/>
  <c r="AB917" i="9"/>
  <c r="U917" i="9" s="1"/>
  <c r="AA917" i="9"/>
  <c r="Z917" i="9"/>
  <c r="Y917" i="9"/>
  <c r="T917" i="9" s="1"/>
  <c r="AF916" i="9"/>
  <c r="AE916" i="9"/>
  <c r="V916" i="9" s="1"/>
  <c r="AD916" i="9"/>
  <c r="AC916" i="9"/>
  <c r="AB916" i="9"/>
  <c r="AA916" i="9"/>
  <c r="T916" i="9" s="1"/>
  <c r="Z916" i="9"/>
  <c r="Y916" i="9"/>
  <c r="AF915" i="9"/>
  <c r="AE915" i="9"/>
  <c r="V915" i="9" s="1"/>
  <c r="AD915" i="9"/>
  <c r="AC915" i="9"/>
  <c r="AB915" i="9"/>
  <c r="AA915" i="9"/>
  <c r="Z915" i="9"/>
  <c r="Y915" i="9"/>
  <c r="T915" i="9" s="1"/>
  <c r="AF914" i="9"/>
  <c r="AE914" i="9"/>
  <c r="AD914" i="9"/>
  <c r="AC914" i="9"/>
  <c r="AB914" i="9"/>
  <c r="U914" i="9" s="1"/>
  <c r="AA914" i="9"/>
  <c r="Z914" i="9"/>
  <c r="Y914" i="9"/>
  <c r="AF913" i="9"/>
  <c r="AE913" i="9"/>
  <c r="AD913" i="9"/>
  <c r="AC913" i="9"/>
  <c r="AB913" i="9"/>
  <c r="AA913" i="9"/>
  <c r="Z913" i="9"/>
  <c r="Y913" i="9"/>
  <c r="V913" i="9"/>
  <c r="T913" i="9"/>
  <c r="AF912" i="9"/>
  <c r="AE912" i="9"/>
  <c r="V912" i="9" s="1"/>
  <c r="AD912" i="9"/>
  <c r="AC912" i="9"/>
  <c r="AB912" i="9"/>
  <c r="AA912" i="9"/>
  <c r="T912" i="9" s="1"/>
  <c r="Z912" i="9"/>
  <c r="Y912" i="9"/>
  <c r="AF911" i="9"/>
  <c r="AE911" i="9"/>
  <c r="V911" i="9" s="1"/>
  <c r="AD911" i="9"/>
  <c r="AC911" i="9"/>
  <c r="AB911" i="9"/>
  <c r="AA911" i="9"/>
  <c r="Z911" i="9"/>
  <c r="Y911" i="9"/>
  <c r="T911" i="9" s="1"/>
  <c r="AF910" i="9"/>
  <c r="AE910" i="9"/>
  <c r="V910" i="9" s="1"/>
  <c r="AD910" i="9"/>
  <c r="AC910" i="9"/>
  <c r="AB910" i="9"/>
  <c r="AA910" i="9"/>
  <c r="Z910" i="9"/>
  <c r="Y910" i="9"/>
  <c r="T910" i="9" s="1"/>
  <c r="AF909" i="9"/>
  <c r="AE909" i="9"/>
  <c r="V909" i="9" s="1"/>
  <c r="AD909" i="9"/>
  <c r="AC909" i="9"/>
  <c r="AB909" i="9"/>
  <c r="U909" i="9" s="1"/>
  <c r="AA909" i="9"/>
  <c r="Z909" i="9"/>
  <c r="Y909" i="9"/>
  <c r="T909" i="9" s="1"/>
  <c r="AF908" i="9"/>
  <c r="AE908" i="9"/>
  <c r="V908" i="9" s="1"/>
  <c r="AD908" i="9"/>
  <c r="AC908" i="9"/>
  <c r="AB908" i="9"/>
  <c r="AA908" i="9"/>
  <c r="Z908" i="9"/>
  <c r="Y908" i="9"/>
  <c r="AF907" i="9"/>
  <c r="AE907" i="9"/>
  <c r="V907" i="9" s="1"/>
  <c r="AD907" i="9"/>
  <c r="AC907" i="9"/>
  <c r="AB907" i="9"/>
  <c r="AA907" i="9"/>
  <c r="Z907" i="9"/>
  <c r="Y907" i="9"/>
  <c r="AF906" i="9"/>
  <c r="AE906" i="9"/>
  <c r="AD906" i="9"/>
  <c r="AC906" i="9"/>
  <c r="AB906" i="9"/>
  <c r="U906" i="9" s="1"/>
  <c r="AA906" i="9"/>
  <c r="Z906" i="9"/>
  <c r="Y906" i="9"/>
  <c r="AF905" i="9"/>
  <c r="AE905" i="9"/>
  <c r="V905" i="9" s="1"/>
  <c r="AD905" i="9"/>
  <c r="AC905" i="9"/>
  <c r="AB905" i="9"/>
  <c r="U905" i="9" s="1"/>
  <c r="AA905" i="9"/>
  <c r="Z905" i="9"/>
  <c r="Y905" i="9"/>
  <c r="T905" i="9" s="1"/>
  <c r="AF904" i="9"/>
  <c r="AE904" i="9"/>
  <c r="AD904" i="9"/>
  <c r="AC904" i="9"/>
  <c r="AB904" i="9"/>
  <c r="AA904" i="9"/>
  <c r="Z904" i="9"/>
  <c r="Y904" i="9"/>
  <c r="V904" i="9"/>
  <c r="AF903" i="9"/>
  <c r="AE903" i="9"/>
  <c r="V903" i="9" s="1"/>
  <c r="AD903" i="9"/>
  <c r="AC903" i="9"/>
  <c r="AB903" i="9"/>
  <c r="AA903" i="9"/>
  <c r="Z903" i="9"/>
  <c r="Y903" i="9"/>
  <c r="AF902" i="9"/>
  <c r="AE902" i="9"/>
  <c r="V902" i="9" s="1"/>
  <c r="AD902" i="9"/>
  <c r="AC902" i="9"/>
  <c r="AB902" i="9"/>
  <c r="AA902" i="9"/>
  <c r="Z902" i="9"/>
  <c r="Y902" i="9"/>
  <c r="T902" i="9" s="1"/>
  <c r="AF901" i="9"/>
  <c r="AE901" i="9"/>
  <c r="V901" i="9" s="1"/>
  <c r="AD901" i="9"/>
  <c r="AC901" i="9"/>
  <c r="AB901" i="9"/>
  <c r="AA901" i="9"/>
  <c r="Z901" i="9"/>
  <c r="Y901" i="9"/>
  <c r="T901" i="9" s="1"/>
  <c r="AF900" i="9"/>
  <c r="AE900" i="9"/>
  <c r="V900" i="9" s="1"/>
  <c r="AD900" i="9"/>
  <c r="AC900" i="9"/>
  <c r="AB900" i="9"/>
  <c r="AA900" i="9"/>
  <c r="Z900" i="9"/>
  <c r="Y900" i="9"/>
  <c r="AF899" i="9"/>
  <c r="AE899" i="9"/>
  <c r="AD899" i="9"/>
  <c r="AC899" i="9"/>
  <c r="U899" i="9" s="1"/>
  <c r="AB899" i="9"/>
  <c r="AA899" i="9"/>
  <c r="Z899" i="9"/>
  <c r="Y899" i="9"/>
  <c r="T899" i="9" s="1"/>
  <c r="AF898" i="9"/>
  <c r="AE898" i="9"/>
  <c r="AD898" i="9"/>
  <c r="AC898" i="9"/>
  <c r="AB898" i="9"/>
  <c r="AA898" i="9"/>
  <c r="Z898" i="9"/>
  <c r="T898" i="9" s="1"/>
  <c r="Y898" i="9"/>
  <c r="AF897" i="9"/>
  <c r="AE897" i="9"/>
  <c r="V897" i="9" s="1"/>
  <c r="AD897" i="9"/>
  <c r="AC897" i="9"/>
  <c r="AB897" i="9"/>
  <c r="AA897" i="9"/>
  <c r="Z897" i="9"/>
  <c r="Y897" i="9"/>
  <c r="AF896" i="9"/>
  <c r="AE896" i="9"/>
  <c r="V896" i="9" s="1"/>
  <c r="AD896" i="9"/>
  <c r="AC896" i="9"/>
  <c r="AB896" i="9"/>
  <c r="U896" i="9" s="1"/>
  <c r="AA896" i="9"/>
  <c r="Z896" i="9"/>
  <c r="Y896" i="9"/>
  <c r="AF895" i="9"/>
  <c r="AE895" i="9"/>
  <c r="AD895" i="9"/>
  <c r="AC895" i="9"/>
  <c r="U895" i="9" s="1"/>
  <c r="AB895" i="9"/>
  <c r="AA895" i="9"/>
  <c r="Z895" i="9"/>
  <c r="Y895" i="9"/>
  <c r="AF894" i="9"/>
  <c r="AE894" i="9"/>
  <c r="V894" i="9" s="1"/>
  <c r="AD894" i="9"/>
  <c r="AC894" i="9"/>
  <c r="AB894" i="9"/>
  <c r="U894" i="9" s="1"/>
  <c r="AA894" i="9"/>
  <c r="Z894" i="9"/>
  <c r="Y894" i="9"/>
  <c r="AF893" i="9"/>
  <c r="AE893" i="9"/>
  <c r="AD893" i="9"/>
  <c r="AC893" i="9"/>
  <c r="AB893" i="9"/>
  <c r="AA893" i="9"/>
  <c r="Z893" i="9"/>
  <c r="Y893" i="9"/>
  <c r="T893" i="9" s="1"/>
  <c r="V893" i="9"/>
  <c r="AF892" i="9"/>
  <c r="AE892" i="9"/>
  <c r="AD892" i="9"/>
  <c r="AC892" i="9"/>
  <c r="AB892" i="9"/>
  <c r="AA892" i="9"/>
  <c r="T892" i="9" s="1"/>
  <c r="Z892" i="9"/>
  <c r="Y892" i="9"/>
  <c r="AF891" i="9"/>
  <c r="AE891" i="9"/>
  <c r="V891" i="9" s="1"/>
  <c r="AD891" i="9"/>
  <c r="AC891" i="9"/>
  <c r="U891" i="9" s="1"/>
  <c r="AB891" i="9"/>
  <c r="AA891" i="9"/>
  <c r="Z891" i="9"/>
  <c r="Y891" i="9"/>
  <c r="T891" i="9" s="1"/>
  <c r="AF890" i="9"/>
  <c r="AE890" i="9"/>
  <c r="AD890" i="9"/>
  <c r="AC890" i="9"/>
  <c r="AB890" i="9"/>
  <c r="AA890" i="9"/>
  <c r="T890" i="9" s="1"/>
  <c r="Z890" i="9"/>
  <c r="Y890" i="9"/>
  <c r="AF889" i="9"/>
  <c r="AE889" i="9"/>
  <c r="AD889" i="9"/>
  <c r="AC889" i="9"/>
  <c r="AB889" i="9"/>
  <c r="AA889" i="9"/>
  <c r="Z889" i="9"/>
  <c r="Y889" i="9"/>
  <c r="V889" i="9"/>
  <c r="AF888" i="9"/>
  <c r="AE888" i="9"/>
  <c r="V888" i="9" s="1"/>
  <c r="AD888" i="9"/>
  <c r="AC888" i="9"/>
  <c r="AB888" i="9"/>
  <c r="AA888" i="9"/>
  <c r="T888" i="9" s="1"/>
  <c r="Z888" i="9"/>
  <c r="Y888" i="9"/>
  <c r="AF887" i="9"/>
  <c r="AE887" i="9"/>
  <c r="AD887" i="9"/>
  <c r="AC887" i="9"/>
  <c r="AB887" i="9"/>
  <c r="AA887" i="9"/>
  <c r="Z887" i="9"/>
  <c r="Y887" i="9"/>
  <c r="AF886" i="9"/>
  <c r="V886" i="9" s="1"/>
  <c r="AE886" i="9"/>
  <c r="AD886" i="9"/>
  <c r="AC886" i="9"/>
  <c r="AB886" i="9"/>
  <c r="AA886" i="9"/>
  <c r="Z886" i="9"/>
  <c r="Y886" i="9"/>
  <c r="T886" i="9" s="1"/>
  <c r="AF885" i="9"/>
  <c r="V885" i="9" s="1"/>
  <c r="AE885" i="9"/>
  <c r="AD885" i="9"/>
  <c r="AC885" i="9"/>
  <c r="AB885" i="9"/>
  <c r="AA885" i="9"/>
  <c r="Z885" i="9"/>
  <c r="Y885" i="9"/>
  <c r="T885" i="9" s="1"/>
  <c r="AF884" i="9"/>
  <c r="AE884" i="9"/>
  <c r="V884" i="9" s="1"/>
  <c r="AD884" i="9"/>
  <c r="AC884" i="9"/>
  <c r="AB884" i="9"/>
  <c r="AA884" i="9"/>
  <c r="Z884" i="9"/>
  <c r="Y884" i="9"/>
  <c r="AF883" i="9"/>
  <c r="AE883" i="9"/>
  <c r="AD883" i="9"/>
  <c r="AC883" i="9"/>
  <c r="AB883" i="9"/>
  <c r="AA883" i="9"/>
  <c r="Z883" i="9"/>
  <c r="Y883" i="9"/>
  <c r="AF882" i="9"/>
  <c r="V882" i="9" s="1"/>
  <c r="AE882" i="9"/>
  <c r="AD882" i="9"/>
  <c r="AC882" i="9"/>
  <c r="AB882" i="9"/>
  <c r="AA882" i="9"/>
  <c r="Z882" i="9"/>
  <c r="Y882" i="9"/>
  <c r="AF881" i="9"/>
  <c r="AE881" i="9"/>
  <c r="V881" i="9" s="1"/>
  <c r="AD881" i="9"/>
  <c r="AC881" i="9"/>
  <c r="AB881" i="9"/>
  <c r="U881" i="9" s="1"/>
  <c r="AA881" i="9"/>
  <c r="Z881" i="9"/>
  <c r="Y881" i="9"/>
  <c r="T881" i="9" s="1"/>
  <c r="AF880" i="9"/>
  <c r="AE880" i="9"/>
  <c r="V880" i="9" s="1"/>
  <c r="AD880" i="9"/>
  <c r="AC880" i="9"/>
  <c r="AB880" i="9"/>
  <c r="AA880" i="9"/>
  <c r="Z880" i="9"/>
  <c r="Y880" i="9"/>
  <c r="AF879" i="9"/>
  <c r="AE879" i="9"/>
  <c r="AD879" i="9"/>
  <c r="AC879" i="9"/>
  <c r="AB879" i="9"/>
  <c r="AA879" i="9"/>
  <c r="Z879" i="9"/>
  <c r="Y879" i="9"/>
  <c r="AF878" i="9"/>
  <c r="AE878" i="9"/>
  <c r="AD878" i="9"/>
  <c r="AC878" i="9"/>
  <c r="AB878" i="9"/>
  <c r="AA878" i="9"/>
  <c r="Z878" i="9"/>
  <c r="Y878" i="9"/>
  <c r="T878" i="9" s="1"/>
  <c r="AF877" i="9"/>
  <c r="AE877" i="9"/>
  <c r="AD877" i="9"/>
  <c r="AC877" i="9"/>
  <c r="AB877" i="9"/>
  <c r="U877" i="9" s="1"/>
  <c r="AA877" i="9"/>
  <c r="T877" i="9" s="1"/>
  <c r="Z877" i="9"/>
  <c r="Y877" i="9"/>
  <c r="AF876" i="9"/>
  <c r="AE876" i="9"/>
  <c r="AD876" i="9"/>
  <c r="AC876" i="9"/>
  <c r="AB876" i="9"/>
  <c r="AA876" i="9"/>
  <c r="Z876" i="9"/>
  <c r="Y876" i="9"/>
  <c r="V876" i="9"/>
  <c r="AF875" i="9"/>
  <c r="AE875" i="9"/>
  <c r="V875" i="9" s="1"/>
  <c r="AD875" i="9"/>
  <c r="AC875" i="9"/>
  <c r="U875" i="9" s="1"/>
  <c r="AB875" i="9"/>
  <c r="AA875" i="9"/>
  <c r="Z875" i="9"/>
  <c r="Y875" i="9"/>
  <c r="AF874" i="9"/>
  <c r="AE874" i="9"/>
  <c r="V874" i="9" s="1"/>
  <c r="AD874" i="9"/>
  <c r="AC874" i="9"/>
  <c r="AB874" i="9"/>
  <c r="AA874" i="9"/>
  <c r="Z874" i="9"/>
  <c r="Y874" i="9"/>
  <c r="AF873" i="9"/>
  <c r="AE873" i="9"/>
  <c r="V873" i="9" s="1"/>
  <c r="AD873" i="9"/>
  <c r="AC873" i="9"/>
  <c r="AB873" i="9"/>
  <c r="AA873" i="9"/>
  <c r="Z873" i="9"/>
  <c r="Y873" i="9"/>
  <c r="T873" i="9" s="1"/>
  <c r="AF872" i="9"/>
  <c r="AE872" i="9"/>
  <c r="V872" i="9" s="1"/>
  <c r="AD872" i="9"/>
  <c r="AC872" i="9"/>
  <c r="AB872" i="9"/>
  <c r="AA872" i="9"/>
  <c r="T872" i="9" s="1"/>
  <c r="Z872" i="9"/>
  <c r="Y872" i="9"/>
  <c r="AF871" i="9"/>
  <c r="AE871" i="9"/>
  <c r="AD871" i="9"/>
  <c r="AC871" i="9"/>
  <c r="AB871" i="9"/>
  <c r="AA871" i="9"/>
  <c r="Z871" i="9"/>
  <c r="Y871" i="9"/>
  <c r="AF870" i="9"/>
  <c r="AE870" i="9"/>
  <c r="V870" i="9" s="1"/>
  <c r="AD870" i="9"/>
  <c r="AC870" i="9"/>
  <c r="AB870" i="9"/>
  <c r="AA870" i="9"/>
  <c r="T870" i="9" s="1"/>
  <c r="Z870" i="9"/>
  <c r="Y870" i="9"/>
  <c r="AF869" i="9"/>
  <c r="AE869" i="9"/>
  <c r="AD869" i="9"/>
  <c r="AC869" i="9"/>
  <c r="AB869" i="9"/>
  <c r="AA869" i="9"/>
  <c r="T869" i="9" s="1"/>
  <c r="Z869" i="9"/>
  <c r="Y869" i="9"/>
  <c r="AF868" i="9"/>
  <c r="AE868" i="9"/>
  <c r="V868" i="9" s="1"/>
  <c r="AD868" i="9"/>
  <c r="AC868" i="9"/>
  <c r="AB868" i="9"/>
  <c r="AA868" i="9"/>
  <c r="Z868" i="9"/>
  <c r="Y868" i="9"/>
  <c r="T868" i="9" s="1"/>
  <c r="AF867" i="9"/>
  <c r="AE867" i="9"/>
  <c r="AD867" i="9"/>
  <c r="AC867" i="9"/>
  <c r="AB867" i="9"/>
  <c r="AA867" i="9"/>
  <c r="Z867" i="9"/>
  <c r="Y867" i="9"/>
  <c r="T867" i="9" s="1"/>
  <c r="V867" i="9"/>
  <c r="AF866" i="9"/>
  <c r="AE866" i="9"/>
  <c r="V866" i="9" s="1"/>
  <c r="AD866" i="9"/>
  <c r="AC866" i="9"/>
  <c r="AB866" i="9"/>
  <c r="AA866" i="9"/>
  <c r="Z866" i="9"/>
  <c r="Y866" i="9"/>
  <c r="T866" i="9" s="1"/>
  <c r="AF865" i="9"/>
  <c r="AE865" i="9"/>
  <c r="V865" i="9" s="1"/>
  <c r="AD865" i="9"/>
  <c r="AC865" i="9"/>
  <c r="AB865" i="9"/>
  <c r="AA865" i="9"/>
  <c r="Z865" i="9"/>
  <c r="Y865" i="9"/>
  <c r="AF864" i="9"/>
  <c r="AE864" i="9"/>
  <c r="AD864" i="9"/>
  <c r="AC864" i="9"/>
  <c r="AB864" i="9"/>
  <c r="AA864" i="9"/>
  <c r="Z864" i="9"/>
  <c r="Y864" i="9"/>
  <c r="T864" i="9" s="1"/>
  <c r="AF863" i="9"/>
  <c r="V863" i="9" s="1"/>
  <c r="AE863" i="9"/>
  <c r="AD863" i="9"/>
  <c r="AC863" i="9"/>
  <c r="AB863" i="9"/>
  <c r="AA863" i="9"/>
  <c r="Z863" i="9"/>
  <c r="Y863" i="9"/>
  <c r="AF862" i="9"/>
  <c r="AE862" i="9"/>
  <c r="V862" i="9" s="1"/>
  <c r="AD862" i="9"/>
  <c r="AC862" i="9"/>
  <c r="AB862" i="9"/>
  <c r="AA862" i="9"/>
  <c r="Z862" i="9"/>
  <c r="Y862" i="9"/>
  <c r="T862" i="9" s="1"/>
  <c r="AF861" i="9"/>
  <c r="AE861" i="9"/>
  <c r="V861" i="9" s="1"/>
  <c r="AD861" i="9"/>
  <c r="AC861" i="9"/>
  <c r="AB861" i="9"/>
  <c r="AA861" i="9"/>
  <c r="Z861" i="9"/>
  <c r="T861" i="9" s="1"/>
  <c r="Y861" i="9"/>
  <c r="AF860" i="9"/>
  <c r="AE860" i="9"/>
  <c r="AD860" i="9"/>
  <c r="AC860" i="9"/>
  <c r="AB860" i="9"/>
  <c r="AA860" i="9"/>
  <c r="Z860" i="9"/>
  <c r="Y860" i="9"/>
  <c r="T860" i="9" s="1"/>
  <c r="AF859" i="9"/>
  <c r="AE859" i="9"/>
  <c r="V859" i="9" s="1"/>
  <c r="AD859" i="9"/>
  <c r="AC859" i="9"/>
  <c r="AB859" i="9"/>
  <c r="AA859" i="9"/>
  <c r="Z859" i="9"/>
  <c r="Y859" i="9"/>
  <c r="T859" i="9" s="1"/>
  <c r="AF858" i="9"/>
  <c r="AE858" i="9"/>
  <c r="AD858" i="9"/>
  <c r="AC858" i="9"/>
  <c r="AB858" i="9"/>
  <c r="AA858" i="9"/>
  <c r="Z858" i="9"/>
  <c r="Y858" i="9"/>
  <c r="T858" i="9" s="1"/>
  <c r="V858" i="9"/>
  <c r="AF857" i="9"/>
  <c r="AE857" i="9"/>
  <c r="AD857" i="9"/>
  <c r="AC857" i="9"/>
  <c r="AB857" i="9"/>
  <c r="U857" i="9" s="1"/>
  <c r="AA857" i="9"/>
  <c r="Z857" i="9"/>
  <c r="Y857" i="9"/>
  <c r="T857" i="9" s="1"/>
  <c r="AF856" i="9"/>
  <c r="AE856" i="9"/>
  <c r="V856" i="9" s="1"/>
  <c r="AD856" i="9"/>
  <c r="AC856" i="9"/>
  <c r="AB856" i="9"/>
  <c r="AA856" i="9"/>
  <c r="Z856" i="9"/>
  <c r="Y856" i="9"/>
  <c r="T856" i="9" s="1"/>
  <c r="AF855" i="9"/>
  <c r="AE855" i="9"/>
  <c r="V855" i="9" s="1"/>
  <c r="AD855" i="9"/>
  <c r="AC855" i="9"/>
  <c r="AB855" i="9"/>
  <c r="AA855" i="9"/>
  <c r="Z855" i="9"/>
  <c r="Y855" i="9"/>
  <c r="AF854" i="9"/>
  <c r="V854" i="9" s="1"/>
  <c r="AE854" i="9"/>
  <c r="AD854" i="9"/>
  <c r="AC854" i="9"/>
  <c r="AB854" i="9"/>
  <c r="AA854" i="9"/>
  <c r="Z854" i="9"/>
  <c r="Y854" i="9"/>
  <c r="AF853" i="9"/>
  <c r="AE853" i="9"/>
  <c r="AD853" i="9"/>
  <c r="AC853" i="9"/>
  <c r="AB853" i="9"/>
  <c r="U853" i="9" s="1"/>
  <c r="AA853" i="9"/>
  <c r="Z853" i="9"/>
  <c r="Y853" i="9"/>
  <c r="T853" i="9" s="1"/>
  <c r="AF852" i="9"/>
  <c r="AE852" i="9"/>
  <c r="V852" i="9" s="1"/>
  <c r="AD852" i="9"/>
  <c r="AC852" i="9"/>
  <c r="AB852" i="9"/>
  <c r="AA852" i="9"/>
  <c r="Z852" i="9"/>
  <c r="Y852" i="9"/>
  <c r="T852" i="9" s="1"/>
  <c r="AF851" i="9"/>
  <c r="AE851" i="9"/>
  <c r="V851" i="9" s="1"/>
  <c r="AD851" i="9"/>
  <c r="AC851" i="9"/>
  <c r="AB851" i="9"/>
  <c r="AA851" i="9"/>
  <c r="Z851" i="9"/>
  <c r="Y851" i="9"/>
  <c r="AF850" i="9"/>
  <c r="AE850" i="9"/>
  <c r="V850" i="9" s="1"/>
  <c r="AD850" i="9"/>
  <c r="AC850" i="9"/>
  <c r="AB850" i="9"/>
  <c r="U850" i="9" s="1"/>
  <c r="AA850" i="9"/>
  <c r="Z850" i="9"/>
  <c r="Y850" i="9"/>
  <c r="T850" i="9" s="1"/>
  <c r="AF849" i="9"/>
  <c r="AE849" i="9"/>
  <c r="V849" i="9" s="1"/>
  <c r="AD849" i="9"/>
  <c r="AC849" i="9"/>
  <c r="AB849" i="9"/>
  <c r="AA849" i="9"/>
  <c r="Z849" i="9"/>
  <c r="Y849" i="9"/>
  <c r="T849" i="9"/>
  <c r="AF848" i="9"/>
  <c r="AE848" i="9"/>
  <c r="AD848" i="9"/>
  <c r="AC848" i="9"/>
  <c r="AB848" i="9"/>
  <c r="AA848" i="9"/>
  <c r="Z848" i="9"/>
  <c r="Y848" i="9"/>
  <c r="AF847" i="9"/>
  <c r="AE847" i="9"/>
  <c r="AD847" i="9"/>
  <c r="AC847" i="9"/>
  <c r="AB847" i="9"/>
  <c r="AA847" i="9"/>
  <c r="Z847" i="9"/>
  <c r="Y847" i="9"/>
  <c r="T847" i="9" s="1"/>
  <c r="V847" i="9"/>
  <c r="AF846" i="9"/>
  <c r="AE846" i="9"/>
  <c r="V846" i="9" s="1"/>
  <c r="AD846" i="9"/>
  <c r="AC846" i="9"/>
  <c r="AB846" i="9"/>
  <c r="AA846" i="9"/>
  <c r="Z846" i="9"/>
  <c r="Y846" i="9"/>
  <c r="T846" i="9"/>
  <c r="AF845" i="9"/>
  <c r="AE845" i="9"/>
  <c r="AD845" i="9"/>
  <c r="AC845" i="9"/>
  <c r="AB845" i="9"/>
  <c r="U845" i="9" s="1"/>
  <c r="AA845" i="9"/>
  <c r="Z845" i="9"/>
  <c r="Y845" i="9"/>
  <c r="AF844" i="9"/>
  <c r="AE844" i="9"/>
  <c r="V844" i="9" s="1"/>
  <c r="AD844" i="9"/>
  <c r="AC844" i="9"/>
  <c r="AB844" i="9"/>
  <c r="AA844" i="9"/>
  <c r="Z844" i="9"/>
  <c r="Y844" i="9"/>
  <c r="AF843" i="9"/>
  <c r="AE843" i="9"/>
  <c r="V843" i="9" s="1"/>
  <c r="AD843" i="9"/>
  <c r="AC843" i="9"/>
  <c r="AB843" i="9"/>
  <c r="AA843" i="9"/>
  <c r="Z843" i="9"/>
  <c r="Y843" i="9"/>
  <c r="AF842" i="9"/>
  <c r="AE842" i="9"/>
  <c r="AD842" i="9"/>
  <c r="AC842" i="9"/>
  <c r="AB842" i="9"/>
  <c r="AA842" i="9"/>
  <c r="Z842" i="9"/>
  <c r="Y842" i="9"/>
  <c r="V842" i="9"/>
  <c r="AF841" i="9"/>
  <c r="AE841" i="9"/>
  <c r="V841" i="9" s="1"/>
  <c r="AD841" i="9"/>
  <c r="AC841" i="9"/>
  <c r="AB841" i="9"/>
  <c r="AA841" i="9"/>
  <c r="Z841" i="9"/>
  <c r="Y841" i="9"/>
  <c r="T841" i="9" s="1"/>
  <c r="AF840" i="9"/>
  <c r="AE840" i="9"/>
  <c r="V840" i="9" s="1"/>
  <c r="AD840" i="9"/>
  <c r="AC840" i="9"/>
  <c r="AB840" i="9"/>
  <c r="AA840" i="9"/>
  <c r="Z840" i="9"/>
  <c r="Y840" i="9"/>
  <c r="AF839" i="9"/>
  <c r="AE839" i="9"/>
  <c r="AD839" i="9"/>
  <c r="AC839" i="9"/>
  <c r="AB839" i="9"/>
  <c r="AA839" i="9"/>
  <c r="Z839" i="9"/>
  <c r="Y839" i="9"/>
  <c r="AF838" i="9"/>
  <c r="AE838" i="9"/>
  <c r="AD838" i="9"/>
  <c r="AC838" i="9"/>
  <c r="AB838" i="9"/>
  <c r="AA838" i="9"/>
  <c r="Z838" i="9"/>
  <c r="Y838" i="9"/>
  <c r="T838" i="9" s="1"/>
  <c r="V838" i="9"/>
  <c r="AF837" i="9"/>
  <c r="AE837" i="9"/>
  <c r="V837" i="9" s="1"/>
  <c r="AD837" i="9"/>
  <c r="AC837" i="9"/>
  <c r="AB837" i="9"/>
  <c r="AA837" i="9"/>
  <c r="Z837" i="9"/>
  <c r="Y837" i="9"/>
  <c r="T837" i="9" s="1"/>
  <c r="AF836" i="9"/>
  <c r="AE836" i="9"/>
  <c r="AD836" i="9"/>
  <c r="AC836" i="9"/>
  <c r="AB836" i="9"/>
  <c r="AA836" i="9"/>
  <c r="Z836" i="9"/>
  <c r="Y836" i="9"/>
  <c r="AF835" i="9"/>
  <c r="V835" i="9" s="1"/>
  <c r="AE835" i="9"/>
  <c r="AD835" i="9"/>
  <c r="AC835" i="9"/>
  <c r="AB835" i="9"/>
  <c r="AA835" i="9"/>
  <c r="Z835" i="9"/>
  <c r="Y835" i="9"/>
  <c r="T835" i="9" s="1"/>
  <c r="AF834" i="9"/>
  <c r="AE834" i="9"/>
  <c r="V834" i="9" s="1"/>
  <c r="AD834" i="9"/>
  <c r="AC834" i="9"/>
  <c r="AB834" i="9"/>
  <c r="U834" i="9" s="1"/>
  <c r="AA834" i="9"/>
  <c r="Z834" i="9"/>
  <c r="Y834" i="9"/>
  <c r="T834" i="9" s="1"/>
  <c r="AF833" i="9"/>
  <c r="AE833" i="9"/>
  <c r="AD833" i="9"/>
  <c r="AC833" i="9"/>
  <c r="AB833" i="9"/>
  <c r="AA833" i="9"/>
  <c r="Z833" i="9"/>
  <c r="Y833" i="9"/>
  <c r="T833" i="9"/>
  <c r="AF832" i="9"/>
  <c r="AE832" i="9"/>
  <c r="V832" i="9" s="1"/>
  <c r="AD832" i="9"/>
  <c r="AC832" i="9"/>
  <c r="AB832" i="9"/>
  <c r="AA832" i="9"/>
  <c r="Z832" i="9"/>
  <c r="Y832" i="9"/>
  <c r="T832" i="9" s="1"/>
  <c r="AF831" i="9"/>
  <c r="AE831" i="9"/>
  <c r="AD831" i="9"/>
  <c r="AC831" i="9"/>
  <c r="AB831" i="9"/>
  <c r="AA831" i="9"/>
  <c r="Z831" i="9"/>
  <c r="Y831" i="9"/>
  <c r="T831" i="9" s="1"/>
  <c r="V831" i="9"/>
  <c r="AF830" i="9"/>
  <c r="AE830" i="9"/>
  <c r="V830" i="9" s="1"/>
  <c r="AD830" i="9"/>
  <c r="AC830" i="9"/>
  <c r="AB830" i="9"/>
  <c r="AA830" i="9"/>
  <c r="Z830" i="9"/>
  <c r="Y830" i="9"/>
  <c r="T830" i="9" s="1"/>
  <c r="AF829" i="9"/>
  <c r="AE829" i="9"/>
  <c r="V829" i="9" s="1"/>
  <c r="AD829" i="9"/>
  <c r="AC829" i="9"/>
  <c r="AB829" i="9"/>
  <c r="AA829" i="9"/>
  <c r="Z829" i="9"/>
  <c r="Y829" i="9"/>
  <c r="AF828" i="9"/>
  <c r="AE828" i="9"/>
  <c r="V828" i="9" s="1"/>
  <c r="AD828" i="9"/>
  <c r="AC828" i="9"/>
  <c r="AB828" i="9"/>
  <c r="AA828" i="9"/>
  <c r="Z828" i="9"/>
  <c r="Y828" i="9"/>
  <c r="T828" i="9" s="1"/>
  <c r="AF827" i="9"/>
  <c r="AE827" i="9"/>
  <c r="V827" i="9" s="1"/>
  <c r="AD827" i="9"/>
  <c r="AC827" i="9"/>
  <c r="AB827" i="9"/>
  <c r="AA827" i="9"/>
  <c r="Z827" i="9"/>
  <c r="Y827" i="9"/>
  <c r="AF826" i="9"/>
  <c r="AE826" i="9"/>
  <c r="AD826" i="9"/>
  <c r="AC826" i="9"/>
  <c r="AB826" i="9"/>
  <c r="AA826" i="9"/>
  <c r="Z826" i="9"/>
  <c r="Y826" i="9"/>
  <c r="T826" i="9" s="1"/>
  <c r="V826" i="9"/>
  <c r="AF825" i="9"/>
  <c r="AE825" i="9"/>
  <c r="AD825" i="9"/>
  <c r="AC825" i="9"/>
  <c r="AB825" i="9"/>
  <c r="U825" i="9" s="1"/>
  <c r="AA825" i="9"/>
  <c r="Z825" i="9"/>
  <c r="T825" i="9" s="1"/>
  <c r="Y825" i="9"/>
  <c r="AF824" i="9"/>
  <c r="AE824" i="9"/>
  <c r="AD824" i="9"/>
  <c r="AC824" i="9"/>
  <c r="AB824" i="9"/>
  <c r="AA824" i="9"/>
  <c r="Z824" i="9"/>
  <c r="Y824" i="9"/>
  <c r="T824" i="9" s="1"/>
  <c r="AF823" i="9"/>
  <c r="AE823" i="9"/>
  <c r="V823" i="9" s="1"/>
  <c r="AD823" i="9"/>
  <c r="AC823" i="9"/>
  <c r="AB823" i="9"/>
  <c r="AA823" i="9"/>
  <c r="Z823" i="9"/>
  <c r="Y823" i="9"/>
  <c r="AF822" i="9"/>
  <c r="AE822" i="9"/>
  <c r="AD822" i="9"/>
  <c r="AC822" i="9"/>
  <c r="AB822" i="9"/>
  <c r="AA822" i="9"/>
  <c r="Z822" i="9"/>
  <c r="Y822" i="9"/>
  <c r="V822" i="9"/>
  <c r="AF821" i="9"/>
  <c r="AE821" i="9"/>
  <c r="AD821" i="9"/>
  <c r="AC821" i="9"/>
  <c r="AB821" i="9"/>
  <c r="AA821" i="9"/>
  <c r="Z821" i="9"/>
  <c r="Y821" i="9"/>
  <c r="T821" i="9" s="1"/>
  <c r="AF820" i="9"/>
  <c r="AE820" i="9"/>
  <c r="V820" i="9" s="1"/>
  <c r="AD820" i="9"/>
  <c r="AC820" i="9"/>
  <c r="AB820" i="9"/>
  <c r="AA820" i="9"/>
  <c r="Z820" i="9"/>
  <c r="Y820" i="9"/>
  <c r="T820" i="9" s="1"/>
  <c r="AF819" i="9"/>
  <c r="AE819" i="9"/>
  <c r="V819" i="9" s="1"/>
  <c r="AD819" i="9"/>
  <c r="AC819" i="9"/>
  <c r="AB819" i="9"/>
  <c r="AA819" i="9"/>
  <c r="Z819" i="9"/>
  <c r="Y819" i="9"/>
  <c r="AF818" i="9"/>
  <c r="AE818" i="9"/>
  <c r="V818" i="9" s="1"/>
  <c r="AD818" i="9"/>
  <c r="AC818" i="9"/>
  <c r="AB818" i="9"/>
  <c r="AA818" i="9"/>
  <c r="Z818" i="9"/>
  <c r="Y818" i="9"/>
  <c r="AF817" i="9"/>
  <c r="AE817" i="9"/>
  <c r="AD817" i="9"/>
  <c r="AC817" i="9"/>
  <c r="AB817" i="9"/>
  <c r="AA817" i="9"/>
  <c r="Z817" i="9"/>
  <c r="Y817" i="9"/>
  <c r="T817" i="9" s="1"/>
  <c r="AF816" i="9"/>
  <c r="AE816" i="9"/>
  <c r="V816" i="9" s="1"/>
  <c r="AD816" i="9"/>
  <c r="AC816" i="9"/>
  <c r="AB816" i="9"/>
  <c r="AA816" i="9"/>
  <c r="Z816" i="9"/>
  <c r="Y816" i="9"/>
  <c r="T816" i="9" s="1"/>
  <c r="AF815" i="9"/>
  <c r="AE815" i="9"/>
  <c r="V815" i="9" s="1"/>
  <c r="AD815" i="9"/>
  <c r="AC815" i="9"/>
  <c r="AB815" i="9"/>
  <c r="AA815" i="9"/>
  <c r="Z815" i="9"/>
  <c r="Y815" i="9"/>
  <c r="T815" i="9" s="1"/>
  <c r="AF814" i="9"/>
  <c r="AE814" i="9"/>
  <c r="V814" i="9" s="1"/>
  <c r="AD814" i="9"/>
  <c r="AC814" i="9"/>
  <c r="AB814" i="9"/>
  <c r="AA814" i="9"/>
  <c r="Z814" i="9"/>
  <c r="Y814" i="9"/>
  <c r="AF813" i="9"/>
  <c r="AE813" i="9"/>
  <c r="AD813" i="9"/>
  <c r="AC813" i="9"/>
  <c r="AB813" i="9"/>
  <c r="AA813" i="9"/>
  <c r="Z813" i="9"/>
  <c r="Y813" i="9"/>
  <c r="T813" i="9" s="1"/>
  <c r="AF812" i="9"/>
  <c r="AE812" i="9"/>
  <c r="AD812" i="9"/>
  <c r="AC812" i="9"/>
  <c r="AB812" i="9"/>
  <c r="AA812" i="9"/>
  <c r="Z812" i="9"/>
  <c r="Y812" i="9"/>
  <c r="AF811" i="9"/>
  <c r="AE811" i="9"/>
  <c r="AD811" i="9"/>
  <c r="AC811" i="9"/>
  <c r="AB811" i="9"/>
  <c r="AA811" i="9"/>
  <c r="Z811" i="9"/>
  <c r="Y811" i="9"/>
  <c r="V811" i="9"/>
  <c r="AF810" i="9"/>
  <c r="AE810" i="9"/>
  <c r="V810" i="9" s="1"/>
  <c r="AD810" i="9"/>
  <c r="AC810" i="9"/>
  <c r="AB810" i="9"/>
  <c r="U810" i="9" s="1"/>
  <c r="AA810" i="9"/>
  <c r="Z810" i="9"/>
  <c r="Y810" i="9"/>
  <c r="AF809" i="9"/>
  <c r="AE809" i="9"/>
  <c r="V809" i="9" s="1"/>
  <c r="AD809" i="9"/>
  <c r="AC809" i="9"/>
  <c r="AB809" i="9"/>
  <c r="U809" i="9" s="1"/>
  <c r="AA809" i="9"/>
  <c r="Z809" i="9"/>
  <c r="Y809" i="9"/>
  <c r="T809" i="9" s="1"/>
  <c r="AF808" i="9"/>
  <c r="AE808" i="9"/>
  <c r="AD808" i="9"/>
  <c r="AC808" i="9"/>
  <c r="AB808" i="9"/>
  <c r="AA808" i="9"/>
  <c r="Z808" i="9"/>
  <c r="Y808" i="9"/>
  <c r="AF807" i="9"/>
  <c r="AE807" i="9"/>
  <c r="V807" i="9" s="1"/>
  <c r="AD807" i="9"/>
  <c r="AC807" i="9"/>
  <c r="AB807" i="9"/>
  <c r="AA807" i="9"/>
  <c r="Z807" i="9"/>
  <c r="Y807" i="9"/>
  <c r="AF806" i="9"/>
  <c r="AE806" i="9"/>
  <c r="V806" i="9" s="1"/>
  <c r="AD806" i="9"/>
  <c r="AC806" i="9"/>
  <c r="AB806" i="9"/>
  <c r="U806" i="9" s="1"/>
  <c r="AA806" i="9"/>
  <c r="Z806" i="9"/>
  <c r="Y806" i="9"/>
  <c r="T806" i="9" s="1"/>
  <c r="AF805" i="9"/>
  <c r="AE805" i="9"/>
  <c r="V805" i="9" s="1"/>
  <c r="AD805" i="9"/>
  <c r="AC805" i="9"/>
  <c r="AB805" i="9"/>
  <c r="U805" i="9" s="1"/>
  <c r="AA805" i="9"/>
  <c r="Z805" i="9"/>
  <c r="Y805" i="9"/>
  <c r="T805" i="9" s="1"/>
  <c r="AF804" i="9"/>
  <c r="AE804" i="9"/>
  <c r="AD804" i="9"/>
  <c r="AC804" i="9"/>
  <c r="AB804" i="9"/>
  <c r="U804" i="9" s="1"/>
  <c r="AA804" i="9"/>
  <c r="Z804" i="9"/>
  <c r="Y804" i="9"/>
  <c r="AF803" i="9"/>
  <c r="V803" i="9" s="1"/>
  <c r="AE803" i="9"/>
  <c r="AD803" i="9"/>
  <c r="AC803" i="9"/>
  <c r="AB803" i="9"/>
  <c r="AA803" i="9"/>
  <c r="Z803" i="9"/>
  <c r="Y803" i="9"/>
  <c r="AF802" i="9"/>
  <c r="AE802" i="9"/>
  <c r="AD802" i="9"/>
  <c r="AC802" i="9"/>
  <c r="AB802" i="9"/>
  <c r="AA802" i="9"/>
  <c r="Z802" i="9"/>
  <c r="Y802" i="9"/>
  <c r="T802" i="9" s="1"/>
  <c r="V802" i="9"/>
  <c r="AF801" i="9"/>
  <c r="AE801" i="9"/>
  <c r="V801" i="9" s="1"/>
  <c r="AD801" i="9"/>
  <c r="AC801" i="9"/>
  <c r="AB801" i="9"/>
  <c r="AA801" i="9"/>
  <c r="Z801" i="9"/>
  <c r="Y801" i="9"/>
  <c r="T801" i="9" s="1"/>
  <c r="AF800" i="9"/>
  <c r="AE800" i="9"/>
  <c r="AD800" i="9"/>
  <c r="AC800" i="9"/>
  <c r="AB800" i="9"/>
  <c r="U800" i="9" s="1"/>
  <c r="AA800" i="9"/>
  <c r="Z800" i="9"/>
  <c r="Y800" i="9"/>
  <c r="T800" i="9" s="1"/>
  <c r="AF799" i="9"/>
  <c r="V799" i="9" s="1"/>
  <c r="AE799" i="9"/>
  <c r="AD799" i="9"/>
  <c r="AC799" i="9"/>
  <c r="AB799" i="9"/>
  <c r="AA799" i="9"/>
  <c r="Z799" i="9"/>
  <c r="Y799" i="9"/>
  <c r="AF798" i="9"/>
  <c r="AE798" i="9"/>
  <c r="V798" i="9" s="1"/>
  <c r="AD798" i="9"/>
  <c r="AC798" i="9"/>
  <c r="AB798" i="9"/>
  <c r="AA798" i="9"/>
  <c r="Z798" i="9"/>
  <c r="Y798" i="9"/>
  <c r="AF797" i="9"/>
  <c r="AE797" i="9"/>
  <c r="V797" i="9" s="1"/>
  <c r="AD797" i="9"/>
  <c r="AC797" i="9"/>
  <c r="AB797" i="9"/>
  <c r="AA797" i="9"/>
  <c r="Z797" i="9"/>
  <c r="Y797" i="9"/>
  <c r="T797" i="9"/>
  <c r="AF796" i="9"/>
  <c r="AE796" i="9"/>
  <c r="V796" i="9" s="1"/>
  <c r="AD796" i="9"/>
  <c r="AC796" i="9"/>
  <c r="AB796" i="9"/>
  <c r="AA796" i="9"/>
  <c r="Z796" i="9"/>
  <c r="Y796" i="9"/>
  <c r="AF795" i="9"/>
  <c r="V795" i="9" s="1"/>
  <c r="AE795" i="9"/>
  <c r="AD795" i="9"/>
  <c r="AC795" i="9"/>
  <c r="AB795" i="9"/>
  <c r="AA795" i="9"/>
  <c r="Z795" i="9"/>
  <c r="Y795" i="9"/>
  <c r="T795" i="9" s="1"/>
  <c r="AF794" i="9"/>
  <c r="AE794" i="9"/>
  <c r="V794" i="9" s="1"/>
  <c r="AD794" i="9"/>
  <c r="AC794" i="9"/>
  <c r="AB794" i="9"/>
  <c r="AA794" i="9"/>
  <c r="Z794" i="9"/>
  <c r="Y794" i="9"/>
  <c r="T794" i="9" s="1"/>
  <c r="AF793" i="9"/>
  <c r="AE793" i="9"/>
  <c r="AD793" i="9"/>
  <c r="AC793" i="9"/>
  <c r="AB793" i="9"/>
  <c r="AA793" i="9"/>
  <c r="Z793" i="9"/>
  <c r="Y793" i="9"/>
  <c r="T793" i="9" s="1"/>
  <c r="AF792" i="9"/>
  <c r="AE792" i="9"/>
  <c r="AD792" i="9"/>
  <c r="AC792" i="9"/>
  <c r="AB792" i="9"/>
  <c r="AA792" i="9"/>
  <c r="Z792" i="9"/>
  <c r="Y792" i="9"/>
  <c r="AF791" i="9"/>
  <c r="AE791" i="9"/>
  <c r="AD791" i="9"/>
  <c r="AC791" i="9"/>
  <c r="AB791" i="9"/>
  <c r="AA791" i="9"/>
  <c r="Z791" i="9"/>
  <c r="Y791" i="9"/>
  <c r="V791" i="9"/>
  <c r="AF790" i="9"/>
  <c r="AE790" i="9"/>
  <c r="AD790" i="9"/>
  <c r="AC790" i="9"/>
  <c r="AB790" i="9"/>
  <c r="AA790" i="9"/>
  <c r="Z790" i="9"/>
  <c r="Y790" i="9"/>
  <c r="AF789" i="9"/>
  <c r="AE789" i="9"/>
  <c r="V789" i="9" s="1"/>
  <c r="AD789" i="9"/>
  <c r="AC789" i="9"/>
  <c r="AB789" i="9"/>
  <c r="U789" i="9" s="1"/>
  <c r="AA789" i="9"/>
  <c r="Z789" i="9"/>
  <c r="Y789" i="9"/>
  <c r="T789" i="9" s="1"/>
  <c r="AF788" i="9"/>
  <c r="AE788" i="9"/>
  <c r="V788" i="9" s="1"/>
  <c r="AD788" i="9"/>
  <c r="AC788" i="9"/>
  <c r="AB788" i="9"/>
  <c r="AA788" i="9"/>
  <c r="Z788" i="9"/>
  <c r="Y788" i="9"/>
  <c r="T788" i="9" s="1"/>
  <c r="AF787" i="9"/>
  <c r="AE787" i="9"/>
  <c r="V787" i="9" s="1"/>
  <c r="AD787" i="9"/>
  <c r="AC787" i="9"/>
  <c r="AB787" i="9"/>
  <c r="AA787" i="9"/>
  <c r="Z787" i="9"/>
  <c r="Y787" i="9"/>
  <c r="AF786" i="9"/>
  <c r="V786" i="9" s="1"/>
  <c r="AE786" i="9"/>
  <c r="AD786" i="9"/>
  <c r="AC786" i="9"/>
  <c r="AB786" i="9"/>
  <c r="AA786" i="9"/>
  <c r="Z786" i="9"/>
  <c r="Y786" i="9"/>
  <c r="T786" i="9"/>
  <c r="AF785" i="9"/>
  <c r="AE785" i="9"/>
  <c r="AD785" i="9"/>
  <c r="AC785" i="9"/>
  <c r="AB785" i="9"/>
  <c r="AA785" i="9"/>
  <c r="Z785" i="9"/>
  <c r="Y785" i="9"/>
  <c r="T785" i="9" s="1"/>
  <c r="AF784" i="9"/>
  <c r="AE784" i="9"/>
  <c r="AD784" i="9"/>
  <c r="AC784" i="9"/>
  <c r="AB784" i="9"/>
  <c r="U784" i="9" s="1"/>
  <c r="AA784" i="9"/>
  <c r="Z784" i="9"/>
  <c r="Y784" i="9"/>
  <c r="T784" i="9" s="1"/>
  <c r="AF783" i="9"/>
  <c r="AE783" i="9"/>
  <c r="V783" i="9" s="1"/>
  <c r="AD783" i="9"/>
  <c r="AC783" i="9"/>
  <c r="AB783" i="9"/>
  <c r="AA783" i="9"/>
  <c r="Z783" i="9"/>
  <c r="Y783" i="9"/>
  <c r="AF782" i="9"/>
  <c r="AE782" i="9"/>
  <c r="AD782" i="9"/>
  <c r="AC782" i="9"/>
  <c r="AB782" i="9"/>
  <c r="U782" i="9" s="1"/>
  <c r="AA782" i="9"/>
  <c r="Z782" i="9"/>
  <c r="Y782" i="9"/>
  <c r="V782" i="9"/>
  <c r="T782" i="9"/>
  <c r="AF781" i="9"/>
  <c r="AE781" i="9"/>
  <c r="V781" i="9" s="1"/>
  <c r="AD781" i="9"/>
  <c r="AC781" i="9"/>
  <c r="AB781" i="9"/>
  <c r="U781" i="9" s="1"/>
  <c r="AA781" i="9"/>
  <c r="Z781" i="9"/>
  <c r="Y781" i="9"/>
  <c r="T781" i="9" s="1"/>
  <c r="AF780" i="9"/>
  <c r="AE780" i="9"/>
  <c r="V780" i="9" s="1"/>
  <c r="AD780" i="9"/>
  <c r="AC780" i="9"/>
  <c r="AB780" i="9"/>
  <c r="U780" i="9" s="1"/>
  <c r="AA780" i="9"/>
  <c r="Z780" i="9"/>
  <c r="Y780" i="9"/>
  <c r="AF779" i="9"/>
  <c r="AE779" i="9"/>
  <c r="V779" i="9" s="1"/>
  <c r="AD779" i="9"/>
  <c r="AC779" i="9"/>
  <c r="AB779" i="9"/>
  <c r="AA779" i="9"/>
  <c r="Z779" i="9"/>
  <c r="Y779" i="9"/>
  <c r="AF778" i="9"/>
  <c r="AE778" i="9"/>
  <c r="AD778" i="9"/>
  <c r="AC778" i="9"/>
  <c r="AB778" i="9"/>
  <c r="AA778" i="9"/>
  <c r="T778" i="9" s="1"/>
  <c r="Z778" i="9"/>
  <c r="Y778" i="9"/>
  <c r="V778" i="9"/>
  <c r="AF777" i="9"/>
  <c r="AE777" i="9"/>
  <c r="AD777" i="9"/>
  <c r="AC777" i="9"/>
  <c r="AB777" i="9"/>
  <c r="AA777" i="9"/>
  <c r="Z777" i="9"/>
  <c r="Y777" i="9"/>
  <c r="T777" i="9"/>
  <c r="AF776" i="9"/>
  <c r="AE776" i="9"/>
  <c r="V776" i="9" s="1"/>
  <c r="AD776" i="9"/>
  <c r="AC776" i="9"/>
  <c r="AB776" i="9"/>
  <c r="U776" i="9" s="1"/>
  <c r="AA776" i="9"/>
  <c r="Z776" i="9"/>
  <c r="Y776" i="9"/>
  <c r="AF775" i="9"/>
  <c r="AE775" i="9"/>
  <c r="V775" i="9" s="1"/>
  <c r="AD775" i="9"/>
  <c r="AC775" i="9"/>
  <c r="AB775" i="9"/>
  <c r="AA775" i="9"/>
  <c r="Z775" i="9"/>
  <c r="Y775" i="9"/>
  <c r="T775" i="9" s="1"/>
  <c r="AF774" i="9"/>
  <c r="AE774" i="9"/>
  <c r="V774" i="9" s="1"/>
  <c r="AD774" i="9"/>
  <c r="AC774" i="9"/>
  <c r="AB774" i="9"/>
  <c r="AA774" i="9"/>
  <c r="Z774" i="9"/>
  <c r="Y774" i="9"/>
  <c r="T774" i="9" s="1"/>
  <c r="AF773" i="9"/>
  <c r="AE773" i="9"/>
  <c r="V773" i="9" s="1"/>
  <c r="AD773" i="9"/>
  <c r="AC773" i="9"/>
  <c r="AB773" i="9"/>
  <c r="U773" i="9" s="1"/>
  <c r="AA773" i="9"/>
  <c r="Z773" i="9"/>
  <c r="Y773" i="9"/>
  <c r="T773" i="9" s="1"/>
  <c r="AF772" i="9"/>
  <c r="AE772" i="9"/>
  <c r="AD772" i="9"/>
  <c r="AC772" i="9"/>
  <c r="AB772" i="9"/>
  <c r="AA772" i="9"/>
  <c r="Z772" i="9"/>
  <c r="Y772" i="9"/>
  <c r="AF771" i="9"/>
  <c r="AE771" i="9"/>
  <c r="V771" i="9" s="1"/>
  <c r="AD771" i="9"/>
  <c r="AC771" i="9"/>
  <c r="AB771" i="9"/>
  <c r="AA771" i="9"/>
  <c r="Z771" i="9"/>
  <c r="Y771" i="9"/>
  <c r="AF770" i="9"/>
  <c r="AE770" i="9"/>
  <c r="V770" i="9" s="1"/>
  <c r="AD770" i="9"/>
  <c r="AC770" i="9"/>
  <c r="AB770" i="9"/>
  <c r="AA770" i="9"/>
  <c r="Z770" i="9"/>
  <c r="Y770" i="9"/>
  <c r="T770" i="9"/>
  <c r="AF769" i="9"/>
  <c r="AE769" i="9"/>
  <c r="AD769" i="9"/>
  <c r="AC769" i="9"/>
  <c r="AB769" i="9"/>
  <c r="U769" i="9" s="1"/>
  <c r="AA769" i="9"/>
  <c r="Z769" i="9"/>
  <c r="Y769" i="9"/>
  <c r="T769" i="9" s="1"/>
  <c r="AF768" i="9"/>
  <c r="AE768" i="9"/>
  <c r="AD768" i="9"/>
  <c r="AC768" i="9"/>
  <c r="AB768" i="9"/>
  <c r="AA768" i="9"/>
  <c r="Z768" i="9"/>
  <c r="Y768" i="9"/>
  <c r="AF767" i="9"/>
  <c r="AE767" i="9"/>
  <c r="V767" i="9" s="1"/>
  <c r="AD767" i="9"/>
  <c r="AC767" i="9"/>
  <c r="AB767" i="9"/>
  <c r="AA767" i="9"/>
  <c r="Z767" i="9"/>
  <c r="Y767" i="9"/>
  <c r="AF766" i="9"/>
  <c r="V766" i="9" s="1"/>
  <c r="AE766" i="9"/>
  <c r="AD766" i="9"/>
  <c r="AC766" i="9"/>
  <c r="AB766" i="9"/>
  <c r="AA766" i="9"/>
  <c r="Z766" i="9"/>
  <c r="Y766" i="9"/>
  <c r="T766" i="9" s="1"/>
  <c r="AF765" i="9"/>
  <c r="AE765" i="9"/>
  <c r="V765" i="9" s="1"/>
  <c r="AD765" i="9"/>
  <c r="AC765" i="9"/>
  <c r="AB765" i="9"/>
  <c r="U765" i="9" s="1"/>
  <c r="AA765" i="9"/>
  <c r="Z765" i="9"/>
  <c r="Y765" i="9"/>
  <c r="T765" i="9" s="1"/>
  <c r="AF764" i="9"/>
  <c r="AE764" i="9"/>
  <c r="V764" i="9" s="1"/>
  <c r="AD764" i="9"/>
  <c r="AC764" i="9"/>
  <c r="AB764" i="9"/>
  <c r="AA764" i="9"/>
  <c r="Z764" i="9"/>
  <c r="Y764" i="9"/>
  <c r="AF763" i="9"/>
  <c r="AE763" i="9"/>
  <c r="V763" i="9" s="1"/>
  <c r="AD763" i="9"/>
  <c r="AC763" i="9"/>
  <c r="AB763" i="9"/>
  <c r="U763" i="9" s="1"/>
  <c r="AA763" i="9"/>
  <c r="Z763" i="9"/>
  <c r="Y763" i="9"/>
  <c r="AF762" i="9"/>
  <c r="AE762" i="9"/>
  <c r="V762" i="9" s="1"/>
  <c r="AD762" i="9"/>
  <c r="AC762" i="9"/>
  <c r="AB762" i="9"/>
  <c r="AA762" i="9"/>
  <c r="Z762" i="9"/>
  <c r="Y762" i="9"/>
  <c r="AF761" i="9"/>
  <c r="AE761" i="9"/>
  <c r="AD761" i="9"/>
  <c r="AC761" i="9"/>
  <c r="AB761" i="9"/>
  <c r="AA761" i="9"/>
  <c r="Z761" i="9"/>
  <c r="Y761" i="9"/>
  <c r="T761" i="9"/>
  <c r="AF760" i="9"/>
  <c r="AE760" i="9"/>
  <c r="V760" i="9" s="1"/>
  <c r="AD760" i="9"/>
  <c r="AC760" i="9"/>
  <c r="AB760" i="9"/>
  <c r="AA760" i="9"/>
  <c r="Z760" i="9"/>
  <c r="Y760" i="9"/>
  <c r="T760" i="9" s="1"/>
  <c r="AF759" i="9"/>
  <c r="AE759" i="9"/>
  <c r="AD759" i="9"/>
  <c r="AC759" i="9"/>
  <c r="AB759" i="9"/>
  <c r="AA759" i="9"/>
  <c r="Z759" i="9"/>
  <c r="Y759" i="9"/>
  <c r="AF758" i="9"/>
  <c r="AE758" i="9"/>
  <c r="V758" i="9" s="1"/>
  <c r="AD758" i="9"/>
  <c r="AC758" i="9"/>
  <c r="AB758" i="9"/>
  <c r="AA758" i="9"/>
  <c r="Z758" i="9"/>
  <c r="Y758" i="9"/>
  <c r="T758" i="9" s="1"/>
  <c r="AF757" i="9"/>
  <c r="AE757" i="9"/>
  <c r="AD757" i="9"/>
  <c r="AC757" i="9"/>
  <c r="AB757" i="9"/>
  <c r="AA757" i="9"/>
  <c r="Z757" i="9"/>
  <c r="Y757" i="9"/>
  <c r="T757" i="9"/>
  <c r="AF756" i="9"/>
  <c r="AE756" i="9"/>
  <c r="V756" i="9" s="1"/>
  <c r="AD756" i="9"/>
  <c r="AC756" i="9"/>
  <c r="AB756" i="9"/>
  <c r="AA756" i="9"/>
  <c r="Z756" i="9"/>
  <c r="Y756" i="9"/>
  <c r="AF755" i="9"/>
  <c r="AE755" i="9"/>
  <c r="AD755" i="9"/>
  <c r="AC755" i="9"/>
  <c r="AB755" i="9"/>
  <c r="AA755" i="9"/>
  <c r="Z755" i="9"/>
  <c r="Y755" i="9"/>
  <c r="AF754" i="9"/>
  <c r="AE754" i="9"/>
  <c r="V754" i="9" s="1"/>
  <c r="AD754" i="9"/>
  <c r="AC754" i="9"/>
  <c r="AB754" i="9"/>
  <c r="AA754" i="9"/>
  <c r="T754" i="9" s="1"/>
  <c r="Z754" i="9"/>
  <c r="Y754" i="9"/>
  <c r="AF753" i="9"/>
  <c r="AE753" i="9"/>
  <c r="V753" i="9" s="1"/>
  <c r="AD753" i="9"/>
  <c r="AC753" i="9"/>
  <c r="AB753" i="9"/>
  <c r="AA753" i="9"/>
  <c r="Z753" i="9"/>
  <c r="Y753" i="9"/>
  <c r="T753" i="9"/>
  <c r="AF752" i="9"/>
  <c r="AE752" i="9"/>
  <c r="AD752" i="9"/>
  <c r="AC752" i="9"/>
  <c r="AB752" i="9"/>
  <c r="AA752" i="9"/>
  <c r="Z752" i="9"/>
  <c r="Y752" i="9"/>
  <c r="AF751" i="9"/>
  <c r="AE751" i="9"/>
  <c r="AD751" i="9"/>
  <c r="AC751" i="9"/>
  <c r="AB751" i="9"/>
  <c r="AA751" i="9"/>
  <c r="Z751" i="9"/>
  <c r="Y751" i="9"/>
  <c r="V751" i="9"/>
  <c r="AF750" i="9"/>
  <c r="V750" i="9" s="1"/>
  <c r="AE750" i="9"/>
  <c r="AD750" i="9"/>
  <c r="AC750" i="9"/>
  <c r="AB750" i="9"/>
  <c r="AA750" i="9"/>
  <c r="Z750" i="9"/>
  <c r="Y750" i="9"/>
  <c r="T750" i="9" s="1"/>
  <c r="AF749" i="9"/>
  <c r="AE749" i="9"/>
  <c r="V749" i="9" s="1"/>
  <c r="AD749" i="9"/>
  <c r="AC749" i="9"/>
  <c r="AB749" i="9"/>
  <c r="AA749" i="9"/>
  <c r="T749" i="9" s="1"/>
  <c r="Z749" i="9"/>
  <c r="Y749" i="9"/>
  <c r="AF748" i="9"/>
  <c r="AE748" i="9"/>
  <c r="AD748" i="9"/>
  <c r="AC748" i="9"/>
  <c r="AB748" i="9"/>
  <c r="AA748" i="9"/>
  <c r="Z748" i="9"/>
  <c r="Y748" i="9"/>
  <c r="T748" i="9" s="1"/>
  <c r="AF747" i="9"/>
  <c r="AE747" i="9"/>
  <c r="V747" i="9" s="1"/>
  <c r="AD747" i="9"/>
  <c r="AC747" i="9"/>
  <c r="AB747" i="9"/>
  <c r="AA747" i="9"/>
  <c r="Z747" i="9"/>
  <c r="Y747" i="9"/>
  <c r="T747" i="9" s="1"/>
  <c r="AF746" i="9"/>
  <c r="AE746" i="9"/>
  <c r="AD746" i="9"/>
  <c r="AC746" i="9"/>
  <c r="AB746" i="9"/>
  <c r="AA746" i="9"/>
  <c r="Z746" i="9"/>
  <c r="Y746" i="9"/>
  <c r="T746" i="9" s="1"/>
  <c r="V746" i="9"/>
  <c r="AF745" i="9"/>
  <c r="V745" i="9" s="1"/>
  <c r="AE745" i="9"/>
  <c r="AD745" i="9"/>
  <c r="AC745" i="9"/>
  <c r="AB745" i="9"/>
  <c r="U745" i="9" s="1"/>
  <c r="AA745" i="9"/>
  <c r="Z745" i="9"/>
  <c r="Y745" i="9"/>
  <c r="T745" i="9" s="1"/>
  <c r="AF744" i="9"/>
  <c r="AE744" i="9"/>
  <c r="V744" i="9" s="1"/>
  <c r="AD744" i="9"/>
  <c r="AC744" i="9"/>
  <c r="AB744" i="9"/>
  <c r="AA744" i="9"/>
  <c r="Z744" i="9"/>
  <c r="Y744" i="9"/>
  <c r="AF743" i="9"/>
  <c r="AE743" i="9"/>
  <c r="AD743" i="9"/>
  <c r="AC743" i="9"/>
  <c r="AB743" i="9"/>
  <c r="U743" i="9" s="1"/>
  <c r="AA743" i="9"/>
  <c r="Z743" i="9"/>
  <c r="Y743" i="9"/>
  <c r="AF742" i="9"/>
  <c r="AE742" i="9"/>
  <c r="AD742" i="9"/>
  <c r="AC742" i="9"/>
  <c r="AB742" i="9"/>
  <c r="AA742" i="9"/>
  <c r="Z742" i="9"/>
  <c r="Y742" i="9"/>
  <c r="T742" i="9" s="1"/>
  <c r="V742" i="9"/>
  <c r="AF741" i="9"/>
  <c r="AE741" i="9"/>
  <c r="V741" i="9" s="1"/>
  <c r="AD741" i="9"/>
  <c r="AC741" i="9"/>
  <c r="AB741" i="9"/>
  <c r="AA741" i="9"/>
  <c r="Z741" i="9"/>
  <c r="Y741" i="9"/>
  <c r="T741" i="9" s="1"/>
  <c r="AF740" i="9"/>
  <c r="AE740" i="9"/>
  <c r="V740" i="9" s="1"/>
  <c r="AD740" i="9"/>
  <c r="AC740" i="9"/>
  <c r="AB740" i="9"/>
  <c r="U740" i="9" s="1"/>
  <c r="AA740" i="9"/>
  <c r="Z740" i="9"/>
  <c r="Y740" i="9"/>
  <c r="AF739" i="9"/>
  <c r="AE739" i="9"/>
  <c r="AD739" i="9"/>
  <c r="AC739" i="9"/>
  <c r="AB739" i="9"/>
  <c r="AA739" i="9"/>
  <c r="Z739" i="9"/>
  <c r="Y739" i="9"/>
  <c r="AF738" i="9"/>
  <c r="AE738" i="9"/>
  <c r="AD738" i="9"/>
  <c r="AC738" i="9"/>
  <c r="AB738" i="9"/>
  <c r="U738" i="9" s="1"/>
  <c r="AA738" i="9"/>
  <c r="Z738" i="9"/>
  <c r="Y738" i="9"/>
  <c r="V738" i="9"/>
  <c r="AF737" i="9"/>
  <c r="V737" i="9" s="1"/>
  <c r="AE737" i="9"/>
  <c r="AD737" i="9"/>
  <c r="AC737" i="9"/>
  <c r="AB737" i="9"/>
  <c r="AA737" i="9"/>
  <c r="Z737" i="9"/>
  <c r="Y737" i="9"/>
  <c r="T737" i="9"/>
  <c r="AF736" i="9"/>
  <c r="AE736" i="9"/>
  <c r="V736" i="9" s="1"/>
  <c r="AD736" i="9"/>
  <c r="AC736" i="9"/>
  <c r="AB736" i="9"/>
  <c r="AA736" i="9"/>
  <c r="Z736" i="9"/>
  <c r="Y736" i="9"/>
  <c r="AF735" i="9"/>
  <c r="AE735" i="9"/>
  <c r="AD735" i="9"/>
  <c r="AC735" i="9"/>
  <c r="AB735" i="9"/>
  <c r="AA735" i="9"/>
  <c r="Z735" i="9"/>
  <c r="Y735" i="9"/>
  <c r="V735" i="9"/>
  <c r="AF734" i="9"/>
  <c r="AE734" i="9"/>
  <c r="AD734" i="9"/>
  <c r="AC734" i="9"/>
  <c r="AB734" i="9"/>
  <c r="AA734" i="9"/>
  <c r="Z734" i="9"/>
  <c r="Y734" i="9"/>
  <c r="T734" i="9" s="1"/>
  <c r="AF733" i="9"/>
  <c r="AE733" i="9"/>
  <c r="V733" i="9" s="1"/>
  <c r="AD733" i="9"/>
  <c r="AC733" i="9"/>
  <c r="AB733" i="9"/>
  <c r="AA733" i="9"/>
  <c r="Z733" i="9"/>
  <c r="Y733" i="9"/>
  <c r="T733" i="9" s="1"/>
  <c r="AF732" i="9"/>
  <c r="AE732" i="9"/>
  <c r="V732" i="9" s="1"/>
  <c r="AD732" i="9"/>
  <c r="AC732" i="9"/>
  <c r="AB732" i="9"/>
  <c r="AA732" i="9"/>
  <c r="Z732" i="9"/>
  <c r="Y732" i="9"/>
  <c r="T732" i="9" s="1"/>
  <c r="AF731" i="9"/>
  <c r="AE731" i="9"/>
  <c r="V731" i="9" s="1"/>
  <c r="AD731" i="9"/>
  <c r="AC731" i="9"/>
  <c r="AB731" i="9"/>
  <c r="AA731" i="9"/>
  <c r="Z731" i="9"/>
  <c r="Y731" i="9"/>
  <c r="AF730" i="9"/>
  <c r="AE730" i="9"/>
  <c r="V730" i="9" s="1"/>
  <c r="AD730" i="9"/>
  <c r="AC730" i="9"/>
  <c r="AB730" i="9"/>
  <c r="AA730" i="9"/>
  <c r="Z730" i="9"/>
  <c r="Y730" i="9"/>
  <c r="T730" i="9" s="1"/>
  <c r="AF729" i="9"/>
  <c r="AE729" i="9"/>
  <c r="AD729" i="9"/>
  <c r="AC729" i="9"/>
  <c r="AB729" i="9"/>
  <c r="AA729" i="9"/>
  <c r="T729" i="9" s="1"/>
  <c r="Z729" i="9"/>
  <c r="Y729" i="9"/>
  <c r="AF728" i="9"/>
  <c r="AE728" i="9"/>
  <c r="AD728" i="9"/>
  <c r="AC728" i="9"/>
  <c r="AB728" i="9"/>
  <c r="AA728" i="9"/>
  <c r="Z728" i="9"/>
  <c r="Y728" i="9"/>
  <c r="AF727" i="9"/>
  <c r="V727" i="9" s="1"/>
  <c r="AE727" i="9"/>
  <c r="AD727" i="9"/>
  <c r="AC727" i="9"/>
  <c r="AB727" i="9"/>
  <c r="AA727" i="9"/>
  <c r="Z727" i="9"/>
  <c r="Y727" i="9"/>
  <c r="AF726" i="9"/>
  <c r="V726" i="9" s="1"/>
  <c r="AE726" i="9"/>
  <c r="AD726" i="9"/>
  <c r="AC726" i="9"/>
  <c r="AB726" i="9"/>
  <c r="AA726" i="9"/>
  <c r="Z726" i="9"/>
  <c r="Y726" i="9"/>
  <c r="T726" i="9" s="1"/>
  <c r="AF725" i="9"/>
  <c r="AE725" i="9"/>
  <c r="AD725" i="9"/>
  <c r="AC725" i="9"/>
  <c r="AB725" i="9"/>
  <c r="AA725" i="9"/>
  <c r="T725" i="9" s="1"/>
  <c r="Z725" i="9"/>
  <c r="Y725" i="9"/>
  <c r="AF724" i="9"/>
  <c r="AE724" i="9"/>
  <c r="AD724" i="9"/>
  <c r="AC724" i="9"/>
  <c r="AB724" i="9"/>
  <c r="AA724" i="9"/>
  <c r="Z724" i="9"/>
  <c r="Y724" i="9"/>
  <c r="V724" i="9"/>
  <c r="AF723" i="9"/>
  <c r="AE723" i="9"/>
  <c r="AD723" i="9"/>
  <c r="AC723" i="9"/>
  <c r="AB723" i="9"/>
  <c r="AA723" i="9"/>
  <c r="Z723" i="9"/>
  <c r="Y723" i="9"/>
  <c r="T723" i="9" s="1"/>
  <c r="AF722" i="9"/>
  <c r="AE722" i="9"/>
  <c r="V722" i="9" s="1"/>
  <c r="AD722" i="9"/>
  <c r="AC722" i="9"/>
  <c r="AB722" i="9"/>
  <c r="AA722" i="9"/>
  <c r="Z722" i="9"/>
  <c r="Y722" i="9"/>
  <c r="AF721" i="9"/>
  <c r="V721" i="9" s="1"/>
  <c r="AE721" i="9"/>
  <c r="AD721" i="9"/>
  <c r="AC721" i="9"/>
  <c r="AB721" i="9"/>
  <c r="AA721" i="9"/>
  <c r="Z721" i="9"/>
  <c r="Y721" i="9"/>
  <c r="T721" i="9"/>
  <c r="AF720" i="9"/>
  <c r="AE720" i="9"/>
  <c r="AD720" i="9"/>
  <c r="AC720" i="9"/>
  <c r="AB720" i="9"/>
  <c r="U720" i="9" s="1"/>
  <c r="AA720" i="9"/>
  <c r="Z720" i="9"/>
  <c r="Y720" i="9"/>
  <c r="AF719" i="9"/>
  <c r="AE719" i="9"/>
  <c r="AD719" i="9"/>
  <c r="AC719" i="9"/>
  <c r="AB719" i="9"/>
  <c r="AA719" i="9"/>
  <c r="Z719" i="9"/>
  <c r="Y719" i="9"/>
  <c r="T719" i="9" s="1"/>
  <c r="AF718" i="9"/>
  <c r="AE718" i="9"/>
  <c r="V718" i="9" s="1"/>
  <c r="AD718" i="9"/>
  <c r="AC718" i="9"/>
  <c r="AB718" i="9"/>
  <c r="U718" i="9" s="1"/>
  <c r="AA718" i="9"/>
  <c r="T718" i="9" s="1"/>
  <c r="Z718" i="9"/>
  <c r="Y718" i="9"/>
  <c r="AF717" i="9"/>
  <c r="AE717" i="9"/>
  <c r="AD717" i="9"/>
  <c r="AC717" i="9"/>
  <c r="AB717" i="9"/>
  <c r="AA717" i="9"/>
  <c r="Z717" i="9"/>
  <c r="Y717" i="9"/>
  <c r="T717" i="9"/>
  <c r="AF716" i="9"/>
  <c r="AE716" i="9"/>
  <c r="AD716" i="9"/>
  <c r="AC716" i="9"/>
  <c r="AB716" i="9"/>
  <c r="AA716" i="9"/>
  <c r="Z716" i="9"/>
  <c r="Y716" i="9"/>
  <c r="AF715" i="9"/>
  <c r="AE715" i="9"/>
  <c r="AD715" i="9"/>
  <c r="AC715" i="9"/>
  <c r="AB715" i="9"/>
  <c r="AA715" i="9"/>
  <c r="Z715" i="9"/>
  <c r="Y715" i="9"/>
  <c r="T715" i="9" s="1"/>
  <c r="AF714" i="9"/>
  <c r="AE714" i="9"/>
  <c r="AD714" i="9"/>
  <c r="AC714" i="9"/>
  <c r="AB714" i="9"/>
  <c r="AA714" i="9"/>
  <c r="Z714" i="9"/>
  <c r="Y714" i="9"/>
  <c r="T714" i="9" s="1"/>
  <c r="AF713" i="9"/>
  <c r="AE713" i="9"/>
  <c r="AD713" i="9"/>
  <c r="AC713" i="9"/>
  <c r="AB713" i="9"/>
  <c r="AA713" i="9"/>
  <c r="Z713" i="9"/>
  <c r="Y713" i="9"/>
  <c r="AF712" i="9"/>
  <c r="V712" i="9" s="1"/>
  <c r="AE712" i="9"/>
  <c r="AD712" i="9"/>
  <c r="AC712" i="9"/>
  <c r="AB712" i="9"/>
  <c r="AA712" i="9"/>
  <c r="Z712" i="9"/>
  <c r="Y712" i="9"/>
  <c r="AF711" i="9"/>
  <c r="AE711" i="9"/>
  <c r="AD711" i="9"/>
  <c r="AC711" i="9"/>
  <c r="AB711" i="9"/>
  <c r="AA711" i="9"/>
  <c r="Z711" i="9"/>
  <c r="Y711" i="9"/>
  <c r="T711" i="9" s="1"/>
  <c r="AF710" i="9"/>
  <c r="AE710" i="9"/>
  <c r="AD710" i="9"/>
  <c r="AC710" i="9"/>
  <c r="AB710" i="9"/>
  <c r="AA710" i="9"/>
  <c r="Z710" i="9"/>
  <c r="Y710" i="9"/>
  <c r="T710" i="9" s="1"/>
  <c r="AF709" i="9"/>
  <c r="AE709" i="9"/>
  <c r="AD709" i="9"/>
  <c r="AC709" i="9"/>
  <c r="AB709" i="9"/>
  <c r="AA709" i="9"/>
  <c r="Z709" i="9"/>
  <c r="Y709" i="9"/>
  <c r="T709" i="9" s="1"/>
  <c r="AF708" i="9"/>
  <c r="AE708" i="9"/>
  <c r="V708" i="9" s="1"/>
  <c r="AD708" i="9"/>
  <c r="AC708" i="9"/>
  <c r="AB708" i="9"/>
  <c r="AA708" i="9"/>
  <c r="Z708" i="9"/>
  <c r="Y708" i="9"/>
  <c r="AF707" i="9"/>
  <c r="AE707" i="9"/>
  <c r="V707" i="9" s="1"/>
  <c r="AD707" i="9"/>
  <c r="AC707" i="9"/>
  <c r="AB707" i="9"/>
  <c r="AA707" i="9"/>
  <c r="Z707" i="9"/>
  <c r="Y707" i="9"/>
  <c r="AF706" i="9"/>
  <c r="AE706" i="9"/>
  <c r="V706" i="9" s="1"/>
  <c r="AD706" i="9"/>
  <c r="AC706" i="9"/>
  <c r="AB706" i="9"/>
  <c r="AA706" i="9"/>
  <c r="Z706" i="9"/>
  <c r="Y706" i="9"/>
  <c r="AF705" i="9"/>
  <c r="AE705" i="9"/>
  <c r="V705" i="9" s="1"/>
  <c r="AD705" i="9"/>
  <c r="AC705" i="9"/>
  <c r="AB705" i="9"/>
  <c r="AA705" i="9"/>
  <c r="Z705" i="9"/>
  <c r="Y705" i="9"/>
  <c r="AF704" i="9"/>
  <c r="AE704" i="9"/>
  <c r="V704" i="9" s="1"/>
  <c r="AD704" i="9"/>
  <c r="AC704" i="9"/>
  <c r="AB704" i="9"/>
  <c r="AA704" i="9"/>
  <c r="Z704" i="9"/>
  <c r="Y704" i="9"/>
  <c r="AF703" i="9"/>
  <c r="AE703" i="9"/>
  <c r="V703" i="9" s="1"/>
  <c r="AD703" i="9"/>
  <c r="AC703" i="9"/>
  <c r="AB703" i="9"/>
  <c r="AA703" i="9"/>
  <c r="Z703" i="9"/>
  <c r="Y703" i="9"/>
  <c r="AF702" i="9"/>
  <c r="AE702" i="9"/>
  <c r="V702" i="9" s="1"/>
  <c r="AD702" i="9"/>
  <c r="AC702" i="9"/>
  <c r="AB702" i="9"/>
  <c r="AA702" i="9"/>
  <c r="Z702" i="9"/>
  <c r="Y702" i="9"/>
  <c r="T702" i="9"/>
  <c r="AF701" i="9"/>
  <c r="AE701" i="9"/>
  <c r="V701" i="9" s="1"/>
  <c r="AD701" i="9"/>
  <c r="AC701" i="9"/>
  <c r="AB701" i="9"/>
  <c r="AA701" i="9"/>
  <c r="Z701" i="9"/>
  <c r="Y701" i="9"/>
  <c r="AF700" i="9"/>
  <c r="V700" i="9" s="1"/>
  <c r="AE700" i="9"/>
  <c r="AD700" i="9"/>
  <c r="AC700" i="9"/>
  <c r="AB700" i="9"/>
  <c r="AA700" i="9"/>
  <c r="Z700" i="9"/>
  <c r="Y700" i="9"/>
  <c r="T700" i="9" s="1"/>
  <c r="AF699" i="9"/>
  <c r="AE699" i="9"/>
  <c r="AD699" i="9"/>
  <c r="AC699" i="9"/>
  <c r="AB699" i="9"/>
  <c r="AA699" i="9"/>
  <c r="Z699" i="9"/>
  <c r="Y699" i="9"/>
  <c r="T699" i="9" s="1"/>
  <c r="AF698" i="9"/>
  <c r="V698" i="9" s="1"/>
  <c r="AE698" i="9"/>
  <c r="AD698" i="9"/>
  <c r="AC698" i="9"/>
  <c r="AB698" i="9"/>
  <c r="AA698" i="9"/>
  <c r="Z698" i="9"/>
  <c r="Y698" i="9"/>
  <c r="T698" i="9" s="1"/>
  <c r="AF697" i="9"/>
  <c r="AE697" i="9"/>
  <c r="AD697" i="9"/>
  <c r="AC697" i="9"/>
  <c r="AB697" i="9"/>
  <c r="AA697" i="9"/>
  <c r="Z697" i="9"/>
  <c r="Y697" i="9"/>
  <c r="AF696" i="9"/>
  <c r="AE696" i="9"/>
  <c r="AD696" i="9"/>
  <c r="AC696" i="9"/>
  <c r="AB696" i="9"/>
  <c r="AA696" i="9"/>
  <c r="Z696" i="9"/>
  <c r="Y696" i="9"/>
  <c r="AF695" i="9"/>
  <c r="AE695" i="9"/>
  <c r="V695" i="9" s="1"/>
  <c r="AD695" i="9"/>
  <c r="AC695" i="9"/>
  <c r="AB695" i="9"/>
  <c r="AA695" i="9"/>
  <c r="Z695" i="9"/>
  <c r="Y695" i="9"/>
  <c r="AF694" i="9"/>
  <c r="AE694" i="9"/>
  <c r="AD694" i="9"/>
  <c r="AC694" i="9"/>
  <c r="AB694" i="9"/>
  <c r="U694" i="9" s="1"/>
  <c r="AA694" i="9"/>
  <c r="Z694" i="9"/>
  <c r="Y694" i="9"/>
  <c r="V694" i="9"/>
  <c r="AF693" i="9"/>
  <c r="AE693" i="9"/>
  <c r="AD693" i="9"/>
  <c r="AC693" i="9"/>
  <c r="AB693" i="9"/>
  <c r="AA693" i="9"/>
  <c r="Z693" i="9"/>
  <c r="Y693" i="9"/>
  <c r="AF692" i="9"/>
  <c r="AE692" i="9"/>
  <c r="AD692" i="9"/>
  <c r="AC692" i="9"/>
  <c r="AB692" i="9"/>
  <c r="AA692" i="9"/>
  <c r="Z692" i="9"/>
  <c r="Y692" i="9"/>
  <c r="T692" i="9" s="1"/>
  <c r="V692" i="9"/>
  <c r="AF691" i="9"/>
  <c r="V691" i="9" s="1"/>
  <c r="AE691" i="9"/>
  <c r="AD691" i="9"/>
  <c r="AC691" i="9"/>
  <c r="AB691" i="9"/>
  <c r="AA691" i="9"/>
  <c r="Z691" i="9"/>
  <c r="Y691" i="9"/>
  <c r="AF690" i="9"/>
  <c r="AE690" i="9"/>
  <c r="V690" i="9" s="1"/>
  <c r="AD690" i="9"/>
  <c r="AC690" i="9"/>
  <c r="AB690" i="9"/>
  <c r="U690" i="9" s="1"/>
  <c r="AA690" i="9"/>
  <c r="Z690" i="9"/>
  <c r="Y690" i="9"/>
  <c r="T690" i="9" s="1"/>
  <c r="AF689" i="9"/>
  <c r="AE689" i="9"/>
  <c r="AD689" i="9"/>
  <c r="AC689" i="9"/>
  <c r="AB689" i="9"/>
  <c r="AA689" i="9"/>
  <c r="Z689" i="9"/>
  <c r="Y689" i="9"/>
  <c r="AF688" i="9"/>
  <c r="AE688" i="9"/>
  <c r="V688" i="9" s="1"/>
  <c r="AD688" i="9"/>
  <c r="AC688" i="9"/>
  <c r="AB688" i="9"/>
  <c r="AA688" i="9"/>
  <c r="T688" i="9" s="1"/>
  <c r="Z688" i="9"/>
  <c r="Y688" i="9"/>
  <c r="AF687" i="9"/>
  <c r="AE687" i="9"/>
  <c r="AD687" i="9"/>
  <c r="AC687" i="9"/>
  <c r="AB687" i="9"/>
  <c r="AA687" i="9"/>
  <c r="Z687" i="9"/>
  <c r="Y687" i="9"/>
  <c r="T687" i="9" s="1"/>
  <c r="AF686" i="9"/>
  <c r="AE686" i="9"/>
  <c r="AD686" i="9"/>
  <c r="AC686" i="9"/>
  <c r="AB686" i="9"/>
  <c r="U686" i="9" s="1"/>
  <c r="AA686" i="9"/>
  <c r="Z686" i="9"/>
  <c r="Y686" i="9"/>
  <c r="T686" i="9" s="1"/>
  <c r="AF685" i="9"/>
  <c r="V685" i="9" s="1"/>
  <c r="AE685" i="9"/>
  <c r="AD685" i="9"/>
  <c r="AC685" i="9"/>
  <c r="AB685" i="9"/>
  <c r="AA685" i="9"/>
  <c r="Z685" i="9"/>
  <c r="Y685" i="9"/>
  <c r="AF684" i="9"/>
  <c r="AE684" i="9"/>
  <c r="AD684" i="9"/>
  <c r="AC684" i="9"/>
  <c r="AB684" i="9"/>
  <c r="U684" i="9" s="1"/>
  <c r="AA684" i="9"/>
  <c r="Z684" i="9"/>
  <c r="Y684" i="9"/>
  <c r="AF683" i="9"/>
  <c r="AE683" i="9"/>
  <c r="AD683" i="9"/>
  <c r="AC683" i="9"/>
  <c r="AB683" i="9"/>
  <c r="AA683" i="9"/>
  <c r="Z683" i="9"/>
  <c r="Y683" i="9"/>
  <c r="AF682" i="9"/>
  <c r="AE682" i="9"/>
  <c r="V682" i="9" s="1"/>
  <c r="AD682" i="9"/>
  <c r="AC682" i="9"/>
  <c r="AB682" i="9"/>
  <c r="AA682" i="9"/>
  <c r="Z682" i="9"/>
  <c r="Y682" i="9"/>
  <c r="T682" i="9" s="1"/>
  <c r="AF681" i="9"/>
  <c r="V681" i="9" s="1"/>
  <c r="AE681" i="9"/>
  <c r="AD681" i="9"/>
  <c r="AC681" i="9"/>
  <c r="AB681" i="9"/>
  <c r="AA681" i="9"/>
  <c r="T681" i="9" s="1"/>
  <c r="Z681" i="9"/>
  <c r="Y681" i="9"/>
  <c r="AF680" i="9"/>
  <c r="AE680" i="9"/>
  <c r="V680" i="9" s="1"/>
  <c r="AD680" i="9"/>
  <c r="AC680" i="9"/>
  <c r="AB680" i="9"/>
  <c r="AA680" i="9"/>
  <c r="Z680" i="9"/>
  <c r="Y680" i="9"/>
  <c r="T680" i="9" s="1"/>
  <c r="AF679" i="9"/>
  <c r="AE679" i="9"/>
  <c r="AD679" i="9"/>
  <c r="AC679" i="9"/>
  <c r="AB679" i="9"/>
  <c r="AA679" i="9"/>
  <c r="Z679" i="9"/>
  <c r="Y679" i="9"/>
  <c r="AF678" i="9"/>
  <c r="AE678" i="9"/>
  <c r="V678" i="9" s="1"/>
  <c r="AD678" i="9"/>
  <c r="AC678" i="9"/>
  <c r="AB678" i="9"/>
  <c r="U678" i="9" s="1"/>
  <c r="AA678" i="9"/>
  <c r="Z678" i="9"/>
  <c r="Y678" i="9"/>
  <c r="T678" i="9" s="1"/>
  <c r="AF677" i="9"/>
  <c r="AE677" i="9"/>
  <c r="V677" i="9" s="1"/>
  <c r="AD677" i="9"/>
  <c r="AC677" i="9"/>
  <c r="AB677" i="9"/>
  <c r="AA677" i="9"/>
  <c r="Z677" i="9"/>
  <c r="Y677" i="9"/>
  <c r="AF676" i="9"/>
  <c r="AE676" i="9"/>
  <c r="AD676" i="9"/>
  <c r="AC676" i="9"/>
  <c r="AB676" i="9"/>
  <c r="U676" i="9" s="1"/>
  <c r="AA676" i="9"/>
  <c r="Z676" i="9"/>
  <c r="Y676" i="9"/>
  <c r="T676" i="9"/>
  <c r="AF675" i="9"/>
  <c r="AE675" i="9"/>
  <c r="V675" i="9" s="1"/>
  <c r="AD675" i="9"/>
  <c r="AC675" i="9"/>
  <c r="AB675" i="9"/>
  <c r="U675" i="9" s="1"/>
  <c r="AA675" i="9"/>
  <c r="Z675" i="9"/>
  <c r="Y675" i="9"/>
  <c r="AF674" i="9"/>
  <c r="AE674" i="9"/>
  <c r="V674" i="9" s="1"/>
  <c r="AD674" i="9"/>
  <c r="AC674" i="9"/>
  <c r="AB674" i="9"/>
  <c r="AA674" i="9"/>
  <c r="Z674" i="9"/>
  <c r="Y674" i="9"/>
  <c r="T674" i="9" s="1"/>
  <c r="AF673" i="9"/>
  <c r="AE673" i="9"/>
  <c r="AD673" i="9"/>
  <c r="AC673" i="9"/>
  <c r="AB673" i="9"/>
  <c r="AA673" i="9"/>
  <c r="Z673" i="9"/>
  <c r="Y673" i="9"/>
  <c r="T673" i="9" s="1"/>
  <c r="AF672" i="9"/>
  <c r="AE672" i="9"/>
  <c r="AD672" i="9"/>
  <c r="AC672" i="9"/>
  <c r="U672" i="9" s="1"/>
  <c r="AB672" i="9"/>
  <c r="AA672" i="9"/>
  <c r="Z672" i="9"/>
  <c r="Y672" i="9"/>
  <c r="T672" i="9" s="1"/>
  <c r="AF671" i="9"/>
  <c r="V671" i="9" s="1"/>
  <c r="AE671" i="9"/>
  <c r="AD671" i="9"/>
  <c r="AC671" i="9"/>
  <c r="AB671" i="9"/>
  <c r="AA671" i="9"/>
  <c r="Z671" i="9"/>
  <c r="Y671" i="9"/>
  <c r="AF670" i="9"/>
  <c r="AE670" i="9"/>
  <c r="AD670" i="9"/>
  <c r="AC670" i="9"/>
  <c r="AB670" i="9"/>
  <c r="AA670" i="9"/>
  <c r="Z670" i="9"/>
  <c r="Y670" i="9"/>
  <c r="AF669" i="9"/>
  <c r="AE669" i="9"/>
  <c r="AD669" i="9"/>
  <c r="AC669" i="9"/>
  <c r="AB669" i="9"/>
  <c r="U669" i="9" s="1"/>
  <c r="AA669" i="9"/>
  <c r="Z669" i="9"/>
  <c r="Y669" i="9"/>
  <c r="T669" i="9" s="1"/>
  <c r="AF668" i="9"/>
  <c r="V668" i="9" s="1"/>
  <c r="AE668" i="9"/>
  <c r="AD668" i="9"/>
  <c r="AC668" i="9"/>
  <c r="U668" i="9" s="1"/>
  <c r="AB668" i="9"/>
  <c r="AA668" i="9"/>
  <c r="Z668" i="9"/>
  <c r="Y668" i="9"/>
  <c r="T668" i="9" s="1"/>
  <c r="AF667" i="9"/>
  <c r="AE667" i="9"/>
  <c r="V667" i="9" s="1"/>
  <c r="AD667" i="9"/>
  <c r="AC667" i="9"/>
  <c r="AB667" i="9"/>
  <c r="AA667" i="9"/>
  <c r="Z667" i="9"/>
  <c r="Y667" i="9"/>
  <c r="T667" i="9" s="1"/>
  <c r="AF666" i="9"/>
  <c r="AE666" i="9"/>
  <c r="V666" i="9" s="1"/>
  <c r="AD666" i="9"/>
  <c r="AC666" i="9"/>
  <c r="AB666" i="9"/>
  <c r="AA666" i="9"/>
  <c r="Z666" i="9"/>
  <c r="Y666" i="9"/>
  <c r="T666" i="9"/>
  <c r="AF665" i="9"/>
  <c r="AE665" i="9"/>
  <c r="V665" i="9" s="1"/>
  <c r="AD665" i="9"/>
  <c r="AC665" i="9"/>
  <c r="AB665" i="9"/>
  <c r="AA665" i="9"/>
  <c r="Z665" i="9"/>
  <c r="Y665" i="9"/>
  <c r="AF664" i="9"/>
  <c r="AE664" i="9"/>
  <c r="V664" i="9" s="1"/>
  <c r="AD664" i="9"/>
  <c r="AC664" i="9"/>
  <c r="U664" i="9" s="1"/>
  <c r="AB664" i="9"/>
  <c r="AA664" i="9"/>
  <c r="Z664" i="9"/>
  <c r="Y664" i="9"/>
  <c r="T664" i="9" s="1"/>
  <c r="AF663" i="9"/>
  <c r="AE663" i="9"/>
  <c r="V663" i="9" s="1"/>
  <c r="AD663" i="9"/>
  <c r="AC663" i="9"/>
  <c r="AB663" i="9"/>
  <c r="U663" i="9" s="1"/>
  <c r="AA663" i="9"/>
  <c r="Z663" i="9"/>
  <c r="Y663" i="9"/>
  <c r="AF662" i="9"/>
  <c r="AE662" i="9"/>
  <c r="V662" i="9" s="1"/>
  <c r="AD662" i="9"/>
  <c r="AC662" i="9"/>
  <c r="AB662" i="9"/>
  <c r="AA662" i="9"/>
  <c r="Z662" i="9"/>
  <c r="T662" i="9" s="1"/>
  <c r="Y662" i="9"/>
  <c r="AF661" i="9"/>
  <c r="AE661" i="9"/>
  <c r="V661" i="9" s="1"/>
  <c r="AD661" i="9"/>
  <c r="AC661" i="9"/>
  <c r="AB661" i="9"/>
  <c r="U661" i="9" s="1"/>
  <c r="AA661" i="9"/>
  <c r="Z661" i="9"/>
  <c r="Y661" i="9"/>
  <c r="T661" i="9" s="1"/>
  <c r="AF660" i="9"/>
  <c r="AE660" i="9"/>
  <c r="AD660" i="9"/>
  <c r="AC660" i="9"/>
  <c r="AB660" i="9"/>
  <c r="AA660" i="9"/>
  <c r="Z660" i="9"/>
  <c r="Y660" i="9"/>
  <c r="T660" i="9" s="1"/>
  <c r="AF659" i="9"/>
  <c r="AE659" i="9"/>
  <c r="V659" i="9" s="1"/>
  <c r="AD659" i="9"/>
  <c r="AC659" i="9"/>
  <c r="AB659" i="9"/>
  <c r="U659" i="9" s="1"/>
  <c r="AA659" i="9"/>
  <c r="Z659" i="9"/>
  <c r="Y659" i="9"/>
  <c r="AF658" i="9"/>
  <c r="AE658" i="9"/>
  <c r="AD658" i="9"/>
  <c r="AC658" i="9"/>
  <c r="AB658" i="9"/>
  <c r="AA658" i="9"/>
  <c r="Z658" i="9"/>
  <c r="Y658" i="9"/>
  <c r="AF657" i="9"/>
  <c r="V657" i="9" s="1"/>
  <c r="AE657" i="9"/>
  <c r="AD657" i="9"/>
  <c r="AC657" i="9"/>
  <c r="AB657" i="9"/>
  <c r="AA657" i="9"/>
  <c r="Z657" i="9"/>
  <c r="Y657" i="9"/>
  <c r="T657" i="9" s="1"/>
  <c r="AF656" i="9"/>
  <c r="AE656" i="9"/>
  <c r="AD656" i="9"/>
  <c r="AC656" i="9"/>
  <c r="AB656" i="9"/>
  <c r="AA656" i="9"/>
  <c r="Z656" i="9"/>
  <c r="Y656" i="9"/>
  <c r="AF655" i="9"/>
  <c r="AE655" i="9"/>
  <c r="AD655" i="9"/>
  <c r="AC655" i="9"/>
  <c r="AB655" i="9"/>
  <c r="AA655" i="9"/>
  <c r="Z655" i="9"/>
  <c r="Y655" i="9"/>
  <c r="AF654" i="9"/>
  <c r="AE654" i="9"/>
  <c r="AD654" i="9"/>
  <c r="AC654" i="9"/>
  <c r="AB654" i="9"/>
  <c r="AA654" i="9"/>
  <c r="Z654" i="9"/>
  <c r="T654" i="9" s="1"/>
  <c r="Y654" i="9"/>
  <c r="AF653" i="9"/>
  <c r="AE653" i="9"/>
  <c r="AD653" i="9"/>
  <c r="AC653" i="9"/>
  <c r="AB653" i="9"/>
  <c r="AA653" i="9"/>
  <c r="Z653" i="9"/>
  <c r="Y653" i="9"/>
  <c r="T653" i="9" s="1"/>
  <c r="AF652" i="9"/>
  <c r="AE652" i="9"/>
  <c r="V652" i="9" s="1"/>
  <c r="AD652" i="9"/>
  <c r="AC652" i="9"/>
  <c r="AB652" i="9"/>
  <c r="AA652" i="9"/>
  <c r="Z652" i="9"/>
  <c r="Y652" i="9"/>
  <c r="T652" i="9"/>
  <c r="AF651" i="9"/>
  <c r="AE651" i="9"/>
  <c r="AD651" i="9"/>
  <c r="AC651" i="9"/>
  <c r="AB651" i="9"/>
  <c r="AA651" i="9"/>
  <c r="Z651" i="9"/>
  <c r="Y651" i="9"/>
  <c r="V651" i="9"/>
  <c r="T651" i="9"/>
  <c r="AF650" i="9"/>
  <c r="AE650" i="9"/>
  <c r="AD650" i="9"/>
  <c r="AC650" i="9"/>
  <c r="AB650" i="9"/>
  <c r="AA650" i="9"/>
  <c r="Z650" i="9"/>
  <c r="Y650" i="9"/>
  <c r="V650" i="9"/>
  <c r="T650" i="9"/>
  <c r="AF649" i="9"/>
  <c r="AE649" i="9"/>
  <c r="AD649" i="9"/>
  <c r="AC649" i="9"/>
  <c r="AB649" i="9"/>
  <c r="AA649" i="9"/>
  <c r="Z649" i="9"/>
  <c r="Y649" i="9"/>
  <c r="AF648" i="9"/>
  <c r="AE648" i="9"/>
  <c r="AD648" i="9"/>
  <c r="AC648" i="9"/>
  <c r="AB648" i="9"/>
  <c r="U648" i="9" s="1"/>
  <c r="AA648" i="9"/>
  <c r="Z648" i="9"/>
  <c r="Y648" i="9"/>
  <c r="T648" i="9" s="1"/>
  <c r="V648" i="9"/>
  <c r="AF647" i="9"/>
  <c r="V647" i="9" s="1"/>
  <c r="AE647" i="9"/>
  <c r="AD647" i="9"/>
  <c r="AC647" i="9"/>
  <c r="AB647" i="9"/>
  <c r="AA647" i="9"/>
  <c r="Z647" i="9"/>
  <c r="Y647" i="9"/>
  <c r="T647" i="9" s="1"/>
  <c r="AF646" i="9"/>
  <c r="AE646" i="9"/>
  <c r="V646" i="9" s="1"/>
  <c r="AD646" i="9"/>
  <c r="AC646" i="9"/>
  <c r="AB646" i="9"/>
  <c r="AA646" i="9"/>
  <c r="Z646" i="9"/>
  <c r="Y646" i="9"/>
  <c r="AF645" i="9"/>
  <c r="AE645" i="9"/>
  <c r="V645" i="9" s="1"/>
  <c r="AD645" i="9"/>
  <c r="AC645" i="9"/>
  <c r="AB645" i="9"/>
  <c r="AA645" i="9"/>
  <c r="Z645" i="9"/>
  <c r="Y645" i="9"/>
  <c r="AF644" i="9"/>
  <c r="V644" i="9" s="1"/>
  <c r="AE644" i="9"/>
  <c r="AD644" i="9"/>
  <c r="AC644" i="9"/>
  <c r="AB644" i="9"/>
  <c r="U644" i="9" s="1"/>
  <c r="AA644" i="9"/>
  <c r="T644" i="9" s="1"/>
  <c r="Z644" i="9"/>
  <c r="Y644" i="9"/>
  <c r="AF643" i="9"/>
  <c r="AE643" i="9"/>
  <c r="AD643" i="9"/>
  <c r="AC643" i="9"/>
  <c r="AB643" i="9"/>
  <c r="AA643" i="9"/>
  <c r="Z643" i="9"/>
  <c r="Y643" i="9"/>
  <c r="T643" i="9" s="1"/>
  <c r="AF642" i="9"/>
  <c r="AE642" i="9"/>
  <c r="AD642" i="9"/>
  <c r="AC642" i="9"/>
  <c r="AB642" i="9"/>
  <c r="U642" i="9" s="1"/>
  <c r="AA642" i="9"/>
  <c r="Z642" i="9"/>
  <c r="Y642" i="9"/>
  <c r="AF641" i="9"/>
  <c r="V641" i="9" s="1"/>
  <c r="AE641" i="9"/>
  <c r="AD641" i="9"/>
  <c r="AC641" i="9"/>
  <c r="AB641" i="9"/>
  <c r="AA641" i="9"/>
  <c r="Z641" i="9"/>
  <c r="T641" i="9" s="1"/>
  <c r="Y641" i="9"/>
  <c r="AF640" i="9"/>
  <c r="AE640" i="9"/>
  <c r="V640" i="9" s="1"/>
  <c r="AD640" i="9"/>
  <c r="AC640" i="9"/>
  <c r="AB640" i="9"/>
  <c r="AA640" i="9"/>
  <c r="Z640" i="9"/>
  <c r="Y640" i="9"/>
  <c r="T640" i="9" s="1"/>
  <c r="AF639" i="9"/>
  <c r="AE639" i="9"/>
  <c r="AD639" i="9"/>
  <c r="AC639" i="9"/>
  <c r="AB639" i="9"/>
  <c r="AA639" i="9"/>
  <c r="Z639" i="9"/>
  <c r="Y639" i="9"/>
  <c r="AF638" i="9"/>
  <c r="V638" i="9" s="1"/>
  <c r="AE638" i="9"/>
  <c r="AD638" i="9"/>
  <c r="AC638" i="9"/>
  <c r="AB638" i="9"/>
  <c r="U638" i="9" s="1"/>
  <c r="AA638" i="9"/>
  <c r="Z638" i="9"/>
  <c r="Y638" i="9"/>
  <c r="AF637" i="9"/>
  <c r="AE637" i="9"/>
  <c r="V637" i="9" s="1"/>
  <c r="AD637" i="9"/>
  <c r="AC637" i="9"/>
  <c r="AB637" i="9"/>
  <c r="AA637" i="9"/>
  <c r="Z637" i="9"/>
  <c r="Y637" i="9"/>
  <c r="AF636" i="9"/>
  <c r="AE636" i="9"/>
  <c r="AD636" i="9"/>
  <c r="AC636" i="9"/>
  <c r="AB636" i="9"/>
  <c r="U636" i="9" s="1"/>
  <c r="AA636" i="9"/>
  <c r="Z636" i="9"/>
  <c r="Y636" i="9"/>
  <c r="T636" i="9"/>
  <c r="AF635" i="9"/>
  <c r="V635" i="9" s="1"/>
  <c r="AE635" i="9"/>
  <c r="AD635" i="9"/>
  <c r="AC635" i="9"/>
  <c r="AB635" i="9"/>
  <c r="AA635" i="9"/>
  <c r="Z635" i="9"/>
  <c r="Y635" i="9"/>
  <c r="AF634" i="9"/>
  <c r="AE634" i="9"/>
  <c r="AD634" i="9"/>
  <c r="AC634" i="9"/>
  <c r="AB634" i="9"/>
  <c r="AA634" i="9"/>
  <c r="Z634" i="9"/>
  <c r="Y634" i="9"/>
  <c r="T634" i="9" s="1"/>
  <c r="AF633" i="9"/>
  <c r="V633" i="9" s="1"/>
  <c r="AE633" i="9"/>
  <c r="AD633" i="9"/>
  <c r="AC633" i="9"/>
  <c r="AB633" i="9"/>
  <c r="AA633" i="9"/>
  <c r="T633" i="9" s="1"/>
  <c r="Z633" i="9"/>
  <c r="Y633" i="9"/>
  <c r="AF632" i="9"/>
  <c r="AE632" i="9"/>
  <c r="AD632" i="9"/>
  <c r="AC632" i="9"/>
  <c r="AB632" i="9"/>
  <c r="AA632" i="9"/>
  <c r="Z632" i="9"/>
  <c r="Y632" i="9"/>
  <c r="AF631" i="9"/>
  <c r="AE631" i="9"/>
  <c r="V631" i="9" s="1"/>
  <c r="AD631" i="9"/>
  <c r="AC631" i="9"/>
  <c r="AB631" i="9"/>
  <c r="AA631" i="9"/>
  <c r="Z631" i="9"/>
  <c r="Y631" i="9"/>
  <c r="AF630" i="9"/>
  <c r="AE630" i="9"/>
  <c r="V630" i="9" s="1"/>
  <c r="AD630" i="9"/>
  <c r="AC630" i="9"/>
  <c r="AB630" i="9"/>
  <c r="U630" i="9" s="1"/>
  <c r="AA630" i="9"/>
  <c r="Z630" i="9"/>
  <c r="Y630" i="9"/>
  <c r="T630" i="9"/>
  <c r="AF629" i="9"/>
  <c r="AE629" i="9"/>
  <c r="AD629" i="9"/>
  <c r="AC629" i="9"/>
  <c r="AB629" i="9"/>
  <c r="AA629" i="9"/>
  <c r="Z629" i="9"/>
  <c r="Y629" i="9"/>
  <c r="AF628" i="9"/>
  <c r="AE628" i="9"/>
  <c r="AD628" i="9"/>
  <c r="AC628" i="9"/>
  <c r="AB628" i="9"/>
  <c r="AA628" i="9"/>
  <c r="Z628" i="9"/>
  <c r="Y628" i="9"/>
  <c r="T628" i="9" s="1"/>
  <c r="AF627" i="9"/>
  <c r="AE627" i="9"/>
  <c r="AD627" i="9"/>
  <c r="AC627" i="9"/>
  <c r="AB627" i="9"/>
  <c r="AA627" i="9"/>
  <c r="Z627" i="9"/>
  <c r="Y627" i="9"/>
  <c r="AF626" i="9"/>
  <c r="AE626" i="9"/>
  <c r="AD626" i="9"/>
  <c r="AC626" i="9"/>
  <c r="AB626" i="9"/>
  <c r="AA626" i="9"/>
  <c r="Z626" i="9"/>
  <c r="Y626" i="9"/>
  <c r="T626" i="9" s="1"/>
  <c r="AF625" i="9"/>
  <c r="AE625" i="9"/>
  <c r="AD625" i="9"/>
  <c r="AC625" i="9"/>
  <c r="AB625" i="9"/>
  <c r="AA625" i="9"/>
  <c r="Z625" i="9"/>
  <c r="Y625" i="9"/>
  <c r="T625" i="9" s="1"/>
  <c r="AF624" i="9"/>
  <c r="AE624" i="9"/>
  <c r="V624" i="9" s="1"/>
  <c r="AD624" i="9"/>
  <c r="AC624" i="9"/>
  <c r="AB624" i="9"/>
  <c r="U624" i="9" s="1"/>
  <c r="AA624" i="9"/>
  <c r="Z624" i="9"/>
  <c r="Y624" i="9"/>
  <c r="AF623" i="9"/>
  <c r="V623" i="9" s="1"/>
  <c r="AE623" i="9"/>
  <c r="AD623" i="9"/>
  <c r="AC623" i="9"/>
  <c r="AB623" i="9"/>
  <c r="AA623" i="9"/>
  <c r="Z623" i="9"/>
  <c r="Y623" i="9"/>
  <c r="T623" i="9"/>
  <c r="AF622" i="9"/>
  <c r="AE622" i="9"/>
  <c r="AD622" i="9"/>
  <c r="AC622" i="9"/>
  <c r="AB622" i="9"/>
  <c r="AA622" i="9"/>
  <c r="Z622" i="9"/>
  <c r="Y622" i="9"/>
  <c r="T622" i="9" s="1"/>
  <c r="V622" i="9"/>
  <c r="AF621" i="9"/>
  <c r="V621" i="9" s="1"/>
  <c r="AE621" i="9"/>
  <c r="AD621" i="9"/>
  <c r="AC621" i="9"/>
  <c r="AB621" i="9"/>
  <c r="U621" i="9" s="1"/>
  <c r="AA621" i="9"/>
  <c r="Z621" i="9"/>
  <c r="Y621" i="9"/>
  <c r="AF620" i="9"/>
  <c r="AE620" i="9"/>
  <c r="AD620" i="9"/>
  <c r="AC620" i="9"/>
  <c r="AB620" i="9"/>
  <c r="U620" i="9" s="1"/>
  <c r="AA620" i="9"/>
  <c r="Z620" i="9"/>
  <c r="Y620" i="9"/>
  <c r="T620" i="9" s="1"/>
  <c r="AF619" i="9"/>
  <c r="AE619" i="9"/>
  <c r="AD619" i="9"/>
  <c r="AC619" i="9"/>
  <c r="AB619" i="9"/>
  <c r="U619" i="9" s="1"/>
  <c r="AA619" i="9"/>
  <c r="Z619" i="9"/>
  <c r="Y619" i="9"/>
  <c r="AF618" i="9"/>
  <c r="AE618" i="9"/>
  <c r="V618" i="9" s="1"/>
  <c r="AD618" i="9"/>
  <c r="AC618" i="9"/>
  <c r="AB618" i="9"/>
  <c r="AA618" i="9"/>
  <c r="Z618" i="9"/>
  <c r="Y618" i="9"/>
  <c r="AF617" i="9"/>
  <c r="AE617" i="9"/>
  <c r="V617" i="9" s="1"/>
  <c r="AD617" i="9"/>
  <c r="AC617" i="9"/>
  <c r="AB617" i="9"/>
  <c r="U617" i="9" s="1"/>
  <c r="AA617" i="9"/>
  <c r="Z617" i="9"/>
  <c r="Y617" i="9"/>
  <c r="T617" i="9"/>
  <c r="AF616" i="9"/>
  <c r="V616" i="9" s="1"/>
  <c r="AE616" i="9"/>
  <c r="AD616" i="9"/>
  <c r="AC616" i="9"/>
  <c r="U616" i="9" s="1"/>
  <c r="AB616" i="9"/>
  <c r="AA616" i="9"/>
  <c r="Z616" i="9"/>
  <c r="Y616" i="9"/>
  <c r="T616" i="9" s="1"/>
  <c r="AF615" i="9"/>
  <c r="AE615" i="9"/>
  <c r="AD615" i="9"/>
  <c r="AC615" i="9"/>
  <c r="AB615" i="9"/>
  <c r="U615" i="9" s="1"/>
  <c r="AA615" i="9"/>
  <c r="Z615" i="9"/>
  <c r="Y615" i="9"/>
  <c r="AF614" i="9"/>
  <c r="AE614" i="9"/>
  <c r="V614" i="9" s="1"/>
  <c r="AD614" i="9"/>
  <c r="AC614" i="9"/>
  <c r="AB614" i="9"/>
  <c r="U614" i="9" s="1"/>
  <c r="AA614" i="9"/>
  <c r="Z614" i="9"/>
  <c r="Y614" i="9"/>
  <c r="T614" i="9"/>
  <c r="AF613" i="9"/>
  <c r="AE613" i="9"/>
  <c r="AD613" i="9"/>
  <c r="AC613" i="9"/>
  <c r="AB613" i="9"/>
  <c r="AA613" i="9"/>
  <c r="Z613" i="9"/>
  <c r="Y613" i="9"/>
  <c r="AF612" i="9"/>
  <c r="AE612" i="9"/>
  <c r="V612" i="9" s="1"/>
  <c r="AD612" i="9"/>
  <c r="AC612" i="9"/>
  <c r="AB612" i="9"/>
  <c r="AA612" i="9"/>
  <c r="Z612" i="9"/>
  <c r="Y612" i="9"/>
  <c r="AF611" i="9"/>
  <c r="V611" i="9" s="1"/>
  <c r="AE611" i="9"/>
  <c r="AD611" i="9"/>
  <c r="AC611" i="9"/>
  <c r="AB611" i="9"/>
  <c r="U611" i="9" s="1"/>
  <c r="AA611" i="9"/>
  <c r="Z611" i="9"/>
  <c r="Y611" i="9"/>
  <c r="T611" i="9" s="1"/>
  <c r="AF610" i="9"/>
  <c r="V610" i="9" s="1"/>
  <c r="AE610" i="9"/>
  <c r="AD610" i="9"/>
  <c r="AC610" i="9"/>
  <c r="AB610" i="9"/>
  <c r="AA610" i="9"/>
  <c r="Z610" i="9"/>
  <c r="Y610" i="9"/>
  <c r="AF609" i="9"/>
  <c r="AE609" i="9"/>
  <c r="V609" i="9" s="1"/>
  <c r="AD609" i="9"/>
  <c r="AC609" i="9"/>
  <c r="AB609" i="9"/>
  <c r="AA609" i="9"/>
  <c r="Z609" i="9"/>
  <c r="Y609" i="9"/>
  <c r="T609" i="9" s="1"/>
  <c r="AF608" i="9"/>
  <c r="AE608" i="9"/>
  <c r="V608" i="9" s="1"/>
  <c r="AD608" i="9"/>
  <c r="AC608" i="9"/>
  <c r="AB608" i="9"/>
  <c r="AA608" i="9"/>
  <c r="Z608" i="9"/>
  <c r="Y608" i="9"/>
  <c r="AF607" i="9"/>
  <c r="AE607" i="9"/>
  <c r="V607" i="9" s="1"/>
  <c r="AD607" i="9"/>
  <c r="AC607" i="9"/>
  <c r="AB607" i="9"/>
  <c r="AA607" i="9"/>
  <c r="Z607" i="9"/>
  <c r="Y607" i="9"/>
  <c r="T607" i="9" s="1"/>
  <c r="AF606" i="9"/>
  <c r="AE606" i="9"/>
  <c r="V606" i="9" s="1"/>
  <c r="AD606" i="9"/>
  <c r="AC606" i="9"/>
  <c r="AB606" i="9"/>
  <c r="AA606" i="9"/>
  <c r="Z606" i="9"/>
  <c r="Y606" i="9"/>
  <c r="AF605" i="9"/>
  <c r="AE605" i="9"/>
  <c r="AD605" i="9"/>
  <c r="AC605" i="9"/>
  <c r="AB605" i="9"/>
  <c r="U605" i="9" s="1"/>
  <c r="AA605" i="9"/>
  <c r="Z605" i="9"/>
  <c r="Y605" i="9"/>
  <c r="AF604" i="9"/>
  <c r="AE604" i="9"/>
  <c r="V604" i="9" s="1"/>
  <c r="AD604" i="9"/>
  <c r="AC604" i="9"/>
  <c r="AB604" i="9"/>
  <c r="AA604" i="9"/>
  <c r="Z604" i="9"/>
  <c r="Y604" i="9"/>
  <c r="T604" i="9" s="1"/>
  <c r="AF603" i="9"/>
  <c r="AE603" i="9"/>
  <c r="AD603" i="9"/>
  <c r="AC603" i="9"/>
  <c r="AB603" i="9"/>
  <c r="AA603" i="9"/>
  <c r="Z603" i="9"/>
  <c r="Y603" i="9"/>
  <c r="AF602" i="9"/>
  <c r="V602" i="9" s="1"/>
  <c r="AE602" i="9"/>
  <c r="AD602" i="9"/>
  <c r="AC602" i="9"/>
  <c r="AB602" i="9"/>
  <c r="AA602" i="9"/>
  <c r="Z602" i="9"/>
  <c r="Y602" i="9"/>
  <c r="T602" i="9" s="1"/>
  <c r="AF601" i="9"/>
  <c r="AE601" i="9"/>
  <c r="AD601" i="9"/>
  <c r="AC601" i="9"/>
  <c r="AB601" i="9"/>
  <c r="AA601" i="9"/>
  <c r="Z601" i="9"/>
  <c r="Y601" i="9"/>
  <c r="AF600" i="9"/>
  <c r="AE600" i="9"/>
  <c r="AD600" i="9"/>
  <c r="AC600" i="9"/>
  <c r="AB600" i="9"/>
  <c r="U600" i="9" s="1"/>
  <c r="AA600" i="9"/>
  <c r="Z600" i="9"/>
  <c r="Y600" i="9"/>
  <c r="AF599" i="9"/>
  <c r="AE599" i="9"/>
  <c r="V599" i="9" s="1"/>
  <c r="AD599" i="9"/>
  <c r="AC599" i="9"/>
  <c r="AB599" i="9"/>
  <c r="AA599" i="9"/>
  <c r="Z599" i="9"/>
  <c r="Y599" i="9"/>
  <c r="T599" i="9" s="1"/>
  <c r="AF598" i="9"/>
  <c r="AE598" i="9"/>
  <c r="V598" i="9" s="1"/>
  <c r="AD598" i="9"/>
  <c r="AC598" i="9"/>
  <c r="AB598" i="9"/>
  <c r="AA598" i="9"/>
  <c r="Z598" i="9"/>
  <c r="Y598" i="9"/>
  <c r="T598" i="9" s="1"/>
  <c r="AF597" i="9"/>
  <c r="AE597" i="9"/>
  <c r="AD597" i="9"/>
  <c r="AC597" i="9"/>
  <c r="AB597" i="9"/>
  <c r="AA597" i="9"/>
  <c r="Z597" i="9"/>
  <c r="Y597" i="9"/>
  <c r="V597" i="9"/>
  <c r="AF596" i="9"/>
  <c r="AE596" i="9"/>
  <c r="AD596" i="9"/>
  <c r="AC596" i="9"/>
  <c r="AB596" i="9"/>
  <c r="AA596" i="9"/>
  <c r="Z596" i="9"/>
  <c r="Y596" i="9"/>
  <c r="T596" i="9" s="1"/>
  <c r="AF595" i="9"/>
  <c r="V595" i="9" s="1"/>
  <c r="AE595" i="9"/>
  <c r="AD595" i="9"/>
  <c r="AC595" i="9"/>
  <c r="AB595" i="9"/>
  <c r="AA595" i="9"/>
  <c r="Z595" i="9"/>
  <c r="Y595" i="9"/>
  <c r="AF594" i="9"/>
  <c r="AE594" i="9"/>
  <c r="V594" i="9" s="1"/>
  <c r="AD594" i="9"/>
  <c r="AC594" i="9"/>
  <c r="AB594" i="9"/>
  <c r="AA594" i="9"/>
  <c r="Z594" i="9"/>
  <c r="Y594" i="9"/>
  <c r="T594" i="9"/>
  <c r="AF593" i="9"/>
  <c r="V593" i="9" s="1"/>
  <c r="AE593" i="9"/>
  <c r="AD593" i="9"/>
  <c r="AC593" i="9"/>
  <c r="AB593" i="9"/>
  <c r="AA593" i="9"/>
  <c r="Z593" i="9"/>
  <c r="Y593" i="9"/>
  <c r="T593" i="9"/>
  <c r="AF592" i="9"/>
  <c r="AE592" i="9"/>
  <c r="AD592" i="9"/>
  <c r="AC592" i="9"/>
  <c r="U592" i="9" s="1"/>
  <c r="AB592" i="9"/>
  <c r="AA592" i="9"/>
  <c r="Z592" i="9"/>
  <c r="Y592" i="9"/>
  <c r="T592" i="9" s="1"/>
  <c r="AF591" i="9"/>
  <c r="AE591" i="9"/>
  <c r="AD591" i="9"/>
  <c r="AC591" i="9"/>
  <c r="AB591" i="9"/>
  <c r="AA591" i="9"/>
  <c r="Z591" i="9"/>
  <c r="T591" i="9" s="1"/>
  <c r="Y591" i="9"/>
  <c r="AF590" i="9"/>
  <c r="AE590" i="9"/>
  <c r="AD590" i="9"/>
  <c r="AC590" i="9"/>
  <c r="AB590" i="9"/>
  <c r="AA590" i="9"/>
  <c r="Z590" i="9"/>
  <c r="Y590" i="9"/>
  <c r="T590" i="9" s="1"/>
  <c r="V590" i="9"/>
  <c r="AF589" i="9"/>
  <c r="AE589" i="9"/>
  <c r="AD589" i="9"/>
  <c r="AC589" i="9"/>
  <c r="AB589" i="9"/>
  <c r="AA589" i="9"/>
  <c r="Z589" i="9"/>
  <c r="Y589" i="9"/>
  <c r="T589" i="9"/>
  <c r="AF588" i="9"/>
  <c r="AE588" i="9"/>
  <c r="V588" i="9" s="1"/>
  <c r="AD588" i="9"/>
  <c r="AC588" i="9"/>
  <c r="AB588" i="9"/>
  <c r="AA588" i="9"/>
  <c r="Z588" i="9"/>
  <c r="T588" i="9" s="1"/>
  <c r="Y588" i="9"/>
  <c r="U588" i="9"/>
  <c r="AF587" i="9"/>
  <c r="AE587" i="9"/>
  <c r="AD587" i="9"/>
  <c r="AC587" i="9"/>
  <c r="AB587" i="9"/>
  <c r="AA587" i="9"/>
  <c r="Z587" i="9"/>
  <c r="Y587" i="9"/>
  <c r="T587" i="9" s="1"/>
  <c r="AF586" i="9"/>
  <c r="V586" i="9" s="1"/>
  <c r="AE586" i="9"/>
  <c r="AD586" i="9"/>
  <c r="AC586" i="9"/>
  <c r="AB586" i="9"/>
  <c r="U586" i="9" s="1"/>
  <c r="AA586" i="9"/>
  <c r="Z586" i="9"/>
  <c r="Y586" i="9"/>
  <c r="AF585" i="9"/>
  <c r="V585" i="9" s="1"/>
  <c r="AE585" i="9"/>
  <c r="AD585" i="9"/>
  <c r="AC585" i="9"/>
  <c r="AB585" i="9"/>
  <c r="AA585" i="9"/>
  <c r="Z585" i="9"/>
  <c r="Y585" i="9"/>
  <c r="T585" i="9" s="1"/>
  <c r="AF584" i="9"/>
  <c r="AE584" i="9"/>
  <c r="AD584" i="9"/>
  <c r="AC584" i="9"/>
  <c r="AB584" i="9"/>
  <c r="AA584" i="9"/>
  <c r="Z584" i="9"/>
  <c r="Y584" i="9"/>
  <c r="U584" i="9"/>
  <c r="AF583" i="9"/>
  <c r="AE583" i="9"/>
  <c r="V583" i="9" s="1"/>
  <c r="AD583" i="9"/>
  <c r="AC583" i="9"/>
  <c r="AB583" i="9"/>
  <c r="AA583" i="9"/>
  <c r="Z583" i="9"/>
  <c r="Y583" i="9"/>
  <c r="T583" i="9" s="1"/>
  <c r="AF582" i="9"/>
  <c r="AE582" i="9"/>
  <c r="AD582" i="9"/>
  <c r="AC582" i="9"/>
  <c r="AB582" i="9"/>
  <c r="AA582" i="9"/>
  <c r="Z582" i="9"/>
  <c r="Y582" i="9"/>
  <c r="AF581" i="9"/>
  <c r="AE581" i="9"/>
  <c r="AD581" i="9"/>
  <c r="AC581" i="9"/>
  <c r="AB581" i="9"/>
  <c r="AA581" i="9"/>
  <c r="Z581" i="9"/>
  <c r="Y581" i="9"/>
  <c r="AF580" i="9"/>
  <c r="AE580" i="9"/>
  <c r="AD580" i="9"/>
  <c r="AC580" i="9"/>
  <c r="AB580" i="9"/>
  <c r="U580" i="9" s="1"/>
  <c r="AA580" i="9"/>
  <c r="Z580" i="9"/>
  <c r="Y580" i="9"/>
  <c r="AF579" i="9"/>
  <c r="AE579" i="9"/>
  <c r="AD579" i="9"/>
  <c r="AC579" i="9"/>
  <c r="AB579" i="9"/>
  <c r="AA579" i="9"/>
  <c r="Z579" i="9"/>
  <c r="Y579" i="9"/>
  <c r="T579" i="9" s="1"/>
  <c r="AF578" i="9"/>
  <c r="AE578" i="9"/>
  <c r="AD578" i="9"/>
  <c r="AC578" i="9"/>
  <c r="AB578" i="9"/>
  <c r="AA578" i="9"/>
  <c r="Z578" i="9"/>
  <c r="Y578" i="9"/>
  <c r="T578" i="9" s="1"/>
  <c r="V578" i="9"/>
  <c r="AF577" i="9"/>
  <c r="AE577" i="9"/>
  <c r="V577" i="9" s="1"/>
  <c r="AD577" i="9"/>
  <c r="AC577" i="9"/>
  <c r="AB577" i="9"/>
  <c r="AA577" i="9"/>
  <c r="Z577" i="9"/>
  <c r="Y577" i="9"/>
  <c r="AF576" i="9"/>
  <c r="AE576" i="9"/>
  <c r="V576" i="9" s="1"/>
  <c r="AD576" i="9"/>
  <c r="AC576" i="9"/>
  <c r="AB576" i="9"/>
  <c r="AA576" i="9"/>
  <c r="Z576" i="9"/>
  <c r="Y576" i="9"/>
  <c r="T576" i="9" s="1"/>
  <c r="AF575" i="9"/>
  <c r="AE575" i="9"/>
  <c r="V575" i="9" s="1"/>
  <c r="AD575" i="9"/>
  <c r="AC575" i="9"/>
  <c r="AB575" i="9"/>
  <c r="AA575" i="9"/>
  <c r="Z575" i="9"/>
  <c r="Y575" i="9"/>
  <c r="AF574" i="9"/>
  <c r="AE574" i="9"/>
  <c r="V574" i="9" s="1"/>
  <c r="AD574" i="9"/>
  <c r="AC574" i="9"/>
  <c r="AB574" i="9"/>
  <c r="AA574" i="9"/>
  <c r="Z574" i="9"/>
  <c r="Y574" i="9"/>
  <c r="T574" i="9" s="1"/>
  <c r="AF573" i="9"/>
  <c r="V573" i="9" s="1"/>
  <c r="AE573" i="9"/>
  <c r="AD573" i="9"/>
  <c r="AC573" i="9"/>
  <c r="AB573" i="9"/>
  <c r="AA573" i="9"/>
  <c r="Z573" i="9"/>
  <c r="Y573" i="9"/>
  <c r="AF572" i="9"/>
  <c r="AE572" i="9"/>
  <c r="V572" i="9" s="1"/>
  <c r="AD572" i="9"/>
  <c r="AC572" i="9"/>
  <c r="AB572" i="9"/>
  <c r="AA572" i="9"/>
  <c r="Z572" i="9"/>
  <c r="Y572" i="9"/>
  <c r="T572" i="9" s="1"/>
  <c r="AF571" i="9"/>
  <c r="V571" i="9" s="1"/>
  <c r="AE571" i="9"/>
  <c r="AD571" i="9"/>
  <c r="AC571" i="9"/>
  <c r="AB571" i="9"/>
  <c r="AA571" i="9"/>
  <c r="Z571" i="9"/>
  <c r="Y571" i="9"/>
  <c r="T571" i="9" s="1"/>
  <c r="AF570" i="9"/>
  <c r="V570" i="9" s="1"/>
  <c r="AE570" i="9"/>
  <c r="AD570" i="9"/>
  <c r="AC570" i="9"/>
  <c r="AB570" i="9"/>
  <c r="AA570" i="9"/>
  <c r="Z570" i="9"/>
  <c r="Y570" i="9"/>
  <c r="AF569" i="9"/>
  <c r="AE569" i="9"/>
  <c r="V569" i="9" s="1"/>
  <c r="AD569" i="9"/>
  <c r="AC569" i="9"/>
  <c r="AB569" i="9"/>
  <c r="AA569" i="9"/>
  <c r="Z569" i="9"/>
  <c r="Y569" i="9"/>
  <c r="T569" i="9" s="1"/>
  <c r="AF568" i="9"/>
  <c r="AE568" i="9"/>
  <c r="AD568" i="9"/>
  <c r="AC568" i="9"/>
  <c r="AB568" i="9"/>
  <c r="AA568" i="9"/>
  <c r="Z568" i="9"/>
  <c r="Y568" i="9"/>
  <c r="AF567" i="9"/>
  <c r="AE567" i="9"/>
  <c r="AD567" i="9"/>
  <c r="AC567" i="9"/>
  <c r="AB567" i="9"/>
  <c r="AA567" i="9"/>
  <c r="T567" i="9" s="1"/>
  <c r="Z567" i="9"/>
  <c r="Y567" i="9"/>
  <c r="AF566" i="9"/>
  <c r="AE566" i="9"/>
  <c r="V566" i="9" s="1"/>
  <c r="AD566" i="9"/>
  <c r="AC566" i="9"/>
  <c r="AB566" i="9"/>
  <c r="U566" i="9" s="1"/>
  <c r="AA566" i="9"/>
  <c r="Z566" i="9"/>
  <c r="Y566" i="9"/>
  <c r="AF565" i="9"/>
  <c r="AE565" i="9"/>
  <c r="AD565" i="9"/>
  <c r="AC565" i="9"/>
  <c r="AB565" i="9"/>
  <c r="AA565" i="9"/>
  <c r="Z565" i="9"/>
  <c r="Y565" i="9"/>
  <c r="V565" i="9"/>
  <c r="AF564" i="9"/>
  <c r="AE564" i="9"/>
  <c r="AD564" i="9"/>
  <c r="AC564" i="9"/>
  <c r="AB564" i="9"/>
  <c r="AA564" i="9"/>
  <c r="Z564" i="9"/>
  <c r="Y564" i="9"/>
  <c r="T564" i="9" s="1"/>
  <c r="AF563" i="9"/>
  <c r="V563" i="9" s="1"/>
  <c r="AE563" i="9"/>
  <c r="AD563" i="9"/>
  <c r="AC563" i="9"/>
  <c r="AB563" i="9"/>
  <c r="AA563" i="9"/>
  <c r="Z563" i="9"/>
  <c r="Y563" i="9"/>
  <c r="T563" i="9" s="1"/>
  <c r="AF562" i="9"/>
  <c r="AE562" i="9"/>
  <c r="V562" i="9" s="1"/>
  <c r="AD562" i="9"/>
  <c r="AC562" i="9"/>
  <c r="AB562" i="9"/>
  <c r="AA562" i="9"/>
  <c r="Z562" i="9"/>
  <c r="Y562" i="9"/>
  <c r="T562" i="9" s="1"/>
  <c r="AF561" i="9"/>
  <c r="AE561" i="9"/>
  <c r="AD561" i="9"/>
  <c r="AC561" i="9"/>
  <c r="AB561" i="9"/>
  <c r="AA561" i="9"/>
  <c r="Z561" i="9"/>
  <c r="Y561" i="9"/>
  <c r="T561" i="9" s="1"/>
  <c r="V561" i="9"/>
  <c r="AF560" i="9"/>
  <c r="AE560" i="9"/>
  <c r="AD560" i="9"/>
  <c r="AC560" i="9"/>
  <c r="AB560" i="9"/>
  <c r="AA560" i="9"/>
  <c r="Z560" i="9"/>
  <c r="Y560" i="9"/>
  <c r="T560" i="9" s="1"/>
  <c r="AF559" i="9"/>
  <c r="AE559" i="9"/>
  <c r="AD559" i="9"/>
  <c r="AC559" i="9"/>
  <c r="AB559" i="9"/>
  <c r="AA559" i="9"/>
  <c r="T559" i="9" s="1"/>
  <c r="Z559" i="9"/>
  <c r="Y559" i="9"/>
  <c r="AF558" i="9"/>
  <c r="AE558" i="9"/>
  <c r="V558" i="9" s="1"/>
  <c r="AD558" i="9"/>
  <c r="AC558" i="9"/>
  <c r="AB558" i="9"/>
  <c r="AA558" i="9"/>
  <c r="Z558" i="9"/>
  <c r="Y558" i="9"/>
  <c r="T558" i="9" s="1"/>
  <c r="AF557" i="9"/>
  <c r="AE557" i="9"/>
  <c r="AD557" i="9"/>
  <c r="AC557" i="9"/>
  <c r="AB557" i="9"/>
  <c r="AA557" i="9"/>
  <c r="Z557" i="9"/>
  <c r="Y557" i="9"/>
  <c r="T557" i="9"/>
  <c r="AF556" i="9"/>
  <c r="AE556" i="9"/>
  <c r="V556" i="9" s="1"/>
  <c r="AD556" i="9"/>
  <c r="AC556" i="9"/>
  <c r="AB556" i="9"/>
  <c r="U556" i="9" s="1"/>
  <c r="AA556" i="9"/>
  <c r="Z556" i="9"/>
  <c r="Y556" i="9"/>
  <c r="T556" i="9"/>
  <c r="AF555" i="9"/>
  <c r="AE555" i="9"/>
  <c r="AD555" i="9"/>
  <c r="AC555" i="9"/>
  <c r="AB555" i="9"/>
  <c r="AA555" i="9"/>
  <c r="Z555" i="9"/>
  <c r="Y555" i="9"/>
  <c r="AF554" i="9"/>
  <c r="AE554" i="9"/>
  <c r="AD554" i="9"/>
  <c r="AC554" i="9"/>
  <c r="AB554" i="9"/>
  <c r="AA554" i="9"/>
  <c r="Z554" i="9"/>
  <c r="Y554" i="9"/>
  <c r="AF553" i="9"/>
  <c r="AE553" i="9"/>
  <c r="V553" i="9" s="1"/>
  <c r="AD553" i="9"/>
  <c r="AC553" i="9"/>
  <c r="AB553" i="9"/>
  <c r="AA553" i="9"/>
  <c r="T553" i="9" s="1"/>
  <c r="Z553" i="9"/>
  <c r="Y553" i="9"/>
  <c r="AF552" i="9"/>
  <c r="AE552" i="9"/>
  <c r="AD552" i="9"/>
  <c r="AC552" i="9"/>
  <c r="AB552" i="9"/>
  <c r="AA552" i="9"/>
  <c r="Z552" i="9"/>
  <c r="Y552" i="9"/>
  <c r="AF551" i="9"/>
  <c r="AE551" i="9"/>
  <c r="V551" i="9" s="1"/>
  <c r="AD551" i="9"/>
  <c r="AC551" i="9"/>
  <c r="AB551" i="9"/>
  <c r="AA551" i="9"/>
  <c r="Z551" i="9"/>
  <c r="Y551" i="9"/>
  <c r="AF550" i="9"/>
  <c r="AE550" i="9"/>
  <c r="AD550" i="9"/>
  <c r="AC550" i="9"/>
  <c r="AB550" i="9"/>
  <c r="AA550" i="9"/>
  <c r="Z550" i="9"/>
  <c r="Y550" i="9"/>
  <c r="AF549" i="9"/>
  <c r="AE549" i="9"/>
  <c r="AD549" i="9"/>
  <c r="AC549" i="9"/>
  <c r="AB549" i="9"/>
  <c r="AA549" i="9"/>
  <c r="Z549" i="9"/>
  <c r="Y549" i="9"/>
  <c r="AF548" i="9"/>
  <c r="AE548" i="9"/>
  <c r="AD548" i="9"/>
  <c r="AC548" i="9"/>
  <c r="AB548" i="9"/>
  <c r="AA548" i="9"/>
  <c r="T548" i="9" s="1"/>
  <c r="Z548" i="9"/>
  <c r="Y548" i="9"/>
  <c r="AF547" i="9"/>
  <c r="AE547" i="9"/>
  <c r="AD547" i="9"/>
  <c r="AC547" i="9"/>
  <c r="AB547" i="9"/>
  <c r="AA547" i="9"/>
  <c r="Z547" i="9"/>
  <c r="Y547" i="9"/>
  <c r="T547" i="9"/>
  <c r="AF546" i="9"/>
  <c r="V546" i="9" s="1"/>
  <c r="AE546" i="9"/>
  <c r="AD546" i="9"/>
  <c r="AC546" i="9"/>
  <c r="AB546" i="9"/>
  <c r="AA546" i="9"/>
  <c r="Z546" i="9"/>
  <c r="Y546" i="9"/>
  <c r="T546" i="9" s="1"/>
  <c r="AF545" i="9"/>
  <c r="AE545" i="9"/>
  <c r="V545" i="9" s="1"/>
  <c r="AD545" i="9"/>
  <c r="AC545" i="9"/>
  <c r="AB545" i="9"/>
  <c r="AA545" i="9"/>
  <c r="Z545" i="9"/>
  <c r="Y545" i="9"/>
  <c r="AF544" i="9"/>
  <c r="V544" i="9" s="1"/>
  <c r="AE544" i="9"/>
  <c r="AD544" i="9"/>
  <c r="AC544" i="9"/>
  <c r="AB544" i="9"/>
  <c r="AA544" i="9"/>
  <c r="Z544" i="9"/>
  <c r="Y544" i="9"/>
  <c r="AF543" i="9"/>
  <c r="V543" i="9" s="1"/>
  <c r="AE543" i="9"/>
  <c r="AD543" i="9"/>
  <c r="AC543" i="9"/>
  <c r="AB543" i="9"/>
  <c r="AA543" i="9"/>
  <c r="Z543" i="9"/>
  <c r="Y543" i="9"/>
  <c r="T543" i="9" s="1"/>
  <c r="AF542" i="9"/>
  <c r="AE542" i="9"/>
  <c r="AD542" i="9"/>
  <c r="AC542" i="9"/>
  <c r="AB542" i="9"/>
  <c r="AA542" i="9"/>
  <c r="Z542" i="9"/>
  <c r="Y542" i="9"/>
  <c r="AF541" i="9"/>
  <c r="AE541" i="9"/>
  <c r="AD541" i="9"/>
  <c r="AC541" i="9"/>
  <c r="AB541" i="9"/>
  <c r="U541" i="9" s="1"/>
  <c r="AA541" i="9"/>
  <c r="Z541" i="9"/>
  <c r="Y541" i="9"/>
  <c r="T541" i="9" s="1"/>
  <c r="V541" i="9"/>
  <c r="AF540" i="9"/>
  <c r="V540" i="9" s="1"/>
  <c r="AE540" i="9"/>
  <c r="AD540" i="9"/>
  <c r="AC540" i="9"/>
  <c r="AB540" i="9"/>
  <c r="AA540" i="9"/>
  <c r="Z540" i="9"/>
  <c r="Y540" i="9"/>
  <c r="AF539" i="9"/>
  <c r="AE539" i="9"/>
  <c r="V539" i="9" s="1"/>
  <c r="AD539" i="9"/>
  <c r="AC539" i="9"/>
  <c r="AB539" i="9"/>
  <c r="AA539" i="9"/>
  <c r="Z539" i="9"/>
  <c r="Y539" i="9"/>
  <c r="AF538" i="9"/>
  <c r="AE538" i="9"/>
  <c r="V538" i="9" s="1"/>
  <c r="AD538" i="9"/>
  <c r="AC538" i="9"/>
  <c r="AB538" i="9"/>
  <c r="AA538" i="9"/>
  <c r="Z538" i="9"/>
  <c r="Y538" i="9"/>
  <c r="T538" i="9" s="1"/>
  <c r="AF537" i="9"/>
  <c r="V537" i="9" s="1"/>
  <c r="AE537" i="9"/>
  <c r="AD537" i="9"/>
  <c r="AC537" i="9"/>
  <c r="AB537" i="9"/>
  <c r="AA537" i="9"/>
  <c r="Z537" i="9"/>
  <c r="Y537" i="9"/>
  <c r="AF536" i="9"/>
  <c r="AE536" i="9"/>
  <c r="V536" i="9" s="1"/>
  <c r="AD536" i="9"/>
  <c r="AC536" i="9"/>
  <c r="U536" i="9" s="1"/>
  <c r="AB536" i="9"/>
  <c r="AA536" i="9"/>
  <c r="Z536" i="9"/>
  <c r="Y536" i="9"/>
  <c r="T536" i="9" s="1"/>
  <c r="AF535" i="9"/>
  <c r="AE535" i="9"/>
  <c r="AD535" i="9"/>
  <c r="AC535" i="9"/>
  <c r="AB535" i="9"/>
  <c r="AA535" i="9"/>
  <c r="Z535" i="9"/>
  <c r="Y535" i="9"/>
  <c r="AF534" i="9"/>
  <c r="AE534" i="9"/>
  <c r="V534" i="9" s="1"/>
  <c r="AD534" i="9"/>
  <c r="AC534" i="9"/>
  <c r="AB534" i="9"/>
  <c r="AA534" i="9"/>
  <c r="Z534" i="9"/>
  <c r="Y534" i="9"/>
  <c r="T534" i="9" s="1"/>
  <c r="AF533" i="9"/>
  <c r="AE533" i="9"/>
  <c r="AD533" i="9"/>
  <c r="AC533" i="9"/>
  <c r="AB533" i="9"/>
  <c r="AA533" i="9"/>
  <c r="Z533" i="9"/>
  <c r="Y533" i="9"/>
  <c r="AF532" i="9"/>
  <c r="AE532" i="9"/>
  <c r="V532" i="9" s="1"/>
  <c r="AD532" i="9"/>
  <c r="AC532" i="9"/>
  <c r="AB532" i="9"/>
  <c r="AA532" i="9"/>
  <c r="Z532" i="9"/>
  <c r="Y532" i="9"/>
  <c r="AF531" i="9"/>
  <c r="V531" i="9" s="1"/>
  <c r="AE531" i="9"/>
  <c r="AD531" i="9"/>
  <c r="AC531" i="9"/>
  <c r="AB531" i="9"/>
  <c r="AA531" i="9"/>
  <c r="Z531" i="9"/>
  <c r="Y531" i="9"/>
  <c r="T531" i="9"/>
  <c r="AF530" i="9"/>
  <c r="AE530" i="9"/>
  <c r="AD530" i="9"/>
  <c r="AC530" i="9"/>
  <c r="AB530" i="9"/>
  <c r="AA530" i="9"/>
  <c r="Z530" i="9"/>
  <c r="Y530" i="9"/>
  <c r="AF529" i="9"/>
  <c r="AE529" i="9"/>
  <c r="V529" i="9" s="1"/>
  <c r="AD529" i="9"/>
  <c r="AC529" i="9"/>
  <c r="AB529" i="9"/>
  <c r="U529" i="9" s="1"/>
  <c r="AA529" i="9"/>
  <c r="Z529" i="9"/>
  <c r="Y529" i="9"/>
  <c r="AF528" i="9"/>
  <c r="AE528" i="9"/>
  <c r="V528" i="9" s="1"/>
  <c r="AD528" i="9"/>
  <c r="AC528" i="9"/>
  <c r="AB528" i="9"/>
  <c r="U528" i="9" s="1"/>
  <c r="AA528" i="9"/>
  <c r="T528" i="9" s="1"/>
  <c r="Z528" i="9"/>
  <c r="Y528" i="9"/>
  <c r="AF527" i="9"/>
  <c r="AE527" i="9"/>
  <c r="V527" i="9" s="1"/>
  <c r="AD527" i="9"/>
  <c r="AC527" i="9"/>
  <c r="AB527" i="9"/>
  <c r="U527" i="9" s="1"/>
  <c r="AA527" i="9"/>
  <c r="T527" i="9" s="1"/>
  <c r="Z527" i="9"/>
  <c r="Y527" i="9"/>
  <c r="AF526" i="9"/>
  <c r="AE526" i="9"/>
  <c r="V526" i="9" s="1"/>
  <c r="AD526" i="9"/>
  <c r="AC526" i="9"/>
  <c r="AB526" i="9"/>
  <c r="AA526" i="9"/>
  <c r="Z526" i="9"/>
  <c r="Y526" i="9"/>
  <c r="AF525" i="9"/>
  <c r="AE525" i="9"/>
  <c r="AD525" i="9"/>
  <c r="AC525" i="9"/>
  <c r="AB525" i="9"/>
  <c r="AA525" i="9"/>
  <c r="Z525" i="9"/>
  <c r="Y525" i="9"/>
  <c r="V525" i="9"/>
  <c r="AF524" i="9"/>
  <c r="V524" i="9" s="1"/>
  <c r="AE524" i="9"/>
  <c r="AD524" i="9"/>
  <c r="AC524" i="9"/>
  <c r="AB524" i="9"/>
  <c r="U524" i="9" s="1"/>
  <c r="AA524" i="9"/>
  <c r="Z524" i="9"/>
  <c r="Y524" i="9"/>
  <c r="T524" i="9" s="1"/>
  <c r="AF523" i="9"/>
  <c r="AE523" i="9"/>
  <c r="AD523" i="9"/>
  <c r="AC523" i="9"/>
  <c r="AB523" i="9"/>
  <c r="AA523" i="9"/>
  <c r="Z523" i="9"/>
  <c r="Y523" i="9"/>
  <c r="AF522" i="9"/>
  <c r="AE522" i="9"/>
  <c r="AD522" i="9"/>
  <c r="AC522" i="9"/>
  <c r="AB522" i="9"/>
  <c r="AA522" i="9"/>
  <c r="Z522" i="9"/>
  <c r="Y522" i="9"/>
  <c r="AF521" i="9"/>
  <c r="AE521" i="9"/>
  <c r="AD521" i="9"/>
  <c r="AC521" i="9"/>
  <c r="AB521" i="9"/>
  <c r="U521" i="9" s="1"/>
  <c r="AA521" i="9"/>
  <c r="Z521" i="9"/>
  <c r="Y521" i="9"/>
  <c r="V521" i="9"/>
  <c r="T521" i="9"/>
  <c r="AF520" i="9"/>
  <c r="AE520" i="9"/>
  <c r="V520" i="9" s="1"/>
  <c r="AD520" i="9"/>
  <c r="AC520" i="9"/>
  <c r="AB520" i="9"/>
  <c r="AA520" i="9"/>
  <c r="Z520" i="9"/>
  <c r="Y520" i="9"/>
  <c r="T520" i="9"/>
  <c r="AF519" i="9"/>
  <c r="V519" i="9" s="1"/>
  <c r="AE519" i="9"/>
  <c r="AD519" i="9"/>
  <c r="AC519" i="9"/>
  <c r="AB519" i="9"/>
  <c r="AA519" i="9"/>
  <c r="T519" i="9" s="1"/>
  <c r="Z519" i="9"/>
  <c r="Y519" i="9"/>
  <c r="AF518" i="9"/>
  <c r="V518" i="9" s="1"/>
  <c r="AE518" i="9"/>
  <c r="AD518" i="9"/>
  <c r="AC518" i="9"/>
  <c r="AB518" i="9"/>
  <c r="U518" i="9" s="1"/>
  <c r="AA518" i="9"/>
  <c r="Z518" i="9"/>
  <c r="Y518" i="9"/>
  <c r="AF517" i="9"/>
  <c r="AE517" i="9"/>
  <c r="V517" i="9" s="1"/>
  <c r="AD517" i="9"/>
  <c r="AC517" i="9"/>
  <c r="AB517" i="9"/>
  <c r="AA517" i="9"/>
  <c r="Z517" i="9"/>
  <c r="Y517" i="9"/>
  <c r="T517" i="9" s="1"/>
  <c r="AF516" i="9"/>
  <c r="AE516" i="9"/>
  <c r="V516" i="9" s="1"/>
  <c r="AD516" i="9"/>
  <c r="AC516" i="9"/>
  <c r="AB516" i="9"/>
  <c r="AA516" i="9"/>
  <c r="Z516" i="9"/>
  <c r="Y516" i="9"/>
  <c r="AF515" i="9"/>
  <c r="AE515" i="9"/>
  <c r="V515" i="9" s="1"/>
  <c r="AD515" i="9"/>
  <c r="AC515" i="9"/>
  <c r="AB515" i="9"/>
  <c r="AA515" i="9"/>
  <c r="Z515" i="9"/>
  <c r="Y515" i="9"/>
  <c r="AF514" i="9"/>
  <c r="AE514" i="9"/>
  <c r="V514" i="9" s="1"/>
  <c r="AD514" i="9"/>
  <c r="AC514" i="9"/>
  <c r="AB514" i="9"/>
  <c r="U514" i="9" s="1"/>
  <c r="AA514" i="9"/>
  <c r="T514" i="9" s="1"/>
  <c r="Z514" i="9"/>
  <c r="Y514" i="9"/>
  <c r="AF513" i="9"/>
  <c r="AE513" i="9"/>
  <c r="AD513" i="9"/>
  <c r="AC513" i="9"/>
  <c r="U513" i="9" s="1"/>
  <c r="AB513" i="9"/>
  <c r="AA513" i="9"/>
  <c r="Z513" i="9"/>
  <c r="T513" i="9" s="1"/>
  <c r="Y513" i="9"/>
  <c r="AF512" i="9"/>
  <c r="AE512" i="9"/>
  <c r="V512" i="9" s="1"/>
  <c r="AD512" i="9"/>
  <c r="AC512" i="9"/>
  <c r="AB512" i="9"/>
  <c r="AA512" i="9"/>
  <c r="Z512" i="9"/>
  <c r="Y512" i="9"/>
  <c r="T512" i="9" s="1"/>
  <c r="AF511" i="9"/>
  <c r="AE511" i="9"/>
  <c r="AD511" i="9"/>
  <c r="AC511" i="9"/>
  <c r="AB511" i="9"/>
  <c r="AA511" i="9"/>
  <c r="Z511" i="9"/>
  <c r="Y511" i="9"/>
  <c r="AF510" i="9"/>
  <c r="AE510" i="9"/>
  <c r="AD510" i="9"/>
  <c r="AC510" i="9"/>
  <c r="AB510" i="9"/>
  <c r="AA510" i="9"/>
  <c r="Z510" i="9"/>
  <c r="Y510" i="9"/>
  <c r="T510" i="9"/>
  <c r="AF509" i="9"/>
  <c r="V509" i="9" s="1"/>
  <c r="AE509" i="9"/>
  <c r="AD509" i="9"/>
  <c r="AC509" i="9"/>
  <c r="AB509" i="9"/>
  <c r="U509" i="9" s="1"/>
  <c r="AA509" i="9"/>
  <c r="Z509" i="9"/>
  <c r="Y509" i="9"/>
  <c r="T509" i="9"/>
  <c r="AF508" i="9"/>
  <c r="AE508" i="9"/>
  <c r="AD508" i="9"/>
  <c r="AC508" i="9"/>
  <c r="AB508" i="9"/>
  <c r="AA508" i="9"/>
  <c r="Z508" i="9"/>
  <c r="Y508" i="9"/>
  <c r="T508" i="9" s="1"/>
  <c r="AF507" i="9"/>
  <c r="AE507" i="9"/>
  <c r="V507" i="9" s="1"/>
  <c r="AD507" i="9"/>
  <c r="AC507" i="9"/>
  <c r="U507" i="9" s="1"/>
  <c r="AB507" i="9"/>
  <c r="AA507" i="9"/>
  <c r="Z507" i="9"/>
  <c r="Y507" i="9"/>
  <c r="AF506" i="9"/>
  <c r="AE506" i="9"/>
  <c r="AD506" i="9"/>
  <c r="AC506" i="9"/>
  <c r="AB506" i="9"/>
  <c r="U506" i="9" s="1"/>
  <c r="AA506" i="9"/>
  <c r="Z506" i="9"/>
  <c r="Y506" i="9"/>
  <c r="T506" i="9" s="1"/>
  <c r="AF505" i="9"/>
  <c r="AE505" i="9"/>
  <c r="AD505" i="9"/>
  <c r="AC505" i="9"/>
  <c r="U505" i="9" s="1"/>
  <c r="AB505" i="9"/>
  <c r="AA505" i="9"/>
  <c r="Z505" i="9"/>
  <c r="Y505" i="9"/>
  <c r="AF504" i="9"/>
  <c r="AE504" i="9"/>
  <c r="AD504" i="9"/>
  <c r="AC504" i="9"/>
  <c r="AB504" i="9"/>
  <c r="AA504" i="9"/>
  <c r="Z504" i="9"/>
  <c r="Y504" i="9"/>
  <c r="AF503" i="9"/>
  <c r="AE503" i="9"/>
  <c r="AD503" i="9"/>
  <c r="AC503" i="9"/>
  <c r="AB503" i="9"/>
  <c r="AA503" i="9"/>
  <c r="Z503" i="9"/>
  <c r="Y503" i="9"/>
  <c r="T503" i="9" s="1"/>
  <c r="V503" i="9"/>
  <c r="AF502" i="9"/>
  <c r="AE502" i="9"/>
  <c r="V502" i="9" s="1"/>
  <c r="AD502" i="9"/>
  <c r="AC502" i="9"/>
  <c r="AB502" i="9"/>
  <c r="AA502" i="9"/>
  <c r="Z502" i="9"/>
  <c r="Y502" i="9"/>
  <c r="T502" i="9" s="1"/>
  <c r="AF501" i="9"/>
  <c r="AE501" i="9"/>
  <c r="AD501" i="9"/>
  <c r="AC501" i="9"/>
  <c r="AB501" i="9"/>
  <c r="U501" i="9" s="1"/>
  <c r="AA501" i="9"/>
  <c r="Z501" i="9"/>
  <c r="Y501" i="9"/>
  <c r="T501" i="9"/>
  <c r="AF500" i="9"/>
  <c r="AE500" i="9"/>
  <c r="AD500" i="9"/>
  <c r="AC500" i="9"/>
  <c r="AB500" i="9"/>
  <c r="AA500" i="9"/>
  <c r="Z500" i="9"/>
  <c r="Y500" i="9"/>
  <c r="T500" i="9" s="1"/>
  <c r="V500" i="9"/>
  <c r="AF499" i="9"/>
  <c r="AE499" i="9"/>
  <c r="V499" i="9" s="1"/>
  <c r="AD499" i="9"/>
  <c r="AC499" i="9"/>
  <c r="AB499" i="9"/>
  <c r="AA499" i="9"/>
  <c r="Z499" i="9"/>
  <c r="Y499" i="9"/>
  <c r="AF498" i="9"/>
  <c r="AE498" i="9"/>
  <c r="V498" i="9" s="1"/>
  <c r="AD498" i="9"/>
  <c r="AC498" i="9"/>
  <c r="AB498" i="9"/>
  <c r="U498" i="9" s="1"/>
  <c r="AA498" i="9"/>
  <c r="Z498" i="9"/>
  <c r="Y498" i="9"/>
  <c r="T498" i="9"/>
  <c r="AF497" i="9"/>
  <c r="AE497" i="9"/>
  <c r="AD497" i="9"/>
  <c r="AC497" i="9"/>
  <c r="AB497" i="9"/>
  <c r="AA497" i="9"/>
  <c r="Z497" i="9"/>
  <c r="Y497" i="9"/>
  <c r="AF496" i="9"/>
  <c r="AE496" i="9"/>
  <c r="AD496" i="9"/>
  <c r="AC496" i="9"/>
  <c r="AB496" i="9"/>
  <c r="AA496" i="9"/>
  <c r="Z496" i="9"/>
  <c r="Y496" i="9"/>
  <c r="T496" i="9" s="1"/>
  <c r="V496" i="9"/>
  <c r="AF495" i="9"/>
  <c r="V495" i="9" s="1"/>
  <c r="AE495" i="9"/>
  <c r="AD495" i="9"/>
  <c r="AC495" i="9"/>
  <c r="AB495" i="9"/>
  <c r="AA495" i="9"/>
  <c r="Z495" i="9"/>
  <c r="Y495" i="9"/>
  <c r="AF494" i="9"/>
  <c r="AE494" i="9"/>
  <c r="AD494" i="9"/>
  <c r="AC494" i="9"/>
  <c r="AB494" i="9"/>
  <c r="AA494" i="9"/>
  <c r="Z494" i="9"/>
  <c r="Y494" i="9"/>
  <c r="AF493" i="9"/>
  <c r="AE493" i="9"/>
  <c r="V493" i="9" s="1"/>
  <c r="AD493" i="9"/>
  <c r="AC493" i="9"/>
  <c r="AB493" i="9"/>
  <c r="U493" i="9" s="1"/>
  <c r="AA493" i="9"/>
  <c r="Z493" i="9"/>
  <c r="Y493" i="9"/>
  <c r="T493" i="9"/>
  <c r="AF492" i="9"/>
  <c r="AE492" i="9"/>
  <c r="AD492" i="9"/>
  <c r="AC492" i="9"/>
  <c r="AB492" i="9"/>
  <c r="AA492" i="9"/>
  <c r="T492" i="9" s="1"/>
  <c r="Z492" i="9"/>
  <c r="Y492" i="9"/>
  <c r="AF491" i="9"/>
  <c r="AE491" i="9"/>
  <c r="V491" i="9" s="1"/>
  <c r="AD491" i="9"/>
  <c r="AC491" i="9"/>
  <c r="AB491" i="9"/>
  <c r="AA491" i="9"/>
  <c r="Z491" i="9"/>
  <c r="Y491" i="9"/>
  <c r="AF490" i="9"/>
  <c r="AE490" i="9"/>
  <c r="AD490" i="9"/>
  <c r="AC490" i="9"/>
  <c r="AB490" i="9"/>
  <c r="AA490" i="9"/>
  <c r="Z490" i="9"/>
  <c r="Y490" i="9"/>
  <c r="T490" i="9"/>
  <c r="AF489" i="9"/>
  <c r="AE489" i="9"/>
  <c r="V489" i="9" s="1"/>
  <c r="AD489" i="9"/>
  <c r="AC489" i="9"/>
  <c r="AB489" i="9"/>
  <c r="AA489" i="9"/>
  <c r="Z489" i="9"/>
  <c r="Y489" i="9"/>
  <c r="AF488" i="9"/>
  <c r="V488" i="9" s="1"/>
  <c r="AE488" i="9"/>
  <c r="AD488" i="9"/>
  <c r="AC488" i="9"/>
  <c r="AB488" i="9"/>
  <c r="AA488" i="9"/>
  <c r="Z488" i="9"/>
  <c r="Y488" i="9"/>
  <c r="AF487" i="9"/>
  <c r="AE487" i="9"/>
  <c r="V487" i="9" s="1"/>
  <c r="AD487" i="9"/>
  <c r="AC487" i="9"/>
  <c r="AB487" i="9"/>
  <c r="U487" i="9" s="1"/>
  <c r="AA487" i="9"/>
  <c r="Z487" i="9"/>
  <c r="Y487" i="9"/>
  <c r="AF486" i="9"/>
  <c r="AE486" i="9"/>
  <c r="V486" i="9" s="1"/>
  <c r="AD486" i="9"/>
  <c r="AC486" i="9"/>
  <c r="AB486" i="9"/>
  <c r="AA486" i="9"/>
  <c r="T486" i="9" s="1"/>
  <c r="Z486" i="9"/>
  <c r="Y486" i="9"/>
  <c r="AF485" i="9"/>
  <c r="AE485" i="9"/>
  <c r="AD485" i="9"/>
  <c r="AC485" i="9"/>
  <c r="AB485" i="9"/>
  <c r="U485" i="9" s="1"/>
  <c r="AA485" i="9"/>
  <c r="Z485" i="9"/>
  <c r="Y485" i="9"/>
  <c r="T485" i="9" s="1"/>
  <c r="AF484" i="9"/>
  <c r="AE484" i="9"/>
  <c r="V484" i="9" s="1"/>
  <c r="AD484" i="9"/>
  <c r="AC484" i="9"/>
  <c r="AB484" i="9"/>
  <c r="AA484" i="9"/>
  <c r="T484" i="9" s="1"/>
  <c r="Z484" i="9"/>
  <c r="Y484" i="9"/>
  <c r="AF483" i="9"/>
  <c r="AE483" i="9"/>
  <c r="AD483" i="9"/>
  <c r="AC483" i="9"/>
  <c r="AB483" i="9"/>
  <c r="U483" i="9" s="1"/>
  <c r="AA483" i="9"/>
  <c r="Z483" i="9"/>
  <c r="Y483" i="9"/>
  <c r="T483" i="9" s="1"/>
  <c r="V483" i="9"/>
  <c r="AF482" i="9"/>
  <c r="AE482" i="9"/>
  <c r="V482" i="9" s="1"/>
  <c r="AD482" i="9"/>
  <c r="AC482" i="9"/>
  <c r="AB482" i="9"/>
  <c r="AA482" i="9"/>
  <c r="Z482" i="9"/>
  <c r="Y482" i="9"/>
  <c r="T482" i="9" s="1"/>
  <c r="AF481" i="9"/>
  <c r="AE481" i="9"/>
  <c r="V481" i="9" s="1"/>
  <c r="AD481" i="9"/>
  <c r="AC481" i="9"/>
  <c r="AB481" i="9"/>
  <c r="U481" i="9" s="1"/>
  <c r="AA481" i="9"/>
  <c r="Z481" i="9"/>
  <c r="Y481" i="9"/>
  <c r="AF480" i="9"/>
  <c r="AE480" i="9"/>
  <c r="AD480" i="9"/>
  <c r="AC480" i="9"/>
  <c r="AB480" i="9"/>
  <c r="AA480" i="9"/>
  <c r="Z480" i="9"/>
  <c r="Y480" i="9"/>
  <c r="T480" i="9" s="1"/>
  <c r="AF479" i="9"/>
  <c r="AE479" i="9"/>
  <c r="AD479" i="9"/>
  <c r="AC479" i="9"/>
  <c r="AB479" i="9"/>
  <c r="U479" i="9" s="1"/>
  <c r="AA479" i="9"/>
  <c r="Z479" i="9"/>
  <c r="Y479" i="9"/>
  <c r="T479" i="9" s="1"/>
  <c r="V479" i="9"/>
  <c r="AF478" i="9"/>
  <c r="AE478" i="9"/>
  <c r="V478" i="9" s="1"/>
  <c r="AD478" i="9"/>
  <c r="AC478" i="9"/>
  <c r="AB478" i="9"/>
  <c r="AA478" i="9"/>
  <c r="Z478" i="9"/>
  <c r="Y478" i="9"/>
  <c r="T478" i="9" s="1"/>
  <c r="AF477" i="9"/>
  <c r="AE477" i="9"/>
  <c r="V477" i="9" s="1"/>
  <c r="AD477" i="9"/>
  <c r="AC477" i="9"/>
  <c r="AB477" i="9"/>
  <c r="AA477" i="9"/>
  <c r="T477" i="9" s="1"/>
  <c r="Z477" i="9"/>
  <c r="Y477" i="9"/>
  <c r="AF476" i="9"/>
  <c r="AE476" i="9"/>
  <c r="AD476" i="9"/>
  <c r="AC476" i="9"/>
  <c r="AB476" i="9"/>
  <c r="AA476" i="9"/>
  <c r="Z476" i="9"/>
  <c r="Y476" i="9"/>
  <c r="V476" i="9"/>
  <c r="T476" i="9"/>
  <c r="AF475" i="9"/>
  <c r="AE475" i="9"/>
  <c r="V475" i="9" s="1"/>
  <c r="AD475" i="9"/>
  <c r="AC475" i="9"/>
  <c r="AB475" i="9"/>
  <c r="U475" i="9" s="1"/>
  <c r="AA475" i="9"/>
  <c r="Z475" i="9"/>
  <c r="Y475" i="9"/>
  <c r="T475" i="9" s="1"/>
  <c r="AF474" i="9"/>
  <c r="AE474" i="9"/>
  <c r="V474" i="9" s="1"/>
  <c r="AD474" i="9"/>
  <c r="AC474" i="9"/>
  <c r="AB474" i="9"/>
  <c r="AA474" i="9"/>
  <c r="Z474" i="9"/>
  <c r="T474" i="9" s="1"/>
  <c r="Y474" i="9"/>
  <c r="AF473" i="9"/>
  <c r="AE473" i="9"/>
  <c r="AD473" i="9"/>
  <c r="AC473" i="9"/>
  <c r="AB473" i="9"/>
  <c r="U473" i="9" s="1"/>
  <c r="AA473" i="9"/>
  <c r="T473" i="9" s="1"/>
  <c r="Z473" i="9"/>
  <c r="Y473" i="9"/>
  <c r="AF472" i="9"/>
  <c r="AE472" i="9"/>
  <c r="AD472" i="9"/>
  <c r="AC472" i="9"/>
  <c r="AB472" i="9"/>
  <c r="AA472" i="9"/>
  <c r="Z472" i="9"/>
  <c r="Y472" i="9"/>
  <c r="V472" i="9"/>
  <c r="AF471" i="9"/>
  <c r="AE471" i="9"/>
  <c r="V471" i="9" s="1"/>
  <c r="AD471" i="9"/>
  <c r="AC471" i="9"/>
  <c r="AB471" i="9"/>
  <c r="AA471" i="9"/>
  <c r="Z471" i="9"/>
  <c r="Y471" i="9"/>
  <c r="AF470" i="9"/>
  <c r="AE470" i="9"/>
  <c r="V470" i="9" s="1"/>
  <c r="AD470" i="9"/>
  <c r="AC470" i="9"/>
  <c r="AB470" i="9"/>
  <c r="AA470" i="9"/>
  <c r="Z470" i="9"/>
  <c r="Y470" i="9"/>
  <c r="AF469" i="9"/>
  <c r="AE469" i="9"/>
  <c r="AD469" i="9"/>
  <c r="AC469" i="9"/>
  <c r="AB469" i="9"/>
  <c r="AA469" i="9"/>
  <c r="Z469" i="9"/>
  <c r="Y469" i="9"/>
  <c r="T469" i="9" s="1"/>
  <c r="AF468" i="9"/>
  <c r="AE468" i="9"/>
  <c r="V468" i="9" s="1"/>
  <c r="AD468" i="9"/>
  <c r="AC468" i="9"/>
  <c r="AB468" i="9"/>
  <c r="AA468" i="9"/>
  <c r="Z468" i="9"/>
  <c r="Y468" i="9"/>
  <c r="T468" i="9"/>
  <c r="AF467" i="9"/>
  <c r="AE467" i="9"/>
  <c r="AD467" i="9"/>
  <c r="AC467" i="9"/>
  <c r="AB467" i="9"/>
  <c r="AA467" i="9"/>
  <c r="Z467" i="9"/>
  <c r="Y467" i="9"/>
  <c r="T467" i="9" s="1"/>
  <c r="V467" i="9"/>
  <c r="AF466" i="9"/>
  <c r="AE466" i="9"/>
  <c r="V466" i="9" s="1"/>
  <c r="AD466" i="9"/>
  <c r="AC466" i="9"/>
  <c r="AB466" i="9"/>
  <c r="AA466" i="9"/>
  <c r="Z466" i="9"/>
  <c r="Y466" i="9"/>
  <c r="AF465" i="9"/>
  <c r="AE465" i="9"/>
  <c r="V465" i="9" s="1"/>
  <c r="AD465" i="9"/>
  <c r="AC465" i="9"/>
  <c r="AB465" i="9"/>
  <c r="U465" i="9" s="1"/>
  <c r="AA465" i="9"/>
  <c r="Z465" i="9"/>
  <c r="Y465" i="9"/>
  <c r="T465" i="9"/>
  <c r="AF464" i="9"/>
  <c r="V464" i="9" s="1"/>
  <c r="AE464" i="9"/>
  <c r="AD464" i="9"/>
  <c r="AC464" i="9"/>
  <c r="AB464" i="9"/>
  <c r="AA464" i="9"/>
  <c r="Z464" i="9"/>
  <c r="Y464" i="9"/>
  <c r="T464" i="9" s="1"/>
  <c r="AF463" i="9"/>
  <c r="AE463" i="9"/>
  <c r="AD463" i="9"/>
  <c r="AC463" i="9"/>
  <c r="AB463" i="9"/>
  <c r="AA463" i="9"/>
  <c r="Z463" i="9"/>
  <c r="Y463" i="9"/>
  <c r="V463" i="9"/>
  <c r="AF462" i="9"/>
  <c r="AE462" i="9"/>
  <c r="AD462" i="9"/>
  <c r="AC462" i="9"/>
  <c r="AB462" i="9"/>
  <c r="AA462" i="9"/>
  <c r="Z462" i="9"/>
  <c r="Y462" i="9"/>
  <c r="T462" i="9" s="1"/>
  <c r="AF461" i="9"/>
  <c r="AE461" i="9"/>
  <c r="AD461" i="9"/>
  <c r="AC461" i="9"/>
  <c r="AB461" i="9"/>
  <c r="AA461" i="9"/>
  <c r="Z461" i="9"/>
  <c r="Y461" i="9"/>
  <c r="T461" i="9" s="1"/>
  <c r="AF460" i="9"/>
  <c r="V460" i="9" s="1"/>
  <c r="AE460" i="9"/>
  <c r="AD460" i="9"/>
  <c r="AC460" i="9"/>
  <c r="AB460" i="9"/>
  <c r="AA460" i="9"/>
  <c r="Z460" i="9"/>
  <c r="Y460" i="9"/>
  <c r="AF459" i="9"/>
  <c r="AE459" i="9"/>
  <c r="V459" i="9" s="1"/>
  <c r="AD459" i="9"/>
  <c r="AC459" i="9"/>
  <c r="AB459" i="9"/>
  <c r="U459" i="9" s="1"/>
  <c r="AA459" i="9"/>
  <c r="Z459" i="9"/>
  <c r="Y459" i="9"/>
  <c r="AF458" i="9"/>
  <c r="AE458" i="9"/>
  <c r="V458" i="9" s="1"/>
  <c r="AD458" i="9"/>
  <c r="AC458" i="9"/>
  <c r="AB458" i="9"/>
  <c r="AA458" i="9"/>
  <c r="Z458" i="9"/>
  <c r="Y458" i="9"/>
  <c r="AF457" i="9"/>
  <c r="AE457" i="9"/>
  <c r="AD457" i="9"/>
  <c r="AC457" i="9"/>
  <c r="AB457" i="9"/>
  <c r="U457" i="9" s="1"/>
  <c r="AA457" i="9"/>
  <c r="Z457" i="9"/>
  <c r="Y457" i="9"/>
  <c r="AF456" i="9"/>
  <c r="AE456" i="9"/>
  <c r="AD456" i="9"/>
  <c r="AC456" i="9"/>
  <c r="AB456" i="9"/>
  <c r="AA456" i="9"/>
  <c r="Z456" i="9"/>
  <c r="Y456" i="9"/>
  <c r="V456" i="9"/>
  <c r="AF455" i="9"/>
  <c r="AE455" i="9"/>
  <c r="V455" i="9" s="1"/>
  <c r="AD455" i="9"/>
  <c r="AC455" i="9"/>
  <c r="AB455" i="9"/>
  <c r="AA455" i="9"/>
  <c r="Z455" i="9"/>
  <c r="Y455" i="9"/>
  <c r="AF454" i="9"/>
  <c r="AE454" i="9"/>
  <c r="AD454" i="9"/>
  <c r="AC454" i="9"/>
  <c r="AB454" i="9"/>
  <c r="AA454" i="9"/>
  <c r="Z454" i="9"/>
  <c r="Y454" i="9"/>
  <c r="AF453" i="9"/>
  <c r="AE453" i="9"/>
  <c r="AD453" i="9"/>
  <c r="AC453" i="9"/>
  <c r="U453" i="9" s="1"/>
  <c r="AB453" i="9"/>
  <c r="AA453" i="9"/>
  <c r="Z453" i="9"/>
  <c r="Y453" i="9"/>
  <c r="T453" i="9"/>
  <c r="AF452" i="9"/>
  <c r="V452" i="9" s="1"/>
  <c r="AE452" i="9"/>
  <c r="AD452" i="9"/>
  <c r="AC452" i="9"/>
  <c r="AB452" i="9"/>
  <c r="AA452" i="9"/>
  <c r="Z452" i="9"/>
  <c r="Y452" i="9"/>
  <c r="T452" i="9" s="1"/>
  <c r="AF451" i="9"/>
  <c r="AE451" i="9"/>
  <c r="AD451" i="9"/>
  <c r="AC451" i="9"/>
  <c r="AB451" i="9"/>
  <c r="AA451" i="9"/>
  <c r="Z451" i="9"/>
  <c r="Y451" i="9"/>
  <c r="V451" i="9"/>
  <c r="AF450" i="9"/>
  <c r="AE450" i="9"/>
  <c r="AD450" i="9"/>
  <c r="AC450" i="9"/>
  <c r="AB450" i="9"/>
  <c r="AA450" i="9"/>
  <c r="Z450" i="9"/>
  <c r="Y450" i="9"/>
  <c r="AF449" i="9"/>
  <c r="AE449" i="9"/>
  <c r="AD449" i="9"/>
  <c r="AC449" i="9"/>
  <c r="AB449" i="9"/>
  <c r="AA449" i="9"/>
  <c r="Z449" i="9"/>
  <c r="Y449" i="9"/>
  <c r="AF448" i="9"/>
  <c r="AE448" i="9"/>
  <c r="AD448" i="9"/>
  <c r="AC448" i="9"/>
  <c r="AB448" i="9"/>
  <c r="AA448" i="9"/>
  <c r="T448" i="9" s="1"/>
  <c r="Z448" i="9"/>
  <c r="Y448" i="9"/>
  <c r="AF447" i="9"/>
  <c r="AE447" i="9"/>
  <c r="V447" i="9" s="1"/>
  <c r="AD447" i="9"/>
  <c r="AC447" i="9"/>
  <c r="AB447" i="9"/>
  <c r="AA447" i="9"/>
  <c r="Z447" i="9"/>
  <c r="Y447" i="9"/>
  <c r="AF446" i="9"/>
  <c r="AE446" i="9"/>
  <c r="AD446" i="9"/>
  <c r="AC446" i="9"/>
  <c r="AB446" i="9"/>
  <c r="AA446" i="9"/>
  <c r="Z446" i="9"/>
  <c r="Y446" i="9"/>
  <c r="AF445" i="9"/>
  <c r="AE445" i="9"/>
  <c r="AD445" i="9"/>
  <c r="AC445" i="9"/>
  <c r="AB445" i="9"/>
  <c r="AA445" i="9"/>
  <c r="Z445" i="9"/>
  <c r="Y445" i="9"/>
  <c r="AF444" i="9"/>
  <c r="V444" i="9" s="1"/>
  <c r="AE444" i="9"/>
  <c r="AD444" i="9"/>
  <c r="AC444" i="9"/>
  <c r="AB444" i="9"/>
  <c r="AA444" i="9"/>
  <c r="Z444" i="9"/>
  <c r="Y444" i="9"/>
  <c r="T444" i="9"/>
  <c r="AF443" i="9"/>
  <c r="AE443" i="9"/>
  <c r="AD443" i="9"/>
  <c r="AC443" i="9"/>
  <c r="AB443" i="9"/>
  <c r="AA443" i="9"/>
  <c r="Z443" i="9"/>
  <c r="Y443" i="9"/>
  <c r="V443" i="9"/>
  <c r="AF442" i="9"/>
  <c r="AE442" i="9"/>
  <c r="AD442" i="9"/>
  <c r="AC442" i="9"/>
  <c r="AB442" i="9"/>
  <c r="AA442" i="9"/>
  <c r="Z442" i="9"/>
  <c r="Y442" i="9"/>
  <c r="AF441" i="9"/>
  <c r="AE441" i="9"/>
  <c r="AD441" i="9"/>
  <c r="AC441" i="9"/>
  <c r="AB441" i="9"/>
  <c r="AA441" i="9"/>
  <c r="Z441" i="9"/>
  <c r="Y441" i="9"/>
  <c r="U441" i="9"/>
  <c r="AF440" i="9"/>
  <c r="AE440" i="9"/>
  <c r="AD440" i="9"/>
  <c r="AC440" i="9"/>
  <c r="AB440" i="9"/>
  <c r="AA440" i="9"/>
  <c r="T440" i="9" s="1"/>
  <c r="Z440" i="9"/>
  <c r="Y440" i="9"/>
  <c r="V440" i="9"/>
  <c r="AF439" i="9"/>
  <c r="AE439" i="9"/>
  <c r="AD439" i="9"/>
  <c r="AC439" i="9"/>
  <c r="AB439" i="9"/>
  <c r="AA439" i="9"/>
  <c r="Z439" i="9"/>
  <c r="Y439" i="9"/>
  <c r="AF438" i="9"/>
  <c r="AE438" i="9"/>
  <c r="AD438" i="9"/>
  <c r="AC438" i="9"/>
  <c r="AB438" i="9"/>
  <c r="AA438" i="9"/>
  <c r="Z438" i="9"/>
  <c r="Y438" i="9"/>
  <c r="T438" i="9" s="1"/>
  <c r="AF437" i="9"/>
  <c r="AE437" i="9"/>
  <c r="V437" i="9" s="1"/>
  <c r="AD437" i="9"/>
  <c r="AC437" i="9"/>
  <c r="AB437" i="9"/>
  <c r="U437" i="9" s="1"/>
  <c r="AA437" i="9"/>
  <c r="Z437" i="9"/>
  <c r="Y437" i="9"/>
  <c r="AF436" i="9"/>
  <c r="AE436" i="9"/>
  <c r="AD436" i="9"/>
  <c r="AC436" i="9"/>
  <c r="AB436" i="9"/>
  <c r="AA436" i="9"/>
  <c r="Z436" i="9"/>
  <c r="T436" i="9" s="1"/>
  <c r="Y436" i="9"/>
  <c r="AF435" i="9"/>
  <c r="AE435" i="9"/>
  <c r="AD435" i="9"/>
  <c r="AC435" i="9"/>
  <c r="AB435" i="9"/>
  <c r="AA435" i="9"/>
  <c r="Z435" i="9"/>
  <c r="Y435" i="9"/>
  <c r="V435" i="9"/>
  <c r="AF434" i="9"/>
  <c r="AE434" i="9"/>
  <c r="AD434" i="9"/>
  <c r="AC434" i="9"/>
  <c r="AB434" i="9"/>
  <c r="U434" i="9" s="1"/>
  <c r="AA434" i="9"/>
  <c r="Z434" i="9"/>
  <c r="Y434" i="9"/>
  <c r="T434" i="9" s="1"/>
  <c r="AF433" i="9"/>
  <c r="AE433" i="9"/>
  <c r="V433" i="9" s="1"/>
  <c r="AD433" i="9"/>
  <c r="AC433" i="9"/>
  <c r="AB433" i="9"/>
  <c r="AA433" i="9"/>
  <c r="Z433" i="9"/>
  <c r="Y433" i="9"/>
  <c r="AF432" i="9"/>
  <c r="AE432" i="9"/>
  <c r="AD432" i="9"/>
  <c r="AC432" i="9"/>
  <c r="AB432" i="9"/>
  <c r="AA432" i="9"/>
  <c r="Z432" i="9"/>
  <c r="T432" i="9" s="1"/>
  <c r="Y432" i="9"/>
  <c r="AF431" i="9"/>
  <c r="AE431" i="9"/>
  <c r="V431" i="9" s="1"/>
  <c r="AD431" i="9"/>
  <c r="AC431" i="9"/>
  <c r="AB431" i="9"/>
  <c r="U431" i="9" s="1"/>
  <c r="AA431" i="9"/>
  <c r="Z431" i="9"/>
  <c r="Y431" i="9"/>
  <c r="AF430" i="9"/>
  <c r="AE430" i="9"/>
  <c r="V430" i="9" s="1"/>
  <c r="AD430" i="9"/>
  <c r="AC430" i="9"/>
  <c r="AB430" i="9"/>
  <c r="AA430" i="9"/>
  <c r="Z430" i="9"/>
  <c r="T430" i="9" s="1"/>
  <c r="Y430" i="9"/>
  <c r="AF429" i="9"/>
  <c r="AE429" i="9"/>
  <c r="V429" i="9" s="1"/>
  <c r="AD429" i="9"/>
  <c r="AC429" i="9"/>
  <c r="AB429" i="9"/>
  <c r="U429" i="9" s="1"/>
  <c r="AA429" i="9"/>
  <c r="Z429" i="9"/>
  <c r="Y429" i="9"/>
  <c r="T429" i="9" s="1"/>
  <c r="AF428" i="9"/>
  <c r="V428" i="9" s="1"/>
  <c r="AE428" i="9"/>
  <c r="AD428" i="9"/>
  <c r="AC428" i="9"/>
  <c r="AB428" i="9"/>
  <c r="AA428" i="9"/>
  <c r="Z428" i="9"/>
  <c r="Y428" i="9"/>
  <c r="T428" i="9"/>
  <c r="AF427" i="9"/>
  <c r="AE427" i="9"/>
  <c r="V427" i="9" s="1"/>
  <c r="AD427" i="9"/>
  <c r="AC427" i="9"/>
  <c r="AB427" i="9"/>
  <c r="AA427" i="9"/>
  <c r="Z427" i="9"/>
  <c r="Y427" i="9"/>
  <c r="AF426" i="9"/>
  <c r="AE426" i="9"/>
  <c r="V426" i="9" s="1"/>
  <c r="AD426" i="9"/>
  <c r="AC426" i="9"/>
  <c r="U426" i="9" s="1"/>
  <c r="AB426" i="9"/>
  <c r="AA426" i="9"/>
  <c r="Z426" i="9"/>
  <c r="Y426" i="9"/>
  <c r="T426" i="9"/>
  <c r="AF425" i="9"/>
  <c r="AE425" i="9"/>
  <c r="AD425" i="9"/>
  <c r="AC425" i="9"/>
  <c r="AB425" i="9"/>
  <c r="AA425" i="9"/>
  <c r="Z425" i="9"/>
  <c r="Y425" i="9"/>
  <c r="U425" i="9"/>
  <c r="AF424" i="9"/>
  <c r="V424" i="9" s="1"/>
  <c r="AE424" i="9"/>
  <c r="AD424" i="9"/>
  <c r="AC424" i="9"/>
  <c r="AB424" i="9"/>
  <c r="AA424" i="9"/>
  <c r="Z424" i="9"/>
  <c r="Y424" i="9"/>
  <c r="T424" i="9" s="1"/>
  <c r="AF423" i="9"/>
  <c r="AE423" i="9"/>
  <c r="V423" i="9" s="1"/>
  <c r="AD423" i="9"/>
  <c r="AC423" i="9"/>
  <c r="AB423" i="9"/>
  <c r="AA423" i="9"/>
  <c r="Z423" i="9"/>
  <c r="Y423" i="9"/>
  <c r="AF422" i="9"/>
  <c r="AE422" i="9"/>
  <c r="V422" i="9" s="1"/>
  <c r="AD422" i="9"/>
  <c r="AC422" i="9"/>
  <c r="AB422" i="9"/>
  <c r="AA422" i="9"/>
  <c r="T422" i="9" s="1"/>
  <c r="Z422" i="9"/>
  <c r="Y422" i="9"/>
  <c r="AF421" i="9"/>
  <c r="AE421" i="9"/>
  <c r="AD421" i="9"/>
  <c r="AC421" i="9"/>
  <c r="AB421" i="9"/>
  <c r="U421" i="9" s="1"/>
  <c r="AA421" i="9"/>
  <c r="Z421" i="9"/>
  <c r="Y421" i="9"/>
  <c r="AF420" i="9"/>
  <c r="AE420" i="9"/>
  <c r="V420" i="9" s="1"/>
  <c r="AD420" i="9"/>
  <c r="AC420" i="9"/>
  <c r="AB420" i="9"/>
  <c r="AA420" i="9"/>
  <c r="Z420" i="9"/>
  <c r="Y420" i="9"/>
  <c r="T420" i="9"/>
  <c r="AF419" i="9"/>
  <c r="AE419" i="9"/>
  <c r="AD419" i="9"/>
  <c r="AC419" i="9"/>
  <c r="AB419" i="9"/>
  <c r="AA419" i="9"/>
  <c r="Z419" i="9"/>
  <c r="Y419" i="9"/>
  <c r="T419" i="9" s="1"/>
  <c r="V419" i="9"/>
  <c r="AF418" i="9"/>
  <c r="AE418" i="9"/>
  <c r="V418" i="9" s="1"/>
  <c r="AD418" i="9"/>
  <c r="AC418" i="9"/>
  <c r="AB418" i="9"/>
  <c r="AA418" i="9"/>
  <c r="Z418" i="9"/>
  <c r="Y418" i="9"/>
  <c r="AF417" i="9"/>
  <c r="AE417" i="9"/>
  <c r="V417" i="9" s="1"/>
  <c r="AD417" i="9"/>
  <c r="AC417" i="9"/>
  <c r="AB417" i="9"/>
  <c r="AA417" i="9"/>
  <c r="Z417" i="9"/>
  <c r="Y417" i="9"/>
  <c r="AF416" i="9"/>
  <c r="AE416" i="9"/>
  <c r="AD416" i="9"/>
  <c r="AC416" i="9"/>
  <c r="AB416" i="9"/>
  <c r="AA416" i="9"/>
  <c r="Z416" i="9"/>
  <c r="T416" i="9" s="1"/>
  <c r="Y416" i="9"/>
  <c r="AF415" i="9"/>
  <c r="AE415" i="9"/>
  <c r="AD415" i="9"/>
  <c r="AC415" i="9"/>
  <c r="AB415" i="9"/>
  <c r="AA415" i="9"/>
  <c r="Z415" i="9"/>
  <c r="Y415" i="9"/>
  <c r="T415" i="9" s="1"/>
  <c r="V415" i="9"/>
  <c r="AF414" i="9"/>
  <c r="AE414" i="9"/>
  <c r="AD414" i="9"/>
  <c r="AC414" i="9"/>
  <c r="AB414" i="9"/>
  <c r="AA414" i="9"/>
  <c r="Z414" i="9"/>
  <c r="Y414" i="9"/>
  <c r="T414" i="9" s="1"/>
  <c r="AF413" i="9"/>
  <c r="AE413" i="9"/>
  <c r="AD413" i="9"/>
  <c r="AC413" i="9"/>
  <c r="AB413" i="9"/>
  <c r="AA413" i="9"/>
  <c r="Z413" i="9"/>
  <c r="Y413" i="9"/>
  <c r="T413" i="9" s="1"/>
  <c r="AF412" i="9"/>
  <c r="AE412" i="9"/>
  <c r="V412" i="9" s="1"/>
  <c r="AD412" i="9"/>
  <c r="AC412" i="9"/>
  <c r="AB412" i="9"/>
  <c r="AA412" i="9"/>
  <c r="Z412" i="9"/>
  <c r="Y412" i="9"/>
  <c r="T412" i="9" s="1"/>
  <c r="AF411" i="9"/>
  <c r="AE411" i="9"/>
  <c r="V411" i="9" s="1"/>
  <c r="AD411" i="9"/>
  <c r="AC411" i="9"/>
  <c r="AB411" i="9"/>
  <c r="U411" i="9" s="1"/>
  <c r="AA411" i="9"/>
  <c r="Z411" i="9"/>
  <c r="Y411" i="9"/>
  <c r="T411" i="9" s="1"/>
  <c r="AF410" i="9"/>
  <c r="AE410" i="9"/>
  <c r="V410" i="9" s="1"/>
  <c r="AD410" i="9"/>
  <c r="AC410" i="9"/>
  <c r="AB410" i="9"/>
  <c r="AA410" i="9"/>
  <c r="Z410" i="9"/>
  <c r="Y410" i="9"/>
  <c r="T410" i="9" s="1"/>
  <c r="AF409" i="9"/>
  <c r="AE409" i="9"/>
  <c r="V409" i="9" s="1"/>
  <c r="AD409" i="9"/>
  <c r="AC409" i="9"/>
  <c r="AB409" i="9"/>
  <c r="U409" i="9" s="1"/>
  <c r="AA409" i="9"/>
  <c r="Z409" i="9"/>
  <c r="Y409" i="9"/>
  <c r="T409" i="9" s="1"/>
  <c r="AF408" i="9"/>
  <c r="AE408" i="9"/>
  <c r="AD408" i="9"/>
  <c r="AC408" i="9"/>
  <c r="AB408" i="9"/>
  <c r="AA408" i="9"/>
  <c r="Z408" i="9"/>
  <c r="T408" i="9" s="1"/>
  <c r="Y408" i="9"/>
  <c r="V408" i="9"/>
  <c r="AF407" i="9"/>
  <c r="V407" i="9" s="1"/>
  <c r="AE407" i="9"/>
  <c r="AD407" i="9"/>
  <c r="AC407" i="9"/>
  <c r="AB407" i="9"/>
  <c r="AA407" i="9"/>
  <c r="Z407" i="9"/>
  <c r="Y407" i="9"/>
  <c r="AF406" i="9"/>
  <c r="AE406" i="9"/>
  <c r="AD406" i="9"/>
  <c r="AC406" i="9"/>
  <c r="AB406" i="9"/>
  <c r="AA406" i="9"/>
  <c r="Z406" i="9"/>
  <c r="Y406" i="9"/>
  <c r="T406" i="9" s="1"/>
  <c r="AF405" i="9"/>
  <c r="AE405" i="9"/>
  <c r="AD405" i="9"/>
  <c r="AC405" i="9"/>
  <c r="AB405" i="9"/>
  <c r="AA405" i="9"/>
  <c r="Z405" i="9"/>
  <c r="Y405" i="9"/>
  <c r="AF404" i="9"/>
  <c r="AE404" i="9"/>
  <c r="AD404" i="9"/>
  <c r="AC404" i="9"/>
  <c r="AB404" i="9"/>
  <c r="AA404" i="9"/>
  <c r="Z404" i="9"/>
  <c r="T404" i="9" s="1"/>
  <c r="Y404" i="9"/>
  <c r="AF403" i="9"/>
  <c r="AE403" i="9"/>
  <c r="V403" i="9" s="1"/>
  <c r="AD403" i="9"/>
  <c r="AC403" i="9"/>
  <c r="AB403" i="9"/>
  <c r="AA403" i="9"/>
  <c r="Z403" i="9"/>
  <c r="Y403" i="9"/>
  <c r="AF402" i="9"/>
  <c r="AE402" i="9"/>
  <c r="V402" i="9" s="1"/>
  <c r="AD402" i="9"/>
  <c r="AC402" i="9"/>
  <c r="AB402" i="9"/>
  <c r="AA402" i="9"/>
  <c r="Z402" i="9"/>
  <c r="Y402" i="9"/>
  <c r="U402" i="9"/>
  <c r="AF401" i="9"/>
  <c r="AE401" i="9"/>
  <c r="AD401" i="9"/>
  <c r="AC401" i="9"/>
  <c r="AB401" i="9"/>
  <c r="U401" i="9" s="1"/>
  <c r="AA401" i="9"/>
  <c r="Z401" i="9"/>
  <c r="Y401" i="9"/>
  <c r="AF400" i="9"/>
  <c r="AE400" i="9"/>
  <c r="V400" i="9" s="1"/>
  <c r="AD400" i="9"/>
  <c r="AC400" i="9"/>
  <c r="AB400" i="9"/>
  <c r="AA400" i="9"/>
  <c r="Z400" i="9"/>
  <c r="Y400" i="9"/>
  <c r="AF399" i="9"/>
  <c r="AE399" i="9"/>
  <c r="AD399" i="9"/>
  <c r="AC399" i="9"/>
  <c r="AB399" i="9"/>
  <c r="U399" i="9" s="1"/>
  <c r="AA399" i="9"/>
  <c r="Z399" i="9"/>
  <c r="Y399" i="9"/>
  <c r="T399" i="9" s="1"/>
  <c r="V399" i="9"/>
  <c r="AF398" i="9"/>
  <c r="AE398" i="9"/>
  <c r="AD398" i="9"/>
  <c r="AC398" i="9"/>
  <c r="AB398" i="9"/>
  <c r="AA398" i="9"/>
  <c r="Z398" i="9"/>
  <c r="Y398" i="9"/>
  <c r="AF397" i="9"/>
  <c r="AE397" i="9"/>
  <c r="V397" i="9" s="1"/>
  <c r="AD397" i="9"/>
  <c r="AC397" i="9"/>
  <c r="AB397" i="9"/>
  <c r="U397" i="9" s="1"/>
  <c r="AA397" i="9"/>
  <c r="Z397" i="9"/>
  <c r="Y397" i="9"/>
  <c r="AF396" i="9"/>
  <c r="V396" i="9" s="1"/>
  <c r="AE396" i="9"/>
  <c r="AD396" i="9"/>
  <c r="AC396" i="9"/>
  <c r="AB396" i="9"/>
  <c r="AA396" i="9"/>
  <c r="T396" i="9" s="1"/>
  <c r="Z396" i="9"/>
  <c r="Y396" i="9"/>
  <c r="AF395" i="9"/>
  <c r="AE395" i="9"/>
  <c r="AD395" i="9"/>
  <c r="AC395" i="9"/>
  <c r="AB395" i="9"/>
  <c r="AA395" i="9"/>
  <c r="Z395" i="9"/>
  <c r="Y395" i="9"/>
  <c r="V395" i="9"/>
  <c r="AF394" i="9"/>
  <c r="AE394" i="9"/>
  <c r="V394" i="9" s="1"/>
  <c r="AD394" i="9"/>
  <c r="AC394" i="9"/>
  <c r="AB394" i="9"/>
  <c r="AA394" i="9"/>
  <c r="Z394" i="9"/>
  <c r="Y394" i="9"/>
  <c r="T394" i="9" s="1"/>
  <c r="AF393" i="9"/>
  <c r="AE393" i="9"/>
  <c r="AD393" i="9"/>
  <c r="AC393" i="9"/>
  <c r="AB393" i="9"/>
  <c r="AA393" i="9"/>
  <c r="Z393" i="9"/>
  <c r="Y393" i="9"/>
  <c r="AF392" i="9"/>
  <c r="AE392" i="9"/>
  <c r="AD392" i="9"/>
  <c r="AC392" i="9"/>
  <c r="AB392" i="9"/>
  <c r="AA392" i="9"/>
  <c r="Z392" i="9"/>
  <c r="Y392" i="9"/>
  <c r="AF391" i="9"/>
  <c r="AE391" i="9"/>
  <c r="V391" i="9" s="1"/>
  <c r="AD391" i="9"/>
  <c r="AC391" i="9"/>
  <c r="AB391" i="9"/>
  <c r="AA391" i="9"/>
  <c r="Z391" i="9"/>
  <c r="Y391" i="9"/>
  <c r="AF390" i="9"/>
  <c r="AE390" i="9"/>
  <c r="AD390" i="9"/>
  <c r="AC390" i="9"/>
  <c r="AB390" i="9"/>
  <c r="AA390" i="9"/>
  <c r="Z390" i="9"/>
  <c r="Y390" i="9"/>
  <c r="T390" i="9"/>
  <c r="AF389" i="9"/>
  <c r="AE389" i="9"/>
  <c r="V389" i="9" s="1"/>
  <c r="AD389" i="9"/>
  <c r="AC389" i="9"/>
  <c r="AB389" i="9"/>
  <c r="AA389" i="9"/>
  <c r="Z389" i="9"/>
  <c r="Y389" i="9"/>
  <c r="AF388" i="9"/>
  <c r="AE388" i="9"/>
  <c r="AD388" i="9"/>
  <c r="AC388" i="9"/>
  <c r="AB388" i="9"/>
  <c r="AA388" i="9"/>
  <c r="Z388" i="9"/>
  <c r="Y388" i="9"/>
  <c r="V388" i="9"/>
  <c r="T388" i="9"/>
  <c r="AF387" i="9"/>
  <c r="V387" i="9" s="1"/>
  <c r="AE387" i="9"/>
  <c r="AD387" i="9"/>
  <c r="AC387" i="9"/>
  <c r="AB387" i="9"/>
  <c r="AA387" i="9"/>
  <c r="Z387" i="9"/>
  <c r="Y387" i="9"/>
  <c r="AF386" i="9"/>
  <c r="AE386" i="9"/>
  <c r="AD386" i="9"/>
  <c r="AC386" i="9"/>
  <c r="AB386" i="9"/>
  <c r="U386" i="9" s="1"/>
  <c r="AA386" i="9"/>
  <c r="Z386" i="9"/>
  <c r="Y386" i="9"/>
  <c r="T386" i="9" s="1"/>
  <c r="AF385" i="9"/>
  <c r="AE385" i="9"/>
  <c r="V385" i="9" s="1"/>
  <c r="AD385" i="9"/>
  <c r="AC385" i="9"/>
  <c r="AB385" i="9"/>
  <c r="U385" i="9" s="1"/>
  <c r="AA385" i="9"/>
  <c r="Z385" i="9"/>
  <c r="Y385" i="9"/>
  <c r="T385" i="9" s="1"/>
  <c r="AF384" i="9"/>
  <c r="AE384" i="9"/>
  <c r="AD384" i="9"/>
  <c r="AC384" i="9"/>
  <c r="AB384" i="9"/>
  <c r="U384" i="9" s="1"/>
  <c r="AA384" i="9"/>
  <c r="T384" i="9" s="1"/>
  <c r="Z384" i="9"/>
  <c r="Y384" i="9"/>
  <c r="AF383" i="9"/>
  <c r="AE383" i="9"/>
  <c r="V383" i="9" s="1"/>
  <c r="AD383" i="9"/>
  <c r="AC383" i="9"/>
  <c r="AB383" i="9"/>
  <c r="U383" i="9" s="1"/>
  <c r="AA383" i="9"/>
  <c r="Z383" i="9"/>
  <c r="Y383" i="9"/>
  <c r="AF382" i="9"/>
  <c r="AE382" i="9"/>
  <c r="AD382" i="9"/>
  <c r="AC382" i="9"/>
  <c r="AB382" i="9"/>
  <c r="U382" i="9" s="1"/>
  <c r="AA382" i="9"/>
  <c r="Z382" i="9"/>
  <c r="Y382" i="9"/>
  <c r="T382" i="9" s="1"/>
  <c r="AF381" i="9"/>
  <c r="AE381" i="9"/>
  <c r="AD381" i="9"/>
  <c r="AC381" i="9"/>
  <c r="AB381" i="9"/>
  <c r="U381" i="9" s="1"/>
  <c r="AA381" i="9"/>
  <c r="Z381" i="9"/>
  <c r="Y381" i="9"/>
  <c r="T381" i="9"/>
  <c r="AF380" i="9"/>
  <c r="AE380" i="9"/>
  <c r="AD380" i="9"/>
  <c r="AC380" i="9"/>
  <c r="AB380" i="9"/>
  <c r="AA380" i="9"/>
  <c r="Z380" i="9"/>
  <c r="T380" i="9" s="1"/>
  <c r="Y380" i="9"/>
  <c r="AF379" i="9"/>
  <c r="AE379" i="9"/>
  <c r="AD379" i="9"/>
  <c r="AC379" i="9"/>
  <c r="AB379" i="9"/>
  <c r="U379" i="9" s="1"/>
  <c r="AA379" i="9"/>
  <c r="Z379" i="9"/>
  <c r="Y379" i="9"/>
  <c r="T379" i="9" s="1"/>
  <c r="V379" i="9"/>
  <c r="AF378" i="9"/>
  <c r="AE378" i="9"/>
  <c r="AD378" i="9"/>
  <c r="AC378" i="9"/>
  <c r="AB378" i="9"/>
  <c r="AA378" i="9"/>
  <c r="Z378" i="9"/>
  <c r="Y378" i="9"/>
  <c r="AF377" i="9"/>
  <c r="AE377" i="9"/>
  <c r="V377" i="9" s="1"/>
  <c r="AD377" i="9"/>
  <c r="AC377" i="9"/>
  <c r="AB377" i="9"/>
  <c r="U377" i="9" s="1"/>
  <c r="AA377" i="9"/>
  <c r="Z377" i="9"/>
  <c r="Y377" i="9"/>
  <c r="AF376" i="9"/>
  <c r="AE376" i="9"/>
  <c r="V376" i="9" s="1"/>
  <c r="AD376" i="9"/>
  <c r="AC376" i="9"/>
  <c r="AB376" i="9"/>
  <c r="AA376" i="9"/>
  <c r="Z376" i="9"/>
  <c r="Y376" i="9"/>
  <c r="AF375" i="9"/>
  <c r="AE375" i="9"/>
  <c r="AD375" i="9"/>
  <c r="AC375" i="9"/>
  <c r="AB375" i="9"/>
  <c r="U375" i="9" s="1"/>
  <c r="AA375" i="9"/>
  <c r="Z375" i="9"/>
  <c r="Y375" i="9"/>
  <c r="T375" i="9" s="1"/>
  <c r="V375" i="9"/>
  <c r="AF374" i="9"/>
  <c r="AE374" i="9"/>
  <c r="V374" i="9" s="1"/>
  <c r="AD374" i="9"/>
  <c r="AC374" i="9"/>
  <c r="AB374" i="9"/>
  <c r="AA374" i="9"/>
  <c r="Z374" i="9"/>
  <c r="Y374" i="9"/>
  <c r="T374" i="9" s="1"/>
  <c r="AF373" i="9"/>
  <c r="AE373" i="9"/>
  <c r="V373" i="9" s="1"/>
  <c r="AD373" i="9"/>
  <c r="AC373" i="9"/>
  <c r="AB373" i="9"/>
  <c r="U373" i="9" s="1"/>
  <c r="AA373" i="9"/>
  <c r="T373" i="9" s="1"/>
  <c r="Z373" i="9"/>
  <c r="Y373" i="9"/>
  <c r="AF372" i="9"/>
  <c r="AE372" i="9"/>
  <c r="V372" i="9" s="1"/>
  <c r="AD372" i="9"/>
  <c r="AC372" i="9"/>
  <c r="AB372" i="9"/>
  <c r="AA372" i="9"/>
  <c r="Z372" i="9"/>
  <c r="Y372" i="9"/>
  <c r="AF371" i="9"/>
  <c r="AE371" i="9"/>
  <c r="V371" i="9" s="1"/>
  <c r="AD371" i="9"/>
  <c r="AC371" i="9"/>
  <c r="AB371" i="9"/>
  <c r="U371" i="9" s="1"/>
  <c r="AA371" i="9"/>
  <c r="Z371" i="9"/>
  <c r="Y371" i="9"/>
  <c r="AF370" i="9"/>
  <c r="AE370" i="9"/>
  <c r="AD370" i="9"/>
  <c r="AC370" i="9"/>
  <c r="AB370" i="9"/>
  <c r="AA370" i="9"/>
  <c r="Z370" i="9"/>
  <c r="Y370" i="9"/>
  <c r="AF369" i="9"/>
  <c r="AE369" i="9"/>
  <c r="AD369" i="9"/>
  <c r="AC369" i="9"/>
  <c r="AB369" i="9"/>
  <c r="U369" i="9" s="1"/>
  <c r="AA369" i="9"/>
  <c r="Z369" i="9"/>
  <c r="Y369" i="9"/>
  <c r="AF368" i="9"/>
  <c r="V368" i="9" s="1"/>
  <c r="AE368" i="9"/>
  <c r="AD368" i="9"/>
  <c r="AC368" i="9"/>
  <c r="AB368" i="9"/>
  <c r="AA368" i="9"/>
  <c r="Z368" i="9"/>
  <c r="Y368" i="9"/>
  <c r="AF367" i="9"/>
  <c r="V367" i="9" s="1"/>
  <c r="AE367" i="9"/>
  <c r="AD367" i="9"/>
  <c r="AC367" i="9"/>
  <c r="AB367" i="9"/>
  <c r="AA367" i="9"/>
  <c r="Z367" i="9"/>
  <c r="Y367" i="9"/>
  <c r="AF366" i="9"/>
  <c r="AE366" i="9"/>
  <c r="AD366" i="9"/>
  <c r="AC366" i="9"/>
  <c r="AB366" i="9"/>
  <c r="U366" i="9" s="1"/>
  <c r="AA366" i="9"/>
  <c r="Z366" i="9"/>
  <c r="Y366" i="9"/>
  <c r="V366" i="9"/>
  <c r="T366" i="9"/>
  <c r="AF365" i="9"/>
  <c r="AE365" i="9"/>
  <c r="AD365" i="9"/>
  <c r="AC365" i="9"/>
  <c r="AB365" i="9"/>
  <c r="AA365" i="9"/>
  <c r="T365" i="9" s="1"/>
  <c r="Z365" i="9"/>
  <c r="Y365" i="9"/>
  <c r="AF364" i="9"/>
  <c r="V364" i="9" s="1"/>
  <c r="AE364" i="9"/>
  <c r="AD364" i="9"/>
  <c r="AC364" i="9"/>
  <c r="AB364" i="9"/>
  <c r="AA364" i="9"/>
  <c r="Z364" i="9"/>
  <c r="Y364" i="9"/>
  <c r="AF363" i="9"/>
  <c r="AE363" i="9"/>
  <c r="AD363" i="9"/>
  <c r="AC363" i="9"/>
  <c r="AB363" i="9"/>
  <c r="AA363" i="9"/>
  <c r="Z363" i="9"/>
  <c r="Y363" i="9"/>
  <c r="T363" i="9" s="1"/>
  <c r="V363" i="9"/>
  <c r="AF362" i="9"/>
  <c r="AE362" i="9"/>
  <c r="V362" i="9" s="1"/>
  <c r="AD362" i="9"/>
  <c r="AC362" i="9"/>
  <c r="AB362" i="9"/>
  <c r="AA362" i="9"/>
  <c r="Z362" i="9"/>
  <c r="T362" i="9" s="1"/>
  <c r="Y362" i="9"/>
  <c r="AF361" i="9"/>
  <c r="AE361" i="9"/>
  <c r="AD361" i="9"/>
  <c r="AC361" i="9"/>
  <c r="AB361" i="9"/>
  <c r="AA361" i="9"/>
  <c r="Z361" i="9"/>
  <c r="Y361" i="9"/>
  <c r="AF360" i="9"/>
  <c r="AE360" i="9"/>
  <c r="V360" i="9" s="1"/>
  <c r="AD360" i="9"/>
  <c r="AC360" i="9"/>
  <c r="AB360" i="9"/>
  <c r="AA360" i="9"/>
  <c r="Z360" i="9"/>
  <c r="T360" i="9" s="1"/>
  <c r="Y360" i="9"/>
  <c r="AF359" i="9"/>
  <c r="AE359" i="9"/>
  <c r="V359" i="9" s="1"/>
  <c r="AD359" i="9"/>
  <c r="AC359" i="9"/>
  <c r="AB359" i="9"/>
  <c r="AA359" i="9"/>
  <c r="Z359" i="9"/>
  <c r="Y359" i="9"/>
  <c r="AF358" i="9"/>
  <c r="AE358" i="9"/>
  <c r="V358" i="9" s="1"/>
  <c r="AD358" i="9"/>
  <c r="AC358" i="9"/>
  <c r="U358" i="9" s="1"/>
  <c r="AB358" i="9"/>
  <c r="AA358" i="9"/>
  <c r="Z358" i="9"/>
  <c r="Y358" i="9"/>
  <c r="T358" i="9" s="1"/>
  <c r="AF357" i="9"/>
  <c r="AE357" i="9"/>
  <c r="AD357" i="9"/>
  <c r="AC357" i="9"/>
  <c r="AB357" i="9"/>
  <c r="AA357" i="9"/>
  <c r="Z357" i="9"/>
  <c r="Y357" i="9"/>
  <c r="T357" i="9"/>
  <c r="AF356" i="9"/>
  <c r="AE356" i="9"/>
  <c r="AD356" i="9"/>
  <c r="AC356" i="9"/>
  <c r="AB356" i="9"/>
  <c r="U356" i="9" s="1"/>
  <c r="AA356" i="9"/>
  <c r="Z356" i="9"/>
  <c r="Y356" i="9"/>
  <c r="T356" i="9" s="1"/>
  <c r="AF355" i="9"/>
  <c r="AE355" i="9"/>
  <c r="AD355" i="9"/>
  <c r="AC355" i="9"/>
  <c r="AB355" i="9"/>
  <c r="AA355" i="9"/>
  <c r="Z355" i="9"/>
  <c r="Y355" i="9"/>
  <c r="V355" i="9"/>
  <c r="AF354" i="9"/>
  <c r="AE354" i="9"/>
  <c r="V354" i="9" s="1"/>
  <c r="AD354" i="9"/>
  <c r="AC354" i="9"/>
  <c r="AB354" i="9"/>
  <c r="U354" i="9" s="1"/>
  <c r="AA354" i="9"/>
  <c r="Z354" i="9"/>
  <c r="Y354" i="9"/>
  <c r="AF353" i="9"/>
  <c r="AE353" i="9"/>
  <c r="AD353" i="9"/>
  <c r="AC353" i="9"/>
  <c r="AB353" i="9"/>
  <c r="AA353" i="9"/>
  <c r="Z353" i="9"/>
  <c r="Y353" i="9"/>
  <c r="AF352" i="9"/>
  <c r="AE352" i="9"/>
  <c r="AD352" i="9"/>
  <c r="AC352" i="9"/>
  <c r="AB352" i="9"/>
  <c r="AA352" i="9"/>
  <c r="Z352" i="9"/>
  <c r="Y352" i="9"/>
  <c r="AF351" i="9"/>
  <c r="AE351" i="9"/>
  <c r="AD351" i="9"/>
  <c r="AC351" i="9"/>
  <c r="AB351" i="9"/>
  <c r="AA351" i="9"/>
  <c r="Z351" i="9"/>
  <c r="Y351" i="9"/>
  <c r="V351" i="9"/>
  <c r="AF350" i="9"/>
  <c r="V350" i="9" s="1"/>
  <c r="AE350" i="9"/>
  <c r="AD350" i="9"/>
  <c r="AC350" i="9"/>
  <c r="AB350" i="9"/>
  <c r="U350" i="9" s="1"/>
  <c r="AA350" i="9"/>
  <c r="Z350" i="9"/>
  <c r="Y350" i="9"/>
  <c r="T350" i="9" s="1"/>
  <c r="AF349" i="9"/>
  <c r="AE349" i="9"/>
  <c r="V349" i="9" s="1"/>
  <c r="AD349" i="9"/>
  <c r="AC349" i="9"/>
  <c r="AB349" i="9"/>
  <c r="AA349" i="9"/>
  <c r="Z349" i="9"/>
  <c r="Y349" i="9"/>
  <c r="T349" i="9" s="1"/>
  <c r="AF348" i="9"/>
  <c r="AE348" i="9"/>
  <c r="AD348" i="9"/>
  <c r="AC348" i="9"/>
  <c r="AB348" i="9"/>
  <c r="AA348" i="9"/>
  <c r="Z348" i="9"/>
  <c r="Y348" i="9"/>
  <c r="AF347" i="9"/>
  <c r="AE347" i="9"/>
  <c r="V347" i="9" s="1"/>
  <c r="AD347" i="9"/>
  <c r="AC347" i="9"/>
  <c r="AB347" i="9"/>
  <c r="AA347" i="9"/>
  <c r="Z347" i="9"/>
  <c r="Y347" i="9"/>
  <c r="AF346" i="9"/>
  <c r="AE346" i="9"/>
  <c r="AD346" i="9"/>
  <c r="AC346" i="9"/>
  <c r="AB346" i="9"/>
  <c r="AA346" i="9"/>
  <c r="Z346" i="9"/>
  <c r="Y346" i="9"/>
  <c r="AF345" i="9"/>
  <c r="AE345" i="9"/>
  <c r="AD345" i="9"/>
  <c r="AC345" i="9"/>
  <c r="AB345" i="9"/>
  <c r="AA345" i="9"/>
  <c r="Z345" i="9"/>
  <c r="Y345" i="9"/>
  <c r="AF344" i="9"/>
  <c r="AE344" i="9"/>
  <c r="AD344" i="9"/>
  <c r="AC344" i="9"/>
  <c r="AB344" i="9"/>
  <c r="AA344" i="9"/>
  <c r="Z344" i="9"/>
  <c r="Y344" i="9"/>
  <c r="T344" i="9" s="1"/>
  <c r="V344" i="9"/>
  <c r="AF343" i="9"/>
  <c r="AE343" i="9"/>
  <c r="AD343" i="9"/>
  <c r="AC343" i="9"/>
  <c r="AB343" i="9"/>
  <c r="U343" i="9" s="1"/>
  <c r="AA343" i="9"/>
  <c r="Z343" i="9"/>
  <c r="Y343" i="9"/>
  <c r="AF342" i="9"/>
  <c r="AE342" i="9"/>
  <c r="V342" i="9" s="1"/>
  <c r="AD342" i="9"/>
  <c r="AC342" i="9"/>
  <c r="AB342" i="9"/>
  <c r="AA342" i="9"/>
  <c r="Z342" i="9"/>
  <c r="Y342" i="9"/>
  <c r="AF341" i="9"/>
  <c r="AE341" i="9"/>
  <c r="V341" i="9" s="1"/>
  <c r="AD341" i="9"/>
  <c r="AC341" i="9"/>
  <c r="AB341" i="9"/>
  <c r="AA341" i="9"/>
  <c r="T341" i="9" s="1"/>
  <c r="Z341" i="9"/>
  <c r="Y341" i="9"/>
  <c r="AF340" i="9"/>
  <c r="AE340" i="9"/>
  <c r="AD340" i="9"/>
  <c r="AC340" i="9"/>
  <c r="AB340" i="9"/>
  <c r="AA340" i="9"/>
  <c r="Z340" i="9"/>
  <c r="T340" i="9" s="1"/>
  <c r="Y340" i="9"/>
  <c r="V340" i="9"/>
  <c r="AF339" i="9"/>
  <c r="V339" i="9" s="1"/>
  <c r="AE339" i="9"/>
  <c r="AD339" i="9"/>
  <c r="AC339" i="9"/>
  <c r="AB339" i="9"/>
  <c r="AA339" i="9"/>
  <c r="Z339" i="9"/>
  <c r="Y339" i="9"/>
  <c r="AF338" i="9"/>
  <c r="V338" i="9" s="1"/>
  <c r="AE338" i="9"/>
  <c r="AD338" i="9"/>
  <c r="AC338" i="9"/>
  <c r="AB338" i="9"/>
  <c r="AA338" i="9"/>
  <c r="Z338" i="9"/>
  <c r="Y338" i="9"/>
  <c r="T338" i="9" s="1"/>
  <c r="AF337" i="9"/>
  <c r="AE337" i="9"/>
  <c r="AD337" i="9"/>
  <c r="AC337" i="9"/>
  <c r="AB337" i="9"/>
  <c r="AA337" i="9"/>
  <c r="T337" i="9" s="1"/>
  <c r="Z337" i="9"/>
  <c r="Y337" i="9"/>
  <c r="AF336" i="9"/>
  <c r="V336" i="9" s="1"/>
  <c r="AE336" i="9"/>
  <c r="AD336" i="9"/>
  <c r="AC336" i="9"/>
  <c r="AB336" i="9"/>
  <c r="AA336" i="9"/>
  <c r="Z336" i="9"/>
  <c r="Y336" i="9"/>
  <c r="AF335" i="9"/>
  <c r="V335" i="9" s="1"/>
  <c r="AE335" i="9"/>
  <c r="AD335" i="9"/>
  <c r="AC335" i="9"/>
  <c r="AB335" i="9"/>
  <c r="AA335" i="9"/>
  <c r="Z335" i="9"/>
  <c r="Y335" i="9"/>
  <c r="AF334" i="9"/>
  <c r="V334" i="9" s="1"/>
  <c r="AE334" i="9"/>
  <c r="AD334" i="9"/>
  <c r="AC334" i="9"/>
  <c r="AB334" i="9"/>
  <c r="AA334" i="9"/>
  <c r="Z334" i="9"/>
  <c r="Y334" i="9"/>
  <c r="T334" i="9" s="1"/>
  <c r="AF333" i="9"/>
  <c r="AE333" i="9"/>
  <c r="AD333" i="9"/>
  <c r="AC333" i="9"/>
  <c r="U333" i="9" s="1"/>
  <c r="AB333" i="9"/>
  <c r="AA333" i="9"/>
  <c r="Z333" i="9"/>
  <c r="Y333" i="9"/>
  <c r="T333" i="9" s="1"/>
  <c r="AF332" i="9"/>
  <c r="AE332" i="9"/>
  <c r="V332" i="9" s="1"/>
  <c r="AD332" i="9"/>
  <c r="AC332" i="9"/>
  <c r="AB332" i="9"/>
  <c r="U332" i="9" s="1"/>
  <c r="AA332" i="9"/>
  <c r="T332" i="9" s="1"/>
  <c r="Z332" i="9"/>
  <c r="Y332" i="9"/>
  <c r="AF331" i="9"/>
  <c r="V331" i="9" s="1"/>
  <c r="AE331" i="9"/>
  <c r="AD331" i="9"/>
  <c r="AC331" i="9"/>
  <c r="AB331" i="9"/>
  <c r="AA331" i="9"/>
  <c r="Z331" i="9"/>
  <c r="Y331" i="9"/>
  <c r="AF330" i="9"/>
  <c r="AE330" i="9"/>
  <c r="V330" i="9" s="1"/>
  <c r="AD330" i="9"/>
  <c r="AC330" i="9"/>
  <c r="AB330" i="9"/>
  <c r="AA330" i="9"/>
  <c r="Z330" i="9"/>
  <c r="Y330" i="9"/>
  <c r="T330" i="9"/>
  <c r="AF329" i="9"/>
  <c r="AE329" i="9"/>
  <c r="V329" i="9" s="1"/>
  <c r="AD329" i="9"/>
  <c r="AC329" i="9"/>
  <c r="AB329" i="9"/>
  <c r="AA329" i="9"/>
  <c r="Z329" i="9"/>
  <c r="Y329" i="9"/>
  <c r="T329" i="9" s="1"/>
  <c r="AF328" i="9"/>
  <c r="AE328" i="9"/>
  <c r="V328" i="9" s="1"/>
  <c r="AD328" i="9"/>
  <c r="AC328" i="9"/>
  <c r="AB328" i="9"/>
  <c r="AA328" i="9"/>
  <c r="Z328" i="9"/>
  <c r="Y328" i="9"/>
  <c r="AF327" i="9"/>
  <c r="AE327" i="9"/>
  <c r="AD327" i="9"/>
  <c r="AC327" i="9"/>
  <c r="AB327" i="9"/>
  <c r="AA327" i="9"/>
  <c r="Z327" i="9"/>
  <c r="Y327" i="9"/>
  <c r="V327" i="9"/>
  <c r="AF326" i="9"/>
  <c r="V326" i="9" s="1"/>
  <c r="AE326" i="9"/>
  <c r="AD326" i="9"/>
  <c r="AC326" i="9"/>
  <c r="AB326" i="9"/>
  <c r="U326" i="9" s="1"/>
  <c r="AA326" i="9"/>
  <c r="T326" i="9" s="1"/>
  <c r="Z326" i="9"/>
  <c r="Y326" i="9"/>
  <c r="AF325" i="9"/>
  <c r="AE325" i="9"/>
  <c r="AD325" i="9"/>
  <c r="AC325" i="9"/>
  <c r="U325" i="9" s="1"/>
  <c r="AB325" i="9"/>
  <c r="AA325" i="9"/>
  <c r="Z325" i="9"/>
  <c r="Y325" i="9"/>
  <c r="T325" i="9" s="1"/>
  <c r="AF324" i="9"/>
  <c r="AE324" i="9"/>
  <c r="V324" i="9" s="1"/>
  <c r="AD324" i="9"/>
  <c r="AC324" i="9"/>
  <c r="AB324" i="9"/>
  <c r="U324" i="9" s="1"/>
  <c r="AA324" i="9"/>
  <c r="Z324" i="9"/>
  <c r="Y324" i="9"/>
  <c r="AF323" i="9"/>
  <c r="AE323" i="9"/>
  <c r="V323" i="9" s="1"/>
  <c r="AD323" i="9"/>
  <c r="AC323" i="9"/>
  <c r="AB323" i="9"/>
  <c r="AA323" i="9"/>
  <c r="Z323" i="9"/>
  <c r="T323" i="9" s="1"/>
  <c r="Y323" i="9"/>
  <c r="AF322" i="9"/>
  <c r="AE322" i="9"/>
  <c r="V322" i="9" s="1"/>
  <c r="AD322" i="9"/>
  <c r="AC322" i="9"/>
  <c r="AB322" i="9"/>
  <c r="U322" i="9" s="1"/>
  <c r="AA322" i="9"/>
  <c r="Z322" i="9"/>
  <c r="Y322" i="9"/>
  <c r="AF321" i="9"/>
  <c r="AE321" i="9"/>
  <c r="AD321" i="9"/>
  <c r="AC321" i="9"/>
  <c r="AB321" i="9"/>
  <c r="AA321" i="9"/>
  <c r="Z321" i="9"/>
  <c r="Y321" i="9"/>
  <c r="AF320" i="9"/>
  <c r="AE320" i="9"/>
  <c r="AD320" i="9"/>
  <c r="AC320" i="9"/>
  <c r="AB320" i="9"/>
  <c r="AA320" i="9"/>
  <c r="Z320" i="9"/>
  <c r="Y320" i="9"/>
  <c r="AF319" i="9"/>
  <c r="V319" i="9" s="1"/>
  <c r="AE319" i="9"/>
  <c r="AD319" i="9"/>
  <c r="AC319" i="9"/>
  <c r="AB319" i="9"/>
  <c r="AA319" i="9"/>
  <c r="Z319" i="9"/>
  <c r="Y319" i="9"/>
  <c r="T319" i="9" s="1"/>
  <c r="AF318" i="9"/>
  <c r="AE318" i="9"/>
  <c r="V318" i="9" s="1"/>
  <c r="AD318" i="9"/>
  <c r="AC318" i="9"/>
  <c r="AB318" i="9"/>
  <c r="U318" i="9" s="1"/>
  <c r="AA318" i="9"/>
  <c r="Z318" i="9"/>
  <c r="Y318" i="9"/>
  <c r="AF317" i="9"/>
  <c r="AE317" i="9"/>
  <c r="AD317" i="9"/>
  <c r="AC317" i="9"/>
  <c r="AB317" i="9"/>
  <c r="AA317" i="9"/>
  <c r="Z317" i="9"/>
  <c r="Y317" i="9"/>
  <c r="AF316" i="9"/>
  <c r="AE316" i="9"/>
  <c r="AD316" i="9"/>
  <c r="AC316" i="9"/>
  <c r="AB316" i="9"/>
  <c r="AA316" i="9"/>
  <c r="Z316" i="9"/>
  <c r="Y316" i="9"/>
  <c r="T316" i="9" s="1"/>
  <c r="V316" i="9"/>
  <c r="AF315" i="9"/>
  <c r="AE315" i="9"/>
  <c r="AD315" i="9"/>
  <c r="AC315" i="9"/>
  <c r="AB315" i="9"/>
  <c r="U315" i="9" s="1"/>
  <c r="AA315" i="9"/>
  <c r="Z315" i="9"/>
  <c r="Y315" i="9"/>
  <c r="AF314" i="9"/>
  <c r="AE314" i="9"/>
  <c r="V314" i="9" s="1"/>
  <c r="AD314" i="9"/>
  <c r="AC314" i="9"/>
  <c r="AB314" i="9"/>
  <c r="AA314" i="9"/>
  <c r="T314" i="9" s="1"/>
  <c r="Z314" i="9"/>
  <c r="Y314" i="9"/>
  <c r="AF313" i="9"/>
  <c r="AE313" i="9"/>
  <c r="AD313" i="9"/>
  <c r="AC313" i="9"/>
  <c r="AB313" i="9"/>
  <c r="AA313" i="9"/>
  <c r="Z313" i="9"/>
  <c r="Y313" i="9"/>
  <c r="T313" i="9" s="1"/>
  <c r="AF312" i="9"/>
  <c r="AE312" i="9"/>
  <c r="V312" i="9" s="1"/>
  <c r="AD312" i="9"/>
  <c r="AC312" i="9"/>
  <c r="AB312" i="9"/>
  <c r="AA312" i="9"/>
  <c r="Z312" i="9"/>
  <c r="Y312" i="9"/>
  <c r="T312" i="9" s="1"/>
  <c r="AF311" i="9"/>
  <c r="V311" i="9" s="1"/>
  <c r="AE311" i="9"/>
  <c r="AD311" i="9"/>
  <c r="AC311" i="9"/>
  <c r="AB311" i="9"/>
  <c r="AA311" i="9"/>
  <c r="Z311" i="9"/>
  <c r="Y311" i="9"/>
  <c r="T311" i="9"/>
  <c r="AF310" i="9"/>
  <c r="AE310" i="9"/>
  <c r="V310" i="9" s="1"/>
  <c r="AD310" i="9"/>
  <c r="AC310" i="9"/>
  <c r="AB310" i="9"/>
  <c r="U310" i="9" s="1"/>
  <c r="AA310" i="9"/>
  <c r="Z310" i="9"/>
  <c r="Y310" i="9"/>
  <c r="T310" i="9" s="1"/>
  <c r="AF309" i="9"/>
  <c r="AE309" i="9"/>
  <c r="AD309" i="9"/>
  <c r="AC309" i="9"/>
  <c r="AB309" i="9"/>
  <c r="AA309" i="9"/>
  <c r="Z309" i="9"/>
  <c r="Y309" i="9"/>
  <c r="AF308" i="9"/>
  <c r="AE308" i="9"/>
  <c r="V308" i="9" s="1"/>
  <c r="AD308" i="9"/>
  <c r="AC308" i="9"/>
  <c r="AB308" i="9"/>
  <c r="AA308" i="9"/>
  <c r="Z308" i="9"/>
  <c r="Y308" i="9"/>
  <c r="T308" i="9" s="1"/>
  <c r="AF307" i="9"/>
  <c r="AE307" i="9"/>
  <c r="V307" i="9" s="1"/>
  <c r="AD307" i="9"/>
  <c r="AC307" i="9"/>
  <c r="AB307" i="9"/>
  <c r="U307" i="9" s="1"/>
  <c r="AA307" i="9"/>
  <c r="Z307" i="9"/>
  <c r="Y307" i="9"/>
  <c r="AF306" i="9"/>
  <c r="AE306" i="9"/>
  <c r="AD306" i="9"/>
  <c r="AC306" i="9"/>
  <c r="AB306" i="9"/>
  <c r="AA306" i="9"/>
  <c r="Z306" i="9"/>
  <c r="Y306" i="9"/>
  <c r="AF305" i="9"/>
  <c r="AE305" i="9"/>
  <c r="AD305" i="9"/>
  <c r="AC305" i="9"/>
  <c r="AB305" i="9"/>
  <c r="U305" i="9" s="1"/>
  <c r="AA305" i="9"/>
  <c r="Z305" i="9"/>
  <c r="Y305" i="9"/>
  <c r="T305" i="9" s="1"/>
  <c r="V305" i="9"/>
  <c r="AF304" i="9"/>
  <c r="AE304" i="9"/>
  <c r="AD304" i="9"/>
  <c r="AC304" i="9"/>
  <c r="AB304" i="9"/>
  <c r="AA304" i="9"/>
  <c r="Z304" i="9"/>
  <c r="Y304" i="9"/>
  <c r="V304" i="9"/>
  <c r="AF303" i="9"/>
  <c r="AE303" i="9"/>
  <c r="V303" i="9" s="1"/>
  <c r="AD303" i="9"/>
  <c r="AC303" i="9"/>
  <c r="AB303" i="9"/>
  <c r="U303" i="9" s="1"/>
  <c r="AA303" i="9"/>
  <c r="Z303" i="9"/>
  <c r="Y303" i="9"/>
  <c r="T303" i="9" s="1"/>
  <c r="AF302" i="9"/>
  <c r="AE302" i="9"/>
  <c r="V302" i="9" s="1"/>
  <c r="AD302" i="9"/>
  <c r="AC302" i="9"/>
  <c r="AB302" i="9"/>
  <c r="AA302" i="9"/>
  <c r="Z302" i="9"/>
  <c r="Y302" i="9"/>
  <c r="AF301" i="9"/>
  <c r="AE301" i="9"/>
  <c r="V301" i="9" s="1"/>
  <c r="AD301" i="9"/>
  <c r="AC301" i="9"/>
  <c r="AB301" i="9"/>
  <c r="U301" i="9" s="1"/>
  <c r="AA301" i="9"/>
  <c r="Z301" i="9"/>
  <c r="Y301" i="9"/>
  <c r="AF300" i="9"/>
  <c r="AE300" i="9"/>
  <c r="V300" i="9" s="1"/>
  <c r="AD300" i="9"/>
  <c r="AC300" i="9"/>
  <c r="AB300" i="9"/>
  <c r="AA300" i="9"/>
  <c r="Z300" i="9"/>
  <c r="Y300" i="9"/>
  <c r="T300" i="9" s="1"/>
  <c r="AF299" i="9"/>
  <c r="AE299" i="9"/>
  <c r="AD299" i="9"/>
  <c r="AC299" i="9"/>
  <c r="AB299" i="9"/>
  <c r="AA299" i="9"/>
  <c r="Z299" i="9"/>
  <c r="Y299" i="9"/>
  <c r="AF298" i="9"/>
  <c r="V298" i="9" s="1"/>
  <c r="AE298" i="9"/>
  <c r="AD298" i="9"/>
  <c r="AC298" i="9"/>
  <c r="AB298" i="9"/>
  <c r="AA298" i="9"/>
  <c r="Z298" i="9"/>
  <c r="Y298" i="9"/>
  <c r="T298" i="9" s="1"/>
  <c r="AF297" i="9"/>
  <c r="V297" i="9" s="1"/>
  <c r="AE297" i="9"/>
  <c r="AD297" i="9"/>
  <c r="AC297" i="9"/>
  <c r="AB297" i="9"/>
  <c r="AA297" i="9"/>
  <c r="Z297" i="9"/>
  <c r="Y297" i="9"/>
  <c r="T297" i="9" s="1"/>
  <c r="AF296" i="9"/>
  <c r="AE296" i="9"/>
  <c r="V296" i="9" s="1"/>
  <c r="AD296" i="9"/>
  <c r="AC296" i="9"/>
  <c r="AB296" i="9"/>
  <c r="AA296" i="9"/>
  <c r="Z296" i="9"/>
  <c r="Y296" i="9"/>
  <c r="AF295" i="9"/>
  <c r="AE295" i="9"/>
  <c r="V295" i="9" s="1"/>
  <c r="AD295" i="9"/>
  <c r="AC295" i="9"/>
  <c r="AB295" i="9"/>
  <c r="U295" i="9" s="1"/>
  <c r="AA295" i="9"/>
  <c r="Z295" i="9"/>
  <c r="Y295" i="9"/>
  <c r="AF294" i="9"/>
  <c r="AE294" i="9"/>
  <c r="AD294" i="9"/>
  <c r="AC294" i="9"/>
  <c r="AB294" i="9"/>
  <c r="AA294" i="9"/>
  <c r="Z294" i="9"/>
  <c r="Y294" i="9"/>
  <c r="AF293" i="9"/>
  <c r="AE293" i="9"/>
  <c r="V293" i="9" s="1"/>
  <c r="AD293" i="9"/>
  <c r="AC293" i="9"/>
  <c r="AB293" i="9"/>
  <c r="U293" i="9" s="1"/>
  <c r="AA293" i="9"/>
  <c r="Z293" i="9"/>
  <c r="T293" i="9" s="1"/>
  <c r="Y293" i="9"/>
  <c r="AF292" i="9"/>
  <c r="AE292" i="9"/>
  <c r="AD292" i="9"/>
  <c r="AC292" i="9"/>
  <c r="AB292" i="9"/>
  <c r="AA292" i="9"/>
  <c r="Z292" i="9"/>
  <c r="Y292" i="9"/>
  <c r="T292" i="9" s="1"/>
  <c r="AF291" i="9"/>
  <c r="AE291" i="9"/>
  <c r="AD291" i="9"/>
  <c r="AC291" i="9"/>
  <c r="AB291" i="9"/>
  <c r="AA291" i="9"/>
  <c r="Z291" i="9"/>
  <c r="Y291" i="9"/>
  <c r="AF290" i="9"/>
  <c r="V290" i="9" s="1"/>
  <c r="AE290" i="9"/>
  <c r="AD290" i="9"/>
  <c r="AC290" i="9"/>
  <c r="AB290" i="9"/>
  <c r="U290" i="9" s="1"/>
  <c r="AA290" i="9"/>
  <c r="Z290" i="9"/>
  <c r="Y290" i="9"/>
  <c r="T290" i="9" s="1"/>
  <c r="AF289" i="9"/>
  <c r="V289" i="9" s="1"/>
  <c r="AE289" i="9"/>
  <c r="AD289" i="9"/>
  <c r="AC289" i="9"/>
  <c r="AB289" i="9"/>
  <c r="U289" i="9" s="1"/>
  <c r="AA289" i="9"/>
  <c r="Z289" i="9"/>
  <c r="Y289" i="9"/>
  <c r="T289" i="9" s="1"/>
  <c r="AF288" i="9"/>
  <c r="AE288" i="9"/>
  <c r="V288" i="9" s="1"/>
  <c r="AD288" i="9"/>
  <c r="AC288" i="9"/>
  <c r="AB288" i="9"/>
  <c r="U288" i="9" s="1"/>
  <c r="AA288" i="9"/>
  <c r="Z288" i="9"/>
  <c r="Y288" i="9"/>
  <c r="AF287" i="9"/>
  <c r="AE287" i="9"/>
  <c r="V287" i="9" s="1"/>
  <c r="AD287" i="9"/>
  <c r="AC287" i="9"/>
  <c r="AB287" i="9"/>
  <c r="AA287" i="9"/>
  <c r="T287" i="9" s="1"/>
  <c r="Z287" i="9"/>
  <c r="Y287" i="9"/>
  <c r="AF286" i="9"/>
  <c r="AE286" i="9"/>
  <c r="AD286" i="9"/>
  <c r="AC286" i="9"/>
  <c r="AB286" i="9"/>
  <c r="U286" i="9" s="1"/>
  <c r="AA286" i="9"/>
  <c r="Z286" i="9"/>
  <c r="Y286" i="9"/>
  <c r="AF285" i="9"/>
  <c r="AE285" i="9"/>
  <c r="V285" i="9" s="1"/>
  <c r="AD285" i="9"/>
  <c r="AC285" i="9"/>
  <c r="AB285" i="9"/>
  <c r="AA285" i="9"/>
  <c r="Z285" i="9"/>
  <c r="Y285" i="9"/>
  <c r="AF284" i="9"/>
  <c r="AE284" i="9"/>
  <c r="V284" i="9" s="1"/>
  <c r="AD284" i="9"/>
  <c r="AC284" i="9"/>
  <c r="AB284" i="9"/>
  <c r="U284" i="9" s="1"/>
  <c r="AA284" i="9"/>
  <c r="Z284" i="9"/>
  <c r="Y284" i="9"/>
  <c r="T284" i="9" s="1"/>
  <c r="AF283" i="9"/>
  <c r="AE283" i="9"/>
  <c r="AD283" i="9"/>
  <c r="AC283" i="9"/>
  <c r="AB283" i="9"/>
  <c r="AA283" i="9"/>
  <c r="Z283" i="9"/>
  <c r="Y283" i="9"/>
  <c r="AF282" i="9"/>
  <c r="V282" i="9" s="1"/>
  <c r="AE282" i="9"/>
  <c r="AD282" i="9"/>
  <c r="AC282" i="9"/>
  <c r="AB282" i="9"/>
  <c r="AA282" i="9"/>
  <c r="Z282" i="9"/>
  <c r="Y282" i="9"/>
  <c r="T282" i="9" s="1"/>
  <c r="AF281" i="9"/>
  <c r="AE281" i="9"/>
  <c r="AD281" i="9"/>
  <c r="AC281" i="9"/>
  <c r="AB281" i="9"/>
  <c r="AA281" i="9"/>
  <c r="Z281" i="9"/>
  <c r="Y281" i="9"/>
  <c r="V281" i="9"/>
  <c r="AF280" i="9"/>
  <c r="AE280" i="9"/>
  <c r="V280" i="9" s="1"/>
  <c r="AD280" i="9"/>
  <c r="AC280" i="9"/>
  <c r="AB280" i="9"/>
  <c r="AA280" i="9"/>
  <c r="Z280" i="9"/>
  <c r="Y280" i="9"/>
  <c r="T280" i="9" s="1"/>
  <c r="AF279" i="9"/>
  <c r="AE279" i="9"/>
  <c r="AD279" i="9"/>
  <c r="AC279" i="9"/>
  <c r="AB279" i="9"/>
  <c r="AA279" i="9"/>
  <c r="Z279" i="9"/>
  <c r="Y279" i="9"/>
  <c r="AF278" i="9"/>
  <c r="AE278" i="9"/>
  <c r="AD278" i="9"/>
  <c r="AC278" i="9"/>
  <c r="AB278" i="9"/>
  <c r="AA278" i="9"/>
  <c r="Z278" i="9"/>
  <c r="Y278" i="9"/>
  <c r="T278" i="9" s="1"/>
  <c r="AF277" i="9"/>
  <c r="AE277" i="9"/>
  <c r="AD277" i="9"/>
  <c r="AC277" i="9"/>
  <c r="AB277" i="9"/>
  <c r="AA277" i="9"/>
  <c r="Z277" i="9"/>
  <c r="Y277" i="9"/>
  <c r="V277" i="9"/>
  <c r="AF276" i="9"/>
  <c r="AE276" i="9"/>
  <c r="V276" i="9" s="1"/>
  <c r="AD276" i="9"/>
  <c r="AC276" i="9"/>
  <c r="AB276" i="9"/>
  <c r="AA276" i="9"/>
  <c r="Z276" i="9"/>
  <c r="Y276" i="9"/>
  <c r="AF275" i="9"/>
  <c r="AE275" i="9"/>
  <c r="AD275" i="9"/>
  <c r="AC275" i="9"/>
  <c r="AB275" i="9"/>
  <c r="AA275" i="9"/>
  <c r="Z275" i="9"/>
  <c r="Y275" i="9"/>
  <c r="AF274" i="9"/>
  <c r="V274" i="9" s="1"/>
  <c r="AE274" i="9"/>
  <c r="AD274" i="9"/>
  <c r="AC274" i="9"/>
  <c r="AB274" i="9"/>
  <c r="AA274" i="9"/>
  <c r="Z274" i="9"/>
  <c r="Y274" i="9"/>
  <c r="AF273" i="9"/>
  <c r="AE273" i="9"/>
  <c r="AD273" i="9"/>
  <c r="AC273" i="9"/>
  <c r="AB273" i="9"/>
  <c r="AA273" i="9"/>
  <c r="Z273" i="9"/>
  <c r="Y273" i="9"/>
  <c r="T273" i="9" s="1"/>
  <c r="V273" i="9"/>
  <c r="AF272" i="9"/>
  <c r="AE272" i="9"/>
  <c r="V272" i="9" s="1"/>
  <c r="AD272" i="9"/>
  <c r="AC272" i="9"/>
  <c r="AB272" i="9"/>
  <c r="AA272" i="9"/>
  <c r="Z272" i="9"/>
  <c r="Y272" i="9"/>
  <c r="AF271" i="9"/>
  <c r="AE271" i="9"/>
  <c r="V271" i="9" s="1"/>
  <c r="AD271" i="9"/>
  <c r="AC271" i="9"/>
  <c r="AB271" i="9"/>
  <c r="AA271" i="9"/>
  <c r="T271" i="9" s="1"/>
  <c r="Z271" i="9"/>
  <c r="Y271" i="9"/>
  <c r="AF270" i="9"/>
  <c r="AE270" i="9"/>
  <c r="AD270" i="9"/>
  <c r="AC270" i="9"/>
  <c r="AB270" i="9"/>
  <c r="AA270" i="9"/>
  <c r="Z270" i="9"/>
  <c r="Y270" i="9"/>
  <c r="AF269" i="9"/>
  <c r="AE269" i="9"/>
  <c r="V269" i="9" s="1"/>
  <c r="AD269" i="9"/>
  <c r="AC269" i="9"/>
  <c r="AB269" i="9"/>
  <c r="AA269" i="9"/>
  <c r="T269" i="9" s="1"/>
  <c r="Z269" i="9"/>
  <c r="Y269" i="9"/>
  <c r="AF268" i="9"/>
  <c r="AE268" i="9"/>
  <c r="AD268" i="9"/>
  <c r="AC268" i="9"/>
  <c r="AB268" i="9"/>
  <c r="AA268" i="9"/>
  <c r="Z268" i="9"/>
  <c r="Y268" i="9"/>
  <c r="T268" i="9" s="1"/>
  <c r="AF267" i="9"/>
  <c r="AE267" i="9"/>
  <c r="AD267" i="9"/>
  <c r="AC267" i="9"/>
  <c r="AB267" i="9"/>
  <c r="AA267" i="9"/>
  <c r="Z267" i="9"/>
  <c r="Y267" i="9"/>
  <c r="AF266" i="9"/>
  <c r="V266" i="9" s="1"/>
  <c r="AE266" i="9"/>
  <c r="AD266" i="9"/>
  <c r="AC266" i="9"/>
  <c r="AB266" i="9"/>
  <c r="AA266" i="9"/>
  <c r="Z266" i="9"/>
  <c r="Y266" i="9"/>
  <c r="T266" i="9" s="1"/>
  <c r="AF265" i="9"/>
  <c r="V265" i="9" s="1"/>
  <c r="AE265" i="9"/>
  <c r="AD265" i="9"/>
  <c r="AC265" i="9"/>
  <c r="AB265" i="9"/>
  <c r="AA265" i="9"/>
  <c r="Z265" i="9"/>
  <c r="Y265" i="9"/>
  <c r="AF264" i="9"/>
  <c r="AE264" i="9"/>
  <c r="AD264" i="9"/>
  <c r="AC264" i="9"/>
  <c r="AB264" i="9"/>
  <c r="AA264" i="9"/>
  <c r="Z264" i="9"/>
  <c r="Y264" i="9"/>
  <c r="T264" i="9" s="1"/>
  <c r="AF263" i="9"/>
  <c r="AE263" i="9"/>
  <c r="V263" i="9" s="1"/>
  <c r="AD263" i="9"/>
  <c r="AC263" i="9"/>
  <c r="AB263" i="9"/>
  <c r="AA263" i="9"/>
  <c r="Z263" i="9"/>
  <c r="Y263" i="9"/>
  <c r="AF262" i="9"/>
  <c r="AE262" i="9"/>
  <c r="AD262" i="9"/>
  <c r="AC262" i="9"/>
  <c r="AB262" i="9"/>
  <c r="AA262" i="9"/>
  <c r="Z262" i="9"/>
  <c r="Y262" i="9"/>
  <c r="T262" i="9" s="1"/>
  <c r="V262" i="9"/>
  <c r="AF261" i="9"/>
  <c r="AE261" i="9"/>
  <c r="V261" i="9" s="1"/>
  <c r="AD261" i="9"/>
  <c r="AC261" i="9"/>
  <c r="AB261" i="9"/>
  <c r="AA261" i="9"/>
  <c r="Z261" i="9"/>
  <c r="T261" i="9" s="1"/>
  <c r="Y261" i="9"/>
  <c r="AF260" i="9"/>
  <c r="AE260" i="9"/>
  <c r="AD260" i="9"/>
  <c r="AC260" i="9"/>
  <c r="U260" i="9" s="1"/>
  <c r="AB260" i="9"/>
  <c r="AA260" i="9"/>
  <c r="Z260" i="9"/>
  <c r="Y260" i="9"/>
  <c r="T260" i="9" s="1"/>
  <c r="AF259" i="9"/>
  <c r="AE259" i="9"/>
  <c r="AD259" i="9"/>
  <c r="AC259" i="9"/>
  <c r="AB259" i="9"/>
  <c r="AA259" i="9"/>
  <c r="Z259" i="9"/>
  <c r="Y259" i="9"/>
  <c r="AF258" i="9"/>
  <c r="V258" i="9" s="1"/>
  <c r="AE258" i="9"/>
  <c r="AD258" i="9"/>
  <c r="AC258" i="9"/>
  <c r="AB258" i="9"/>
  <c r="AA258" i="9"/>
  <c r="Z258" i="9"/>
  <c r="Y258" i="9"/>
  <c r="T258" i="9" s="1"/>
  <c r="AF257" i="9"/>
  <c r="AE257" i="9"/>
  <c r="V257" i="9" s="1"/>
  <c r="AD257" i="9"/>
  <c r="AC257" i="9"/>
  <c r="AB257" i="9"/>
  <c r="AA257" i="9"/>
  <c r="Z257" i="9"/>
  <c r="Y257" i="9"/>
  <c r="T257" i="9"/>
  <c r="AF256" i="9"/>
  <c r="AE256" i="9"/>
  <c r="V256" i="9" s="1"/>
  <c r="AD256" i="9"/>
  <c r="AC256" i="9"/>
  <c r="AB256" i="9"/>
  <c r="AA256" i="9"/>
  <c r="Z256" i="9"/>
  <c r="Y256" i="9"/>
  <c r="T256" i="9" s="1"/>
  <c r="AF255" i="9"/>
  <c r="AE255" i="9"/>
  <c r="V255" i="9" s="1"/>
  <c r="AD255" i="9"/>
  <c r="AC255" i="9"/>
  <c r="AB255" i="9"/>
  <c r="U255" i="9" s="1"/>
  <c r="AA255" i="9"/>
  <c r="Z255" i="9"/>
  <c r="Y255" i="9"/>
  <c r="AF254" i="9"/>
  <c r="AE254" i="9"/>
  <c r="V254" i="9" s="1"/>
  <c r="AD254" i="9"/>
  <c r="AC254" i="9"/>
  <c r="AB254" i="9"/>
  <c r="AA254" i="9"/>
  <c r="Z254" i="9"/>
  <c r="Y254" i="9"/>
  <c r="AF253" i="9"/>
  <c r="AE253" i="9"/>
  <c r="AD253" i="9"/>
  <c r="AC253" i="9"/>
  <c r="AB253" i="9"/>
  <c r="U253" i="9" s="1"/>
  <c r="AA253" i="9"/>
  <c r="Z253" i="9"/>
  <c r="Y253" i="9"/>
  <c r="T253" i="9" s="1"/>
  <c r="V253" i="9"/>
  <c r="AF252" i="9"/>
  <c r="AE252" i="9"/>
  <c r="V252" i="9" s="1"/>
  <c r="AD252" i="9"/>
  <c r="AC252" i="9"/>
  <c r="AB252" i="9"/>
  <c r="U252" i="9" s="1"/>
  <c r="AA252" i="9"/>
  <c r="Z252" i="9"/>
  <c r="Y252" i="9"/>
  <c r="AF251" i="9"/>
  <c r="AE251" i="9"/>
  <c r="AD251" i="9"/>
  <c r="AC251" i="9"/>
  <c r="AB251" i="9"/>
  <c r="AA251" i="9"/>
  <c r="Z251" i="9"/>
  <c r="Y251" i="9"/>
  <c r="AF250" i="9"/>
  <c r="V250" i="9" s="1"/>
  <c r="AE250" i="9"/>
  <c r="AD250" i="9"/>
  <c r="AC250" i="9"/>
  <c r="AB250" i="9"/>
  <c r="U250" i="9" s="1"/>
  <c r="AA250" i="9"/>
  <c r="Z250" i="9"/>
  <c r="Y250" i="9"/>
  <c r="AF249" i="9"/>
  <c r="V249" i="9" s="1"/>
  <c r="AE249" i="9"/>
  <c r="AD249" i="9"/>
  <c r="AC249" i="9"/>
  <c r="AB249" i="9"/>
  <c r="AA249" i="9"/>
  <c r="Z249" i="9"/>
  <c r="Y249" i="9"/>
  <c r="AF248" i="9"/>
  <c r="AE248" i="9"/>
  <c r="V248" i="9" s="1"/>
  <c r="AD248" i="9"/>
  <c r="AC248" i="9"/>
  <c r="AB248" i="9"/>
  <c r="U248" i="9" s="1"/>
  <c r="AA248" i="9"/>
  <c r="Z248" i="9"/>
  <c r="Y248" i="9"/>
  <c r="AF247" i="9"/>
  <c r="AE247" i="9"/>
  <c r="V247" i="9" s="1"/>
  <c r="AD247" i="9"/>
  <c r="AC247" i="9"/>
  <c r="AB247" i="9"/>
  <c r="AA247" i="9"/>
  <c r="Z247" i="9"/>
  <c r="Y247" i="9"/>
  <c r="AF246" i="9"/>
  <c r="AE246" i="9"/>
  <c r="V246" i="9" s="1"/>
  <c r="AD246" i="9"/>
  <c r="AC246" i="9"/>
  <c r="AB246" i="9"/>
  <c r="AA246" i="9"/>
  <c r="Z246" i="9"/>
  <c r="Y246" i="9"/>
  <c r="AF245" i="9"/>
  <c r="AE245" i="9"/>
  <c r="V245" i="9" s="1"/>
  <c r="AD245" i="9"/>
  <c r="AC245" i="9"/>
  <c r="AB245" i="9"/>
  <c r="AA245" i="9"/>
  <c r="Z245" i="9"/>
  <c r="Y245" i="9"/>
  <c r="AF244" i="9"/>
  <c r="AE244" i="9"/>
  <c r="V244" i="9" s="1"/>
  <c r="AD244" i="9"/>
  <c r="AC244" i="9"/>
  <c r="AB244" i="9"/>
  <c r="U244" i="9" s="1"/>
  <c r="AA244" i="9"/>
  <c r="Z244" i="9"/>
  <c r="Y244" i="9"/>
  <c r="T244" i="9" s="1"/>
  <c r="AF243" i="9"/>
  <c r="AE243" i="9"/>
  <c r="V243" i="9" s="1"/>
  <c r="AD243" i="9"/>
  <c r="AC243" i="9"/>
  <c r="AB243" i="9"/>
  <c r="AA243" i="9"/>
  <c r="Z243" i="9"/>
  <c r="Y243" i="9"/>
  <c r="AF242" i="9"/>
  <c r="AE242" i="9"/>
  <c r="AD242" i="9"/>
  <c r="AC242" i="9"/>
  <c r="AB242" i="9"/>
  <c r="AA242" i="9"/>
  <c r="Z242" i="9"/>
  <c r="Y242" i="9"/>
  <c r="T242" i="9" s="1"/>
  <c r="V242" i="9"/>
  <c r="AF241" i="9"/>
  <c r="V241" i="9" s="1"/>
  <c r="AE241" i="9"/>
  <c r="AD241" i="9"/>
  <c r="AC241" i="9"/>
  <c r="AB241" i="9"/>
  <c r="AA241" i="9"/>
  <c r="Z241" i="9"/>
  <c r="Y241" i="9"/>
  <c r="T241" i="9" s="1"/>
  <c r="AF240" i="9"/>
  <c r="AE240" i="9"/>
  <c r="V240" i="9" s="1"/>
  <c r="AD240" i="9"/>
  <c r="AC240" i="9"/>
  <c r="AB240" i="9"/>
  <c r="AA240" i="9"/>
  <c r="Z240" i="9"/>
  <c r="Y240" i="9"/>
  <c r="AF239" i="9"/>
  <c r="AE239" i="9"/>
  <c r="AD239" i="9"/>
  <c r="AC239" i="9"/>
  <c r="AB239" i="9"/>
  <c r="AA239" i="9"/>
  <c r="T239" i="9" s="1"/>
  <c r="Z239" i="9"/>
  <c r="Y239" i="9"/>
  <c r="AF238" i="9"/>
  <c r="AE238" i="9"/>
  <c r="AD238" i="9"/>
  <c r="AC238" i="9"/>
  <c r="AB238" i="9"/>
  <c r="AA238" i="9"/>
  <c r="Z238" i="9"/>
  <c r="Y238" i="9"/>
  <c r="V238" i="9"/>
  <c r="AF237" i="9"/>
  <c r="V237" i="9" s="1"/>
  <c r="AE237" i="9"/>
  <c r="AD237" i="9"/>
  <c r="AC237" i="9"/>
  <c r="AB237" i="9"/>
  <c r="AA237" i="9"/>
  <c r="Z237" i="9"/>
  <c r="Y237" i="9"/>
  <c r="AF236" i="9"/>
  <c r="AE236" i="9"/>
  <c r="V236" i="9" s="1"/>
  <c r="AD236" i="9"/>
  <c r="AC236" i="9"/>
  <c r="AB236" i="9"/>
  <c r="U236" i="9" s="1"/>
  <c r="AA236" i="9"/>
  <c r="Z236" i="9"/>
  <c r="Y236" i="9"/>
  <c r="AF235" i="9"/>
  <c r="AE235" i="9"/>
  <c r="V235" i="9" s="1"/>
  <c r="AD235" i="9"/>
  <c r="AC235" i="9"/>
  <c r="AB235" i="9"/>
  <c r="AA235" i="9"/>
  <c r="T235" i="9" s="1"/>
  <c r="Z235" i="9"/>
  <c r="Y235" i="9"/>
  <c r="AF234" i="9"/>
  <c r="AE234" i="9"/>
  <c r="V234" i="9" s="1"/>
  <c r="AD234" i="9"/>
  <c r="AC234" i="9"/>
  <c r="AB234" i="9"/>
  <c r="AA234" i="9"/>
  <c r="Z234" i="9"/>
  <c r="Y234" i="9"/>
  <c r="AF233" i="9"/>
  <c r="AE233" i="9"/>
  <c r="AD233" i="9"/>
  <c r="AC233" i="9"/>
  <c r="AB233" i="9"/>
  <c r="AA233" i="9"/>
  <c r="Z233" i="9"/>
  <c r="Y233" i="9"/>
  <c r="V233" i="9"/>
  <c r="AF232" i="9"/>
  <c r="AE232" i="9"/>
  <c r="AD232" i="9"/>
  <c r="AC232" i="9"/>
  <c r="AB232" i="9"/>
  <c r="U232" i="9" s="1"/>
  <c r="AA232" i="9"/>
  <c r="Z232" i="9"/>
  <c r="Y232" i="9"/>
  <c r="T232" i="9" s="1"/>
  <c r="AF231" i="9"/>
  <c r="AE231" i="9"/>
  <c r="V231" i="9" s="1"/>
  <c r="AD231" i="9"/>
  <c r="AC231" i="9"/>
  <c r="AB231" i="9"/>
  <c r="AA231" i="9"/>
  <c r="Z231" i="9"/>
  <c r="Y231" i="9"/>
  <c r="AF230" i="9"/>
  <c r="AE230" i="9"/>
  <c r="V230" i="9" s="1"/>
  <c r="AD230" i="9"/>
  <c r="AC230" i="9"/>
  <c r="AB230" i="9"/>
  <c r="U230" i="9" s="1"/>
  <c r="AA230" i="9"/>
  <c r="Z230" i="9"/>
  <c r="Y230" i="9"/>
  <c r="T230" i="9" s="1"/>
  <c r="AF229" i="9"/>
  <c r="AE229" i="9"/>
  <c r="AD229" i="9"/>
  <c r="AC229" i="9"/>
  <c r="AB229" i="9"/>
  <c r="AA229" i="9"/>
  <c r="Z229" i="9"/>
  <c r="T229" i="9" s="1"/>
  <c r="Y229" i="9"/>
  <c r="V229" i="9"/>
  <c r="AF228" i="9"/>
  <c r="AE228" i="9"/>
  <c r="AD228" i="9"/>
  <c r="AC228" i="9"/>
  <c r="AB228" i="9"/>
  <c r="AA228" i="9"/>
  <c r="Z228" i="9"/>
  <c r="Y228" i="9"/>
  <c r="AF227" i="9"/>
  <c r="AE227" i="9"/>
  <c r="AD227" i="9"/>
  <c r="AC227" i="9"/>
  <c r="AB227" i="9"/>
  <c r="AA227" i="9"/>
  <c r="Z227" i="9"/>
  <c r="Y227" i="9"/>
  <c r="AF226" i="9"/>
  <c r="AE226" i="9"/>
  <c r="V226" i="9" s="1"/>
  <c r="AD226" i="9"/>
  <c r="AC226" i="9"/>
  <c r="AB226" i="9"/>
  <c r="AA226" i="9"/>
  <c r="Z226" i="9"/>
  <c r="Y226" i="9"/>
  <c r="AF225" i="9"/>
  <c r="AE225" i="9"/>
  <c r="AD225" i="9"/>
  <c r="AC225" i="9"/>
  <c r="AB225" i="9"/>
  <c r="AA225" i="9"/>
  <c r="Z225" i="9"/>
  <c r="Y225" i="9"/>
  <c r="V225" i="9"/>
  <c r="AF224" i="9"/>
  <c r="AE224" i="9"/>
  <c r="V224" i="9" s="1"/>
  <c r="AD224" i="9"/>
  <c r="AC224" i="9"/>
  <c r="AB224" i="9"/>
  <c r="U224" i="9" s="1"/>
  <c r="AA224" i="9"/>
  <c r="Z224" i="9"/>
  <c r="Y224" i="9"/>
  <c r="T224" i="9" s="1"/>
  <c r="AF223" i="9"/>
  <c r="AE223" i="9"/>
  <c r="V223" i="9" s="1"/>
  <c r="AD223" i="9"/>
  <c r="AC223" i="9"/>
  <c r="AB223" i="9"/>
  <c r="AA223" i="9"/>
  <c r="Z223" i="9"/>
  <c r="Y223" i="9"/>
  <c r="AF222" i="9"/>
  <c r="AE222" i="9"/>
  <c r="V222" i="9" s="1"/>
  <c r="AD222" i="9"/>
  <c r="AC222" i="9"/>
  <c r="AB222" i="9"/>
  <c r="AA222" i="9"/>
  <c r="Z222" i="9"/>
  <c r="Y222" i="9"/>
  <c r="AF221" i="9"/>
  <c r="AE221" i="9"/>
  <c r="V221" i="9" s="1"/>
  <c r="AD221" i="9"/>
  <c r="AC221" i="9"/>
  <c r="AB221" i="9"/>
  <c r="AA221" i="9"/>
  <c r="Z221" i="9"/>
  <c r="Y221" i="9"/>
  <c r="AF220" i="9"/>
  <c r="AE220" i="9"/>
  <c r="V220" i="9" s="1"/>
  <c r="AD220" i="9"/>
  <c r="AC220" i="9"/>
  <c r="AB220" i="9"/>
  <c r="U220" i="9" s="1"/>
  <c r="AA220" i="9"/>
  <c r="Z220" i="9"/>
  <c r="Y220" i="9"/>
  <c r="T220" i="9" s="1"/>
  <c r="AF219" i="9"/>
  <c r="AE219" i="9"/>
  <c r="AD219" i="9"/>
  <c r="AC219" i="9"/>
  <c r="AB219" i="9"/>
  <c r="AA219" i="9"/>
  <c r="Z219" i="9"/>
  <c r="Y219" i="9"/>
  <c r="AF218" i="9"/>
  <c r="AE218" i="9"/>
  <c r="AD218" i="9"/>
  <c r="AC218" i="9"/>
  <c r="AB218" i="9"/>
  <c r="AA218" i="9"/>
  <c r="Z218" i="9"/>
  <c r="Y218" i="9"/>
  <c r="V218" i="9"/>
  <c r="AF217" i="9"/>
  <c r="AE217" i="9"/>
  <c r="V217" i="9" s="1"/>
  <c r="AD217" i="9"/>
  <c r="AC217" i="9"/>
  <c r="AB217" i="9"/>
  <c r="U217" i="9" s="1"/>
  <c r="AA217" i="9"/>
  <c r="Z217" i="9"/>
  <c r="Y217" i="9"/>
  <c r="AF216" i="9"/>
  <c r="AE216" i="9"/>
  <c r="V216" i="9" s="1"/>
  <c r="AD216" i="9"/>
  <c r="AC216" i="9"/>
  <c r="AB216" i="9"/>
  <c r="AA216" i="9"/>
  <c r="Z216" i="9"/>
  <c r="Y216" i="9"/>
  <c r="AF215" i="9"/>
  <c r="AE215" i="9"/>
  <c r="AD215" i="9"/>
  <c r="AC215" i="9"/>
  <c r="AB215" i="9"/>
  <c r="AA215" i="9"/>
  <c r="T215" i="9" s="1"/>
  <c r="Z215" i="9"/>
  <c r="Y215" i="9"/>
  <c r="AF214" i="9"/>
  <c r="AE214" i="9"/>
  <c r="AD214" i="9"/>
  <c r="AC214" i="9"/>
  <c r="AB214" i="9"/>
  <c r="AA214" i="9"/>
  <c r="Z214" i="9"/>
  <c r="Y214" i="9"/>
  <c r="T214" i="9" s="1"/>
  <c r="V214" i="9"/>
  <c r="AF213" i="9"/>
  <c r="V213" i="9" s="1"/>
  <c r="AE213" i="9"/>
  <c r="AD213" i="9"/>
  <c r="AC213" i="9"/>
  <c r="AB213" i="9"/>
  <c r="AA213" i="9"/>
  <c r="Z213" i="9"/>
  <c r="Y213" i="9"/>
  <c r="AF212" i="9"/>
  <c r="AE212" i="9"/>
  <c r="V212" i="9" s="1"/>
  <c r="AD212" i="9"/>
  <c r="AC212" i="9"/>
  <c r="AB212" i="9"/>
  <c r="AA212" i="9"/>
  <c r="Z212" i="9"/>
  <c r="Y212" i="9"/>
  <c r="AF211" i="9"/>
  <c r="AE211" i="9"/>
  <c r="V211" i="9" s="1"/>
  <c r="AD211" i="9"/>
  <c r="AC211" i="9"/>
  <c r="AB211" i="9"/>
  <c r="AA211" i="9"/>
  <c r="T211" i="9" s="1"/>
  <c r="Z211" i="9"/>
  <c r="Y211" i="9"/>
  <c r="AF210" i="9"/>
  <c r="AE210" i="9"/>
  <c r="V210" i="9" s="1"/>
  <c r="AD210" i="9"/>
  <c r="AC210" i="9"/>
  <c r="AB210" i="9"/>
  <c r="U210" i="9" s="1"/>
  <c r="AA210" i="9"/>
  <c r="Z210" i="9"/>
  <c r="Y210" i="9"/>
  <c r="AF209" i="9"/>
  <c r="AE209" i="9"/>
  <c r="V209" i="9" s="1"/>
  <c r="AD209" i="9"/>
  <c r="AC209" i="9"/>
  <c r="AB209" i="9"/>
  <c r="AA209" i="9"/>
  <c r="Z209" i="9"/>
  <c r="Y209" i="9"/>
  <c r="AF208" i="9"/>
  <c r="AE208" i="9"/>
  <c r="AD208" i="9"/>
  <c r="AC208" i="9"/>
  <c r="AB208" i="9"/>
  <c r="AA208" i="9"/>
  <c r="Z208" i="9"/>
  <c r="Y208" i="9"/>
  <c r="T208" i="9" s="1"/>
  <c r="AF207" i="9"/>
  <c r="AE207" i="9"/>
  <c r="AD207" i="9"/>
  <c r="AC207" i="9"/>
  <c r="AB207" i="9"/>
  <c r="AA207" i="9"/>
  <c r="Z207" i="9"/>
  <c r="Y207" i="9"/>
  <c r="AF206" i="9"/>
  <c r="V206" i="9" s="1"/>
  <c r="AE206" i="9"/>
  <c r="AD206" i="9"/>
  <c r="AC206" i="9"/>
  <c r="AB206" i="9"/>
  <c r="U206" i="9" s="1"/>
  <c r="AA206" i="9"/>
  <c r="Z206" i="9"/>
  <c r="Y206" i="9"/>
  <c r="T206" i="9" s="1"/>
  <c r="AF205" i="9"/>
  <c r="AE205" i="9"/>
  <c r="AD205" i="9"/>
  <c r="AC205" i="9"/>
  <c r="AB205" i="9"/>
  <c r="AA205" i="9"/>
  <c r="Z205" i="9"/>
  <c r="Y205" i="9"/>
  <c r="T205" i="9" s="1"/>
  <c r="V205" i="9"/>
  <c r="AF204" i="9"/>
  <c r="AE204" i="9"/>
  <c r="V204" i="9" s="1"/>
  <c r="AD204" i="9"/>
  <c r="AC204" i="9"/>
  <c r="AB204" i="9"/>
  <c r="U204" i="9" s="1"/>
  <c r="AA204" i="9"/>
  <c r="Z204" i="9"/>
  <c r="Y204" i="9"/>
  <c r="AF203" i="9"/>
  <c r="AE203" i="9"/>
  <c r="V203" i="9" s="1"/>
  <c r="AD203" i="9"/>
  <c r="AC203" i="9"/>
  <c r="AB203" i="9"/>
  <c r="AA203" i="9"/>
  <c r="Z203" i="9"/>
  <c r="Y203" i="9"/>
  <c r="AF202" i="9"/>
  <c r="AE202" i="9"/>
  <c r="V202" i="9" s="1"/>
  <c r="AD202" i="9"/>
  <c r="AC202" i="9"/>
  <c r="AB202" i="9"/>
  <c r="U202" i="9" s="1"/>
  <c r="AA202" i="9"/>
  <c r="Z202" i="9"/>
  <c r="Y202" i="9"/>
  <c r="AF201" i="9"/>
  <c r="V201" i="9" s="1"/>
  <c r="AE201" i="9"/>
  <c r="AD201" i="9"/>
  <c r="AC201" i="9"/>
  <c r="AB201" i="9"/>
  <c r="AA201" i="9"/>
  <c r="Z201" i="9"/>
  <c r="Y201" i="9"/>
  <c r="AF200" i="9"/>
  <c r="AE200" i="9"/>
  <c r="V200" i="9" s="1"/>
  <c r="AD200" i="9"/>
  <c r="AC200" i="9"/>
  <c r="AB200" i="9"/>
  <c r="U200" i="9" s="1"/>
  <c r="AA200" i="9"/>
  <c r="Z200" i="9"/>
  <c r="Y200" i="9"/>
  <c r="T200" i="9" s="1"/>
  <c r="AF199" i="9"/>
  <c r="AE199" i="9"/>
  <c r="V199" i="9" s="1"/>
  <c r="AD199" i="9"/>
  <c r="AC199" i="9"/>
  <c r="AB199" i="9"/>
  <c r="AA199" i="9"/>
  <c r="T199" i="9" s="1"/>
  <c r="Z199" i="9"/>
  <c r="Y199" i="9"/>
  <c r="AF198" i="9"/>
  <c r="AE198" i="9"/>
  <c r="V198" i="9" s="1"/>
  <c r="AD198" i="9"/>
  <c r="AC198" i="9"/>
  <c r="AB198" i="9"/>
  <c r="AA198" i="9"/>
  <c r="Z198" i="9"/>
  <c r="Y198" i="9"/>
  <c r="AF197" i="9"/>
  <c r="AE197" i="9"/>
  <c r="V197" i="9" s="1"/>
  <c r="AD197" i="9"/>
  <c r="AC197" i="9"/>
  <c r="AB197" i="9"/>
  <c r="U197" i="9" s="1"/>
  <c r="AA197" i="9"/>
  <c r="Z197" i="9"/>
  <c r="Y197" i="9"/>
  <c r="T197" i="9"/>
  <c r="AF196" i="9"/>
  <c r="AE196" i="9"/>
  <c r="AD196" i="9"/>
  <c r="AC196" i="9"/>
  <c r="U196" i="9" s="1"/>
  <c r="AB196" i="9"/>
  <c r="AA196" i="9"/>
  <c r="Z196" i="9"/>
  <c r="Y196" i="9"/>
  <c r="T196" i="9" s="1"/>
  <c r="AF195" i="9"/>
  <c r="AE195" i="9"/>
  <c r="V195" i="9" s="1"/>
  <c r="AD195" i="9"/>
  <c r="AC195" i="9"/>
  <c r="AB195" i="9"/>
  <c r="AA195" i="9"/>
  <c r="Z195" i="9"/>
  <c r="Y195" i="9"/>
  <c r="AF194" i="9"/>
  <c r="AE194" i="9"/>
  <c r="AD194" i="9"/>
  <c r="AC194" i="9"/>
  <c r="AB194" i="9"/>
  <c r="AA194" i="9"/>
  <c r="Z194" i="9"/>
  <c r="Y194" i="9"/>
  <c r="V194" i="9"/>
  <c r="AF193" i="9"/>
  <c r="AE193" i="9"/>
  <c r="V193" i="9" s="1"/>
  <c r="AD193" i="9"/>
  <c r="AC193" i="9"/>
  <c r="AB193" i="9"/>
  <c r="AA193" i="9"/>
  <c r="T193" i="9" s="1"/>
  <c r="Z193" i="9"/>
  <c r="Y193" i="9"/>
  <c r="AF192" i="9"/>
  <c r="AE192" i="9"/>
  <c r="V192" i="9" s="1"/>
  <c r="AD192" i="9"/>
  <c r="AC192" i="9"/>
  <c r="AB192" i="9"/>
  <c r="AA192" i="9"/>
  <c r="Z192" i="9"/>
  <c r="Y192" i="9"/>
  <c r="AF191" i="9"/>
  <c r="AE191" i="9"/>
  <c r="V191" i="9" s="1"/>
  <c r="AD191" i="9"/>
  <c r="AC191" i="9"/>
  <c r="AB191" i="9"/>
  <c r="AA191" i="9"/>
  <c r="Z191" i="9"/>
  <c r="Y191" i="9"/>
  <c r="AF190" i="9"/>
  <c r="AE190" i="9"/>
  <c r="V190" i="9" s="1"/>
  <c r="AD190" i="9"/>
  <c r="AC190" i="9"/>
  <c r="AB190" i="9"/>
  <c r="AA190" i="9"/>
  <c r="Z190" i="9"/>
  <c r="Y190" i="9"/>
  <c r="AF189" i="9"/>
  <c r="AE189" i="9"/>
  <c r="V189" i="9" s="1"/>
  <c r="AD189" i="9"/>
  <c r="AC189" i="9"/>
  <c r="AB189" i="9"/>
  <c r="AA189" i="9"/>
  <c r="Z189" i="9"/>
  <c r="Y189" i="9"/>
  <c r="T189" i="9"/>
  <c r="AF188" i="9"/>
  <c r="AE188" i="9"/>
  <c r="AD188" i="9"/>
  <c r="AC188" i="9"/>
  <c r="AB188" i="9"/>
  <c r="AA188" i="9"/>
  <c r="Z188" i="9"/>
  <c r="Y188" i="9"/>
  <c r="T188" i="9" s="1"/>
  <c r="AF187" i="9"/>
  <c r="AE187" i="9"/>
  <c r="AD187" i="9"/>
  <c r="AC187" i="9"/>
  <c r="AB187" i="9"/>
  <c r="AA187" i="9"/>
  <c r="Z187" i="9"/>
  <c r="Y187" i="9"/>
  <c r="AF186" i="9"/>
  <c r="V186" i="9" s="1"/>
  <c r="AE186" i="9"/>
  <c r="AD186" i="9"/>
  <c r="AC186" i="9"/>
  <c r="AB186" i="9"/>
  <c r="AA186" i="9"/>
  <c r="Z186" i="9"/>
  <c r="Y186" i="9"/>
  <c r="T186" i="9" s="1"/>
  <c r="AF185" i="9"/>
  <c r="AE185" i="9"/>
  <c r="AD185" i="9"/>
  <c r="AC185" i="9"/>
  <c r="AB185" i="9"/>
  <c r="AA185" i="9"/>
  <c r="Z185" i="9"/>
  <c r="Y185" i="9"/>
  <c r="V185" i="9"/>
  <c r="T185" i="9"/>
  <c r="AF184" i="9"/>
  <c r="AE184" i="9"/>
  <c r="AD184" i="9"/>
  <c r="AC184" i="9"/>
  <c r="AB184" i="9"/>
  <c r="U184" i="9" s="1"/>
  <c r="AA184" i="9"/>
  <c r="Z184" i="9"/>
  <c r="Y184" i="9"/>
  <c r="AF183" i="9"/>
  <c r="AE183" i="9"/>
  <c r="AD183" i="9"/>
  <c r="AC183" i="9"/>
  <c r="AB183" i="9"/>
  <c r="AA183" i="9"/>
  <c r="Z183" i="9"/>
  <c r="Y183" i="9"/>
  <c r="T183" i="9"/>
  <c r="AF182" i="9"/>
  <c r="V182" i="9" s="1"/>
  <c r="AE182" i="9"/>
  <c r="AD182" i="9"/>
  <c r="AC182" i="9"/>
  <c r="AB182" i="9"/>
  <c r="AA182" i="9"/>
  <c r="Z182" i="9"/>
  <c r="Y182" i="9"/>
  <c r="T182" i="9" s="1"/>
  <c r="AF181" i="9"/>
  <c r="AE181" i="9"/>
  <c r="AD181" i="9"/>
  <c r="AC181" i="9"/>
  <c r="AB181" i="9"/>
  <c r="AA181" i="9"/>
  <c r="Z181" i="9"/>
  <c r="Y181" i="9"/>
  <c r="V181" i="9"/>
  <c r="AF180" i="9"/>
  <c r="AE180" i="9"/>
  <c r="V180" i="9" s="1"/>
  <c r="AD180" i="9"/>
  <c r="AC180" i="9"/>
  <c r="AB180" i="9"/>
  <c r="AA180" i="9"/>
  <c r="Z180" i="9"/>
  <c r="Y180" i="9"/>
  <c r="T180" i="9" s="1"/>
  <c r="AF179" i="9"/>
  <c r="AE179" i="9"/>
  <c r="AD179" i="9"/>
  <c r="AC179" i="9"/>
  <c r="AB179" i="9"/>
  <c r="AA179" i="9"/>
  <c r="Z179" i="9"/>
  <c r="Y179" i="9"/>
  <c r="AF178" i="9"/>
  <c r="AE178" i="9"/>
  <c r="V178" i="9" s="1"/>
  <c r="AD178" i="9"/>
  <c r="AC178" i="9"/>
  <c r="AB178" i="9"/>
  <c r="AA178" i="9"/>
  <c r="Z178" i="9"/>
  <c r="Y178" i="9"/>
  <c r="T178" i="9" s="1"/>
  <c r="AF177" i="9"/>
  <c r="AE177" i="9"/>
  <c r="V177" i="9" s="1"/>
  <c r="AD177" i="9"/>
  <c r="AC177" i="9"/>
  <c r="AB177" i="9"/>
  <c r="AA177" i="9"/>
  <c r="Z177" i="9"/>
  <c r="Y177" i="9"/>
  <c r="AF176" i="9"/>
  <c r="AE176" i="9"/>
  <c r="AD176" i="9"/>
  <c r="AC176" i="9"/>
  <c r="AB176" i="9"/>
  <c r="AA176" i="9"/>
  <c r="Z176" i="9"/>
  <c r="Y176" i="9"/>
  <c r="T176" i="9" s="1"/>
  <c r="AF175" i="9"/>
  <c r="AE175" i="9"/>
  <c r="V175" i="9" s="1"/>
  <c r="AD175" i="9"/>
  <c r="AC175" i="9"/>
  <c r="AB175" i="9"/>
  <c r="AA175" i="9"/>
  <c r="Z175" i="9"/>
  <c r="Y175" i="9"/>
  <c r="AF174" i="9"/>
  <c r="AE174" i="9"/>
  <c r="V174" i="9" s="1"/>
  <c r="AD174" i="9"/>
  <c r="AC174" i="9"/>
  <c r="AB174" i="9"/>
  <c r="AA174" i="9"/>
  <c r="Z174" i="9"/>
  <c r="Y174" i="9"/>
  <c r="AF173" i="9"/>
  <c r="AE173" i="9"/>
  <c r="V173" i="9" s="1"/>
  <c r="AD173" i="9"/>
  <c r="AC173" i="9"/>
  <c r="AB173" i="9"/>
  <c r="AA173" i="9"/>
  <c r="Z173" i="9"/>
  <c r="Y173" i="9"/>
  <c r="AF172" i="9"/>
  <c r="AE172" i="9"/>
  <c r="V172" i="9" s="1"/>
  <c r="AD172" i="9"/>
  <c r="AC172" i="9"/>
  <c r="AB172" i="9"/>
  <c r="AA172" i="9"/>
  <c r="Z172" i="9"/>
  <c r="Y172" i="9"/>
  <c r="AF171" i="9"/>
  <c r="AE171" i="9"/>
  <c r="V171" i="9" s="1"/>
  <c r="AD171" i="9"/>
  <c r="AC171" i="9"/>
  <c r="AB171" i="9"/>
  <c r="AA171" i="9"/>
  <c r="Z171" i="9"/>
  <c r="Y171" i="9"/>
  <c r="T171" i="9" s="1"/>
  <c r="AF170" i="9"/>
  <c r="AE170" i="9"/>
  <c r="AD170" i="9"/>
  <c r="AC170" i="9"/>
  <c r="AB170" i="9"/>
  <c r="AA170" i="9"/>
  <c r="Z170" i="9"/>
  <c r="Y170" i="9"/>
  <c r="T170" i="9" s="1"/>
  <c r="V170" i="9"/>
  <c r="AF169" i="9"/>
  <c r="V169" i="9" s="1"/>
  <c r="AE169" i="9"/>
  <c r="AD169" i="9"/>
  <c r="AC169" i="9"/>
  <c r="AB169" i="9"/>
  <c r="AA169" i="9"/>
  <c r="Z169" i="9"/>
  <c r="Y169" i="9"/>
  <c r="AF168" i="9"/>
  <c r="AE168" i="9"/>
  <c r="AD168" i="9"/>
  <c r="AC168" i="9"/>
  <c r="AB168" i="9"/>
  <c r="AA168" i="9"/>
  <c r="Z168" i="9"/>
  <c r="Y168" i="9"/>
  <c r="T168" i="9" s="1"/>
  <c r="AF167" i="9"/>
  <c r="AE167" i="9"/>
  <c r="AD167" i="9"/>
  <c r="AC167" i="9"/>
  <c r="AB167" i="9"/>
  <c r="AA167" i="9"/>
  <c r="Z167" i="9"/>
  <c r="Y167" i="9"/>
  <c r="AF166" i="9"/>
  <c r="V166" i="9" s="1"/>
  <c r="AE166" i="9"/>
  <c r="AD166" i="9"/>
  <c r="AC166" i="9"/>
  <c r="AB166" i="9"/>
  <c r="AA166" i="9"/>
  <c r="Z166" i="9"/>
  <c r="Y166" i="9"/>
  <c r="T166" i="9" s="1"/>
  <c r="AF165" i="9"/>
  <c r="V165" i="9" s="1"/>
  <c r="AE165" i="9"/>
  <c r="AD165" i="9"/>
  <c r="AC165" i="9"/>
  <c r="AB165" i="9"/>
  <c r="AA165" i="9"/>
  <c r="Z165" i="9"/>
  <c r="Y165" i="9"/>
  <c r="T165" i="9" s="1"/>
  <c r="AF164" i="9"/>
  <c r="AE164" i="9"/>
  <c r="V164" i="9" s="1"/>
  <c r="AD164" i="9"/>
  <c r="AC164" i="9"/>
  <c r="AB164" i="9"/>
  <c r="AA164" i="9"/>
  <c r="Z164" i="9"/>
  <c r="Y164" i="9"/>
  <c r="T164" i="9" s="1"/>
  <c r="AF163" i="9"/>
  <c r="AE163" i="9"/>
  <c r="V163" i="9" s="1"/>
  <c r="AD163" i="9"/>
  <c r="AC163" i="9"/>
  <c r="AB163" i="9"/>
  <c r="AA163" i="9"/>
  <c r="Z163" i="9"/>
  <c r="T163" i="9" s="1"/>
  <c r="Y163" i="9"/>
  <c r="AF162" i="9"/>
  <c r="AE162" i="9"/>
  <c r="V162" i="9" s="1"/>
  <c r="AD162" i="9"/>
  <c r="AC162" i="9"/>
  <c r="AB162" i="9"/>
  <c r="AA162" i="9"/>
  <c r="Z162" i="9"/>
  <c r="Y162" i="9"/>
  <c r="AF161" i="9"/>
  <c r="AE161" i="9"/>
  <c r="AD161" i="9"/>
  <c r="AC161" i="9"/>
  <c r="AB161" i="9"/>
  <c r="AA161" i="9"/>
  <c r="Z161" i="9"/>
  <c r="Y161" i="9"/>
  <c r="AF160" i="9"/>
  <c r="AE160" i="9"/>
  <c r="V160" i="9" s="1"/>
  <c r="AD160" i="9"/>
  <c r="AC160" i="9"/>
  <c r="AB160" i="9"/>
  <c r="AA160" i="9"/>
  <c r="Z160" i="9"/>
  <c r="Y160" i="9"/>
  <c r="T160" i="9" s="1"/>
  <c r="AF159" i="9"/>
  <c r="AE159" i="9"/>
  <c r="AD159" i="9"/>
  <c r="AC159" i="9"/>
  <c r="AB159" i="9"/>
  <c r="AA159" i="9"/>
  <c r="Z159" i="9"/>
  <c r="Y159" i="9"/>
  <c r="AF158" i="9"/>
  <c r="AE158" i="9"/>
  <c r="AD158" i="9"/>
  <c r="AC158" i="9"/>
  <c r="AB158" i="9"/>
  <c r="AA158" i="9"/>
  <c r="Z158" i="9"/>
  <c r="Y158" i="9"/>
  <c r="AF157" i="9"/>
  <c r="AE157" i="9"/>
  <c r="AD157" i="9"/>
  <c r="AC157" i="9"/>
  <c r="AB157" i="9"/>
  <c r="AA157" i="9"/>
  <c r="Z157" i="9"/>
  <c r="Y157" i="9"/>
  <c r="T157" i="9" s="1"/>
  <c r="AF156" i="9"/>
  <c r="AE156" i="9"/>
  <c r="AD156" i="9"/>
  <c r="AC156" i="9"/>
  <c r="AB156" i="9"/>
  <c r="AA156" i="9"/>
  <c r="Z156" i="9"/>
  <c r="Y156" i="9"/>
  <c r="T156" i="9"/>
  <c r="AF155" i="9"/>
  <c r="AE155" i="9"/>
  <c r="AD155" i="9"/>
  <c r="AC155" i="9"/>
  <c r="AB155" i="9"/>
  <c r="AA155" i="9"/>
  <c r="Z155" i="9"/>
  <c r="Y155" i="9"/>
  <c r="AF154" i="9"/>
  <c r="V154" i="9" s="1"/>
  <c r="AE154" i="9"/>
  <c r="AD154" i="9"/>
  <c r="AC154" i="9"/>
  <c r="AB154" i="9"/>
  <c r="AA154" i="9"/>
  <c r="Z154" i="9"/>
  <c r="Y154" i="9"/>
  <c r="AF153" i="9"/>
  <c r="V153" i="9" s="1"/>
  <c r="AE153" i="9"/>
  <c r="AD153" i="9"/>
  <c r="AC153" i="9"/>
  <c r="AB153" i="9"/>
  <c r="AA153" i="9"/>
  <c r="Z153" i="9"/>
  <c r="Y153" i="9"/>
  <c r="T153" i="9"/>
  <c r="AF152" i="9"/>
  <c r="AE152" i="9"/>
  <c r="AD152" i="9"/>
  <c r="AC152" i="9"/>
  <c r="AB152" i="9"/>
  <c r="AA152" i="9"/>
  <c r="Z152" i="9"/>
  <c r="Y152" i="9"/>
  <c r="T152" i="9" s="1"/>
  <c r="AF151" i="9"/>
  <c r="AE151" i="9"/>
  <c r="V151" i="9" s="1"/>
  <c r="AD151" i="9"/>
  <c r="AC151" i="9"/>
  <c r="AB151" i="9"/>
  <c r="AA151" i="9"/>
  <c r="Z151" i="9"/>
  <c r="T151" i="9" s="1"/>
  <c r="Y151" i="9"/>
  <c r="AF150" i="9"/>
  <c r="AE150" i="9"/>
  <c r="AD150" i="9"/>
  <c r="AC150" i="9"/>
  <c r="AB150" i="9"/>
  <c r="AA150" i="9"/>
  <c r="Z150" i="9"/>
  <c r="Y150" i="9"/>
  <c r="AF149" i="9"/>
  <c r="AE149" i="9"/>
  <c r="AD149" i="9"/>
  <c r="AC149" i="9"/>
  <c r="AB149" i="9"/>
  <c r="AA149" i="9"/>
  <c r="Z149" i="9"/>
  <c r="Y149" i="9"/>
  <c r="T149" i="9" s="1"/>
  <c r="AF148" i="9"/>
  <c r="AE148" i="9"/>
  <c r="AD148" i="9"/>
  <c r="AC148" i="9"/>
  <c r="AB148" i="9"/>
  <c r="AA148" i="9"/>
  <c r="Z148" i="9"/>
  <c r="T148" i="9" s="1"/>
  <c r="Y148" i="9"/>
  <c r="AF147" i="9"/>
  <c r="AE147" i="9"/>
  <c r="AD147" i="9"/>
  <c r="AC147" i="9"/>
  <c r="AB147" i="9"/>
  <c r="AA147" i="9"/>
  <c r="Z147" i="9"/>
  <c r="Y147" i="9"/>
  <c r="T147" i="9" s="1"/>
  <c r="AF146" i="9"/>
  <c r="AE146" i="9"/>
  <c r="AD146" i="9"/>
  <c r="AC146" i="9"/>
  <c r="AB146" i="9"/>
  <c r="AA146" i="9"/>
  <c r="Z146" i="9"/>
  <c r="Y146" i="9"/>
  <c r="AF145" i="9"/>
  <c r="AE145" i="9"/>
  <c r="V145" i="9" s="1"/>
  <c r="AD145" i="9"/>
  <c r="AC145" i="9"/>
  <c r="AB145" i="9"/>
  <c r="AA145" i="9"/>
  <c r="Z145" i="9"/>
  <c r="Y145" i="9"/>
  <c r="AF144" i="9"/>
  <c r="AE144" i="9"/>
  <c r="V144" i="9" s="1"/>
  <c r="AD144" i="9"/>
  <c r="AC144" i="9"/>
  <c r="AB144" i="9"/>
  <c r="U144" i="9" s="1"/>
  <c r="AA144" i="9"/>
  <c r="Z144" i="9"/>
  <c r="Y144" i="9"/>
  <c r="T144" i="9"/>
  <c r="AF143" i="9"/>
  <c r="V143" i="9" s="1"/>
  <c r="AE143" i="9"/>
  <c r="AD143" i="9"/>
  <c r="AC143" i="9"/>
  <c r="AB143" i="9"/>
  <c r="AA143" i="9"/>
  <c r="Z143" i="9"/>
  <c r="Y143" i="9"/>
  <c r="T143" i="9" s="1"/>
  <c r="AF142" i="9"/>
  <c r="AE142" i="9"/>
  <c r="AD142" i="9"/>
  <c r="AC142" i="9"/>
  <c r="AB142" i="9"/>
  <c r="AA142" i="9"/>
  <c r="Z142" i="9"/>
  <c r="Y142" i="9"/>
  <c r="AF141" i="9"/>
  <c r="AE141" i="9"/>
  <c r="V141" i="9" s="1"/>
  <c r="AD141" i="9"/>
  <c r="AC141" i="9"/>
  <c r="AB141" i="9"/>
  <c r="AA141" i="9"/>
  <c r="Z141" i="9"/>
  <c r="Y141" i="9"/>
  <c r="AF140" i="9"/>
  <c r="AE140" i="9"/>
  <c r="AD140" i="9"/>
  <c r="AC140" i="9"/>
  <c r="AB140" i="9"/>
  <c r="AA140" i="9"/>
  <c r="Z140" i="9"/>
  <c r="Y140" i="9"/>
  <c r="T140" i="9" s="1"/>
  <c r="V140" i="9"/>
  <c r="AF139" i="9"/>
  <c r="AE139" i="9"/>
  <c r="V139" i="9" s="1"/>
  <c r="AD139" i="9"/>
  <c r="AC139" i="9"/>
  <c r="AB139" i="9"/>
  <c r="U139" i="9" s="1"/>
  <c r="AA139" i="9"/>
  <c r="Z139" i="9"/>
  <c r="Y139" i="9"/>
  <c r="AF138" i="9"/>
  <c r="AE138" i="9"/>
  <c r="V138" i="9" s="1"/>
  <c r="AD138" i="9"/>
  <c r="AC138" i="9"/>
  <c r="AB138" i="9"/>
  <c r="U138" i="9" s="1"/>
  <c r="AA138" i="9"/>
  <c r="Z138" i="9"/>
  <c r="Y138" i="9"/>
  <c r="AF137" i="9"/>
  <c r="AE137" i="9"/>
  <c r="V137" i="9" s="1"/>
  <c r="AD137" i="9"/>
  <c r="AC137" i="9"/>
  <c r="AB137" i="9"/>
  <c r="AA137" i="9"/>
  <c r="Z137" i="9"/>
  <c r="Y137" i="9"/>
  <c r="T137" i="9"/>
  <c r="AF136" i="9"/>
  <c r="V136" i="9" s="1"/>
  <c r="AE136" i="9"/>
  <c r="AD136" i="9"/>
  <c r="AC136" i="9"/>
  <c r="AB136" i="9"/>
  <c r="AA136" i="9"/>
  <c r="Z136" i="9"/>
  <c r="Y136" i="9"/>
  <c r="T136" i="9" s="1"/>
  <c r="AF135" i="9"/>
  <c r="AE135" i="9"/>
  <c r="V135" i="9" s="1"/>
  <c r="AD135" i="9"/>
  <c r="AC135" i="9"/>
  <c r="AB135" i="9"/>
  <c r="AA135" i="9"/>
  <c r="Z135" i="9"/>
  <c r="T135" i="9" s="1"/>
  <c r="Y135" i="9"/>
  <c r="AF134" i="9"/>
  <c r="AE134" i="9"/>
  <c r="V134" i="9" s="1"/>
  <c r="AD134" i="9"/>
  <c r="AC134" i="9"/>
  <c r="AB134" i="9"/>
  <c r="AA134" i="9"/>
  <c r="Z134" i="9"/>
  <c r="Y134" i="9"/>
  <c r="AF133" i="9"/>
  <c r="AE133" i="9"/>
  <c r="AD133" i="9"/>
  <c r="AC133" i="9"/>
  <c r="AB133" i="9"/>
  <c r="AA133" i="9"/>
  <c r="Z133" i="9"/>
  <c r="Y133" i="9"/>
  <c r="V133" i="9"/>
  <c r="T133" i="9"/>
  <c r="AF132" i="9"/>
  <c r="AE132" i="9"/>
  <c r="AD132" i="9"/>
  <c r="AC132" i="9"/>
  <c r="AB132" i="9"/>
  <c r="AA132" i="9"/>
  <c r="Z132" i="9"/>
  <c r="Y132" i="9"/>
  <c r="AF131" i="9"/>
  <c r="AE131" i="9"/>
  <c r="AD131" i="9"/>
  <c r="AC131" i="9"/>
  <c r="AB131" i="9"/>
  <c r="AA131" i="9"/>
  <c r="Z131" i="9"/>
  <c r="Y131" i="9"/>
  <c r="AF130" i="9"/>
  <c r="AE130" i="9"/>
  <c r="AD130" i="9"/>
  <c r="AC130" i="9"/>
  <c r="AB130" i="9"/>
  <c r="AA130" i="9"/>
  <c r="Z130" i="9"/>
  <c r="Y130" i="9"/>
  <c r="T130" i="9" s="1"/>
  <c r="V130" i="9"/>
  <c r="AF129" i="9"/>
  <c r="AE129" i="9"/>
  <c r="V129" i="9" s="1"/>
  <c r="AD129" i="9"/>
  <c r="AC129" i="9"/>
  <c r="AB129" i="9"/>
  <c r="AA129" i="9"/>
  <c r="Z129" i="9"/>
  <c r="Y129" i="9"/>
  <c r="AF128" i="9"/>
  <c r="AE128" i="9"/>
  <c r="AD128" i="9"/>
  <c r="AC128" i="9"/>
  <c r="AB128" i="9"/>
  <c r="AA128" i="9"/>
  <c r="Z128" i="9"/>
  <c r="T128" i="9" s="1"/>
  <c r="Y128" i="9"/>
  <c r="AF127" i="9"/>
  <c r="AE127" i="9"/>
  <c r="V127" i="9" s="1"/>
  <c r="AD127" i="9"/>
  <c r="AC127" i="9"/>
  <c r="AB127" i="9"/>
  <c r="AA127" i="9"/>
  <c r="Z127" i="9"/>
  <c r="Y127" i="9"/>
  <c r="AF126" i="9"/>
  <c r="AE126" i="9"/>
  <c r="V126" i="9" s="1"/>
  <c r="AD126" i="9"/>
  <c r="AC126" i="9"/>
  <c r="AB126" i="9"/>
  <c r="AA126" i="9"/>
  <c r="Z126" i="9"/>
  <c r="Y126" i="9"/>
  <c r="AF125" i="9"/>
  <c r="V125" i="9" s="1"/>
  <c r="AE125" i="9"/>
  <c r="AD125" i="9"/>
  <c r="AC125" i="9"/>
  <c r="AB125" i="9"/>
  <c r="AA125" i="9"/>
  <c r="Z125" i="9"/>
  <c r="Y125" i="9"/>
  <c r="T125" i="9" s="1"/>
  <c r="AF124" i="9"/>
  <c r="AE124" i="9"/>
  <c r="V124" i="9" s="1"/>
  <c r="AD124" i="9"/>
  <c r="AC124" i="9"/>
  <c r="AB124" i="9"/>
  <c r="AA124" i="9"/>
  <c r="Z124" i="9"/>
  <c r="Y124" i="9"/>
  <c r="AF123" i="9"/>
  <c r="AE123" i="9"/>
  <c r="V123" i="9" s="1"/>
  <c r="AD123" i="9"/>
  <c r="AC123" i="9"/>
  <c r="AB123" i="9"/>
  <c r="AA123" i="9"/>
  <c r="Z123" i="9"/>
  <c r="Y123" i="9"/>
  <c r="AF122" i="9"/>
  <c r="AE122" i="9"/>
  <c r="AD122" i="9"/>
  <c r="AC122" i="9"/>
  <c r="AB122" i="9"/>
  <c r="AA122" i="9"/>
  <c r="Z122" i="9"/>
  <c r="Y122" i="9"/>
  <c r="T122" i="9" s="1"/>
  <c r="V122" i="9"/>
  <c r="AF121" i="9"/>
  <c r="AE121" i="9"/>
  <c r="V121" i="9" s="1"/>
  <c r="AD121" i="9"/>
  <c r="AC121" i="9"/>
  <c r="AB121" i="9"/>
  <c r="AA121" i="9"/>
  <c r="Z121" i="9"/>
  <c r="Y121" i="9"/>
  <c r="T121" i="9"/>
  <c r="AF120" i="9"/>
  <c r="AE120" i="9"/>
  <c r="V120" i="9" s="1"/>
  <c r="AD120" i="9"/>
  <c r="AC120" i="9"/>
  <c r="AB120" i="9"/>
  <c r="AA120" i="9"/>
  <c r="Z120" i="9"/>
  <c r="Y120" i="9"/>
  <c r="T120" i="9" s="1"/>
  <c r="AF119" i="9"/>
  <c r="AE119" i="9"/>
  <c r="AD119" i="9"/>
  <c r="AC119" i="9"/>
  <c r="AB119" i="9"/>
  <c r="AA119" i="9"/>
  <c r="Z119" i="9"/>
  <c r="Y119" i="9"/>
  <c r="AF118" i="9"/>
  <c r="AE118" i="9"/>
  <c r="V118" i="9" s="1"/>
  <c r="AD118" i="9"/>
  <c r="AC118" i="9"/>
  <c r="AB118" i="9"/>
  <c r="AA118" i="9"/>
  <c r="Z118" i="9"/>
  <c r="Y118" i="9"/>
  <c r="T118" i="9"/>
  <c r="AF117" i="9"/>
  <c r="AE117" i="9"/>
  <c r="AD117" i="9"/>
  <c r="AC117" i="9"/>
  <c r="AB117" i="9"/>
  <c r="AA117" i="9"/>
  <c r="Z117" i="9"/>
  <c r="Y117" i="9"/>
  <c r="V117" i="9"/>
  <c r="T117" i="9"/>
  <c r="AF116" i="9"/>
  <c r="AE116" i="9"/>
  <c r="AD116" i="9"/>
  <c r="AC116" i="9"/>
  <c r="AB116" i="9"/>
  <c r="AA116" i="9"/>
  <c r="Z116" i="9"/>
  <c r="Y116" i="9"/>
  <c r="AF115" i="9"/>
  <c r="AE115" i="9"/>
  <c r="AD115" i="9"/>
  <c r="AC115" i="9"/>
  <c r="AB115" i="9"/>
  <c r="AA115" i="9"/>
  <c r="Z115" i="9"/>
  <c r="Y115" i="9"/>
  <c r="AF114" i="9"/>
  <c r="V114" i="9" s="1"/>
  <c r="AE114" i="9"/>
  <c r="AD114" i="9"/>
  <c r="AC114" i="9"/>
  <c r="AB114" i="9"/>
  <c r="U114" i="9" s="1"/>
  <c r="AA114" i="9"/>
  <c r="Z114" i="9"/>
  <c r="Y114" i="9"/>
  <c r="AF113" i="9"/>
  <c r="AE113" i="9"/>
  <c r="AD113" i="9"/>
  <c r="AC113" i="9"/>
  <c r="AB113" i="9"/>
  <c r="AA113" i="9"/>
  <c r="Z113" i="9"/>
  <c r="Y113" i="9"/>
  <c r="T113" i="9" s="1"/>
  <c r="V113" i="9"/>
  <c r="AF112" i="9"/>
  <c r="AE112" i="9"/>
  <c r="V112" i="9" s="1"/>
  <c r="AD112" i="9"/>
  <c r="AC112" i="9"/>
  <c r="AB112" i="9"/>
  <c r="AA112" i="9"/>
  <c r="Z112" i="9"/>
  <c r="Y112" i="9"/>
  <c r="AF111" i="9"/>
  <c r="AE111" i="9"/>
  <c r="V111" i="9" s="1"/>
  <c r="AD111" i="9"/>
  <c r="AC111" i="9"/>
  <c r="AB111" i="9"/>
  <c r="AA111" i="9"/>
  <c r="T111" i="9" s="1"/>
  <c r="Z111" i="9"/>
  <c r="Y111" i="9"/>
  <c r="AF110" i="9"/>
  <c r="AE110" i="9"/>
  <c r="V110" i="9" s="1"/>
  <c r="AD110" i="9"/>
  <c r="AC110" i="9"/>
  <c r="AB110" i="9"/>
  <c r="U110" i="9" s="1"/>
  <c r="AA110" i="9"/>
  <c r="Z110" i="9"/>
  <c r="Y110" i="9"/>
  <c r="T110" i="9" s="1"/>
  <c r="AF109" i="9"/>
  <c r="AE109" i="9"/>
  <c r="V109" i="9" s="1"/>
  <c r="AD109" i="9"/>
  <c r="AC109" i="9"/>
  <c r="AB109" i="9"/>
  <c r="AA109" i="9"/>
  <c r="Z109" i="9"/>
  <c r="T109" i="9" s="1"/>
  <c r="Y109" i="9"/>
  <c r="AF108" i="9"/>
  <c r="AE108" i="9"/>
  <c r="AD108" i="9"/>
  <c r="AC108" i="9"/>
  <c r="AB108" i="9"/>
  <c r="AA108" i="9"/>
  <c r="Z108" i="9"/>
  <c r="Y108" i="9"/>
  <c r="T108" i="9" s="1"/>
  <c r="AF107" i="9"/>
  <c r="AE107" i="9"/>
  <c r="AD107" i="9"/>
  <c r="AC107" i="9"/>
  <c r="AB107" i="9"/>
  <c r="AA107" i="9"/>
  <c r="Z107" i="9"/>
  <c r="Y107" i="9"/>
  <c r="T107" i="9" s="1"/>
  <c r="AF106" i="9"/>
  <c r="AE106" i="9"/>
  <c r="V106" i="9" s="1"/>
  <c r="AD106" i="9"/>
  <c r="AC106" i="9"/>
  <c r="AB106" i="9"/>
  <c r="AA106" i="9"/>
  <c r="Z106" i="9"/>
  <c r="Y106" i="9"/>
  <c r="T106" i="9" s="1"/>
  <c r="AF105" i="9"/>
  <c r="AE105" i="9"/>
  <c r="V105" i="9" s="1"/>
  <c r="AD105" i="9"/>
  <c r="AC105" i="9"/>
  <c r="AB105" i="9"/>
  <c r="AA105" i="9"/>
  <c r="Z105" i="9"/>
  <c r="Y105" i="9"/>
  <c r="T105" i="9"/>
  <c r="AF104" i="9"/>
  <c r="AE104" i="9"/>
  <c r="V104" i="9" s="1"/>
  <c r="AD104" i="9"/>
  <c r="AC104" i="9"/>
  <c r="AB104" i="9"/>
  <c r="AA104" i="9"/>
  <c r="Z104" i="9"/>
  <c r="Y104" i="9"/>
  <c r="T104" i="9" s="1"/>
  <c r="AF103" i="9"/>
  <c r="AE103" i="9"/>
  <c r="V103" i="9" s="1"/>
  <c r="AD103" i="9"/>
  <c r="AC103" i="9"/>
  <c r="U103" i="9" s="1"/>
  <c r="AB103" i="9"/>
  <c r="AA103" i="9"/>
  <c r="Z103" i="9"/>
  <c r="Y103" i="9"/>
  <c r="T103" i="9" s="1"/>
  <c r="AF102" i="9"/>
  <c r="AE102" i="9"/>
  <c r="V102" i="9" s="1"/>
  <c r="AD102" i="9"/>
  <c r="AC102" i="9"/>
  <c r="AB102" i="9"/>
  <c r="AA102" i="9"/>
  <c r="Z102" i="9"/>
  <c r="Y102" i="9"/>
  <c r="T102" i="9"/>
  <c r="AF101" i="9"/>
  <c r="AE101" i="9"/>
  <c r="AD101" i="9"/>
  <c r="AC101" i="9"/>
  <c r="AB101" i="9"/>
  <c r="AA101" i="9"/>
  <c r="Z101" i="9"/>
  <c r="Y101" i="9"/>
  <c r="V101" i="9"/>
  <c r="T101" i="9"/>
  <c r="AF100" i="9"/>
  <c r="AE100" i="9"/>
  <c r="AD100" i="9"/>
  <c r="AC100" i="9"/>
  <c r="AB100" i="9"/>
  <c r="AA100" i="9"/>
  <c r="Z100" i="9"/>
  <c r="Y100" i="9"/>
  <c r="AF99" i="9"/>
  <c r="AE99" i="9"/>
  <c r="V99" i="9" s="1"/>
  <c r="AD99" i="9"/>
  <c r="AC99" i="9"/>
  <c r="AB99" i="9"/>
  <c r="AA99" i="9"/>
  <c r="Z99" i="9"/>
  <c r="Y99" i="9"/>
  <c r="T99" i="9" s="1"/>
  <c r="AF98" i="9"/>
  <c r="AE98" i="9"/>
  <c r="V98" i="9" s="1"/>
  <c r="AD98" i="9"/>
  <c r="AC98" i="9"/>
  <c r="AB98" i="9"/>
  <c r="U98" i="9" s="1"/>
  <c r="AA98" i="9"/>
  <c r="Z98" i="9"/>
  <c r="Y98" i="9"/>
  <c r="AF97" i="9"/>
  <c r="V97" i="9" s="1"/>
  <c r="AE97" i="9"/>
  <c r="AD97" i="9"/>
  <c r="AC97" i="9"/>
  <c r="AB97" i="9"/>
  <c r="AA97" i="9"/>
  <c r="Z97" i="9"/>
  <c r="Y97" i="9"/>
  <c r="T97" i="9" s="1"/>
  <c r="AF96" i="9"/>
  <c r="AE96" i="9"/>
  <c r="V96" i="9" s="1"/>
  <c r="AD96" i="9"/>
  <c r="AC96" i="9"/>
  <c r="AB96" i="9"/>
  <c r="AA96" i="9"/>
  <c r="Z96" i="9"/>
  <c r="Y96" i="9"/>
  <c r="AF95" i="9"/>
  <c r="AE95" i="9"/>
  <c r="V95" i="9" s="1"/>
  <c r="AD95" i="9"/>
  <c r="AC95" i="9"/>
  <c r="AB95" i="9"/>
  <c r="AA95" i="9"/>
  <c r="T95" i="9" s="1"/>
  <c r="Z95" i="9"/>
  <c r="Y95" i="9"/>
  <c r="AF94" i="9"/>
  <c r="AE94" i="9"/>
  <c r="V94" i="9" s="1"/>
  <c r="AD94" i="9"/>
  <c r="AC94" i="9"/>
  <c r="AB94" i="9"/>
  <c r="U94" i="9" s="1"/>
  <c r="AA94" i="9"/>
  <c r="Z94" i="9"/>
  <c r="Y94" i="9"/>
  <c r="T94" i="9" s="1"/>
  <c r="AF93" i="9"/>
  <c r="AE93" i="9"/>
  <c r="V93" i="9" s="1"/>
  <c r="AD93" i="9"/>
  <c r="AC93" i="9"/>
  <c r="U93" i="9" s="1"/>
  <c r="AB93" i="9"/>
  <c r="AA93" i="9"/>
  <c r="Z93" i="9"/>
  <c r="Y93" i="9"/>
  <c r="T93" i="9" s="1"/>
  <c r="AF92" i="9"/>
  <c r="AE92" i="9"/>
  <c r="V92" i="9" s="1"/>
  <c r="AD92" i="9"/>
  <c r="AC92" i="9"/>
  <c r="AB92" i="9"/>
  <c r="AA92" i="9"/>
  <c r="Z92" i="9"/>
  <c r="Y92" i="9"/>
  <c r="T92" i="9" s="1"/>
  <c r="AF91" i="9"/>
  <c r="AE91" i="9"/>
  <c r="AD91" i="9"/>
  <c r="AC91" i="9"/>
  <c r="U91" i="9" s="1"/>
  <c r="AB91" i="9"/>
  <c r="AA91" i="9"/>
  <c r="T91" i="9" s="1"/>
  <c r="Z91" i="9"/>
  <c r="Y91" i="9"/>
  <c r="AF90" i="9"/>
  <c r="AE90" i="9"/>
  <c r="AD90" i="9"/>
  <c r="AC90" i="9"/>
  <c r="AB90" i="9"/>
  <c r="AA90" i="9"/>
  <c r="Z90" i="9"/>
  <c r="Y90" i="9"/>
  <c r="T90" i="9" s="1"/>
  <c r="V90" i="9"/>
  <c r="AF89" i="9"/>
  <c r="AE89" i="9"/>
  <c r="V89" i="9" s="1"/>
  <c r="AD89" i="9"/>
  <c r="AC89" i="9"/>
  <c r="AB89" i="9"/>
  <c r="AA89" i="9"/>
  <c r="Z89" i="9"/>
  <c r="Y89" i="9"/>
  <c r="T89" i="9"/>
  <c r="AF88" i="9"/>
  <c r="AE88" i="9"/>
  <c r="V88" i="9" s="1"/>
  <c r="AD88" i="9"/>
  <c r="AC88" i="9"/>
  <c r="AB88" i="9"/>
  <c r="AA88" i="9"/>
  <c r="Z88" i="9"/>
  <c r="Y88" i="9"/>
  <c r="T88" i="9" s="1"/>
  <c r="AF87" i="9"/>
  <c r="AE87" i="9"/>
  <c r="V87" i="9" s="1"/>
  <c r="AD87" i="9"/>
  <c r="AC87" i="9"/>
  <c r="AB87" i="9"/>
  <c r="AA87" i="9"/>
  <c r="Z87" i="9"/>
  <c r="Y87" i="9"/>
  <c r="T87" i="9" s="1"/>
  <c r="AF86" i="9"/>
  <c r="AE86" i="9"/>
  <c r="V86" i="9" s="1"/>
  <c r="AD86" i="9"/>
  <c r="AC86" i="9"/>
  <c r="AB86" i="9"/>
  <c r="AA86" i="9"/>
  <c r="Z86" i="9"/>
  <c r="Y86" i="9"/>
  <c r="T86" i="9"/>
  <c r="AF85" i="9"/>
  <c r="AE85" i="9"/>
  <c r="AD85" i="9"/>
  <c r="AC85" i="9"/>
  <c r="AB85" i="9"/>
  <c r="AA85" i="9"/>
  <c r="Z85" i="9"/>
  <c r="Y85" i="9"/>
  <c r="V85" i="9"/>
  <c r="T85" i="9"/>
  <c r="AF84" i="9"/>
  <c r="AE84" i="9"/>
  <c r="AD84" i="9"/>
  <c r="AC84" i="9"/>
  <c r="AB84" i="9"/>
  <c r="AA84" i="9"/>
  <c r="Z84" i="9"/>
  <c r="Y84" i="9"/>
  <c r="AF83" i="9"/>
  <c r="AE83" i="9"/>
  <c r="V83" i="9" s="1"/>
  <c r="AD83" i="9"/>
  <c r="AC83" i="9"/>
  <c r="U83" i="9" s="1"/>
  <c r="AB83" i="9"/>
  <c r="AA83" i="9"/>
  <c r="Z83" i="9"/>
  <c r="Y83" i="9"/>
  <c r="T83" i="9" s="1"/>
  <c r="AF82" i="9"/>
  <c r="AE82" i="9"/>
  <c r="V82" i="9" s="1"/>
  <c r="AD82" i="9"/>
  <c r="AC82" i="9"/>
  <c r="AB82" i="9"/>
  <c r="U82" i="9" s="1"/>
  <c r="AA82" i="9"/>
  <c r="Z82" i="9"/>
  <c r="Y82" i="9"/>
  <c r="T82" i="9" s="1"/>
  <c r="AF81" i="9"/>
  <c r="AE81" i="9"/>
  <c r="V81" i="9" s="1"/>
  <c r="AD81" i="9"/>
  <c r="AC81" i="9"/>
  <c r="AB81" i="9"/>
  <c r="AA81" i="9"/>
  <c r="T81" i="9" s="1"/>
  <c r="Z81" i="9"/>
  <c r="Y81" i="9"/>
  <c r="AF80" i="9"/>
  <c r="AE80" i="9"/>
  <c r="AD80" i="9"/>
  <c r="AC80" i="9"/>
  <c r="AB80" i="9"/>
  <c r="AA80" i="9"/>
  <c r="Z80" i="9"/>
  <c r="Y80" i="9"/>
  <c r="T80" i="9" s="1"/>
  <c r="AF79" i="9"/>
  <c r="AE79" i="9"/>
  <c r="AD79" i="9"/>
  <c r="AC79" i="9"/>
  <c r="AB79" i="9"/>
  <c r="AA79" i="9"/>
  <c r="Z79" i="9"/>
  <c r="Y79" i="9"/>
  <c r="T79" i="9"/>
  <c r="AF78" i="9"/>
  <c r="AE78" i="9"/>
  <c r="AD78" i="9"/>
  <c r="AC78" i="9"/>
  <c r="AB78" i="9"/>
  <c r="AA78" i="9"/>
  <c r="Z78" i="9"/>
  <c r="Y78" i="9"/>
  <c r="V78" i="9"/>
  <c r="T78" i="9"/>
  <c r="AF77" i="9"/>
  <c r="AE77" i="9"/>
  <c r="V77" i="9" s="1"/>
  <c r="AD77" i="9"/>
  <c r="AC77" i="9"/>
  <c r="AB77" i="9"/>
  <c r="AA77" i="9"/>
  <c r="Z77" i="9"/>
  <c r="Y77" i="9"/>
  <c r="T77" i="9" s="1"/>
  <c r="AF76" i="9"/>
  <c r="AE76" i="9"/>
  <c r="V76" i="9" s="1"/>
  <c r="AD76" i="9"/>
  <c r="AC76" i="9"/>
  <c r="AB76" i="9"/>
  <c r="AA76" i="9"/>
  <c r="Z76" i="9"/>
  <c r="Y76" i="9"/>
  <c r="AF75" i="9"/>
  <c r="AE75" i="9"/>
  <c r="V75" i="9" s="1"/>
  <c r="AD75" i="9"/>
  <c r="AC75" i="9"/>
  <c r="AB75" i="9"/>
  <c r="AA75" i="9"/>
  <c r="Z75" i="9"/>
  <c r="Y75" i="9"/>
  <c r="AF74" i="9"/>
  <c r="AE74" i="9"/>
  <c r="V74" i="9" s="1"/>
  <c r="AD74" i="9"/>
  <c r="AC74" i="9"/>
  <c r="AB74" i="9"/>
  <c r="AA74" i="9"/>
  <c r="Z74" i="9"/>
  <c r="Y74" i="9"/>
  <c r="AF73" i="9"/>
  <c r="AE73" i="9"/>
  <c r="V73" i="9" s="1"/>
  <c r="AD73" i="9"/>
  <c r="AC73" i="9"/>
  <c r="AB73" i="9"/>
  <c r="AA73" i="9"/>
  <c r="Z73" i="9"/>
  <c r="Y73" i="9"/>
  <c r="T73" i="9"/>
  <c r="AF72" i="9"/>
  <c r="AE72" i="9"/>
  <c r="AD72" i="9"/>
  <c r="AC72" i="9"/>
  <c r="AB72" i="9"/>
  <c r="AA72" i="9"/>
  <c r="Z72" i="9"/>
  <c r="Y72" i="9"/>
  <c r="T72" i="9" s="1"/>
  <c r="AF71" i="9"/>
  <c r="AE71" i="9"/>
  <c r="AD71" i="9"/>
  <c r="AC71" i="9"/>
  <c r="AB71" i="9"/>
  <c r="AA71" i="9"/>
  <c r="Z71" i="9"/>
  <c r="Y71" i="9"/>
  <c r="T71" i="9" s="1"/>
  <c r="AF70" i="9"/>
  <c r="V70" i="9" s="1"/>
  <c r="AE70" i="9"/>
  <c r="AD70" i="9"/>
  <c r="AC70" i="9"/>
  <c r="AB70" i="9"/>
  <c r="U70" i="9" s="1"/>
  <c r="AA70" i="9"/>
  <c r="Z70" i="9"/>
  <c r="Y70" i="9"/>
  <c r="T70" i="9" s="1"/>
  <c r="AF69" i="9"/>
  <c r="AE69" i="9"/>
  <c r="AD69" i="9"/>
  <c r="AC69" i="9"/>
  <c r="AB69" i="9"/>
  <c r="AA69" i="9"/>
  <c r="Z69" i="9"/>
  <c r="Y69" i="9"/>
  <c r="V69" i="9"/>
  <c r="T69" i="9"/>
  <c r="AF68" i="9"/>
  <c r="AE68" i="9"/>
  <c r="AD68" i="9"/>
  <c r="AC68" i="9"/>
  <c r="AB68" i="9"/>
  <c r="AA68" i="9"/>
  <c r="Z68" i="9"/>
  <c r="Y68" i="9"/>
  <c r="AF67" i="9"/>
  <c r="AE67" i="9"/>
  <c r="AD67" i="9"/>
  <c r="AC67" i="9"/>
  <c r="AB67" i="9"/>
  <c r="AA67" i="9"/>
  <c r="Z67" i="9"/>
  <c r="Y67" i="9"/>
  <c r="T67" i="9" s="1"/>
  <c r="AF66" i="9"/>
  <c r="AE66" i="9"/>
  <c r="V66" i="9" s="1"/>
  <c r="AD66" i="9"/>
  <c r="AC66" i="9"/>
  <c r="AB66" i="9"/>
  <c r="U66" i="9" s="1"/>
  <c r="AA66" i="9"/>
  <c r="T66" i="9" s="1"/>
  <c r="Z66" i="9"/>
  <c r="Y66" i="9"/>
  <c r="AF65" i="9"/>
  <c r="AE65" i="9"/>
  <c r="V65" i="9" s="1"/>
  <c r="AD65" i="9"/>
  <c r="AC65" i="9"/>
  <c r="AB65" i="9"/>
  <c r="U65" i="9" s="1"/>
  <c r="AA65" i="9"/>
  <c r="Z65" i="9"/>
  <c r="T65" i="9" s="1"/>
  <c r="Y65" i="9"/>
  <c r="AF64" i="9"/>
  <c r="AE64" i="9"/>
  <c r="AD64" i="9"/>
  <c r="AC64" i="9"/>
  <c r="AB64" i="9"/>
  <c r="AA64" i="9"/>
  <c r="Z64" i="9"/>
  <c r="Y64" i="9"/>
  <c r="T64" i="9" s="1"/>
  <c r="V64" i="9"/>
  <c r="AF63" i="9"/>
  <c r="AE63" i="9"/>
  <c r="V63" i="9" s="1"/>
  <c r="AD63" i="9"/>
  <c r="AC63" i="9"/>
  <c r="AB63" i="9"/>
  <c r="AA63" i="9"/>
  <c r="Z63" i="9"/>
  <c r="Y63" i="9"/>
  <c r="AF62" i="9"/>
  <c r="AE62" i="9"/>
  <c r="AD62" i="9"/>
  <c r="AC62" i="9"/>
  <c r="AB62" i="9"/>
  <c r="AA62" i="9"/>
  <c r="Z62" i="9"/>
  <c r="Y62" i="9"/>
  <c r="T62" i="9" s="1"/>
  <c r="AF61" i="9"/>
  <c r="AE61" i="9"/>
  <c r="V61" i="9" s="1"/>
  <c r="AD61" i="9"/>
  <c r="AC61" i="9"/>
  <c r="AB61" i="9"/>
  <c r="U61" i="9" s="1"/>
  <c r="AA61" i="9"/>
  <c r="Z61" i="9"/>
  <c r="Y61" i="9"/>
  <c r="AF60" i="9"/>
  <c r="AE60" i="9"/>
  <c r="AD60" i="9"/>
  <c r="AC60" i="9"/>
  <c r="AB60" i="9"/>
  <c r="AA60" i="9"/>
  <c r="Z60" i="9"/>
  <c r="Y60" i="9"/>
  <c r="V60" i="9"/>
  <c r="AF59" i="9"/>
  <c r="AE59" i="9"/>
  <c r="AD59" i="9"/>
  <c r="AC59" i="9"/>
  <c r="AB59" i="9"/>
  <c r="AA59" i="9"/>
  <c r="T59" i="9" s="1"/>
  <c r="Z59" i="9"/>
  <c r="Y59" i="9"/>
  <c r="AF58" i="9"/>
  <c r="AE58" i="9"/>
  <c r="V58" i="9" s="1"/>
  <c r="AD58" i="9"/>
  <c r="AC58" i="9"/>
  <c r="AB58" i="9"/>
  <c r="AA58" i="9"/>
  <c r="Z58" i="9"/>
  <c r="Y58" i="9"/>
  <c r="T58" i="9" s="1"/>
  <c r="AF57" i="9"/>
  <c r="AE57" i="9"/>
  <c r="V57" i="9" s="1"/>
  <c r="AD57" i="9"/>
  <c r="AC57" i="9"/>
  <c r="AB57" i="9"/>
  <c r="AA57" i="9"/>
  <c r="T57" i="9" s="1"/>
  <c r="Z57" i="9"/>
  <c r="Y57" i="9"/>
  <c r="AF56" i="9"/>
  <c r="AE56" i="9"/>
  <c r="V56" i="9" s="1"/>
  <c r="AD56" i="9"/>
  <c r="AC56" i="9"/>
  <c r="AB56" i="9"/>
  <c r="AA56" i="9"/>
  <c r="Z56" i="9"/>
  <c r="Y56" i="9"/>
  <c r="AF55" i="9"/>
  <c r="AE55" i="9"/>
  <c r="V55" i="9" s="1"/>
  <c r="AD55" i="9"/>
  <c r="AC55" i="9"/>
  <c r="AB55" i="9"/>
  <c r="AA55" i="9"/>
  <c r="Z55" i="9"/>
  <c r="Y55" i="9"/>
  <c r="AF54" i="9"/>
  <c r="AE54" i="9"/>
  <c r="V54" i="9" s="1"/>
  <c r="AD54" i="9"/>
  <c r="AC54" i="9"/>
  <c r="AB54" i="9"/>
  <c r="U54" i="9" s="1"/>
  <c r="AA54" i="9"/>
  <c r="Z54" i="9"/>
  <c r="Y54" i="9"/>
  <c r="AF53" i="9"/>
  <c r="AE53" i="9"/>
  <c r="V53" i="9" s="1"/>
  <c r="AD53" i="9"/>
  <c r="AC53" i="9"/>
  <c r="U53" i="9" s="1"/>
  <c r="AB53" i="9"/>
  <c r="AA53" i="9"/>
  <c r="Z53" i="9"/>
  <c r="Y53" i="9"/>
  <c r="T53" i="9"/>
  <c r="AF52" i="9"/>
  <c r="AE52" i="9"/>
  <c r="AD52" i="9"/>
  <c r="AC52" i="9"/>
  <c r="AB52" i="9"/>
  <c r="AA52" i="9"/>
  <c r="Z52" i="9"/>
  <c r="Y52" i="9"/>
  <c r="T52" i="9" s="1"/>
  <c r="AF51" i="9"/>
  <c r="AE51" i="9"/>
  <c r="AD51" i="9"/>
  <c r="AC51" i="9"/>
  <c r="AB51" i="9"/>
  <c r="AA51" i="9"/>
  <c r="Z51" i="9"/>
  <c r="Y51" i="9"/>
  <c r="T51" i="9" s="1"/>
  <c r="V51" i="9"/>
  <c r="AF50" i="9"/>
  <c r="AE50" i="9"/>
  <c r="V50" i="9" s="1"/>
  <c r="AD50" i="9"/>
  <c r="AC50" i="9"/>
  <c r="AB50" i="9"/>
  <c r="AA50" i="9"/>
  <c r="Z50" i="9"/>
  <c r="Y50" i="9"/>
  <c r="AF49" i="9"/>
  <c r="AE49" i="9"/>
  <c r="V49" i="9" s="1"/>
  <c r="AD49" i="9"/>
  <c r="AC49" i="9"/>
  <c r="AB49" i="9"/>
  <c r="AA49" i="9"/>
  <c r="Z49" i="9"/>
  <c r="Y49" i="9"/>
  <c r="T49" i="9" s="1"/>
  <c r="AF48" i="9"/>
  <c r="AE48" i="9"/>
  <c r="V48" i="9" s="1"/>
  <c r="AD48" i="9"/>
  <c r="AC48" i="9"/>
  <c r="U48" i="9" s="1"/>
  <c r="AB48" i="9"/>
  <c r="AA48" i="9"/>
  <c r="Z48" i="9"/>
  <c r="Y48" i="9"/>
  <c r="AF47" i="9"/>
  <c r="AE47" i="9"/>
  <c r="V47" i="9" s="1"/>
  <c r="AD47" i="9"/>
  <c r="AC47" i="9"/>
  <c r="AB47" i="9"/>
  <c r="AA47" i="9"/>
  <c r="T47" i="9" s="1"/>
  <c r="Z47" i="9"/>
  <c r="Y47" i="9"/>
  <c r="AF46" i="9"/>
  <c r="AE46" i="9"/>
  <c r="V46" i="9" s="1"/>
  <c r="AD46" i="9"/>
  <c r="AC46" i="9"/>
  <c r="U46" i="9" s="1"/>
  <c r="AB46" i="9"/>
  <c r="AA46" i="9"/>
  <c r="Z46" i="9"/>
  <c r="Y46" i="9"/>
  <c r="AF45" i="9"/>
  <c r="V45" i="9" s="1"/>
  <c r="AE45" i="9"/>
  <c r="AD45" i="9"/>
  <c r="AC45" i="9"/>
  <c r="AB45" i="9"/>
  <c r="U45" i="9" s="1"/>
  <c r="AA45" i="9"/>
  <c r="Z45" i="9"/>
  <c r="Y45" i="9"/>
  <c r="T45" i="9" s="1"/>
  <c r="AF44" i="9"/>
  <c r="AE44" i="9"/>
  <c r="AD44" i="9"/>
  <c r="AC44" i="9"/>
  <c r="AB44" i="9"/>
  <c r="AA44" i="9"/>
  <c r="Z44" i="9"/>
  <c r="Y44" i="9"/>
  <c r="V44" i="9"/>
  <c r="AF43" i="9"/>
  <c r="AE43" i="9"/>
  <c r="AD43" i="9"/>
  <c r="AC43" i="9"/>
  <c r="AB43" i="9"/>
  <c r="AA43" i="9"/>
  <c r="T43" i="9" s="1"/>
  <c r="Z43" i="9"/>
  <c r="Y43" i="9"/>
  <c r="AF42" i="9"/>
  <c r="AE42" i="9"/>
  <c r="AD42" i="9"/>
  <c r="AC42" i="9"/>
  <c r="AB42" i="9"/>
  <c r="AA42" i="9"/>
  <c r="Z42" i="9"/>
  <c r="Y42" i="9"/>
  <c r="T42" i="9" s="1"/>
  <c r="V42" i="9"/>
  <c r="AF41" i="9"/>
  <c r="AE41" i="9"/>
  <c r="V41" i="9" s="1"/>
  <c r="AD41" i="9"/>
  <c r="AC41" i="9"/>
  <c r="AB41" i="9"/>
  <c r="AA41" i="9"/>
  <c r="Z41" i="9"/>
  <c r="Y41" i="9"/>
  <c r="AF40" i="9"/>
  <c r="AE40" i="9"/>
  <c r="V40" i="9" s="1"/>
  <c r="AD40" i="9"/>
  <c r="AC40" i="9"/>
  <c r="AB40" i="9"/>
  <c r="U40" i="9" s="1"/>
  <c r="AA40" i="9"/>
  <c r="Z40" i="9"/>
  <c r="Y40" i="9"/>
  <c r="AF39" i="9"/>
  <c r="AE39" i="9"/>
  <c r="V39" i="9" s="1"/>
  <c r="AD39" i="9"/>
  <c r="AC39" i="9"/>
  <c r="AB39" i="9"/>
  <c r="U39" i="9" s="1"/>
  <c r="AA39" i="9"/>
  <c r="Z39" i="9"/>
  <c r="Y39" i="9"/>
  <c r="AF38" i="9"/>
  <c r="AE38" i="9"/>
  <c r="V38" i="9" s="1"/>
  <c r="AD38" i="9"/>
  <c r="AC38" i="9"/>
  <c r="AB38" i="9"/>
  <c r="U38" i="9" s="1"/>
  <c r="AA38" i="9"/>
  <c r="Z38" i="9"/>
  <c r="Y38" i="9"/>
  <c r="AF37" i="9"/>
  <c r="AE37" i="9"/>
  <c r="AD37" i="9"/>
  <c r="AC37" i="9"/>
  <c r="AB37" i="9"/>
  <c r="AA37" i="9"/>
  <c r="Z37" i="9"/>
  <c r="Y37" i="9"/>
  <c r="AF36" i="9"/>
  <c r="AE36" i="9"/>
  <c r="V36" i="9" s="1"/>
  <c r="AD36" i="9"/>
  <c r="AC36" i="9"/>
  <c r="U36" i="9" s="1"/>
  <c r="AB36" i="9"/>
  <c r="AA36" i="9"/>
  <c r="Z36" i="9"/>
  <c r="Y36" i="9"/>
  <c r="AF35" i="9"/>
  <c r="AE35" i="9"/>
  <c r="AD35" i="9"/>
  <c r="AC35" i="9"/>
  <c r="AB35" i="9"/>
  <c r="AA35" i="9"/>
  <c r="Z35" i="9"/>
  <c r="T35" i="9" s="1"/>
  <c r="Y35" i="9"/>
  <c r="AF34" i="9"/>
  <c r="AE34" i="9"/>
  <c r="V34" i="9" s="1"/>
  <c r="AD34" i="9"/>
  <c r="AC34" i="9"/>
  <c r="AB34" i="9"/>
  <c r="AA34" i="9"/>
  <c r="Z34" i="9"/>
  <c r="Y34" i="9"/>
  <c r="T34" i="9" s="1"/>
  <c r="AF33" i="9"/>
  <c r="AE33" i="9"/>
  <c r="AD33" i="9"/>
  <c r="AC33" i="9"/>
  <c r="AB33" i="9"/>
  <c r="AA33" i="9"/>
  <c r="Z33" i="9"/>
  <c r="Y33" i="9"/>
  <c r="T33" i="9" s="1"/>
  <c r="V33" i="9"/>
  <c r="AF32" i="9"/>
  <c r="AE32" i="9"/>
  <c r="V32" i="9" s="1"/>
  <c r="AD32" i="9"/>
  <c r="AC32" i="9"/>
  <c r="AB32" i="9"/>
  <c r="U32" i="9" s="1"/>
  <c r="AA32" i="9"/>
  <c r="Z32" i="9"/>
  <c r="Y32" i="9"/>
  <c r="T32" i="9" s="1"/>
  <c r="AF31" i="9"/>
  <c r="AE31" i="9"/>
  <c r="V31" i="9" s="1"/>
  <c r="AD31" i="9"/>
  <c r="AC31" i="9"/>
  <c r="AB31" i="9"/>
  <c r="AA31" i="9"/>
  <c r="T31" i="9" s="1"/>
  <c r="Z31" i="9"/>
  <c r="Y31" i="9"/>
  <c r="AF30" i="9"/>
  <c r="AE30" i="9"/>
  <c r="V30" i="9" s="1"/>
  <c r="AD30" i="9"/>
  <c r="AC30" i="9"/>
  <c r="AB30" i="9"/>
  <c r="AA30" i="9"/>
  <c r="Z30" i="9"/>
  <c r="Y30" i="9"/>
  <c r="T30" i="9" s="1"/>
  <c r="AF29" i="9"/>
  <c r="AE29" i="9"/>
  <c r="V29" i="9" s="1"/>
  <c r="AD29" i="9"/>
  <c r="AC29" i="9"/>
  <c r="U29" i="9" s="1"/>
  <c r="AB29" i="9"/>
  <c r="AA29" i="9"/>
  <c r="Z29" i="9"/>
  <c r="Y29" i="9"/>
  <c r="T29" i="9"/>
  <c r="AF28" i="9"/>
  <c r="V28" i="9" s="1"/>
  <c r="AE28" i="9"/>
  <c r="AD28" i="9"/>
  <c r="AC28" i="9"/>
  <c r="AB28" i="9"/>
  <c r="AA28" i="9"/>
  <c r="Z28" i="9"/>
  <c r="Y28" i="9"/>
  <c r="AF27" i="9"/>
  <c r="AE27" i="9"/>
  <c r="V27" i="9" s="1"/>
  <c r="AD27" i="9"/>
  <c r="AC27" i="9"/>
  <c r="AB27" i="9"/>
  <c r="AA27" i="9"/>
  <c r="Z27" i="9"/>
  <c r="Y27" i="9"/>
  <c r="AF26" i="9"/>
  <c r="AE26" i="9"/>
  <c r="AD26" i="9"/>
  <c r="AC26" i="9"/>
  <c r="AB26" i="9"/>
  <c r="AA26" i="9"/>
  <c r="Z26" i="9"/>
  <c r="Y26" i="9"/>
  <c r="V26" i="9"/>
  <c r="T26" i="9"/>
  <c r="AF25" i="9"/>
  <c r="AE25" i="9"/>
  <c r="V25" i="9" s="1"/>
  <c r="AD25" i="9"/>
  <c r="AC25" i="9"/>
  <c r="U25" i="9" s="1"/>
  <c r="AB25" i="9"/>
  <c r="AA25" i="9"/>
  <c r="Z25" i="9"/>
  <c r="Y25" i="9"/>
  <c r="AF24" i="9"/>
  <c r="AE24" i="9"/>
  <c r="V24" i="9" s="1"/>
  <c r="AD24" i="9"/>
  <c r="AC24" i="9"/>
  <c r="AB24" i="9"/>
  <c r="AA24" i="9"/>
  <c r="T24" i="9" s="1"/>
  <c r="Z24" i="9"/>
  <c r="Y24" i="9"/>
  <c r="AF23" i="9"/>
  <c r="AE23" i="9"/>
  <c r="V23" i="9" s="1"/>
  <c r="AD23" i="9"/>
  <c r="AC23" i="9"/>
  <c r="AB23" i="9"/>
  <c r="U23" i="9" s="1"/>
  <c r="AA23" i="9"/>
  <c r="Z23" i="9"/>
  <c r="Y23" i="9"/>
  <c r="T23" i="9"/>
  <c r="AF22" i="9"/>
  <c r="AE22" i="9"/>
  <c r="V22" i="9" s="1"/>
  <c r="AD22" i="9"/>
  <c r="AC22" i="9"/>
  <c r="AB22" i="9"/>
  <c r="AA22" i="9"/>
  <c r="Z22" i="9"/>
  <c r="Y22" i="9"/>
  <c r="T22" i="9" s="1"/>
  <c r="AF21" i="9"/>
  <c r="AE21" i="9"/>
  <c r="AD21" i="9"/>
  <c r="AC21" i="9"/>
  <c r="AB21" i="9"/>
  <c r="AA21" i="9"/>
  <c r="Z21" i="9"/>
  <c r="Y21" i="9"/>
  <c r="T21" i="9" s="1"/>
  <c r="AF20" i="9"/>
  <c r="AE20" i="9"/>
  <c r="AD20" i="9"/>
  <c r="AC20" i="9"/>
  <c r="AB20" i="9"/>
  <c r="U20" i="9" s="1"/>
  <c r="AA20" i="9"/>
  <c r="Z20" i="9"/>
  <c r="Y20" i="9"/>
  <c r="AF19" i="9"/>
  <c r="AE19" i="9"/>
  <c r="AD19" i="9"/>
  <c r="AC19" i="9"/>
  <c r="AB19" i="9"/>
  <c r="AA19" i="9"/>
  <c r="Z19" i="9"/>
  <c r="Y19" i="9"/>
  <c r="AF18" i="9"/>
  <c r="AE18" i="9"/>
  <c r="V18" i="9" s="1"/>
  <c r="AD18" i="9"/>
  <c r="AC18" i="9"/>
  <c r="AB18" i="9"/>
  <c r="AA18" i="9"/>
  <c r="Z18" i="9"/>
  <c r="Y18" i="9"/>
  <c r="T18" i="9" s="1"/>
  <c r="AF17" i="9"/>
  <c r="AE17" i="9"/>
  <c r="AD17" i="9"/>
  <c r="AC17" i="9"/>
  <c r="AB17" i="9"/>
  <c r="AA17" i="9"/>
  <c r="Z17" i="9"/>
  <c r="Y17" i="9"/>
  <c r="V17" i="9"/>
  <c r="AF16" i="9"/>
  <c r="AE16" i="9"/>
  <c r="AD16" i="9"/>
  <c r="AC16" i="9"/>
  <c r="AB16" i="9"/>
  <c r="AA16" i="9"/>
  <c r="Z16" i="9"/>
  <c r="Y16" i="9"/>
  <c r="T16" i="9" s="1"/>
  <c r="AF15" i="9"/>
  <c r="AE15" i="9"/>
  <c r="V15" i="9" s="1"/>
  <c r="AD15" i="9"/>
  <c r="AC15" i="9"/>
  <c r="AB15" i="9"/>
  <c r="AA15" i="9"/>
  <c r="Z15" i="9"/>
  <c r="T15" i="9" s="1"/>
  <c r="Y15" i="9"/>
  <c r="AF14" i="9"/>
  <c r="AE14" i="9"/>
  <c r="V14" i="9" s="1"/>
  <c r="AD14" i="9"/>
  <c r="AC14" i="9"/>
  <c r="AB14" i="9"/>
  <c r="AA14" i="9"/>
  <c r="Z14" i="9"/>
  <c r="Y14" i="9"/>
  <c r="AF13" i="9"/>
  <c r="AE13" i="9"/>
  <c r="V13" i="9" s="1"/>
  <c r="AD13" i="9"/>
  <c r="AC13" i="9"/>
  <c r="AB13" i="9"/>
  <c r="U13" i="9" s="1"/>
  <c r="AA13" i="9"/>
  <c r="Z13" i="9"/>
  <c r="Y13" i="9"/>
  <c r="T13" i="9"/>
  <c r="AF12" i="9"/>
  <c r="AE12" i="9"/>
  <c r="V12" i="9" s="1"/>
  <c r="AD12" i="9"/>
  <c r="AC12" i="9"/>
  <c r="AB12" i="9"/>
  <c r="U12" i="9" s="1"/>
  <c r="AA12" i="9"/>
  <c r="Z12" i="9"/>
  <c r="Y12" i="9"/>
  <c r="AF11" i="9"/>
  <c r="AE11" i="9"/>
  <c r="V11" i="9" s="1"/>
  <c r="AD11" i="9"/>
  <c r="AC11" i="9"/>
  <c r="AB11" i="9"/>
  <c r="AA11" i="9"/>
  <c r="Z11" i="9"/>
  <c r="Y11" i="9"/>
  <c r="AF10" i="9"/>
  <c r="AE10" i="9"/>
  <c r="AD10" i="9"/>
  <c r="AC10" i="9"/>
  <c r="AB10" i="9"/>
  <c r="AA10" i="9"/>
  <c r="Z10" i="9"/>
  <c r="Y10" i="9"/>
  <c r="T10" i="9" s="1"/>
  <c r="V10" i="9"/>
  <c r="AF9" i="9"/>
  <c r="AE9" i="9"/>
  <c r="V9" i="9" s="1"/>
  <c r="AD9" i="9"/>
  <c r="AC9" i="9"/>
  <c r="AB9" i="9"/>
  <c r="AA9" i="9"/>
  <c r="Z9" i="9"/>
  <c r="Y9" i="9"/>
  <c r="T9" i="9" s="1"/>
  <c r="AF8" i="9"/>
  <c r="AE8" i="9"/>
  <c r="AD8" i="9"/>
  <c r="AC8" i="9"/>
  <c r="AB8" i="9"/>
  <c r="AA8" i="9"/>
  <c r="Z8" i="9"/>
  <c r="Y8" i="9"/>
  <c r="AF7" i="9"/>
  <c r="AE7" i="9"/>
  <c r="AD7" i="9"/>
  <c r="AC7" i="9"/>
  <c r="AB7" i="9"/>
  <c r="AA7" i="9"/>
  <c r="Z7" i="9"/>
  <c r="Y7" i="9"/>
  <c r="T7" i="9" s="1"/>
  <c r="V7" i="9"/>
  <c r="AF6" i="9"/>
  <c r="AE6" i="9"/>
  <c r="V6" i="9" s="1"/>
  <c r="AD6" i="9"/>
  <c r="AC6" i="9"/>
  <c r="AB6" i="9"/>
  <c r="AA6" i="9"/>
  <c r="Z6" i="9"/>
  <c r="Y6" i="9"/>
  <c r="T6" i="9" s="1"/>
  <c r="AF5" i="9"/>
  <c r="AE5" i="9"/>
  <c r="V5" i="9" s="1"/>
  <c r="AD5" i="9"/>
  <c r="AC5" i="9"/>
  <c r="AB5" i="9"/>
  <c r="AA5" i="9"/>
  <c r="Z5" i="9"/>
  <c r="Y5" i="9"/>
  <c r="T5" i="9" s="1"/>
  <c r="U5" i="9"/>
  <c r="AW1202" i="8"/>
  <c r="AV1202" i="8"/>
  <c r="AU1202" i="8"/>
  <c r="AM1202" i="8"/>
  <c r="AF1202" i="8" s="1"/>
  <c r="AD1202" i="8"/>
  <c r="S1202" i="8"/>
  <c r="L1202" i="8"/>
  <c r="AO1202" i="8" s="1"/>
  <c r="AW1201" i="8"/>
  <c r="AV1201" i="8"/>
  <c r="AU1201" i="8"/>
  <c r="AM1201" i="8"/>
  <c r="AL1201" i="8"/>
  <c r="AE1201" i="8" s="1"/>
  <c r="AF1201" i="8"/>
  <c r="AD1201" i="8"/>
  <c r="S1201" i="8"/>
  <c r="L1201" i="8"/>
  <c r="AO1201" i="8" s="1"/>
  <c r="AW1200" i="8"/>
  <c r="AV1200" i="8"/>
  <c r="AU1200" i="8"/>
  <c r="AP1200" i="8"/>
  <c r="AG1200" i="8" s="1"/>
  <c r="AM1200" i="8"/>
  <c r="AF1200" i="8" s="1"/>
  <c r="AD1200" i="8"/>
  <c r="S1200" i="8"/>
  <c r="AR1200" i="8" s="1"/>
  <c r="AI1200" i="8" s="1"/>
  <c r="L1200" i="8"/>
  <c r="AO1200" i="8" s="1"/>
  <c r="AW1199" i="8"/>
  <c r="AV1199" i="8"/>
  <c r="AU1199" i="8"/>
  <c r="AP1199" i="8"/>
  <c r="AG1199" i="8" s="1"/>
  <c r="AO1199" i="8"/>
  <c r="AD1199" i="8"/>
  <c r="S1199" i="8"/>
  <c r="AR1199" i="8" s="1"/>
  <c r="AI1199" i="8" s="1"/>
  <c r="L1199" i="8"/>
  <c r="AW1198" i="8"/>
  <c r="AV1198" i="8"/>
  <c r="AU1198" i="8"/>
  <c r="AL1198" i="8" s="1"/>
  <c r="AE1198" i="8" s="1"/>
  <c r="AR1198" i="8"/>
  <c r="AI1198" i="8" s="1"/>
  <c r="AQ1198" i="8"/>
  <c r="AP1198" i="8"/>
  <c r="AG1198" i="8" s="1"/>
  <c r="AH1198" i="8"/>
  <c r="AD1198" i="8"/>
  <c r="S1198" i="8"/>
  <c r="L1198" i="8"/>
  <c r="AO1198" i="8" s="1"/>
  <c r="AW1197" i="8"/>
  <c r="AV1197" i="8"/>
  <c r="AU1197" i="8"/>
  <c r="AR1197" i="8"/>
  <c r="AI1197" i="8" s="1"/>
  <c r="AQ1197" i="8"/>
  <c r="AH1197" i="8"/>
  <c r="AD1197" i="8"/>
  <c r="S1197" i="8"/>
  <c r="AP1197" i="8" s="1"/>
  <c r="AG1197" i="8" s="1"/>
  <c r="L1197" i="8"/>
  <c r="AO1197" i="8" s="1"/>
  <c r="AW1196" i="8"/>
  <c r="AV1196" i="8"/>
  <c r="AU1196" i="8"/>
  <c r="AR1196" i="8"/>
  <c r="AI1196" i="8"/>
  <c r="AD1196" i="8"/>
  <c r="S1196" i="8"/>
  <c r="AQ1196" i="8" s="1"/>
  <c r="AH1196" i="8" s="1"/>
  <c r="L1196" i="8"/>
  <c r="AW1195" i="8"/>
  <c r="AV1195" i="8"/>
  <c r="AU1195" i="8"/>
  <c r="AQ1195" i="8"/>
  <c r="AH1195" i="8" s="1"/>
  <c r="AD1195" i="8"/>
  <c r="S1195" i="8"/>
  <c r="AR1195" i="8" s="1"/>
  <c r="AI1195" i="8" s="1"/>
  <c r="L1195" i="8"/>
  <c r="AW1194" i="8"/>
  <c r="AV1194" i="8"/>
  <c r="AU1194" i="8"/>
  <c r="AD1194" i="8"/>
  <c r="S1194" i="8"/>
  <c r="AR1194" i="8" s="1"/>
  <c r="AI1194" i="8" s="1"/>
  <c r="AW1193" i="8"/>
  <c r="AV1193" i="8"/>
  <c r="AU1193" i="8"/>
  <c r="AD1193" i="8"/>
  <c r="S1193" i="8"/>
  <c r="AP1193" i="8" s="1"/>
  <c r="AG1193" i="8" s="1"/>
  <c r="AW1192" i="8"/>
  <c r="AV1192" i="8"/>
  <c r="AU1192" i="8"/>
  <c r="AD1192" i="8"/>
  <c r="S1192" i="8"/>
  <c r="AW1191" i="8"/>
  <c r="AV1191" i="8"/>
  <c r="AU1191" i="8"/>
  <c r="AR1191" i="8"/>
  <c r="AI1191" i="8" s="1"/>
  <c r="AQ1191" i="8"/>
  <c r="AH1191" i="8" s="1"/>
  <c r="AD1191" i="8"/>
  <c r="S1191" i="8"/>
  <c r="AP1191" i="8" s="1"/>
  <c r="AG1191" i="8" s="1"/>
  <c r="AW1190" i="8"/>
  <c r="AV1190" i="8"/>
  <c r="AU1190" i="8"/>
  <c r="AM1190" i="8" s="1"/>
  <c r="AF1190" i="8" s="1"/>
  <c r="AD1190" i="8"/>
  <c r="S1190" i="8"/>
  <c r="L1190" i="8"/>
  <c r="AW1189" i="8"/>
  <c r="AV1189" i="8"/>
  <c r="AU1189" i="8"/>
  <c r="AD1189" i="8"/>
  <c r="S1189" i="8"/>
  <c r="AW1188" i="8"/>
  <c r="AV1188" i="8"/>
  <c r="AQ1188" i="8" s="1"/>
  <c r="AH1188" i="8" s="1"/>
  <c r="AU1188" i="8"/>
  <c r="AR1188" i="8"/>
  <c r="AI1188" i="8" s="1"/>
  <c r="AP1188" i="8"/>
  <c r="AG1188" i="8" s="1"/>
  <c r="AD1188" i="8"/>
  <c r="S1188" i="8"/>
  <c r="AW1187" i="8"/>
  <c r="AV1187" i="8"/>
  <c r="AU1187" i="8"/>
  <c r="AD1187" i="8"/>
  <c r="S1187" i="8"/>
  <c r="AQ1187" i="8" s="1"/>
  <c r="AH1187" i="8" s="1"/>
  <c r="AW1186" i="8"/>
  <c r="AV1186" i="8"/>
  <c r="AU1186" i="8"/>
  <c r="AD1186" i="8"/>
  <c r="S1186" i="8"/>
  <c r="AW1185" i="8"/>
  <c r="AV1185" i="8"/>
  <c r="AQ1185" i="8" s="1"/>
  <c r="AH1185" i="8" s="1"/>
  <c r="AU1185" i="8"/>
  <c r="AD1185" i="8"/>
  <c r="S1185" i="8"/>
  <c r="L1185" i="8"/>
  <c r="AO1185" i="8" s="1"/>
  <c r="AW1184" i="8"/>
  <c r="AV1184" i="8"/>
  <c r="AU1184" i="8"/>
  <c r="AO1184" i="8"/>
  <c r="AM1184" i="8"/>
  <c r="AF1184" i="8" s="1"/>
  <c r="AD1184" i="8"/>
  <c r="S1184" i="8"/>
  <c r="L1184" i="8"/>
  <c r="AL1184" i="8" s="1"/>
  <c r="AE1184" i="8" s="1"/>
  <c r="AW1183" i="8"/>
  <c r="AV1183" i="8"/>
  <c r="AU1183" i="8"/>
  <c r="AP1183" i="8"/>
  <c r="AG1183" i="8" s="1"/>
  <c r="AO1183" i="8"/>
  <c r="AM1183" i="8"/>
  <c r="AF1183" i="8" s="1"/>
  <c r="AD1183" i="8"/>
  <c r="S1183" i="8"/>
  <c r="L1183" i="8"/>
  <c r="AL1183" i="8" s="1"/>
  <c r="AE1183" i="8" s="1"/>
  <c r="AW1182" i="8"/>
  <c r="AV1182" i="8"/>
  <c r="AP1182" i="8" s="1"/>
  <c r="AG1182" i="8" s="1"/>
  <c r="AU1182" i="8"/>
  <c r="AD1182" i="8"/>
  <c r="S1182" i="8"/>
  <c r="L1182" i="8"/>
  <c r="AW1181" i="8"/>
  <c r="AV1181" i="8"/>
  <c r="AU1181" i="8"/>
  <c r="AR1181" i="8"/>
  <c r="AI1181" i="8" s="1"/>
  <c r="AQ1181" i="8"/>
  <c r="AH1181" i="8" s="1"/>
  <c r="AP1181" i="8"/>
  <c r="AG1181" i="8" s="1"/>
  <c r="AO1181" i="8"/>
  <c r="AD1181" i="8"/>
  <c r="S1181" i="8"/>
  <c r="L1181" i="8"/>
  <c r="AW1180" i="8"/>
  <c r="AV1180" i="8"/>
  <c r="AU1180" i="8"/>
  <c r="AQ1180" i="8"/>
  <c r="AH1180" i="8" s="1"/>
  <c r="AO1180" i="8"/>
  <c r="AM1180" i="8"/>
  <c r="AF1180" i="8" s="1"/>
  <c r="AD1180" i="8"/>
  <c r="S1180" i="8"/>
  <c r="L1180" i="8"/>
  <c r="AL1180" i="8" s="1"/>
  <c r="AE1180" i="8" s="1"/>
  <c r="AW1179" i="8"/>
  <c r="AV1179" i="8"/>
  <c r="AU1179" i="8"/>
  <c r="AO1179" i="8"/>
  <c r="AM1179" i="8"/>
  <c r="AF1179" i="8" s="1"/>
  <c r="AD1179" i="8"/>
  <c r="S1179" i="8"/>
  <c r="AP1179" i="8" s="1"/>
  <c r="AG1179" i="8" s="1"/>
  <c r="L1179" i="8"/>
  <c r="AL1179" i="8" s="1"/>
  <c r="AE1179" i="8" s="1"/>
  <c r="AW1178" i="8"/>
  <c r="AV1178" i="8"/>
  <c r="AP1178" i="8" s="1"/>
  <c r="AG1178" i="8" s="1"/>
  <c r="AU1178" i="8"/>
  <c r="AD1178" i="8"/>
  <c r="S1178" i="8"/>
  <c r="L1178" i="8"/>
  <c r="AL1178" i="8" s="1"/>
  <c r="AE1178" i="8" s="1"/>
  <c r="AW1177" i="8"/>
  <c r="AV1177" i="8"/>
  <c r="AP1177" i="8" s="1"/>
  <c r="AG1177" i="8" s="1"/>
  <c r="AU1177" i="8"/>
  <c r="AO1177" i="8" s="1"/>
  <c r="AR1177" i="8"/>
  <c r="AI1177" i="8" s="1"/>
  <c r="AQ1177" i="8"/>
  <c r="AH1177" i="8" s="1"/>
  <c r="AD1177" i="8"/>
  <c r="S1177" i="8"/>
  <c r="L1177" i="8"/>
  <c r="AW1176" i="8"/>
  <c r="AV1176" i="8"/>
  <c r="AU1176" i="8"/>
  <c r="AO1176" i="8"/>
  <c r="AM1176" i="8"/>
  <c r="AF1176" i="8"/>
  <c r="AD1176" i="8"/>
  <c r="S1176" i="8"/>
  <c r="AQ1176" i="8" s="1"/>
  <c r="AH1176" i="8" s="1"/>
  <c r="L1176" i="8"/>
  <c r="AL1176" i="8" s="1"/>
  <c r="AE1176" i="8" s="1"/>
  <c r="AW1175" i="8"/>
  <c r="AV1175" i="8"/>
  <c r="AU1175" i="8"/>
  <c r="AO1175" i="8"/>
  <c r="AM1175" i="8"/>
  <c r="AF1175" i="8" s="1"/>
  <c r="AD1175" i="8"/>
  <c r="S1175" i="8"/>
  <c r="AQ1175" i="8" s="1"/>
  <c r="AH1175" i="8" s="1"/>
  <c r="L1175" i="8"/>
  <c r="AL1175" i="8" s="1"/>
  <c r="AE1175" i="8" s="1"/>
  <c r="AW1174" i="8"/>
  <c r="AV1174" i="8"/>
  <c r="AP1174" i="8" s="1"/>
  <c r="AG1174" i="8" s="1"/>
  <c r="AU1174" i="8"/>
  <c r="AL1174" i="8"/>
  <c r="AE1174" i="8"/>
  <c r="AD1174" i="8"/>
  <c r="S1174" i="8"/>
  <c r="L1174" i="8"/>
  <c r="AW1173" i="8"/>
  <c r="AV1173" i="8"/>
  <c r="AP1173" i="8" s="1"/>
  <c r="AG1173" i="8" s="1"/>
  <c r="AU1173" i="8"/>
  <c r="AR1173" i="8"/>
  <c r="AI1173" i="8" s="1"/>
  <c r="AQ1173" i="8"/>
  <c r="AH1173" i="8" s="1"/>
  <c r="AO1173" i="8"/>
  <c r="AD1173" i="8"/>
  <c r="S1173" i="8"/>
  <c r="L1173" i="8"/>
  <c r="AW1172" i="8"/>
  <c r="AV1172" i="8"/>
  <c r="AU1172" i="8"/>
  <c r="AO1172" i="8"/>
  <c r="AM1172" i="8"/>
  <c r="AF1172" i="8"/>
  <c r="AD1172" i="8"/>
  <c r="S1172" i="8"/>
  <c r="AQ1172" i="8" s="1"/>
  <c r="AH1172" i="8" s="1"/>
  <c r="L1172" i="8"/>
  <c r="AL1172" i="8" s="1"/>
  <c r="AE1172" i="8" s="1"/>
  <c r="AW1171" i="8"/>
  <c r="AV1171" i="8"/>
  <c r="AU1171" i="8"/>
  <c r="AR1171" i="8"/>
  <c r="AI1171" i="8" s="1"/>
  <c r="AP1171" i="8"/>
  <c r="AG1171" i="8" s="1"/>
  <c r="AD1171" i="8"/>
  <c r="S1171" i="8"/>
  <c r="AQ1171" i="8" s="1"/>
  <c r="AH1171" i="8" s="1"/>
  <c r="AW1170" i="8"/>
  <c r="AV1170" i="8"/>
  <c r="AU1170" i="8"/>
  <c r="AP1170" i="8"/>
  <c r="AG1170" i="8" s="1"/>
  <c r="AD1170" i="8"/>
  <c r="S1170" i="8"/>
  <c r="AR1170" i="8" s="1"/>
  <c r="AI1170" i="8" s="1"/>
  <c r="AW1169" i="8"/>
  <c r="AV1169" i="8"/>
  <c r="AP1169" i="8" s="1"/>
  <c r="AG1169" i="8" s="1"/>
  <c r="AU1169" i="8"/>
  <c r="AR1169" i="8"/>
  <c r="AI1169" i="8" s="1"/>
  <c r="AQ1169" i="8"/>
  <c r="AH1169" i="8" s="1"/>
  <c r="AD1169" i="8"/>
  <c r="S1169" i="8"/>
  <c r="AW1168" i="8"/>
  <c r="AV1168" i="8"/>
  <c r="AU1168" i="8"/>
  <c r="AD1168" i="8"/>
  <c r="S1168" i="8"/>
  <c r="AQ1168" i="8" s="1"/>
  <c r="AH1168" i="8" s="1"/>
  <c r="AW1167" i="8"/>
  <c r="AV1167" i="8"/>
  <c r="AU1167" i="8"/>
  <c r="AR1167" i="8"/>
  <c r="AI1167" i="8" s="1"/>
  <c r="AO1167" i="8"/>
  <c r="AM1167" i="8"/>
  <c r="AF1167" i="8" s="1"/>
  <c r="AD1167" i="8"/>
  <c r="S1167" i="8"/>
  <c r="AQ1167" i="8" s="1"/>
  <c r="AH1167" i="8" s="1"/>
  <c r="L1167" i="8"/>
  <c r="AL1167" i="8" s="1"/>
  <c r="AE1167" i="8" s="1"/>
  <c r="AW1166" i="8"/>
  <c r="AV1166" i="8"/>
  <c r="AU1166" i="8"/>
  <c r="AP1166" i="8"/>
  <c r="AG1166" i="8" s="1"/>
  <c r="AD1166" i="8"/>
  <c r="S1166" i="8"/>
  <c r="AR1166" i="8" s="1"/>
  <c r="AI1166" i="8" s="1"/>
  <c r="AW1165" i="8"/>
  <c r="AV1165" i="8"/>
  <c r="AU1165" i="8"/>
  <c r="AD1165" i="8"/>
  <c r="S1165" i="8"/>
  <c r="AW1164" i="8"/>
  <c r="AV1164" i="8"/>
  <c r="AU1164" i="8"/>
  <c r="AQ1164" i="8"/>
  <c r="AH1164" i="8" s="1"/>
  <c r="AD1164" i="8"/>
  <c r="S1164" i="8"/>
  <c r="AR1164" i="8" s="1"/>
  <c r="AI1164" i="8" s="1"/>
  <c r="AW1163" i="8"/>
  <c r="AV1163" i="8"/>
  <c r="AU1163" i="8"/>
  <c r="AP1163" i="8"/>
  <c r="AG1163" i="8" s="1"/>
  <c r="AD1163" i="8"/>
  <c r="S1163" i="8"/>
  <c r="AQ1163" i="8" s="1"/>
  <c r="AH1163" i="8" s="1"/>
  <c r="AW1162" i="8"/>
  <c r="AV1162" i="8"/>
  <c r="AP1162" i="8" s="1"/>
  <c r="AG1162" i="8" s="1"/>
  <c r="AU1162" i="8"/>
  <c r="AD1162" i="8"/>
  <c r="S1162" i="8"/>
  <c r="L1162" i="8"/>
  <c r="AW1161" i="8"/>
  <c r="AV1161" i="8"/>
  <c r="AR1161" i="8" s="1"/>
  <c r="AI1161" i="8" s="1"/>
  <c r="AU1161" i="8"/>
  <c r="AL1161" i="8"/>
  <c r="AE1161" i="8" s="1"/>
  <c r="AD1161" i="8"/>
  <c r="S1161" i="8"/>
  <c r="L1161" i="8"/>
  <c r="AO1161" i="8" s="1"/>
  <c r="AW1160" i="8"/>
  <c r="AV1160" i="8"/>
  <c r="AU1160" i="8"/>
  <c r="AQ1160" i="8"/>
  <c r="AH1160" i="8" s="1"/>
  <c r="AD1160" i="8"/>
  <c r="S1160" i="8"/>
  <c r="L1160" i="8"/>
  <c r="AW1159" i="8"/>
  <c r="AV1159" i="8"/>
  <c r="AU1159" i="8"/>
  <c r="AO1159" i="8"/>
  <c r="AM1159" i="8"/>
  <c r="AF1159" i="8" s="1"/>
  <c r="AD1159" i="8"/>
  <c r="S1159" i="8"/>
  <c r="AR1159" i="8" s="1"/>
  <c r="AI1159" i="8" s="1"/>
  <c r="L1159" i="8"/>
  <c r="AL1159" i="8" s="1"/>
  <c r="AE1159" i="8" s="1"/>
  <c r="AW1158" i="8"/>
  <c r="AV1158" i="8"/>
  <c r="AU1158" i="8"/>
  <c r="AP1158" i="8"/>
  <c r="AL1158" i="8"/>
  <c r="AE1158" i="8" s="1"/>
  <c r="AG1158" i="8"/>
  <c r="AD1158" i="8"/>
  <c r="S1158" i="8"/>
  <c r="L1158" i="8"/>
  <c r="AO1158" i="8" s="1"/>
  <c r="AW1157" i="8"/>
  <c r="AV1157" i="8"/>
  <c r="AU1157" i="8"/>
  <c r="AR1157" i="8"/>
  <c r="AI1157" i="8" s="1"/>
  <c r="AD1157" i="8"/>
  <c r="S1157" i="8"/>
  <c r="AQ1157" i="8" s="1"/>
  <c r="AH1157" i="8" s="1"/>
  <c r="L1157" i="8"/>
  <c r="AW1156" i="8"/>
  <c r="AV1156" i="8"/>
  <c r="AU1156" i="8"/>
  <c r="AR1156" i="8"/>
  <c r="AI1156" i="8" s="1"/>
  <c r="AL1156" i="8"/>
  <c r="AE1156" i="8" s="1"/>
  <c r="AD1156" i="8"/>
  <c r="S1156" i="8"/>
  <c r="L1156" i="8"/>
  <c r="AO1156" i="8" s="1"/>
  <c r="AW1155" i="8"/>
  <c r="AV1155" i="8"/>
  <c r="AU1155" i="8"/>
  <c r="AR1155" i="8"/>
  <c r="AI1155" i="8" s="1"/>
  <c r="AD1155" i="8"/>
  <c r="S1155" i="8"/>
  <c r="AQ1155" i="8" s="1"/>
  <c r="AH1155" i="8" s="1"/>
  <c r="L1155" i="8"/>
  <c r="AW1154" i="8"/>
  <c r="AV1154" i="8"/>
  <c r="AU1154" i="8"/>
  <c r="AQ1154" i="8"/>
  <c r="AH1154" i="8" s="1"/>
  <c r="AD1154" i="8"/>
  <c r="S1154" i="8"/>
  <c r="AR1154" i="8" s="1"/>
  <c r="AI1154" i="8" s="1"/>
  <c r="L1154" i="8"/>
  <c r="AO1154" i="8" s="1"/>
  <c r="AW1153" i="8"/>
  <c r="AV1153" i="8"/>
  <c r="AU1153" i="8"/>
  <c r="AR1153" i="8"/>
  <c r="AI1153" i="8" s="1"/>
  <c r="AQ1153" i="8"/>
  <c r="AH1153" i="8"/>
  <c r="AD1153" i="8"/>
  <c r="S1153" i="8"/>
  <c r="AP1153" i="8" s="1"/>
  <c r="AG1153" i="8" s="1"/>
  <c r="L1153" i="8"/>
  <c r="AM1153" i="8" s="1"/>
  <c r="AF1153" i="8" s="1"/>
  <c r="AW1152" i="8"/>
  <c r="AV1152" i="8"/>
  <c r="AU1152" i="8"/>
  <c r="AQ1152" i="8"/>
  <c r="AH1152" i="8" s="1"/>
  <c r="AP1152" i="8"/>
  <c r="AG1152" i="8" s="1"/>
  <c r="AD1152" i="8"/>
  <c r="S1152" i="8"/>
  <c r="AR1152" i="8" s="1"/>
  <c r="AI1152" i="8" s="1"/>
  <c r="L1152" i="8"/>
  <c r="AW1151" i="8"/>
  <c r="AV1151" i="8"/>
  <c r="AU1151" i="8"/>
  <c r="AO1151" i="8" s="1"/>
  <c r="AL1151" i="8"/>
  <c r="AE1151" i="8" s="1"/>
  <c r="AD1151" i="8"/>
  <c r="S1151" i="8"/>
  <c r="AR1151" i="8" s="1"/>
  <c r="AI1151" i="8" s="1"/>
  <c r="L1151" i="8"/>
  <c r="AW1150" i="8"/>
  <c r="AV1150" i="8"/>
  <c r="AU1150" i="8"/>
  <c r="AM1150" i="8"/>
  <c r="AF1150" i="8" s="1"/>
  <c r="AL1150" i="8"/>
  <c r="AE1150" i="8" s="1"/>
  <c r="AD1150" i="8"/>
  <c r="S1150" i="8"/>
  <c r="L1150" i="8"/>
  <c r="AW1149" i="8"/>
  <c r="AV1149" i="8"/>
  <c r="AU1149" i="8"/>
  <c r="AL1149" i="8" s="1"/>
  <c r="AE1149" i="8" s="1"/>
  <c r="AQ1149" i="8"/>
  <c r="AH1149" i="8" s="1"/>
  <c r="AM1149" i="8"/>
  <c r="AF1149" i="8" s="1"/>
  <c r="AD1149" i="8"/>
  <c r="S1149" i="8"/>
  <c r="AR1149" i="8" s="1"/>
  <c r="AI1149" i="8" s="1"/>
  <c r="L1149" i="8"/>
  <c r="AW1148" i="8"/>
  <c r="AV1148" i="8"/>
  <c r="AU1148" i="8"/>
  <c r="AR1148" i="8"/>
  <c r="AI1148" i="8" s="1"/>
  <c r="AP1148" i="8"/>
  <c r="AG1148" i="8" s="1"/>
  <c r="AD1148" i="8"/>
  <c r="S1148" i="8"/>
  <c r="AQ1148" i="8" s="1"/>
  <c r="AH1148" i="8" s="1"/>
  <c r="AW1147" i="8"/>
  <c r="AV1147" i="8"/>
  <c r="AU1147" i="8"/>
  <c r="AR1147" i="8"/>
  <c r="AI1147" i="8" s="1"/>
  <c r="AP1147" i="8"/>
  <c r="AG1147" i="8" s="1"/>
  <c r="AD1147" i="8"/>
  <c r="S1147" i="8"/>
  <c r="AQ1147" i="8" s="1"/>
  <c r="AH1147" i="8" s="1"/>
  <c r="AW1146" i="8"/>
  <c r="AV1146" i="8"/>
  <c r="AU1146" i="8"/>
  <c r="AD1146" i="8"/>
  <c r="S1146" i="8"/>
  <c r="AR1146" i="8" s="1"/>
  <c r="AI1146" i="8" s="1"/>
  <c r="AW1145" i="8"/>
  <c r="AV1145" i="8"/>
  <c r="AU1145" i="8"/>
  <c r="AR1145" i="8"/>
  <c r="AI1145" i="8" s="1"/>
  <c r="AD1145" i="8"/>
  <c r="S1145" i="8"/>
  <c r="AQ1145" i="8" s="1"/>
  <c r="AH1145" i="8" s="1"/>
  <c r="AW1144" i="8"/>
  <c r="AV1144" i="8"/>
  <c r="AP1144" i="8" s="1"/>
  <c r="AG1144" i="8" s="1"/>
  <c r="AU1144" i="8"/>
  <c r="AR1144" i="8"/>
  <c r="AI1144" i="8" s="1"/>
  <c r="AD1144" i="8"/>
  <c r="S1144" i="8"/>
  <c r="AQ1144" i="8" s="1"/>
  <c r="AH1144" i="8" s="1"/>
  <c r="L1144" i="8"/>
  <c r="AO1144" i="8" s="1"/>
  <c r="AW1143" i="8"/>
  <c r="AV1143" i="8"/>
  <c r="AU1143" i="8"/>
  <c r="AD1143" i="8"/>
  <c r="S1143" i="8"/>
  <c r="AW1142" i="8"/>
  <c r="AV1142" i="8"/>
  <c r="AU1142" i="8"/>
  <c r="AD1142" i="8"/>
  <c r="S1142" i="8"/>
  <c r="AR1142" i="8" s="1"/>
  <c r="AI1142" i="8" s="1"/>
  <c r="AW1141" i="8"/>
  <c r="AV1141" i="8"/>
  <c r="AU1141" i="8"/>
  <c r="AD1141" i="8"/>
  <c r="S1141" i="8"/>
  <c r="AW1140" i="8"/>
  <c r="AV1140" i="8"/>
  <c r="AU1140" i="8"/>
  <c r="AD1140" i="8"/>
  <c r="S1140" i="8"/>
  <c r="AW1139" i="8"/>
  <c r="AV1139" i="8"/>
  <c r="AR1139" i="8" s="1"/>
  <c r="AI1139" i="8" s="1"/>
  <c r="AU1139" i="8"/>
  <c r="AQ1139" i="8"/>
  <c r="AH1139" i="8" s="1"/>
  <c r="AD1139" i="8"/>
  <c r="S1139" i="8"/>
  <c r="L1139" i="8"/>
  <c r="AO1139" i="8" s="1"/>
  <c r="AW1138" i="8"/>
  <c r="AV1138" i="8"/>
  <c r="AU1138" i="8"/>
  <c r="AR1138" i="8"/>
  <c r="AI1138" i="8" s="1"/>
  <c r="AQ1138" i="8"/>
  <c r="AH1138" i="8" s="1"/>
  <c r="AP1138" i="8"/>
  <c r="AG1138" i="8" s="1"/>
  <c r="AM1138" i="8"/>
  <c r="AF1138" i="8" s="1"/>
  <c r="AD1138" i="8"/>
  <c r="S1138" i="8"/>
  <c r="L1138" i="8"/>
  <c r="AW1137" i="8"/>
  <c r="AV1137" i="8"/>
  <c r="AQ1137" i="8" s="1"/>
  <c r="AH1137" i="8" s="1"/>
  <c r="AU1137" i="8"/>
  <c r="AM1137" i="8"/>
  <c r="AF1137" i="8" s="1"/>
  <c r="AL1137" i="8"/>
  <c r="AE1137" i="8" s="1"/>
  <c r="AD1137" i="8"/>
  <c r="S1137" i="8"/>
  <c r="L1137" i="8"/>
  <c r="AO1137" i="8" s="1"/>
  <c r="AW1136" i="8"/>
  <c r="AV1136" i="8"/>
  <c r="AU1136" i="8"/>
  <c r="AR1136" i="8"/>
  <c r="AI1136" i="8" s="1"/>
  <c r="AQ1136" i="8"/>
  <c r="AH1136" i="8" s="1"/>
  <c r="AM1136" i="8"/>
  <c r="AF1136" i="8" s="1"/>
  <c r="AD1136" i="8"/>
  <c r="S1136" i="8"/>
  <c r="AP1136" i="8" s="1"/>
  <c r="AG1136" i="8" s="1"/>
  <c r="L1136" i="8"/>
  <c r="AW1135" i="8"/>
  <c r="AV1135" i="8"/>
  <c r="AU1135" i="8"/>
  <c r="AR1135" i="8"/>
  <c r="AI1135" i="8" s="1"/>
  <c r="AQ1135" i="8"/>
  <c r="AH1135" i="8" s="1"/>
  <c r="AP1135" i="8"/>
  <c r="AG1135" i="8" s="1"/>
  <c r="AM1135" i="8"/>
  <c r="AF1135" i="8" s="1"/>
  <c r="AD1135" i="8"/>
  <c r="S1135" i="8"/>
  <c r="L1135" i="8"/>
  <c r="AO1135" i="8" s="1"/>
  <c r="AW1134" i="8"/>
  <c r="AV1134" i="8"/>
  <c r="AR1134" i="8" s="1"/>
  <c r="AI1134" i="8" s="1"/>
  <c r="AU1134" i="8"/>
  <c r="AL1134" i="8"/>
  <c r="AE1134" i="8" s="1"/>
  <c r="AD1134" i="8"/>
  <c r="S1134" i="8"/>
  <c r="L1134" i="8"/>
  <c r="AO1134" i="8" s="1"/>
  <c r="AW1133" i="8"/>
  <c r="AV1133" i="8"/>
  <c r="AR1133" i="8" s="1"/>
  <c r="AI1133" i="8" s="1"/>
  <c r="AU1133" i="8"/>
  <c r="AP1133" i="8"/>
  <c r="AG1133" i="8" s="1"/>
  <c r="AL1133" i="8"/>
  <c r="AE1133" i="8" s="1"/>
  <c r="AD1133" i="8"/>
  <c r="S1133" i="8"/>
  <c r="AQ1133" i="8" s="1"/>
  <c r="AH1133" i="8" s="1"/>
  <c r="L1133" i="8"/>
  <c r="AO1133" i="8" s="1"/>
  <c r="AW1132" i="8"/>
  <c r="AV1132" i="8"/>
  <c r="AU1132" i="8"/>
  <c r="AR1132" i="8"/>
  <c r="AI1132" i="8" s="1"/>
  <c r="AQ1132" i="8"/>
  <c r="AO1132" i="8"/>
  <c r="AH1132" i="8"/>
  <c r="AD1132" i="8"/>
  <c r="S1132" i="8"/>
  <c r="AP1132" i="8" s="1"/>
  <c r="AG1132" i="8" s="1"/>
  <c r="L1132" i="8"/>
  <c r="AM1132" i="8" s="1"/>
  <c r="AF1132" i="8" s="1"/>
  <c r="AW1131" i="8"/>
  <c r="AV1131" i="8"/>
  <c r="AU1131" i="8"/>
  <c r="AL1131" i="8"/>
  <c r="AE1131" i="8" s="1"/>
  <c r="AD1131" i="8"/>
  <c r="S1131" i="8"/>
  <c r="AP1131" i="8" s="1"/>
  <c r="AG1131" i="8" s="1"/>
  <c r="L1131" i="8"/>
  <c r="AO1131" i="8" s="1"/>
  <c r="AW1130" i="8"/>
  <c r="AV1130" i="8"/>
  <c r="AQ1130" i="8" s="1"/>
  <c r="AH1130" i="8" s="1"/>
  <c r="AU1130" i="8"/>
  <c r="AR1130" i="8"/>
  <c r="AI1130" i="8" s="1"/>
  <c r="AM1130" i="8"/>
  <c r="AF1130" i="8" s="1"/>
  <c r="AD1130" i="8"/>
  <c r="S1130" i="8"/>
  <c r="L1130" i="8"/>
  <c r="AW1129" i="8"/>
  <c r="AV1129" i="8"/>
  <c r="AQ1129" i="8" s="1"/>
  <c r="AH1129" i="8" s="1"/>
  <c r="AU1129" i="8"/>
  <c r="AL1129" i="8"/>
  <c r="AE1129" i="8"/>
  <c r="AD1129" i="8"/>
  <c r="S1129" i="8"/>
  <c r="AR1129" i="8" s="1"/>
  <c r="AI1129" i="8" s="1"/>
  <c r="L1129" i="8"/>
  <c r="AO1129" i="8" s="1"/>
  <c r="AW1128" i="8"/>
  <c r="AV1128" i="8"/>
  <c r="AU1128" i="8"/>
  <c r="AR1128" i="8"/>
  <c r="AI1128" i="8" s="1"/>
  <c r="AQ1128" i="8"/>
  <c r="AH1128" i="8" s="1"/>
  <c r="AM1128" i="8"/>
  <c r="AF1128" i="8" s="1"/>
  <c r="AL1128" i="8"/>
  <c r="AE1128" i="8" s="1"/>
  <c r="AD1128" i="8"/>
  <c r="S1128" i="8"/>
  <c r="AP1128" i="8" s="1"/>
  <c r="AG1128" i="8" s="1"/>
  <c r="L1128" i="8"/>
  <c r="AW1127" i="8"/>
  <c r="AV1127" i="8"/>
  <c r="AR1127" i="8" s="1"/>
  <c r="AI1127" i="8" s="1"/>
  <c r="AU1127" i="8"/>
  <c r="AO1127" i="8"/>
  <c r="AM1127" i="8"/>
  <c r="AF1127" i="8" s="1"/>
  <c r="AL1127" i="8"/>
  <c r="AE1127" i="8" s="1"/>
  <c r="AD1127" i="8"/>
  <c r="S1127" i="8"/>
  <c r="L1127" i="8"/>
  <c r="AW1126" i="8"/>
  <c r="AV1126" i="8"/>
  <c r="AR1126" i="8" s="1"/>
  <c r="AI1126" i="8" s="1"/>
  <c r="AU1126" i="8"/>
  <c r="AM1126" i="8"/>
  <c r="AF1126" i="8" s="1"/>
  <c r="AD1126" i="8"/>
  <c r="S1126" i="8"/>
  <c r="L1126" i="8"/>
  <c r="AL1126" i="8" s="1"/>
  <c r="AE1126" i="8" s="1"/>
  <c r="AW1125" i="8"/>
  <c r="AV1125" i="8"/>
  <c r="AQ1125" i="8" s="1"/>
  <c r="AH1125" i="8" s="1"/>
  <c r="AU1125" i="8"/>
  <c r="AR1125" i="8"/>
  <c r="AP1125" i="8"/>
  <c r="AG1125" i="8" s="1"/>
  <c r="AM1125" i="8"/>
  <c r="AF1125" i="8" s="1"/>
  <c r="AL1125" i="8"/>
  <c r="AE1125" i="8" s="1"/>
  <c r="AI1125" i="8"/>
  <c r="AD1125" i="8"/>
  <c r="S1125" i="8"/>
  <c r="L1125" i="8"/>
  <c r="AW1124" i="8"/>
  <c r="AV1124" i="8"/>
  <c r="AP1124" i="8" s="1"/>
  <c r="AG1124" i="8" s="1"/>
  <c r="AU1124" i="8"/>
  <c r="AQ1124" i="8"/>
  <c r="AH1124" i="8" s="1"/>
  <c r="AD1124" i="8"/>
  <c r="S1124" i="8"/>
  <c r="L1124" i="8"/>
  <c r="AO1124" i="8" s="1"/>
  <c r="AW1123" i="8"/>
  <c r="AV1123" i="8"/>
  <c r="AU1123" i="8"/>
  <c r="AO1123" i="8"/>
  <c r="AM1123" i="8"/>
  <c r="AF1123" i="8" s="1"/>
  <c r="AL1123" i="8"/>
  <c r="AE1123" i="8" s="1"/>
  <c r="AD1123" i="8"/>
  <c r="S1123" i="8"/>
  <c r="L1123" i="8"/>
  <c r="AW1122" i="8"/>
  <c r="AV1122" i="8"/>
  <c r="AP1122" i="8" s="1"/>
  <c r="AG1122" i="8" s="1"/>
  <c r="AU1122" i="8"/>
  <c r="AQ1122" i="8"/>
  <c r="AH1122" i="8" s="1"/>
  <c r="AD1122" i="8"/>
  <c r="S1122" i="8"/>
  <c r="L1122" i="8"/>
  <c r="AW1121" i="8"/>
  <c r="AV1121" i="8"/>
  <c r="AU1121" i="8"/>
  <c r="AQ1121" i="8"/>
  <c r="AH1121" i="8" s="1"/>
  <c r="AD1121" i="8"/>
  <c r="S1121" i="8"/>
  <c r="AR1121" i="8" s="1"/>
  <c r="AI1121" i="8" s="1"/>
  <c r="L1121" i="8"/>
  <c r="AO1121" i="8" s="1"/>
  <c r="AW1120" i="8"/>
  <c r="AV1120" i="8"/>
  <c r="AU1120" i="8"/>
  <c r="AR1120" i="8"/>
  <c r="AI1120" i="8" s="1"/>
  <c r="AD1120" i="8"/>
  <c r="S1120" i="8"/>
  <c r="AQ1120" i="8" s="1"/>
  <c r="AH1120" i="8" s="1"/>
  <c r="AW1119" i="8"/>
  <c r="AV1119" i="8"/>
  <c r="AU1119" i="8"/>
  <c r="AQ1119" i="8"/>
  <c r="AH1119" i="8" s="1"/>
  <c r="AP1119" i="8"/>
  <c r="AG1119" i="8" s="1"/>
  <c r="AD1119" i="8"/>
  <c r="S1119" i="8"/>
  <c r="AR1119" i="8" s="1"/>
  <c r="AI1119" i="8" s="1"/>
  <c r="AW1118" i="8"/>
  <c r="AV1118" i="8"/>
  <c r="AQ1118" i="8" s="1"/>
  <c r="AH1118" i="8" s="1"/>
  <c r="AU1118" i="8"/>
  <c r="AD1118" i="8"/>
  <c r="S1118" i="8"/>
  <c r="AR1118" i="8" s="1"/>
  <c r="AI1118" i="8" s="1"/>
  <c r="AW1117" i="8"/>
  <c r="AV1117" i="8"/>
  <c r="AU1117" i="8"/>
  <c r="AQ1117" i="8"/>
  <c r="AH1117" i="8" s="1"/>
  <c r="AP1117" i="8"/>
  <c r="AG1117" i="8" s="1"/>
  <c r="AD1117" i="8"/>
  <c r="S1117" i="8"/>
  <c r="AW1116" i="8"/>
  <c r="AV1116" i="8"/>
  <c r="AU1116" i="8"/>
  <c r="AO1116" i="8"/>
  <c r="AL1116" i="8"/>
  <c r="AE1116" i="8"/>
  <c r="AD1116" i="8"/>
  <c r="S1116" i="8"/>
  <c r="L1116" i="8"/>
  <c r="AM1116" i="8" s="1"/>
  <c r="AF1116" i="8" s="1"/>
  <c r="AW1115" i="8"/>
  <c r="AV1115" i="8"/>
  <c r="AR1115" i="8" s="1"/>
  <c r="AI1115" i="8" s="1"/>
  <c r="AU1115" i="8"/>
  <c r="AD1115" i="8"/>
  <c r="S1115" i="8"/>
  <c r="AW1114" i="8"/>
  <c r="AV1114" i="8"/>
  <c r="AU1114" i="8"/>
  <c r="AP1114" i="8"/>
  <c r="AG1114" i="8" s="1"/>
  <c r="AD1114" i="8"/>
  <c r="S1114" i="8"/>
  <c r="AR1114" i="8" s="1"/>
  <c r="AI1114" i="8" s="1"/>
  <c r="AW1113" i="8"/>
  <c r="AV1113" i="8"/>
  <c r="AU1113" i="8"/>
  <c r="AD1113" i="8"/>
  <c r="S1113" i="8"/>
  <c r="AR1113" i="8" s="1"/>
  <c r="AI1113" i="8" s="1"/>
  <c r="AW1112" i="8"/>
  <c r="AV1112" i="8"/>
  <c r="AU1112" i="8"/>
  <c r="AR1112" i="8"/>
  <c r="AI1112" i="8" s="1"/>
  <c r="AQ1112" i="8"/>
  <c r="AH1112" i="8" s="1"/>
  <c r="AP1112" i="8"/>
  <c r="AG1112" i="8" s="1"/>
  <c r="AD1112" i="8"/>
  <c r="S1112" i="8"/>
  <c r="AW1111" i="8"/>
  <c r="AV1111" i="8"/>
  <c r="AU1111" i="8"/>
  <c r="AR1111" i="8"/>
  <c r="AI1111" i="8" s="1"/>
  <c r="AO1111" i="8"/>
  <c r="AL1111" i="8"/>
  <c r="AE1111" i="8" s="1"/>
  <c r="AD1111" i="8"/>
  <c r="S1111" i="8"/>
  <c r="AQ1111" i="8" s="1"/>
  <c r="AH1111" i="8" s="1"/>
  <c r="L1111" i="8"/>
  <c r="AM1111" i="8" s="1"/>
  <c r="AF1111" i="8" s="1"/>
  <c r="AW1110" i="8"/>
  <c r="AV1110" i="8"/>
  <c r="AR1110" i="8" s="1"/>
  <c r="AI1110" i="8" s="1"/>
  <c r="AU1110" i="8"/>
  <c r="AL1110" i="8"/>
  <c r="AE1110" i="8" s="1"/>
  <c r="AD1110" i="8"/>
  <c r="S1110" i="8"/>
  <c r="AQ1110" i="8" s="1"/>
  <c r="AH1110" i="8" s="1"/>
  <c r="L1110" i="8"/>
  <c r="AO1110" i="8" s="1"/>
  <c r="AW1109" i="8"/>
  <c r="AV1109" i="8"/>
  <c r="AU1109" i="8"/>
  <c r="AR1109" i="8"/>
  <c r="AI1109" i="8" s="1"/>
  <c r="AQ1109" i="8"/>
  <c r="AH1109" i="8" s="1"/>
  <c r="AP1109" i="8"/>
  <c r="AG1109" i="8" s="1"/>
  <c r="AO1109" i="8"/>
  <c r="AD1109" i="8"/>
  <c r="S1109" i="8"/>
  <c r="L1109" i="8"/>
  <c r="AM1109" i="8" s="1"/>
  <c r="AF1109" i="8" s="1"/>
  <c r="AW1108" i="8"/>
  <c r="AV1108" i="8"/>
  <c r="AU1108" i="8"/>
  <c r="AR1108" i="8"/>
  <c r="AI1108" i="8" s="1"/>
  <c r="AO1108" i="8"/>
  <c r="AL1108" i="8"/>
  <c r="AE1108" i="8" s="1"/>
  <c r="AD1108" i="8"/>
  <c r="S1108" i="8"/>
  <c r="L1108" i="8"/>
  <c r="AM1108" i="8" s="1"/>
  <c r="AF1108" i="8" s="1"/>
  <c r="AW1107" i="8"/>
  <c r="AV1107" i="8"/>
  <c r="AQ1107" i="8" s="1"/>
  <c r="AH1107" i="8" s="1"/>
  <c r="AU1107" i="8"/>
  <c r="AM1107" i="8"/>
  <c r="AF1107" i="8" s="1"/>
  <c r="AD1107" i="8"/>
  <c r="S1107" i="8"/>
  <c r="AR1107" i="8" s="1"/>
  <c r="AI1107" i="8" s="1"/>
  <c r="L1107" i="8"/>
  <c r="AW1106" i="8"/>
  <c r="AV1106" i="8"/>
  <c r="AU1106" i="8"/>
  <c r="AQ1106" i="8"/>
  <c r="AH1106" i="8" s="1"/>
  <c r="AD1106" i="8"/>
  <c r="S1106" i="8"/>
  <c r="L1106" i="8"/>
  <c r="AL1106" i="8" s="1"/>
  <c r="AE1106" i="8" s="1"/>
  <c r="AW1105" i="8"/>
  <c r="AV1105" i="8"/>
  <c r="AU1105" i="8"/>
  <c r="AM1105" i="8"/>
  <c r="AF1105" i="8" s="1"/>
  <c r="AD1105" i="8"/>
  <c r="S1105" i="8"/>
  <c r="AP1105" i="8" s="1"/>
  <c r="AG1105" i="8" s="1"/>
  <c r="L1105" i="8"/>
  <c r="AW1104" i="8"/>
  <c r="AV1104" i="8"/>
  <c r="AU1104" i="8"/>
  <c r="AM1104" i="8" s="1"/>
  <c r="AF1104" i="8" s="1"/>
  <c r="AD1104" i="8"/>
  <c r="S1104" i="8"/>
  <c r="L1104" i="8"/>
  <c r="AW1103" i="8"/>
  <c r="AV1103" i="8"/>
  <c r="AU1103" i="8"/>
  <c r="AP1103" i="8"/>
  <c r="AG1103" i="8" s="1"/>
  <c r="AO1103" i="8"/>
  <c r="AD1103" i="8"/>
  <c r="S1103" i="8"/>
  <c r="AQ1103" i="8" s="1"/>
  <c r="AH1103" i="8" s="1"/>
  <c r="L1103" i="8"/>
  <c r="AM1103" i="8" s="1"/>
  <c r="AF1103" i="8" s="1"/>
  <c r="AW1102" i="8"/>
  <c r="AV1102" i="8"/>
  <c r="AU1102" i="8"/>
  <c r="AR1102" i="8"/>
  <c r="AI1102" i="8" s="1"/>
  <c r="AQ1102" i="8"/>
  <c r="AH1102" i="8" s="1"/>
  <c r="AD1102" i="8"/>
  <c r="S1102" i="8"/>
  <c r="AP1102" i="8" s="1"/>
  <c r="AG1102" i="8" s="1"/>
  <c r="AW1101" i="8"/>
  <c r="AV1101" i="8"/>
  <c r="AU1101" i="8"/>
  <c r="AR1101" i="8"/>
  <c r="AI1101" i="8" s="1"/>
  <c r="AD1101" i="8"/>
  <c r="S1101" i="8"/>
  <c r="AQ1101" i="8" s="1"/>
  <c r="AH1101" i="8" s="1"/>
  <c r="AW1100" i="8"/>
  <c r="AV1100" i="8"/>
  <c r="AU1100" i="8"/>
  <c r="AR1100" i="8"/>
  <c r="AI1100" i="8" s="1"/>
  <c r="AQ1100" i="8"/>
  <c r="AH1100" i="8" s="1"/>
  <c r="AP1100" i="8"/>
  <c r="AG1100" i="8" s="1"/>
  <c r="AD1100" i="8"/>
  <c r="S1100" i="8"/>
  <c r="AW1099" i="8"/>
  <c r="AV1099" i="8"/>
  <c r="AU1099" i="8"/>
  <c r="AD1099" i="8"/>
  <c r="S1099" i="8"/>
  <c r="AR1099" i="8" s="1"/>
  <c r="AI1099" i="8" s="1"/>
  <c r="AW1098" i="8"/>
  <c r="AV1098" i="8"/>
  <c r="AU1098" i="8"/>
  <c r="AD1098" i="8"/>
  <c r="S1098" i="8"/>
  <c r="L1098" i="8"/>
  <c r="AW1097" i="8"/>
  <c r="AV1097" i="8"/>
  <c r="AR1097" i="8" s="1"/>
  <c r="AI1097" i="8" s="1"/>
  <c r="AU1097" i="8"/>
  <c r="AD1097" i="8"/>
  <c r="S1097" i="8"/>
  <c r="AQ1097" i="8" s="1"/>
  <c r="AH1097" i="8" s="1"/>
  <c r="AW1096" i="8"/>
  <c r="AV1096" i="8"/>
  <c r="AU1096" i="8"/>
  <c r="AR1096" i="8"/>
  <c r="AI1096" i="8" s="1"/>
  <c r="AQ1096" i="8"/>
  <c r="AH1096" i="8" s="1"/>
  <c r="AP1096" i="8"/>
  <c r="AG1096" i="8" s="1"/>
  <c r="AD1096" i="8"/>
  <c r="S1096" i="8"/>
  <c r="AW1095" i="8"/>
  <c r="AV1095" i="8"/>
  <c r="AU1095" i="8"/>
  <c r="AP1095" i="8"/>
  <c r="AG1095" i="8" s="1"/>
  <c r="AD1095" i="8"/>
  <c r="S1095" i="8"/>
  <c r="AR1095" i="8" s="1"/>
  <c r="AI1095" i="8" s="1"/>
  <c r="AW1094" i="8"/>
  <c r="AV1094" i="8"/>
  <c r="AU1094" i="8"/>
  <c r="AD1094" i="8"/>
  <c r="S1094" i="8"/>
  <c r="AR1094" i="8" s="1"/>
  <c r="AI1094" i="8" s="1"/>
  <c r="AW1093" i="8"/>
  <c r="AV1093" i="8"/>
  <c r="AU1093" i="8"/>
  <c r="AL1093" i="8"/>
  <c r="AE1093" i="8" s="1"/>
  <c r="AD1093" i="8"/>
  <c r="S1093" i="8"/>
  <c r="AR1093" i="8" s="1"/>
  <c r="AI1093" i="8" s="1"/>
  <c r="L1093" i="8"/>
  <c r="AO1093" i="8" s="1"/>
  <c r="AW1092" i="8"/>
  <c r="AV1092" i="8"/>
  <c r="AU1092" i="8"/>
  <c r="AO1092" i="8" s="1"/>
  <c r="AR1092" i="8"/>
  <c r="AI1092" i="8" s="1"/>
  <c r="AQ1092" i="8"/>
  <c r="AH1092" i="8" s="1"/>
  <c r="AP1092" i="8"/>
  <c r="AG1092" i="8" s="1"/>
  <c r="AD1092" i="8"/>
  <c r="S1092" i="8"/>
  <c r="L1092" i="8"/>
  <c r="AW1091" i="8"/>
  <c r="AV1091" i="8"/>
  <c r="AU1091" i="8"/>
  <c r="AM1091" i="8"/>
  <c r="AF1091" i="8" s="1"/>
  <c r="AD1091" i="8"/>
  <c r="S1091" i="8"/>
  <c r="L1091" i="8"/>
  <c r="AO1091" i="8" s="1"/>
  <c r="AW1090" i="8"/>
  <c r="AV1090" i="8"/>
  <c r="AU1090" i="8"/>
  <c r="AQ1090" i="8"/>
  <c r="AH1090" i="8" s="1"/>
  <c r="AL1090" i="8"/>
  <c r="AE1090" i="8" s="1"/>
  <c r="AD1090" i="8"/>
  <c r="S1090" i="8"/>
  <c r="L1090" i="8"/>
  <c r="AO1090" i="8" s="1"/>
  <c r="AW1089" i="8"/>
  <c r="AV1089" i="8"/>
  <c r="AU1089" i="8"/>
  <c r="AD1089" i="8"/>
  <c r="S1089" i="8"/>
  <c r="AQ1089" i="8" s="1"/>
  <c r="AH1089" i="8" s="1"/>
  <c r="L1089" i="8"/>
  <c r="AL1089" i="8" s="1"/>
  <c r="AE1089" i="8" s="1"/>
  <c r="AW1088" i="8"/>
  <c r="AV1088" i="8"/>
  <c r="AU1088" i="8"/>
  <c r="AR1088" i="8"/>
  <c r="AI1088" i="8" s="1"/>
  <c r="AQ1088" i="8"/>
  <c r="AH1088" i="8" s="1"/>
  <c r="AP1088" i="8"/>
  <c r="AG1088" i="8" s="1"/>
  <c r="AD1088" i="8"/>
  <c r="S1088" i="8"/>
  <c r="L1088" i="8"/>
  <c r="AM1088" i="8" s="1"/>
  <c r="AF1088" i="8" s="1"/>
  <c r="AW1087" i="8"/>
  <c r="AV1087" i="8"/>
  <c r="AU1087" i="8"/>
  <c r="AD1087" i="8"/>
  <c r="S1087" i="8"/>
  <c r="AR1087" i="8" s="1"/>
  <c r="AI1087" i="8" s="1"/>
  <c r="L1087" i="8"/>
  <c r="AO1087" i="8" s="1"/>
  <c r="AW1086" i="8"/>
  <c r="AV1086" i="8"/>
  <c r="AU1086" i="8"/>
  <c r="AP1086" i="8"/>
  <c r="AG1086" i="8" s="1"/>
  <c r="AD1086" i="8"/>
  <c r="S1086" i="8"/>
  <c r="AR1086" i="8" s="1"/>
  <c r="AI1086" i="8" s="1"/>
  <c r="L1086" i="8"/>
  <c r="AW1085" i="8"/>
  <c r="AV1085" i="8"/>
  <c r="AU1085" i="8"/>
  <c r="AP1085" i="8"/>
  <c r="AG1085" i="8" s="1"/>
  <c r="AM1085" i="8"/>
  <c r="AF1085" i="8" s="1"/>
  <c r="AD1085" i="8"/>
  <c r="S1085" i="8"/>
  <c r="AQ1085" i="8" s="1"/>
  <c r="AH1085" i="8" s="1"/>
  <c r="L1085" i="8"/>
  <c r="AO1085" i="8" s="1"/>
  <c r="AW1084" i="8"/>
  <c r="AV1084" i="8"/>
  <c r="AU1084" i="8"/>
  <c r="AR1084" i="8"/>
  <c r="AQ1084" i="8"/>
  <c r="AH1084" i="8" s="1"/>
  <c r="AP1084" i="8"/>
  <c r="AG1084" i="8" s="1"/>
  <c r="AI1084" i="8"/>
  <c r="AD1084" i="8"/>
  <c r="S1084" i="8"/>
  <c r="L1084" i="8"/>
  <c r="AW1083" i="8"/>
  <c r="AV1083" i="8"/>
  <c r="AU1083" i="8"/>
  <c r="AP1083" i="8"/>
  <c r="AG1083" i="8" s="1"/>
  <c r="AD1083" i="8"/>
  <c r="S1083" i="8"/>
  <c r="AR1083" i="8" s="1"/>
  <c r="AI1083" i="8" s="1"/>
  <c r="L1083" i="8"/>
  <c r="AO1083" i="8" s="1"/>
  <c r="AW1082" i="8"/>
  <c r="AV1082" i="8"/>
  <c r="AU1082" i="8"/>
  <c r="AD1082" i="8"/>
  <c r="S1082" i="8"/>
  <c r="L1082" i="8"/>
  <c r="AM1082" i="8" s="1"/>
  <c r="AF1082" i="8" s="1"/>
  <c r="AW1081" i="8"/>
  <c r="AV1081" i="8"/>
  <c r="AU1081" i="8"/>
  <c r="AP1081" i="8"/>
  <c r="AG1081" i="8" s="1"/>
  <c r="AD1081" i="8"/>
  <c r="S1081" i="8"/>
  <c r="L1081" i="8"/>
  <c r="AM1081" i="8" s="1"/>
  <c r="AF1081" i="8" s="1"/>
  <c r="AW1080" i="8"/>
  <c r="AV1080" i="8"/>
  <c r="AU1080" i="8"/>
  <c r="AR1080" i="8"/>
  <c r="AI1080" i="8" s="1"/>
  <c r="AQ1080" i="8"/>
  <c r="AH1080" i="8" s="1"/>
  <c r="AD1080" i="8"/>
  <c r="S1080" i="8"/>
  <c r="AP1080" i="8" s="1"/>
  <c r="AG1080" i="8" s="1"/>
  <c r="L1080" i="8"/>
  <c r="AO1080" i="8" s="1"/>
  <c r="AW1079" i="8"/>
  <c r="AV1079" i="8"/>
  <c r="AU1079" i="8"/>
  <c r="AD1079" i="8"/>
  <c r="S1079" i="8"/>
  <c r="AR1079" i="8" s="1"/>
  <c r="AI1079" i="8" s="1"/>
  <c r="AW1078" i="8"/>
  <c r="AV1078" i="8"/>
  <c r="AP1078" i="8" s="1"/>
  <c r="AG1078" i="8" s="1"/>
  <c r="AU1078" i="8"/>
  <c r="AD1078" i="8"/>
  <c r="S1078" i="8"/>
  <c r="AR1078" i="8" s="1"/>
  <c r="AI1078" i="8" s="1"/>
  <c r="AW1077" i="8"/>
  <c r="AV1077" i="8"/>
  <c r="AU1077" i="8"/>
  <c r="AD1077" i="8"/>
  <c r="S1077" i="8"/>
  <c r="AR1077" i="8" s="1"/>
  <c r="AI1077" i="8" s="1"/>
  <c r="AW1076" i="8"/>
  <c r="AV1076" i="8"/>
  <c r="AU1076" i="8"/>
  <c r="AQ1076" i="8"/>
  <c r="AH1076" i="8" s="1"/>
  <c r="AP1076" i="8"/>
  <c r="AG1076" i="8" s="1"/>
  <c r="AD1076" i="8"/>
  <c r="S1076" i="8"/>
  <c r="AR1076" i="8" s="1"/>
  <c r="AI1076" i="8" s="1"/>
  <c r="AW1075" i="8"/>
  <c r="AV1075" i="8"/>
  <c r="AU1075" i="8"/>
  <c r="AR1075" i="8"/>
  <c r="AI1075" i="8" s="1"/>
  <c r="AO1075" i="8"/>
  <c r="AL1075" i="8"/>
  <c r="AE1075" i="8" s="1"/>
  <c r="AD1075" i="8"/>
  <c r="S1075" i="8"/>
  <c r="AQ1075" i="8" s="1"/>
  <c r="AH1075" i="8" s="1"/>
  <c r="L1075" i="8"/>
  <c r="AM1075" i="8" s="1"/>
  <c r="AF1075" i="8" s="1"/>
  <c r="AW1074" i="8"/>
  <c r="AV1074" i="8"/>
  <c r="AU1074" i="8"/>
  <c r="AD1074" i="8"/>
  <c r="S1074" i="8"/>
  <c r="AR1074" i="8" s="1"/>
  <c r="AI1074" i="8" s="1"/>
  <c r="AW1073" i="8"/>
  <c r="AV1073" i="8"/>
  <c r="AU1073" i="8"/>
  <c r="AD1073" i="8"/>
  <c r="S1073" i="8"/>
  <c r="AW1072" i="8"/>
  <c r="AV1072" i="8"/>
  <c r="AU1072" i="8"/>
  <c r="AR1072" i="8"/>
  <c r="AI1072" i="8" s="1"/>
  <c r="AD1072" i="8"/>
  <c r="S1072" i="8"/>
  <c r="AQ1072" i="8" s="1"/>
  <c r="AH1072" i="8" s="1"/>
  <c r="AW1071" i="8"/>
  <c r="AV1071" i="8"/>
  <c r="AU1071" i="8"/>
  <c r="AD1071" i="8"/>
  <c r="S1071" i="8"/>
  <c r="AW1070" i="8"/>
  <c r="AV1070" i="8"/>
  <c r="AU1070" i="8"/>
  <c r="AO1070" i="8"/>
  <c r="AD1070" i="8"/>
  <c r="S1070" i="8"/>
  <c r="L1070" i="8"/>
  <c r="AM1070" i="8" s="1"/>
  <c r="AF1070" i="8" s="1"/>
  <c r="AW1069" i="8"/>
  <c r="AV1069" i="8"/>
  <c r="AU1069" i="8"/>
  <c r="AR1069" i="8"/>
  <c r="AI1069" i="8" s="1"/>
  <c r="AQ1069" i="8"/>
  <c r="AH1069" i="8" s="1"/>
  <c r="AD1069" i="8"/>
  <c r="S1069" i="8"/>
  <c r="AP1069" i="8" s="1"/>
  <c r="AG1069" i="8" s="1"/>
  <c r="L1069" i="8"/>
  <c r="AW1068" i="8"/>
  <c r="AV1068" i="8"/>
  <c r="AU1068" i="8"/>
  <c r="AR1068" i="8"/>
  <c r="AI1068" i="8" s="1"/>
  <c r="AD1068" i="8"/>
  <c r="S1068" i="8"/>
  <c r="AQ1068" i="8" s="1"/>
  <c r="AH1068" i="8" s="1"/>
  <c r="L1068" i="8"/>
  <c r="AW1067" i="8"/>
  <c r="AV1067" i="8"/>
  <c r="AU1067" i="8"/>
  <c r="AO1067" i="8"/>
  <c r="AD1067" i="8"/>
  <c r="S1067" i="8"/>
  <c r="L1067" i="8"/>
  <c r="AM1067" i="8" s="1"/>
  <c r="AF1067" i="8" s="1"/>
  <c r="AW1066" i="8"/>
  <c r="AV1066" i="8"/>
  <c r="AU1066" i="8"/>
  <c r="AR1066" i="8"/>
  <c r="AI1066" i="8" s="1"/>
  <c r="AQ1066" i="8"/>
  <c r="AH1066" i="8" s="1"/>
  <c r="AP1066" i="8"/>
  <c r="AG1066" i="8" s="1"/>
  <c r="AM1066" i="8"/>
  <c r="AF1066" i="8" s="1"/>
  <c r="AD1066" i="8"/>
  <c r="S1066" i="8"/>
  <c r="L1066" i="8"/>
  <c r="AW1065" i="8"/>
  <c r="AV1065" i="8"/>
  <c r="AU1065" i="8"/>
  <c r="AR1065" i="8"/>
  <c r="AI1065" i="8" s="1"/>
  <c r="AP1065" i="8"/>
  <c r="AG1065" i="8" s="1"/>
  <c r="AL1065" i="8"/>
  <c r="AE1065" i="8" s="1"/>
  <c r="AD1065" i="8"/>
  <c r="S1065" i="8"/>
  <c r="AQ1065" i="8" s="1"/>
  <c r="AH1065" i="8" s="1"/>
  <c r="L1065" i="8"/>
  <c r="AW1064" i="8"/>
  <c r="AV1064" i="8"/>
  <c r="AU1064" i="8"/>
  <c r="AR1064" i="8"/>
  <c r="AI1064" i="8" s="1"/>
  <c r="AM1064" i="8"/>
  <c r="AF1064" i="8" s="1"/>
  <c r="AD1064" i="8"/>
  <c r="S1064" i="8"/>
  <c r="L1064" i="8"/>
  <c r="AW1063" i="8"/>
  <c r="AV1063" i="8"/>
  <c r="AU1063" i="8"/>
  <c r="AR1063" i="8"/>
  <c r="AI1063" i="8" s="1"/>
  <c r="AQ1063" i="8"/>
  <c r="AH1063" i="8" s="1"/>
  <c r="AP1063" i="8"/>
  <c r="AG1063" i="8" s="1"/>
  <c r="AD1063" i="8"/>
  <c r="S1063" i="8"/>
  <c r="L1063" i="8"/>
  <c r="AM1063" i="8" s="1"/>
  <c r="AF1063" i="8" s="1"/>
  <c r="AW1062" i="8"/>
  <c r="AV1062" i="8"/>
  <c r="AU1062" i="8"/>
  <c r="AR1062" i="8"/>
  <c r="AI1062" i="8" s="1"/>
  <c r="AQ1062" i="8"/>
  <c r="AH1062" i="8" s="1"/>
  <c r="AL1062" i="8"/>
  <c r="AE1062" i="8" s="1"/>
  <c r="AD1062" i="8"/>
  <c r="S1062" i="8"/>
  <c r="AP1062" i="8" s="1"/>
  <c r="AG1062" i="8" s="1"/>
  <c r="L1062" i="8"/>
  <c r="AO1062" i="8" s="1"/>
  <c r="AW1061" i="8"/>
  <c r="AV1061" i="8"/>
  <c r="AU1061" i="8"/>
  <c r="AD1061" i="8"/>
  <c r="S1061" i="8"/>
  <c r="L1061" i="8"/>
  <c r="AO1061" i="8" s="1"/>
  <c r="AW1060" i="8"/>
  <c r="AV1060" i="8"/>
  <c r="AU1060" i="8"/>
  <c r="AR1060" i="8"/>
  <c r="AI1060" i="8" s="1"/>
  <c r="AQ1060" i="8"/>
  <c r="AH1060" i="8" s="1"/>
  <c r="AP1060" i="8"/>
  <c r="AG1060" i="8" s="1"/>
  <c r="AO1060" i="8"/>
  <c r="AL1060" i="8"/>
  <c r="AE1060" i="8" s="1"/>
  <c r="AD1060" i="8"/>
  <c r="S1060" i="8"/>
  <c r="L1060" i="8"/>
  <c r="AW1059" i="8"/>
  <c r="AV1059" i="8"/>
  <c r="AU1059" i="8"/>
  <c r="AR1059" i="8"/>
  <c r="AI1059" i="8" s="1"/>
  <c r="AQ1059" i="8"/>
  <c r="AH1059" i="8" s="1"/>
  <c r="AL1059" i="8"/>
  <c r="AE1059" i="8" s="1"/>
  <c r="AD1059" i="8"/>
  <c r="S1059" i="8"/>
  <c r="AP1059" i="8" s="1"/>
  <c r="AG1059" i="8" s="1"/>
  <c r="L1059" i="8"/>
  <c r="AO1059" i="8" s="1"/>
  <c r="AW1058" i="8"/>
  <c r="AV1058" i="8"/>
  <c r="AU1058" i="8"/>
  <c r="AD1058" i="8"/>
  <c r="S1058" i="8"/>
  <c r="L1058" i="8"/>
  <c r="AW1057" i="8"/>
  <c r="AV1057" i="8"/>
  <c r="AU1057" i="8"/>
  <c r="AL1057" i="8"/>
  <c r="AE1057" i="8" s="1"/>
  <c r="AD1057" i="8"/>
  <c r="S1057" i="8"/>
  <c r="AR1057" i="8" s="1"/>
  <c r="AI1057" i="8" s="1"/>
  <c r="L1057" i="8"/>
  <c r="AO1057" i="8" s="1"/>
  <c r="AW1056" i="8"/>
  <c r="AV1056" i="8"/>
  <c r="AP1056" i="8" s="1"/>
  <c r="AG1056" i="8" s="1"/>
  <c r="AU1056" i="8"/>
  <c r="AR1056" i="8"/>
  <c r="AI1056" i="8" s="1"/>
  <c r="AD1056" i="8"/>
  <c r="S1056" i="8"/>
  <c r="AW1055" i="8"/>
  <c r="AV1055" i="8"/>
  <c r="AU1055" i="8"/>
  <c r="AD1055" i="8"/>
  <c r="S1055" i="8"/>
  <c r="AQ1055" i="8" s="1"/>
  <c r="AH1055" i="8" s="1"/>
  <c r="AW1054" i="8"/>
  <c r="AV1054" i="8"/>
  <c r="AU1054" i="8"/>
  <c r="AQ1054" i="8"/>
  <c r="AH1054" i="8" s="1"/>
  <c r="AP1054" i="8"/>
  <c r="AG1054" i="8" s="1"/>
  <c r="AD1054" i="8"/>
  <c r="S1054" i="8"/>
  <c r="AR1054" i="8" s="1"/>
  <c r="AI1054" i="8" s="1"/>
  <c r="AW1053" i="8"/>
  <c r="AV1053" i="8"/>
  <c r="AR1053" i="8" s="1"/>
  <c r="AI1053" i="8" s="1"/>
  <c r="AU1053" i="8"/>
  <c r="AD1053" i="8"/>
  <c r="S1053" i="8"/>
  <c r="AW1052" i="8"/>
  <c r="AV1052" i="8"/>
  <c r="AP1052" i="8" s="1"/>
  <c r="AU1052" i="8"/>
  <c r="AG1052" i="8"/>
  <c r="AD1052" i="8"/>
  <c r="S1052" i="8"/>
  <c r="L1052" i="8"/>
  <c r="AM1052" i="8" s="1"/>
  <c r="AF1052" i="8" s="1"/>
  <c r="AW1051" i="8"/>
  <c r="AV1051" i="8"/>
  <c r="AU1051" i="8"/>
  <c r="AD1051" i="8"/>
  <c r="S1051" i="8"/>
  <c r="AR1051" i="8" s="1"/>
  <c r="AI1051" i="8" s="1"/>
  <c r="AW1050" i="8"/>
  <c r="AV1050" i="8"/>
  <c r="AU1050" i="8"/>
  <c r="AR1050" i="8"/>
  <c r="AI1050" i="8" s="1"/>
  <c r="AQ1050" i="8"/>
  <c r="AH1050" i="8" s="1"/>
  <c r="AP1050" i="8"/>
  <c r="AG1050" i="8" s="1"/>
  <c r="AD1050" i="8"/>
  <c r="S1050" i="8"/>
  <c r="AW1049" i="8"/>
  <c r="AV1049" i="8"/>
  <c r="AU1049" i="8"/>
  <c r="AD1049" i="8"/>
  <c r="S1049" i="8"/>
  <c r="AW1048" i="8"/>
  <c r="AV1048" i="8"/>
  <c r="AU1048" i="8"/>
  <c r="AD1048" i="8"/>
  <c r="S1048" i="8"/>
  <c r="AQ1048" i="8" s="1"/>
  <c r="AH1048" i="8" s="1"/>
  <c r="AW1047" i="8"/>
  <c r="AV1047" i="8"/>
  <c r="AU1047" i="8"/>
  <c r="AR1047" i="8"/>
  <c r="AI1047" i="8" s="1"/>
  <c r="AQ1047" i="8"/>
  <c r="AH1047" i="8" s="1"/>
  <c r="AP1047" i="8"/>
  <c r="AG1047" i="8" s="1"/>
  <c r="AD1047" i="8"/>
  <c r="S1047" i="8"/>
  <c r="L1047" i="8"/>
  <c r="AO1047" i="8" s="1"/>
  <c r="AW1046" i="8"/>
  <c r="AV1046" i="8"/>
  <c r="AU1046" i="8"/>
  <c r="AR1046" i="8"/>
  <c r="AI1046" i="8" s="1"/>
  <c r="AQ1046" i="8"/>
  <c r="AH1046" i="8" s="1"/>
  <c r="AO1046" i="8"/>
  <c r="AL1046" i="8"/>
  <c r="AE1046" i="8" s="1"/>
  <c r="AD1046" i="8"/>
  <c r="S1046" i="8"/>
  <c r="AP1046" i="8" s="1"/>
  <c r="AG1046" i="8" s="1"/>
  <c r="L1046" i="8"/>
  <c r="AW1045" i="8"/>
  <c r="AV1045" i="8"/>
  <c r="AU1045" i="8"/>
  <c r="AD1045" i="8"/>
  <c r="S1045" i="8"/>
  <c r="AQ1045" i="8" s="1"/>
  <c r="AH1045" i="8" s="1"/>
  <c r="L1045" i="8"/>
  <c r="AW1044" i="8"/>
  <c r="AV1044" i="8"/>
  <c r="AU1044" i="8"/>
  <c r="AO1044" i="8"/>
  <c r="AL1044" i="8"/>
  <c r="AE1044" i="8"/>
  <c r="AD1044" i="8"/>
  <c r="S1044" i="8"/>
  <c r="AR1044" i="8" s="1"/>
  <c r="AI1044" i="8" s="1"/>
  <c r="L1044" i="8"/>
  <c r="AM1044" i="8" s="1"/>
  <c r="AF1044" i="8" s="1"/>
  <c r="AW1043" i="8"/>
  <c r="AV1043" i="8"/>
  <c r="AU1043" i="8"/>
  <c r="AO1043" i="8" s="1"/>
  <c r="AR1043" i="8"/>
  <c r="AI1043" i="8" s="1"/>
  <c r="AQ1043" i="8"/>
  <c r="AH1043" i="8" s="1"/>
  <c r="AL1043" i="8"/>
  <c r="AE1043" i="8" s="1"/>
  <c r="AD1043" i="8"/>
  <c r="S1043" i="8"/>
  <c r="AP1043" i="8" s="1"/>
  <c r="AG1043" i="8" s="1"/>
  <c r="L1043" i="8"/>
  <c r="AW1042" i="8"/>
  <c r="AV1042" i="8"/>
  <c r="AU1042" i="8"/>
  <c r="AQ1042" i="8"/>
  <c r="AH1042" i="8" s="1"/>
  <c r="AD1042" i="8"/>
  <c r="S1042" i="8"/>
  <c r="L1042" i="8"/>
  <c r="AW1041" i="8"/>
  <c r="AV1041" i="8"/>
  <c r="AU1041" i="8"/>
  <c r="AM1041" i="8"/>
  <c r="AF1041" i="8" s="1"/>
  <c r="AD1041" i="8"/>
  <c r="S1041" i="8"/>
  <c r="AR1041" i="8" s="1"/>
  <c r="AI1041" i="8" s="1"/>
  <c r="L1041" i="8"/>
  <c r="AW1040" i="8"/>
  <c r="AV1040" i="8"/>
  <c r="AP1040" i="8" s="1"/>
  <c r="AG1040" i="8" s="1"/>
  <c r="AU1040" i="8"/>
  <c r="AD1040" i="8"/>
  <c r="S1040" i="8"/>
  <c r="AR1040" i="8" s="1"/>
  <c r="AI1040" i="8" s="1"/>
  <c r="L1040" i="8"/>
  <c r="AW1039" i="8"/>
  <c r="AV1039" i="8"/>
  <c r="AQ1039" i="8" s="1"/>
  <c r="AH1039" i="8" s="1"/>
  <c r="AU1039" i="8"/>
  <c r="AM1039" i="8"/>
  <c r="AF1039" i="8" s="1"/>
  <c r="AL1039" i="8"/>
  <c r="AE1039" i="8" s="1"/>
  <c r="AD1039" i="8"/>
  <c r="S1039" i="8"/>
  <c r="L1039" i="8"/>
  <c r="AO1039" i="8" s="1"/>
  <c r="AW1038" i="8"/>
  <c r="AV1038" i="8"/>
  <c r="AU1038" i="8"/>
  <c r="AR1038" i="8"/>
  <c r="AI1038" i="8" s="1"/>
  <c r="AM1038" i="8"/>
  <c r="AF1038" i="8" s="1"/>
  <c r="AE1038" i="8"/>
  <c r="AD1038" i="8"/>
  <c r="S1038" i="8"/>
  <c r="AQ1038" i="8" s="1"/>
  <c r="AH1038" i="8" s="1"/>
  <c r="L1038" i="8"/>
  <c r="AL1038" i="8" s="1"/>
  <c r="AW1037" i="8"/>
  <c r="AV1037" i="8"/>
  <c r="AU1037" i="8"/>
  <c r="AD1037" i="8"/>
  <c r="S1037" i="8"/>
  <c r="L1037" i="8"/>
  <c r="AM1037" i="8" s="1"/>
  <c r="AF1037" i="8" s="1"/>
  <c r="AW1036" i="8"/>
  <c r="AV1036" i="8"/>
  <c r="AU1036" i="8"/>
  <c r="AL1036" i="8" s="1"/>
  <c r="AE1036" i="8" s="1"/>
  <c r="AM1036" i="8"/>
  <c r="AF1036" i="8" s="1"/>
  <c r="AD1036" i="8"/>
  <c r="S1036" i="8"/>
  <c r="AQ1036" i="8" s="1"/>
  <c r="AH1036" i="8" s="1"/>
  <c r="L1036" i="8"/>
  <c r="AO1036" i="8" s="1"/>
  <c r="AW1035" i="8"/>
  <c r="AV1035" i="8"/>
  <c r="AP1035" i="8" s="1"/>
  <c r="AG1035" i="8" s="1"/>
  <c r="AU1035" i="8"/>
  <c r="AM1035" i="8" s="1"/>
  <c r="AF1035" i="8" s="1"/>
  <c r="AQ1035" i="8"/>
  <c r="AH1035" i="8" s="1"/>
  <c r="AD1035" i="8"/>
  <c r="S1035" i="8"/>
  <c r="AR1035" i="8" s="1"/>
  <c r="AI1035" i="8" s="1"/>
  <c r="L1035" i="8"/>
  <c r="AW1034" i="8"/>
  <c r="AV1034" i="8"/>
  <c r="AU1034" i="8"/>
  <c r="AP1034" i="8"/>
  <c r="AG1034" i="8" s="1"/>
  <c r="AD1034" i="8"/>
  <c r="S1034" i="8"/>
  <c r="AR1034" i="8" s="1"/>
  <c r="AI1034" i="8" s="1"/>
  <c r="L1034" i="8"/>
  <c r="AW1033" i="8"/>
  <c r="AV1033" i="8"/>
  <c r="AU1033" i="8"/>
  <c r="AP1033" i="8"/>
  <c r="AG1033" i="8" s="1"/>
  <c r="AD1033" i="8"/>
  <c r="S1033" i="8"/>
  <c r="AW1032" i="8"/>
  <c r="AV1032" i="8"/>
  <c r="AU1032" i="8"/>
  <c r="AR1032" i="8"/>
  <c r="AI1032" i="8" s="1"/>
  <c r="AQ1032" i="8"/>
  <c r="AH1032" i="8" s="1"/>
  <c r="AP1032" i="8"/>
  <c r="AG1032" i="8" s="1"/>
  <c r="AD1032" i="8"/>
  <c r="S1032" i="8"/>
  <c r="AW1031" i="8"/>
  <c r="AV1031" i="8"/>
  <c r="AU1031" i="8"/>
  <c r="AD1031" i="8"/>
  <c r="S1031" i="8"/>
  <c r="AR1031" i="8" s="1"/>
  <c r="AI1031" i="8" s="1"/>
  <c r="AW1030" i="8"/>
  <c r="AV1030" i="8"/>
  <c r="AU1030" i="8"/>
  <c r="AD1030" i="8"/>
  <c r="S1030" i="8"/>
  <c r="AW1029" i="8"/>
  <c r="AV1029" i="8"/>
  <c r="AU1029" i="8"/>
  <c r="AD1029" i="8"/>
  <c r="S1029" i="8"/>
  <c r="AR1029" i="8" s="1"/>
  <c r="AI1029" i="8" s="1"/>
  <c r="L1029" i="8"/>
  <c r="AO1029" i="8" s="1"/>
  <c r="AW1028" i="8"/>
  <c r="AV1028" i="8"/>
  <c r="AU1028" i="8"/>
  <c r="AR1028" i="8"/>
  <c r="AI1028" i="8" s="1"/>
  <c r="AD1028" i="8"/>
  <c r="S1028" i="8"/>
  <c r="AQ1028" i="8" s="1"/>
  <c r="AH1028" i="8" s="1"/>
  <c r="AW1027" i="8"/>
  <c r="AV1027" i="8"/>
  <c r="AU1027" i="8"/>
  <c r="AD1027" i="8"/>
  <c r="S1027" i="8"/>
  <c r="AW1026" i="8"/>
  <c r="AV1026" i="8"/>
  <c r="AU1026" i="8"/>
  <c r="AD1026" i="8"/>
  <c r="S1026" i="8"/>
  <c r="AW1025" i="8"/>
  <c r="AV1025" i="8"/>
  <c r="AU1025" i="8"/>
  <c r="AD1025" i="8"/>
  <c r="S1025" i="8"/>
  <c r="AW1024" i="8"/>
  <c r="AV1024" i="8"/>
  <c r="AU1024" i="8"/>
  <c r="AD1024" i="8"/>
  <c r="S1024" i="8"/>
  <c r="L1024" i="8"/>
  <c r="AW1023" i="8"/>
  <c r="AV1023" i="8"/>
  <c r="AU1023" i="8"/>
  <c r="AR1023" i="8"/>
  <c r="AI1023" i="8" s="1"/>
  <c r="AQ1023" i="8"/>
  <c r="AH1023" i="8" s="1"/>
  <c r="AP1023" i="8"/>
  <c r="AG1023" i="8" s="1"/>
  <c r="AO1023" i="8"/>
  <c r="AM1023" i="8"/>
  <c r="AF1023" i="8" s="1"/>
  <c r="AD1023" i="8"/>
  <c r="S1023" i="8"/>
  <c r="L1023" i="8"/>
  <c r="AL1023" i="8" s="1"/>
  <c r="AE1023" i="8" s="1"/>
  <c r="AW1022" i="8"/>
  <c r="AV1022" i="8"/>
  <c r="AP1022" i="8" s="1"/>
  <c r="AU1022" i="8"/>
  <c r="AR1022" i="8"/>
  <c r="AI1022" i="8" s="1"/>
  <c r="AQ1022" i="8"/>
  <c r="AH1022" i="8" s="1"/>
  <c r="AL1022" i="8"/>
  <c r="AG1022" i="8"/>
  <c r="AE1022" i="8"/>
  <c r="AD1022" i="8"/>
  <c r="S1022" i="8"/>
  <c r="L1022" i="8"/>
  <c r="AO1022" i="8" s="1"/>
  <c r="AW1021" i="8"/>
  <c r="AV1021" i="8"/>
  <c r="AR1021" i="8" s="1"/>
  <c r="AI1021" i="8" s="1"/>
  <c r="AU1021" i="8"/>
  <c r="AL1021" i="8" s="1"/>
  <c r="AE1021" i="8" s="1"/>
  <c r="AP1021" i="8"/>
  <c r="AG1021" i="8" s="1"/>
  <c r="AD1021" i="8"/>
  <c r="S1021" i="8"/>
  <c r="L1021" i="8"/>
  <c r="AW1020" i="8"/>
  <c r="AV1020" i="8"/>
  <c r="AU1020" i="8"/>
  <c r="AM1020" i="8"/>
  <c r="AF1020" i="8" s="1"/>
  <c r="AD1020" i="8"/>
  <c r="S1020" i="8"/>
  <c r="AQ1020" i="8" s="1"/>
  <c r="AH1020" i="8" s="1"/>
  <c r="L1020" i="8"/>
  <c r="AO1020" i="8" s="1"/>
  <c r="AW1019" i="8"/>
  <c r="AV1019" i="8"/>
  <c r="AU1019" i="8"/>
  <c r="AR1019" i="8"/>
  <c r="AI1019" i="8" s="1"/>
  <c r="AQ1019" i="8"/>
  <c r="AH1019" i="8" s="1"/>
  <c r="AP1019" i="8"/>
  <c r="AG1019" i="8" s="1"/>
  <c r="AM1019" i="8"/>
  <c r="AF1019" i="8" s="1"/>
  <c r="AL1019" i="8"/>
  <c r="AE1019" i="8" s="1"/>
  <c r="AD1019" i="8"/>
  <c r="S1019" i="8"/>
  <c r="L1019" i="8"/>
  <c r="AW1018" i="8"/>
  <c r="AV1018" i="8"/>
  <c r="AU1018" i="8"/>
  <c r="AR1018" i="8"/>
  <c r="AI1018" i="8" s="1"/>
  <c r="AQ1018" i="8"/>
  <c r="AH1018" i="8" s="1"/>
  <c r="AD1018" i="8"/>
  <c r="S1018" i="8"/>
  <c r="AP1018" i="8" s="1"/>
  <c r="AG1018" i="8" s="1"/>
  <c r="L1018" i="8"/>
  <c r="AW1017" i="8"/>
  <c r="AV1017" i="8"/>
  <c r="AP1017" i="8" s="1"/>
  <c r="AG1017" i="8" s="1"/>
  <c r="AU1017" i="8"/>
  <c r="AL1017" i="8"/>
  <c r="AE1017" i="8"/>
  <c r="AD1017" i="8"/>
  <c r="S1017" i="8"/>
  <c r="AR1017" i="8" s="1"/>
  <c r="AI1017" i="8" s="1"/>
  <c r="L1017" i="8"/>
  <c r="AO1017" i="8" s="1"/>
  <c r="AW1016" i="8"/>
  <c r="AV1016" i="8"/>
  <c r="AQ1016" i="8" s="1"/>
  <c r="AU1016" i="8"/>
  <c r="AR1016" i="8"/>
  <c r="AI1016" i="8" s="1"/>
  <c r="AL1016" i="8"/>
  <c r="AE1016" i="8" s="1"/>
  <c r="AH1016" i="8"/>
  <c r="AD1016" i="8"/>
  <c r="S1016" i="8"/>
  <c r="L1016" i="8"/>
  <c r="AO1016" i="8" s="1"/>
  <c r="AW1015" i="8"/>
  <c r="AV1015" i="8"/>
  <c r="AU1015" i="8"/>
  <c r="AQ1015" i="8"/>
  <c r="AH1015" i="8" s="1"/>
  <c r="AD1015" i="8"/>
  <c r="S1015" i="8"/>
  <c r="L1015" i="8"/>
  <c r="AO1015" i="8" s="1"/>
  <c r="AW1014" i="8"/>
  <c r="AV1014" i="8"/>
  <c r="AU1014" i="8"/>
  <c r="AP1014" i="8"/>
  <c r="AG1014" i="8" s="1"/>
  <c r="AL1014" i="8"/>
  <c r="AE1014" i="8" s="1"/>
  <c r="AD1014" i="8"/>
  <c r="S1014" i="8"/>
  <c r="AR1014" i="8" s="1"/>
  <c r="AI1014" i="8" s="1"/>
  <c r="L1014" i="8"/>
  <c r="AO1014" i="8" s="1"/>
  <c r="AW1013" i="8"/>
  <c r="AV1013" i="8"/>
  <c r="AR1013" i="8" s="1"/>
  <c r="AI1013" i="8" s="1"/>
  <c r="AU1013" i="8"/>
  <c r="AQ1013" i="8"/>
  <c r="AH1013" i="8" s="1"/>
  <c r="AP1013" i="8"/>
  <c r="AG1013" i="8" s="1"/>
  <c r="AL1013" i="8"/>
  <c r="AE1013" i="8" s="1"/>
  <c r="AD1013" i="8"/>
  <c r="S1013" i="8"/>
  <c r="L1013" i="8"/>
  <c r="AW1012" i="8"/>
  <c r="AV1012" i="8"/>
  <c r="AU1012" i="8"/>
  <c r="AD1012" i="8"/>
  <c r="S1012" i="8"/>
  <c r="L1012" i="8"/>
  <c r="AW1011" i="8"/>
  <c r="AV1011" i="8"/>
  <c r="AU1011" i="8"/>
  <c r="AR1011" i="8"/>
  <c r="AI1011" i="8" s="1"/>
  <c r="AQ1011" i="8"/>
  <c r="AH1011" i="8" s="1"/>
  <c r="AP1011" i="8"/>
  <c r="AG1011" i="8" s="1"/>
  <c r="AD1011" i="8"/>
  <c r="S1011" i="8"/>
  <c r="L1011" i="8"/>
  <c r="AM1011" i="8" s="1"/>
  <c r="AF1011" i="8" s="1"/>
  <c r="AW1010" i="8"/>
  <c r="AV1010" i="8"/>
  <c r="AU1010" i="8"/>
  <c r="AD1010" i="8"/>
  <c r="S1010" i="8"/>
  <c r="AW1009" i="8"/>
  <c r="AV1009" i="8"/>
  <c r="AU1009" i="8"/>
  <c r="AD1009" i="8"/>
  <c r="S1009" i="8"/>
  <c r="AW1008" i="8"/>
  <c r="AV1008" i="8"/>
  <c r="AU1008" i="8"/>
  <c r="AD1008" i="8"/>
  <c r="S1008" i="8"/>
  <c r="AQ1008" i="8" s="1"/>
  <c r="AH1008" i="8" s="1"/>
  <c r="AW1007" i="8"/>
  <c r="AV1007" i="8"/>
  <c r="AU1007" i="8"/>
  <c r="AR1007" i="8"/>
  <c r="AI1007" i="8" s="1"/>
  <c r="AQ1007" i="8"/>
  <c r="AH1007" i="8" s="1"/>
  <c r="AP1007" i="8"/>
  <c r="AG1007" i="8" s="1"/>
  <c r="AD1007" i="8"/>
  <c r="S1007" i="8"/>
  <c r="AW1006" i="8"/>
  <c r="AV1006" i="8"/>
  <c r="AU1006" i="8"/>
  <c r="AD1006" i="8"/>
  <c r="S1006" i="8"/>
  <c r="L1006" i="8"/>
  <c r="AW1005" i="8"/>
  <c r="AV1005" i="8"/>
  <c r="AU1005" i="8"/>
  <c r="AD1005" i="8"/>
  <c r="S1005" i="8"/>
  <c r="AR1005" i="8" s="1"/>
  <c r="AI1005" i="8" s="1"/>
  <c r="AW1004" i="8"/>
  <c r="AV1004" i="8"/>
  <c r="AU1004" i="8"/>
  <c r="AR1004" i="8"/>
  <c r="AI1004" i="8" s="1"/>
  <c r="AD1004" i="8"/>
  <c r="S1004" i="8"/>
  <c r="AQ1004" i="8" s="1"/>
  <c r="AH1004" i="8" s="1"/>
  <c r="AW1003" i="8"/>
  <c r="AV1003" i="8"/>
  <c r="AU1003" i="8"/>
  <c r="AR1003" i="8"/>
  <c r="AI1003" i="8" s="1"/>
  <c r="AQ1003" i="8"/>
  <c r="AH1003" i="8" s="1"/>
  <c r="AP1003" i="8"/>
  <c r="AG1003" i="8" s="1"/>
  <c r="AD1003" i="8"/>
  <c r="S1003" i="8"/>
  <c r="AW1002" i="8"/>
  <c r="AV1002" i="8"/>
  <c r="AU1002" i="8"/>
  <c r="AQ1002" i="8"/>
  <c r="AH1002" i="8" s="1"/>
  <c r="AD1002" i="8"/>
  <c r="S1002" i="8"/>
  <c r="AR1002" i="8" s="1"/>
  <c r="AI1002" i="8" s="1"/>
  <c r="AW1001" i="8"/>
  <c r="AV1001" i="8"/>
  <c r="AU1001" i="8"/>
  <c r="AM1001" i="8"/>
  <c r="AF1001" i="8" s="1"/>
  <c r="AD1001" i="8"/>
  <c r="S1001" i="8"/>
  <c r="AR1001" i="8" s="1"/>
  <c r="AI1001" i="8" s="1"/>
  <c r="L1001" i="8"/>
  <c r="AL1001" i="8" s="1"/>
  <c r="AE1001" i="8" s="1"/>
  <c r="AW1000" i="8"/>
  <c r="AV1000" i="8"/>
  <c r="AU1000" i="8"/>
  <c r="AR1000" i="8"/>
  <c r="AI1000" i="8" s="1"/>
  <c r="AL1000" i="8"/>
  <c r="AE1000" i="8" s="1"/>
  <c r="AD1000" i="8"/>
  <c r="S1000" i="8"/>
  <c r="AQ1000" i="8" s="1"/>
  <c r="AH1000" i="8" s="1"/>
  <c r="L1000" i="8"/>
  <c r="AO1000" i="8" s="1"/>
  <c r="AW999" i="8"/>
  <c r="AV999" i="8"/>
  <c r="AU999" i="8"/>
  <c r="AR999" i="8"/>
  <c r="AI999" i="8" s="1"/>
  <c r="AQ999" i="8"/>
  <c r="AH999" i="8" s="1"/>
  <c r="AP999" i="8"/>
  <c r="AG999" i="8" s="1"/>
  <c r="AD999" i="8"/>
  <c r="S999" i="8"/>
  <c r="L999" i="8"/>
  <c r="AL999" i="8" s="1"/>
  <c r="AE999" i="8" s="1"/>
  <c r="AW998" i="8"/>
  <c r="AV998" i="8"/>
  <c r="AU998" i="8"/>
  <c r="AQ998" i="8"/>
  <c r="AH998" i="8" s="1"/>
  <c r="AP998" i="8"/>
  <c r="AG998" i="8" s="1"/>
  <c r="AL998" i="8"/>
  <c r="AE998" i="8" s="1"/>
  <c r="AD998" i="8"/>
  <c r="S998" i="8"/>
  <c r="AR998" i="8" s="1"/>
  <c r="AI998" i="8" s="1"/>
  <c r="L998" i="8"/>
  <c r="AO998" i="8" s="1"/>
  <c r="AW997" i="8"/>
  <c r="AV997" i="8"/>
  <c r="AU997" i="8"/>
  <c r="AM997" i="8" s="1"/>
  <c r="AF997" i="8" s="1"/>
  <c r="AD997" i="8"/>
  <c r="S997" i="8"/>
  <c r="L997" i="8"/>
  <c r="AL997" i="8" s="1"/>
  <c r="AE997" i="8" s="1"/>
  <c r="AW996" i="8"/>
  <c r="AV996" i="8"/>
  <c r="AU996" i="8"/>
  <c r="AR996" i="8"/>
  <c r="AI996" i="8" s="1"/>
  <c r="AL996" i="8"/>
  <c r="AE996" i="8" s="1"/>
  <c r="AD996" i="8"/>
  <c r="S996" i="8"/>
  <c r="L996" i="8"/>
  <c r="AO996" i="8" s="1"/>
  <c r="AW995" i="8"/>
  <c r="AV995" i="8"/>
  <c r="AU995" i="8"/>
  <c r="AM995" i="8"/>
  <c r="AF995" i="8" s="1"/>
  <c r="AD995" i="8"/>
  <c r="S995" i="8"/>
  <c r="L995" i="8"/>
  <c r="AW994" i="8"/>
  <c r="AV994" i="8"/>
  <c r="AU994" i="8"/>
  <c r="AR994" i="8"/>
  <c r="AI994" i="8" s="1"/>
  <c r="AQ994" i="8"/>
  <c r="AH994" i="8" s="1"/>
  <c r="AP994" i="8"/>
  <c r="AG994" i="8" s="1"/>
  <c r="AD994" i="8"/>
  <c r="S994" i="8"/>
  <c r="L994" i="8"/>
  <c r="AO994" i="8" s="1"/>
  <c r="AW993" i="8"/>
  <c r="AV993" i="8"/>
  <c r="AU993" i="8"/>
  <c r="AM993" i="8"/>
  <c r="AF993" i="8" s="1"/>
  <c r="AL993" i="8"/>
  <c r="AE993" i="8" s="1"/>
  <c r="AD993" i="8"/>
  <c r="S993" i="8"/>
  <c r="AR993" i="8" s="1"/>
  <c r="AI993" i="8" s="1"/>
  <c r="L993" i="8"/>
  <c r="AW992" i="8"/>
  <c r="AV992" i="8"/>
  <c r="AU992" i="8"/>
  <c r="AM992" i="8"/>
  <c r="AF992" i="8" s="1"/>
  <c r="AD992" i="8"/>
  <c r="S992" i="8"/>
  <c r="L992" i="8"/>
  <c r="AO992" i="8" s="1"/>
  <c r="AW991" i="8"/>
  <c r="AV991" i="8"/>
  <c r="AU991" i="8"/>
  <c r="AR991" i="8"/>
  <c r="AI991" i="8" s="1"/>
  <c r="AQ991" i="8"/>
  <c r="AH991" i="8" s="1"/>
  <c r="AP991" i="8"/>
  <c r="AG991" i="8" s="1"/>
  <c r="AD991" i="8"/>
  <c r="S991" i="8"/>
  <c r="L991" i="8"/>
  <c r="AW990" i="8"/>
  <c r="AV990" i="8"/>
  <c r="AQ990" i="8" s="1"/>
  <c r="AH990" i="8" s="1"/>
  <c r="AU990" i="8"/>
  <c r="AO990" i="8" s="1"/>
  <c r="AD990" i="8"/>
  <c r="S990" i="8"/>
  <c r="AR990" i="8" s="1"/>
  <c r="AI990" i="8" s="1"/>
  <c r="L990" i="8"/>
  <c r="AW989" i="8"/>
  <c r="AV989" i="8"/>
  <c r="AU989" i="8"/>
  <c r="AD989" i="8"/>
  <c r="S989" i="8"/>
  <c r="AP989" i="8" s="1"/>
  <c r="AG989" i="8" s="1"/>
  <c r="L989" i="8"/>
  <c r="AM989" i="8" s="1"/>
  <c r="AF989" i="8" s="1"/>
  <c r="AW988" i="8"/>
  <c r="AV988" i="8"/>
  <c r="AU988" i="8"/>
  <c r="AM988" i="8"/>
  <c r="AF988" i="8" s="1"/>
  <c r="AD988" i="8"/>
  <c r="S988" i="8"/>
  <c r="L988" i="8"/>
  <c r="AO988" i="8" s="1"/>
  <c r="AW987" i="8"/>
  <c r="AV987" i="8"/>
  <c r="AU987" i="8"/>
  <c r="AR987" i="8"/>
  <c r="AI987" i="8" s="1"/>
  <c r="AQ987" i="8"/>
  <c r="AH987" i="8" s="1"/>
  <c r="AP987" i="8"/>
  <c r="AG987" i="8" s="1"/>
  <c r="AD987" i="8"/>
  <c r="S987" i="8"/>
  <c r="AW986" i="8"/>
  <c r="AV986" i="8"/>
  <c r="AU986" i="8"/>
  <c r="AQ986" i="8"/>
  <c r="AH986" i="8" s="1"/>
  <c r="AP986" i="8"/>
  <c r="AG986" i="8" s="1"/>
  <c r="AD986" i="8"/>
  <c r="S986" i="8"/>
  <c r="AR986" i="8" s="1"/>
  <c r="AI986" i="8" s="1"/>
  <c r="AW985" i="8"/>
  <c r="AV985" i="8"/>
  <c r="AU985" i="8"/>
  <c r="AD985" i="8"/>
  <c r="S985" i="8"/>
  <c r="AR985" i="8" s="1"/>
  <c r="AI985" i="8" s="1"/>
  <c r="AW984" i="8"/>
  <c r="AV984" i="8"/>
  <c r="AU984" i="8"/>
  <c r="AD984" i="8"/>
  <c r="S984" i="8"/>
  <c r="AR984" i="8" s="1"/>
  <c r="AI984" i="8" s="1"/>
  <c r="AW983" i="8"/>
  <c r="AV983" i="8"/>
  <c r="AU983" i="8"/>
  <c r="AO983" i="8" s="1"/>
  <c r="AR983" i="8"/>
  <c r="AI983" i="8" s="1"/>
  <c r="AQ983" i="8"/>
  <c r="AH983" i="8" s="1"/>
  <c r="AP983" i="8"/>
  <c r="AG983" i="8" s="1"/>
  <c r="AD983" i="8"/>
  <c r="S983" i="8"/>
  <c r="L983" i="8"/>
  <c r="AM983" i="8" s="1"/>
  <c r="AF983" i="8" s="1"/>
  <c r="AW982" i="8"/>
  <c r="AV982" i="8"/>
  <c r="AU982" i="8"/>
  <c r="AQ982" i="8"/>
  <c r="AH982" i="8" s="1"/>
  <c r="AP982" i="8"/>
  <c r="AG982" i="8" s="1"/>
  <c r="AD982" i="8"/>
  <c r="S982" i="8"/>
  <c r="AR982" i="8" s="1"/>
  <c r="AI982" i="8" s="1"/>
  <c r="AW981" i="8"/>
  <c r="AV981" i="8"/>
  <c r="AU981" i="8"/>
  <c r="AR981" i="8"/>
  <c r="AI981" i="8" s="1"/>
  <c r="AQ981" i="8"/>
  <c r="AH981" i="8" s="1"/>
  <c r="AD981" i="8"/>
  <c r="S981" i="8"/>
  <c r="AP981" i="8" s="1"/>
  <c r="AG981" i="8" s="1"/>
  <c r="AW980" i="8"/>
  <c r="AV980" i="8"/>
  <c r="AU980" i="8"/>
  <c r="AD980" i="8"/>
  <c r="S980" i="8"/>
  <c r="AR980" i="8" s="1"/>
  <c r="AI980" i="8" s="1"/>
  <c r="AW979" i="8"/>
  <c r="AV979" i="8"/>
  <c r="AU979" i="8"/>
  <c r="AR979" i="8"/>
  <c r="AI979" i="8" s="1"/>
  <c r="AQ979" i="8"/>
  <c r="AH979" i="8" s="1"/>
  <c r="AP979" i="8"/>
  <c r="AG979" i="8" s="1"/>
  <c r="AD979" i="8"/>
  <c r="S979" i="8"/>
  <c r="AW978" i="8"/>
  <c r="AV978" i="8"/>
  <c r="AU978" i="8"/>
  <c r="AQ978" i="8"/>
  <c r="AH978" i="8" s="1"/>
  <c r="AP978" i="8"/>
  <c r="AG978" i="8" s="1"/>
  <c r="AO978" i="8"/>
  <c r="AM978" i="8"/>
  <c r="AL978" i="8"/>
  <c r="AE978" i="8" s="1"/>
  <c r="AF978" i="8"/>
  <c r="AD978" i="8"/>
  <c r="S978" i="8"/>
  <c r="AR978" i="8" s="1"/>
  <c r="AI978" i="8" s="1"/>
  <c r="L978" i="8"/>
  <c r="AW977" i="8"/>
  <c r="AV977" i="8"/>
  <c r="AU977" i="8"/>
  <c r="AR977" i="8"/>
  <c r="AI977" i="8" s="1"/>
  <c r="AQ977" i="8"/>
  <c r="AH977" i="8" s="1"/>
  <c r="AP977" i="8"/>
  <c r="AG977" i="8" s="1"/>
  <c r="AL977" i="8"/>
  <c r="AE977" i="8" s="1"/>
  <c r="AD977" i="8"/>
  <c r="S977" i="8"/>
  <c r="L977" i="8"/>
  <c r="AW976" i="8"/>
  <c r="AV976" i="8"/>
  <c r="AU976" i="8"/>
  <c r="AL976" i="8" s="1"/>
  <c r="AE976" i="8" s="1"/>
  <c r="AD976" i="8"/>
  <c r="S976" i="8"/>
  <c r="L976" i="8"/>
  <c r="AW975" i="8"/>
  <c r="AV975" i="8"/>
  <c r="AU975" i="8"/>
  <c r="AR975" i="8"/>
  <c r="AI975" i="8" s="1"/>
  <c r="AQ975" i="8"/>
  <c r="AH975" i="8" s="1"/>
  <c r="AP975" i="8"/>
  <c r="AG975" i="8" s="1"/>
  <c r="AD975" i="8"/>
  <c r="S975" i="8"/>
  <c r="L975" i="8"/>
  <c r="AW974" i="8"/>
  <c r="AV974" i="8"/>
  <c r="AU974" i="8"/>
  <c r="AO974" i="8"/>
  <c r="AM974" i="8"/>
  <c r="AF974" i="8" s="1"/>
  <c r="AL974" i="8"/>
  <c r="AE974" i="8" s="1"/>
  <c r="AD974" i="8"/>
  <c r="S974" i="8"/>
  <c r="AQ974" i="8" s="1"/>
  <c r="AH974" i="8" s="1"/>
  <c r="L974" i="8"/>
  <c r="AW973" i="8"/>
  <c r="AV973" i="8"/>
  <c r="AU973" i="8"/>
  <c r="AR973" i="8"/>
  <c r="AI973" i="8" s="1"/>
  <c r="AQ973" i="8"/>
  <c r="AH973" i="8" s="1"/>
  <c r="AP973" i="8"/>
  <c r="AG973" i="8" s="1"/>
  <c r="AL973" i="8"/>
  <c r="AE973" i="8" s="1"/>
  <c r="AD973" i="8"/>
  <c r="S973" i="8"/>
  <c r="L973" i="8"/>
  <c r="AW972" i="8"/>
  <c r="AV972" i="8"/>
  <c r="AR972" i="8" s="1"/>
  <c r="AI972" i="8" s="1"/>
  <c r="AU972" i="8"/>
  <c r="AM972" i="8"/>
  <c r="AF972" i="8" s="1"/>
  <c r="AD972" i="8"/>
  <c r="S972" i="8"/>
  <c r="L972" i="8"/>
  <c r="AW971" i="8"/>
  <c r="AV971" i="8"/>
  <c r="AU971" i="8"/>
  <c r="AO971" i="8" s="1"/>
  <c r="AR971" i="8"/>
  <c r="AI971" i="8" s="1"/>
  <c r="AQ971" i="8"/>
  <c r="AH971" i="8" s="1"/>
  <c r="AP971" i="8"/>
  <c r="AG971" i="8" s="1"/>
  <c r="AD971" i="8"/>
  <c r="S971" i="8"/>
  <c r="L971" i="8"/>
  <c r="AM971" i="8" s="1"/>
  <c r="AF971" i="8" s="1"/>
  <c r="AW970" i="8"/>
  <c r="AV970" i="8"/>
  <c r="AU970" i="8"/>
  <c r="AD970" i="8"/>
  <c r="S970" i="8"/>
  <c r="AR970" i="8" s="1"/>
  <c r="AI970" i="8" s="1"/>
  <c r="L970" i="8"/>
  <c r="AO970" i="8" s="1"/>
  <c r="AW969" i="8"/>
  <c r="AV969" i="8"/>
  <c r="AU969" i="8"/>
  <c r="AQ969" i="8"/>
  <c r="AP969" i="8"/>
  <c r="AG969" i="8" s="1"/>
  <c r="AM969" i="8"/>
  <c r="AF969" i="8" s="1"/>
  <c r="AL969" i="8"/>
  <c r="AE969" i="8" s="1"/>
  <c r="AH969" i="8"/>
  <c r="AD969" i="8"/>
  <c r="S969" i="8"/>
  <c r="AR969" i="8" s="1"/>
  <c r="AI969" i="8" s="1"/>
  <c r="L969" i="8"/>
  <c r="AW968" i="8"/>
  <c r="AV968" i="8"/>
  <c r="AU968" i="8"/>
  <c r="AM968" i="8"/>
  <c r="AF968" i="8"/>
  <c r="AD968" i="8"/>
  <c r="S968" i="8"/>
  <c r="AR968" i="8" s="1"/>
  <c r="AI968" i="8" s="1"/>
  <c r="L968" i="8"/>
  <c r="AO968" i="8" s="1"/>
  <c r="AW967" i="8"/>
  <c r="AV967" i="8"/>
  <c r="AU967" i="8"/>
  <c r="AR967" i="8"/>
  <c r="AI967" i="8" s="1"/>
  <c r="AD967" i="8"/>
  <c r="S967" i="8"/>
  <c r="L967" i="8"/>
  <c r="AO967" i="8" s="1"/>
  <c r="AW966" i="8"/>
  <c r="AV966" i="8"/>
  <c r="AU966" i="8"/>
  <c r="AM966" i="8" s="1"/>
  <c r="AF966" i="8" s="1"/>
  <c r="AL966" i="8"/>
  <c r="AE966" i="8" s="1"/>
  <c r="AD966" i="8"/>
  <c r="S966" i="8"/>
  <c r="AR966" i="8" s="1"/>
  <c r="AI966" i="8" s="1"/>
  <c r="L966" i="8"/>
  <c r="AO966" i="8" s="1"/>
  <c r="AW965" i="8"/>
  <c r="AV965" i="8"/>
  <c r="AU965" i="8"/>
  <c r="AM965" i="8" s="1"/>
  <c r="AF965" i="8" s="1"/>
  <c r="AL965" i="8"/>
  <c r="AE965" i="8" s="1"/>
  <c r="AD965" i="8"/>
  <c r="S965" i="8"/>
  <c r="L965" i="8"/>
  <c r="AO965" i="8" s="1"/>
  <c r="AW964" i="8"/>
  <c r="AV964" i="8"/>
  <c r="AU964" i="8"/>
  <c r="AD964" i="8"/>
  <c r="S964" i="8"/>
  <c r="AR964" i="8" s="1"/>
  <c r="AI964" i="8" s="1"/>
  <c r="AW963" i="8"/>
  <c r="AV963" i="8"/>
  <c r="AU963" i="8"/>
  <c r="AD963" i="8"/>
  <c r="S963" i="8"/>
  <c r="AW962" i="8"/>
  <c r="AV962" i="8"/>
  <c r="AU962" i="8"/>
  <c r="AD962" i="8"/>
  <c r="S962" i="8"/>
  <c r="AW961" i="8"/>
  <c r="AV961" i="8"/>
  <c r="AU961" i="8"/>
  <c r="AR961" i="8"/>
  <c r="AI961" i="8" s="1"/>
  <c r="AQ961" i="8"/>
  <c r="AH961" i="8" s="1"/>
  <c r="AD961" i="8"/>
  <c r="S961" i="8"/>
  <c r="AP961" i="8" s="1"/>
  <c r="AG961" i="8" s="1"/>
  <c r="AW960" i="8"/>
  <c r="AV960" i="8"/>
  <c r="AU960" i="8"/>
  <c r="AM960" i="8" s="1"/>
  <c r="AF960" i="8" s="1"/>
  <c r="AQ960" i="8"/>
  <c r="AH960" i="8" s="1"/>
  <c r="AD960" i="8"/>
  <c r="S960" i="8"/>
  <c r="AP960" i="8" s="1"/>
  <c r="AG960" i="8" s="1"/>
  <c r="L960" i="8"/>
  <c r="AW959" i="8"/>
  <c r="AV959" i="8"/>
  <c r="AU959" i="8"/>
  <c r="AD959" i="8"/>
  <c r="S959" i="8"/>
  <c r="AR959" i="8" s="1"/>
  <c r="AI959" i="8" s="1"/>
  <c r="AW958" i="8"/>
  <c r="AV958" i="8"/>
  <c r="AU958" i="8"/>
  <c r="AR958" i="8"/>
  <c r="AI958" i="8" s="1"/>
  <c r="AD958" i="8"/>
  <c r="S958" i="8"/>
  <c r="AQ958" i="8" s="1"/>
  <c r="AH958" i="8" s="1"/>
  <c r="AW957" i="8"/>
  <c r="AV957" i="8"/>
  <c r="AU957" i="8"/>
  <c r="AR957" i="8"/>
  <c r="AI957" i="8" s="1"/>
  <c r="AQ957" i="8"/>
  <c r="AH957" i="8" s="1"/>
  <c r="AP957" i="8"/>
  <c r="AG957" i="8" s="1"/>
  <c r="AD957" i="8"/>
  <c r="S957" i="8"/>
  <c r="AW956" i="8"/>
  <c r="AV956" i="8"/>
  <c r="AU956" i="8"/>
  <c r="AD956" i="8"/>
  <c r="S956" i="8"/>
  <c r="AW955" i="8"/>
  <c r="AV955" i="8"/>
  <c r="AP955" i="8" s="1"/>
  <c r="AG955" i="8" s="1"/>
  <c r="AU955" i="8"/>
  <c r="AO955" i="8" s="1"/>
  <c r="AD955" i="8"/>
  <c r="S955" i="8"/>
  <c r="L955" i="8"/>
  <c r="AW954" i="8"/>
  <c r="AV954" i="8"/>
  <c r="AU954" i="8"/>
  <c r="AQ954" i="8"/>
  <c r="AH954" i="8" s="1"/>
  <c r="AP954" i="8"/>
  <c r="AG954" i="8" s="1"/>
  <c r="AD954" i="8"/>
  <c r="S954" i="8"/>
  <c r="AR954" i="8" s="1"/>
  <c r="AI954" i="8" s="1"/>
  <c r="L954" i="8"/>
  <c r="AL954" i="8" s="1"/>
  <c r="AE954" i="8" s="1"/>
  <c r="AW953" i="8"/>
  <c r="AV953" i="8"/>
  <c r="AU953" i="8"/>
  <c r="AQ953" i="8"/>
  <c r="AH953" i="8" s="1"/>
  <c r="AM953" i="8"/>
  <c r="AF953" i="8" s="1"/>
  <c r="AL953" i="8"/>
  <c r="AE953" i="8" s="1"/>
  <c r="AD953" i="8"/>
  <c r="S953" i="8"/>
  <c r="AP953" i="8" s="1"/>
  <c r="AG953" i="8" s="1"/>
  <c r="L953" i="8"/>
  <c r="AO953" i="8" s="1"/>
  <c r="AW952" i="8"/>
  <c r="AV952" i="8"/>
  <c r="AU952" i="8"/>
  <c r="AD952" i="8"/>
  <c r="S952" i="8"/>
  <c r="AR952" i="8" s="1"/>
  <c r="AI952" i="8" s="1"/>
  <c r="L952" i="8"/>
  <c r="AW951" i="8"/>
  <c r="AV951" i="8"/>
  <c r="AR951" i="8" s="1"/>
  <c r="AI951" i="8" s="1"/>
  <c r="AU951" i="8"/>
  <c r="AM951" i="8"/>
  <c r="AF951" i="8" s="1"/>
  <c r="AD951" i="8"/>
  <c r="S951" i="8"/>
  <c r="AQ951" i="8" s="1"/>
  <c r="AH951" i="8" s="1"/>
  <c r="L951" i="8"/>
  <c r="AL951" i="8" s="1"/>
  <c r="AE951" i="8" s="1"/>
  <c r="AW950" i="8"/>
  <c r="AV950" i="8"/>
  <c r="AU950" i="8"/>
  <c r="AL950" i="8" s="1"/>
  <c r="AE950" i="8" s="1"/>
  <c r="AD950" i="8"/>
  <c r="S950" i="8"/>
  <c r="AR950" i="8" s="1"/>
  <c r="AI950" i="8" s="1"/>
  <c r="L950" i="8"/>
  <c r="AW949" i="8"/>
  <c r="AV949" i="8"/>
  <c r="AU949" i="8"/>
  <c r="AR949" i="8"/>
  <c r="AI949" i="8" s="1"/>
  <c r="AD949" i="8"/>
  <c r="S949" i="8"/>
  <c r="L949" i="8"/>
  <c r="AW948" i="8"/>
  <c r="AV948" i="8"/>
  <c r="AU948" i="8"/>
  <c r="AD948" i="8"/>
  <c r="S948" i="8"/>
  <c r="AR948" i="8" s="1"/>
  <c r="AI948" i="8" s="1"/>
  <c r="L948" i="8"/>
  <c r="AW947" i="8"/>
  <c r="AV947" i="8"/>
  <c r="AU947" i="8"/>
  <c r="AQ947" i="8"/>
  <c r="AH947" i="8" s="1"/>
  <c r="AD947" i="8"/>
  <c r="S947" i="8"/>
  <c r="AR947" i="8" s="1"/>
  <c r="AI947" i="8" s="1"/>
  <c r="L947" i="8"/>
  <c r="AO947" i="8" s="1"/>
  <c r="AW946" i="8"/>
  <c r="AV946" i="8"/>
  <c r="AU946" i="8"/>
  <c r="AO946" i="8"/>
  <c r="AD946" i="8"/>
  <c r="S946" i="8"/>
  <c r="L946" i="8"/>
  <c r="AW945" i="8"/>
  <c r="AV945" i="8"/>
  <c r="AU945" i="8"/>
  <c r="AQ945" i="8"/>
  <c r="AH945" i="8" s="1"/>
  <c r="AL945" i="8"/>
  <c r="AE945" i="8" s="1"/>
  <c r="AD945" i="8"/>
  <c r="S945" i="8"/>
  <c r="AR945" i="8" s="1"/>
  <c r="AI945" i="8" s="1"/>
  <c r="L945" i="8"/>
  <c r="AM945" i="8" s="1"/>
  <c r="AF945" i="8" s="1"/>
  <c r="AW944" i="8"/>
  <c r="AV944" i="8"/>
  <c r="AU944" i="8"/>
  <c r="AR944" i="8"/>
  <c r="AI944" i="8" s="1"/>
  <c r="AQ944" i="8"/>
  <c r="AH944" i="8" s="1"/>
  <c r="AP944" i="8"/>
  <c r="AG944" i="8" s="1"/>
  <c r="AD944" i="8"/>
  <c r="S944" i="8"/>
  <c r="L944" i="8"/>
  <c r="AO944" i="8" s="1"/>
  <c r="AW943" i="8"/>
  <c r="AV943" i="8"/>
  <c r="AU943" i="8"/>
  <c r="AL943" i="8" s="1"/>
  <c r="AE943" i="8" s="1"/>
  <c r="AR943" i="8"/>
  <c r="AI943" i="8" s="1"/>
  <c r="AQ943" i="8"/>
  <c r="AH943" i="8" s="1"/>
  <c r="AD943" i="8"/>
  <c r="S943" i="8"/>
  <c r="AP943" i="8" s="1"/>
  <c r="AG943" i="8" s="1"/>
  <c r="L943" i="8"/>
  <c r="AM943" i="8" s="1"/>
  <c r="AF943" i="8" s="1"/>
  <c r="AW942" i="8"/>
  <c r="AV942" i="8"/>
  <c r="AQ942" i="8" s="1"/>
  <c r="AH942" i="8" s="1"/>
  <c r="AU942" i="8"/>
  <c r="AM942" i="8" s="1"/>
  <c r="AF942" i="8" s="1"/>
  <c r="AD942" i="8"/>
  <c r="S942" i="8"/>
  <c r="L942" i="8"/>
  <c r="AO942" i="8" s="1"/>
  <c r="AW941" i="8"/>
  <c r="AV941" i="8"/>
  <c r="AU941" i="8"/>
  <c r="AQ941" i="8"/>
  <c r="AH941" i="8" s="1"/>
  <c r="AD941" i="8"/>
  <c r="S941" i="8"/>
  <c r="AR941" i="8" s="1"/>
  <c r="AI941" i="8" s="1"/>
  <c r="AW940" i="8"/>
  <c r="AV940" i="8"/>
  <c r="AU940" i="8"/>
  <c r="AD940" i="8"/>
  <c r="S940" i="8"/>
  <c r="AR940" i="8" s="1"/>
  <c r="AI940" i="8" s="1"/>
  <c r="AW939" i="8"/>
  <c r="AV939" i="8"/>
  <c r="AU939" i="8"/>
  <c r="AD939" i="8"/>
  <c r="S939" i="8"/>
  <c r="AW938" i="8"/>
  <c r="AV938" i="8"/>
  <c r="AU938" i="8"/>
  <c r="AD938" i="8"/>
  <c r="S938" i="8"/>
  <c r="AW937" i="8"/>
  <c r="AV937" i="8"/>
  <c r="AU937" i="8"/>
  <c r="AR937" i="8"/>
  <c r="AI937" i="8" s="1"/>
  <c r="AQ937" i="8"/>
  <c r="AH937" i="8" s="1"/>
  <c r="AD937" i="8"/>
  <c r="S937" i="8"/>
  <c r="AP937" i="8" s="1"/>
  <c r="AG937" i="8" s="1"/>
  <c r="L937" i="8"/>
  <c r="AM937" i="8" s="1"/>
  <c r="AF937" i="8" s="1"/>
  <c r="AW936" i="8"/>
  <c r="AV936" i="8"/>
  <c r="AU936" i="8"/>
  <c r="AQ936" i="8"/>
  <c r="AH936" i="8" s="1"/>
  <c r="AD936" i="8"/>
  <c r="S936" i="8"/>
  <c r="AR936" i="8" s="1"/>
  <c r="AI936" i="8" s="1"/>
  <c r="AW935" i="8"/>
  <c r="AV935" i="8"/>
  <c r="AU935" i="8"/>
  <c r="AR935" i="8"/>
  <c r="AI935" i="8" s="1"/>
  <c r="AD935" i="8"/>
  <c r="S935" i="8"/>
  <c r="AQ935" i="8" s="1"/>
  <c r="AH935" i="8" s="1"/>
  <c r="AW934" i="8"/>
  <c r="AV934" i="8"/>
  <c r="AU934" i="8"/>
  <c r="AD934" i="8"/>
  <c r="S934" i="8"/>
  <c r="AW933" i="8"/>
  <c r="AV933" i="8"/>
  <c r="AR933" i="8" s="1"/>
  <c r="AI933" i="8" s="1"/>
  <c r="AU933" i="8"/>
  <c r="AD933" i="8"/>
  <c r="S933" i="8"/>
  <c r="AQ933" i="8" s="1"/>
  <c r="AH933" i="8" s="1"/>
  <c r="AW932" i="8"/>
  <c r="AV932" i="8"/>
  <c r="AU932" i="8"/>
  <c r="AD932" i="8"/>
  <c r="S932" i="8"/>
  <c r="L932" i="8"/>
  <c r="AW931" i="8"/>
  <c r="AV931" i="8"/>
  <c r="AU931" i="8"/>
  <c r="AQ931" i="8"/>
  <c r="AH931" i="8" s="1"/>
  <c r="AD931" i="8"/>
  <c r="S931" i="8"/>
  <c r="AR931" i="8" s="1"/>
  <c r="AI931" i="8" s="1"/>
  <c r="L931" i="8"/>
  <c r="AW930" i="8"/>
  <c r="AV930" i="8"/>
  <c r="AU930" i="8"/>
  <c r="AQ930" i="8"/>
  <c r="AH930" i="8" s="1"/>
  <c r="AP930" i="8"/>
  <c r="AG930" i="8" s="1"/>
  <c r="AO930" i="8"/>
  <c r="AD930" i="8"/>
  <c r="S930" i="8"/>
  <c r="AR930" i="8" s="1"/>
  <c r="AI930" i="8" s="1"/>
  <c r="L930" i="8"/>
  <c r="AM930" i="8" s="1"/>
  <c r="AF930" i="8" s="1"/>
  <c r="AW929" i="8"/>
  <c r="AV929" i="8"/>
  <c r="AU929" i="8"/>
  <c r="AR929" i="8"/>
  <c r="AI929" i="8" s="1"/>
  <c r="AD929" i="8"/>
  <c r="S929" i="8"/>
  <c r="AQ929" i="8" s="1"/>
  <c r="AH929" i="8" s="1"/>
  <c r="L929" i="8"/>
  <c r="AL929" i="8" s="1"/>
  <c r="AE929" i="8" s="1"/>
  <c r="AW928" i="8"/>
  <c r="AV928" i="8"/>
  <c r="AU928" i="8"/>
  <c r="AL928" i="8"/>
  <c r="AE928" i="8" s="1"/>
  <c r="AD928" i="8"/>
  <c r="S928" i="8"/>
  <c r="L928" i="8"/>
  <c r="AO928" i="8" s="1"/>
  <c r="AW927" i="8"/>
  <c r="AV927" i="8"/>
  <c r="AU927" i="8"/>
  <c r="AQ927" i="8"/>
  <c r="AH927" i="8" s="1"/>
  <c r="AO927" i="8"/>
  <c r="AD927" i="8"/>
  <c r="S927" i="8"/>
  <c r="AR927" i="8" s="1"/>
  <c r="AI927" i="8" s="1"/>
  <c r="L927" i="8"/>
  <c r="AM927" i="8" s="1"/>
  <c r="AF927" i="8" s="1"/>
  <c r="AW926" i="8"/>
  <c r="AV926" i="8"/>
  <c r="AU926" i="8"/>
  <c r="AQ926" i="8"/>
  <c r="AH926" i="8" s="1"/>
  <c r="AD926" i="8"/>
  <c r="S926" i="8"/>
  <c r="AR926" i="8" s="1"/>
  <c r="AI926" i="8" s="1"/>
  <c r="L926" i="8"/>
  <c r="AO926" i="8" s="1"/>
  <c r="AW925" i="8"/>
  <c r="AV925" i="8"/>
  <c r="AU925" i="8"/>
  <c r="AD925" i="8"/>
  <c r="S925" i="8"/>
  <c r="AR925" i="8" s="1"/>
  <c r="AI925" i="8" s="1"/>
  <c r="L925" i="8"/>
  <c r="AM925" i="8" s="1"/>
  <c r="AF925" i="8" s="1"/>
  <c r="AW924" i="8"/>
  <c r="AV924" i="8"/>
  <c r="AU924" i="8"/>
  <c r="AO924" i="8"/>
  <c r="AM924" i="8"/>
  <c r="AF924" i="8" s="1"/>
  <c r="AD924" i="8"/>
  <c r="S924" i="8"/>
  <c r="AQ924" i="8" s="1"/>
  <c r="AH924" i="8" s="1"/>
  <c r="L924" i="8"/>
  <c r="AL924" i="8" s="1"/>
  <c r="AE924" i="8" s="1"/>
  <c r="AW923" i="8"/>
  <c r="AV923" i="8"/>
  <c r="AU923" i="8"/>
  <c r="AR923" i="8"/>
  <c r="AI923" i="8" s="1"/>
  <c r="AD923" i="8"/>
  <c r="S923" i="8"/>
  <c r="AQ923" i="8" s="1"/>
  <c r="AH923" i="8" s="1"/>
  <c r="L923" i="8"/>
  <c r="AL923" i="8" s="1"/>
  <c r="AE923" i="8" s="1"/>
  <c r="AW922" i="8"/>
  <c r="AV922" i="8"/>
  <c r="AQ922" i="8" s="1"/>
  <c r="AH922" i="8" s="1"/>
  <c r="AU922" i="8"/>
  <c r="AP922" i="8"/>
  <c r="AG922" i="8" s="1"/>
  <c r="AD922" i="8"/>
  <c r="S922" i="8"/>
  <c r="AR922" i="8" s="1"/>
  <c r="AI922" i="8" s="1"/>
  <c r="L922" i="8"/>
  <c r="AO922" i="8" s="1"/>
  <c r="AW921" i="8"/>
  <c r="AV921" i="8"/>
  <c r="AU921" i="8"/>
  <c r="AR921" i="8"/>
  <c r="AI921" i="8" s="1"/>
  <c r="AQ921" i="8"/>
  <c r="AH921" i="8" s="1"/>
  <c r="AL921" i="8"/>
  <c r="AE921" i="8" s="1"/>
  <c r="AD921" i="8"/>
  <c r="S921" i="8"/>
  <c r="AP921" i="8" s="1"/>
  <c r="AG921" i="8" s="1"/>
  <c r="L921" i="8"/>
  <c r="AW920" i="8"/>
  <c r="AV920" i="8"/>
  <c r="AU920" i="8"/>
  <c r="AO920" i="8"/>
  <c r="AM920" i="8"/>
  <c r="AF920" i="8" s="1"/>
  <c r="AD920" i="8"/>
  <c r="S920" i="8"/>
  <c r="AQ920" i="8" s="1"/>
  <c r="AH920" i="8" s="1"/>
  <c r="L920" i="8"/>
  <c r="AL920" i="8" s="1"/>
  <c r="AE920" i="8" s="1"/>
  <c r="AW919" i="8"/>
  <c r="AV919" i="8"/>
  <c r="AU919" i="8"/>
  <c r="AR919" i="8"/>
  <c r="AI919" i="8" s="1"/>
  <c r="AL919" i="8"/>
  <c r="AE919" i="8" s="1"/>
  <c r="AD919" i="8"/>
  <c r="S919" i="8"/>
  <c r="AQ919" i="8" s="1"/>
  <c r="AH919" i="8" s="1"/>
  <c r="L919" i="8"/>
  <c r="AW918" i="8"/>
  <c r="AV918" i="8"/>
  <c r="AQ918" i="8" s="1"/>
  <c r="AH918" i="8" s="1"/>
  <c r="AU918" i="8"/>
  <c r="AP918" i="8"/>
  <c r="AG918" i="8" s="1"/>
  <c r="AD918" i="8"/>
  <c r="S918" i="8"/>
  <c r="AR918" i="8" s="1"/>
  <c r="AI918" i="8" s="1"/>
  <c r="AW917" i="8"/>
  <c r="AV917" i="8"/>
  <c r="AR917" i="8" s="1"/>
  <c r="AI917" i="8" s="1"/>
  <c r="AU917" i="8"/>
  <c r="AD917" i="8"/>
  <c r="S917" i="8"/>
  <c r="AW916" i="8"/>
  <c r="AV916" i="8"/>
  <c r="AU916" i="8"/>
  <c r="AD916" i="8"/>
  <c r="S916" i="8"/>
  <c r="AR916" i="8" s="1"/>
  <c r="AI916" i="8" s="1"/>
  <c r="AW915" i="8"/>
  <c r="AV915" i="8"/>
  <c r="AU915" i="8"/>
  <c r="AD915" i="8"/>
  <c r="S915" i="8"/>
  <c r="AW914" i="8"/>
  <c r="AV914" i="8"/>
  <c r="AQ914" i="8" s="1"/>
  <c r="AH914" i="8" s="1"/>
  <c r="AU914" i="8"/>
  <c r="AP914" i="8"/>
  <c r="AG914" i="8" s="1"/>
  <c r="AD914" i="8"/>
  <c r="S914" i="8"/>
  <c r="AR914" i="8" s="1"/>
  <c r="AI914" i="8" s="1"/>
  <c r="L914" i="8"/>
  <c r="AO914" i="8" s="1"/>
  <c r="AW913" i="8"/>
  <c r="AV913" i="8"/>
  <c r="AU913" i="8"/>
  <c r="AR913" i="8"/>
  <c r="AI913" i="8" s="1"/>
  <c r="AQ913" i="8"/>
  <c r="AH913" i="8" s="1"/>
  <c r="AD913" i="8"/>
  <c r="S913" i="8"/>
  <c r="AP913" i="8" s="1"/>
  <c r="AG913" i="8" s="1"/>
  <c r="AW912" i="8"/>
  <c r="AV912" i="8"/>
  <c r="AU912" i="8"/>
  <c r="AQ912" i="8"/>
  <c r="AH912" i="8" s="1"/>
  <c r="AP912" i="8"/>
  <c r="AG912" i="8" s="1"/>
  <c r="AD912" i="8"/>
  <c r="S912" i="8"/>
  <c r="AR912" i="8" s="1"/>
  <c r="AI912" i="8" s="1"/>
  <c r="AW911" i="8"/>
  <c r="AV911" i="8"/>
  <c r="AU911" i="8"/>
  <c r="AR911" i="8"/>
  <c r="AI911" i="8" s="1"/>
  <c r="AD911" i="8"/>
  <c r="S911" i="8"/>
  <c r="AW910" i="8"/>
  <c r="AV910" i="8"/>
  <c r="AQ910" i="8" s="1"/>
  <c r="AH910" i="8" s="1"/>
  <c r="AU910" i="8"/>
  <c r="AD910" i="8"/>
  <c r="S910" i="8"/>
  <c r="AR910" i="8" s="1"/>
  <c r="AI910" i="8" s="1"/>
  <c r="AW909" i="8"/>
  <c r="AV909" i="8"/>
  <c r="AU909" i="8"/>
  <c r="AR909" i="8"/>
  <c r="AI909" i="8" s="1"/>
  <c r="AQ909" i="8"/>
  <c r="AH909" i="8" s="1"/>
  <c r="AP909" i="8"/>
  <c r="AG909" i="8" s="1"/>
  <c r="Z909" i="8" s="1"/>
  <c r="AD909" i="8"/>
  <c r="S909" i="8"/>
  <c r="L909" i="8"/>
  <c r="AM909" i="8" s="1"/>
  <c r="AF909" i="8" s="1"/>
  <c r="AW908" i="8"/>
  <c r="AV908" i="8"/>
  <c r="AU908" i="8"/>
  <c r="AO908" i="8"/>
  <c r="AM908" i="8"/>
  <c r="AF908" i="8" s="1"/>
  <c r="AL908" i="8"/>
  <c r="AE908" i="8" s="1"/>
  <c r="AD908" i="8"/>
  <c r="S908" i="8"/>
  <c r="AR908" i="8" s="1"/>
  <c r="AI908" i="8" s="1"/>
  <c r="L908" i="8"/>
  <c r="AW907" i="8"/>
  <c r="AV907" i="8"/>
  <c r="AU907" i="8"/>
  <c r="AR907" i="8"/>
  <c r="AI907" i="8" s="1"/>
  <c r="AL907" i="8"/>
  <c r="AE907" i="8" s="1"/>
  <c r="AD907" i="8"/>
  <c r="S907" i="8"/>
  <c r="L907" i="8"/>
  <c r="AO907" i="8" s="1"/>
  <c r="AW906" i="8"/>
  <c r="AV906" i="8"/>
  <c r="AQ906" i="8" s="1"/>
  <c r="AH906" i="8" s="1"/>
  <c r="AU906" i="8"/>
  <c r="AP906" i="8"/>
  <c r="AG906" i="8" s="1"/>
  <c r="AD906" i="8"/>
  <c r="S906" i="8"/>
  <c r="AR906" i="8" s="1"/>
  <c r="AI906" i="8" s="1"/>
  <c r="L906" i="8"/>
  <c r="AO906" i="8" s="1"/>
  <c r="AW905" i="8"/>
  <c r="AV905" i="8"/>
  <c r="AR905" i="8" s="1"/>
  <c r="AI905" i="8" s="1"/>
  <c r="AU905" i="8"/>
  <c r="AP905" i="8"/>
  <c r="AG905" i="8" s="1"/>
  <c r="AM905" i="8"/>
  <c r="AF905" i="8" s="1"/>
  <c r="AL905" i="8"/>
  <c r="AE905" i="8" s="1"/>
  <c r="AD905" i="8"/>
  <c r="S905" i="8"/>
  <c r="L905" i="8"/>
  <c r="AW904" i="8"/>
  <c r="AV904" i="8"/>
  <c r="AU904" i="8"/>
  <c r="AO904" i="8"/>
  <c r="AM904" i="8"/>
  <c r="AL904" i="8"/>
  <c r="AE904" i="8" s="1"/>
  <c r="AF904" i="8"/>
  <c r="AD904" i="8"/>
  <c r="S904" i="8"/>
  <c r="AR904" i="8" s="1"/>
  <c r="AI904" i="8" s="1"/>
  <c r="L904" i="8"/>
  <c r="AW903" i="8"/>
  <c r="AV903" i="8"/>
  <c r="AU903" i="8"/>
  <c r="AR903" i="8"/>
  <c r="AI903" i="8" s="1"/>
  <c r="AP903" i="8"/>
  <c r="AG903" i="8" s="1"/>
  <c r="AM903" i="8"/>
  <c r="AF903" i="8" s="1"/>
  <c r="AD903" i="8"/>
  <c r="S903" i="8"/>
  <c r="AQ903" i="8" s="1"/>
  <c r="AH903" i="8" s="1"/>
  <c r="L903" i="8"/>
  <c r="AO903" i="8" s="1"/>
  <c r="AW902" i="8"/>
  <c r="AV902" i="8"/>
  <c r="AU902" i="8"/>
  <c r="AD902" i="8"/>
  <c r="S902" i="8"/>
  <c r="L902" i="8"/>
  <c r="AW901" i="8"/>
  <c r="AV901" i="8"/>
  <c r="AU901" i="8"/>
  <c r="AR901" i="8"/>
  <c r="AI901" i="8" s="1"/>
  <c r="AQ901" i="8"/>
  <c r="AH901" i="8" s="1"/>
  <c r="AD901" i="8"/>
  <c r="S901" i="8"/>
  <c r="AP901" i="8" s="1"/>
  <c r="AG901" i="8" s="1"/>
  <c r="L901" i="8"/>
  <c r="AW900" i="8"/>
  <c r="AV900" i="8"/>
  <c r="AU900" i="8"/>
  <c r="AP900" i="8"/>
  <c r="AG900" i="8" s="1"/>
  <c r="AD900" i="8"/>
  <c r="S900" i="8"/>
  <c r="AR900" i="8" s="1"/>
  <c r="AI900" i="8" s="1"/>
  <c r="L900" i="8"/>
  <c r="AW899" i="8"/>
  <c r="AV899" i="8"/>
  <c r="AU899" i="8"/>
  <c r="AQ899" i="8"/>
  <c r="AH899" i="8" s="1"/>
  <c r="AP899" i="8"/>
  <c r="AG899" i="8" s="1"/>
  <c r="AD899" i="8"/>
  <c r="S899" i="8"/>
  <c r="AR899" i="8" s="1"/>
  <c r="AI899" i="8" s="1"/>
  <c r="L899" i="8"/>
  <c r="AW898" i="8"/>
  <c r="AV898" i="8"/>
  <c r="AU898" i="8"/>
  <c r="AD898" i="8"/>
  <c r="S898" i="8"/>
  <c r="L898" i="8"/>
  <c r="AW897" i="8"/>
  <c r="AV897" i="8"/>
  <c r="AU897" i="8"/>
  <c r="AD897" i="8"/>
  <c r="S897" i="8"/>
  <c r="AQ897" i="8" s="1"/>
  <c r="AH897" i="8" s="1"/>
  <c r="L897" i="8"/>
  <c r="AW896" i="8"/>
  <c r="AV896" i="8"/>
  <c r="AU896" i="8"/>
  <c r="AO896" i="8"/>
  <c r="AD896" i="8"/>
  <c r="S896" i="8"/>
  <c r="L896" i="8"/>
  <c r="AM896" i="8" s="1"/>
  <c r="AF896" i="8" s="1"/>
  <c r="AW895" i="8"/>
  <c r="AV895" i="8"/>
  <c r="AU895" i="8"/>
  <c r="AD895" i="8"/>
  <c r="S895" i="8"/>
  <c r="AR895" i="8" s="1"/>
  <c r="AI895" i="8" s="1"/>
  <c r="AW894" i="8"/>
  <c r="AV894" i="8"/>
  <c r="AU894" i="8"/>
  <c r="AQ894" i="8"/>
  <c r="AH894" i="8" s="1"/>
  <c r="AD894" i="8"/>
  <c r="S894" i="8"/>
  <c r="AW893" i="8"/>
  <c r="AV893" i="8"/>
  <c r="AU893" i="8"/>
  <c r="AQ893" i="8"/>
  <c r="AH893" i="8" s="1"/>
  <c r="AD893" i="8"/>
  <c r="S893" i="8"/>
  <c r="AP893" i="8" s="1"/>
  <c r="AG893" i="8" s="1"/>
  <c r="AW892" i="8"/>
  <c r="AV892" i="8"/>
  <c r="AU892" i="8"/>
  <c r="AP892" i="8"/>
  <c r="AG892" i="8" s="1"/>
  <c r="AD892" i="8"/>
  <c r="S892" i="8"/>
  <c r="AR892" i="8" s="1"/>
  <c r="AI892" i="8" s="1"/>
  <c r="AW891" i="8"/>
  <c r="AV891" i="8"/>
  <c r="AU891" i="8"/>
  <c r="AM891" i="8" s="1"/>
  <c r="AF891" i="8" s="1"/>
  <c r="AQ891" i="8"/>
  <c r="AH891" i="8" s="1"/>
  <c r="AP891" i="8"/>
  <c r="AG891" i="8" s="1"/>
  <c r="Z891" i="8" s="1"/>
  <c r="AL891" i="8"/>
  <c r="AE891" i="8" s="1"/>
  <c r="AD891" i="8"/>
  <c r="S891" i="8"/>
  <c r="AR891" i="8" s="1"/>
  <c r="AI891" i="8" s="1"/>
  <c r="L891" i="8"/>
  <c r="AW890" i="8"/>
  <c r="AV890" i="8"/>
  <c r="AU890" i="8"/>
  <c r="AD890" i="8"/>
  <c r="S890" i="8"/>
  <c r="AW889" i="8"/>
  <c r="AV889" i="8"/>
  <c r="AR889" i="8" s="1"/>
  <c r="AI889" i="8" s="1"/>
  <c r="AU889" i="8"/>
  <c r="AD889" i="8"/>
  <c r="S889" i="8"/>
  <c r="AP889" i="8" s="1"/>
  <c r="AG889" i="8" s="1"/>
  <c r="AW888" i="8"/>
  <c r="AV888" i="8"/>
  <c r="AU888" i="8"/>
  <c r="AD888" i="8"/>
  <c r="S888" i="8"/>
  <c r="AW887" i="8"/>
  <c r="AV887" i="8"/>
  <c r="AU887" i="8"/>
  <c r="AP887" i="8"/>
  <c r="AG887" i="8" s="1"/>
  <c r="AD887" i="8"/>
  <c r="S887" i="8"/>
  <c r="AR887" i="8" s="1"/>
  <c r="AI887" i="8" s="1"/>
  <c r="AW886" i="8"/>
  <c r="AV886" i="8"/>
  <c r="AU886" i="8"/>
  <c r="AM886" i="8" s="1"/>
  <c r="AF886" i="8" s="1"/>
  <c r="AD886" i="8"/>
  <c r="S886" i="8"/>
  <c r="AR886" i="8" s="1"/>
  <c r="AI886" i="8" s="1"/>
  <c r="L886" i="8"/>
  <c r="AW885" i="8"/>
  <c r="AV885" i="8"/>
  <c r="AU885" i="8"/>
  <c r="AR885" i="8"/>
  <c r="AI885" i="8" s="1"/>
  <c r="AQ885" i="8"/>
  <c r="AH885" i="8" s="1"/>
  <c r="AP885" i="8"/>
  <c r="AG885" i="8" s="1"/>
  <c r="AM885" i="8"/>
  <c r="AF885" i="8" s="1"/>
  <c r="AD885" i="8"/>
  <c r="S885" i="8"/>
  <c r="L885" i="8"/>
  <c r="AW884" i="8"/>
  <c r="AV884" i="8"/>
  <c r="AU884" i="8"/>
  <c r="AM884" i="8"/>
  <c r="AF884" i="8" s="1"/>
  <c r="AL884" i="8"/>
  <c r="AE884" i="8" s="1"/>
  <c r="AD884" i="8"/>
  <c r="S884" i="8"/>
  <c r="AR884" i="8" s="1"/>
  <c r="AI884" i="8" s="1"/>
  <c r="L884" i="8"/>
  <c r="AO884" i="8" s="1"/>
  <c r="AW883" i="8"/>
  <c r="AV883" i="8"/>
  <c r="AU883" i="8"/>
  <c r="AM883" i="8"/>
  <c r="AF883" i="8" s="1"/>
  <c r="AL883" i="8"/>
  <c r="AE883" i="8" s="1"/>
  <c r="AD883" i="8"/>
  <c r="S883" i="8"/>
  <c r="AR883" i="8" s="1"/>
  <c r="AI883" i="8" s="1"/>
  <c r="L883" i="8"/>
  <c r="AW882" i="8"/>
  <c r="AV882" i="8"/>
  <c r="AP882" i="8" s="1"/>
  <c r="AG882" i="8" s="1"/>
  <c r="AU882" i="8"/>
  <c r="AL882" i="8" s="1"/>
  <c r="AE882" i="8" s="1"/>
  <c r="AR882" i="8"/>
  <c r="AI882" i="8" s="1"/>
  <c r="AD882" i="8"/>
  <c r="S882" i="8"/>
  <c r="AQ882" i="8" s="1"/>
  <c r="AH882" i="8" s="1"/>
  <c r="L882" i="8"/>
  <c r="AW881" i="8"/>
  <c r="AV881" i="8"/>
  <c r="AR881" i="8" s="1"/>
  <c r="AI881" i="8" s="1"/>
  <c r="AU881" i="8"/>
  <c r="AP881" i="8"/>
  <c r="AG881" i="8" s="1"/>
  <c r="AM881" i="8"/>
  <c r="AF881" i="8" s="1"/>
  <c r="AL881" i="8"/>
  <c r="AE881" i="8" s="1"/>
  <c r="AD881" i="8"/>
  <c r="S881" i="8"/>
  <c r="AQ881" i="8" s="1"/>
  <c r="AH881" i="8" s="1"/>
  <c r="L881" i="8"/>
  <c r="AW880" i="8"/>
  <c r="AV880" i="8"/>
  <c r="AR880" i="8" s="1"/>
  <c r="AI880" i="8" s="1"/>
  <c r="AU880" i="8"/>
  <c r="AL880" i="8"/>
  <c r="AE880" i="8"/>
  <c r="AD880" i="8"/>
  <c r="S880" i="8"/>
  <c r="AP880" i="8" s="1"/>
  <c r="AG880" i="8" s="1"/>
  <c r="L880" i="8"/>
  <c r="AW879" i="8"/>
  <c r="AV879" i="8"/>
  <c r="AU879" i="8"/>
  <c r="AR879" i="8"/>
  <c r="AI879" i="8" s="1"/>
  <c r="AM879" i="8"/>
  <c r="AF879" i="8" s="1"/>
  <c r="AL879" i="8"/>
  <c r="AE879" i="8" s="1"/>
  <c r="AD879" i="8"/>
  <c r="S879" i="8"/>
  <c r="AQ879" i="8" s="1"/>
  <c r="AH879" i="8" s="1"/>
  <c r="L879" i="8"/>
  <c r="AW878" i="8"/>
  <c r="AV878" i="8"/>
  <c r="AU878" i="8"/>
  <c r="AR878" i="8"/>
  <c r="AI878" i="8" s="1"/>
  <c r="AP878" i="8"/>
  <c r="AG878" i="8" s="1"/>
  <c r="AD878" i="8"/>
  <c r="S878" i="8"/>
  <c r="L878" i="8"/>
  <c r="AW877" i="8"/>
  <c r="AV877" i="8"/>
  <c r="AU877" i="8"/>
  <c r="AM877" i="8"/>
  <c r="AF877" i="8" s="1"/>
  <c r="AL877" i="8"/>
  <c r="AE877" i="8" s="1"/>
  <c r="AD877" i="8"/>
  <c r="S877" i="8"/>
  <c r="L877" i="8"/>
  <c r="AO877" i="8" s="1"/>
  <c r="AW876" i="8"/>
  <c r="AV876" i="8"/>
  <c r="AU876" i="8"/>
  <c r="AR876" i="8"/>
  <c r="AI876" i="8" s="1"/>
  <c r="AQ876" i="8"/>
  <c r="AH876" i="8" s="1"/>
  <c r="AO876" i="8"/>
  <c r="AD876" i="8"/>
  <c r="S876" i="8"/>
  <c r="AP876" i="8" s="1"/>
  <c r="AG876" i="8" s="1"/>
  <c r="L876" i="8"/>
  <c r="AW875" i="8"/>
  <c r="AV875" i="8"/>
  <c r="AU875" i="8"/>
  <c r="AR875" i="8"/>
  <c r="AI875" i="8" s="1"/>
  <c r="AQ875" i="8"/>
  <c r="AH875" i="8" s="1"/>
  <c r="AD875" i="8"/>
  <c r="S875" i="8"/>
  <c r="AP875" i="8" s="1"/>
  <c r="AG875" i="8" s="1"/>
  <c r="L875" i="8"/>
  <c r="AW874" i="8"/>
  <c r="AV874" i="8"/>
  <c r="AU874" i="8"/>
  <c r="AQ874" i="8"/>
  <c r="AH874" i="8" s="1"/>
  <c r="AD874" i="8"/>
  <c r="S874" i="8"/>
  <c r="AR874" i="8" s="1"/>
  <c r="AI874" i="8" s="1"/>
  <c r="L874" i="8"/>
  <c r="AW873" i="8"/>
  <c r="AV873" i="8"/>
  <c r="AU873" i="8"/>
  <c r="AP873" i="8"/>
  <c r="AG873" i="8" s="1"/>
  <c r="AD873" i="8"/>
  <c r="S873" i="8"/>
  <c r="L873" i="8"/>
  <c r="AW872" i="8"/>
  <c r="AV872" i="8"/>
  <c r="AU872" i="8"/>
  <c r="AD872" i="8"/>
  <c r="S872" i="8"/>
  <c r="AW871" i="8"/>
  <c r="AV871" i="8"/>
  <c r="AU871" i="8"/>
  <c r="AP871" i="8"/>
  <c r="AG871" i="8" s="1"/>
  <c r="AD871" i="8"/>
  <c r="S871" i="8"/>
  <c r="AR871" i="8" s="1"/>
  <c r="AI871" i="8" s="1"/>
  <c r="AW870" i="8"/>
  <c r="AV870" i="8"/>
  <c r="AU870" i="8"/>
  <c r="AD870" i="8"/>
  <c r="S870" i="8"/>
  <c r="AW869" i="8"/>
  <c r="AV869" i="8"/>
  <c r="AP869" i="8" s="1"/>
  <c r="AG869" i="8" s="1"/>
  <c r="AU869" i="8"/>
  <c r="AD869" i="8"/>
  <c r="S869" i="8"/>
  <c r="AR869" i="8" s="1"/>
  <c r="AI869" i="8" s="1"/>
  <c r="AW868" i="8"/>
  <c r="AV868" i="8"/>
  <c r="AU868" i="8"/>
  <c r="AD868" i="8"/>
  <c r="S868" i="8"/>
  <c r="L868" i="8"/>
  <c r="AW867" i="8"/>
  <c r="AV867" i="8"/>
  <c r="AP867" i="8" s="1"/>
  <c r="AG867" i="8" s="1"/>
  <c r="AU867" i="8"/>
  <c r="AD867" i="8"/>
  <c r="S867" i="8"/>
  <c r="AR867" i="8" s="1"/>
  <c r="AI867" i="8" s="1"/>
  <c r="AW866" i="8"/>
  <c r="AV866" i="8"/>
  <c r="AU866" i="8"/>
  <c r="AD866" i="8"/>
  <c r="S866" i="8"/>
  <c r="AQ866" i="8" s="1"/>
  <c r="AH866" i="8" s="1"/>
  <c r="AW865" i="8"/>
  <c r="AV865" i="8"/>
  <c r="AP865" i="8" s="1"/>
  <c r="AG865" i="8" s="1"/>
  <c r="AU865" i="8"/>
  <c r="AD865" i="8"/>
  <c r="S865" i="8"/>
  <c r="AQ865" i="8" s="1"/>
  <c r="AH865" i="8" s="1"/>
  <c r="AW864" i="8"/>
  <c r="AV864" i="8"/>
  <c r="AU864" i="8"/>
  <c r="AR864" i="8"/>
  <c r="AI864" i="8" s="1"/>
  <c r="AQ864" i="8"/>
  <c r="AH864" i="8" s="1"/>
  <c r="AD864" i="8"/>
  <c r="S864" i="8"/>
  <c r="AP864" i="8" s="1"/>
  <c r="AG864" i="8" s="1"/>
  <c r="AW863" i="8"/>
  <c r="AV863" i="8"/>
  <c r="AU863" i="8"/>
  <c r="AM863" i="8"/>
  <c r="AF863" i="8" s="1"/>
  <c r="AL863" i="8"/>
  <c r="AE863" i="8" s="1"/>
  <c r="AD863" i="8"/>
  <c r="S863" i="8"/>
  <c r="L863" i="8"/>
  <c r="AW862" i="8"/>
  <c r="AV862" i="8"/>
  <c r="AU862" i="8"/>
  <c r="AR862" i="8"/>
  <c r="AI862" i="8" s="1"/>
  <c r="AM862" i="8"/>
  <c r="AF862" i="8" s="1"/>
  <c r="AD862" i="8"/>
  <c r="S862" i="8"/>
  <c r="L862" i="8"/>
  <c r="AW861" i="8"/>
  <c r="AV861" i="8"/>
  <c r="AU861" i="8"/>
  <c r="AL861" i="8" s="1"/>
  <c r="AE861" i="8" s="1"/>
  <c r="AR861" i="8"/>
  <c r="AI861" i="8" s="1"/>
  <c r="AD861" i="8"/>
  <c r="S861" i="8"/>
  <c r="L861" i="8"/>
  <c r="AW860" i="8"/>
  <c r="AV860" i="8"/>
  <c r="AU860" i="8"/>
  <c r="AD860" i="8"/>
  <c r="S860" i="8"/>
  <c r="AR860" i="8" s="1"/>
  <c r="AI860" i="8" s="1"/>
  <c r="L860" i="8"/>
  <c r="AW859" i="8"/>
  <c r="AV859" i="8"/>
  <c r="AU859" i="8"/>
  <c r="AR859" i="8"/>
  <c r="AI859" i="8" s="1"/>
  <c r="AD859" i="8"/>
  <c r="S859" i="8"/>
  <c r="L859" i="8"/>
  <c r="AW858" i="8"/>
  <c r="AV858" i="8"/>
  <c r="AU858" i="8"/>
  <c r="AD858" i="8"/>
  <c r="S858" i="8"/>
  <c r="L858" i="8"/>
  <c r="AW857" i="8"/>
  <c r="AV857" i="8"/>
  <c r="AU857" i="8"/>
  <c r="AQ857" i="8"/>
  <c r="AH857" i="8" s="1"/>
  <c r="AM857" i="8"/>
  <c r="AF857" i="8" s="1"/>
  <c r="AD857" i="8"/>
  <c r="S857" i="8"/>
  <c r="AR857" i="8" s="1"/>
  <c r="AI857" i="8" s="1"/>
  <c r="L857" i="8"/>
  <c r="AW856" i="8"/>
  <c r="AV856" i="8"/>
  <c r="AU856" i="8"/>
  <c r="AP856" i="8"/>
  <c r="AG856" i="8" s="1"/>
  <c r="AO856" i="8"/>
  <c r="AM856" i="8"/>
  <c r="AF856" i="8" s="1"/>
  <c r="AL856" i="8"/>
  <c r="AE856" i="8" s="1"/>
  <c r="AD856" i="8"/>
  <c r="S856" i="8"/>
  <c r="AR856" i="8" s="1"/>
  <c r="AI856" i="8" s="1"/>
  <c r="L856" i="8"/>
  <c r="AW855" i="8"/>
  <c r="AV855" i="8"/>
  <c r="AU855" i="8"/>
  <c r="AM855" i="8"/>
  <c r="AF855" i="8" s="1"/>
  <c r="AL855" i="8"/>
  <c r="AE855" i="8" s="1"/>
  <c r="AD855" i="8"/>
  <c r="S855" i="8"/>
  <c r="L855" i="8"/>
  <c r="AO855" i="8" s="1"/>
  <c r="AW854" i="8"/>
  <c r="AV854" i="8"/>
  <c r="AR854" i="8" s="1"/>
  <c r="AI854" i="8" s="1"/>
  <c r="AU854" i="8"/>
  <c r="AQ854" i="8"/>
  <c r="AH854" i="8" s="1"/>
  <c r="AD854" i="8"/>
  <c r="S854" i="8"/>
  <c r="L854" i="8"/>
  <c r="AW853" i="8"/>
  <c r="AV853" i="8"/>
  <c r="AU853" i="8"/>
  <c r="AD853" i="8"/>
  <c r="S853" i="8"/>
  <c r="AQ853" i="8" s="1"/>
  <c r="AH853" i="8" s="1"/>
  <c r="L853" i="8"/>
  <c r="AW852" i="8"/>
  <c r="AV852" i="8"/>
  <c r="AU852" i="8"/>
  <c r="AQ852" i="8"/>
  <c r="AH852" i="8" s="1"/>
  <c r="AL852" i="8"/>
  <c r="AE852" i="8" s="1"/>
  <c r="AD852" i="8"/>
  <c r="S852" i="8"/>
  <c r="L852" i="8"/>
  <c r="AO852" i="8" s="1"/>
  <c r="AW851" i="8"/>
  <c r="AV851" i="8"/>
  <c r="AU851" i="8"/>
  <c r="AM851" i="8" s="1"/>
  <c r="AF851" i="8" s="1"/>
  <c r="AR851" i="8"/>
  <c r="AI851" i="8" s="1"/>
  <c r="AQ851" i="8"/>
  <c r="AH851" i="8" s="1"/>
  <c r="AO851" i="8"/>
  <c r="AL851" i="8"/>
  <c r="AE851" i="8" s="1"/>
  <c r="AD851" i="8"/>
  <c r="S851" i="8"/>
  <c r="AP851" i="8" s="1"/>
  <c r="AG851" i="8" s="1"/>
  <c r="L851" i="8"/>
  <c r="AW850" i="8"/>
  <c r="AV850" i="8"/>
  <c r="AU850" i="8"/>
  <c r="AM850" i="8"/>
  <c r="AF850" i="8" s="1"/>
  <c r="AL850" i="8"/>
  <c r="AE850" i="8" s="1"/>
  <c r="AD850" i="8"/>
  <c r="S850" i="8"/>
  <c r="AR850" i="8" s="1"/>
  <c r="AI850" i="8" s="1"/>
  <c r="L850" i="8"/>
  <c r="AO850" i="8" s="1"/>
  <c r="AW849" i="8"/>
  <c r="AV849" i="8"/>
  <c r="AU849" i="8"/>
  <c r="AM849" i="8" s="1"/>
  <c r="AF849" i="8" s="1"/>
  <c r="AQ849" i="8"/>
  <c r="AH849" i="8" s="1"/>
  <c r="AD849" i="8"/>
  <c r="S849" i="8"/>
  <c r="AR849" i="8" s="1"/>
  <c r="AI849" i="8" s="1"/>
  <c r="L849" i="8"/>
  <c r="AW848" i="8"/>
  <c r="AV848" i="8"/>
  <c r="AU848" i="8"/>
  <c r="AD848" i="8"/>
  <c r="S848" i="8"/>
  <c r="AR848" i="8" s="1"/>
  <c r="AI848" i="8" s="1"/>
  <c r="L848" i="8"/>
  <c r="AO848" i="8" s="1"/>
  <c r="AW847" i="8"/>
  <c r="AV847" i="8"/>
  <c r="AU847" i="8"/>
  <c r="AO847" i="8"/>
  <c r="AD847" i="8"/>
  <c r="S847" i="8"/>
  <c r="L847" i="8"/>
  <c r="AW846" i="8"/>
  <c r="AV846" i="8"/>
  <c r="AU846" i="8"/>
  <c r="AO846" i="8" s="1"/>
  <c r="AR846" i="8"/>
  <c r="AI846" i="8" s="1"/>
  <c r="AP846" i="8"/>
  <c r="AG846" i="8" s="1"/>
  <c r="AD846" i="8"/>
  <c r="S846" i="8"/>
  <c r="AQ846" i="8" s="1"/>
  <c r="AH846" i="8" s="1"/>
  <c r="L846" i="8"/>
  <c r="AL846" i="8" s="1"/>
  <c r="AE846" i="8" s="1"/>
  <c r="AW845" i="8"/>
  <c r="AV845" i="8"/>
  <c r="AU845" i="8"/>
  <c r="AR845" i="8"/>
  <c r="AI845" i="8" s="1"/>
  <c r="AQ845" i="8"/>
  <c r="AH845" i="8" s="1"/>
  <c r="AP845" i="8"/>
  <c r="AG845" i="8" s="1"/>
  <c r="AD845" i="8"/>
  <c r="S845" i="8"/>
  <c r="L845" i="8"/>
  <c r="AW844" i="8"/>
  <c r="AV844" i="8"/>
  <c r="AU844" i="8"/>
  <c r="AD844" i="8"/>
  <c r="S844" i="8"/>
  <c r="AW843" i="8"/>
  <c r="AV843" i="8"/>
  <c r="AQ843" i="8" s="1"/>
  <c r="AH843" i="8" s="1"/>
  <c r="AU843" i="8"/>
  <c r="AD843" i="8"/>
  <c r="S843" i="8"/>
  <c r="AR843" i="8" s="1"/>
  <c r="AI843" i="8" s="1"/>
  <c r="AW842" i="8"/>
  <c r="AV842" i="8"/>
  <c r="AU842" i="8"/>
  <c r="AD842" i="8"/>
  <c r="S842" i="8"/>
  <c r="AW841" i="8"/>
  <c r="AV841" i="8"/>
  <c r="AU841" i="8"/>
  <c r="AR841" i="8"/>
  <c r="AI841" i="8" s="1"/>
  <c r="AQ841" i="8"/>
  <c r="AH841" i="8" s="1"/>
  <c r="AP841" i="8"/>
  <c r="AG841" i="8" s="1"/>
  <c r="AD841" i="8"/>
  <c r="S841" i="8"/>
  <c r="AW840" i="8"/>
  <c r="AV840" i="8"/>
  <c r="AU840" i="8"/>
  <c r="AD840" i="8"/>
  <c r="S840" i="8"/>
  <c r="L840" i="8"/>
  <c r="AO840" i="8" s="1"/>
  <c r="AW839" i="8"/>
  <c r="AV839" i="8"/>
  <c r="AQ839" i="8" s="1"/>
  <c r="AH839" i="8" s="1"/>
  <c r="AU839" i="8"/>
  <c r="AO839" i="8"/>
  <c r="AD839" i="8"/>
  <c r="S839" i="8"/>
  <c r="AR839" i="8" s="1"/>
  <c r="AI839" i="8" s="1"/>
  <c r="L839" i="8"/>
  <c r="AW838" i="8"/>
  <c r="AV838" i="8"/>
  <c r="AU838" i="8"/>
  <c r="AM838" i="8" s="1"/>
  <c r="AF838" i="8" s="1"/>
  <c r="AD838" i="8"/>
  <c r="S838" i="8"/>
  <c r="L838" i="8"/>
  <c r="AL838" i="8" s="1"/>
  <c r="AE838" i="8" s="1"/>
  <c r="AW837" i="8"/>
  <c r="AV837" i="8"/>
  <c r="AU837" i="8"/>
  <c r="AR837" i="8"/>
  <c r="AQ837" i="8"/>
  <c r="AH837" i="8" s="1"/>
  <c r="AP837" i="8"/>
  <c r="AG837" i="8" s="1"/>
  <c r="AI837" i="8"/>
  <c r="AD837" i="8"/>
  <c r="S837" i="8"/>
  <c r="L837" i="8"/>
  <c r="AM837" i="8" s="1"/>
  <c r="AF837" i="8" s="1"/>
  <c r="AW836" i="8"/>
  <c r="AV836" i="8"/>
  <c r="AU836" i="8"/>
  <c r="AM836" i="8"/>
  <c r="AF836" i="8" s="1"/>
  <c r="AL836" i="8"/>
  <c r="AE836" i="8" s="1"/>
  <c r="AD836" i="8"/>
  <c r="S836" i="8"/>
  <c r="AP836" i="8" s="1"/>
  <c r="AG836" i="8" s="1"/>
  <c r="L836" i="8"/>
  <c r="AO836" i="8" s="1"/>
  <c r="AW835" i="8"/>
  <c r="AV835" i="8"/>
  <c r="AU835" i="8"/>
  <c r="AQ835" i="8"/>
  <c r="AH835" i="8" s="1"/>
  <c r="AO835" i="8"/>
  <c r="AL835" i="8"/>
  <c r="AE835" i="8" s="1"/>
  <c r="AD835" i="8"/>
  <c r="S835" i="8"/>
  <c r="AR835" i="8" s="1"/>
  <c r="AI835" i="8" s="1"/>
  <c r="L835" i="8"/>
  <c r="AW834" i="8"/>
  <c r="AV834" i="8"/>
  <c r="AU834" i="8"/>
  <c r="AR834" i="8"/>
  <c r="AI834" i="8" s="1"/>
  <c r="AP834" i="8"/>
  <c r="AG834" i="8" s="1"/>
  <c r="AM834" i="8"/>
  <c r="AF834" i="8" s="1"/>
  <c r="AD834" i="8"/>
  <c r="S834" i="8"/>
  <c r="AQ834" i="8" s="1"/>
  <c r="AH834" i="8" s="1"/>
  <c r="L834" i="8"/>
  <c r="AW833" i="8"/>
  <c r="AV833" i="8"/>
  <c r="AU833" i="8"/>
  <c r="AR833" i="8"/>
  <c r="AI833" i="8" s="1"/>
  <c r="AQ833" i="8"/>
  <c r="AH833" i="8" s="1"/>
  <c r="AP833" i="8"/>
  <c r="AG833" i="8" s="1"/>
  <c r="AD833" i="8"/>
  <c r="S833" i="8"/>
  <c r="L833" i="8"/>
  <c r="AW832" i="8"/>
  <c r="AV832" i="8"/>
  <c r="AU832" i="8"/>
  <c r="AD832" i="8"/>
  <c r="S832" i="8"/>
  <c r="AP832" i="8" s="1"/>
  <c r="AG832" i="8" s="1"/>
  <c r="L832" i="8"/>
  <c r="AW831" i="8"/>
  <c r="AV831" i="8"/>
  <c r="AU831" i="8"/>
  <c r="AQ831" i="8"/>
  <c r="AH831" i="8" s="1"/>
  <c r="AD831" i="8"/>
  <c r="S831" i="8"/>
  <c r="AR831" i="8" s="1"/>
  <c r="AI831" i="8" s="1"/>
  <c r="AW830" i="8"/>
  <c r="AV830" i="8"/>
  <c r="AU830" i="8"/>
  <c r="AR830" i="8"/>
  <c r="AI830" i="8" s="1"/>
  <c r="AP830" i="8"/>
  <c r="AG830" i="8" s="1"/>
  <c r="AD830" i="8"/>
  <c r="S830" i="8"/>
  <c r="AQ830" i="8" s="1"/>
  <c r="AH830" i="8" s="1"/>
  <c r="AW829" i="8"/>
  <c r="AV829" i="8"/>
  <c r="AU829" i="8"/>
  <c r="AR829" i="8"/>
  <c r="AI829" i="8" s="1"/>
  <c r="AQ829" i="8"/>
  <c r="AH829" i="8" s="1"/>
  <c r="AP829" i="8"/>
  <c r="AG829" i="8" s="1"/>
  <c r="AD829" i="8"/>
  <c r="S829" i="8"/>
  <c r="AW828" i="8"/>
  <c r="AV828" i="8"/>
  <c r="AU828" i="8"/>
  <c r="AD828" i="8"/>
  <c r="S828" i="8"/>
  <c r="AW827" i="8"/>
  <c r="AV827" i="8"/>
  <c r="AU827" i="8"/>
  <c r="AO827" i="8"/>
  <c r="AL827" i="8"/>
  <c r="AE827" i="8" s="1"/>
  <c r="AD827" i="8"/>
  <c r="S827" i="8"/>
  <c r="AR827" i="8" s="1"/>
  <c r="AI827" i="8" s="1"/>
  <c r="L827" i="8"/>
  <c r="AM827" i="8" s="1"/>
  <c r="AF827" i="8" s="1"/>
  <c r="AW826" i="8"/>
  <c r="AV826" i="8"/>
  <c r="AU826" i="8"/>
  <c r="AR826" i="8"/>
  <c r="AI826" i="8" s="1"/>
  <c r="AP826" i="8"/>
  <c r="AG826" i="8" s="1"/>
  <c r="AD826" i="8"/>
  <c r="S826" i="8"/>
  <c r="AQ826" i="8" s="1"/>
  <c r="AH826" i="8" s="1"/>
  <c r="AW825" i="8"/>
  <c r="AV825" i="8"/>
  <c r="AU825" i="8"/>
  <c r="AR825" i="8"/>
  <c r="AI825" i="8" s="1"/>
  <c r="AQ825" i="8"/>
  <c r="AH825" i="8" s="1"/>
  <c r="AP825" i="8"/>
  <c r="AG825" i="8" s="1"/>
  <c r="AD825" i="8"/>
  <c r="S825" i="8"/>
  <c r="AW824" i="8"/>
  <c r="AV824" i="8"/>
  <c r="AU824" i="8"/>
  <c r="AD824" i="8"/>
  <c r="S824" i="8"/>
  <c r="AW823" i="8"/>
  <c r="AV823" i="8"/>
  <c r="AU823" i="8"/>
  <c r="AQ823" i="8"/>
  <c r="AH823" i="8" s="1"/>
  <c r="AD823" i="8"/>
  <c r="S823" i="8"/>
  <c r="AP823" i="8" s="1"/>
  <c r="AG823" i="8" s="1"/>
  <c r="AW822" i="8"/>
  <c r="AV822" i="8"/>
  <c r="AU822" i="8"/>
  <c r="AP822" i="8"/>
  <c r="AG822" i="8" s="1"/>
  <c r="AM822" i="8"/>
  <c r="AF822" i="8" s="1"/>
  <c r="AD822" i="8"/>
  <c r="S822" i="8"/>
  <c r="AQ822" i="8" s="1"/>
  <c r="AH822" i="8" s="1"/>
  <c r="L822" i="8"/>
  <c r="AW821" i="8"/>
  <c r="AV821" i="8"/>
  <c r="AU821" i="8"/>
  <c r="AR821" i="8"/>
  <c r="AI821" i="8" s="1"/>
  <c r="AQ821" i="8"/>
  <c r="AH821" i="8" s="1"/>
  <c r="AP821" i="8"/>
  <c r="AG821" i="8" s="1"/>
  <c r="AD821" i="8"/>
  <c r="S821" i="8"/>
  <c r="AW820" i="8"/>
  <c r="AV820" i="8"/>
  <c r="AU820" i="8"/>
  <c r="AQ820" i="8"/>
  <c r="AH820" i="8" s="1"/>
  <c r="AD820" i="8"/>
  <c r="S820" i="8"/>
  <c r="AR820" i="8" s="1"/>
  <c r="AI820" i="8" s="1"/>
  <c r="AW819" i="8"/>
  <c r="AV819" i="8"/>
  <c r="AU819" i="8"/>
  <c r="AQ819" i="8"/>
  <c r="AH819" i="8" s="1"/>
  <c r="AP819" i="8"/>
  <c r="AG819" i="8" s="1"/>
  <c r="AD819" i="8"/>
  <c r="S819" i="8"/>
  <c r="AR819" i="8" s="1"/>
  <c r="AI819" i="8" s="1"/>
  <c r="AW818" i="8"/>
  <c r="AV818" i="8"/>
  <c r="AU818" i="8"/>
  <c r="AD818" i="8"/>
  <c r="S818" i="8"/>
  <c r="AR818" i="8" s="1"/>
  <c r="AI818" i="8" s="1"/>
  <c r="AW817" i="8"/>
  <c r="AV817" i="8"/>
  <c r="AU817" i="8"/>
  <c r="AO817" i="8" s="1"/>
  <c r="AR817" i="8"/>
  <c r="AI817" i="8" s="1"/>
  <c r="AQ817" i="8"/>
  <c r="AH817" i="8" s="1"/>
  <c r="AP817" i="8"/>
  <c r="AG817" i="8" s="1"/>
  <c r="AL817" i="8"/>
  <c r="AE817" i="8" s="1"/>
  <c r="AD817" i="8"/>
  <c r="S817" i="8"/>
  <c r="L817" i="8"/>
  <c r="AW816" i="8"/>
  <c r="AV816" i="8"/>
  <c r="AU816" i="8"/>
  <c r="AD816" i="8"/>
  <c r="S816" i="8"/>
  <c r="L816" i="8"/>
  <c r="AW815" i="8"/>
  <c r="AV815" i="8"/>
  <c r="AU815" i="8"/>
  <c r="AO815" i="8"/>
  <c r="AF815" i="8"/>
  <c r="AD815" i="8"/>
  <c r="S815" i="8"/>
  <c r="AR815" i="8" s="1"/>
  <c r="AI815" i="8" s="1"/>
  <c r="L815" i="8"/>
  <c r="AM815" i="8" s="1"/>
  <c r="AW814" i="8"/>
  <c r="AV814" i="8"/>
  <c r="AU814" i="8"/>
  <c r="AR814" i="8"/>
  <c r="AI814" i="8" s="1"/>
  <c r="AP814" i="8"/>
  <c r="AG814" i="8" s="1"/>
  <c r="AD814" i="8"/>
  <c r="S814" i="8"/>
  <c r="AQ814" i="8" s="1"/>
  <c r="AH814" i="8" s="1"/>
  <c r="L814" i="8"/>
  <c r="AW813" i="8"/>
  <c r="AV813" i="8"/>
  <c r="AU813" i="8"/>
  <c r="AD813" i="8"/>
  <c r="S813" i="8"/>
  <c r="AR813" i="8" s="1"/>
  <c r="AI813" i="8" s="1"/>
  <c r="L813" i="8"/>
  <c r="AO813" i="8" s="1"/>
  <c r="AW812" i="8"/>
  <c r="AV812" i="8"/>
  <c r="AU812" i="8"/>
  <c r="AD812" i="8"/>
  <c r="S812" i="8"/>
  <c r="L812" i="8"/>
  <c r="AO812" i="8" s="1"/>
  <c r="AW811" i="8"/>
  <c r="AV811" i="8"/>
  <c r="AU811" i="8"/>
  <c r="AO811" i="8"/>
  <c r="AM811" i="8"/>
  <c r="AF811" i="8" s="1"/>
  <c r="AL811" i="8"/>
  <c r="AE811" i="8"/>
  <c r="AD811" i="8"/>
  <c r="S811" i="8"/>
  <c r="AR811" i="8" s="1"/>
  <c r="AI811" i="8" s="1"/>
  <c r="L811" i="8"/>
  <c r="AW810" i="8"/>
  <c r="AV810" i="8"/>
  <c r="AU810" i="8"/>
  <c r="AQ810" i="8"/>
  <c r="AH810" i="8" s="1"/>
  <c r="AP810" i="8"/>
  <c r="AG810" i="8" s="1"/>
  <c r="AD810" i="8"/>
  <c r="S810" i="8"/>
  <c r="AR810" i="8" s="1"/>
  <c r="AI810" i="8" s="1"/>
  <c r="L810" i="8"/>
  <c r="AW809" i="8"/>
  <c r="AV809" i="8"/>
  <c r="AU809" i="8"/>
  <c r="AD809" i="8"/>
  <c r="S809" i="8"/>
  <c r="AR809" i="8" s="1"/>
  <c r="AI809" i="8" s="1"/>
  <c r="L809" i="8"/>
  <c r="AO809" i="8" s="1"/>
  <c r="AW808" i="8"/>
  <c r="AV808" i="8"/>
  <c r="AU808" i="8"/>
  <c r="AR808" i="8"/>
  <c r="AI808" i="8" s="1"/>
  <c r="AQ808" i="8"/>
  <c r="AH808" i="8" s="1"/>
  <c r="AD808" i="8"/>
  <c r="S808" i="8"/>
  <c r="AP808" i="8" s="1"/>
  <c r="AG808" i="8" s="1"/>
  <c r="AW807" i="8"/>
  <c r="AV807" i="8"/>
  <c r="AU807" i="8"/>
  <c r="AR807" i="8"/>
  <c r="AI807" i="8" s="1"/>
  <c r="AQ807" i="8"/>
  <c r="AH807" i="8" s="1"/>
  <c r="AP807" i="8"/>
  <c r="AG807" i="8" s="1"/>
  <c r="AD807" i="8"/>
  <c r="S807" i="8"/>
  <c r="AW806" i="8"/>
  <c r="AV806" i="8"/>
  <c r="AU806" i="8"/>
  <c r="AR806" i="8"/>
  <c r="AI806" i="8" s="1"/>
  <c r="AQ806" i="8"/>
  <c r="AH806" i="8" s="1"/>
  <c r="AD806" i="8"/>
  <c r="S806" i="8"/>
  <c r="AP806" i="8" s="1"/>
  <c r="AG806" i="8" s="1"/>
  <c r="AW805" i="8"/>
  <c r="AV805" i="8"/>
  <c r="AU805" i="8"/>
  <c r="AR805" i="8"/>
  <c r="AI805" i="8" s="1"/>
  <c r="AQ805" i="8"/>
  <c r="AH805" i="8" s="1"/>
  <c r="AP805" i="8"/>
  <c r="AG805" i="8" s="1"/>
  <c r="AD805" i="8"/>
  <c r="S805" i="8"/>
  <c r="AW804" i="8"/>
  <c r="AV804" i="8"/>
  <c r="AU804" i="8"/>
  <c r="AD804" i="8"/>
  <c r="S804" i="8"/>
  <c r="L804" i="8"/>
  <c r="AW803" i="8"/>
  <c r="AV803" i="8"/>
  <c r="AU803" i="8"/>
  <c r="AD803" i="8"/>
  <c r="S803" i="8"/>
  <c r="AR803" i="8" s="1"/>
  <c r="AI803" i="8" s="1"/>
  <c r="AW802" i="8"/>
  <c r="AV802" i="8"/>
  <c r="AU802" i="8"/>
  <c r="AD802" i="8"/>
  <c r="S802" i="8"/>
  <c r="AR802" i="8" s="1"/>
  <c r="AI802" i="8" s="1"/>
  <c r="AW801" i="8"/>
  <c r="AV801" i="8"/>
  <c r="AU801" i="8"/>
  <c r="AD801" i="8"/>
  <c r="S801" i="8"/>
  <c r="AW800" i="8"/>
  <c r="AV800" i="8"/>
  <c r="AU800" i="8"/>
  <c r="AD800" i="8"/>
  <c r="S800" i="8"/>
  <c r="AR800" i="8" s="1"/>
  <c r="AI800" i="8" s="1"/>
  <c r="AW799" i="8"/>
  <c r="AV799" i="8"/>
  <c r="AU799" i="8"/>
  <c r="AR799" i="8"/>
  <c r="AI799" i="8" s="1"/>
  <c r="AQ799" i="8"/>
  <c r="AH799" i="8" s="1"/>
  <c r="AO799" i="8"/>
  <c r="AD799" i="8"/>
  <c r="S799" i="8"/>
  <c r="AP799" i="8" s="1"/>
  <c r="AG799" i="8" s="1"/>
  <c r="L799" i="8"/>
  <c r="AW798" i="8"/>
  <c r="AV798" i="8"/>
  <c r="AU798" i="8"/>
  <c r="AD798" i="8"/>
  <c r="S798" i="8"/>
  <c r="AR798" i="8" s="1"/>
  <c r="AI798" i="8" s="1"/>
  <c r="AW797" i="8"/>
  <c r="AV797" i="8"/>
  <c r="AP797" i="8" s="1"/>
  <c r="AG797" i="8" s="1"/>
  <c r="AU797" i="8"/>
  <c r="AR797" i="8"/>
  <c r="AI797" i="8" s="1"/>
  <c r="AQ797" i="8"/>
  <c r="AH797" i="8" s="1"/>
  <c r="AD797" i="8"/>
  <c r="S797" i="8"/>
  <c r="AW796" i="8"/>
  <c r="AV796" i="8"/>
  <c r="AU796" i="8"/>
  <c r="AR796" i="8"/>
  <c r="AI796" i="8" s="1"/>
  <c r="AD796" i="8"/>
  <c r="S796" i="8"/>
  <c r="AQ796" i="8" s="1"/>
  <c r="AH796" i="8" s="1"/>
  <c r="AW795" i="8"/>
  <c r="AV795" i="8"/>
  <c r="AU795" i="8"/>
  <c r="AD795" i="8"/>
  <c r="S795" i="8"/>
  <c r="AP795" i="8" s="1"/>
  <c r="AG795" i="8" s="1"/>
  <c r="AW794" i="8"/>
  <c r="AV794" i="8"/>
  <c r="AU794" i="8"/>
  <c r="AD794" i="8"/>
  <c r="S794" i="8"/>
  <c r="L794" i="8"/>
  <c r="AW793" i="8"/>
  <c r="AV793" i="8"/>
  <c r="AP793" i="8" s="1"/>
  <c r="AG793" i="8" s="1"/>
  <c r="AU793" i="8"/>
  <c r="AL793" i="8" s="1"/>
  <c r="AE793" i="8" s="1"/>
  <c r="AD793" i="8"/>
  <c r="S793" i="8"/>
  <c r="AR793" i="8" s="1"/>
  <c r="AI793" i="8" s="1"/>
  <c r="L793" i="8"/>
  <c r="AO793" i="8" s="1"/>
  <c r="AW792" i="8"/>
  <c r="AV792" i="8"/>
  <c r="AU792" i="8"/>
  <c r="AR792" i="8"/>
  <c r="AI792" i="8" s="1"/>
  <c r="AQ792" i="8"/>
  <c r="AH792" i="8" s="1"/>
  <c r="AD792" i="8"/>
  <c r="S792" i="8"/>
  <c r="AP792" i="8" s="1"/>
  <c r="AG792" i="8" s="1"/>
  <c r="Z792" i="8" s="1"/>
  <c r="L792" i="8"/>
  <c r="AW791" i="8"/>
  <c r="AV791" i="8"/>
  <c r="AU791" i="8"/>
  <c r="AR791" i="8"/>
  <c r="AI791" i="8" s="1"/>
  <c r="AQ791" i="8"/>
  <c r="AH791" i="8" s="1"/>
  <c r="AP791" i="8"/>
  <c r="AG791" i="8" s="1"/>
  <c r="AD791" i="8"/>
  <c r="S791" i="8"/>
  <c r="L791" i="8"/>
  <c r="AO791" i="8" s="1"/>
  <c r="AW790" i="8"/>
  <c r="AV790" i="8"/>
  <c r="AU790" i="8"/>
  <c r="AR790" i="8"/>
  <c r="AI790" i="8" s="1"/>
  <c r="AQ790" i="8"/>
  <c r="AH790" i="8" s="1"/>
  <c r="AD790" i="8"/>
  <c r="S790" i="8"/>
  <c r="AP790" i="8" s="1"/>
  <c r="AG790" i="8" s="1"/>
  <c r="L790" i="8"/>
  <c r="AM790" i="8" s="1"/>
  <c r="AF790" i="8" s="1"/>
  <c r="AW789" i="8"/>
  <c r="AV789" i="8"/>
  <c r="AU789" i="8"/>
  <c r="AR789" i="8"/>
  <c r="AI789" i="8" s="1"/>
  <c r="AQ789" i="8"/>
  <c r="AH789" i="8" s="1"/>
  <c r="AP789" i="8"/>
  <c r="AG789" i="8" s="1"/>
  <c r="AM789" i="8"/>
  <c r="AF789" i="8" s="1"/>
  <c r="AL789" i="8"/>
  <c r="AE789" i="8" s="1"/>
  <c r="AD789" i="8"/>
  <c r="S789" i="8"/>
  <c r="L789" i="8"/>
  <c r="AO789" i="8" s="1"/>
  <c r="AW788" i="8"/>
  <c r="AV788" i="8"/>
  <c r="AU788" i="8"/>
  <c r="AD788" i="8"/>
  <c r="S788" i="8"/>
  <c r="L788" i="8"/>
  <c r="AW787" i="8"/>
  <c r="AV787" i="8"/>
  <c r="AU787" i="8"/>
  <c r="AD787" i="8"/>
  <c r="S787" i="8"/>
  <c r="AR787" i="8" s="1"/>
  <c r="AI787" i="8" s="1"/>
  <c r="L787" i="8"/>
  <c r="AW786" i="8"/>
  <c r="AV786" i="8"/>
  <c r="AU786" i="8"/>
  <c r="AM786" i="8" s="1"/>
  <c r="AF786" i="8"/>
  <c r="AD786" i="8"/>
  <c r="S786" i="8"/>
  <c r="AR786" i="8" s="1"/>
  <c r="AI786" i="8" s="1"/>
  <c r="L786" i="8"/>
  <c r="AL786" i="8" s="1"/>
  <c r="AE786" i="8" s="1"/>
  <c r="AW785" i="8"/>
  <c r="AV785" i="8"/>
  <c r="AU785" i="8"/>
  <c r="AO785" i="8"/>
  <c r="AM785" i="8"/>
  <c r="AF785" i="8" s="1"/>
  <c r="AD785" i="8"/>
  <c r="S785" i="8"/>
  <c r="L785" i="8"/>
  <c r="AW784" i="8"/>
  <c r="AV784" i="8"/>
  <c r="AU784" i="8"/>
  <c r="AM784" i="8"/>
  <c r="AF784" i="8"/>
  <c r="AD784" i="8"/>
  <c r="S784" i="8"/>
  <c r="AR784" i="8" s="1"/>
  <c r="AI784" i="8" s="1"/>
  <c r="L784" i="8"/>
  <c r="AO784" i="8" s="1"/>
  <c r="AW783" i="8"/>
  <c r="AV783" i="8"/>
  <c r="AU783" i="8"/>
  <c r="AR783" i="8"/>
  <c r="AI783" i="8" s="1"/>
  <c r="AO783" i="8"/>
  <c r="AD783" i="8"/>
  <c r="S783" i="8"/>
  <c r="AQ783" i="8" s="1"/>
  <c r="AH783" i="8" s="1"/>
  <c r="L783" i="8"/>
  <c r="AW782" i="8"/>
  <c r="AV782" i="8"/>
  <c r="AU782" i="8"/>
  <c r="AL782" i="8"/>
  <c r="AE782" i="8" s="1"/>
  <c r="AD782" i="8"/>
  <c r="S782" i="8"/>
  <c r="AR782" i="8" s="1"/>
  <c r="AI782" i="8" s="1"/>
  <c r="L782" i="8"/>
  <c r="AM782" i="8" s="1"/>
  <c r="AF782" i="8" s="1"/>
  <c r="AW781" i="8"/>
  <c r="AV781" i="8"/>
  <c r="AP781" i="8" s="1"/>
  <c r="AG781" i="8" s="1"/>
  <c r="AU781" i="8"/>
  <c r="AL781" i="8" s="1"/>
  <c r="AE781" i="8" s="1"/>
  <c r="AR781" i="8"/>
  <c r="AI781" i="8" s="1"/>
  <c r="AQ781" i="8"/>
  <c r="AH781" i="8" s="1"/>
  <c r="AD781" i="8"/>
  <c r="S781" i="8"/>
  <c r="L781" i="8"/>
  <c r="AW780" i="8"/>
  <c r="AV780" i="8"/>
  <c r="AU780" i="8"/>
  <c r="AR780" i="8"/>
  <c r="AI780" i="8" s="1"/>
  <c r="AD780" i="8"/>
  <c r="S780" i="8"/>
  <c r="AQ780" i="8" s="1"/>
  <c r="AH780" i="8" s="1"/>
  <c r="AW779" i="8"/>
  <c r="AV779" i="8"/>
  <c r="AU779" i="8"/>
  <c r="AD779" i="8"/>
  <c r="S779" i="8"/>
  <c r="AW778" i="8"/>
  <c r="AV778" i="8"/>
  <c r="AU778" i="8"/>
  <c r="AD778" i="8"/>
  <c r="S778" i="8"/>
  <c r="AW777" i="8"/>
  <c r="AV777" i="8"/>
  <c r="AP777" i="8" s="1"/>
  <c r="AG777" i="8" s="1"/>
  <c r="AU777" i="8"/>
  <c r="AD777" i="8"/>
  <c r="S777" i="8"/>
  <c r="AR777" i="8" s="1"/>
  <c r="AI777" i="8" s="1"/>
  <c r="AW776" i="8"/>
  <c r="AV776" i="8"/>
  <c r="AU776" i="8"/>
  <c r="AQ776" i="8"/>
  <c r="AH776" i="8" s="1"/>
  <c r="AP776" i="8"/>
  <c r="AG776" i="8" s="1"/>
  <c r="AD776" i="8"/>
  <c r="S776" i="8"/>
  <c r="AR776" i="8" s="1"/>
  <c r="AI776" i="8" s="1"/>
  <c r="L776" i="8"/>
  <c r="AW775" i="8"/>
  <c r="AV775" i="8"/>
  <c r="AU775" i="8"/>
  <c r="AR775" i="8"/>
  <c r="AI775" i="8" s="1"/>
  <c r="AP775" i="8"/>
  <c r="AG775" i="8" s="1"/>
  <c r="AD775" i="8"/>
  <c r="S775" i="8"/>
  <c r="AQ775" i="8" s="1"/>
  <c r="AH775" i="8" s="1"/>
  <c r="AW774" i="8"/>
  <c r="AV774" i="8"/>
  <c r="AU774" i="8"/>
  <c r="AR774" i="8"/>
  <c r="AI774" i="8" s="1"/>
  <c r="AQ774" i="8"/>
  <c r="AH774" i="8" s="1"/>
  <c r="AD774" i="8"/>
  <c r="S774" i="8"/>
  <c r="AP774" i="8" s="1"/>
  <c r="AG774" i="8" s="1"/>
  <c r="AW773" i="8"/>
  <c r="AV773" i="8"/>
  <c r="AU773" i="8"/>
  <c r="AR773" i="8"/>
  <c r="AI773" i="8" s="1"/>
  <c r="AQ773" i="8"/>
  <c r="AH773" i="8" s="1"/>
  <c r="AP773" i="8"/>
  <c r="AG773" i="8" s="1"/>
  <c r="AD773" i="8"/>
  <c r="S773" i="8"/>
  <c r="AW772" i="8"/>
  <c r="AV772" i="8"/>
  <c r="AU772" i="8"/>
  <c r="AD772" i="8"/>
  <c r="S772" i="8"/>
  <c r="AP772" i="8" s="1"/>
  <c r="AG772" i="8" s="1"/>
  <c r="AW771" i="8"/>
  <c r="AV771" i="8"/>
  <c r="AU771" i="8"/>
  <c r="AD771" i="8"/>
  <c r="S771" i="8"/>
  <c r="L771" i="8"/>
  <c r="AO771" i="8" s="1"/>
  <c r="AW770" i="8"/>
  <c r="AV770" i="8"/>
  <c r="AU770" i="8"/>
  <c r="AM770" i="8" s="1"/>
  <c r="AF770" i="8" s="1"/>
  <c r="AD770" i="8"/>
  <c r="S770" i="8"/>
  <c r="L770" i="8"/>
  <c r="AW769" i="8"/>
  <c r="AV769" i="8"/>
  <c r="AU769" i="8"/>
  <c r="AO769" i="8"/>
  <c r="AM769" i="8"/>
  <c r="AF769" i="8" s="1"/>
  <c r="AD769" i="8"/>
  <c r="S769" i="8"/>
  <c r="AR769" i="8" s="1"/>
  <c r="AI769" i="8" s="1"/>
  <c r="L769" i="8"/>
  <c r="AL769" i="8" s="1"/>
  <c r="AE769" i="8" s="1"/>
  <c r="AW768" i="8"/>
  <c r="AV768" i="8"/>
  <c r="AU768" i="8"/>
  <c r="AM768" i="8"/>
  <c r="AF768" i="8" s="1"/>
  <c r="AD768" i="8"/>
  <c r="S768" i="8"/>
  <c r="AR768" i="8" s="1"/>
  <c r="AI768" i="8" s="1"/>
  <c r="L768" i="8"/>
  <c r="AO768" i="8" s="1"/>
  <c r="AW767" i="8"/>
  <c r="AV767" i="8"/>
  <c r="AU767" i="8"/>
  <c r="AR767" i="8"/>
  <c r="AI767" i="8" s="1"/>
  <c r="AQ767" i="8"/>
  <c r="AH767" i="8" s="1"/>
  <c r="AP767" i="8"/>
  <c r="AG767" i="8" s="1"/>
  <c r="AO767" i="8"/>
  <c r="AD767" i="8"/>
  <c r="S767" i="8"/>
  <c r="L767" i="8"/>
  <c r="AW766" i="8"/>
  <c r="AV766" i="8"/>
  <c r="AU766" i="8"/>
  <c r="AO766" i="8"/>
  <c r="AL766" i="8"/>
  <c r="AE766" i="8" s="1"/>
  <c r="AD766" i="8"/>
  <c r="S766" i="8"/>
  <c r="L766" i="8"/>
  <c r="AM766" i="8" s="1"/>
  <c r="AF766" i="8" s="1"/>
  <c r="AW765" i="8"/>
  <c r="AV765" i="8"/>
  <c r="AU765" i="8"/>
  <c r="AR765" i="8"/>
  <c r="AI765" i="8" s="1"/>
  <c r="AQ765" i="8"/>
  <c r="AH765" i="8" s="1"/>
  <c r="AP765" i="8"/>
  <c r="AG765" i="8" s="1"/>
  <c r="AD765" i="8"/>
  <c r="S765" i="8"/>
  <c r="L765" i="8"/>
  <c r="AW764" i="8"/>
  <c r="AV764" i="8"/>
  <c r="AU764" i="8"/>
  <c r="AD764" i="8"/>
  <c r="S764" i="8"/>
  <c r="L764" i="8"/>
  <c r="AW763" i="8"/>
  <c r="AV763" i="8"/>
  <c r="AU763" i="8"/>
  <c r="AR763" i="8"/>
  <c r="AI763" i="8" s="1"/>
  <c r="AQ763" i="8"/>
  <c r="AH763" i="8" s="1"/>
  <c r="AP763" i="8"/>
  <c r="AG763" i="8" s="1"/>
  <c r="AO763" i="8"/>
  <c r="AD763" i="8"/>
  <c r="S763" i="8"/>
  <c r="L763" i="8"/>
  <c r="AW762" i="8"/>
  <c r="AV762" i="8"/>
  <c r="AU762" i="8"/>
  <c r="AP762" i="8"/>
  <c r="AG762" i="8" s="1"/>
  <c r="AM762" i="8"/>
  <c r="AF762" i="8" s="1"/>
  <c r="AL762" i="8"/>
  <c r="AE762" i="8" s="1"/>
  <c r="AD762" i="8"/>
  <c r="S762" i="8"/>
  <c r="L762" i="8"/>
  <c r="AO762" i="8" s="1"/>
  <c r="AW761" i="8"/>
  <c r="AV761" i="8"/>
  <c r="AU761" i="8"/>
  <c r="AR761" i="8"/>
  <c r="AI761" i="8" s="1"/>
  <c r="AQ761" i="8"/>
  <c r="AH761" i="8" s="1"/>
  <c r="AP761" i="8"/>
  <c r="AG761" i="8" s="1"/>
  <c r="AL761" i="8"/>
  <c r="AE761" i="8" s="1"/>
  <c r="AD761" i="8"/>
  <c r="S761" i="8"/>
  <c r="L761" i="8"/>
  <c r="AW760" i="8"/>
  <c r="AV760" i="8"/>
  <c r="AU760" i="8"/>
  <c r="AD760" i="8"/>
  <c r="S760" i="8"/>
  <c r="L760" i="8"/>
  <c r="AO760" i="8" s="1"/>
  <c r="AW759" i="8"/>
  <c r="AV759" i="8"/>
  <c r="AU759" i="8"/>
  <c r="AR759" i="8"/>
  <c r="AI759" i="8" s="1"/>
  <c r="AQ759" i="8"/>
  <c r="AH759" i="8" s="1"/>
  <c r="AP759" i="8"/>
  <c r="AG759" i="8" s="1"/>
  <c r="AO759" i="8"/>
  <c r="AD759" i="8"/>
  <c r="S759" i="8"/>
  <c r="L759" i="8"/>
  <c r="AW758" i="8"/>
  <c r="AV758" i="8"/>
  <c r="AU758" i="8"/>
  <c r="AO758" i="8"/>
  <c r="AM758" i="8"/>
  <c r="AF758" i="8" s="1"/>
  <c r="AL758" i="8"/>
  <c r="AE758" i="8" s="1"/>
  <c r="AD758" i="8"/>
  <c r="S758" i="8"/>
  <c r="AP758" i="8" s="1"/>
  <c r="AG758" i="8" s="1"/>
  <c r="L758" i="8"/>
  <c r="AW757" i="8"/>
  <c r="AV757" i="8"/>
  <c r="AU757" i="8"/>
  <c r="AR757" i="8"/>
  <c r="AI757" i="8" s="1"/>
  <c r="AQ757" i="8"/>
  <c r="AH757" i="8" s="1"/>
  <c r="AP757" i="8"/>
  <c r="AG757" i="8" s="1"/>
  <c r="AL757" i="8"/>
  <c r="AE757" i="8" s="1"/>
  <c r="AD757" i="8"/>
  <c r="S757" i="8"/>
  <c r="L757" i="8"/>
  <c r="AW756" i="8"/>
  <c r="AV756" i="8"/>
  <c r="AU756" i="8"/>
  <c r="AM756" i="8"/>
  <c r="AF756" i="8" s="1"/>
  <c r="AL756" i="8"/>
  <c r="AE756" i="8" s="1"/>
  <c r="AD756" i="8"/>
  <c r="S756" i="8"/>
  <c r="L756" i="8"/>
  <c r="AW755" i="8"/>
  <c r="AV755" i="8"/>
  <c r="AU755" i="8"/>
  <c r="AR755" i="8"/>
  <c r="AI755" i="8" s="1"/>
  <c r="AQ755" i="8"/>
  <c r="AH755" i="8" s="1"/>
  <c r="AP755" i="8"/>
  <c r="AG755" i="8" s="1"/>
  <c r="AO755" i="8"/>
  <c r="AD755" i="8"/>
  <c r="S755" i="8"/>
  <c r="L755" i="8"/>
  <c r="AW754" i="8"/>
  <c r="AV754" i="8"/>
  <c r="AU754" i="8"/>
  <c r="AP754" i="8"/>
  <c r="AG754" i="8" s="1"/>
  <c r="AD754" i="8"/>
  <c r="S754" i="8"/>
  <c r="L754" i="8"/>
  <c r="AW753" i="8"/>
  <c r="AV753" i="8"/>
  <c r="AU753" i="8"/>
  <c r="AR753" i="8"/>
  <c r="AI753" i="8" s="1"/>
  <c r="AQ753" i="8"/>
  <c r="AH753" i="8" s="1"/>
  <c r="AP753" i="8"/>
  <c r="AG753" i="8" s="1"/>
  <c r="AD753" i="8"/>
  <c r="S753" i="8"/>
  <c r="L753" i="8"/>
  <c r="AW752" i="8"/>
  <c r="AV752" i="8"/>
  <c r="AU752" i="8"/>
  <c r="AD752" i="8"/>
  <c r="S752" i="8"/>
  <c r="AW751" i="8"/>
  <c r="AV751" i="8"/>
  <c r="AU751" i="8"/>
  <c r="AR751" i="8"/>
  <c r="AI751" i="8" s="1"/>
  <c r="AQ751" i="8"/>
  <c r="AH751" i="8" s="1"/>
  <c r="AP751" i="8"/>
  <c r="AG751" i="8" s="1"/>
  <c r="AD751" i="8"/>
  <c r="S751" i="8"/>
  <c r="AW750" i="8"/>
  <c r="AV750" i="8"/>
  <c r="AU750" i="8"/>
  <c r="AD750" i="8"/>
  <c r="S750" i="8"/>
  <c r="AP750" i="8" s="1"/>
  <c r="AG750" i="8" s="1"/>
  <c r="AW749" i="8"/>
  <c r="AV749" i="8"/>
  <c r="AU749" i="8"/>
  <c r="AR749" i="8"/>
  <c r="AQ749" i="8"/>
  <c r="AP749" i="8"/>
  <c r="AG749" i="8" s="1"/>
  <c r="AI749" i="8"/>
  <c r="AH749" i="8"/>
  <c r="AD749" i="8"/>
  <c r="S749" i="8"/>
  <c r="AW748" i="8"/>
  <c r="AV748" i="8"/>
  <c r="AU748" i="8"/>
  <c r="AM748" i="8"/>
  <c r="AF748" i="8" s="1"/>
  <c r="AL748" i="8"/>
  <c r="AE748" i="8" s="1"/>
  <c r="AD748" i="8"/>
  <c r="S748" i="8"/>
  <c r="L748" i="8"/>
  <c r="AO748" i="8" s="1"/>
  <c r="AW747" i="8"/>
  <c r="AV747" i="8"/>
  <c r="AU747" i="8"/>
  <c r="AR747" i="8"/>
  <c r="AI747" i="8" s="1"/>
  <c r="AQ747" i="8"/>
  <c r="AH747" i="8" s="1"/>
  <c r="AP747" i="8"/>
  <c r="AG747" i="8" s="1"/>
  <c r="AD747" i="8"/>
  <c r="S747" i="8"/>
  <c r="AW746" i="8"/>
  <c r="AV746" i="8"/>
  <c r="AU746" i="8"/>
  <c r="AP746" i="8"/>
  <c r="AG746" i="8" s="1"/>
  <c r="AD746" i="8"/>
  <c r="S746" i="8"/>
  <c r="AW745" i="8"/>
  <c r="AV745" i="8"/>
  <c r="AU745" i="8"/>
  <c r="AR745" i="8"/>
  <c r="AI745" i="8" s="1"/>
  <c r="AQ745" i="8"/>
  <c r="AH745" i="8" s="1"/>
  <c r="AP745" i="8"/>
  <c r="AG745" i="8" s="1"/>
  <c r="AD745" i="8"/>
  <c r="S745" i="8"/>
  <c r="AW744" i="8"/>
  <c r="AV744" i="8"/>
  <c r="AU744" i="8"/>
  <c r="AP744" i="8"/>
  <c r="AG744" i="8" s="1"/>
  <c r="AD744" i="8"/>
  <c r="S744" i="8"/>
  <c r="AW743" i="8"/>
  <c r="AV743" i="8"/>
  <c r="AU743" i="8"/>
  <c r="AR743" i="8"/>
  <c r="AI743" i="8" s="1"/>
  <c r="AQ743" i="8"/>
  <c r="AH743" i="8" s="1"/>
  <c r="AP743" i="8"/>
  <c r="AG743" i="8" s="1"/>
  <c r="AO743" i="8"/>
  <c r="AL743" i="8"/>
  <c r="AE743" i="8" s="1"/>
  <c r="AD743" i="8"/>
  <c r="S743" i="8"/>
  <c r="L743" i="8"/>
  <c r="AW742" i="8"/>
  <c r="AV742" i="8"/>
  <c r="AU742" i="8"/>
  <c r="AD742" i="8"/>
  <c r="S742" i="8"/>
  <c r="L742" i="8"/>
  <c r="AW741" i="8"/>
  <c r="AV741" i="8"/>
  <c r="AU741" i="8"/>
  <c r="AR741" i="8"/>
  <c r="AI741" i="8" s="1"/>
  <c r="AQ741" i="8"/>
  <c r="AH741" i="8" s="1"/>
  <c r="AP741" i="8"/>
  <c r="AG741" i="8" s="1"/>
  <c r="AD741" i="8"/>
  <c r="S741" i="8"/>
  <c r="L741" i="8"/>
  <c r="AO741" i="8" s="1"/>
  <c r="AW740" i="8"/>
  <c r="AV740" i="8"/>
  <c r="AU740" i="8"/>
  <c r="AM740" i="8"/>
  <c r="AF740" i="8" s="1"/>
  <c r="AD740" i="8"/>
  <c r="S740" i="8"/>
  <c r="AP740" i="8" s="1"/>
  <c r="AG740" i="8" s="1"/>
  <c r="L740" i="8"/>
  <c r="AW739" i="8"/>
  <c r="AV739" i="8"/>
  <c r="AU739" i="8"/>
  <c r="AR739" i="8"/>
  <c r="AI739" i="8" s="1"/>
  <c r="AQ739" i="8"/>
  <c r="AH739" i="8" s="1"/>
  <c r="AP739" i="8"/>
  <c r="AG739" i="8" s="1"/>
  <c r="AD739" i="8"/>
  <c r="S739" i="8"/>
  <c r="L739" i="8"/>
  <c r="AW738" i="8"/>
  <c r="AV738" i="8"/>
  <c r="AP738" i="8" s="1"/>
  <c r="AG738" i="8" s="1"/>
  <c r="AU738" i="8"/>
  <c r="AM738" i="8"/>
  <c r="AF738" i="8" s="1"/>
  <c r="AD738" i="8"/>
  <c r="S738" i="8"/>
  <c r="L738" i="8"/>
  <c r="AO738" i="8" s="1"/>
  <c r="AW737" i="8"/>
  <c r="AV737" i="8"/>
  <c r="AU737" i="8"/>
  <c r="AR737" i="8"/>
  <c r="AI737" i="8" s="1"/>
  <c r="AQ737" i="8"/>
  <c r="AH737" i="8" s="1"/>
  <c r="AP737" i="8"/>
  <c r="AG737" i="8" s="1"/>
  <c r="AL737" i="8"/>
  <c r="AE737" i="8" s="1"/>
  <c r="AD737" i="8"/>
  <c r="S737" i="8"/>
  <c r="L737" i="8"/>
  <c r="AO737" i="8" s="1"/>
  <c r="AW736" i="8"/>
  <c r="AV736" i="8"/>
  <c r="AU736" i="8"/>
  <c r="AP736" i="8"/>
  <c r="AG736" i="8" s="1"/>
  <c r="AM736" i="8"/>
  <c r="AF736" i="8" s="1"/>
  <c r="AD736" i="8"/>
  <c r="S736" i="8"/>
  <c r="L736" i="8"/>
  <c r="AO736" i="8" s="1"/>
  <c r="AW735" i="8"/>
  <c r="AV735" i="8"/>
  <c r="AU735" i="8"/>
  <c r="AQ735" i="8"/>
  <c r="AH735" i="8" s="1"/>
  <c r="AD735" i="8"/>
  <c r="S735" i="8"/>
  <c r="AR735" i="8" s="1"/>
  <c r="AI735" i="8" s="1"/>
  <c r="L735" i="8"/>
  <c r="AO735" i="8" s="1"/>
  <c r="AW734" i="8"/>
  <c r="AV734" i="8"/>
  <c r="AU734" i="8"/>
  <c r="AO734" i="8" s="1"/>
  <c r="AL734" i="8"/>
  <c r="AE734" i="8" s="1"/>
  <c r="AD734" i="8"/>
  <c r="S734" i="8"/>
  <c r="AP734" i="8" s="1"/>
  <c r="AG734" i="8" s="1"/>
  <c r="L734" i="8"/>
  <c r="AW733" i="8"/>
  <c r="AV733" i="8"/>
  <c r="AU733" i="8"/>
  <c r="AR733" i="8"/>
  <c r="AI733" i="8" s="1"/>
  <c r="AQ733" i="8"/>
  <c r="AH733" i="8" s="1"/>
  <c r="AP733" i="8"/>
  <c r="AG733" i="8" s="1"/>
  <c r="AD733" i="8"/>
  <c r="S733" i="8"/>
  <c r="L733" i="8"/>
  <c r="AW732" i="8"/>
  <c r="AV732" i="8"/>
  <c r="AU732" i="8"/>
  <c r="AP732" i="8"/>
  <c r="AG732" i="8" s="1"/>
  <c r="AD732" i="8"/>
  <c r="S732" i="8"/>
  <c r="AR732" i="8" s="1"/>
  <c r="AI732" i="8" s="1"/>
  <c r="L732" i="8"/>
  <c r="AO732" i="8" s="1"/>
  <c r="AW731" i="8"/>
  <c r="AV731" i="8"/>
  <c r="AU731" i="8"/>
  <c r="AP731" i="8"/>
  <c r="AG731" i="8" s="1"/>
  <c r="AO731" i="8"/>
  <c r="AM731" i="8"/>
  <c r="AF731" i="8" s="1"/>
  <c r="AD731" i="8"/>
  <c r="S731" i="8"/>
  <c r="AR731" i="8" s="1"/>
  <c r="AI731" i="8" s="1"/>
  <c r="L731" i="8"/>
  <c r="AW730" i="8"/>
  <c r="AV730" i="8"/>
  <c r="AP730" i="8" s="1"/>
  <c r="AG730" i="8" s="1"/>
  <c r="AU730" i="8"/>
  <c r="AO730" i="8"/>
  <c r="AD730" i="8"/>
  <c r="S730" i="8"/>
  <c r="L730" i="8"/>
  <c r="AW729" i="8"/>
  <c r="AV729" i="8"/>
  <c r="AU729" i="8"/>
  <c r="AL729" i="8"/>
  <c r="AE729" i="8" s="1"/>
  <c r="AD729" i="8"/>
  <c r="S729" i="8"/>
  <c r="AR729" i="8" s="1"/>
  <c r="AI729" i="8" s="1"/>
  <c r="L729" i="8"/>
  <c r="AO729" i="8" s="1"/>
  <c r="AW728" i="8"/>
  <c r="AV728" i="8"/>
  <c r="AU728" i="8"/>
  <c r="AD728" i="8"/>
  <c r="S728" i="8"/>
  <c r="AR728" i="8" s="1"/>
  <c r="AI728" i="8" s="1"/>
  <c r="L728" i="8"/>
  <c r="AW727" i="8"/>
  <c r="AV727" i="8"/>
  <c r="AU727" i="8"/>
  <c r="AO727" i="8" s="1"/>
  <c r="AR727" i="8"/>
  <c r="AI727" i="8" s="1"/>
  <c r="AQ727" i="8"/>
  <c r="AP727" i="8"/>
  <c r="AG727" i="8" s="1"/>
  <c r="AL727" i="8"/>
  <c r="AE727" i="8" s="1"/>
  <c r="AH727" i="8"/>
  <c r="AD727" i="8"/>
  <c r="S727" i="8"/>
  <c r="L727" i="8"/>
  <c r="AW726" i="8"/>
  <c r="AV726" i="8"/>
  <c r="AU726" i="8"/>
  <c r="AQ726" i="8"/>
  <c r="AH726" i="8" s="1"/>
  <c r="AM726" i="8"/>
  <c r="AF726" i="8" s="1"/>
  <c r="AD726" i="8"/>
  <c r="S726" i="8"/>
  <c r="L726" i="8"/>
  <c r="AO726" i="8" s="1"/>
  <c r="AW725" i="8"/>
  <c r="AV725" i="8"/>
  <c r="AU725" i="8"/>
  <c r="AR725" i="8"/>
  <c r="AI725" i="8" s="1"/>
  <c r="AQ725" i="8"/>
  <c r="AH725" i="8" s="1"/>
  <c r="AM725" i="8"/>
  <c r="AF725" i="8" s="1"/>
  <c r="AD725" i="8"/>
  <c r="S725" i="8"/>
  <c r="AP725" i="8" s="1"/>
  <c r="AG725" i="8" s="1"/>
  <c r="L725" i="8"/>
  <c r="AW724" i="8"/>
  <c r="AV724" i="8"/>
  <c r="AU724" i="8"/>
  <c r="AP724" i="8"/>
  <c r="AG724" i="8" s="1"/>
  <c r="AD724" i="8"/>
  <c r="S724" i="8"/>
  <c r="AW723" i="8"/>
  <c r="AV723" i="8"/>
  <c r="AU723" i="8"/>
  <c r="AR723" i="8"/>
  <c r="AI723" i="8" s="1"/>
  <c r="AQ723" i="8"/>
  <c r="AH723" i="8" s="1"/>
  <c r="AP723" i="8"/>
  <c r="AG723" i="8" s="1"/>
  <c r="AD723" i="8"/>
  <c r="S723" i="8"/>
  <c r="AW722" i="8"/>
  <c r="AV722" i="8"/>
  <c r="AU722" i="8"/>
  <c r="AD722" i="8"/>
  <c r="S722" i="8"/>
  <c r="AW721" i="8"/>
  <c r="AV721" i="8"/>
  <c r="AU721" i="8"/>
  <c r="AR721" i="8"/>
  <c r="AI721" i="8" s="1"/>
  <c r="AQ721" i="8"/>
  <c r="AH721" i="8" s="1"/>
  <c r="AP721" i="8"/>
  <c r="AG721" i="8" s="1"/>
  <c r="AD721" i="8"/>
  <c r="S721" i="8"/>
  <c r="AW720" i="8"/>
  <c r="AV720" i="8"/>
  <c r="AU720" i="8"/>
  <c r="AO720" i="8"/>
  <c r="AD720" i="8"/>
  <c r="S720" i="8"/>
  <c r="AR720" i="8" s="1"/>
  <c r="AI720" i="8" s="1"/>
  <c r="L720" i="8"/>
  <c r="AW719" i="8"/>
  <c r="AV719" i="8"/>
  <c r="AU719" i="8"/>
  <c r="AR719" i="8"/>
  <c r="AI719" i="8" s="1"/>
  <c r="AQ719" i="8"/>
  <c r="AH719" i="8" s="1"/>
  <c r="AP719" i="8"/>
  <c r="AG719" i="8" s="1"/>
  <c r="AD719" i="8"/>
  <c r="S719" i="8"/>
  <c r="AW718" i="8"/>
  <c r="AV718" i="8"/>
  <c r="AU718" i="8"/>
  <c r="AD718" i="8"/>
  <c r="S718" i="8"/>
  <c r="AW717" i="8"/>
  <c r="AV717" i="8"/>
  <c r="AU717" i="8"/>
  <c r="AR717" i="8"/>
  <c r="AI717" i="8" s="1"/>
  <c r="AQ717" i="8"/>
  <c r="AH717" i="8" s="1"/>
  <c r="AP717" i="8"/>
  <c r="AG717" i="8" s="1"/>
  <c r="AD717" i="8"/>
  <c r="S717" i="8"/>
  <c r="AW716" i="8"/>
  <c r="AV716" i="8"/>
  <c r="AU716" i="8"/>
  <c r="AD716" i="8"/>
  <c r="S716" i="8"/>
  <c r="AR716" i="8" s="1"/>
  <c r="AI716" i="8" s="1"/>
  <c r="AW715" i="8"/>
  <c r="AV715" i="8"/>
  <c r="AU715" i="8"/>
  <c r="AR715" i="8"/>
  <c r="AI715" i="8" s="1"/>
  <c r="AQ715" i="8"/>
  <c r="AH715" i="8" s="1"/>
  <c r="AP715" i="8"/>
  <c r="AG715" i="8" s="1"/>
  <c r="AO715" i="8"/>
  <c r="AD715" i="8"/>
  <c r="S715" i="8"/>
  <c r="L715" i="8"/>
  <c r="AW714" i="8"/>
  <c r="AV714" i="8"/>
  <c r="AU714" i="8"/>
  <c r="AD714" i="8"/>
  <c r="S714" i="8"/>
  <c r="L714" i="8"/>
  <c r="AW713" i="8"/>
  <c r="AV713" i="8"/>
  <c r="AU713" i="8"/>
  <c r="AR713" i="8"/>
  <c r="AI713" i="8" s="1"/>
  <c r="AQ713" i="8"/>
  <c r="AH713" i="8" s="1"/>
  <c r="AP713" i="8"/>
  <c r="AG713" i="8" s="1"/>
  <c r="AO713" i="8"/>
  <c r="AD713" i="8"/>
  <c r="S713" i="8"/>
  <c r="L713" i="8"/>
  <c r="AM713" i="8" s="1"/>
  <c r="AF713" i="8" s="1"/>
  <c r="AW712" i="8"/>
  <c r="AV712" i="8"/>
  <c r="AU712" i="8"/>
  <c r="AO712" i="8"/>
  <c r="AD712" i="8"/>
  <c r="S712" i="8"/>
  <c r="AR712" i="8" s="1"/>
  <c r="AI712" i="8" s="1"/>
  <c r="L712" i="8"/>
  <c r="AW711" i="8"/>
  <c r="AV711" i="8"/>
  <c r="AU711" i="8"/>
  <c r="AR711" i="8"/>
  <c r="AI711" i="8" s="1"/>
  <c r="AQ711" i="8"/>
  <c r="AH711" i="8" s="1"/>
  <c r="AP711" i="8"/>
  <c r="AG711" i="8" s="1"/>
  <c r="AO711" i="8"/>
  <c r="AD711" i="8"/>
  <c r="S711" i="8"/>
  <c r="L711" i="8"/>
  <c r="AW710" i="8"/>
  <c r="AV710" i="8"/>
  <c r="AU710" i="8"/>
  <c r="AO710" i="8"/>
  <c r="AL710" i="8"/>
  <c r="AE710" i="8" s="1"/>
  <c r="AD710" i="8"/>
  <c r="S710" i="8"/>
  <c r="L710" i="8"/>
  <c r="AW709" i="8"/>
  <c r="AV709" i="8"/>
  <c r="AU709" i="8"/>
  <c r="AR709" i="8"/>
  <c r="AI709" i="8" s="1"/>
  <c r="AQ709" i="8"/>
  <c r="AH709" i="8" s="1"/>
  <c r="AP709" i="8"/>
  <c r="AG709" i="8" s="1"/>
  <c r="AO709" i="8"/>
  <c r="AD709" i="8"/>
  <c r="S709" i="8"/>
  <c r="L709" i="8"/>
  <c r="AM709" i="8" s="1"/>
  <c r="AF709" i="8" s="1"/>
  <c r="AW708" i="8"/>
  <c r="AV708" i="8"/>
  <c r="AU708" i="8"/>
  <c r="AO708" i="8"/>
  <c r="AD708" i="8"/>
  <c r="S708" i="8"/>
  <c r="AR708" i="8" s="1"/>
  <c r="AI708" i="8" s="1"/>
  <c r="L708" i="8"/>
  <c r="AW707" i="8"/>
  <c r="AV707" i="8"/>
  <c r="AU707" i="8"/>
  <c r="AR707" i="8"/>
  <c r="AI707" i="8" s="1"/>
  <c r="AQ707" i="8"/>
  <c r="AH707" i="8" s="1"/>
  <c r="AP707" i="8"/>
  <c r="AG707" i="8" s="1"/>
  <c r="AO707" i="8"/>
  <c r="AD707" i="8"/>
  <c r="S707" i="8"/>
  <c r="L707" i="8"/>
  <c r="AW706" i="8"/>
  <c r="AV706" i="8"/>
  <c r="AU706" i="8"/>
  <c r="AM706" i="8"/>
  <c r="AF706" i="8" s="1"/>
  <c r="AL706" i="8"/>
  <c r="AE706" i="8" s="1"/>
  <c r="AD706" i="8"/>
  <c r="S706" i="8"/>
  <c r="L706" i="8"/>
  <c r="AO706" i="8" s="1"/>
  <c r="AW705" i="8"/>
  <c r="AV705" i="8"/>
  <c r="AU705" i="8"/>
  <c r="AR705" i="8"/>
  <c r="AQ705" i="8"/>
  <c r="AH705" i="8" s="1"/>
  <c r="AP705" i="8"/>
  <c r="AG705" i="8" s="1"/>
  <c r="AO705" i="8"/>
  <c r="AI705" i="8"/>
  <c r="AD705" i="8"/>
  <c r="S705" i="8"/>
  <c r="L705" i="8"/>
  <c r="AM705" i="8" s="1"/>
  <c r="AF705" i="8" s="1"/>
  <c r="AW704" i="8"/>
  <c r="AV704" i="8"/>
  <c r="AU704" i="8"/>
  <c r="AO704" i="8" s="1"/>
  <c r="AD704" i="8"/>
  <c r="S704" i="8"/>
  <c r="AR704" i="8" s="1"/>
  <c r="AI704" i="8" s="1"/>
  <c r="L704" i="8"/>
  <c r="AW703" i="8"/>
  <c r="AV703" i="8"/>
  <c r="AR703" i="8" s="1"/>
  <c r="AI703" i="8" s="1"/>
  <c r="AU703" i="8"/>
  <c r="AQ703" i="8"/>
  <c r="AH703" i="8" s="1"/>
  <c r="AP703" i="8"/>
  <c r="AG703" i="8" s="1"/>
  <c r="AO703" i="8"/>
  <c r="AD703" i="8"/>
  <c r="S703" i="8"/>
  <c r="L703" i="8"/>
  <c r="AW702" i="8"/>
  <c r="AV702" i="8"/>
  <c r="AU702" i="8"/>
  <c r="AO702" i="8"/>
  <c r="AM702" i="8"/>
  <c r="AF702" i="8" s="1"/>
  <c r="AL702" i="8"/>
  <c r="AE702" i="8" s="1"/>
  <c r="AD702" i="8"/>
  <c r="S702" i="8"/>
  <c r="L702" i="8"/>
  <c r="AW701" i="8"/>
  <c r="AV701" i="8"/>
  <c r="AU701" i="8"/>
  <c r="AR701" i="8"/>
  <c r="AI701" i="8" s="1"/>
  <c r="AQ701" i="8"/>
  <c r="AH701" i="8" s="1"/>
  <c r="AP701" i="8"/>
  <c r="AG701" i="8" s="1"/>
  <c r="AO701" i="8"/>
  <c r="AD701" i="8"/>
  <c r="S701" i="8"/>
  <c r="L701" i="8"/>
  <c r="AM701" i="8" s="1"/>
  <c r="AF701" i="8" s="1"/>
  <c r="AW700" i="8"/>
  <c r="AV700" i="8"/>
  <c r="AU700" i="8"/>
  <c r="AL700" i="8" s="1"/>
  <c r="AE700" i="8" s="1"/>
  <c r="AD700" i="8"/>
  <c r="S700" i="8"/>
  <c r="AR700" i="8" s="1"/>
  <c r="AI700" i="8" s="1"/>
  <c r="L700" i="8"/>
  <c r="AW699" i="8"/>
  <c r="AV699" i="8"/>
  <c r="AR699" i="8" s="1"/>
  <c r="AI699" i="8" s="1"/>
  <c r="AU699" i="8"/>
  <c r="AQ699" i="8"/>
  <c r="AH699" i="8" s="1"/>
  <c r="AP699" i="8"/>
  <c r="AG699" i="8" s="1"/>
  <c r="AO699" i="8"/>
  <c r="AD699" i="8"/>
  <c r="S699" i="8"/>
  <c r="L699" i="8"/>
  <c r="AW698" i="8"/>
  <c r="AV698" i="8"/>
  <c r="AU698" i="8"/>
  <c r="AO698" i="8"/>
  <c r="AM698" i="8"/>
  <c r="AF698" i="8" s="1"/>
  <c r="AL698" i="8"/>
  <c r="AE698" i="8" s="1"/>
  <c r="AD698" i="8"/>
  <c r="S698" i="8"/>
  <c r="L698" i="8"/>
  <c r="AW697" i="8"/>
  <c r="AV697" i="8"/>
  <c r="AU697" i="8"/>
  <c r="AR697" i="8"/>
  <c r="AI697" i="8" s="1"/>
  <c r="AQ697" i="8"/>
  <c r="AH697" i="8" s="1"/>
  <c r="AP697" i="8"/>
  <c r="AG697" i="8" s="1"/>
  <c r="AO697" i="8"/>
  <c r="AD697" i="8"/>
  <c r="S697" i="8"/>
  <c r="L697" i="8"/>
  <c r="AM697" i="8" s="1"/>
  <c r="AF697" i="8" s="1"/>
  <c r="AW696" i="8"/>
  <c r="AV696" i="8"/>
  <c r="AU696" i="8"/>
  <c r="AD696" i="8"/>
  <c r="S696" i="8"/>
  <c r="AW695" i="8"/>
  <c r="AV695" i="8"/>
  <c r="AR695" i="8" s="1"/>
  <c r="AI695" i="8" s="1"/>
  <c r="AU695" i="8"/>
  <c r="AQ695" i="8"/>
  <c r="AH695" i="8" s="1"/>
  <c r="AP695" i="8"/>
  <c r="AG695" i="8" s="1"/>
  <c r="AD695" i="8"/>
  <c r="S695" i="8"/>
  <c r="AW694" i="8"/>
  <c r="AV694" i="8"/>
  <c r="AU694" i="8"/>
  <c r="AR694" i="8"/>
  <c r="AI694" i="8" s="1"/>
  <c r="AD694" i="8"/>
  <c r="S694" i="8"/>
  <c r="AW693" i="8"/>
  <c r="AV693" i="8"/>
  <c r="AU693" i="8"/>
  <c r="AR693" i="8"/>
  <c r="AQ693" i="8"/>
  <c r="AH693" i="8" s="1"/>
  <c r="AP693" i="8"/>
  <c r="AG693" i="8" s="1"/>
  <c r="AI693" i="8"/>
  <c r="AD693" i="8"/>
  <c r="S693" i="8"/>
  <c r="AW692" i="8"/>
  <c r="AV692" i="8"/>
  <c r="AU692" i="8"/>
  <c r="AD692" i="8"/>
  <c r="S692" i="8"/>
  <c r="L692" i="8"/>
  <c r="AW691" i="8"/>
  <c r="AV691" i="8"/>
  <c r="AU691" i="8"/>
  <c r="AD691" i="8"/>
  <c r="S691" i="8"/>
  <c r="AW690" i="8"/>
  <c r="AV690" i="8"/>
  <c r="AU690" i="8"/>
  <c r="AD690" i="8"/>
  <c r="S690" i="8"/>
  <c r="AW689" i="8"/>
  <c r="AV689" i="8"/>
  <c r="AU689" i="8"/>
  <c r="AR689" i="8"/>
  <c r="AI689" i="8" s="1"/>
  <c r="AQ689" i="8"/>
  <c r="AH689" i="8" s="1"/>
  <c r="AP689" i="8"/>
  <c r="AG689" i="8" s="1"/>
  <c r="AD689" i="8"/>
  <c r="S689" i="8"/>
  <c r="AW688" i="8"/>
  <c r="AV688" i="8"/>
  <c r="AU688" i="8"/>
  <c r="AD688" i="8"/>
  <c r="S688" i="8"/>
  <c r="AP688" i="8" s="1"/>
  <c r="AG688" i="8" s="1"/>
  <c r="AW687" i="8"/>
  <c r="AV687" i="8"/>
  <c r="AR687" i="8" s="1"/>
  <c r="AI687" i="8" s="1"/>
  <c r="AU687" i="8"/>
  <c r="AQ687" i="8"/>
  <c r="AH687" i="8" s="1"/>
  <c r="AP687" i="8"/>
  <c r="AG687" i="8" s="1"/>
  <c r="AO687" i="8"/>
  <c r="AL687" i="8"/>
  <c r="AE687" i="8" s="1"/>
  <c r="AD687" i="8"/>
  <c r="S687" i="8"/>
  <c r="L687" i="8"/>
  <c r="AW686" i="8"/>
  <c r="AV686" i="8"/>
  <c r="AU686" i="8"/>
  <c r="AO686" i="8" s="1"/>
  <c r="AR686" i="8"/>
  <c r="AI686" i="8" s="1"/>
  <c r="AD686" i="8"/>
  <c r="S686" i="8"/>
  <c r="L686" i="8"/>
  <c r="AW685" i="8"/>
  <c r="AV685" i="8"/>
  <c r="AU685" i="8"/>
  <c r="AR685" i="8"/>
  <c r="AI685" i="8" s="1"/>
  <c r="AQ685" i="8"/>
  <c r="AH685" i="8" s="1"/>
  <c r="AP685" i="8"/>
  <c r="AG685" i="8" s="1"/>
  <c r="AO685" i="8"/>
  <c r="AD685" i="8"/>
  <c r="S685" i="8"/>
  <c r="L685" i="8"/>
  <c r="AM685" i="8" s="1"/>
  <c r="AF685" i="8" s="1"/>
  <c r="AW684" i="8"/>
  <c r="AV684" i="8"/>
  <c r="AU684" i="8"/>
  <c r="AD684" i="8"/>
  <c r="S684" i="8"/>
  <c r="AP684" i="8" s="1"/>
  <c r="AG684" i="8" s="1"/>
  <c r="L684" i="8"/>
  <c r="AW683" i="8"/>
  <c r="AV683" i="8"/>
  <c r="AR683" i="8" s="1"/>
  <c r="AI683" i="8" s="1"/>
  <c r="AU683" i="8"/>
  <c r="AQ683" i="8"/>
  <c r="AH683" i="8" s="1"/>
  <c r="AP683" i="8"/>
  <c r="AG683" i="8" s="1"/>
  <c r="AO683" i="8"/>
  <c r="AL683" i="8"/>
  <c r="AE683" i="8" s="1"/>
  <c r="AD683" i="8"/>
  <c r="S683" i="8"/>
  <c r="L683" i="8"/>
  <c r="AW682" i="8"/>
  <c r="AV682" i="8"/>
  <c r="AU682" i="8"/>
  <c r="AO682" i="8" s="1"/>
  <c r="AR682" i="8"/>
  <c r="AI682" i="8" s="1"/>
  <c r="AD682" i="8"/>
  <c r="S682" i="8"/>
  <c r="L682" i="8"/>
  <c r="AW681" i="8"/>
  <c r="AV681" i="8"/>
  <c r="AU681" i="8"/>
  <c r="AR681" i="8"/>
  <c r="AI681" i="8" s="1"/>
  <c r="AQ681" i="8"/>
  <c r="AH681" i="8" s="1"/>
  <c r="AP681" i="8"/>
  <c r="AG681" i="8" s="1"/>
  <c r="Z681" i="8" s="1"/>
  <c r="AO681" i="8"/>
  <c r="AD681" i="8"/>
  <c r="S681" i="8"/>
  <c r="L681" i="8"/>
  <c r="AM681" i="8" s="1"/>
  <c r="AF681" i="8" s="1"/>
  <c r="AW680" i="8"/>
  <c r="AV680" i="8"/>
  <c r="AU680" i="8"/>
  <c r="AP680" i="8"/>
  <c r="AG680" i="8" s="1"/>
  <c r="AL680" i="8"/>
  <c r="AE680" i="8" s="1"/>
  <c r="AD680" i="8"/>
  <c r="S680" i="8"/>
  <c r="L680" i="8"/>
  <c r="AW679" i="8"/>
  <c r="AV679" i="8"/>
  <c r="AR679" i="8" s="1"/>
  <c r="AI679" i="8" s="1"/>
  <c r="AU679" i="8"/>
  <c r="AQ679" i="8"/>
  <c r="AH679" i="8" s="1"/>
  <c r="AP679" i="8"/>
  <c r="AG679" i="8" s="1"/>
  <c r="AD679" i="8"/>
  <c r="S679" i="8"/>
  <c r="L679" i="8"/>
  <c r="AW678" i="8"/>
  <c r="AV678" i="8"/>
  <c r="AU678" i="8"/>
  <c r="AM678" i="8" s="1"/>
  <c r="AF678" i="8" s="1"/>
  <c r="AL678" i="8"/>
  <c r="AE678" i="8" s="1"/>
  <c r="AD678" i="8"/>
  <c r="S678" i="8"/>
  <c r="AR678" i="8" s="1"/>
  <c r="AI678" i="8" s="1"/>
  <c r="L678" i="8"/>
  <c r="AO678" i="8" s="1"/>
  <c r="AW677" i="8"/>
  <c r="AV677" i="8"/>
  <c r="AU677" i="8"/>
  <c r="AR677" i="8"/>
  <c r="AI677" i="8" s="1"/>
  <c r="AQ677" i="8"/>
  <c r="AH677" i="8" s="1"/>
  <c r="AP677" i="8"/>
  <c r="AG677" i="8" s="1"/>
  <c r="AO677" i="8"/>
  <c r="AD677" i="8"/>
  <c r="S677" i="8"/>
  <c r="L677" i="8"/>
  <c r="AM677" i="8" s="1"/>
  <c r="AF677" i="8" s="1"/>
  <c r="AW676" i="8"/>
  <c r="AV676" i="8"/>
  <c r="AU676" i="8"/>
  <c r="AP676" i="8"/>
  <c r="AG676" i="8" s="1"/>
  <c r="AD676" i="8"/>
  <c r="S676" i="8"/>
  <c r="L676" i="8"/>
  <c r="AW675" i="8"/>
  <c r="AV675" i="8"/>
  <c r="AR675" i="8" s="1"/>
  <c r="AI675" i="8" s="1"/>
  <c r="AU675" i="8"/>
  <c r="AQ675" i="8"/>
  <c r="AH675" i="8" s="1"/>
  <c r="AP675" i="8"/>
  <c r="AG675" i="8" s="1"/>
  <c r="AD675" i="8"/>
  <c r="S675" i="8"/>
  <c r="L675" i="8"/>
  <c r="AW674" i="8"/>
  <c r="AV674" i="8"/>
  <c r="AU674" i="8"/>
  <c r="AR674" i="8"/>
  <c r="AI674" i="8" s="1"/>
  <c r="AO674" i="8"/>
  <c r="AM674" i="8"/>
  <c r="AF674" i="8" s="1"/>
  <c r="AL674" i="8"/>
  <c r="AE674" i="8" s="1"/>
  <c r="AD674" i="8"/>
  <c r="S674" i="8"/>
  <c r="L674" i="8"/>
  <c r="AW673" i="8"/>
  <c r="AV673" i="8"/>
  <c r="AU673" i="8"/>
  <c r="AR673" i="8"/>
  <c r="AI673" i="8" s="1"/>
  <c r="AQ673" i="8"/>
  <c r="AH673" i="8" s="1"/>
  <c r="AP673" i="8"/>
  <c r="AO673" i="8"/>
  <c r="AG673" i="8"/>
  <c r="Z673" i="8" s="1"/>
  <c r="AD673" i="8"/>
  <c r="S673" i="8"/>
  <c r="L673" i="8"/>
  <c r="AM673" i="8" s="1"/>
  <c r="AF673" i="8" s="1"/>
  <c r="AW672" i="8"/>
  <c r="AV672" i="8"/>
  <c r="AP672" i="8" s="1"/>
  <c r="AG672" i="8" s="1"/>
  <c r="AU672" i="8"/>
  <c r="AM672" i="8"/>
  <c r="AF672" i="8" s="1"/>
  <c r="AL672" i="8"/>
  <c r="AE672" i="8" s="1"/>
  <c r="AD672" i="8"/>
  <c r="S672" i="8"/>
  <c r="L672" i="8"/>
  <c r="AO672" i="8" s="1"/>
  <c r="AW671" i="8"/>
  <c r="AV671" i="8"/>
  <c r="AP671" i="8" s="1"/>
  <c r="AG671" i="8" s="1"/>
  <c r="AU671" i="8"/>
  <c r="AR671" i="8"/>
  <c r="AI671" i="8" s="1"/>
  <c r="AQ671" i="8"/>
  <c r="AH671" i="8" s="1"/>
  <c r="AL671" i="8"/>
  <c r="AE671" i="8" s="1"/>
  <c r="AD671" i="8"/>
  <c r="S671" i="8"/>
  <c r="L671" i="8"/>
  <c r="AO671" i="8" s="1"/>
  <c r="AW670" i="8"/>
  <c r="AV670" i="8"/>
  <c r="AU670" i="8"/>
  <c r="AL670" i="8" s="1"/>
  <c r="AE670" i="8" s="1"/>
  <c r="AM670" i="8"/>
  <c r="AF670" i="8" s="1"/>
  <c r="AD670" i="8"/>
  <c r="S670" i="8"/>
  <c r="L670" i="8"/>
  <c r="AO670" i="8" s="1"/>
  <c r="AW669" i="8"/>
  <c r="AV669" i="8"/>
  <c r="AU669" i="8"/>
  <c r="AR669" i="8"/>
  <c r="AI669" i="8" s="1"/>
  <c r="AQ669" i="8"/>
  <c r="AH669" i="8" s="1"/>
  <c r="AP669" i="8"/>
  <c r="AG669" i="8" s="1"/>
  <c r="AO669" i="8"/>
  <c r="AD669" i="8"/>
  <c r="S669" i="8"/>
  <c r="L669" i="8"/>
  <c r="AM669" i="8" s="1"/>
  <c r="AF669" i="8" s="1"/>
  <c r="AW668" i="8"/>
  <c r="AV668" i="8"/>
  <c r="AQ668" i="8" s="1"/>
  <c r="AH668" i="8" s="1"/>
  <c r="AU668" i="8"/>
  <c r="AL668" i="8"/>
  <c r="AE668" i="8" s="1"/>
  <c r="AD668" i="8"/>
  <c r="S668" i="8"/>
  <c r="L668" i="8"/>
  <c r="AO668" i="8" s="1"/>
  <c r="AW667" i="8"/>
  <c r="AV667" i="8"/>
  <c r="AU667" i="8"/>
  <c r="AR667" i="8"/>
  <c r="AI667" i="8" s="1"/>
  <c r="AQ667" i="8"/>
  <c r="AH667" i="8" s="1"/>
  <c r="AD667" i="8"/>
  <c r="S667" i="8"/>
  <c r="AP667" i="8" s="1"/>
  <c r="AG667" i="8" s="1"/>
  <c r="L667" i="8"/>
  <c r="AM667" i="8" s="1"/>
  <c r="AF667" i="8" s="1"/>
  <c r="AW666" i="8"/>
  <c r="AV666" i="8"/>
  <c r="AU666" i="8"/>
  <c r="AD666" i="8"/>
  <c r="S666" i="8"/>
  <c r="AQ666" i="8" s="1"/>
  <c r="AH666" i="8" s="1"/>
  <c r="L666" i="8"/>
  <c r="AO666" i="8" s="1"/>
  <c r="AW665" i="8"/>
  <c r="AV665" i="8"/>
  <c r="AU665" i="8"/>
  <c r="AR665" i="8"/>
  <c r="AI665" i="8" s="1"/>
  <c r="AQ665" i="8"/>
  <c r="AH665" i="8" s="1"/>
  <c r="AP665" i="8"/>
  <c r="AG665" i="8" s="1"/>
  <c r="AD665" i="8"/>
  <c r="S665" i="8"/>
  <c r="L665" i="8"/>
  <c r="AW664" i="8"/>
  <c r="AV664" i="8"/>
  <c r="AU664" i="8"/>
  <c r="AM664" i="8"/>
  <c r="AF664" i="8" s="1"/>
  <c r="AD664" i="8"/>
  <c r="S664" i="8"/>
  <c r="L664" i="8"/>
  <c r="AO664" i="8" s="1"/>
  <c r="AW663" i="8"/>
  <c r="AV663" i="8"/>
  <c r="AR663" i="8" s="1"/>
  <c r="AI663" i="8" s="1"/>
  <c r="AU663" i="8"/>
  <c r="AO663" i="8" s="1"/>
  <c r="AP663" i="8"/>
  <c r="AG663" i="8" s="1"/>
  <c r="AD663" i="8"/>
  <c r="S663" i="8"/>
  <c r="L663" i="8"/>
  <c r="AW662" i="8"/>
  <c r="AV662" i="8"/>
  <c r="AU662" i="8"/>
  <c r="AR662" i="8"/>
  <c r="AI662" i="8" s="1"/>
  <c r="AQ662" i="8"/>
  <c r="AH662" i="8" s="1"/>
  <c r="AP662" i="8"/>
  <c r="AG662" i="8" s="1"/>
  <c r="AO662" i="8"/>
  <c r="AD662" i="8"/>
  <c r="S662" i="8"/>
  <c r="L662" i="8"/>
  <c r="AW661" i="8"/>
  <c r="AV661" i="8"/>
  <c r="AU661" i="8"/>
  <c r="AL661" i="8"/>
  <c r="AE661" i="8" s="1"/>
  <c r="AD661" i="8"/>
  <c r="S661" i="8"/>
  <c r="L661" i="8"/>
  <c r="AO661" i="8" s="1"/>
  <c r="AW660" i="8"/>
  <c r="AV660" i="8"/>
  <c r="AP660" i="8" s="1"/>
  <c r="AG660" i="8" s="1"/>
  <c r="AU660" i="8"/>
  <c r="AO660" i="8"/>
  <c r="AD660" i="8"/>
  <c r="S660" i="8"/>
  <c r="L660" i="8"/>
  <c r="AM660" i="8" s="1"/>
  <c r="AF660" i="8" s="1"/>
  <c r="AW659" i="8"/>
  <c r="AV659" i="8"/>
  <c r="AU659" i="8"/>
  <c r="AR659" i="8"/>
  <c r="AI659" i="8" s="1"/>
  <c r="AQ659" i="8"/>
  <c r="AH659" i="8" s="1"/>
  <c r="AP659" i="8"/>
  <c r="AG659" i="8" s="1"/>
  <c r="AO659" i="8"/>
  <c r="AL659" i="8"/>
  <c r="AE659" i="8" s="1"/>
  <c r="AD659" i="8"/>
  <c r="S659" i="8"/>
  <c r="L659" i="8"/>
  <c r="AW658" i="8"/>
  <c r="AV658" i="8"/>
  <c r="AU658" i="8"/>
  <c r="AD658" i="8"/>
  <c r="S658" i="8"/>
  <c r="AR658" i="8" s="1"/>
  <c r="AI658" i="8" s="1"/>
  <c r="L658" i="8"/>
  <c r="AW657" i="8"/>
  <c r="AV657" i="8"/>
  <c r="AU657" i="8"/>
  <c r="AR657" i="8"/>
  <c r="AI657" i="8" s="1"/>
  <c r="AP657" i="8"/>
  <c r="AG657" i="8" s="1"/>
  <c r="AO657" i="8"/>
  <c r="AD657" i="8"/>
  <c r="S657" i="8"/>
  <c r="AQ657" i="8" s="1"/>
  <c r="AH657" i="8" s="1"/>
  <c r="L657" i="8"/>
  <c r="AM657" i="8" s="1"/>
  <c r="AF657" i="8" s="1"/>
  <c r="AW656" i="8"/>
  <c r="AV656" i="8"/>
  <c r="AU656" i="8"/>
  <c r="AQ656" i="8"/>
  <c r="AH656" i="8" s="1"/>
  <c r="AP656" i="8"/>
  <c r="AG656" i="8" s="1"/>
  <c r="AO656" i="8"/>
  <c r="AL656" i="8"/>
  <c r="AE656" i="8" s="1"/>
  <c r="AD656" i="8"/>
  <c r="S656" i="8"/>
  <c r="AR656" i="8" s="1"/>
  <c r="AI656" i="8" s="1"/>
  <c r="L656" i="8"/>
  <c r="AM656" i="8" s="1"/>
  <c r="AF656" i="8" s="1"/>
  <c r="AW655" i="8"/>
  <c r="AV655" i="8"/>
  <c r="AU655" i="8"/>
  <c r="AQ655" i="8"/>
  <c r="AH655" i="8" s="1"/>
  <c r="AP655" i="8"/>
  <c r="AG655" i="8" s="1"/>
  <c r="AL655" i="8"/>
  <c r="AE655" i="8" s="1"/>
  <c r="AD655" i="8"/>
  <c r="S655" i="8"/>
  <c r="AR655" i="8" s="1"/>
  <c r="AI655" i="8" s="1"/>
  <c r="L655" i="8"/>
  <c r="AW654" i="8"/>
  <c r="AV654" i="8"/>
  <c r="AU654" i="8"/>
  <c r="AD654" i="8"/>
  <c r="S654" i="8"/>
  <c r="L654" i="8"/>
  <c r="AW653" i="8"/>
  <c r="AV653" i="8"/>
  <c r="AU653" i="8"/>
  <c r="AL653" i="8" s="1"/>
  <c r="AE653" i="8" s="1"/>
  <c r="AP653" i="8"/>
  <c r="AG653" i="8" s="1"/>
  <c r="AO653" i="8"/>
  <c r="AD653" i="8"/>
  <c r="S653" i="8"/>
  <c r="AR653" i="8" s="1"/>
  <c r="AI653" i="8" s="1"/>
  <c r="L653" i="8"/>
  <c r="AM653" i="8" s="1"/>
  <c r="AF653" i="8" s="1"/>
  <c r="AW652" i="8"/>
  <c r="AV652" i="8"/>
  <c r="AU652" i="8"/>
  <c r="AP652" i="8"/>
  <c r="AG652" i="8" s="1"/>
  <c r="AL652" i="8"/>
  <c r="AE652" i="8" s="1"/>
  <c r="AD652" i="8"/>
  <c r="S652" i="8"/>
  <c r="AR652" i="8" s="1"/>
  <c r="AI652" i="8" s="1"/>
  <c r="L652" i="8"/>
  <c r="AO652" i="8" s="1"/>
  <c r="AW651" i="8"/>
  <c r="AV651" i="8"/>
  <c r="AU651" i="8"/>
  <c r="AM651" i="8"/>
  <c r="AF651" i="8" s="1"/>
  <c r="AD651" i="8"/>
  <c r="S651" i="8"/>
  <c r="L651" i="8"/>
  <c r="AW650" i="8"/>
  <c r="AV650" i="8"/>
  <c r="AU650" i="8"/>
  <c r="AO650" i="8"/>
  <c r="AD650" i="8"/>
  <c r="S650" i="8"/>
  <c r="L650" i="8"/>
  <c r="AL650" i="8" s="1"/>
  <c r="AE650" i="8" s="1"/>
  <c r="AW649" i="8"/>
  <c r="AV649" i="8"/>
  <c r="AU649" i="8"/>
  <c r="AR649" i="8"/>
  <c r="AI649" i="8" s="1"/>
  <c r="AP649" i="8"/>
  <c r="AG649" i="8" s="1"/>
  <c r="AL649" i="8"/>
  <c r="AE649" i="8" s="1"/>
  <c r="AD649" i="8"/>
  <c r="S649" i="8"/>
  <c r="AQ649" i="8" s="1"/>
  <c r="AH649" i="8" s="1"/>
  <c r="L649" i="8"/>
  <c r="AO649" i="8" s="1"/>
  <c r="AW648" i="8"/>
  <c r="AV648" i="8"/>
  <c r="AU648" i="8"/>
  <c r="AM648" i="8"/>
  <c r="AF648" i="8" s="1"/>
  <c r="AD648" i="8"/>
  <c r="S648" i="8"/>
  <c r="L648" i="8"/>
  <c r="AW647" i="8"/>
  <c r="AV647" i="8"/>
  <c r="AU647" i="8"/>
  <c r="AL647" i="8"/>
  <c r="AE647" i="8" s="1"/>
  <c r="AD647" i="8"/>
  <c r="S647" i="8"/>
  <c r="AR647" i="8" s="1"/>
  <c r="AI647" i="8" s="1"/>
  <c r="L647" i="8"/>
  <c r="AW646" i="8"/>
  <c r="AV646" i="8"/>
  <c r="AU646" i="8"/>
  <c r="AL646" i="8"/>
  <c r="AE646" i="8" s="1"/>
  <c r="AD646" i="8"/>
  <c r="S646" i="8"/>
  <c r="AR646" i="8" s="1"/>
  <c r="AI646" i="8" s="1"/>
  <c r="L646" i="8"/>
  <c r="AW645" i="8"/>
  <c r="AV645" i="8"/>
  <c r="AU645" i="8"/>
  <c r="AO645" i="8"/>
  <c r="AD645" i="8"/>
  <c r="S645" i="8"/>
  <c r="L645" i="8"/>
  <c r="AW644" i="8"/>
  <c r="AV644" i="8"/>
  <c r="AU644" i="8"/>
  <c r="AR644" i="8"/>
  <c r="AI644" i="8" s="1"/>
  <c r="AQ644" i="8"/>
  <c r="AH644" i="8" s="1"/>
  <c r="AP644" i="8"/>
  <c r="AG644" i="8" s="1"/>
  <c r="AD644" i="8"/>
  <c r="S644" i="8"/>
  <c r="L644" i="8"/>
  <c r="AO644" i="8" s="1"/>
  <c r="AW643" i="8"/>
  <c r="AV643" i="8"/>
  <c r="AU643" i="8"/>
  <c r="AO643" i="8"/>
  <c r="AM643" i="8"/>
  <c r="AF643" i="8" s="1"/>
  <c r="AD643" i="8"/>
  <c r="S643" i="8"/>
  <c r="AR643" i="8" s="1"/>
  <c r="AI643" i="8" s="1"/>
  <c r="L643" i="8"/>
  <c r="AL643" i="8" s="1"/>
  <c r="AE643" i="8" s="1"/>
  <c r="AW642" i="8"/>
  <c r="AV642" i="8"/>
  <c r="AU642" i="8"/>
  <c r="AM642" i="8"/>
  <c r="AF642" i="8" s="1"/>
  <c r="AL642" i="8"/>
  <c r="AE642" i="8" s="1"/>
  <c r="AD642" i="8"/>
  <c r="S642" i="8"/>
  <c r="L642" i="8"/>
  <c r="AW641" i="8"/>
  <c r="AV641" i="8"/>
  <c r="AU641" i="8"/>
  <c r="AO641" i="8"/>
  <c r="AD641" i="8"/>
  <c r="S641" i="8"/>
  <c r="L641" i="8"/>
  <c r="AW640" i="8"/>
  <c r="AV640" i="8"/>
  <c r="AU640" i="8"/>
  <c r="AR640" i="8"/>
  <c r="AI640" i="8" s="1"/>
  <c r="AQ640" i="8"/>
  <c r="AH640" i="8" s="1"/>
  <c r="AP640" i="8"/>
  <c r="AG640" i="8" s="1"/>
  <c r="AD640" i="8"/>
  <c r="S640" i="8"/>
  <c r="L640" i="8"/>
  <c r="AW639" i="8"/>
  <c r="AV639" i="8"/>
  <c r="AU639" i="8"/>
  <c r="AP639" i="8"/>
  <c r="AG639" i="8" s="1"/>
  <c r="AM639" i="8"/>
  <c r="AF639" i="8" s="1"/>
  <c r="AL639" i="8"/>
  <c r="AE639" i="8" s="1"/>
  <c r="AD639" i="8"/>
  <c r="S639" i="8"/>
  <c r="AR639" i="8" s="1"/>
  <c r="AI639" i="8" s="1"/>
  <c r="L639" i="8"/>
  <c r="AO639" i="8" s="1"/>
  <c r="AW638" i="8"/>
  <c r="AV638" i="8"/>
  <c r="AU638" i="8"/>
  <c r="AD638" i="8"/>
  <c r="S638" i="8"/>
  <c r="L638" i="8"/>
  <c r="AM638" i="8" s="1"/>
  <c r="AF638" i="8" s="1"/>
  <c r="AW637" i="8"/>
  <c r="AV637" i="8"/>
  <c r="AU637" i="8"/>
  <c r="AO637" i="8" s="1"/>
  <c r="AD637" i="8"/>
  <c r="S637" i="8"/>
  <c r="L637" i="8"/>
  <c r="AW636" i="8"/>
  <c r="AV636" i="8"/>
  <c r="AU636" i="8"/>
  <c r="AR636" i="8"/>
  <c r="AI636" i="8" s="1"/>
  <c r="AQ636" i="8"/>
  <c r="AH636" i="8" s="1"/>
  <c r="AP636" i="8"/>
  <c r="AG636" i="8" s="1"/>
  <c r="Z636" i="8" s="1"/>
  <c r="AD636" i="8"/>
  <c r="S636" i="8"/>
  <c r="L636" i="8"/>
  <c r="AW635" i="8"/>
  <c r="AV635" i="8"/>
  <c r="AU635" i="8"/>
  <c r="AQ635" i="8"/>
  <c r="AH635" i="8" s="1"/>
  <c r="AP635" i="8"/>
  <c r="AG635" i="8" s="1"/>
  <c r="AD635" i="8"/>
  <c r="S635" i="8"/>
  <c r="AR635" i="8" s="1"/>
  <c r="AI635" i="8" s="1"/>
  <c r="L635" i="8"/>
  <c r="AO635" i="8" s="1"/>
  <c r="AW634" i="8"/>
  <c r="AV634" i="8"/>
  <c r="AU634" i="8"/>
  <c r="AL634" i="8"/>
  <c r="AE634" i="8" s="1"/>
  <c r="AD634" i="8"/>
  <c r="S634" i="8"/>
  <c r="L634" i="8"/>
  <c r="AM634" i="8" s="1"/>
  <c r="AF634" i="8" s="1"/>
  <c r="AW633" i="8"/>
  <c r="AV633" i="8"/>
  <c r="AU633" i="8"/>
  <c r="AO633" i="8"/>
  <c r="AD633" i="8"/>
  <c r="S633" i="8"/>
  <c r="AR633" i="8" s="1"/>
  <c r="AI633" i="8" s="1"/>
  <c r="L633" i="8"/>
  <c r="AW632" i="8"/>
  <c r="AV632" i="8"/>
  <c r="AU632" i="8"/>
  <c r="AR632" i="8"/>
  <c r="AI632" i="8" s="1"/>
  <c r="AQ632" i="8"/>
  <c r="AH632" i="8" s="1"/>
  <c r="AP632" i="8"/>
  <c r="AG632" i="8" s="1"/>
  <c r="Z632" i="8" s="1"/>
  <c r="AD632" i="8"/>
  <c r="S632" i="8"/>
  <c r="L632" i="8"/>
  <c r="AW631" i="8"/>
  <c r="AV631" i="8"/>
  <c r="AU631" i="8"/>
  <c r="AQ631" i="8"/>
  <c r="AH631" i="8" s="1"/>
  <c r="AP631" i="8"/>
  <c r="AG631" i="8" s="1"/>
  <c r="Z631" i="8" s="1"/>
  <c r="AO631" i="8"/>
  <c r="AL631" i="8"/>
  <c r="AE631" i="8" s="1"/>
  <c r="AD631" i="8"/>
  <c r="S631" i="8"/>
  <c r="AR631" i="8" s="1"/>
  <c r="AI631" i="8" s="1"/>
  <c r="L631" i="8"/>
  <c r="AM631" i="8" s="1"/>
  <c r="AF631" i="8" s="1"/>
  <c r="AW630" i="8"/>
  <c r="AV630" i="8"/>
  <c r="AU630" i="8"/>
  <c r="AL630" i="8"/>
  <c r="AE630" i="8" s="1"/>
  <c r="AD630" i="8"/>
  <c r="S630" i="8"/>
  <c r="L630" i="8"/>
  <c r="AM630" i="8" s="1"/>
  <c r="AF630" i="8" s="1"/>
  <c r="AW629" i="8"/>
  <c r="AV629" i="8"/>
  <c r="AQ629" i="8" s="1"/>
  <c r="AH629" i="8" s="1"/>
  <c r="AU629" i="8"/>
  <c r="AO629" i="8" s="1"/>
  <c r="AD629" i="8"/>
  <c r="S629" i="8"/>
  <c r="L629" i="8"/>
  <c r="AW628" i="8"/>
  <c r="AV628" i="8"/>
  <c r="AU628" i="8"/>
  <c r="AR628" i="8"/>
  <c r="AI628" i="8" s="1"/>
  <c r="AQ628" i="8"/>
  <c r="AH628" i="8" s="1"/>
  <c r="AP628" i="8"/>
  <c r="AG628" i="8" s="1"/>
  <c r="Z628" i="8" s="1"/>
  <c r="AD628" i="8"/>
  <c r="S628" i="8"/>
  <c r="L628" i="8"/>
  <c r="AL628" i="8" s="1"/>
  <c r="AE628" i="8" s="1"/>
  <c r="AW627" i="8"/>
  <c r="AV627" i="8"/>
  <c r="AU627" i="8"/>
  <c r="AO627" i="8"/>
  <c r="AL627" i="8"/>
  <c r="AE627" i="8" s="1"/>
  <c r="AD627" i="8"/>
  <c r="S627" i="8"/>
  <c r="AR627" i="8" s="1"/>
  <c r="AI627" i="8" s="1"/>
  <c r="L627" i="8"/>
  <c r="AW626" i="8"/>
  <c r="AV626" i="8"/>
  <c r="AU626" i="8"/>
  <c r="AL626" i="8"/>
  <c r="AE626" i="8" s="1"/>
  <c r="AD626" i="8"/>
  <c r="S626" i="8"/>
  <c r="L626" i="8"/>
  <c r="AM626" i="8" s="1"/>
  <c r="AF626" i="8" s="1"/>
  <c r="AW625" i="8"/>
  <c r="AV625" i="8"/>
  <c r="AQ625" i="8" s="1"/>
  <c r="AH625" i="8" s="1"/>
  <c r="AU625" i="8"/>
  <c r="AP625" i="8"/>
  <c r="AG625" i="8" s="1"/>
  <c r="AO625" i="8"/>
  <c r="AD625" i="8"/>
  <c r="S625" i="8"/>
  <c r="AR625" i="8" s="1"/>
  <c r="AI625" i="8" s="1"/>
  <c r="L625" i="8"/>
  <c r="AW624" i="8"/>
  <c r="AV624" i="8"/>
  <c r="AU624" i="8"/>
  <c r="AR624" i="8"/>
  <c r="AI624" i="8" s="1"/>
  <c r="AQ624" i="8"/>
  <c r="AH624" i="8" s="1"/>
  <c r="AP624" i="8"/>
  <c r="AG624" i="8" s="1"/>
  <c r="AL624" i="8"/>
  <c r="AE624" i="8" s="1"/>
  <c r="AD624" i="8"/>
  <c r="S624" i="8"/>
  <c r="L624" i="8"/>
  <c r="AW623" i="8"/>
  <c r="AV623" i="8"/>
  <c r="AU623" i="8"/>
  <c r="AQ623" i="8"/>
  <c r="AH623" i="8" s="1"/>
  <c r="AP623" i="8"/>
  <c r="AG623" i="8" s="1"/>
  <c r="AO623" i="8"/>
  <c r="AD623" i="8"/>
  <c r="S623" i="8"/>
  <c r="AR623" i="8" s="1"/>
  <c r="AI623" i="8" s="1"/>
  <c r="L623" i="8"/>
  <c r="AW622" i="8"/>
  <c r="AV622" i="8"/>
  <c r="AU622" i="8"/>
  <c r="AD622" i="8"/>
  <c r="S622" i="8"/>
  <c r="L622" i="8"/>
  <c r="AW621" i="8"/>
  <c r="AV621" i="8"/>
  <c r="AU621" i="8"/>
  <c r="AD621" i="8"/>
  <c r="S621" i="8"/>
  <c r="L621" i="8"/>
  <c r="AW620" i="8"/>
  <c r="AV620" i="8"/>
  <c r="AU620" i="8"/>
  <c r="AR620" i="8"/>
  <c r="AI620" i="8" s="1"/>
  <c r="AQ620" i="8"/>
  <c r="AH620" i="8" s="1"/>
  <c r="AP620" i="8"/>
  <c r="AG620" i="8" s="1"/>
  <c r="AL620" i="8"/>
  <c r="AE620" i="8" s="1"/>
  <c r="AD620" i="8"/>
  <c r="S620" i="8"/>
  <c r="L620" i="8"/>
  <c r="AW619" i="8"/>
  <c r="AV619" i="8"/>
  <c r="AU619" i="8"/>
  <c r="AQ619" i="8"/>
  <c r="AH619" i="8" s="1"/>
  <c r="AP619" i="8"/>
  <c r="AG619" i="8" s="1"/>
  <c r="AD619" i="8"/>
  <c r="S619" i="8"/>
  <c r="AR619" i="8" s="1"/>
  <c r="AI619" i="8" s="1"/>
  <c r="L619" i="8"/>
  <c r="AW618" i="8"/>
  <c r="AV618" i="8"/>
  <c r="AU618" i="8"/>
  <c r="AP618" i="8"/>
  <c r="AG618" i="8" s="1"/>
  <c r="AD618" i="8"/>
  <c r="S618" i="8"/>
  <c r="L618" i="8"/>
  <c r="AM618" i="8" s="1"/>
  <c r="AF618" i="8" s="1"/>
  <c r="AW617" i="8"/>
  <c r="AV617" i="8"/>
  <c r="AP617" i="8" s="1"/>
  <c r="AG617" i="8" s="1"/>
  <c r="AU617" i="8"/>
  <c r="AQ617" i="8"/>
  <c r="AH617" i="8" s="1"/>
  <c r="AO617" i="8"/>
  <c r="AL617" i="8"/>
  <c r="AE617" i="8" s="1"/>
  <c r="AD617" i="8"/>
  <c r="S617" i="8"/>
  <c r="AR617" i="8" s="1"/>
  <c r="AI617" i="8" s="1"/>
  <c r="L617" i="8"/>
  <c r="AW616" i="8"/>
  <c r="AV616" i="8"/>
  <c r="AU616" i="8"/>
  <c r="AR616" i="8"/>
  <c r="AI616" i="8" s="1"/>
  <c r="AD616" i="8"/>
  <c r="S616" i="8"/>
  <c r="AQ616" i="8" s="1"/>
  <c r="AH616" i="8" s="1"/>
  <c r="L616" i="8"/>
  <c r="AW615" i="8"/>
  <c r="AV615" i="8"/>
  <c r="AU615" i="8"/>
  <c r="AO615" i="8"/>
  <c r="AM615" i="8"/>
  <c r="AF615" i="8" s="1"/>
  <c r="AL615" i="8"/>
  <c r="AE615" i="8" s="1"/>
  <c r="AD615" i="8"/>
  <c r="S615" i="8"/>
  <c r="AR615" i="8" s="1"/>
  <c r="AI615" i="8" s="1"/>
  <c r="L615" i="8"/>
  <c r="AW614" i="8"/>
  <c r="AV614" i="8"/>
  <c r="AU614" i="8"/>
  <c r="AM614" i="8" s="1"/>
  <c r="AF614" i="8" s="1"/>
  <c r="AP614" i="8"/>
  <c r="AG614" i="8" s="1"/>
  <c r="AD614" i="8"/>
  <c r="S614" i="8"/>
  <c r="L614" i="8"/>
  <c r="AL614" i="8" s="1"/>
  <c r="AE614" i="8" s="1"/>
  <c r="AW613" i="8"/>
  <c r="AV613" i="8"/>
  <c r="AQ613" i="8" s="1"/>
  <c r="AH613" i="8" s="1"/>
  <c r="AU613" i="8"/>
  <c r="AO613" i="8"/>
  <c r="AD613" i="8"/>
  <c r="S613" i="8"/>
  <c r="AR613" i="8" s="1"/>
  <c r="AI613" i="8" s="1"/>
  <c r="L613" i="8"/>
  <c r="AL613" i="8" s="1"/>
  <c r="AE613" i="8" s="1"/>
  <c r="AW612" i="8"/>
  <c r="AV612" i="8"/>
  <c r="AU612" i="8"/>
  <c r="AQ612" i="8"/>
  <c r="AH612" i="8" s="1"/>
  <c r="AP612" i="8"/>
  <c r="AG612" i="8" s="1"/>
  <c r="AM612" i="8"/>
  <c r="AF612" i="8" s="1"/>
  <c r="AD612" i="8"/>
  <c r="S612" i="8"/>
  <c r="AR612" i="8" s="1"/>
  <c r="AI612" i="8" s="1"/>
  <c r="L612" i="8"/>
  <c r="AW611" i="8"/>
  <c r="AV611" i="8"/>
  <c r="AU611" i="8"/>
  <c r="AL611" i="8" s="1"/>
  <c r="AE611" i="8" s="1"/>
  <c r="AM611" i="8"/>
  <c r="AF611" i="8" s="1"/>
  <c r="AD611" i="8"/>
  <c r="S611" i="8"/>
  <c r="L611" i="8"/>
  <c r="AO611" i="8" s="1"/>
  <c r="AW610" i="8"/>
  <c r="AV610" i="8"/>
  <c r="AU610" i="8"/>
  <c r="AQ610" i="8"/>
  <c r="AH610" i="8" s="1"/>
  <c r="AP610" i="8"/>
  <c r="AG610" i="8" s="1"/>
  <c r="AD610" i="8"/>
  <c r="S610" i="8"/>
  <c r="AR610" i="8" s="1"/>
  <c r="AI610" i="8" s="1"/>
  <c r="L610" i="8"/>
  <c r="AW609" i="8"/>
  <c r="AV609" i="8"/>
  <c r="AU609" i="8"/>
  <c r="AO609" i="8" s="1"/>
  <c r="AP609" i="8"/>
  <c r="AG609" i="8" s="1"/>
  <c r="AL609" i="8"/>
  <c r="AE609" i="8" s="1"/>
  <c r="AD609" i="8"/>
  <c r="S609" i="8"/>
  <c r="AR609" i="8" s="1"/>
  <c r="AI609" i="8" s="1"/>
  <c r="L609" i="8"/>
  <c r="AM609" i="8" s="1"/>
  <c r="AF609" i="8" s="1"/>
  <c r="AW608" i="8"/>
  <c r="AV608" i="8"/>
  <c r="AU608" i="8"/>
  <c r="AR608" i="8"/>
  <c r="AI608" i="8" s="1"/>
  <c r="AD608" i="8"/>
  <c r="S608" i="8"/>
  <c r="AP608" i="8" s="1"/>
  <c r="AG608" i="8" s="1"/>
  <c r="L608" i="8"/>
  <c r="AW607" i="8"/>
  <c r="AV607" i="8"/>
  <c r="AU607" i="8"/>
  <c r="AP607" i="8"/>
  <c r="AG607" i="8" s="1"/>
  <c r="AD607" i="8"/>
  <c r="S607" i="8"/>
  <c r="L607" i="8"/>
  <c r="AO607" i="8" s="1"/>
  <c r="AW606" i="8"/>
  <c r="AV606" i="8"/>
  <c r="AR606" i="8" s="1"/>
  <c r="AI606" i="8" s="1"/>
  <c r="AU606" i="8"/>
  <c r="AP606" i="8"/>
  <c r="AG606" i="8" s="1"/>
  <c r="AD606" i="8"/>
  <c r="S606" i="8"/>
  <c r="AQ606" i="8" s="1"/>
  <c r="AH606" i="8" s="1"/>
  <c r="L606" i="8"/>
  <c r="AW605" i="8"/>
  <c r="AV605" i="8"/>
  <c r="AU605" i="8"/>
  <c r="AP605" i="8"/>
  <c r="AG605" i="8" s="1"/>
  <c r="AO605" i="8"/>
  <c r="AM605" i="8"/>
  <c r="AF605" i="8" s="1"/>
  <c r="AD605" i="8"/>
  <c r="S605" i="8"/>
  <c r="AR605" i="8" s="1"/>
  <c r="AI605" i="8" s="1"/>
  <c r="L605" i="8"/>
  <c r="AW604" i="8"/>
  <c r="AV604" i="8"/>
  <c r="AU604" i="8"/>
  <c r="AQ604" i="8"/>
  <c r="AH604" i="8" s="1"/>
  <c r="AP604" i="8"/>
  <c r="AG604" i="8" s="1"/>
  <c r="AD604" i="8"/>
  <c r="S604" i="8"/>
  <c r="AR604" i="8" s="1"/>
  <c r="AI604" i="8" s="1"/>
  <c r="L604" i="8"/>
  <c r="AW603" i="8"/>
  <c r="AV603" i="8"/>
  <c r="AU603" i="8"/>
  <c r="AR603" i="8"/>
  <c r="AI603" i="8" s="1"/>
  <c r="AQ603" i="8"/>
  <c r="AH603" i="8" s="1"/>
  <c r="AO603" i="8"/>
  <c r="AL603" i="8"/>
  <c r="AE603" i="8" s="1"/>
  <c r="AD603" i="8"/>
  <c r="S603" i="8"/>
  <c r="AP603" i="8" s="1"/>
  <c r="AG603" i="8" s="1"/>
  <c r="L603" i="8"/>
  <c r="AW602" i="8"/>
  <c r="AV602" i="8"/>
  <c r="AU602" i="8"/>
  <c r="AM602" i="8" s="1"/>
  <c r="AF602" i="8" s="1"/>
  <c r="AR602" i="8"/>
  <c r="AI602" i="8" s="1"/>
  <c r="AQ602" i="8"/>
  <c r="AH602" i="8" s="1"/>
  <c r="AD602" i="8"/>
  <c r="S602" i="8"/>
  <c r="AP602" i="8" s="1"/>
  <c r="AG602" i="8" s="1"/>
  <c r="L602" i="8"/>
  <c r="AW601" i="8"/>
  <c r="AV601" i="8"/>
  <c r="AU601" i="8"/>
  <c r="AR601" i="8"/>
  <c r="AI601" i="8" s="1"/>
  <c r="AQ601" i="8"/>
  <c r="AH601" i="8" s="1"/>
  <c r="AP601" i="8"/>
  <c r="AG601" i="8" s="1"/>
  <c r="AD601" i="8"/>
  <c r="S601" i="8"/>
  <c r="L601" i="8"/>
  <c r="AO601" i="8" s="1"/>
  <c r="AW600" i="8"/>
  <c r="AV600" i="8"/>
  <c r="AU600" i="8"/>
  <c r="AL600" i="8" s="1"/>
  <c r="AE600" i="8" s="1"/>
  <c r="AR600" i="8"/>
  <c r="AI600" i="8" s="1"/>
  <c r="AM600" i="8"/>
  <c r="AF600" i="8" s="1"/>
  <c r="AD600" i="8"/>
  <c r="S600" i="8"/>
  <c r="AQ600" i="8" s="1"/>
  <c r="AH600" i="8" s="1"/>
  <c r="L600" i="8"/>
  <c r="AW599" i="8"/>
  <c r="AV599" i="8"/>
  <c r="AU599" i="8"/>
  <c r="AO599" i="8" s="1"/>
  <c r="AP599" i="8"/>
  <c r="AG599" i="8" s="1"/>
  <c r="AM599" i="8"/>
  <c r="AF599" i="8" s="1"/>
  <c r="AL599" i="8"/>
  <c r="AE599" i="8" s="1"/>
  <c r="AD599" i="8"/>
  <c r="S599" i="8"/>
  <c r="AR599" i="8" s="1"/>
  <c r="AI599" i="8" s="1"/>
  <c r="L599" i="8"/>
  <c r="AW598" i="8"/>
  <c r="AV598" i="8"/>
  <c r="AU598" i="8"/>
  <c r="AD598" i="8"/>
  <c r="S598" i="8"/>
  <c r="L598" i="8"/>
  <c r="AM598" i="8" s="1"/>
  <c r="AF598" i="8" s="1"/>
  <c r="AW597" i="8"/>
  <c r="AV597" i="8"/>
  <c r="AU597" i="8"/>
  <c r="AD597" i="8"/>
  <c r="S597" i="8"/>
  <c r="L597" i="8"/>
  <c r="AL597" i="8" s="1"/>
  <c r="AE597" i="8" s="1"/>
  <c r="AW596" i="8"/>
  <c r="AV596" i="8"/>
  <c r="AU596" i="8"/>
  <c r="AR596" i="8"/>
  <c r="AI596" i="8" s="1"/>
  <c r="AQ596" i="8"/>
  <c r="AH596" i="8" s="1"/>
  <c r="AD596" i="8"/>
  <c r="S596" i="8"/>
  <c r="AP596" i="8" s="1"/>
  <c r="AG596" i="8" s="1"/>
  <c r="L596" i="8"/>
  <c r="AO596" i="8" s="1"/>
  <c r="AW595" i="8"/>
  <c r="AV595" i="8"/>
  <c r="AU595" i="8"/>
  <c r="AQ595" i="8"/>
  <c r="AH595" i="8" s="1"/>
  <c r="AP595" i="8"/>
  <c r="AG595" i="8" s="1"/>
  <c r="AO595" i="8"/>
  <c r="AD595" i="8"/>
  <c r="S595" i="8"/>
  <c r="AR595" i="8" s="1"/>
  <c r="AI595" i="8" s="1"/>
  <c r="L595" i="8"/>
  <c r="AW594" i="8"/>
  <c r="AV594" i="8"/>
  <c r="AU594" i="8"/>
  <c r="AR594" i="8"/>
  <c r="AQ594" i="8"/>
  <c r="AH594" i="8" s="1"/>
  <c r="AM594" i="8"/>
  <c r="AF594" i="8" s="1"/>
  <c r="AL594" i="8"/>
  <c r="AE594" i="8" s="1"/>
  <c r="AI594" i="8"/>
  <c r="AD594" i="8"/>
  <c r="S594" i="8"/>
  <c r="AP594" i="8" s="1"/>
  <c r="AG594" i="8" s="1"/>
  <c r="L594" i="8"/>
  <c r="AW593" i="8"/>
  <c r="AV593" i="8"/>
  <c r="AP593" i="8" s="1"/>
  <c r="AG593" i="8" s="1"/>
  <c r="AU593" i="8"/>
  <c r="AR593" i="8"/>
  <c r="AI593" i="8" s="1"/>
  <c r="AQ593" i="8"/>
  <c r="AH593" i="8" s="1"/>
  <c r="AM593" i="8"/>
  <c r="AF593" i="8" s="1"/>
  <c r="AL593" i="8"/>
  <c r="AE593" i="8" s="1"/>
  <c r="AD593" i="8"/>
  <c r="S593" i="8"/>
  <c r="L593" i="8"/>
  <c r="AO593" i="8" s="1"/>
  <c r="AW592" i="8"/>
  <c r="AV592" i="8"/>
  <c r="AU592" i="8"/>
  <c r="AL592" i="8"/>
  <c r="AE592" i="8" s="1"/>
  <c r="AD592" i="8"/>
  <c r="S592" i="8"/>
  <c r="AR592" i="8" s="1"/>
  <c r="AI592" i="8" s="1"/>
  <c r="L592" i="8"/>
  <c r="AM592" i="8" s="1"/>
  <c r="AF592" i="8" s="1"/>
  <c r="AW591" i="8"/>
  <c r="AV591" i="8"/>
  <c r="AU591" i="8"/>
  <c r="AD591" i="8"/>
  <c r="S591" i="8"/>
  <c r="L591" i="8"/>
  <c r="AW590" i="8"/>
  <c r="AV590" i="8"/>
  <c r="AQ590" i="8" s="1"/>
  <c r="AH590" i="8" s="1"/>
  <c r="AU590" i="8"/>
  <c r="AR590" i="8"/>
  <c r="AI590" i="8" s="1"/>
  <c r="AL590" i="8"/>
  <c r="AE590" i="8" s="1"/>
  <c r="AD590" i="8"/>
  <c r="S590" i="8"/>
  <c r="AP590" i="8" s="1"/>
  <c r="AG590" i="8" s="1"/>
  <c r="L590" i="8"/>
  <c r="AO590" i="8" s="1"/>
  <c r="AW589" i="8"/>
  <c r="AV589" i="8"/>
  <c r="AP589" i="8" s="1"/>
  <c r="AG589" i="8" s="1"/>
  <c r="AU589" i="8"/>
  <c r="AO589" i="8"/>
  <c r="AM589" i="8"/>
  <c r="AF589" i="8" s="1"/>
  <c r="AD589" i="8"/>
  <c r="S589" i="8"/>
  <c r="L589" i="8"/>
  <c r="AW588" i="8"/>
  <c r="AV588" i="8"/>
  <c r="AU588" i="8"/>
  <c r="AQ588" i="8"/>
  <c r="AH588" i="8" s="1"/>
  <c r="AP588" i="8"/>
  <c r="AG588" i="8" s="1"/>
  <c r="AD588" i="8"/>
  <c r="S588" i="8"/>
  <c r="AR588" i="8" s="1"/>
  <c r="AI588" i="8" s="1"/>
  <c r="L588" i="8"/>
  <c r="AW587" i="8"/>
  <c r="AV587" i="8"/>
  <c r="AU587" i="8"/>
  <c r="AR587" i="8"/>
  <c r="AI587" i="8" s="1"/>
  <c r="AQ587" i="8"/>
  <c r="AH587" i="8" s="1"/>
  <c r="AO587" i="8"/>
  <c r="AL587" i="8"/>
  <c r="AE587" i="8" s="1"/>
  <c r="AD587" i="8"/>
  <c r="S587" i="8"/>
  <c r="AP587" i="8" s="1"/>
  <c r="AG587" i="8" s="1"/>
  <c r="L587" i="8"/>
  <c r="AW586" i="8"/>
  <c r="AV586" i="8"/>
  <c r="AU586" i="8"/>
  <c r="AM586" i="8" s="1"/>
  <c r="AF586" i="8" s="1"/>
  <c r="AR586" i="8"/>
  <c r="AI586" i="8" s="1"/>
  <c r="AQ586" i="8"/>
  <c r="AH586" i="8" s="1"/>
  <c r="AD586" i="8"/>
  <c r="S586" i="8"/>
  <c r="AP586" i="8" s="1"/>
  <c r="AG586" i="8" s="1"/>
  <c r="L586" i="8"/>
  <c r="AW585" i="8"/>
  <c r="AV585" i="8"/>
  <c r="AU585" i="8"/>
  <c r="AR585" i="8"/>
  <c r="AI585" i="8" s="1"/>
  <c r="AQ585" i="8"/>
  <c r="AH585" i="8" s="1"/>
  <c r="AP585" i="8"/>
  <c r="AG585" i="8" s="1"/>
  <c r="AD585" i="8"/>
  <c r="S585" i="8"/>
  <c r="L585" i="8"/>
  <c r="AW584" i="8"/>
  <c r="AV584" i="8"/>
  <c r="AU584" i="8"/>
  <c r="AM584" i="8" s="1"/>
  <c r="AF584" i="8" s="1"/>
  <c r="AR584" i="8"/>
  <c r="AI584" i="8" s="1"/>
  <c r="AL584" i="8"/>
  <c r="AE584" i="8" s="1"/>
  <c r="AD584" i="8"/>
  <c r="S584" i="8"/>
  <c r="AQ584" i="8" s="1"/>
  <c r="AH584" i="8" s="1"/>
  <c r="L584" i="8"/>
  <c r="AW583" i="8"/>
  <c r="AV583" i="8"/>
  <c r="AP583" i="8" s="1"/>
  <c r="AG583" i="8" s="1"/>
  <c r="AU583" i="8"/>
  <c r="AO583" i="8" s="1"/>
  <c r="AM583" i="8"/>
  <c r="AF583" i="8" s="1"/>
  <c r="AL583" i="8"/>
  <c r="AE583" i="8"/>
  <c r="AD583" i="8"/>
  <c r="S583" i="8"/>
  <c r="AR583" i="8" s="1"/>
  <c r="AI583" i="8" s="1"/>
  <c r="L583" i="8"/>
  <c r="AW582" i="8"/>
  <c r="AV582" i="8"/>
  <c r="AU582" i="8"/>
  <c r="AD582" i="8"/>
  <c r="S582" i="8"/>
  <c r="L582" i="8"/>
  <c r="AW581" i="8"/>
  <c r="AV581" i="8"/>
  <c r="AU581" i="8"/>
  <c r="AO581" i="8"/>
  <c r="AM581" i="8"/>
  <c r="AF581" i="8" s="1"/>
  <c r="AD581" i="8"/>
  <c r="S581" i="8"/>
  <c r="L581" i="8"/>
  <c r="AL581" i="8" s="1"/>
  <c r="AE581" i="8" s="1"/>
  <c r="AW580" i="8"/>
  <c r="AV580" i="8"/>
  <c r="AU580" i="8"/>
  <c r="AR580" i="8"/>
  <c r="AI580" i="8" s="1"/>
  <c r="AQ580" i="8"/>
  <c r="AH580" i="8" s="1"/>
  <c r="AD580" i="8"/>
  <c r="S580" i="8"/>
  <c r="AP580" i="8" s="1"/>
  <c r="AG580" i="8" s="1"/>
  <c r="L580" i="8"/>
  <c r="AO580" i="8" s="1"/>
  <c r="AW579" i="8"/>
  <c r="AV579" i="8"/>
  <c r="AP579" i="8" s="1"/>
  <c r="AG579" i="8" s="1"/>
  <c r="AU579" i="8"/>
  <c r="AR579" i="8"/>
  <c r="AI579" i="8" s="1"/>
  <c r="AL579" i="8"/>
  <c r="AE579" i="8" s="1"/>
  <c r="AD579" i="8"/>
  <c r="S579" i="8"/>
  <c r="L579" i="8"/>
  <c r="AO579" i="8" s="1"/>
  <c r="AW578" i="8"/>
  <c r="AV578" i="8"/>
  <c r="AU578" i="8"/>
  <c r="AM578" i="8"/>
  <c r="AF578" i="8" s="1"/>
  <c r="AL578" i="8"/>
  <c r="AE578" i="8" s="1"/>
  <c r="AD578" i="8"/>
  <c r="S578" i="8"/>
  <c r="L578" i="8"/>
  <c r="AO578" i="8" s="1"/>
  <c r="AW577" i="8"/>
  <c r="AV577" i="8"/>
  <c r="AU577" i="8"/>
  <c r="AO577" i="8"/>
  <c r="AD577" i="8"/>
  <c r="S577" i="8"/>
  <c r="L577" i="8"/>
  <c r="AM577" i="8" s="1"/>
  <c r="AF577" i="8" s="1"/>
  <c r="AW576" i="8"/>
  <c r="AV576" i="8"/>
  <c r="AP576" i="8" s="1"/>
  <c r="AG576" i="8" s="1"/>
  <c r="AU576" i="8"/>
  <c r="AL576" i="8" s="1"/>
  <c r="AE576" i="8" s="1"/>
  <c r="AQ576" i="8"/>
  <c r="AH576" i="8" s="1"/>
  <c r="AD576" i="8"/>
  <c r="S576" i="8"/>
  <c r="L576" i="8"/>
  <c r="AW575" i="8"/>
  <c r="AV575" i="8"/>
  <c r="AR575" i="8" s="1"/>
  <c r="AI575" i="8" s="1"/>
  <c r="AU575" i="8"/>
  <c r="AD575" i="8"/>
  <c r="S575" i="8"/>
  <c r="AQ575" i="8" s="1"/>
  <c r="AH575" i="8" s="1"/>
  <c r="L575" i="8"/>
  <c r="AW574" i="8"/>
  <c r="AV574" i="8"/>
  <c r="AU574" i="8"/>
  <c r="AO574" i="8"/>
  <c r="AD574" i="8"/>
  <c r="S574" i="8"/>
  <c r="L574" i="8"/>
  <c r="AM574" i="8" s="1"/>
  <c r="AF574" i="8" s="1"/>
  <c r="AW573" i="8"/>
  <c r="AV573" i="8"/>
  <c r="AR573" i="8" s="1"/>
  <c r="AI573" i="8" s="1"/>
  <c r="AU573" i="8"/>
  <c r="AO573" i="8" s="1"/>
  <c r="AQ573" i="8"/>
  <c r="AH573" i="8" s="1"/>
  <c r="AD573" i="8"/>
  <c r="S573" i="8"/>
  <c r="L573" i="8"/>
  <c r="AW572" i="8"/>
  <c r="AV572" i="8"/>
  <c r="AP572" i="8" s="1"/>
  <c r="AG572" i="8" s="1"/>
  <c r="AU572" i="8"/>
  <c r="AL572" i="8"/>
  <c r="AE572" i="8" s="1"/>
  <c r="AD572" i="8"/>
  <c r="S572" i="8"/>
  <c r="AR572" i="8" s="1"/>
  <c r="AI572" i="8" s="1"/>
  <c r="L572" i="8"/>
  <c r="AW571" i="8"/>
  <c r="AV571" i="8"/>
  <c r="AU571" i="8"/>
  <c r="AD571" i="8"/>
  <c r="S571" i="8"/>
  <c r="L571" i="8"/>
  <c r="AL571" i="8" s="1"/>
  <c r="AE571" i="8" s="1"/>
  <c r="AW570" i="8"/>
  <c r="AV570" i="8"/>
  <c r="AU570" i="8"/>
  <c r="AR570" i="8"/>
  <c r="AI570" i="8" s="1"/>
  <c r="AQ570" i="8"/>
  <c r="AH570" i="8" s="1"/>
  <c r="AP570" i="8"/>
  <c r="AG570" i="8" s="1"/>
  <c r="AD570" i="8"/>
  <c r="S570" i="8"/>
  <c r="L570" i="8"/>
  <c r="AW569" i="8"/>
  <c r="AV569" i="8"/>
  <c r="AU569" i="8"/>
  <c r="AO569" i="8" s="1"/>
  <c r="AR569" i="8"/>
  <c r="AI569" i="8" s="1"/>
  <c r="AD569" i="8"/>
  <c r="S569" i="8"/>
  <c r="AQ569" i="8" s="1"/>
  <c r="AH569" i="8" s="1"/>
  <c r="L569" i="8"/>
  <c r="AM569" i="8" s="1"/>
  <c r="AF569" i="8" s="1"/>
  <c r="AW568" i="8"/>
  <c r="AV568" i="8"/>
  <c r="AU568" i="8"/>
  <c r="AD568" i="8"/>
  <c r="S568" i="8"/>
  <c r="L568" i="8"/>
  <c r="AO568" i="8" s="1"/>
  <c r="AW567" i="8"/>
  <c r="AV567" i="8"/>
  <c r="AR567" i="8" s="1"/>
  <c r="AI567" i="8" s="1"/>
  <c r="AU567" i="8"/>
  <c r="AQ567" i="8"/>
  <c r="AH567" i="8" s="1"/>
  <c r="AP567" i="8"/>
  <c r="AG567" i="8" s="1"/>
  <c r="AO567" i="8"/>
  <c r="AL567" i="8"/>
  <c r="AF567" i="8"/>
  <c r="AE567" i="8"/>
  <c r="AD567" i="8"/>
  <c r="S567" i="8"/>
  <c r="L567" i="8"/>
  <c r="AM567" i="8" s="1"/>
  <c r="AW566" i="8"/>
  <c r="AV566" i="8"/>
  <c r="AU566" i="8"/>
  <c r="AO566" i="8" s="1"/>
  <c r="AR566" i="8"/>
  <c r="AI566" i="8" s="1"/>
  <c r="AL566" i="8"/>
  <c r="AE566" i="8" s="1"/>
  <c r="AD566" i="8"/>
  <c r="S566" i="8"/>
  <c r="AQ566" i="8" s="1"/>
  <c r="AH566" i="8" s="1"/>
  <c r="L566" i="8"/>
  <c r="AW565" i="8"/>
  <c r="AV565" i="8"/>
  <c r="AU565" i="8"/>
  <c r="AD565" i="8"/>
  <c r="S565" i="8"/>
  <c r="L565" i="8"/>
  <c r="AL565" i="8" s="1"/>
  <c r="AE565" i="8" s="1"/>
  <c r="AW564" i="8"/>
  <c r="AV564" i="8"/>
  <c r="AU564" i="8"/>
  <c r="AD564" i="8"/>
  <c r="S564" i="8"/>
  <c r="L564" i="8"/>
  <c r="AO564" i="8" s="1"/>
  <c r="AW563" i="8"/>
  <c r="AV563" i="8"/>
  <c r="AU563" i="8"/>
  <c r="AR563" i="8"/>
  <c r="AI563" i="8" s="1"/>
  <c r="AD563" i="8"/>
  <c r="S563" i="8"/>
  <c r="AP563" i="8" s="1"/>
  <c r="AG563" i="8" s="1"/>
  <c r="L563" i="8"/>
  <c r="AO563" i="8" s="1"/>
  <c r="AW562" i="8"/>
  <c r="AV562" i="8"/>
  <c r="AU562" i="8"/>
  <c r="AD562" i="8"/>
  <c r="S562" i="8"/>
  <c r="L562" i="8"/>
  <c r="AO562" i="8" s="1"/>
  <c r="AW561" i="8"/>
  <c r="AV561" i="8"/>
  <c r="AU561" i="8"/>
  <c r="AP561" i="8"/>
  <c r="AG561" i="8" s="1"/>
  <c r="AO561" i="8"/>
  <c r="AD561" i="8"/>
  <c r="S561" i="8"/>
  <c r="L561" i="8"/>
  <c r="AM561" i="8" s="1"/>
  <c r="AF561" i="8" s="1"/>
  <c r="AW560" i="8"/>
  <c r="AV560" i="8"/>
  <c r="AU560" i="8"/>
  <c r="AR560" i="8"/>
  <c r="AI560" i="8" s="1"/>
  <c r="AQ560" i="8"/>
  <c r="AH560" i="8" s="1"/>
  <c r="AP560" i="8"/>
  <c r="AG560" i="8" s="1"/>
  <c r="AD560" i="8"/>
  <c r="S560" i="8"/>
  <c r="L560" i="8"/>
  <c r="AM560" i="8" s="1"/>
  <c r="AF560" i="8" s="1"/>
  <c r="AW559" i="8"/>
  <c r="AV559" i="8"/>
  <c r="AU559" i="8"/>
  <c r="AM559" i="8"/>
  <c r="AF559" i="8" s="1"/>
  <c r="AL559" i="8"/>
  <c r="AE559" i="8" s="1"/>
  <c r="AD559" i="8"/>
  <c r="S559" i="8"/>
  <c r="L559" i="8"/>
  <c r="AW558" i="8"/>
  <c r="AV558" i="8"/>
  <c r="AU558" i="8"/>
  <c r="AO558" i="8"/>
  <c r="AD558" i="8"/>
  <c r="S558" i="8"/>
  <c r="AP558" i="8" s="1"/>
  <c r="AG558" i="8" s="1"/>
  <c r="L558" i="8"/>
  <c r="AM558" i="8" s="1"/>
  <c r="AF558" i="8" s="1"/>
  <c r="AW557" i="8"/>
  <c r="AV557" i="8"/>
  <c r="AU557" i="8"/>
  <c r="AR557" i="8"/>
  <c r="AI557" i="8" s="1"/>
  <c r="AQ557" i="8"/>
  <c r="AH557" i="8" s="1"/>
  <c r="AP557" i="8"/>
  <c r="AG557" i="8" s="1"/>
  <c r="AM557" i="8"/>
  <c r="AF557" i="8" s="1"/>
  <c r="AD557" i="8"/>
  <c r="S557" i="8"/>
  <c r="L557" i="8"/>
  <c r="AW556" i="8"/>
  <c r="AV556" i="8"/>
  <c r="AU556" i="8"/>
  <c r="AR556" i="8"/>
  <c r="AI556" i="8" s="1"/>
  <c r="AD556" i="8"/>
  <c r="S556" i="8"/>
  <c r="AQ556" i="8" s="1"/>
  <c r="AH556" i="8" s="1"/>
  <c r="L556" i="8"/>
  <c r="AW555" i="8"/>
  <c r="AV555" i="8"/>
  <c r="AU555" i="8"/>
  <c r="AO555" i="8"/>
  <c r="AM555" i="8"/>
  <c r="AF555" i="8" s="1"/>
  <c r="AD555" i="8"/>
  <c r="S555" i="8"/>
  <c r="AR555" i="8" s="1"/>
  <c r="AI555" i="8" s="1"/>
  <c r="L555" i="8"/>
  <c r="AW554" i="8"/>
  <c r="AV554" i="8"/>
  <c r="AU554" i="8"/>
  <c r="AR554" i="8"/>
  <c r="AI554" i="8" s="1"/>
  <c r="AQ554" i="8"/>
  <c r="AH554" i="8" s="1"/>
  <c r="AP554" i="8"/>
  <c r="AG554" i="8" s="1"/>
  <c r="AM554" i="8"/>
  <c r="AF554" i="8" s="1"/>
  <c r="AD554" i="8"/>
  <c r="S554" i="8"/>
  <c r="L554" i="8"/>
  <c r="AW553" i="8"/>
  <c r="AV553" i="8"/>
  <c r="AU553" i="8"/>
  <c r="AR553" i="8"/>
  <c r="AI553" i="8" s="1"/>
  <c r="AQ553" i="8"/>
  <c r="AH553" i="8" s="1"/>
  <c r="AD553" i="8"/>
  <c r="S553" i="8"/>
  <c r="AP553" i="8" s="1"/>
  <c r="AG553" i="8" s="1"/>
  <c r="L553" i="8"/>
  <c r="AW552" i="8"/>
  <c r="AV552" i="8"/>
  <c r="AU552" i="8"/>
  <c r="AR552" i="8"/>
  <c r="AI552" i="8" s="1"/>
  <c r="AM552" i="8"/>
  <c r="AF552" i="8" s="1"/>
  <c r="AD552" i="8"/>
  <c r="S552" i="8"/>
  <c r="L552" i="8"/>
  <c r="AW551" i="8"/>
  <c r="AV551" i="8"/>
  <c r="AU551" i="8"/>
  <c r="AO551" i="8"/>
  <c r="AL551" i="8"/>
  <c r="AE551" i="8" s="1"/>
  <c r="AD551" i="8"/>
  <c r="S551" i="8"/>
  <c r="L551" i="8"/>
  <c r="AM551" i="8" s="1"/>
  <c r="AF551" i="8" s="1"/>
  <c r="AW550" i="8"/>
  <c r="AV550" i="8"/>
  <c r="AU550" i="8"/>
  <c r="AR550" i="8"/>
  <c r="AI550" i="8" s="1"/>
  <c r="AQ550" i="8"/>
  <c r="AH550" i="8" s="1"/>
  <c r="AD550" i="8"/>
  <c r="S550" i="8"/>
  <c r="AP550" i="8" s="1"/>
  <c r="AG550" i="8" s="1"/>
  <c r="L550" i="8"/>
  <c r="AW549" i="8"/>
  <c r="AV549" i="8"/>
  <c r="AU549" i="8"/>
  <c r="AD549" i="8"/>
  <c r="S549" i="8"/>
  <c r="L549" i="8"/>
  <c r="AW548" i="8"/>
  <c r="AV548" i="8"/>
  <c r="AU548" i="8"/>
  <c r="AQ548" i="8"/>
  <c r="AM548" i="8"/>
  <c r="AF548" i="8" s="1"/>
  <c r="AH548" i="8"/>
  <c r="AD548" i="8"/>
  <c r="S548" i="8"/>
  <c r="AR548" i="8" s="1"/>
  <c r="AI548" i="8" s="1"/>
  <c r="L548" i="8"/>
  <c r="AW547" i="8"/>
  <c r="AV547" i="8"/>
  <c r="AQ547" i="8" s="1"/>
  <c r="AH547" i="8" s="1"/>
  <c r="AU547" i="8"/>
  <c r="AR547" i="8"/>
  <c r="AI547" i="8" s="1"/>
  <c r="AP547" i="8"/>
  <c r="AG547" i="8" s="1"/>
  <c r="AL547" i="8"/>
  <c r="AE547" i="8"/>
  <c r="AD547" i="8"/>
  <c r="S547" i="8"/>
  <c r="L547" i="8"/>
  <c r="AO547" i="8" s="1"/>
  <c r="AW546" i="8"/>
  <c r="AV546" i="8"/>
  <c r="AU546" i="8"/>
  <c r="AM546" i="8"/>
  <c r="AF546" i="8" s="1"/>
  <c r="AL546" i="8"/>
  <c r="AE546" i="8" s="1"/>
  <c r="AD546" i="8"/>
  <c r="S546" i="8"/>
  <c r="AQ546" i="8" s="1"/>
  <c r="AH546" i="8" s="1"/>
  <c r="L546" i="8"/>
  <c r="AW545" i="8"/>
  <c r="AV545" i="8"/>
  <c r="AU545" i="8"/>
  <c r="AP545" i="8"/>
  <c r="AG545" i="8" s="1"/>
  <c r="AO545" i="8"/>
  <c r="AM545" i="8"/>
  <c r="AF545" i="8" s="1"/>
  <c r="AD545" i="8"/>
  <c r="S545" i="8"/>
  <c r="AR545" i="8" s="1"/>
  <c r="AI545" i="8" s="1"/>
  <c r="L545" i="8"/>
  <c r="AL545" i="8" s="1"/>
  <c r="AE545" i="8" s="1"/>
  <c r="AW544" i="8"/>
  <c r="AV544" i="8"/>
  <c r="AQ544" i="8" s="1"/>
  <c r="AH544" i="8" s="1"/>
  <c r="AU544" i="8"/>
  <c r="AL544" i="8" s="1"/>
  <c r="AE544" i="8" s="1"/>
  <c r="AR544" i="8"/>
  <c r="AI544" i="8" s="1"/>
  <c r="AD544" i="8"/>
  <c r="S544" i="8"/>
  <c r="L544" i="8"/>
  <c r="AW543" i="8"/>
  <c r="AV543" i="8"/>
  <c r="AR543" i="8" s="1"/>
  <c r="AI543" i="8" s="1"/>
  <c r="AU543" i="8"/>
  <c r="AM543" i="8"/>
  <c r="AF543" i="8" s="1"/>
  <c r="AL543" i="8"/>
  <c r="AE543" i="8" s="1"/>
  <c r="AD543" i="8"/>
  <c r="S543" i="8"/>
  <c r="AQ543" i="8" s="1"/>
  <c r="AH543" i="8" s="1"/>
  <c r="L543" i="8"/>
  <c r="AW542" i="8"/>
  <c r="AV542" i="8"/>
  <c r="AU542" i="8"/>
  <c r="AP542" i="8"/>
  <c r="AG542" i="8" s="1"/>
  <c r="AO542" i="8"/>
  <c r="AM542" i="8"/>
  <c r="AF542" i="8" s="1"/>
  <c r="AD542" i="8"/>
  <c r="S542" i="8"/>
  <c r="AR542" i="8" s="1"/>
  <c r="AI542" i="8" s="1"/>
  <c r="L542" i="8"/>
  <c r="AL542" i="8" s="1"/>
  <c r="AE542" i="8" s="1"/>
  <c r="AW541" i="8"/>
  <c r="AV541" i="8"/>
  <c r="AQ541" i="8" s="1"/>
  <c r="AH541" i="8" s="1"/>
  <c r="AU541" i="8"/>
  <c r="AL541" i="8" s="1"/>
  <c r="AE541" i="8" s="1"/>
  <c r="AR541" i="8"/>
  <c r="AI541" i="8" s="1"/>
  <c r="AD541" i="8"/>
  <c r="S541" i="8"/>
  <c r="L541" i="8"/>
  <c r="AW540" i="8"/>
  <c r="AV540" i="8"/>
  <c r="AU540" i="8"/>
  <c r="AR540" i="8"/>
  <c r="AI540" i="8" s="1"/>
  <c r="AD540" i="8"/>
  <c r="S540" i="8"/>
  <c r="L540" i="8"/>
  <c r="AW539" i="8"/>
  <c r="AV539" i="8"/>
  <c r="AU539" i="8"/>
  <c r="AP539" i="8"/>
  <c r="AG539" i="8" s="1"/>
  <c r="AM539" i="8"/>
  <c r="AF539" i="8" s="1"/>
  <c r="AL539" i="8"/>
  <c r="AE539" i="8" s="1"/>
  <c r="AD539" i="8"/>
  <c r="S539" i="8"/>
  <c r="L539" i="8"/>
  <c r="AO539" i="8" s="1"/>
  <c r="AW538" i="8"/>
  <c r="AV538" i="8"/>
  <c r="AU538" i="8"/>
  <c r="AO538" i="8" s="1"/>
  <c r="AR538" i="8"/>
  <c r="AI538" i="8" s="1"/>
  <c r="AQ538" i="8"/>
  <c r="AH538" i="8" s="1"/>
  <c r="AP538" i="8"/>
  <c r="AG538" i="8" s="1"/>
  <c r="AL538" i="8"/>
  <c r="AE538" i="8" s="1"/>
  <c r="AD538" i="8"/>
  <c r="S538" i="8"/>
  <c r="L538" i="8"/>
  <c r="AW537" i="8"/>
  <c r="AV537" i="8"/>
  <c r="AU537" i="8"/>
  <c r="AD537" i="8"/>
  <c r="S537" i="8"/>
  <c r="L537" i="8"/>
  <c r="AO537" i="8" s="1"/>
  <c r="AW536" i="8"/>
  <c r="AV536" i="8"/>
  <c r="AU536" i="8"/>
  <c r="AQ536" i="8"/>
  <c r="AH536" i="8" s="1"/>
  <c r="AP536" i="8"/>
  <c r="AG536" i="8" s="1"/>
  <c r="AD536" i="8"/>
  <c r="S536" i="8"/>
  <c r="L536" i="8"/>
  <c r="AO536" i="8" s="1"/>
  <c r="AW535" i="8"/>
  <c r="AV535" i="8"/>
  <c r="AU535" i="8"/>
  <c r="AO535" i="8"/>
  <c r="AL535" i="8"/>
  <c r="AE535" i="8" s="1"/>
  <c r="AD535" i="8"/>
  <c r="S535" i="8"/>
  <c r="AR535" i="8" s="1"/>
  <c r="AI535" i="8" s="1"/>
  <c r="L535" i="8"/>
  <c r="AM535" i="8" s="1"/>
  <c r="AF535" i="8" s="1"/>
  <c r="AW534" i="8"/>
  <c r="AV534" i="8"/>
  <c r="AU534" i="8"/>
  <c r="AO534" i="8"/>
  <c r="AD534" i="8"/>
  <c r="S534" i="8"/>
  <c r="AP534" i="8" s="1"/>
  <c r="AG534" i="8" s="1"/>
  <c r="L534" i="8"/>
  <c r="AW533" i="8"/>
  <c r="AV533" i="8"/>
  <c r="AU533" i="8"/>
  <c r="AP533" i="8"/>
  <c r="AG533" i="8" s="1"/>
  <c r="AO533" i="8"/>
  <c r="AM533" i="8"/>
  <c r="AF533" i="8" s="1"/>
  <c r="AD533" i="8"/>
  <c r="S533" i="8"/>
  <c r="L533" i="8"/>
  <c r="AL533" i="8" s="1"/>
  <c r="AE533" i="8" s="1"/>
  <c r="AW532" i="8"/>
  <c r="AV532" i="8"/>
  <c r="AU532" i="8"/>
  <c r="AM532" i="8"/>
  <c r="AF532" i="8" s="1"/>
  <c r="AD532" i="8"/>
  <c r="S532" i="8"/>
  <c r="L532" i="8"/>
  <c r="AW531" i="8"/>
  <c r="AV531" i="8"/>
  <c r="AU531" i="8"/>
  <c r="AQ531" i="8"/>
  <c r="AH531" i="8" s="1"/>
  <c r="AP531" i="8"/>
  <c r="AG531" i="8" s="1"/>
  <c r="AM531" i="8"/>
  <c r="AF531" i="8" s="1"/>
  <c r="AL531" i="8"/>
  <c r="AE531" i="8" s="1"/>
  <c r="AD531" i="8"/>
  <c r="S531" i="8"/>
  <c r="AR531" i="8" s="1"/>
  <c r="AI531" i="8" s="1"/>
  <c r="L531" i="8"/>
  <c r="AW530" i="8"/>
  <c r="AV530" i="8"/>
  <c r="AU530" i="8"/>
  <c r="AD530" i="8"/>
  <c r="S530" i="8"/>
  <c r="L530" i="8"/>
  <c r="AW529" i="8"/>
  <c r="AV529" i="8"/>
  <c r="AU529" i="8"/>
  <c r="AH529" i="8"/>
  <c r="AE529" i="8"/>
  <c r="AD529" i="8"/>
  <c r="S529" i="8"/>
  <c r="AQ529" i="8" s="1"/>
  <c r="L529" i="8"/>
  <c r="AL529" i="8" s="1"/>
  <c r="AW528" i="8"/>
  <c r="AV528" i="8"/>
  <c r="AU528" i="8"/>
  <c r="AR528" i="8"/>
  <c r="AI528" i="8" s="1"/>
  <c r="AQ528" i="8"/>
  <c r="AH528" i="8" s="1"/>
  <c r="AP528" i="8"/>
  <c r="AG528" i="8" s="1"/>
  <c r="AD528" i="8"/>
  <c r="S528" i="8"/>
  <c r="L528" i="8"/>
  <c r="AM528" i="8" s="1"/>
  <c r="AF528" i="8" s="1"/>
  <c r="AW527" i="8"/>
  <c r="AV527" i="8"/>
  <c r="AU527" i="8"/>
  <c r="AR527" i="8"/>
  <c r="AI527" i="8" s="1"/>
  <c r="AD527" i="8"/>
  <c r="S527" i="8"/>
  <c r="L527" i="8"/>
  <c r="AW526" i="8"/>
  <c r="AV526" i="8"/>
  <c r="AP526" i="8" s="1"/>
  <c r="AG526" i="8" s="1"/>
  <c r="AU526" i="8"/>
  <c r="AO526" i="8"/>
  <c r="AD526" i="8"/>
  <c r="S526" i="8"/>
  <c r="L526" i="8"/>
  <c r="AW525" i="8"/>
  <c r="AV525" i="8"/>
  <c r="AU525" i="8"/>
  <c r="AR525" i="8"/>
  <c r="AI525" i="8" s="1"/>
  <c r="AQ525" i="8"/>
  <c r="AH525" i="8" s="1"/>
  <c r="AP525" i="8"/>
  <c r="AG525" i="8" s="1"/>
  <c r="AM525" i="8"/>
  <c r="AF525" i="8" s="1"/>
  <c r="AD525" i="8"/>
  <c r="S525" i="8"/>
  <c r="L525" i="8"/>
  <c r="AL525" i="8" s="1"/>
  <c r="AE525" i="8" s="1"/>
  <c r="AW524" i="8"/>
  <c r="AV524" i="8"/>
  <c r="AU524" i="8"/>
  <c r="AP524" i="8"/>
  <c r="AG524" i="8" s="1"/>
  <c r="AM524" i="8"/>
  <c r="AF524" i="8" s="1"/>
  <c r="AL524" i="8"/>
  <c r="AE524" i="8" s="1"/>
  <c r="AD524" i="8"/>
  <c r="S524" i="8"/>
  <c r="L524" i="8"/>
  <c r="AW523" i="8"/>
  <c r="AV523" i="8"/>
  <c r="AU523" i="8"/>
  <c r="AM523" i="8" s="1"/>
  <c r="AF523" i="8" s="1"/>
  <c r="AD523" i="8"/>
  <c r="S523" i="8"/>
  <c r="L523" i="8"/>
  <c r="AW522" i="8"/>
  <c r="AV522" i="8"/>
  <c r="AU522" i="8"/>
  <c r="AR522" i="8"/>
  <c r="AI522" i="8" s="1"/>
  <c r="AQ522" i="8"/>
  <c r="AH522" i="8" s="1"/>
  <c r="AP522" i="8"/>
  <c r="AG522" i="8" s="1"/>
  <c r="AD522" i="8"/>
  <c r="S522" i="8"/>
  <c r="L522" i="8"/>
  <c r="AW521" i="8"/>
  <c r="AV521" i="8"/>
  <c r="AU521" i="8"/>
  <c r="AM521" i="8"/>
  <c r="AF521" i="8" s="1"/>
  <c r="AL521" i="8"/>
  <c r="AE521" i="8"/>
  <c r="AD521" i="8"/>
  <c r="S521" i="8"/>
  <c r="L521" i="8"/>
  <c r="AO521" i="8" s="1"/>
  <c r="AW520" i="8"/>
  <c r="AV520" i="8"/>
  <c r="AU520" i="8"/>
  <c r="AM520" i="8"/>
  <c r="AF520" i="8" s="1"/>
  <c r="AL520" i="8"/>
  <c r="AE520" i="8" s="1"/>
  <c r="AD520" i="8"/>
  <c r="S520" i="8"/>
  <c r="L520" i="8"/>
  <c r="AO520" i="8" s="1"/>
  <c r="AW519" i="8"/>
  <c r="AV519" i="8"/>
  <c r="AP519" i="8" s="1"/>
  <c r="AG519" i="8" s="1"/>
  <c r="AU519" i="8"/>
  <c r="AO519" i="8"/>
  <c r="AL519" i="8"/>
  <c r="AE519" i="8" s="1"/>
  <c r="AD519" i="8"/>
  <c r="S519" i="8"/>
  <c r="L519" i="8"/>
  <c r="AM519" i="8" s="1"/>
  <c r="AF519" i="8" s="1"/>
  <c r="AW518" i="8"/>
  <c r="AV518" i="8"/>
  <c r="AU518" i="8"/>
  <c r="AO518" i="8"/>
  <c r="AD518" i="8"/>
  <c r="S518" i="8"/>
  <c r="AP518" i="8" s="1"/>
  <c r="AG518" i="8" s="1"/>
  <c r="L518" i="8"/>
  <c r="AL518" i="8" s="1"/>
  <c r="AE518" i="8" s="1"/>
  <c r="AW517" i="8"/>
  <c r="AV517" i="8"/>
  <c r="AU517" i="8"/>
  <c r="AM517" i="8"/>
  <c r="AF517" i="8" s="1"/>
  <c r="AL517" i="8"/>
  <c r="AE517" i="8"/>
  <c r="AD517" i="8"/>
  <c r="S517" i="8"/>
  <c r="L517" i="8"/>
  <c r="AO517" i="8" s="1"/>
  <c r="AW516" i="8"/>
  <c r="AV516" i="8"/>
  <c r="AU516" i="8"/>
  <c r="AD516" i="8"/>
  <c r="S516" i="8"/>
  <c r="AR516" i="8" s="1"/>
  <c r="AI516" i="8" s="1"/>
  <c r="L516" i="8"/>
  <c r="AW515" i="8"/>
  <c r="AV515" i="8"/>
  <c r="AU515" i="8"/>
  <c r="AL515" i="8"/>
  <c r="AE515" i="8" s="1"/>
  <c r="AD515" i="8"/>
  <c r="S515" i="8"/>
  <c r="L515" i="8"/>
  <c r="AO515" i="8" s="1"/>
  <c r="AW514" i="8"/>
  <c r="AV514" i="8"/>
  <c r="AU514" i="8"/>
  <c r="AO514" i="8"/>
  <c r="AD514" i="8"/>
  <c r="S514" i="8"/>
  <c r="AP514" i="8" s="1"/>
  <c r="AG514" i="8" s="1"/>
  <c r="L514" i="8"/>
  <c r="AW513" i="8"/>
  <c r="AV513" i="8"/>
  <c r="AU513" i="8"/>
  <c r="AD513" i="8"/>
  <c r="S513" i="8"/>
  <c r="AR513" i="8" s="1"/>
  <c r="AI513" i="8" s="1"/>
  <c r="L513" i="8"/>
  <c r="AW512" i="8"/>
  <c r="AV512" i="8"/>
  <c r="AP512" i="8" s="1"/>
  <c r="AG512" i="8" s="1"/>
  <c r="AU512" i="8"/>
  <c r="AR512" i="8"/>
  <c r="AI512" i="8" s="1"/>
  <c r="AQ512" i="8"/>
  <c r="AH512" i="8" s="1"/>
  <c r="AD512" i="8"/>
  <c r="S512" i="8"/>
  <c r="L512" i="8"/>
  <c r="AW511" i="8"/>
  <c r="AV511" i="8"/>
  <c r="AU511" i="8"/>
  <c r="AO511" i="8"/>
  <c r="AD511" i="8"/>
  <c r="S511" i="8"/>
  <c r="AQ511" i="8" s="1"/>
  <c r="AH511" i="8" s="1"/>
  <c r="L511" i="8"/>
  <c r="AW510" i="8"/>
  <c r="AV510" i="8"/>
  <c r="AU510" i="8"/>
  <c r="AQ510" i="8"/>
  <c r="AH510" i="8" s="1"/>
  <c r="AP510" i="8"/>
  <c r="AG510" i="8" s="1"/>
  <c r="AD510" i="8"/>
  <c r="S510" i="8"/>
  <c r="AR510" i="8" s="1"/>
  <c r="AI510" i="8" s="1"/>
  <c r="L510" i="8"/>
  <c r="AO510" i="8" s="1"/>
  <c r="AW509" i="8"/>
  <c r="AV509" i="8"/>
  <c r="AU509" i="8"/>
  <c r="AR509" i="8"/>
  <c r="AI509" i="8" s="1"/>
  <c r="AQ509" i="8"/>
  <c r="AH509" i="8" s="1"/>
  <c r="AP509" i="8"/>
  <c r="AG509" i="8" s="1"/>
  <c r="AO509" i="8"/>
  <c r="AL509" i="8"/>
  <c r="AE509" i="8" s="1"/>
  <c r="AD509" i="8"/>
  <c r="S509" i="8"/>
  <c r="L509" i="8"/>
  <c r="AW508" i="8"/>
  <c r="AV508" i="8"/>
  <c r="AU508" i="8"/>
  <c r="AD508" i="8"/>
  <c r="S508" i="8"/>
  <c r="L508" i="8"/>
  <c r="AW507" i="8"/>
  <c r="AV507" i="8"/>
  <c r="AU507" i="8"/>
  <c r="AO507" i="8"/>
  <c r="AM507" i="8"/>
  <c r="AF507" i="8" s="1"/>
  <c r="AD507" i="8"/>
  <c r="S507" i="8"/>
  <c r="L507" i="8"/>
  <c r="AW506" i="8"/>
  <c r="AV506" i="8"/>
  <c r="AU506" i="8"/>
  <c r="AR506" i="8"/>
  <c r="AI506" i="8" s="1"/>
  <c r="AQ506" i="8"/>
  <c r="AH506" i="8" s="1"/>
  <c r="AP506" i="8"/>
  <c r="AG506" i="8" s="1"/>
  <c r="AO506" i="8"/>
  <c r="AL506" i="8"/>
  <c r="AE506" i="8" s="1"/>
  <c r="AD506" i="8"/>
  <c r="S506" i="8"/>
  <c r="L506" i="8"/>
  <c r="AW505" i="8"/>
  <c r="AV505" i="8"/>
  <c r="AU505" i="8"/>
  <c r="AR505" i="8"/>
  <c r="AI505" i="8" s="1"/>
  <c r="AO505" i="8"/>
  <c r="AL505" i="8"/>
  <c r="AE505" i="8" s="1"/>
  <c r="AD505" i="8"/>
  <c r="S505" i="8"/>
  <c r="L505" i="8"/>
  <c r="AW504" i="8"/>
  <c r="AV504" i="8"/>
  <c r="AQ504" i="8" s="1"/>
  <c r="AH504" i="8" s="1"/>
  <c r="AU504" i="8"/>
  <c r="AL504" i="8" s="1"/>
  <c r="AE504" i="8" s="1"/>
  <c r="AR504" i="8"/>
  <c r="AI504" i="8" s="1"/>
  <c r="AD504" i="8"/>
  <c r="S504" i="8"/>
  <c r="L504" i="8"/>
  <c r="AW503" i="8"/>
  <c r="AV503" i="8"/>
  <c r="AU503" i="8"/>
  <c r="AM503" i="8"/>
  <c r="AF503" i="8" s="1"/>
  <c r="AD503" i="8"/>
  <c r="S503" i="8"/>
  <c r="L503" i="8"/>
  <c r="AW502" i="8"/>
  <c r="AV502" i="8"/>
  <c r="AU502" i="8"/>
  <c r="AO502" i="8"/>
  <c r="AD502" i="8"/>
  <c r="S502" i="8"/>
  <c r="AP502" i="8" s="1"/>
  <c r="AG502" i="8" s="1"/>
  <c r="L502" i="8"/>
  <c r="AM502" i="8" s="1"/>
  <c r="AF502" i="8" s="1"/>
  <c r="AW501" i="8"/>
  <c r="AV501" i="8"/>
  <c r="AU501" i="8"/>
  <c r="AD501" i="8"/>
  <c r="S501" i="8"/>
  <c r="L501" i="8"/>
  <c r="AO501" i="8" s="1"/>
  <c r="AW500" i="8"/>
  <c r="AV500" i="8"/>
  <c r="AU500" i="8"/>
  <c r="AD500" i="8"/>
  <c r="S500" i="8"/>
  <c r="L500" i="8"/>
  <c r="AW499" i="8"/>
  <c r="AV499" i="8"/>
  <c r="AU499" i="8"/>
  <c r="AM499" i="8"/>
  <c r="AF499" i="8" s="1"/>
  <c r="AD499" i="8"/>
  <c r="S499" i="8"/>
  <c r="L499" i="8"/>
  <c r="AW498" i="8"/>
  <c r="AV498" i="8"/>
  <c r="AU498" i="8"/>
  <c r="AR498" i="8"/>
  <c r="AI498" i="8" s="1"/>
  <c r="AD498" i="8"/>
  <c r="S498" i="8"/>
  <c r="L498" i="8"/>
  <c r="AO498" i="8" s="1"/>
  <c r="AW497" i="8"/>
  <c r="AV497" i="8"/>
  <c r="AU497" i="8"/>
  <c r="AR497" i="8"/>
  <c r="AI497" i="8" s="1"/>
  <c r="AM497" i="8"/>
  <c r="AF497" i="8" s="1"/>
  <c r="AL497" i="8"/>
  <c r="AE497" i="8" s="1"/>
  <c r="AD497" i="8"/>
  <c r="S497" i="8"/>
  <c r="L497" i="8"/>
  <c r="AO497" i="8" s="1"/>
  <c r="AW496" i="8"/>
  <c r="AV496" i="8"/>
  <c r="AU496" i="8"/>
  <c r="AL496" i="8"/>
  <c r="AE496" i="8" s="1"/>
  <c r="AD496" i="8"/>
  <c r="S496" i="8"/>
  <c r="L496" i="8"/>
  <c r="AO496" i="8" s="1"/>
  <c r="AW495" i="8"/>
  <c r="AV495" i="8"/>
  <c r="AU495" i="8"/>
  <c r="AR495" i="8"/>
  <c r="AI495" i="8" s="1"/>
  <c r="AQ495" i="8"/>
  <c r="AH495" i="8" s="1"/>
  <c r="Z495" i="8" s="1"/>
  <c r="AP495" i="8"/>
  <c r="AG495" i="8" s="1"/>
  <c r="AO495" i="8"/>
  <c r="AL495" i="8"/>
  <c r="AE495" i="8" s="1"/>
  <c r="AD495" i="8"/>
  <c r="S495" i="8"/>
  <c r="L495" i="8"/>
  <c r="AM495" i="8" s="1"/>
  <c r="AF495" i="8" s="1"/>
  <c r="AW494" i="8"/>
  <c r="AV494" i="8"/>
  <c r="AU494" i="8"/>
  <c r="AM494" i="8"/>
  <c r="AF494" i="8" s="1"/>
  <c r="AL494" i="8"/>
  <c r="AE494" i="8" s="1"/>
  <c r="AD494" i="8"/>
  <c r="S494" i="8"/>
  <c r="AR494" i="8" s="1"/>
  <c r="AI494" i="8" s="1"/>
  <c r="L494" i="8"/>
  <c r="AO494" i="8" s="1"/>
  <c r="AW493" i="8"/>
  <c r="AV493" i="8"/>
  <c r="AU493" i="8"/>
  <c r="AO493" i="8"/>
  <c r="AL493" i="8"/>
  <c r="AE493" i="8"/>
  <c r="AD493" i="8"/>
  <c r="S493" i="8"/>
  <c r="L493" i="8"/>
  <c r="AM493" i="8" s="1"/>
  <c r="AF493" i="8" s="1"/>
  <c r="AW492" i="8"/>
  <c r="AV492" i="8"/>
  <c r="AU492" i="8"/>
  <c r="AR492" i="8"/>
  <c r="AI492" i="8" s="1"/>
  <c r="AQ492" i="8"/>
  <c r="AH492" i="8" s="1"/>
  <c r="AP492" i="8"/>
  <c r="AG492" i="8" s="1"/>
  <c r="AD492" i="8"/>
  <c r="S492" i="8"/>
  <c r="L492" i="8"/>
  <c r="AO492" i="8" s="1"/>
  <c r="AQ491" i="8"/>
  <c r="AP491" i="8"/>
  <c r="S491" i="8"/>
  <c r="AR491" i="8" s="1"/>
  <c r="L491" i="8"/>
  <c r="AR490" i="8"/>
  <c r="S490" i="8"/>
  <c r="AQ490" i="8" s="1"/>
  <c r="L490" i="8"/>
  <c r="AR489" i="8"/>
  <c r="AQ489" i="8"/>
  <c r="AO489" i="8"/>
  <c r="AM489" i="8"/>
  <c r="AL489" i="8"/>
  <c r="S489" i="8"/>
  <c r="AP489" i="8" s="1"/>
  <c r="L489" i="8"/>
  <c r="AR488" i="8"/>
  <c r="S488" i="8"/>
  <c r="AQ488" i="8" s="1"/>
  <c r="L488" i="8"/>
  <c r="AR487" i="8"/>
  <c r="AP487" i="8"/>
  <c r="AO487" i="8"/>
  <c r="AM487" i="8"/>
  <c r="AL487" i="8"/>
  <c r="S487" i="8"/>
  <c r="AQ487" i="8" s="1"/>
  <c r="L487" i="8"/>
  <c r="AW486" i="8"/>
  <c r="AV486" i="8"/>
  <c r="AR486" i="8" s="1"/>
  <c r="AI486" i="8" s="1"/>
  <c r="AU486" i="8"/>
  <c r="AL486" i="8"/>
  <c r="AE486" i="8" s="1"/>
  <c r="AD486" i="8"/>
  <c r="S486" i="8"/>
  <c r="AQ486" i="8" s="1"/>
  <c r="AH486" i="8" s="1"/>
  <c r="L486" i="8"/>
  <c r="AM486" i="8" s="1"/>
  <c r="AF486" i="8" s="1"/>
  <c r="AW485" i="8"/>
  <c r="AV485" i="8"/>
  <c r="AU485" i="8"/>
  <c r="AD485" i="8"/>
  <c r="S485" i="8"/>
  <c r="L485" i="8"/>
  <c r="AL485" i="8" s="1"/>
  <c r="AE485" i="8" s="1"/>
  <c r="AW484" i="8"/>
  <c r="AV484" i="8"/>
  <c r="AU484" i="8"/>
  <c r="AR484" i="8"/>
  <c r="AI484" i="8" s="1"/>
  <c r="AQ484" i="8"/>
  <c r="AH484" i="8" s="1"/>
  <c r="AP484" i="8"/>
  <c r="AG484" i="8" s="1"/>
  <c r="AM484" i="8"/>
  <c r="AF484" i="8" s="1"/>
  <c r="AD484" i="8"/>
  <c r="S484" i="8"/>
  <c r="L484" i="8"/>
  <c r="AW483" i="8"/>
  <c r="AV483" i="8"/>
  <c r="AU483" i="8"/>
  <c r="AD483" i="8"/>
  <c r="S483" i="8"/>
  <c r="L483" i="8"/>
  <c r="AM483" i="8" s="1"/>
  <c r="AF483" i="8" s="1"/>
  <c r="AW482" i="8"/>
  <c r="AV482" i="8"/>
  <c r="AR482" i="8" s="1"/>
  <c r="AI482" i="8" s="1"/>
  <c r="AU482" i="8"/>
  <c r="AO482" i="8"/>
  <c r="AM482" i="8"/>
  <c r="AF482" i="8"/>
  <c r="AD482" i="8"/>
  <c r="S482" i="8"/>
  <c r="L482" i="8"/>
  <c r="AL482" i="8" s="1"/>
  <c r="AE482" i="8" s="1"/>
  <c r="AW481" i="8"/>
  <c r="AV481" i="8"/>
  <c r="AU481" i="8"/>
  <c r="AL481" i="8"/>
  <c r="AE481" i="8" s="1"/>
  <c r="AD481" i="8"/>
  <c r="S481" i="8"/>
  <c r="AR481" i="8" s="1"/>
  <c r="AI481" i="8" s="1"/>
  <c r="L481" i="8"/>
  <c r="AO481" i="8" s="1"/>
  <c r="AW480" i="8"/>
  <c r="AV480" i="8"/>
  <c r="AR480" i="8" s="1"/>
  <c r="AI480" i="8" s="1"/>
  <c r="AU480" i="8"/>
  <c r="AM480" i="8" s="1"/>
  <c r="AF480" i="8" s="1"/>
  <c r="AQ480" i="8"/>
  <c r="AH480" i="8" s="1"/>
  <c r="AP480" i="8"/>
  <c r="AG480" i="8" s="1"/>
  <c r="AO480" i="8"/>
  <c r="AD480" i="8"/>
  <c r="S480" i="8"/>
  <c r="L480" i="8"/>
  <c r="AL480" i="8" s="1"/>
  <c r="AE480" i="8" s="1"/>
  <c r="AW479" i="8"/>
  <c r="AV479" i="8"/>
  <c r="AU479" i="8"/>
  <c r="AD479" i="8"/>
  <c r="S479" i="8"/>
  <c r="L479" i="8"/>
  <c r="AM479" i="8" s="1"/>
  <c r="AF479" i="8" s="1"/>
  <c r="AW478" i="8"/>
  <c r="AV478" i="8"/>
  <c r="AR478" i="8" s="1"/>
  <c r="AI478" i="8" s="1"/>
  <c r="AU478" i="8"/>
  <c r="AO478" i="8"/>
  <c r="AM478" i="8"/>
  <c r="AF478" i="8"/>
  <c r="AD478" i="8"/>
  <c r="S478" i="8"/>
  <c r="L478" i="8"/>
  <c r="AL478" i="8" s="1"/>
  <c r="AE478" i="8" s="1"/>
  <c r="AW477" i="8"/>
  <c r="AV477" i="8"/>
  <c r="AU477" i="8"/>
  <c r="AL477" i="8"/>
  <c r="AE477" i="8" s="1"/>
  <c r="AD477" i="8"/>
  <c r="S477" i="8"/>
  <c r="L477" i="8"/>
  <c r="AO477" i="8" s="1"/>
  <c r="AW476" i="8"/>
  <c r="AV476" i="8"/>
  <c r="AR476" i="8" s="1"/>
  <c r="AI476" i="8" s="1"/>
  <c r="AU476" i="8"/>
  <c r="AM476" i="8" s="1"/>
  <c r="AF476" i="8" s="1"/>
  <c r="AQ476" i="8"/>
  <c r="AH476" i="8" s="1"/>
  <c r="AP476" i="8"/>
  <c r="AG476" i="8" s="1"/>
  <c r="AO476" i="8"/>
  <c r="AD476" i="8"/>
  <c r="S476" i="8"/>
  <c r="L476" i="8"/>
  <c r="AL476" i="8" s="1"/>
  <c r="AE476" i="8" s="1"/>
  <c r="AW475" i="8"/>
  <c r="AV475" i="8"/>
  <c r="AU475" i="8"/>
  <c r="AM475" i="8"/>
  <c r="AF475" i="8" s="1"/>
  <c r="AL475" i="8"/>
  <c r="AE475" i="8"/>
  <c r="AD475" i="8"/>
  <c r="S475" i="8"/>
  <c r="L475" i="8"/>
  <c r="AW474" i="8"/>
  <c r="AV474" i="8"/>
  <c r="AQ474" i="8" s="1"/>
  <c r="AH474" i="8" s="1"/>
  <c r="AU474" i="8"/>
  <c r="AR474" i="8"/>
  <c r="AI474" i="8" s="1"/>
  <c r="AP474" i="8"/>
  <c r="AG474" i="8" s="1"/>
  <c r="AO474" i="8"/>
  <c r="AM474" i="8"/>
  <c r="AF474" i="8" s="1"/>
  <c r="AD474" i="8"/>
  <c r="S474" i="8"/>
  <c r="L474" i="8"/>
  <c r="AL474" i="8" s="1"/>
  <c r="AE474" i="8" s="1"/>
  <c r="AW473" i="8"/>
  <c r="AV473" i="8"/>
  <c r="AU473" i="8"/>
  <c r="AR473" i="8"/>
  <c r="AI473" i="8" s="1"/>
  <c r="AD473" i="8"/>
  <c r="S473" i="8"/>
  <c r="AW472" i="8"/>
  <c r="AV472" i="8"/>
  <c r="AR472" i="8" s="1"/>
  <c r="AI472" i="8" s="1"/>
  <c r="AU472" i="8"/>
  <c r="AQ472" i="8"/>
  <c r="AH472" i="8" s="1"/>
  <c r="AP472" i="8"/>
  <c r="AG472" i="8" s="1"/>
  <c r="AD472" i="8"/>
  <c r="S472" i="8"/>
  <c r="AW471" i="8"/>
  <c r="AV471" i="8"/>
  <c r="AU471" i="8"/>
  <c r="AD471" i="8"/>
  <c r="S471" i="8"/>
  <c r="AW470" i="8"/>
  <c r="AV470" i="8"/>
  <c r="AU470" i="8"/>
  <c r="AP470" i="8"/>
  <c r="AG470" i="8" s="1"/>
  <c r="AD470" i="8"/>
  <c r="S470" i="8"/>
  <c r="AW469" i="8"/>
  <c r="AV469" i="8"/>
  <c r="AU469" i="8"/>
  <c r="AD469" i="8"/>
  <c r="S469" i="8"/>
  <c r="L469" i="8"/>
  <c r="AW468" i="8"/>
  <c r="AV468" i="8"/>
  <c r="AR468" i="8" s="1"/>
  <c r="AI468" i="8" s="1"/>
  <c r="AU468" i="8"/>
  <c r="AQ468" i="8"/>
  <c r="AH468" i="8" s="1"/>
  <c r="AP468" i="8"/>
  <c r="AG468" i="8" s="1"/>
  <c r="AD468" i="8"/>
  <c r="S468" i="8"/>
  <c r="AW467" i="8"/>
  <c r="AV467" i="8"/>
  <c r="AU467" i="8"/>
  <c r="AR467" i="8"/>
  <c r="AI467" i="8" s="1"/>
  <c r="AD467" i="8"/>
  <c r="S467" i="8"/>
  <c r="AP467" i="8" s="1"/>
  <c r="AG467" i="8" s="1"/>
  <c r="AW466" i="8"/>
  <c r="AV466" i="8"/>
  <c r="AU466" i="8"/>
  <c r="AQ466" i="8"/>
  <c r="AH466" i="8" s="1"/>
  <c r="AD466" i="8"/>
  <c r="S466" i="8"/>
  <c r="AW465" i="8"/>
  <c r="AV465" i="8"/>
  <c r="AU465" i="8"/>
  <c r="AD465" i="8"/>
  <c r="S465" i="8"/>
  <c r="AW464" i="8"/>
  <c r="AV464" i="8"/>
  <c r="AR464" i="8" s="1"/>
  <c r="AI464" i="8" s="1"/>
  <c r="AU464" i="8"/>
  <c r="AM464" i="8" s="1"/>
  <c r="AP464" i="8"/>
  <c r="AG464" i="8" s="1"/>
  <c r="AO464" i="8"/>
  <c r="AF464" i="8"/>
  <c r="AD464" i="8"/>
  <c r="S464" i="8"/>
  <c r="L464" i="8"/>
  <c r="AL464" i="8" s="1"/>
  <c r="AE464" i="8" s="1"/>
  <c r="AW463" i="8"/>
  <c r="AV463" i="8"/>
  <c r="AU463" i="8"/>
  <c r="AM463" i="8" s="1"/>
  <c r="AF463" i="8" s="1"/>
  <c r="AR463" i="8"/>
  <c r="AI463" i="8" s="1"/>
  <c r="AQ463" i="8"/>
  <c r="AH463" i="8" s="1"/>
  <c r="AL463" i="8"/>
  <c r="AE463" i="8" s="1"/>
  <c r="AD463" i="8"/>
  <c r="S463" i="8"/>
  <c r="AP463" i="8" s="1"/>
  <c r="AG463" i="8" s="1"/>
  <c r="L463" i="8"/>
  <c r="AW462" i="8"/>
  <c r="AV462" i="8"/>
  <c r="AU462" i="8"/>
  <c r="AP462" i="8"/>
  <c r="AG462" i="8" s="1"/>
  <c r="AO462" i="8"/>
  <c r="AM462" i="8"/>
  <c r="AF462" i="8"/>
  <c r="AD462" i="8"/>
  <c r="S462" i="8"/>
  <c r="AR462" i="8" s="1"/>
  <c r="AI462" i="8" s="1"/>
  <c r="L462" i="8"/>
  <c r="AL462" i="8" s="1"/>
  <c r="AE462" i="8" s="1"/>
  <c r="AW461" i="8"/>
  <c r="AV461" i="8"/>
  <c r="AU461" i="8"/>
  <c r="AR461" i="8"/>
  <c r="AI461" i="8" s="1"/>
  <c r="AM461" i="8"/>
  <c r="AF461" i="8" s="1"/>
  <c r="AL461" i="8"/>
  <c r="AE461" i="8" s="1"/>
  <c r="AD461" i="8"/>
  <c r="S461" i="8"/>
  <c r="L461" i="8"/>
  <c r="AW460" i="8"/>
  <c r="AV460" i="8"/>
  <c r="AP460" i="8" s="1"/>
  <c r="AG460" i="8" s="1"/>
  <c r="AU460" i="8"/>
  <c r="AM460" i="8" s="1"/>
  <c r="AF460" i="8" s="1"/>
  <c r="AR460" i="8"/>
  <c r="AI460" i="8" s="1"/>
  <c r="AQ460" i="8"/>
  <c r="AH460" i="8" s="1"/>
  <c r="AO460" i="8"/>
  <c r="AD460" i="8"/>
  <c r="S460" i="8"/>
  <c r="L460" i="8"/>
  <c r="AW459" i="8"/>
  <c r="AV459" i="8"/>
  <c r="AU459" i="8"/>
  <c r="AD459" i="8"/>
  <c r="S459" i="8"/>
  <c r="L459" i="8"/>
  <c r="AW458" i="8"/>
  <c r="AV458" i="8"/>
  <c r="AR458" i="8" s="1"/>
  <c r="AI458" i="8" s="1"/>
  <c r="AU458" i="8"/>
  <c r="AP458" i="8"/>
  <c r="AG458" i="8" s="1"/>
  <c r="AO458" i="8"/>
  <c r="AM458" i="8"/>
  <c r="AF458" i="8" s="1"/>
  <c r="AD458" i="8"/>
  <c r="S458" i="8"/>
  <c r="AQ458" i="8" s="1"/>
  <c r="AH458" i="8" s="1"/>
  <c r="L458" i="8"/>
  <c r="AL458" i="8" s="1"/>
  <c r="AE458" i="8" s="1"/>
  <c r="AW457" i="8"/>
  <c r="AV457" i="8"/>
  <c r="AU457" i="8"/>
  <c r="AD457" i="8"/>
  <c r="S457" i="8"/>
  <c r="L457" i="8"/>
  <c r="AW456" i="8"/>
  <c r="AV456" i="8"/>
  <c r="AU456" i="8"/>
  <c r="AP456" i="8"/>
  <c r="AG456" i="8" s="1"/>
  <c r="AD456" i="8"/>
  <c r="S456" i="8"/>
  <c r="L456" i="8"/>
  <c r="AL456" i="8" s="1"/>
  <c r="AE456" i="8" s="1"/>
  <c r="AW455" i="8"/>
  <c r="AV455" i="8"/>
  <c r="AU455" i="8"/>
  <c r="AR455" i="8"/>
  <c r="AI455" i="8" s="1"/>
  <c r="AQ455" i="8"/>
  <c r="AH455" i="8" s="1"/>
  <c r="AM455" i="8"/>
  <c r="AF455" i="8" s="1"/>
  <c r="AL455" i="8"/>
  <c r="AE455" i="8" s="1"/>
  <c r="AD455" i="8"/>
  <c r="S455" i="8"/>
  <c r="AP455" i="8" s="1"/>
  <c r="AG455" i="8" s="1"/>
  <c r="L455" i="8"/>
  <c r="AO455" i="8" s="1"/>
  <c r="AW454" i="8"/>
  <c r="AV454" i="8"/>
  <c r="AU454" i="8"/>
  <c r="AQ454" i="8"/>
  <c r="AH454" i="8" s="1"/>
  <c r="AO454" i="8"/>
  <c r="AM454" i="8"/>
  <c r="AF454" i="8" s="1"/>
  <c r="AD454" i="8"/>
  <c r="S454" i="8"/>
  <c r="AP454" i="8" s="1"/>
  <c r="AG454" i="8" s="1"/>
  <c r="L454" i="8"/>
  <c r="AL454" i="8" s="1"/>
  <c r="AE454" i="8" s="1"/>
  <c r="AW453" i="8"/>
  <c r="AV453" i="8"/>
  <c r="AU453" i="8"/>
  <c r="AR453" i="8"/>
  <c r="AI453" i="8" s="1"/>
  <c r="AD453" i="8"/>
  <c r="S453" i="8"/>
  <c r="L453" i="8"/>
  <c r="AW452" i="8"/>
  <c r="AV452" i="8"/>
  <c r="AU452" i="8"/>
  <c r="AM452" i="8" s="1"/>
  <c r="AO452" i="8"/>
  <c r="AF452" i="8"/>
  <c r="AD452" i="8"/>
  <c r="S452" i="8"/>
  <c r="L452" i="8"/>
  <c r="AW451" i="8"/>
  <c r="AV451" i="8"/>
  <c r="AU451" i="8"/>
  <c r="AM451" i="8" s="1"/>
  <c r="AF451" i="8" s="1"/>
  <c r="AL451" i="8"/>
  <c r="AE451" i="8" s="1"/>
  <c r="AD451" i="8"/>
  <c r="S451" i="8"/>
  <c r="AQ451" i="8" s="1"/>
  <c r="AH451" i="8" s="1"/>
  <c r="L451" i="8"/>
  <c r="AW450" i="8"/>
  <c r="AV450" i="8"/>
  <c r="AU450" i="8"/>
  <c r="AR450" i="8"/>
  <c r="AI450" i="8" s="1"/>
  <c r="AQ450" i="8"/>
  <c r="AH450" i="8" s="1"/>
  <c r="AP450" i="8"/>
  <c r="AG450" i="8" s="1"/>
  <c r="AD450" i="8"/>
  <c r="S450" i="8"/>
  <c r="L450" i="8"/>
  <c r="AW449" i="8"/>
  <c r="AV449" i="8"/>
  <c r="AU449" i="8"/>
  <c r="AR449" i="8"/>
  <c r="AI449" i="8" s="1"/>
  <c r="AQ449" i="8"/>
  <c r="AH449" i="8" s="1"/>
  <c r="AL449" i="8"/>
  <c r="AE449" i="8" s="1"/>
  <c r="AD449" i="8"/>
  <c r="S449" i="8"/>
  <c r="AP449" i="8" s="1"/>
  <c r="AG449" i="8" s="1"/>
  <c r="L449" i="8"/>
  <c r="AW448" i="8"/>
  <c r="AV448" i="8"/>
  <c r="AU448" i="8"/>
  <c r="AP448" i="8"/>
  <c r="AG448" i="8" s="1"/>
  <c r="AO448" i="8"/>
  <c r="AM448" i="8"/>
  <c r="AF448" i="8"/>
  <c r="AD448" i="8"/>
  <c r="S448" i="8"/>
  <c r="AR448" i="8" s="1"/>
  <c r="AI448" i="8" s="1"/>
  <c r="L448" i="8"/>
  <c r="AL448" i="8" s="1"/>
  <c r="AE448" i="8" s="1"/>
  <c r="AW447" i="8"/>
  <c r="AV447" i="8"/>
  <c r="AU447" i="8"/>
  <c r="AQ447" i="8"/>
  <c r="AH447" i="8" s="1"/>
  <c r="AM447" i="8"/>
  <c r="AF447" i="8" s="1"/>
  <c r="AL447" i="8"/>
  <c r="AE447" i="8" s="1"/>
  <c r="AD447" i="8"/>
  <c r="S447" i="8"/>
  <c r="AP447" i="8" s="1"/>
  <c r="AG447" i="8" s="1"/>
  <c r="L447" i="8"/>
  <c r="AW446" i="8"/>
  <c r="AV446" i="8"/>
  <c r="AU446" i="8"/>
  <c r="AO446" i="8" s="1"/>
  <c r="AR446" i="8"/>
  <c r="AI446" i="8" s="1"/>
  <c r="AQ446" i="8"/>
  <c r="AH446" i="8" s="1"/>
  <c r="AD446" i="8"/>
  <c r="S446" i="8"/>
  <c r="AP446" i="8" s="1"/>
  <c r="AG446" i="8" s="1"/>
  <c r="L446" i="8"/>
  <c r="AL446" i="8" s="1"/>
  <c r="AE446" i="8" s="1"/>
  <c r="AW445" i="8"/>
  <c r="AV445" i="8"/>
  <c r="AU445" i="8"/>
  <c r="AD445" i="8"/>
  <c r="S445" i="8"/>
  <c r="AQ445" i="8" s="1"/>
  <c r="AH445" i="8" s="1"/>
  <c r="AW444" i="8"/>
  <c r="AV444" i="8"/>
  <c r="AU444" i="8"/>
  <c r="AQ444" i="8"/>
  <c r="AH444" i="8" s="1"/>
  <c r="AP444" i="8"/>
  <c r="AG444" i="8" s="1"/>
  <c r="AD444" i="8"/>
  <c r="S444" i="8"/>
  <c r="AR444" i="8" s="1"/>
  <c r="AI444" i="8" s="1"/>
  <c r="AW443" i="8"/>
  <c r="AV443" i="8"/>
  <c r="AU443" i="8"/>
  <c r="AR443" i="8"/>
  <c r="AI443" i="8" s="1"/>
  <c r="AD443" i="8"/>
  <c r="S443" i="8"/>
  <c r="AP443" i="8" s="1"/>
  <c r="AG443" i="8" s="1"/>
  <c r="AW442" i="8"/>
  <c r="AV442" i="8"/>
  <c r="AU442" i="8"/>
  <c r="AD442" i="8"/>
  <c r="S442" i="8"/>
  <c r="AW441" i="8"/>
  <c r="AV441" i="8"/>
  <c r="AR441" i="8" s="1"/>
  <c r="AI441" i="8" s="1"/>
  <c r="AU441" i="8"/>
  <c r="AL441" i="8" s="1"/>
  <c r="AE441" i="8" s="1"/>
  <c r="AD441" i="8"/>
  <c r="S441" i="8"/>
  <c r="AQ441" i="8" s="1"/>
  <c r="AH441" i="8" s="1"/>
  <c r="L441" i="8"/>
  <c r="AW440" i="8"/>
  <c r="AV440" i="8"/>
  <c r="AU440" i="8"/>
  <c r="AP440" i="8"/>
  <c r="AG440" i="8" s="1"/>
  <c r="AD440" i="8"/>
  <c r="S440" i="8"/>
  <c r="AR440" i="8" s="1"/>
  <c r="AI440" i="8" s="1"/>
  <c r="AW439" i="8"/>
  <c r="AV439" i="8"/>
  <c r="AU439" i="8"/>
  <c r="AD439" i="8"/>
  <c r="S439" i="8"/>
  <c r="AW438" i="8"/>
  <c r="AV438" i="8"/>
  <c r="AU438" i="8"/>
  <c r="AR438" i="8"/>
  <c r="AI438" i="8" s="1"/>
  <c r="AP438" i="8"/>
  <c r="AG438" i="8" s="1"/>
  <c r="AD438" i="8"/>
  <c r="S438" i="8"/>
  <c r="AQ438" i="8" s="1"/>
  <c r="AH438" i="8" s="1"/>
  <c r="AW437" i="8"/>
  <c r="AV437" i="8"/>
  <c r="AU437" i="8"/>
  <c r="AQ437" i="8"/>
  <c r="AH437" i="8" s="1"/>
  <c r="AD437" i="8"/>
  <c r="S437" i="8"/>
  <c r="AW436" i="8"/>
  <c r="AV436" i="8"/>
  <c r="AU436" i="8"/>
  <c r="AM436" i="8"/>
  <c r="AF436" i="8" s="1"/>
  <c r="AD436" i="8"/>
  <c r="S436" i="8"/>
  <c r="L436" i="8"/>
  <c r="AL436" i="8" s="1"/>
  <c r="AE436" i="8" s="1"/>
  <c r="AW435" i="8"/>
  <c r="AV435" i="8"/>
  <c r="AQ435" i="8" s="1"/>
  <c r="AH435" i="8" s="1"/>
  <c r="AU435" i="8"/>
  <c r="AR435" i="8"/>
  <c r="AI435" i="8" s="1"/>
  <c r="AP435" i="8"/>
  <c r="AG435" i="8" s="1"/>
  <c r="AM435" i="8"/>
  <c r="AF435" i="8" s="1"/>
  <c r="AD435" i="8"/>
  <c r="S435" i="8"/>
  <c r="L435" i="8"/>
  <c r="AL435" i="8" s="1"/>
  <c r="AE435" i="8" s="1"/>
  <c r="AW434" i="8"/>
  <c r="AV434" i="8"/>
  <c r="AU434" i="8"/>
  <c r="AR434" i="8"/>
  <c r="AI434" i="8" s="1"/>
  <c r="AP434" i="8"/>
  <c r="AG434" i="8" s="1"/>
  <c r="AD434" i="8"/>
  <c r="S434" i="8"/>
  <c r="AQ434" i="8" s="1"/>
  <c r="AH434" i="8" s="1"/>
  <c r="L434" i="8"/>
  <c r="AW433" i="8"/>
  <c r="AV433" i="8"/>
  <c r="AU433" i="8"/>
  <c r="AO433" i="8"/>
  <c r="AM433" i="8"/>
  <c r="AF433" i="8" s="1"/>
  <c r="AD433" i="8"/>
  <c r="S433" i="8"/>
  <c r="AR433" i="8" s="1"/>
  <c r="AI433" i="8" s="1"/>
  <c r="L433" i="8"/>
  <c r="AW432" i="8"/>
  <c r="AV432" i="8"/>
  <c r="AR432" i="8" s="1"/>
  <c r="AI432" i="8" s="1"/>
  <c r="AU432" i="8"/>
  <c r="AQ432" i="8"/>
  <c r="AH432" i="8" s="1"/>
  <c r="AM432" i="8"/>
  <c r="AF432" i="8" s="1"/>
  <c r="AL432" i="8"/>
  <c r="AE432" i="8" s="1"/>
  <c r="AD432" i="8"/>
  <c r="S432" i="8"/>
  <c r="L432" i="8"/>
  <c r="AW431" i="8"/>
  <c r="AV431" i="8"/>
  <c r="AU431" i="8"/>
  <c r="AL431" i="8"/>
  <c r="AE431" i="8" s="1"/>
  <c r="AD431" i="8"/>
  <c r="S431" i="8"/>
  <c r="L431" i="8"/>
  <c r="AM431" i="8" s="1"/>
  <c r="AF431" i="8" s="1"/>
  <c r="AW430" i="8"/>
  <c r="AV430" i="8"/>
  <c r="AU430" i="8"/>
  <c r="AO430" i="8"/>
  <c r="AM430" i="8"/>
  <c r="AF430" i="8" s="1"/>
  <c r="AL430" i="8"/>
  <c r="AE430" i="8" s="1"/>
  <c r="AD430" i="8"/>
  <c r="S430" i="8"/>
  <c r="AR430" i="8" s="1"/>
  <c r="AI430" i="8" s="1"/>
  <c r="L430" i="8"/>
  <c r="AW429" i="8"/>
  <c r="AV429" i="8"/>
  <c r="AU429" i="8"/>
  <c r="AO429" i="8" s="1"/>
  <c r="AR429" i="8"/>
  <c r="AI429" i="8" s="1"/>
  <c r="AQ429" i="8"/>
  <c r="AH429" i="8" s="1"/>
  <c r="AP429" i="8"/>
  <c r="AG429" i="8" s="1"/>
  <c r="AD429" i="8"/>
  <c r="S429" i="8"/>
  <c r="L429" i="8"/>
  <c r="AM429" i="8" s="1"/>
  <c r="AF429" i="8" s="1"/>
  <c r="AW428" i="8"/>
  <c r="AV428" i="8"/>
  <c r="AU428" i="8"/>
  <c r="AR428" i="8"/>
  <c r="AI428" i="8" s="1"/>
  <c r="AQ428" i="8"/>
  <c r="AH428" i="8" s="1"/>
  <c r="AO428" i="8"/>
  <c r="AM428" i="8"/>
  <c r="AF428" i="8"/>
  <c r="AD428" i="8"/>
  <c r="S428" i="8"/>
  <c r="AP428" i="8" s="1"/>
  <c r="AG428" i="8" s="1"/>
  <c r="L428" i="8"/>
  <c r="AL428" i="8" s="1"/>
  <c r="AE428" i="8" s="1"/>
  <c r="AW427" i="8"/>
  <c r="AV427" i="8"/>
  <c r="AQ427" i="8" s="1"/>
  <c r="AH427" i="8" s="1"/>
  <c r="AU427" i="8"/>
  <c r="AP427" i="8"/>
  <c r="AG427" i="8" s="1"/>
  <c r="AD427" i="8"/>
  <c r="S427" i="8"/>
  <c r="AR427" i="8" s="1"/>
  <c r="AI427" i="8" s="1"/>
  <c r="L427" i="8"/>
  <c r="AO427" i="8" s="1"/>
  <c r="AW426" i="8"/>
  <c r="AV426" i="8"/>
  <c r="AU426" i="8"/>
  <c r="AO426" i="8"/>
  <c r="AL426" i="8"/>
  <c r="AE426" i="8"/>
  <c r="AD426" i="8"/>
  <c r="S426" i="8"/>
  <c r="L426" i="8"/>
  <c r="AM426" i="8" s="1"/>
  <c r="AF426" i="8" s="1"/>
  <c r="AW425" i="8"/>
  <c r="AV425" i="8"/>
  <c r="AQ425" i="8" s="1"/>
  <c r="AH425" i="8" s="1"/>
  <c r="AU425" i="8"/>
  <c r="AR425" i="8"/>
  <c r="AI425" i="8" s="1"/>
  <c r="AO425" i="8"/>
  <c r="AM425" i="8"/>
  <c r="AF425" i="8" s="1"/>
  <c r="AL425" i="8"/>
  <c r="AE425" i="8" s="1"/>
  <c r="AD425" i="8"/>
  <c r="S425" i="8"/>
  <c r="AP425" i="8" s="1"/>
  <c r="AG425" i="8" s="1"/>
  <c r="L425" i="8"/>
  <c r="AW424" i="8"/>
  <c r="AV424" i="8"/>
  <c r="AU424" i="8"/>
  <c r="AD424" i="8"/>
  <c r="S424" i="8"/>
  <c r="L424" i="8"/>
  <c r="AO424" i="8" s="1"/>
  <c r="AW423" i="8"/>
  <c r="AV423" i="8"/>
  <c r="AU423" i="8"/>
  <c r="AR423" i="8"/>
  <c r="AI423" i="8" s="1"/>
  <c r="AP423" i="8"/>
  <c r="AG423" i="8" s="1"/>
  <c r="AL423" i="8"/>
  <c r="AE423" i="8" s="1"/>
  <c r="AD423" i="8"/>
  <c r="S423" i="8"/>
  <c r="AQ423" i="8" s="1"/>
  <c r="AH423" i="8" s="1"/>
  <c r="L423" i="8"/>
  <c r="AO423" i="8" s="1"/>
  <c r="AW422" i="8"/>
  <c r="AV422" i="8"/>
  <c r="AQ422" i="8" s="1"/>
  <c r="AH422" i="8" s="1"/>
  <c r="AU422" i="8"/>
  <c r="AL422" i="8"/>
  <c r="AE422" i="8"/>
  <c r="AD422" i="8"/>
  <c r="S422" i="8"/>
  <c r="L422" i="8"/>
  <c r="AO422" i="8" s="1"/>
  <c r="AW421" i="8"/>
  <c r="AV421" i="8"/>
  <c r="AR421" i="8" s="1"/>
  <c r="AI421" i="8" s="1"/>
  <c r="AU421" i="8"/>
  <c r="AL421" i="8" s="1"/>
  <c r="AE421" i="8" s="1"/>
  <c r="AQ421" i="8"/>
  <c r="AH421" i="8" s="1"/>
  <c r="AP421" i="8"/>
  <c r="AG421" i="8" s="1"/>
  <c r="AO421" i="8"/>
  <c r="AD421" i="8"/>
  <c r="S421" i="8"/>
  <c r="L421" i="8"/>
  <c r="AW420" i="8"/>
  <c r="AV420" i="8"/>
  <c r="AU420" i="8"/>
  <c r="AR420" i="8"/>
  <c r="AI420" i="8" s="1"/>
  <c r="AQ420" i="8"/>
  <c r="AH420" i="8" s="1"/>
  <c r="AP420" i="8"/>
  <c r="AG420" i="8" s="1"/>
  <c r="AD420" i="8"/>
  <c r="S420" i="8"/>
  <c r="L420" i="8"/>
  <c r="AW419" i="8"/>
  <c r="AV419" i="8"/>
  <c r="AU419" i="8"/>
  <c r="AD419" i="8"/>
  <c r="S419" i="8"/>
  <c r="L419" i="8"/>
  <c r="AW418" i="8"/>
  <c r="AV418" i="8"/>
  <c r="AU418" i="8"/>
  <c r="AR418" i="8"/>
  <c r="AI418" i="8" s="1"/>
  <c r="AO418" i="8"/>
  <c r="AD418" i="8"/>
  <c r="S418" i="8"/>
  <c r="AQ418" i="8" s="1"/>
  <c r="AH418" i="8" s="1"/>
  <c r="L418" i="8"/>
  <c r="AM418" i="8" s="1"/>
  <c r="AF418" i="8" s="1"/>
  <c r="AW417" i="8"/>
  <c r="AV417" i="8"/>
  <c r="AU417" i="8"/>
  <c r="AR417" i="8"/>
  <c r="AI417" i="8" s="1"/>
  <c r="AP417" i="8"/>
  <c r="AG417" i="8" s="1"/>
  <c r="AD417" i="8"/>
  <c r="S417" i="8"/>
  <c r="AQ417" i="8" s="1"/>
  <c r="AH417" i="8" s="1"/>
  <c r="AW416" i="8"/>
  <c r="AV416" i="8"/>
  <c r="AU416" i="8"/>
  <c r="AD416" i="8"/>
  <c r="S416" i="8"/>
  <c r="AW415" i="8"/>
  <c r="AV415" i="8"/>
  <c r="AR415" i="8" s="1"/>
  <c r="AI415" i="8" s="1"/>
  <c r="AU415" i="8"/>
  <c r="AQ415" i="8"/>
  <c r="AH415" i="8" s="1"/>
  <c r="AP415" i="8"/>
  <c r="AG415" i="8" s="1"/>
  <c r="AD415" i="8"/>
  <c r="S415" i="8"/>
  <c r="AW414" i="8"/>
  <c r="AV414" i="8"/>
  <c r="AU414" i="8"/>
  <c r="AD414" i="8"/>
  <c r="S414" i="8"/>
  <c r="AW413" i="8"/>
  <c r="AV413" i="8"/>
  <c r="AU413" i="8"/>
  <c r="AM413" i="8"/>
  <c r="AF413" i="8" s="1"/>
  <c r="AD413" i="8"/>
  <c r="S413" i="8"/>
  <c r="AR413" i="8" s="1"/>
  <c r="AI413" i="8" s="1"/>
  <c r="L413" i="8"/>
  <c r="AO413" i="8" s="1"/>
  <c r="AW412" i="8"/>
  <c r="AV412" i="8"/>
  <c r="AU412" i="8"/>
  <c r="AD412" i="8"/>
  <c r="S412" i="8"/>
  <c r="AR412" i="8" s="1"/>
  <c r="AI412" i="8" s="1"/>
  <c r="AW411" i="8"/>
  <c r="AV411" i="8"/>
  <c r="AU411" i="8"/>
  <c r="AQ411" i="8"/>
  <c r="AH411" i="8" s="1"/>
  <c r="AP411" i="8"/>
  <c r="AG411" i="8" s="1"/>
  <c r="AD411" i="8"/>
  <c r="S411" i="8"/>
  <c r="AR411" i="8" s="1"/>
  <c r="AI411" i="8" s="1"/>
  <c r="AW410" i="8"/>
  <c r="AV410" i="8"/>
  <c r="AU410" i="8"/>
  <c r="AD410" i="8"/>
  <c r="S410" i="8"/>
  <c r="AW409" i="8"/>
  <c r="AV409" i="8"/>
  <c r="AU409" i="8"/>
  <c r="AD409" i="8"/>
  <c r="S409" i="8"/>
  <c r="AR409" i="8" s="1"/>
  <c r="AI409" i="8" s="1"/>
  <c r="AW408" i="8"/>
  <c r="AV408" i="8"/>
  <c r="AU408" i="8"/>
  <c r="AD408" i="8"/>
  <c r="S408" i="8"/>
  <c r="AR408" i="8" s="1"/>
  <c r="AI408" i="8" s="1"/>
  <c r="L408" i="8"/>
  <c r="AW407" i="8"/>
  <c r="AV407" i="8"/>
  <c r="AU407" i="8"/>
  <c r="AQ407" i="8"/>
  <c r="AH407" i="8" s="1"/>
  <c r="AP407" i="8"/>
  <c r="AG407" i="8" s="1"/>
  <c r="AO407" i="8"/>
  <c r="AD407" i="8"/>
  <c r="S407" i="8"/>
  <c r="AR407" i="8" s="1"/>
  <c r="AI407" i="8" s="1"/>
  <c r="L407" i="8"/>
  <c r="AW406" i="8"/>
  <c r="AV406" i="8"/>
  <c r="AU406" i="8"/>
  <c r="AD406" i="8"/>
  <c r="S406" i="8"/>
  <c r="L406" i="8"/>
  <c r="AW405" i="8"/>
  <c r="AV405" i="8"/>
  <c r="AU405" i="8"/>
  <c r="AM405" i="8"/>
  <c r="AF405" i="8" s="1"/>
  <c r="AD405" i="8"/>
  <c r="S405" i="8"/>
  <c r="L405" i="8"/>
  <c r="AO405" i="8" s="1"/>
  <c r="AW404" i="8"/>
  <c r="AV404" i="8"/>
  <c r="AU404" i="8"/>
  <c r="AD404" i="8"/>
  <c r="S404" i="8"/>
  <c r="AR404" i="8" s="1"/>
  <c r="AI404" i="8" s="1"/>
  <c r="L404" i="8"/>
  <c r="AW403" i="8"/>
  <c r="AV403" i="8"/>
  <c r="AU403" i="8"/>
  <c r="AO403" i="8" s="1"/>
  <c r="AQ403" i="8"/>
  <c r="AH403" i="8" s="1"/>
  <c r="AP403" i="8"/>
  <c r="AG403" i="8" s="1"/>
  <c r="AD403" i="8"/>
  <c r="S403" i="8"/>
  <c r="AR403" i="8" s="1"/>
  <c r="AI403" i="8" s="1"/>
  <c r="L403" i="8"/>
  <c r="AW402" i="8"/>
  <c r="AV402" i="8"/>
  <c r="AU402" i="8"/>
  <c r="AD402" i="8"/>
  <c r="S402" i="8"/>
  <c r="L402" i="8"/>
  <c r="AW401" i="8"/>
  <c r="AV401" i="8"/>
  <c r="AU401" i="8"/>
  <c r="AM401" i="8"/>
  <c r="AF401" i="8" s="1"/>
  <c r="AD401" i="8"/>
  <c r="S401" i="8"/>
  <c r="L401" i="8"/>
  <c r="AO401" i="8" s="1"/>
  <c r="AW400" i="8"/>
  <c r="AV400" i="8"/>
  <c r="AU400" i="8"/>
  <c r="AD400" i="8"/>
  <c r="S400" i="8"/>
  <c r="AR400" i="8" s="1"/>
  <c r="AI400" i="8" s="1"/>
  <c r="L400" i="8"/>
  <c r="AW399" i="8"/>
  <c r="AV399" i="8"/>
  <c r="AU399" i="8"/>
  <c r="AQ399" i="8"/>
  <c r="AH399" i="8" s="1"/>
  <c r="AP399" i="8"/>
  <c r="AG399" i="8" s="1"/>
  <c r="AO399" i="8"/>
  <c r="AD399" i="8"/>
  <c r="S399" i="8"/>
  <c r="AR399" i="8" s="1"/>
  <c r="AI399" i="8" s="1"/>
  <c r="L399" i="8"/>
  <c r="AW398" i="8"/>
  <c r="AV398" i="8"/>
  <c r="AU398" i="8"/>
  <c r="AR398" i="8"/>
  <c r="AI398" i="8" s="1"/>
  <c r="AQ398" i="8"/>
  <c r="AH398" i="8" s="1"/>
  <c r="AD398" i="8"/>
  <c r="S398" i="8"/>
  <c r="AP398" i="8" s="1"/>
  <c r="AG398" i="8" s="1"/>
  <c r="L398" i="8"/>
  <c r="AW397" i="8"/>
  <c r="AV397" i="8"/>
  <c r="AU397" i="8"/>
  <c r="AM397" i="8"/>
  <c r="AF397" i="8" s="1"/>
  <c r="AD397" i="8"/>
  <c r="S397" i="8"/>
  <c r="L397" i="8"/>
  <c r="AO397" i="8" s="1"/>
  <c r="AW396" i="8"/>
  <c r="AV396" i="8"/>
  <c r="AU396" i="8"/>
  <c r="AL396" i="8"/>
  <c r="AE396" i="8" s="1"/>
  <c r="AD396" i="8"/>
  <c r="S396" i="8"/>
  <c r="AR396" i="8" s="1"/>
  <c r="AI396" i="8" s="1"/>
  <c r="L396" i="8"/>
  <c r="AW395" i="8"/>
  <c r="AV395" i="8"/>
  <c r="AP395" i="8" s="1"/>
  <c r="AG395" i="8" s="1"/>
  <c r="AU395" i="8"/>
  <c r="AQ395" i="8"/>
  <c r="AH395" i="8" s="1"/>
  <c r="AO395" i="8"/>
  <c r="AD395" i="8"/>
  <c r="S395" i="8"/>
  <c r="L395" i="8"/>
  <c r="AW394" i="8"/>
  <c r="AV394" i="8"/>
  <c r="AU394" i="8"/>
  <c r="AQ394" i="8"/>
  <c r="AH394" i="8" s="1"/>
  <c r="AD394" i="8"/>
  <c r="S394" i="8"/>
  <c r="AP394" i="8" s="1"/>
  <c r="AG394" i="8" s="1"/>
  <c r="AW393" i="8"/>
  <c r="AV393" i="8"/>
  <c r="AU393" i="8"/>
  <c r="AP393" i="8"/>
  <c r="AG393" i="8" s="1"/>
  <c r="AD393" i="8"/>
  <c r="S393" i="8"/>
  <c r="AW392" i="8"/>
  <c r="AV392" i="8"/>
  <c r="AU392" i="8"/>
  <c r="AD392" i="8"/>
  <c r="S392" i="8"/>
  <c r="AR392" i="8" s="1"/>
  <c r="AI392" i="8" s="1"/>
  <c r="AW391" i="8"/>
  <c r="AV391" i="8"/>
  <c r="AU391" i="8"/>
  <c r="AQ391" i="8"/>
  <c r="AH391" i="8" s="1"/>
  <c r="AP391" i="8"/>
  <c r="AG391" i="8" s="1"/>
  <c r="AD391" i="8"/>
  <c r="S391" i="8"/>
  <c r="AR391" i="8" s="1"/>
  <c r="AI391" i="8" s="1"/>
  <c r="AW390" i="8"/>
  <c r="AV390" i="8"/>
  <c r="AU390" i="8"/>
  <c r="AR390" i="8"/>
  <c r="AI390" i="8" s="1"/>
  <c r="AQ390" i="8"/>
  <c r="AH390" i="8" s="1"/>
  <c r="AO390" i="8"/>
  <c r="AM390" i="8"/>
  <c r="AF390" i="8" s="1"/>
  <c r="AL390" i="8"/>
  <c r="AE390" i="8" s="1"/>
  <c r="AD390" i="8"/>
  <c r="S390" i="8"/>
  <c r="AP390" i="8" s="1"/>
  <c r="AG390" i="8" s="1"/>
  <c r="L390" i="8"/>
  <c r="AW389" i="8"/>
  <c r="AV389" i="8"/>
  <c r="AU389" i="8"/>
  <c r="AP389" i="8"/>
  <c r="AG389" i="8" s="1"/>
  <c r="AD389" i="8"/>
  <c r="S389" i="8"/>
  <c r="AW388" i="8"/>
  <c r="AV388" i="8"/>
  <c r="AU388" i="8"/>
  <c r="AD388" i="8"/>
  <c r="S388" i="8"/>
  <c r="AR388" i="8" s="1"/>
  <c r="AI388" i="8" s="1"/>
  <c r="AW387" i="8"/>
  <c r="AV387" i="8"/>
  <c r="AU387" i="8"/>
  <c r="AQ387" i="8"/>
  <c r="AH387" i="8" s="1"/>
  <c r="AP387" i="8"/>
  <c r="AG387" i="8" s="1"/>
  <c r="AD387" i="8"/>
  <c r="S387" i="8"/>
  <c r="AW386" i="8"/>
  <c r="AV386" i="8"/>
  <c r="AU386" i="8"/>
  <c r="AR386" i="8"/>
  <c r="AI386" i="8" s="1"/>
  <c r="AQ386" i="8"/>
  <c r="AH386" i="8" s="1"/>
  <c r="AP386" i="8"/>
  <c r="AG386" i="8" s="1"/>
  <c r="AD386" i="8"/>
  <c r="S386" i="8"/>
  <c r="AW385" i="8"/>
  <c r="AV385" i="8"/>
  <c r="AU385" i="8"/>
  <c r="AP385" i="8"/>
  <c r="AG385" i="8" s="1"/>
  <c r="AL385" i="8"/>
  <c r="AE385" i="8" s="1"/>
  <c r="AD385" i="8"/>
  <c r="S385" i="8"/>
  <c r="L385" i="8"/>
  <c r="AO385" i="8" s="1"/>
  <c r="AW384" i="8"/>
  <c r="AV384" i="8"/>
  <c r="AU384" i="8"/>
  <c r="AD384" i="8"/>
  <c r="S384" i="8"/>
  <c r="AR384" i="8" s="1"/>
  <c r="AI384" i="8" s="1"/>
  <c r="L384" i="8"/>
  <c r="AL384" i="8" s="1"/>
  <c r="AE384" i="8" s="1"/>
  <c r="AW383" i="8"/>
  <c r="AV383" i="8"/>
  <c r="AU383" i="8"/>
  <c r="AQ383" i="8"/>
  <c r="AH383" i="8" s="1"/>
  <c r="AP383" i="8"/>
  <c r="AG383" i="8" s="1"/>
  <c r="AO383" i="8"/>
  <c r="AD383" i="8"/>
  <c r="S383" i="8"/>
  <c r="AR383" i="8" s="1"/>
  <c r="AI383" i="8" s="1"/>
  <c r="L383" i="8"/>
  <c r="AW382" i="8"/>
  <c r="AV382" i="8"/>
  <c r="AU382" i="8"/>
  <c r="AP382" i="8"/>
  <c r="AG382" i="8" s="1"/>
  <c r="AD382" i="8"/>
  <c r="S382" i="8"/>
  <c r="AR382" i="8" s="1"/>
  <c r="AI382" i="8" s="1"/>
  <c r="L382" i="8"/>
  <c r="AW381" i="8"/>
  <c r="AV381" i="8"/>
  <c r="AU381" i="8"/>
  <c r="AQ381" i="8"/>
  <c r="AH381" i="8" s="1"/>
  <c r="AM381" i="8"/>
  <c r="AF381" i="8" s="1"/>
  <c r="AL381" i="8"/>
  <c r="AE381" i="8" s="1"/>
  <c r="AD381" i="8"/>
  <c r="S381" i="8"/>
  <c r="AR381" i="8" s="1"/>
  <c r="AI381" i="8" s="1"/>
  <c r="L381" i="8"/>
  <c r="AO381" i="8" s="1"/>
  <c r="AW380" i="8"/>
  <c r="AV380" i="8"/>
  <c r="AU380" i="8"/>
  <c r="AM380" i="8"/>
  <c r="AF380" i="8" s="1"/>
  <c r="AD380" i="8"/>
  <c r="S380" i="8"/>
  <c r="L380" i="8"/>
  <c r="AW379" i="8"/>
  <c r="AV379" i="8"/>
  <c r="AU379" i="8"/>
  <c r="AO379" i="8" s="1"/>
  <c r="AD379" i="8"/>
  <c r="S379" i="8"/>
  <c r="L379" i="8"/>
  <c r="AW378" i="8"/>
  <c r="AV378" i="8"/>
  <c r="AU378" i="8"/>
  <c r="AL378" i="8" s="1"/>
  <c r="AE378" i="8" s="1"/>
  <c r="AQ378" i="8"/>
  <c r="AH378" i="8" s="1"/>
  <c r="AP378" i="8"/>
  <c r="AG378" i="8" s="1"/>
  <c r="AD378" i="8"/>
  <c r="S378" i="8"/>
  <c r="AR378" i="8" s="1"/>
  <c r="AI378" i="8" s="1"/>
  <c r="L378" i="8"/>
  <c r="AW377" i="8"/>
  <c r="AV377" i="8"/>
  <c r="AU377" i="8"/>
  <c r="AQ377" i="8"/>
  <c r="AH377" i="8" s="1"/>
  <c r="AP377" i="8"/>
  <c r="AG377" i="8" s="1"/>
  <c r="AM377" i="8"/>
  <c r="AF377" i="8" s="1"/>
  <c r="AL377" i="8"/>
  <c r="AE377" i="8"/>
  <c r="AD377" i="8"/>
  <c r="S377" i="8"/>
  <c r="AR377" i="8" s="1"/>
  <c r="AI377" i="8" s="1"/>
  <c r="L377" i="8"/>
  <c r="AO377" i="8" s="1"/>
  <c r="AW376" i="8"/>
  <c r="AV376" i="8"/>
  <c r="AU376" i="8"/>
  <c r="AM376" i="8" s="1"/>
  <c r="AF376" i="8" s="1"/>
  <c r="AQ376" i="8"/>
  <c r="AH376" i="8" s="1"/>
  <c r="AL376" i="8"/>
  <c r="AE376" i="8" s="1"/>
  <c r="AD376" i="8"/>
  <c r="S376" i="8"/>
  <c r="AR376" i="8" s="1"/>
  <c r="AI376" i="8" s="1"/>
  <c r="L376" i="8"/>
  <c r="AW375" i="8"/>
  <c r="AV375" i="8"/>
  <c r="AQ375" i="8" s="1"/>
  <c r="AH375" i="8" s="1"/>
  <c r="AU375" i="8"/>
  <c r="AD375" i="8"/>
  <c r="S375" i="8"/>
  <c r="L375" i="8"/>
  <c r="AW374" i="8"/>
  <c r="AV374" i="8"/>
  <c r="AU374" i="8"/>
  <c r="AR374" i="8"/>
  <c r="AI374" i="8" s="1"/>
  <c r="AM374" i="8"/>
  <c r="AF374" i="8" s="1"/>
  <c r="AL374" i="8"/>
  <c r="AE374" i="8" s="1"/>
  <c r="AD374" i="8"/>
  <c r="S374" i="8"/>
  <c r="AQ374" i="8" s="1"/>
  <c r="AH374" i="8" s="1"/>
  <c r="L374" i="8"/>
  <c r="AO374" i="8" s="1"/>
  <c r="AW373" i="8"/>
  <c r="AV373" i="8"/>
  <c r="AU373" i="8"/>
  <c r="AQ373" i="8"/>
  <c r="AH373" i="8" s="1"/>
  <c r="AD373" i="8"/>
  <c r="S373" i="8"/>
  <c r="AR373" i="8" s="1"/>
  <c r="AI373" i="8" s="1"/>
  <c r="L373" i="8"/>
  <c r="AW372" i="8"/>
  <c r="AV372" i="8"/>
  <c r="AU372" i="8"/>
  <c r="AQ372" i="8"/>
  <c r="AH372" i="8" s="1"/>
  <c r="AP372" i="8"/>
  <c r="AG372" i="8" s="1"/>
  <c r="AM372" i="8"/>
  <c r="AF372" i="8" s="1"/>
  <c r="AD372" i="8"/>
  <c r="S372" i="8"/>
  <c r="AR372" i="8" s="1"/>
  <c r="AI372" i="8" s="1"/>
  <c r="L372" i="8"/>
  <c r="AW371" i="8"/>
  <c r="AV371" i="8"/>
  <c r="AP371" i="8" s="1"/>
  <c r="AG371" i="8" s="1"/>
  <c r="AU371" i="8"/>
  <c r="AD371" i="8"/>
  <c r="S371" i="8"/>
  <c r="AQ371" i="8" s="1"/>
  <c r="AH371" i="8" s="1"/>
  <c r="AW370" i="8"/>
  <c r="AV370" i="8"/>
  <c r="AU370" i="8"/>
  <c r="AQ370" i="8"/>
  <c r="AH370" i="8" s="1"/>
  <c r="AP370" i="8"/>
  <c r="AG370" i="8" s="1"/>
  <c r="AD370" i="8"/>
  <c r="S370" i="8"/>
  <c r="AR370" i="8" s="1"/>
  <c r="AI370" i="8" s="1"/>
  <c r="AW369" i="8"/>
  <c r="AV369" i="8"/>
  <c r="AU369" i="8"/>
  <c r="AP369" i="8"/>
  <c r="AG369" i="8" s="1"/>
  <c r="AD369" i="8"/>
  <c r="S369" i="8"/>
  <c r="AR369" i="8" s="1"/>
  <c r="AI369" i="8" s="1"/>
  <c r="AW368" i="8"/>
  <c r="AV368" i="8"/>
  <c r="AP368" i="8" s="1"/>
  <c r="AG368" i="8" s="1"/>
  <c r="AU368" i="8"/>
  <c r="AD368" i="8"/>
  <c r="S368" i="8"/>
  <c r="AW367" i="8"/>
  <c r="AV367" i="8"/>
  <c r="AP367" i="8" s="1"/>
  <c r="AG367" i="8" s="1"/>
  <c r="AU367" i="8"/>
  <c r="AO367" i="8"/>
  <c r="AM367" i="8"/>
  <c r="AF367" i="8" s="1"/>
  <c r="AD367" i="8"/>
  <c r="S367" i="8"/>
  <c r="L367" i="8"/>
  <c r="AW366" i="8"/>
  <c r="AV366" i="8"/>
  <c r="AU366" i="8"/>
  <c r="AD366" i="8"/>
  <c r="S366" i="8"/>
  <c r="AP366" i="8" s="1"/>
  <c r="AG366" i="8" s="1"/>
  <c r="AW365" i="8"/>
  <c r="AV365" i="8"/>
  <c r="AU365" i="8"/>
  <c r="AQ365" i="8"/>
  <c r="AH365" i="8" s="1"/>
  <c r="AD365" i="8"/>
  <c r="S365" i="8"/>
  <c r="AW364" i="8"/>
  <c r="AV364" i="8"/>
  <c r="AP364" i="8" s="1"/>
  <c r="AG364" i="8" s="1"/>
  <c r="AU364" i="8"/>
  <c r="AD364" i="8"/>
  <c r="S364" i="8"/>
  <c r="AW363" i="8"/>
  <c r="AV363" i="8"/>
  <c r="AU363" i="8"/>
  <c r="AP363" i="8"/>
  <c r="AG363" i="8" s="1"/>
  <c r="AD363" i="8"/>
  <c r="S363" i="8"/>
  <c r="AR363" i="8" s="1"/>
  <c r="AI363" i="8" s="1"/>
  <c r="AW362" i="8"/>
  <c r="AV362" i="8"/>
  <c r="AU362" i="8"/>
  <c r="AD362" i="8"/>
  <c r="S362" i="8"/>
  <c r="AR362" i="8" s="1"/>
  <c r="AI362" i="8" s="1"/>
  <c r="L362" i="8"/>
  <c r="AW361" i="8"/>
  <c r="AV361" i="8"/>
  <c r="AU361" i="8"/>
  <c r="AM361" i="8" s="1"/>
  <c r="AF361" i="8" s="1"/>
  <c r="AP361" i="8"/>
  <c r="AG361" i="8" s="1"/>
  <c r="AL361" i="8"/>
  <c r="AE361" i="8" s="1"/>
  <c r="AD361" i="8"/>
  <c r="S361" i="8"/>
  <c r="L361" i="8"/>
  <c r="AW360" i="8"/>
  <c r="AV360" i="8"/>
  <c r="AU360" i="8"/>
  <c r="AM360" i="8" s="1"/>
  <c r="AF360" i="8" s="1"/>
  <c r="AD360" i="8"/>
  <c r="S360" i="8"/>
  <c r="L360" i="8"/>
  <c r="AW359" i="8"/>
  <c r="AV359" i="8"/>
  <c r="AU359" i="8"/>
  <c r="AR359" i="8"/>
  <c r="AI359" i="8" s="1"/>
  <c r="AO359" i="8"/>
  <c r="AD359" i="8"/>
  <c r="S359" i="8"/>
  <c r="L359" i="8"/>
  <c r="AW358" i="8"/>
  <c r="AV358" i="8"/>
  <c r="AU358" i="8"/>
  <c r="AO358" i="8"/>
  <c r="AD358" i="8"/>
  <c r="S358" i="8"/>
  <c r="L358" i="8"/>
  <c r="AW357" i="8"/>
  <c r="AV357" i="8"/>
  <c r="AU357" i="8"/>
  <c r="AD357" i="8"/>
  <c r="S357" i="8"/>
  <c r="AR357" i="8" s="1"/>
  <c r="AI357" i="8" s="1"/>
  <c r="L357" i="8"/>
  <c r="AW356" i="8"/>
  <c r="AV356" i="8"/>
  <c r="AU356" i="8"/>
  <c r="AM356" i="8" s="1"/>
  <c r="AF356" i="8" s="1"/>
  <c r="AQ356" i="8"/>
  <c r="AH356" i="8" s="1"/>
  <c r="AL356" i="8"/>
  <c r="AE356" i="8" s="1"/>
  <c r="AD356" i="8"/>
  <c r="S356" i="8"/>
  <c r="AR356" i="8" s="1"/>
  <c r="AI356" i="8" s="1"/>
  <c r="L356" i="8"/>
  <c r="AW355" i="8"/>
  <c r="AV355" i="8"/>
  <c r="AU355" i="8"/>
  <c r="AR355" i="8"/>
  <c r="AI355" i="8" s="1"/>
  <c r="AD355" i="8"/>
  <c r="S355" i="8"/>
  <c r="AQ355" i="8" s="1"/>
  <c r="AH355" i="8" s="1"/>
  <c r="L355" i="8"/>
  <c r="AO355" i="8" s="1"/>
  <c r="AW354" i="8"/>
  <c r="AV354" i="8"/>
  <c r="AU354" i="8"/>
  <c r="AO354" i="8"/>
  <c r="AM354" i="8"/>
  <c r="AF354" i="8" s="1"/>
  <c r="AL354" i="8"/>
  <c r="AE354" i="8" s="1"/>
  <c r="AD354" i="8"/>
  <c r="S354" i="8"/>
  <c r="L354" i="8"/>
  <c r="AW353" i="8"/>
  <c r="AV353" i="8"/>
  <c r="AU353" i="8"/>
  <c r="AD353" i="8"/>
  <c r="S353" i="8"/>
  <c r="AR353" i="8" s="1"/>
  <c r="AI353" i="8" s="1"/>
  <c r="L353" i="8"/>
  <c r="AW352" i="8"/>
  <c r="AV352" i="8"/>
  <c r="AU352" i="8"/>
  <c r="AQ352" i="8"/>
  <c r="AH352" i="8" s="1"/>
  <c r="AD352" i="8"/>
  <c r="S352" i="8"/>
  <c r="AR352" i="8" s="1"/>
  <c r="AI352" i="8" s="1"/>
  <c r="L352" i="8"/>
  <c r="AW351" i="8"/>
  <c r="AV351" i="8"/>
  <c r="AR351" i="8" s="1"/>
  <c r="AI351" i="8" s="1"/>
  <c r="AU351" i="8"/>
  <c r="AD351" i="8"/>
  <c r="S351" i="8"/>
  <c r="AQ351" i="8" s="1"/>
  <c r="AH351" i="8" s="1"/>
  <c r="L351" i="8"/>
  <c r="AW350" i="8"/>
  <c r="AV350" i="8"/>
  <c r="AU350" i="8"/>
  <c r="AM350" i="8" s="1"/>
  <c r="AO350" i="8"/>
  <c r="AF350" i="8"/>
  <c r="AD350" i="8"/>
  <c r="S350" i="8"/>
  <c r="L350" i="8"/>
  <c r="AW349" i="8"/>
  <c r="AV349" i="8"/>
  <c r="AU349" i="8"/>
  <c r="AD349" i="8"/>
  <c r="S349" i="8"/>
  <c r="AP349" i="8" s="1"/>
  <c r="AG349" i="8" s="1"/>
  <c r="L349" i="8"/>
  <c r="AW348" i="8"/>
  <c r="AV348" i="8"/>
  <c r="AU348" i="8"/>
  <c r="AR348" i="8"/>
  <c r="AI348" i="8" s="1"/>
  <c r="AQ348" i="8"/>
  <c r="AH348" i="8" s="1"/>
  <c r="AD348" i="8"/>
  <c r="S348" i="8"/>
  <c r="AP348" i="8" s="1"/>
  <c r="AG348" i="8" s="1"/>
  <c r="AW347" i="8"/>
  <c r="AV347" i="8"/>
  <c r="AU347" i="8"/>
  <c r="AR347" i="8"/>
  <c r="AI347" i="8" s="1"/>
  <c r="AQ347" i="8"/>
  <c r="AH347" i="8" s="1"/>
  <c r="AD347" i="8"/>
  <c r="S347" i="8"/>
  <c r="AP347" i="8" s="1"/>
  <c r="AG347" i="8" s="1"/>
  <c r="AW346" i="8"/>
  <c r="AV346" i="8"/>
  <c r="AU346" i="8"/>
  <c r="AD346" i="8"/>
  <c r="S346" i="8"/>
  <c r="AR346" i="8" s="1"/>
  <c r="AI346" i="8" s="1"/>
  <c r="AW345" i="8"/>
  <c r="AV345" i="8"/>
  <c r="AU345" i="8"/>
  <c r="AD345" i="8"/>
  <c r="S345" i="8"/>
  <c r="AP345" i="8" s="1"/>
  <c r="AG345" i="8" s="1"/>
  <c r="AW344" i="8"/>
  <c r="AV344" i="8"/>
  <c r="AU344" i="8"/>
  <c r="AM344" i="8" s="1"/>
  <c r="AF344" i="8" s="1"/>
  <c r="AL344" i="8"/>
  <c r="AE344" i="8" s="1"/>
  <c r="AD344" i="8"/>
  <c r="S344" i="8"/>
  <c r="AP344" i="8" s="1"/>
  <c r="AG344" i="8" s="1"/>
  <c r="L344" i="8"/>
  <c r="AW343" i="8"/>
  <c r="AV343" i="8"/>
  <c r="AU343" i="8"/>
  <c r="AD343" i="8"/>
  <c r="S343" i="8"/>
  <c r="AW342" i="8"/>
  <c r="AV342" i="8"/>
  <c r="AU342" i="8"/>
  <c r="AD342" i="8"/>
  <c r="S342" i="8"/>
  <c r="AW341" i="8"/>
  <c r="AV341" i="8"/>
  <c r="AU341" i="8"/>
  <c r="AD341" i="8"/>
  <c r="S341" i="8"/>
  <c r="AW340" i="8"/>
  <c r="AV340" i="8"/>
  <c r="AU340" i="8"/>
  <c r="AD340" i="8"/>
  <c r="S340" i="8"/>
  <c r="AR340" i="8" s="1"/>
  <c r="AI340" i="8" s="1"/>
  <c r="AW339" i="8"/>
  <c r="AV339" i="8"/>
  <c r="AU339" i="8"/>
  <c r="AR339" i="8"/>
  <c r="AI339" i="8" s="1"/>
  <c r="AD339" i="8"/>
  <c r="S339" i="8"/>
  <c r="L339" i="8"/>
  <c r="AO339" i="8" s="1"/>
  <c r="AW338" i="8"/>
  <c r="AV338" i="8"/>
  <c r="AU338" i="8"/>
  <c r="AR338" i="8"/>
  <c r="AI338" i="8" s="1"/>
  <c r="AO338" i="8"/>
  <c r="AM338" i="8"/>
  <c r="AL338" i="8"/>
  <c r="AE338" i="8" s="1"/>
  <c r="AF338" i="8"/>
  <c r="AD338" i="8"/>
  <c r="S338" i="8"/>
  <c r="L338" i="8"/>
  <c r="AW337" i="8"/>
  <c r="AV337" i="8"/>
  <c r="AU337" i="8"/>
  <c r="AD337" i="8"/>
  <c r="S337" i="8"/>
  <c r="AR337" i="8" s="1"/>
  <c r="AI337" i="8" s="1"/>
  <c r="L337" i="8"/>
  <c r="AW336" i="8"/>
  <c r="AV336" i="8"/>
  <c r="AU336" i="8"/>
  <c r="AQ336" i="8"/>
  <c r="AH336" i="8" s="1"/>
  <c r="AM336" i="8"/>
  <c r="AF336" i="8" s="1"/>
  <c r="AL336" i="8"/>
  <c r="AE336" i="8" s="1"/>
  <c r="AD336" i="8"/>
  <c r="S336" i="8"/>
  <c r="AR336" i="8" s="1"/>
  <c r="AI336" i="8" s="1"/>
  <c r="L336" i="8"/>
  <c r="AW335" i="8"/>
  <c r="AV335" i="8"/>
  <c r="AR335" i="8" s="1"/>
  <c r="AI335" i="8" s="1"/>
  <c r="AU335" i="8"/>
  <c r="AD335" i="8"/>
  <c r="S335" i="8"/>
  <c r="AQ335" i="8" s="1"/>
  <c r="AH335" i="8" s="1"/>
  <c r="L335" i="8"/>
  <c r="AW334" i="8"/>
  <c r="AV334" i="8"/>
  <c r="AU334" i="8"/>
  <c r="AM334" i="8" s="1"/>
  <c r="AF334" i="8" s="1"/>
  <c r="AP334" i="8"/>
  <c r="AG334" i="8" s="1"/>
  <c r="AO334" i="8"/>
  <c r="AD334" i="8"/>
  <c r="S334" i="8"/>
  <c r="L334" i="8"/>
  <c r="AW333" i="8"/>
  <c r="AV333" i="8"/>
  <c r="AU333" i="8"/>
  <c r="AD333" i="8"/>
  <c r="S333" i="8"/>
  <c r="L333" i="8"/>
  <c r="AW332" i="8"/>
  <c r="AV332" i="8"/>
  <c r="AU332" i="8"/>
  <c r="AR332" i="8"/>
  <c r="AI332" i="8" s="1"/>
  <c r="AQ332" i="8"/>
  <c r="AH332" i="8" s="1"/>
  <c r="AD332" i="8"/>
  <c r="S332" i="8"/>
  <c r="AP332" i="8" s="1"/>
  <c r="AG332" i="8" s="1"/>
  <c r="L332" i="8"/>
  <c r="AW331" i="8"/>
  <c r="AV331" i="8"/>
  <c r="AU331" i="8"/>
  <c r="AR331" i="8"/>
  <c r="AI331" i="8" s="1"/>
  <c r="AQ331" i="8"/>
  <c r="AH331" i="8" s="1"/>
  <c r="AD331" i="8"/>
  <c r="S331" i="8"/>
  <c r="AP331" i="8" s="1"/>
  <c r="AG331" i="8" s="1"/>
  <c r="L331" i="8"/>
  <c r="AW330" i="8"/>
  <c r="AV330" i="8"/>
  <c r="AU330" i="8"/>
  <c r="AD330" i="8"/>
  <c r="S330" i="8"/>
  <c r="AR330" i="8" s="1"/>
  <c r="AI330" i="8" s="1"/>
  <c r="L330" i="8"/>
  <c r="AW329" i="8"/>
  <c r="AV329" i="8"/>
  <c r="AU329" i="8"/>
  <c r="AM329" i="8" s="1"/>
  <c r="AF329" i="8" s="1"/>
  <c r="AP329" i="8"/>
  <c r="AG329" i="8" s="1"/>
  <c r="AL329" i="8"/>
  <c r="AE329" i="8" s="1"/>
  <c r="AD329" i="8"/>
  <c r="S329" i="8"/>
  <c r="L329" i="8"/>
  <c r="AW328" i="8"/>
  <c r="AV328" i="8"/>
  <c r="AR328" i="8" s="1"/>
  <c r="AI328" i="8" s="1"/>
  <c r="AU328" i="8"/>
  <c r="AM328" i="8" s="1"/>
  <c r="AF328" i="8" s="1"/>
  <c r="AQ328" i="8"/>
  <c r="AH328" i="8" s="1"/>
  <c r="AL328" i="8"/>
  <c r="AE328" i="8" s="1"/>
  <c r="AD328" i="8"/>
  <c r="S328" i="8"/>
  <c r="AP328" i="8" s="1"/>
  <c r="AG328" i="8" s="1"/>
  <c r="L328" i="8"/>
  <c r="AW327" i="8"/>
  <c r="AV327" i="8"/>
  <c r="AU327" i="8"/>
  <c r="AD327" i="8"/>
  <c r="S327" i="8"/>
  <c r="L327" i="8"/>
  <c r="AW326" i="8"/>
  <c r="AV326" i="8"/>
  <c r="AU326" i="8"/>
  <c r="AO326" i="8"/>
  <c r="AD326" i="8"/>
  <c r="S326" i="8"/>
  <c r="L326" i="8"/>
  <c r="AW325" i="8"/>
  <c r="AV325" i="8"/>
  <c r="AU325" i="8"/>
  <c r="AR325" i="8"/>
  <c r="AI325" i="8" s="1"/>
  <c r="AD325" i="8"/>
  <c r="S325" i="8"/>
  <c r="AW324" i="8"/>
  <c r="AV324" i="8"/>
  <c r="AU324" i="8"/>
  <c r="AD324" i="8"/>
  <c r="S324" i="8"/>
  <c r="AR324" i="8" s="1"/>
  <c r="AI324" i="8" s="1"/>
  <c r="AW323" i="8"/>
  <c r="AV323" i="8"/>
  <c r="AU323" i="8"/>
  <c r="AR323" i="8"/>
  <c r="AI323" i="8" s="1"/>
  <c r="AD323" i="8"/>
  <c r="S323" i="8"/>
  <c r="AW322" i="8"/>
  <c r="AV322" i="8"/>
  <c r="AU322" i="8"/>
  <c r="AD322" i="8"/>
  <c r="S322" i="8"/>
  <c r="AW321" i="8"/>
  <c r="AV321" i="8"/>
  <c r="AU321" i="8"/>
  <c r="AL321" i="8" s="1"/>
  <c r="AE321" i="8" s="1"/>
  <c r="AD321" i="8"/>
  <c r="S321" i="8"/>
  <c r="L321" i="8"/>
  <c r="AM321" i="8" s="1"/>
  <c r="AF321" i="8" s="1"/>
  <c r="AW320" i="8"/>
  <c r="AV320" i="8"/>
  <c r="AU320" i="8"/>
  <c r="AD320" i="8"/>
  <c r="S320" i="8"/>
  <c r="AR320" i="8" s="1"/>
  <c r="AI320" i="8" s="1"/>
  <c r="AW319" i="8"/>
  <c r="AV319" i="8"/>
  <c r="AR319" i="8" s="1"/>
  <c r="AI319" i="8" s="1"/>
  <c r="AU319" i="8"/>
  <c r="AD319" i="8"/>
  <c r="S319" i="8"/>
  <c r="AW318" i="8"/>
  <c r="AV318" i="8"/>
  <c r="AU318" i="8"/>
  <c r="AD318" i="8"/>
  <c r="S318" i="8"/>
  <c r="AR318" i="8" s="1"/>
  <c r="AI318" i="8" s="1"/>
  <c r="AW317" i="8"/>
  <c r="AV317" i="8"/>
  <c r="AU317" i="8"/>
  <c r="AD317" i="8"/>
  <c r="S317" i="8"/>
  <c r="AW316" i="8"/>
  <c r="AV316" i="8"/>
  <c r="AU316" i="8"/>
  <c r="AM316" i="8" s="1"/>
  <c r="AR316" i="8"/>
  <c r="AI316" i="8" s="1"/>
  <c r="AL316" i="8"/>
  <c r="AE316" i="8" s="1"/>
  <c r="AF316" i="8"/>
  <c r="AD316" i="8"/>
  <c r="S316" i="8"/>
  <c r="L316" i="8"/>
  <c r="AW315" i="8"/>
  <c r="AV315" i="8"/>
  <c r="AR315" i="8" s="1"/>
  <c r="AI315" i="8" s="1"/>
  <c r="AU315" i="8"/>
  <c r="AL315" i="8"/>
  <c r="AE315" i="8" s="1"/>
  <c r="AD315" i="8"/>
  <c r="S315" i="8"/>
  <c r="L315" i="8"/>
  <c r="AW314" i="8"/>
  <c r="AV314" i="8"/>
  <c r="AU314" i="8"/>
  <c r="AL314" i="8" s="1"/>
  <c r="AE314" i="8" s="1"/>
  <c r="AO314" i="8"/>
  <c r="AD314" i="8"/>
  <c r="S314" i="8"/>
  <c r="L314" i="8"/>
  <c r="AW313" i="8"/>
  <c r="AV313" i="8"/>
  <c r="AU313" i="8"/>
  <c r="AM313" i="8" s="1"/>
  <c r="AF313" i="8" s="1"/>
  <c r="AD313" i="8"/>
  <c r="S313" i="8"/>
  <c r="L313" i="8"/>
  <c r="AW312" i="8"/>
  <c r="AV312" i="8"/>
  <c r="AR312" i="8" s="1"/>
  <c r="AI312" i="8" s="1"/>
  <c r="AU312" i="8"/>
  <c r="AD312" i="8"/>
  <c r="S312" i="8"/>
  <c r="L312" i="8"/>
  <c r="AW311" i="8"/>
  <c r="AV311" i="8"/>
  <c r="AR311" i="8" s="1"/>
  <c r="AI311" i="8" s="1"/>
  <c r="AU311" i="8"/>
  <c r="AO311" i="8"/>
  <c r="AD311" i="8"/>
  <c r="S311" i="8"/>
  <c r="L311" i="8"/>
  <c r="AW310" i="8"/>
  <c r="AV310" i="8"/>
  <c r="AU310" i="8"/>
  <c r="AO310" i="8"/>
  <c r="AD310" i="8"/>
  <c r="S310" i="8"/>
  <c r="L310" i="8"/>
  <c r="AW309" i="8"/>
  <c r="AV309" i="8"/>
  <c r="AU309" i="8"/>
  <c r="AL309" i="8" s="1"/>
  <c r="AE309" i="8" s="1"/>
  <c r="AR309" i="8"/>
  <c r="AI309" i="8" s="1"/>
  <c r="AQ309" i="8"/>
  <c r="AH309" i="8" s="1"/>
  <c r="AP309" i="8"/>
  <c r="AG309" i="8" s="1"/>
  <c r="AD309" i="8"/>
  <c r="S309" i="8"/>
  <c r="L309" i="8"/>
  <c r="AM309" i="8" s="1"/>
  <c r="AF309" i="8" s="1"/>
  <c r="AW308" i="8"/>
  <c r="AV308" i="8"/>
  <c r="AU308" i="8"/>
  <c r="AM308" i="8" s="1"/>
  <c r="AF308" i="8" s="1"/>
  <c r="AP308" i="8"/>
  <c r="AG308" i="8" s="1"/>
  <c r="AL308" i="8"/>
  <c r="AE308" i="8" s="1"/>
  <c r="AD308" i="8"/>
  <c r="S308" i="8"/>
  <c r="AR308" i="8" s="1"/>
  <c r="AI308" i="8" s="1"/>
  <c r="L308" i="8"/>
  <c r="AW307" i="8"/>
  <c r="AV307" i="8"/>
  <c r="AR307" i="8" s="1"/>
  <c r="AI307" i="8" s="1"/>
  <c r="AU307" i="8"/>
  <c r="AD307" i="8"/>
  <c r="S307" i="8"/>
  <c r="L307" i="8"/>
  <c r="AW306" i="8"/>
  <c r="AV306" i="8"/>
  <c r="AU306" i="8"/>
  <c r="AM306" i="8"/>
  <c r="AL306" i="8"/>
  <c r="AE306" i="8" s="1"/>
  <c r="AF306" i="8"/>
  <c r="AD306" i="8"/>
  <c r="S306" i="8"/>
  <c r="AR306" i="8" s="1"/>
  <c r="AI306" i="8" s="1"/>
  <c r="L306" i="8"/>
  <c r="AO306" i="8" s="1"/>
  <c r="AW305" i="8"/>
  <c r="AV305" i="8"/>
  <c r="AU305" i="8"/>
  <c r="AL305" i="8" s="1"/>
  <c r="AP305" i="8"/>
  <c r="AG305" i="8" s="1"/>
  <c r="AE305" i="8"/>
  <c r="AD305" i="8"/>
  <c r="S305" i="8"/>
  <c r="L305" i="8"/>
  <c r="AM305" i="8" s="1"/>
  <c r="AF305" i="8" s="1"/>
  <c r="AW304" i="8"/>
  <c r="AV304" i="8"/>
  <c r="AU304" i="8"/>
  <c r="AQ304" i="8"/>
  <c r="AH304" i="8" s="1"/>
  <c r="AP304" i="8"/>
  <c r="AG304" i="8" s="1"/>
  <c r="Z304" i="8" s="1"/>
  <c r="AD304" i="8"/>
  <c r="S304" i="8"/>
  <c r="AR304" i="8" s="1"/>
  <c r="AI304" i="8" s="1"/>
  <c r="L304" i="8"/>
  <c r="AW303" i="8"/>
  <c r="AV303" i="8"/>
  <c r="AR303" i="8" s="1"/>
  <c r="AI303" i="8" s="1"/>
  <c r="AU303" i="8"/>
  <c r="AD303" i="8"/>
  <c r="S303" i="8"/>
  <c r="AQ303" i="8" s="1"/>
  <c r="AH303" i="8" s="1"/>
  <c r="L303" i="8"/>
  <c r="AW302" i="8"/>
  <c r="AV302" i="8"/>
  <c r="AU302" i="8"/>
  <c r="AD302" i="8"/>
  <c r="S302" i="8"/>
  <c r="AW301" i="8"/>
  <c r="AV301" i="8"/>
  <c r="AU301" i="8"/>
  <c r="AD301" i="8"/>
  <c r="S301" i="8"/>
  <c r="AR301" i="8" s="1"/>
  <c r="AI301" i="8" s="1"/>
  <c r="AW300" i="8"/>
  <c r="AV300" i="8"/>
  <c r="AU300" i="8"/>
  <c r="AR300" i="8"/>
  <c r="AI300" i="8" s="1"/>
  <c r="AQ300" i="8"/>
  <c r="AH300" i="8" s="1"/>
  <c r="AD300" i="8"/>
  <c r="S300" i="8"/>
  <c r="AP300" i="8" s="1"/>
  <c r="AG300" i="8" s="1"/>
  <c r="AW299" i="8"/>
  <c r="AV299" i="8"/>
  <c r="AQ299" i="8" s="1"/>
  <c r="AH299" i="8" s="1"/>
  <c r="AU299" i="8"/>
  <c r="AR299" i="8"/>
  <c r="AI299" i="8" s="1"/>
  <c r="AD299" i="8"/>
  <c r="S299" i="8"/>
  <c r="AP299" i="8" s="1"/>
  <c r="AG299" i="8" s="1"/>
  <c r="AW298" i="8"/>
  <c r="AV298" i="8"/>
  <c r="AU298" i="8"/>
  <c r="AO298" i="8" s="1"/>
  <c r="AD298" i="8"/>
  <c r="S298" i="8"/>
  <c r="L298" i="8"/>
  <c r="AW297" i="8"/>
  <c r="AV297" i="8"/>
  <c r="AU297" i="8"/>
  <c r="AD297" i="8"/>
  <c r="S297" i="8"/>
  <c r="AW296" i="8"/>
  <c r="AV296" i="8"/>
  <c r="AR296" i="8" s="1"/>
  <c r="AI296" i="8" s="1"/>
  <c r="AU296" i="8"/>
  <c r="AD296" i="8"/>
  <c r="S296" i="8"/>
  <c r="AW295" i="8"/>
  <c r="AV295" i="8"/>
  <c r="AR295" i="8" s="1"/>
  <c r="AI295" i="8" s="1"/>
  <c r="AU295" i="8"/>
  <c r="AQ295" i="8"/>
  <c r="AH295" i="8" s="1"/>
  <c r="AD295" i="8"/>
  <c r="S295" i="8"/>
  <c r="AP295" i="8" s="1"/>
  <c r="AG295" i="8" s="1"/>
  <c r="AW294" i="8"/>
  <c r="AV294" i="8"/>
  <c r="AU294" i="8"/>
  <c r="AP294" i="8"/>
  <c r="AG294" i="8" s="1"/>
  <c r="AD294" i="8"/>
  <c r="S294" i="8"/>
  <c r="AW293" i="8"/>
  <c r="AV293" i="8"/>
  <c r="AU293" i="8"/>
  <c r="AR293" i="8"/>
  <c r="AI293" i="8" s="1"/>
  <c r="AL293" i="8"/>
  <c r="AE293" i="8" s="1"/>
  <c r="AD293" i="8"/>
  <c r="S293" i="8"/>
  <c r="L293" i="8"/>
  <c r="AM293" i="8" s="1"/>
  <c r="AF293" i="8" s="1"/>
  <c r="AW292" i="8"/>
  <c r="AV292" i="8"/>
  <c r="AU292" i="8"/>
  <c r="AM292" i="8" s="1"/>
  <c r="AF292" i="8" s="1"/>
  <c r="AD292" i="8"/>
  <c r="S292" i="8"/>
  <c r="AQ292" i="8" s="1"/>
  <c r="AH292" i="8" s="1"/>
  <c r="L292" i="8"/>
  <c r="AW291" i="8"/>
  <c r="AV291" i="8"/>
  <c r="AU291" i="8"/>
  <c r="AD291" i="8"/>
  <c r="S291" i="8"/>
  <c r="L291" i="8"/>
  <c r="AW290" i="8"/>
  <c r="AV290" i="8"/>
  <c r="AU290" i="8"/>
  <c r="AM290" i="8" s="1"/>
  <c r="AF290" i="8" s="1"/>
  <c r="AO290" i="8"/>
  <c r="AL290" i="8"/>
  <c r="AE290" i="8" s="1"/>
  <c r="AD290" i="8"/>
  <c r="S290" i="8"/>
  <c r="AQ290" i="8" s="1"/>
  <c r="AH290" i="8" s="1"/>
  <c r="L290" i="8"/>
  <c r="AW289" i="8"/>
  <c r="AV289" i="8"/>
  <c r="AP289" i="8" s="1"/>
  <c r="AG289" i="8" s="1"/>
  <c r="AU289" i="8"/>
  <c r="AL289" i="8"/>
  <c r="AE289" i="8"/>
  <c r="AD289" i="8"/>
  <c r="S289" i="8"/>
  <c r="AQ289" i="8" s="1"/>
  <c r="AH289" i="8" s="1"/>
  <c r="L289" i="8"/>
  <c r="AW288" i="8"/>
  <c r="AV288" i="8"/>
  <c r="AU288" i="8"/>
  <c r="AR288" i="8"/>
  <c r="AI288" i="8" s="1"/>
  <c r="AP288" i="8"/>
  <c r="AG288" i="8" s="1"/>
  <c r="AM288" i="8"/>
  <c r="AF288" i="8" s="1"/>
  <c r="AL288" i="8"/>
  <c r="AE288" i="8" s="1"/>
  <c r="AD288" i="8"/>
  <c r="S288" i="8"/>
  <c r="AQ288" i="8" s="1"/>
  <c r="AH288" i="8" s="1"/>
  <c r="L288" i="8"/>
  <c r="AO288" i="8" s="1"/>
  <c r="AW287" i="8"/>
  <c r="AV287" i="8"/>
  <c r="AR287" i="8" s="1"/>
  <c r="AI287" i="8" s="1"/>
  <c r="AU287" i="8"/>
  <c r="AD287" i="8"/>
  <c r="S287" i="8"/>
  <c r="L287" i="8"/>
  <c r="AW286" i="8"/>
  <c r="AV286" i="8"/>
  <c r="AU286" i="8"/>
  <c r="AQ286" i="8"/>
  <c r="AH286" i="8" s="1"/>
  <c r="AD286" i="8"/>
  <c r="S286" i="8"/>
  <c r="AP286" i="8" s="1"/>
  <c r="AG286" i="8" s="1"/>
  <c r="L286" i="8"/>
  <c r="AW285" i="8"/>
  <c r="AV285" i="8"/>
  <c r="AU285" i="8"/>
  <c r="AD285" i="8"/>
  <c r="S285" i="8"/>
  <c r="L285" i="8"/>
  <c r="AW284" i="8"/>
  <c r="AV284" i="8"/>
  <c r="AU284" i="8"/>
  <c r="AR284" i="8"/>
  <c r="AI284" i="8" s="1"/>
  <c r="AM284" i="8"/>
  <c r="AF284" i="8" s="1"/>
  <c r="AL284" i="8"/>
  <c r="AE284" i="8" s="1"/>
  <c r="AD284" i="8"/>
  <c r="S284" i="8"/>
  <c r="AQ284" i="8" s="1"/>
  <c r="AH284" i="8" s="1"/>
  <c r="L284" i="8"/>
  <c r="AW283" i="8"/>
  <c r="AV283" i="8"/>
  <c r="AU283" i="8"/>
  <c r="AR283" i="8"/>
  <c r="AI283" i="8" s="1"/>
  <c r="AQ283" i="8"/>
  <c r="AH283" i="8" s="1"/>
  <c r="AD283" i="8"/>
  <c r="S283" i="8"/>
  <c r="AP283" i="8" s="1"/>
  <c r="AG283" i="8" s="1"/>
  <c r="L283" i="8"/>
  <c r="AW282" i="8"/>
  <c r="AV282" i="8"/>
  <c r="AU282" i="8"/>
  <c r="AD282" i="8"/>
  <c r="S282" i="8"/>
  <c r="L282" i="8"/>
  <c r="AW281" i="8"/>
  <c r="AV281" i="8"/>
  <c r="AU281" i="8"/>
  <c r="AL281" i="8"/>
  <c r="AE281" i="8" s="1"/>
  <c r="AD281" i="8"/>
  <c r="S281" i="8"/>
  <c r="L281" i="8"/>
  <c r="AO281" i="8" s="1"/>
  <c r="AW280" i="8"/>
  <c r="AV280" i="8"/>
  <c r="AU280" i="8"/>
  <c r="AR280" i="8"/>
  <c r="AI280" i="8" s="1"/>
  <c r="AP280" i="8"/>
  <c r="AG280" i="8" s="1"/>
  <c r="AM280" i="8"/>
  <c r="AF280" i="8" s="1"/>
  <c r="AL280" i="8"/>
  <c r="AE280" i="8" s="1"/>
  <c r="AD280" i="8"/>
  <c r="S280" i="8"/>
  <c r="AQ280" i="8" s="1"/>
  <c r="AH280" i="8" s="1"/>
  <c r="L280" i="8"/>
  <c r="AW279" i="8"/>
  <c r="AV279" i="8"/>
  <c r="AU279" i="8"/>
  <c r="AQ279" i="8"/>
  <c r="AH279" i="8" s="1"/>
  <c r="AD279" i="8"/>
  <c r="S279" i="8"/>
  <c r="AP279" i="8" s="1"/>
  <c r="AG279" i="8" s="1"/>
  <c r="AW278" i="8"/>
  <c r="AV278" i="8"/>
  <c r="AU278" i="8"/>
  <c r="AD278" i="8"/>
  <c r="S278" i="8"/>
  <c r="AQ278" i="8" s="1"/>
  <c r="AH278" i="8" s="1"/>
  <c r="AW277" i="8"/>
  <c r="AV277" i="8"/>
  <c r="AU277" i="8"/>
  <c r="AP277" i="8"/>
  <c r="AG277" i="8" s="1"/>
  <c r="AD277" i="8"/>
  <c r="S277" i="8"/>
  <c r="AR277" i="8" s="1"/>
  <c r="AI277" i="8" s="1"/>
  <c r="AW276" i="8"/>
  <c r="AV276" i="8"/>
  <c r="AU276" i="8"/>
  <c r="AR276" i="8"/>
  <c r="AI276" i="8" s="1"/>
  <c r="AD276" i="8"/>
  <c r="S276" i="8"/>
  <c r="AW275" i="8"/>
  <c r="AV275" i="8"/>
  <c r="AU275" i="8"/>
  <c r="AD275" i="8"/>
  <c r="S275" i="8"/>
  <c r="AQ275" i="8" s="1"/>
  <c r="AH275" i="8" s="1"/>
  <c r="L275" i="8"/>
  <c r="AL275" i="8" s="1"/>
  <c r="AE275" i="8" s="1"/>
  <c r="AW274" i="8"/>
  <c r="AV274" i="8"/>
  <c r="AU274" i="8"/>
  <c r="AD274" i="8"/>
  <c r="S274" i="8"/>
  <c r="AW273" i="8"/>
  <c r="AV273" i="8"/>
  <c r="AU273" i="8"/>
  <c r="AQ273" i="8"/>
  <c r="AH273" i="8" s="1"/>
  <c r="AD273" i="8"/>
  <c r="S273" i="8"/>
  <c r="AW272" i="8"/>
  <c r="AV272" i="8"/>
  <c r="AQ272" i="8" s="1"/>
  <c r="AH272" i="8" s="1"/>
  <c r="AU272" i="8"/>
  <c r="AD272" i="8"/>
  <c r="S272" i="8"/>
  <c r="AR272" i="8" s="1"/>
  <c r="AI272" i="8" s="1"/>
  <c r="AW271" i="8"/>
  <c r="AV271" i="8"/>
  <c r="AU271" i="8"/>
  <c r="AR271" i="8"/>
  <c r="AI271" i="8" s="1"/>
  <c r="AQ271" i="8"/>
  <c r="AH271" i="8" s="1"/>
  <c r="AD271" i="8"/>
  <c r="S271" i="8"/>
  <c r="AP271" i="8" s="1"/>
  <c r="AG271" i="8" s="1"/>
  <c r="AW270" i="8"/>
  <c r="AV270" i="8"/>
  <c r="AU270" i="8"/>
  <c r="AR270" i="8"/>
  <c r="AI270" i="8" s="1"/>
  <c r="AD270" i="8"/>
  <c r="S270" i="8"/>
  <c r="AQ270" i="8" s="1"/>
  <c r="AH270" i="8" s="1"/>
  <c r="L270" i="8"/>
  <c r="AW269" i="8"/>
  <c r="AV269" i="8"/>
  <c r="AU269" i="8"/>
  <c r="AM269" i="8"/>
  <c r="AF269" i="8" s="1"/>
  <c r="AL269" i="8"/>
  <c r="AE269" i="8" s="1"/>
  <c r="AD269" i="8"/>
  <c r="S269" i="8"/>
  <c r="L269" i="8"/>
  <c r="AW268" i="8"/>
  <c r="AV268" i="8"/>
  <c r="AU268" i="8"/>
  <c r="AD268" i="8"/>
  <c r="S268" i="8"/>
  <c r="L268" i="8"/>
  <c r="AO268" i="8" s="1"/>
  <c r="AW267" i="8"/>
  <c r="AV267" i="8"/>
  <c r="AU267" i="8"/>
  <c r="AM267" i="8"/>
  <c r="AF267" i="8" s="1"/>
  <c r="AL267" i="8"/>
  <c r="AE267" i="8"/>
  <c r="AD267" i="8"/>
  <c r="S267" i="8"/>
  <c r="L267" i="8"/>
  <c r="AO267" i="8" s="1"/>
  <c r="AW266" i="8"/>
  <c r="AV266" i="8"/>
  <c r="AU266" i="8"/>
  <c r="AR266" i="8"/>
  <c r="AI266" i="8" s="1"/>
  <c r="AD266" i="8"/>
  <c r="S266" i="8"/>
  <c r="L266" i="8"/>
  <c r="AW265" i="8"/>
  <c r="AV265" i="8"/>
  <c r="AU265" i="8"/>
  <c r="AM265" i="8" s="1"/>
  <c r="AF265" i="8" s="1"/>
  <c r="AL265" i="8"/>
  <c r="AE265" i="8" s="1"/>
  <c r="AD265" i="8"/>
  <c r="S265" i="8"/>
  <c r="AR265" i="8" s="1"/>
  <c r="AI265" i="8" s="1"/>
  <c r="L265" i="8"/>
  <c r="AW264" i="8"/>
  <c r="AV264" i="8"/>
  <c r="AU264" i="8"/>
  <c r="AM264" i="8" s="1"/>
  <c r="AF264" i="8" s="1"/>
  <c r="AD264" i="8"/>
  <c r="S264" i="8"/>
  <c r="L264" i="8"/>
  <c r="AW263" i="8"/>
  <c r="AV263" i="8"/>
  <c r="AU263" i="8"/>
  <c r="AO263" i="8"/>
  <c r="AM263" i="8"/>
  <c r="AF263" i="8" s="1"/>
  <c r="AL263" i="8"/>
  <c r="AE263" i="8" s="1"/>
  <c r="AD263" i="8"/>
  <c r="S263" i="8"/>
  <c r="L263" i="8"/>
  <c r="AW262" i="8"/>
  <c r="AV262" i="8"/>
  <c r="AR262" i="8" s="1"/>
  <c r="AI262" i="8" s="1"/>
  <c r="AU262" i="8"/>
  <c r="AO262" i="8" s="1"/>
  <c r="AD262" i="8"/>
  <c r="S262" i="8"/>
  <c r="L262" i="8"/>
  <c r="AW261" i="8"/>
  <c r="AV261" i="8"/>
  <c r="AU261" i="8"/>
  <c r="AD261" i="8"/>
  <c r="S261" i="8"/>
  <c r="AR261" i="8" s="1"/>
  <c r="AI261" i="8" s="1"/>
  <c r="L261" i="8"/>
  <c r="AW260" i="8"/>
  <c r="AV260" i="8"/>
  <c r="AR260" i="8" s="1"/>
  <c r="AI260" i="8" s="1"/>
  <c r="AU260" i="8"/>
  <c r="AM260" i="8" s="1"/>
  <c r="AL260" i="8"/>
  <c r="AE260" i="8" s="1"/>
  <c r="AF260" i="8"/>
  <c r="AD260" i="8"/>
  <c r="S260" i="8"/>
  <c r="L260" i="8"/>
  <c r="AW259" i="8"/>
  <c r="AV259" i="8"/>
  <c r="AU259" i="8"/>
  <c r="AO259" i="8"/>
  <c r="AM259" i="8"/>
  <c r="AF259" i="8" s="1"/>
  <c r="AD259" i="8"/>
  <c r="S259" i="8"/>
  <c r="AR259" i="8" s="1"/>
  <c r="AI259" i="8" s="1"/>
  <c r="L259" i="8"/>
  <c r="AL259" i="8" s="1"/>
  <c r="AE259" i="8" s="1"/>
  <c r="AW258" i="8"/>
  <c r="AV258" i="8"/>
  <c r="AU258" i="8"/>
  <c r="AM258" i="8" s="1"/>
  <c r="AF258" i="8" s="1"/>
  <c r="AO258" i="8"/>
  <c r="AL258" i="8"/>
  <c r="AE258" i="8" s="1"/>
  <c r="AD258" i="8"/>
  <c r="S258" i="8"/>
  <c r="AR258" i="8" s="1"/>
  <c r="AI258" i="8" s="1"/>
  <c r="L258" i="8"/>
  <c r="AW257" i="8"/>
  <c r="AV257" i="8"/>
  <c r="AU257" i="8"/>
  <c r="AR257" i="8"/>
  <c r="AI257" i="8" s="1"/>
  <c r="AQ257" i="8"/>
  <c r="AH257" i="8" s="1"/>
  <c r="AD257" i="8"/>
  <c r="S257" i="8"/>
  <c r="L257" i="8"/>
  <c r="AW256" i="8"/>
  <c r="AV256" i="8"/>
  <c r="AR256" i="8" s="1"/>
  <c r="AI256" i="8" s="1"/>
  <c r="AU256" i="8"/>
  <c r="AQ256" i="8"/>
  <c r="AH256" i="8" s="1"/>
  <c r="AM256" i="8"/>
  <c r="AF256" i="8" s="1"/>
  <c r="AL256" i="8"/>
  <c r="AE256" i="8" s="1"/>
  <c r="AD256" i="8"/>
  <c r="S256" i="8"/>
  <c r="AP256" i="8" s="1"/>
  <c r="AG256" i="8" s="1"/>
  <c r="L256" i="8"/>
  <c r="AO256" i="8" s="1"/>
  <c r="AW255" i="8"/>
  <c r="AV255" i="8"/>
  <c r="AU255" i="8"/>
  <c r="AO255" i="8" s="1"/>
  <c r="AQ255" i="8"/>
  <c r="AH255" i="8" s="1"/>
  <c r="AD255" i="8"/>
  <c r="S255" i="8"/>
  <c r="AP255" i="8" s="1"/>
  <c r="AG255" i="8" s="1"/>
  <c r="L255" i="8"/>
  <c r="AW254" i="8"/>
  <c r="AV254" i="8"/>
  <c r="AU254" i="8"/>
  <c r="AP254" i="8"/>
  <c r="AG254" i="8" s="1"/>
  <c r="AD254" i="8"/>
  <c r="S254" i="8"/>
  <c r="AR254" i="8" s="1"/>
  <c r="AI254" i="8" s="1"/>
  <c r="L254" i="8"/>
  <c r="AO254" i="8" s="1"/>
  <c r="AW253" i="8"/>
  <c r="AV253" i="8"/>
  <c r="AU253" i="8"/>
  <c r="AM253" i="8" s="1"/>
  <c r="AF253" i="8" s="1"/>
  <c r="AD253" i="8"/>
  <c r="S253" i="8"/>
  <c r="AR253" i="8" s="1"/>
  <c r="AI253" i="8" s="1"/>
  <c r="L253" i="8"/>
  <c r="AW252" i="8"/>
  <c r="AV252" i="8"/>
  <c r="AU252" i="8"/>
  <c r="AR252" i="8"/>
  <c r="AI252" i="8" s="1"/>
  <c r="AP252" i="8"/>
  <c r="AG252" i="8" s="1"/>
  <c r="AD252" i="8"/>
  <c r="S252" i="8"/>
  <c r="AQ252" i="8" s="1"/>
  <c r="AH252" i="8" s="1"/>
  <c r="L252" i="8"/>
  <c r="AW251" i="8"/>
  <c r="AV251" i="8"/>
  <c r="AU251" i="8"/>
  <c r="AD251" i="8"/>
  <c r="S251" i="8"/>
  <c r="AW250" i="8"/>
  <c r="AV250" i="8"/>
  <c r="AU250" i="8"/>
  <c r="AD250" i="8"/>
  <c r="S250" i="8"/>
  <c r="AW249" i="8"/>
  <c r="AV249" i="8"/>
  <c r="AU249" i="8"/>
  <c r="AD249" i="8"/>
  <c r="S249" i="8"/>
  <c r="AW248" i="8"/>
  <c r="AV248" i="8"/>
  <c r="AU248" i="8"/>
  <c r="AD248" i="8"/>
  <c r="S248" i="8"/>
  <c r="AW247" i="8"/>
  <c r="AV247" i="8"/>
  <c r="AU247" i="8"/>
  <c r="AR247" i="8"/>
  <c r="AI247" i="8" s="1"/>
  <c r="AO247" i="8"/>
  <c r="AM247" i="8"/>
  <c r="AF247" i="8" s="1"/>
  <c r="AL247" i="8"/>
  <c r="AE247" i="8" s="1"/>
  <c r="AD247" i="8"/>
  <c r="S247" i="8"/>
  <c r="L247" i="8"/>
  <c r="AW246" i="8"/>
  <c r="AV246" i="8"/>
  <c r="AR246" i="8" s="1"/>
  <c r="AI246" i="8" s="1"/>
  <c r="AU246" i="8"/>
  <c r="AD246" i="8"/>
  <c r="S246" i="8"/>
  <c r="AW245" i="8"/>
  <c r="AV245" i="8"/>
  <c r="AU245" i="8"/>
  <c r="AD245" i="8"/>
  <c r="S245" i="8"/>
  <c r="AR245" i="8" s="1"/>
  <c r="AI245" i="8" s="1"/>
  <c r="AW244" i="8"/>
  <c r="AV244" i="8"/>
  <c r="AU244" i="8"/>
  <c r="AD244" i="8"/>
  <c r="S244" i="8"/>
  <c r="AW243" i="8"/>
  <c r="AV243" i="8"/>
  <c r="AU243" i="8"/>
  <c r="AD243" i="8"/>
  <c r="S243" i="8"/>
  <c r="AR243" i="8" s="1"/>
  <c r="AI243" i="8" s="1"/>
  <c r="AW242" i="8"/>
  <c r="AV242" i="8"/>
  <c r="AU242" i="8"/>
  <c r="AM242" i="8" s="1"/>
  <c r="AF242" i="8" s="1"/>
  <c r="AO242" i="8"/>
  <c r="AL242" i="8"/>
  <c r="AE242" i="8" s="1"/>
  <c r="AD242" i="8"/>
  <c r="S242" i="8"/>
  <c r="L242" i="8"/>
  <c r="AW241" i="8"/>
  <c r="AV241" i="8"/>
  <c r="AU241" i="8"/>
  <c r="AD241" i="8"/>
  <c r="S241" i="8"/>
  <c r="L241" i="8"/>
  <c r="AW240" i="8"/>
  <c r="AV240" i="8"/>
  <c r="AR240" i="8" s="1"/>
  <c r="AI240" i="8" s="1"/>
  <c r="AU240" i="8"/>
  <c r="AM240" i="8" s="1"/>
  <c r="AF240" i="8" s="1"/>
  <c r="AD240" i="8"/>
  <c r="S240" i="8"/>
  <c r="AP240" i="8" s="1"/>
  <c r="AG240" i="8" s="1"/>
  <c r="L240" i="8"/>
  <c r="AW239" i="8"/>
  <c r="AV239" i="8"/>
  <c r="AR239" i="8" s="1"/>
  <c r="AI239" i="8" s="1"/>
  <c r="AU239" i="8"/>
  <c r="AD239" i="8"/>
  <c r="S239" i="8"/>
  <c r="L239" i="8"/>
  <c r="AW238" i="8"/>
  <c r="AV238" i="8"/>
  <c r="AU238" i="8"/>
  <c r="AM238" i="8"/>
  <c r="AF238" i="8"/>
  <c r="AD238" i="8"/>
  <c r="S238" i="8"/>
  <c r="AP238" i="8" s="1"/>
  <c r="AG238" i="8" s="1"/>
  <c r="L238" i="8"/>
  <c r="AO238" i="8" s="1"/>
  <c r="AW237" i="8"/>
  <c r="AV237" i="8"/>
  <c r="AU237" i="8"/>
  <c r="AL237" i="8" s="1"/>
  <c r="AE237" i="8" s="1"/>
  <c r="AP237" i="8"/>
  <c r="AG237" i="8" s="1"/>
  <c r="AD237" i="8"/>
  <c r="S237" i="8"/>
  <c r="AR237" i="8" s="1"/>
  <c r="AI237" i="8" s="1"/>
  <c r="L237" i="8"/>
  <c r="AW236" i="8"/>
  <c r="AV236" i="8"/>
  <c r="AU236" i="8"/>
  <c r="AD236" i="8"/>
  <c r="S236" i="8"/>
  <c r="AR236" i="8" s="1"/>
  <c r="AI236" i="8" s="1"/>
  <c r="L236" i="8"/>
  <c r="AO236" i="8" s="1"/>
  <c r="AW235" i="8"/>
  <c r="AV235" i="8"/>
  <c r="AR235" i="8" s="1"/>
  <c r="AI235" i="8" s="1"/>
  <c r="AU235" i="8"/>
  <c r="AD235" i="8"/>
  <c r="S235" i="8"/>
  <c r="L235" i="8"/>
  <c r="AW234" i="8"/>
  <c r="AV234" i="8"/>
  <c r="AU234" i="8"/>
  <c r="AO234" i="8"/>
  <c r="AL234" i="8"/>
  <c r="AE234" i="8" s="1"/>
  <c r="AD234" i="8"/>
  <c r="S234" i="8"/>
  <c r="AR234" i="8" s="1"/>
  <c r="AI234" i="8" s="1"/>
  <c r="L234" i="8"/>
  <c r="AW233" i="8"/>
  <c r="AV233" i="8"/>
  <c r="AU233" i="8"/>
  <c r="AD233" i="8"/>
  <c r="S233" i="8"/>
  <c r="L233" i="8"/>
  <c r="AW232" i="8"/>
  <c r="AV232" i="8"/>
  <c r="AU232" i="8"/>
  <c r="AR232" i="8"/>
  <c r="AI232" i="8" s="1"/>
  <c r="AM232" i="8"/>
  <c r="AF232" i="8" s="1"/>
  <c r="AL232" i="8"/>
  <c r="AE232" i="8" s="1"/>
  <c r="AD232" i="8"/>
  <c r="S232" i="8"/>
  <c r="L232" i="8"/>
  <c r="AW231" i="8"/>
  <c r="AV231" i="8"/>
  <c r="AU231" i="8"/>
  <c r="AR231" i="8"/>
  <c r="AI231" i="8" s="1"/>
  <c r="AD231" i="8"/>
  <c r="S231" i="8"/>
  <c r="L231" i="8"/>
  <c r="AO231" i="8" s="1"/>
  <c r="AW230" i="8"/>
  <c r="AV230" i="8"/>
  <c r="AU230" i="8"/>
  <c r="AD230" i="8"/>
  <c r="S230" i="8"/>
  <c r="AQ230" i="8" s="1"/>
  <c r="AH230" i="8" s="1"/>
  <c r="L230" i="8"/>
  <c r="AW229" i="8"/>
  <c r="AV229" i="8"/>
  <c r="AU229" i="8"/>
  <c r="AQ229" i="8"/>
  <c r="AH229" i="8" s="1"/>
  <c r="AM229" i="8"/>
  <c r="AF229" i="8" s="1"/>
  <c r="AD229" i="8"/>
  <c r="S229" i="8"/>
  <c r="AR229" i="8" s="1"/>
  <c r="AI229" i="8" s="1"/>
  <c r="L229" i="8"/>
  <c r="AO229" i="8" s="1"/>
  <c r="AW228" i="8"/>
  <c r="AV228" i="8"/>
  <c r="AU228" i="8"/>
  <c r="AM228" i="8" s="1"/>
  <c r="AF228" i="8"/>
  <c r="AD228" i="8"/>
  <c r="S228" i="8"/>
  <c r="L228" i="8"/>
  <c r="AW227" i="8"/>
  <c r="AV227" i="8"/>
  <c r="AU227" i="8"/>
  <c r="AQ227" i="8"/>
  <c r="AH227" i="8" s="1"/>
  <c r="AO227" i="8"/>
  <c r="AM227" i="8"/>
  <c r="AF227" i="8" s="1"/>
  <c r="AD227" i="8"/>
  <c r="S227" i="8"/>
  <c r="AR227" i="8" s="1"/>
  <c r="AI227" i="8" s="1"/>
  <c r="L227" i="8"/>
  <c r="AL227" i="8" s="1"/>
  <c r="AE227" i="8" s="1"/>
  <c r="AW226" i="8"/>
  <c r="AV226" i="8"/>
  <c r="AQ226" i="8" s="1"/>
  <c r="AH226" i="8" s="1"/>
  <c r="AU226" i="8"/>
  <c r="AO226" i="8"/>
  <c r="AL226" i="8"/>
  <c r="AE226" i="8" s="1"/>
  <c r="AD226" i="8"/>
  <c r="S226" i="8"/>
  <c r="L226" i="8"/>
  <c r="AM226" i="8" s="1"/>
  <c r="AF226" i="8" s="1"/>
  <c r="AW225" i="8"/>
  <c r="AV225" i="8"/>
  <c r="AU225" i="8"/>
  <c r="AM225" i="8"/>
  <c r="AF225" i="8" s="1"/>
  <c r="AD225" i="8"/>
  <c r="S225" i="8"/>
  <c r="L225" i="8"/>
  <c r="AO225" i="8" s="1"/>
  <c r="AW224" i="8"/>
  <c r="AV224" i="8"/>
  <c r="AQ224" i="8" s="1"/>
  <c r="AH224" i="8" s="1"/>
  <c r="AU224" i="8"/>
  <c r="AP224" i="8"/>
  <c r="AG224" i="8" s="1"/>
  <c r="AM224" i="8"/>
  <c r="AF224" i="8" s="1"/>
  <c r="AD224" i="8"/>
  <c r="S224" i="8"/>
  <c r="AR224" i="8" s="1"/>
  <c r="AI224" i="8" s="1"/>
  <c r="L224" i="8"/>
  <c r="AO224" i="8" s="1"/>
  <c r="AW223" i="8"/>
  <c r="AV223" i="8"/>
  <c r="AU223" i="8"/>
  <c r="AR223" i="8"/>
  <c r="AI223" i="8" s="1"/>
  <c r="AD223" i="8"/>
  <c r="S223" i="8"/>
  <c r="AW222" i="8"/>
  <c r="AV222" i="8"/>
  <c r="AU222" i="8"/>
  <c r="AD222" i="8"/>
  <c r="S222" i="8"/>
  <c r="AW221" i="8"/>
  <c r="AV221" i="8"/>
  <c r="AU221" i="8"/>
  <c r="AR221" i="8"/>
  <c r="AI221" i="8" s="1"/>
  <c r="AD221" i="8"/>
  <c r="S221" i="8"/>
  <c r="AW220" i="8"/>
  <c r="AV220" i="8"/>
  <c r="AU220" i="8"/>
  <c r="AD220" i="8"/>
  <c r="S220" i="8"/>
  <c r="AR220" i="8" s="1"/>
  <c r="AI220" i="8" s="1"/>
  <c r="AW219" i="8"/>
  <c r="AV219" i="8"/>
  <c r="AP219" i="8" s="1"/>
  <c r="AG219" i="8" s="1"/>
  <c r="AU219" i="8"/>
  <c r="AQ219" i="8"/>
  <c r="AH219" i="8" s="1"/>
  <c r="AD219" i="8"/>
  <c r="S219" i="8"/>
  <c r="L219" i="8"/>
  <c r="AW218" i="8"/>
  <c r="AV218" i="8"/>
  <c r="AU218" i="8"/>
  <c r="AD218" i="8"/>
  <c r="S218" i="8"/>
  <c r="AW217" i="8"/>
  <c r="AV217" i="8"/>
  <c r="AU217" i="8"/>
  <c r="AD217" i="8"/>
  <c r="S217" i="8"/>
  <c r="AW216" i="8"/>
  <c r="AV216" i="8"/>
  <c r="AU216" i="8"/>
  <c r="AD216" i="8"/>
  <c r="S216" i="8"/>
  <c r="AW215" i="8"/>
  <c r="AV215" i="8"/>
  <c r="AU215" i="8"/>
  <c r="AD215" i="8"/>
  <c r="S215" i="8"/>
  <c r="AW214" i="8"/>
  <c r="AV214" i="8"/>
  <c r="AU214" i="8"/>
  <c r="AO214" i="8"/>
  <c r="AD214" i="8"/>
  <c r="S214" i="8"/>
  <c r="AQ214" i="8" s="1"/>
  <c r="AH214" i="8" s="1"/>
  <c r="L214" i="8"/>
  <c r="AW213" i="8"/>
  <c r="AV213" i="8"/>
  <c r="AU213" i="8"/>
  <c r="AD213" i="8"/>
  <c r="S213" i="8"/>
  <c r="L213" i="8"/>
  <c r="AO213" i="8" s="1"/>
  <c r="AW212" i="8"/>
  <c r="AV212" i="8"/>
  <c r="AR212" i="8" s="1"/>
  <c r="AI212" i="8" s="1"/>
  <c r="AU212" i="8"/>
  <c r="AL212" i="8" s="1"/>
  <c r="AE212" i="8" s="1"/>
  <c r="AD212" i="8"/>
  <c r="S212" i="8"/>
  <c r="L212" i="8"/>
  <c r="AW211" i="8"/>
  <c r="AV211" i="8"/>
  <c r="AU211" i="8"/>
  <c r="AM211" i="8"/>
  <c r="AF211" i="8" s="1"/>
  <c r="AL211" i="8"/>
  <c r="AE211" i="8" s="1"/>
  <c r="AD211" i="8"/>
  <c r="S211" i="8"/>
  <c r="AR211" i="8" s="1"/>
  <c r="AI211" i="8" s="1"/>
  <c r="L211" i="8"/>
  <c r="AO211" i="8" s="1"/>
  <c r="AW210" i="8"/>
  <c r="AV210" i="8"/>
  <c r="AU210" i="8"/>
  <c r="AL210" i="8" s="1"/>
  <c r="AE210" i="8" s="1"/>
  <c r="AR210" i="8"/>
  <c r="AI210" i="8" s="1"/>
  <c r="AO210" i="8"/>
  <c r="AD210" i="8"/>
  <c r="S210" i="8"/>
  <c r="L210" i="8"/>
  <c r="AW209" i="8"/>
  <c r="AV209" i="8"/>
  <c r="AU209" i="8"/>
  <c r="AM209" i="8"/>
  <c r="AF209" i="8" s="1"/>
  <c r="AL209" i="8"/>
  <c r="AE209" i="8" s="1"/>
  <c r="AD209" i="8"/>
  <c r="S209" i="8"/>
  <c r="L209" i="8"/>
  <c r="AO209" i="8" s="1"/>
  <c r="AW208" i="8"/>
  <c r="AV208" i="8"/>
  <c r="AQ208" i="8" s="1"/>
  <c r="AH208" i="8" s="1"/>
  <c r="AU208" i="8"/>
  <c r="AD208" i="8"/>
  <c r="S208" i="8"/>
  <c r="AP208" i="8" s="1"/>
  <c r="AG208" i="8" s="1"/>
  <c r="L208" i="8"/>
  <c r="AW207" i="8"/>
  <c r="AV207" i="8"/>
  <c r="AU207" i="8"/>
  <c r="AR207" i="8"/>
  <c r="AI207" i="8" s="1"/>
  <c r="AD207" i="8"/>
  <c r="S207" i="8"/>
  <c r="AQ207" i="8" s="1"/>
  <c r="AH207" i="8" s="1"/>
  <c r="L207" i="8"/>
  <c r="AM207" i="8" s="1"/>
  <c r="AF207" i="8" s="1"/>
  <c r="AW206" i="8"/>
  <c r="AV206" i="8"/>
  <c r="AU206" i="8"/>
  <c r="AD206" i="8"/>
  <c r="S206" i="8"/>
  <c r="L206" i="8"/>
  <c r="AO206" i="8" s="1"/>
  <c r="AW205" i="8"/>
  <c r="AV205" i="8"/>
  <c r="AU205" i="8"/>
  <c r="AQ205" i="8"/>
  <c r="AH205" i="8" s="1"/>
  <c r="AP205" i="8"/>
  <c r="AG205" i="8" s="1"/>
  <c r="AD205" i="8"/>
  <c r="S205" i="8"/>
  <c r="AR205" i="8" s="1"/>
  <c r="AI205" i="8" s="1"/>
  <c r="L205" i="8"/>
  <c r="AW204" i="8"/>
  <c r="AV204" i="8"/>
  <c r="AU204" i="8"/>
  <c r="AR204" i="8"/>
  <c r="AI204" i="8" s="1"/>
  <c r="AM204" i="8"/>
  <c r="AF204" i="8" s="1"/>
  <c r="AD204" i="8"/>
  <c r="S204" i="8"/>
  <c r="AP204" i="8" s="1"/>
  <c r="AG204" i="8" s="1"/>
  <c r="L204" i="8"/>
  <c r="AW203" i="8"/>
  <c r="AV203" i="8"/>
  <c r="AU203" i="8"/>
  <c r="AM203" i="8"/>
  <c r="AF203" i="8" s="1"/>
  <c r="AD203" i="8"/>
  <c r="S203" i="8"/>
  <c r="L203" i="8"/>
  <c r="AW202" i="8"/>
  <c r="AV202" i="8"/>
  <c r="AU202" i="8"/>
  <c r="AM202" i="8" s="1"/>
  <c r="AF202" i="8" s="1"/>
  <c r="AQ202" i="8"/>
  <c r="AH202" i="8" s="1"/>
  <c r="AD202" i="8"/>
  <c r="S202" i="8"/>
  <c r="AR202" i="8" s="1"/>
  <c r="AI202" i="8" s="1"/>
  <c r="L202" i="8"/>
  <c r="AO202" i="8" s="1"/>
  <c r="AW201" i="8"/>
  <c r="AV201" i="8"/>
  <c r="AU201" i="8"/>
  <c r="AL201" i="8"/>
  <c r="AE201" i="8" s="1"/>
  <c r="AD201" i="8"/>
  <c r="S201" i="8"/>
  <c r="L201" i="8"/>
  <c r="AW200" i="8"/>
  <c r="AV200" i="8"/>
  <c r="AU200" i="8"/>
  <c r="AD200" i="8"/>
  <c r="S200" i="8"/>
  <c r="AW199" i="8"/>
  <c r="AV199" i="8"/>
  <c r="AU199" i="8"/>
  <c r="AD199" i="8"/>
  <c r="S199" i="8"/>
  <c r="AW198" i="8"/>
  <c r="AV198" i="8"/>
  <c r="AU198" i="8"/>
  <c r="AD198" i="8"/>
  <c r="S198" i="8"/>
  <c r="AR198" i="8" s="1"/>
  <c r="AI198" i="8" s="1"/>
  <c r="AW197" i="8"/>
  <c r="AV197" i="8"/>
  <c r="AU197" i="8"/>
  <c r="AD197" i="8"/>
  <c r="S197" i="8"/>
  <c r="AR197" i="8" s="1"/>
  <c r="AI197" i="8" s="1"/>
  <c r="AW196" i="8"/>
  <c r="AV196" i="8"/>
  <c r="AU196" i="8"/>
  <c r="AL196" i="8" s="1"/>
  <c r="AE196" i="8" s="1"/>
  <c r="AD196" i="8"/>
  <c r="S196" i="8"/>
  <c r="AR196" i="8" s="1"/>
  <c r="AI196" i="8" s="1"/>
  <c r="L196" i="8"/>
  <c r="AW195" i="8"/>
  <c r="AV195" i="8"/>
  <c r="AU195" i="8"/>
  <c r="AR195" i="8"/>
  <c r="AI195" i="8" s="1"/>
  <c r="AD195" i="8"/>
  <c r="S195" i="8"/>
  <c r="AW194" i="8"/>
  <c r="AV194" i="8"/>
  <c r="AU194" i="8"/>
  <c r="AR194" i="8"/>
  <c r="AI194" i="8" s="1"/>
  <c r="AD194" i="8"/>
  <c r="S194" i="8"/>
  <c r="AW193" i="8"/>
  <c r="AV193" i="8"/>
  <c r="AU193" i="8"/>
  <c r="AD193" i="8"/>
  <c r="S193" i="8"/>
  <c r="AR193" i="8" s="1"/>
  <c r="AI193" i="8" s="1"/>
  <c r="AW192" i="8"/>
  <c r="AV192" i="8"/>
  <c r="AU192" i="8"/>
  <c r="AD192" i="8"/>
  <c r="S192" i="8"/>
  <c r="AW191" i="8"/>
  <c r="AV191" i="8"/>
  <c r="AP191" i="8" s="1"/>
  <c r="AG191" i="8" s="1"/>
  <c r="AU191" i="8"/>
  <c r="AO191" i="8"/>
  <c r="AD191" i="8"/>
  <c r="S191" i="8"/>
  <c r="L191" i="8"/>
  <c r="AL191" i="8" s="1"/>
  <c r="AE191" i="8" s="1"/>
  <c r="AW190" i="8"/>
  <c r="AV190" i="8"/>
  <c r="AR190" i="8" s="1"/>
  <c r="AI190" i="8" s="1"/>
  <c r="AU190" i="8"/>
  <c r="AO190" i="8" s="1"/>
  <c r="AD190" i="8"/>
  <c r="S190" i="8"/>
  <c r="L190" i="8"/>
  <c r="AM190" i="8" s="1"/>
  <c r="AF190" i="8" s="1"/>
  <c r="AW189" i="8"/>
  <c r="AV189" i="8"/>
  <c r="AU189" i="8"/>
  <c r="AR189" i="8"/>
  <c r="AI189" i="8" s="1"/>
  <c r="AD189" i="8"/>
  <c r="S189" i="8"/>
  <c r="L189" i="8"/>
  <c r="AM189" i="8" s="1"/>
  <c r="AF189" i="8" s="1"/>
  <c r="AW188" i="8"/>
  <c r="AV188" i="8"/>
  <c r="AU188" i="8"/>
  <c r="AD188" i="8"/>
  <c r="S188" i="8"/>
  <c r="L188" i="8"/>
  <c r="AO188" i="8" s="1"/>
  <c r="AW187" i="8"/>
  <c r="AV187" i="8"/>
  <c r="AR187" i="8" s="1"/>
  <c r="AI187" i="8" s="1"/>
  <c r="AU187" i="8"/>
  <c r="AO187" i="8" s="1"/>
  <c r="AP187" i="8"/>
  <c r="AG187" i="8" s="1"/>
  <c r="AD187" i="8"/>
  <c r="S187" i="8"/>
  <c r="L187" i="8"/>
  <c r="AW186" i="8"/>
  <c r="AV186" i="8"/>
  <c r="AU186" i="8"/>
  <c r="AR186" i="8"/>
  <c r="AI186" i="8" s="1"/>
  <c r="AD186" i="8"/>
  <c r="S186" i="8"/>
  <c r="AQ186" i="8" s="1"/>
  <c r="AH186" i="8" s="1"/>
  <c r="L186" i="8"/>
  <c r="AW185" i="8"/>
  <c r="AV185" i="8"/>
  <c r="AU185" i="8"/>
  <c r="AO185" i="8"/>
  <c r="AL185" i="8"/>
  <c r="AE185" i="8" s="1"/>
  <c r="AD185" i="8"/>
  <c r="S185" i="8"/>
  <c r="L185" i="8"/>
  <c r="AM185" i="8" s="1"/>
  <c r="AF185" i="8" s="1"/>
  <c r="AW184" i="8"/>
  <c r="AV184" i="8"/>
  <c r="AU184" i="8"/>
  <c r="AP184" i="8"/>
  <c r="AG184" i="8" s="1"/>
  <c r="AD184" i="8"/>
  <c r="S184" i="8"/>
  <c r="AR184" i="8" s="1"/>
  <c r="AI184" i="8" s="1"/>
  <c r="L184" i="8"/>
  <c r="AW183" i="8"/>
  <c r="AV183" i="8"/>
  <c r="AU183" i="8"/>
  <c r="AR183" i="8"/>
  <c r="AI183" i="8" s="1"/>
  <c r="AQ183" i="8"/>
  <c r="AH183" i="8" s="1"/>
  <c r="AD183" i="8"/>
  <c r="S183" i="8"/>
  <c r="AP183" i="8" s="1"/>
  <c r="AG183" i="8" s="1"/>
  <c r="L183" i="8"/>
  <c r="AL183" i="8" s="1"/>
  <c r="AE183" i="8" s="1"/>
  <c r="AW182" i="8"/>
  <c r="AV182" i="8"/>
  <c r="AU182" i="8"/>
  <c r="AO182" i="8"/>
  <c r="AD182" i="8"/>
  <c r="S182" i="8"/>
  <c r="L182" i="8"/>
  <c r="AM182" i="8" s="1"/>
  <c r="AF182" i="8" s="1"/>
  <c r="AW181" i="8"/>
  <c r="AV181" i="8"/>
  <c r="AU181" i="8"/>
  <c r="AO181" i="8"/>
  <c r="AF181" i="8"/>
  <c r="AD181" i="8"/>
  <c r="S181" i="8"/>
  <c r="AQ181" i="8" s="1"/>
  <c r="AH181" i="8" s="1"/>
  <c r="L181" i="8"/>
  <c r="AM181" i="8" s="1"/>
  <c r="AW180" i="8"/>
  <c r="AV180" i="8"/>
  <c r="AU180" i="8"/>
  <c r="AR180" i="8"/>
  <c r="AI180" i="8" s="1"/>
  <c r="AQ180" i="8"/>
  <c r="AH180" i="8" s="1"/>
  <c r="AD180" i="8"/>
  <c r="S180" i="8"/>
  <c r="AP180" i="8" s="1"/>
  <c r="AG180" i="8" s="1"/>
  <c r="L180" i="8"/>
  <c r="AO180" i="8" s="1"/>
  <c r="AW179" i="8"/>
  <c r="AV179" i="8"/>
  <c r="AU179" i="8"/>
  <c r="AM179" i="8"/>
  <c r="AF179" i="8" s="1"/>
  <c r="AL179" i="8"/>
  <c r="AE179" i="8" s="1"/>
  <c r="AD179" i="8"/>
  <c r="S179" i="8"/>
  <c r="L179" i="8"/>
  <c r="AO179" i="8" s="1"/>
  <c r="AW178" i="8"/>
  <c r="AV178" i="8"/>
  <c r="AU178" i="8"/>
  <c r="AO178" i="8"/>
  <c r="AD178" i="8"/>
  <c r="S178" i="8"/>
  <c r="L178" i="8"/>
  <c r="AM178" i="8" s="1"/>
  <c r="AF178" i="8" s="1"/>
  <c r="AW177" i="8"/>
  <c r="AV177" i="8"/>
  <c r="AU177" i="8"/>
  <c r="AR177" i="8"/>
  <c r="AI177" i="8" s="1"/>
  <c r="AD177" i="8"/>
  <c r="S177" i="8"/>
  <c r="AW176" i="8"/>
  <c r="AV176" i="8"/>
  <c r="AU176" i="8"/>
  <c r="AR176" i="8"/>
  <c r="AI176" i="8" s="1"/>
  <c r="AD176" i="8"/>
  <c r="S176" i="8"/>
  <c r="AW175" i="8"/>
  <c r="AV175" i="8"/>
  <c r="AU175" i="8"/>
  <c r="AD175" i="8"/>
  <c r="S175" i="8"/>
  <c r="AW174" i="8"/>
  <c r="AV174" i="8"/>
  <c r="AU174" i="8"/>
  <c r="AR174" i="8"/>
  <c r="AI174" i="8" s="1"/>
  <c r="AD174" i="8"/>
  <c r="S174" i="8"/>
  <c r="AW173" i="8"/>
  <c r="AV173" i="8"/>
  <c r="AU173" i="8"/>
  <c r="AR173" i="8"/>
  <c r="AI173" i="8" s="1"/>
  <c r="AQ173" i="8"/>
  <c r="AH173" i="8" s="1"/>
  <c r="AD173" i="8"/>
  <c r="S173" i="8"/>
  <c r="AP173" i="8" s="1"/>
  <c r="AG173" i="8" s="1"/>
  <c r="L173" i="8"/>
  <c r="AW172" i="8"/>
  <c r="AV172" i="8"/>
  <c r="AU172" i="8"/>
  <c r="AD172" i="8"/>
  <c r="S172" i="8"/>
  <c r="AW171" i="8"/>
  <c r="AV171" i="8"/>
  <c r="AU171" i="8"/>
  <c r="AR171" i="8"/>
  <c r="AI171" i="8" s="1"/>
  <c r="AD171" i="8"/>
  <c r="S171" i="8"/>
  <c r="AW170" i="8"/>
  <c r="AV170" i="8"/>
  <c r="AU170" i="8"/>
  <c r="AR170" i="8"/>
  <c r="AI170" i="8" s="1"/>
  <c r="AD170" i="8"/>
  <c r="S170" i="8"/>
  <c r="AW169" i="8"/>
  <c r="AV169" i="8"/>
  <c r="AU169" i="8"/>
  <c r="AD169" i="8"/>
  <c r="S169" i="8"/>
  <c r="AW168" i="8"/>
  <c r="AV168" i="8"/>
  <c r="AU168" i="8"/>
  <c r="AQ168" i="8"/>
  <c r="AH168" i="8" s="1"/>
  <c r="AL168" i="8"/>
  <c r="AE168" i="8" s="1"/>
  <c r="AD168" i="8"/>
  <c r="S168" i="8"/>
  <c r="AP168" i="8" s="1"/>
  <c r="AG168" i="8" s="1"/>
  <c r="L168" i="8"/>
  <c r="AO168" i="8" s="1"/>
  <c r="AW167" i="8"/>
  <c r="AV167" i="8"/>
  <c r="AQ167" i="8" s="1"/>
  <c r="AH167" i="8" s="1"/>
  <c r="AU167" i="8"/>
  <c r="AR167" i="8"/>
  <c r="AI167" i="8" s="1"/>
  <c r="AL167" i="8"/>
  <c r="AE167" i="8" s="1"/>
  <c r="AD167" i="8"/>
  <c r="S167" i="8"/>
  <c r="L167" i="8"/>
  <c r="AO167" i="8" s="1"/>
  <c r="AW166" i="8"/>
  <c r="AV166" i="8"/>
  <c r="AU166" i="8"/>
  <c r="AD166" i="8"/>
  <c r="S166" i="8"/>
  <c r="AP166" i="8" s="1"/>
  <c r="AG166" i="8" s="1"/>
  <c r="L166" i="8"/>
  <c r="AM166" i="8" s="1"/>
  <c r="AF166" i="8" s="1"/>
  <c r="AW165" i="8"/>
  <c r="AV165" i="8"/>
  <c r="AU165" i="8"/>
  <c r="AO165" i="8"/>
  <c r="AD165" i="8"/>
  <c r="S165" i="8"/>
  <c r="AR165" i="8" s="1"/>
  <c r="AI165" i="8" s="1"/>
  <c r="L165" i="8"/>
  <c r="AM165" i="8" s="1"/>
  <c r="AF165" i="8" s="1"/>
  <c r="AW164" i="8"/>
  <c r="AV164" i="8"/>
  <c r="AQ164" i="8" s="1"/>
  <c r="AH164" i="8" s="1"/>
  <c r="AU164" i="8"/>
  <c r="AR164" i="8"/>
  <c r="AI164" i="8" s="1"/>
  <c r="AD164" i="8"/>
  <c r="S164" i="8"/>
  <c r="L164" i="8"/>
  <c r="AW163" i="8"/>
  <c r="AV163" i="8"/>
  <c r="AU163" i="8"/>
  <c r="AL163" i="8"/>
  <c r="AE163" i="8" s="1"/>
  <c r="AD163" i="8"/>
  <c r="S163" i="8"/>
  <c r="L163" i="8"/>
  <c r="AW162" i="8"/>
  <c r="AV162" i="8"/>
  <c r="AU162" i="8"/>
  <c r="AO162" i="8"/>
  <c r="AF162" i="8"/>
  <c r="AD162" i="8"/>
  <c r="S162" i="8"/>
  <c r="AR162" i="8" s="1"/>
  <c r="AI162" i="8" s="1"/>
  <c r="L162" i="8"/>
  <c r="AM162" i="8" s="1"/>
  <c r="AW161" i="8"/>
  <c r="AV161" i="8"/>
  <c r="AR161" i="8" s="1"/>
  <c r="AI161" i="8" s="1"/>
  <c r="AU161" i="8"/>
  <c r="AO161" i="8" s="1"/>
  <c r="AD161" i="8"/>
  <c r="S161" i="8"/>
  <c r="L161" i="8"/>
  <c r="AM161" i="8" s="1"/>
  <c r="AF161" i="8" s="1"/>
  <c r="AW160" i="8"/>
  <c r="AV160" i="8"/>
  <c r="AU160" i="8"/>
  <c r="AD160" i="8"/>
  <c r="S160" i="8"/>
  <c r="L160" i="8"/>
  <c r="AW159" i="8"/>
  <c r="AV159" i="8"/>
  <c r="AU159" i="8"/>
  <c r="AD159" i="8"/>
  <c r="S159" i="8"/>
  <c r="L159" i="8"/>
  <c r="AW158" i="8"/>
  <c r="AV158" i="8"/>
  <c r="AR158" i="8" s="1"/>
  <c r="AI158" i="8" s="1"/>
  <c r="AU158" i="8"/>
  <c r="AO158" i="8" s="1"/>
  <c r="AQ158" i="8"/>
  <c r="AH158" i="8" s="1"/>
  <c r="AD158" i="8"/>
  <c r="S158" i="8"/>
  <c r="L158" i="8"/>
  <c r="AM158" i="8" s="1"/>
  <c r="AF158" i="8" s="1"/>
  <c r="AW157" i="8"/>
  <c r="AV157" i="8"/>
  <c r="AU157" i="8"/>
  <c r="AO157" i="8" s="1"/>
  <c r="AR157" i="8"/>
  <c r="AI157" i="8" s="1"/>
  <c r="AD157" i="8"/>
  <c r="S157" i="8"/>
  <c r="L157" i="8"/>
  <c r="AW156" i="8"/>
  <c r="AV156" i="8"/>
  <c r="AU156" i="8"/>
  <c r="AM156" i="8"/>
  <c r="AF156" i="8" s="1"/>
  <c r="AL156" i="8"/>
  <c r="AE156" i="8" s="1"/>
  <c r="AD156" i="8"/>
  <c r="S156" i="8"/>
  <c r="L156" i="8"/>
  <c r="AO156" i="8" s="1"/>
  <c r="AW155" i="8"/>
  <c r="AV155" i="8"/>
  <c r="AR155" i="8" s="1"/>
  <c r="AI155" i="8" s="1"/>
  <c r="AU155" i="8"/>
  <c r="AP155" i="8"/>
  <c r="AG155" i="8" s="1"/>
  <c r="AO155" i="8"/>
  <c r="AD155" i="8"/>
  <c r="S155" i="8"/>
  <c r="L155" i="8"/>
  <c r="AM155" i="8" s="1"/>
  <c r="AF155" i="8" s="1"/>
  <c r="AW154" i="8"/>
  <c r="AV154" i="8"/>
  <c r="AU154" i="8"/>
  <c r="AO154" i="8" s="1"/>
  <c r="AR154" i="8"/>
  <c r="AI154" i="8" s="1"/>
  <c r="AQ154" i="8"/>
  <c r="AH154" i="8" s="1"/>
  <c r="AD154" i="8"/>
  <c r="S154" i="8"/>
  <c r="AP154" i="8" s="1"/>
  <c r="AG154" i="8" s="1"/>
  <c r="L154" i="8"/>
  <c r="AM154" i="8" s="1"/>
  <c r="AF154" i="8" s="1"/>
  <c r="AW153" i="8"/>
  <c r="AV153" i="8"/>
  <c r="AU153" i="8"/>
  <c r="AO153" i="8"/>
  <c r="AM153" i="8"/>
  <c r="AF153" i="8" s="1"/>
  <c r="AL153" i="8"/>
  <c r="AE153" i="8" s="1"/>
  <c r="AD153" i="8"/>
  <c r="S153" i="8"/>
  <c r="L153" i="8"/>
  <c r="AW152" i="8"/>
  <c r="AV152" i="8"/>
  <c r="AU152" i="8"/>
  <c r="AP152" i="8"/>
  <c r="AG152" i="8" s="1"/>
  <c r="AD152" i="8"/>
  <c r="S152" i="8"/>
  <c r="AR152" i="8" s="1"/>
  <c r="AI152" i="8" s="1"/>
  <c r="L152" i="8"/>
  <c r="AL152" i="8" s="1"/>
  <c r="AE152" i="8" s="1"/>
  <c r="AW151" i="8"/>
  <c r="AV151" i="8"/>
  <c r="AU151" i="8"/>
  <c r="AD151" i="8"/>
  <c r="S151" i="8"/>
  <c r="L151" i="8"/>
  <c r="AL151" i="8" s="1"/>
  <c r="AE151" i="8" s="1"/>
  <c r="AW150" i="8"/>
  <c r="AV150" i="8"/>
  <c r="AU150" i="8"/>
  <c r="AL150" i="8"/>
  <c r="AE150" i="8" s="1"/>
  <c r="AD150" i="8"/>
  <c r="S150" i="8"/>
  <c r="L150" i="8"/>
  <c r="AO150" i="8" s="1"/>
  <c r="AW149" i="8"/>
  <c r="AV149" i="8"/>
  <c r="AR149" i="8" s="1"/>
  <c r="AI149" i="8" s="1"/>
  <c r="AU149" i="8"/>
  <c r="AD149" i="8"/>
  <c r="S149" i="8"/>
  <c r="AW148" i="8"/>
  <c r="AV148" i="8"/>
  <c r="AU148" i="8"/>
  <c r="AD148" i="8"/>
  <c r="S148" i="8"/>
  <c r="AW147" i="8"/>
  <c r="AV147" i="8"/>
  <c r="AU147" i="8"/>
  <c r="AR147" i="8"/>
  <c r="AI147" i="8" s="1"/>
  <c r="AD147" i="8"/>
  <c r="S147" i="8"/>
  <c r="AW146" i="8"/>
  <c r="AV146" i="8"/>
  <c r="AU146" i="8"/>
  <c r="AD146" i="8"/>
  <c r="S146" i="8"/>
  <c r="AW145" i="8"/>
  <c r="AV145" i="8"/>
  <c r="AR145" i="8" s="1"/>
  <c r="AI145" i="8" s="1"/>
  <c r="AU145" i="8"/>
  <c r="AP145" i="8"/>
  <c r="AG145" i="8" s="1"/>
  <c r="AO145" i="8"/>
  <c r="AD145" i="8"/>
  <c r="S145" i="8"/>
  <c r="L145" i="8"/>
  <c r="AL145" i="8" s="1"/>
  <c r="AE145" i="8" s="1"/>
  <c r="AW144" i="8"/>
  <c r="AV144" i="8"/>
  <c r="AU144" i="8"/>
  <c r="AD144" i="8"/>
  <c r="S144" i="8"/>
  <c r="L144" i="8"/>
  <c r="AW143" i="8"/>
  <c r="AV143" i="8"/>
  <c r="AU143" i="8"/>
  <c r="AR143" i="8"/>
  <c r="AI143" i="8" s="1"/>
  <c r="AP143" i="8"/>
  <c r="AG143" i="8" s="1"/>
  <c r="AD143" i="8"/>
  <c r="S143" i="8"/>
  <c r="AW142" i="8"/>
  <c r="AV142" i="8"/>
  <c r="AU142" i="8"/>
  <c r="AD142" i="8"/>
  <c r="S142" i="8"/>
  <c r="AW141" i="8"/>
  <c r="AV141" i="8"/>
  <c r="AR141" i="8" s="1"/>
  <c r="AI141" i="8" s="1"/>
  <c r="AU141" i="8"/>
  <c r="AD141" i="8"/>
  <c r="S141" i="8"/>
  <c r="AW140" i="8"/>
  <c r="AV140" i="8"/>
  <c r="AU140" i="8"/>
  <c r="AL140" i="8"/>
  <c r="AE140" i="8" s="1"/>
  <c r="AD140" i="8"/>
  <c r="S140" i="8"/>
  <c r="L140" i="8"/>
  <c r="AW139" i="8"/>
  <c r="AV139" i="8"/>
  <c r="AU139" i="8"/>
  <c r="AR139" i="8"/>
  <c r="AI139" i="8" s="1"/>
  <c r="AQ139" i="8"/>
  <c r="AH139" i="8" s="1"/>
  <c r="AO139" i="8"/>
  <c r="AL139" i="8"/>
  <c r="AE139" i="8" s="1"/>
  <c r="AD139" i="8"/>
  <c r="S139" i="8"/>
  <c r="L139" i="8"/>
  <c r="AW138" i="8"/>
  <c r="AV138" i="8"/>
  <c r="AU138" i="8"/>
  <c r="AM138" i="8"/>
  <c r="AF138" i="8" s="1"/>
  <c r="AL138" i="8"/>
  <c r="AE138" i="8" s="1"/>
  <c r="AD138" i="8"/>
  <c r="S138" i="8"/>
  <c r="L138" i="8"/>
  <c r="AO138" i="8" s="1"/>
  <c r="AW137" i="8"/>
  <c r="AV137" i="8"/>
  <c r="AR137" i="8" s="1"/>
  <c r="AI137" i="8" s="1"/>
  <c r="AU137" i="8"/>
  <c r="AO137" i="8"/>
  <c r="AD137" i="8"/>
  <c r="S137" i="8"/>
  <c r="L137" i="8"/>
  <c r="AL137" i="8" s="1"/>
  <c r="AE137" i="8" s="1"/>
  <c r="AW136" i="8"/>
  <c r="AV136" i="8"/>
  <c r="AU136" i="8"/>
  <c r="AL136" i="8" s="1"/>
  <c r="AE136" i="8" s="1"/>
  <c r="AD136" i="8"/>
  <c r="S136" i="8"/>
  <c r="L136" i="8"/>
  <c r="AW135" i="8"/>
  <c r="AV135" i="8"/>
  <c r="AU135" i="8"/>
  <c r="AR135" i="8"/>
  <c r="AI135" i="8" s="1"/>
  <c r="AQ135" i="8"/>
  <c r="AH135" i="8" s="1"/>
  <c r="AP135" i="8"/>
  <c r="AG135" i="8" s="1"/>
  <c r="AO135" i="8"/>
  <c r="AL135" i="8"/>
  <c r="AE135" i="8" s="1"/>
  <c r="AD135" i="8"/>
  <c r="S135" i="8"/>
  <c r="L135" i="8"/>
  <c r="AW134" i="8"/>
  <c r="AV134" i="8"/>
  <c r="AU134" i="8"/>
  <c r="AM134" i="8"/>
  <c r="AF134" i="8" s="1"/>
  <c r="AL134" i="8"/>
  <c r="AE134" i="8" s="1"/>
  <c r="AD134" i="8"/>
  <c r="S134" i="8"/>
  <c r="L134" i="8"/>
  <c r="AO134" i="8" s="1"/>
  <c r="AW133" i="8"/>
  <c r="AV133" i="8"/>
  <c r="AU133" i="8"/>
  <c r="AO133" i="8"/>
  <c r="AD133" i="8"/>
  <c r="S133" i="8"/>
  <c r="L133" i="8"/>
  <c r="AL133" i="8" s="1"/>
  <c r="AE133" i="8" s="1"/>
  <c r="AW132" i="8"/>
  <c r="AV132" i="8"/>
  <c r="AU132" i="8"/>
  <c r="AL132" i="8" s="1"/>
  <c r="AE132" i="8" s="1"/>
  <c r="AR132" i="8"/>
  <c r="AI132" i="8" s="1"/>
  <c r="AD132" i="8"/>
  <c r="S132" i="8"/>
  <c r="L132" i="8"/>
  <c r="AW131" i="8"/>
  <c r="AV131" i="8"/>
  <c r="AU131" i="8"/>
  <c r="AR131" i="8"/>
  <c r="AI131" i="8" s="1"/>
  <c r="AD131" i="8"/>
  <c r="S131" i="8"/>
  <c r="L131" i="8"/>
  <c r="AW130" i="8"/>
  <c r="AV130" i="8"/>
  <c r="AU130" i="8"/>
  <c r="AD130" i="8"/>
  <c r="S130" i="8"/>
  <c r="L130" i="8"/>
  <c r="AW129" i="8"/>
  <c r="AV129" i="8"/>
  <c r="AP129" i="8" s="1"/>
  <c r="AG129" i="8" s="1"/>
  <c r="AU129" i="8"/>
  <c r="AO129" i="8"/>
  <c r="AD129" i="8"/>
  <c r="S129" i="8"/>
  <c r="L129" i="8"/>
  <c r="AL129" i="8" s="1"/>
  <c r="AE129" i="8" s="1"/>
  <c r="AW128" i="8"/>
  <c r="AV128" i="8"/>
  <c r="AP128" i="8" s="1"/>
  <c r="AG128" i="8" s="1"/>
  <c r="AU128" i="8"/>
  <c r="AR128" i="8"/>
  <c r="AI128" i="8" s="1"/>
  <c r="AD128" i="8"/>
  <c r="S128" i="8"/>
  <c r="AQ128" i="8" s="1"/>
  <c r="AH128" i="8" s="1"/>
  <c r="L128" i="8"/>
  <c r="AW127" i="8"/>
  <c r="AV127" i="8"/>
  <c r="AU127" i="8"/>
  <c r="AR127" i="8"/>
  <c r="AI127" i="8" s="1"/>
  <c r="AQ127" i="8"/>
  <c r="AH127" i="8" s="1"/>
  <c r="AP127" i="8"/>
  <c r="AG127" i="8" s="1"/>
  <c r="AD127" i="8"/>
  <c r="S127" i="8"/>
  <c r="L127" i="8"/>
  <c r="AM127" i="8" s="1"/>
  <c r="AF127" i="8" s="1"/>
  <c r="AW126" i="8"/>
  <c r="AV126" i="8"/>
  <c r="AU126" i="8"/>
  <c r="AD126" i="8"/>
  <c r="S126" i="8"/>
  <c r="L126" i="8"/>
  <c r="AO126" i="8" s="1"/>
  <c r="AW125" i="8"/>
  <c r="AV125" i="8"/>
  <c r="AR125" i="8" s="1"/>
  <c r="AI125" i="8" s="1"/>
  <c r="AU125" i="8"/>
  <c r="AO125" i="8" s="1"/>
  <c r="AQ125" i="8"/>
  <c r="AH125" i="8" s="1"/>
  <c r="AP125" i="8"/>
  <c r="AG125" i="8" s="1"/>
  <c r="AD125" i="8"/>
  <c r="S125" i="8"/>
  <c r="L125" i="8"/>
  <c r="AL125" i="8" s="1"/>
  <c r="AE125" i="8" s="1"/>
  <c r="AW124" i="8"/>
  <c r="AV124" i="8"/>
  <c r="AQ124" i="8" s="1"/>
  <c r="AH124" i="8" s="1"/>
  <c r="AU124" i="8"/>
  <c r="AR124" i="8"/>
  <c r="AI124" i="8" s="1"/>
  <c r="AP124" i="8"/>
  <c r="AG124" i="8" s="1"/>
  <c r="AM124" i="8"/>
  <c r="AL124" i="8"/>
  <c r="AF124" i="8"/>
  <c r="AE124" i="8"/>
  <c r="AD124" i="8"/>
  <c r="S124" i="8"/>
  <c r="L124" i="8"/>
  <c r="AW123" i="8"/>
  <c r="AV123" i="8"/>
  <c r="AU123" i="8"/>
  <c r="AR123" i="8"/>
  <c r="AI123" i="8" s="1"/>
  <c r="AQ123" i="8"/>
  <c r="AH123" i="8" s="1"/>
  <c r="AM123" i="8"/>
  <c r="AF123" i="8" s="1"/>
  <c r="AD123" i="8"/>
  <c r="S123" i="8"/>
  <c r="AP123" i="8" s="1"/>
  <c r="AG123" i="8" s="1"/>
  <c r="L123" i="8"/>
  <c r="AL123" i="8" s="1"/>
  <c r="AE123" i="8" s="1"/>
  <c r="AW122" i="8"/>
  <c r="AV122" i="8"/>
  <c r="AU122" i="8"/>
  <c r="AD122" i="8"/>
  <c r="S122" i="8"/>
  <c r="AR122" i="8" s="1"/>
  <c r="AI122" i="8" s="1"/>
  <c r="L122" i="8"/>
  <c r="AO122" i="8" s="1"/>
  <c r="AW121" i="8"/>
  <c r="AV121" i="8"/>
  <c r="AU121" i="8"/>
  <c r="AR121" i="8"/>
  <c r="AI121" i="8" s="1"/>
  <c r="AD121" i="8"/>
  <c r="S121" i="8"/>
  <c r="AW120" i="8"/>
  <c r="AV120" i="8"/>
  <c r="AU120" i="8"/>
  <c r="AR120" i="8"/>
  <c r="AI120" i="8" s="1"/>
  <c r="AD120" i="8"/>
  <c r="S120" i="8"/>
  <c r="AW119" i="8"/>
  <c r="AV119" i="8"/>
  <c r="AU119" i="8"/>
  <c r="AD119" i="8"/>
  <c r="S119" i="8"/>
  <c r="AW118" i="8"/>
  <c r="AV118" i="8"/>
  <c r="AU118" i="8"/>
  <c r="AR118" i="8"/>
  <c r="AI118" i="8" s="1"/>
  <c r="AD118" i="8"/>
  <c r="S118" i="8"/>
  <c r="AW117" i="8"/>
  <c r="AV117" i="8"/>
  <c r="AU117" i="8"/>
  <c r="AM117" i="8" s="1"/>
  <c r="AR117" i="8"/>
  <c r="AI117" i="8" s="1"/>
  <c r="AO117" i="8"/>
  <c r="AF117" i="8"/>
  <c r="AD117" i="8"/>
  <c r="S117" i="8"/>
  <c r="AQ117" i="8" s="1"/>
  <c r="AH117" i="8" s="1"/>
  <c r="L117" i="8"/>
  <c r="AL117" i="8" s="1"/>
  <c r="AE117" i="8" s="1"/>
  <c r="AW116" i="8"/>
  <c r="AV116" i="8"/>
  <c r="AU116" i="8"/>
  <c r="AD116" i="8"/>
  <c r="S116" i="8"/>
  <c r="AW115" i="8"/>
  <c r="AV115" i="8"/>
  <c r="AU115" i="8"/>
  <c r="AD115" i="8"/>
  <c r="S115" i="8"/>
  <c r="AR115" i="8" s="1"/>
  <c r="AI115" i="8" s="1"/>
  <c r="AW114" i="8"/>
  <c r="AV114" i="8"/>
  <c r="AU114" i="8"/>
  <c r="AD114" i="8"/>
  <c r="S114" i="8"/>
  <c r="AW113" i="8"/>
  <c r="AV113" i="8"/>
  <c r="AU113" i="8"/>
  <c r="AD113" i="8"/>
  <c r="S113" i="8"/>
  <c r="AW112" i="8"/>
  <c r="AV112" i="8"/>
  <c r="AQ112" i="8" s="1"/>
  <c r="AH112" i="8" s="1"/>
  <c r="AU112" i="8"/>
  <c r="AM112" i="8" s="1"/>
  <c r="AF112" i="8" s="1"/>
  <c r="AR112" i="8"/>
  <c r="AI112" i="8" s="1"/>
  <c r="AD112" i="8"/>
  <c r="S112" i="8"/>
  <c r="AP112" i="8" s="1"/>
  <c r="AG112" i="8" s="1"/>
  <c r="L112" i="8"/>
  <c r="AL112" i="8" s="1"/>
  <c r="AE112" i="8" s="1"/>
  <c r="AW111" i="8"/>
  <c r="AV111" i="8"/>
  <c r="AU111" i="8"/>
  <c r="AR111" i="8"/>
  <c r="AI111" i="8" s="1"/>
  <c r="AQ111" i="8"/>
  <c r="AH111" i="8" s="1"/>
  <c r="AD111" i="8"/>
  <c r="X111" i="8"/>
  <c r="S111" i="8"/>
  <c r="L111" i="8"/>
  <c r="AW110" i="8"/>
  <c r="AV110" i="8"/>
  <c r="AU110" i="8"/>
  <c r="AM110" i="8" s="1"/>
  <c r="AF110" i="8" s="1"/>
  <c r="AD110" i="8"/>
  <c r="S110" i="8"/>
  <c r="AR110" i="8" s="1"/>
  <c r="AI110" i="8" s="1"/>
  <c r="L110" i="8"/>
  <c r="AW109" i="8"/>
  <c r="AV109" i="8"/>
  <c r="AU109" i="8"/>
  <c r="AR109" i="8"/>
  <c r="AI109" i="8" s="1"/>
  <c r="AO109" i="8"/>
  <c r="AM109" i="8"/>
  <c r="AF109" i="8" s="1"/>
  <c r="AL109" i="8"/>
  <c r="AE109" i="8" s="1"/>
  <c r="AD109" i="8"/>
  <c r="S109" i="8"/>
  <c r="AQ109" i="8" s="1"/>
  <c r="AH109" i="8" s="1"/>
  <c r="L109" i="8"/>
  <c r="AW108" i="8"/>
  <c r="AV108" i="8"/>
  <c r="AR108" i="8" s="1"/>
  <c r="AI108" i="8" s="1"/>
  <c r="AU108" i="8"/>
  <c r="AM108" i="8" s="1"/>
  <c r="AF108" i="8" s="1"/>
  <c r="AL108" i="8"/>
  <c r="AE108" i="8" s="1"/>
  <c r="AD108" i="8"/>
  <c r="S108" i="8"/>
  <c r="AQ108" i="8" s="1"/>
  <c r="AH108" i="8" s="1"/>
  <c r="L108" i="8"/>
  <c r="AW107" i="8"/>
  <c r="AV107" i="8"/>
  <c r="AQ107" i="8" s="1"/>
  <c r="AH107" i="8" s="1"/>
  <c r="AU107" i="8"/>
  <c r="AD107" i="8"/>
  <c r="S107" i="8"/>
  <c r="L107" i="8"/>
  <c r="AW106" i="8"/>
  <c r="AV106" i="8"/>
  <c r="AU106" i="8"/>
  <c r="AM106" i="8"/>
  <c r="AF106" i="8"/>
  <c r="AD106" i="8"/>
  <c r="S106" i="8"/>
  <c r="AR106" i="8" s="1"/>
  <c r="AI106" i="8" s="1"/>
  <c r="L106" i="8"/>
  <c r="AW105" i="8"/>
  <c r="AV105" i="8"/>
  <c r="AU105" i="8"/>
  <c r="AD105" i="8"/>
  <c r="S105" i="8"/>
  <c r="AR105" i="8" s="1"/>
  <c r="AI105" i="8" s="1"/>
  <c r="L105" i="8"/>
  <c r="AW104" i="8"/>
  <c r="AV104" i="8"/>
  <c r="AU104" i="8"/>
  <c r="AM104" i="8"/>
  <c r="AF104" i="8" s="1"/>
  <c r="AL104" i="8"/>
  <c r="AE104" i="8" s="1"/>
  <c r="AD104" i="8"/>
  <c r="S104" i="8"/>
  <c r="AR104" i="8" s="1"/>
  <c r="AI104" i="8" s="1"/>
  <c r="L104" i="8"/>
  <c r="AO104" i="8" s="1"/>
  <c r="AW103" i="8"/>
  <c r="AV103" i="8"/>
  <c r="AU103" i="8"/>
  <c r="AR103" i="8"/>
  <c r="AI103" i="8" s="1"/>
  <c r="AD103" i="8"/>
  <c r="S103" i="8"/>
  <c r="L103" i="8"/>
  <c r="AO103" i="8" s="1"/>
  <c r="AW102" i="8"/>
  <c r="AV102" i="8"/>
  <c r="AU102" i="8"/>
  <c r="AP102" i="8"/>
  <c r="AG102" i="8" s="1"/>
  <c r="AD102" i="8"/>
  <c r="S102" i="8"/>
  <c r="AQ102" i="8" s="1"/>
  <c r="AH102" i="8" s="1"/>
  <c r="L102" i="8"/>
  <c r="AO102" i="8" s="1"/>
  <c r="AW101" i="8"/>
  <c r="AV101" i="8"/>
  <c r="AR101" i="8" s="1"/>
  <c r="AI101" i="8" s="1"/>
  <c r="AU101" i="8"/>
  <c r="AD101" i="8"/>
  <c r="S101" i="8"/>
  <c r="L101" i="8"/>
  <c r="AO101" i="8" s="1"/>
  <c r="AW100" i="8"/>
  <c r="AV100" i="8"/>
  <c r="AU100" i="8"/>
  <c r="AL100" i="8" s="1"/>
  <c r="AE100" i="8" s="1"/>
  <c r="AR100" i="8"/>
  <c r="AI100" i="8" s="1"/>
  <c r="AQ100" i="8"/>
  <c r="AH100" i="8" s="1"/>
  <c r="AD100" i="8"/>
  <c r="S100" i="8"/>
  <c r="AP100" i="8" s="1"/>
  <c r="AG100" i="8" s="1"/>
  <c r="L100" i="8"/>
  <c r="AW99" i="8"/>
  <c r="AV99" i="8"/>
  <c r="AR99" i="8" s="1"/>
  <c r="AI99" i="8" s="1"/>
  <c r="AU99" i="8"/>
  <c r="AM99" i="8"/>
  <c r="AF99" i="8" s="1"/>
  <c r="AL99" i="8"/>
  <c r="AE99" i="8"/>
  <c r="AD99" i="8"/>
  <c r="S99" i="8"/>
  <c r="AQ99" i="8" s="1"/>
  <c r="AH99" i="8" s="1"/>
  <c r="L99" i="8"/>
  <c r="AO99" i="8" s="1"/>
  <c r="AW98" i="8"/>
  <c r="AV98" i="8"/>
  <c r="AU98" i="8"/>
  <c r="AD98" i="8"/>
  <c r="S98" i="8"/>
  <c r="L98" i="8"/>
  <c r="AO98" i="8" s="1"/>
  <c r="AW97" i="8"/>
  <c r="AV97" i="8"/>
  <c r="AU97" i="8"/>
  <c r="AO97" i="8"/>
  <c r="AL97" i="8"/>
  <c r="AE97" i="8" s="1"/>
  <c r="AD97" i="8"/>
  <c r="S97" i="8"/>
  <c r="L97" i="8"/>
  <c r="AM97" i="8" s="1"/>
  <c r="AF97" i="8" s="1"/>
  <c r="AW96" i="8"/>
  <c r="AV96" i="8"/>
  <c r="AQ96" i="8" s="1"/>
  <c r="AH96" i="8" s="1"/>
  <c r="AU96" i="8"/>
  <c r="AM96" i="8" s="1"/>
  <c r="AF96" i="8" s="1"/>
  <c r="AR96" i="8"/>
  <c r="AI96" i="8" s="1"/>
  <c r="AD96" i="8"/>
  <c r="X96" i="8"/>
  <c r="AC96" i="8" s="1"/>
  <c r="S96" i="8"/>
  <c r="AP96" i="8" s="1"/>
  <c r="AG96" i="8" s="1"/>
  <c r="L96" i="8"/>
  <c r="AL96" i="8" s="1"/>
  <c r="AE96" i="8" s="1"/>
  <c r="AW95" i="8"/>
  <c r="AV95" i="8"/>
  <c r="AU95" i="8"/>
  <c r="AR95" i="8"/>
  <c r="AI95" i="8" s="1"/>
  <c r="AQ95" i="8"/>
  <c r="AH95" i="8" s="1"/>
  <c r="AP95" i="8"/>
  <c r="AG95" i="8" s="1"/>
  <c r="AD95" i="8"/>
  <c r="S95" i="8"/>
  <c r="L95" i="8"/>
  <c r="AW94" i="8"/>
  <c r="AV94" i="8"/>
  <c r="AU94" i="8"/>
  <c r="AM94" i="8" s="1"/>
  <c r="AF94" i="8" s="1"/>
  <c r="AD94" i="8"/>
  <c r="S94" i="8"/>
  <c r="AR94" i="8" s="1"/>
  <c r="AI94" i="8" s="1"/>
  <c r="L94" i="8"/>
  <c r="AW93" i="8"/>
  <c r="AV93" i="8"/>
  <c r="AU93" i="8"/>
  <c r="AR93" i="8"/>
  <c r="AI93" i="8" s="1"/>
  <c r="AD93" i="8"/>
  <c r="S93" i="8"/>
  <c r="AW92" i="8"/>
  <c r="AV92" i="8"/>
  <c r="AU92" i="8"/>
  <c r="AD92" i="8"/>
  <c r="S92" i="8"/>
  <c r="AW91" i="8"/>
  <c r="AV91" i="8"/>
  <c r="AU91" i="8"/>
  <c r="AD91" i="8"/>
  <c r="S91" i="8"/>
  <c r="AW90" i="8"/>
  <c r="AV90" i="8"/>
  <c r="AU90" i="8"/>
  <c r="AR90" i="8"/>
  <c r="AI90" i="8" s="1"/>
  <c r="AD90" i="8"/>
  <c r="S90" i="8"/>
  <c r="AW89" i="8"/>
  <c r="AV89" i="8"/>
  <c r="AR89" i="8" s="1"/>
  <c r="AI89" i="8" s="1"/>
  <c r="AU89" i="8"/>
  <c r="AL89" i="8"/>
  <c r="AE89" i="8" s="1"/>
  <c r="AD89" i="8"/>
  <c r="S89" i="8"/>
  <c r="AQ89" i="8" s="1"/>
  <c r="AH89" i="8" s="1"/>
  <c r="L89" i="8"/>
  <c r="AW88" i="8"/>
  <c r="AV88" i="8"/>
  <c r="AU88" i="8"/>
  <c r="AR88" i="8"/>
  <c r="AI88" i="8" s="1"/>
  <c r="AD88" i="8"/>
  <c r="S88" i="8"/>
  <c r="AW87" i="8"/>
  <c r="AV87" i="8"/>
  <c r="AU87" i="8"/>
  <c r="AR87" i="8"/>
  <c r="AI87" i="8" s="1"/>
  <c r="AD87" i="8"/>
  <c r="S87" i="8"/>
  <c r="AW86" i="8"/>
  <c r="AV86" i="8"/>
  <c r="AR86" i="8" s="1"/>
  <c r="AI86" i="8" s="1"/>
  <c r="AU86" i="8"/>
  <c r="AD86" i="8"/>
  <c r="S86" i="8"/>
  <c r="AW85" i="8"/>
  <c r="AV85" i="8"/>
  <c r="AU85" i="8"/>
  <c r="AD85" i="8"/>
  <c r="S85" i="8"/>
  <c r="AW84" i="8"/>
  <c r="AV84" i="8"/>
  <c r="AU84" i="8"/>
  <c r="AR84" i="8"/>
  <c r="AI84" i="8" s="1"/>
  <c r="AQ84" i="8"/>
  <c r="AH84" i="8" s="1"/>
  <c r="AO84" i="8"/>
  <c r="AD84" i="8"/>
  <c r="S84" i="8"/>
  <c r="AP84" i="8" s="1"/>
  <c r="AG84" i="8" s="1"/>
  <c r="L84" i="8"/>
  <c r="AM84" i="8" s="1"/>
  <c r="AF84" i="8" s="1"/>
  <c r="AW83" i="8"/>
  <c r="AV83" i="8"/>
  <c r="AQ83" i="8" s="1"/>
  <c r="AH83" i="8" s="1"/>
  <c r="AU83" i="8"/>
  <c r="AL83" i="8"/>
  <c r="AE83" i="8" s="1"/>
  <c r="AD83" i="8"/>
  <c r="S83" i="8"/>
  <c r="AR83" i="8" s="1"/>
  <c r="AI83" i="8" s="1"/>
  <c r="L83" i="8"/>
  <c r="AO83" i="8" s="1"/>
  <c r="AW82" i="8"/>
  <c r="AV82" i="8"/>
  <c r="AU82" i="8"/>
  <c r="AD82" i="8"/>
  <c r="S82" i="8"/>
  <c r="L82" i="8"/>
  <c r="AL82" i="8" s="1"/>
  <c r="AE82" i="8" s="1"/>
  <c r="AW81" i="8"/>
  <c r="AV81" i="8"/>
  <c r="AU81" i="8"/>
  <c r="AD81" i="8"/>
  <c r="S81" i="8"/>
  <c r="AR81" i="8" s="1"/>
  <c r="AI81" i="8" s="1"/>
  <c r="L81" i="8"/>
  <c r="AO81" i="8" s="1"/>
  <c r="AW80" i="8"/>
  <c r="AV80" i="8"/>
  <c r="AQ80" i="8" s="1"/>
  <c r="AH80" i="8" s="1"/>
  <c r="AU80" i="8"/>
  <c r="AL80" i="8"/>
  <c r="AE80" i="8" s="1"/>
  <c r="AD80" i="8"/>
  <c r="S80" i="8"/>
  <c r="AR80" i="8" s="1"/>
  <c r="AI80" i="8" s="1"/>
  <c r="L80" i="8"/>
  <c r="AW79" i="8"/>
  <c r="AV79" i="8"/>
  <c r="AU79" i="8"/>
  <c r="AO79" i="8"/>
  <c r="AD79" i="8"/>
  <c r="X79" i="8"/>
  <c r="AT79" i="8" s="1"/>
  <c r="AK79" i="8" s="1"/>
  <c r="S79" i="8"/>
  <c r="L79" i="8"/>
  <c r="AM79" i="8" s="1"/>
  <c r="AF79" i="8" s="1"/>
  <c r="AW78" i="8"/>
  <c r="AV78" i="8"/>
  <c r="AR78" i="8" s="1"/>
  <c r="AI78" i="8" s="1"/>
  <c r="AU78" i="8"/>
  <c r="AD78" i="8"/>
  <c r="S78" i="8"/>
  <c r="L78" i="8"/>
  <c r="AW77" i="8"/>
  <c r="AV77" i="8"/>
  <c r="AU77" i="8"/>
  <c r="AL77" i="8" s="1"/>
  <c r="AE77" i="8" s="1"/>
  <c r="AD77" i="8"/>
  <c r="S77" i="8"/>
  <c r="AR77" i="8" s="1"/>
  <c r="AI77" i="8" s="1"/>
  <c r="L77" i="8"/>
  <c r="AO77" i="8" s="1"/>
  <c r="AW76" i="8"/>
  <c r="AV76" i="8"/>
  <c r="AU76" i="8"/>
  <c r="AO76" i="8" s="1"/>
  <c r="AD76" i="8"/>
  <c r="S76" i="8"/>
  <c r="L76" i="8"/>
  <c r="AW75" i="8"/>
  <c r="AV75" i="8"/>
  <c r="AR75" i="8" s="1"/>
  <c r="AI75" i="8" s="1"/>
  <c r="AU75" i="8"/>
  <c r="AO75" i="8"/>
  <c r="AM75" i="8"/>
  <c r="AF75" i="8" s="1"/>
  <c r="AD75" i="8"/>
  <c r="S75" i="8"/>
  <c r="L75" i="8"/>
  <c r="AW74" i="8"/>
  <c r="AV74" i="8"/>
  <c r="AR74" i="8" s="1"/>
  <c r="AI74" i="8" s="1"/>
  <c r="AU74" i="8"/>
  <c r="AL74" i="8" s="1"/>
  <c r="AE74" i="8" s="1"/>
  <c r="AD74" i="8"/>
  <c r="S74" i="8"/>
  <c r="L74" i="8"/>
  <c r="AW73" i="8"/>
  <c r="AV73" i="8"/>
  <c r="AU73" i="8"/>
  <c r="AM73" i="8"/>
  <c r="AF73" i="8" s="1"/>
  <c r="AD73" i="8"/>
  <c r="S73" i="8"/>
  <c r="L73" i="8"/>
  <c r="AW72" i="8"/>
  <c r="AV72" i="8"/>
  <c r="AU72" i="8"/>
  <c r="AQ72" i="8"/>
  <c r="AH72" i="8" s="1"/>
  <c r="AP72" i="8"/>
  <c r="AG72" i="8" s="1"/>
  <c r="AO72" i="8"/>
  <c r="AD72" i="8"/>
  <c r="S72" i="8"/>
  <c r="AR72" i="8" s="1"/>
  <c r="AI72" i="8" s="1"/>
  <c r="L72" i="8"/>
  <c r="AW71" i="8"/>
  <c r="AV71" i="8"/>
  <c r="AQ71" i="8" s="1"/>
  <c r="AH71" i="8" s="1"/>
  <c r="AU71" i="8"/>
  <c r="AO71" i="8" s="1"/>
  <c r="AR71" i="8"/>
  <c r="AI71" i="8" s="1"/>
  <c r="AD71" i="8"/>
  <c r="S71" i="8"/>
  <c r="L71" i="8"/>
  <c r="AW70" i="8"/>
  <c r="AV70" i="8"/>
  <c r="AU70" i="8"/>
  <c r="AR70" i="8"/>
  <c r="AI70" i="8" s="1"/>
  <c r="AQ70" i="8"/>
  <c r="AH70" i="8" s="1"/>
  <c r="AM70" i="8"/>
  <c r="AF70" i="8" s="1"/>
  <c r="AL70" i="8"/>
  <c r="AE70" i="8" s="1"/>
  <c r="AD70" i="8"/>
  <c r="S70" i="8"/>
  <c r="AP70" i="8" s="1"/>
  <c r="AG70" i="8" s="1"/>
  <c r="L70" i="8"/>
  <c r="AW69" i="8"/>
  <c r="AV69" i="8"/>
  <c r="AU69" i="8"/>
  <c r="AO69" i="8"/>
  <c r="AL69" i="8"/>
  <c r="AE69" i="8" s="1"/>
  <c r="AD69" i="8"/>
  <c r="S69" i="8"/>
  <c r="L69" i="8"/>
  <c r="AM69" i="8" s="1"/>
  <c r="AF69" i="8" s="1"/>
  <c r="AW68" i="8"/>
  <c r="AV68" i="8"/>
  <c r="AU68" i="8"/>
  <c r="AO68" i="8" s="1"/>
  <c r="AR68" i="8"/>
  <c r="AI68" i="8" s="1"/>
  <c r="AD68" i="8"/>
  <c r="AB68" i="8"/>
  <c r="S68" i="8"/>
  <c r="L68" i="8"/>
  <c r="AW67" i="8"/>
  <c r="AV67" i="8"/>
  <c r="AU67" i="8"/>
  <c r="AQ67" i="8"/>
  <c r="AH67" i="8" s="1"/>
  <c r="AP67" i="8"/>
  <c r="AG67" i="8" s="1"/>
  <c r="AD67" i="8"/>
  <c r="S67" i="8"/>
  <c r="AR67" i="8" s="1"/>
  <c r="AI67" i="8" s="1"/>
  <c r="L67" i="8"/>
  <c r="AM67" i="8" s="1"/>
  <c r="AF67" i="8" s="1"/>
  <c r="AW66" i="8"/>
  <c r="AV66" i="8"/>
  <c r="AU66" i="8"/>
  <c r="AD66" i="8"/>
  <c r="S66" i="8"/>
  <c r="L66" i="8"/>
  <c r="AW65" i="8"/>
  <c r="AV65" i="8"/>
  <c r="AQ65" i="8" s="1"/>
  <c r="AH65" i="8" s="1"/>
  <c r="AU65" i="8"/>
  <c r="AR65" i="8"/>
  <c r="AI65" i="8" s="1"/>
  <c r="AD65" i="8"/>
  <c r="S65" i="8"/>
  <c r="AW64" i="8"/>
  <c r="AV64" i="8"/>
  <c r="AU64" i="8"/>
  <c r="AP64" i="8"/>
  <c r="AG64" i="8" s="1"/>
  <c r="AD64" i="8"/>
  <c r="S64" i="8"/>
  <c r="AR64" i="8" s="1"/>
  <c r="AI64" i="8" s="1"/>
  <c r="AW63" i="8"/>
  <c r="AV63" i="8"/>
  <c r="AU63" i="8"/>
  <c r="AD63" i="8"/>
  <c r="S63" i="8"/>
  <c r="AW62" i="8"/>
  <c r="AV62" i="8"/>
  <c r="AU62" i="8"/>
  <c r="AR62" i="8"/>
  <c r="AI62" i="8" s="1"/>
  <c r="AD62" i="8"/>
  <c r="S62" i="8"/>
  <c r="AW61" i="8"/>
  <c r="AV61" i="8"/>
  <c r="AU61" i="8"/>
  <c r="AR61" i="8"/>
  <c r="AI61" i="8" s="1"/>
  <c r="AP61" i="8"/>
  <c r="AG61" i="8" s="1"/>
  <c r="AO61" i="8"/>
  <c r="AM61" i="8"/>
  <c r="AF61" i="8" s="1"/>
  <c r="AL61" i="8"/>
  <c r="AE61" i="8" s="1"/>
  <c r="AD61" i="8"/>
  <c r="S61" i="8"/>
  <c r="AQ61" i="8" s="1"/>
  <c r="AH61" i="8" s="1"/>
  <c r="L61" i="8"/>
  <c r="AW60" i="8"/>
  <c r="AV60" i="8"/>
  <c r="AU60" i="8"/>
  <c r="AD60" i="8"/>
  <c r="S60" i="8"/>
  <c r="AW59" i="8"/>
  <c r="AV59" i="8"/>
  <c r="AU59" i="8"/>
  <c r="AR59" i="8"/>
  <c r="AI59" i="8" s="1"/>
  <c r="AD59" i="8"/>
  <c r="S59" i="8"/>
  <c r="AW58" i="8"/>
  <c r="AV58" i="8"/>
  <c r="AU58" i="8"/>
  <c r="AR58" i="8"/>
  <c r="AI58" i="8" s="1"/>
  <c r="AD58" i="8"/>
  <c r="S58" i="8"/>
  <c r="AW57" i="8"/>
  <c r="AV57" i="8"/>
  <c r="AR57" i="8" s="1"/>
  <c r="AI57" i="8" s="1"/>
  <c r="AU57" i="8"/>
  <c r="AD57" i="8"/>
  <c r="S57" i="8"/>
  <c r="AW56" i="8"/>
  <c r="AV56" i="8"/>
  <c r="AU56" i="8"/>
  <c r="AR56" i="8"/>
  <c r="AI56" i="8" s="1"/>
  <c r="AQ56" i="8"/>
  <c r="AH56" i="8" s="1"/>
  <c r="AP56" i="8"/>
  <c r="AG56" i="8" s="1"/>
  <c r="AM56" i="8"/>
  <c r="AF56" i="8" s="1"/>
  <c r="AD56" i="8"/>
  <c r="S56" i="8"/>
  <c r="L56" i="8"/>
  <c r="AW55" i="8"/>
  <c r="AV55" i="8"/>
  <c r="AU55" i="8"/>
  <c r="AO55" i="8"/>
  <c r="AD55" i="8"/>
  <c r="S55" i="8"/>
  <c r="AP55" i="8" s="1"/>
  <c r="AG55" i="8" s="1"/>
  <c r="L55" i="8"/>
  <c r="AM55" i="8" s="1"/>
  <c r="AF55" i="8" s="1"/>
  <c r="AW54" i="8"/>
  <c r="AV54" i="8"/>
  <c r="AU54" i="8"/>
  <c r="AR54" i="8"/>
  <c r="AI54" i="8" s="1"/>
  <c r="AL54" i="8"/>
  <c r="AE54" i="8" s="1"/>
  <c r="AD54" i="8"/>
  <c r="S54" i="8"/>
  <c r="AQ54" i="8" s="1"/>
  <c r="AH54" i="8" s="1"/>
  <c r="L54" i="8"/>
  <c r="AW53" i="8"/>
  <c r="AV53" i="8"/>
  <c r="AQ53" i="8" s="1"/>
  <c r="AH53" i="8" s="1"/>
  <c r="AU53" i="8"/>
  <c r="AR53" i="8"/>
  <c r="AI53" i="8" s="1"/>
  <c r="AO53" i="8"/>
  <c r="AL53" i="8"/>
  <c r="AE53" i="8" s="1"/>
  <c r="AD53" i="8"/>
  <c r="S53" i="8"/>
  <c r="L53" i="8"/>
  <c r="AM53" i="8" s="1"/>
  <c r="AF53" i="8" s="1"/>
  <c r="AW52" i="8"/>
  <c r="AV52" i="8"/>
  <c r="AU52" i="8"/>
  <c r="AO52" i="8"/>
  <c r="AM52" i="8"/>
  <c r="AF52" i="8" s="1"/>
  <c r="AL52" i="8"/>
  <c r="AE52" i="8" s="1"/>
  <c r="AD52" i="8"/>
  <c r="X52" i="8"/>
  <c r="S52" i="8"/>
  <c r="AP52" i="8" s="1"/>
  <c r="AG52" i="8" s="1"/>
  <c r="L52" i="8"/>
  <c r="AW51" i="8"/>
  <c r="AV51" i="8"/>
  <c r="AU51" i="8"/>
  <c r="AL51" i="8" s="1"/>
  <c r="AE51" i="8" s="1"/>
  <c r="AQ51" i="8"/>
  <c r="AH51" i="8" s="1"/>
  <c r="AD51" i="8"/>
  <c r="S51" i="8"/>
  <c r="AR51" i="8" s="1"/>
  <c r="AI51" i="8" s="1"/>
  <c r="L51" i="8"/>
  <c r="AO51" i="8" s="1"/>
  <c r="AW50" i="8"/>
  <c r="AV50" i="8"/>
  <c r="AU50" i="8"/>
  <c r="AD50" i="8"/>
  <c r="S50" i="8"/>
  <c r="AR50" i="8" s="1"/>
  <c r="AI50" i="8" s="1"/>
  <c r="L50" i="8"/>
  <c r="AL50" i="8" s="1"/>
  <c r="AE50" i="8" s="1"/>
  <c r="AW49" i="8"/>
  <c r="AV49" i="8"/>
  <c r="AU49" i="8"/>
  <c r="AP49" i="8"/>
  <c r="AG49" i="8" s="1"/>
  <c r="AM49" i="8"/>
  <c r="AF49" i="8" s="1"/>
  <c r="AD49" i="8"/>
  <c r="S49" i="8"/>
  <c r="AR49" i="8" s="1"/>
  <c r="AI49" i="8" s="1"/>
  <c r="L49" i="8"/>
  <c r="AO49" i="8" s="1"/>
  <c r="AW48" i="8"/>
  <c r="AV48" i="8"/>
  <c r="AU48" i="8"/>
  <c r="AQ48" i="8"/>
  <c r="AH48" i="8" s="1"/>
  <c r="AL48" i="8"/>
  <c r="AE48" i="8"/>
  <c r="AD48" i="8"/>
  <c r="S48" i="8"/>
  <c r="AR48" i="8" s="1"/>
  <c r="AI48" i="8" s="1"/>
  <c r="L48" i="8"/>
  <c r="AO48" i="8" s="1"/>
  <c r="AW47" i="8"/>
  <c r="AV47" i="8"/>
  <c r="AU47" i="8"/>
  <c r="AR47" i="8"/>
  <c r="AI47" i="8" s="1"/>
  <c r="AO47" i="8"/>
  <c r="AD47" i="8"/>
  <c r="S47" i="8"/>
  <c r="AQ47" i="8" s="1"/>
  <c r="AH47" i="8" s="1"/>
  <c r="L47" i="8"/>
  <c r="AM47" i="8" s="1"/>
  <c r="AF47" i="8" s="1"/>
  <c r="AW46" i="8"/>
  <c r="AV46" i="8"/>
  <c r="AU46" i="8"/>
  <c r="AR46" i="8"/>
  <c r="AI46" i="8" s="1"/>
  <c r="AQ46" i="8"/>
  <c r="AH46" i="8" s="1"/>
  <c r="AP46" i="8"/>
  <c r="AG46" i="8" s="1"/>
  <c r="AD46" i="8"/>
  <c r="S46" i="8"/>
  <c r="L46" i="8"/>
  <c r="AW45" i="8"/>
  <c r="AV45" i="8"/>
  <c r="AP45" i="8" s="1"/>
  <c r="AG45" i="8" s="1"/>
  <c r="AU45" i="8"/>
  <c r="AL45" i="8" s="1"/>
  <c r="AE45" i="8" s="1"/>
  <c r="AD45" i="8"/>
  <c r="S45" i="8"/>
  <c r="L45" i="8"/>
  <c r="AW44" i="8"/>
  <c r="AV44" i="8"/>
  <c r="AU44" i="8"/>
  <c r="AR44" i="8"/>
  <c r="AI44" i="8" s="1"/>
  <c r="AQ44" i="8"/>
  <c r="AH44" i="8" s="1"/>
  <c r="AO44" i="8"/>
  <c r="AD44" i="8"/>
  <c r="S44" i="8"/>
  <c r="L44" i="8"/>
  <c r="AM44" i="8" s="1"/>
  <c r="AF44" i="8" s="1"/>
  <c r="AW43" i="8"/>
  <c r="AV43" i="8"/>
  <c r="AQ43" i="8" s="1"/>
  <c r="AH43" i="8" s="1"/>
  <c r="AU43" i="8"/>
  <c r="AO43" i="8"/>
  <c r="AM43" i="8"/>
  <c r="AF43" i="8" s="1"/>
  <c r="AL43" i="8"/>
  <c r="AE43" i="8" s="1"/>
  <c r="AD43" i="8"/>
  <c r="S43" i="8"/>
  <c r="AR43" i="8" s="1"/>
  <c r="AI43" i="8" s="1"/>
  <c r="L43" i="8"/>
  <c r="AW42" i="8"/>
  <c r="AV42" i="8"/>
  <c r="AP42" i="8" s="1"/>
  <c r="AG42" i="8" s="1"/>
  <c r="AU42" i="8"/>
  <c r="AD42" i="8"/>
  <c r="S42" i="8"/>
  <c r="AW41" i="8"/>
  <c r="AV41" i="8"/>
  <c r="AU41" i="8"/>
  <c r="AD41" i="8"/>
  <c r="S41" i="8"/>
  <c r="AR41" i="8" s="1"/>
  <c r="AI41" i="8" s="1"/>
  <c r="AW40" i="8"/>
  <c r="AV40" i="8"/>
  <c r="AU40" i="8"/>
  <c r="AQ40" i="8"/>
  <c r="AH40" i="8" s="1"/>
  <c r="AP40" i="8"/>
  <c r="AG40" i="8" s="1"/>
  <c r="AD40" i="8"/>
  <c r="S40" i="8"/>
  <c r="AR40" i="8" s="1"/>
  <c r="AI40" i="8" s="1"/>
  <c r="L40" i="8"/>
  <c r="AW39" i="8"/>
  <c r="AV39" i="8"/>
  <c r="AQ39" i="8" s="1"/>
  <c r="AH39" i="8" s="1"/>
  <c r="AU39" i="8"/>
  <c r="AD39" i="8"/>
  <c r="S39" i="8"/>
  <c r="AW38" i="8"/>
  <c r="AV38" i="8"/>
  <c r="AR38" i="8" s="1"/>
  <c r="AI38" i="8" s="1"/>
  <c r="AU38" i="8"/>
  <c r="AM38" i="8"/>
  <c r="AF38" i="8" s="1"/>
  <c r="AL38" i="8"/>
  <c r="AE38" i="8" s="1"/>
  <c r="AD38" i="8"/>
  <c r="X38" i="8"/>
  <c r="S38" i="8"/>
  <c r="L38" i="8"/>
  <c r="AO38" i="8" s="1"/>
  <c r="AW37" i="8"/>
  <c r="AV37" i="8"/>
  <c r="AU37" i="8"/>
  <c r="AD37" i="8"/>
  <c r="S37" i="8"/>
  <c r="AR37" i="8" s="1"/>
  <c r="AI37" i="8" s="1"/>
  <c r="AW36" i="8"/>
  <c r="AV36" i="8"/>
  <c r="AR36" i="8" s="1"/>
  <c r="AI36" i="8" s="1"/>
  <c r="AU36" i="8"/>
  <c r="AD36" i="8"/>
  <c r="S36" i="8"/>
  <c r="AP36" i="8" s="1"/>
  <c r="AG36" i="8" s="1"/>
  <c r="AW35" i="8"/>
  <c r="AV35" i="8"/>
  <c r="AU35" i="8"/>
  <c r="AD35" i="8"/>
  <c r="S35" i="8"/>
  <c r="AQ35" i="8" s="1"/>
  <c r="AH35" i="8" s="1"/>
  <c r="AW34" i="8"/>
  <c r="AV34" i="8"/>
  <c r="AU34" i="8"/>
  <c r="AM34" i="8"/>
  <c r="AF34" i="8" s="1"/>
  <c r="AL34" i="8"/>
  <c r="AE34" i="8" s="1"/>
  <c r="AD34" i="8"/>
  <c r="S34" i="8"/>
  <c r="AR34" i="8" s="1"/>
  <c r="AI34" i="8" s="1"/>
  <c r="L34" i="8"/>
  <c r="AO34" i="8" s="1"/>
  <c r="AW33" i="8"/>
  <c r="AV33" i="8"/>
  <c r="AU33" i="8"/>
  <c r="AL33" i="8"/>
  <c r="AE33" i="8" s="1"/>
  <c r="AD33" i="8"/>
  <c r="S33" i="8"/>
  <c r="AP33" i="8" s="1"/>
  <c r="AG33" i="8" s="1"/>
  <c r="L33" i="8"/>
  <c r="AW32" i="8"/>
  <c r="AV32" i="8"/>
  <c r="AU32" i="8"/>
  <c r="AO32" i="8"/>
  <c r="AM32" i="8"/>
  <c r="AF32" i="8" s="1"/>
  <c r="AD32" i="8"/>
  <c r="X32" i="8"/>
  <c r="AS32" i="8" s="1"/>
  <c r="AJ32" i="8" s="1"/>
  <c r="S32" i="8"/>
  <c r="AR32" i="8" s="1"/>
  <c r="AI32" i="8" s="1"/>
  <c r="L32" i="8"/>
  <c r="AL32" i="8" s="1"/>
  <c r="AE32" i="8" s="1"/>
  <c r="AW31" i="8"/>
  <c r="AV31" i="8"/>
  <c r="AU31" i="8"/>
  <c r="AO31" i="8"/>
  <c r="AM31" i="8"/>
  <c r="AF31" i="8" s="1"/>
  <c r="AL31" i="8"/>
  <c r="AE31" i="8" s="1"/>
  <c r="AD31" i="8"/>
  <c r="S31" i="8"/>
  <c r="AQ31" i="8" s="1"/>
  <c r="AH31" i="8" s="1"/>
  <c r="L31" i="8"/>
  <c r="AW30" i="8"/>
  <c r="AV30" i="8"/>
  <c r="AP30" i="8" s="1"/>
  <c r="AG30" i="8" s="1"/>
  <c r="AU30" i="8"/>
  <c r="AM30" i="8" s="1"/>
  <c r="AF30" i="8" s="1"/>
  <c r="AD30" i="8"/>
  <c r="S30" i="8"/>
  <c r="L30" i="8"/>
  <c r="AW29" i="8"/>
  <c r="AV29" i="8"/>
  <c r="AR29" i="8" s="1"/>
  <c r="AI29" i="8" s="1"/>
  <c r="AU29" i="8"/>
  <c r="AP29" i="8"/>
  <c r="AG29" i="8" s="1"/>
  <c r="AD29" i="8"/>
  <c r="S29" i="8"/>
  <c r="AQ29" i="8" s="1"/>
  <c r="AH29" i="8" s="1"/>
  <c r="L29" i="8"/>
  <c r="AO29" i="8" s="1"/>
  <c r="AW28" i="8"/>
  <c r="AV28" i="8"/>
  <c r="AU28" i="8"/>
  <c r="AQ28" i="8"/>
  <c r="AH28" i="8" s="1"/>
  <c r="AO28" i="8"/>
  <c r="AD28" i="8"/>
  <c r="S28" i="8"/>
  <c r="L28" i="8"/>
  <c r="AW27" i="8"/>
  <c r="AV27" i="8"/>
  <c r="AR27" i="8" s="1"/>
  <c r="AI27" i="8" s="1"/>
  <c r="AU27" i="8"/>
  <c r="AQ27" i="8"/>
  <c r="AH27" i="8" s="1"/>
  <c r="AP27" i="8"/>
  <c r="AG27" i="8" s="1"/>
  <c r="AD27" i="8"/>
  <c r="S27" i="8"/>
  <c r="L27" i="8"/>
  <c r="AW26" i="8"/>
  <c r="AV26" i="8"/>
  <c r="AU26" i="8"/>
  <c r="AL26" i="8"/>
  <c r="AE26" i="8" s="1"/>
  <c r="AD26" i="8"/>
  <c r="S26" i="8"/>
  <c r="AR26" i="8" s="1"/>
  <c r="AI26" i="8" s="1"/>
  <c r="L26" i="8"/>
  <c r="AO26" i="8" s="1"/>
  <c r="AW25" i="8"/>
  <c r="AV25" i="8"/>
  <c r="AU25" i="8"/>
  <c r="AP25" i="8"/>
  <c r="AG25" i="8" s="1"/>
  <c r="AD25" i="8"/>
  <c r="S25" i="8"/>
  <c r="AQ25" i="8" s="1"/>
  <c r="AH25" i="8" s="1"/>
  <c r="L25" i="8"/>
  <c r="AO25" i="8" s="1"/>
  <c r="AW24" i="8"/>
  <c r="AV24" i="8"/>
  <c r="AU24" i="8"/>
  <c r="AR24" i="8"/>
  <c r="AI24" i="8" s="1"/>
  <c r="AQ24" i="8"/>
  <c r="AH24" i="8"/>
  <c r="AD24" i="8"/>
  <c r="S24" i="8"/>
  <c r="L24" i="8"/>
  <c r="AW23" i="8"/>
  <c r="AV23" i="8"/>
  <c r="AU23" i="8"/>
  <c r="AS23" i="8"/>
  <c r="AJ23" i="8" s="1"/>
  <c r="AR23" i="8"/>
  <c r="AI23" i="8" s="1"/>
  <c r="AO23" i="8"/>
  <c r="AM23" i="8"/>
  <c r="AF23" i="8" s="1"/>
  <c r="AE23" i="8"/>
  <c r="AD23" i="8"/>
  <c r="X23" i="8"/>
  <c r="AC23" i="8" s="1"/>
  <c r="S23" i="8"/>
  <c r="AQ23" i="8" s="1"/>
  <c r="AH23" i="8" s="1"/>
  <c r="L23" i="8"/>
  <c r="AL23" i="8" s="1"/>
  <c r="AW22" i="8"/>
  <c r="AV22" i="8"/>
  <c r="AU22" i="8"/>
  <c r="AD22" i="8"/>
  <c r="S22" i="8"/>
  <c r="AR22" i="8" s="1"/>
  <c r="AI22" i="8" s="1"/>
  <c r="L22" i="8"/>
  <c r="AW21" i="8"/>
  <c r="AV21" i="8"/>
  <c r="AU21" i="8"/>
  <c r="AL21" i="8"/>
  <c r="AE21" i="8" s="1"/>
  <c r="AD21" i="8"/>
  <c r="S21" i="8"/>
  <c r="AQ21" i="8" s="1"/>
  <c r="AH21" i="8" s="1"/>
  <c r="L21" i="8"/>
  <c r="AO21" i="8" s="1"/>
  <c r="AW20" i="8"/>
  <c r="AV20" i="8"/>
  <c r="AR20" i="8" s="1"/>
  <c r="AI20" i="8" s="1"/>
  <c r="AU20" i="8"/>
  <c r="AL20" i="8"/>
  <c r="AE20" i="8" s="1"/>
  <c r="AD20" i="8"/>
  <c r="S20" i="8"/>
  <c r="L20" i="8"/>
  <c r="AW19" i="8"/>
  <c r="AV19" i="8"/>
  <c r="AU19" i="8"/>
  <c r="AD19" i="8"/>
  <c r="S19" i="8"/>
  <c r="AR19" i="8" s="1"/>
  <c r="AI19" i="8" s="1"/>
  <c r="AW18" i="8"/>
  <c r="AV18" i="8"/>
  <c r="AQ18" i="8" s="1"/>
  <c r="AH18" i="8" s="1"/>
  <c r="AU18" i="8"/>
  <c r="AD18" i="8"/>
  <c r="S18" i="8"/>
  <c r="AR18" i="8" s="1"/>
  <c r="AI18" i="8" s="1"/>
  <c r="L18" i="8"/>
  <c r="AM18" i="8" s="1"/>
  <c r="AF18" i="8" s="1"/>
  <c r="AW17" i="8"/>
  <c r="AV17" i="8"/>
  <c r="AU17" i="8"/>
  <c r="AD17" i="8"/>
  <c r="S17" i="8"/>
  <c r="AQ17" i="8" s="1"/>
  <c r="AH17" i="8" s="1"/>
  <c r="AW16" i="8"/>
  <c r="AV16" i="8"/>
  <c r="AR16" i="8" s="1"/>
  <c r="AI16" i="8" s="1"/>
  <c r="AU16" i="8"/>
  <c r="AP16" i="8"/>
  <c r="AG16" i="8" s="1"/>
  <c r="AD16" i="8"/>
  <c r="S16" i="8"/>
  <c r="L16" i="8"/>
  <c r="AW15" i="8"/>
  <c r="AV15" i="8"/>
  <c r="AU15" i="8"/>
  <c r="AD15" i="8"/>
  <c r="S15" i="8"/>
  <c r="AR15" i="8" s="1"/>
  <c r="AI15" i="8" s="1"/>
  <c r="L15" i="8"/>
  <c r="AW14" i="8"/>
  <c r="AV14" i="8"/>
  <c r="AU14" i="8"/>
  <c r="AR14" i="8"/>
  <c r="AI14" i="8" s="1"/>
  <c r="AD14" i="8"/>
  <c r="S14" i="8"/>
  <c r="AQ14" i="8" s="1"/>
  <c r="AH14" i="8" s="1"/>
  <c r="AW13" i="8"/>
  <c r="AV13" i="8"/>
  <c r="AU13" i="8"/>
  <c r="AR13" i="8"/>
  <c r="AI13" i="8" s="1"/>
  <c r="AP13" i="8"/>
  <c r="AG13" i="8" s="1"/>
  <c r="AD13" i="8"/>
  <c r="S13" i="8"/>
  <c r="AW12" i="8"/>
  <c r="AV12" i="8"/>
  <c r="AR12" i="8" s="1"/>
  <c r="AI12" i="8" s="1"/>
  <c r="AU12" i="8"/>
  <c r="AL12" i="8" s="1"/>
  <c r="AE12" i="8" s="1"/>
  <c r="AD12" i="8"/>
  <c r="S12" i="8"/>
  <c r="L12" i="8"/>
  <c r="AW11" i="8"/>
  <c r="AV11" i="8"/>
  <c r="AU11" i="8"/>
  <c r="AT11" i="8"/>
  <c r="AK11" i="8" s="1"/>
  <c r="AS11" i="8"/>
  <c r="AJ11" i="8" s="1"/>
  <c r="AA11" i="8" s="1"/>
  <c r="AD11" i="8"/>
  <c r="X11" i="8"/>
  <c r="S11" i="8"/>
  <c r="AC11" i="8" s="1"/>
  <c r="L11" i="8"/>
  <c r="AL11" i="8" s="1"/>
  <c r="AE11" i="8" s="1"/>
  <c r="AW10" i="8"/>
  <c r="AV10" i="8"/>
  <c r="AU10" i="8"/>
  <c r="AO10" i="8"/>
  <c r="AD10" i="8"/>
  <c r="S10" i="8"/>
  <c r="AR10" i="8" s="1"/>
  <c r="AI10" i="8" s="1"/>
  <c r="L10" i="8"/>
  <c r="AM10" i="8" s="1"/>
  <c r="AF10" i="8" s="1"/>
  <c r="AW9" i="8"/>
  <c r="AV9" i="8"/>
  <c r="AU9" i="8"/>
  <c r="AR9" i="8"/>
  <c r="AI9" i="8" s="1"/>
  <c r="AL9" i="8"/>
  <c r="AE9" i="8" s="1"/>
  <c r="AD9" i="8"/>
  <c r="S9" i="8"/>
  <c r="AQ9" i="8" s="1"/>
  <c r="AH9" i="8" s="1"/>
  <c r="L9" i="8"/>
  <c r="AW8" i="8"/>
  <c r="AV8" i="8"/>
  <c r="AU8" i="8"/>
  <c r="AR8" i="8"/>
  <c r="AI8" i="8" s="1"/>
  <c r="AL8" i="8"/>
  <c r="AE8" i="8" s="1"/>
  <c r="AD8" i="8"/>
  <c r="S8" i="8"/>
  <c r="AQ8" i="8" s="1"/>
  <c r="AH8" i="8" s="1"/>
  <c r="L8" i="8"/>
  <c r="AO8" i="8" s="1"/>
  <c r="AW7" i="8"/>
  <c r="AV7" i="8"/>
  <c r="AU7" i="8"/>
  <c r="AD7" i="8"/>
  <c r="S7" i="8"/>
  <c r="AR7" i="8" s="1"/>
  <c r="AI7" i="8" s="1"/>
  <c r="L7" i="8"/>
  <c r="AW6" i="8"/>
  <c r="AV6" i="8"/>
  <c r="AU6" i="8"/>
  <c r="AR6" i="8"/>
  <c r="AI6" i="8" s="1"/>
  <c r="AL6" i="8"/>
  <c r="AE6" i="8" s="1"/>
  <c r="AD6" i="8"/>
  <c r="S6" i="8"/>
  <c r="AQ6" i="8" s="1"/>
  <c r="AH6" i="8" s="1"/>
  <c r="L6" i="8"/>
  <c r="AO6" i="8" s="1"/>
  <c r="AW5" i="8"/>
  <c r="AV5" i="8"/>
  <c r="AU5" i="8"/>
  <c r="AR5" i="8"/>
  <c r="AI5" i="8" s="1"/>
  <c r="AQ5" i="8"/>
  <c r="AH5" i="8" s="1"/>
  <c r="AL5" i="8"/>
  <c r="AE5" i="8" s="1"/>
  <c r="AD5" i="8"/>
  <c r="S5" i="8"/>
  <c r="AP5" i="8" s="1"/>
  <c r="AG5" i="8" s="1"/>
  <c r="L5" i="8"/>
  <c r="AO5" i="8" s="1"/>
  <c r="J43" i="11"/>
  <c r="E43" i="11"/>
  <c r="J42" i="11"/>
  <c r="E42" i="11"/>
  <c r="J41" i="11"/>
  <c r="E41" i="11"/>
  <c r="J40" i="11"/>
  <c r="E40" i="11"/>
  <c r="J39" i="11"/>
  <c r="E39" i="11"/>
  <c r="J38" i="11"/>
  <c r="E38" i="11"/>
  <c r="J37" i="11"/>
  <c r="E37" i="11"/>
  <c r="J36" i="11"/>
  <c r="E36" i="11"/>
  <c r="J35" i="11"/>
  <c r="G35" i="11"/>
  <c r="E35" i="11"/>
  <c r="X42" i="8" s="1"/>
  <c r="G34" i="11"/>
  <c r="L19" i="8" s="1"/>
  <c r="E34" i="11"/>
  <c r="X87" i="8" s="1"/>
  <c r="J33" i="11"/>
  <c r="X40" i="8" s="1"/>
  <c r="G33" i="11"/>
  <c r="L119" i="8" s="1"/>
  <c r="E33" i="11"/>
  <c r="X68" i="8" s="1"/>
  <c r="AS68" i="8" s="1"/>
  <c r="AJ68" i="8" s="1"/>
  <c r="G32" i="11"/>
  <c r="L17" i="8" s="1"/>
  <c r="E32" i="11"/>
  <c r="J31" i="11"/>
  <c r="E31" i="11"/>
  <c r="X16" i="8" s="1"/>
  <c r="J30" i="11"/>
  <c r="E30" i="11"/>
  <c r="J29" i="11"/>
  <c r="X72" i="8" s="1"/>
  <c r="E29" i="11"/>
  <c r="J28" i="11"/>
  <c r="E28" i="11"/>
  <c r="J27" i="11"/>
  <c r="X25" i="8" s="1"/>
  <c r="E27" i="11"/>
  <c r="J26" i="11"/>
  <c r="E26" i="11"/>
  <c r="J25" i="11"/>
  <c r="E25" i="11"/>
  <c r="J24" i="11"/>
  <c r="E24" i="11"/>
  <c r="J23" i="11"/>
  <c r="E23" i="11"/>
  <c r="J22" i="11"/>
  <c r="E22" i="11"/>
  <c r="J21" i="11"/>
  <c r="E21" i="11"/>
  <c r="J20" i="11"/>
  <c r="E20" i="11"/>
  <c r="J19" i="11"/>
  <c r="X9" i="8" s="1"/>
  <c r="E19" i="11"/>
  <c r="J18" i="11"/>
  <c r="E18" i="11"/>
  <c r="G17" i="11"/>
  <c r="E17" i="11"/>
  <c r="J16" i="11"/>
  <c r="X36" i="8" s="1"/>
  <c r="G16" i="11"/>
  <c r="E16" i="11"/>
  <c r="G15" i="11"/>
  <c r="E15" i="11"/>
  <c r="J14" i="11"/>
  <c r="G14" i="11"/>
  <c r="L113" i="8" s="1"/>
  <c r="E14" i="11"/>
  <c r="J13" i="11"/>
  <c r="E13" i="11"/>
  <c r="J12" i="11"/>
  <c r="E12" i="11"/>
  <c r="X78" i="8" s="1"/>
  <c r="J11" i="11"/>
  <c r="E11" i="11"/>
  <c r="X105" i="8" s="1"/>
  <c r="J10" i="11"/>
  <c r="E10" i="11"/>
  <c r="X76" i="8" s="1"/>
  <c r="J9" i="11"/>
  <c r="E9" i="11"/>
  <c r="J8" i="11"/>
  <c r="E8" i="11"/>
  <c r="J7" i="11"/>
  <c r="X55" i="8" s="1"/>
  <c r="E7" i="11"/>
  <c r="J6" i="11"/>
  <c r="E6" i="11"/>
  <c r="J5" i="11"/>
  <c r="E5" i="11"/>
  <c r="J4" i="11"/>
  <c r="X6" i="8" s="1"/>
  <c r="E4" i="11"/>
  <c r="J3" i="11"/>
  <c r="E3" i="11"/>
  <c r="E16" i="12"/>
  <c r="D16" i="12"/>
  <c r="E15" i="12"/>
  <c r="D15" i="12"/>
  <c r="AP93" i="8" s="1"/>
  <c r="AG93" i="8" s="1"/>
  <c r="E14" i="12"/>
  <c r="D14" i="12"/>
  <c r="E13" i="12"/>
  <c r="D13" i="12"/>
  <c r="E12" i="12"/>
  <c r="D12" i="12"/>
  <c r="E11" i="12"/>
  <c r="D11" i="12"/>
  <c r="E10" i="12"/>
  <c r="D10" i="12"/>
  <c r="AQ121" i="8" s="1"/>
  <c r="AH121" i="8" s="1"/>
  <c r="E9" i="12"/>
  <c r="D9" i="12"/>
  <c r="AQ59" i="8" s="1"/>
  <c r="AH59" i="8" s="1"/>
  <c r="E8" i="12"/>
  <c r="D8" i="12"/>
  <c r="AP44" i="8" s="1"/>
  <c r="AG44" i="8" s="1"/>
  <c r="E7" i="12"/>
  <c r="D7" i="12"/>
  <c r="E6" i="12"/>
  <c r="D6" i="12"/>
  <c r="AP23" i="8" s="1"/>
  <c r="AG23" i="8" s="1"/>
  <c r="E5" i="12"/>
  <c r="D5" i="12"/>
  <c r="E4" i="12"/>
  <c r="D4" i="12"/>
  <c r="B58" i="13"/>
  <c r="B45" i="13" s="1"/>
  <c r="Z982" i="8" l="1"/>
  <c r="Z1135" i="8"/>
  <c r="U86" i="9"/>
  <c r="U88" i="9"/>
  <c r="U228" i="9"/>
  <c r="U259" i="9"/>
  <c r="U306" i="9"/>
  <c r="U413" i="9"/>
  <c r="U415" i="9"/>
  <c r="U417" i="9"/>
  <c r="U494" i="9"/>
  <c r="U554" i="9"/>
  <c r="U589" i="9"/>
  <c r="U651" i="9"/>
  <c r="W651" i="9" s="1"/>
  <c r="U722" i="9"/>
  <c r="W722" i="9" s="1"/>
  <c r="U788" i="9"/>
  <c r="W788" i="9" s="1"/>
  <c r="U833" i="9"/>
  <c r="U837" i="9"/>
  <c r="U886" i="9"/>
  <c r="U943" i="9"/>
  <c r="U978" i="9"/>
  <c r="U1032" i="9"/>
  <c r="U1034" i="9"/>
  <c r="U1055" i="9"/>
  <c r="U1128" i="9"/>
  <c r="U6" i="9"/>
  <c r="U92" i="9"/>
  <c r="U150" i="9"/>
  <c r="W310" i="9"/>
  <c r="Z510" i="8"/>
  <c r="Z1197" i="8"/>
  <c r="U10" i="9"/>
  <c r="W10" i="9" s="1"/>
  <c r="U121" i="9"/>
  <c r="U156" i="9"/>
  <c r="U160" i="9"/>
  <c r="U162" i="9"/>
  <c r="U164" i="9"/>
  <c r="U166" i="9"/>
  <c r="U390" i="9"/>
  <c r="U632" i="9"/>
  <c r="Z602" i="8"/>
  <c r="Z978" i="8"/>
  <c r="Z1063" i="8"/>
  <c r="U37" i="9"/>
  <c r="U102" i="9"/>
  <c r="U123" i="9"/>
  <c r="W123" i="9" s="1"/>
  <c r="U125" i="9"/>
  <c r="W125" i="9" s="1"/>
  <c r="U174" i="9"/>
  <c r="U176" i="9"/>
  <c r="U178" i="9"/>
  <c r="U180" i="9"/>
  <c r="Z620" i="8"/>
  <c r="U205" i="9"/>
  <c r="U209" i="9"/>
  <c r="U240" i="9"/>
  <c r="U342" i="9"/>
  <c r="U568" i="9"/>
  <c r="U572" i="9"/>
  <c r="W572" i="9" s="1"/>
  <c r="Z1076" i="8"/>
  <c r="Z378" i="8"/>
  <c r="Z476" i="8"/>
  <c r="Z745" i="8"/>
  <c r="U16" i="9"/>
  <c r="W16" i="9" s="1"/>
  <c r="U458" i="9"/>
  <c r="W458" i="9" s="1"/>
  <c r="U650" i="9"/>
  <c r="U43" i="9"/>
  <c r="U85" i="9"/>
  <c r="U406" i="9"/>
  <c r="U489" i="9"/>
  <c r="Z1148" i="8"/>
  <c r="U49" i="9"/>
  <c r="U74" i="9"/>
  <c r="U141" i="9"/>
  <c r="U225" i="9"/>
  <c r="U410" i="9"/>
  <c r="U551" i="9"/>
  <c r="U555" i="9"/>
  <c r="U754" i="9"/>
  <c r="U942" i="9"/>
  <c r="U973" i="9"/>
  <c r="W973" i="9" s="1"/>
  <c r="U975" i="9"/>
  <c r="U977" i="9"/>
  <c r="U979" i="9"/>
  <c r="U1035" i="9"/>
  <c r="U1125" i="9"/>
  <c r="U1131" i="9"/>
  <c r="Z659" i="8"/>
  <c r="Z703" i="8"/>
  <c r="U51" i="9"/>
  <c r="U118" i="9"/>
  <c r="U145" i="9"/>
  <c r="U262" i="9"/>
  <c r="U264" i="9"/>
  <c r="U268" i="9"/>
  <c r="W268" i="9" s="1"/>
  <c r="U270" i="9"/>
  <c r="W270" i="9" s="1"/>
  <c r="U272" i="9"/>
  <c r="W272" i="9" s="1"/>
  <c r="U317" i="9"/>
  <c r="U470" i="9"/>
  <c r="U497" i="9"/>
  <c r="U520" i="9"/>
  <c r="U7" i="9"/>
  <c r="U9" i="9"/>
  <c r="U26" i="9"/>
  <c r="U28" i="9"/>
  <c r="U55" i="9"/>
  <c r="U276" i="9"/>
  <c r="U420" i="9"/>
  <c r="U472" i="9"/>
  <c r="U499" i="9"/>
  <c r="Z328" i="8"/>
  <c r="Z944" i="8"/>
  <c r="Z1096" i="8"/>
  <c r="U161" i="9"/>
  <c r="U280" i="9"/>
  <c r="U1192" i="9"/>
  <c r="Z635" i="8"/>
  <c r="Z906" i="8"/>
  <c r="U122" i="9"/>
  <c r="U126" i="9"/>
  <c r="U395" i="9"/>
  <c r="U604" i="9"/>
  <c r="U1198" i="9"/>
  <c r="U15" i="9"/>
  <c r="U42" i="9"/>
  <c r="U105" i="9"/>
  <c r="U107" i="9"/>
  <c r="W107" i="9" s="1"/>
  <c r="U109" i="9"/>
  <c r="W109" i="9" s="1"/>
  <c r="U111" i="9"/>
  <c r="W111" i="9" s="1"/>
  <c r="U136" i="9"/>
  <c r="U212" i="9"/>
  <c r="U214" i="9"/>
  <c r="U216" i="9"/>
  <c r="U245" i="9"/>
  <c r="U247" i="9"/>
  <c r="U251" i="9"/>
  <c r="U292" i="9"/>
  <c r="U347" i="9"/>
  <c r="U349" i="9"/>
  <c r="U380" i="9"/>
  <c r="U488" i="9"/>
  <c r="Z717" i="8"/>
  <c r="Z1109" i="8"/>
  <c r="U87" i="9"/>
  <c r="W87" i="9" s="1"/>
  <c r="U112" i="9"/>
  <c r="W112" i="9" s="1"/>
  <c r="U129" i="9"/>
  <c r="U564" i="9"/>
  <c r="U868" i="9"/>
  <c r="U872" i="9"/>
  <c r="Z411" i="8"/>
  <c r="Z531" i="8"/>
  <c r="Z685" i="8"/>
  <c r="Z715" i="8"/>
  <c r="Z763" i="8"/>
  <c r="Z776" i="8"/>
  <c r="Z781" i="8"/>
  <c r="Z790" i="8"/>
  <c r="Z829" i="8"/>
  <c r="Z837" i="8"/>
  <c r="U21" i="9"/>
  <c r="W21" i="9" s="1"/>
  <c r="U116" i="9"/>
  <c r="W116" i="9" s="1"/>
  <c r="U168" i="9"/>
  <c r="U172" i="9"/>
  <c r="W289" i="9"/>
  <c r="U309" i="9"/>
  <c r="U346" i="9"/>
  <c r="U367" i="9"/>
  <c r="U430" i="9"/>
  <c r="U495" i="9"/>
  <c r="U634" i="9"/>
  <c r="U734" i="9"/>
  <c r="W745" i="9"/>
  <c r="U759" i="9"/>
  <c r="U792" i="9"/>
  <c r="U841" i="9"/>
  <c r="W841" i="9" s="1"/>
  <c r="U876" i="9"/>
  <c r="W876" i="9" s="1"/>
  <c r="U880" i="9"/>
  <c r="W880" i="9" s="1"/>
  <c r="U888" i="9"/>
  <c r="U890" i="9"/>
  <c r="U945" i="9"/>
  <c r="U947" i="9"/>
  <c r="U1007" i="9"/>
  <c r="U1009" i="9"/>
  <c r="U1011" i="9"/>
  <c r="U1013" i="9"/>
  <c r="U1015" i="9"/>
  <c r="U1059" i="9"/>
  <c r="U1134" i="9"/>
  <c r="U1181" i="9"/>
  <c r="U1204" i="9"/>
  <c r="Z612" i="8"/>
  <c r="U902" i="9"/>
  <c r="W902" i="9" s="1"/>
  <c r="W1076" i="9"/>
  <c r="Z774" i="8"/>
  <c r="Z864" i="8"/>
  <c r="U57" i="9"/>
  <c r="U59" i="9"/>
  <c r="U78" i="9"/>
  <c r="U95" i="9"/>
  <c r="U438" i="9"/>
  <c r="U461" i="9"/>
  <c r="U510" i="9"/>
  <c r="U512" i="9"/>
  <c r="W512" i="9" s="1"/>
  <c r="U516" i="9"/>
  <c r="U640" i="9"/>
  <c r="U646" i="9"/>
  <c r="W646" i="9" s="1"/>
  <c r="U1146" i="9"/>
  <c r="U1193" i="9"/>
  <c r="W1193" i="9" s="1"/>
  <c r="Z224" i="8"/>
  <c r="Z845" i="8"/>
  <c r="Z881" i="8"/>
  <c r="Z1018" i="8"/>
  <c r="U137" i="9"/>
  <c r="U398" i="9"/>
  <c r="U482" i="9"/>
  <c r="U908" i="9"/>
  <c r="U912" i="9"/>
  <c r="W912" i="9" s="1"/>
  <c r="U1046" i="9"/>
  <c r="U1065" i="9"/>
  <c r="U1067" i="9"/>
  <c r="U1154" i="9"/>
  <c r="W1154" i="9" s="1"/>
  <c r="U1195" i="9"/>
  <c r="W1195" i="9" s="1"/>
  <c r="Z180" i="8"/>
  <c r="Z348" i="8"/>
  <c r="Z421" i="8"/>
  <c r="Z667" i="8"/>
  <c r="Z1023" i="8"/>
  <c r="U101" i="9"/>
  <c r="U296" i="9"/>
  <c r="U302" i="9"/>
  <c r="U323" i="9"/>
  <c r="U362" i="9"/>
  <c r="W362" i="9" s="1"/>
  <c r="U387" i="9"/>
  <c r="U442" i="9"/>
  <c r="U695" i="9"/>
  <c r="U701" i="9"/>
  <c r="W834" i="9"/>
  <c r="U849" i="9"/>
  <c r="W849" i="9" s="1"/>
  <c r="U1115" i="9"/>
  <c r="Z300" i="8"/>
  <c r="Z386" i="8"/>
  <c r="Z1138" i="8"/>
  <c r="U31" i="9"/>
  <c r="U44" i="9"/>
  <c r="U67" i="9"/>
  <c r="U186" i="9"/>
  <c r="U188" i="9"/>
  <c r="U213" i="9"/>
  <c r="W213" i="9" s="1"/>
  <c r="U304" i="9"/>
  <c r="U327" i="9"/>
  <c r="U329" i="9"/>
  <c r="U364" i="9"/>
  <c r="W364" i="9" s="1"/>
  <c r="U427" i="9"/>
  <c r="U448" i="9"/>
  <c r="W448" i="9" s="1"/>
  <c r="U450" i="9"/>
  <c r="U469" i="9"/>
  <c r="U486" i="9"/>
  <c r="U503" i="9"/>
  <c r="U557" i="9"/>
  <c r="U559" i="9"/>
  <c r="U590" i="9"/>
  <c r="U746" i="9"/>
  <c r="U748" i="9"/>
  <c r="U826" i="9"/>
  <c r="W826" i="9" s="1"/>
  <c r="U830" i="9"/>
  <c r="U861" i="9"/>
  <c r="U916" i="9"/>
  <c r="U930" i="9"/>
  <c r="U965" i="9"/>
  <c r="U1031" i="9"/>
  <c r="U1048" i="9"/>
  <c r="W1048" i="9" s="1"/>
  <c r="U1071" i="9"/>
  <c r="U1170" i="9"/>
  <c r="Z29" i="8"/>
  <c r="Z331" i="8"/>
  <c r="Z593" i="8"/>
  <c r="Z623" i="8"/>
  <c r="Z695" i="8"/>
  <c r="Z755" i="8"/>
  <c r="Z814" i="8"/>
  <c r="Z885" i="8"/>
  <c r="Z981" i="8"/>
  <c r="U50" i="9"/>
  <c r="U69" i="9"/>
  <c r="W69" i="9" s="1"/>
  <c r="U128" i="9"/>
  <c r="U155" i="9"/>
  <c r="U192" i="9"/>
  <c r="U215" i="9"/>
  <c r="U265" i="9"/>
  <c r="U267" i="9"/>
  <c r="U269" i="9"/>
  <c r="U271" i="9"/>
  <c r="U331" i="9"/>
  <c r="U335" i="9"/>
  <c r="U337" i="9"/>
  <c r="U389" i="9"/>
  <c r="W389" i="9" s="1"/>
  <c r="U452" i="9"/>
  <c r="U561" i="9"/>
  <c r="W561" i="9" s="1"/>
  <c r="U623" i="9"/>
  <c r="U783" i="9"/>
  <c r="U785" i="9"/>
  <c r="W785" i="9" s="1"/>
  <c r="U832" i="9"/>
  <c r="U869" i="9"/>
  <c r="U873" i="9"/>
  <c r="U934" i="9"/>
  <c r="U969" i="9"/>
  <c r="U971" i="9"/>
  <c r="U1002" i="9"/>
  <c r="U1121" i="9"/>
  <c r="U1174" i="9"/>
  <c r="Z587" i="8"/>
  <c r="Z922" i="8"/>
  <c r="Z1153" i="8"/>
  <c r="U1178" i="9"/>
  <c r="Z528" i="8"/>
  <c r="Z554" i="8"/>
  <c r="Z810" i="8"/>
  <c r="Z1043" i="8"/>
  <c r="U33" i="9"/>
  <c r="U52" i="9"/>
  <c r="U75" i="9"/>
  <c r="U77" i="9"/>
  <c r="U115" i="9"/>
  <c r="U273" i="9"/>
  <c r="U275" i="9"/>
  <c r="U314" i="9"/>
  <c r="U341" i="9"/>
  <c r="U345" i="9"/>
  <c r="U370" i="9"/>
  <c r="U391" i="9"/>
  <c r="U393" i="9"/>
  <c r="U414" i="9"/>
  <c r="U433" i="9"/>
  <c r="W433" i="9" s="1"/>
  <c r="U435" i="9"/>
  <c r="U532" i="9"/>
  <c r="U596" i="9"/>
  <c r="U598" i="9"/>
  <c r="U633" i="9"/>
  <c r="U656" i="9"/>
  <c r="U660" i="9"/>
  <c r="U725" i="9"/>
  <c r="U729" i="9"/>
  <c r="U733" i="9"/>
  <c r="U793" i="9"/>
  <c r="U838" i="9"/>
  <c r="U879" i="9"/>
  <c r="U887" i="9"/>
  <c r="U946" i="9"/>
  <c r="U1006" i="9"/>
  <c r="W1006" i="9" s="1"/>
  <c r="U1010" i="9"/>
  <c r="W1010" i="9" s="1"/>
  <c r="U1012" i="9"/>
  <c r="U1014" i="9"/>
  <c r="U1039" i="9"/>
  <c r="U1058" i="9"/>
  <c r="U1083" i="9"/>
  <c r="U1135" i="9"/>
  <c r="U378" i="9"/>
  <c r="U439" i="9"/>
  <c r="U456" i="9"/>
  <c r="U460" i="9"/>
  <c r="W460" i="9" s="1"/>
  <c r="U462" i="9"/>
  <c r="U477" i="9"/>
  <c r="U515" i="9"/>
  <c r="U519" i="9"/>
  <c r="W519" i="9" s="1"/>
  <c r="U544" i="9"/>
  <c r="W544" i="9" s="1"/>
  <c r="U583" i="9"/>
  <c r="U610" i="9"/>
  <c r="U612" i="9"/>
  <c r="U639" i="9"/>
  <c r="U647" i="9"/>
  <c r="U666" i="9"/>
  <c r="U670" i="9"/>
  <c r="U674" i="9"/>
  <c r="U735" i="9"/>
  <c r="U766" i="9"/>
  <c r="W766" i="9" s="1"/>
  <c r="U768" i="9"/>
  <c r="U797" i="9"/>
  <c r="U801" i="9"/>
  <c r="U842" i="9"/>
  <c r="U901" i="9"/>
  <c r="W901" i="9" s="1"/>
  <c r="U950" i="9"/>
  <c r="U981" i="9"/>
  <c r="U985" i="9"/>
  <c r="U987" i="9"/>
  <c r="U1043" i="9"/>
  <c r="U1102" i="9"/>
  <c r="U1139" i="9"/>
  <c r="U1141" i="9"/>
  <c r="U1186" i="9"/>
  <c r="W1186" i="9" s="1"/>
  <c r="U1190" i="9"/>
  <c r="U1207" i="9"/>
  <c r="W1207" i="9" s="1"/>
  <c r="Z586" i="8"/>
  <c r="Z737" i="8"/>
  <c r="U24" i="9"/>
  <c r="W24" i="9" s="1"/>
  <c r="U56" i="9"/>
  <c r="U58" i="9"/>
  <c r="W58" i="9" s="1"/>
  <c r="U117" i="9"/>
  <c r="W117" i="9" s="1"/>
  <c r="W214" i="9"/>
  <c r="Z961" i="8"/>
  <c r="Z1198" i="8"/>
  <c r="U41" i="9"/>
  <c r="U62" i="9"/>
  <c r="U79" i="9"/>
  <c r="U81" i="9"/>
  <c r="U142" i="9"/>
  <c r="U183" i="9"/>
  <c r="U254" i="9"/>
  <c r="U256" i="9"/>
  <c r="U351" i="9"/>
  <c r="U353" i="9"/>
  <c r="U548" i="9"/>
  <c r="W598" i="9"/>
  <c r="U680" i="9"/>
  <c r="W680" i="9" s="1"/>
  <c r="U692" i="9"/>
  <c r="U817" i="9"/>
  <c r="U821" i="9"/>
  <c r="U848" i="9"/>
  <c r="U907" i="9"/>
  <c r="U911" i="9"/>
  <c r="U962" i="9"/>
  <c r="U993" i="9"/>
  <c r="U995" i="9"/>
  <c r="U1026" i="9"/>
  <c r="W1026" i="9" s="1"/>
  <c r="U1194" i="9"/>
  <c r="Z484" i="8"/>
  <c r="Z709" i="8"/>
  <c r="Z727" i="8"/>
  <c r="Z799" i="8"/>
  <c r="Z819" i="8"/>
  <c r="Z1003" i="8"/>
  <c r="Z1046" i="8"/>
  <c r="Z1062" i="8"/>
  <c r="U422" i="9"/>
  <c r="U466" i="9"/>
  <c r="W509" i="9"/>
  <c r="U1159" i="9"/>
  <c r="U1161" i="9"/>
  <c r="Z403" i="8"/>
  <c r="Z480" i="8"/>
  <c r="Z512" i="8"/>
  <c r="Z590" i="8"/>
  <c r="Z640" i="8"/>
  <c r="Z721" i="8"/>
  <c r="Z937" i="8"/>
  <c r="U47" i="9"/>
  <c r="W47" i="9" s="1"/>
  <c r="U104" i="9"/>
  <c r="U106" i="9"/>
  <c r="U208" i="9"/>
  <c r="U235" i="9"/>
  <c r="U328" i="9"/>
  <c r="U363" i="9"/>
  <c r="U365" i="9"/>
  <c r="U405" i="9"/>
  <c r="U445" i="9"/>
  <c r="U449" i="9"/>
  <c r="U558" i="9"/>
  <c r="U706" i="9"/>
  <c r="U708" i="9"/>
  <c r="U710" i="9"/>
  <c r="U714" i="9"/>
  <c r="W714" i="9" s="1"/>
  <c r="U749" i="9"/>
  <c r="W749" i="9" s="1"/>
  <c r="U829" i="9"/>
  <c r="U858" i="9"/>
  <c r="U862" i="9"/>
  <c r="U864" i="9"/>
  <c r="U866" i="9"/>
  <c r="U966" i="9"/>
  <c r="U1049" i="9"/>
  <c r="U1051" i="9"/>
  <c r="U1072" i="9"/>
  <c r="U1165" i="9"/>
  <c r="U1169" i="9"/>
  <c r="W1169" i="9" s="1"/>
  <c r="U1173" i="9"/>
  <c r="U1196" i="9"/>
  <c r="W1196" i="9" s="1"/>
  <c r="AN81" i="8"/>
  <c r="AN185" i="8"/>
  <c r="AN117" i="8"/>
  <c r="AN10" i="8"/>
  <c r="AN31" i="8"/>
  <c r="AN50" i="8"/>
  <c r="AN23" i="8"/>
  <c r="AN49" i="8"/>
  <c r="AN20" i="8"/>
  <c r="AN97" i="8"/>
  <c r="AN18" i="8"/>
  <c r="AN55" i="8"/>
  <c r="W136" i="9"/>
  <c r="W406" i="9"/>
  <c r="V150" i="9"/>
  <c r="T179" i="9"/>
  <c r="T181" i="9"/>
  <c r="T201" i="9"/>
  <c r="T223" i="9"/>
  <c r="T225" i="9"/>
  <c r="T247" i="9"/>
  <c r="T249" i="9"/>
  <c r="T336" i="9"/>
  <c r="V343" i="9"/>
  <c r="T364" i="9"/>
  <c r="V416" i="9"/>
  <c r="V436" i="9"/>
  <c r="W638" i="9"/>
  <c r="AN106" i="8"/>
  <c r="V8" i="9"/>
  <c r="T17" i="9"/>
  <c r="V20" i="9"/>
  <c r="T44" i="9"/>
  <c r="V52" i="9"/>
  <c r="V72" i="9"/>
  <c r="V79" i="9"/>
  <c r="T124" i="9"/>
  <c r="T131" i="9"/>
  <c r="T142" i="9"/>
  <c r="T172" i="9"/>
  <c r="V188" i="9"/>
  <c r="V208" i="9"/>
  <c r="T216" i="9"/>
  <c r="V219" i="9"/>
  <c r="V232" i="9"/>
  <c r="W232" i="9" s="1"/>
  <c r="T240" i="9"/>
  <c r="V267" i="9"/>
  <c r="V278" i="9"/>
  <c r="T294" i="9"/>
  <c r="T296" i="9"/>
  <c r="V299" i="9"/>
  <c r="T307" i="9"/>
  <c r="T318" i="9"/>
  <c r="V321" i="9"/>
  <c r="T327" i="9"/>
  <c r="T342" i="9"/>
  <c r="V356" i="9"/>
  <c r="W379" i="9"/>
  <c r="V380" i="9"/>
  <c r="V382" i="9"/>
  <c r="W382" i="9" s="1"/>
  <c r="T397" i="9"/>
  <c r="W397" i="9" s="1"/>
  <c r="W399" i="9"/>
  <c r="T450" i="9"/>
  <c r="V492" i="9"/>
  <c r="V501" i="9"/>
  <c r="V522" i="9"/>
  <c r="T550" i="9"/>
  <c r="T581" i="9"/>
  <c r="T762" i="9"/>
  <c r="T764" i="9"/>
  <c r="V812" i="9"/>
  <c r="T987" i="9"/>
  <c r="T1012" i="9"/>
  <c r="T1060" i="9"/>
  <c r="T1062" i="9"/>
  <c r="V1088" i="9"/>
  <c r="T1190" i="9"/>
  <c r="W1190" i="9" s="1"/>
  <c r="AN9" i="8"/>
  <c r="AN71" i="8"/>
  <c r="T203" i="9"/>
  <c r="T227" i="9"/>
  <c r="T251" i="9"/>
  <c r="T275" i="9"/>
  <c r="T353" i="9"/>
  <c r="T12" i="9"/>
  <c r="T19" i="9"/>
  <c r="V158" i="9"/>
  <c r="T277" i="9"/>
  <c r="T377" i="9"/>
  <c r="T417" i="9"/>
  <c r="T985" i="9"/>
  <c r="W1160" i="9"/>
  <c r="T28" i="9"/>
  <c r="T37" i="9"/>
  <c r="T155" i="9"/>
  <c r="W172" i="9"/>
  <c r="T231" i="9"/>
  <c r="T279" i="9"/>
  <c r="T281" i="9"/>
  <c r="V286" i="9"/>
  <c r="T309" i="9"/>
  <c r="T320" i="9"/>
  <c r="T322" i="9"/>
  <c r="T331" i="9"/>
  <c r="T346" i="9"/>
  <c r="T368" i="9"/>
  <c r="T370" i="9"/>
  <c r="V384" i="9"/>
  <c r="T421" i="9"/>
  <c r="T504" i="9"/>
  <c r="V567" i="9"/>
  <c r="W873" i="9"/>
  <c r="T1028" i="9"/>
  <c r="T1085" i="9"/>
  <c r="T39" i="9"/>
  <c r="W39" i="9" s="1"/>
  <c r="V67" i="9"/>
  <c r="W67" i="9" s="1"/>
  <c r="T96" i="9"/>
  <c r="V108" i="9"/>
  <c r="T112" i="9"/>
  <c r="V131" i="9"/>
  <c r="V147" i="9"/>
  <c r="T159" i="9"/>
  <c r="T161" i="9"/>
  <c r="V168" i="9"/>
  <c r="W168" i="9" s="1"/>
  <c r="T187" i="9"/>
  <c r="W200" i="9"/>
  <c r="T207" i="9"/>
  <c r="T209" i="9"/>
  <c r="T233" i="9"/>
  <c r="T270" i="9"/>
  <c r="T283" i="9"/>
  <c r="V292" i="9"/>
  <c r="W292" i="9" s="1"/>
  <c r="T302" i="9"/>
  <c r="V325" i="9"/>
  <c r="V386" i="9"/>
  <c r="V404" i="9"/>
  <c r="V406" i="9"/>
  <c r="V413" i="9"/>
  <c r="T456" i="9"/>
  <c r="T458" i="9"/>
  <c r="T460" i="9"/>
  <c r="T624" i="9"/>
  <c r="V658" i="9"/>
  <c r="T829" i="9"/>
  <c r="W905" i="9"/>
  <c r="T1030" i="9"/>
  <c r="V1056" i="9"/>
  <c r="T46" i="9"/>
  <c r="W46" i="9" s="1"/>
  <c r="T55" i="9"/>
  <c r="T75" i="9"/>
  <c r="V115" i="9"/>
  <c r="W166" i="9"/>
  <c r="V227" i="9"/>
  <c r="T246" i="9"/>
  <c r="T248" i="9"/>
  <c r="V251" i="9"/>
  <c r="T255" i="9"/>
  <c r="V260" i="9"/>
  <c r="T272" i="9"/>
  <c r="V275" i="9"/>
  <c r="W275" i="9" s="1"/>
  <c r="T285" i="9"/>
  <c r="W290" i="9"/>
  <c r="W309" i="9"/>
  <c r="T315" i="9"/>
  <c r="W315" i="9" s="1"/>
  <c r="T348" i="9"/>
  <c r="W363" i="9"/>
  <c r="T372" i="9"/>
  <c r="T392" i="9"/>
  <c r="T405" i="9"/>
  <c r="T441" i="9"/>
  <c r="V446" i="9"/>
  <c r="V448" i="9"/>
  <c r="V450" i="9"/>
  <c r="V513" i="9"/>
  <c r="V542" i="9"/>
  <c r="T595" i="9"/>
  <c r="V725" i="9"/>
  <c r="T874" i="9"/>
  <c r="V1006" i="9"/>
  <c r="T1078" i="9"/>
  <c r="V1133" i="9"/>
  <c r="T1161" i="9"/>
  <c r="W295" i="9"/>
  <c r="AN7" i="8"/>
  <c r="T25" i="9"/>
  <c r="V35" i="9"/>
  <c r="T41" i="9"/>
  <c r="T68" i="9"/>
  <c r="V149" i="9"/>
  <c r="W414" i="9"/>
  <c r="V19" i="9"/>
  <c r="V62" i="9"/>
  <c r="W62" i="9" s="1"/>
  <c r="T84" i="9"/>
  <c r="T98" i="9"/>
  <c r="T100" i="9"/>
  <c r="T114" i="9"/>
  <c r="T116" i="9"/>
  <c r="T139" i="9"/>
  <c r="V142" i="9"/>
  <c r="T167" i="9"/>
  <c r="T184" i="9"/>
  <c r="T191" i="9"/>
  <c r="V196" i="9"/>
  <c r="T213" i="9"/>
  <c r="T226" i="9"/>
  <c r="T228" i="9"/>
  <c r="T237" i="9"/>
  <c r="V264" i="9"/>
  <c r="W264" i="9" s="1"/>
  <c r="V279" i="9"/>
  <c r="V294" i="9"/>
  <c r="T304" i="9"/>
  <c r="T306" i="9"/>
  <c r="V309" i="9"/>
  <c r="T387" i="9"/>
  <c r="W387" i="9" s="1"/>
  <c r="T425" i="9"/>
  <c r="T497" i="9"/>
  <c r="V1024" i="9"/>
  <c r="T1183" i="9"/>
  <c r="T11" i="9"/>
  <c r="V21" i="9"/>
  <c r="V37" i="9"/>
  <c r="T50" i="9"/>
  <c r="V71" i="9"/>
  <c r="V80" i="9"/>
  <c r="T123" i="9"/>
  <c r="T132" i="9"/>
  <c r="T141" i="9"/>
  <c r="T150" i="9"/>
  <c r="V155" i="9"/>
  <c r="V187" i="9"/>
  <c r="T204" i="9"/>
  <c r="V207" i="9"/>
  <c r="T252" i="9"/>
  <c r="W252" i="9" s="1"/>
  <c r="T259" i="9"/>
  <c r="V268" i="9"/>
  <c r="T276" i="9"/>
  <c r="V283" i="9"/>
  <c r="T291" i="9"/>
  <c r="V320" i="9"/>
  <c r="T328" i="9"/>
  <c r="W328" i="9" s="1"/>
  <c r="T343" i="9"/>
  <c r="V346" i="9"/>
  <c r="T352" i="9"/>
  <c r="T354" i="9"/>
  <c r="W354" i="9" s="1"/>
  <c r="V370" i="9"/>
  <c r="T378" i="9"/>
  <c r="T398" i="9"/>
  <c r="T418" i="9"/>
  <c r="V439" i="9"/>
  <c r="W439" i="9" s="1"/>
  <c r="T451" i="9"/>
  <c r="T466" i="9"/>
  <c r="V480" i="9"/>
  <c r="T488" i="9"/>
  <c r="T499" i="9"/>
  <c r="W499" i="9" s="1"/>
  <c r="T798" i="9"/>
  <c r="T845" i="9"/>
  <c r="W845" i="9" s="1"/>
  <c r="T1103" i="9"/>
  <c r="T1181" i="9"/>
  <c r="V119" i="9"/>
  <c r="V357" i="9"/>
  <c r="T376" i="9"/>
  <c r="W411" i="9"/>
  <c r="V421" i="9"/>
  <c r="V454" i="9"/>
  <c r="V504" i="9"/>
  <c r="V591" i="9"/>
  <c r="T615" i="9"/>
  <c r="T677" i="9"/>
  <c r="V743" i="9"/>
  <c r="W743" i="9" s="1"/>
  <c r="V921" i="9"/>
  <c r="W921" i="9" s="1"/>
  <c r="T27" i="9"/>
  <c r="T61" i="9"/>
  <c r="T63" i="9"/>
  <c r="V157" i="9"/>
  <c r="V161" i="9"/>
  <c r="T173" i="9"/>
  <c r="T195" i="9"/>
  <c r="T217" i="9"/>
  <c r="T295" i="9"/>
  <c r="V313" i="9"/>
  <c r="W341" i="9"/>
  <c r="W708" i="9"/>
  <c r="T996" i="9"/>
  <c r="T1046" i="9"/>
  <c r="V1072" i="9"/>
  <c r="AN22" i="8"/>
  <c r="Y117" i="8"/>
  <c r="T263" i="9"/>
  <c r="T265" i="9"/>
  <c r="V270" i="9"/>
  <c r="V348" i="9"/>
  <c r="T389" i="9"/>
  <c r="V392" i="9"/>
  <c r="AN33" i="8"/>
  <c r="AN130" i="8"/>
  <c r="T8" i="9"/>
  <c r="T38" i="9"/>
  <c r="T40" i="9"/>
  <c r="V59" i="9"/>
  <c r="V68" i="9"/>
  <c r="V107" i="9"/>
  <c r="V146" i="9"/>
  <c r="T162" i="9"/>
  <c r="T210" i="9"/>
  <c r="T219" i="9"/>
  <c r="V259" i="9"/>
  <c r="T267" i="9"/>
  <c r="T288" i="9"/>
  <c r="V291" i="9"/>
  <c r="T299" i="9"/>
  <c r="T301" i="9"/>
  <c r="V315" i="9"/>
  <c r="T321" i="9"/>
  <c r="T347" i="9"/>
  <c r="T369" i="9"/>
  <c r="T391" i="9"/>
  <c r="W391" i="9" s="1"/>
  <c r="T393" i="9"/>
  <c r="T400" i="9"/>
  <c r="T402" i="9"/>
  <c r="V414" i="9"/>
  <c r="V432" i="9"/>
  <c r="V462" i="9"/>
  <c r="T494" i="9"/>
  <c r="T505" i="9"/>
  <c r="T526" i="9"/>
  <c r="T703" i="9"/>
  <c r="V790" i="9"/>
  <c r="T865" i="9"/>
  <c r="T1170" i="9"/>
  <c r="AN15" i="8"/>
  <c r="AN28" i="8"/>
  <c r="V16" i="9"/>
  <c r="V43" i="9"/>
  <c r="T54" i="9"/>
  <c r="T74" i="9"/>
  <c r="T76" i="9"/>
  <c r="V84" i="9"/>
  <c r="V91" i="9"/>
  <c r="V100" i="9"/>
  <c r="V116" i="9"/>
  <c r="T129" i="9"/>
  <c r="V148" i="9"/>
  <c r="T175" i="9"/>
  <c r="T177" i="9"/>
  <c r="T192" i="9"/>
  <c r="T212" i="9"/>
  <c r="V215" i="9"/>
  <c r="T221" i="9"/>
  <c r="V228" i="9"/>
  <c r="T236" i="9"/>
  <c r="V239" i="9"/>
  <c r="T243" i="9"/>
  <c r="T245" i="9"/>
  <c r="V306" i="9"/>
  <c r="W306" i="9" s="1"/>
  <c r="V352" i="9"/>
  <c r="V365" i="9"/>
  <c r="T433" i="9"/>
  <c r="T442" i="9"/>
  <c r="V445" i="9"/>
  <c r="T472" i="9"/>
  <c r="W479" i="9"/>
  <c r="V582" i="9"/>
  <c r="V603" i="9"/>
  <c r="V605" i="9"/>
  <c r="V734" i="9"/>
  <c r="W734" i="9" s="1"/>
  <c r="V839" i="9"/>
  <c r="V892" i="9"/>
  <c r="V945" i="9"/>
  <c r="W945" i="9" s="1"/>
  <c r="T971" i="9"/>
  <c r="V1040" i="9"/>
  <c r="V434" i="9"/>
  <c r="V441" i="9"/>
  <c r="T481" i="9"/>
  <c r="V494" i="9"/>
  <c r="V557" i="9"/>
  <c r="T568" i="9"/>
  <c r="T597" i="9"/>
  <c r="V620" i="9"/>
  <c r="W620" i="9" s="1"/>
  <c r="T639" i="9"/>
  <c r="W639" i="9" s="1"/>
  <c r="V642" i="9"/>
  <c r="W650" i="9"/>
  <c r="V669" i="9"/>
  <c r="V673" i="9"/>
  <c r="V684" i="9"/>
  <c r="W684" i="9" s="1"/>
  <c r="V686" i="9"/>
  <c r="T694" i="9"/>
  <c r="W694" i="9" s="1"/>
  <c r="V697" i="9"/>
  <c r="T722" i="9"/>
  <c r="V769" i="9"/>
  <c r="V785" i="9"/>
  <c r="T791" i="9"/>
  <c r="T811" i="9"/>
  <c r="T822" i="9"/>
  <c r="V825" i="9"/>
  <c r="W825" i="9" s="1"/>
  <c r="T840" i="9"/>
  <c r="V883" i="9"/>
  <c r="T900" i="9"/>
  <c r="T953" i="9"/>
  <c r="T969" i="9"/>
  <c r="T978" i="9"/>
  <c r="W978" i="9" s="1"/>
  <c r="T1014" i="9"/>
  <c r="W1021" i="9"/>
  <c r="W1058" i="9"/>
  <c r="T1123" i="9"/>
  <c r="T1141" i="9"/>
  <c r="W1176" i="9"/>
  <c r="V506" i="9"/>
  <c r="V508" i="9"/>
  <c r="T523" i="9"/>
  <c r="T530" i="9"/>
  <c r="V533" i="9"/>
  <c r="V535" i="9"/>
  <c r="T554" i="9"/>
  <c r="T606" i="9"/>
  <c r="T608" i="9"/>
  <c r="V613" i="9"/>
  <c r="T619" i="9"/>
  <c r="T679" i="9"/>
  <c r="T683" i="9"/>
  <c r="T696" i="9"/>
  <c r="V699" i="9"/>
  <c r="T705" i="9"/>
  <c r="T707" i="9"/>
  <c r="V710" i="9"/>
  <c r="V714" i="9"/>
  <c r="V716" i="9"/>
  <c r="T735" i="9"/>
  <c r="W735" i="9" s="1"/>
  <c r="T876" i="9"/>
  <c r="T880" i="9"/>
  <c r="T889" i="9"/>
  <c r="T926" i="9"/>
  <c r="T944" i="9"/>
  <c r="V958" i="9"/>
  <c r="V967" i="9"/>
  <c r="V974" i="9"/>
  <c r="T991" i="9"/>
  <c r="T1005" i="9"/>
  <c r="V1010" i="9"/>
  <c r="T1121" i="9"/>
  <c r="W1121" i="9" s="1"/>
  <c r="T1205" i="9"/>
  <c r="T516" i="9"/>
  <c r="W516" i="9" s="1"/>
  <c r="T518" i="9"/>
  <c r="W518" i="9" s="1"/>
  <c r="V559" i="9"/>
  <c r="T610" i="9"/>
  <c r="T621" i="9"/>
  <c r="T632" i="9"/>
  <c r="T685" i="9"/>
  <c r="T804" i="9"/>
  <c r="T842" i="9"/>
  <c r="V845" i="9"/>
  <c r="T882" i="9"/>
  <c r="T895" i="9"/>
  <c r="T924" i="9"/>
  <c r="T946" i="9"/>
  <c r="T1027" i="9"/>
  <c r="W1027" i="9" s="1"/>
  <c r="T1043" i="9"/>
  <c r="T1059" i="9"/>
  <c r="W1059" i="9" s="1"/>
  <c r="T1075" i="9"/>
  <c r="W1075" i="9" s="1"/>
  <c r="T1091" i="9"/>
  <c r="T1147" i="9"/>
  <c r="T1165" i="9"/>
  <c r="T1185" i="9"/>
  <c r="V1190" i="9"/>
  <c r="W630" i="9"/>
  <c r="V729" i="9"/>
  <c r="V836" i="9"/>
  <c r="T844" i="9"/>
  <c r="T851" i="9"/>
  <c r="V898" i="9"/>
  <c r="T904" i="9"/>
  <c r="T906" i="9"/>
  <c r="T939" i="9"/>
  <c r="W939" i="9" s="1"/>
  <c r="T948" i="9"/>
  <c r="T959" i="9"/>
  <c r="T975" i="9"/>
  <c r="T989" i="9"/>
  <c r="T1011" i="9"/>
  <c r="T1025" i="9"/>
  <c r="T1041" i="9"/>
  <c r="T1057" i="9"/>
  <c r="T1073" i="9"/>
  <c r="T1089" i="9"/>
  <c r="T1105" i="9"/>
  <c r="T1116" i="9"/>
  <c r="T1127" i="9"/>
  <c r="T1145" i="9"/>
  <c r="W1145" i="9" s="1"/>
  <c r="V1150" i="9"/>
  <c r="W1180" i="9"/>
  <c r="T1200" i="9"/>
  <c r="V438" i="9"/>
  <c r="T446" i="9"/>
  <c r="T495" i="9"/>
  <c r="W495" i="9" s="1"/>
  <c r="T525" i="9"/>
  <c r="T549" i="9"/>
  <c r="V550" i="9"/>
  <c r="T565" i="9"/>
  <c r="T570" i="9"/>
  <c r="V579" i="9"/>
  <c r="V581" i="9"/>
  <c r="T601" i="9"/>
  <c r="V615" i="9"/>
  <c r="T670" i="9"/>
  <c r="W809" i="9"/>
  <c r="W987" i="9"/>
  <c r="V1103" i="9"/>
  <c r="W1103" i="9" s="1"/>
  <c r="V1110" i="9"/>
  <c r="T1125" i="9"/>
  <c r="W1125" i="9" s="1"/>
  <c r="V1130" i="9"/>
  <c r="T1160" i="9"/>
  <c r="V1163" i="9"/>
  <c r="T1180" i="9"/>
  <c r="T1191" i="9"/>
  <c r="T532" i="9"/>
  <c r="T545" i="9"/>
  <c r="W604" i="9"/>
  <c r="T612" i="9"/>
  <c r="V626" i="9"/>
  <c r="V628" i="9"/>
  <c r="T645" i="9"/>
  <c r="V655" i="9"/>
  <c r="T689" i="9"/>
  <c r="T713" i="9"/>
  <c r="T779" i="9"/>
  <c r="T808" i="9"/>
  <c r="T884" i="9"/>
  <c r="V922" i="9"/>
  <c r="V955" i="9"/>
  <c r="V962" i="9"/>
  <c r="T1009" i="9"/>
  <c r="T1151" i="9"/>
  <c r="T1171" i="9"/>
  <c r="T1189" i="9"/>
  <c r="V1194" i="9"/>
  <c r="V510" i="9"/>
  <c r="V554" i="9"/>
  <c r="W554" i="9" s="1"/>
  <c r="T580" i="9"/>
  <c r="V639" i="9"/>
  <c r="T665" i="9"/>
  <c r="V679" i="9"/>
  <c r="W746" i="9"/>
  <c r="T763" i="9"/>
  <c r="T819" i="9"/>
  <c r="T855" i="9"/>
  <c r="V878" i="9"/>
  <c r="T897" i="9"/>
  <c r="T908" i="9"/>
  <c r="T993" i="9"/>
  <c r="T437" i="9"/>
  <c r="T439" i="9"/>
  <c r="T457" i="9"/>
  <c r="T551" i="9"/>
  <c r="W551" i="9" s="1"/>
  <c r="T555" i="9"/>
  <c r="T582" i="9"/>
  <c r="T603" i="9"/>
  <c r="V619" i="9"/>
  <c r="T627" i="9"/>
  <c r="T629" i="9"/>
  <c r="T638" i="9"/>
  <c r="T656" i="9"/>
  <c r="V683" i="9"/>
  <c r="T693" i="9"/>
  <c r="V696" i="9"/>
  <c r="T704" i="9"/>
  <c r="V755" i="9"/>
  <c r="V768" i="9"/>
  <c r="T790" i="9"/>
  <c r="V793" i="9"/>
  <c r="T799" i="9"/>
  <c r="T810" i="9"/>
  <c r="W810" i="9" s="1"/>
  <c r="V813" i="9"/>
  <c r="V824" i="9"/>
  <c r="T848" i="9"/>
  <c r="V860" i="9"/>
  <c r="T879" i="9"/>
  <c r="T923" i="9"/>
  <c r="T932" i="9"/>
  <c r="T934" i="9"/>
  <c r="T941" i="9"/>
  <c r="T963" i="9"/>
  <c r="V991" i="9"/>
  <c r="T1029" i="9"/>
  <c r="T1045" i="9"/>
  <c r="T1061" i="9"/>
  <c r="T1077" i="9"/>
  <c r="T1093" i="9"/>
  <c r="T1109" i="9"/>
  <c r="T1129" i="9"/>
  <c r="V1134" i="9"/>
  <c r="T1164" i="9"/>
  <c r="V442" i="9"/>
  <c r="T459" i="9"/>
  <c r="T487" i="9"/>
  <c r="W487" i="9" s="1"/>
  <c r="V505" i="9"/>
  <c r="T511" i="9"/>
  <c r="T540" i="9"/>
  <c r="T542" i="9"/>
  <c r="T584" i="9"/>
  <c r="T605" i="9"/>
  <c r="V632" i="9"/>
  <c r="T649" i="9"/>
  <c r="T658" i="9"/>
  <c r="V670" i="9"/>
  <c r="T706" i="9"/>
  <c r="V709" i="9"/>
  <c r="T743" i="9"/>
  <c r="V757" i="9"/>
  <c r="V777" i="9"/>
  <c r="T792" i="9"/>
  <c r="V804" i="9"/>
  <c r="T812" i="9"/>
  <c r="V833" i="9"/>
  <c r="T839" i="9"/>
  <c r="V869" i="9"/>
  <c r="W869" i="9" s="1"/>
  <c r="V871" i="9"/>
  <c r="V895" i="9"/>
  <c r="T903" i="9"/>
  <c r="T947" i="9"/>
  <c r="T961" i="9"/>
  <c r="T970" i="9"/>
  <c r="T977" i="9"/>
  <c r="T999" i="9"/>
  <c r="T1013" i="9"/>
  <c r="V1114" i="9"/>
  <c r="T1175" i="9"/>
  <c r="T1193" i="9"/>
  <c r="W524" i="9"/>
  <c r="T684" i="9"/>
  <c r="T695" i="9"/>
  <c r="W695" i="9" s="1"/>
  <c r="T697" i="9"/>
  <c r="T708" i="9"/>
  <c r="V711" i="9"/>
  <c r="V713" i="9"/>
  <c r="V715" i="9"/>
  <c r="V728" i="9"/>
  <c r="V748" i="9"/>
  <c r="T756" i="9"/>
  <c r="V759" i="9"/>
  <c r="T783" i="9"/>
  <c r="W783" i="9" s="1"/>
  <c r="T823" i="9"/>
  <c r="V906" i="9"/>
  <c r="T914" i="9"/>
  <c r="T927" i="9"/>
  <c r="V939" i="9"/>
  <c r="V966" i="9"/>
  <c r="W966" i="9" s="1"/>
  <c r="W977" i="9"/>
  <c r="T997" i="9"/>
  <c r="V1011" i="9"/>
  <c r="W1011" i="9" s="1"/>
  <c r="T1135" i="9"/>
  <c r="T1153" i="9"/>
  <c r="V1158" i="9"/>
  <c r="T1173" i="9"/>
  <c r="W1173" i="9" s="1"/>
  <c r="V1178" i="9"/>
  <c r="V490" i="9"/>
  <c r="T522" i="9"/>
  <c r="V547" i="9"/>
  <c r="V549" i="9"/>
  <c r="V587" i="9"/>
  <c r="V601" i="9"/>
  <c r="T631" i="9"/>
  <c r="V634" i="9"/>
  <c r="W634" i="9" s="1"/>
  <c r="V687" i="9"/>
  <c r="V689" i="9"/>
  <c r="V717" i="9"/>
  <c r="V719" i="9"/>
  <c r="V739" i="9"/>
  <c r="V761" i="9"/>
  <c r="V772" i="9"/>
  <c r="T803" i="9"/>
  <c r="T814" i="9"/>
  <c r="V817" i="9"/>
  <c r="V853" i="9"/>
  <c r="T894" i="9"/>
  <c r="V930" i="9"/>
  <c r="T936" i="9"/>
  <c r="W936" i="9" s="1"/>
  <c r="T983" i="9"/>
  <c r="T1019" i="9"/>
  <c r="T1035" i="9"/>
  <c r="T1051" i="9"/>
  <c r="T1067" i="9"/>
  <c r="T1083" i="9"/>
  <c r="T1099" i="9"/>
  <c r="T1115" i="9"/>
  <c r="T1133" i="9"/>
  <c r="V1138" i="9"/>
  <c r="W1138" i="9" s="1"/>
  <c r="W1153" i="9"/>
  <c r="T1168" i="9"/>
  <c r="T1199" i="9"/>
  <c r="T515" i="9"/>
  <c r="T529" i="9"/>
  <c r="W529" i="9" s="1"/>
  <c r="T618" i="9"/>
  <c r="T843" i="9"/>
  <c r="V864" i="9"/>
  <c r="W864" i="9" s="1"/>
  <c r="T907" i="9"/>
  <c r="W907" i="9" s="1"/>
  <c r="T925" i="9"/>
  <c r="T951" i="9"/>
  <c r="T967" i="9"/>
  <c r="T981" i="9"/>
  <c r="W981" i="9" s="1"/>
  <c r="T1049" i="9"/>
  <c r="W1049" i="9" s="1"/>
  <c r="T1065" i="9"/>
  <c r="W1065" i="9" s="1"/>
  <c r="T1081" i="9"/>
  <c r="T1113" i="9"/>
  <c r="V1118" i="9"/>
  <c r="T1159" i="9"/>
  <c r="T1179" i="9"/>
  <c r="T445" i="9"/>
  <c r="T454" i="9"/>
  <c r="T470" i="9"/>
  <c r="W470" i="9" s="1"/>
  <c r="W475" i="9"/>
  <c r="T533" i="9"/>
  <c r="T537" i="9"/>
  <c r="T573" i="9"/>
  <c r="V580" i="9"/>
  <c r="V589" i="9"/>
  <c r="T600" i="9"/>
  <c r="T613" i="9"/>
  <c r="V625" i="9"/>
  <c r="T635" i="9"/>
  <c r="T642" i="9"/>
  <c r="W642" i="9" s="1"/>
  <c r="T671" i="9"/>
  <c r="T675" i="9"/>
  <c r="W675" i="9" s="1"/>
  <c r="V676" i="9"/>
  <c r="T701" i="9"/>
  <c r="T738" i="9"/>
  <c r="W738" i="9" s="1"/>
  <c r="T740" i="9"/>
  <c r="W763" i="9"/>
  <c r="T771" i="9"/>
  <c r="T796" i="9"/>
  <c r="W881" i="9"/>
  <c r="T931" i="9"/>
  <c r="T1003" i="9"/>
  <c r="W1113" i="9"/>
  <c r="T1128" i="9"/>
  <c r="W1128" i="9" s="1"/>
  <c r="W1131" i="9"/>
  <c r="T1139" i="9"/>
  <c r="T1157" i="9"/>
  <c r="V1162" i="9"/>
  <c r="T1177" i="9"/>
  <c r="V1182" i="9"/>
  <c r="V473" i="9"/>
  <c r="T489" i="9"/>
  <c r="T491" i="9"/>
  <c r="V511" i="9"/>
  <c r="T539" i="9"/>
  <c r="T544" i="9"/>
  <c r="T552" i="9"/>
  <c r="T566" i="9"/>
  <c r="T575" i="9"/>
  <c r="T586" i="9"/>
  <c r="V627" i="9"/>
  <c r="V629" i="9"/>
  <c r="V654" i="9"/>
  <c r="V656" i="9"/>
  <c r="V693" i="9"/>
  <c r="V723" i="9"/>
  <c r="V752" i="9"/>
  <c r="T780" i="9"/>
  <c r="T787" i="9"/>
  <c r="T807" i="9"/>
  <c r="T818" i="9"/>
  <c r="V821" i="9"/>
  <c r="W821" i="9" s="1"/>
  <c r="T827" i="9"/>
  <c r="T836" i="9"/>
  <c r="V848" i="9"/>
  <c r="T854" i="9"/>
  <c r="V857" i="9"/>
  <c r="T863" i="9"/>
  <c r="V877" i="9"/>
  <c r="V879" i="9"/>
  <c r="T887" i="9"/>
  <c r="V890" i="9"/>
  <c r="W890" i="9" s="1"/>
  <c r="T896" i="9"/>
  <c r="W896" i="9" s="1"/>
  <c r="V923" i="9"/>
  <c r="T929" i="9"/>
  <c r="V963" i="9"/>
  <c r="T1001" i="9"/>
  <c r="W1001" i="9" s="1"/>
  <c r="T1010" i="9"/>
  <c r="T1119" i="9"/>
  <c r="T1137" i="9"/>
  <c r="V1142" i="9"/>
  <c r="T1192" i="9"/>
  <c r="V1195" i="9"/>
  <c r="T1203" i="9"/>
  <c r="Z701" i="8"/>
  <c r="Z468" i="8"/>
  <c r="Z789" i="8"/>
  <c r="Z1080" i="8"/>
  <c r="Z428" i="8"/>
  <c r="Z791" i="8"/>
  <c r="Z509" i="8"/>
  <c r="Z1188" i="8"/>
  <c r="Z377" i="8"/>
  <c r="Z125" i="8"/>
  <c r="Z619" i="8"/>
  <c r="Z657" i="8"/>
  <c r="Z460" i="8"/>
  <c r="Z689" i="8"/>
  <c r="Z719" i="8"/>
  <c r="Z723" i="8"/>
  <c r="Z761" i="8"/>
  <c r="Z943" i="8"/>
  <c r="Z999" i="8"/>
  <c r="Z283" i="8"/>
  <c r="Z450" i="8"/>
  <c r="Z624" i="8"/>
  <c r="U14" i="9"/>
  <c r="W31" i="9"/>
  <c r="U90" i="9"/>
  <c r="W90" i="9" s="1"/>
  <c r="U608" i="9"/>
  <c r="Z46" i="8"/>
  <c r="Z987" i="8"/>
  <c r="Z299" i="8"/>
  <c r="Z434" i="8"/>
  <c r="Z506" i="8"/>
  <c r="Z522" i="8"/>
  <c r="Z675" i="8"/>
  <c r="Z821" i="8"/>
  <c r="U35" i="9"/>
  <c r="W35" i="9" s="1"/>
  <c r="W493" i="9"/>
  <c r="Z370" i="8"/>
  <c r="Z1019" i="8"/>
  <c r="Z44" i="8"/>
  <c r="Z183" i="8"/>
  <c r="Z580" i="8"/>
  <c r="Z707" i="8"/>
  <c r="Z733" i="8"/>
  <c r="Z1132" i="8"/>
  <c r="U11" i="9"/>
  <c r="W11" i="9" s="1"/>
  <c r="U30" i="9"/>
  <c r="Z70" i="8"/>
  <c r="Z983" i="8"/>
  <c r="Z1050" i="8"/>
  <c r="Z807" i="8"/>
  <c r="Z112" i="8"/>
  <c r="Z656" i="8"/>
  <c r="Z739" i="8"/>
  <c r="Z834" i="8"/>
  <c r="Z876" i="8"/>
  <c r="U8" i="9"/>
  <c r="U18" i="9"/>
  <c r="W346" i="9"/>
  <c r="Z438" i="8"/>
  <c r="Z56" i="8"/>
  <c r="Z697" i="8"/>
  <c r="Z753" i="8"/>
  <c r="Z986" i="8"/>
  <c r="Z994" i="8"/>
  <c r="Z173" i="8"/>
  <c r="Z806" i="8"/>
  <c r="Z1069" i="8"/>
  <c r="Z1112" i="8"/>
  <c r="Z429" i="8"/>
  <c r="Z826" i="8"/>
  <c r="W12" i="9"/>
  <c r="U22" i="9"/>
  <c r="U27" i="9"/>
  <c r="W224" i="9"/>
  <c r="Z96" i="8"/>
  <c r="Z767" i="8"/>
  <c r="Z1136" i="8"/>
  <c r="W32" i="9"/>
  <c r="U34" i="9"/>
  <c r="W34" i="9" s="1"/>
  <c r="W648" i="9"/>
  <c r="Z472" i="8"/>
  <c r="Z100" i="8"/>
  <c r="Z711" i="8"/>
  <c r="Z930" i="8"/>
  <c r="Z971" i="8"/>
  <c r="Z1013" i="8"/>
  <c r="Z1191" i="8"/>
  <c r="W26" i="9"/>
  <c r="U319" i="9"/>
  <c r="U454" i="9"/>
  <c r="Z825" i="8"/>
  <c r="Z67" i="8"/>
  <c r="Z407" i="8"/>
  <c r="Z594" i="8"/>
  <c r="Z671" i="8"/>
  <c r="Z683" i="8"/>
  <c r="Z973" i="8"/>
  <c r="W33" i="9"/>
  <c r="Z492" i="8"/>
  <c r="Z347" i="8"/>
  <c r="Z128" i="8"/>
  <c r="Z538" i="8"/>
  <c r="Z808" i="8"/>
  <c r="Z841" i="8"/>
  <c r="Z1059" i="8"/>
  <c r="W5" i="9"/>
  <c r="U17" i="9"/>
  <c r="Z84" i="8"/>
  <c r="Z332" i="8"/>
  <c r="Z557" i="8"/>
  <c r="Z588" i="8"/>
  <c r="Z601" i="8"/>
  <c r="Z846" i="8"/>
  <c r="Z899" i="8"/>
  <c r="Z1054" i="8"/>
  <c r="Z1128" i="8"/>
  <c r="U19" i="9"/>
  <c r="W28" i="9"/>
  <c r="W442" i="9"/>
  <c r="W40" i="9"/>
  <c r="U71" i="9"/>
  <c r="U97" i="9"/>
  <c r="U134" i="9"/>
  <c r="U146" i="9"/>
  <c r="U181" i="9"/>
  <c r="W181" i="9" s="1"/>
  <c r="U190" i="9"/>
  <c r="U199" i="9"/>
  <c r="W204" i="9"/>
  <c r="U219" i="9"/>
  <c r="W255" i="9"/>
  <c r="U257" i="9"/>
  <c r="U281" i="9"/>
  <c r="U283" i="9"/>
  <c r="U294" i="9"/>
  <c r="W326" i="9"/>
  <c r="U330" i="9"/>
  <c r="U357" i="9"/>
  <c r="U412" i="9"/>
  <c r="U440" i="9"/>
  <c r="W440" i="9" s="1"/>
  <c r="W501" i="9"/>
  <c r="U540" i="9"/>
  <c r="W540" i="9" s="1"/>
  <c r="U560" i="9"/>
  <c r="U576" i="9"/>
  <c r="U594" i="9"/>
  <c r="U673" i="9"/>
  <c r="W673" i="9" s="1"/>
  <c r="U682" i="9"/>
  <c r="W682" i="9" s="1"/>
  <c r="U704" i="9"/>
  <c r="W704" i="9" s="1"/>
  <c r="U721" i="9"/>
  <c r="U730" i="9"/>
  <c r="W730" i="9" s="1"/>
  <c r="U732" i="9"/>
  <c r="U741" i="9"/>
  <c r="U761" i="9"/>
  <c r="U770" i="9"/>
  <c r="U786" i="9"/>
  <c r="W786" i="9" s="1"/>
  <c r="U815" i="9"/>
  <c r="W830" i="9"/>
  <c r="W866" i="9"/>
  <c r="U871" i="9"/>
  <c r="U882" i="9"/>
  <c r="W888" i="9"/>
  <c r="W891" i="9"/>
  <c r="U893" i="9"/>
  <c r="U913" i="9"/>
  <c r="U922" i="9"/>
  <c r="U933" i="9"/>
  <c r="W933" i="9" s="1"/>
  <c r="U944" i="9"/>
  <c r="W944" i="9" s="1"/>
  <c r="U953" i="9"/>
  <c r="W953" i="9" s="1"/>
  <c r="W969" i="9"/>
  <c r="U994" i="9"/>
  <c r="U1003" i="9"/>
  <c r="U1070" i="9"/>
  <c r="W1070" i="9" s="1"/>
  <c r="U1079" i="9"/>
  <c r="W1079" i="9" s="1"/>
  <c r="W1091" i="9"/>
  <c r="U1093" i="9"/>
  <c r="W1093" i="9" s="1"/>
  <c r="U1123" i="9"/>
  <c r="U1143" i="9"/>
  <c r="U1152" i="9"/>
  <c r="U1163" i="9"/>
  <c r="U1183" i="9"/>
  <c r="U1201" i="9"/>
  <c r="W1201" i="9" s="1"/>
  <c r="U68" i="9"/>
  <c r="U73" i="9"/>
  <c r="U80" i="9"/>
  <c r="W82" i="9"/>
  <c r="U99" i="9"/>
  <c r="U120" i="9"/>
  <c r="U148" i="9"/>
  <c r="W148" i="9" s="1"/>
  <c r="U221" i="9"/>
  <c r="W221" i="9" s="1"/>
  <c r="U241" i="9"/>
  <c r="W241" i="9" s="1"/>
  <c r="W248" i="9"/>
  <c r="U285" i="9"/>
  <c r="W329" i="9"/>
  <c r="W347" i="9"/>
  <c r="U359" i="9"/>
  <c r="U361" i="9"/>
  <c r="U407" i="9"/>
  <c r="U478" i="9"/>
  <c r="U490" i="9"/>
  <c r="U603" i="9"/>
  <c r="U697" i="9"/>
  <c r="U750" i="9"/>
  <c r="W750" i="9" s="1"/>
  <c r="U808" i="9"/>
  <c r="W850" i="9"/>
  <c r="U884" i="9"/>
  <c r="W884" i="9" s="1"/>
  <c r="W908" i="9"/>
  <c r="U926" i="9"/>
  <c r="U996" i="9"/>
  <c r="W1170" i="9"/>
  <c r="W92" i="9"/>
  <c r="U108" i="9"/>
  <c r="U113" i="9"/>
  <c r="U127" i="9"/>
  <c r="U165" i="9"/>
  <c r="U167" i="9"/>
  <c r="W199" i="9"/>
  <c r="U201" i="9"/>
  <c r="W208" i="9"/>
  <c r="U243" i="9"/>
  <c r="U261" i="9"/>
  <c r="W261" i="9" s="1"/>
  <c r="U298" i="9"/>
  <c r="U423" i="9"/>
  <c r="W466" i="9"/>
  <c r="U531" i="9"/>
  <c r="U562" i="9"/>
  <c r="W573" i="9"/>
  <c r="U591" i="9"/>
  <c r="U655" i="9"/>
  <c r="U657" i="9"/>
  <c r="W692" i="9"/>
  <c r="W741" i="9"/>
  <c r="U790" i="9"/>
  <c r="U799" i="9"/>
  <c r="W799" i="9" s="1"/>
  <c r="U819" i="9"/>
  <c r="U846" i="9"/>
  <c r="W846" i="9" s="1"/>
  <c r="U855" i="9"/>
  <c r="W855" i="9" s="1"/>
  <c r="U897" i="9"/>
  <c r="U928" i="9"/>
  <c r="W928" i="9" s="1"/>
  <c r="U937" i="9"/>
  <c r="W937" i="9" s="1"/>
  <c r="U1005" i="9"/>
  <c r="W1005" i="9" s="1"/>
  <c r="W1009" i="9"/>
  <c r="U1030" i="9"/>
  <c r="W1030" i="9" s="1"/>
  <c r="U1037" i="9"/>
  <c r="W1037" i="9" s="1"/>
  <c r="U1109" i="9"/>
  <c r="W1109" i="9" s="1"/>
  <c r="U1127" i="9"/>
  <c r="U1147" i="9"/>
  <c r="W1147" i="9" s="1"/>
  <c r="U1167" i="9"/>
  <c r="U1185" i="9"/>
  <c r="W1185" i="9" s="1"/>
  <c r="U1205" i="9"/>
  <c r="W1205" i="9" s="1"/>
  <c r="U63" i="9"/>
  <c r="W63" i="9" s="1"/>
  <c r="U152" i="9"/>
  <c r="U169" i="9"/>
  <c r="U187" i="9"/>
  <c r="W187" i="9" s="1"/>
  <c r="W192" i="9"/>
  <c r="U194" i="9"/>
  <c r="U234" i="9"/>
  <c r="W259" i="9"/>
  <c r="U263" i="9"/>
  <c r="W263" i="9" s="1"/>
  <c r="U274" i="9"/>
  <c r="W296" i="9"/>
  <c r="W332" i="9"/>
  <c r="U334" i="9"/>
  <c r="W334" i="9" s="1"/>
  <c r="U400" i="9"/>
  <c r="U432" i="9"/>
  <c r="W432" i="9" s="1"/>
  <c r="U535" i="9"/>
  <c r="W541" i="9"/>
  <c r="U688" i="9"/>
  <c r="W754" i="9"/>
  <c r="U774" i="9"/>
  <c r="W774" i="9" s="1"/>
  <c r="W817" i="9"/>
  <c r="W984" i="9"/>
  <c r="W989" i="9"/>
  <c r="W993" i="9"/>
  <c r="W1042" i="9"/>
  <c r="U1074" i="9"/>
  <c r="U1081" i="9"/>
  <c r="W1081" i="9" s="1"/>
  <c r="U1097" i="9"/>
  <c r="W1097" i="9" s="1"/>
  <c r="W1149" i="9"/>
  <c r="W98" i="9"/>
  <c r="W343" i="9"/>
  <c r="W350" i="9"/>
  <c r="W384" i="9"/>
  <c r="W462" i="9"/>
  <c r="U537" i="9"/>
  <c r="U546" i="9"/>
  <c r="W586" i="9"/>
  <c r="U607" i="9"/>
  <c r="W607" i="9" s="1"/>
  <c r="U625" i="9"/>
  <c r="W625" i="9" s="1"/>
  <c r="U716" i="9"/>
  <c r="U839" i="9"/>
  <c r="U910" i="9"/>
  <c r="W916" i="9"/>
  <c r="U957" i="9"/>
  <c r="W957" i="9" s="1"/>
  <c r="W1051" i="9"/>
  <c r="U1053" i="9"/>
  <c r="W1053" i="9" s="1"/>
  <c r="U1060" i="9"/>
  <c r="W1060" i="9" s="1"/>
  <c r="U1129" i="9"/>
  <c r="W1129" i="9" s="1"/>
  <c r="W1144" i="9"/>
  <c r="U1149" i="9"/>
  <c r="U1158" i="9"/>
  <c r="W49" i="9"/>
  <c r="U89" i="9"/>
  <c r="U96" i="9"/>
  <c r="U154" i="9"/>
  <c r="U158" i="9"/>
  <c r="U278" i="9"/>
  <c r="U311" i="9"/>
  <c r="U313" i="9"/>
  <c r="U338" i="9"/>
  <c r="U418" i="9"/>
  <c r="W418" i="9" s="1"/>
  <c r="U446" i="9"/>
  <c r="W446" i="9" s="1"/>
  <c r="W505" i="9"/>
  <c r="W510" i="9"/>
  <c r="U573" i="9"/>
  <c r="U593" i="9"/>
  <c r="W593" i="9" s="1"/>
  <c r="W664" i="9"/>
  <c r="W674" i="9"/>
  <c r="U823" i="9"/>
  <c r="W823" i="9" s="1"/>
  <c r="U941" i="9"/>
  <c r="W941" i="9" s="1"/>
  <c r="U1025" i="9"/>
  <c r="U1189" i="9"/>
  <c r="W1189" i="9" s="1"/>
  <c r="U84" i="9"/>
  <c r="W84" i="9" s="1"/>
  <c r="U124" i="9"/>
  <c r="U189" i="9"/>
  <c r="U238" i="9"/>
  <c r="U340" i="9"/>
  <c r="W340" i="9" s="1"/>
  <c r="U502" i="9"/>
  <c r="W502" i="9" s="1"/>
  <c r="U523" i="9"/>
  <c r="W557" i="9"/>
  <c r="W590" i="9"/>
  <c r="U618" i="9"/>
  <c r="W640" i="9"/>
  <c r="W666" i="9"/>
  <c r="U679" i="9"/>
  <c r="U758" i="9"/>
  <c r="W758" i="9" s="1"/>
  <c r="U794" i="9"/>
  <c r="W794" i="9" s="1"/>
  <c r="U814" i="9"/>
  <c r="W814" i="9" s="1"/>
  <c r="U1062" i="9"/>
  <c r="U1069" i="9"/>
  <c r="W1069" i="9" s="1"/>
  <c r="U1092" i="9"/>
  <c r="U1106" i="9"/>
  <c r="W1106" i="9" s="1"/>
  <c r="U1171" i="9"/>
  <c r="U1200" i="9"/>
  <c r="U60" i="9"/>
  <c r="U72" i="9"/>
  <c r="W72" i="9" s="1"/>
  <c r="U133" i="9"/>
  <c r="U182" i="9"/>
  <c r="W182" i="9" s="1"/>
  <c r="W186" i="9"/>
  <c r="U198" i="9"/>
  <c r="U218" i="9"/>
  <c r="U229" i="9"/>
  <c r="W236" i="9"/>
  <c r="U249" i="9"/>
  <c r="W249" i="9" s="1"/>
  <c r="W253" i="9"/>
  <c r="W262" i="9"/>
  <c r="U282" i="9"/>
  <c r="W319" i="9"/>
  <c r="W520" i="9"/>
  <c r="U552" i="9"/>
  <c r="U778" i="9"/>
  <c r="W778" i="9" s="1"/>
  <c r="W782" i="9"/>
  <c r="U816" i="9"/>
  <c r="U903" i="9"/>
  <c r="W909" i="9"/>
  <c r="U968" i="9"/>
  <c r="U1041" i="9"/>
  <c r="W1041" i="9" s="1"/>
  <c r="U1085" i="9"/>
  <c r="W1085" i="9" s="1"/>
  <c r="W1090" i="9"/>
  <c r="U1133" i="9"/>
  <c r="W1133" i="9" s="1"/>
  <c r="U1142" i="9"/>
  <c r="U1162" i="9"/>
  <c r="U1182" i="9"/>
  <c r="W57" i="9"/>
  <c r="U140" i="9"/>
  <c r="W140" i="9" s="1"/>
  <c r="U147" i="9"/>
  <c r="W147" i="9" s="1"/>
  <c r="W216" i="9"/>
  <c r="U231" i="9"/>
  <c r="W256" i="9"/>
  <c r="U258" i="9"/>
  <c r="W258" i="9" s="1"/>
  <c r="W365" i="9"/>
  <c r="U374" i="9"/>
  <c r="W374" i="9" s="1"/>
  <c r="W482" i="9"/>
  <c r="U530" i="9"/>
  <c r="W616" i="9"/>
  <c r="U652" i="9"/>
  <c r="W769" i="9"/>
  <c r="W838" i="9"/>
  <c r="U883" i="9"/>
  <c r="U961" i="9"/>
  <c r="W961" i="9" s="1"/>
  <c r="W965" i="9"/>
  <c r="W1068" i="9"/>
  <c r="U1094" i="9"/>
  <c r="U1101" i="9"/>
  <c r="W1101" i="9" s="1"/>
  <c r="U100" i="9"/>
  <c r="U119" i="9"/>
  <c r="U149" i="9"/>
  <c r="W149" i="9" s="1"/>
  <c r="W322" i="9"/>
  <c r="W349" i="9"/>
  <c r="W356" i="9"/>
  <c r="U360" i="9"/>
  <c r="U408" i="9"/>
  <c r="W426" i="9"/>
  <c r="U436" i="9"/>
  <c r="W459" i="9"/>
  <c r="U491" i="9"/>
  <c r="W491" i="9" s="1"/>
  <c r="U511" i="9"/>
  <c r="W511" i="9" s="1"/>
  <c r="W558" i="9"/>
  <c r="U685" i="9"/>
  <c r="W685" i="9" s="1"/>
  <c r="W729" i="9"/>
  <c r="U742" i="9"/>
  <c r="W742" i="9" s="1"/>
  <c r="U762" i="9"/>
  <c r="W762" i="9" s="1"/>
  <c r="U798" i="9"/>
  <c r="W798" i="9" s="1"/>
  <c r="U807" i="9"/>
  <c r="U818" i="9"/>
  <c r="U854" i="9"/>
  <c r="W858" i="9"/>
  <c r="W872" i="9"/>
  <c r="U925" i="9"/>
  <c r="W925" i="9" s="1"/>
  <c r="W1018" i="9"/>
  <c r="U1029" i="9"/>
  <c r="W1029" i="9" s="1"/>
  <c r="U1050" i="9"/>
  <c r="W1050" i="9" s="1"/>
  <c r="U1057" i="9"/>
  <c r="W1057" i="9" s="1"/>
  <c r="U1080" i="9"/>
  <c r="U1155" i="9"/>
  <c r="U1164" i="9"/>
  <c r="W1164" i="9" s="1"/>
  <c r="U1184" i="9"/>
  <c r="U151" i="9"/>
  <c r="U175" i="9"/>
  <c r="W175" i="9" s="1"/>
  <c r="U193" i="9"/>
  <c r="W217" i="9"/>
  <c r="U222" i="9"/>
  <c r="U233" i="9"/>
  <c r="W240" i="9"/>
  <c r="U242" i="9"/>
  <c r="W242" i="9" s="1"/>
  <c r="U297" i="9"/>
  <c r="W301" i="9"/>
  <c r="U308" i="9"/>
  <c r="W366" i="9"/>
  <c r="U376" i="9"/>
  <c r="W376" i="9" s="1"/>
  <c r="W434" i="9"/>
  <c r="U474" i="9"/>
  <c r="W477" i="9"/>
  <c r="W494" i="9"/>
  <c r="U597" i="9"/>
  <c r="W597" i="9" s="1"/>
  <c r="U654" i="9"/>
  <c r="U665" i="9"/>
  <c r="W665" i="9" s="1"/>
  <c r="U687" i="9"/>
  <c r="U698" i="9"/>
  <c r="W698" i="9" s="1"/>
  <c r="U707" i="9"/>
  <c r="W707" i="9" s="1"/>
  <c r="U751" i="9"/>
  <c r="W751" i="9" s="1"/>
  <c r="W805" i="9"/>
  <c r="U865" i="9"/>
  <c r="W865" i="9" s="1"/>
  <c r="U874" i="9"/>
  <c r="U885" i="9"/>
  <c r="W885" i="9" s="1"/>
  <c r="U918" i="9"/>
  <c r="W995" i="9"/>
  <c r="U997" i="9"/>
  <c r="W997" i="9" s="1"/>
  <c r="U1066" i="9"/>
  <c r="U1073" i="9"/>
  <c r="W1073" i="9" s="1"/>
  <c r="U1096" i="9"/>
  <c r="W1100" i="9"/>
  <c r="U1117" i="9"/>
  <c r="W1117" i="9" s="1"/>
  <c r="W1122" i="9"/>
  <c r="U1126" i="9"/>
  <c r="U1166" i="9"/>
  <c r="W1197" i="9"/>
  <c r="U76" i="9"/>
  <c r="W76" i="9" s="1"/>
  <c r="W220" i="9"/>
  <c r="W483" i="9"/>
  <c r="U496" i="9"/>
  <c r="W503" i="9"/>
  <c r="U563" i="9"/>
  <c r="W563" i="9" s="1"/>
  <c r="W594" i="9"/>
  <c r="U689" i="9"/>
  <c r="W689" i="9" s="1"/>
  <c r="U700" i="9"/>
  <c r="W721" i="9"/>
  <c r="U726" i="9"/>
  <c r="W726" i="9" s="1"/>
  <c r="W733" i="9"/>
  <c r="U753" i="9"/>
  <c r="W753" i="9" s="1"/>
  <c r="W770" i="9"/>
  <c r="U791" i="9"/>
  <c r="W791" i="9" s="1"/>
  <c r="W842" i="9"/>
  <c r="W862" i="9"/>
  <c r="U878" i="9"/>
  <c r="W878" i="9" s="1"/>
  <c r="W893" i="9"/>
  <c r="U898" i="9"/>
  <c r="W898" i="9" s="1"/>
  <c r="W913" i="9"/>
  <c r="U929" i="9"/>
  <c r="W929" i="9" s="1"/>
  <c r="U938" i="9"/>
  <c r="U949" i="9"/>
  <c r="W949" i="9" s="1"/>
  <c r="U1038" i="9"/>
  <c r="U1045" i="9"/>
  <c r="U1089" i="9"/>
  <c r="W1089" i="9" s="1"/>
  <c r="W1115" i="9"/>
  <c r="U1119" i="9"/>
  <c r="U1137" i="9"/>
  <c r="W1137" i="9" s="1"/>
  <c r="U1157" i="9"/>
  <c r="U1177" i="9"/>
  <c r="W1192" i="9"/>
  <c r="W1202" i="9"/>
  <c r="U64" i="9"/>
  <c r="W164" i="9"/>
  <c r="W230" i="9"/>
  <c r="W454" i="9"/>
  <c r="U464" i="9"/>
  <c r="W464" i="9" s="1"/>
  <c r="U545" i="9"/>
  <c r="W545" i="9" s="1"/>
  <c r="U606" i="9"/>
  <c r="W606" i="9" s="1"/>
  <c r="U658" i="9"/>
  <c r="W706" i="9"/>
  <c r="U811" i="9"/>
  <c r="U822" i="9"/>
  <c r="W822" i="9" s="1"/>
  <c r="U889" i="9"/>
  <c r="W985" i="9"/>
  <c r="W1012" i="9"/>
  <c r="U1047" i="9"/>
  <c r="U1082" i="9"/>
  <c r="W1082" i="9" s="1"/>
  <c r="U1179" i="9"/>
  <c r="W1179" i="9" s="1"/>
  <c r="W1181" i="9"/>
  <c r="U130" i="9"/>
  <c r="W130" i="9" s="1"/>
  <c r="U132" i="9"/>
  <c r="W141" i="9"/>
  <c r="W142" i="9"/>
  <c r="W151" i="9"/>
  <c r="U170" i="9"/>
  <c r="U179" i="9"/>
  <c r="U226" i="9"/>
  <c r="W226" i="9" s="1"/>
  <c r="U237" i="9"/>
  <c r="U246" i="9"/>
  <c r="W246" i="9" s="1"/>
  <c r="U266" i="9"/>
  <c r="W266" i="9" s="1"/>
  <c r="U277" i="9"/>
  <c r="U279" i="9"/>
  <c r="W279" i="9" s="1"/>
  <c r="U312" i="9"/>
  <c r="U321" i="9"/>
  <c r="U339" i="9"/>
  <c r="U348" i="9"/>
  <c r="W348" i="9" s="1"/>
  <c r="U355" i="9"/>
  <c r="W375" i="9"/>
  <c r="U394" i="9"/>
  <c r="U403" i="9"/>
  <c r="W436" i="9"/>
  <c r="W450" i="9"/>
  <c r="U471" i="9"/>
  <c r="U476" i="9"/>
  <c r="W476" i="9" s="1"/>
  <c r="U508" i="9"/>
  <c r="W508" i="9" s="1"/>
  <c r="U522" i="9"/>
  <c r="W522" i="9" s="1"/>
  <c r="U547" i="9"/>
  <c r="W547" i="9" s="1"/>
  <c r="U549" i="9"/>
  <c r="U565" i="9"/>
  <c r="W565" i="9" s="1"/>
  <c r="U587" i="9"/>
  <c r="W587" i="9" s="1"/>
  <c r="W614" i="9"/>
  <c r="W621" i="9"/>
  <c r="U626" i="9"/>
  <c r="W626" i="9" s="1"/>
  <c r="U628" i="9"/>
  <c r="W654" i="9"/>
  <c r="U702" i="9"/>
  <c r="U737" i="9"/>
  <c r="W737" i="9" s="1"/>
  <c r="U757" i="9"/>
  <c r="W757" i="9" s="1"/>
  <c r="U777" i="9"/>
  <c r="W777" i="9" s="1"/>
  <c r="U802" i="9"/>
  <c r="W802" i="9" s="1"/>
  <c r="W806" i="9"/>
  <c r="U813" i="9"/>
  <c r="W813" i="9" s="1"/>
  <c r="U824" i="9"/>
  <c r="W824" i="9" s="1"/>
  <c r="W917" i="9"/>
  <c r="U920" i="9"/>
  <c r="W920" i="9" s="1"/>
  <c r="U940" i="9"/>
  <c r="W940" i="9" s="1"/>
  <c r="U958" i="9"/>
  <c r="U967" i="9"/>
  <c r="U974" i="9"/>
  <c r="U983" i="9"/>
  <c r="U1008" i="9"/>
  <c r="W1008" i="9" s="1"/>
  <c r="U1017" i="9"/>
  <c r="W1017" i="9" s="1"/>
  <c r="U1033" i="9"/>
  <c r="W1033" i="9" s="1"/>
  <c r="U1054" i="9"/>
  <c r="U1061" i="9"/>
  <c r="W1077" i="9"/>
  <c r="U1105" i="9"/>
  <c r="W1105" i="9" s="1"/>
  <c r="U1112" i="9"/>
  <c r="W1112" i="9" s="1"/>
  <c r="U1130" i="9"/>
  <c r="W1141" i="9"/>
  <c r="U1150" i="9"/>
  <c r="W1161" i="9"/>
  <c r="AM113" i="8"/>
  <c r="AF113" i="8" s="1"/>
  <c r="AL113" i="8"/>
  <c r="AE113" i="8" s="1"/>
  <c r="AN113" i="8"/>
  <c r="AO113" i="8"/>
  <c r="AT72" i="8"/>
  <c r="AK72" i="8" s="1"/>
  <c r="AC72" i="8"/>
  <c r="AS72" i="8"/>
  <c r="AJ72" i="8" s="1"/>
  <c r="AB72" i="8"/>
  <c r="Z5" i="8"/>
  <c r="AS55" i="8"/>
  <c r="AJ55" i="8" s="1"/>
  <c r="AC55" i="8"/>
  <c r="AT55" i="8"/>
  <c r="AK55" i="8" s="1"/>
  <c r="AB55" i="8"/>
  <c r="Y23" i="8"/>
  <c r="AC16" i="8"/>
  <c r="AT16" i="8"/>
  <c r="AK16" i="8" s="1"/>
  <c r="AB16" i="8"/>
  <c r="AS16" i="8"/>
  <c r="AJ16" i="8" s="1"/>
  <c r="AA16" i="8" s="1"/>
  <c r="Z23" i="8"/>
  <c r="Z27" i="8"/>
  <c r="AT36" i="8"/>
  <c r="AK36" i="8" s="1"/>
  <c r="AS36" i="8"/>
  <c r="AJ36" i="8" s="1"/>
  <c r="AA36" i="8" s="1"/>
  <c r="AL17" i="8"/>
  <c r="AE17" i="8" s="1"/>
  <c r="AO17" i="8"/>
  <c r="AN17" i="8"/>
  <c r="AM17" i="8"/>
  <c r="AF17" i="8" s="1"/>
  <c r="Z40" i="8"/>
  <c r="AT76" i="8"/>
  <c r="AK76" i="8" s="1"/>
  <c r="AC76" i="8"/>
  <c r="AB76" i="8"/>
  <c r="AS76" i="8"/>
  <c r="AJ76" i="8" s="1"/>
  <c r="AA76" i="8" s="1"/>
  <c r="AM119" i="8"/>
  <c r="AF119" i="8" s="1"/>
  <c r="AL119" i="8"/>
  <c r="AE119" i="8" s="1"/>
  <c r="AO119" i="8"/>
  <c r="AN119" i="8"/>
  <c r="AS105" i="8"/>
  <c r="AJ105" i="8" s="1"/>
  <c r="AA105" i="8" s="1"/>
  <c r="AC105" i="8"/>
  <c r="AT105" i="8"/>
  <c r="AK105" i="8" s="1"/>
  <c r="AB105" i="8"/>
  <c r="AT40" i="8"/>
  <c r="AK40" i="8" s="1"/>
  <c r="AC40" i="8"/>
  <c r="AS40" i="8"/>
  <c r="AJ40" i="8" s="1"/>
  <c r="AB40" i="8"/>
  <c r="AS87" i="8"/>
  <c r="AJ87" i="8" s="1"/>
  <c r="AT87" i="8"/>
  <c r="AK87" i="8" s="1"/>
  <c r="AM19" i="8"/>
  <c r="AF19" i="8" s="1"/>
  <c r="AL19" i="8"/>
  <c r="AE19" i="8" s="1"/>
  <c r="AO19" i="8"/>
  <c r="AN19" i="8"/>
  <c r="AS9" i="8"/>
  <c r="AJ9" i="8" s="1"/>
  <c r="AA9" i="8" s="1"/>
  <c r="AC9" i="8"/>
  <c r="AT9" i="8"/>
  <c r="AK9" i="8" s="1"/>
  <c r="AB9" i="8"/>
  <c r="AT42" i="8"/>
  <c r="AK42" i="8" s="1"/>
  <c r="AS42" i="8"/>
  <c r="AJ42" i="8" s="1"/>
  <c r="AA42" i="8" s="1"/>
  <c r="AT78" i="8"/>
  <c r="AK78" i="8" s="1"/>
  <c r="AC78" i="8"/>
  <c r="AS78" i="8"/>
  <c r="AJ78" i="8" s="1"/>
  <c r="AB78" i="8"/>
  <c r="AT6" i="8"/>
  <c r="AK6" i="8" s="1"/>
  <c r="AC6" i="8"/>
  <c r="AS6" i="8"/>
  <c r="AJ6" i="8" s="1"/>
  <c r="AB6" i="8"/>
  <c r="AT25" i="8"/>
  <c r="AK25" i="8" s="1"/>
  <c r="AS25" i="8"/>
  <c r="AJ25" i="8" s="1"/>
  <c r="AA25" i="8" s="1"/>
  <c r="AC25" i="8"/>
  <c r="AB25" i="8"/>
  <c r="AO24" i="8"/>
  <c r="AM24" i="8"/>
  <c r="AF24" i="8" s="1"/>
  <c r="X581" i="8"/>
  <c r="X568" i="8"/>
  <c r="X602" i="8"/>
  <c r="X461" i="8"/>
  <c r="X433" i="8"/>
  <c r="X428" i="8"/>
  <c r="X456" i="8"/>
  <c r="X405" i="8"/>
  <c r="X382" i="8"/>
  <c r="X313" i="8"/>
  <c r="X359" i="8"/>
  <c r="X239" i="8"/>
  <c r="X290" i="8"/>
  <c r="X262" i="8"/>
  <c r="X267" i="8"/>
  <c r="X336" i="8"/>
  <c r="X234" i="8"/>
  <c r="X211" i="8"/>
  <c r="X547" i="8"/>
  <c r="X552" i="8"/>
  <c r="X501" i="8"/>
  <c r="X542" i="8"/>
  <c r="X521" i="8"/>
  <c r="X486" i="8"/>
  <c r="X511" i="8"/>
  <c r="X491" i="8"/>
  <c r="X565" i="8"/>
  <c r="X1177" i="8"/>
  <c r="X1200" i="8"/>
  <c r="X1131" i="8"/>
  <c r="X1154" i="8"/>
  <c r="X1108" i="8"/>
  <c r="X1085" i="8"/>
  <c r="X1062" i="8"/>
  <c r="X1039" i="8"/>
  <c r="X1016" i="8"/>
  <c r="X993" i="8"/>
  <c r="X970" i="8"/>
  <c r="X901" i="8"/>
  <c r="X947" i="8"/>
  <c r="X924" i="8"/>
  <c r="X878" i="8"/>
  <c r="X855" i="8"/>
  <c r="X786" i="8"/>
  <c r="X809" i="8"/>
  <c r="X730" i="8"/>
  <c r="X758" i="8"/>
  <c r="X832" i="8"/>
  <c r="X702" i="8"/>
  <c r="X674" i="8"/>
  <c r="X646" i="8"/>
  <c r="X618" i="8"/>
  <c r="X610" i="8"/>
  <c r="X576" i="8"/>
  <c r="X597" i="8"/>
  <c r="X558" i="8"/>
  <c r="X527" i="8"/>
  <c r="X479" i="8"/>
  <c r="X589" i="8"/>
  <c r="X535" i="8"/>
  <c r="X451" i="8"/>
  <c r="X400" i="8"/>
  <c r="X377" i="8"/>
  <c r="X423" i="8"/>
  <c r="X331" i="8"/>
  <c r="X354" i="8"/>
  <c r="X308" i="8"/>
  <c r="X285" i="8"/>
  <c r="X257" i="8"/>
  <c r="X206" i="8"/>
  <c r="X155" i="8"/>
  <c r="X229" i="8"/>
  <c r="X183" i="8"/>
  <c r="X71" i="8"/>
  <c r="X99" i="8"/>
  <c r="X48" i="8"/>
  <c r="X127" i="8"/>
  <c r="AM5" i="8"/>
  <c r="AF5" i="8" s="1"/>
  <c r="AO18" i="8"/>
  <c r="AO78" i="8"/>
  <c r="AN78" i="8"/>
  <c r="AL78" i="8"/>
  <c r="AE78" i="8" s="1"/>
  <c r="AB79" i="8"/>
  <c r="AR85" i="8"/>
  <c r="AI85" i="8" s="1"/>
  <c r="AQ85" i="8"/>
  <c r="AH85" i="8" s="1"/>
  <c r="AN8" i="8"/>
  <c r="AO11" i="8"/>
  <c r="AQ16" i="8"/>
  <c r="AH16" i="8" s="1"/>
  <c r="Z16" i="8" s="1"/>
  <c r="AP18" i="8"/>
  <c r="AG18" i="8" s="1"/>
  <c r="Z18" i="8" s="1"/>
  <c r="AO20" i="8"/>
  <c r="AM20" i="8"/>
  <c r="AF20" i="8" s="1"/>
  <c r="AP20" i="8"/>
  <c r="AG20" i="8" s="1"/>
  <c r="X22" i="8"/>
  <c r="AQ22" i="8"/>
  <c r="AH22" i="8" s="1"/>
  <c r="X24" i="8"/>
  <c r="AO27" i="8"/>
  <c r="AN27" i="8"/>
  <c r="AL27" i="8"/>
  <c r="AE27" i="8" s="1"/>
  <c r="AQ30" i="8"/>
  <c r="AH30" i="8" s="1"/>
  <c r="AP39" i="8"/>
  <c r="AG39" i="8" s="1"/>
  <c r="AP41" i="8"/>
  <c r="AG41" i="8" s="1"/>
  <c r="AR45" i="8"/>
  <c r="AI45" i="8" s="1"/>
  <c r="AN47" i="8"/>
  <c r="AQ55" i="8"/>
  <c r="AH55" i="8" s="1"/>
  <c r="AQ64" i="8"/>
  <c r="AH64" i="8" s="1"/>
  <c r="Z64" i="8" s="1"/>
  <c r="AL73" i="8"/>
  <c r="AE73" i="8" s="1"/>
  <c r="AO73" i="8"/>
  <c r="AO89" i="8"/>
  <c r="AN89" i="8"/>
  <c r="AP90" i="8"/>
  <c r="AG90" i="8" s="1"/>
  <c r="L92" i="8"/>
  <c r="AN196" i="8"/>
  <c r="AO22" i="8"/>
  <c r="AM8" i="8"/>
  <c r="AF8" i="8" s="1"/>
  <c r="Y8" i="8" s="1"/>
  <c r="AP22" i="8"/>
  <c r="AG22" i="8" s="1"/>
  <c r="AT32" i="8"/>
  <c r="AK32" i="8" s="1"/>
  <c r="AA32" i="8" s="1"/>
  <c r="X1157" i="8"/>
  <c r="X1190" i="8"/>
  <c r="X1144" i="8"/>
  <c r="X1167" i="8"/>
  <c r="X1180" i="8"/>
  <c r="X1134" i="8"/>
  <c r="X1121" i="8"/>
  <c r="X1098" i="8"/>
  <c r="X1075" i="8"/>
  <c r="X1052" i="8"/>
  <c r="X1111" i="8"/>
  <c r="X1065" i="8"/>
  <c r="X1088" i="8"/>
  <c r="X1019" i="8"/>
  <c r="X1042" i="8"/>
  <c r="X1006" i="8"/>
  <c r="X996" i="8"/>
  <c r="X973" i="8"/>
  <c r="X937" i="8"/>
  <c r="X983" i="8"/>
  <c r="X950" i="8"/>
  <c r="X1029" i="8"/>
  <c r="X960" i="8"/>
  <c r="X891" i="8"/>
  <c r="X914" i="8"/>
  <c r="X881" i="8"/>
  <c r="X927" i="8"/>
  <c r="X904" i="8"/>
  <c r="X835" i="8"/>
  <c r="X868" i="8"/>
  <c r="X858" i="8"/>
  <c r="X799" i="8"/>
  <c r="X822" i="8"/>
  <c r="X789" i="8"/>
  <c r="X845" i="8"/>
  <c r="X812" i="8"/>
  <c r="X158" i="8"/>
  <c r="X135" i="8"/>
  <c r="X186" i="8"/>
  <c r="X163" i="8"/>
  <c r="X74" i="8"/>
  <c r="X51" i="8"/>
  <c r="X130" i="8"/>
  <c r="X102" i="8"/>
  <c r="X107" i="8"/>
  <c r="L1141" i="8"/>
  <c r="L1187" i="8"/>
  <c r="L1164" i="8"/>
  <c r="L1113" i="8"/>
  <c r="L1072" i="8"/>
  <c r="L1049" i="8"/>
  <c r="L1095" i="8"/>
  <c r="L1026" i="8"/>
  <c r="L1003" i="8"/>
  <c r="L980" i="8"/>
  <c r="L957" i="8"/>
  <c r="L934" i="8"/>
  <c r="L865" i="8"/>
  <c r="L842" i="8"/>
  <c r="L911" i="8"/>
  <c r="L888" i="8"/>
  <c r="L801" i="8"/>
  <c r="L824" i="8"/>
  <c r="L773" i="8"/>
  <c r="L796" i="8"/>
  <c r="L745" i="8"/>
  <c r="L819" i="8"/>
  <c r="L717" i="8"/>
  <c r="L689" i="8"/>
  <c r="L466" i="8"/>
  <c r="L438" i="8"/>
  <c r="L387" i="8"/>
  <c r="L341" i="8"/>
  <c r="L318" i="8"/>
  <c r="L364" i="8"/>
  <c r="L295" i="8"/>
  <c r="L244" i="8"/>
  <c r="L410" i="8"/>
  <c r="L272" i="8"/>
  <c r="L216" i="8"/>
  <c r="L170" i="8"/>
  <c r="L114" i="8"/>
  <c r="L193" i="8"/>
  <c r="L86" i="8"/>
  <c r="X1201" i="8"/>
  <c r="X1178" i="8"/>
  <c r="X1155" i="8"/>
  <c r="X1132" i="8"/>
  <c r="X1086" i="8"/>
  <c r="X1063" i="8"/>
  <c r="X1109" i="8"/>
  <c r="X1040" i="8"/>
  <c r="X994" i="8"/>
  <c r="X925" i="8"/>
  <c r="X1017" i="8"/>
  <c r="X971" i="8"/>
  <c r="X948" i="8"/>
  <c r="X879" i="8"/>
  <c r="X902" i="8"/>
  <c r="X856" i="8"/>
  <c r="X759" i="8"/>
  <c r="X731" i="8"/>
  <c r="X787" i="8"/>
  <c r="X833" i="8"/>
  <c r="X810" i="8"/>
  <c r="X703" i="8"/>
  <c r="X675" i="8"/>
  <c r="X619" i="8"/>
  <c r="X598" i="8"/>
  <c r="X559" i="8"/>
  <c r="X577" i="8"/>
  <c r="X647" i="8"/>
  <c r="X590" i="8"/>
  <c r="X536" i="8"/>
  <c r="X611" i="8"/>
  <c r="X528" i="8"/>
  <c r="X480" i="8"/>
  <c r="X452" i="8"/>
  <c r="X424" i="8"/>
  <c r="X378" i="8"/>
  <c r="X355" i="8"/>
  <c r="X401" i="8"/>
  <c r="X309" i="8"/>
  <c r="X258" i="8"/>
  <c r="X230" i="8"/>
  <c r="X332" i="8"/>
  <c r="X128" i="8"/>
  <c r="X27" i="8"/>
  <c r="X286" i="8"/>
  <c r="X184" i="8"/>
  <c r="X49" i="8"/>
  <c r="X156" i="8"/>
  <c r="X100" i="8"/>
  <c r="X18" i="8"/>
  <c r="AN40" i="8"/>
  <c r="AQ41" i="8"/>
  <c r="AH41" i="8" s="1"/>
  <c r="AN53" i="8"/>
  <c r="Y53" i="8" s="1"/>
  <c r="AP54" i="8"/>
  <c r="AG54" i="8" s="1"/>
  <c r="Z54" i="8" s="1"/>
  <c r="AR55" i="8"/>
  <c r="AI55" i="8" s="1"/>
  <c r="AN61" i="8"/>
  <c r="Y61" i="8" s="1"/>
  <c r="AQ73" i="8"/>
  <c r="AH73" i="8" s="1"/>
  <c r="AP73" i="8"/>
  <c r="AG73" i="8" s="1"/>
  <c r="AQ86" i="8"/>
  <c r="AH86" i="8" s="1"/>
  <c r="AQ87" i="8"/>
  <c r="AH87" i="8" s="1"/>
  <c r="AR92" i="8"/>
  <c r="AI92" i="8" s="1"/>
  <c r="AQ92" i="8"/>
  <c r="AH92" i="8" s="1"/>
  <c r="AP92" i="8"/>
  <c r="AG92" i="8" s="1"/>
  <c r="AO95" i="8"/>
  <c r="AM95" i="8"/>
  <c r="AF95" i="8" s="1"/>
  <c r="AL95" i="8"/>
  <c r="AE95" i="8" s="1"/>
  <c r="AN105" i="8"/>
  <c r="AQ177" i="8"/>
  <c r="AH177" i="8" s="1"/>
  <c r="AR185" i="8"/>
  <c r="AI185" i="8" s="1"/>
  <c r="AQ185" i="8"/>
  <c r="AH185" i="8" s="1"/>
  <c r="AP185" i="8"/>
  <c r="AG185" i="8" s="1"/>
  <c r="AP212" i="8"/>
  <c r="AG212" i="8" s="1"/>
  <c r="AS38" i="8"/>
  <c r="AJ38" i="8" s="1"/>
  <c r="AB38" i="8"/>
  <c r="AO130" i="8"/>
  <c r="AM130" i="8"/>
  <c r="AF130" i="8" s="1"/>
  <c r="AL130" i="8"/>
  <c r="AE130" i="8" s="1"/>
  <c r="AR140" i="8"/>
  <c r="AI140" i="8" s="1"/>
  <c r="AQ140" i="8"/>
  <c r="AH140" i="8" s="1"/>
  <c r="AP140" i="8"/>
  <c r="AG140" i="8" s="1"/>
  <c r="AN11" i="8"/>
  <c r="AO45" i="8"/>
  <c r="AT52" i="8"/>
  <c r="AK52" i="8" s="1"/>
  <c r="AC52" i="8"/>
  <c r="AS52" i="8"/>
  <c r="AJ52" i="8" s="1"/>
  <c r="AB52" i="8"/>
  <c r="AR130" i="8"/>
  <c r="AI130" i="8" s="1"/>
  <c r="AQ130" i="8"/>
  <c r="AH130" i="8" s="1"/>
  <c r="AP130" i="8"/>
  <c r="AG130" i="8" s="1"/>
  <c r="AN5" i="8"/>
  <c r="J15" i="11"/>
  <c r="X1185" i="8"/>
  <c r="X1149" i="8"/>
  <c r="X1195" i="8"/>
  <c r="X1139" i="8"/>
  <c r="X1172" i="8"/>
  <c r="X1126" i="8"/>
  <c r="X1116" i="8"/>
  <c r="X1162" i="8"/>
  <c r="X1080" i="8"/>
  <c r="X1103" i="8"/>
  <c r="X1093" i="8"/>
  <c r="X1057" i="8"/>
  <c r="X1024" i="8"/>
  <c r="X1047" i="8"/>
  <c r="X1001" i="8"/>
  <c r="X1070" i="8"/>
  <c r="X1011" i="8"/>
  <c r="X1034" i="8"/>
  <c r="X978" i="8"/>
  <c r="X942" i="8"/>
  <c r="X909" i="8"/>
  <c r="X988" i="8"/>
  <c r="X932" i="8"/>
  <c r="X965" i="8"/>
  <c r="X886" i="8"/>
  <c r="X896" i="8"/>
  <c r="X919" i="8"/>
  <c r="X873" i="8"/>
  <c r="X955" i="8"/>
  <c r="X863" i="8"/>
  <c r="X827" i="8"/>
  <c r="X850" i="8"/>
  <c r="X781" i="8"/>
  <c r="X804" i="8"/>
  <c r="X817" i="8"/>
  <c r="X753" i="8"/>
  <c r="X725" i="8"/>
  <c r="X794" i="8"/>
  <c r="X697" i="8"/>
  <c r="X840" i="8"/>
  <c r="X641" i="8"/>
  <c r="X613" i="8"/>
  <c r="X584" i="8"/>
  <c r="X553" i="8"/>
  <c r="X669" i="8"/>
  <c r="X592" i="8"/>
  <c r="X502" i="8"/>
  <c r="X605" i="8"/>
  <c r="X522" i="8"/>
  <c r="X571" i="8"/>
  <c r="X530" i="8"/>
  <c r="X474" i="8"/>
  <c r="X464" i="8"/>
  <c r="X512" i="8"/>
  <c r="X395" i="8"/>
  <c r="X367" i="8"/>
  <c r="X492" i="8"/>
  <c r="X408" i="8"/>
  <c r="X372" i="8"/>
  <c r="X413" i="8"/>
  <c r="X446" i="8"/>
  <c r="X390" i="8"/>
  <c r="X469" i="8"/>
  <c r="X436" i="8"/>
  <c r="X385" i="8"/>
  <c r="X339" i="8"/>
  <c r="X275" i="8"/>
  <c r="X441" i="8"/>
  <c r="X362" i="8"/>
  <c r="X321" i="8"/>
  <c r="X298" i="8"/>
  <c r="X344" i="8"/>
  <c r="X303" i="8"/>
  <c r="X349" i="8"/>
  <c r="X326" i="8"/>
  <c r="X316" i="8"/>
  <c r="X270" i="8"/>
  <c r="X280" i="8"/>
  <c r="X242" i="8"/>
  <c r="X418" i="8"/>
  <c r="X293" i="8"/>
  <c r="X247" i="8"/>
  <c r="X252" i="8"/>
  <c r="X219" i="8"/>
  <c r="X201" i="8"/>
  <c r="X224" i="8"/>
  <c r="X140" i="8"/>
  <c r="X214" i="8"/>
  <c r="X196" i="8"/>
  <c r="X145" i="8"/>
  <c r="X173" i="8"/>
  <c r="X112" i="8"/>
  <c r="X122" i="8"/>
  <c r="X56" i="8"/>
  <c r="X94" i="8"/>
  <c r="X33" i="8"/>
  <c r="X191" i="8"/>
  <c r="X117" i="8"/>
  <c r="X89" i="8"/>
  <c r="X178" i="8"/>
  <c r="X168" i="8"/>
  <c r="X66" i="8"/>
  <c r="X150" i="8"/>
  <c r="X5" i="8"/>
  <c r="X8" i="8"/>
  <c r="AP8" i="8"/>
  <c r="AG8" i="8" s="1"/>
  <c r="Z8" i="8" s="1"/>
  <c r="AP11" i="8"/>
  <c r="AG11" i="8" s="1"/>
  <c r="AQ20" i="8"/>
  <c r="AH20" i="8" s="1"/>
  <c r="AL25" i="8"/>
  <c r="AE25" i="8" s="1"/>
  <c r="AL28" i="8"/>
  <c r="AE28" i="8" s="1"/>
  <c r="AR30" i="8"/>
  <c r="AI30" i="8" s="1"/>
  <c r="AQ33" i="8"/>
  <c r="AH33" i="8" s="1"/>
  <c r="AC38" i="8"/>
  <c r="AO46" i="8"/>
  <c r="AN46" i="8"/>
  <c r="X53" i="8"/>
  <c r="AP862" i="8"/>
  <c r="AG862" i="8" s="1"/>
  <c r="AP859" i="8"/>
  <c r="AG859" i="8" s="1"/>
  <c r="AP498" i="8"/>
  <c r="AG498" i="8" s="1"/>
  <c r="AP324" i="8"/>
  <c r="AG324" i="8" s="1"/>
  <c r="AP317" i="8"/>
  <c r="AG317" i="8" s="1"/>
  <c r="AP325" i="8"/>
  <c r="AG325" i="8" s="1"/>
  <c r="AP318" i="8"/>
  <c r="AG318" i="8" s="1"/>
  <c r="AP269" i="8"/>
  <c r="AG269" i="8" s="1"/>
  <c r="AP232" i="8"/>
  <c r="AG232" i="8" s="1"/>
  <c r="AP249" i="8"/>
  <c r="AG249" i="8" s="1"/>
  <c r="AP250" i="8"/>
  <c r="AG250" i="8" s="1"/>
  <c r="AP234" i="8"/>
  <c r="AG234" i="8" s="1"/>
  <c r="AP245" i="8"/>
  <c r="AG245" i="8" s="1"/>
  <c r="AP158" i="8"/>
  <c r="AG158" i="8" s="1"/>
  <c r="Z158" i="8" s="1"/>
  <c r="AP221" i="8"/>
  <c r="AG221" i="8" s="1"/>
  <c r="AP177" i="8"/>
  <c r="AG177" i="8" s="1"/>
  <c r="AP144" i="8"/>
  <c r="AG144" i="8" s="1"/>
  <c r="AP88" i="8"/>
  <c r="AG88" i="8" s="1"/>
  <c r="AP147" i="8"/>
  <c r="AG147" i="8" s="1"/>
  <c r="AP188" i="8"/>
  <c r="AG188" i="8" s="1"/>
  <c r="AP149" i="8"/>
  <c r="AG149" i="8" s="1"/>
  <c r="AP174" i="8"/>
  <c r="AG174" i="8" s="1"/>
  <c r="AP198" i="8"/>
  <c r="AG198" i="8" s="1"/>
  <c r="AP133" i="8"/>
  <c r="AG133" i="8" s="1"/>
  <c r="AP213" i="8"/>
  <c r="AG213" i="8" s="1"/>
  <c r="AP171" i="8"/>
  <c r="AG171" i="8" s="1"/>
  <c r="AP162" i="8"/>
  <c r="AG162" i="8" s="1"/>
  <c r="AP193" i="8"/>
  <c r="AG193" i="8" s="1"/>
  <c r="AP132" i="8"/>
  <c r="AG132" i="8" s="1"/>
  <c r="AP131" i="8"/>
  <c r="AG131" i="8" s="1"/>
  <c r="AP216" i="8"/>
  <c r="AG216" i="8" s="1"/>
  <c r="AP141" i="8"/>
  <c r="AG141" i="8" s="1"/>
  <c r="X1181" i="8"/>
  <c r="X1112" i="8"/>
  <c r="X1158" i="8"/>
  <c r="X1135" i="8"/>
  <c r="X1122" i="8"/>
  <c r="X1066" i="8"/>
  <c r="X1089" i="8"/>
  <c r="X1043" i="8"/>
  <c r="X997" i="8"/>
  <c r="X1020" i="8"/>
  <c r="X974" i="8"/>
  <c r="X905" i="8"/>
  <c r="X928" i="8"/>
  <c r="X951" i="8"/>
  <c r="X882" i="8"/>
  <c r="X846" i="8"/>
  <c r="X823" i="8"/>
  <c r="X859" i="8"/>
  <c r="X836" i="8"/>
  <c r="X813" i="8"/>
  <c r="X800" i="8"/>
  <c r="X790" i="8"/>
  <c r="X136" i="8"/>
  <c r="X187" i="8"/>
  <c r="X164" i="8"/>
  <c r="X103" i="8"/>
  <c r="X30" i="8"/>
  <c r="X108" i="8"/>
  <c r="X80" i="8"/>
  <c r="X159" i="8"/>
  <c r="X131" i="8"/>
  <c r="X582" i="8"/>
  <c r="X603" i="8"/>
  <c r="X569" i="8"/>
  <c r="X434" i="8"/>
  <c r="X462" i="8"/>
  <c r="X383" i="8"/>
  <c r="X457" i="8"/>
  <c r="X406" i="8"/>
  <c r="X291" i="8"/>
  <c r="X337" i="8"/>
  <c r="X314" i="8"/>
  <c r="X360" i="8"/>
  <c r="X429" i="8"/>
  <c r="X235" i="8"/>
  <c r="X263" i="8"/>
  <c r="X268" i="8"/>
  <c r="X240" i="8"/>
  <c r="X212" i="8"/>
  <c r="AL10" i="8"/>
  <c r="AE10" i="8" s="1"/>
  <c r="Y10" i="8" s="1"/>
  <c r="AQ11" i="8"/>
  <c r="AH11" i="8" s="1"/>
  <c r="L13" i="8"/>
  <c r="AL15" i="8"/>
  <c r="AE15" i="8" s="1"/>
  <c r="X20" i="8"/>
  <c r="AP24" i="8"/>
  <c r="AG24" i="8" s="1"/>
  <c r="Z24" i="8" s="1"/>
  <c r="AM25" i="8"/>
  <c r="AF25" i="8" s="1"/>
  <c r="AM28" i="8"/>
  <c r="AF28" i="8" s="1"/>
  <c r="AO30" i="8"/>
  <c r="AN30" i="8"/>
  <c r="AL30" i="8"/>
  <c r="AE30" i="8" s="1"/>
  <c r="AB32" i="8"/>
  <c r="AR33" i="8"/>
  <c r="AI33" i="8" s="1"/>
  <c r="AP47" i="8"/>
  <c r="AG47" i="8" s="1"/>
  <c r="Z47" i="8" s="1"/>
  <c r="AL49" i="8"/>
  <c r="AE49" i="8" s="1"/>
  <c r="Y49" i="8" s="1"/>
  <c r="AP59" i="8"/>
  <c r="AG59" i="8" s="1"/>
  <c r="Z59" i="8" s="1"/>
  <c r="AQ62" i="8"/>
  <c r="AH62" i="8" s="1"/>
  <c r="AO66" i="8"/>
  <c r="AL66" i="8"/>
  <c r="AE66" i="8" s="1"/>
  <c r="AN69" i="8"/>
  <c r="Y69" i="8" s="1"/>
  <c r="AN72" i="8"/>
  <c r="AL72" i="8"/>
  <c r="AE72" i="8" s="1"/>
  <c r="AP75" i="8"/>
  <c r="AG75" i="8" s="1"/>
  <c r="AR82" i="8"/>
  <c r="AI82" i="8" s="1"/>
  <c r="AQ82" i="8"/>
  <c r="AH82" i="8" s="1"/>
  <c r="AP109" i="8"/>
  <c r="AG109" i="8" s="1"/>
  <c r="Z109" i="8" s="1"/>
  <c r="AN137" i="8"/>
  <c r="L1188" i="8"/>
  <c r="L1165" i="8"/>
  <c r="L1142" i="8"/>
  <c r="L1096" i="8"/>
  <c r="L1114" i="8"/>
  <c r="L1073" i="8"/>
  <c r="L1004" i="8"/>
  <c r="L981" i="8"/>
  <c r="L958" i="8"/>
  <c r="L1050" i="8"/>
  <c r="L1027" i="8"/>
  <c r="L912" i="8"/>
  <c r="L935" i="8"/>
  <c r="L866" i="8"/>
  <c r="L889" i="8"/>
  <c r="L843" i="8"/>
  <c r="L774" i="8"/>
  <c r="L797" i="8"/>
  <c r="L802" i="8"/>
  <c r="L820" i="8"/>
  <c r="L825" i="8"/>
  <c r="L746" i="8"/>
  <c r="L718" i="8"/>
  <c r="L690" i="8"/>
  <c r="L439" i="8"/>
  <c r="L467" i="8"/>
  <c r="L411" i="8"/>
  <c r="L388" i="8"/>
  <c r="L296" i="8"/>
  <c r="L365" i="8"/>
  <c r="L342" i="8"/>
  <c r="L319" i="8"/>
  <c r="L273" i="8"/>
  <c r="L245" i="8"/>
  <c r="L217" i="8"/>
  <c r="L194" i="8"/>
  <c r="L171" i="8"/>
  <c r="L59" i="8"/>
  <c r="L143" i="8"/>
  <c r="L87" i="8"/>
  <c r="X1196" i="8"/>
  <c r="X1173" i="8"/>
  <c r="X1186" i="8"/>
  <c r="X1140" i="8"/>
  <c r="X1163" i="8"/>
  <c r="X1150" i="8"/>
  <c r="X1104" i="8"/>
  <c r="X1094" i="8"/>
  <c r="X1127" i="8"/>
  <c r="X1058" i="8"/>
  <c r="X1081" i="8"/>
  <c r="X1071" i="8"/>
  <c r="X1048" i="8"/>
  <c r="X1035" i="8"/>
  <c r="X1025" i="8"/>
  <c r="X1002" i="8"/>
  <c r="X989" i="8"/>
  <c r="X1012" i="8"/>
  <c r="X933" i="8"/>
  <c r="X979" i="8"/>
  <c r="X966" i="8"/>
  <c r="X897" i="8"/>
  <c r="X943" i="8"/>
  <c r="X956" i="8"/>
  <c r="X920" i="8"/>
  <c r="X887" i="8"/>
  <c r="X851" i="8"/>
  <c r="X864" i="8"/>
  <c r="X874" i="8"/>
  <c r="X910" i="8"/>
  <c r="X818" i="8"/>
  <c r="X795" i="8"/>
  <c r="X782" i="8"/>
  <c r="X726" i="8"/>
  <c r="X841" i="8"/>
  <c r="X754" i="8"/>
  <c r="X698" i="8"/>
  <c r="X642" i="8"/>
  <c r="X614" i="8"/>
  <c r="X593" i="8"/>
  <c r="X670" i="8"/>
  <c r="X585" i="8"/>
  <c r="X554" i="8"/>
  <c r="X531" i="8"/>
  <c r="X606" i="8"/>
  <c r="X523" i="8"/>
  <c r="X513" i="8"/>
  <c r="X475" i="8"/>
  <c r="X572" i="8"/>
  <c r="X503" i="8"/>
  <c r="X447" i="8"/>
  <c r="X363" i="8"/>
  <c r="X465" i="8"/>
  <c r="X419" i="8"/>
  <c r="X396" i="8"/>
  <c r="X493" i="8"/>
  <c r="X437" i="8"/>
  <c r="X409" i="8"/>
  <c r="X386" i="8"/>
  <c r="X373" i="8"/>
  <c r="X271" i="8"/>
  <c r="X317" i="8"/>
  <c r="X327" i="8"/>
  <c r="X253" i="8"/>
  <c r="X294" i="8"/>
  <c r="X225" i="8"/>
  <c r="X350" i="8"/>
  <c r="X304" i="8"/>
  <c r="X243" i="8"/>
  <c r="X340" i="8"/>
  <c r="X281" i="8"/>
  <c r="X215" i="8"/>
  <c r="X169" i="8"/>
  <c r="X141" i="8"/>
  <c r="X179" i="8"/>
  <c r="X151" i="8"/>
  <c r="X202" i="8"/>
  <c r="X192" i="8"/>
  <c r="X85" i="8"/>
  <c r="X57" i="8"/>
  <c r="X113" i="8"/>
  <c r="X123" i="8"/>
  <c r="X67" i="8"/>
  <c r="X1179" i="8"/>
  <c r="X1202" i="8"/>
  <c r="X1133" i="8"/>
  <c r="X1110" i="8"/>
  <c r="X1156" i="8"/>
  <c r="X1087" i="8"/>
  <c r="X1064" i="8"/>
  <c r="X1041" i="8"/>
  <c r="X995" i="8"/>
  <c r="X1018" i="8"/>
  <c r="X949" i="8"/>
  <c r="X972" i="8"/>
  <c r="X926" i="8"/>
  <c r="X903" i="8"/>
  <c r="X880" i="8"/>
  <c r="X857" i="8"/>
  <c r="X834" i="8"/>
  <c r="X811" i="8"/>
  <c r="X788" i="8"/>
  <c r="X760" i="8"/>
  <c r="X704" i="8"/>
  <c r="X732" i="8"/>
  <c r="X620" i="8"/>
  <c r="X612" i="8"/>
  <c r="X648" i="8"/>
  <c r="X591" i="8"/>
  <c r="X676" i="8"/>
  <c r="X560" i="8"/>
  <c r="X599" i="8"/>
  <c r="X578" i="8"/>
  <c r="X529" i="8"/>
  <c r="X537" i="8"/>
  <c r="X379" i="8"/>
  <c r="X453" i="8"/>
  <c r="X425" i="8"/>
  <c r="X402" i="8"/>
  <c r="X481" i="8"/>
  <c r="X287" i="8"/>
  <c r="X333" i="8"/>
  <c r="X310" i="8"/>
  <c r="X356" i="8"/>
  <c r="X231" i="8"/>
  <c r="X259" i="8"/>
  <c r="X208" i="8"/>
  <c r="X129" i="8"/>
  <c r="X157" i="8"/>
  <c r="X101" i="8"/>
  <c r="X185" i="8"/>
  <c r="X73" i="8"/>
  <c r="AL7" i="8"/>
  <c r="AE7" i="8" s="1"/>
  <c r="AR11" i="8"/>
  <c r="AI11" i="8" s="1"/>
  <c r="AQ13" i="8"/>
  <c r="AH13" i="8" s="1"/>
  <c r="Z13" i="8" s="1"/>
  <c r="AM15" i="8"/>
  <c r="AF15" i="8" s="1"/>
  <c r="AN25" i="8"/>
  <c r="Y31" i="8"/>
  <c r="AC32" i="8"/>
  <c r="AO33" i="8"/>
  <c r="L36" i="8"/>
  <c r="L41" i="8"/>
  <c r="X46" i="8"/>
  <c r="AP58" i="8"/>
  <c r="AG58" i="8" s="1"/>
  <c r="Z61" i="8"/>
  <c r="AR66" i="8"/>
  <c r="AI66" i="8" s="1"/>
  <c r="AQ66" i="8"/>
  <c r="AH66" i="8" s="1"/>
  <c r="AP66" i="8"/>
  <c r="AG66" i="8" s="1"/>
  <c r="AN79" i="8"/>
  <c r="X82" i="8"/>
  <c r="X95" i="8"/>
  <c r="AP103" i="8"/>
  <c r="AG103" i="8" s="1"/>
  <c r="AO111" i="8"/>
  <c r="AM111" i="8"/>
  <c r="AF111" i="8" s="1"/>
  <c r="AL111" i="8"/>
  <c r="AE111" i="8" s="1"/>
  <c r="Y185" i="8"/>
  <c r="AM11" i="8"/>
  <c r="AF11" i="8" s="1"/>
  <c r="AL67" i="8"/>
  <c r="AE67" i="8" s="1"/>
  <c r="AP114" i="8"/>
  <c r="AG114" i="8" s="1"/>
  <c r="AR114" i="8"/>
  <c r="AI114" i="8" s="1"/>
  <c r="X570" i="8"/>
  <c r="X583" i="8"/>
  <c r="X604" i="8"/>
  <c r="X458" i="8"/>
  <c r="X463" i="8"/>
  <c r="X407" i="8"/>
  <c r="X384" i="8"/>
  <c r="X435" i="8"/>
  <c r="X430" i="8"/>
  <c r="X315" i="8"/>
  <c r="X361" i="8"/>
  <c r="X338" i="8"/>
  <c r="X269" i="8"/>
  <c r="X292" i="8"/>
  <c r="X264" i="8"/>
  <c r="X241" i="8"/>
  <c r="X236" i="8"/>
  <c r="X213" i="8"/>
  <c r="AS111" i="8"/>
  <c r="AJ111" i="8" s="1"/>
  <c r="AC111" i="8"/>
  <c r="AB111" i="8"/>
  <c r="AT111" i="8"/>
  <c r="AK111" i="8" s="1"/>
  <c r="AQ200" i="8"/>
  <c r="AH200" i="8" s="1"/>
  <c r="AP200" i="8"/>
  <c r="AG200" i="8" s="1"/>
  <c r="AR200" i="8"/>
  <c r="AI200" i="8" s="1"/>
  <c r="AQ859" i="8"/>
  <c r="AH859" i="8" s="1"/>
  <c r="AQ860" i="8"/>
  <c r="AH860" i="8" s="1"/>
  <c r="AQ862" i="8"/>
  <c r="AH862" i="8" s="1"/>
  <c r="AQ498" i="8"/>
  <c r="AH498" i="8" s="1"/>
  <c r="AQ501" i="8"/>
  <c r="AH501" i="8" s="1"/>
  <c r="AQ320" i="8"/>
  <c r="AH320" i="8" s="1"/>
  <c r="AR251" i="8"/>
  <c r="AI251" i="8" s="1"/>
  <c r="AQ315" i="8"/>
  <c r="AH315" i="8" s="1"/>
  <c r="AQ318" i="8"/>
  <c r="AH318" i="8" s="1"/>
  <c r="AQ232" i="8"/>
  <c r="AH232" i="8" s="1"/>
  <c r="AQ240" i="8"/>
  <c r="AH240" i="8" s="1"/>
  <c r="AR250" i="8"/>
  <c r="AI250" i="8" s="1"/>
  <c r="AQ236" i="8"/>
  <c r="AH236" i="8" s="1"/>
  <c r="AQ316" i="8"/>
  <c r="AH316" i="8" s="1"/>
  <c r="AQ103" i="8"/>
  <c r="AH103" i="8" s="1"/>
  <c r="AP165" i="8"/>
  <c r="AG165" i="8" s="1"/>
  <c r="AQ161" i="8"/>
  <c r="AH161" i="8" s="1"/>
  <c r="AQ171" i="8"/>
  <c r="AH171" i="8" s="1"/>
  <c r="AQ193" i="8"/>
  <c r="AH193" i="8" s="1"/>
  <c r="AQ190" i="8"/>
  <c r="AH190" i="8" s="1"/>
  <c r="AP137" i="8"/>
  <c r="AG137" i="8" s="1"/>
  <c r="AP136" i="8"/>
  <c r="AG136" i="8" s="1"/>
  <c r="AQ131" i="8"/>
  <c r="AH131" i="8" s="1"/>
  <c r="AP139" i="8"/>
  <c r="AG139" i="8" s="1"/>
  <c r="Z139" i="8" s="1"/>
  <c r="AQ143" i="8"/>
  <c r="AH143" i="8" s="1"/>
  <c r="Z143" i="8" s="1"/>
  <c r="X743" i="8"/>
  <c r="X761" i="8"/>
  <c r="X733" i="8"/>
  <c r="X771" i="8"/>
  <c r="X776" i="8"/>
  <c r="X738" i="8"/>
  <c r="X715" i="8"/>
  <c r="X687" i="8"/>
  <c r="X659" i="8"/>
  <c r="X720" i="8"/>
  <c r="X692" i="8"/>
  <c r="X748" i="8"/>
  <c r="X705" i="8"/>
  <c r="X766" i="8"/>
  <c r="X710" i="8"/>
  <c r="X682" i="8"/>
  <c r="X636" i="8"/>
  <c r="X654" i="8"/>
  <c r="X677" i="8"/>
  <c r="X621" i="8"/>
  <c r="X649" i="8"/>
  <c r="X626" i="8"/>
  <c r="X664" i="8"/>
  <c r="X631" i="8"/>
  <c r="X1183" i="8"/>
  <c r="X1160" i="8"/>
  <c r="X1170" i="8"/>
  <c r="X1137" i="8"/>
  <c r="X1124" i="8"/>
  <c r="X1091" i="8"/>
  <c r="X1114" i="8"/>
  <c r="X1068" i="8"/>
  <c r="X1022" i="8"/>
  <c r="X999" i="8"/>
  <c r="X1045" i="8"/>
  <c r="X986" i="8"/>
  <c r="X953" i="8"/>
  <c r="X976" i="8"/>
  <c r="X884" i="8"/>
  <c r="X907" i="8"/>
  <c r="X930" i="8"/>
  <c r="X838" i="8"/>
  <c r="X815" i="8"/>
  <c r="X848" i="8"/>
  <c r="X802" i="8"/>
  <c r="X825" i="8"/>
  <c r="X792" i="8"/>
  <c r="X861" i="8"/>
  <c r="X166" i="8"/>
  <c r="X161" i="8"/>
  <c r="X133" i="8"/>
  <c r="X189" i="8"/>
  <c r="X110" i="8"/>
  <c r="X138" i="8"/>
  <c r="X77" i="8"/>
  <c r="X54" i="8"/>
  <c r="L1189" i="8"/>
  <c r="L1166" i="8"/>
  <c r="L1143" i="8"/>
  <c r="L1115" i="8"/>
  <c r="L1097" i="8"/>
  <c r="L1051" i="8"/>
  <c r="L1074" i="8"/>
  <c r="L1028" i="8"/>
  <c r="L1005" i="8"/>
  <c r="L982" i="8"/>
  <c r="L959" i="8"/>
  <c r="L936" i="8"/>
  <c r="L867" i="8"/>
  <c r="L913" i="8"/>
  <c r="L890" i="8"/>
  <c r="L826" i="8"/>
  <c r="L821" i="8"/>
  <c r="L747" i="8"/>
  <c r="L775" i="8"/>
  <c r="L798" i="8"/>
  <c r="L844" i="8"/>
  <c r="L719" i="8"/>
  <c r="L691" i="8"/>
  <c r="L803" i="8"/>
  <c r="L468" i="8"/>
  <c r="L440" i="8"/>
  <c r="L412" i="8"/>
  <c r="L389" i="8"/>
  <c r="L366" i="8"/>
  <c r="L297" i="8"/>
  <c r="L246" i="8"/>
  <c r="L320" i="8"/>
  <c r="L274" i="8"/>
  <c r="L343" i="8"/>
  <c r="L195" i="8"/>
  <c r="L116" i="8"/>
  <c r="J17" i="11"/>
  <c r="L218" i="8"/>
  <c r="L88" i="8"/>
  <c r="L172" i="8"/>
  <c r="L37" i="8"/>
  <c r="X7" i="8"/>
  <c r="AP15" i="8"/>
  <c r="AG15" i="8" s="1"/>
  <c r="AM21" i="8"/>
  <c r="AF21" i="8" s="1"/>
  <c r="AM26" i="8"/>
  <c r="AF26" i="8" s="1"/>
  <c r="Y26" i="8" s="1"/>
  <c r="AR28" i="8"/>
  <c r="AI28" i="8" s="1"/>
  <c r="AP28" i="8"/>
  <c r="AG28" i="8" s="1"/>
  <c r="AL29" i="8"/>
  <c r="AE29" i="8" s="1"/>
  <c r="AN34" i="8"/>
  <c r="AQ36" i="8"/>
  <c r="AH36" i="8" s="1"/>
  <c r="AP37" i="8"/>
  <c r="AG37" i="8" s="1"/>
  <c r="AR42" i="8"/>
  <c r="AI42" i="8" s="1"/>
  <c r="AQ42" i="8"/>
  <c r="AH42" i="8" s="1"/>
  <c r="Z42" i="8" s="1"/>
  <c r="AP43" i="8"/>
  <c r="AG43" i="8" s="1"/>
  <c r="Z43" i="8" s="1"/>
  <c r="AN44" i="8"/>
  <c r="X47" i="8"/>
  <c r="AQ49" i="8"/>
  <c r="AH49" i="8" s="1"/>
  <c r="Z49" i="8" s="1"/>
  <c r="AP50" i="8"/>
  <c r="AG50" i="8" s="1"/>
  <c r="L64" i="8"/>
  <c r="AP65" i="8"/>
  <c r="AG65" i="8" s="1"/>
  <c r="Z65" i="8" s="1"/>
  <c r="AN73" i="8"/>
  <c r="AM76" i="8"/>
  <c r="AF76" i="8" s="1"/>
  <c r="AM78" i="8"/>
  <c r="AF78" i="8" s="1"/>
  <c r="AM89" i="8"/>
  <c r="AF89" i="8" s="1"/>
  <c r="AM107" i="8"/>
  <c r="AF107" i="8" s="1"/>
  <c r="AL107" i="8"/>
  <c r="AE107" i="8" s="1"/>
  <c r="AO107" i="8"/>
  <c r="AP116" i="8"/>
  <c r="AG116" i="8" s="1"/>
  <c r="AR116" i="8"/>
  <c r="AI116" i="8" s="1"/>
  <c r="X121" i="8"/>
  <c r="L142" i="8"/>
  <c r="AP151" i="8"/>
  <c r="AG151" i="8" s="1"/>
  <c r="AR151" i="8"/>
  <c r="AI151" i="8" s="1"/>
  <c r="AQ151" i="8"/>
  <c r="AH151" i="8" s="1"/>
  <c r="X770" i="8"/>
  <c r="X775" i="8"/>
  <c r="X780" i="8"/>
  <c r="X765" i="8"/>
  <c r="X737" i="8"/>
  <c r="X691" i="8"/>
  <c r="X663" i="8"/>
  <c r="X724" i="8"/>
  <c r="X696" i="8"/>
  <c r="X709" i="8"/>
  <c r="X742" i="8"/>
  <c r="X714" i="8"/>
  <c r="X686" i="8"/>
  <c r="X681" i="8"/>
  <c r="X640" i="8"/>
  <c r="X668" i="8"/>
  <c r="X625" i="8"/>
  <c r="X752" i="8"/>
  <c r="X658" i="8"/>
  <c r="X630" i="8"/>
  <c r="X635" i="8"/>
  <c r="X653" i="8"/>
  <c r="AN144" i="8"/>
  <c r="AM144" i="8"/>
  <c r="AF144" i="8" s="1"/>
  <c r="AO144" i="8"/>
  <c r="AL144" i="8"/>
  <c r="AE144" i="8" s="1"/>
  <c r="AR102" i="8"/>
  <c r="AI102" i="8" s="1"/>
  <c r="Z102" i="8" s="1"/>
  <c r="AM131" i="8"/>
  <c r="AF131" i="8" s="1"/>
  <c r="AO131" i="8"/>
  <c r="AN131" i="8"/>
  <c r="AT68" i="8"/>
  <c r="AK68" i="8" s="1"/>
  <c r="AA68" i="8" s="1"/>
  <c r="AC68" i="8"/>
  <c r="AO7" i="8"/>
  <c r="AP10" i="8"/>
  <c r="AG10" i="8" s="1"/>
  <c r="X543" i="8"/>
  <c r="X561" i="8"/>
  <c r="X482" i="8"/>
  <c r="X517" i="8"/>
  <c r="X507" i="8"/>
  <c r="X538" i="8"/>
  <c r="X497" i="8"/>
  <c r="X487" i="8"/>
  <c r="X548" i="8"/>
  <c r="L1192" i="8"/>
  <c r="L1169" i="8"/>
  <c r="L1146" i="8"/>
  <c r="L1100" i="8"/>
  <c r="L1118" i="8"/>
  <c r="L1054" i="8"/>
  <c r="L1077" i="8"/>
  <c r="L1031" i="8"/>
  <c r="L1008" i="8"/>
  <c r="L985" i="8"/>
  <c r="L962" i="8"/>
  <c r="L916" i="8"/>
  <c r="L939" i="8"/>
  <c r="L893" i="8"/>
  <c r="L806" i="8"/>
  <c r="L829" i="8"/>
  <c r="L870" i="8"/>
  <c r="L750" i="8"/>
  <c r="L722" i="8"/>
  <c r="L778" i="8"/>
  <c r="L694" i="8"/>
  <c r="L443" i="8"/>
  <c r="L471" i="8"/>
  <c r="L415" i="8"/>
  <c r="L300" i="8"/>
  <c r="L392" i="8"/>
  <c r="L346" i="8"/>
  <c r="L323" i="8"/>
  <c r="L369" i="8"/>
  <c r="L277" i="8"/>
  <c r="L249" i="8"/>
  <c r="L221" i="8"/>
  <c r="L175" i="8"/>
  <c r="L91" i="8"/>
  <c r="L198" i="8"/>
  <c r="L147" i="8"/>
  <c r="AP7" i="8"/>
  <c r="AG7" i="8" s="1"/>
  <c r="AQ10" i="8"/>
  <c r="AH10" i="8" s="1"/>
  <c r="AQ15" i="8"/>
  <c r="AH15" i="8" s="1"/>
  <c r="AN21" i="8"/>
  <c r="Y21" i="8" s="1"/>
  <c r="AN26" i="8"/>
  <c r="X28" i="8"/>
  <c r="AM29" i="8"/>
  <c r="AF29" i="8" s="1"/>
  <c r="AP34" i="8"/>
  <c r="AG34" i="8" s="1"/>
  <c r="AQ50" i="8"/>
  <c r="AH50" i="8" s="1"/>
  <c r="L58" i="8"/>
  <c r="AP62" i="8"/>
  <c r="AG62" i="8" s="1"/>
  <c r="Z62" i="8" s="1"/>
  <c r="AO70" i="8"/>
  <c r="AN70" i="8"/>
  <c r="AR73" i="8"/>
  <c r="AI73" i="8" s="1"/>
  <c r="AR76" i="8"/>
  <c r="AI76" i="8" s="1"/>
  <c r="AQ76" i="8"/>
  <c r="AH76" i="8" s="1"/>
  <c r="AP76" i="8"/>
  <c r="AG76" i="8" s="1"/>
  <c r="AP78" i="8"/>
  <c r="AG78" i="8" s="1"/>
  <c r="AN95" i="8"/>
  <c r="X104" i="8"/>
  <c r="AP107" i="8"/>
  <c r="AG107" i="8" s="1"/>
  <c r="AQ218" i="8"/>
  <c r="AH218" i="8" s="1"/>
  <c r="AR98" i="8"/>
  <c r="AI98" i="8" s="1"/>
  <c r="AQ98" i="8"/>
  <c r="AH98" i="8" s="1"/>
  <c r="X10" i="8"/>
  <c r="AR25" i="8"/>
  <c r="AI25" i="8" s="1"/>
  <c r="Z25" i="8" s="1"/>
  <c r="AP21" i="8"/>
  <c r="AG21" i="8" s="1"/>
  <c r="AP26" i="8"/>
  <c r="AG26" i="8" s="1"/>
  <c r="AN29" i="8"/>
  <c r="AR31" i="8"/>
  <c r="AI31" i="8" s="1"/>
  <c r="AP31" i="8"/>
  <c r="AG31" i="8" s="1"/>
  <c r="AQ37" i="8"/>
  <c r="AH37" i="8" s="1"/>
  <c r="AN38" i="8"/>
  <c r="Y38" i="8" s="1"/>
  <c r="AN43" i="8"/>
  <c r="Y43" i="8" s="1"/>
  <c r="AN52" i="8"/>
  <c r="Y52" i="8" s="1"/>
  <c r="L57" i="8"/>
  <c r="AQ58" i="8"/>
  <c r="AH58" i="8" s="1"/>
  <c r="AQ68" i="8"/>
  <c r="AH68" i="8" s="1"/>
  <c r="AP68" i="8"/>
  <c r="AG68" i="8" s="1"/>
  <c r="AQ78" i="8"/>
  <c r="AH78" i="8" s="1"/>
  <c r="AN82" i="8"/>
  <c r="Z95" i="8"/>
  <c r="AP98" i="8"/>
  <c r="AG98" i="8" s="1"/>
  <c r="AP105" i="8"/>
  <c r="AG105" i="8" s="1"/>
  <c r="AQ114" i="8"/>
  <c r="AH114" i="8" s="1"/>
  <c r="Z123" i="8"/>
  <c r="AL131" i="8"/>
  <c r="AE131" i="8" s="1"/>
  <c r="X207" i="8"/>
  <c r="AP209" i="8"/>
  <c r="AG209" i="8" s="1"/>
  <c r="AO16" i="8"/>
  <c r="AM16" i="8"/>
  <c r="AF16" i="8" s="1"/>
  <c r="AS79" i="8"/>
  <c r="AJ79" i="8" s="1"/>
  <c r="AA79" i="8" s="1"/>
  <c r="AC79" i="8"/>
  <c r="AB11" i="8"/>
  <c r="Y34" i="8"/>
  <c r="X1161" i="8"/>
  <c r="X1194" i="8"/>
  <c r="X1171" i="8"/>
  <c r="X1125" i="8"/>
  <c r="X1184" i="8"/>
  <c r="X1148" i="8"/>
  <c r="X1115" i="8"/>
  <c r="X1138" i="8"/>
  <c r="X1102" i="8"/>
  <c r="X1069" i="8"/>
  <c r="X1079" i="8"/>
  <c r="X1056" i="8"/>
  <c r="X1033" i="8"/>
  <c r="X1092" i="8"/>
  <c r="X1046" i="8"/>
  <c r="X1023" i="8"/>
  <c r="X987" i="8"/>
  <c r="X1010" i="8"/>
  <c r="X977" i="8"/>
  <c r="X1000" i="8"/>
  <c r="X941" i="8"/>
  <c r="X964" i="8"/>
  <c r="X954" i="8"/>
  <c r="X931" i="8"/>
  <c r="X918" i="8"/>
  <c r="X895" i="8"/>
  <c r="X908" i="8"/>
  <c r="X885" i="8"/>
  <c r="X839" i="8"/>
  <c r="X862" i="8"/>
  <c r="X872" i="8"/>
  <c r="X816" i="8"/>
  <c r="X849" i="8"/>
  <c r="X826" i="8"/>
  <c r="X793" i="8"/>
  <c r="X803" i="8"/>
  <c r="X190" i="8"/>
  <c r="X167" i="8"/>
  <c r="X139" i="8"/>
  <c r="X162" i="8"/>
  <c r="X134" i="8"/>
  <c r="X83" i="8"/>
  <c r="X106" i="8"/>
  <c r="AQ7" i="8"/>
  <c r="AH7" i="8" s="1"/>
  <c r="AM6" i="8"/>
  <c r="AF6" i="8" s="1"/>
  <c r="AM9" i="8"/>
  <c r="AF9" i="8" s="1"/>
  <c r="AP17" i="8"/>
  <c r="AG17" i="8" s="1"/>
  <c r="AQ19" i="8"/>
  <c r="AH19" i="8" s="1"/>
  <c r="AR21" i="8"/>
  <c r="AI21" i="8" s="1"/>
  <c r="AQ26" i="8"/>
  <c r="AH26" i="8" s="1"/>
  <c r="X31" i="8"/>
  <c r="AN32" i="8"/>
  <c r="Y32" i="8" s="1"/>
  <c r="AQ34" i="8"/>
  <c r="AH34" i="8" s="1"/>
  <c r="AP38" i="8"/>
  <c r="AG38" i="8" s="1"/>
  <c r="AQ57" i="8"/>
  <c r="AH57" i="8" s="1"/>
  <c r="L60" i="8"/>
  <c r="X61" i="8"/>
  <c r="L63" i="8"/>
  <c r="AM66" i="8"/>
  <c r="AF66" i="8" s="1"/>
  <c r="AM72" i="8"/>
  <c r="AF72" i="8" s="1"/>
  <c r="AN75" i="8"/>
  <c r="AL75" i="8"/>
  <c r="AE75" i="8" s="1"/>
  <c r="AO80" i="8"/>
  <c r="AP82" i="8"/>
  <c r="AG82" i="8" s="1"/>
  <c r="AO105" i="8"/>
  <c r="AL105" i="8"/>
  <c r="AE105" i="8" s="1"/>
  <c r="AN109" i="8"/>
  <c r="Y109" i="8" s="1"/>
  <c r="AN111" i="8"/>
  <c r="Z127" i="8"/>
  <c r="X1169" i="8"/>
  <c r="X1182" i="8"/>
  <c r="X1146" i="8"/>
  <c r="X1159" i="8"/>
  <c r="X1136" i="8"/>
  <c r="X1192" i="8"/>
  <c r="X1100" i="8"/>
  <c r="X1113" i="8"/>
  <c r="X1123" i="8"/>
  <c r="X1090" i="8"/>
  <c r="X1077" i="8"/>
  <c r="X1054" i="8"/>
  <c r="X1044" i="8"/>
  <c r="X1067" i="8"/>
  <c r="X1031" i="8"/>
  <c r="X1021" i="8"/>
  <c r="X1008" i="8"/>
  <c r="X985" i="8"/>
  <c r="X929" i="8"/>
  <c r="X962" i="8"/>
  <c r="X952" i="8"/>
  <c r="X975" i="8"/>
  <c r="X893" i="8"/>
  <c r="X998" i="8"/>
  <c r="X939" i="8"/>
  <c r="X916" i="8"/>
  <c r="X883" i="8"/>
  <c r="X906" i="8"/>
  <c r="X860" i="8"/>
  <c r="X847" i="8"/>
  <c r="X870" i="8"/>
  <c r="X824" i="8"/>
  <c r="X837" i="8"/>
  <c r="X791" i="8"/>
  <c r="X814" i="8"/>
  <c r="X801" i="8"/>
  <c r="X132" i="8"/>
  <c r="X137" i="8"/>
  <c r="X160" i="8"/>
  <c r="X81" i="8"/>
  <c r="X165" i="8"/>
  <c r="L1191" i="8"/>
  <c r="L1168" i="8"/>
  <c r="L1145" i="8"/>
  <c r="L1117" i="8"/>
  <c r="L1076" i="8"/>
  <c r="L1053" i="8"/>
  <c r="L1099" i="8"/>
  <c r="L1030" i="8"/>
  <c r="L1007" i="8"/>
  <c r="L984" i="8"/>
  <c r="L961" i="8"/>
  <c r="L938" i="8"/>
  <c r="L869" i="8"/>
  <c r="L915" i="8"/>
  <c r="L892" i="8"/>
  <c r="L777" i="8"/>
  <c r="L805" i="8"/>
  <c r="L828" i="8"/>
  <c r="L749" i="8"/>
  <c r="L721" i="8"/>
  <c r="L693" i="8"/>
  <c r="L470" i="8"/>
  <c r="L391" i="8"/>
  <c r="L442" i="8"/>
  <c r="L368" i="8"/>
  <c r="L276" i="8"/>
  <c r="L345" i="8"/>
  <c r="L322" i="8"/>
  <c r="L248" i="8"/>
  <c r="L299" i="8"/>
  <c r="L414" i="8"/>
  <c r="L220" i="8"/>
  <c r="L174" i="8"/>
  <c r="L197" i="8"/>
  <c r="L118" i="8"/>
  <c r="L62" i="8"/>
  <c r="L39" i="8"/>
  <c r="L146" i="8"/>
  <c r="L90" i="8"/>
  <c r="AM7" i="8"/>
  <c r="AF7" i="8" s="1"/>
  <c r="Z36" i="8"/>
  <c r="AO15" i="8"/>
  <c r="X549" i="8"/>
  <c r="X539" i="8"/>
  <c r="X498" i="8"/>
  <c r="X483" i="8"/>
  <c r="X518" i="8"/>
  <c r="X508" i="8"/>
  <c r="X544" i="8"/>
  <c r="X488" i="8"/>
  <c r="X562" i="8"/>
  <c r="AO12" i="8"/>
  <c r="AM12" i="8"/>
  <c r="AF12" i="8" s="1"/>
  <c r="AN12" i="8"/>
  <c r="L1193" i="8"/>
  <c r="L1119" i="8"/>
  <c r="L1170" i="8"/>
  <c r="L1147" i="8"/>
  <c r="L1078" i="8"/>
  <c r="L1101" i="8"/>
  <c r="L1055" i="8"/>
  <c r="L1032" i="8"/>
  <c r="L1009" i="8"/>
  <c r="L986" i="8"/>
  <c r="L963" i="8"/>
  <c r="L940" i="8"/>
  <c r="L917" i="8"/>
  <c r="L894" i="8"/>
  <c r="L830" i="8"/>
  <c r="L751" i="8"/>
  <c r="L779" i="8"/>
  <c r="L871" i="8"/>
  <c r="L807" i="8"/>
  <c r="L723" i="8"/>
  <c r="L695" i="8"/>
  <c r="L472" i="8"/>
  <c r="L444" i="8"/>
  <c r="L416" i="8"/>
  <c r="L393" i="8"/>
  <c r="L324" i="8"/>
  <c r="L278" i="8"/>
  <c r="L370" i="8"/>
  <c r="L347" i="8"/>
  <c r="L301" i="8"/>
  <c r="L250" i="8"/>
  <c r="L222" i="8"/>
  <c r="L120" i="8"/>
  <c r="L199" i="8"/>
  <c r="L176" i="8"/>
  <c r="L148" i="8"/>
  <c r="X34" i="8"/>
  <c r="AQ38" i="8"/>
  <c r="AH38" i="8" s="1"/>
  <c r="X43" i="8"/>
  <c r="AQ52" i="8"/>
  <c r="AH52" i="8" s="1"/>
  <c r="AR60" i="8"/>
  <c r="AI60" i="8" s="1"/>
  <c r="AQ60" i="8"/>
  <c r="AH60" i="8" s="1"/>
  <c r="AP60" i="8"/>
  <c r="AG60" i="8" s="1"/>
  <c r="Z60" i="8" s="1"/>
  <c r="AR63" i="8"/>
  <c r="AI63" i="8" s="1"/>
  <c r="AQ63" i="8"/>
  <c r="AH63" i="8" s="1"/>
  <c r="AP63" i="8"/>
  <c r="AG63" i="8" s="1"/>
  <c r="AN66" i="8"/>
  <c r="X84" i="8"/>
  <c r="AP87" i="8"/>
  <c r="AG87" i="8" s="1"/>
  <c r="AQ90" i="8"/>
  <c r="AH90" i="8" s="1"/>
  <c r="AQ93" i="8"/>
  <c r="AH93" i="8" s="1"/>
  <c r="Z93" i="8" s="1"/>
  <c r="AR97" i="8"/>
  <c r="AI97" i="8" s="1"/>
  <c r="AQ97" i="8"/>
  <c r="AH97" i="8" s="1"/>
  <c r="AP97" i="8"/>
  <c r="AG97" i="8" s="1"/>
  <c r="AP111" i="8"/>
  <c r="AG111" i="8" s="1"/>
  <c r="Z111" i="8" s="1"/>
  <c r="AQ116" i="8"/>
  <c r="AH116" i="8" s="1"/>
  <c r="AP118" i="8"/>
  <c r="AG118" i="8" s="1"/>
  <c r="AQ118" i="8"/>
  <c r="AH118" i="8" s="1"/>
  <c r="Z124" i="8"/>
  <c r="AL159" i="8"/>
  <c r="AE159" i="8" s="1"/>
  <c r="AO159" i="8"/>
  <c r="AN159" i="8"/>
  <c r="AM159" i="8"/>
  <c r="AF159" i="8" s="1"/>
  <c r="X188" i="8"/>
  <c r="AR119" i="8"/>
  <c r="AI119" i="8" s="1"/>
  <c r="AQ119" i="8"/>
  <c r="AH119" i="8" s="1"/>
  <c r="AP119" i="8"/>
  <c r="AG119" i="8" s="1"/>
  <c r="J32" i="11"/>
  <c r="X39" i="8" s="1"/>
  <c r="X21" i="8"/>
  <c r="J34" i="11"/>
  <c r="X41" i="8" s="1"/>
  <c r="AO9" i="8"/>
  <c r="X12" i="8"/>
  <c r="AQ12" i="8"/>
  <c r="AH12" i="8" s="1"/>
  <c r="AL22" i="8"/>
  <c r="AE22" i="8" s="1"/>
  <c r="AL24" i="8"/>
  <c r="AE24" i="8" s="1"/>
  <c r="X26" i="8"/>
  <c r="AP32" i="8"/>
  <c r="AG32" i="8" s="1"/>
  <c r="AL40" i="8"/>
  <c r="AE40" i="8" s="1"/>
  <c r="AR52" i="8"/>
  <c r="AI52" i="8" s="1"/>
  <c r="AR69" i="8"/>
  <c r="AI69" i="8" s="1"/>
  <c r="AQ69" i="8"/>
  <c r="AH69" i="8" s="1"/>
  <c r="AP69" i="8"/>
  <c r="AG69" i="8" s="1"/>
  <c r="Z72" i="8"/>
  <c r="X75" i="8"/>
  <c r="AQ88" i="8"/>
  <c r="AH88" i="8" s="1"/>
  <c r="AN107" i="8"/>
  <c r="X109" i="8"/>
  <c r="AR113" i="8"/>
  <c r="AI113" i="8" s="1"/>
  <c r="AQ113" i="8"/>
  <c r="AH113" i="8" s="1"/>
  <c r="AP113" i="8"/>
  <c r="AG113" i="8" s="1"/>
  <c r="AO67" i="8"/>
  <c r="AN67" i="8"/>
  <c r="AP91" i="8"/>
  <c r="AG91" i="8" s="1"/>
  <c r="AR91" i="8"/>
  <c r="AI91" i="8" s="1"/>
  <c r="X772" i="8"/>
  <c r="X767" i="8"/>
  <c r="X739" i="8"/>
  <c r="X749" i="8"/>
  <c r="X711" i="8"/>
  <c r="X683" i="8"/>
  <c r="X655" i="8"/>
  <c r="X744" i="8"/>
  <c r="X762" i="8"/>
  <c r="X716" i="8"/>
  <c r="X734" i="8"/>
  <c r="X706" i="8"/>
  <c r="X678" i="8"/>
  <c r="X665" i="8"/>
  <c r="X632" i="8"/>
  <c r="X688" i="8"/>
  <c r="X637" i="8"/>
  <c r="X622" i="8"/>
  <c r="X660" i="8"/>
  <c r="X627" i="8"/>
  <c r="X650" i="8"/>
  <c r="AP19" i="8"/>
  <c r="AG19" i="8" s="1"/>
  <c r="X1188" i="8"/>
  <c r="X1165" i="8"/>
  <c r="X1175" i="8"/>
  <c r="X1142" i="8"/>
  <c r="X1152" i="8"/>
  <c r="X1129" i="8"/>
  <c r="X1198" i="8"/>
  <c r="X1106" i="8"/>
  <c r="X1119" i="8"/>
  <c r="X1096" i="8"/>
  <c r="X1083" i="8"/>
  <c r="X1073" i="8"/>
  <c r="X1037" i="8"/>
  <c r="X1027" i="8"/>
  <c r="X1050" i="8"/>
  <c r="X1060" i="8"/>
  <c r="X1014" i="8"/>
  <c r="X991" i="8"/>
  <c r="X1004" i="8"/>
  <c r="X981" i="8"/>
  <c r="X945" i="8"/>
  <c r="X958" i="8"/>
  <c r="X968" i="8"/>
  <c r="X935" i="8"/>
  <c r="X889" i="8"/>
  <c r="X899" i="8"/>
  <c r="X853" i="8"/>
  <c r="X922" i="8"/>
  <c r="X912" i="8"/>
  <c r="X830" i="8"/>
  <c r="X843" i="8"/>
  <c r="X876" i="8"/>
  <c r="X797" i="8"/>
  <c r="X820" i="8"/>
  <c r="X784" i="8"/>
  <c r="X756" i="8"/>
  <c r="X807" i="8"/>
  <c r="X866" i="8"/>
  <c r="X700" i="8"/>
  <c r="X644" i="8"/>
  <c r="X616" i="8"/>
  <c r="X608" i="8"/>
  <c r="X672" i="8"/>
  <c r="X515" i="8"/>
  <c r="X556" i="8"/>
  <c r="X587" i="8"/>
  <c r="X574" i="8"/>
  <c r="X495" i="8"/>
  <c r="X728" i="8"/>
  <c r="X525" i="8"/>
  <c r="X467" i="8"/>
  <c r="X505" i="8"/>
  <c r="X533" i="8"/>
  <c r="X595" i="8"/>
  <c r="X477" i="8"/>
  <c r="X411" i="8"/>
  <c r="X375" i="8"/>
  <c r="X444" i="8"/>
  <c r="X416" i="8"/>
  <c r="X388" i="8"/>
  <c r="X449" i="8"/>
  <c r="X439" i="8"/>
  <c r="X398" i="8"/>
  <c r="X370" i="8"/>
  <c r="X472" i="8"/>
  <c r="X393" i="8"/>
  <c r="X319" i="8"/>
  <c r="X342" i="8"/>
  <c r="X347" i="8"/>
  <c r="X283" i="8"/>
  <c r="X365" i="8"/>
  <c r="X329" i="8"/>
  <c r="X306" i="8"/>
  <c r="X421" i="8"/>
  <c r="X278" i="8"/>
  <c r="X255" i="8"/>
  <c r="X352" i="8"/>
  <c r="X324" i="8"/>
  <c r="X301" i="8"/>
  <c r="X273" i="8"/>
  <c r="X227" i="8"/>
  <c r="X222" i="8"/>
  <c r="X250" i="8"/>
  <c r="X245" i="8"/>
  <c r="X217" i="8"/>
  <c r="X194" i="8"/>
  <c r="X296" i="8"/>
  <c r="X199" i="8"/>
  <c r="X148" i="8"/>
  <c r="X125" i="8"/>
  <c r="X176" i="8"/>
  <c r="X143" i="8"/>
  <c r="X204" i="8"/>
  <c r="X181" i="8"/>
  <c r="X59" i="8"/>
  <c r="X171" i="8"/>
  <c r="X153" i="8"/>
  <c r="X115" i="8"/>
  <c r="X97" i="8"/>
  <c r="X92" i="8"/>
  <c r="X64" i="8"/>
  <c r="X763" i="8"/>
  <c r="X735" i="8"/>
  <c r="X768" i="8"/>
  <c r="X773" i="8"/>
  <c r="X745" i="8"/>
  <c r="X778" i="8"/>
  <c r="X707" i="8"/>
  <c r="X679" i="8"/>
  <c r="X651" i="8"/>
  <c r="X750" i="8"/>
  <c r="X712" i="8"/>
  <c r="X740" i="8"/>
  <c r="X717" i="8"/>
  <c r="X722" i="8"/>
  <c r="X694" i="8"/>
  <c r="X689" i="8"/>
  <c r="X628" i="8"/>
  <c r="X684" i="8"/>
  <c r="X633" i="8"/>
  <c r="X666" i="8"/>
  <c r="X638" i="8"/>
  <c r="X661" i="8"/>
  <c r="X623" i="8"/>
  <c r="X656" i="8"/>
  <c r="AN6" i="8"/>
  <c r="AP12" i="8"/>
  <c r="AG12" i="8" s="1"/>
  <c r="Z12" i="8" s="1"/>
  <c r="X751" i="8"/>
  <c r="X779" i="8"/>
  <c r="X764" i="8"/>
  <c r="X741" i="8"/>
  <c r="X769" i="8"/>
  <c r="X723" i="8"/>
  <c r="X695" i="8"/>
  <c r="X667" i="8"/>
  <c r="X708" i="8"/>
  <c r="X713" i="8"/>
  <c r="X774" i="8"/>
  <c r="X736" i="8"/>
  <c r="X746" i="8"/>
  <c r="X718" i="8"/>
  <c r="X690" i="8"/>
  <c r="X685" i="8"/>
  <c r="X662" i="8"/>
  <c r="X624" i="8"/>
  <c r="X629" i="8"/>
  <c r="X652" i="8"/>
  <c r="X634" i="8"/>
  <c r="X639" i="8"/>
  <c r="X680" i="8"/>
  <c r="X657" i="8"/>
  <c r="X580" i="8"/>
  <c r="X601" i="8"/>
  <c r="X567" i="8"/>
  <c r="X455" i="8"/>
  <c r="X404" i="8"/>
  <c r="X460" i="8"/>
  <c r="X335" i="8"/>
  <c r="X358" i="8"/>
  <c r="X289" i="8"/>
  <c r="X432" i="8"/>
  <c r="X427" i="8"/>
  <c r="X233" i="8"/>
  <c r="X312" i="8"/>
  <c r="X266" i="8"/>
  <c r="X381" i="8"/>
  <c r="X238" i="8"/>
  <c r="X261" i="8"/>
  <c r="X210" i="8"/>
  <c r="X1153" i="8"/>
  <c r="X1189" i="8"/>
  <c r="X1176" i="8"/>
  <c r="X1166" i="8"/>
  <c r="X1143" i="8"/>
  <c r="X1120" i="8"/>
  <c r="X1199" i="8"/>
  <c r="X1107" i="8"/>
  <c r="X1097" i="8"/>
  <c r="X1130" i="8"/>
  <c r="X1061" i="8"/>
  <c r="X1084" i="8"/>
  <c r="X1074" i="8"/>
  <c r="X1051" i="8"/>
  <c r="X1038" i="8"/>
  <c r="X1005" i="8"/>
  <c r="X1028" i="8"/>
  <c r="X969" i="8"/>
  <c r="X1015" i="8"/>
  <c r="X992" i="8"/>
  <c r="X982" i="8"/>
  <c r="X913" i="8"/>
  <c r="X959" i="8"/>
  <c r="X936" i="8"/>
  <c r="X867" i="8"/>
  <c r="X923" i="8"/>
  <c r="X900" i="8"/>
  <c r="X946" i="8"/>
  <c r="X890" i="8"/>
  <c r="X877" i="8"/>
  <c r="X831" i="8"/>
  <c r="X854" i="8"/>
  <c r="X821" i="8"/>
  <c r="X798" i="8"/>
  <c r="X757" i="8"/>
  <c r="X729" i="8"/>
  <c r="X844" i="8"/>
  <c r="X808" i="8"/>
  <c r="X701" i="8"/>
  <c r="X673" i="8"/>
  <c r="X645" i="8"/>
  <c r="X617" i="8"/>
  <c r="X609" i="8"/>
  <c r="X596" i="8"/>
  <c r="X557" i="8"/>
  <c r="X575" i="8"/>
  <c r="X478" i="8"/>
  <c r="X588" i="8"/>
  <c r="X534" i="8"/>
  <c r="X496" i="8"/>
  <c r="X526" i="8"/>
  <c r="X516" i="8"/>
  <c r="X468" i="8"/>
  <c r="X422" i="8"/>
  <c r="X473" i="8"/>
  <c r="X506" i="8"/>
  <c r="X399" i="8"/>
  <c r="X371" i="8"/>
  <c r="X412" i="8"/>
  <c r="X376" i="8"/>
  <c r="X450" i="8"/>
  <c r="X440" i="8"/>
  <c r="X417" i="8"/>
  <c r="X394" i="8"/>
  <c r="X785" i="8"/>
  <c r="X389" i="8"/>
  <c r="X445" i="8"/>
  <c r="X307" i="8"/>
  <c r="X353" i="8"/>
  <c r="X330" i="8"/>
  <c r="X366" i="8"/>
  <c r="X297" i="8"/>
  <c r="X343" i="8"/>
  <c r="X348" i="8"/>
  <c r="X246" i="8"/>
  <c r="X284" i="8"/>
  <c r="X325" i="8"/>
  <c r="X251" i="8"/>
  <c r="X256" i="8"/>
  <c r="X320" i="8"/>
  <c r="X274" i="8"/>
  <c r="X279" i="8"/>
  <c r="X302" i="8"/>
  <c r="X228" i="8"/>
  <c r="X172" i="8"/>
  <c r="X144" i="8"/>
  <c r="X149" i="8"/>
  <c r="X205" i="8"/>
  <c r="X218" i="8"/>
  <c r="X177" i="8"/>
  <c r="X223" i="8"/>
  <c r="X154" i="8"/>
  <c r="X88" i="8"/>
  <c r="X65" i="8"/>
  <c r="X182" i="8"/>
  <c r="X60" i="8"/>
  <c r="X200" i="8"/>
  <c r="X195" i="8"/>
  <c r="X93" i="8"/>
  <c r="X70" i="8"/>
  <c r="X126" i="8"/>
  <c r="X116" i="8"/>
  <c r="X98" i="8"/>
  <c r="AP6" i="8"/>
  <c r="AG6" i="8" s="1"/>
  <c r="Z6" i="8" s="1"/>
  <c r="AP9" i="8"/>
  <c r="AG9" i="8" s="1"/>
  <c r="Z9" i="8" s="1"/>
  <c r="X14" i="8"/>
  <c r="AP14" i="8"/>
  <c r="AG14" i="8" s="1"/>
  <c r="Z14" i="8" s="1"/>
  <c r="AL18" i="8"/>
  <c r="AE18" i="8" s="1"/>
  <c r="AM22" i="8"/>
  <c r="AF22" i="8" s="1"/>
  <c r="AB23" i="8"/>
  <c r="AN24" i="8"/>
  <c r="X29" i="8"/>
  <c r="AQ32" i="8"/>
  <c r="AH32" i="8" s="1"/>
  <c r="AP35" i="8"/>
  <c r="AG35" i="8" s="1"/>
  <c r="AT38" i="8"/>
  <c r="AK38" i="8" s="1"/>
  <c r="AR39" i="8"/>
  <c r="AI39" i="8" s="1"/>
  <c r="AM40" i="8"/>
  <c r="AF40" i="8" s="1"/>
  <c r="AL46" i="8"/>
  <c r="AE46" i="8" s="1"/>
  <c r="X50" i="8"/>
  <c r="AP53" i="8"/>
  <c r="AG53" i="8" s="1"/>
  <c r="Z53" i="8" s="1"/>
  <c r="AL55" i="8"/>
  <c r="AE55" i="8" s="1"/>
  <c r="Y55" i="8" s="1"/>
  <c r="AN68" i="8"/>
  <c r="X69" i="8"/>
  <c r="AN76" i="8"/>
  <c r="AP81" i="8"/>
  <c r="AG81" i="8" s="1"/>
  <c r="AP85" i="8"/>
  <c r="AG85" i="8" s="1"/>
  <c r="AQ91" i="8"/>
  <c r="AH91" i="8" s="1"/>
  <c r="AP104" i="8"/>
  <c r="AG104" i="8" s="1"/>
  <c r="AO106" i="8"/>
  <c r="AL106" i="8"/>
  <c r="AE106" i="8" s="1"/>
  <c r="AR107" i="8"/>
  <c r="AI107" i="8" s="1"/>
  <c r="L115" i="8"/>
  <c r="AQ120" i="8"/>
  <c r="AH120" i="8" s="1"/>
  <c r="AP121" i="8"/>
  <c r="AG121" i="8" s="1"/>
  <c r="Z121" i="8" s="1"/>
  <c r="AN133" i="8"/>
  <c r="Z135" i="8"/>
  <c r="AP170" i="8"/>
  <c r="AG170" i="8" s="1"/>
  <c r="AN16" i="8"/>
  <c r="AR35" i="8"/>
  <c r="AI35" i="8" s="1"/>
  <c r="AO56" i="8"/>
  <c r="AN56" i="8"/>
  <c r="AL56" i="8"/>
  <c r="AE56" i="8" s="1"/>
  <c r="AR501" i="8"/>
  <c r="AI501" i="8" s="1"/>
  <c r="AQ269" i="8"/>
  <c r="AH269" i="8" s="1"/>
  <c r="AQ325" i="8"/>
  <c r="AH325" i="8" s="1"/>
  <c r="AQ324" i="8"/>
  <c r="AH324" i="8" s="1"/>
  <c r="AQ261" i="8"/>
  <c r="AH261" i="8" s="1"/>
  <c r="AQ250" i="8"/>
  <c r="AH250" i="8" s="1"/>
  <c r="AQ268" i="8"/>
  <c r="AH268" i="8" s="1"/>
  <c r="AQ147" i="8"/>
  <c r="AH147" i="8" s="1"/>
  <c r="AQ174" i="8"/>
  <c r="AH174" i="8" s="1"/>
  <c r="AQ213" i="8"/>
  <c r="AH213" i="8" s="1"/>
  <c r="AQ210" i="8"/>
  <c r="AH210" i="8" s="1"/>
  <c r="AQ199" i="8"/>
  <c r="AH199" i="8" s="1"/>
  <c r="AR218" i="8"/>
  <c r="AI218" i="8" s="1"/>
  <c r="X19" i="8"/>
  <c r="AN1183" i="8"/>
  <c r="AN1179" i="8"/>
  <c r="AN1175" i="8"/>
  <c r="Y1175" i="8" s="1"/>
  <c r="AN1167" i="8"/>
  <c r="Y1167" i="8" s="1"/>
  <c r="AN1180" i="8"/>
  <c r="AN1172" i="8"/>
  <c r="Y1172" i="8" s="1"/>
  <c r="AN1184" i="8"/>
  <c r="AN1159" i="8"/>
  <c r="Y1159" i="8" s="1"/>
  <c r="AN1176" i="8"/>
  <c r="AN1174" i="8"/>
  <c r="Y1174" i="8" s="1"/>
  <c r="AN1158" i="8"/>
  <c r="AN1129" i="8"/>
  <c r="AN1134" i="8"/>
  <c r="AN1111" i="8"/>
  <c r="AN1108" i="8"/>
  <c r="AN1103" i="8"/>
  <c r="AN1092" i="8"/>
  <c r="AN1106" i="8"/>
  <c r="AN1093" i="8"/>
  <c r="AN1131" i="8"/>
  <c r="AN1116" i="8"/>
  <c r="AN1029" i="8"/>
  <c r="AN1067" i="8"/>
  <c r="AN1070" i="8"/>
  <c r="AN1057" i="8"/>
  <c r="Y1057" i="8" s="1"/>
  <c r="AN1041" i="8"/>
  <c r="AN1044" i="8"/>
  <c r="AN1038" i="8"/>
  <c r="AN1017" i="8"/>
  <c r="AN1023" i="8"/>
  <c r="Y1023" i="8" s="1"/>
  <c r="AN1064" i="8"/>
  <c r="AN983" i="8"/>
  <c r="AN988" i="8"/>
  <c r="AN1020" i="8"/>
  <c r="AN992" i="8"/>
  <c r="AN974" i="8"/>
  <c r="Y974" i="8" s="1"/>
  <c r="AN978" i="8"/>
  <c r="AN930" i="8"/>
  <c r="AN966" i="8"/>
  <c r="AN965" i="8"/>
  <c r="AN967" i="8"/>
  <c r="AN927" i="8"/>
  <c r="AN928" i="8"/>
  <c r="AN953" i="8"/>
  <c r="AN908" i="8"/>
  <c r="AN904" i="8"/>
  <c r="AN920" i="8"/>
  <c r="AN923" i="8"/>
  <c r="AN896" i="8"/>
  <c r="AN924" i="8"/>
  <c r="AN907" i="8"/>
  <c r="AN881" i="8"/>
  <c r="AN879" i="8"/>
  <c r="AN919" i="8"/>
  <c r="AN884" i="8"/>
  <c r="AN859" i="8"/>
  <c r="AN891" i="8"/>
  <c r="AN875" i="8"/>
  <c r="AN886" i="8"/>
  <c r="AN813" i="8"/>
  <c r="AN817" i="8"/>
  <c r="AN822" i="8"/>
  <c r="AN766" i="8"/>
  <c r="AN883" i="8"/>
  <c r="AN713" i="8"/>
  <c r="AN709" i="8"/>
  <c r="AN705" i="8"/>
  <c r="AN701" i="8"/>
  <c r="AN697" i="8"/>
  <c r="AN812" i="8"/>
  <c r="AN734" i="8"/>
  <c r="AN656" i="8"/>
  <c r="AN653" i="8"/>
  <c r="AN776" i="8"/>
  <c r="AN736" i="8"/>
  <c r="AN670" i="8"/>
  <c r="AN668" i="8"/>
  <c r="AN677" i="8"/>
  <c r="AN672" i="8"/>
  <c r="AN567" i="8"/>
  <c r="AN762" i="8"/>
  <c r="AN615" i="8"/>
  <c r="Y615" i="8" s="1"/>
  <c r="AN681" i="8"/>
  <c r="AN673" i="8"/>
  <c r="AN631" i="8"/>
  <c r="AN551" i="8"/>
  <c r="AN685" i="8"/>
  <c r="AN674" i="8"/>
  <c r="AN535" i="8"/>
  <c r="Y535" i="8" s="1"/>
  <c r="AN492" i="8"/>
  <c r="AN482" i="8"/>
  <c r="AN478" i="8"/>
  <c r="AN474" i="8"/>
  <c r="AN495" i="8"/>
  <c r="AN664" i="8"/>
  <c r="AN574" i="8"/>
  <c r="AN532" i="8"/>
  <c r="AN521" i="8"/>
  <c r="AN519" i="8"/>
  <c r="AN517" i="8"/>
  <c r="Y517" i="8" s="1"/>
  <c r="AN564" i="8"/>
  <c r="AN643" i="8"/>
  <c r="AN577" i="8"/>
  <c r="AN591" i="8"/>
  <c r="AN581" i="8"/>
  <c r="Y581" i="8" s="1"/>
  <c r="AN559" i="8"/>
  <c r="Y559" i="8" s="1"/>
  <c r="AN558" i="8"/>
  <c r="AN520" i="8"/>
  <c r="AN588" i="8"/>
  <c r="AN489" i="8"/>
  <c r="AN555" i="8"/>
  <c r="AN545" i="8"/>
  <c r="AN542" i="8"/>
  <c r="AN531" i="8"/>
  <c r="AN515" i="8"/>
  <c r="AN561" i="8"/>
  <c r="AN526" i="8"/>
  <c r="AN518" i="8"/>
  <c r="AN580" i="8"/>
  <c r="AN491" i="8"/>
  <c r="AN462" i="8"/>
  <c r="Y462" i="8" s="1"/>
  <c r="AN493" i="8"/>
  <c r="Y493" i="8" s="1"/>
  <c r="AN484" i="8"/>
  <c r="AN562" i="8"/>
  <c r="AN536" i="8"/>
  <c r="AN480" i="8"/>
  <c r="AN452" i="8"/>
  <c r="AN496" i="8"/>
  <c r="AN476" i="8"/>
  <c r="Y476" i="8" s="1"/>
  <c r="AN464" i="8"/>
  <c r="AN461" i="8"/>
  <c r="AN458" i="8"/>
  <c r="Y458" i="8" s="1"/>
  <c r="AN552" i="8"/>
  <c r="AN448" i="8"/>
  <c r="AN563" i="8"/>
  <c r="AN426" i="8"/>
  <c r="AN497" i="8"/>
  <c r="Y497" i="8" s="1"/>
  <c r="AN460" i="8"/>
  <c r="AN433" i="8"/>
  <c r="AN413" i="8"/>
  <c r="AN405" i="8"/>
  <c r="AN401" i="8"/>
  <c r="AN487" i="8"/>
  <c r="AN502" i="8"/>
  <c r="AN792" i="8"/>
  <c r="AN455" i="8"/>
  <c r="AN449" i="8"/>
  <c r="AN451" i="8"/>
  <c r="AN463" i="8"/>
  <c r="AN510" i="8"/>
  <c r="AN385" i="8"/>
  <c r="AN377" i="8"/>
  <c r="AN454" i="8"/>
  <c r="Y454" i="8" s="1"/>
  <c r="AN447" i="8"/>
  <c r="Y447" i="8" s="1"/>
  <c r="AN427" i="8"/>
  <c r="AN533" i="8"/>
  <c r="AN381" i="8"/>
  <c r="AN397" i="8"/>
  <c r="AN418" i="8"/>
  <c r="AN269" i="8"/>
  <c r="AN310" i="8"/>
  <c r="AN349" i="8"/>
  <c r="AN254" i="8"/>
  <c r="AN326" i="8"/>
  <c r="AN306" i="8"/>
  <c r="AN247" i="8"/>
  <c r="AN234" i="8"/>
  <c r="AN288" i="8"/>
  <c r="AN315" i="8"/>
  <c r="AN257" i="8"/>
  <c r="AN307" i="8"/>
  <c r="AN209" i="8"/>
  <c r="AN224" i="8"/>
  <c r="AN181" i="8"/>
  <c r="AN178" i="8"/>
  <c r="AN152" i="8"/>
  <c r="AN211" i="8"/>
  <c r="Y211" i="8" s="1"/>
  <c r="AN151" i="8"/>
  <c r="AN214" i="8"/>
  <c r="AN191" i="8"/>
  <c r="AN182" i="8"/>
  <c r="AN226" i="8"/>
  <c r="AN168" i="8"/>
  <c r="AN219" i="8"/>
  <c r="AN203" i="8"/>
  <c r="AN179" i="8"/>
  <c r="Y179" i="8" s="1"/>
  <c r="AN156" i="8"/>
  <c r="Y156" i="8" s="1"/>
  <c r="AN165" i="8"/>
  <c r="AN134" i="8"/>
  <c r="AN213" i="8"/>
  <c r="AN84" i="8"/>
  <c r="AN162" i="8"/>
  <c r="AN153" i="8"/>
  <c r="Y153" i="8" s="1"/>
  <c r="AN138" i="8"/>
  <c r="Y138" i="8" s="1"/>
  <c r="X600" i="8"/>
  <c r="X579" i="8"/>
  <c r="X566" i="8"/>
  <c r="X403" i="8"/>
  <c r="X431" i="8"/>
  <c r="X426" i="8"/>
  <c r="X380" i="8"/>
  <c r="X454" i="8"/>
  <c r="X459" i="8"/>
  <c r="X334" i="8"/>
  <c r="X260" i="8"/>
  <c r="X357" i="8"/>
  <c r="X311" i="8"/>
  <c r="X288" i="8"/>
  <c r="X265" i="8"/>
  <c r="X237" i="8"/>
  <c r="X232" i="8"/>
  <c r="X209" i="8"/>
  <c r="L14" i="8"/>
  <c r="AR17" i="8"/>
  <c r="AI17" i="8" s="1"/>
  <c r="AT23" i="8"/>
  <c r="AK23" i="8" s="1"/>
  <c r="AA23" i="8" s="1"/>
  <c r="X550" i="8"/>
  <c r="X563" i="8"/>
  <c r="X489" i="8"/>
  <c r="X519" i="8"/>
  <c r="X509" i="8"/>
  <c r="X540" i="8"/>
  <c r="X484" i="8"/>
  <c r="X545" i="8"/>
  <c r="X499" i="8"/>
  <c r="L1163" i="8"/>
  <c r="L1140" i="8"/>
  <c r="L1186" i="8"/>
  <c r="L1112" i="8"/>
  <c r="L1094" i="8"/>
  <c r="L1071" i="8"/>
  <c r="L1048" i="8"/>
  <c r="L1025" i="8"/>
  <c r="L979" i="8"/>
  <c r="L1002" i="8"/>
  <c r="L933" i="8"/>
  <c r="L910" i="8"/>
  <c r="L956" i="8"/>
  <c r="L864" i="8"/>
  <c r="L887" i="8"/>
  <c r="L841" i="8"/>
  <c r="L818" i="8"/>
  <c r="L772" i="8"/>
  <c r="L823" i="8"/>
  <c r="L795" i="8"/>
  <c r="L800" i="8"/>
  <c r="L744" i="8"/>
  <c r="L716" i="8"/>
  <c r="L688" i="8"/>
  <c r="L465" i="8"/>
  <c r="L437" i="8"/>
  <c r="L409" i="8"/>
  <c r="L386" i="8"/>
  <c r="L340" i="8"/>
  <c r="L317" i="8"/>
  <c r="L294" i="8"/>
  <c r="L363" i="8"/>
  <c r="L243" i="8"/>
  <c r="L271" i="8"/>
  <c r="L215" i="8"/>
  <c r="L192" i="8"/>
  <c r="L141" i="8"/>
  <c r="L85" i="8"/>
  <c r="L169" i="8"/>
  <c r="X546" i="8"/>
  <c r="X551" i="8"/>
  <c r="X541" i="8"/>
  <c r="X520" i="8"/>
  <c r="X500" i="8"/>
  <c r="X564" i="8"/>
  <c r="X510" i="8"/>
  <c r="X490" i="8"/>
  <c r="X485" i="8"/>
  <c r="L1194" i="8"/>
  <c r="L1171" i="8"/>
  <c r="L1148" i="8"/>
  <c r="L1120" i="8"/>
  <c r="L1102" i="8"/>
  <c r="L1079" i="8"/>
  <c r="L1056" i="8"/>
  <c r="L987" i="8"/>
  <c r="L1033" i="8"/>
  <c r="L1010" i="8"/>
  <c r="L918" i="8"/>
  <c r="L941" i="8"/>
  <c r="L964" i="8"/>
  <c r="L895" i="8"/>
  <c r="L872" i="8"/>
  <c r="L831" i="8"/>
  <c r="L780" i="8"/>
  <c r="L808" i="8"/>
  <c r="L724" i="8"/>
  <c r="L696" i="8"/>
  <c r="L752" i="8"/>
  <c r="L445" i="8"/>
  <c r="L473" i="8"/>
  <c r="L325" i="8"/>
  <c r="L302" i="8"/>
  <c r="L371" i="8"/>
  <c r="L348" i="8"/>
  <c r="L417" i="8"/>
  <c r="L394" i="8"/>
  <c r="L251" i="8"/>
  <c r="L279" i="8"/>
  <c r="L223" i="8"/>
  <c r="L149" i="8"/>
  <c r="L121" i="8"/>
  <c r="L200" i="8"/>
  <c r="L177" i="8"/>
  <c r="L65" i="8"/>
  <c r="L42" i="8"/>
  <c r="AC42" i="8" s="1"/>
  <c r="L93" i="8"/>
  <c r="AL16" i="8"/>
  <c r="AE16" i="8" s="1"/>
  <c r="AM27" i="8"/>
  <c r="AF27" i="8" s="1"/>
  <c r="L35" i="8"/>
  <c r="AO40" i="8"/>
  <c r="X44" i="8"/>
  <c r="AM46" i="8"/>
  <c r="AF46" i="8" s="1"/>
  <c r="Y70" i="8"/>
  <c r="AP77" i="8"/>
  <c r="AG77" i="8" s="1"/>
  <c r="AR79" i="8"/>
  <c r="AI79" i="8" s="1"/>
  <c r="AQ79" i="8"/>
  <c r="AH79" i="8" s="1"/>
  <c r="AP79" i="8"/>
  <c r="AG79" i="8" s="1"/>
  <c r="Z79" i="8" s="1"/>
  <c r="AQ81" i="8"/>
  <c r="AH81" i="8" s="1"/>
  <c r="Y97" i="8"/>
  <c r="AM100" i="8"/>
  <c r="AF100" i="8" s="1"/>
  <c r="AQ104" i="8"/>
  <c r="AH104" i="8" s="1"/>
  <c r="X120" i="8"/>
  <c r="AN123" i="8"/>
  <c r="Y123" i="8" s="1"/>
  <c r="AR126" i="8"/>
  <c r="AI126" i="8" s="1"/>
  <c r="AQ126" i="8"/>
  <c r="AH126" i="8" s="1"/>
  <c r="AP126" i="8"/>
  <c r="AG126" i="8" s="1"/>
  <c r="AL84" i="8"/>
  <c r="AE84" i="8" s="1"/>
  <c r="AS96" i="8"/>
  <c r="AJ96" i="8" s="1"/>
  <c r="AO100" i="8"/>
  <c r="AN100" i="8"/>
  <c r="AL102" i="8"/>
  <c r="AE102" i="8" s="1"/>
  <c r="AQ105" i="8"/>
  <c r="AH105" i="8" s="1"/>
  <c r="X114" i="8"/>
  <c r="AO123" i="8"/>
  <c r="AN145" i="8"/>
  <c r="AR148" i="8"/>
  <c r="AI148" i="8" s="1"/>
  <c r="AQ148" i="8"/>
  <c r="AH148" i="8" s="1"/>
  <c r="X152" i="8"/>
  <c r="AR168" i="8"/>
  <c r="AI168" i="8" s="1"/>
  <c r="Z168" i="8" s="1"/>
  <c r="AP175" i="8"/>
  <c r="AG175" i="8" s="1"/>
  <c r="AR175" i="8"/>
  <c r="AI175" i="8" s="1"/>
  <c r="AQ175" i="8"/>
  <c r="AH175" i="8" s="1"/>
  <c r="AQ189" i="8"/>
  <c r="AH189" i="8" s="1"/>
  <c r="AN201" i="8"/>
  <c r="AP225" i="8"/>
  <c r="AG225" i="8" s="1"/>
  <c r="AR225" i="8"/>
  <c r="AI225" i="8" s="1"/>
  <c r="AQ225" i="8"/>
  <c r="AH225" i="8" s="1"/>
  <c r="AQ228" i="8"/>
  <c r="AH228" i="8" s="1"/>
  <c r="AR228" i="8"/>
  <c r="AI228" i="8" s="1"/>
  <c r="AN241" i="8"/>
  <c r="AL81" i="8"/>
  <c r="AE81" i="8" s="1"/>
  <c r="AB96" i="8"/>
  <c r="AT96" i="8"/>
  <c r="AK96" i="8" s="1"/>
  <c r="AM102" i="8"/>
  <c r="AF102" i="8" s="1"/>
  <c r="Y134" i="8"/>
  <c r="AR150" i="8"/>
  <c r="AI150" i="8" s="1"/>
  <c r="AQ150" i="8"/>
  <c r="AH150" i="8" s="1"/>
  <c r="AP150" i="8"/>
  <c r="AG150" i="8" s="1"/>
  <c r="AR172" i="8"/>
  <c r="AI172" i="8" s="1"/>
  <c r="AQ172" i="8"/>
  <c r="AH172" i="8" s="1"/>
  <c r="AR201" i="8"/>
  <c r="AI201" i="8" s="1"/>
  <c r="AM208" i="8"/>
  <c r="AF208" i="8" s="1"/>
  <c r="AL208" i="8"/>
  <c r="AE208" i="8" s="1"/>
  <c r="AR214" i="8"/>
  <c r="AI214" i="8" s="1"/>
  <c r="AP214" i="8"/>
  <c r="AG214" i="8" s="1"/>
  <c r="AM81" i="8"/>
  <c r="AF81" i="8" s="1"/>
  <c r="AN102" i="8"/>
  <c r="AN129" i="8"/>
  <c r="AR144" i="8"/>
  <c r="AI144" i="8" s="1"/>
  <c r="AQ144" i="8"/>
  <c r="AH144" i="8" s="1"/>
  <c r="AR156" i="8"/>
  <c r="AI156" i="8" s="1"/>
  <c r="AQ156" i="8"/>
  <c r="AH156" i="8" s="1"/>
  <c r="AR163" i="8"/>
  <c r="AI163" i="8" s="1"/>
  <c r="AQ163" i="8"/>
  <c r="AH163" i="8" s="1"/>
  <c r="AP163" i="8"/>
  <c r="AG163" i="8" s="1"/>
  <c r="AR179" i="8"/>
  <c r="AI179" i="8" s="1"/>
  <c r="AQ179" i="8"/>
  <c r="AH179" i="8" s="1"/>
  <c r="AP179" i="8"/>
  <c r="AG179" i="8" s="1"/>
  <c r="AQ195" i="8"/>
  <c r="AH195" i="8" s="1"/>
  <c r="AN202" i="8"/>
  <c r="AL202" i="8"/>
  <c r="AE202" i="8" s="1"/>
  <c r="AR129" i="8"/>
  <c r="AI129" i="8" s="1"/>
  <c r="AQ129" i="8"/>
  <c r="AH129" i="8" s="1"/>
  <c r="Z129" i="8" s="1"/>
  <c r="AO173" i="8"/>
  <c r="AN173" i="8"/>
  <c r="AN104" i="8"/>
  <c r="Y104" i="8" s="1"/>
  <c r="AN128" i="8"/>
  <c r="AM128" i="8"/>
  <c r="AF128" i="8" s="1"/>
  <c r="AO128" i="8"/>
  <c r="AR146" i="8"/>
  <c r="AI146" i="8" s="1"/>
  <c r="AQ146" i="8"/>
  <c r="AH146" i="8" s="1"/>
  <c r="AP146" i="8"/>
  <c r="AG146" i="8" s="1"/>
  <c r="AQ162" i="8"/>
  <c r="AH162" i="8" s="1"/>
  <c r="AL186" i="8"/>
  <c r="AE186" i="8" s="1"/>
  <c r="AO186" i="8"/>
  <c r="AN186" i="8"/>
  <c r="AR188" i="8"/>
  <c r="AI188" i="8" s="1"/>
  <c r="AQ188" i="8"/>
  <c r="AH188" i="8" s="1"/>
  <c r="AQ206" i="8"/>
  <c r="AH206" i="8" s="1"/>
  <c r="AP206" i="8"/>
  <c r="AG206" i="8" s="1"/>
  <c r="AR217" i="8"/>
  <c r="AI217" i="8" s="1"/>
  <c r="AQ217" i="8"/>
  <c r="AH217" i="8" s="1"/>
  <c r="AP217" i="8"/>
  <c r="AG217" i="8" s="1"/>
  <c r="AR142" i="8"/>
  <c r="AI142" i="8" s="1"/>
  <c r="AQ142" i="8"/>
  <c r="AH142" i="8" s="1"/>
  <c r="AP142" i="8"/>
  <c r="AG142" i="8" s="1"/>
  <c r="AR159" i="8"/>
  <c r="AI159" i="8" s="1"/>
  <c r="AQ159" i="8"/>
  <c r="AH159" i="8" s="1"/>
  <c r="AQ178" i="8"/>
  <c r="AH178" i="8" s="1"/>
  <c r="AN204" i="8"/>
  <c r="AM233" i="8"/>
  <c r="AF233" i="8" s="1"/>
  <c r="AL233" i="8"/>
  <c r="AE233" i="8" s="1"/>
  <c r="AM48" i="8"/>
  <c r="AF48" i="8" s="1"/>
  <c r="Y48" i="8" s="1"/>
  <c r="AM51" i="8"/>
  <c r="AF51" i="8" s="1"/>
  <c r="AO54" i="8"/>
  <c r="AM54" i="8"/>
  <c r="AF54" i="8" s="1"/>
  <c r="X63" i="8"/>
  <c r="AQ75" i="8"/>
  <c r="AH75" i="8" s="1"/>
  <c r="AM80" i="8"/>
  <c r="AF80" i="8" s="1"/>
  <c r="Y80" i="8" s="1"/>
  <c r="AM83" i="8"/>
  <c r="AF83" i="8" s="1"/>
  <c r="Y83" i="8" s="1"/>
  <c r="AN99" i="8"/>
  <c r="Y99" i="8" s="1"/>
  <c r="AL101" i="8"/>
  <c r="AE101" i="8" s="1"/>
  <c r="AP106" i="8"/>
  <c r="AG106" i="8" s="1"/>
  <c r="AP117" i="8"/>
  <c r="AG117" i="8" s="1"/>
  <c r="Z117" i="8" s="1"/>
  <c r="X119" i="8"/>
  <c r="AL122" i="8"/>
  <c r="AE122" i="8" s="1"/>
  <c r="AN124" i="8"/>
  <c r="AO124" i="8"/>
  <c r="AQ132" i="8"/>
  <c r="AH132" i="8" s="1"/>
  <c r="AR133" i="8"/>
  <c r="AI133" i="8" s="1"/>
  <c r="AQ133" i="8"/>
  <c r="AH133" i="8" s="1"/>
  <c r="AR136" i="8"/>
  <c r="AI136" i="8" s="1"/>
  <c r="AQ136" i="8"/>
  <c r="AH136" i="8" s="1"/>
  <c r="AN139" i="8"/>
  <c r="AM139" i="8"/>
  <c r="AF139" i="8" s="1"/>
  <c r="Y139" i="8" s="1"/>
  <c r="X142" i="8"/>
  <c r="AM150" i="8"/>
  <c r="AF150" i="8" s="1"/>
  <c r="Z154" i="8"/>
  <c r="AQ157" i="8"/>
  <c r="AH157" i="8" s="1"/>
  <c r="AP157" i="8"/>
  <c r="AG157" i="8" s="1"/>
  <c r="AR166" i="8"/>
  <c r="AI166" i="8" s="1"/>
  <c r="AQ166" i="8"/>
  <c r="AH166" i="8" s="1"/>
  <c r="AN187" i="8"/>
  <c r="AR313" i="8"/>
  <c r="AI313" i="8" s="1"/>
  <c r="AQ313" i="8"/>
  <c r="AH313" i="8" s="1"/>
  <c r="AP313" i="8"/>
  <c r="AG313" i="8" s="1"/>
  <c r="AM45" i="8"/>
  <c r="AF45" i="8" s="1"/>
  <c r="AN48" i="8"/>
  <c r="AN51" i="8"/>
  <c r="AN54" i="8"/>
  <c r="AL68" i="8"/>
  <c r="AE68" i="8" s="1"/>
  <c r="AL71" i="8"/>
  <c r="AE71" i="8" s="1"/>
  <c r="AM77" i="8"/>
  <c r="AF77" i="8" s="1"/>
  <c r="AN80" i="8"/>
  <c r="AN83" i="8"/>
  <c r="AL94" i="8"/>
  <c r="AE94" i="8" s="1"/>
  <c r="AM101" i="8"/>
  <c r="AF101" i="8" s="1"/>
  <c r="AQ106" i="8"/>
  <c r="AH106" i="8" s="1"/>
  <c r="AO108" i="8"/>
  <c r="AN108" i="8"/>
  <c r="Y108" i="8" s="1"/>
  <c r="AL110" i="8"/>
  <c r="AE110" i="8" s="1"/>
  <c r="AP115" i="8"/>
  <c r="AG115" i="8" s="1"/>
  <c r="AM122" i="8"/>
  <c r="AF122" i="8" s="1"/>
  <c r="AL126" i="8"/>
  <c r="AE126" i="8" s="1"/>
  <c r="AN132" i="8"/>
  <c r="AM132" i="8"/>
  <c r="AF132" i="8" s="1"/>
  <c r="AO132" i="8"/>
  <c r="AN140" i="8"/>
  <c r="AM140" i="8"/>
  <c r="AF140" i="8" s="1"/>
  <c r="AO140" i="8"/>
  <c r="AN150" i="8"/>
  <c r="AN163" i="8"/>
  <c r="AL188" i="8"/>
  <c r="AE188" i="8" s="1"/>
  <c r="AL189" i="8"/>
  <c r="AE189" i="8" s="1"/>
  <c r="AO189" i="8"/>
  <c r="AN189" i="8"/>
  <c r="AR191" i="8"/>
  <c r="AI191" i="8" s="1"/>
  <c r="AQ191" i="8"/>
  <c r="AH191" i="8" s="1"/>
  <c r="AP194" i="8"/>
  <c r="AG194" i="8" s="1"/>
  <c r="AQ194" i="8"/>
  <c r="AH194" i="8" s="1"/>
  <c r="AQ221" i="8"/>
  <c r="AH221" i="8" s="1"/>
  <c r="AN45" i="8"/>
  <c r="AP57" i="8"/>
  <c r="AG57" i="8" s="1"/>
  <c r="Z57" i="8" s="1"/>
  <c r="AM68" i="8"/>
  <c r="AF68" i="8" s="1"/>
  <c r="AM71" i="8"/>
  <c r="AF71" i="8" s="1"/>
  <c r="AO74" i="8"/>
  <c r="AM74" i="8"/>
  <c r="AF74" i="8" s="1"/>
  <c r="AN77" i="8"/>
  <c r="X86" i="8"/>
  <c r="AP86" i="8"/>
  <c r="AG86" i="8" s="1"/>
  <c r="Z86" i="8" s="1"/>
  <c r="AP89" i="8"/>
  <c r="AG89" i="8" s="1"/>
  <c r="Z89" i="8" s="1"/>
  <c r="AP99" i="8"/>
  <c r="AG99" i="8" s="1"/>
  <c r="Z99" i="8" s="1"/>
  <c r="AN101" i="8"/>
  <c r="AL103" i="8"/>
  <c r="AE103" i="8" s="1"/>
  <c r="AP108" i="8"/>
  <c r="AG108" i="8" s="1"/>
  <c r="Z108" i="8" s="1"/>
  <c r="AQ115" i="8"/>
  <c r="AH115" i="8" s="1"/>
  <c r="AN122" i="8"/>
  <c r="AM126" i="8"/>
  <c r="AF126" i="8" s="1"/>
  <c r="AN135" i="8"/>
  <c r="AM135" i="8"/>
  <c r="AF135" i="8" s="1"/>
  <c r="Y135" i="8" s="1"/>
  <c r="AR138" i="8"/>
  <c r="AI138" i="8" s="1"/>
  <c r="AQ138" i="8"/>
  <c r="AH138" i="8" s="1"/>
  <c r="AP138" i="8"/>
  <c r="AG138" i="8" s="1"/>
  <c r="AP156" i="8"/>
  <c r="AG156" i="8" s="1"/>
  <c r="AQ170" i="8"/>
  <c r="AH170" i="8" s="1"/>
  <c r="AR182" i="8"/>
  <c r="AI182" i="8" s="1"/>
  <c r="AQ182" i="8"/>
  <c r="AH182" i="8" s="1"/>
  <c r="AP182" i="8"/>
  <c r="AG182" i="8" s="1"/>
  <c r="Z182" i="8" s="1"/>
  <c r="AM188" i="8"/>
  <c r="AF188" i="8" s="1"/>
  <c r="AO205" i="8"/>
  <c r="AL205" i="8"/>
  <c r="AE205" i="8" s="1"/>
  <c r="AM205" i="8"/>
  <c r="AF205" i="8" s="1"/>
  <c r="AR206" i="8"/>
  <c r="AI206" i="8" s="1"/>
  <c r="AR215" i="8"/>
  <c r="AI215" i="8" s="1"/>
  <c r="AQ223" i="8"/>
  <c r="AH223" i="8" s="1"/>
  <c r="AM33" i="8"/>
  <c r="AF33" i="8" s="1"/>
  <c r="Y33" i="8" s="1"/>
  <c r="X45" i="8"/>
  <c r="AP48" i="8"/>
  <c r="AG48" i="8" s="1"/>
  <c r="Z48" i="8" s="1"/>
  <c r="AP51" i="8"/>
  <c r="AG51" i="8" s="1"/>
  <c r="Z51" i="8" s="1"/>
  <c r="AN74" i="8"/>
  <c r="AP80" i="8"/>
  <c r="AG80" i="8" s="1"/>
  <c r="Z80" i="8" s="1"/>
  <c r="AP83" i="8"/>
  <c r="AG83" i="8" s="1"/>
  <c r="Z83" i="8" s="1"/>
  <c r="AO94" i="8"/>
  <c r="AN94" i="8"/>
  <c r="AM103" i="8"/>
  <c r="AF103" i="8" s="1"/>
  <c r="AO110" i="8"/>
  <c r="AN110" i="8"/>
  <c r="AN126" i="8"/>
  <c r="AR134" i="8"/>
  <c r="AI134" i="8" s="1"/>
  <c r="AQ134" i="8"/>
  <c r="AH134" i="8" s="1"/>
  <c r="AP134" i="8"/>
  <c r="AG134" i="8" s="1"/>
  <c r="AN136" i="8"/>
  <c r="AM136" i="8"/>
  <c r="AF136" i="8" s="1"/>
  <c r="AO136" i="8"/>
  <c r="AQ165" i="8"/>
  <c r="AH165" i="8" s="1"/>
  <c r="AP172" i="8"/>
  <c r="AG172" i="8" s="1"/>
  <c r="AL173" i="8"/>
  <c r="AE173" i="8" s="1"/>
  <c r="AQ176" i="8"/>
  <c r="AH176" i="8" s="1"/>
  <c r="AM186" i="8"/>
  <c r="AF186" i="8" s="1"/>
  <c r="AN188" i="8"/>
  <c r="AP74" i="8"/>
  <c r="AG74" i="8" s="1"/>
  <c r="AP94" i="8"/>
  <c r="AG94" i="8" s="1"/>
  <c r="AP101" i="8"/>
  <c r="AG101" i="8" s="1"/>
  <c r="AN103" i="8"/>
  <c r="AP110" i="8"/>
  <c r="AG110" i="8" s="1"/>
  <c r="AN125" i="8"/>
  <c r="AM125" i="8"/>
  <c r="AF125" i="8" s="1"/>
  <c r="Y125" i="8" s="1"/>
  <c r="AL127" i="8"/>
  <c r="AE127" i="8" s="1"/>
  <c r="Y127" i="8" s="1"/>
  <c r="AR153" i="8"/>
  <c r="AI153" i="8" s="1"/>
  <c r="AQ153" i="8"/>
  <c r="AH153" i="8" s="1"/>
  <c r="AP153" i="8"/>
  <c r="AG153" i="8" s="1"/>
  <c r="AL160" i="8"/>
  <c r="AE160" i="8" s="1"/>
  <c r="AN160" i="8"/>
  <c r="AM173" i="8"/>
  <c r="AF173" i="8" s="1"/>
  <c r="AN184" i="8"/>
  <c r="AR216" i="8"/>
  <c r="AI216" i="8" s="1"/>
  <c r="X1187" i="8"/>
  <c r="X1174" i="8"/>
  <c r="X1151" i="8"/>
  <c r="X1164" i="8"/>
  <c r="X1128" i="8"/>
  <c r="X1197" i="8"/>
  <c r="X1141" i="8"/>
  <c r="X1118" i="8"/>
  <c r="X1082" i="8"/>
  <c r="X1105" i="8"/>
  <c r="X1072" i="8"/>
  <c r="X1059" i="8"/>
  <c r="X1095" i="8"/>
  <c r="X1013" i="8"/>
  <c r="X1036" i="8"/>
  <c r="X1003" i="8"/>
  <c r="X1049" i="8"/>
  <c r="X980" i="8"/>
  <c r="X1026" i="8"/>
  <c r="X990" i="8"/>
  <c r="X944" i="8"/>
  <c r="X921" i="8"/>
  <c r="X957" i="8"/>
  <c r="X934" i="8"/>
  <c r="X888" i="8"/>
  <c r="X967" i="8"/>
  <c r="X911" i="8"/>
  <c r="X865" i="8"/>
  <c r="X898" i="8"/>
  <c r="X842" i="8"/>
  <c r="X852" i="8"/>
  <c r="X819" i="8"/>
  <c r="X875" i="8"/>
  <c r="X755" i="8"/>
  <c r="X829" i="8"/>
  <c r="X796" i="8"/>
  <c r="X699" i="8"/>
  <c r="X671" i="8"/>
  <c r="X783" i="8"/>
  <c r="X727" i="8"/>
  <c r="X573" i="8"/>
  <c r="X806" i="8"/>
  <c r="X607" i="8"/>
  <c r="X643" i="8"/>
  <c r="X594" i="8"/>
  <c r="X615" i="8"/>
  <c r="X504" i="8"/>
  <c r="X532" i="8"/>
  <c r="X471" i="8"/>
  <c r="X555" i="8"/>
  <c r="X524" i="8"/>
  <c r="X514" i="8"/>
  <c r="X494" i="8"/>
  <c r="X586" i="8"/>
  <c r="X466" i="8"/>
  <c r="X438" i="8"/>
  <c r="X415" i="8"/>
  <c r="X387" i="8"/>
  <c r="X392" i="8"/>
  <c r="X443" i="8"/>
  <c r="X448" i="8"/>
  <c r="X420" i="8"/>
  <c r="X476" i="8"/>
  <c r="X410" i="8"/>
  <c r="X374" i="8"/>
  <c r="X364" i="8"/>
  <c r="X323" i="8"/>
  <c r="X346" i="8"/>
  <c r="X305" i="8"/>
  <c r="X351" i="8"/>
  <c r="X397" i="8"/>
  <c r="X369" i="8"/>
  <c r="X300" i="8"/>
  <c r="X295" i="8"/>
  <c r="X244" i="8"/>
  <c r="X272" i="8"/>
  <c r="X318" i="8"/>
  <c r="X277" i="8"/>
  <c r="X249" i="8"/>
  <c r="X341" i="8"/>
  <c r="X282" i="8"/>
  <c r="X328" i="8"/>
  <c r="X254" i="8"/>
  <c r="X124" i="8"/>
  <c r="X175" i="8"/>
  <c r="X203" i="8"/>
  <c r="X170" i="8"/>
  <c r="X198" i="8"/>
  <c r="X193" i="8"/>
  <c r="X180" i="8"/>
  <c r="X147" i="8"/>
  <c r="X216" i="8"/>
  <c r="X226" i="8"/>
  <c r="X221" i="8"/>
  <c r="AL44" i="8"/>
  <c r="AE44" i="8" s="1"/>
  <c r="AQ45" i="8"/>
  <c r="AH45" i="8" s="1"/>
  <c r="AL47" i="8"/>
  <c r="AE47" i="8" s="1"/>
  <c r="Y47" i="8" s="1"/>
  <c r="AP71" i="8"/>
  <c r="AG71" i="8" s="1"/>
  <c r="Z71" i="8" s="1"/>
  <c r="AQ74" i="8"/>
  <c r="AH74" i="8" s="1"/>
  <c r="AL76" i="8"/>
  <c r="AE76" i="8" s="1"/>
  <c r="Y76" i="8" s="1"/>
  <c r="AQ77" i="8"/>
  <c r="AH77" i="8" s="1"/>
  <c r="AL79" i="8"/>
  <c r="AE79" i="8" s="1"/>
  <c r="Y79" i="8" s="1"/>
  <c r="AQ94" i="8"/>
  <c r="AH94" i="8" s="1"/>
  <c r="AO96" i="8"/>
  <c r="AN96" i="8"/>
  <c r="AL98" i="8"/>
  <c r="AE98" i="8" s="1"/>
  <c r="AQ101" i="8"/>
  <c r="AH101" i="8" s="1"/>
  <c r="AM105" i="8"/>
  <c r="AF105" i="8" s="1"/>
  <c r="AQ110" i="8"/>
  <c r="AH110" i="8" s="1"/>
  <c r="AO112" i="8"/>
  <c r="AN112" i="8"/>
  <c r="Y112" i="8" s="1"/>
  <c r="AQ122" i="8"/>
  <c r="AH122" i="8" s="1"/>
  <c r="AP122" i="8"/>
  <c r="AG122" i="8" s="1"/>
  <c r="Z122" i="8" s="1"/>
  <c r="AN127" i="8"/>
  <c r="AP148" i="8"/>
  <c r="AG148" i="8" s="1"/>
  <c r="Z148" i="8" s="1"/>
  <c r="AR160" i="8"/>
  <c r="AI160" i="8" s="1"/>
  <c r="AQ160" i="8"/>
  <c r="AH160" i="8" s="1"/>
  <c r="AP160" i="8"/>
  <c r="AG160" i="8" s="1"/>
  <c r="Y168" i="8"/>
  <c r="AR169" i="8"/>
  <c r="AI169" i="8" s="1"/>
  <c r="AQ169" i="8"/>
  <c r="AH169" i="8" s="1"/>
  <c r="AP169" i="8"/>
  <c r="AG169" i="8" s="1"/>
  <c r="AL182" i="8"/>
  <c r="AE182" i="8" s="1"/>
  <c r="Y182" i="8" s="1"/>
  <c r="AP218" i="8"/>
  <c r="AG218" i="8" s="1"/>
  <c r="Y226" i="8"/>
  <c r="AO50" i="8"/>
  <c r="AM50" i="8"/>
  <c r="AF50" i="8" s="1"/>
  <c r="Y50" i="8" s="1"/>
  <c r="AO82" i="8"/>
  <c r="AM82" i="8"/>
  <c r="AF82" i="8" s="1"/>
  <c r="X91" i="8"/>
  <c r="AM98" i="8"/>
  <c r="AF98" i="8" s="1"/>
  <c r="AP120" i="8"/>
  <c r="AG120" i="8" s="1"/>
  <c r="AO127" i="8"/>
  <c r="AL128" i="8"/>
  <c r="AE128" i="8" s="1"/>
  <c r="AM157" i="8"/>
  <c r="AF157" i="8" s="1"/>
  <c r="AN164" i="8"/>
  <c r="AM191" i="8"/>
  <c r="AF191" i="8" s="1"/>
  <c r="Y191" i="8" s="1"/>
  <c r="AR203" i="8"/>
  <c r="AI203" i="8" s="1"/>
  <c r="AQ203" i="8"/>
  <c r="AH203" i="8" s="1"/>
  <c r="AP203" i="8"/>
  <c r="AG203" i="8" s="1"/>
  <c r="AN205" i="8"/>
  <c r="AR248" i="8"/>
  <c r="AI248" i="8" s="1"/>
  <c r="AN98" i="8"/>
  <c r="Y124" i="8"/>
  <c r="AN155" i="8"/>
  <c r="AP159" i="8"/>
  <c r="AG159" i="8" s="1"/>
  <c r="AO166" i="8"/>
  <c r="AN166" i="8"/>
  <c r="AL166" i="8"/>
  <c r="AE166" i="8" s="1"/>
  <c r="Y166" i="8" s="1"/>
  <c r="Z205" i="8"/>
  <c r="AN210" i="8"/>
  <c r="AM151" i="8"/>
  <c r="AF151" i="8" s="1"/>
  <c r="Y151" i="8" s="1"/>
  <c r="AN154" i="8"/>
  <c r="AN157" i="8"/>
  <c r="AO163" i="8"/>
  <c r="AR178" i="8"/>
  <c r="AI178" i="8" s="1"/>
  <c r="AL180" i="8"/>
  <c r="AE180" i="8" s="1"/>
  <c r="AR181" i="8"/>
  <c r="AI181" i="8" s="1"/>
  <c r="AM183" i="8"/>
  <c r="AF183" i="8" s="1"/>
  <c r="AR192" i="8"/>
  <c r="AI192" i="8" s="1"/>
  <c r="AQ192" i="8"/>
  <c r="AH192" i="8" s="1"/>
  <c r="AP197" i="8"/>
  <c r="AG197" i="8" s="1"/>
  <c r="AP202" i="8"/>
  <c r="AG202" i="8" s="1"/>
  <c r="Z202" i="8" s="1"/>
  <c r="AQ204" i="8"/>
  <c r="AH204" i="8" s="1"/>
  <c r="Z204" i="8" s="1"/>
  <c r="AN207" i="8"/>
  <c r="AQ209" i="8"/>
  <c r="AH209" i="8" s="1"/>
  <c r="AQ212" i="8"/>
  <c r="AH212" i="8" s="1"/>
  <c r="AQ215" i="8"/>
  <c r="AH215" i="8" s="1"/>
  <c r="AR226" i="8"/>
  <c r="AI226" i="8" s="1"/>
  <c r="AP226" i="8"/>
  <c r="AG226" i="8" s="1"/>
  <c r="AM180" i="8"/>
  <c r="AF180" i="8" s="1"/>
  <c r="AN183" i="8"/>
  <c r="AQ197" i="8"/>
  <c r="AH197" i="8" s="1"/>
  <c r="AO207" i="8"/>
  <c r="AR209" i="8"/>
  <c r="AI209" i="8" s="1"/>
  <c r="AO212" i="8"/>
  <c r="AM212" i="8"/>
  <c r="AF212" i="8" s="1"/>
  <c r="AO261" i="8"/>
  <c r="AL261" i="8"/>
  <c r="AE261" i="8" s="1"/>
  <c r="AN261" i="8"/>
  <c r="AM261" i="8"/>
  <c r="AF261" i="8" s="1"/>
  <c r="AR302" i="8"/>
  <c r="AI302" i="8" s="1"/>
  <c r="AQ302" i="8"/>
  <c r="AH302" i="8" s="1"/>
  <c r="AP302" i="8"/>
  <c r="AG302" i="8" s="1"/>
  <c r="AR341" i="8"/>
  <c r="AI341" i="8" s="1"/>
  <c r="AQ341" i="8"/>
  <c r="AH341" i="8" s="1"/>
  <c r="AP341" i="8"/>
  <c r="AG341" i="8" s="1"/>
  <c r="AO151" i="8"/>
  <c r="AL162" i="8"/>
  <c r="AE162" i="8" s="1"/>
  <c r="Y162" i="8" s="1"/>
  <c r="AL165" i="8"/>
  <c r="AE165" i="8" s="1"/>
  <c r="Y165" i="8" s="1"/>
  <c r="AN180" i="8"/>
  <c r="AO183" i="8"/>
  <c r="AP186" i="8"/>
  <c r="AG186" i="8" s="1"/>
  <c r="Z186" i="8" s="1"/>
  <c r="AP189" i="8"/>
  <c r="AG189" i="8" s="1"/>
  <c r="AP195" i="8"/>
  <c r="AG195" i="8" s="1"/>
  <c r="Z195" i="8" s="1"/>
  <c r="AP207" i="8"/>
  <c r="AG207" i="8" s="1"/>
  <c r="Z207" i="8" s="1"/>
  <c r="AL213" i="8"/>
  <c r="AE213" i="8" s="1"/>
  <c r="AP222" i="8"/>
  <c r="AG222" i="8" s="1"/>
  <c r="AN230" i="8"/>
  <c r="AR233" i="8"/>
  <c r="AI233" i="8" s="1"/>
  <c r="AQ233" i="8"/>
  <c r="AH233" i="8" s="1"/>
  <c r="AP233" i="8"/>
  <c r="AG233" i="8" s="1"/>
  <c r="AN239" i="8"/>
  <c r="AR241" i="8"/>
  <c r="AI241" i="8" s="1"/>
  <c r="AQ241" i="8"/>
  <c r="AH241" i="8" s="1"/>
  <c r="AP241" i="8"/>
  <c r="AG241" i="8" s="1"/>
  <c r="AM168" i="8"/>
  <c r="AF168" i="8" s="1"/>
  <c r="AM213" i="8"/>
  <c r="AF213" i="8" s="1"/>
  <c r="AN227" i="8"/>
  <c r="Y227" i="8" s="1"/>
  <c r="AQ198" i="8"/>
  <c r="AH198" i="8" s="1"/>
  <c r="AO203" i="8"/>
  <c r="AL203" i="8"/>
  <c r="AE203" i="8" s="1"/>
  <c r="AP210" i="8"/>
  <c r="AG210" i="8" s="1"/>
  <c r="Z210" i="8" s="1"/>
  <c r="AN242" i="8"/>
  <c r="AN252" i="8"/>
  <c r="AL158" i="8"/>
  <c r="AE158" i="8" s="1"/>
  <c r="AL161" i="8"/>
  <c r="AE161" i="8" s="1"/>
  <c r="AL164" i="8"/>
  <c r="AE164" i="8" s="1"/>
  <c r="AM167" i="8"/>
  <c r="AF167" i="8" s="1"/>
  <c r="AL190" i="8"/>
  <c r="AE190" i="8" s="1"/>
  <c r="AP196" i="8"/>
  <c r="AG196" i="8" s="1"/>
  <c r="AL206" i="8"/>
  <c r="AE206" i="8" s="1"/>
  <c r="AR213" i="8"/>
  <c r="AI213" i="8" s="1"/>
  <c r="AR219" i="8"/>
  <c r="AI219" i="8" s="1"/>
  <c r="Z219" i="8" s="1"/>
  <c r="AR264" i="8"/>
  <c r="AI264" i="8" s="1"/>
  <c r="AQ264" i="8"/>
  <c r="AH264" i="8" s="1"/>
  <c r="AP264" i="8"/>
  <c r="AG264" i="8" s="1"/>
  <c r="AL155" i="8"/>
  <c r="AE155" i="8" s="1"/>
  <c r="AO164" i="8"/>
  <c r="AM164" i="8"/>
  <c r="AF164" i="8" s="1"/>
  <c r="AN167" i="8"/>
  <c r="AP176" i="8"/>
  <c r="AG176" i="8" s="1"/>
  <c r="AL187" i="8"/>
  <c r="AE187" i="8" s="1"/>
  <c r="AO196" i="8"/>
  <c r="AM196" i="8"/>
  <c r="AF196" i="8" s="1"/>
  <c r="Y196" i="8" s="1"/>
  <c r="AQ196" i="8"/>
  <c r="AH196" i="8" s="1"/>
  <c r="AP201" i="8"/>
  <c r="AG201" i="8" s="1"/>
  <c r="AM206" i="8"/>
  <c r="AF206" i="8" s="1"/>
  <c r="AL230" i="8"/>
  <c r="AE230" i="8" s="1"/>
  <c r="AO230" i="8"/>
  <c r="AR350" i="8"/>
  <c r="AI350" i="8" s="1"/>
  <c r="AQ350" i="8"/>
  <c r="AH350" i="8" s="1"/>
  <c r="AP350" i="8"/>
  <c r="AG350" i="8" s="1"/>
  <c r="AM129" i="8"/>
  <c r="AF129" i="8" s="1"/>
  <c r="Y129" i="8" s="1"/>
  <c r="AM133" i="8"/>
  <c r="AF133" i="8" s="1"/>
  <c r="Y133" i="8" s="1"/>
  <c r="AM137" i="8"/>
  <c r="AF137" i="8" s="1"/>
  <c r="AM145" i="8"/>
  <c r="AF145" i="8" s="1"/>
  <c r="Y145" i="8" s="1"/>
  <c r="AN158" i="8"/>
  <c r="AN161" i="8"/>
  <c r="AL178" i="8"/>
  <c r="AE178" i="8" s="1"/>
  <c r="AL181" i="8"/>
  <c r="AE181" i="8" s="1"/>
  <c r="Y181" i="8" s="1"/>
  <c r="AL184" i="8"/>
  <c r="AE184" i="8" s="1"/>
  <c r="AM187" i="8"/>
  <c r="AF187" i="8" s="1"/>
  <c r="AN190" i="8"/>
  <c r="AO201" i="8"/>
  <c r="AM201" i="8"/>
  <c r="AF201" i="8" s="1"/>
  <c r="Y201" i="8" s="1"/>
  <c r="AN206" i="8"/>
  <c r="AP211" i="8"/>
  <c r="AG211" i="8" s="1"/>
  <c r="Z211" i="8" s="1"/>
  <c r="AM214" i="8"/>
  <c r="AF214" i="8" s="1"/>
  <c r="AL214" i="8"/>
  <c r="AE214" i="8" s="1"/>
  <c r="AO219" i="8"/>
  <c r="AM219" i="8"/>
  <c r="AF219" i="8" s="1"/>
  <c r="AL219" i="8"/>
  <c r="AE219" i="8" s="1"/>
  <c r="AP220" i="8"/>
  <c r="AG220" i="8" s="1"/>
  <c r="AP228" i="8"/>
  <c r="AG228" i="8" s="1"/>
  <c r="Z252" i="8"/>
  <c r="Z271" i="8"/>
  <c r="AO152" i="8"/>
  <c r="AM152" i="8"/>
  <c r="AF152" i="8" s="1"/>
  <c r="Y152" i="8" s="1"/>
  <c r="AP164" i="8"/>
  <c r="AG164" i="8" s="1"/>
  <c r="Z164" i="8" s="1"/>
  <c r="AP167" i="8"/>
  <c r="AG167" i="8" s="1"/>
  <c r="Z167" i="8" s="1"/>
  <c r="AO184" i="8"/>
  <c r="AM184" i="8"/>
  <c r="AF184" i="8" s="1"/>
  <c r="AQ201" i="8"/>
  <c r="AH201" i="8" s="1"/>
  <c r="AR208" i="8"/>
  <c r="AI208" i="8" s="1"/>
  <c r="Z208" i="8" s="1"/>
  <c r="AQ211" i="8"/>
  <c r="AH211" i="8" s="1"/>
  <c r="AQ220" i="8"/>
  <c r="AH220" i="8" s="1"/>
  <c r="AP223" i="8"/>
  <c r="AG223" i="8" s="1"/>
  <c r="Y242" i="8"/>
  <c r="AP161" i="8"/>
  <c r="AG161" i="8" s="1"/>
  <c r="AP190" i="8"/>
  <c r="AG190" i="8" s="1"/>
  <c r="AL204" i="8"/>
  <c r="AE204" i="8" s="1"/>
  <c r="Y209" i="8"/>
  <c r="AN231" i="8"/>
  <c r="AM231" i="8"/>
  <c r="AF231" i="8" s="1"/>
  <c r="AL231" i="8"/>
  <c r="AE231" i="8" s="1"/>
  <c r="Z240" i="8"/>
  <c r="AQ137" i="8"/>
  <c r="AH137" i="8" s="1"/>
  <c r="AQ141" i="8"/>
  <c r="AH141" i="8" s="1"/>
  <c r="AQ145" i="8"/>
  <c r="AH145" i="8" s="1"/>
  <c r="Z145" i="8" s="1"/>
  <c r="AQ149" i="8"/>
  <c r="AH149" i="8" s="1"/>
  <c r="AQ152" i="8"/>
  <c r="AH152" i="8" s="1"/>
  <c r="Z152" i="8" s="1"/>
  <c r="AL154" i="8"/>
  <c r="AE154" i="8" s="1"/>
  <c r="Y154" i="8" s="1"/>
  <c r="AQ155" i="8"/>
  <c r="AH155" i="8" s="1"/>
  <c r="Z155" i="8" s="1"/>
  <c r="AL157" i="8"/>
  <c r="AE157" i="8" s="1"/>
  <c r="AM163" i="8"/>
  <c r="AF163" i="8" s="1"/>
  <c r="Y163" i="8" s="1"/>
  <c r="AP178" i="8"/>
  <c r="AG178" i="8" s="1"/>
  <c r="AP181" i="8"/>
  <c r="AG181" i="8" s="1"/>
  <c r="AQ184" i="8"/>
  <c r="AH184" i="8" s="1"/>
  <c r="Z184" i="8" s="1"/>
  <c r="AQ187" i="8"/>
  <c r="AH187" i="8" s="1"/>
  <c r="Z187" i="8" s="1"/>
  <c r="AP199" i="8"/>
  <c r="AG199" i="8" s="1"/>
  <c r="AR199" i="8"/>
  <c r="AI199" i="8" s="1"/>
  <c r="AL207" i="8"/>
  <c r="AE207" i="8" s="1"/>
  <c r="AN212" i="8"/>
  <c r="AQ216" i="8"/>
  <c r="AH216" i="8" s="1"/>
  <c r="AO160" i="8"/>
  <c r="AM160" i="8"/>
  <c r="AF160" i="8" s="1"/>
  <c r="AP192" i="8"/>
  <c r="AG192" i="8" s="1"/>
  <c r="AO204" i="8"/>
  <c r="AO208" i="8"/>
  <c r="AN208" i="8"/>
  <c r="AM210" i="8"/>
  <c r="AF210" i="8" s="1"/>
  <c r="Y210" i="8" s="1"/>
  <c r="AP215" i="8"/>
  <c r="AG215" i="8" s="1"/>
  <c r="Z215" i="8" s="1"/>
  <c r="AQ222" i="8"/>
  <c r="AH222" i="8" s="1"/>
  <c r="AL228" i="8"/>
  <c r="AE228" i="8" s="1"/>
  <c r="AM234" i="8"/>
  <c r="AF234" i="8" s="1"/>
  <c r="Y234" i="8" s="1"/>
  <c r="AN236" i="8"/>
  <c r="AM252" i="8"/>
  <c r="AF252" i="8" s="1"/>
  <c r="AP257" i="8"/>
  <c r="AG257" i="8" s="1"/>
  <c r="Z257" i="8" s="1"/>
  <c r="AP259" i="8"/>
  <c r="AG259" i="8" s="1"/>
  <c r="AQ266" i="8"/>
  <c r="AH266" i="8" s="1"/>
  <c r="AM327" i="8"/>
  <c r="AF327" i="8" s="1"/>
  <c r="AL327" i="8"/>
  <c r="AE327" i="8" s="1"/>
  <c r="AO327" i="8"/>
  <c r="AN327" i="8"/>
  <c r="AQ431" i="8"/>
  <c r="AH431" i="8" s="1"/>
  <c r="AR431" i="8"/>
  <c r="AI431" i="8" s="1"/>
  <c r="AP431" i="8"/>
  <c r="AG431" i="8" s="1"/>
  <c r="AR222" i="8"/>
  <c r="AI222" i="8" s="1"/>
  <c r="AL229" i="8"/>
  <c r="AE229" i="8" s="1"/>
  <c r="AP236" i="8"/>
  <c r="AG236" i="8" s="1"/>
  <c r="Z236" i="8" s="1"/>
  <c r="AL238" i="8"/>
  <c r="AE238" i="8" s="1"/>
  <c r="Y238" i="8" s="1"/>
  <c r="AQ248" i="8"/>
  <c r="AH248" i="8" s="1"/>
  <c r="AQ259" i="8"/>
  <c r="AH259" i="8" s="1"/>
  <c r="AN283" i="8"/>
  <c r="AM283" i="8"/>
  <c r="AF283" i="8" s="1"/>
  <c r="AO304" i="8"/>
  <c r="AN304" i="8"/>
  <c r="AM304" i="8"/>
  <c r="AF304" i="8" s="1"/>
  <c r="AL304" i="8"/>
  <c r="AE304" i="8" s="1"/>
  <c r="AR358" i="8"/>
  <c r="AI358" i="8" s="1"/>
  <c r="AQ358" i="8"/>
  <c r="AH358" i="8" s="1"/>
  <c r="AP358" i="8"/>
  <c r="AG358" i="8" s="1"/>
  <c r="AN229" i="8"/>
  <c r="AQ237" i="8"/>
  <c r="AH237" i="8" s="1"/>
  <c r="Z237" i="8" s="1"/>
  <c r="AN238" i="8"/>
  <c r="AQ245" i="8"/>
  <c r="AH245" i="8" s="1"/>
  <c r="AN255" i="8"/>
  <c r="Z256" i="8"/>
  <c r="AR267" i="8"/>
  <c r="AI267" i="8" s="1"/>
  <c r="AP229" i="8"/>
  <c r="AG229" i="8" s="1"/>
  <c r="Z229" i="8" s="1"/>
  <c r="AO235" i="8"/>
  <c r="AM235" i="8"/>
  <c r="AF235" i="8" s="1"/>
  <c r="AL235" i="8"/>
  <c r="AE235" i="8" s="1"/>
  <c r="AQ247" i="8"/>
  <c r="AH247" i="8" s="1"/>
  <c r="AP247" i="8"/>
  <c r="AG247" i="8" s="1"/>
  <c r="Z280" i="8"/>
  <c r="AL283" i="8"/>
  <c r="AE283" i="8" s="1"/>
  <c r="AM291" i="8"/>
  <c r="AF291" i="8" s="1"/>
  <c r="AL291" i="8"/>
  <c r="AE291" i="8" s="1"/>
  <c r="Y291" i="8" s="1"/>
  <c r="AO291" i="8"/>
  <c r="AN291" i="8"/>
  <c r="Y520" i="8"/>
  <c r="AQ235" i="8"/>
  <c r="AH235" i="8" s="1"/>
  <c r="AQ239" i="8"/>
  <c r="AH239" i="8" s="1"/>
  <c r="AP262" i="8"/>
  <c r="AG262" i="8" s="1"/>
  <c r="Y267" i="8"/>
  <c r="AM268" i="8"/>
  <c r="AF268" i="8" s="1"/>
  <c r="AL268" i="8"/>
  <c r="AE268" i="8" s="1"/>
  <c r="AO283" i="8"/>
  <c r="AQ293" i="8"/>
  <c r="AH293" i="8" s="1"/>
  <c r="AP293" i="8"/>
  <c r="AG293" i="8" s="1"/>
  <c r="Z309" i="8"/>
  <c r="AP311" i="8"/>
  <c r="AG311" i="8" s="1"/>
  <c r="AM352" i="8"/>
  <c r="AF352" i="8" s="1"/>
  <c r="AL352" i="8"/>
  <c r="AE352" i="8" s="1"/>
  <c r="AL240" i="8"/>
  <c r="AE240" i="8" s="1"/>
  <c r="AP243" i="8"/>
  <c r="AG243" i="8" s="1"/>
  <c r="AM266" i="8"/>
  <c r="AF266" i="8" s="1"/>
  <c r="AN266" i="8"/>
  <c r="AL266" i="8"/>
  <c r="AE266" i="8" s="1"/>
  <c r="AQ281" i="8"/>
  <c r="AH281" i="8" s="1"/>
  <c r="AP281" i="8"/>
  <c r="AG281" i="8" s="1"/>
  <c r="Z295" i="8"/>
  <c r="AP230" i="8"/>
  <c r="AG230" i="8" s="1"/>
  <c r="AM237" i="8"/>
  <c r="AF237" i="8" s="1"/>
  <c r="AQ243" i="8"/>
  <c r="AH243" i="8" s="1"/>
  <c r="AR244" i="8"/>
  <c r="AI244" i="8" s="1"/>
  <c r="AQ244" i="8"/>
  <c r="AH244" i="8" s="1"/>
  <c r="AQ246" i="8"/>
  <c r="AH246" i="8" s="1"/>
  <c r="AP260" i="8"/>
  <c r="AG260" i="8" s="1"/>
  <c r="AN263" i="8"/>
  <c r="Y263" i="8" s="1"/>
  <c r="AP266" i="8"/>
  <c r="AG266" i="8" s="1"/>
  <c r="AO286" i="8"/>
  <c r="AL286" i="8"/>
  <c r="AE286" i="8" s="1"/>
  <c r="AR436" i="8"/>
  <c r="AI436" i="8" s="1"/>
  <c r="AQ436" i="8"/>
  <c r="AH436" i="8" s="1"/>
  <c r="AP436" i="8"/>
  <c r="AG436" i="8" s="1"/>
  <c r="AR230" i="8"/>
  <c r="AI230" i="8" s="1"/>
  <c r="AP248" i="8"/>
  <c r="AG248" i="8" s="1"/>
  <c r="AR263" i="8"/>
  <c r="AI263" i="8" s="1"/>
  <c r="AQ263" i="8"/>
  <c r="AH263" i="8" s="1"/>
  <c r="AP263" i="8"/>
  <c r="AG263" i="8" s="1"/>
  <c r="AR274" i="8"/>
  <c r="AI274" i="8" s="1"/>
  <c r="AQ274" i="8"/>
  <c r="AH274" i="8" s="1"/>
  <c r="AR297" i="8"/>
  <c r="AI297" i="8" s="1"/>
  <c r="AQ297" i="8"/>
  <c r="AH297" i="8" s="1"/>
  <c r="AP297" i="8"/>
  <c r="AG297" i="8" s="1"/>
  <c r="AQ322" i="8"/>
  <c r="AH322" i="8" s="1"/>
  <c r="AP322" i="8"/>
  <c r="AG322" i="8" s="1"/>
  <c r="AR322" i="8"/>
  <c r="AI322" i="8" s="1"/>
  <c r="AN359" i="8"/>
  <c r="AP379" i="8"/>
  <c r="AG379" i="8" s="1"/>
  <c r="AQ379" i="8"/>
  <c r="AH379" i="8" s="1"/>
  <c r="AR402" i="8"/>
  <c r="AI402" i="8" s="1"/>
  <c r="AP402" i="8"/>
  <c r="AG402" i="8" s="1"/>
  <c r="AQ402" i="8"/>
  <c r="AH402" i="8" s="1"/>
  <c r="AR238" i="8"/>
  <c r="AI238" i="8" s="1"/>
  <c r="AQ238" i="8"/>
  <c r="AH238" i="8" s="1"/>
  <c r="Y247" i="8"/>
  <c r="AO252" i="8"/>
  <c r="AL252" i="8"/>
  <c r="AE252" i="8" s="1"/>
  <c r="Y252" i="8" s="1"/>
  <c r="AO270" i="8"/>
  <c r="AN270" i="8"/>
  <c r="AL270" i="8"/>
  <c r="AE270" i="8" s="1"/>
  <c r="AQ282" i="8"/>
  <c r="AH282" i="8" s="1"/>
  <c r="AR282" i="8"/>
  <c r="AI282" i="8" s="1"/>
  <c r="AR285" i="8"/>
  <c r="AI285" i="8" s="1"/>
  <c r="AQ285" i="8"/>
  <c r="AH285" i="8" s="1"/>
  <c r="AP285" i="8"/>
  <c r="AG285" i="8" s="1"/>
  <c r="AN290" i="8"/>
  <c r="Y290" i="8" s="1"/>
  <c r="Y306" i="8"/>
  <c r="AO239" i="8"/>
  <c r="AM239" i="8"/>
  <c r="AF239" i="8" s="1"/>
  <c r="AL239" i="8"/>
  <c r="AE239" i="8" s="1"/>
  <c r="AN267" i="8"/>
  <c r="AL287" i="8"/>
  <c r="AE287" i="8" s="1"/>
  <c r="AO287" i="8"/>
  <c r="AN287" i="8"/>
  <c r="Z288" i="8"/>
  <c r="AP239" i="8"/>
  <c r="AG239" i="8" s="1"/>
  <c r="AL254" i="8"/>
  <c r="AE254" i="8" s="1"/>
  <c r="AM353" i="8"/>
  <c r="AF353" i="8" s="1"/>
  <c r="AL353" i="8"/>
  <c r="AE353" i="8" s="1"/>
  <c r="AN407" i="8"/>
  <c r="AP227" i="8"/>
  <c r="AG227" i="8" s="1"/>
  <c r="Z227" i="8" s="1"/>
  <c r="AO241" i="8"/>
  <c r="AM241" i="8"/>
  <c r="AF241" i="8" s="1"/>
  <c r="AL241" i="8"/>
  <c r="AE241" i="8" s="1"/>
  <c r="AM254" i="8"/>
  <c r="AF254" i="8" s="1"/>
  <c r="AN258" i="8"/>
  <c r="Y258" i="8" s="1"/>
  <c r="AO266" i="8"/>
  <c r="AQ276" i="8"/>
  <c r="AH276" i="8" s="1"/>
  <c r="AP276" i="8"/>
  <c r="AG276" i="8" s="1"/>
  <c r="AR279" i="8"/>
  <c r="AI279" i="8" s="1"/>
  <c r="Z279" i="8" s="1"/>
  <c r="AP244" i="8"/>
  <c r="AG244" i="8" s="1"/>
  <c r="AQ251" i="8"/>
  <c r="AH251" i="8" s="1"/>
  <c r="AN262" i="8"/>
  <c r="AP274" i="8"/>
  <c r="AG274" i="8" s="1"/>
  <c r="AP282" i="8"/>
  <c r="AG282" i="8" s="1"/>
  <c r="AN285" i="8"/>
  <c r="AM287" i="8"/>
  <c r="AF287" i="8" s="1"/>
  <c r="AP292" i="8"/>
  <c r="AG292" i="8" s="1"/>
  <c r="AR292" i="8"/>
  <c r="AI292" i="8" s="1"/>
  <c r="AO330" i="8"/>
  <c r="AL330" i="8"/>
  <c r="AE330" i="8" s="1"/>
  <c r="AM357" i="8"/>
  <c r="AF357" i="8" s="1"/>
  <c r="AL357" i="8"/>
  <c r="AE357" i="8" s="1"/>
  <c r="AQ231" i="8"/>
  <c r="AH231" i="8" s="1"/>
  <c r="AP231" i="8"/>
  <c r="AG231" i="8" s="1"/>
  <c r="AQ234" i="8"/>
  <c r="AH234" i="8" s="1"/>
  <c r="AL236" i="8"/>
  <c r="AE236" i="8" s="1"/>
  <c r="AR242" i="8"/>
  <c r="AI242" i="8" s="1"/>
  <c r="AQ242" i="8"/>
  <c r="AH242" i="8" s="1"/>
  <c r="AP242" i="8"/>
  <c r="AG242" i="8" s="1"/>
  <c r="AQ262" i="8"/>
  <c r="AH262" i="8" s="1"/>
  <c r="AP268" i="8"/>
  <c r="AG268" i="8" s="1"/>
  <c r="AO282" i="8"/>
  <c r="AL282" i="8"/>
  <c r="AE282" i="8" s="1"/>
  <c r="AM312" i="8"/>
  <c r="AF312" i="8" s="1"/>
  <c r="AL312" i="8"/>
  <c r="AE312" i="8" s="1"/>
  <c r="AN235" i="8"/>
  <c r="AM236" i="8"/>
  <c r="AF236" i="8" s="1"/>
  <c r="AR249" i="8"/>
  <c r="AI249" i="8" s="1"/>
  <c r="AQ249" i="8"/>
  <c r="AH249" i="8" s="1"/>
  <c r="AO257" i="8"/>
  <c r="AM257" i="8"/>
  <c r="AF257" i="8" s="1"/>
  <c r="AL257" i="8"/>
  <c r="AE257" i="8" s="1"/>
  <c r="AQ354" i="8"/>
  <c r="AH354" i="8" s="1"/>
  <c r="AP354" i="8"/>
  <c r="AG354" i="8" s="1"/>
  <c r="AR354" i="8"/>
  <c r="AI354" i="8" s="1"/>
  <c r="AR255" i="8"/>
  <c r="AI255" i="8" s="1"/>
  <c r="Z255" i="8" s="1"/>
  <c r="AN259" i="8"/>
  <c r="Y259" i="8" s="1"/>
  <c r="AR268" i="8"/>
  <c r="AI268" i="8" s="1"/>
  <c r="AR273" i="8"/>
  <c r="AI273" i="8" s="1"/>
  <c r="AN286" i="8"/>
  <c r="AR286" i="8"/>
  <c r="AI286" i="8" s="1"/>
  <c r="Z286" i="8" s="1"/>
  <c r="Y288" i="8"/>
  <c r="AQ291" i="8"/>
  <c r="AH291" i="8" s="1"/>
  <c r="AP291" i="8"/>
  <c r="AG291" i="8" s="1"/>
  <c r="AR305" i="8"/>
  <c r="AI305" i="8" s="1"/>
  <c r="AQ305" i="8"/>
  <c r="AH305" i="8" s="1"/>
  <c r="AN314" i="8"/>
  <c r="AO333" i="8"/>
  <c r="AM333" i="8"/>
  <c r="AF333" i="8" s="1"/>
  <c r="AL333" i="8"/>
  <c r="AE333" i="8" s="1"/>
  <c r="Y338" i="8"/>
  <c r="AR361" i="8"/>
  <c r="AI361" i="8" s="1"/>
  <c r="AQ361" i="8"/>
  <c r="AH361" i="8" s="1"/>
  <c r="AR367" i="8"/>
  <c r="AI367" i="8" s="1"/>
  <c r="Z372" i="8"/>
  <c r="AO378" i="8"/>
  <c r="Z399" i="8"/>
  <c r="AN282" i="8"/>
  <c r="AO303" i="8"/>
  <c r="AL303" i="8"/>
  <c r="AE303" i="8" s="1"/>
  <c r="AR314" i="8"/>
  <c r="AI314" i="8" s="1"/>
  <c r="AQ314" i="8"/>
  <c r="AH314" i="8" s="1"/>
  <c r="AP314" i="8"/>
  <c r="AG314" i="8" s="1"/>
  <c r="AR333" i="8"/>
  <c r="AI333" i="8" s="1"/>
  <c r="AQ333" i="8"/>
  <c r="AH333" i="8" s="1"/>
  <c r="AO351" i="8"/>
  <c r="AL351" i="8"/>
  <c r="AE351" i="8" s="1"/>
  <c r="Y351" i="8" s="1"/>
  <c r="AO362" i="8"/>
  <c r="AM362" i="8"/>
  <c r="AF362" i="8" s="1"/>
  <c r="AL362" i="8"/>
  <c r="AE362" i="8" s="1"/>
  <c r="Z415" i="8"/>
  <c r="AN421" i="8"/>
  <c r="Y426" i="8"/>
  <c r="AN354" i="8"/>
  <c r="Y354" i="8" s="1"/>
  <c r="AN358" i="8"/>
  <c r="Y381" i="8"/>
  <c r="AP261" i="8"/>
  <c r="AG261" i="8" s="1"/>
  <c r="AR321" i="8"/>
  <c r="AI321" i="8" s="1"/>
  <c r="AQ321" i="8"/>
  <c r="AH321" i="8" s="1"/>
  <c r="AN350" i="8"/>
  <c r="Y377" i="8"/>
  <c r="AN402" i="8"/>
  <c r="AM402" i="8"/>
  <c r="AF402" i="8" s="1"/>
  <c r="AL402" i="8"/>
  <c r="AE402" i="8" s="1"/>
  <c r="AO240" i="8"/>
  <c r="AN240" i="8"/>
  <c r="AQ254" i="8"/>
  <c r="AH254" i="8" s="1"/>
  <c r="Z254" i="8" s="1"/>
  <c r="AN256" i="8"/>
  <c r="Y256" i="8" s="1"/>
  <c r="AO269" i="8"/>
  <c r="Y269" i="8" s="1"/>
  <c r="AQ277" i="8"/>
  <c r="AH277" i="8" s="1"/>
  <c r="Z277" i="8" s="1"/>
  <c r="AP284" i="8"/>
  <c r="AG284" i="8" s="1"/>
  <c r="Z284" i="8" s="1"/>
  <c r="AQ287" i="8"/>
  <c r="AH287" i="8" s="1"/>
  <c r="AP287" i="8"/>
  <c r="AG287" i="8" s="1"/>
  <c r="AL298" i="8"/>
  <c r="AE298" i="8" s="1"/>
  <c r="AQ308" i="8"/>
  <c r="AH308" i="8" s="1"/>
  <c r="Z308" i="8" s="1"/>
  <c r="AP312" i="8"/>
  <c r="AG312" i="8" s="1"/>
  <c r="AQ327" i="8"/>
  <c r="AH327" i="8" s="1"/>
  <c r="AP327" i="8"/>
  <c r="AG327" i="8" s="1"/>
  <c r="AO331" i="8"/>
  <c r="AM331" i="8"/>
  <c r="AF331" i="8" s="1"/>
  <c r="AL331" i="8"/>
  <c r="AE331" i="8" s="1"/>
  <c r="AN333" i="8"/>
  <c r="AM337" i="8"/>
  <c r="AF337" i="8" s="1"/>
  <c r="AL337" i="8"/>
  <c r="AE337" i="8" s="1"/>
  <c r="AQ343" i="8"/>
  <c r="AH343" i="8" s="1"/>
  <c r="AP343" i="8"/>
  <c r="AG343" i="8" s="1"/>
  <c r="AM351" i="8"/>
  <c r="AF351" i="8" s="1"/>
  <c r="AO373" i="8"/>
  <c r="AN373" i="8"/>
  <c r="AL373" i="8"/>
  <c r="AE373" i="8" s="1"/>
  <c r="Z391" i="8"/>
  <c r="AL225" i="8"/>
  <c r="AE225" i="8" s="1"/>
  <c r="AO233" i="8"/>
  <c r="AN233" i="8"/>
  <c r="AO265" i="8"/>
  <c r="AN265" i="8"/>
  <c r="AR269" i="8"/>
  <c r="AI269" i="8" s="1"/>
  <c r="AP272" i="8"/>
  <c r="AG272" i="8" s="1"/>
  <c r="Z272" i="8" s="1"/>
  <c r="AM311" i="8"/>
  <c r="AF311" i="8" s="1"/>
  <c r="AL311" i="8"/>
  <c r="AE311" i="8" s="1"/>
  <c r="AM326" i="8"/>
  <c r="AF326" i="8" s="1"/>
  <c r="AL326" i="8"/>
  <c r="AE326" i="8" s="1"/>
  <c r="AP333" i="8"/>
  <c r="AG333" i="8" s="1"/>
  <c r="AN351" i="8"/>
  <c r="AP360" i="8"/>
  <c r="AG360" i="8" s="1"/>
  <c r="AR366" i="8"/>
  <c r="AI366" i="8" s="1"/>
  <c r="AQ366" i="8"/>
  <c r="AH366" i="8" s="1"/>
  <c r="Z383" i="8"/>
  <c r="AN395" i="8"/>
  <c r="AO402" i="8"/>
  <c r="AO490" i="8"/>
  <c r="AN490" i="8"/>
  <c r="AM490" i="8"/>
  <c r="AL490" i="8"/>
  <c r="AP265" i="8"/>
  <c r="AG265" i="8" s="1"/>
  <c r="AP267" i="8"/>
  <c r="AG267" i="8" s="1"/>
  <c r="AR294" i="8"/>
  <c r="AI294" i="8" s="1"/>
  <c r="AQ294" i="8"/>
  <c r="AH294" i="8" s="1"/>
  <c r="Z294" i="8" s="1"/>
  <c r="AQ311" i="8"/>
  <c r="AH311" i="8" s="1"/>
  <c r="AQ319" i="8"/>
  <c r="AH319" i="8" s="1"/>
  <c r="AR326" i="8"/>
  <c r="AI326" i="8" s="1"/>
  <c r="AQ326" i="8"/>
  <c r="AH326" i="8" s="1"/>
  <c r="AP326" i="8"/>
  <c r="AG326" i="8" s="1"/>
  <c r="AO335" i="8"/>
  <c r="AL335" i="8"/>
  <c r="AE335" i="8" s="1"/>
  <c r="AR344" i="8"/>
  <c r="AI344" i="8" s="1"/>
  <c r="AQ344" i="8"/>
  <c r="AH344" i="8" s="1"/>
  <c r="AR365" i="8"/>
  <c r="AI365" i="8" s="1"/>
  <c r="AP365" i="8"/>
  <c r="AG365" i="8" s="1"/>
  <c r="AN382" i="8"/>
  <c r="AO382" i="8"/>
  <c r="AM382" i="8"/>
  <c r="AF382" i="8" s="1"/>
  <c r="Y448" i="8"/>
  <c r="AN225" i="8"/>
  <c r="AL253" i="8"/>
  <c r="AE253" i="8" s="1"/>
  <c r="AP258" i="8"/>
  <c r="AG258" i="8" s="1"/>
  <c r="AL262" i="8"/>
  <c r="AE262" i="8" s="1"/>
  <c r="AQ265" i="8"/>
  <c r="AH265" i="8" s="1"/>
  <c r="AQ267" i="8"/>
  <c r="AH267" i="8" s="1"/>
  <c r="AM275" i="8"/>
  <c r="AF275" i="8" s="1"/>
  <c r="AM281" i="8"/>
  <c r="AF281" i="8" s="1"/>
  <c r="Y281" i="8" s="1"/>
  <c r="AL285" i="8"/>
  <c r="AE285" i="8" s="1"/>
  <c r="AP290" i="8"/>
  <c r="AG290" i="8" s="1"/>
  <c r="AM303" i="8"/>
  <c r="AF303" i="8" s="1"/>
  <c r="AM310" i="8"/>
  <c r="AF310" i="8" s="1"/>
  <c r="AL310" i="8"/>
  <c r="AE310" i="8" s="1"/>
  <c r="AL313" i="8"/>
  <c r="AE313" i="8" s="1"/>
  <c r="AN338" i="8"/>
  <c r="AQ339" i="8"/>
  <c r="AH339" i="8" s="1"/>
  <c r="AO349" i="8"/>
  <c r="AM349" i="8"/>
  <c r="AF349" i="8" s="1"/>
  <c r="AL349" i="8"/>
  <c r="AE349" i="8" s="1"/>
  <c r="AN362" i="8"/>
  <c r="AR406" i="8"/>
  <c r="AI406" i="8" s="1"/>
  <c r="AP406" i="8"/>
  <c r="AG406" i="8" s="1"/>
  <c r="AQ406" i="8"/>
  <c r="AH406" i="8" s="1"/>
  <c r="AO228" i="8"/>
  <c r="AN228" i="8"/>
  <c r="AM230" i="8"/>
  <c r="AF230" i="8" s="1"/>
  <c r="AP235" i="8"/>
  <c r="AG235" i="8" s="1"/>
  <c r="Z235" i="8" s="1"/>
  <c r="AP251" i="8"/>
  <c r="AG251" i="8" s="1"/>
  <c r="AL255" i="8"/>
  <c r="AE255" i="8" s="1"/>
  <c r="AQ258" i="8"/>
  <c r="AH258" i="8" s="1"/>
  <c r="AO260" i="8"/>
  <c r="AN260" i="8"/>
  <c r="Y260" i="8" s="1"/>
  <c r="AM262" i="8"/>
  <c r="AF262" i="8" s="1"/>
  <c r="AN275" i="8"/>
  <c r="AN281" i="8"/>
  <c r="AM289" i="8"/>
  <c r="AF289" i="8" s="1"/>
  <c r="AR290" i="8"/>
  <c r="AI290" i="8" s="1"/>
  <c r="AQ296" i="8"/>
  <c r="AH296" i="8" s="1"/>
  <c r="AP301" i="8"/>
  <c r="AG301" i="8" s="1"/>
  <c r="AN303" i="8"/>
  <c r="AR310" i="8"/>
  <c r="AI310" i="8" s="1"/>
  <c r="AQ310" i="8"/>
  <c r="AH310" i="8" s="1"/>
  <c r="AP310" i="8"/>
  <c r="AG310" i="8" s="1"/>
  <c r="AN330" i="8"/>
  <c r="AQ338" i="8"/>
  <c r="AH338" i="8" s="1"/>
  <c r="AP338" i="8"/>
  <c r="AG338" i="8" s="1"/>
  <c r="AP340" i="8"/>
  <c r="AG340" i="8" s="1"/>
  <c r="AR345" i="8"/>
  <c r="AI345" i="8" s="1"/>
  <c r="AQ345" i="8"/>
  <c r="AH345" i="8" s="1"/>
  <c r="AR349" i="8"/>
  <c r="AI349" i="8" s="1"/>
  <c r="AQ349" i="8"/>
  <c r="AH349" i="8" s="1"/>
  <c r="AQ367" i="8"/>
  <c r="AH367" i="8" s="1"/>
  <c r="AL224" i="8"/>
  <c r="AE224" i="8" s="1"/>
  <c r="Y224" i="8" s="1"/>
  <c r="AO237" i="8"/>
  <c r="AN237" i="8"/>
  <c r="AO253" i="8"/>
  <c r="AN253" i="8"/>
  <c r="AM255" i="8"/>
  <c r="AF255" i="8" s="1"/>
  <c r="AM270" i="8"/>
  <c r="AF270" i="8" s="1"/>
  <c r="AP270" i="8"/>
  <c r="AG270" i="8" s="1"/>
  <c r="Z270" i="8" s="1"/>
  <c r="AO275" i="8"/>
  <c r="AR289" i="8"/>
  <c r="AI289" i="8" s="1"/>
  <c r="Z289" i="8" s="1"/>
  <c r="AQ301" i="8"/>
  <c r="AH301" i="8" s="1"/>
  <c r="AP321" i="8"/>
  <c r="AG321" i="8" s="1"/>
  <c r="AN334" i="8"/>
  <c r="AQ340" i="8"/>
  <c r="AH340" i="8" s="1"/>
  <c r="AR342" i="8"/>
  <c r="AI342" i="8" s="1"/>
  <c r="AQ342" i="8"/>
  <c r="AH342" i="8" s="1"/>
  <c r="AP342" i="8"/>
  <c r="AG342" i="8" s="1"/>
  <c r="AL360" i="8"/>
  <c r="AE360" i="8" s="1"/>
  <c r="AO372" i="8"/>
  <c r="AN372" i="8"/>
  <c r="AL372" i="8"/>
  <c r="AE372" i="8" s="1"/>
  <c r="AM373" i="8"/>
  <c r="AF373" i="8" s="1"/>
  <c r="AR397" i="8"/>
  <c r="AI397" i="8" s="1"/>
  <c r="AQ397" i="8"/>
  <c r="AH397" i="8" s="1"/>
  <c r="AP397" i="8"/>
  <c r="AG397" i="8" s="1"/>
  <c r="Z427" i="8"/>
  <c r="AP253" i="8"/>
  <c r="AG253" i="8" s="1"/>
  <c r="AQ260" i="8"/>
  <c r="AH260" i="8" s="1"/>
  <c r="AL264" i="8"/>
  <c r="AE264" i="8" s="1"/>
  <c r="AP278" i="8"/>
  <c r="AG278" i="8" s="1"/>
  <c r="AR291" i="8"/>
  <c r="AI291" i="8" s="1"/>
  <c r="AL292" i="8"/>
  <c r="AE292" i="8" s="1"/>
  <c r="AO307" i="8"/>
  <c r="AM307" i="8"/>
  <c r="AF307" i="8" s="1"/>
  <c r="AL307" i="8"/>
  <c r="AE307" i="8" s="1"/>
  <c r="AP316" i="8"/>
  <c r="AG316" i="8" s="1"/>
  <c r="Z316" i="8" s="1"/>
  <c r="AR317" i="8"/>
  <c r="AI317" i="8" s="1"/>
  <c r="AQ317" i="8"/>
  <c r="AH317" i="8" s="1"/>
  <c r="AR334" i="8"/>
  <c r="AI334" i="8" s="1"/>
  <c r="AQ334" i="8"/>
  <c r="AH334" i="8" s="1"/>
  <c r="AR343" i="8"/>
  <c r="AI343" i="8" s="1"/>
  <c r="AM359" i="8"/>
  <c r="AF359" i="8" s="1"/>
  <c r="AL359" i="8"/>
  <c r="AE359" i="8" s="1"/>
  <c r="AL382" i="8"/>
  <c r="AE382" i="8" s="1"/>
  <c r="AP246" i="8"/>
  <c r="AG246" i="8" s="1"/>
  <c r="AQ253" i="8"/>
  <c r="AH253" i="8" s="1"/>
  <c r="AP275" i="8"/>
  <c r="AG275" i="8" s="1"/>
  <c r="AR275" i="8"/>
  <c r="AI275" i="8" s="1"/>
  <c r="AR278" i="8"/>
  <c r="AI278" i="8" s="1"/>
  <c r="AN298" i="8"/>
  <c r="AQ306" i="8"/>
  <c r="AH306" i="8" s="1"/>
  <c r="AP306" i="8"/>
  <c r="AG306" i="8" s="1"/>
  <c r="AQ307" i="8"/>
  <c r="AH307" i="8" s="1"/>
  <c r="AO315" i="8"/>
  <c r="AM315" i="8"/>
  <c r="AF315" i="8" s="1"/>
  <c r="Y315" i="8" s="1"/>
  <c r="AR327" i="8"/>
  <c r="AI327" i="8" s="1"/>
  <c r="AN331" i="8"/>
  <c r="AM332" i="8"/>
  <c r="AF332" i="8" s="1"/>
  <c r="AL332" i="8"/>
  <c r="AE332" i="8" s="1"/>
  <c r="AM335" i="8"/>
  <c r="AF335" i="8" s="1"/>
  <c r="AP357" i="8"/>
  <c r="AG357" i="8" s="1"/>
  <c r="Z357" i="8" s="1"/>
  <c r="AQ359" i="8"/>
  <c r="AH359" i="8" s="1"/>
  <c r="AP359" i="8"/>
  <c r="AG359" i="8" s="1"/>
  <c r="AR360" i="8"/>
  <c r="AI360" i="8" s="1"/>
  <c r="AQ360" i="8"/>
  <c r="AH360" i="8" s="1"/>
  <c r="AN375" i="8"/>
  <c r="AO375" i="8"/>
  <c r="AM375" i="8"/>
  <c r="AF375" i="8" s="1"/>
  <c r="AL375" i="8"/>
  <c r="AE375" i="8" s="1"/>
  <c r="AR379" i="8"/>
  <c r="AI379" i="8" s="1"/>
  <c r="AO232" i="8"/>
  <c r="AN232" i="8"/>
  <c r="Y232" i="8" s="1"/>
  <c r="AO264" i="8"/>
  <c r="AN264" i="8"/>
  <c r="AP273" i="8"/>
  <c r="AG273" i="8" s="1"/>
  <c r="AR281" i="8"/>
  <c r="AI281" i="8" s="1"/>
  <c r="AO285" i="8"/>
  <c r="AM285" i="8"/>
  <c r="AF285" i="8" s="1"/>
  <c r="AP296" i="8"/>
  <c r="AG296" i="8" s="1"/>
  <c r="AR298" i="8"/>
  <c r="AI298" i="8" s="1"/>
  <c r="AQ298" i="8"/>
  <c r="AH298" i="8" s="1"/>
  <c r="AP298" i="8"/>
  <c r="AG298" i="8" s="1"/>
  <c r="AN311" i="8"/>
  <c r="AQ312" i="8"/>
  <c r="AH312" i="8" s="1"/>
  <c r="AP315" i="8"/>
  <c r="AG315" i="8" s="1"/>
  <c r="AQ323" i="8"/>
  <c r="AH323" i="8" s="1"/>
  <c r="AR329" i="8"/>
  <c r="AI329" i="8" s="1"/>
  <c r="AQ329" i="8"/>
  <c r="AH329" i="8" s="1"/>
  <c r="AN335" i="8"/>
  <c r="AQ357" i="8"/>
  <c r="AH357" i="8" s="1"/>
  <c r="AO336" i="8"/>
  <c r="AN336" i="8"/>
  <c r="Y336" i="8" s="1"/>
  <c r="AO352" i="8"/>
  <c r="AN352" i="8"/>
  <c r="AN367" i="8"/>
  <c r="AQ369" i="8"/>
  <c r="AH369" i="8" s="1"/>
  <c r="Z369" i="8" s="1"/>
  <c r="AR375" i="8"/>
  <c r="AI375" i="8" s="1"/>
  <c r="AR414" i="8"/>
  <c r="AI414" i="8" s="1"/>
  <c r="AQ414" i="8"/>
  <c r="AH414" i="8" s="1"/>
  <c r="AP414" i="8"/>
  <c r="AG414" i="8" s="1"/>
  <c r="AN419" i="8"/>
  <c r="Y464" i="8"/>
  <c r="AR470" i="8"/>
  <c r="AI470" i="8" s="1"/>
  <c r="AQ470" i="8"/>
  <c r="AH470" i="8" s="1"/>
  <c r="AO313" i="8"/>
  <c r="AN313" i="8"/>
  <c r="AP320" i="8"/>
  <c r="AG320" i="8" s="1"/>
  <c r="Z320" i="8" s="1"/>
  <c r="AO329" i="8"/>
  <c r="AN329" i="8"/>
  <c r="AP336" i="8"/>
  <c r="AG336" i="8" s="1"/>
  <c r="Z336" i="8" s="1"/>
  <c r="AP352" i="8"/>
  <c r="AG352" i="8" s="1"/>
  <c r="Z352" i="8" s="1"/>
  <c r="AO361" i="8"/>
  <c r="AN361" i="8"/>
  <c r="Y361" i="8" s="1"/>
  <c r="AP376" i="8"/>
  <c r="AG376" i="8" s="1"/>
  <c r="Z376" i="8" s="1"/>
  <c r="AN379" i="8"/>
  <c r="AP381" i="8"/>
  <c r="AG381" i="8" s="1"/>
  <c r="Z381" i="8" s="1"/>
  <c r="AR394" i="8"/>
  <c r="AI394" i="8" s="1"/>
  <c r="Z394" i="8" s="1"/>
  <c r="AN406" i="8"/>
  <c r="AN430" i="8"/>
  <c r="Y430" i="8" s="1"/>
  <c r="AQ442" i="8"/>
  <c r="AH442" i="8" s="1"/>
  <c r="AP442" i="8"/>
  <c r="AG442" i="8" s="1"/>
  <c r="AR650" i="8"/>
  <c r="AI650" i="8" s="1"/>
  <c r="AQ650" i="8"/>
  <c r="AH650" i="8" s="1"/>
  <c r="AP650" i="8"/>
  <c r="AG650" i="8" s="1"/>
  <c r="AL358" i="8"/>
  <c r="AE358" i="8" s="1"/>
  <c r="AQ363" i="8"/>
  <c r="AH363" i="8" s="1"/>
  <c r="Z363" i="8" s="1"/>
  <c r="AQ382" i="8"/>
  <c r="AH382" i="8" s="1"/>
  <c r="Z382" i="8" s="1"/>
  <c r="Y385" i="8"/>
  <c r="AR401" i="8"/>
  <c r="AI401" i="8" s="1"/>
  <c r="AQ401" i="8"/>
  <c r="AH401" i="8" s="1"/>
  <c r="AP401" i="8"/>
  <c r="AG401" i="8" s="1"/>
  <c r="AR410" i="8"/>
  <c r="AI410" i="8" s="1"/>
  <c r="AQ410" i="8"/>
  <c r="AH410" i="8" s="1"/>
  <c r="AP410" i="8"/>
  <c r="AG410" i="8" s="1"/>
  <c r="AO420" i="8"/>
  <c r="AN420" i="8"/>
  <c r="AL420" i="8"/>
  <c r="AE420" i="8" s="1"/>
  <c r="AR426" i="8"/>
  <c r="AI426" i="8" s="1"/>
  <c r="Z446" i="8"/>
  <c r="AO292" i="8"/>
  <c r="AN292" i="8"/>
  <c r="AO308" i="8"/>
  <c r="AN308" i="8"/>
  <c r="AO356" i="8"/>
  <c r="AN356" i="8"/>
  <c r="Y356" i="8" s="1"/>
  <c r="AM358" i="8"/>
  <c r="AF358" i="8" s="1"/>
  <c r="AP373" i="8"/>
  <c r="AG373" i="8" s="1"/>
  <c r="Z373" i="8" s="1"/>
  <c r="AO376" i="8"/>
  <c r="AN376" i="8"/>
  <c r="AO380" i="8"/>
  <c r="AN380" i="8"/>
  <c r="AM385" i="8"/>
  <c r="AF385" i="8" s="1"/>
  <c r="AN398" i="8"/>
  <c r="AN399" i="8"/>
  <c r="AP418" i="8"/>
  <c r="AG418" i="8" s="1"/>
  <c r="Z418" i="8" s="1"/>
  <c r="Z435" i="8"/>
  <c r="AR442" i="8"/>
  <c r="AI442" i="8" s="1"/>
  <c r="Z444" i="8"/>
  <c r="AP356" i="8"/>
  <c r="AG356" i="8" s="1"/>
  <c r="Z356" i="8" s="1"/>
  <c r="AR380" i="8"/>
  <c r="AI380" i="8" s="1"/>
  <c r="AQ380" i="8"/>
  <c r="AH380" i="8" s="1"/>
  <c r="AP380" i="8"/>
  <c r="AG380" i="8" s="1"/>
  <c r="Z398" i="8"/>
  <c r="AO400" i="8"/>
  <c r="AN424" i="8"/>
  <c r="AL424" i="8"/>
  <c r="AE424" i="8" s="1"/>
  <c r="AR395" i="8"/>
  <c r="AI395" i="8" s="1"/>
  <c r="Z395" i="8" s="1"/>
  <c r="AO396" i="8"/>
  <c r="AN396" i="8"/>
  <c r="AM396" i="8"/>
  <c r="AF396" i="8" s="1"/>
  <c r="Y396" i="8" s="1"/>
  <c r="AR405" i="8"/>
  <c r="AI405" i="8" s="1"/>
  <c r="AQ405" i="8"/>
  <c r="AH405" i="8" s="1"/>
  <c r="AP405" i="8"/>
  <c r="AG405" i="8" s="1"/>
  <c r="AL406" i="8"/>
  <c r="AE406" i="8" s="1"/>
  <c r="AR416" i="8"/>
  <c r="AI416" i="8" s="1"/>
  <c r="Z417" i="8"/>
  <c r="AQ469" i="8"/>
  <c r="AH469" i="8" s="1"/>
  <c r="AP469" i="8"/>
  <c r="AG469" i="8" s="1"/>
  <c r="AR469" i="8"/>
  <c r="AI469" i="8" s="1"/>
  <c r="AO280" i="8"/>
  <c r="AN280" i="8"/>
  <c r="Y280" i="8" s="1"/>
  <c r="AM282" i="8"/>
  <c r="AF282" i="8" s="1"/>
  <c r="AM298" i="8"/>
  <c r="AF298" i="8" s="1"/>
  <c r="AP303" i="8"/>
  <c r="AG303" i="8" s="1"/>
  <c r="Z303" i="8" s="1"/>
  <c r="AO312" i="8"/>
  <c r="AN312" i="8"/>
  <c r="AM314" i="8"/>
  <c r="AF314" i="8" s="1"/>
  <c r="Y314" i="8" s="1"/>
  <c r="AP319" i="8"/>
  <c r="AG319" i="8" s="1"/>
  <c r="AO328" i="8"/>
  <c r="AN328" i="8"/>
  <c r="Y328" i="8" s="1"/>
  <c r="AM330" i="8"/>
  <c r="AF330" i="8" s="1"/>
  <c r="AP335" i="8"/>
  <c r="AG335" i="8" s="1"/>
  <c r="Z335" i="8" s="1"/>
  <c r="AL339" i="8"/>
  <c r="AE339" i="8" s="1"/>
  <c r="AO344" i="8"/>
  <c r="AN344" i="8"/>
  <c r="AP351" i="8"/>
  <c r="AG351" i="8" s="1"/>
  <c r="Z351" i="8" s="1"/>
  <c r="AL355" i="8"/>
  <c r="AE355" i="8" s="1"/>
  <c r="AO360" i="8"/>
  <c r="AN360" i="8"/>
  <c r="AP374" i="8"/>
  <c r="AG374" i="8" s="1"/>
  <c r="Z374" i="8" s="1"/>
  <c r="AM378" i="8"/>
  <c r="AF378" i="8" s="1"/>
  <c r="AR393" i="8"/>
  <c r="AI393" i="8" s="1"/>
  <c r="AQ393" i="8"/>
  <c r="AH393" i="8" s="1"/>
  <c r="AM406" i="8"/>
  <c r="AF406" i="8" s="1"/>
  <c r="AM420" i="8"/>
  <c r="AF420" i="8" s="1"/>
  <c r="AR456" i="8"/>
  <c r="AI456" i="8" s="1"/>
  <c r="AQ456" i="8"/>
  <c r="AH456" i="8" s="1"/>
  <c r="AN503" i="8"/>
  <c r="AO289" i="8"/>
  <c r="AN289" i="8"/>
  <c r="AO305" i="8"/>
  <c r="AN305" i="8"/>
  <c r="Y305" i="8" s="1"/>
  <c r="AO321" i="8"/>
  <c r="Y321" i="8" s="1"/>
  <c r="AN321" i="8"/>
  <c r="AO337" i="8"/>
  <c r="AN337" i="8"/>
  <c r="AM339" i="8"/>
  <c r="AF339" i="8" s="1"/>
  <c r="AO353" i="8"/>
  <c r="AN353" i="8"/>
  <c r="AM355" i="8"/>
  <c r="AF355" i="8" s="1"/>
  <c r="AR368" i="8"/>
  <c r="AI368" i="8" s="1"/>
  <c r="AQ368" i="8"/>
  <c r="AH368" i="8" s="1"/>
  <c r="AN383" i="8"/>
  <c r="AO406" i="8"/>
  <c r="Z420" i="8"/>
  <c r="Z425" i="8"/>
  <c r="AP337" i="8"/>
  <c r="AG337" i="8" s="1"/>
  <c r="AN339" i="8"/>
  <c r="AP353" i="8"/>
  <c r="AG353" i="8" s="1"/>
  <c r="AN355" i="8"/>
  <c r="AN374" i="8"/>
  <c r="Y374" i="8" s="1"/>
  <c r="AN390" i="8"/>
  <c r="Y390" i="8" s="1"/>
  <c r="AO404" i="8"/>
  <c r="AR419" i="8"/>
  <c r="AI419" i="8" s="1"/>
  <c r="AR439" i="8"/>
  <c r="AI439" i="8" s="1"/>
  <c r="AQ439" i="8"/>
  <c r="AH439" i="8" s="1"/>
  <c r="AP439" i="8"/>
  <c r="AG439" i="8" s="1"/>
  <c r="AP330" i="8"/>
  <c r="AG330" i="8" s="1"/>
  <c r="AL334" i="8"/>
  <c r="AE334" i="8" s="1"/>
  <c r="AQ337" i="8"/>
  <c r="AH337" i="8" s="1"/>
  <c r="AP346" i="8"/>
  <c r="AG346" i="8" s="1"/>
  <c r="AL350" i="8"/>
  <c r="AE350" i="8" s="1"/>
  <c r="Y350" i="8" s="1"/>
  <c r="AQ353" i="8"/>
  <c r="AH353" i="8" s="1"/>
  <c r="AP362" i="8"/>
  <c r="AG362" i="8" s="1"/>
  <c r="Z362" i="8" s="1"/>
  <c r="AR364" i="8"/>
  <c r="AI364" i="8" s="1"/>
  <c r="AQ364" i="8"/>
  <c r="AH364" i="8" s="1"/>
  <c r="AO384" i="8"/>
  <c r="AN384" i="8"/>
  <c r="AM384" i="8"/>
  <c r="AF384" i="8" s="1"/>
  <c r="Y384" i="8" s="1"/>
  <c r="AR385" i="8"/>
  <c r="AI385" i="8" s="1"/>
  <c r="AQ385" i="8"/>
  <c r="AH385" i="8" s="1"/>
  <c r="Z390" i="8"/>
  <c r="AL398" i="8"/>
  <c r="AE398" i="8" s="1"/>
  <c r="AN403" i="8"/>
  <c r="Z423" i="8"/>
  <c r="AQ477" i="8"/>
  <c r="AH477" i="8" s="1"/>
  <c r="AP477" i="8"/>
  <c r="AG477" i="8" s="1"/>
  <c r="AR477" i="8"/>
  <c r="AI477" i="8" s="1"/>
  <c r="AN268" i="8"/>
  <c r="AO284" i="8"/>
  <c r="AN284" i="8"/>
  <c r="AM286" i="8"/>
  <c r="AF286" i="8" s="1"/>
  <c r="AP307" i="8"/>
  <c r="AG307" i="8" s="1"/>
  <c r="Z307" i="8" s="1"/>
  <c r="AO316" i="8"/>
  <c r="AN316" i="8"/>
  <c r="Y316" i="8" s="1"/>
  <c r="AP323" i="8"/>
  <c r="AG323" i="8" s="1"/>
  <c r="AQ330" i="8"/>
  <c r="AH330" i="8" s="1"/>
  <c r="AO332" i="8"/>
  <c r="AN332" i="8"/>
  <c r="AP339" i="8"/>
  <c r="AG339" i="8" s="1"/>
  <c r="AQ346" i="8"/>
  <c r="AH346" i="8" s="1"/>
  <c r="AP355" i="8"/>
  <c r="AG355" i="8" s="1"/>
  <c r="Z355" i="8" s="1"/>
  <c r="AQ362" i="8"/>
  <c r="AH362" i="8" s="1"/>
  <c r="AN378" i="8"/>
  <c r="AR387" i="8"/>
  <c r="AI387" i="8" s="1"/>
  <c r="Z387" i="8" s="1"/>
  <c r="AR389" i="8"/>
  <c r="AI389" i="8" s="1"/>
  <c r="AQ389" i="8"/>
  <c r="AH389" i="8" s="1"/>
  <c r="AM398" i="8"/>
  <c r="AF398" i="8" s="1"/>
  <c r="Y455" i="8"/>
  <c r="AP459" i="8"/>
  <c r="AG459" i="8" s="1"/>
  <c r="AQ459" i="8"/>
  <c r="AH459" i="8" s="1"/>
  <c r="AR459" i="8"/>
  <c r="AI459" i="8" s="1"/>
  <c r="AO549" i="8"/>
  <c r="AN549" i="8"/>
  <c r="AM549" i="8"/>
  <c r="AF549" i="8" s="1"/>
  <c r="AL549" i="8"/>
  <c r="AE549" i="8" s="1"/>
  <c r="AO293" i="8"/>
  <c r="Y293" i="8" s="1"/>
  <c r="AN293" i="8"/>
  <c r="AO309" i="8"/>
  <c r="AN309" i="8"/>
  <c r="Y309" i="8" s="1"/>
  <c r="AO357" i="8"/>
  <c r="AN357" i="8"/>
  <c r="AL367" i="8"/>
  <c r="AE367" i="8" s="1"/>
  <c r="Y367" i="8" s="1"/>
  <c r="AR371" i="8"/>
  <c r="AI371" i="8" s="1"/>
  <c r="Z371" i="8" s="1"/>
  <c r="AP375" i="8"/>
  <c r="AG375" i="8" s="1"/>
  <c r="Z375" i="8" s="1"/>
  <c r="AL380" i="8"/>
  <c r="AE380" i="8" s="1"/>
  <c r="AO398" i="8"/>
  <c r="AO408" i="8"/>
  <c r="AR422" i="8"/>
  <c r="AI422" i="8" s="1"/>
  <c r="AO434" i="8"/>
  <c r="AR485" i="8"/>
  <c r="AI485" i="8" s="1"/>
  <c r="AQ485" i="8"/>
  <c r="AH485" i="8" s="1"/>
  <c r="AP485" i="8"/>
  <c r="AG485" i="8" s="1"/>
  <c r="Y495" i="8"/>
  <c r="AN500" i="8"/>
  <c r="AN514" i="8"/>
  <c r="AM514" i="8"/>
  <c r="AF514" i="8" s="1"/>
  <c r="AM423" i="8"/>
  <c r="AF423" i="8" s="1"/>
  <c r="AN432" i="8"/>
  <c r="Y432" i="8" s="1"/>
  <c r="AO432" i="8"/>
  <c r="AQ448" i="8"/>
  <c r="AH448" i="8" s="1"/>
  <c r="Z448" i="8" s="1"/>
  <c r="Z596" i="8"/>
  <c r="AN423" i="8"/>
  <c r="AN425" i="8"/>
  <c r="Y425" i="8" s="1"/>
  <c r="AP432" i="8"/>
  <c r="AG432" i="8" s="1"/>
  <c r="Z432" i="8" s="1"/>
  <c r="AR454" i="8"/>
  <c r="AI454" i="8" s="1"/>
  <c r="Z454" i="8" s="1"/>
  <c r="AM456" i="8"/>
  <c r="AF456" i="8" s="1"/>
  <c r="AN456" i="8"/>
  <c r="AO459" i="8"/>
  <c r="AN459" i="8"/>
  <c r="AM459" i="8"/>
  <c r="AF459" i="8" s="1"/>
  <c r="AL459" i="8"/>
  <c r="AE459" i="8" s="1"/>
  <c r="Y459" i="8" s="1"/>
  <c r="Y478" i="8"/>
  <c r="AN506" i="8"/>
  <c r="AL397" i="8"/>
  <c r="AE397" i="8" s="1"/>
  <c r="Y397" i="8" s="1"/>
  <c r="AL401" i="8"/>
  <c r="AE401" i="8" s="1"/>
  <c r="Y401" i="8" s="1"/>
  <c r="AL405" i="8"/>
  <c r="AE405" i="8" s="1"/>
  <c r="Y405" i="8" s="1"/>
  <c r="AL413" i="8"/>
  <c r="AE413" i="8" s="1"/>
  <c r="Y413" i="8" s="1"/>
  <c r="AP430" i="8"/>
  <c r="AG430" i="8" s="1"/>
  <c r="AQ443" i="8"/>
  <c r="AH443" i="8" s="1"/>
  <c r="Z443" i="8" s="1"/>
  <c r="AN513" i="8"/>
  <c r="AQ430" i="8"/>
  <c r="AH430" i="8" s="1"/>
  <c r="AO457" i="8"/>
  <c r="AQ471" i="8"/>
  <c r="AH471" i="8" s="1"/>
  <c r="AP471" i="8"/>
  <c r="AG471" i="8" s="1"/>
  <c r="AO435" i="8"/>
  <c r="AN435" i="8"/>
  <c r="AO449" i="8"/>
  <c r="AM449" i="8"/>
  <c r="AF449" i="8" s="1"/>
  <c r="AO450" i="8"/>
  <c r="AN450" i="8"/>
  <c r="AM450" i="8"/>
  <c r="AF450" i="8" s="1"/>
  <c r="AQ457" i="8"/>
  <c r="AH457" i="8" s="1"/>
  <c r="AP457" i="8"/>
  <c r="AG457" i="8" s="1"/>
  <c r="AR466" i="8"/>
  <c r="AI466" i="8" s="1"/>
  <c r="Y494" i="8"/>
  <c r="AO508" i="8"/>
  <c r="AL508" i="8"/>
  <c r="AE508" i="8" s="1"/>
  <c r="AN508" i="8"/>
  <c r="AM508" i="8"/>
  <c r="AF508" i="8" s="1"/>
  <c r="AN524" i="8"/>
  <c r="AM422" i="8"/>
  <c r="AF422" i="8" s="1"/>
  <c r="AN428" i="8"/>
  <c r="Y428" i="8" s="1"/>
  <c r="AR437" i="8"/>
  <c r="AI437" i="8" s="1"/>
  <c r="AP437" i="8"/>
  <c r="AG437" i="8" s="1"/>
  <c r="AQ440" i="8"/>
  <c r="AH440" i="8" s="1"/>
  <c r="Z440" i="8" s="1"/>
  <c r="Z449" i="8"/>
  <c r="AQ462" i="8"/>
  <c r="AH462" i="8" s="1"/>
  <c r="Z462" i="8" s="1"/>
  <c r="Y474" i="8"/>
  <c r="AR475" i="8"/>
  <c r="AI475" i="8" s="1"/>
  <c r="AQ475" i="8"/>
  <c r="AH475" i="8" s="1"/>
  <c r="AP475" i="8"/>
  <c r="AG475" i="8" s="1"/>
  <c r="AR483" i="8"/>
  <c r="AI483" i="8" s="1"/>
  <c r="AQ483" i="8"/>
  <c r="AH483" i="8" s="1"/>
  <c r="AP483" i="8"/>
  <c r="AG483" i="8" s="1"/>
  <c r="AQ508" i="8"/>
  <c r="AH508" i="8" s="1"/>
  <c r="AR508" i="8"/>
  <c r="AI508" i="8" s="1"/>
  <c r="AP508" i="8"/>
  <c r="AG508" i="8" s="1"/>
  <c r="Y567" i="8"/>
  <c r="AL400" i="8"/>
  <c r="AE400" i="8" s="1"/>
  <c r="AL404" i="8"/>
  <c r="AE404" i="8" s="1"/>
  <c r="AL408" i="8"/>
  <c r="AE408" i="8" s="1"/>
  <c r="Y408" i="8" s="1"/>
  <c r="AP409" i="8"/>
  <c r="AG409" i="8" s="1"/>
  <c r="AP413" i="8"/>
  <c r="AG413" i="8" s="1"/>
  <c r="AL419" i="8"/>
  <c r="AE419" i="8" s="1"/>
  <c r="AN422" i="8"/>
  <c r="AR493" i="8"/>
  <c r="AI493" i="8" s="1"/>
  <c r="AQ493" i="8"/>
  <c r="AH493" i="8" s="1"/>
  <c r="AP493" i="8"/>
  <c r="AG493" i="8" s="1"/>
  <c r="AM400" i="8"/>
  <c r="AF400" i="8" s="1"/>
  <c r="AM404" i="8"/>
  <c r="AF404" i="8" s="1"/>
  <c r="AM408" i="8"/>
  <c r="AF408" i="8" s="1"/>
  <c r="AQ409" i="8"/>
  <c r="AH409" i="8" s="1"/>
  <c r="AQ413" i="8"/>
  <c r="AH413" i="8" s="1"/>
  <c r="AO419" i="8"/>
  <c r="AM419" i="8"/>
  <c r="AF419" i="8" s="1"/>
  <c r="AP422" i="8"/>
  <c r="AG422" i="8" s="1"/>
  <c r="AM424" i="8"/>
  <c r="AF424" i="8" s="1"/>
  <c r="AL433" i="8"/>
  <c r="AE433" i="8" s="1"/>
  <c r="Y433" i="8" s="1"/>
  <c r="AP433" i="8"/>
  <c r="AG433" i="8" s="1"/>
  <c r="AO453" i="8"/>
  <c r="AN453" i="8"/>
  <c r="AM453" i="8"/>
  <c r="AF453" i="8" s="1"/>
  <c r="AL453" i="8"/>
  <c r="AE453" i="8" s="1"/>
  <c r="Z458" i="8"/>
  <c r="AR471" i="8"/>
  <c r="AI471" i="8" s="1"/>
  <c r="Y482" i="8"/>
  <c r="AN400" i="8"/>
  <c r="AN404" i="8"/>
  <c r="AN408" i="8"/>
  <c r="AP426" i="8"/>
  <c r="AG426" i="8" s="1"/>
  <c r="AL429" i="8"/>
  <c r="AE429" i="8" s="1"/>
  <c r="Y429" i="8" s="1"/>
  <c r="AQ433" i="8"/>
  <c r="AH433" i="8" s="1"/>
  <c r="AP451" i="8"/>
  <c r="AG451" i="8" s="1"/>
  <c r="AR451" i="8"/>
  <c r="AI451" i="8" s="1"/>
  <c r="AQ453" i="8"/>
  <c r="AH453" i="8" s="1"/>
  <c r="AP453" i="8"/>
  <c r="AG453" i="8" s="1"/>
  <c r="AQ465" i="8"/>
  <c r="AH465" i="8" s="1"/>
  <c r="AP465" i="8"/>
  <c r="AG465" i="8" s="1"/>
  <c r="AR465" i="8"/>
  <c r="AI465" i="8" s="1"/>
  <c r="AR479" i="8"/>
  <c r="AI479" i="8" s="1"/>
  <c r="AQ479" i="8"/>
  <c r="AH479" i="8" s="1"/>
  <c r="AP479" i="8"/>
  <c r="AG479" i="8" s="1"/>
  <c r="AR499" i="8"/>
  <c r="AI499" i="8" s="1"/>
  <c r="AP499" i="8"/>
  <c r="AG499" i="8" s="1"/>
  <c r="AO516" i="8"/>
  <c r="AL516" i="8"/>
  <c r="AE516" i="8" s="1"/>
  <c r="AN516" i="8"/>
  <c r="AM516" i="8"/>
  <c r="AF516" i="8" s="1"/>
  <c r="AP419" i="8"/>
  <c r="AG419" i="8" s="1"/>
  <c r="AQ426" i="8"/>
  <c r="AH426" i="8" s="1"/>
  <c r="AO431" i="8"/>
  <c r="AN431" i="8"/>
  <c r="Y431" i="8" s="1"/>
  <c r="AR452" i="8"/>
  <c r="AI452" i="8" s="1"/>
  <c r="AL457" i="8"/>
  <c r="AE457" i="8" s="1"/>
  <c r="AN530" i="8"/>
  <c r="AL530" i="8"/>
  <c r="AE530" i="8" s="1"/>
  <c r="AL379" i="8"/>
  <c r="AE379" i="8" s="1"/>
  <c r="AL383" i="8"/>
  <c r="AE383" i="8" s="1"/>
  <c r="AP384" i="8"/>
  <c r="AG384" i="8" s="1"/>
  <c r="AP388" i="8"/>
  <c r="AG388" i="8" s="1"/>
  <c r="AP392" i="8"/>
  <c r="AG392" i="8" s="1"/>
  <c r="AL395" i="8"/>
  <c r="AE395" i="8" s="1"/>
  <c r="AP396" i="8"/>
  <c r="AG396" i="8" s="1"/>
  <c r="AL399" i="8"/>
  <c r="AE399" i="8" s="1"/>
  <c r="AP400" i="8"/>
  <c r="AG400" i="8" s="1"/>
  <c r="AL403" i="8"/>
  <c r="AE403" i="8" s="1"/>
  <c r="AP404" i="8"/>
  <c r="AG404" i="8" s="1"/>
  <c r="AL407" i="8"/>
  <c r="AE407" i="8" s="1"/>
  <c r="Y407" i="8" s="1"/>
  <c r="AP408" i="8"/>
  <c r="AG408" i="8" s="1"/>
  <c r="AP412" i="8"/>
  <c r="AG412" i="8" s="1"/>
  <c r="AP416" i="8"/>
  <c r="AG416" i="8" s="1"/>
  <c r="AQ419" i="8"/>
  <c r="AH419" i="8" s="1"/>
  <c r="AR424" i="8"/>
  <c r="AI424" i="8" s="1"/>
  <c r="AP424" i="8"/>
  <c r="AG424" i="8" s="1"/>
  <c r="AL434" i="8"/>
  <c r="AE434" i="8" s="1"/>
  <c r="AM446" i="8"/>
  <c r="AF446" i="8" s="1"/>
  <c r="AM457" i="8"/>
  <c r="AF457" i="8" s="1"/>
  <c r="Y486" i="8"/>
  <c r="AO512" i="8"/>
  <c r="AN512" i="8"/>
  <c r="AL512" i="8"/>
  <c r="AE512" i="8" s="1"/>
  <c r="AM512" i="8"/>
  <c r="AF512" i="8" s="1"/>
  <c r="AO556" i="8"/>
  <c r="AN556" i="8"/>
  <c r="AL556" i="8"/>
  <c r="AE556" i="8" s="1"/>
  <c r="AM556" i="8"/>
  <c r="AF556" i="8" s="1"/>
  <c r="AM379" i="8"/>
  <c r="AF379" i="8" s="1"/>
  <c r="AM383" i="8"/>
  <c r="AF383" i="8" s="1"/>
  <c r="AQ384" i="8"/>
  <c r="AH384" i="8" s="1"/>
  <c r="AQ388" i="8"/>
  <c r="AH388" i="8" s="1"/>
  <c r="AQ392" i="8"/>
  <c r="AH392" i="8" s="1"/>
  <c r="AM395" i="8"/>
  <c r="AF395" i="8" s="1"/>
  <c r="AQ396" i="8"/>
  <c r="AH396" i="8" s="1"/>
  <c r="AM399" i="8"/>
  <c r="AF399" i="8" s="1"/>
  <c r="AQ400" i="8"/>
  <c r="AH400" i="8" s="1"/>
  <c r="AM403" i="8"/>
  <c r="AF403" i="8" s="1"/>
  <c r="AQ404" i="8"/>
  <c r="AH404" i="8" s="1"/>
  <c r="AM407" i="8"/>
  <c r="AF407" i="8" s="1"/>
  <c r="AQ408" i="8"/>
  <c r="AH408" i="8" s="1"/>
  <c r="AQ412" i="8"/>
  <c r="AH412" i="8" s="1"/>
  <c r="AQ416" i="8"/>
  <c r="AH416" i="8" s="1"/>
  <c r="AL418" i="8"/>
  <c r="AE418" i="8" s="1"/>
  <c r="Y418" i="8" s="1"/>
  <c r="AM421" i="8"/>
  <c r="AF421" i="8" s="1"/>
  <c r="AQ424" i="8"/>
  <c r="AH424" i="8" s="1"/>
  <c r="AL427" i="8"/>
  <c r="AE427" i="8" s="1"/>
  <c r="AN429" i="8"/>
  <c r="AM434" i="8"/>
  <c r="AF434" i="8" s="1"/>
  <c r="AN436" i="8"/>
  <c r="Y436" i="8" s="1"/>
  <c r="AO441" i="8"/>
  <c r="AN446" i="8"/>
  <c r="AN457" i="8"/>
  <c r="Z463" i="8"/>
  <c r="Z474" i="8"/>
  <c r="AR500" i="8"/>
  <c r="AI500" i="8" s="1"/>
  <c r="AQ500" i="8"/>
  <c r="AH500" i="8" s="1"/>
  <c r="AP500" i="8"/>
  <c r="AG500" i="8" s="1"/>
  <c r="Z500" i="8" s="1"/>
  <c r="AL503" i="8"/>
  <c r="AE503" i="8" s="1"/>
  <c r="AO503" i="8"/>
  <c r="AN522" i="8"/>
  <c r="AR578" i="8"/>
  <c r="AI578" i="8" s="1"/>
  <c r="AP578" i="8"/>
  <c r="AG578" i="8" s="1"/>
  <c r="AQ578" i="8"/>
  <c r="AH578" i="8" s="1"/>
  <c r="AM427" i="8"/>
  <c r="AF427" i="8" s="1"/>
  <c r="AN434" i="8"/>
  <c r="AO436" i="8"/>
  <c r="AP441" i="8"/>
  <c r="AG441" i="8" s="1"/>
  <c r="Z441" i="8" s="1"/>
  <c r="AO456" i="8"/>
  <c r="AR457" i="8"/>
  <c r="AI457" i="8" s="1"/>
  <c r="AP466" i="8"/>
  <c r="AG466" i="8" s="1"/>
  <c r="AO469" i="8"/>
  <c r="AN469" i="8"/>
  <c r="AM469" i="8"/>
  <c r="AF469" i="8" s="1"/>
  <c r="AL469" i="8"/>
  <c r="AE469" i="8" s="1"/>
  <c r="AR574" i="8"/>
  <c r="AI574" i="8" s="1"/>
  <c r="AQ574" i="8"/>
  <c r="AH574" i="8" s="1"/>
  <c r="AP574" i="8"/>
  <c r="AG574" i="8" s="1"/>
  <c r="AO451" i="8"/>
  <c r="AL460" i="8"/>
  <c r="AE460" i="8" s="1"/>
  <c r="AO463" i="8"/>
  <c r="Y463" i="8" s="1"/>
  <c r="AQ467" i="8"/>
  <c r="AH467" i="8" s="1"/>
  <c r="Z467" i="8" s="1"/>
  <c r="AO500" i="8"/>
  <c r="AR519" i="8"/>
  <c r="AI519" i="8" s="1"/>
  <c r="AO527" i="8"/>
  <c r="AM527" i="8"/>
  <c r="AF527" i="8" s="1"/>
  <c r="AL527" i="8"/>
  <c r="AE527" i="8" s="1"/>
  <c r="AO540" i="8"/>
  <c r="AN540" i="8"/>
  <c r="AM540" i="8"/>
  <c r="AF540" i="8" s="1"/>
  <c r="AL540" i="8"/>
  <c r="AE540" i="8" s="1"/>
  <c r="AR549" i="8"/>
  <c r="AI549" i="8" s="1"/>
  <c r="AP549" i="8"/>
  <c r="AG549" i="8" s="1"/>
  <c r="AQ549" i="8"/>
  <c r="AH549" i="8" s="1"/>
  <c r="AM477" i="8"/>
  <c r="AF477" i="8" s="1"/>
  <c r="AL479" i="8"/>
  <c r="AE479" i="8" s="1"/>
  <c r="AM481" i="8"/>
  <c r="AF481" i="8" s="1"/>
  <c r="AL483" i="8"/>
  <c r="AE483" i="8" s="1"/>
  <c r="AL488" i="8"/>
  <c r="AO488" i="8"/>
  <c r="AN488" i="8"/>
  <c r="AM488" i="8"/>
  <c r="AN494" i="8"/>
  <c r="AN499" i="8"/>
  <c r="AL499" i="8"/>
  <c r="AE499" i="8" s="1"/>
  <c r="AN505" i="8"/>
  <c r="Y505" i="8" s="1"/>
  <c r="AN507" i="8"/>
  <c r="AO523" i="8"/>
  <c r="AP529" i="8"/>
  <c r="AG529" i="8" s="1"/>
  <c r="AR532" i="8"/>
  <c r="AI532" i="8" s="1"/>
  <c r="AQ540" i="8"/>
  <c r="AH540" i="8" s="1"/>
  <c r="AP540" i="8"/>
  <c r="AG540" i="8" s="1"/>
  <c r="AQ473" i="8"/>
  <c r="AH473" i="8" s="1"/>
  <c r="AP473" i="8"/>
  <c r="AG473" i="8" s="1"/>
  <c r="AN477" i="8"/>
  <c r="AN481" i="8"/>
  <c r="AM485" i="8"/>
  <c r="AF485" i="8" s="1"/>
  <c r="AQ499" i="8"/>
  <c r="AH499" i="8" s="1"/>
  <c r="AP505" i="8"/>
  <c r="AG505" i="8" s="1"/>
  <c r="AQ505" i="8"/>
  <c r="AH505" i="8" s="1"/>
  <c r="AR507" i="8"/>
  <c r="AI507" i="8" s="1"/>
  <c r="AQ507" i="8"/>
  <c r="AH507" i="8" s="1"/>
  <c r="AP507" i="8"/>
  <c r="AG507" i="8" s="1"/>
  <c r="AR523" i="8"/>
  <c r="AI523" i="8" s="1"/>
  <c r="AR529" i="8"/>
  <c r="AI529" i="8" s="1"/>
  <c r="AR551" i="8"/>
  <c r="AI551" i="8" s="1"/>
  <c r="AQ551" i="8"/>
  <c r="AH551" i="8" s="1"/>
  <c r="AN485" i="8"/>
  <c r="AL500" i="8"/>
  <c r="AE500" i="8" s="1"/>
  <c r="Y500" i="8" s="1"/>
  <c r="AQ515" i="8"/>
  <c r="AH515" i="8" s="1"/>
  <c r="Y518" i="8"/>
  <c r="Y519" i="8"/>
  <c r="AR520" i="8"/>
  <c r="AI520" i="8" s="1"/>
  <c r="AP520" i="8"/>
  <c r="AG520" i="8" s="1"/>
  <c r="AN548" i="8"/>
  <c r="AR564" i="8"/>
  <c r="AI564" i="8" s="1"/>
  <c r="AQ564" i="8"/>
  <c r="AH564" i="8" s="1"/>
  <c r="AP564" i="8"/>
  <c r="AG564" i="8" s="1"/>
  <c r="AN573" i="8"/>
  <c r="AO447" i="8"/>
  <c r="AR447" i="8"/>
  <c r="AI447" i="8" s="1"/>
  <c r="Z447" i="8" s="1"/>
  <c r="AL452" i="8"/>
  <c r="AE452" i="8" s="1"/>
  <c r="Y452" i="8" s="1"/>
  <c r="AP452" i="8"/>
  <c r="AG452" i="8" s="1"/>
  <c r="AO461" i="8"/>
  <c r="AQ464" i="8"/>
  <c r="AH464" i="8" s="1"/>
  <c r="Z464" i="8" s="1"/>
  <c r="AP478" i="8"/>
  <c r="AG478" i="8" s="1"/>
  <c r="AP482" i="8"/>
  <c r="AG482" i="8" s="1"/>
  <c r="AO485" i="8"/>
  <c r="AP488" i="8"/>
  <c r="AM500" i="8"/>
  <c r="AF500" i="8" s="1"/>
  <c r="AN511" i="8"/>
  <c r="AL511" i="8"/>
  <c r="AE511" i="8" s="1"/>
  <c r="AL526" i="8"/>
  <c r="AE526" i="8" s="1"/>
  <c r="AM526" i="8"/>
  <c r="AF526" i="8" s="1"/>
  <c r="AN527" i="8"/>
  <c r="Y551" i="8"/>
  <c r="Z553" i="8"/>
  <c r="AR571" i="8"/>
  <c r="AI571" i="8" s="1"/>
  <c r="AQ571" i="8"/>
  <c r="AH571" i="8" s="1"/>
  <c r="AP571" i="8"/>
  <c r="AG571" i="8" s="1"/>
  <c r="AQ452" i="8"/>
  <c r="AH452" i="8" s="1"/>
  <c r="Z455" i="8"/>
  <c r="AQ461" i="8"/>
  <c r="AH461" i="8" s="1"/>
  <c r="AP461" i="8"/>
  <c r="AG461" i="8" s="1"/>
  <c r="AQ478" i="8"/>
  <c r="AH478" i="8" s="1"/>
  <c r="AQ482" i="8"/>
  <c r="AH482" i="8" s="1"/>
  <c r="AO491" i="8"/>
  <c r="AM491" i="8"/>
  <c r="AL491" i="8"/>
  <c r="AR526" i="8"/>
  <c r="AI526" i="8" s="1"/>
  <c r="AN534" i="8"/>
  <c r="AN546" i="8"/>
  <c r="Y546" i="8" s="1"/>
  <c r="Z567" i="8"/>
  <c r="AR577" i="8"/>
  <c r="AI577" i="8" s="1"/>
  <c r="AQ577" i="8"/>
  <c r="AH577" i="8" s="1"/>
  <c r="AP577" i="8"/>
  <c r="AG577" i="8" s="1"/>
  <c r="Y631" i="8"/>
  <c r="AM441" i="8"/>
  <c r="AF441" i="8" s="1"/>
  <c r="AQ497" i="8"/>
  <c r="AH497" i="8" s="1"/>
  <c r="AP497" i="8"/>
  <c r="AG497" i="8" s="1"/>
  <c r="AP501" i="8"/>
  <c r="AG501" i="8" s="1"/>
  <c r="AO530" i="8"/>
  <c r="Y542" i="8"/>
  <c r="AO550" i="8"/>
  <c r="AN550" i="8"/>
  <c r="AM550" i="8"/>
  <c r="AF550" i="8" s="1"/>
  <c r="AL550" i="8"/>
  <c r="AE550" i="8" s="1"/>
  <c r="AP551" i="8"/>
  <c r="AG551" i="8" s="1"/>
  <c r="AN441" i="8"/>
  <c r="AP445" i="8"/>
  <c r="AG445" i="8" s="1"/>
  <c r="AR445" i="8"/>
  <c r="AI445" i="8" s="1"/>
  <c r="AL450" i="8"/>
  <c r="AE450" i="8" s="1"/>
  <c r="AO475" i="8"/>
  <c r="AN475" i="8"/>
  <c r="Y475" i="8" s="1"/>
  <c r="AR503" i="8"/>
  <c r="AI503" i="8" s="1"/>
  <c r="AQ503" i="8"/>
  <c r="AH503" i="8" s="1"/>
  <c r="AP503" i="8"/>
  <c r="AG503" i="8" s="1"/>
  <c r="AL510" i="8"/>
  <c r="AE510" i="8" s="1"/>
  <c r="AM510" i="8"/>
  <c r="AF510" i="8" s="1"/>
  <c r="AL514" i="8"/>
  <c r="AE514" i="8" s="1"/>
  <c r="AM518" i="8"/>
  <c r="AF518" i="8" s="1"/>
  <c r="AL522" i="8"/>
  <c r="AE522" i="8" s="1"/>
  <c r="AP530" i="8"/>
  <c r="AG530" i="8" s="1"/>
  <c r="Z550" i="8"/>
  <c r="Y480" i="8"/>
  <c r="AN509" i="8"/>
  <c r="AM509" i="8"/>
  <c r="AF509" i="8" s="1"/>
  <c r="AR514" i="8"/>
  <c r="AI514" i="8" s="1"/>
  <c r="AQ514" i="8"/>
  <c r="AH514" i="8" s="1"/>
  <c r="AM522" i="8"/>
  <c r="AF522" i="8" s="1"/>
  <c r="AN523" i="8"/>
  <c r="AL523" i="8"/>
  <c r="AE523" i="8" s="1"/>
  <c r="AP535" i="8"/>
  <c r="AG535" i="8" s="1"/>
  <c r="Y545" i="8"/>
  <c r="AO557" i="8"/>
  <c r="AN557" i="8"/>
  <c r="AL557" i="8"/>
  <c r="AE557" i="8" s="1"/>
  <c r="AO486" i="8"/>
  <c r="AN486" i="8"/>
  <c r="AR502" i="8"/>
  <c r="AI502" i="8" s="1"/>
  <c r="AQ502" i="8"/>
  <c r="AH502" i="8" s="1"/>
  <c r="Z502" i="8" s="1"/>
  <c r="Y521" i="8"/>
  <c r="AO522" i="8"/>
  <c r="AQ535" i="8"/>
  <c r="AH535" i="8" s="1"/>
  <c r="AO479" i="8"/>
  <c r="AN479" i="8"/>
  <c r="AQ481" i="8"/>
  <c r="AH481" i="8" s="1"/>
  <c r="AP481" i="8"/>
  <c r="AG481" i="8" s="1"/>
  <c r="AO483" i="8"/>
  <c r="AN483" i="8"/>
  <c r="AQ494" i="8"/>
  <c r="AH494" i="8" s="1"/>
  <c r="AP494" i="8"/>
  <c r="AG494" i="8" s="1"/>
  <c r="AR496" i="8"/>
  <c r="AI496" i="8" s="1"/>
  <c r="AQ496" i="8"/>
  <c r="AH496" i="8" s="1"/>
  <c r="AP496" i="8"/>
  <c r="AG496" i="8" s="1"/>
  <c r="AO499" i="8"/>
  <c r="AM511" i="8"/>
  <c r="AF511" i="8" s="1"/>
  <c r="AQ520" i="8"/>
  <c r="AH520" i="8" s="1"/>
  <c r="Y533" i="8"/>
  <c r="AQ537" i="8"/>
  <c r="AH537" i="8" s="1"/>
  <c r="Z560" i="8"/>
  <c r="AO565" i="8"/>
  <c r="AN565" i="8"/>
  <c r="AM565" i="8"/>
  <c r="AF565" i="8" s="1"/>
  <c r="Y565" i="8" s="1"/>
  <c r="Z603" i="8"/>
  <c r="AR515" i="8"/>
  <c r="AI515" i="8" s="1"/>
  <c r="AP515" i="8"/>
  <c r="AG515" i="8" s="1"/>
  <c r="Z525" i="8"/>
  <c r="AL513" i="8"/>
  <c r="AE513" i="8" s="1"/>
  <c r="AO513" i="8"/>
  <c r="AM513" i="8"/>
  <c r="AF513" i="8" s="1"/>
  <c r="Z547" i="8"/>
  <c r="Z570" i="8"/>
  <c r="Y587" i="8"/>
  <c r="AN589" i="8"/>
  <c r="Z604" i="8"/>
  <c r="AN621" i="8"/>
  <c r="AM621" i="8"/>
  <c r="AF621" i="8" s="1"/>
  <c r="AO621" i="8"/>
  <c r="AL621" i="8"/>
  <c r="AE621" i="8" s="1"/>
  <c r="AO658" i="8"/>
  <c r="AN658" i="8"/>
  <c r="AM658" i="8"/>
  <c r="AF658" i="8" s="1"/>
  <c r="AL658" i="8"/>
  <c r="AE658" i="8" s="1"/>
  <c r="Y658" i="8" s="1"/>
  <c r="AR565" i="8"/>
  <c r="AI565" i="8" s="1"/>
  <c r="AQ565" i="8"/>
  <c r="AH565" i="8" s="1"/>
  <c r="AP565" i="8"/>
  <c r="AG565" i="8" s="1"/>
  <c r="AN570" i="8"/>
  <c r="AO575" i="8"/>
  <c r="AN575" i="8"/>
  <c r="AR598" i="8"/>
  <c r="AI598" i="8" s="1"/>
  <c r="AQ598" i="8"/>
  <c r="AH598" i="8" s="1"/>
  <c r="AO606" i="8"/>
  <c r="AN606" i="8"/>
  <c r="Z644" i="8"/>
  <c r="AP516" i="8"/>
  <c r="AG516" i="8" s="1"/>
  <c r="AQ518" i="8"/>
  <c r="AH518" i="8" s="1"/>
  <c r="AO524" i="8"/>
  <c r="AQ526" i="8"/>
  <c r="AH526" i="8" s="1"/>
  <c r="AN583" i="8"/>
  <c r="Y583" i="8" s="1"/>
  <c r="AN662" i="8"/>
  <c r="Y670" i="8"/>
  <c r="AQ516" i="8"/>
  <c r="AH516" i="8" s="1"/>
  <c r="AR518" i="8"/>
  <c r="AI518" i="8" s="1"/>
  <c r="AQ524" i="8"/>
  <c r="AH524" i="8" s="1"/>
  <c r="Z524" i="8" s="1"/>
  <c r="AR524" i="8"/>
  <c r="AI524" i="8" s="1"/>
  <c r="AM529" i="8"/>
  <c r="AF529" i="8" s="1"/>
  <c r="AO531" i="8"/>
  <c r="Y531" i="8" s="1"/>
  <c r="AR533" i="8"/>
  <c r="AI533" i="8" s="1"/>
  <c r="AQ533" i="8"/>
  <c r="AH533" i="8" s="1"/>
  <c r="AL534" i="8"/>
  <c r="AE534" i="8" s="1"/>
  <c r="Y534" i="8" s="1"/>
  <c r="AN538" i="8"/>
  <c r="AO541" i="8"/>
  <c r="AQ545" i="8"/>
  <c r="AH545" i="8" s="1"/>
  <c r="Z545" i="8" s="1"/>
  <c r="AR568" i="8"/>
  <c r="AI568" i="8" s="1"/>
  <c r="AQ568" i="8"/>
  <c r="AH568" i="8" s="1"/>
  <c r="AO608" i="8"/>
  <c r="AN608" i="8"/>
  <c r="AM608" i="8"/>
  <c r="AF608" i="8" s="1"/>
  <c r="AL608" i="8"/>
  <c r="AE608" i="8" s="1"/>
  <c r="Y643" i="8"/>
  <c r="Y653" i="8"/>
  <c r="AR714" i="8"/>
  <c r="AI714" i="8" s="1"/>
  <c r="AQ714" i="8"/>
  <c r="AH714" i="8" s="1"/>
  <c r="AP714" i="8"/>
  <c r="AG714" i="8" s="1"/>
  <c r="AN758" i="8"/>
  <c r="Y758" i="8" s="1"/>
  <c r="AO484" i="8"/>
  <c r="AL484" i="8"/>
  <c r="AE484" i="8" s="1"/>
  <c r="AL502" i="8"/>
  <c r="AE502" i="8" s="1"/>
  <c r="Y502" i="8" s="1"/>
  <c r="AM505" i="8"/>
  <c r="AF505" i="8" s="1"/>
  <c r="AN529" i="8"/>
  <c r="AM534" i="8"/>
  <c r="AF534" i="8" s="1"/>
  <c r="AL536" i="8"/>
  <c r="AE536" i="8" s="1"/>
  <c r="AP541" i="8"/>
  <c r="AG541" i="8" s="1"/>
  <c r="Z541" i="8" s="1"/>
  <c r="AL562" i="8"/>
  <c r="AE562" i="8" s="1"/>
  <c r="Z595" i="8"/>
  <c r="AP598" i="8"/>
  <c r="AG598" i="8" s="1"/>
  <c r="AN605" i="8"/>
  <c r="AL606" i="8"/>
  <c r="AE606" i="8" s="1"/>
  <c r="AR611" i="8"/>
  <c r="AI611" i="8" s="1"/>
  <c r="AQ611" i="8"/>
  <c r="AH611" i="8" s="1"/>
  <c r="AP611" i="8"/>
  <c r="AG611" i="8" s="1"/>
  <c r="AQ621" i="8"/>
  <c r="AH621" i="8" s="1"/>
  <c r="AP621" i="8"/>
  <c r="AG621" i="8" s="1"/>
  <c r="AL507" i="8"/>
  <c r="AE507" i="8" s="1"/>
  <c r="AO529" i="8"/>
  <c r="AM536" i="8"/>
  <c r="AF536" i="8" s="1"/>
  <c r="AN541" i="8"/>
  <c r="AO553" i="8"/>
  <c r="AN553" i="8"/>
  <c r="AO554" i="8"/>
  <c r="AN554" i="8"/>
  <c r="AL554" i="8"/>
  <c r="AE554" i="8" s="1"/>
  <c r="Y554" i="8" s="1"/>
  <c r="AM562" i="8"/>
  <c r="AF562" i="8" s="1"/>
  <c r="AM606" i="8"/>
  <c r="AF606" i="8" s="1"/>
  <c r="AR597" i="8"/>
  <c r="AI597" i="8" s="1"/>
  <c r="AQ597" i="8"/>
  <c r="AH597" i="8" s="1"/>
  <c r="AP597" i="8"/>
  <c r="AG597" i="8" s="1"/>
  <c r="Z606" i="8"/>
  <c r="Z625" i="8"/>
  <c r="AN627" i="8"/>
  <c r="Z662" i="8"/>
  <c r="AO665" i="8"/>
  <c r="AL665" i="8"/>
  <c r="AE665" i="8" s="1"/>
  <c r="Z669" i="8"/>
  <c r="AM496" i="8"/>
  <c r="AF496" i="8" s="1"/>
  <c r="Y496" i="8" s="1"/>
  <c r="AM515" i="8"/>
  <c r="AF515" i="8" s="1"/>
  <c r="Y515" i="8" s="1"/>
  <c r="AQ534" i="8"/>
  <c r="AH534" i="8" s="1"/>
  <c r="AO546" i="8"/>
  <c r="AO552" i="8"/>
  <c r="AL555" i="8"/>
  <c r="AE555" i="8" s="1"/>
  <c r="Y555" i="8" s="1"/>
  <c r="AQ563" i="8"/>
  <c r="AH563" i="8" s="1"/>
  <c r="Z563" i="8" s="1"/>
  <c r="AL575" i="8"/>
  <c r="AE575" i="8" s="1"/>
  <c r="AN578" i="8"/>
  <c r="Y578" i="8" s="1"/>
  <c r="AQ579" i="8"/>
  <c r="AH579" i="8" s="1"/>
  <c r="Z579" i="8" s="1"/>
  <c r="AO582" i="8"/>
  <c r="AM582" i="8"/>
  <c r="AF582" i="8" s="1"/>
  <c r="Z585" i="8"/>
  <c r="AR589" i="8"/>
  <c r="AI589" i="8" s="1"/>
  <c r="AM590" i="8"/>
  <c r="AF590" i="8" s="1"/>
  <c r="AQ608" i="8"/>
  <c r="AH608" i="8" s="1"/>
  <c r="Z608" i="8" s="1"/>
  <c r="AO619" i="8"/>
  <c r="AN619" i="8"/>
  <c r="AM619" i="8"/>
  <c r="AF619" i="8" s="1"/>
  <c r="AL619" i="8"/>
  <c r="AE619" i="8" s="1"/>
  <c r="Y656" i="8"/>
  <c r="AR534" i="8"/>
  <c r="AI534" i="8" s="1"/>
  <c r="AR546" i="8"/>
  <c r="AI546" i="8" s="1"/>
  <c r="AP546" i="8"/>
  <c r="AG546" i="8" s="1"/>
  <c r="AQ552" i="8"/>
  <c r="AH552" i="8" s="1"/>
  <c r="AP552" i="8"/>
  <c r="AG552" i="8" s="1"/>
  <c r="AQ555" i="8"/>
  <c r="AH555" i="8" s="1"/>
  <c r="AP555" i="8"/>
  <c r="AG555" i="8" s="1"/>
  <c r="AO560" i="8"/>
  <c r="AN560" i="8"/>
  <c r="AL560" i="8"/>
  <c r="AE560" i="8" s="1"/>
  <c r="AM571" i="8"/>
  <c r="AF571" i="8" s="1"/>
  <c r="Y571" i="8" s="1"/>
  <c r="AM575" i="8"/>
  <c r="AF575" i="8" s="1"/>
  <c r="AR582" i="8"/>
  <c r="AI582" i="8" s="1"/>
  <c r="AQ582" i="8"/>
  <c r="AH582" i="8" s="1"/>
  <c r="AN590" i="8"/>
  <c r="AN599" i="8"/>
  <c r="AO610" i="8"/>
  <c r="AN610" i="8"/>
  <c r="AM610" i="8"/>
  <c r="AF610" i="8" s="1"/>
  <c r="AL610" i="8"/>
  <c r="AE610" i="8" s="1"/>
  <c r="AO616" i="8"/>
  <c r="AN616" i="8"/>
  <c r="AM616" i="8"/>
  <c r="AF616" i="8" s="1"/>
  <c r="AL616" i="8"/>
  <c r="AE616" i="8" s="1"/>
  <c r="Y616" i="8" s="1"/>
  <c r="AP511" i="8"/>
  <c r="AG511" i="8" s="1"/>
  <c r="AN525" i="8"/>
  <c r="Y525" i="8" s="1"/>
  <c r="AO525" i="8"/>
  <c r="AQ527" i="8"/>
  <c r="AH527" i="8" s="1"/>
  <c r="AP527" i="8"/>
  <c r="AG527" i="8" s="1"/>
  <c r="AR536" i="8"/>
  <c r="AI536" i="8" s="1"/>
  <c r="Z536" i="8" s="1"/>
  <c r="AL537" i="8"/>
  <c r="AE537" i="8" s="1"/>
  <c r="AN539" i="8"/>
  <c r="Y539" i="8" s="1"/>
  <c r="AQ542" i="8"/>
  <c r="AH542" i="8" s="1"/>
  <c r="Z542" i="8" s="1"/>
  <c r="AP543" i="8"/>
  <c r="AG543" i="8" s="1"/>
  <c r="Z543" i="8" s="1"/>
  <c r="AR558" i="8"/>
  <c r="AI558" i="8" s="1"/>
  <c r="AQ558" i="8"/>
  <c r="AH558" i="8" s="1"/>
  <c r="Z558" i="8" s="1"/>
  <c r="AO559" i="8"/>
  <c r="AL568" i="8"/>
  <c r="AE568" i="8" s="1"/>
  <c r="AL569" i="8"/>
  <c r="AE569" i="8" s="1"/>
  <c r="Y569" i="8" s="1"/>
  <c r="AN571" i="8"/>
  <c r="AP575" i="8"/>
  <c r="AG575" i="8" s="1"/>
  <c r="Z575" i="8" s="1"/>
  <c r="AR576" i="8"/>
  <c r="AI576" i="8" s="1"/>
  <c r="Z576" i="8" s="1"/>
  <c r="AM597" i="8"/>
  <c r="AF597" i="8" s="1"/>
  <c r="Y597" i="8" s="1"/>
  <c r="AO604" i="8"/>
  <c r="AM604" i="8"/>
  <c r="AF604" i="8" s="1"/>
  <c r="AL604" i="8"/>
  <c r="AE604" i="8" s="1"/>
  <c r="AO654" i="8"/>
  <c r="AN654" i="8"/>
  <c r="AL498" i="8"/>
  <c r="AE498" i="8" s="1"/>
  <c r="AL501" i="8"/>
  <c r="AE501" i="8" s="1"/>
  <c r="AR511" i="8"/>
  <c r="AI511" i="8" s="1"/>
  <c r="AP513" i="8"/>
  <c r="AG513" i="8" s="1"/>
  <c r="AM530" i="8"/>
  <c r="AF530" i="8" s="1"/>
  <c r="AO532" i="8"/>
  <c r="AL532" i="8"/>
  <c r="AE532" i="8" s="1"/>
  <c r="Y532" i="8" s="1"/>
  <c r="AP532" i="8"/>
  <c r="AG532" i="8" s="1"/>
  <c r="AM537" i="8"/>
  <c r="AF537" i="8" s="1"/>
  <c r="AP548" i="8"/>
  <c r="AG548" i="8" s="1"/>
  <c r="Z548" i="8" s="1"/>
  <c r="AR559" i="8"/>
  <c r="AI559" i="8" s="1"/>
  <c r="AQ559" i="8"/>
  <c r="AH559" i="8" s="1"/>
  <c r="AP559" i="8"/>
  <c r="AG559" i="8" s="1"/>
  <c r="AM568" i="8"/>
  <c r="AF568" i="8" s="1"/>
  <c r="AO571" i="8"/>
  <c r="AP573" i="8"/>
  <c r="AG573" i="8" s="1"/>
  <c r="Z573" i="8" s="1"/>
  <c r="AN597" i="8"/>
  <c r="Z617" i="8"/>
  <c r="Z705" i="8"/>
  <c r="AM498" i="8"/>
  <c r="AF498" i="8" s="1"/>
  <c r="AM501" i="8"/>
  <c r="AF501" i="8" s="1"/>
  <c r="AO504" i="8"/>
  <c r="AM504" i="8"/>
  <c r="AF504" i="8" s="1"/>
  <c r="Y504" i="8" s="1"/>
  <c r="AQ513" i="8"/>
  <c r="AH513" i="8" s="1"/>
  <c r="AR517" i="8"/>
  <c r="AI517" i="8" s="1"/>
  <c r="AP517" i="8"/>
  <c r="AG517" i="8" s="1"/>
  <c r="AP521" i="8"/>
  <c r="AG521" i="8" s="1"/>
  <c r="AQ521" i="8"/>
  <c r="AH521" i="8" s="1"/>
  <c r="AP523" i="8"/>
  <c r="AG523" i="8" s="1"/>
  <c r="AL528" i="8"/>
  <c r="AE528" i="8" s="1"/>
  <c r="AQ532" i="8"/>
  <c r="AH532" i="8" s="1"/>
  <c r="AN537" i="8"/>
  <c r="AN566" i="8"/>
  <c r="AN568" i="8"/>
  <c r="AO588" i="8"/>
  <c r="AM588" i="8"/>
  <c r="AF588" i="8" s="1"/>
  <c r="AL588" i="8"/>
  <c r="AE588" i="8" s="1"/>
  <c r="Y588" i="8" s="1"/>
  <c r="AO597" i="8"/>
  <c r="Y599" i="8"/>
  <c r="AN603" i="8"/>
  <c r="AR607" i="8"/>
  <c r="AI607" i="8" s="1"/>
  <c r="AQ607" i="8"/>
  <c r="AH607" i="8" s="1"/>
  <c r="Y674" i="8"/>
  <c r="AP486" i="8"/>
  <c r="AG486" i="8" s="1"/>
  <c r="Z486" i="8" s="1"/>
  <c r="AL492" i="8"/>
  <c r="AE492" i="8" s="1"/>
  <c r="AN498" i="8"/>
  <c r="AN501" i="8"/>
  <c r="AN504" i="8"/>
  <c r="AM506" i="8"/>
  <c r="AF506" i="8" s="1"/>
  <c r="AQ517" i="8"/>
  <c r="AH517" i="8" s="1"/>
  <c r="AQ519" i="8"/>
  <c r="AH519" i="8" s="1"/>
  <c r="Z519" i="8" s="1"/>
  <c r="AR521" i="8"/>
  <c r="AI521" i="8" s="1"/>
  <c r="AQ523" i="8"/>
  <c r="AH523" i="8" s="1"/>
  <c r="AR539" i="8"/>
  <c r="AI539" i="8" s="1"/>
  <c r="AQ539" i="8"/>
  <c r="AH539" i="8" s="1"/>
  <c r="AP568" i="8"/>
  <c r="AG568" i="8" s="1"/>
  <c r="AN572" i="8"/>
  <c r="AL582" i="8"/>
  <c r="AE582" i="8" s="1"/>
  <c r="AN587" i="8"/>
  <c r="AP490" i="8"/>
  <c r="AM492" i="8"/>
  <c r="AF492" i="8" s="1"/>
  <c r="AP504" i="8"/>
  <c r="AG504" i="8" s="1"/>
  <c r="Z504" i="8" s="1"/>
  <c r="AO543" i="8"/>
  <c r="AN543" i="8"/>
  <c r="Y543" i="8" s="1"/>
  <c r="AP544" i="8"/>
  <c r="AG544" i="8" s="1"/>
  <c r="Z544" i="8" s="1"/>
  <c r="AO548" i="8"/>
  <c r="AL548" i="8"/>
  <c r="AE548" i="8" s="1"/>
  <c r="AL553" i="8"/>
  <c r="AE553" i="8" s="1"/>
  <c r="AR561" i="8"/>
  <c r="AI561" i="8" s="1"/>
  <c r="AQ561" i="8"/>
  <c r="AH561" i="8" s="1"/>
  <c r="AM566" i="8"/>
  <c r="AF566" i="8" s="1"/>
  <c r="AN569" i="8"/>
  <c r="AO570" i="8"/>
  <c r="AL570" i="8"/>
  <c r="AE570" i="8" s="1"/>
  <c r="AR581" i="8"/>
  <c r="AI581" i="8" s="1"/>
  <c r="AQ581" i="8"/>
  <c r="AH581" i="8" s="1"/>
  <c r="AP581" i="8"/>
  <c r="AG581" i="8" s="1"/>
  <c r="AN582" i="8"/>
  <c r="AO591" i="8"/>
  <c r="AM591" i="8"/>
  <c r="AF591" i="8" s="1"/>
  <c r="AL591" i="8"/>
  <c r="AE591" i="8" s="1"/>
  <c r="Y591" i="8" s="1"/>
  <c r="AN595" i="8"/>
  <c r="Z610" i="8"/>
  <c r="AO528" i="8"/>
  <c r="AN528" i="8"/>
  <c r="AR530" i="8"/>
  <c r="AI530" i="8" s="1"/>
  <c r="AQ530" i="8"/>
  <c r="AH530" i="8" s="1"/>
  <c r="AP537" i="8"/>
  <c r="AG537" i="8" s="1"/>
  <c r="AR537" i="8"/>
  <c r="AI537" i="8" s="1"/>
  <c r="AL552" i="8"/>
  <c r="AE552" i="8" s="1"/>
  <c r="Y552" i="8" s="1"/>
  <c r="AM553" i="8"/>
  <c r="AF553" i="8" s="1"/>
  <c r="AR562" i="8"/>
  <c r="AI562" i="8" s="1"/>
  <c r="AQ562" i="8"/>
  <c r="AH562" i="8" s="1"/>
  <c r="AP562" i="8"/>
  <c r="AG562" i="8" s="1"/>
  <c r="AP582" i="8"/>
  <c r="AG582" i="8" s="1"/>
  <c r="AO585" i="8"/>
  <c r="AR591" i="8"/>
  <c r="AI591" i="8" s="1"/>
  <c r="AN604" i="8"/>
  <c r="AN623" i="8"/>
  <c r="AL563" i="8"/>
  <c r="AE563" i="8" s="1"/>
  <c r="AO572" i="8"/>
  <c r="AM572" i="8"/>
  <c r="AF572" i="8" s="1"/>
  <c r="AL585" i="8"/>
  <c r="AE585" i="8" s="1"/>
  <c r="AL601" i="8"/>
  <c r="AE601" i="8" s="1"/>
  <c r="AL618" i="8"/>
  <c r="AE618" i="8" s="1"/>
  <c r="AR621" i="8"/>
  <c r="AI621" i="8" s="1"/>
  <c r="AO622" i="8"/>
  <c r="AN622" i="8"/>
  <c r="AM627" i="8"/>
  <c r="AF627" i="8" s="1"/>
  <c r="Y627" i="8" s="1"/>
  <c r="AL635" i="8"/>
  <c r="AE635" i="8" s="1"/>
  <c r="Y635" i="8" s="1"/>
  <c r="AL638" i="8"/>
  <c r="AE638" i="8" s="1"/>
  <c r="AN639" i="8"/>
  <c r="Y639" i="8" s="1"/>
  <c r="AP643" i="8"/>
  <c r="AG643" i="8" s="1"/>
  <c r="AO648" i="8"/>
  <c r="AN648" i="8"/>
  <c r="AL648" i="8"/>
  <c r="AE648" i="8" s="1"/>
  <c r="AQ653" i="8"/>
  <c r="AH653" i="8" s="1"/>
  <c r="Z653" i="8" s="1"/>
  <c r="AR779" i="8"/>
  <c r="AI779" i="8" s="1"/>
  <c r="AQ779" i="8"/>
  <c r="AH779" i="8" s="1"/>
  <c r="AM563" i="8"/>
  <c r="AF563" i="8" s="1"/>
  <c r="AM585" i="8"/>
  <c r="AF585" i="8" s="1"/>
  <c r="AO592" i="8"/>
  <c r="AN592" i="8"/>
  <c r="Y592" i="8" s="1"/>
  <c r="AM601" i="8"/>
  <c r="AF601" i="8" s="1"/>
  <c r="AO612" i="8"/>
  <c r="AN612" i="8"/>
  <c r="AR622" i="8"/>
  <c r="AI622" i="8" s="1"/>
  <c r="AQ622" i="8"/>
  <c r="AH622" i="8" s="1"/>
  <c r="AM635" i="8"/>
  <c r="AF635" i="8" s="1"/>
  <c r="AQ643" i="8"/>
  <c r="AH643" i="8" s="1"/>
  <c r="AN647" i="8"/>
  <c r="Z677" i="8"/>
  <c r="AR691" i="8"/>
  <c r="AI691" i="8" s="1"/>
  <c r="AQ691" i="8"/>
  <c r="AH691" i="8" s="1"/>
  <c r="AP691" i="8"/>
  <c r="AG691" i="8" s="1"/>
  <c r="AN585" i="8"/>
  <c r="AP592" i="8"/>
  <c r="AG592" i="8" s="1"/>
  <c r="AN601" i="8"/>
  <c r="Y630" i="8"/>
  <c r="AN635" i="8"/>
  <c r="AR645" i="8"/>
  <c r="AI645" i="8" s="1"/>
  <c r="AQ645" i="8"/>
  <c r="AH645" i="8" s="1"/>
  <c r="AP645" i="8"/>
  <c r="AG645" i="8" s="1"/>
  <c r="AN660" i="8"/>
  <c r="AN669" i="8"/>
  <c r="AO676" i="8"/>
  <c r="AN676" i="8"/>
  <c r="AM676" i="8"/>
  <c r="AF676" i="8" s="1"/>
  <c r="AL676" i="8"/>
  <c r="AE676" i="8" s="1"/>
  <c r="AO684" i="8"/>
  <c r="AN684" i="8"/>
  <c r="AM684" i="8"/>
  <c r="AF684" i="8" s="1"/>
  <c r="AL684" i="8"/>
  <c r="AE684" i="8" s="1"/>
  <c r="Y684" i="8" s="1"/>
  <c r="Y702" i="8"/>
  <c r="AP566" i="8"/>
  <c r="AG566" i="8" s="1"/>
  <c r="Z566" i="8" s="1"/>
  <c r="AP569" i="8"/>
  <c r="AG569" i="8" s="1"/>
  <c r="Z569" i="8" s="1"/>
  <c r="AQ572" i="8"/>
  <c r="AH572" i="8" s="1"/>
  <c r="Z572" i="8" s="1"/>
  <c r="AL574" i="8"/>
  <c r="AE574" i="8" s="1"/>
  <c r="Y574" i="8" s="1"/>
  <c r="AL577" i="8"/>
  <c r="AE577" i="8" s="1"/>
  <c r="Y577" i="8" s="1"/>
  <c r="AL580" i="8"/>
  <c r="AE580" i="8" s="1"/>
  <c r="AQ583" i="8"/>
  <c r="AH583" i="8" s="1"/>
  <c r="Z583" i="8" s="1"/>
  <c r="AM587" i="8"/>
  <c r="AF587" i="8" s="1"/>
  <c r="AQ592" i="8"/>
  <c r="AH592" i="8" s="1"/>
  <c r="AO594" i="8"/>
  <c r="AN594" i="8"/>
  <c r="Y594" i="8" s="1"/>
  <c r="AL596" i="8"/>
  <c r="AE596" i="8" s="1"/>
  <c r="AQ599" i="8"/>
  <c r="AH599" i="8" s="1"/>
  <c r="Z599" i="8" s="1"/>
  <c r="AM603" i="8"/>
  <c r="AF603" i="8" s="1"/>
  <c r="Y603" i="8" s="1"/>
  <c r="AQ609" i="8"/>
  <c r="AH609" i="8" s="1"/>
  <c r="Z609" i="8" s="1"/>
  <c r="AP613" i="8"/>
  <c r="AG613" i="8" s="1"/>
  <c r="Z613" i="8" s="1"/>
  <c r="AN617" i="8"/>
  <c r="AM617" i="8"/>
  <c r="AF617" i="8" s="1"/>
  <c r="Y617" i="8" s="1"/>
  <c r="AP627" i="8"/>
  <c r="AG627" i="8" s="1"/>
  <c r="AQ639" i="8"/>
  <c r="AH639" i="8" s="1"/>
  <c r="Z639" i="8" s="1"/>
  <c r="AM650" i="8"/>
  <c r="AF650" i="8" s="1"/>
  <c r="Y650" i="8" s="1"/>
  <c r="AR676" i="8"/>
  <c r="AI676" i="8" s="1"/>
  <c r="AQ676" i="8"/>
  <c r="AH676" i="8" s="1"/>
  <c r="AM580" i="8"/>
  <c r="AF580" i="8" s="1"/>
  <c r="AL589" i="8"/>
  <c r="AE589" i="8" s="1"/>
  <c r="AM596" i="8"/>
  <c r="AF596" i="8" s="1"/>
  <c r="AL605" i="8"/>
  <c r="AE605" i="8" s="1"/>
  <c r="AL607" i="8"/>
  <c r="AE607" i="8" s="1"/>
  <c r="AN609" i="8"/>
  <c r="Y609" i="8" s="1"/>
  <c r="AO624" i="8"/>
  <c r="AN624" i="8"/>
  <c r="AM624" i="8"/>
  <c r="AF624" i="8" s="1"/>
  <c r="Y624" i="8" s="1"/>
  <c r="AQ627" i="8"/>
  <c r="AH627" i="8" s="1"/>
  <c r="AR641" i="8"/>
  <c r="AI641" i="8" s="1"/>
  <c r="AQ641" i="8"/>
  <c r="AH641" i="8" s="1"/>
  <c r="AP641" i="8"/>
  <c r="AG641" i="8" s="1"/>
  <c r="AO646" i="8"/>
  <c r="AN646" i="8"/>
  <c r="AM646" i="8"/>
  <c r="AF646" i="8" s="1"/>
  <c r="AN650" i="8"/>
  <c r="AN596" i="8"/>
  <c r="AL598" i="8"/>
  <c r="AE598" i="8" s="1"/>
  <c r="AM607" i="8"/>
  <c r="AF607" i="8" s="1"/>
  <c r="AP629" i="8"/>
  <c r="AG629" i="8" s="1"/>
  <c r="AM654" i="8"/>
  <c r="AF654" i="8" s="1"/>
  <c r="Y672" i="8"/>
  <c r="Z699" i="8"/>
  <c r="AN607" i="8"/>
  <c r="AN613" i="8"/>
  <c r="AM613" i="8"/>
  <c r="AF613" i="8" s="1"/>
  <c r="Y613" i="8" s="1"/>
  <c r="AO618" i="8"/>
  <c r="AN618" i="8"/>
  <c r="AR637" i="8"/>
  <c r="AI637" i="8" s="1"/>
  <c r="AQ637" i="8"/>
  <c r="AH637" i="8" s="1"/>
  <c r="AP637" i="8"/>
  <c r="AG637" i="8" s="1"/>
  <c r="AO642" i="8"/>
  <c r="AN642" i="8"/>
  <c r="Y642" i="8" s="1"/>
  <c r="AN645" i="8"/>
  <c r="Z649" i="8"/>
  <c r="AR654" i="8"/>
  <c r="AI654" i="8" s="1"/>
  <c r="AQ654" i="8"/>
  <c r="AH654" i="8" s="1"/>
  <c r="AP654" i="8"/>
  <c r="AG654" i="8" s="1"/>
  <c r="AR661" i="8"/>
  <c r="AI661" i="8" s="1"/>
  <c r="AQ661" i="8"/>
  <c r="AH661" i="8" s="1"/>
  <c r="AP661" i="8"/>
  <c r="AG661" i="8" s="1"/>
  <c r="AO598" i="8"/>
  <c r="AN598" i="8"/>
  <c r="AR618" i="8"/>
  <c r="AI618" i="8" s="1"/>
  <c r="AQ618" i="8"/>
  <c r="AH618" i="8" s="1"/>
  <c r="AN625" i="8"/>
  <c r="AO626" i="8"/>
  <c r="AN626" i="8"/>
  <c r="AO640" i="8"/>
  <c r="AR642" i="8"/>
  <c r="AI642" i="8" s="1"/>
  <c r="AQ642" i="8"/>
  <c r="AH642" i="8" s="1"/>
  <c r="AP642" i="8"/>
  <c r="AG642" i="8" s="1"/>
  <c r="AN675" i="8"/>
  <c r="AM675" i="8"/>
  <c r="AF675" i="8" s="1"/>
  <c r="AO675" i="8"/>
  <c r="AL675" i="8"/>
  <c r="AE675" i="8" s="1"/>
  <c r="AN679" i="8"/>
  <c r="AM679" i="8"/>
  <c r="AF679" i="8" s="1"/>
  <c r="AL679" i="8"/>
  <c r="AE679" i="8" s="1"/>
  <c r="Y762" i="8"/>
  <c r="AR828" i="8"/>
  <c r="AI828" i="8" s="1"/>
  <c r="AP828" i="8"/>
  <c r="AG828" i="8" s="1"/>
  <c r="AQ828" i="8"/>
  <c r="AH828" i="8" s="1"/>
  <c r="AR626" i="8"/>
  <c r="AI626" i="8" s="1"/>
  <c r="AQ626" i="8"/>
  <c r="AH626" i="8" s="1"/>
  <c r="AP626" i="8"/>
  <c r="AG626" i="8" s="1"/>
  <c r="AO628" i="8"/>
  <c r="AN628" i="8"/>
  <c r="AM628" i="8"/>
  <c r="AF628" i="8" s="1"/>
  <c r="AQ633" i="8"/>
  <c r="AH633" i="8" s="1"/>
  <c r="AP633" i="8"/>
  <c r="AG633" i="8" s="1"/>
  <c r="AO638" i="8"/>
  <c r="AN638" i="8"/>
  <c r="AN641" i="8"/>
  <c r="AN703" i="8"/>
  <c r="AM547" i="8"/>
  <c r="AF547" i="8" s="1"/>
  <c r="AL573" i="8"/>
  <c r="AE573" i="8" s="1"/>
  <c r="AM579" i="8"/>
  <c r="AF579" i="8" s="1"/>
  <c r="AO584" i="8"/>
  <c r="AN584" i="8"/>
  <c r="Y584" i="8" s="1"/>
  <c r="AL586" i="8"/>
  <c r="AE586" i="8" s="1"/>
  <c r="AQ589" i="8"/>
  <c r="AH589" i="8" s="1"/>
  <c r="Z589" i="8" s="1"/>
  <c r="AO600" i="8"/>
  <c r="AN600" i="8"/>
  <c r="Y600" i="8" s="1"/>
  <c r="AL602" i="8"/>
  <c r="AE602" i="8" s="1"/>
  <c r="AQ605" i="8"/>
  <c r="AH605" i="8" s="1"/>
  <c r="Z605" i="8" s="1"/>
  <c r="AN611" i="8"/>
  <c r="Y611" i="8" s="1"/>
  <c r="AO614" i="8"/>
  <c r="AN614" i="8"/>
  <c r="Y614" i="8" s="1"/>
  <c r="AP615" i="8"/>
  <c r="AG615" i="8" s="1"/>
  <c r="AL622" i="8"/>
  <c r="AE622" i="8" s="1"/>
  <c r="AO636" i="8"/>
  <c r="AR638" i="8"/>
  <c r="AI638" i="8" s="1"/>
  <c r="AQ638" i="8"/>
  <c r="AH638" i="8" s="1"/>
  <c r="AP638" i="8"/>
  <c r="AG638" i="8" s="1"/>
  <c r="AM647" i="8"/>
  <c r="AF647" i="8" s="1"/>
  <c r="Z655" i="8"/>
  <c r="AM661" i="8"/>
  <c r="AF661" i="8" s="1"/>
  <c r="AR664" i="8"/>
  <c r="AI664" i="8" s="1"/>
  <c r="AQ664" i="8"/>
  <c r="AH664" i="8" s="1"/>
  <c r="AP664" i="8"/>
  <c r="AG664" i="8" s="1"/>
  <c r="AQ690" i="8"/>
  <c r="AH690" i="8" s="1"/>
  <c r="AP690" i="8"/>
  <c r="AG690" i="8" s="1"/>
  <c r="AR690" i="8"/>
  <c r="AI690" i="8" s="1"/>
  <c r="AM538" i="8"/>
  <c r="AF538" i="8" s="1"/>
  <c r="Y538" i="8" s="1"/>
  <c r="AM541" i="8"/>
  <c r="AF541" i="8" s="1"/>
  <c r="Y541" i="8" s="1"/>
  <c r="AO544" i="8"/>
  <c r="AM544" i="8"/>
  <c r="AF544" i="8" s="1"/>
  <c r="AN547" i="8"/>
  <c r="AP556" i="8"/>
  <c r="AG556" i="8" s="1"/>
  <c r="Z556" i="8" s="1"/>
  <c r="AM570" i="8"/>
  <c r="AF570" i="8" s="1"/>
  <c r="AM573" i="8"/>
  <c r="AF573" i="8" s="1"/>
  <c r="AO576" i="8"/>
  <c r="AM576" i="8"/>
  <c r="AF576" i="8" s="1"/>
  <c r="AN579" i="8"/>
  <c r="AP584" i="8"/>
  <c r="AG584" i="8" s="1"/>
  <c r="Z584" i="8" s="1"/>
  <c r="AP591" i="8"/>
  <c r="AG591" i="8" s="1"/>
  <c r="AN593" i="8"/>
  <c r="Y593" i="8" s="1"/>
  <c r="AL595" i="8"/>
  <c r="AE595" i="8" s="1"/>
  <c r="AP600" i="8"/>
  <c r="AG600" i="8" s="1"/>
  <c r="Z600" i="8" s="1"/>
  <c r="AR614" i="8"/>
  <c r="AI614" i="8" s="1"/>
  <c r="AQ614" i="8"/>
  <c r="AH614" i="8" s="1"/>
  <c r="Z614" i="8" s="1"/>
  <c r="AQ615" i="8"/>
  <c r="AH615" i="8" s="1"/>
  <c r="AM622" i="8"/>
  <c r="AF622" i="8" s="1"/>
  <c r="AL623" i="8"/>
  <c r="AE623" i="8" s="1"/>
  <c r="AN629" i="8"/>
  <c r="AO630" i="8"/>
  <c r="AN630" i="8"/>
  <c r="AO634" i="8"/>
  <c r="Y634" i="8" s="1"/>
  <c r="AN634" i="8"/>
  <c r="AN637" i="8"/>
  <c r="AO647" i="8"/>
  <c r="Y647" i="8" s="1"/>
  <c r="AN661" i="8"/>
  <c r="Y661" i="8" s="1"/>
  <c r="AO680" i="8"/>
  <c r="Y680" i="8" s="1"/>
  <c r="AN680" i="8"/>
  <c r="AM680" i="8"/>
  <c r="AF680" i="8" s="1"/>
  <c r="AM804" i="8"/>
  <c r="AF804" i="8" s="1"/>
  <c r="AL804" i="8"/>
  <c r="AE804" i="8" s="1"/>
  <c r="AN544" i="8"/>
  <c r="AL558" i="8"/>
  <c r="AE558" i="8" s="1"/>
  <c r="Y558" i="8" s="1"/>
  <c r="AL561" i="8"/>
  <c r="AE561" i="8" s="1"/>
  <c r="AL564" i="8"/>
  <c r="AE564" i="8" s="1"/>
  <c r="Y564" i="8" s="1"/>
  <c r="AN576" i="8"/>
  <c r="AO586" i="8"/>
  <c r="AN586" i="8"/>
  <c r="AQ591" i="8"/>
  <c r="AH591" i="8" s="1"/>
  <c r="AM595" i="8"/>
  <c r="AF595" i="8" s="1"/>
  <c r="AO602" i="8"/>
  <c r="AN602" i="8"/>
  <c r="AP616" i="8"/>
  <c r="AG616" i="8" s="1"/>
  <c r="Z616" i="8" s="1"/>
  <c r="AP622" i="8"/>
  <c r="AG622" i="8" s="1"/>
  <c r="AM623" i="8"/>
  <c r="AF623" i="8" s="1"/>
  <c r="AR629" i="8"/>
  <c r="AI629" i="8" s="1"/>
  <c r="AR630" i="8"/>
  <c r="AI630" i="8" s="1"/>
  <c r="AQ630" i="8"/>
  <c r="AH630" i="8" s="1"/>
  <c r="AP630" i="8"/>
  <c r="AG630" i="8" s="1"/>
  <c r="AO632" i="8"/>
  <c r="AR634" i="8"/>
  <c r="AI634" i="8" s="1"/>
  <c r="AQ634" i="8"/>
  <c r="AH634" i="8" s="1"/>
  <c r="AP634" i="8"/>
  <c r="AG634" i="8" s="1"/>
  <c r="AP647" i="8"/>
  <c r="AG647" i="8" s="1"/>
  <c r="AN651" i="8"/>
  <c r="AO651" i="8"/>
  <c r="AL651" i="8"/>
  <c r="AE651" i="8" s="1"/>
  <c r="AN657" i="8"/>
  <c r="Z665" i="8"/>
  <c r="AO679" i="8"/>
  <c r="Z693" i="8"/>
  <c r="AM564" i="8"/>
  <c r="AF564" i="8" s="1"/>
  <c r="AL612" i="8"/>
  <c r="AE612" i="8" s="1"/>
  <c r="AO620" i="8"/>
  <c r="AN620" i="8"/>
  <c r="AM620" i="8"/>
  <c r="AF620" i="8" s="1"/>
  <c r="Y620" i="8" s="1"/>
  <c r="AN633" i="8"/>
  <c r="AQ647" i="8"/>
  <c r="AH647" i="8" s="1"/>
  <c r="AR651" i="8"/>
  <c r="AI651" i="8" s="1"/>
  <c r="AL664" i="8"/>
  <c r="AE664" i="8" s="1"/>
  <c r="Y664" i="8" s="1"/>
  <c r="Z679" i="8"/>
  <c r="Z687" i="8"/>
  <c r="Y706" i="8"/>
  <c r="AN711" i="8"/>
  <c r="AN714" i="8"/>
  <c r="AO714" i="8"/>
  <c r="AM714" i="8"/>
  <c r="AF714" i="8" s="1"/>
  <c r="AL714" i="8"/>
  <c r="AE714" i="8" s="1"/>
  <c r="AM649" i="8"/>
  <c r="AF649" i="8" s="1"/>
  <c r="Y649" i="8" s="1"/>
  <c r="AM652" i="8"/>
  <c r="AF652" i="8" s="1"/>
  <c r="AN655" i="8"/>
  <c r="AM655" i="8"/>
  <c r="AF655" i="8" s="1"/>
  <c r="Y655" i="8" s="1"/>
  <c r="AL666" i="8"/>
  <c r="AE666" i="8" s="1"/>
  <c r="AN682" i="8"/>
  <c r="AN686" i="8"/>
  <c r="AN692" i="8"/>
  <c r="AN712" i="8"/>
  <c r="AN720" i="8"/>
  <c r="AR804" i="8"/>
  <c r="AI804" i="8" s="1"/>
  <c r="AQ804" i="8"/>
  <c r="AH804" i="8" s="1"/>
  <c r="AN649" i="8"/>
  <c r="AN652" i="8"/>
  <c r="AO655" i="8"/>
  <c r="AM666" i="8"/>
  <c r="AF666" i="8" s="1"/>
  <c r="AM668" i="8"/>
  <c r="AF668" i="8" s="1"/>
  <c r="Y668" i="8" s="1"/>
  <c r="AQ674" i="8"/>
  <c r="AH674" i="8" s="1"/>
  <c r="AP674" i="8"/>
  <c r="AG674" i="8" s="1"/>
  <c r="AQ682" i="8"/>
  <c r="AH682" i="8" s="1"/>
  <c r="AP682" i="8"/>
  <c r="AG682" i="8" s="1"/>
  <c r="AQ686" i="8"/>
  <c r="AH686" i="8" s="1"/>
  <c r="AP686" i="8"/>
  <c r="AG686" i="8" s="1"/>
  <c r="AR692" i="8"/>
  <c r="AI692" i="8" s="1"/>
  <c r="AQ692" i="8"/>
  <c r="AH692" i="8" s="1"/>
  <c r="AP692" i="8"/>
  <c r="AG692" i="8" s="1"/>
  <c r="AN702" i="8"/>
  <c r="Z713" i="8"/>
  <c r="AP728" i="8"/>
  <c r="AG728" i="8" s="1"/>
  <c r="AR812" i="8"/>
  <c r="AI812" i="8" s="1"/>
  <c r="AP812" i="8"/>
  <c r="AG812" i="8" s="1"/>
  <c r="AQ812" i="8"/>
  <c r="AH812" i="8" s="1"/>
  <c r="AP658" i="8"/>
  <c r="AG658" i="8" s="1"/>
  <c r="AN666" i="8"/>
  <c r="AN683" i="8"/>
  <c r="AM683" i="8"/>
  <c r="AF683" i="8" s="1"/>
  <c r="Y683" i="8" s="1"/>
  <c r="AN687" i="8"/>
  <c r="AM687" i="8"/>
  <c r="AF687" i="8" s="1"/>
  <c r="Y687" i="8" s="1"/>
  <c r="AN699" i="8"/>
  <c r="AN700" i="8"/>
  <c r="AM700" i="8"/>
  <c r="AF700" i="8" s="1"/>
  <c r="AR702" i="8"/>
  <c r="AI702" i="8" s="1"/>
  <c r="AQ702" i="8"/>
  <c r="AH702" i="8" s="1"/>
  <c r="AP702" i="8"/>
  <c r="AG702" i="8" s="1"/>
  <c r="AN725" i="8"/>
  <c r="AO725" i="8"/>
  <c r="AL725" i="8"/>
  <c r="AE725" i="8" s="1"/>
  <c r="AQ728" i="8"/>
  <c r="AH728" i="8" s="1"/>
  <c r="AN730" i="8"/>
  <c r="AN733" i="8"/>
  <c r="AM733" i="8"/>
  <c r="AF733" i="8" s="1"/>
  <c r="AO733" i="8"/>
  <c r="AL733" i="8"/>
  <c r="AE733" i="8" s="1"/>
  <c r="AO742" i="8"/>
  <c r="AN742" i="8"/>
  <c r="AM742" i="8"/>
  <c r="AF742" i="8" s="1"/>
  <c r="AL742" i="8"/>
  <c r="AE742" i="8" s="1"/>
  <c r="Z743" i="8"/>
  <c r="Z757" i="8"/>
  <c r="AL625" i="8"/>
  <c r="AE625" i="8" s="1"/>
  <c r="AL629" i="8"/>
  <c r="AE629" i="8" s="1"/>
  <c r="AL633" i="8"/>
  <c r="AE633" i="8" s="1"/>
  <c r="AL637" i="8"/>
  <c r="AE637" i="8" s="1"/>
  <c r="AL641" i="8"/>
  <c r="AE641" i="8" s="1"/>
  <c r="AL645" i="8"/>
  <c r="AE645" i="8" s="1"/>
  <c r="AP646" i="8"/>
  <c r="AG646" i="8" s="1"/>
  <c r="AL657" i="8"/>
  <c r="AE657" i="8" s="1"/>
  <c r="AQ658" i="8"/>
  <c r="AH658" i="8" s="1"/>
  <c r="AL660" i="8"/>
  <c r="AE660" i="8" s="1"/>
  <c r="Y660" i="8" s="1"/>
  <c r="AL663" i="8"/>
  <c r="AE663" i="8" s="1"/>
  <c r="AR672" i="8"/>
  <c r="AI672" i="8" s="1"/>
  <c r="AQ672" i="8"/>
  <c r="AH672" i="8" s="1"/>
  <c r="AQ694" i="8"/>
  <c r="AH694" i="8" s="1"/>
  <c r="AP694" i="8"/>
  <c r="AG694" i="8" s="1"/>
  <c r="AN710" i="8"/>
  <c r="Z725" i="8"/>
  <c r="AN739" i="8"/>
  <c r="AM739" i="8"/>
  <c r="AF739" i="8" s="1"/>
  <c r="AO739" i="8"/>
  <c r="AL739" i="8"/>
  <c r="AE739" i="8" s="1"/>
  <c r="AR742" i="8"/>
  <c r="AI742" i="8" s="1"/>
  <c r="AQ742" i="8"/>
  <c r="AH742" i="8" s="1"/>
  <c r="AR752" i="8"/>
  <c r="AI752" i="8" s="1"/>
  <c r="AQ752" i="8"/>
  <c r="AH752" i="8" s="1"/>
  <c r="AP752" i="8"/>
  <c r="AG752" i="8" s="1"/>
  <c r="AM625" i="8"/>
  <c r="AF625" i="8" s="1"/>
  <c r="AM629" i="8"/>
  <c r="AF629" i="8" s="1"/>
  <c r="AM633" i="8"/>
  <c r="AF633" i="8" s="1"/>
  <c r="AM637" i="8"/>
  <c r="AF637" i="8" s="1"/>
  <c r="AM641" i="8"/>
  <c r="AF641" i="8" s="1"/>
  <c r="AM645" i="8"/>
  <c r="AF645" i="8" s="1"/>
  <c r="AQ646" i="8"/>
  <c r="AH646" i="8" s="1"/>
  <c r="AQ652" i="8"/>
  <c r="AH652" i="8" s="1"/>
  <c r="Z652" i="8" s="1"/>
  <c r="AL654" i="8"/>
  <c r="AE654" i="8" s="1"/>
  <c r="AN663" i="8"/>
  <c r="AM663" i="8"/>
  <c r="AF663" i="8" s="1"/>
  <c r="AP666" i="8"/>
  <c r="AG666" i="8" s="1"/>
  <c r="AR668" i="8"/>
  <c r="AI668" i="8" s="1"/>
  <c r="AP668" i="8"/>
  <c r="AG668" i="8" s="1"/>
  <c r="AR696" i="8"/>
  <c r="AI696" i="8" s="1"/>
  <c r="AQ696" i="8"/>
  <c r="AH696" i="8" s="1"/>
  <c r="AP696" i="8"/>
  <c r="AG696" i="8" s="1"/>
  <c r="AR710" i="8"/>
  <c r="AI710" i="8" s="1"/>
  <c r="AQ710" i="8"/>
  <c r="AH710" i="8" s="1"/>
  <c r="AP710" i="8"/>
  <c r="AG710" i="8" s="1"/>
  <c r="Y734" i="8"/>
  <c r="AO754" i="8"/>
  <c r="Y766" i="8"/>
  <c r="AR778" i="8"/>
  <c r="AI778" i="8" s="1"/>
  <c r="AQ778" i="8"/>
  <c r="AH778" i="8" s="1"/>
  <c r="AP778" i="8"/>
  <c r="AG778" i="8" s="1"/>
  <c r="Y786" i="8"/>
  <c r="AR660" i="8"/>
  <c r="AI660" i="8" s="1"/>
  <c r="AR666" i="8"/>
  <c r="AI666" i="8" s="1"/>
  <c r="AQ670" i="8"/>
  <c r="AH670" i="8" s="1"/>
  <c r="AP670" i="8"/>
  <c r="AG670" i="8" s="1"/>
  <c r="AR670" i="8"/>
  <c r="AI670" i="8" s="1"/>
  <c r="AR680" i="8"/>
  <c r="AI680" i="8" s="1"/>
  <c r="AQ680" i="8"/>
  <c r="AH680" i="8" s="1"/>
  <c r="Z680" i="8" s="1"/>
  <c r="AN698" i="8"/>
  <c r="Y698" i="8" s="1"/>
  <c r="AN707" i="8"/>
  <c r="AR718" i="8"/>
  <c r="AI718" i="8" s="1"/>
  <c r="AQ718" i="8"/>
  <c r="AH718" i="8" s="1"/>
  <c r="AP718" i="8"/>
  <c r="AG718" i="8" s="1"/>
  <c r="AP742" i="8"/>
  <c r="AG742" i="8" s="1"/>
  <c r="Z747" i="8"/>
  <c r="AM788" i="8"/>
  <c r="AF788" i="8" s="1"/>
  <c r="AL788" i="8"/>
  <c r="AE788" i="8" s="1"/>
  <c r="AR698" i="8"/>
  <c r="AI698" i="8" s="1"/>
  <c r="AQ698" i="8"/>
  <c r="AH698" i="8" s="1"/>
  <c r="AP698" i="8"/>
  <c r="AG698" i="8" s="1"/>
  <c r="AN708" i="8"/>
  <c r="AR788" i="8"/>
  <c r="AI788" i="8" s="1"/>
  <c r="AQ788" i="8"/>
  <c r="AH788" i="8" s="1"/>
  <c r="Z833" i="8"/>
  <c r="AL632" i="8"/>
  <c r="AE632" i="8" s="1"/>
  <c r="AL636" i="8"/>
  <c r="AE636" i="8" s="1"/>
  <c r="AL640" i="8"/>
  <c r="AE640" i="8" s="1"/>
  <c r="AL644" i="8"/>
  <c r="AE644" i="8" s="1"/>
  <c r="AR648" i="8"/>
  <c r="AI648" i="8" s="1"/>
  <c r="AQ663" i="8"/>
  <c r="AH663" i="8" s="1"/>
  <c r="Z663" i="8" s="1"/>
  <c r="AR684" i="8"/>
  <c r="AI684" i="8" s="1"/>
  <c r="AQ684" i="8"/>
  <c r="AH684" i="8" s="1"/>
  <c r="AR688" i="8"/>
  <c r="AI688" i="8" s="1"/>
  <c r="AQ688" i="8"/>
  <c r="AH688" i="8" s="1"/>
  <c r="Z688" i="8" s="1"/>
  <c r="AR724" i="8"/>
  <c r="AI724" i="8" s="1"/>
  <c r="AM632" i="8"/>
  <c r="AF632" i="8" s="1"/>
  <c r="AM636" i="8"/>
  <c r="AF636" i="8" s="1"/>
  <c r="AM640" i="8"/>
  <c r="AF640" i="8" s="1"/>
  <c r="AM644" i="8"/>
  <c r="AF644" i="8" s="1"/>
  <c r="AP651" i="8"/>
  <c r="AG651" i="8" s="1"/>
  <c r="AQ660" i="8"/>
  <c r="AH660" i="8" s="1"/>
  <c r="AL662" i="8"/>
  <c r="AE662" i="8" s="1"/>
  <c r="AM665" i="8"/>
  <c r="AF665" i="8" s="1"/>
  <c r="AN665" i="8"/>
  <c r="AL692" i="8"/>
  <c r="AE692" i="8" s="1"/>
  <c r="AN632" i="8"/>
  <c r="AN636" i="8"/>
  <c r="AN640" i="8"/>
  <c r="AN644" i="8"/>
  <c r="AP648" i="8"/>
  <c r="AG648" i="8" s="1"/>
  <c r="AQ651" i="8"/>
  <c r="AH651" i="8" s="1"/>
  <c r="AM662" i="8"/>
  <c r="AF662" i="8" s="1"/>
  <c r="AL667" i="8"/>
  <c r="AE667" i="8" s="1"/>
  <c r="Y667" i="8" s="1"/>
  <c r="AM692" i="8"/>
  <c r="AF692" i="8" s="1"/>
  <c r="AN706" i="8"/>
  <c r="AN715" i="8"/>
  <c r="Z749" i="8"/>
  <c r="AO753" i="8"/>
  <c r="AN753" i="8"/>
  <c r="AM753" i="8"/>
  <c r="AF753" i="8" s="1"/>
  <c r="AL753" i="8"/>
  <c r="AE753" i="8" s="1"/>
  <c r="AM754" i="8"/>
  <c r="AF754" i="8" s="1"/>
  <c r="AL754" i="8"/>
  <c r="AE754" i="8" s="1"/>
  <c r="AN767" i="8"/>
  <c r="AQ648" i="8"/>
  <c r="AH648" i="8" s="1"/>
  <c r="AN659" i="8"/>
  <c r="AM659" i="8"/>
  <c r="AF659" i="8" s="1"/>
  <c r="AL682" i="8"/>
  <c r="AE682" i="8" s="1"/>
  <c r="Y682" i="8" s="1"/>
  <c r="AL686" i="8"/>
  <c r="AE686" i="8" s="1"/>
  <c r="Y686" i="8" s="1"/>
  <c r="AO692" i="8"/>
  <c r="AO700" i="8"/>
  <c r="AR706" i="8"/>
  <c r="AI706" i="8" s="1"/>
  <c r="AQ706" i="8"/>
  <c r="AH706" i="8" s="1"/>
  <c r="AP706" i="8"/>
  <c r="AG706" i="8" s="1"/>
  <c r="AM710" i="8"/>
  <c r="AF710" i="8" s="1"/>
  <c r="AM730" i="8"/>
  <c r="AF730" i="8" s="1"/>
  <c r="AL730" i="8"/>
  <c r="AE730" i="8" s="1"/>
  <c r="AR801" i="8"/>
  <c r="AI801" i="8" s="1"/>
  <c r="AQ801" i="8"/>
  <c r="AH801" i="8" s="1"/>
  <c r="AP801" i="8"/>
  <c r="AG801" i="8" s="1"/>
  <c r="AN667" i="8"/>
  <c r="AO667" i="8"/>
  <c r="AN671" i="8"/>
  <c r="AM671" i="8"/>
  <c r="AF671" i="8" s="1"/>
  <c r="AN678" i="8"/>
  <c r="Y678" i="8" s="1"/>
  <c r="AM682" i="8"/>
  <c r="AF682" i="8" s="1"/>
  <c r="AM686" i="8"/>
  <c r="AF686" i="8" s="1"/>
  <c r="AO728" i="8"/>
  <c r="AN728" i="8"/>
  <c r="AM728" i="8"/>
  <c r="AF728" i="8" s="1"/>
  <c r="AL728" i="8"/>
  <c r="AE728" i="8" s="1"/>
  <c r="Y728" i="8" s="1"/>
  <c r="Z759" i="8"/>
  <c r="AL787" i="8"/>
  <c r="AE787" i="8" s="1"/>
  <c r="AO787" i="8"/>
  <c r="AN787" i="8"/>
  <c r="AM787" i="8"/>
  <c r="AF787" i="8" s="1"/>
  <c r="AO794" i="8"/>
  <c r="AM794" i="8"/>
  <c r="AF794" i="8" s="1"/>
  <c r="AN794" i="8"/>
  <c r="AL794" i="8"/>
  <c r="AE794" i="8" s="1"/>
  <c r="AQ678" i="8"/>
  <c r="AH678" i="8" s="1"/>
  <c r="AP678" i="8"/>
  <c r="AG678" i="8" s="1"/>
  <c r="AN704" i="8"/>
  <c r="AR722" i="8"/>
  <c r="AI722" i="8" s="1"/>
  <c r="AQ722" i="8"/>
  <c r="AH722" i="8" s="1"/>
  <c r="AP722" i="8"/>
  <c r="AG722" i="8" s="1"/>
  <c r="AN727" i="8"/>
  <c r="Y727" i="8" s="1"/>
  <c r="AN740" i="8"/>
  <c r="Z741" i="8"/>
  <c r="Z751" i="8"/>
  <c r="AR785" i="8"/>
  <c r="AI785" i="8" s="1"/>
  <c r="AQ785" i="8"/>
  <c r="AH785" i="8" s="1"/>
  <c r="AP785" i="8"/>
  <c r="AG785" i="8" s="1"/>
  <c r="AR794" i="8"/>
  <c r="AI794" i="8" s="1"/>
  <c r="AQ794" i="8"/>
  <c r="AH794" i="8" s="1"/>
  <c r="AP794" i="8"/>
  <c r="AG794" i="8" s="1"/>
  <c r="AN731" i="8"/>
  <c r="AQ731" i="8"/>
  <c r="AH731" i="8" s="1"/>
  <c r="Z731" i="8" s="1"/>
  <c r="AM734" i="8"/>
  <c r="AF734" i="8" s="1"/>
  <c r="AL740" i="8"/>
  <c r="AE740" i="8" s="1"/>
  <c r="AR746" i="8"/>
  <c r="AI746" i="8" s="1"/>
  <c r="AQ746" i="8"/>
  <c r="AH746" i="8" s="1"/>
  <c r="AN748" i="8"/>
  <c r="Y748" i="8" s="1"/>
  <c r="AN769" i="8"/>
  <c r="Y769" i="8" s="1"/>
  <c r="AQ838" i="8"/>
  <c r="AH838" i="8" s="1"/>
  <c r="AR838" i="8"/>
  <c r="AI838" i="8" s="1"/>
  <c r="AP838" i="8"/>
  <c r="AG838" i="8" s="1"/>
  <c r="AR840" i="8"/>
  <c r="AI840" i="8" s="1"/>
  <c r="AQ840" i="8"/>
  <c r="AH840" i="8" s="1"/>
  <c r="AP840" i="8"/>
  <c r="AG840" i="8" s="1"/>
  <c r="AM845" i="8"/>
  <c r="AF845" i="8" s="1"/>
  <c r="AO845" i="8"/>
  <c r="AN845" i="8"/>
  <c r="AL845" i="8"/>
  <c r="AE845" i="8" s="1"/>
  <c r="AR736" i="8"/>
  <c r="AI736" i="8" s="1"/>
  <c r="AQ736" i="8"/>
  <c r="AH736" i="8" s="1"/>
  <c r="AR754" i="8"/>
  <c r="AI754" i="8" s="1"/>
  <c r="AQ754" i="8"/>
  <c r="AH754" i="8" s="1"/>
  <c r="Z754" i="8" s="1"/>
  <c r="AO765" i="8"/>
  <c r="AN765" i="8"/>
  <c r="AM765" i="8"/>
  <c r="AF765" i="8" s="1"/>
  <c r="AR766" i="8"/>
  <c r="AI766" i="8" s="1"/>
  <c r="AQ766" i="8"/>
  <c r="AH766" i="8" s="1"/>
  <c r="Z797" i="8"/>
  <c r="AO814" i="8"/>
  <c r="AN814" i="8"/>
  <c r="AM814" i="8"/>
  <c r="AF814" i="8" s="1"/>
  <c r="AL814" i="8"/>
  <c r="AE814" i="8" s="1"/>
  <c r="AL669" i="8"/>
  <c r="AE669" i="8" s="1"/>
  <c r="AL673" i="8"/>
  <c r="AE673" i="8" s="1"/>
  <c r="AL677" i="8"/>
  <c r="AE677" i="8" s="1"/>
  <c r="Y677" i="8" s="1"/>
  <c r="AL681" i="8"/>
  <c r="AE681" i="8" s="1"/>
  <c r="AL685" i="8"/>
  <c r="AE685" i="8" s="1"/>
  <c r="Y685" i="8" s="1"/>
  <c r="AL697" i="8"/>
  <c r="AE697" i="8" s="1"/>
  <c r="Y697" i="8" s="1"/>
  <c r="AL701" i="8"/>
  <c r="AE701" i="8" s="1"/>
  <c r="AL705" i="8"/>
  <c r="AE705" i="8" s="1"/>
  <c r="AL709" i="8"/>
  <c r="AE709" i="8" s="1"/>
  <c r="Y709" i="8" s="1"/>
  <c r="AL713" i="8"/>
  <c r="AE713" i="8" s="1"/>
  <c r="Y713" i="8" s="1"/>
  <c r="AM727" i="8"/>
  <c r="AF727" i="8" s="1"/>
  <c r="AN755" i="8"/>
  <c r="AP769" i="8"/>
  <c r="AG769" i="8" s="1"/>
  <c r="AR771" i="8"/>
  <c r="AI771" i="8" s="1"/>
  <c r="AQ771" i="8"/>
  <c r="AH771" i="8" s="1"/>
  <c r="AP771" i="8"/>
  <c r="AG771" i="8" s="1"/>
  <c r="Z775" i="8"/>
  <c r="AP729" i="8"/>
  <c r="AG729" i="8" s="1"/>
  <c r="AL732" i="8"/>
  <c r="AE732" i="8" s="1"/>
  <c r="AN743" i="8"/>
  <c r="AM743" i="8"/>
  <c r="AF743" i="8" s="1"/>
  <c r="Y743" i="8" s="1"/>
  <c r="AQ769" i="8"/>
  <c r="AH769" i="8" s="1"/>
  <c r="AR772" i="8"/>
  <c r="AI772" i="8" s="1"/>
  <c r="AQ772" i="8"/>
  <c r="AH772" i="8" s="1"/>
  <c r="Z805" i="8"/>
  <c r="Z817" i="8"/>
  <c r="AO832" i="8"/>
  <c r="AN832" i="8"/>
  <c r="AM832" i="8"/>
  <c r="AF832" i="8" s="1"/>
  <c r="AL832" i="8"/>
  <c r="AE832" i="8" s="1"/>
  <c r="AR858" i="8"/>
  <c r="AI858" i="8" s="1"/>
  <c r="AP858" i="8"/>
  <c r="AG858" i="8" s="1"/>
  <c r="AQ858" i="8"/>
  <c r="AH858" i="8" s="1"/>
  <c r="AN729" i="8"/>
  <c r="AM729" i="8"/>
  <c r="AF729" i="8" s="1"/>
  <c r="Y729" i="8" s="1"/>
  <c r="AQ729" i="8"/>
  <c r="AH729" i="8" s="1"/>
  <c r="AM732" i="8"/>
  <c r="AF732" i="8" s="1"/>
  <c r="AR734" i="8"/>
  <c r="AI734" i="8" s="1"/>
  <c r="AQ734" i="8"/>
  <c r="AH734" i="8" s="1"/>
  <c r="Z765" i="8"/>
  <c r="AN783" i="8"/>
  <c r="Z851" i="8"/>
  <c r="AQ872" i="8"/>
  <c r="AH872" i="8" s="1"/>
  <c r="AP872" i="8"/>
  <c r="AG872" i="8" s="1"/>
  <c r="AR872" i="8"/>
  <c r="AI872" i="8" s="1"/>
  <c r="AN732" i="8"/>
  <c r="AL735" i="8"/>
  <c r="AE735" i="8" s="1"/>
  <c r="AN737" i="8"/>
  <c r="Y737" i="8" s="1"/>
  <c r="AM737" i="8"/>
  <c r="AF737" i="8" s="1"/>
  <c r="AL738" i="8"/>
  <c r="AE738" i="8" s="1"/>
  <c r="AO740" i="8"/>
  <c r="AL741" i="8"/>
  <c r="AE741" i="8" s="1"/>
  <c r="AO757" i="8"/>
  <c r="AN757" i="8"/>
  <c r="AM757" i="8"/>
  <c r="AF757" i="8" s="1"/>
  <c r="AN763" i="8"/>
  <c r="AL771" i="8"/>
  <c r="AE771" i="8" s="1"/>
  <c r="AR824" i="8"/>
  <c r="AI824" i="8" s="1"/>
  <c r="AQ824" i="8"/>
  <c r="AH824" i="8" s="1"/>
  <c r="AP824" i="8"/>
  <c r="AG824" i="8" s="1"/>
  <c r="AL704" i="8"/>
  <c r="AE704" i="8" s="1"/>
  <c r="AL708" i="8"/>
  <c r="AE708" i="8" s="1"/>
  <c r="AL712" i="8"/>
  <c r="AE712" i="8" s="1"/>
  <c r="AL720" i="8"/>
  <c r="AE720" i="8" s="1"/>
  <c r="AM735" i="8"/>
  <c r="AF735" i="8" s="1"/>
  <c r="AR740" i="8"/>
  <c r="AI740" i="8" s="1"/>
  <c r="AQ740" i="8"/>
  <c r="AH740" i="8" s="1"/>
  <c r="AR748" i="8"/>
  <c r="AI748" i="8" s="1"/>
  <c r="AQ748" i="8"/>
  <c r="AH748" i="8" s="1"/>
  <c r="AP748" i="8"/>
  <c r="AG748" i="8" s="1"/>
  <c r="AO756" i="8"/>
  <c r="AN756" i="8"/>
  <c r="Y756" i="8" s="1"/>
  <c r="AO764" i="8"/>
  <c r="AM771" i="8"/>
  <c r="AF771" i="8" s="1"/>
  <c r="AN816" i="8"/>
  <c r="AO853" i="8"/>
  <c r="AN853" i="8"/>
  <c r="AL853" i="8"/>
  <c r="AE853" i="8" s="1"/>
  <c r="AM853" i="8"/>
  <c r="AF853" i="8" s="1"/>
  <c r="AM704" i="8"/>
  <c r="AF704" i="8" s="1"/>
  <c r="AM708" i="8"/>
  <c r="AF708" i="8" s="1"/>
  <c r="AM712" i="8"/>
  <c r="AF712" i="8" s="1"/>
  <c r="AM720" i="8"/>
  <c r="AF720" i="8" s="1"/>
  <c r="AQ732" i="8"/>
  <c r="AH732" i="8" s="1"/>
  <c r="Z732" i="8" s="1"/>
  <c r="AN738" i="8"/>
  <c r="AR756" i="8"/>
  <c r="AI756" i="8" s="1"/>
  <c r="AQ756" i="8"/>
  <c r="AH756" i="8" s="1"/>
  <c r="AP756" i="8"/>
  <c r="AG756" i="8" s="1"/>
  <c r="AR758" i="8"/>
  <c r="AI758" i="8" s="1"/>
  <c r="AQ758" i="8"/>
  <c r="AH758" i="8" s="1"/>
  <c r="AN759" i="8"/>
  <c r="AO761" i="8"/>
  <c r="AN761" i="8"/>
  <c r="AM761" i="8"/>
  <c r="AF761" i="8" s="1"/>
  <c r="AR762" i="8"/>
  <c r="AI762" i="8" s="1"/>
  <c r="AQ762" i="8"/>
  <c r="AH762" i="8" s="1"/>
  <c r="AR764" i="8"/>
  <c r="AI764" i="8" s="1"/>
  <c r="AL770" i="8"/>
  <c r="AE770" i="8" s="1"/>
  <c r="AN771" i="8"/>
  <c r="Z773" i="8"/>
  <c r="AR816" i="8"/>
  <c r="AI816" i="8" s="1"/>
  <c r="AP816" i="8"/>
  <c r="AG816" i="8" s="1"/>
  <c r="Z830" i="8"/>
  <c r="AL726" i="8"/>
  <c r="AE726" i="8" s="1"/>
  <c r="AP735" i="8"/>
  <c r="AG735" i="8" s="1"/>
  <c r="Z735" i="8" s="1"/>
  <c r="AR770" i="8"/>
  <c r="AI770" i="8" s="1"/>
  <c r="AP779" i="8"/>
  <c r="AG779" i="8" s="1"/>
  <c r="AN735" i="8"/>
  <c r="AN741" i="8"/>
  <c r="AM741" i="8"/>
  <c r="AF741" i="8" s="1"/>
  <c r="AR750" i="8"/>
  <c r="AI750" i="8" s="1"/>
  <c r="AQ750" i="8"/>
  <c r="AH750" i="8" s="1"/>
  <c r="AL765" i="8"/>
  <c r="AE765" i="8" s="1"/>
  <c r="AP788" i="8"/>
  <c r="AG788" i="8" s="1"/>
  <c r="AP804" i="8"/>
  <c r="AG804" i="8" s="1"/>
  <c r="AO810" i="8"/>
  <c r="AN810" i="8"/>
  <c r="AL810" i="8"/>
  <c r="AE810" i="8" s="1"/>
  <c r="AL699" i="8"/>
  <c r="AE699" i="8" s="1"/>
  <c r="AP700" i="8"/>
  <c r="AG700" i="8" s="1"/>
  <c r="AL703" i="8"/>
  <c r="AE703" i="8" s="1"/>
  <c r="AP704" i="8"/>
  <c r="AG704" i="8" s="1"/>
  <c r="AL707" i="8"/>
  <c r="AE707" i="8" s="1"/>
  <c r="AP708" i="8"/>
  <c r="AG708" i="8" s="1"/>
  <c r="AL711" i="8"/>
  <c r="AE711" i="8" s="1"/>
  <c r="AP712" i="8"/>
  <c r="AG712" i="8" s="1"/>
  <c r="AL715" i="8"/>
  <c r="AE715" i="8" s="1"/>
  <c r="AP716" i="8"/>
  <c r="AG716" i="8" s="1"/>
  <c r="AP720" i="8"/>
  <c r="AG720" i="8" s="1"/>
  <c r="AQ724" i="8"/>
  <c r="AH724" i="8" s="1"/>
  <c r="AN726" i="8"/>
  <c r="AR744" i="8"/>
  <c r="AI744" i="8" s="1"/>
  <c r="AQ744" i="8"/>
  <c r="AH744" i="8" s="1"/>
  <c r="AP766" i="8"/>
  <c r="AG766" i="8" s="1"/>
  <c r="AO776" i="8"/>
  <c r="AM776" i="8"/>
  <c r="AF776" i="8" s="1"/>
  <c r="AL776" i="8"/>
  <c r="AE776" i="8" s="1"/>
  <c r="Z777" i="8"/>
  <c r="AO792" i="8"/>
  <c r="AM792" i="8"/>
  <c r="AF792" i="8" s="1"/>
  <c r="AL792" i="8"/>
  <c r="AE792" i="8" s="1"/>
  <c r="AM699" i="8"/>
  <c r="AF699" i="8" s="1"/>
  <c r="AQ700" i="8"/>
  <c r="AH700" i="8" s="1"/>
  <c r="AM703" i="8"/>
  <c r="AF703" i="8" s="1"/>
  <c r="AQ704" i="8"/>
  <c r="AH704" i="8" s="1"/>
  <c r="AM707" i="8"/>
  <c r="AF707" i="8" s="1"/>
  <c r="AQ708" i="8"/>
  <c r="AH708" i="8" s="1"/>
  <c r="AM711" i="8"/>
  <c r="AF711" i="8" s="1"/>
  <c r="AQ712" i="8"/>
  <c r="AH712" i="8" s="1"/>
  <c r="AM715" i="8"/>
  <c r="AF715" i="8" s="1"/>
  <c r="AQ716" i="8"/>
  <c r="AH716" i="8" s="1"/>
  <c r="AQ720" i="8"/>
  <c r="AH720" i="8" s="1"/>
  <c r="AR726" i="8"/>
  <c r="AI726" i="8" s="1"/>
  <c r="AR730" i="8"/>
  <c r="AI730" i="8" s="1"/>
  <c r="AQ730" i="8"/>
  <c r="AH730" i="8" s="1"/>
  <c r="AR738" i="8"/>
  <c r="AI738" i="8" s="1"/>
  <c r="AQ738" i="8"/>
  <c r="AH738" i="8" s="1"/>
  <c r="AN754" i="8"/>
  <c r="AR760" i="8"/>
  <c r="AI760" i="8" s="1"/>
  <c r="AP783" i="8"/>
  <c r="AG783" i="8" s="1"/>
  <c r="Z783" i="8" s="1"/>
  <c r="AN799" i="8"/>
  <c r="AQ816" i="8"/>
  <c r="AH816" i="8" s="1"/>
  <c r="AM833" i="8"/>
  <c r="AF833" i="8" s="1"/>
  <c r="AO833" i="8"/>
  <c r="AN833" i="8"/>
  <c r="AL833" i="8"/>
  <c r="AE833" i="8" s="1"/>
  <c r="AP726" i="8"/>
  <c r="AG726" i="8" s="1"/>
  <c r="AL731" i="8"/>
  <c r="AE731" i="8" s="1"/>
  <c r="Y731" i="8" s="1"/>
  <c r="AL736" i="8"/>
  <c r="AE736" i="8" s="1"/>
  <c r="Y736" i="8" s="1"/>
  <c r="AO781" i="8"/>
  <c r="AN785" i="8"/>
  <c r="AR795" i="8"/>
  <c r="AI795" i="8" s="1"/>
  <c r="AQ795" i="8"/>
  <c r="AH795" i="8" s="1"/>
  <c r="AM810" i="8"/>
  <c r="AF810" i="8" s="1"/>
  <c r="AQ842" i="8"/>
  <c r="AH842" i="8" s="1"/>
  <c r="AR844" i="8"/>
  <c r="AI844" i="8" s="1"/>
  <c r="AQ844" i="8"/>
  <c r="AH844" i="8" s="1"/>
  <c r="AP844" i="8"/>
  <c r="AG844" i="8" s="1"/>
  <c r="AN857" i="8"/>
  <c r="AR870" i="8"/>
  <c r="AI870" i="8" s="1"/>
  <c r="AQ870" i="8"/>
  <c r="AH870" i="8" s="1"/>
  <c r="AP870" i="8"/>
  <c r="AG870" i="8" s="1"/>
  <c r="AO897" i="8"/>
  <c r="AN897" i="8"/>
  <c r="AM897" i="8"/>
  <c r="AF897" i="8" s="1"/>
  <c r="AL897" i="8"/>
  <c r="AE897" i="8" s="1"/>
  <c r="AP780" i="8"/>
  <c r="AG780" i="8" s="1"/>
  <c r="Z780" i="8" s="1"/>
  <c r="AP787" i="8"/>
  <c r="AG787" i="8" s="1"/>
  <c r="AN789" i="8"/>
  <c r="Y789" i="8" s="1"/>
  <c r="AL791" i="8"/>
  <c r="AE791" i="8" s="1"/>
  <c r="AP796" i="8"/>
  <c r="AG796" i="8" s="1"/>
  <c r="Z796" i="8" s="1"/>
  <c r="AP803" i="8"/>
  <c r="AG803" i="8" s="1"/>
  <c r="AL813" i="8"/>
  <c r="AE813" i="8" s="1"/>
  <c r="AL815" i="8"/>
  <c r="AE815" i="8" s="1"/>
  <c r="AR822" i="8"/>
  <c r="AI822" i="8" s="1"/>
  <c r="Z822" i="8" s="1"/>
  <c r="AN834" i="8"/>
  <c r="AN836" i="8"/>
  <c r="Y836" i="8" s="1"/>
  <c r="AL837" i="8"/>
  <c r="AE837" i="8" s="1"/>
  <c r="AN847" i="8"/>
  <c r="AN860" i="8"/>
  <c r="AO860" i="8"/>
  <c r="AM860" i="8"/>
  <c r="AF860" i="8" s="1"/>
  <c r="AL860" i="8"/>
  <c r="AE860" i="8" s="1"/>
  <c r="AL868" i="8"/>
  <c r="AE868" i="8" s="1"/>
  <c r="AO868" i="8"/>
  <c r="AN868" i="8"/>
  <c r="AL768" i="8"/>
  <c r="AE768" i="8" s="1"/>
  <c r="AO782" i="8"/>
  <c r="AN782" i="8"/>
  <c r="Y782" i="8" s="1"/>
  <c r="AL784" i="8"/>
  <c r="AE784" i="8" s="1"/>
  <c r="AQ787" i="8"/>
  <c r="AH787" i="8" s="1"/>
  <c r="AM791" i="8"/>
  <c r="AF791" i="8" s="1"/>
  <c r="AQ803" i="8"/>
  <c r="AH803" i="8" s="1"/>
  <c r="AM813" i="8"/>
  <c r="AF813" i="8" s="1"/>
  <c r="AM817" i="8"/>
  <c r="AF817" i="8" s="1"/>
  <c r="Y817" i="8" s="1"/>
  <c r="AO822" i="8"/>
  <c r="AO834" i="8"/>
  <c r="AN837" i="8"/>
  <c r="AP847" i="8"/>
  <c r="AG847" i="8" s="1"/>
  <c r="AL848" i="8"/>
  <c r="AE848" i="8" s="1"/>
  <c r="Y848" i="8" s="1"/>
  <c r="AR855" i="8"/>
  <c r="AI855" i="8" s="1"/>
  <c r="AQ855" i="8"/>
  <c r="AH855" i="8" s="1"/>
  <c r="AP855" i="8"/>
  <c r="AG855" i="8" s="1"/>
  <c r="AR868" i="8"/>
  <c r="AI868" i="8" s="1"/>
  <c r="AQ868" i="8"/>
  <c r="AH868" i="8" s="1"/>
  <c r="AP868" i="8"/>
  <c r="AG868" i="8" s="1"/>
  <c r="Y905" i="8"/>
  <c r="AP782" i="8"/>
  <c r="AG782" i="8" s="1"/>
  <c r="Z782" i="8" s="1"/>
  <c r="AN791" i="8"/>
  <c r="AP798" i="8"/>
  <c r="AG798" i="8" s="1"/>
  <c r="AL809" i="8"/>
  <c r="AE809" i="8" s="1"/>
  <c r="AO837" i="8"/>
  <c r="AM848" i="8"/>
  <c r="AF848" i="8" s="1"/>
  <c r="AN899" i="8"/>
  <c r="AM899" i="8"/>
  <c r="AF899" i="8" s="1"/>
  <c r="AL899" i="8"/>
  <c r="AE899" i="8" s="1"/>
  <c r="AL760" i="8"/>
  <c r="AE760" i="8" s="1"/>
  <c r="AL764" i="8"/>
  <c r="AE764" i="8" s="1"/>
  <c r="AN768" i="8"/>
  <c r="AQ782" i="8"/>
  <c r="AH782" i="8" s="1"/>
  <c r="AN784" i="8"/>
  <c r="AM793" i="8"/>
  <c r="AF793" i="8" s="1"/>
  <c r="Y793" i="8" s="1"/>
  <c r="AQ798" i="8"/>
  <c r="AH798" i="8" s="1"/>
  <c r="AM809" i="8"/>
  <c r="AF809" i="8" s="1"/>
  <c r="AN815" i="8"/>
  <c r="AP815" i="8"/>
  <c r="AG815" i="8" s="1"/>
  <c r="AP820" i="8"/>
  <c r="AG820" i="8" s="1"/>
  <c r="Z820" i="8" s="1"/>
  <c r="AN835" i="8"/>
  <c r="AM835" i="8"/>
  <c r="AF835" i="8" s="1"/>
  <c r="AN848" i="8"/>
  <c r="AN851" i="8"/>
  <c r="Y851" i="8" s="1"/>
  <c r="AR852" i="8"/>
  <c r="AI852" i="8" s="1"/>
  <c r="AM854" i="8"/>
  <c r="AF854" i="8" s="1"/>
  <c r="AL854" i="8"/>
  <c r="AE854" i="8" s="1"/>
  <c r="AN856" i="8"/>
  <c r="AP863" i="8"/>
  <c r="AG863" i="8" s="1"/>
  <c r="AR863" i="8"/>
  <c r="AI863" i="8" s="1"/>
  <c r="AQ863" i="8"/>
  <c r="AH863" i="8" s="1"/>
  <c r="AM868" i="8"/>
  <c r="AF868" i="8" s="1"/>
  <c r="AM760" i="8"/>
  <c r="AF760" i="8" s="1"/>
  <c r="AM764" i="8"/>
  <c r="AF764" i="8" s="1"/>
  <c r="AP768" i="8"/>
  <c r="AG768" i="8" s="1"/>
  <c r="AP784" i="8"/>
  <c r="AG784" i="8" s="1"/>
  <c r="AN793" i="8"/>
  <c r="AP800" i="8"/>
  <c r="AG800" i="8" s="1"/>
  <c r="AN809" i="8"/>
  <c r="AP813" i="8"/>
  <c r="AG813" i="8" s="1"/>
  <c r="AQ815" i="8"/>
  <c r="AH815" i="8" s="1"/>
  <c r="AP853" i="8"/>
  <c r="AG853" i="8" s="1"/>
  <c r="AP861" i="8"/>
  <c r="AG861" i="8" s="1"/>
  <c r="AN760" i="8"/>
  <c r="AN764" i="8"/>
  <c r="AQ768" i="8"/>
  <c r="AH768" i="8" s="1"/>
  <c r="AO770" i="8"/>
  <c r="AN770" i="8"/>
  <c r="AQ784" i="8"/>
  <c r="AH784" i="8" s="1"/>
  <c r="AO786" i="8"/>
  <c r="AN786" i="8"/>
  <c r="AQ800" i="8"/>
  <c r="AH800" i="8" s="1"/>
  <c r="AN811" i="8"/>
  <c r="Y811" i="8" s="1"/>
  <c r="AP811" i="8"/>
  <c r="AG811" i="8" s="1"/>
  <c r="AQ813" i="8"/>
  <c r="AH813" i="8" s="1"/>
  <c r="AR823" i="8"/>
  <c r="AI823" i="8" s="1"/>
  <c r="Z823" i="8" s="1"/>
  <c r="AR836" i="8"/>
  <c r="AI836" i="8" s="1"/>
  <c r="AQ836" i="8"/>
  <c r="AH836" i="8" s="1"/>
  <c r="AL840" i="8"/>
  <c r="AE840" i="8" s="1"/>
  <c r="AR853" i="8"/>
  <c r="AI853" i="8" s="1"/>
  <c r="Y863" i="8"/>
  <c r="Y884" i="8"/>
  <c r="AP770" i="8"/>
  <c r="AG770" i="8" s="1"/>
  <c r="AP786" i="8"/>
  <c r="AG786" i="8" s="1"/>
  <c r="AP802" i="8"/>
  <c r="AG802" i="8" s="1"/>
  <c r="AP809" i="8"/>
  <c r="AG809" i="8" s="1"/>
  <c r="AQ811" i="8"/>
  <c r="AH811" i="8" s="1"/>
  <c r="AM840" i="8"/>
  <c r="AF840" i="8" s="1"/>
  <c r="Z875" i="8"/>
  <c r="AL755" i="8"/>
  <c r="AE755" i="8" s="1"/>
  <c r="AL759" i="8"/>
  <c r="AE759" i="8" s="1"/>
  <c r="AP760" i="8"/>
  <c r="AG760" i="8" s="1"/>
  <c r="AL763" i="8"/>
  <c r="AE763" i="8" s="1"/>
  <c r="AP764" i="8"/>
  <c r="AG764" i="8" s="1"/>
  <c r="AL767" i="8"/>
  <c r="AE767" i="8" s="1"/>
  <c r="AQ770" i="8"/>
  <c r="AH770" i="8" s="1"/>
  <c r="AQ777" i="8"/>
  <c r="AH777" i="8" s="1"/>
  <c r="AM781" i="8"/>
  <c r="AF781" i="8" s="1"/>
  <c r="Y781" i="8" s="1"/>
  <c r="AQ786" i="8"/>
  <c r="AH786" i="8" s="1"/>
  <c r="AO788" i="8"/>
  <c r="AN788" i="8"/>
  <c r="AL790" i="8"/>
  <c r="AE790" i="8" s="1"/>
  <c r="AQ793" i="8"/>
  <c r="AH793" i="8" s="1"/>
  <c r="Z793" i="8" s="1"/>
  <c r="AQ802" i="8"/>
  <c r="AH802" i="8" s="1"/>
  <c r="AO804" i="8"/>
  <c r="AN804" i="8"/>
  <c r="AQ809" i="8"/>
  <c r="AH809" i="8" s="1"/>
  <c r="AL816" i="8"/>
  <c r="AE816" i="8" s="1"/>
  <c r="AP818" i="8"/>
  <c r="AG818" i="8" s="1"/>
  <c r="AQ827" i="8"/>
  <c r="AH827" i="8" s="1"/>
  <c r="AN840" i="8"/>
  <c r="AL849" i="8"/>
  <c r="AE849" i="8" s="1"/>
  <c r="AM755" i="8"/>
  <c r="AF755" i="8" s="1"/>
  <c r="AM759" i="8"/>
  <c r="AF759" i="8" s="1"/>
  <c r="AQ760" i="8"/>
  <c r="AH760" i="8" s="1"/>
  <c r="AM763" i="8"/>
  <c r="AF763" i="8" s="1"/>
  <c r="AQ764" i="8"/>
  <c r="AH764" i="8" s="1"/>
  <c r="AM767" i="8"/>
  <c r="AF767" i="8" s="1"/>
  <c r="AN781" i="8"/>
  <c r="AL783" i="8"/>
  <c r="AE783" i="8" s="1"/>
  <c r="AL799" i="8"/>
  <c r="AE799" i="8" s="1"/>
  <c r="AM816" i="8"/>
  <c r="AF816" i="8" s="1"/>
  <c r="AP842" i="8"/>
  <c r="AG842" i="8" s="1"/>
  <c r="AR866" i="8"/>
  <c r="AI866" i="8" s="1"/>
  <c r="AP866" i="8"/>
  <c r="AG866" i="8" s="1"/>
  <c r="Z866" i="8" s="1"/>
  <c r="AM783" i="8"/>
  <c r="AF783" i="8" s="1"/>
  <c r="AO790" i="8"/>
  <c r="AN790" i="8"/>
  <c r="AM799" i="8"/>
  <c r="AF799" i="8" s="1"/>
  <c r="AL812" i="8"/>
  <c r="AE812" i="8" s="1"/>
  <c r="AQ818" i="8"/>
  <c r="AH818" i="8" s="1"/>
  <c r="AN827" i="8"/>
  <c r="Y827" i="8" s="1"/>
  <c r="AO838" i="8"/>
  <c r="AN838" i="8"/>
  <c r="Y838" i="8" s="1"/>
  <c r="AR842" i="8"/>
  <c r="AI842" i="8" s="1"/>
  <c r="Y856" i="8"/>
  <c r="AQ902" i="8"/>
  <c r="AH902" i="8" s="1"/>
  <c r="AP902" i="8"/>
  <c r="AG902" i="8" s="1"/>
  <c r="AL785" i="8"/>
  <c r="AE785" i="8" s="1"/>
  <c r="Y785" i="8" s="1"/>
  <c r="AM812" i="8"/>
  <c r="AF812" i="8" s="1"/>
  <c r="AO816" i="8"/>
  <c r="AP827" i="8"/>
  <c r="AG827" i="8" s="1"/>
  <c r="AR847" i="8"/>
  <c r="AI847" i="8" s="1"/>
  <c r="AQ847" i="8"/>
  <c r="AH847" i="8" s="1"/>
  <c r="AN854" i="8"/>
  <c r="AO858" i="8"/>
  <c r="AL858" i="8"/>
  <c r="AE858" i="8" s="1"/>
  <c r="AN858" i="8"/>
  <c r="AM858" i="8"/>
  <c r="AF858" i="8" s="1"/>
  <c r="Y908" i="8"/>
  <c r="AR832" i="8"/>
  <c r="AI832" i="8" s="1"/>
  <c r="AQ832" i="8"/>
  <c r="AH832" i="8" s="1"/>
  <c r="AN839" i="8"/>
  <c r="AQ861" i="8"/>
  <c r="AH861" i="8" s="1"/>
  <c r="AP877" i="8"/>
  <c r="AG877" i="8" s="1"/>
  <c r="AR877" i="8"/>
  <c r="AI877" i="8" s="1"/>
  <c r="AQ877" i="8"/>
  <c r="AH877" i="8" s="1"/>
  <c r="AR888" i="8"/>
  <c r="AI888" i="8" s="1"/>
  <c r="AQ888" i="8"/>
  <c r="AH888" i="8" s="1"/>
  <c r="Y904" i="8"/>
  <c r="AQ856" i="8"/>
  <c r="AH856" i="8" s="1"/>
  <c r="Z856" i="8" s="1"/>
  <c r="AO873" i="8"/>
  <c r="AL873" i="8"/>
  <c r="AE873" i="8" s="1"/>
  <c r="AO874" i="8"/>
  <c r="AL874" i="8"/>
  <c r="AE874" i="8" s="1"/>
  <c r="AN874" i="8"/>
  <c r="AP883" i="8"/>
  <c r="AG883" i="8" s="1"/>
  <c r="AN898" i="8"/>
  <c r="AM898" i="8"/>
  <c r="AF898" i="8" s="1"/>
  <c r="AL898" i="8"/>
  <c r="AE898" i="8" s="1"/>
  <c r="Y898" i="8" s="1"/>
  <c r="AL900" i="8"/>
  <c r="AE900" i="8" s="1"/>
  <c r="AN900" i="8"/>
  <c r="AP848" i="8"/>
  <c r="AG848" i="8" s="1"/>
  <c r="AO859" i="8"/>
  <c r="AM859" i="8"/>
  <c r="AF859" i="8" s="1"/>
  <c r="AL859" i="8"/>
  <c r="AE859" i="8" s="1"/>
  <c r="AO862" i="8"/>
  <c r="AN862" i="8"/>
  <c r="AR873" i="8"/>
  <c r="AI873" i="8" s="1"/>
  <c r="AO875" i="8"/>
  <c r="AM875" i="8"/>
  <c r="AF875" i="8" s="1"/>
  <c r="AQ883" i="8"/>
  <c r="AH883" i="8" s="1"/>
  <c r="AN922" i="8"/>
  <c r="Y924" i="8"/>
  <c r="AQ848" i="8"/>
  <c r="AH848" i="8" s="1"/>
  <c r="AN850" i="8"/>
  <c r="Y850" i="8" s="1"/>
  <c r="AM852" i="8"/>
  <c r="AF852" i="8" s="1"/>
  <c r="Y852" i="8" s="1"/>
  <c r="AN876" i="8"/>
  <c r="AM876" i="8"/>
  <c r="AF876" i="8" s="1"/>
  <c r="AL876" i="8"/>
  <c r="AE876" i="8" s="1"/>
  <c r="AQ880" i="8"/>
  <c r="AH880" i="8" s="1"/>
  <c r="Z880" i="8" s="1"/>
  <c r="AP897" i="8"/>
  <c r="AG897" i="8" s="1"/>
  <c r="Z912" i="8"/>
  <c r="AL839" i="8"/>
  <c r="AE839" i="8" s="1"/>
  <c r="AL847" i="8"/>
  <c r="AE847" i="8" s="1"/>
  <c r="AP850" i="8"/>
  <c r="AG850" i="8" s="1"/>
  <c r="AN852" i="8"/>
  <c r="AR897" i="8"/>
  <c r="AI897" i="8" s="1"/>
  <c r="Z914" i="8"/>
  <c r="AM839" i="8"/>
  <c r="AF839" i="8" s="1"/>
  <c r="AM847" i="8"/>
  <c r="AF847" i="8" s="1"/>
  <c r="AQ850" i="8"/>
  <c r="AH850" i="8" s="1"/>
  <c r="AO854" i="8"/>
  <c r="AN863" i="8"/>
  <c r="AN880" i="8"/>
  <c r="AM880" i="8"/>
  <c r="AF880" i="8" s="1"/>
  <c r="Y880" i="8" s="1"/>
  <c r="AN882" i="8"/>
  <c r="AM882" i="8"/>
  <c r="AF882" i="8" s="1"/>
  <c r="AO885" i="8"/>
  <c r="AL885" i="8"/>
  <c r="AE885" i="8" s="1"/>
  <c r="AQ896" i="8"/>
  <c r="AH896" i="8" s="1"/>
  <c r="AM900" i="8"/>
  <c r="AF900" i="8" s="1"/>
  <c r="AO902" i="8"/>
  <c r="AM902" i="8"/>
  <c r="AF902" i="8" s="1"/>
  <c r="AN902" i="8"/>
  <c r="AL902" i="8"/>
  <c r="AE902" i="8" s="1"/>
  <c r="Z903" i="8"/>
  <c r="AP852" i="8"/>
  <c r="AG852" i="8" s="1"/>
  <c r="AP854" i="8"/>
  <c r="AG854" i="8" s="1"/>
  <c r="Z854" i="8" s="1"/>
  <c r="AP857" i="8"/>
  <c r="AG857" i="8" s="1"/>
  <c r="Z857" i="8" s="1"/>
  <c r="AP860" i="8"/>
  <c r="AG860" i="8" s="1"/>
  <c r="Z882" i="8"/>
  <c r="AO900" i="8"/>
  <c r="Z918" i="8"/>
  <c r="Y920" i="8"/>
  <c r="AO878" i="8"/>
  <c r="AN878" i="8"/>
  <c r="AM878" i="8"/>
  <c r="AF878" i="8" s="1"/>
  <c r="AL878" i="8"/>
  <c r="AE878" i="8" s="1"/>
  <c r="Y878" i="8" s="1"/>
  <c r="AL822" i="8"/>
  <c r="AE822" i="8" s="1"/>
  <c r="AP831" i="8"/>
  <c r="AG831" i="8" s="1"/>
  <c r="Z831" i="8" s="1"/>
  <c r="AL834" i="8"/>
  <c r="AE834" i="8" s="1"/>
  <c r="AP835" i="8"/>
  <c r="AG835" i="8" s="1"/>
  <c r="Z835" i="8" s="1"/>
  <c r="AP839" i="8"/>
  <c r="AG839" i="8" s="1"/>
  <c r="Z839" i="8" s="1"/>
  <c r="AP843" i="8"/>
  <c r="AG843" i="8" s="1"/>
  <c r="Z843" i="8" s="1"/>
  <c r="AO857" i="8"/>
  <c r="AL857" i="8"/>
  <c r="AE857" i="8" s="1"/>
  <c r="AR865" i="8"/>
  <c r="AI865" i="8" s="1"/>
  <c r="Z865" i="8" s="1"/>
  <c r="AQ878" i="8"/>
  <c r="AH878" i="8" s="1"/>
  <c r="Z878" i="8" s="1"/>
  <c r="AO880" i="8"/>
  <c r="AO881" i="8"/>
  <c r="AO883" i="8"/>
  <c r="Y883" i="8" s="1"/>
  <c r="AP888" i="8"/>
  <c r="AG888" i="8" s="1"/>
  <c r="AR893" i="8"/>
  <c r="AI893" i="8" s="1"/>
  <c r="Z893" i="8" s="1"/>
  <c r="AM846" i="8"/>
  <c r="AF846" i="8" s="1"/>
  <c r="AR890" i="8"/>
  <c r="AI890" i="8" s="1"/>
  <c r="AQ890" i="8"/>
  <c r="AH890" i="8" s="1"/>
  <c r="AP890" i="8"/>
  <c r="AG890" i="8" s="1"/>
  <c r="AN914" i="8"/>
  <c r="AN846" i="8"/>
  <c r="AO849" i="8"/>
  <c r="AN849" i="8"/>
  <c r="AM873" i="8"/>
  <c r="AF873" i="8" s="1"/>
  <c r="AM874" i="8"/>
  <c r="AF874" i="8" s="1"/>
  <c r="AR898" i="8"/>
  <c r="AI898" i="8" s="1"/>
  <c r="AQ898" i="8"/>
  <c r="AH898" i="8" s="1"/>
  <c r="AP898" i="8"/>
  <c r="AG898" i="8" s="1"/>
  <c r="AR946" i="8"/>
  <c r="AI946" i="8" s="1"/>
  <c r="AQ946" i="8"/>
  <c r="AH946" i="8" s="1"/>
  <c r="AP946" i="8"/>
  <c r="AG946" i="8" s="1"/>
  <c r="AP849" i="8"/>
  <c r="AG849" i="8" s="1"/>
  <c r="Z849" i="8" s="1"/>
  <c r="AN873" i="8"/>
  <c r="AP874" i="8"/>
  <c r="AG874" i="8" s="1"/>
  <c r="Z874" i="8" s="1"/>
  <c r="AL875" i="8"/>
  <c r="AE875" i="8" s="1"/>
  <c r="AO901" i="8"/>
  <c r="AN901" i="8"/>
  <c r="AM901" i="8"/>
  <c r="AF901" i="8" s="1"/>
  <c r="AL901" i="8"/>
  <c r="AE901" i="8" s="1"/>
  <c r="AQ904" i="8"/>
  <c r="AH904" i="8" s="1"/>
  <c r="AP904" i="8"/>
  <c r="AG904" i="8" s="1"/>
  <c r="AN906" i="8"/>
  <c r="AL886" i="8"/>
  <c r="AE886" i="8" s="1"/>
  <c r="Y886" i="8" s="1"/>
  <c r="AR896" i="8"/>
  <c r="AI896" i="8" s="1"/>
  <c r="AP896" i="8"/>
  <c r="AG896" i="8" s="1"/>
  <c r="Z901" i="8"/>
  <c r="AQ915" i="8"/>
  <c r="AH915" i="8" s="1"/>
  <c r="AP915" i="8"/>
  <c r="AG915" i="8" s="1"/>
  <c r="AR915" i="8"/>
  <c r="AI915" i="8" s="1"/>
  <c r="AN931" i="8"/>
  <c r="AO861" i="8"/>
  <c r="AN861" i="8"/>
  <c r="AM861" i="8"/>
  <c r="AF861" i="8" s="1"/>
  <c r="AL862" i="8"/>
  <c r="AE862" i="8" s="1"/>
  <c r="AQ873" i="8"/>
  <c r="AH873" i="8" s="1"/>
  <c r="AN885" i="8"/>
  <c r="AQ889" i="8"/>
  <c r="AH889" i="8" s="1"/>
  <c r="Z889" i="8" s="1"/>
  <c r="AR894" i="8"/>
  <c r="AI894" i="8" s="1"/>
  <c r="AR902" i="8"/>
  <c r="AI902" i="8" s="1"/>
  <c r="AN903" i="8"/>
  <c r="AM907" i="8"/>
  <c r="AF907" i="8" s="1"/>
  <c r="AR938" i="8"/>
  <c r="AI938" i="8" s="1"/>
  <c r="AQ938" i="8"/>
  <c r="AH938" i="8" s="1"/>
  <c r="AP938" i="8"/>
  <c r="AG938" i="8" s="1"/>
  <c r="AN946" i="8"/>
  <c r="AQ887" i="8"/>
  <c r="AH887" i="8" s="1"/>
  <c r="Z887" i="8" s="1"/>
  <c r="AQ892" i="8"/>
  <c r="AH892" i="8" s="1"/>
  <c r="Z892" i="8" s="1"/>
  <c r="AP895" i="8"/>
  <c r="AG895" i="8" s="1"/>
  <c r="AQ900" i="8"/>
  <c r="AH900" i="8" s="1"/>
  <c r="Z900" i="8" s="1"/>
  <c r="AQ911" i="8"/>
  <c r="AH911" i="8" s="1"/>
  <c r="AP911" i="8"/>
  <c r="AG911" i="8" s="1"/>
  <c r="AP924" i="8"/>
  <c r="AG924" i="8" s="1"/>
  <c r="Z957" i="8"/>
  <c r="AQ895" i="8"/>
  <c r="AH895" i="8" s="1"/>
  <c r="AP916" i="8"/>
  <c r="AG916" i="8" s="1"/>
  <c r="AQ917" i="8"/>
  <c r="AH917" i="8" s="1"/>
  <c r="AP920" i="8"/>
  <c r="AG920" i="8" s="1"/>
  <c r="AR924" i="8"/>
  <c r="AI924" i="8" s="1"/>
  <c r="AR928" i="8"/>
  <c r="AI928" i="8" s="1"/>
  <c r="AQ928" i="8"/>
  <c r="AH928" i="8" s="1"/>
  <c r="AP928" i="8"/>
  <c r="AG928" i="8" s="1"/>
  <c r="AM948" i="8"/>
  <c r="AF948" i="8" s="1"/>
  <c r="AL948" i="8"/>
  <c r="AE948" i="8" s="1"/>
  <c r="Y966" i="8"/>
  <c r="AQ916" i="8"/>
  <c r="AH916" i="8" s="1"/>
  <c r="AR920" i="8"/>
  <c r="AI920" i="8" s="1"/>
  <c r="AN950" i="8"/>
  <c r="Y950" i="8" s="1"/>
  <c r="AN877" i="8"/>
  <c r="Y877" i="8" s="1"/>
  <c r="AO879" i="8"/>
  <c r="Y879" i="8" s="1"/>
  <c r="AP879" i="8"/>
  <c r="AG879" i="8" s="1"/>
  <c r="Z879" i="8" s="1"/>
  <c r="AL896" i="8"/>
  <c r="AE896" i="8" s="1"/>
  <c r="Y896" i="8" s="1"/>
  <c r="AQ907" i="8"/>
  <c r="AH907" i="8" s="1"/>
  <c r="AP907" i="8"/>
  <c r="AG907" i="8" s="1"/>
  <c r="AP908" i="8"/>
  <c r="AG908" i="8" s="1"/>
  <c r="Z908" i="8" s="1"/>
  <c r="AL909" i="8"/>
  <c r="AE909" i="8" s="1"/>
  <c r="AO898" i="8"/>
  <c r="AQ908" i="8"/>
  <c r="AH908" i="8" s="1"/>
  <c r="AN948" i="8"/>
  <c r="AO952" i="8"/>
  <c r="Z913" i="8"/>
  <c r="AO923" i="8"/>
  <c r="AM923" i="8"/>
  <c r="AF923" i="8" s="1"/>
  <c r="Y923" i="8" s="1"/>
  <c r="AN925" i="8"/>
  <c r="AO925" i="8"/>
  <c r="AL925" i="8"/>
  <c r="AE925" i="8" s="1"/>
  <c r="AL932" i="8"/>
  <c r="AE932" i="8" s="1"/>
  <c r="AO932" i="8"/>
  <c r="AO948" i="8"/>
  <c r="AR962" i="8"/>
  <c r="AI962" i="8" s="1"/>
  <c r="AQ962" i="8"/>
  <c r="AH962" i="8" s="1"/>
  <c r="AP962" i="8"/>
  <c r="AG962" i="8" s="1"/>
  <c r="AO919" i="8"/>
  <c r="AM919" i="8"/>
  <c r="AF919" i="8" s="1"/>
  <c r="Y919" i="8" s="1"/>
  <c r="AO921" i="8"/>
  <c r="AN921" i="8"/>
  <c r="AM921" i="8"/>
  <c r="AF921" i="8" s="1"/>
  <c r="Y921" i="8" s="1"/>
  <c r="AR932" i="8"/>
  <c r="AI932" i="8" s="1"/>
  <c r="AR939" i="8"/>
  <c r="AI939" i="8" s="1"/>
  <c r="AQ939" i="8"/>
  <c r="AH939" i="8" s="1"/>
  <c r="Z921" i="8"/>
  <c r="AQ871" i="8"/>
  <c r="AH871" i="8" s="1"/>
  <c r="Z871" i="8" s="1"/>
  <c r="AO886" i="8"/>
  <c r="AP886" i="8"/>
  <c r="AG886" i="8" s="1"/>
  <c r="AQ905" i="8"/>
  <c r="AH905" i="8" s="1"/>
  <c r="Z905" i="8" s="1"/>
  <c r="AP917" i="8"/>
  <c r="AG917" i="8" s="1"/>
  <c r="AP965" i="8"/>
  <c r="AG965" i="8" s="1"/>
  <c r="AR965" i="8"/>
  <c r="AI965" i="8" s="1"/>
  <c r="AQ965" i="8"/>
  <c r="AH965" i="8" s="1"/>
  <c r="AQ869" i="8"/>
  <c r="AH869" i="8" s="1"/>
  <c r="Z869" i="8" s="1"/>
  <c r="AP884" i="8"/>
  <c r="AG884" i="8" s="1"/>
  <c r="AQ886" i="8"/>
  <c r="AH886" i="8" s="1"/>
  <c r="AO891" i="8"/>
  <c r="AO899" i="8"/>
  <c r="AO909" i="8"/>
  <c r="AN909" i="8"/>
  <c r="AP910" i="8"/>
  <c r="AG910" i="8" s="1"/>
  <c r="Z910" i="8" s="1"/>
  <c r="AO931" i="8"/>
  <c r="AM931" i="8"/>
  <c r="AF931" i="8" s="1"/>
  <c r="AL931" i="8"/>
  <c r="AE931" i="8" s="1"/>
  <c r="AM932" i="8"/>
  <c r="AF932" i="8" s="1"/>
  <c r="AN949" i="8"/>
  <c r="AN952" i="8"/>
  <c r="AM952" i="8"/>
  <c r="AF952" i="8" s="1"/>
  <c r="AN855" i="8"/>
  <c r="Y855" i="8" s="1"/>
  <c r="AQ867" i="8"/>
  <c r="AH867" i="8" s="1"/>
  <c r="Z867" i="8" s="1"/>
  <c r="AO882" i="8"/>
  <c r="AQ884" i="8"/>
  <c r="AH884" i="8" s="1"/>
  <c r="AO905" i="8"/>
  <c r="AN905" i="8"/>
  <c r="AN932" i="8"/>
  <c r="AP939" i="8"/>
  <c r="AG939" i="8" s="1"/>
  <c r="Z954" i="8"/>
  <c r="AO863" i="8"/>
  <c r="AP894" i="8"/>
  <c r="AG894" i="8" s="1"/>
  <c r="AL903" i="8"/>
  <c r="AE903" i="8" s="1"/>
  <c r="Y903" i="8" s="1"/>
  <c r="AP927" i="8"/>
  <c r="AG927" i="8" s="1"/>
  <c r="Z927" i="8" s="1"/>
  <c r="AR963" i="8"/>
  <c r="AI963" i="8" s="1"/>
  <c r="AQ963" i="8"/>
  <c r="AH963" i="8" s="1"/>
  <c r="AP963" i="8"/>
  <c r="AG963" i="8" s="1"/>
  <c r="AP948" i="8"/>
  <c r="AG948" i="8" s="1"/>
  <c r="AO975" i="8"/>
  <c r="AN975" i="8"/>
  <c r="Z977" i="8"/>
  <c r="AL926" i="8"/>
  <c r="AE926" i="8" s="1"/>
  <c r="AP932" i="8"/>
  <c r="AG932" i="8" s="1"/>
  <c r="AP941" i="8"/>
  <c r="AG941" i="8" s="1"/>
  <c r="Z941" i="8" s="1"/>
  <c r="AQ948" i="8"/>
  <c r="AH948" i="8" s="1"/>
  <c r="AN951" i="8"/>
  <c r="AR953" i="8"/>
  <c r="AI953" i="8" s="1"/>
  <c r="Z953" i="8" s="1"/>
  <c r="AR956" i="8"/>
  <c r="AI956" i="8" s="1"/>
  <c r="AQ956" i="8"/>
  <c r="AH956" i="8" s="1"/>
  <c r="AP956" i="8"/>
  <c r="AG956" i="8" s="1"/>
  <c r="Z969" i="8"/>
  <c r="AM926" i="8"/>
  <c r="AF926" i="8" s="1"/>
  <c r="AN929" i="8"/>
  <c r="AM929" i="8"/>
  <c r="AF929" i="8" s="1"/>
  <c r="AQ932" i="8"/>
  <c r="AH932" i="8" s="1"/>
  <c r="AR934" i="8"/>
  <c r="AI934" i="8" s="1"/>
  <c r="AO943" i="8"/>
  <c r="AN943" i="8"/>
  <c r="AO951" i="8"/>
  <c r="AM954" i="8"/>
  <c r="AF954" i="8" s="1"/>
  <c r="Y954" i="8" s="1"/>
  <c r="AP959" i="8"/>
  <c r="AG959" i="8" s="1"/>
  <c r="AN926" i="8"/>
  <c r="AO929" i="8"/>
  <c r="AP934" i="8"/>
  <c r="AG934" i="8" s="1"/>
  <c r="AL949" i="8"/>
  <c r="AE949" i="8" s="1"/>
  <c r="AP951" i="8"/>
  <c r="AG951" i="8" s="1"/>
  <c r="Z951" i="8" s="1"/>
  <c r="AN954" i="8"/>
  <c r="AQ959" i="8"/>
  <c r="AH959" i="8" s="1"/>
  <c r="AN976" i="8"/>
  <c r="AL1006" i="8"/>
  <c r="AE1006" i="8" s="1"/>
  <c r="AN1006" i="8"/>
  <c r="AM1006" i="8"/>
  <c r="AF1006" i="8" s="1"/>
  <c r="AL906" i="8"/>
  <c r="AE906" i="8" s="1"/>
  <c r="AL914" i="8"/>
  <c r="AE914" i="8" s="1"/>
  <c r="Y914" i="8" s="1"/>
  <c r="AP919" i="8"/>
  <c r="AG919" i="8" s="1"/>
  <c r="Z919" i="8" s="1"/>
  <c r="AL922" i="8"/>
  <c r="AE922" i="8" s="1"/>
  <c r="AP923" i="8"/>
  <c r="AG923" i="8" s="1"/>
  <c r="Z923" i="8" s="1"/>
  <c r="AP929" i="8"/>
  <c r="AG929" i="8" s="1"/>
  <c r="Z929" i="8" s="1"/>
  <c r="AQ934" i="8"/>
  <c r="AH934" i="8" s="1"/>
  <c r="AN945" i="8"/>
  <c r="Y945" i="8" s="1"/>
  <c r="AO945" i="8"/>
  <c r="AL947" i="8"/>
  <c r="AE947" i="8" s="1"/>
  <c r="AM949" i="8"/>
  <c r="AF949" i="8" s="1"/>
  <c r="AO954" i="8"/>
  <c r="AQ976" i="8"/>
  <c r="AH976" i="8" s="1"/>
  <c r="AP976" i="8"/>
  <c r="AG976" i="8" s="1"/>
  <c r="AM906" i="8"/>
  <c r="AF906" i="8" s="1"/>
  <c r="AM914" i="8"/>
  <c r="AF914" i="8" s="1"/>
  <c r="AM922" i="8"/>
  <c r="AF922" i="8" s="1"/>
  <c r="AP926" i="8"/>
  <c r="AG926" i="8" s="1"/>
  <c r="Z926" i="8" s="1"/>
  <c r="AP936" i="8"/>
  <c r="AG936" i="8" s="1"/>
  <c r="Z936" i="8" s="1"/>
  <c r="AP945" i="8"/>
  <c r="AG945" i="8" s="1"/>
  <c r="Z945" i="8" s="1"/>
  <c r="AM947" i="8"/>
  <c r="AF947" i="8" s="1"/>
  <c r="AN947" i="8"/>
  <c r="Y965" i="8"/>
  <c r="AM928" i="8"/>
  <c r="AF928" i="8" s="1"/>
  <c r="Y928" i="8" s="1"/>
  <c r="AP931" i="8"/>
  <c r="AG931" i="8" s="1"/>
  <c r="Z931" i="8" s="1"/>
  <c r="AL942" i="8"/>
  <c r="AE942" i="8" s="1"/>
  <c r="AP947" i="8"/>
  <c r="AG947" i="8" s="1"/>
  <c r="Z947" i="8" s="1"/>
  <c r="AO949" i="8"/>
  <c r="AL952" i="8"/>
  <c r="AE952" i="8" s="1"/>
  <c r="AR976" i="8"/>
  <c r="AI976" i="8" s="1"/>
  <c r="Z979" i="8"/>
  <c r="AQ949" i="8"/>
  <c r="AH949" i="8" s="1"/>
  <c r="AP949" i="8"/>
  <c r="AG949" i="8" s="1"/>
  <c r="AL955" i="8"/>
  <c r="AE955" i="8" s="1"/>
  <c r="AP933" i="8"/>
  <c r="AG933" i="8" s="1"/>
  <c r="Z933" i="8" s="1"/>
  <c r="AP940" i="8"/>
  <c r="AG940" i="8" s="1"/>
  <c r="AN942" i="8"/>
  <c r="AL944" i="8"/>
  <c r="AE944" i="8" s="1"/>
  <c r="AM950" i="8"/>
  <c r="AF950" i="8" s="1"/>
  <c r="AP964" i="8"/>
  <c r="AG964" i="8" s="1"/>
  <c r="Z964" i="8" s="1"/>
  <c r="AP925" i="8"/>
  <c r="AG925" i="8" s="1"/>
  <c r="AL937" i="8"/>
  <c r="AE937" i="8" s="1"/>
  <c r="AQ940" i="8"/>
  <c r="AH940" i="8" s="1"/>
  <c r="AR942" i="8"/>
  <c r="AI942" i="8" s="1"/>
  <c r="AM944" i="8"/>
  <c r="AF944" i="8" s="1"/>
  <c r="AL960" i="8"/>
  <c r="AE960" i="8" s="1"/>
  <c r="AQ964" i="8"/>
  <c r="AH964" i="8" s="1"/>
  <c r="AQ967" i="8"/>
  <c r="AH967" i="8" s="1"/>
  <c r="AP967" i="8"/>
  <c r="AG967" i="8" s="1"/>
  <c r="AQ925" i="8"/>
  <c r="AH925" i="8" s="1"/>
  <c r="AL927" i="8"/>
  <c r="AE927" i="8" s="1"/>
  <c r="AL930" i="8"/>
  <c r="AE930" i="8" s="1"/>
  <c r="Y930" i="8" s="1"/>
  <c r="AP935" i="8"/>
  <c r="AG935" i="8" s="1"/>
  <c r="Z935" i="8" s="1"/>
  <c r="AP942" i="8"/>
  <c r="AG942" i="8" s="1"/>
  <c r="AN944" i="8"/>
  <c r="AL946" i="8"/>
  <c r="AE946" i="8" s="1"/>
  <c r="AP950" i="8"/>
  <c r="AG950" i="8" s="1"/>
  <c r="AR960" i="8"/>
  <c r="AI960" i="8" s="1"/>
  <c r="Z960" i="8" s="1"/>
  <c r="AO977" i="8"/>
  <c r="AN977" i="8"/>
  <c r="AM977" i="8"/>
  <c r="AF977" i="8" s="1"/>
  <c r="Y978" i="8"/>
  <c r="AN937" i="8"/>
  <c r="AO937" i="8"/>
  <c r="AM946" i="8"/>
  <c r="AF946" i="8" s="1"/>
  <c r="AO950" i="8"/>
  <c r="AQ950" i="8"/>
  <c r="AH950" i="8" s="1"/>
  <c r="AQ952" i="8"/>
  <c r="AH952" i="8" s="1"/>
  <c r="AP952" i="8"/>
  <c r="AG952" i="8" s="1"/>
  <c r="AN955" i="8"/>
  <c r="Y953" i="8"/>
  <c r="AR955" i="8"/>
  <c r="AI955" i="8" s="1"/>
  <c r="AQ968" i="8"/>
  <c r="AH968" i="8" s="1"/>
  <c r="AP968" i="8"/>
  <c r="AG968" i="8" s="1"/>
  <c r="AO972" i="8"/>
  <c r="AN972" i="8"/>
  <c r="AL972" i="8"/>
  <c r="AE972" i="8" s="1"/>
  <c r="Z975" i="8"/>
  <c r="AN1012" i="8"/>
  <c r="AM1012" i="8"/>
  <c r="AF1012" i="8" s="1"/>
  <c r="AL970" i="8"/>
  <c r="AE970" i="8" s="1"/>
  <c r="AQ972" i="8"/>
  <c r="AH972" i="8" s="1"/>
  <c r="AP972" i="8"/>
  <c r="AG972" i="8" s="1"/>
  <c r="AR997" i="8"/>
  <c r="AI997" i="8" s="1"/>
  <c r="AR1010" i="8"/>
  <c r="AI1010" i="8" s="1"/>
  <c r="AQ1010" i="8"/>
  <c r="AH1010" i="8" s="1"/>
  <c r="Z1011" i="8"/>
  <c r="AO1018" i="8"/>
  <c r="AL1018" i="8"/>
  <c r="AE1018" i="8" s="1"/>
  <c r="AM970" i="8"/>
  <c r="AF970" i="8" s="1"/>
  <c r="AO973" i="8"/>
  <c r="AN973" i="8"/>
  <c r="AN970" i="8"/>
  <c r="AP974" i="8"/>
  <c r="AG974" i="8" s="1"/>
  <c r="AL989" i="8"/>
  <c r="AE989" i="8" s="1"/>
  <c r="AN990" i="8"/>
  <c r="Z991" i="8"/>
  <c r="AQ996" i="8"/>
  <c r="AH996" i="8" s="1"/>
  <c r="AP996" i="8"/>
  <c r="AG996" i="8" s="1"/>
  <c r="AR1024" i="8"/>
  <c r="AI1024" i="8" s="1"/>
  <c r="AP1024" i="8"/>
  <c r="AG1024" i="8" s="1"/>
  <c r="AP966" i="8"/>
  <c r="AG966" i="8" s="1"/>
  <c r="AO969" i="8"/>
  <c r="AN969" i="8"/>
  <c r="AP985" i="8"/>
  <c r="AG985" i="8" s="1"/>
  <c r="AQ1001" i="8"/>
  <c r="AH1001" i="8" s="1"/>
  <c r="AP1001" i="8"/>
  <c r="AG1001" i="8" s="1"/>
  <c r="AM955" i="8"/>
  <c r="AF955" i="8" s="1"/>
  <c r="AP958" i="8"/>
  <c r="AG958" i="8" s="1"/>
  <c r="Z958" i="8" s="1"/>
  <c r="AQ966" i="8"/>
  <c r="AH966" i="8" s="1"/>
  <c r="AP970" i="8"/>
  <c r="AG970" i="8" s="1"/>
  <c r="AQ985" i="8"/>
  <c r="AH985" i="8" s="1"/>
  <c r="AQ989" i="8"/>
  <c r="AH989" i="8" s="1"/>
  <c r="AP990" i="8"/>
  <c r="AG990" i="8" s="1"/>
  <c r="Z990" i="8" s="1"/>
  <c r="AP1010" i="8"/>
  <c r="AG1010" i="8" s="1"/>
  <c r="AP1025" i="8"/>
  <c r="AG1025" i="8" s="1"/>
  <c r="AO960" i="8"/>
  <c r="AN960" i="8"/>
  <c r="AQ970" i="8"/>
  <c r="AH970" i="8" s="1"/>
  <c r="AR974" i="8"/>
  <c r="AI974" i="8" s="1"/>
  <c r="AR989" i="8"/>
  <c r="AI989" i="8" s="1"/>
  <c r="AO995" i="8"/>
  <c r="AL995" i="8"/>
  <c r="AE995" i="8" s="1"/>
  <c r="Z998" i="8"/>
  <c r="AQ1005" i="8"/>
  <c r="AH1005" i="8" s="1"/>
  <c r="AP1005" i="8"/>
  <c r="AG1005" i="8" s="1"/>
  <c r="Z1022" i="8"/>
  <c r="AN971" i="8"/>
  <c r="AR995" i="8"/>
  <c r="AI995" i="8" s="1"/>
  <c r="AQ995" i="8"/>
  <c r="AH995" i="8" s="1"/>
  <c r="AP995" i="8"/>
  <c r="AG995" i="8" s="1"/>
  <c r="Z1007" i="8"/>
  <c r="AO1012" i="8"/>
  <c r="AR1030" i="8"/>
  <c r="AI1030" i="8" s="1"/>
  <c r="AP1030" i="8"/>
  <c r="AG1030" i="8" s="1"/>
  <c r="AQ1030" i="8"/>
  <c r="AH1030" i="8" s="1"/>
  <c r="Z1032" i="8"/>
  <c r="AQ984" i="8"/>
  <c r="AH984" i="8" s="1"/>
  <c r="AP984" i="8"/>
  <c r="AG984" i="8" s="1"/>
  <c r="AO991" i="8"/>
  <c r="AN991" i="8"/>
  <c r="AO993" i="8"/>
  <c r="AN993" i="8"/>
  <c r="Y993" i="8" s="1"/>
  <c r="AO1006" i="8"/>
  <c r="AQ1012" i="8"/>
  <c r="AH1012" i="8" s="1"/>
  <c r="AP1012" i="8"/>
  <c r="AG1012" i="8" s="1"/>
  <c r="AQ955" i="8"/>
  <c r="AH955" i="8" s="1"/>
  <c r="AM975" i="8"/>
  <c r="AF975" i="8" s="1"/>
  <c r="AM976" i="8"/>
  <c r="AF976" i="8" s="1"/>
  <c r="Y976" i="8" s="1"/>
  <c r="AQ993" i="8"/>
  <c r="AH993" i="8" s="1"/>
  <c r="AP993" i="8"/>
  <c r="AG993" i="8" s="1"/>
  <c r="AM996" i="8"/>
  <c r="AF996" i="8" s="1"/>
  <c r="AN999" i="8"/>
  <c r="AQ1025" i="8"/>
  <c r="AH1025" i="8" s="1"/>
  <c r="AR1025" i="8"/>
  <c r="AI1025" i="8" s="1"/>
  <c r="AO1058" i="8"/>
  <c r="AN1058" i="8"/>
  <c r="AM1058" i="8"/>
  <c r="AF1058" i="8" s="1"/>
  <c r="AL1058" i="8"/>
  <c r="AE1058" i="8" s="1"/>
  <c r="Y1058" i="8" s="1"/>
  <c r="AM990" i="8"/>
  <c r="AF990" i="8" s="1"/>
  <c r="AM991" i="8"/>
  <c r="AF991" i="8" s="1"/>
  <c r="AN996" i="8"/>
  <c r="Y996" i="8" s="1"/>
  <c r="AN1018" i="8"/>
  <c r="AO989" i="8"/>
  <c r="AN989" i="8"/>
  <c r="AR1026" i="8"/>
  <c r="AI1026" i="8" s="1"/>
  <c r="AQ1026" i="8"/>
  <c r="AH1026" i="8" s="1"/>
  <c r="AP1026" i="8"/>
  <c r="AG1026" i="8" s="1"/>
  <c r="AL968" i="8"/>
  <c r="AE968" i="8" s="1"/>
  <c r="AQ980" i="8"/>
  <c r="AH980" i="8" s="1"/>
  <c r="AP980" i="8"/>
  <c r="AG980" i="8" s="1"/>
  <c r="AR992" i="8"/>
  <c r="AI992" i="8" s="1"/>
  <c r="AQ992" i="8"/>
  <c r="AH992" i="8" s="1"/>
  <c r="AP992" i="8"/>
  <c r="AG992" i="8" s="1"/>
  <c r="AP1015" i="8"/>
  <c r="AG1015" i="8" s="1"/>
  <c r="AR1015" i="8"/>
  <c r="AI1015" i="8" s="1"/>
  <c r="AR1012" i="8"/>
  <c r="AI1012" i="8" s="1"/>
  <c r="AO1024" i="8"/>
  <c r="AN1024" i="8"/>
  <c r="AM1024" i="8"/>
  <c r="AF1024" i="8" s="1"/>
  <c r="AL1024" i="8"/>
  <c r="AE1024" i="8" s="1"/>
  <c r="AN968" i="8"/>
  <c r="AM973" i="8"/>
  <c r="AF973" i="8" s="1"/>
  <c r="AO976" i="8"/>
  <c r="AR988" i="8"/>
  <c r="AI988" i="8" s="1"/>
  <c r="AQ988" i="8"/>
  <c r="AH988" i="8" s="1"/>
  <c r="AP988" i="8"/>
  <c r="AG988" i="8" s="1"/>
  <c r="AN995" i="8"/>
  <c r="AR1009" i="8"/>
  <c r="AI1009" i="8" s="1"/>
  <c r="AQ1009" i="8"/>
  <c r="AH1009" i="8" s="1"/>
  <c r="AP1009" i="8"/>
  <c r="AG1009" i="8" s="1"/>
  <c r="AL1020" i="8"/>
  <c r="AE1020" i="8" s="1"/>
  <c r="Y1020" i="8" s="1"/>
  <c r="AQ1024" i="8"/>
  <c r="AH1024" i="8" s="1"/>
  <c r="AL1035" i="8"/>
  <c r="AE1035" i="8" s="1"/>
  <c r="Y1044" i="8"/>
  <c r="AR1049" i="8"/>
  <c r="AI1049" i="8" s="1"/>
  <c r="AP1049" i="8"/>
  <c r="AG1049" i="8" s="1"/>
  <c r="Y1046" i="8"/>
  <c r="AM998" i="8"/>
  <c r="AF998" i="8" s="1"/>
  <c r="AM1000" i="8"/>
  <c r="AF1000" i="8" s="1"/>
  <c r="AL1011" i="8"/>
  <c r="AE1011" i="8" s="1"/>
  <c r="AR1027" i="8"/>
  <c r="AI1027" i="8" s="1"/>
  <c r="AP1027" i="8"/>
  <c r="AG1027" i="8" s="1"/>
  <c r="AN998" i="8"/>
  <c r="AN1000" i="8"/>
  <c r="AR1006" i="8"/>
  <c r="AI1006" i="8" s="1"/>
  <c r="AP1006" i="8"/>
  <c r="AG1006" i="8" s="1"/>
  <c r="AP1008" i="8"/>
  <c r="AG1008" i="8" s="1"/>
  <c r="AN1011" i="8"/>
  <c r="AP1020" i="8"/>
  <c r="AG1020" i="8" s="1"/>
  <c r="AM1034" i="8"/>
  <c r="AF1034" i="8" s="1"/>
  <c r="AL1034" i="8"/>
  <c r="AE1034" i="8" s="1"/>
  <c r="AO1034" i="8"/>
  <c r="AL988" i="8"/>
  <c r="AE988" i="8" s="1"/>
  <c r="Y988" i="8" s="1"/>
  <c r="AL992" i="8"/>
  <c r="AE992" i="8" s="1"/>
  <c r="AP1002" i="8"/>
  <c r="AG1002" i="8" s="1"/>
  <c r="Z1002" i="8" s="1"/>
  <c r="AP1004" i="8"/>
  <c r="AG1004" i="8" s="1"/>
  <c r="Z1004" i="8" s="1"/>
  <c r="AQ1006" i="8"/>
  <c r="AH1006" i="8" s="1"/>
  <c r="AR1008" i="8"/>
  <c r="AI1008" i="8" s="1"/>
  <c r="AO1011" i="8"/>
  <c r="AO1013" i="8"/>
  <c r="AN1013" i="8"/>
  <c r="AM1013" i="8"/>
  <c r="AF1013" i="8" s="1"/>
  <c r="AP1016" i="8"/>
  <c r="AG1016" i="8" s="1"/>
  <c r="Z1016" i="8" s="1"/>
  <c r="AO1019" i="8"/>
  <c r="AN1019" i="8"/>
  <c r="AO1040" i="8"/>
  <c r="AL1040" i="8"/>
  <c r="AE1040" i="8" s="1"/>
  <c r="AN1040" i="8"/>
  <c r="Z1066" i="8"/>
  <c r="AP1000" i="8"/>
  <c r="AG1000" i="8" s="1"/>
  <c r="Z1000" i="8" s="1"/>
  <c r="AO1045" i="8"/>
  <c r="AN1045" i="8"/>
  <c r="AM1045" i="8"/>
  <c r="AF1045" i="8" s="1"/>
  <c r="AL1045" i="8"/>
  <c r="AE1045" i="8" s="1"/>
  <c r="AN1042" i="8"/>
  <c r="AM1042" i="8"/>
  <c r="AF1042" i="8" s="1"/>
  <c r="AL1042" i="8"/>
  <c r="AE1042" i="8" s="1"/>
  <c r="AM1014" i="8"/>
  <c r="AF1014" i="8" s="1"/>
  <c r="Y1014" i="8" s="1"/>
  <c r="AR1020" i="8"/>
  <c r="AI1020" i="8" s="1"/>
  <c r="AP1029" i="8"/>
  <c r="AG1029" i="8" s="1"/>
  <c r="AQ1033" i="8"/>
  <c r="AH1033" i="8" s="1"/>
  <c r="AR1033" i="8"/>
  <c r="AI1033" i="8" s="1"/>
  <c r="AL967" i="8"/>
  <c r="AE967" i="8" s="1"/>
  <c r="AL971" i="8"/>
  <c r="AE971" i="8" s="1"/>
  <c r="AL975" i="8"/>
  <c r="AE975" i="8" s="1"/>
  <c r="AL983" i="8"/>
  <c r="AE983" i="8" s="1"/>
  <c r="Y983" i="8" s="1"/>
  <c r="AL991" i="8"/>
  <c r="AE991" i="8" s="1"/>
  <c r="AN1014" i="8"/>
  <c r="AQ1029" i="8"/>
  <c r="AH1029" i="8" s="1"/>
  <c r="Z1035" i="8"/>
  <c r="AM1040" i="8"/>
  <c r="AF1040" i="8" s="1"/>
  <c r="AM967" i="8"/>
  <c r="AF967" i="8" s="1"/>
  <c r="AL1012" i="8"/>
  <c r="AE1012" i="8" s="1"/>
  <c r="AM1017" i="8"/>
  <c r="AF1017" i="8" s="1"/>
  <c r="Y1017" i="8" s="1"/>
  <c r="AQ1021" i="8"/>
  <c r="AH1021" i="8" s="1"/>
  <c r="Z1021" i="8" s="1"/>
  <c r="Z1060" i="8"/>
  <c r="AL994" i="8"/>
  <c r="AE994" i="8" s="1"/>
  <c r="AL1015" i="8"/>
  <c r="AE1015" i="8" s="1"/>
  <c r="AN1034" i="8"/>
  <c r="AO1042" i="8"/>
  <c r="Z1047" i="8"/>
  <c r="AM994" i="8"/>
  <c r="AF994" i="8" s="1"/>
  <c r="AO997" i="8"/>
  <c r="AN997" i="8"/>
  <c r="Y997" i="8" s="1"/>
  <c r="AP997" i="8"/>
  <c r="AG997" i="8" s="1"/>
  <c r="AM999" i="8"/>
  <c r="AF999" i="8" s="1"/>
  <c r="AO999" i="8"/>
  <c r="AQ1014" i="8"/>
  <c r="AH1014" i="8" s="1"/>
  <c r="Z1014" i="8" s="1"/>
  <c r="AM1015" i="8"/>
  <c r="AF1015" i="8" s="1"/>
  <c r="AQ1027" i="8"/>
  <c r="AH1027" i="8" s="1"/>
  <c r="AL990" i="8"/>
  <c r="AE990" i="8" s="1"/>
  <c r="AN994" i="8"/>
  <c r="AQ997" i="8"/>
  <c r="AH997" i="8" s="1"/>
  <c r="AO1001" i="8"/>
  <c r="AN1001" i="8"/>
  <c r="Y1001" i="8" s="1"/>
  <c r="AN1015" i="8"/>
  <c r="AQ1017" i="8"/>
  <c r="AH1017" i="8" s="1"/>
  <c r="Z1017" i="8" s="1"/>
  <c r="AR1037" i="8"/>
  <c r="AI1037" i="8" s="1"/>
  <c r="AQ1037" i="8"/>
  <c r="AH1037" i="8" s="1"/>
  <c r="AP1037" i="8"/>
  <c r="AG1037" i="8" s="1"/>
  <c r="AR1058" i="8"/>
  <c r="AI1058" i="8" s="1"/>
  <c r="AP1058" i="8"/>
  <c r="AG1058" i="8" s="1"/>
  <c r="AQ1061" i="8"/>
  <c r="AH1061" i="8" s="1"/>
  <c r="AP1061" i="8"/>
  <c r="AG1061" i="8" s="1"/>
  <c r="AM1084" i="8"/>
  <c r="AF1084" i="8" s="1"/>
  <c r="AN1084" i="8"/>
  <c r="AL1084" i="8"/>
  <c r="AE1084" i="8" s="1"/>
  <c r="AQ1034" i="8"/>
  <c r="AH1034" i="8" s="1"/>
  <c r="Z1034" i="8" s="1"/>
  <c r="AN1036" i="8"/>
  <c r="Y1036" i="8" s="1"/>
  <c r="AQ1040" i="8"/>
  <c r="AH1040" i="8" s="1"/>
  <c r="Z1040" i="8" s="1"/>
  <c r="AR1042" i="8"/>
  <c r="AI1042" i="8" s="1"/>
  <c r="AP1042" i="8"/>
  <c r="AG1042" i="8" s="1"/>
  <c r="AN1046" i="8"/>
  <c r="AM1047" i="8"/>
  <c r="AF1047" i="8" s="1"/>
  <c r="AP1051" i="8"/>
  <c r="AG1051" i="8" s="1"/>
  <c r="AL1052" i="8"/>
  <c r="AE1052" i="8" s="1"/>
  <c r="AO1069" i="8"/>
  <c r="AN1069" i="8"/>
  <c r="AL1069" i="8"/>
  <c r="AE1069" i="8" s="1"/>
  <c r="AR1070" i="8"/>
  <c r="AI1070" i="8" s="1"/>
  <c r="AQ1070" i="8"/>
  <c r="AH1070" i="8" s="1"/>
  <c r="AP1070" i="8"/>
  <c r="AG1070" i="8" s="1"/>
  <c r="AR1082" i="8"/>
  <c r="AI1082" i="8" s="1"/>
  <c r="AQ1082" i="8"/>
  <c r="AH1082" i="8" s="1"/>
  <c r="AN1089" i="8"/>
  <c r="AM1022" i="8"/>
  <c r="AF1022" i="8" s="1"/>
  <c r="Y1022" i="8" s="1"/>
  <c r="AO1038" i="8"/>
  <c r="Y1038" i="8" s="1"/>
  <c r="AQ1051" i="8"/>
  <c r="AH1051" i="8" s="1"/>
  <c r="AO1068" i="8"/>
  <c r="AN1068" i="8"/>
  <c r="AR1073" i="8"/>
  <c r="AI1073" i="8" s="1"/>
  <c r="AQ1073" i="8"/>
  <c r="AH1073" i="8" s="1"/>
  <c r="AP1073" i="8"/>
  <c r="AG1073" i="8" s="1"/>
  <c r="AM1016" i="8"/>
  <c r="AF1016" i="8" s="1"/>
  <c r="Y1016" i="8" s="1"/>
  <c r="AN1022" i="8"/>
  <c r="AP1031" i="8"/>
  <c r="AG1031" i="8" s="1"/>
  <c r="AP1036" i="8"/>
  <c r="AG1036" i="8" s="1"/>
  <c r="AP1038" i="8"/>
  <c r="AG1038" i="8" s="1"/>
  <c r="Z1038" i="8" s="1"/>
  <c r="Y1062" i="8"/>
  <c r="Z1100" i="8"/>
  <c r="AN1016" i="8"/>
  <c r="AP1028" i="8"/>
  <c r="AG1028" i="8" s="1"/>
  <c r="Z1028" i="8" s="1"/>
  <c r="AQ1031" i="8"/>
  <c r="AH1031" i="8" s="1"/>
  <c r="AR1036" i="8"/>
  <c r="AI1036" i="8" s="1"/>
  <c r="AN1043" i="8"/>
  <c r="AP1053" i="8"/>
  <c r="AG1053" i="8" s="1"/>
  <c r="AL1061" i="8"/>
  <c r="AE1061" i="8" s="1"/>
  <c r="AP1082" i="8"/>
  <c r="AG1082" i="8" s="1"/>
  <c r="AO1084" i="8"/>
  <c r="Z1102" i="8"/>
  <c r="AN1047" i="8"/>
  <c r="AL1047" i="8"/>
  <c r="AE1047" i="8" s="1"/>
  <c r="Y1047" i="8" s="1"/>
  <c r="AQ1053" i="8"/>
  <c r="AH1053" i="8" s="1"/>
  <c r="AQ1056" i="8"/>
  <c r="AH1056" i="8" s="1"/>
  <c r="Z1056" i="8" s="1"/>
  <c r="AM1061" i="8"/>
  <c r="AF1061" i="8" s="1"/>
  <c r="AO1066" i="8"/>
  <c r="AN1066" i="8"/>
  <c r="AL1066" i="8"/>
  <c r="AE1066" i="8" s="1"/>
  <c r="AR1067" i="8"/>
  <c r="AI1067" i="8" s="1"/>
  <c r="AQ1067" i="8"/>
  <c r="AH1067" i="8" s="1"/>
  <c r="AP1067" i="8"/>
  <c r="AG1067" i="8" s="1"/>
  <c r="Z1084" i="8"/>
  <c r="AP1090" i="8"/>
  <c r="AG1090" i="8" s="1"/>
  <c r="AR1090" i="8"/>
  <c r="AI1090" i="8" s="1"/>
  <c r="AN1061" i="8"/>
  <c r="Y1075" i="8"/>
  <c r="AN1086" i="8"/>
  <c r="AO1086" i="8"/>
  <c r="AM1086" i="8"/>
  <c r="AF1086" i="8" s="1"/>
  <c r="AL1086" i="8"/>
  <c r="AE1086" i="8" s="1"/>
  <c r="AN1035" i="8"/>
  <c r="AP1048" i="8"/>
  <c r="AG1048" i="8" s="1"/>
  <c r="AO1052" i="8"/>
  <c r="AN1052" i="8"/>
  <c r="AR1052" i="8"/>
  <c r="AI1052" i="8" s="1"/>
  <c r="AQ1052" i="8"/>
  <c r="AH1052" i="8" s="1"/>
  <c r="AR1061" i="8"/>
  <c r="AI1061" i="8" s="1"/>
  <c r="Z1088" i="8"/>
  <c r="AM1018" i="8"/>
  <c r="AF1018" i="8" s="1"/>
  <c r="AO1021" i="8"/>
  <c r="AM1021" i="8"/>
  <c r="AF1021" i="8" s="1"/>
  <c r="AO1035" i="8"/>
  <c r="AL1037" i="8"/>
  <c r="AE1037" i="8" s="1"/>
  <c r="AN1039" i="8"/>
  <c r="Y1039" i="8" s="1"/>
  <c r="AO1041" i="8"/>
  <c r="AL1041" i="8"/>
  <c r="AE1041" i="8" s="1"/>
  <c r="AP1041" i="8"/>
  <c r="AG1041" i="8" s="1"/>
  <c r="AP1044" i="8"/>
  <c r="AG1044" i="8" s="1"/>
  <c r="AR1048" i="8"/>
  <c r="AI1048" i="8" s="1"/>
  <c r="AP1057" i="8"/>
  <c r="AG1057" i="8" s="1"/>
  <c r="AQ1058" i="8"/>
  <c r="AH1058" i="8" s="1"/>
  <c r="AN1021" i="8"/>
  <c r="AQ1041" i="8"/>
  <c r="AH1041" i="8" s="1"/>
  <c r="AQ1044" i="8"/>
  <c r="AH1044" i="8" s="1"/>
  <c r="AQ1057" i="8"/>
  <c r="AH1057" i="8" s="1"/>
  <c r="AO1064" i="8"/>
  <c r="AL1064" i="8"/>
  <c r="AE1064" i="8" s="1"/>
  <c r="AL1068" i="8"/>
  <c r="AE1068" i="8" s="1"/>
  <c r="Y1068" i="8" s="1"/>
  <c r="AM1069" i="8"/>
  <c r="AF1069" i="8" s="1"/>
  <c r="AR1081" i="8"/>
  <c r="AI1081" i="8" s="1"/>
  <c r="AQ1081" i="8"/>
  <c r="AH1081" i="8" s="1"/>
  <c r="AO1037" i="8"/>
  <c r="AN1037" i="8"/>
  <c r="AO1063" i="8"/>
  <c r="AN1063" i="8"/>
  <c r="AL1063" i="8"/>
  <c r="AE1063" i="8" s="1"/>
  <c r="AQ1064" i="8"/>
  <c r="AH1064" i="8" s="1"/>
  <c r="AP1064" i="8"/>
  <c r="AG1064" i="8" s="1"/>
  <c r="Z1065" i="8"/>
  <c r="AM1068" i="8"/>
  <c r="AF1068" i="8" s="1"/>
  <c r="AN1075" i="8"/>
  <c r="Z1092" i="8"/>
  <c r="AL1029" i="8"/>
  <c r="AE1029" i="8" s="1"/>
  <c r="Y1029" i="8" s="1"/>
  <c r="AR1039" i="8"/>
  <c r="AI1039" i="8" s="1"/>
  <c r="AP1039" i="8"/>
  <c r="AG1039" i="8" s="1"/>
  <c r="AP1045" i="8"/>
  <c r="AG1045" i="8" s="1"/>
  <c r="AM1029" i="8"/>
  <c r="AF1029" i="8" s="1"/>
  <c r="AR1045" i="8"/>
  <c r="AI1045" i="8" s="1"/>
  <c r="AQ1049" i="8"/>
  <c r="AH1049" i="8" s="1"/>
  <c r="AR1055" i="8"/>
  <c r="AI1055" i="8" s="1"/>
  <c r="AP1055" i="8"/>
  <c r="AG1055" i="8" s="1"/>
  <c r="AN1060" i="8"/>
  <c r="AR1071" i="8"/>
  <c r="AI1071" i="8" s="1"/>
  <c r="AQ1071" i="8"/>
  <c r="AH1071" i="8" s="1"/>
  <c r="AP1071" i="8"/>
  <c r="AG1071" i="8" s="1"/>
  <c r="AR1123" i="8"/>
  <c r="AI1123" i="8" s="1"/>
  <c r="AQ1123" i="8"/>
  <c r="AH1123" i="8" s="1"/>
  <c r="AP1123" i="8"/>
  <c r="AG1123" i="8" s="1"/>
  <c r="AN1128" i="8"/>
  <c r="Y1128" i="8" s="1"/>
  <c r="AQ1086" i="8"/>
  <c r="AH1086" i="8" s="1"/>
  <c r="Z1086" i="8" s="1"/>
  <c r="AN1098" i="8"/>
  <c r="AM1059" i="8"/>
  <c r="AF1059" i="8" s="1"/>
  <c r="Y1059" i="8" s="1"/>
  <c r="AM1062" i="8"/>
  <c r="AF1062" i="8" s="1"/>
  <c r="AO1065" i="8"/>
  <c r="AM1065" i="8"/>
  <c r="AF1065" i="8" s="1"/>
  <c r="AP1077" i="8"/>
  <c r="AG1077" i="8" s="1"/>
  <c r="AQ1095" i="8"/>
  <c r="AH1095" i="8" s="1"/>
  <c r="Z1095" i="8" s="1"/>
  <c r="AR1098" i="8"/>
  <c r="AI1098" i="8" s="1"/>
  <c r="AQ1098" i="8"/>
  <c r="AH1098" i="8" s="1"/>
  <c r="AR1103" i="8"/>
  <c r="AI1103" i="8" s="1"/>
  <c r="Z1103" i="8" s="1"/>
  <c r="AO1107" i="8"/>
  <c r="AN1107" i="8"/>
  <c r="AN1059" i="8"/>
  <c r="AN1062" i="8"/>
  <c r="AN1065" i="8"/>
  <c r="AP1074" i="8"/>
  <c r="AG1074" i="8" s="1"/>
  <c r="AQ1077" i="8"/>
  <c r="AH1077" i="8" s="1"/>
  <c r="AL1091" i="8"/>
  <c r="AE1091" i="8" s="1"/>
  <c r="AM1093" i="8"/>
  <c r="AF1093" i="8" s="1"/>
  <c r="Y1093" i="8" s="1"/>
  <c r="AP1068" i="8"/>
  <c r="AG1068" i="8" s="1"/>
  <c r="Z1068" i="8" s="1"/>
  <c r="AQ1074" i="8"/>
  <c r="AH1074" i="8" s="1"/>
  <c r="AL1081" i="8"/>
  <c r="AE1081" i="8" s="1"/>
  <c r="AL1087" i="8"/>
  <c r="AE1087" i="8" s="1"/>
  <c r="AO1105" i="8"/>
  <c r="AL1105" i="8"/>
  <c r="AE1105" i="8" s="1"/>
  <c r="AR1106" i="8"/>
  <c r="AI1106" i="8" s="1"/>
  <c r="AP1106" i="8"/>
  <c r="AG1106" i="8" s="1"/>
  <c r="Z1106" i="8" s="1"/>
  <c r="Y1108" i="8"/>
  <c r="AL1067" i="8"/>
  <c r="AE1067" i="8" s="1"/>
  <c r="Y1067" i="8" s="1"/>
  <c r="AL1070" i="8"/>
  <c r="AE1070" i="8" s="1"/>
  <c r="Y1070" i="8" s="1"/>
  <c r="AP1079" i="8"/>
  <c r="AG1079" i="8" s="1"/>
  <c r="AL1083" i="8"/>
  <c r="AE1083" i="8" s="1"/>
  <c r="AM1087" i="8"/>
  <c r="AF1087" i="8" s="1"/>
  <c r="AN1091" i="8"/>
  <c r="Z1125" i="8"/>
  <c r="AQ1079" i="8"/>
  <c r="AH1079" i="8" s="1"/>
  <c r="AO1081" i="8"/>
  <c r="AN1081" i="8"/>
  <c r="AM1083" i="8"/>
  <c r="AF1083" i="8" s="1"/>
  <c r="AL1085" i="8"/>
  <c r="AE1085" i="8" s="1"/>
  <c r="AN1087" i="8"/>
  <c r="AM1089" i="8"/>
  <c r="AF1089" i="8" s="1"/>
  <c r="AN1083" i="8"/>
  <c r="AR1091" i="8"/>
  <c r="AI1091" i="8" s="1"/>
  <c r="AP1091" i="8"/>
  <c r="AG1091" i="8" s="1"/>
  <c r="AQ1093" i="8"/>
  <c r="AH1093" i="8" s="1"/>
  <c r="AP1093" i="8"/>
  <c r="AG1093" i="8" s="1"/>
  <c r="AO1104" i="8"/>
  <c r="AN1104" i="8"/>
  <c r="AN1085" i="8"/>
  <c r="AP1087" i="8"/>
  <c r="AG1087" i="8" s="1"/>
  <c r="AO1089" i="8"/>
  <c r="AP1089" i="8"/>
  <c r="AG1089" i="8" s="1"/>
  <c r="AQ1091" i="8"/>
  <c r="AH1091" i="8" s="1"/>
  <c r="AR1104" i="8"/>
  <c r="AI1104" i="8" s="1"/>
  <c r="AL1107" i="8"/>
  <c r="AE1107" i="8" s="1"/>
  <c r="AQ1115" i="8"/>
  <c r="AH1115" i="8" s="1"/>
  <c r="AP1115" i="8"/>
  <c r="AG1115" i="8" s="1"/>
  <c r="AQ1087" i="8"/>
  <c r="AH1087" i="8" s="1"/>
  <c r="AR1089" i="8"/>
  <c r="AI1089" i="8" s="1"/>
  <c r="AN1109" i="8"/>
  <c r="AM1043" i="8"/>
  <c r="AF1043" i="8" s="1"/>
  <c r="Y1043" i="8" s="1"/>
  <c r="AM1046" i="8"/>
  <c r="AF1046" i="8" s="1"/>
  <c r="AL1080" i="8"/>
  <c r="AE1080" i="8" s="1"/>
  <c r="AQ1083" i="8"/>
  <c r="AH1083" i="8" s="1"/>
  <c r="Z1083" i="8" s="1"/>
  <c r="AR1085" i="8"/>
  <c r="AI1085" i="8" s="1"/>
  <c r="Z1085" i="8" s="1"/>
  <c r="Z1144" i="8"/>
  <c r="AM1080" i="8"/>
  <c r="AF1080" i="8" s="1"/>
  <c r="AP1094" i="8"/>
  <c r="AG1094" i="8" s="1"/>
  <c r="Y1111" i="8"/>
  <c r="AR1116" i="8"/>
  <c r="AI1116" i="8" s="1"/>
  <c r="AQ1116" i="8"/>
  <c r="AH1116" i="8" s="1"/>
  <c r="AP1116" i="8"/>
  <c r="AG1116" i="8" s="1"/>
  <c r="AN1080" i="8"/>
  <c r="AQ1094" i="8"/>
  <c r="AH1094" i="8" s="1"/>
  <c r="AL1098" i="8"/>
  <c r="AE1098" i="8" s="1"/>
  <c r="AM1060" i="8"/>
  <c r="AF1060" i="8" s="1"/>
  <c r="Y1060" i="8" s="1"/>
  <c r="AP1075" i="8"/>
  <c r="AG1075" i="8" s="1"/>
  <c r="Z1075" i="8" s="1"/>
  <c r="AQ1078" i="8"/>
  <c r="AH1078" i="8" s="1"/>
  <c r="Z1078" i="8" s="1"/>
  <c r="AL1082" i="8"/>
  <c r="AE1082" i="8" s="1"/>
  <c r="Y1082" i="8" s="1"/>
  <c r="AL1088" i="8"/>
  <c r="AE1088" i="8" s="1"/>
  <c r="AM1090" i="8"/>
  <c r="AF1090" i="8" s="1"/>
  <c r="AM1098" i="8"/>
  <c r="AF1098" i="8" s="1"/>
  <c r="AN1105" i="8"/>
  <c r="Y1116" i="8"/>
  <c r="Z1119" i="8"/>
  <c r="AM1057" i="8"/>
  <c r="AF1057" i="8" s="1"/>
  <c r="AP1072" i="8"/>
  <c r="AG1072" i="8" s="1"/>
  <c r="Z1072" i="8" s="1"/>
  <c r="AN1088" i="8"/>
  <c r="AM1092" i="8"/>
  <c r="AF1092" i="8" s="1"/>
  <c r="AO1098" i="8"/>
  <c r="AP1099" i="8"/>
  <c r="AG1099" i="8" s="1"/>
  <c r="AL1104" i="8"/>
  <c r="AE1104" i="8" s="1"/>
  <c r="AQ1105" i="8"/>
  <c r="AH1105" i="8" s="1"/>
  <c r="AQ1108" i="8"/>
  <c r="AH1108" i="8" s="1"/>
  <c r="AP1108" i="8"/>
  <c r="AG1108" i="8" s="1"/>
  <c r="AN1082" i="8"/>
  <c r="AO1082" i="8"/>
  <c r="AO1088" i="8"/>
  <c r="AN1090" i="8"/>
  <c r="AP1098" i="8"/>
  <c r="AG1098" i="8" s="1"/>
  <c r="AQ1099" i="8"/>
  <c r="AH1099" i="8" s="1"/>
  <c r="AR1105" i="8"/>
  <c r="AI1105" i="8" s="1"/>
  <c r="AN1123" i="8"/>
  <c r="Y1123" i="8" s="1"/>
  <c r="AM1160" i="8"/>
  <c r="AF1160" i="8" s="1"/>
  <c r="AL1160" i="8"/>
  <c r="AE1160" i="8" s="1"/>
  <c r="AO1160" i="8"/>
  <c r="Y1176" i="8"/>
  <c r="AR1122" i="8"/>
  <c r="AI1122" i="8" s="1"/>
  <c r="Z1122" i="8" s="1"/>
  <c r="AR1124" i="8"/>
  <c r="AI1124" i="8" s="1"/>
  <c r="Z1124" i="8" s="1"/>
  <c r="AP1130" i="8"/>
  <c r="AG1130" i="8" s="1"/>
  <c r="Z1130" i="8" s="1"/>
  <c r="AR1141" i="8"/>
  <c r="AI1141" i="8" s="1"/>
  <c r="AP1141" i="8"/>
  <c r="AG1141" i="8" s="1"/>
  <c r="AO1162" i="8"/>
  <c r="AM1162" i="8"/>
  <c r="AF1162" i="8" s="1"/>
  <c r="AN1162" i="8"/>
  <c r="AL1162" i="8"/>
  <c r="AE1162" i="8" s="1"/>
  <c r="AR1165" i="8"/>
  <c r="AI1165" i="8" s="1"/>
  <c r="AQ1165" i="8"/>
  <c r="AH1165" i="8" s="1"/>
  <c r="AP1165" i="8"/>
  <c r="AG1165" i="8" s="1"/>
  <c r="Z1171" i="8"/>
  <c r="Y1179" i="8"/>
  <c r="AN1173" i="8"/>
  <c r="Y1183" i="8"/>
  <c r="AR1192" i="8"/>
  <c r="AI1192" i="8" s="1"/>
  <c r="AQ1192" i="8"/>
  <c r="AH1192" i="8" s="1"/>
  <c r="AP1192" i="8"/>
  <c r="AG1192" i="8" s="1"/>
  <c r="AR1117" i="8"/>
  <c r="AI1117" i="8" s="1"/>
  <c r="Z1117" i="8" s="1"/>
  <c r="AL1121" i="8"/>
  <c r="AE1121" i="8" s="1"/>
  <c r="AN1127" i="8"/>
  <c r="Y1127" i="8" s="1"/>
  <c r="AP1127" i="8"/>
  <c r="AG1127" i="8" s="1"/>
  <c r="AO1130" i="8"/>
  <c r="AN1130" i="8"/>
  <c r="AQ1131" i="8"/>
  <c r="AH1131" i="8" s="1"/>
  <c r="AP1145" i="8"/>
  <c r="AG1145" i="8" s="1"/>
  <c r="Z1145" i="8" s="1"/>
  <c r="AO1155" i="8"/>
  <c r="AN1155" i="8"/>
  <c r="AM1155" i="8"/>
  <c r="AF1155" i="8" s="1"/>
  <c r="Z1177" i="8"/>
  <c r="W29" i="9"/>
  <c r="AM1121" i="8"/>
  <c r="AF1121" i="8" s="1"/>
  <c r="AN1122" i="8"/>
  <c r="AQ1127" i="8"/>
  <c r="AH1127" i="8" s="1"/>
  <c r="AR1131" i="8"/>
  <c r="AI1131" i="8" s="1"/>
  <c r="AR1137" i="8"/>
  <c r="AI1137" i="8" s="1"/>
  <c r="AN1160" i="8"/>
  <c r="AN1121" i="8"/>
  <c r="AR1150" i="8"/>
  <c r="AI1150" i="8" s="1"/>
  <c r="AQ1150" i="8"/>
  <c r="AH1150" i="8" s="1"/>
  <c r="AR1202" i="8"/>
  <c r="AI1202" i="8" s="1"/>
  <c r="AQ1202" i="8"/>
  <c r="AH1202" i="8" s="1"/>
  <c r="AP1202" i="8"/>
  <c r="AG1202" i="8" s="1"/>
  <c r="AP1111" i="8"/>
  <c r="AG1111" i="8" s="1"/>
  <c r="Z1111" i="8" s="1"/>
  <c r="AQ1114" i="8"/>
  <c r="AH1114" i="8" s="1"/>
  <c r="Z1114" i="8" s="1"/>
  <c r="Z1133" i="8"/>
  <c r="AR1140" i="8"/>
  <c r="AI1140" i="8" s="1"/>
  <c r="AQ1140" i="8"/>
  <c r="AH1140" i="8" s="1"/>
  <c r="AQ1143" i="8"/>
  <c r="AH1143" i="8" s="1"/>
  <c r="AP1143" i="8"/>
  <c r="AG1143" i="8" s="1"/>
  <c r="Z1169" i="8"/>
  <c r="AP1121" i="8"/>
  <c r="AG1121" i="8" s="1"/>
  <c r="Z1121" i="8" s="1"/>
  <c r="AO1125" i="8"/>
  <c r="AN1125" i="8"/>
  <c r="AQ1141" i="8"/>
  <c r="AH1141" i="8" s="1"/>
  <c r="AM1157" i="8"/>
  <c r="AF1157" i="8" s="1"/>
  <c r="AL1157" i="8"/>
  <c r="AE1157" i="8" s="1"/>
  <c r="Z1200" i="8"/>
  <c r="AO1138" i="8"/>
  <c r="AL1138" i="8"/>
  <c r="AE1138" i="8" s="1"/>
  <c r="AN1138" i="8"/>
  <c r="AO1152" i="8"/>
  <c r="AM1152" i="8"/>
  <c r="AF1152" i="8" s="1"/>
  <c r="AM1110" i="8"/>
  <c r="AF1110" i="8" s="1"/>
  <c r="Y1110" i="8" s="1"/>
  <c r="AL1132" i="8"/>
  <c r="AE1132" i="8" s="1"/>
  <c r="AN1132" i="8"/>
  <c r="AN1137" i="8"/>
  <c r="Y1137" i="8" s="1"/>
  <c r="AP1139" i="8"/>
  <c r="AG1139" i="8" s="1"/>
  <c r="Z1139" i="8" s="1"/>
  <c r="Z1147" i="8"/>
  <c r="AR1186" i="8"/>
  <c r="AI1186" i="8" s="1"/>
  <c r="AQ1186" i="8"/>
  <c r="AH1186" i="8" s="1"/>
  <c r="AP1186" i="8"/>
  <c r="AG1186" i="8" s="1"/>
  <c r="AN1110" i="8"/>
  <c r="AO1128" i="8"/>
  <c r="AL1135" i="8"/>
  <c r="AE1135" i="8" s="1"/>
  <c r="AN1135" i="8"/>
  <c r="AO1136" i="8"/>
  <c r="AN1136" i="8"/>
  <c r="AL1136" i="8"/>
  <c r="AE1136" i="8" s="1"/>
  <c r="AP1137" i="8"/>
  <c r="AG1137" i="8" s="1"/>
  <c r="AP1150" i="8"/>
  <c r="AG1150" i="8" s="1"/>
  <c r="Z1173" i="8"/>
  <c r="AP1110" i="8"/>
  <c r="AG1110" i="8" s="1"/>
  <c r="Z1110" i="8" s="1"/>
  <c r="AP1113" i="8"/>
  <c r="AG1113" i="8" s="1"/>
  <c r="Z1113" i="8" s="1"/>
  <c r="Y1156" i="8"/>
  <c r="Y1184" i="8"/>
  <c r="AP1104" i="8"/>
  <c r="AG1104" i="8" s="1"/>
  <c r="AP1107" i="8"/>
  <c r="AG1107" i="8" s="1"/>
  <c r="Z1107" i="8" s="1"/>
  <c r="AQ1113" i="8"/>
  <c r="AH1113" i="8" s="1"/>
  <c r="AP1118" i="8"/>
  <c r="AG1118" i="8" s="1"/>
  <c r="Z1118" i="8" s="1"/>
  <c r="AL1124" i="8"/>
  <c r="AE1124" i="8" s="1"/>
  <c r="AP1126" i="8"/>
  <c r="AG1126" i="8" s="1"/>
  <c r="AP1129" i="8"/>
  <c r="AG1129" i="8" s="1"/>
  <c r="Z1129" i="8" s="1"/>
  <c r="AL1092" i="8"/>
  <c r="AE1092" i="8" s="1"/>
  <c r="AP1097" i="8"/>
  <c r="AG1097" i="8" s="1"/>
  <c r="Z1097" i="8" s="1"/>
  <c r="AP1101" i="8"/>
  <c r="AG1101" i="8" s="1"/>
  <c r="Z1101" i="8" s="1"/>
  <c r="AQ1104" i="8"/>
  <c r="AH1104" i="8" s="1"/>
  <c r="AL1109" i="8"/>
  <c r="AE1109" i="8" s="1"/>
  <c r="Y1109" i="8" s="1"/>
  <c r="AM1124" i="8"/>
  <c r="AF1124" i="8" s="1"/>
  <c r="AO1126" i="8"/>
  <c r="AN1126" i="8"/>
  <c r="Y1126" i="8" s="1"/>
  <c r="AQ1126" i="8"/>
  <c r="AH1126" i="8" s="1"/>
  <c r="AQ1134" i="8"/>
  <c r="AH1134" i="8" s="1"/>
  <c r="AP1134" i="8"/>
  <c r="AG1134" i="8" s="1"/>
  <c r="AP1140" i="8"/>
  <c r="AG1140" i="8" s="1"/>
  <c r="AR1143" i="8"/>
  <c r="AI1143" i="8" s="1"/>
  <c r="AL1152" i="8"/>
  <c r="AE1152" i="8" s="1"/>
  <c r="AL1103" i="8"/>
  <c r="AE1103" i="8" s="1"/>
  <c r="Y1103" i="8" s="1"/>
  <c r="AP1120" i="8"/>
  <c r="AG1120" i="8" s="1"/>
  <c r="Z1120" i="8" s="1"/>
  <c r="AL1122" i="8"/>
  <c r="AE1122" i="8" s="1"/>
  <c r="AN1152" i="8"/>
  <c r="AO1106" i="8"/>
  <c r="AM1106" i="8"/>
  <c r="AF1106" i="8" s="1"/>
  <c r="Y1106" i="8" s="1"/>
  <c r="AN1124" i="8"/>
  <c r="AL1130" i="8"/>
  <c r="AE1130" i="8" s="1"/>
  <c r="AN1151" i="8"/>
  <c r="Z1152" i="8"/>
  <c r="AM1129" i="8"/>
  <c r="AF1129" i="8" s="1"/>
  <c r="Y1129" i="8" s="1"/>
  <c r="AO1150" i="8"/>
  <c r="AN1150" i="8"/>
  <c r="Y1150" i="8" s="1"/>
  <c r="AR1162" i="8"/>
  <c r="AI1162" i="8" s="1"/>
  <c r="AQ1200" i="8"/>
  <c r="AH1200" i="8" s="1"/>
  <c r="AL1154" i="8"/>
  <c r="AE1154" i="8" s="1"/>
  <c r="AM1156" i="8"/>
  <c r="AF1156" i="8" s="1"/>
  <c r="AM1158" i="8"/>
  <c r="AF1158" i="8" s="1"/>
  <c r="Y1158" i="8" s="1"/>
  <c r="AP1160" i="8"/>
  <c r="AG1160" i="8" s="1"/>
  <c r="AR1160" i="8"/>
  <c r="AI1160" i="8" s="1"/>
  <c r="AR1163" i="8"/>
  <c r="AI1163" i="8" s="1"/>
  <c r="Z1163" i="8" s="1"/>
  <c r="AR1184" i="8"/>
  <c r="AI1184" i="8" s="1"/>
  <c r="AP1184" i="8"/>
  <c r="AG1184" i="8" s="1"/>
  <c r="W19" i="9"/>
  <c r="W43" i="9"/>
  <c r="W53" i="9"/>
  <c r="AM1154" i="8"/>
  <c r="AF1154" i="8" s="1"/>
  <c r="AN1156" i="8"/>
  <c r="AN1154" i="8"/>
  <c r="AR1172" i="8"/>
  <c r="AI1172" i="8" s="1"/>
  <c r="AP1172" i="8"/>
  <c r="AG1172" i="8" s="1"/>
  <c r="AP1175" i="8"/>
  <c r="AG1175" i="8" s="1"/>
  <c r="AR1183" i="8"/>
  <c r="AI1183" i="8" s="1"/>
  <c r="AQ1183" i="8"/>
  <c r="AH1183" i="8" s="1"/>
  <c r="Z1183" i="8" s="1"/>
  <c r="AO1195" i="8"/>
  <c r="AL1195" i="8"/>
  <c r="AE1195" i="8" s="1"/>
  <c r="Y1195" i="8" s="1"/>
  <c r="AM1131" i="8"/>
  <c r="AF1131" i="8" s="1"/>
  <c r="Y1131" i="8" s="1"/>
  <c r="AM1134" i="8"/>
  <c r="AF1134" i="8" s="1"/>
  <c r="Y1134" i="8" s="1"/>
  <c r="AP1154" i="8"/>
  <c r="AG1154" i="8" s="1"/>
  <c r="Z1154" i="8" s="1"/>
  <c r="AP1156" i="8"/>
  <c r="AG1156" i="8" s="1"/>
  <c r="AQ1156" i="8"/>
  <c r="AH1156" i="8" s="1"/>
  <c r="AR1158" i="8"/>
  <c r="AI1158" i="8" s="1"/>
  <c r="AQ1158" i="8"/>
  <c r="AH1158" i="8" s="1"/>
  <c r="Z1158" i="8" s="1"/>
  <c r="AP1167" i="8"/>
  <c r="AG1167" i="8" s="1"/>
  <c r="Z1167" i="8" s="1"/>
  <c r="AR1175" i="8"/>
  <c r="AI1175" i="8" s="1"/>
  <c r="AO1190" i="8"/>
  <c r="AL1190" i="8"/>
  <c r="AE1190" i="8" s="1"/>
  <c r="AR1201" i="8"/>
  <c r="AI1201" i="8" s="1"/>
  <c r="T20" i="9"/>
  <c r="W20" i="9" s="1"/>
  <c r="W55" i="9"/>
  <c r="W127" i="9"/>
  <c r="Y1180" i="8"/>
  <c r="AN1181" i="8"/>
  <c r="AO1182" i="8"/>
  <c r="AN1182" i="8"/>
  <c r="AM1182" i="8"/>
  <c r="AF1182" i="8" s="1"/>
  <c r="AR1190" i="8"/>
  <c r="AI1190" i="8" s="1"/>
  <c r="AP1190" i="8"/>
  <c r="AG1190" i="8" s="1"/>
  <c r="AO1122" i="8"/>
  <c r="AM1122" i="8"/>
  <c r="AF1122" i="8" s="1"/>
  <c r="AL1144" i="8"/>
  <c r="AE1144" i="8" s="1"/>
  <c r="AN1149" i="8"/>
  <c r="AO1149" i="8"/>
  <c r="AM1151" i="8"/>
  <c r="AF1151" i="8" s="1"/>
  <c r="AR1180" i="8"/>
  <c r="AI1180" i="8" s="1"/>
  <c r="AP1180" i="8"/>
  <c r="AG1180" i="8" s="1"/>
  <c r="AR1182" i="8"/>
  <c r="AI1182" i="8" s="1"/>
  <c r="W23" i="9"/>
  <c r="AL1139" i="8"/>
  <c r="AE1139" i="8" s="1"/>
  <c r="AM1144" i="8"/>
  <c r="AF1144" i="8" s="1"/>
  <c r="AP1149" i="8"/>
  <c r="AG1149" i="8" s="1"/>
  <c r="Z1149" i="8" s="1"/>
  <c r="AN1161" i="8"/>
  <c r="AM1161" i="8"/>
  <c r="AF1161" i="8" s="1"/>
  <c r="AP1161" i="8"/>
  <c r="AG1161" i="8" s="1"/>
  <c r="AP1164" i="8"/>
  <c r="AG1164" i="8" s="1"/>
  <c r="Z1164" i="8" s="1"/>
  <c r="AO1174" i="8"/>
  <c r="AM1174" i="8"/>
  <c r="AF1174" i="8" s="1"/>
  <c r="AM1139" i="8"/>
  <c r="AF1139" i="8" s="1"/>
  <c r="AP1142" i="8"/>
  <c r="AG1142" i="8" s="1"/>
  <c r="AN1144" i="8"/>
  <c r="AL1153" i="8"/>
  <c r="AE1153" i="8" s="1"/>
  <c r="AQ1161" i="8"/>
  <c r="AH1161" i="8" s="1"/>
  <c r="AR1174" i="8"/>
  <c r="AI1174" i="8" s="1"/>
  <c r="AR1179" i="8"/>
  <c r="AI1179" i="8" s="1"/>
  <c r="AQ1179" i="8"/>
  <c r="AH1179" i="8" s="1"/>
  <c r="W30" i="9"/>
  <c r="W37" i="9"/>
  <c r="W52" i="9"/>
  <c r="AM1133" i="8"/>
  <c r="AF1133" i="8" s="1"/>
  <c r="AN1139" i="8"/>
  <c r="AQ1142" i="8"/>
  <c r="AH1142" i="8" s="1"/>
  <c r="AP1151" i="8"/>
  <c r="AG1151" i="8" s="1"/>
  <c r="AP1159" i="8"/>
  <c r="AG1159" i="8" s="1"/>
  <c r="AR1176" i="8"/>
  <c r="AI1176" i="8" s="1"/>
  <c r="AP1176" i="8"/>
  <c r="AG1176" i="8" s="1"/>
  <c r="AP1185" i="8"/>
  <c r="AG1185" i="8" s="1"/>
  <c r="AR1189" i="8"/>
  <c r="AI1189" i="8" s="1"/>
  <c r="AQ1189" i="8"/>
  <c r="AH1189" i="8" s="1"/>
  <c r="AP1189" i="8"/>
  <c r="AG1189" i="8" s="1"/>
  <c r="W8" i="9"/>
  <c r="W17" i="9"/>
  <c r="W18" i="9"/>
  <c r="T36" i="9"/>
  <c r="W36" i="9" s="1"/>
  <c r="W99" i="9"/>
  <c r="AN1133" i="8"/>
  <c r="AQ1151" i="8"/>
  <c r="AH1151" i="8" s="1"/>
  <c r="AN1153" i="8"/>
  <c r="AO1153" i="8"/>
  <c r="AQ1159" i="8"/>
  <c r="AH1159" i="8" s="1"/>
  <c r="AR1168" i="8"/>
  <c r="AI1168" i="8" s="1"/>
  <c r="AP1168" i="8"/>
  <c r="AG1168" i="8" s="1"/>
  <c r="AN1177" i="8"/>
  <c r="AO1178" i="8"/>
  <c r="AN1178" i="8"/>
  <c r="AM1178" i="8"/>
  <c r="AF1178" i="8" s="1"/>
  <c r="AQ1184" i="8"/>
  <c r="AH1184" i="8" s="1"/>
  <c r="AR1185" i="8"/>
  <c r="AI1185" i="8" s="1"/>
  <c r="AM1195" i="8"/>
  <c r="AF1195" i="8" s="1"/>
  <c r="W7" i="9"/>
  <c r="AL1155" i="8"/>
  <c r="AE1155" i="8" s="1"/>
  <c r="AN1157" i="8"/>
  <c r="AO1157" i="8"/>
  <c r="AR1178" i="8"/>
  <c r="AI1178" i="8" s="1"/>
  <c r="AN1190" i="8"/>
  <c r="AN1195" i="8"/>
  <c r="W13" i="9"/>
  <c r="AP1146" i="8"/>
  <c r="AG1146" i="8" s="1"/>
  <c r="AP1155" i="8"/>
  <c r="AG1155" i="8" s="1"/>
  <c r="Z1155" i="8" s="1"/>
  <c r="AP1157" i="8"/>
  <c r="AG1157" i="8" s="1"/>
  <c r="Z1157" i="8" s="1"/>
  <c r="Z1181" i="8"/>
  <c r="AR1187" i="8"/>
  <c r="AI1187" i="8" s="1"/>
  <c r="AP1187" i="8"/>
  <c r="AG1187" i="8" s="1"/>
  <c r="AQ1190" i="8"/>
  <c r="AH1190" i="8" s="1"/>
  <c r="AN1199" i="8"/>
  <c r="AQ1146" i="8"/>
  <c r="AH1146" i="8" s="1"/>
  <c r="AL1182" i="8"/>
  <c r="AE1182" i="8" s="1"/>
  <c r="AR1193" i="8"/>
  <c r="AI1193" i="8" s="1"/>
  <c r="AQ1193" i="8"/>
  <c r="AH1193" i="8" s="1"/>
  <c r="AM1196" i="8"/>
  <c r="AF1196" i="8" s="1"/>
  <c r="AL1196" i="8"/>
  <c r="AE1196" i="8" s="1"/>
  <c r="AL1202" i="8"/>
  <c r="AE1202" i="8" s="1"/>
  <c r="AN1202" i="8"/>
  <c r="T14" i="9"/>
  <c r="W14" i="9" s="1"/>
  <c r="W15" i="9"/>
  <c r="AN1200" i="8"/>
  <c r="W48" i="9"/>
  <c r="W54" i="9"/>
  <c r="W73" i="9"/>
  <c r="W105" i="9"/>
  <c r="T115" i="9"/>
  <c r="W115" i="9" s="1"/>
  <c r="W42" i="9"/>
  <c r="W45" i="9"/>
  <c r="T48" i="9"/>
  <c r="W51" i="9"/>
  <c r="W65" i="9"/>
  <c r="W78" i="9"/>
  <c r="W79" i="9"/>
  <c r="W96" i="9"/>
  <c r="W110" i="9"/>
  <c r="W122" i="9"/>
  <c r="T127" i="9"/>
  <c r="V132" i="9"/>
  <c r="W132" i="9" s="1"/>
  <c r="W165" i="9"/>
  <c r="W85" i="9"/>
  <c r="AL1197" i="8"/>
  <c r="AE1197" i="8" s="1"/>
  <c r="W91" i="9"/>
  <c r="W108" i="9"/>
  <c r="W120" i="9"/>
  <c r="W139" i="9"/>
  <c r="AP1195" i="8"/>
  <c r="AG1195" i="8" s="1"/>
  <c r="Z1195" i="8" s="1"/>
  <c r="AM1197" i="8"/>
  <c r="AF1197" i="8" s="1"/>
  <c r="AL1199" i="8"/>
  <c r="AE1199" i="8" s="1"/>
  <c r="Y1199" i="8" s="1"/>
  <c r="W70" i="9"/>
  <c r="W97" i="9"/>
  <c r="W133" i="9"/>
  <c r="T154" i="9"/>
  <c r="W210" i="9"/>
  <c r="AN1197" i="8"/>
  <c r="AM1199" i="8"/>
  <c r="AF1199" i="8" s="1"/>
  <c r="T56" i="9"/>
  <c r="W71" i="9"/>
  <c r="W88" i="9"/>
  <c r="W102" i="9"/>
  <c r="W103" i="9"/>
  <c r="T119" i="9"/>
  <c r="W119" i="9" s="1"/>
  <c r="W161" i="9"/>
  <c r="T169" i="9"/>
  <c r="V179" i="9"/>
  <c r="W6" i="9"/>
  <c r="W22" i="9"/>
  <c r="W38" i="9"/>
  <c r="W41" i="9"/>
  <c r="W44" i="9"/>
  <c r="W50" i="9"/>
  <c r="W64" i="9"/>
  <c r="W77" i="9"/>
  <c r="W121" i="9"/>
  <c r="U131" i="9"/>
  <c r="W131" i="9" s="1"/>
  <c r="W162" i="9"/>
  <c r="W178" i="9"/>
  <c r="W188" i="9"/>
  <c r="W9" i="9"/>
  <c r="W25" i="9"/>
  <c r="W83" i="9"/>
  <c r="W100" i="9"/>
  <c r="W114" i="9"/>
  <c r="W129" i="9"/>
  <c r="W61" i="9"/>
  <c r="W89" i="9"/>
  <c r="W124" i="9"/>
  <c r="T145" i="9"/>
  <c r="W145" i="9" s="1"/>
  <c r="W265" i="9"/>
  <c r="AQ1199" i="8"/>
  <c r="AH1199" i="8" s="1"/>
  <c r="Z1199" i="8" s="1"/>
  <c r="AN1201" i="8"/>
  <c r="Y1201" i="8" s="1"/>
  <c r="W94" i="9"/>
  <c r="W95" i="9"/>
  <c r="W150" i="9"/>
  <c r="V152" i="9"/>
  <c r="V167" i="9"/>
  <c r="W167" i="9" s="1"/>
  <c r="W206" i="9"/>
  <c r="AP1201" i="8"/>
  <c r="AG1201" i="8" s="1"/>
  <c r="W101" i="9"/>
  <c r="AP1194" i="8"/>
  <c r="AG1194" i="8" s="1"/>
  <c r="AQ1201" i="8"/>
  <c r="AH1201" i="8" s="1"/>
  <c r="W59" i="9"/>
  <c r="W74" i="9"/>
  <c r="W75" i="9"/>
  <c r="W106" i="9"/>
  <c r="W137" i="9"/>
  <c r="W154" i="9"/>
  <c r="V176" i="9"/>
  <c r="W176" i="9" s="1"/>
  <c r="AL1173" i="8"/>
  <c r="AE1173" i="8" s="1"/>
  <c r="Y1173" i="8" s="1"/>
  <c r="AL1177" i="8"/>
  <c r="AE1177" i="8" s="1"/>
  <c r="AL1181" i="8"/>
  <c r="AE1181" i="8" s="1"/>
  <c r="AL1185" i="8"/>
  <c r="AE1185" i="8" s="1"/>
  <c r="AQ1194" i="8"/>
  <c r="AH1194" i="8" s="1"/>
  <c r="AO1196" i="8"/>
  <c r="AN1196" i="8"/>
  <c r="AM1198" i="8"/>
  <c r="AF1198" i="8" s="1"/>
  <c r="Y1198" i="8" s="1"/>
  <c r="W66" i="9"/>
  <c r="W81" i="9"/>
  <c r="W113" i="9"/>
  <c r="W118" i="9"/>
  <c r="W160" i="9"/>
  <c r="AQ1162" i="8"/>
  <c r="AH1162" i="8" s="1"/>
  <c r="AQ1166" i="8"/>
  <c r="AH1166" i="8" s="1"/>
  <c r="Z1166" i="8" s="1"/>
  <c r="AQ1170" i="8"/>
  <c r="AH1170" i="8" s="1"/>
  <c r="Z1170" i="8" s="1"/>
  <c r="AM1173" i="8"/>
  <c r="AF1173" i="8" s="1"/>
  <c r="AQ1174" i="8"/>
  <c r="AH1174" i="8" s="1"/>
  <c r="AM1177" i="8"/>
  <c r="AF1177" i="8" s="1"/>
  <c r="AQ1178" i="8"/>
  <c r="AH1178" i="8" s="1"/>
  <c r="AM1181" i="8"/>
  <c r="AF1181" i="8" s="1"/>
  <c r="AQ1182" i="8"/>
  <c r="AH1182" i="8" s="1"/>
  <c r="AM1185" i="8"/>
  <c r="AF1185" i="8" s="1"/>
  <c r="AP1196" i="8"/>
  <c r="AG1196" i="8" s="1"/>
  <c r="Z1196" i="8" s="1"/>
  <c r="AN1198" i="8"/>
  <c r="W27" i="9"/>
  <c r="W86" i="9"/>
  <c r="W104" i="9"/>
  <c r="W144" i="9"/>
  <c r="W170" i="9"/>
  <c r="W233" i="9"/>
  <c r="AN1185" i="8"/>
  <c r="AL1200" i="8"/>
  <c r="AE1200" i="8" s="1"/>
  <c r="T60" i="9"/>
  <c r="W93" i="9"/>
  <c r="V128" i="9"/>
  <c r="T134" i="9"/>
  <c r="W180" i="9"/>
  <c r="W196" i="9"/>
  <c r="T126" i="9"/>
  <c r="W126" i="9" s="1"/>
  <c r="U157" i="9"/>
  <c r="W157" i="9" s="1"/>
  <c r="U163" i="9"/>
  <c r="W163" i="9" s="1"/>
  <c r="V184" i="9"/>
  <c r="W184" i="9" s="1"/>
  <c r="U191" i="9"/>
  <c r="W191" i="9" s="1"/>
  <c r="W193" i="9"/>
  <c r="T198" i="9"/>
  <c r="U203" i="9"/>
  <c r="W203" i="9" s="1"/>
  <c r="W205" i="9"/>
  <c r="W269" i="9"/>
  <c r="U287" i="9"/>
  <c r="W303" i="9"/>
  <c r="W314" i="9"/>
  <c r="W321" i="9"/>
  <c r="W327" i="9"/>
  <c r="T345" i="9"/>
  <c r="T361" i="9"/>
  <c r="W422" i="9"/>
  <c r="W215" i="9"/>
  <c r="W231" i="9"/>
  <c r="W237" i="9"/>
  <c r="W247" i="9"/>
  <c r="W410" i="9"/>
  <c r="W293" i="9"/>
  <c r="W294" i="9"/>
  <c r="W438" i="9"/>
  <c r="T449" i="9"/>
  <c r="W273" i="9"/>
  <c r="W276" i="9"/>
  <c r="W287" i="9"/>
  <c r="U291" i="9"/>
  <c r="W291" i="9" s="1"/>
  <c r="W307" i="9"/>
  <c r="W380" i="9"/>
  <c r="T174" i="9"/>
  <c r="W267" i="9"/>
  <c r="W318" i="9"/>
  <c r="W325" i="9"/>
  <c r="U153" i="9"/>
  <c r="W153" i="9" s="1"/>
  <c r="U159" i="9"/>
  <c r="T190" i="9"/>
  <c r="W190" i="9" s="1"/>
  <c r="T202" i="9"/>
  <c r="W202" i="9" s="1"/>
  <c r="U207" i="9"/>
  <c r="W207" i="9" s="1"/>
  <c r="W209" i="9"/>
  <c r="W219" i="9"/>
  <c r="W225" i="9"/>
  <c r="W235" i="9"/>
  <c r="W251" i="9"/>
  <c r="W257" i="9"/>
  <c r="T286" i="9"/>
  <c r="W286" i="9" s="1"/>
  <c r="W297" i="9"/>
  <c r="W298" i="9"/>
  <c r="W308" i="9"/>
  <c r="T317" i="9"/>
  <c r="T324" i="9"/>
  <c r="W324" i="9" s="1"/>
  <c r="W452" i="9"/>
  <c r="U171" i="9"/>
  <c r="W171" i="9" s="1"/>
  <c r="U177" i="9"/>
  <c r="W177" i="9" s="1"/>
  <c r="V183" i="9"/>
  <c r="W183" i="9" s="1"/>
  <c r="U195" i="9"/>
  <c r="W195" i="9" s="1"/>
  <c r="W197" i="9"/>
  <c r="W212" i="9"/>
  <c r="U223" i="9"/>
  <c r="W223" i="9" s="1"/>
  <c r="W228" i="9"/>
  <c r="U239" i="9"/>
  <c r="W239" i="9" s="1"/>
  <c r="W244" i="9"/>
  <c r="W250" i="9"/>
  <c r="W260" i="9"/>
  <c r="W278" i="9"/>
  <c r="W280" i="9"/>
  <c r="T146" i="9"/>
  <c r="T218" i="9"/>
  <c r="W218" i="9" s="1"/>
  <c r="T234" i="9"/>
  <c r="W234" i="9" s="1"/>
  <c r="T250" i="9"/>
  <c r="W271" i="9"/>
  <c r="W302" i="9"/>
  <c r="W311" i="9"/>
  <c r="W360" i="9"/>
  <c r="U143" i="9"/>
  <c r="W143" i="9" s="1"/>
  <c r="V156" i="9"/>
  <c r="W156" i="9" s="1"/>
  <c r="T158" i="9"/>
  <c r="V159" i="9"/>
  <c r="U185" i="9"/>
  <c r="W185" i="9" s="1"/>
  <c r="W312" i="9"/>
  <c r="W313" i="9"/>
  <c r="T335" i="9"/>
  <c r="W335" i="9" s="1"/>
  <c r="W386" i="9"/>
  <c r="W430" i="9"/>
  <c r="W229" i="9"/>
  <c r="W245" i="9"/>
  <c r="W281" i="9"/>
  <c r="W282" i="9"/>
  <c r="W284" i="9"/>
  <c r="U299" i="9"/>
  <c r="W299" i="9" s="1"/>
  <c r="W338" i="9"/>
  <c r="W189" i="9"/>
  <c r="U211" i="9"/>
  <c r="W211" i="9" s="1"/>
  <c r="U227" i="9"/>
  <c r="W227" i="9" s="1"/>
  <c r="W402" i="9"/>
  <c r="W415" i="9"/>
  <c r="T194" i="9"/>
  <c r="W194" i="9" s="1"/>
  <c r="W201" i="9"/>
  <c r="T222" i="9"/>
  <c r="W222" i="9" s="1"/>
  <c r="T238" i="9"/>
  <c r="W238" i="9" s="1"/>
  <c r="T254" i="9"/>
  <c r="W305" i="9"/>
  <c r="W330" i="9"/>
  <c r="W331" i="9"/>
  <c r="W342" i="9"/>
  <c r="W394" i="9"/>
  <c r="T401" i="9"/>
  <c r="U135" i="9"/>
  <c r="W135" i="9" s="1"/>
  <c r="T138" i="9"/>
  <c r="W138" i="9" s="1"/>
  <c r="U173" i="9"/>
  <c r="W173" i="9" s="1"/>
  <c r="T274" i="9"/>
  <c r="W274" i="9" s="1"/>
  <c r="W285" i="9"/>
  <c r="W288" i="9"/>
  <c r="W323" i="9"/>
  <c r="W358" i="9"/>
  <c r="T351" i="9"/>
  <c r="W351" i="9" s="1"/>
  <c r="T367" i="9"/>
  <c r="W367" i="9" s="1"/>
  <c r="U392" i="9"/>
  <c r="W392" i="9" s="1"/>
  <c r="U404" i="9"/>
  <c r="W404" i="9" s="1"/>
  <c r="W412" i="9"/>
  <c r="U424" i="9"/>
  <c r="W424" i="9" s="1"/>
  <c r="T443" i="9"/>
  <c r="U463" i="9"/>
  <c r="V469" i="9"/>
  <c r="W469" i="9" s="1"/>
  <c r="U484" i="9"/>
  <c r="U542" i="9"/>
  <c r="W377" i="9"/>
  <c r="W413" i="9"/>
  <c r="W441" i="9"/>
  <c r="W474" i="9"/>
  <c r="W496" i="9"/>
  <c r="W528" i="9"/>
  <c r="V317" i="9"/>
  <c r="U320" i="9"/>
  <c r="W320" i="9" s="1"/>
  <c r="V345" i="9"/>
  <c r="V361" i="9"/>
  <c r="V398" i="9"/>
  <c r="W398" i="9" s="1"/>
  <c r="V401" i="9"/>
  <c r="T403" i="9"/>
  <c r="W403" i="9" s="1"/>
  <c r="W420" i="9"/>
  <c r="T423" i="9"/>
  <c r="W423" i="9" s="1"/>
  <c r="U443" i="9"/>
  <c r="V449" i="9"/>
  <c r="U468" i="9"/>
  <c r="W468" i="9" s="1"/>
  <c r="W488" i="9"/>
  <c r="V497" i="9"/>
  <c r="W497" i="9" s="1"/>
  <c r="W513" i="9"/>
  <c r="V555" i="9"/>
  <c r="W555" i="9" s="1"/>
  <c r="W566" i="9"/>
  <c r="V649" i="9"/>
  <c r="W421" i="9"/>
  <c r="W489" i="9"/>
  <c r="W507" i="9"/>
  <c r="W535" i="9"/>
  <c r="U316" i="9"/>
  <c r="W316" i="9" s="1"/>
  <c r="U344" i="9"/>
  <c r="W344" i="9" s="1"/>
  <c r="U388" i="9"/>
  <c r="W388" i="9" s="1"/>
  <c r="T431" i="9"/>
  <c r="W431" i="9" s="1"/>
  <c r="U451" i="9"/>
  <c r="W451" i="9" s="1"/>
  <c r="V457" i="9"/>
  <c r="U504" i="9"/>
  <c r="W504" i="9" s="1"/>
  <c r="V523" i="9"/>
  <c r="T577" i="9"/>
  <c r="W577" i="9" s="1"/>
  <c r="W589" i="9"/>
  <c r="W628" i="9"/>
  <c r="W373" i="9"/>
  <c r="W408" i="9"/>
  <c r="W429" i="9"/>
  <c r="W481" i="9"/>
  <c r="W486" i="9"/>
  <c r="W357" i="9"/>
  <c r="W385" i="9"/>
  <c r="W409" i="9"/>
  <c r="W465" i="9"/>
  <c r="W472" i="9"/>
  <c r="W591" i="9"/>
  <c r="T359" i="9"/>
  <c r="W359" i="9" s="1"/>
  <c r="W437" i="9"/>
  <c r="W473" i="9"/>
  <c r="W478" i="9"/>
  <c r="W546" i="9"/>
  <c r="W559" i="9"/>
  <c r="W644" i="9"/>
  <c r="U300" i="9"/>
  <c r="W300" i="9" s="1"/>
  <c r="V337" i="9"/>
  <c r="W337" i="9" s="1"/>
  <c r="U372" i="9"/>
  <c r="W372" i="9" s="1"/>
  <c r="U428" i="9"/>
  <c r="W428" i="9" s="1"/>
  <c r="T447" i="9"/>
  <c r="U467" i="9"/>
  <c r="W467" i="9" s="1"/>
  <c r="U480" i="9"/>
  <c r="W480" i="9" s="1"/>
  <c r="V530" i="9"/>
  <c r="W530" i="9" s="1"/>
  <c r="T339" i="9"/>
  <c r="W339" i="9" s="1"/>
  <c r="W445" i="9"/>
  <c r="U595" i="9"/>
  <c r="W595" i="9" s="1"/>
  <c r="W623" i="9"/>
  <c r="V333" i="9"/>
  <c r="W333" i="9" s="1"/>
  <c r="U336" i="9"/>
  <c r="W336" i="9" s="1"/>
  <c r="V353" i="9"/>
  <c r="W353" i="9" s="1"/>
  <c r="V369" i="9"/>
  <c r="T371" i="9"/>
  <c r="W371" i="9" s="1"/>
  <c r="U396" i="9"/>
  <c r="W396" i="9" s="1"/>
  <c r="W417" i="9"/>
  <c r="T455" i="9"/>
  <c r="T355" i="9"/>
  <c r="W355" i="9" s="1"/>
  <c r="V378" i="9"/>
  <c r="W378" i="9" s="1"/>
  <c r="V381" i="9"/>
  <c r="W381" i="9" s="1"/>
  <c r="T383" i="9"/>
  <c r="W383" i="9" s="1"/>
  <c r="T427" i="9"/>
  <c r="U447" i="9"/>
  <c r="V453" i="9"/>
  <c r="W453" i="9" s="1"/>
  <c r="W484" i="9"/>
  <c r="W506" i="9"/>
  <c r="W515" i="9"/>
  <c r="W532" i="9"/>
  <c r="W536" i="9"/>
  <c r="W542" i="9"/>
  <c r="W618" i="9"/>
  <c r="W659" i="9"/>
  <c r="V390" i="9"/>
  <c r="W390" i="9" s="1"/>
  <c r="V393" i="9"/>
  <c r="W393" i="9" s="1"/>
  <c r="T395" i="9"/>
  <c r="W395" i="9" s="1"/>
  <c r="V405" i="9"/>
  <c r="W405" i="9" s="1"/>
  <c r="T407" i="9"/>
  <c r="W407" i="9" s="1"/>
  <c r="U419" i="9"/>
  <c r="W419" i="9" s="1"/>
  <c r="V425" i="9"/>
  <c r="W425" i="9" s="1"/>
  <c r="U444" i="9"/>
  <c r="W444" i="9" s="1"/>
  <c r="T463" i="9"/>
  <c r="V485" i="9"/>
  <c r="W485" i="9" s="1"/>
  <c r="W490" i="9"/>
  <c r="W498" i="9"/>
  <c r="W514" i="9"/>
  <c r="W610" i="9"/>
  <c r="W658" i="9"/>
  <c r="U352" i="9"/>
  <c r="W352" i="9" s="1"/>
  <c r="U368" i="9"/>
  <c r="W368" i="9" s="1"/>
  <c r="U416" i="9"/>
  <c r="W416" i="9" s="1"/>
  <c r="T435" i="9"/>
  <c r="U455" i="9"/>
  <c r="V461" i="9"/>
  <c r="W461" i="9" s="1"/>
  <c r="T471" i="9"/>
  <c r="W471" i="9" s="1"/>
  <c r="U492" i="9"/>
  <c r="W492" i="9" s="1"/>
  <c r="U500" i="9"/>
  <c r="W500" i="9" s="1"/>
  <c r="T507" i="9"/>
  <c r="W521" i="9"/>
  <c r="T535" i="9"/>
  <c r="W562" i="9"/>
  <c r="W583" i="9"/>
  <c r="W531" i="9"/>
  <c r="W656" i="9"/>
  <c r="V560" i="9"/>
  <c r="W560" i="9" s="1"/>
  <c r="U577" i="9"/>
  <c r="V592" i="9"/>
  <c r="W592" i="9" s="1"/>
  <c r="U609" i="9"/>
  <c r="W609" i="9" s="1"/>
  <c r="W617" i="9"/>
  <c r="V636" i="9"/>
  <c r="W636" i="9" s="1"/>
  <c r="W700" i="9"/>
  <c r="W709" i="9"/>
  <c r="U525" i="9"/>
  <c r="W525" i="9" s="1"/>
  <c r="U538" i="9"/>
  <c r="W538" i="9" s="1"/>
  <c r="V548" i="9"/>
  <c r="W548" i="9" s="1"/>
  <c r="U571" i="9"/>
  <c r="W571" i="9" s="1"/>
  <c r="U574" i="9"/>
  <c r="W574" i="9" s="1"/>
  <c r="W611" i="9"/>
  <c r="T655" i="9"/>
  <c r="W580" i="9"/>
  <c r="W612" i="9"/>
  <c r="W702" i="9"/>
  <c r="W527" i="9"/>
  <c r="W686" i="9"/>
  <c r="U550" i="9"/>
  <c r="W550" i="9" s="1"/>
  <c r="U553" i="9"/>
  <c r="W553" i="9" s="1"/>
  <c r="V568" i="9"/>
  <c r="W568" i="9" s="1"/>
  <c r="U585" i="9"/>
  <c r="W585" i="9" s="1"/>
  <c r="V600" i="9"/>
  <c r="W600" i="9" s="1"/>
  <c r="U622" i="9"/>
  <c r="W622" i="9" s="1"/>
  <c r="T637" i="9"/>
  <c r="V653" i="9"/>
  <c r="W670" i="9"/>
  <c r="V672" i="9"/>
  <c r="W672" i="9" s="1"/>
  <c r="U699" i="9"/>
  <c r="W699" i="9" s="1"/>
  <c r="U517" i="9"/>
  <c r="W517" i="9" s="1"/>
  <c r="U534" i="9"/>
  <c r="W534" i="9" s="1"/>
  <c r="U579" i="9"/>
  <c r="W579" i="9" s="1"/>
  <c r="U582" i="9"/>
  <c r="W556" i="9"/>
  <c r="W588" i="9"/>
  <c r="V643" i="9"/>
  <c r="T659" i="9"/>
  <c r="V660" i="9"/>
  <c r="W660" i="9" s="1"/>
  <c r="W679" i="9"/>
  <c r="W688" i="9"/>
  <c r="W725" i="9"/>
  <c r="U543" i="9"/>
  <c r="W543" i="9" s="1"/>
  <c r="U567" i="9"/>
  <c r="W567" i="9" s="1"/>
  <c r="U570" i="9"/>
  <c r="W570" i="9" s="1"/>
  <c r="U599" i="9"/>
  <c r="W599" i="9" s="1"/>
  <c r="U602" i="9"/>
  <c r="W602" i="9" s="1"/>
  <c r="U662" i="9"/>
  <c r="W662" i="9" s="1"/>
  <c r="W678" i="9"/>
  <c r="W690" i="9"/>
  <c r="W576" i="9"/>
  <c r="W608" i="9"/>
  <c r="W619" i="9"/>
  <c r="W632" i="9"/>
  <c r="W657" i="9"/>
  <c r="W661" i="9"/>
  <c r="W773" i="9"/>
  <c r="U533" i="9"/>
  <c r="V564" i="9"/>
  <c r="W564" i="9" s="1"/>
  <c r="U581" i="9"/>
  <c r="W581" i="9" s="1"/>
  <c r="V596" i="9"/>
  <c r="W596" i="9" s="1"/>
  <c r="U613" i="9"/>
  <c r="W613" i="9" s="1"/>
  <c r="U649" i="9"/>
  <c r="W676" i="9"/>
  <c r="T691" i="9"/>
  <c r="W718" i="9"/>
  <c r="V720" i="9"/>
  <c r="U539" i="9"/>
  <c r="W539" i="9" s="1"/>
  <c r="U575" i="9"/>
  <c r="W575" i="9" s="1"/>
  <c r="U578" i="9"/>
  <c r="W578" i="9" s="1"/>
  <c r="W624" i="9"/>
  <c r="T646" i="9"/>
  <c r="W647" i="9"/>
  <c r="W669" i="9"/>
  <c r="U526" i="9"/>
  <c r="W526" i="9" s="1"/>
  <c r="V552" i="9"/>
  <c r="U569" i="9"/>
  <c r="W569" i="9" s="1"/>
  <c r="V584" i="9"/>
  <c r="W584" i="9" s="1"/>
  <c r="U601" i="9"/>
  <c r="W601" i="9" s="1"/>
  <c r="W633" i="9"/>
  <c r="T663" i="9"/>
  <c r="W663" i="9" s="1"/>
  <c r="W668" i="9"/>
  <c r="T751" i="9"/>
  <c r="T768" i="9"/>
  <c r="W768" i="9" s="1"/>
  <c r="T871" i="9"/>
  <c r="U635" i="9"/>
  <c r="W635" i="9" s="1"/>
  <c r="U645" i="9"/>
  <c r="U713" i="9"/>
  <c r="W713" i="9" s="1"/>
  <c r="U719" i="9"/>
  <c r="W719" i="9" s="1"/>
  <c r="T724" i="9"/>
  <c r="T727" i="9"/>
  <c r="U756" i="9"/>
  <c r="W756" i="9" s="1"/>
  <c r="U771" i="9"/>
  <c r="W771" i="9" s="1"/>
  <c r="W781" i="9"/>
  <c r="U795" i="9"/>
  <c r="W795" i="9" s="1"/>
  <c r="V800" i="9"/>
  <c r="W800" i="9" s="1"/>
  <c r="W811" i="9"/>
  <c r="U828" i="9"/>
  <c r="W828" i="9" s="1"/>
  <c r="W833" i="9"/>
  <c r="U835" i="9"/>
  <c r="W835" i="9" s="1"/>
  <c r="W839" i="9"/>
  <c r="U844" i="9"/>
  <c r="W844" i="9" s="1"/>
  <c r="U851" i="9"/>
  <c r="W851" i="9" s="1"/>
  <c r="U860" i="9"/>
  <c r="W860" i="9" s="1"/>
  <c r="U867" i="9"/>
  <c r="W867" i="9" s="1"/>
  <c r="T922" i="9"/>
  <c r="W922" i="9" s="1"/>
  <c r="T712" i="9"/>
  <c r="W765" i="9"/>
  <c r="U631" i="9"/>
  <c r="W631" i="9" s="1"/>
  <c r="U641" i="9"/>
  <c r="W641" i="9" s="1"/>
  <c r="U724" i="9"/>
  <c r="U727" i="9"/>
  <c r="W797" i="9"/>
  <c r="W816" i="9"/>
  <c r="W837" i="9"/>
  <c r="W853" i="9"/>
  <c r="U671" i="9"/>
  <c r="W671" i="9" s="1"/>
  <c r="U681" i="9"/>
  <c r="W681" i="9" s="1"/>
  <c r="U712" i="9"/>
  <c r="T755" i="9"/>
  <c r="T772" i="9"/>
  <c r="W804" i="9"/>
  <c r="W815" i="9"/>
  <c r="U627" i="9"/>
  <c r="W627" i="9" s="1"/>
  <c r="U637" i="9"/>
  <c r="U691" i="9"/>
  <c r="W691" i="9" s="1"/>
  <c r="U709" i="9"/>
  <c r="U715" i="9"/>
  <c r="W715" i="9" s="1"/>
  <c r="T720" i="9"/>
  <c r="U760" i="9"/>
  <c r="W760" i="9" s="1"/>
  <c r="U775" i="9"/>
  <c r="W775" i="9" s="1"/>
  <c r="U787" i="9"/>
  <c r="W787" i="9" s="1"/>
  <c r="V792" i="9"/>
  <c r="W792" i="9" s="1"/>
  <c r="U820" i="9"/>
  <c r="W820" i="9" s="1"/>
  <c r="W732" i="9"/>
  <c r="W740" i="9"/>
  <c r="W748" i="9"/>
  <c r="T752" i="9"/>
  <c r="T767" i="9"/>
  <c r="W780" i="9"/>
  <c r="W832" i="9"/>
  <c r="W848" i="9"/>
  <c r="U667" i="9"/>
  <c r="W667" i="9" s="1"/>
  <c r="U677" i="9"/>
  <c r="W677" i="9" s="1"/>
  <c r="U703" i="9"/>
  <c r="W703" i="9" s="1"/>
  <c r="U755" i="9"/>
  <c r="W755" i="9" s="1"/>
  <c r="U772" i="9"/>
  <c r="U796" i="9"/>
  <c r="W796" i="9" s="1"/>
  <c r="U827" i="9"/>
  <c r="W827" i="9" s="1"/>
  <c r="U836" i="9"/>
  <c r="W836" i="9" s="1"/>
  <c r="U843" i="9"/>
  <c r="U852" i="9"/>
  <c r="W852" i="9" s="1"/>
  <c r="W857" i="9"/>
  <c r="U859" i="9"/>
  <c r="W859" i="9" s="1"/>
  <c r="T728" i="9"/>
  <c r="T731" i="9"/>
  <c r="T736" i="9"/>
  <c r="T739" i="9"/>
  <c r="T744" i="9"/>
  <c r="W801" i="9"/>
  <c r="U643" i="9"/>
  <c r="U653" i="9"/>
  <c r="U717" i="9"/>
  <c r="W717" i="9" s="1"/>
  <c r="U723" i="9"/>
  <c r="U752" i="9"/>
  <c r="U767" i="9"/>
  <c r="W789" i="9"/>
  <c r="U803" i="9"/>
  <c r="W803" i="9" s="1"/>
  <c r="V808" i="9"/>
  <c r="W808" i="9" s="1"/>
  <c r="W819" i="9"/>
  <c r="W877" i="9"/>
  <c r="W879" i="9"/>
  <c r="W886" i="9"/>
  <c r="W1013" i="9"/>
  <c r="W652" i="9"/>
  <c r="T759" i="9"/>
  <c r="T776" i="9"/>
  <c r="W776" i="9" s="1"/>
  <c r="W807" i="9"/>
  <c r="W868" i="9"/>
  <c r="U629" i="9"/>
  <c r="W629" i="9" s="1"/>
  <c r="U683" i="9"/>
  <c r="W683" i="9" s="1"/>
  <c r="U693" i="9"/>
  <c r="W693" i="9" s="1"/>
  <c r="U696" i="9"/>
  <c r="W696" i="9" s="1"/>
  <c r="U705" i="9"/>
  <c r="W705" i="9" s="1"/>
  <c r="U711" i="9"/>
  <c r="W711" i="9" s="1"/>
  <c r="T716" i="9"/>
  <c r="U728" i="9"/>
  <c r="U731" i="9"/>
  <c r="U736" i="9"/>
  <c r="U739" i="9"/>
  <c r="U744" i="9"/>
  <c r="U747" i="9"/>
  <c r="W747" i="9" s="1"/>
  <c r="U764" i="9"/>
  <c r="W764" i="9" s="1"/>
  <c r="U779" i="9"/>
  <c r="W779" i="9" s="1"/>
  <c r="V784" i="9"/>
  <c r="W784" i="9" s="1"/>
  <c r="U812" i="9"/>
  <c r="W812" i="9" s="1"/>
  <c r="W829" i="9"/>
  <c r="U831" i="9"/>
  <c r="W831" i="9" s="1"/>
  <c r="U840" i="9"/>
  <c r="U847" i="9"/>
  <c r="W847" i="9" s="1"/>
  <c r="U856" i="9"/>
  <c r="W856" i="9" s="1"/>
  <c r="W861" i="9"/>
  <c r="U863" i="9"/>
  <c r="W863" i="9" s="1"/>
  <c r="W889" i="9"/>
  <c r="V942" i="9"/>
  <c r="V954" i="9"/>
  <c r="W954" i="9" s="1"/>
  <c r="U956" i="9"/>
  <c r="W956" i="9" s="1"/>
  <c r="V999" i="9"/>
  <c r="W999" i="9" s="1"/>
  <c r="U1020" i="9"/>
  <c r="W1020" i="9" s="1"/>
  <c r="W1036" i="9"/>
  <c r="V1063" i="9"/>
  <c r="W1063" i="9" s="1"/>
  <c r="U1084" i="9"/>
  <c r="W1084" i="9" s="1"/>
  <c r="W1094" i="9"/>
  <c r="W895" i="9"/>
  <c r="W910" i="9"/>
  <c r="U892" i="9"/>
  <c r="W892" i="9" s="1"/>
  <c r="U919" i="9"/>
  <c r="U924" i="9"/>
  <c r="W924" i="9" s="1"/>
  <c r="V951" i="9"/>
  <c r="W951" i="9" s="1"/>
  <c r="V975" i="9"/>
  <c r="W975" i="9" s="1"/>
  <c r="W1039" i="9"/>
  <c r="W994" i="9"/>
  <c r="U870" i="9"/>
  <c r="W870" i="9" s="1"/>
  <c r="V887" i="9"/>
  <c r="U904" i="9"/>
  <c r="W904" i="9" s="1"/>
  <c r="U931" i="9"/>
  <c r="U948" i="9"/>
  <c r="U972" i="9"/>
  <c r="W972" i="9" s="1"/>
  <c r="W982" i="9"/>
  <c r="W988" i="9"/>
  <c r="W1015" i="9"/>
  <c r="U1036" i="9"/>
  <c r="W1046" i="9"/>
  <c r="W1110" i="9"/>
  <c r="V919" i="9"/>
  <c r="V934" i="9"/>
  <c r="W934" i="9" s="1"/>
  <c r="V946" i="9"/>
  <c r="U960" i="9"/>
  <c r="W960" i="9" s="1"/>
  <c r="W970" i="9"/>
  <c r="V1003" i="9"/>
  <c r="W1003" i="9" s="1"/>
  <c r="U1024" i="9"/>
  <c r="W1024" i="9" s="1"/>
  <c r="W1034" i="9"/>
  <c r="V1067" i="9"/>
  <c r="W1067" i="9" s="1"/>
  <c r="U1088" i="9"/>
  <c r="W1098" i="9"/>
  <c r="V1119" i="9"/>
  <c r="W1126" i="9"/>
  <c r="V1135" i="9"/>
  <c r="W1135" i="9" s="1"/>
  <c r="W1142" i="9"/>
  <c r="V1151" i="9"/>
  <c r="W1151" i="9" s="1"/>
  <c r="W1158" i="9"/>
  <c r="V1167" i="9"/>
  <c r="W1167" i="9" s="1"/>
  <c r="W1174" i="9"/>
  <c r="V1183" i="9"/>
  <c r="W1183" i="9" s="1"/>
  <c r="V1199" i="9"/>
  <c r="W1199" i="9" s="1"/>
  <c r="W1206" i="9"/>
  <c r="W958" i="9"/>
  <c r="W991" i="9"/>
  <c r="W1022" i="9"/>
  <c r="W1028" i="9"/>
  <c r="W1055" i="9"/>
  <c r="W1086" i="9"/>
  <c r="W1092" i="9"/>
  <c r="T875" i="9"/>
  <c r="W875" i="9" s="1"/>
  <c r="T883" i="9"/>
  <c r="V899" i="9"/>
  <c r="W899" i="9" s="1"/>
  <c r="V914" i="9"/>
  <c r="W914" i="9" s="1"/>
  <c r="V931" i="9"/>
  <c r="V979" i="9"/>
  <c r="W979" i="9" s="1"/>
  <c r="U1000" i="9"/>
  <c r="W1000" i="9" s="1"/>
  <c r="W1016" i="9"/>
  <c r="V1043" i="9"/>
  <c r="W1043" i="9" s="1"/>
  <c r="U1064" i="9"/>
  <c r="W1064" i="9" s="1"/>
  <c r="W1074" i="9"/>
  <c r="W1080" i="9"/>
  <c r="V1107" i="9"/>
  <c r="W1107" i="9" s="1"/>
  <c r="U1116" i="9"/>
  <c r="W1116" i="9" s="1"/>
  <c r="U1132" i="9"/>
  <c r="W1132" i="9" s="1"/>
  <c r="U1148" i="9"/>
  <c r="W1148" i="9" s="1"/>
  <c r="W1152" i="9"/>
  <c r="W1168" i="9"/>
  <c r="W1184" i="9"/>
  <c r="W943" i="9"/>
  <c r="W955" i="9"/>
  <c r="W967" i="9"/>
  <c r="W998" i="9"/>
  <c r="V1031" i="9"/>
  <c r="U1052" i="9"/>
  <c r="W1052" i="9" s="1"/>
  <c r="W1062" i="9"/>
  <c r="V1095" i="9"/>
  <c r="W1095" i="9" s="1"/>
  <c r="W894" i="9"/>
  <c r="W911" i="9"/>
  <c r="W926" i="9"/>
  <c r="U976" i="9"/>
  <c r="W976" i="9" s="1"/>
  <c r="W986" i="9"/>
  <c r="V1019" i="9"/>
  <c r="W1019" i="9" s="1"/>
  <c r="U1040" i="9"/>
  <c r="W1040" i="9" s="1"/>
  <c r="V1083" i="9"/>
  <c r="W1083" i="9" s="1"/>
  <c r="U1104" i="9"/>
  <c r="W1104" i="9" s="1"/>
  <c r="W1114" i="9"/>
  <c r="V1123" i="9"/>
  <c r="W1123" i="9" s="1"/>
  <c r="W1130" i="9"/>
  <c r="V1139" i="9"/>
  <c r="W1139" i="9" s="1"/>
  <c r="W1146" i="9"/>
  <c r="V1155" i="9"/>
  <c r="W1155" i="9" s="1"/>
  <c r="W1162" i="9"/>
  <c r="V1171" i="9"/>
  <c r="W1171" i="9" s="1"/>
  <c r="W1178" i="9"/>
  <c r="V1187" i="9"/>
  <c r="W1187" i="9" s="1"/>
  <c r="W1194" i="9"/>
  <c r="V1203" i="9"/>
  <c r="W1203" i="9" s="1"/>
  <c r="U935" i="9"/>
  <c r="W935" i="9" s="1"/>
  <c r="V950" i="9"/>
  <c r="U952" i="9"/>
  <c r="W952" i="9" s="1"/>
  <c r="U964" i="9"/>
  <c r="W964" i="9" s="1"/>
  <c r="W974" i="9"/>
  <c r="V1007" i="9"/>
  <c r="W1007" i="9" s="1"/>
  <c r="U1028" i="9"/>
  <c r="W1038" i="9"/>
  <c r="V1071" i="9"/>
  <c r="W1071" i="9" s="1"/>
  <c r="W1102" i="9"/>
  <c r="W906" i="9"/>
  <c r="W923" i="9"/>
  <c r="W938" i="9"/>
  <c r="W962" i="9"/>
  <c r="W968" i="9"/>
  <c r="W1032" i="9"/>
  <c r="W1096" i="9"/>
  <c r="U1120" i="9"/>
  <c r="W1120" i="9" s="1"/>
  <c r="W1124" i="9"/>
  <c r="U1136" i="9"/>
  <c r="W1136" i="9" s="1"/>
  <c r="W1140" i="9"/>
  <c r="W1156" i="9"/>
  <c r="W1172" i="9"/>
  <c r="W1188" i="9"/>
  <c r="W1204" i="9"/>
  <c r="U915" i="9"/>
  <c r="W915" i="9" s="1"/>
  <c r="V983" i="9"/>
  <c r="U1004" i="9"/>
  <c r="W1004" i="9" s="1"/>
  <c r="W1014" i="9"/>
  <c r="V1047" i="9"/>
  <c r="W1078" i="9"/>
  <c r="W1111" i="9"/>
  <c r="W882" i="9"/>
  <c r="W903" i="9"/>
  <c r="W918" i="9"/>
  <c r="V947" i="9"/>
  <c r="W947" i="9" s="1"/>
  <c r="V971" i="9"/>
  <c r="W971" i="9" s="1"/>
  <c r="U992" i="9"/>
  <c r="W992" i="9" s="1"/>
  <c r="W1002" i="9"/>
  <c r="V1035" i="9"/>
  <c r="W1035" i="9" s="1"/>
  <c r="U1056" i="9"/>
  <c r="W1056" i="9" s="1"/>
  <c r="W1066" i="9"/>
  <c r="W1072" i="9"/>
  <c r="V1099" i="9"/>
  <c r="W1099" i="9" s="1"/>
  <c r="W1118" i="9"/>
  <c r="V1127" i="9"/>
  <c r="W1127" i="9" s="1"/>
  <c r="W1134" i="9"/>
  <c r="V1143" i="9"/>
  <c r="W1143" i="9" s="1"/>
  <c r="W1150" i="9"/>
  <c r="V1159" i="9"/>
  <c r="W1159" i="9" s="1"/>
  <c r="W1166" i="9"/>
  <c r="V1175" i="9"/>
  <c r="W1175" i="9" s="1"/>
  <c r="V1191" i="9"/>
  <c r="W1191" i="9" s="1"/>
  <c r="W1198" i="9"/>
  <c r="U900" i="9"/>
  <c r="W900" i="9" s="1"/>
  <c r="U927" i="9"/>
  <c r="W927" i="9" s="1"/>
  <c r="U932" i="9"/>
  <c r="W932" i="9" s="1"/>
  <c r="V959" i="9"/>
  <c r="W959" i="9" s="1"/>
  <c r="U980" i="9"/>
  <c r="W980" i="9" s="1"/>
  <c r="W990" i="9"/>
  <c r="W996" i="9"/>
  <c r="V1023" i="9"/>
  <c r="W1023" i="9" s="1"/>
  <c r="U1044" i="9"/>
  <c r="W1044" i="9" s="1"/>
  <c r="W1054" i="9"/>
  <c r="V1087" i="9"/>
  <c r="W1087" i="9" s="1"/>
  <c r="U1108" i="9"/>
  <c r="W1108" i="9" s="1"/>
  <c r="W152" i="9" l="1"/>
  <c r="Z200" i="8"/>
  <c r="W1031" i="9"/>
  <c r="Z1091" i="8"/>
  <c r="Z950" i="8"/>
  <c r="Z674" i="8"/>
  <c r="Z534" i="8"/>
  <c r="Z338" i="8"/>
  <c r="Z265" i="8"/>
  <c r="Z1179" i="8"/>
  <c r="Z85" i="8"/>
  <c r="Z268" i="8"/>
  <c r="W523" i="9"/>
  <c r="W169" i="9"/>
  <c r="Z764" i="8"/>
  <c r="Z334" i="8"/>
  <c r="W818" i="9"/>
  <c r="W1200" i="9"/>
  <c r="W948" i="9"/>
  <c r="W463" i="9"/>
  <c r="W427" i="9"/>
  <c r="Z873" i="8"/>
  <c r="Z860" i="8"/>
  <c r="Z818" i="8"/>
  <c r="Z106" i="8"/>
  <c r="W710" i="9"/>
  <c r="W174" i="9"/>
  <c r="W946" i="9"/>
  <c r="W950" i="9"/>
  <c r="W552" i="9"/>
  <c r="W435" i="9"/>
  <c r="Z409" i="8"/>
  <c r="Z389" i="8"/>
  <c r="Z19" i="8"/>
  <c r="Z45" i="8"/>
  <c r="Z1057" i="8"/>
  <c r="Z955" i="8"/>
  <c r="Z266" i="8"/>
  <c r="W883" i="9"/>
  <c r="W134" i="9"/>
  <c r="Z1033" i="8"/>
  <c r="Z811" i="8"/>
  <c r="Z535" i="8"/>
  <c r="Z422" i="8"/>
  <c r="Z437" i="8"/>
  <c r="Z301" i="8"/>
  <c r="Z312" i="8"/>
  <c r="Z431" i="8"/>
  <c r="Z161" i="8"/>
  <c r="Z220" i="8"/>
  <c r="Z176" i="8"/>
  <c r="Z69" i="8"/>
  <c r="W370" i="9"/>
  <c r="W155" i="9"/>
  <c r="W1047" i="9"/>
  <c r="W942" i="9"/>
  <c r="W128" i="9"/>
  <c r="Z1134" i="8"/>
  <c r="Z1094" i="8"/>
  <c r="Z1089" i="8"/>
  <c r="Z1044" i="8"/>
  <c r="Z949" i="8"/>
  <c r="Z516" i="8"/>
  <c r="Z497" i="8"/>
  <c r="Z461" i="8"/>
  <c r="Z87" i="8"/>
  <c r="W701" i="9"/>
  <c r="W930" i="9"/>
  <c r="W304" i="9"/>
  <c r="W146" i="9"/>
  <c r="W56" i="9"/>
  <c r="Z392" i="8"/>
  <c r="Z367" i="8"/>
  <c r="W60" i="9"/>
  <c r="Z948" i="8"/>
  <c r="Z744" i="8"/>
  <c r="Z647" i="8"/>
  <c r="Z473" i="8"/>
  <c r="Z456" i="8"/>
  <c r="Z359" i="8"/>
  <c r="Z349" i="8"/>
  <c r="W456" i="9"/>
  <c r="Z1174" i="8"/>
  <c r="Z700" i="8"/>
  <c r="Z539" i="8"/>
  <c r="Z555" i="8"/>
  <c r="Z404" i="8"/>
  <c r="Z413" i="8"/>
  <c r="Z344" i="8"/>
  <c r="Z76" i="8"/>
  <c r="W537" i="9"/>
  <c r="W1061" i="9"/>
  <c r="W793" i="9"/>
  <c r="Z726" i="8"/>
  <c r="Z163" i="8"/>
  <c r="W697" i="9"/>
  <c r="W645" i="9"/>
  <c r="W1119" i="9"/>
  <c r="W759" i="9"/>
  <c r="W254" i="9"/>
  <c r="Z1123" i="8"/>
  <c r="Z980" i="8"/>
  <c r="Z984" i="8"/>
  <c r="Z1001" i="8"/>
  <c r="Z870" i="8"/>
  <c r="Z734" i="8"/>
  <c r="Z772" i="8"/>
  <c r="Z561" i="8"/>
  <c r="Z481" i="8"/>
  <c r="Z451" i="8"/>
  <c r="W277" i="9"/>
  <c r="Z1137" i="8"/>
  <c r="Z239" i="8"/>
  <c r="W158" i="9"/>
  <c r="Z925" i="8"/>
  <c r="W723" i="9"/>
  <c r="W1182" i="9"/>
  <c r="W727" i="9"/>
  <c r="Z804" i="8"/>
  <c r="Z651" i="8"/>
  <c r="Z366" i="8"/>
  <c r="Z134" i="8"/>
  <c r="W739" i="9"/>
  <c r="W736" i="9"/>
  <c r="W731" i="9"/>
  <c r="Z1142" i="8"/>
  <c r="Z868" i="8"/>
  <c r="Z844" i="8"/>
  <c r="Z724" i="8"/>
  <c r="Z740" i="8"/>
  <c r="Z676" i="8"/>
  <c r="Z287" i="8"/>
  <c r="Z305" i="8"/>
  <c r="Z311" i="8"/>
  <c r="Z160" i="8"/>
  <c r="Z98" i="8"/>
  <c r="W179" i="9"/>
  <c r="Z966" i="8"/>
  <c r="Z485" i="8"/>
  <c r="Z258" i="8"/>
  <c r="Z110" i="8"/>
  <c r="W874" i="9"/>
  <c r="W283" i="9"/>
  <c r="Z1116" i="8"/>
  <c r="Z750" i="8"/>
  <c r="Z618" i="8"/>
  <c r="Z582" i="8"/>
  <c r="Z339" i="8"/>
  <c r="Z120" i="8"/>
  <c r="Z177" i="8"/>
  <c r="W243" i="9"/>
  <c r="W80" i="9"/>
  <c r="Z996" i="8"/>
  <c r="Z972" i="8"/>
  <c r="Z191" i="8"/>
  <c r="Z82" i="8"/>
  <c r="W1163" i="9"/>
  <c r="W1165" i="9"/>
  <c r="W761" i="9"/>
  <c r="W68" i="9"/>
  <c r="Z989" i="8"/>
  <c r="Z1087" i="8"/>
  <c r="Z1008" i="8"/>
  <c r="Z730" i="8"/>
  <c r="Z779" i="8"/>
  <c r="Z684" i="8"/>
  <c r="Z812" i="8"/>
  <c r="W603" i="9"/>
  <c r="W919" i="9"/>
  <c r="Z1029" i="8"/>
  <c r="W198" i="9"/>
  <c r="Z1045" i="8"/>
  <c r="Z1081" i="8"/>
  <c r="Z1036" i="8"/>
  <c r="Z1070" i="8"/>
  <c r="Z704" i="8"/>
  <c r="Z758" i="8"/>
  <c r="Z838" i="8"/>
  <c r="Z622" i="8"/>
  <c r="Z633" i="8"/>
  <c r="Z592" i="8"/>
  <c r="Z511" i="8"/>
  <c r="Z329" i="8"/>
  <c r="Z251" i="8"/>
  <c r="Z436" i="8"/>
  <c r="Z262" i="8"/>
  <c r="Z166" i="8"/>
  <c r="Z179" i="8"/>
  <c r="Z52" i="8"/>
  <c r="Y927" i="8"/>
  <c r="W637" i="9"/>
  <c r="Y1037" i="8"/>
  <c r="Y943" i="8"/>
  <c r="Y857" i="8"/>
  <c r="Y651" i="8"/>
  <c r="Y628" i="8"/>
  <c r="Y570" i="8"/>
  <c r="Y509" i="8"/>
  <c r="Y516" i="8"/>
  <c r="Y404" i="8"/>
  <c r="Y344" i="8"/>
  <c r="Y376" i="8"/>
  <c r="Y283" i="8"/>
  <c r="Y128" i="8"/>
  <c r="Y132" i="8"/>
  <c r="Y20" i="8"/>
  <c r="Y891" i="8"/>
  <c r="Y732" i="8"/>
  <c r="Y446" i="8"/>
  <c r="W843" i="9"/>
  <c r="Y1177" i="8"/>
  <c r="Y1149" i="8"/>
  <c r="Y1064" i="8"/>
  <c r="Y1021" i="8"/>
  <c r="Y999" i="8"/>
  <c r="Y1045" i="8"/>
  <c r="Y989" i="8"/>
  <c r="Y861" i="8"/>
  <c r="Y849" i="8"/>
  <c r="Y738" i="8"/>
  <c r="Y700" i="8"/>
  <c r="Y576" i="8"/>
  <c r="Y607" i="8"/>
  <c r="Y596" i="8"/>
  <c r="Y560" i="8"/>
  <c r="Y590" i="8"/>
  <c r="Y665" i="8"/>
  <c r="Y481" i="8"/>
  <c r="Y434" i="8"/>
  <c r="Y435" i="8"/>
  <c r="Y330" i="8"/>
  <c r="Y54" i="8"/>
  <c r="Y106" i="8"/>
  <c r="Y12" i="8"/>
  <c r="AA6" i="8"/>
  <c r="W1045" i="9"/>
  <c r="W615" i="9"/>
  <c r="Y1151" i="8"/>
  <c r="Y1160" i="8"/>
  <c r="Y882" i="8"/>
  <c r="Y767" i="8"/>
  <c r="Y720" i="8"/>
  <c r="Y663" i="8"/>
  <c r="Y605" i="8"/>
  <c r="Y572" i="8"/>
  <c r="Y566" i="8"/>
  <c r="Y536" i="8"/>
  <c r="Y441" i="8"/>
  <c r="Y460" i="8"/>
  <c r="Y383" i="8"/>
  <c r="Y422" i="8"/>
  <c r="Y265" i="8"/>
  <c r="Y241" i="8"/>
  <c r="Y237" i="8"/>
  <c r="Y261" i="8"/>
  <c r="Y45" i="8"/>
  <c r="Y100" i="8"/>
  <c r="Y11" i="8"/>
  <c r="Y1013" i="8"/>
  <c r="W582" i="9"/>
  <c r="W457" i="9"/>
  <c r="Y761" i="8"/>
  <c r="Y712" i="8"/>
  <c r="Y477" i="8"/>
  <c r="Y524" i="8"/>
  <c r="Y334" i="8"/>
  <c r="Y282" i="8"/>
  <c r="Y51" i="8"/>
  <c r="Y451" i="8"/>
  <c r="Y881" i="8"/>
  <c r="W983" i="9"/>
  <c r="Y1182" i="8"/>
  <c r="W533" i="9"/>
  <c r="Y1157" i="8"/>
  <c r="Y972" i="8"/>
  <c r="Y977" i="8"/>
  <c r="Y929" i="8"/>
  <c r="Y763" i="8"/>
  <c r="Y899" i="8"/>
  <c r="Y708" i="8"/>
  <c r="Y794" i="8"/>
  <c r="Y671" i="8"/>
  <c r="Y733" i="8"/>
  <c r="Y626" i="8"/>
  <c r="Y563" i="8"/>
  <c r="Y557" i="8"/>
  <c r="Y522" i="8"/>
  <c r="Y550" i="8"/>
  <c r="Y212" i="8"/>
  <c r="Y82" i="8"/>
  <c r="Y110" i="8"/>
  <c r="Y449" i="8"/>
  <c r="Y461" i="8"/>
  <c r="Y907" i="8"/>
  <c r="W897" i="9"/>
  <c r="W724" i="9"/>
  <c r="Y1052" i="8"/>
  <c r="W744" i="9"/>
  <c r="Y657" i="8"/>
  <c r="Y579" i="8"/>
  <c r="Y421" i="8"/>
  <c r="Y456" i="8"/>
  <c r="Y398" i="8"/>
  <c r="Y289" i="8"/>
  <c r="Y262" i="8"/>
  <c r="Y56" i="8"/>
  <c r="Y89" i="8"/>
  <c r="AA78" i="8"/>
  <c r="AA40" i="8"/>
  <c r="AA55" i="8"/>
  <c r="W549" i="9"/>
  <c r="Y1104" i="8"/>
  <c r="W871" i="9"/>
  <c r="W1088" i="9"/>
  <c r="Y1162" i="8"/>
  <c r="Y1155" i="8"/>
  <c r="Y1000" i="8"/>
  <c r="Y822" i="8"/>
  <c r="Y623" i="8"/>
  <c r="Y573" i="8"/>
  <c r="Y646" i="8"/>
  <c r="Y548" i="8"/>
  <c r="Y308" i="8"/>
  <c r="Y349" i="8"/>
  <c r="Y207" i="8"/>
  <c r="Y183" i="8"/>
  <c r="Y75" i="8"/>
  <c r="Y9" i="8"/>
  <c r="W687" i="9"/>
  <c r="W1025" i="9"/>
  <c r="W369" i="9"/>
  <c r="Y1089" i="8"/>
  <c r="Y1133" i="8"/>
  <c r="Y1011" i="8"/>
  <c r="Y968" i="8"/>
  <c r="Y909" i="8"/>
  <c r="Y902" i="8"/>
  <c r="W772" i="9"/>
  <c r="Y1161" i="8"/>
  <c r="Y1125" i="8"/>
  <c r="Y1063" i="8"/>
  <c r="Y971" i="8"/>
  <c r="Y998" i="8"/>
  <c r="Y973" i="8"/>
  <c r="Y942" i="8"/>
  <c r="Y947" i="8"/>
  <c r="Y846" i="8"/>
  <c r="Y835" i="8"/>
  <c r="Y776" i="8"/>
  <c r="Y703" i="8"/>
  <c r="Y652" i="8"/>
  <c r="Y544" i="8"/>
  <c r="Y547" i="8"/>
  <c r="Y580" i="8"/>
  <c r="Y511" i="8"/>
  <c r="Y540" i="8"/>
  <c r="Y453" i="8"/>
  <c r="Y329" i="8"/>
  <c r="Y275" i="8"/>
  <c r="Y253" i="8"/>
  <c r="Y333" i="8"/>
  <c r="Y231" i="8"/>
  <c r="Y208" i="8"/>
  <c r="Y102" i="8"/>
  <c r="Y6" i="8"/>
  <c r="Y30" i="8"/>
  <c r="Y967" i="8"/>
  <c r="Y788" i="8"/>
  <c r="Y1087" i="8"/>
  <c r="W728" i="9"/>
  <c r="Y1015" i="8"/>
  <c r="Y969" i="8"/>
  <c r="Y946" i="8"/>
  <c r="Y931" i="8"/>
  <c r="Y726" i="8"/>
  <c r="Y638" i="8"/>
  <c r="Y499" i="8"/>
  <c r="Y423" i="8"/>
  <c r="Y378" i="8"/>
  <c r="Y28" i="8"/>
  <c r="AA72" i="8"/>
  <c r="W854" i="9"/>
  <c r="W400" i="9"/>
  <c r="W790" i="9"/>
  <c r="W963" i="9"/>
  <c r="Y710" i="8"/>
  <c r="Y284" i="8"/>
  <c r="W655" i="9"/>
  <c r="W887" i="9"/>
  <c r="W716" i="9"/>
  <c r="Y1065" i="8"/>
  <c r="Y994" i="8"/>
  <c r="Y1019" i="8"/>
  <c r="Y837" i="8"/>
  <c r="Y833" i="8"/>
  <c r="Y754" i="8"/>
  <c r="Y633" i="8"/>
  <c r="Y725" i="8"/>
  <c r="Y403" i="8"/>
  <c r="Y236" i="8"/>
  <c r="Y228" i="8"/>
  <c r="Y167" i="8"/>
  <c r="Y74" i="8"/>
  <c r="Y7" i="8"/>
  <c r="Y25" i="8"/>
  <c r="Y1091" i="8"/>
  <c r="Y1178" i="8"/>
  <c r="Y787" i="8"/>
  <c r="Y629" i="8"/>
  <c r="Y512" i="8"/>
  <c r="Y419" i="8"/>
  <c r="Y229" i="8"/>
  <c r="Y178" i="8"/>
  <c r="Y164" i="8"/>
  <c r="Y101" i="8"/>
  <c r="Y84" i="8"/>
  <c r="W1177" i="9"/>
  <c r="W840" i="9"/>
  <c r="W361" i="9"/>
  <c r="Y1084" i="8"/>
  <c r="Y990" i="8"/>
  <c r="Y951" i="8"/>
  <c r="Y757" i="8"/>
  <c r="Y730" i="8"/>
  <c r="Y753" i="8"/>
  <c r="Y692" i="8"/>
  <c r="Y606" i="8"/>
  <c r="Y485" i="8"/>
  <c r="Y187" i="8"/>
  <c r="Y96" i="8"/>
  <c r="Y136" i="8"/>
  <c r="Y140" i="8"/>
  <c r="Y77" i="8"/>
  <c r="Y150" i="8"/>
  <c r="Y131" i="8"/>
  <c r="Y5" i="8"/>
  <c r="W1157" i="9"/>
  <c r="W605" i="9"/>
  <c r="Z993" i="8"/>
  <c r="Z752" i="8"/>
  <c r="Z686" i="8"/>
  <c r="Z714" i="8"/>
  <c r="Z549" i="8"/>
  <c r="Z483" i="8"/>
  <c r="Z439" i="8"/>
  <c r="Z326" i="8"/>
  <c r="Z361" i="8"/>
  <c r="Z119" i="8"/>
  <c r="Z840" i="8"/>
  <c r="Z296" i="8"/>
  <c r="Z90" i="8"/>
  <c r="Z1180" i="8"/>
  <c r="Z934" i="8"/>
  <c r="Z956" i="8"/>
  <c r="Z946" i="8"/>
  <c r="Z883" i="8"/>
  <c r="Z832" i="8"/>
  <c r="Z769" i="8"/>
  <c r="Z682" i="8"/>
  <c r="Z634" i="8"/>
  <c r="Z408" i="8"/>
  <c r="Z385" i="8"/>
  <c r="Z393" i="8"/>
  <c r="Z402" i="8"/>
  <c r="Z293" i="8"/>
  <c r="Z247" i="8"/>
  <c r="Z246" i="8"/>
  <c r="Z230" i="8"/>
  <c r="Z1024" i="8"/>
  <c r="Z942" i="8"/>
  <c r="Z815" i="8"/>
  <c r="Z646" i="8"/>
  <c r="Z521" i="8"/>
  <c r="Z505" i="8"/>
  <c r="Z321" i="8"/>
  <c r="Z345" i="8"/>
  <c r="Z35" i="8"/>
  <c r="Z137" i="8"/>
  <c r="W712" i="9"/>
  <c r="Z1162" i="8"/>
  <c r="Z1193" i="8"/>
  <c r="Z1105" i="8"/>
  <c r="Z1039" i="8"/>
  <c r="Z1031" i="8"/>
  <c r="Z1006" i="8"/>
  <c r="Z1025" i="8"/>
  <c r="Z952" i="8"/>
  <c r="Z898" i="8"/>
  <c r="Z850" i="8"/>
  <c r="Z766" i="8"/>
  <c r="Z607" i="8"/>
  <c r="Z517" i="8"/>
  <c r="Z514" i="8"/>
  <c r="Z453" i="8"/>
  <c r="Z457" i="8"/>
  <c r="Z273" i="8"/>
  <c r="Z253" i="8"/>
  <c r="Z340" i="8"/>
  <c r="Z261" i="8"/>
  <c r="Z314" i="8"/>
  <c r="Z379" i="8"/>
  <c r="Z189" i="8"/>
  <c r="Z197" i="8"/>
  <c r="Z63" i="8"/>
  <c r="Z1151" i="8"/>
  <c r="Z1175" i="8"/>
  <c r="Z1012" i="8"/>
  <c r="Z995" i="8"/>
  <c r="Z940" i="8"/>
  <c r="Z924" i="8"/>
  <c r="Z778" i="8"/>
  <c r="Z637" i="8"/>
  <c r="Z565" i="8"/>
  <c r="Z400" i="8"/>
  <c r="Z274" i="8"/>
  <c r="Z259" i="8"/>
  <c r="Z104" i="8"/>
  <c r="Z1178" i="8"/>
  <c r="Z1172" i="8"/>
  <c r="Z1126" i="8"/>
  <c r="Z1099" i="8"/>
  <c r="Z911" i="8"/>
  <c r="Z904" i="8"/>
  <c r="Z816" i="8"/>
  <c r="Z568" i="8"/>
  <c r="Z532" i="8"/>
  <c r="Z364" i="8"/>
  <c r="Z470" i="8"/>
  <c r="Z397" i="8"/>
  <c r="Z34" i="8"/>
  <c r="Z140" i="8"/>
  <c r="Z55" i="8"/>
  <c r="Z1058" i="8"/>
  <c r="Z770" i="8"/>
  <c r="Z748" i="8"/>
  <c r="Z267" i="8"/>
  <c r="Z897" i="8"/>
  <c r="Z244" i="8"/>
  <c r="Z196" i="8"/>
  <c r="Z241" i="8"/>
  <c r="Z113" i="8"/>
  <c r="Z28" i="8"/>
  <c r="Z1161" i="8"/>
  <c r="Z1131" i="8"/>
  <c r="Z988" i="8"/>
  <c r="Z895" i="8"/>
  <c r="Z788" i="8"/>
  <c r="Z746" i="8"/>
  <c r="Z526" i="8"/>
  <c r="Z445" i="8"/>
  <c r="Z452" i="8"/>
  <c r="Z337" i="8"/>
  <c r="Z290" i="8"/>
  <c r="Z297" i="8"/>
  <c r="Z33" i="8"/>
  <c r="W931" i="9"/>
  <c r="W767" i="9"/>
  <c r="Z1071" i="8"/>
  <c r="Z1051" i="8"/>
  <c r="Z974" i="8"/>
  <c r="Z736" i="8"/>
  <c r="Z722" i="8"/>
  <c r="Z702" i="8"/>
  <c r="Z645" i="8"/>
  <c r="Z388" i="8"/>
  <c r="Z426" i="8"/>
  <c r="Z315" i="8"/>
  <c r="W752" i="9"/>
  <c r="Z848" i="8"/>
  <c r="Z827" i="8"/>
  <c r="Z706" i="8"/>
  <c r="Z710" i="8"/>
  <c r="Z694" i="8"/>
  <c r="Z518" i="8"/>
  <c r="Z530" i="8"/>
  <c r="Z551" i="8"/>
  <c r="Z384" i="8"/>
  <c r="Z346" i="8"/>
  <c r="Z414" i="8"/>
  <c r="Z181" i="8"/>
  <c r="Z341" i="8"/>
  <c r="Z172" i="8"/>
  <c r="Z171" i="8"/>
  <c r="Z249" i="8"/>
  <c r="Z30" i="8"/>
  <c r="Z1182" i="8"/>
  <c r="Z1127" i="8"/>
  <c r="Z1052" i="8"/>
  <c r="Z836" i="8"/>
  <c r="Z795" i="8"/>
  <c r="Z762" i="8"/>
  <c r="Z660" i="8"/>
  <c r="Z627" i="8"/>
  <c r="Z546" i="8"/>
  <c r="Z540" i="8"/>
  <c r="Z424" i="8"/>
  <c r="Z233" i="8"/>
  <c r="Z226" i="8"/>
  <c r="Z146" i="8"/>
  <c r="Z97" i="8"/>
  <c r="Z209" i="8"/>
  <c r="Z78" i="8"/>
  <c r="Z213" i="8"/>
  <c r="Z232" i="8"/>
  <c r="Z66" i="8"/>
  <c r="Z130" i="8"/>
  <c r="Z1189" i="8"/>
  <c r="Z1055" i="8"/>
  <c r="Z963" i="8"/>
  <c r="Z938" i="8"/>
  <c r="Z915" i="8"/>
  <c r="Z696" i="8"/>
  <c r="Z562" i="8"/>
  <c r="Z533" i="8"/>
  <c r="Z564" i="8"/>
  <c r="Z574" i="8"/>
  <c r="Z368" i="8"/>
  <c r="Z342" i="8"/>
  <c r="Z238" i="8"/>
  <c r="Z263" i="8"/>
  <c r="Z358" i="8"/>
  <c r="Z142" i="8"/>
  <c r="Z126" i="8"/>
  <c r="AS39" i="8"/>
  <c r="AJ39" i="8" s="1"/>
  <c r="AC39" i="8"/>
  <c r="AT39" i="8"/>
  <c r="AK39" i="8" s="1"/>
  <c r="AB39" i="8"/>
  <c r="AO1112" i="8"/>
  <c r="AN1112" i="8"/>
  <c r="AM1112" i="8"/>
  <c r="AF1112" i="8" s="1"/>
  <c r="AL1112" i="8"/>
  <c r="AE1112" i="8" s="1"/>
  <c r="AT579" i="8"/>
  <c r="AK579" i="8" s="1"/>
  <c r="AC579" i="8"/>
  <c r="AS579" i="8"/>
  <c r="AJ579" i="8" s="1"/>
  <c r="AA579" i="8" s="1"/>
  <c r="AB579" i="8"/>
  <c r="AC1015" i="8"/>
  <c r="AB1015" i="8"/>
  <c r="AT1015" i="8"/>
  <c r="AK1015" i="8" s="1"/>
  <c r="AS1015" i="8"/>
  <c r="AJ1015" i="8" s="1"/>
  <c r="AA1015" i="8" s="1"/>
  <c r="AB1176" i="8"/>
  <c r="AC1176" i="8"/>
  <c r="AT1176" i="8"/>
  <c r="AK1176" i="8" s="1"/>
  <c r="AS1176" i="8"/>
  <c r="AJ1176" i="8" s="1"/>
  <c r="AB404" i="8"/>
  <c r="AC404" i="8"/>
  <c r="AS404" i="8"/>
  <c r="AJ404" i="8" s="1"/>
  <c r="AT404" i="8"/>
  <c r="AK404" i="8" s="1"/>
  <c r="AS746" i="8"/>
  <c r="AJ746" i="8" s="1"/>
  <c r="AA746" i="8" s="1"/>
  <c r="AC746" i="8"/>
  <c r="AB746" i="8"/>
  <c r="AT746" i="8"/>
  <c r="AK746" i="8" s="1"/>
  <c r="AS623" i="8"/>
  <c r="AJ623" i="8" s="1"/>
  <c r="AC623" i="8"/>
  <c r="AB623" i="8"/>
  <c r="AT623" i="8"/>
  <c r="AK623" i="8" s="1"/>
  <c r="AT707" i="8"/>
  <c r="AK707" i="8" s="1"/>
  <c r="AB707" i="8"/>
  <c r="AC707" i="8"/>
  <c r="AS707" i="8"/>
  <c r="AJ707" i="8" s="1"/>
  <c r="AT143" i="8"/>
  <c r="AK143" i="8" s="1"/>
  <c r="AS143" i="8"/>
  <c r="AJ143" i="8" s="1"/>
  <c r="AC143" i="8"/>
  <c r="AB143" i="8"/>
  <c r="AT255" i="8"/>
  <c r="AK255" i="8" s="1"/>
  <c r="AS255" i="8"/>
  <c r="AJ255" i="8" s="1"/>
  <c r="AC255" i="8"/>
  <c r="AB255" i="8"/>
  <c r="AB388" i="8"/>
  <c r="AT388" i="8"/>
  <c r="AK388" i="8" s="1"/>
  <c r="AS388" i="8"/>
  <c r="AJ388" i="8" s="1"/>
  <c r="AC388" i="8"/>
  <c r="AB515" i="8"/>
  <c r="AT515" i="8"/>
  <c r="AK515" i="8" s="1"/>
  <c r="AS515" i="8"/>
  <c r="AJ515" i="8" s="1"/>
  <c r="AA515" i="8" s="1"/>
  <c r="AC515" i="8"/>
  <c r="AT922" i="8"/>
  <c r="AK922" i="8" s="1"/>
  <c r="AS922" i="8"/>
  <c r="AJ922" i="8" s="1"/>
  <c r="AC922" i="8"/>
  <c r="AB922" i="8"/>
  <c r="AT1073" i="8"/>
  <c r="AK1073" i="8" s="1"/>
  <c r="AC1073" i="8"/>
  <c r="AS1073" i="8"/>
  <c r="AJ1073" i="8" s="1"/>
  <c r="AB1073" i="8"/>
  <c r="AB622" i="8"/>
  <c r="AS622" i="8"/>
  <c r="AJ622" i="8" s="1"/>
  <c r="AC622" i="8"/>
  <c r="AT622" i="8"/>
  <c r="AK622" i="8" s="1"/>
  <c r="AT749" i="8"/>
  <c r="AK749" i="8" s="1"/>
  <c r="AS749" i="8"/>
  <c r="AJ749" i="8" s="1"/>
  <c r="AC749" i="8"/>
  <c r="AB749" i="8"/>
  <c r="AS75" i="8"/>
  <c r="AJ75" i="8" s="1"/>
  <c r="AA75" i="8" s="1"/>
  <c r="AC75" i="8"/>
  <c r="AT75" i="8"/>
  <c r="AK75" i="8" s="1"/>
  <c r="AB75" i="8"/>
  <c r="AM472" i="8"/>
  <c r="AF472" i="8" s="1"/>
  <c r="AL472" i="8"/>
  <c r="AE472" i="8" s="1"/>
  <c r="AO472" i="8"/>
  <c r="AN472" i="8"/>
  <c r="AO1101" i="8"/>
  <c r="AN1101" i="8"/>
  <c r="AM1101" i="8"/>
  <c r="AF1101" i="8" s="1"/>
  <c r="AL1101" i="8"/>
  <c r="AE1101" i="8" s="1"/>
  <c r="AS539" i="8"/>
  <c r="AJ539" i="8" s="1"/>
  <c r="AB539" i="8"/>
  <c r="AT539" i="8"/>
  <c r="AK539" i="8" s="1"/>
  <c r="AC539" i="8"/>
  <c r="AN322" i="8"/>
  <c r="AO322" i="8"/>
  <c r="AM322" i="8"/>
  <c r="AF322" i="8" s="1"/>
  <c r="AL322" i="8"/>
  <c r="AE322" i="8" s="1"/>
  <c r="AN938" i="8"/>
  <c r="AM938" i="8"/>
  <c r="AF938" i="8" s="1"/>
  <c r="AL938" i="8"/>
  <c r="AE938" i="8" s="1"/>
  <c r="Y938" i="8" s="1"/>
  <c r="AO938" i="8"/>
  <c r="AC132" i="8"/>
  <c r="AB132" i="8"/>
  <c r="AS132" i="8"/>
  <c r="AJ132" i="8" s="1"/>
  <c r="AT132" i="8"/>
  <c r="AK132" i="8" s="1"/>
  <c r="AT952" i="8"/>
  <c r="AK952" i="8" s="1"/>
  <c r="AS952" i="8"/>
  <c r="AJ952" i="8" s="1"/>
  <c r="AC952" i="8"/>
  <c r="AB952" i="8"/>
  <c r="AT1136" i="8"/>
  <c r="AK1136" i="8" s="1"/>
  <c r="AC1136" i="8"/>
  <c r="AB1136" i="8"/>
  <c r="AS1136" i="8"/>
  <c r="AJ1136" i="8" s="1"/>
  <c r="AO63" i="8"/>
  <c r="AL63" i="8"/>
  <c r="AE63" i="8" s="1"/>
  <c r="AN63" i="8"/>
  <c r="AM63" i="8"/>
  <c r="AF63" i="8" s="1"/>
  <c r="AC106" i="8"/>
  <c r="AT106" i="8"/>
  <c r="AK106" i="8" s="1"/>
  <c r="AB106" i="8"/>
  <c r="AS106" i="8"/>
  <c r="AJ106" i="8" s="1"/>
  <c r="AT908" i="8"/>
  <c r="AK908" i="8" s="1"/>
  <c r="AS908" i="8"/>
  <c r="AJ908" i="8" s="1"/>
  <c r="AC908" i="8"/>
  <c r="AB908" i="8"/>
  <c r="AB1079" i="8"/>
  <c r="AC1079" i="8"/>
  <c r="AT1079" i="8"/>
  <c r="AK1079" i="8" s="1"/>
  <c r="AS1079" i="8"/>
  <c r="AJ1079" i="8" s="1"/>
  <c r="AA1079" i="8" s="1"/>
  <c r="AO57" i="8"/>
  <c r="AN57" i="8"/>
  <c r="AM57" i="8"/>
  <c r="AF57" i="8" s="1"/>
  <c r="AL57" i="8"/>
  <c r="AE57" i="8" s="1"/>
  <c r="AO58" i="8"/>
  <c r="AN58" i="8"/>
  <c r="AM58" i="8"/>
  <c r="AF58" i="8" s="1"/>
  <c r="AL58" i="8"/>
  <c r="AE58" i="8" s="1"/>
  <c r="AO277" i="8"/>
  <c r="AM277" i="8"/>
  <c r="AF277" i="8" s="1"/>
  <c r="AN277" i="8"/>
  <c r="AL277" i="8"/>
  <c r="AE277" i="8" s="1"/>
  <c r="AO893" i="8"/>
  <c r="AN893" i="8"/>
  <c r="AM893" i="8"/>
  <c r="AF893" i="8" s="1"/>
  <c r="AL893" i="8"/>
  <c r="AE893" i="8" s="1"/>
  <c r="AS497" i="8"/>
  <c r="AJ497" i="8" s="1"/>
  <c r="AC497" i="8"/>
  <c r="AT497" i="8"/>
  <c r="AK497" i="8" s="1"/>
  <c r="AB497" i="8"/>
  <c r="AB696" i="8"/>
  <c r="AC696" i="8"/>
  <c r="AT696" i="8"/>
  <c r="AK696" i="8" s="1"/>
  <c r="AS696" i="8"/>
  <c r="AJ696" i="8" s="1"/>
  <c r="AS121" i="8"/>
  <c r="AJ121" i="8" s="1"/>
  <c r="AA121" i="8" s="1"/>
  <c r="AC121" i="8"/>
  <c r="AB121" i="8"/>
  <c r="AT121" i="8"/>
  <c r="AK121" i="8" s="1"/>
  <c r="AS47" i="8"/>
  <c r="AJ47" i="8" s="1"/>
  <c r="AA47" i="8" s="1"/>
  <c r="AC47" i="8"/>
  <c r="AB47" i="8"/>
  <c r="AT47" i="8"/>
  <c r="AK47" i="8" s="1"/>
  <c r="AO172" i="8"/>
  <c r="AN172" i="8"/>
  <c r="AL172" i="8"/>
  <c r="AE172" i="8" s="1"/>
  <c r="AM172" i="8"/>
  <c r="AF172" i="8" s="1"/>
  <c r="AL803" i="8"/>
  <c r="AE803" i="8" s="1"/>
  <c r="AO803" i="8"/>
  <c r="AN803" i="8"/>
  <c r="AM803" i="8"/>
  <c r="AF803" i="8" s="1"/>
  <c r="AO1028" i="8"/>
  <c r="AN1028" i="8"/>
  <c r="AM1028" i="8"/>
  <c r="AF1028" i="8" s="1"/>
  <c r="AL1028" i="8"/>
  <c r="AE1028" i="8" s="1"/>
  <c r="AS861" i="8"/>
  <c r="AJ861" i="8" s="1"/>
  <c r="AA861" i="8" s="1"/>
  <c r="AC861" i="8"/>
  <c r="AB861" i="8"/>
  <c r="AT861" i="8"/>
  <c r="AK861" i="8" s="1"/>
  <c r="AS953" i="8"/>
  <c r="AJ953" i="8" s="1"/>
  <c r="AA953" i="8" s="1"/>
  <c r="AC953" i="8"/>
  <c r="AB953" i="8"/>
  <c r="AT953" i="8"/>
  <c r="AK953" i="8" s="1"/>
  <c r="AB1170" i="8"/>
  <c r="AT1170" i="8"/>
  <c r="AK1170" i="8" s="1"/>
  <c r="AS1170" i="8"/>
  <c r="AJ1170" i="8" s="1"/>
  <c r="AC1170" i="8"/>
  <c r="AB748" i="8"/>
  <c r="AC748" i="8"/>
  <c r="AT748" i="8"/>
  <c r="AK748" i="8" s="1"/>
  <c r="AS748" i="8"/>
  <c r="AJ748" i="8" s="1"/>
  <c r="AA748" i="8" s="1"/>
  <c r="AC264" i="8"/>
  <c r="AT264" i="8"/>
  <c r="AK264" i="8" s="1"/>
  <c r="AS264" i="8"/>
  <c r="AJ264" i="8" s="1"/>
  <c r="AB264" i="8"/>
  <c r="AC453" i="8"/>
  <c r="AB453" i="8"/>
  <c r="AT453" i="8"/>
  <c r="AK453" i="8" s="1"/>
  <c r="AS453" i="8"/>
  <c r="AJ453" i="8" s="1"/>
  <c r="AS811" i="8"/>
  <c r="AJ811" i="8" s="1"/>
  <c r="AC811" i="8"/>
  <c r="AB811" i="8"/>
  <c r="AT811" i="8"/>
  <c r="AK811" i="8" s="1"/>
  <c r="AS1202" i="8"/>
  <c r="AJ1202" i="8" s="1"/>
  <c r="AA1202" i="8" s="1"/>
  <c r="AC1202" i="8"/>
  <c r="AB1202" i="8"/>
  <c r="AT1202" i="8"/>
  <c r="AK1202" i="8" s="1"/>
  <c r="AB141" i="8"/>
  <c r="AS141" i="8"/>
  <c r="AJ141" i="8" s="1"/>
  <c r="AC141" i="8"/>
  <c r="AT141" i="8"/>
  <c r="AK141" i="8" s="1"/>
  <c r="X299" i="8"/>
  <c r="X391" i="8"/>
  <c r="AS754" i="8"/>
  <c r="AJ754" i="8" s="1"/>
  <c r="AC754" i="8"/>
  <c r="AB754" i="8"/>
  <c r="AT754" i="8"/>
  <c r="AK754" i="8" s="1"/>
  <c r="AC897" i="8"/>
  <c r="AB897" i="8"/>
  <c r="AT897" i="8"/>
  <c r="AK897" i="8" s="1"/>
  <c r="AS897" i="8"/>
  <c r="AJ897" i="8" s="1"/>
  <c r="AS1104" i="8"/>
  <c r="AJ1104" i="8" s="1"/>
  <c r="AB1104" i="8"/>
  <c r="AC1104" i="8"/>
  <c r="AT1104" i="8"/>
  <c r="AK1104" i="8" s="1"/>
  <c r="AM342" i="8"/>
  <c r="AF342" i="8" s="1"/>
  <c r="AL342" i="8"/>
  <c r="AE342" i="8" s="1"/>
  <c r="AO342" i="8"/>
  <c r="AN342" i="8"/>
  <c r="AO889" i="8"/>
  <c r="AN889" i="8"/>
  <c r="AM889" i="8"/>
  <c r="AF889" i="8" s="1"/>
  <c r="AL889" i="8"/>
  <c r="AE889" i="8" s="1"/>
  <c r="AT429" i="8"/>
  <c r="AK429" i="8" s="1"/>
  <c r="AC429" i="8"/>
  <c r="AS429" i="8"/>
  <c r="AJ429" i="8" s="1"/>
  <c r="AB429" i="8"/>
  <c r="AC108" i="8"/>
  <c r="AT108" i="8"/>
  <c r="AK108" i="8" s="1"/>
  <c r="AB108" i="8"/>
  <c r="AS108" i="8"/>
  <c r="AJ108" i="8" s="1"/>
  <c r="AA108" i="8" s="1"/>
  <c r="X869" i="8"/>
  <c r="AS1066" i="8"/>
  <c r="AJ1066" i="8" s="1"/>
  <c r="AC1066" i="8"/>
  <c r="AT1066" i="8"/>
  <c r="AK1066" i="8" s="1"/>
  <c r="AB1066" i="8"/>
  <c r="AC56" i="8"/>
  <c r="AB56" i="8"/>
  <c r="AT56" i="8"/>
  <c r="AK56" i="8" s="1"/>
  <c r="AS56" i="8"/>
  <c r="AJ56" i="8" s="1"/>
  <c r="AS280" i="8"/>
  <c r="AJ280" i="8" s="1"/>
  <c r="AA280" i="8" s="1"/>
  <c r="AC280" i="8"/>
  <c r="AB280" i="8"/>
  <c r="AT280" i="8"/>
  <c r="AK280" i="8" s="1"/>
  <c r="AS390" i="8"/>
  <c r="AJ390" i="8" s="1"/>
  <c r="AC390" i="8"/>
  <c r="AT390" i="8"/>
  <c r="AK390" i="8" s="1"/>
  <c r="AB390" i="8"/>
  <c r="AC592" i="8"/>
  <c r="AT592" i="8"/>
  <c r="AK592" i="8" s="1"/>
  <c r="AB592" i="8"/>
  <c r="AS592" i="8"/>
  <c r="AJ592" i="8" s="1"/>
  <c r="AS863" i="8"/>
  <c r="AJ863" i="8" s="1"/>
  <c r="AC863" i="8"/>
  <c r="AB863" i="8"/>
  <c r="AT863" i="8"/>
  <c r="AK863" i="8" s="1"/>
  <c r="AT1047" i="8"/>
  <c r="AK1047" i="8" s="1"/>
  <c r="AC1047" i="8"/>
  <c r="AS1047" i="8"/>
  <c r="AJ1047" i="8" s="1"/>
  <c r="AB1047" i="8"/>
  <c r="AT49" i="8"/>
  <c r="AK49" i="8" s="1"/>
  <c r="AC49" i="8"/>
  <c r="AS49" i="8"/>
  <c r="AJ49" i="8" s="1"/>
  <c r="AA49" i="8" s="1"/>
  <c r="AB49" i="8"/>
  <c r="AS611" i="8"/>
  <c r="AJ611" i="8" s="1"/>
  <c r="AC611" i="8"/>
  <c r="AB611" i="8"/>
  <c r="AT611" i="8"/>
  <c r="AK611" i="8" s="1"/>
  <c r="AS902" i="8"/>
  <c r="AJ902" i="8" s="1"/>
  <c r="AC902" i="8"/>
  <c r="AB902" i="8"/>
  <c r="AT902" i="8"/>
  <c r="AK902" i="8" s="1"/>
  <c r="AO193" i="8"/>
  <c r="AM193" i="8"/>
  <c r="AF193" i="8" s="1"/>
  <c r="AL193" i="8"/>
  <c r="AE193" i="8" s="1"/>
  <c r="AN193" i="8"/>
  <c r="AN819" i="8"/>
  <c r="AO819" i="8"/>
  <c r="AL819" i="8"/>
  <c r="AE819" i="8" s="1"/>
  <c r="AM819" i="8"/>
  <c r="AF819" i="8" s="1"/>
  <c r="AO1049" i="8"/>
  <c r="AN1049" i="8"/>
  <c r="AM1049" i="8"/>
  <c r="AF1049" i="8" s="1"/>
  <c r="AL1049" i="8"/>
  <c r="AE1049" i="8" s="1"/>
  <c r="AT845" i="8"/>
  <c r="AK845" i="8" s="1"/>
  <c r="AS845" i="8"/>
  <c r="AJ845" i="8" s="1"/>
  <c r="AC845" i="8"/>
  <c r="AB845" i="8"/>
  <c r="AC937" i="8"/>
  <c r="AT937" i="8"/>
  <c r="AK937" i="8" s="1"/>
  <c r="AB937" i="8"/>
  <c r="AS937" i="8"/>
  <c r="AJ937" i="8" s="1"/>
  <c r="AS1144" i="8"/>
  <c r="AJ1144" i="8" s="1"/>
  <c r="AC1144" i="8"/>
  <c r="AT1144" i="8"/>
  <c r="AK1144" i="8" s="1"/>
  <c r="AB1144" i="8"/>
  <c r="AO92" i="8"/>
  <c r="AL92" i="8"/>
  <c r="AE92" i="8" s="1"/>
  <c r="AM92" i="8"/>
  <c r="AF92" i="8" s="1"/>
  <c r="AN92" i="8"/>
  <c r="AC24" i="8"/>
  <c r="AB24" i="8"/>
  <c r="AS24" i="8"/>
  <c r="AJ24" i="8" s="1"/>
  <c r="AA24" i="8" s="1"/>
  <c r="AT24" i="8"/>
  <c r="AK24" i="8" s="1"/>
  <c r="AT423" i="8"/>
  <c r="AK423" i="8" s="1"/>
  <c r="AC423" i="8"/>
  <c r="AS423" i="8"/>
  <c r="AJ423" i="8" s="1"/>
  <c r="AB423" i="8"/>
  <c r="AT832" i="8"/>
  <c r="AK832" i="8" s="1"/>
  <c r="AB832" i="8"/>
  <c r="AS832" i="8"/>
  <c r="AJ832" i="8" s="1"/>
  <c r="AC832" i="8"/>
  <c r="AT1108" i="8"/>
  <c r="AK1108" i="8" s="1"/>
  <c r="AC1108" i="8"/>
  <c r="AS1108" i="8"/>
  <c r="AJ1108" i="8" s="1"/>
  <c r="AB1108" i="8"/>
  <c r="AS336" i="8"/>
  <c r="AJ336" i="8" s="1"/>
  <c r="AT336" i="8"/>
  <c r="AK336" i="8" s="1"/>
  <c r="AC336" i="8"/>
  <c r="AB336" i="8"/>
  <c r="AS957" i="8"/>
  <c r="AJ957" i="8" s="1"/>
  <c r="AA957" i="8" s="1"/>
  <c r="AC957" i="8"/>
  <c r="AB957" i="8"/>
  <c r="AT957" i="8"/>
  <c r="AK957" i="8" s="1"/>
  <c r="AO1148" i="8"/>
  <c r="AN1148" i="8"/>
  <c r="AM1148" i="8"/>
  <c r="AF1148" i="8" s="1"/>
  <c r="AL1148" i="8"/>
  <c r="AE1148" i="8" s="1"/>
  <c r="AS176" i="8"/>
  <c r="AJ176" i="8" s="1"/>
  <c r="AB176" i="8"/>
  <c r="AC176" i="8"/>
  <c r="AT176" i="8"/>
  <c r="AK176" i="8" s="1"/>
  <c r="AB672" i="8"/>
  <c r="AC672" i="8"/>
  <c r="AT672" i="8"/>
  <c r="AK672" i="8" s="1"/>
  <c r="AS672" i="8"/>
  <c r="AJ672" i="8" s="1"/>
  <c r="AC853" i="8"/>
  <c r="AB853" i="8"/>
  <c r="AT853" i="8"/>
  <c r="AK853" i="8" s="1"/>
  <c r="AS853" i="8"/>
  <c r="AJ853" i="8" s="1"/>
  <c r="AB1083" i="8"/>
  <c r="AC1083" i="8"/>
  <c r="AT1083" i="8"/>
  <c r="AK1083" i="8" s="1"/>
  <c r="AS1083" i="8"/>
  <c r="AJ1083" i="8" s="1"/>
  <c r="X693" i="8"/>
  <c r="X777" i="8"/>
  <c r="AS34" i="8"/>
  <c r="AJ34" i="8" s="1"/>
  <c r="AB34" i="8"/>
  <c r="AC34" i="8"/>
  <c r="AT34" i="8"/>
  <c r="AK34" i="8" s="1"/>
  <c r="AN695" i="8"/>
  <c r="AM695" i="8"/>
  <c r="AF695" i="8" s="1"/>
  <c r="AL695" i="8"/>
  <c r="AE695" i="8" s="1"/>
  <c r="AO695" i="8"/>
  <c r="AS1159" i="8"/>
  <c r="AJ1159" i="8" s="1"/>
  <c r="AC1159" i="8"/>
  <c r="AT1159" i="8"/>
  <c r="AK1159" i="8" s="1"/>
  <c r="AB1159" i="8"/>
  <c r="AO369" i="8"/>
  <c r="AM369" i="8"/>
  <c r="AF369" i="8" s="1"/>
  <c r="AL369" i="8"/>
  <c r="AE369" i="8" s="1"/>
  <c r="AN369" i="8"/>
  <c r="AO939" i="8"/>
  <c r="AM939" i="8"/>
  <c r="AF939" i="8" s="1"/>
  <c r="AL939" i="8"/>
  <c r="AE939" i="8" s="1"/>
  <c r="AN939" i="8"/>
  <c r="AC538" i="8"/>
  <c r="AB538" i="8"/>
  <c r="AT538" i="8"/>
  <c r="AK538" i="8" s="1"/>
  <c r="AS538" i="8"/>
  <c r="AJ538" i="8" s="1"/>
  <c r="AS724" i="8"/>
  <c r="AJ724" i="8" s="1"/>
  <c r="AB724" i="8"/>
  <c r="AC724" i="8"/>
  <c r="AT724" i="8"/>
  <c r="AK724" i="8" s="1"/>
  <c r="AO88" i="8"/>
  <c r="AN88" i="8"/>
  <c r="AM88" i="8"/>
  <c r="AF88" i="8" s="1"/>
  <c r="AL88" i="8"/>
  <c r="AE88" i="8" s="1"/>
  <c r="AN691" i="8"/>
  <c r="AM691" i="8"/>
  <c r="AF691" i="8" s="1"/>
  <c r="AL691" i="8"/>
  <c r="AE691" i="8" s="1"/>
  <c r="AO691" i="8"/>
  <c r="AL1074" i="8"/>
  <c r="AE1074" i="8" s="1"/>
  <c r="Y1074" i="8" s="1"/>
  <c r="AO1074" i="8"/>
  <c r="AN1074" i="8"/>
  <c r="AM1074" i="8"/>
  <c r="AF1074" i="8" s="1"/>
  <c r="AC792" i="8"/>
  <c r="AT792" i="8"/>
  <c r="AK792" i="8" s="1"/>
  <c r="AB792" i="8"/>
  <c r="AS792" i="8"/>
  <c r="AJ792" i="8" s="1"/>
  <c r="AA792" i="8" s="1"/>
  <c r="AS986" i="8"/>
  <c r="AJ986" i="8" s="1"/>
  <c r="AC986" i="8"/>
  <c r="AB986" i="8"/>
  <c r="AT986" i="8"/>
  <c r="AK986" i="8" s="1"/>
  <c r="AC1160" i="8"/>
  <c r="AT1160" i="8"/>
  <c r="AK1160" i="8" s="1"/>
  <c r="AS1160" i="8"/>
  <c r="AJ1160" i="8" s="1"/>
  <c r="AB1160" i="8"/>
  <c r="AB692" i="8"/>
  <c r="AT692" i="8"/>
  <c r="AK692" i="8" s="1"/>
  <c r="AS692" i="8"/>
  <c r="AJ692" i="8" s="1"/>
  <c r="AC692" i="8"/>
  <c r="AT292" i="8"/>
  <c r="AK292" i="8" s="1"/>
  <c r="AB292" i="8"/>
  <c r="AS292" i="8"/>
  <c r="AJ292" i="8" s="1"/>
  <c r="AA292" i="8" s="1"/>
  <c r="AC292" i="8"/>
  <c r="Z114" i="8"/>
  <c r="AS73" i="8"/>
  <c r="AJ73" i="8" s="1"/>
  <c r="AB73" i="8"/>
  <c r="AT73" i="8"/>
  <c r="AK73" i="8" s="1"/>
  <c r="AC73" i="8"/>
  <c r="AB379" i="8"/>
  <c r="AT379" i="8"/>
  <c r="AK379" i="8" s="1"/>
  <c r="AC379" i="8"/>
  <c r="AS379" i="8"/>
  <c r="AJ379" i="8" s="1"/>
  <c r="AC834" i="8"/>
  <c r="AB834" i="8"/>
  <c r="AT834" i="8"/>
  <c r="AK834" i="8" s="1"/>
  <c r="AS834" i="8"/>
  <c r="AJ834" i="8" s="1"/>
  <c r="AT1179" i="8"/>
  <c r="AK1179" i="8" s="1"/>
  <c r="AS1179" i="8"/>
  <c r="AJ1179" i="8" s="1"/>
  <c r="AA1179" i="8" s="1"/>
  <c r="AC1179" i="8"/>
  <c r="AB1179" i="8"/>
  <c r="AS169" i="8"/>
  <c r="AJ169" i="8" s="1"/>
  <c r="AC169" i="8"/>
  <c r="AT169" i="8"/>
  <c r="AK169" i="8" s="1"/>
  <c r="AB169" i="8"/>
  <c r="AS317" i="8"/>
  <c r="AJ317" i="8" s="1"/>
  <c r="AC317" i="8"/>
  <c r="AT317" i="8"/>
  <c r="AK317" i="8" s="1"/>
  <c r="AB317" i="8"/>
  <c r="AT447" i="8"/>
  <c r="AK447" i="8" s="1"/>
  <c r="AS447" i="8"/>
  <c r="AJ447" i="8" s="1"/>
  <c r="AC447" i="8"/>
  <c r="AB447" i="8"/>
  <c r="AT841" i="8"/>
  <c r="AK841" i="8" s="1"/>
  <c r="AS841" i="8"/>
  <c r="AJ841" i="8" s="1"/>
  <c r="AA841" i="8" s="1"/>
  <c r="AC841" i="8"/>
  <c r="AB841" i="8"/>
  <c r="AS966" i="8"/>
  <c r="AJ966" i="8" s="1"/>
  <c r="AC966" i="8"/>
  <c r="AB966" i="8"/>
  <c r="AT966" i="8"/>
  <c r="AK966" i="8" s="1"/>
  <c r="AB1150" i="8"/>
  <c r="AC1150" i="8"/>
  <c r="AS1150" i="8"/>
  <c r="AJ1150" i="8" s="1"/>
  <c r="AT1150" i="8"/>
  <c r="AK1150" i="8" s="1"/>
  <c r="AO365" i="8"/>
  <c r="AN365" i="8"/>
  <c r="AM365" i="8"/>
  <c r="AF365" i="8" s="1"/>
  <c r="AL365" i="8"/>
  <c r="AE365" i="8" s="1"/>
  <c r="AO866" i="8"/>
  <c r="AN866" i="8"/>
  <c r="AM866" i="8"/>
  <c r="AF866" i="8" s="1"/>
  <c r="AL866" i="8"/>
  <c r="AE866" i="8" s="1"/>
  <c r="AT360" i="8"/>
  <c r="AK360" i="8" s="1"/>
  <c r="AB360" i="8"/>
  <c r="AS360" i="8"/>
  <c r="AJ360" i="8" s="1"/>
  <c r="AA360" i="8" s="1"/>
  <c r="AC360" i="8"/>
  <c r="AC30" i="8"/>
  <c r="AB30" i="8"/>
  <c r="AT30" i="8"/>
  <c r="AK30" i="8" s="1"/>
  <c r="AS30" i="8"/>
  <c r="AJ30" i="8" s="1"/>
  <c r="AA30" i="8" s="1"/>
  <c r="AC951" i="8"/>
  <c r="AB951" i="8"/>
  <c r="AT951" i="8"/>
  <c r="AK951" i="8" s="1"/>
  <c r="AS951" i="8"/>
  <c r="AJ951" i="8" s="1"/>
  <c r="AC1122" i="8"/>
  <c r="AB1122" i="8"/>
  <c r="AT1122" i="8"/>
  <c r="AK1122" i="8" s="1"/>
  <c r="AS1122" i="8"/>
  <c r="AJ1122" i="8" s="1"/>
  <c r="AA1122" i="8" s="1"/>
  <c r="AB122" i="8"/>
  <c r="AT122" i="8"/>
  <c r="AK122" i="8" s="1"/>
  <c r="AS122" i="8"/>
  <c r="AJ122" i="8" s="1"/>
  <c r="AA122" i="8" s="1"/>
  <c r="AC122" i="8"/>
  <c r="AS270" i="8"/>
  <c r="AJ270" i="8" s="1"/>
  <c r="AC270" i="8"/>
  <c r="AT270" i="8"/>
  <c r="AK270" i="8" s="1"/>
  <c r="AB270" i="8"/>
  <c r="AT446" i="8"/>
  <c r="AK446" i="8" s="1"/>
  <c r="AS446" i="8"/>
  <c r="AJ446" i="8" s="1"/>
  <c r="AC446" i="8"/>
  <c r="AB446" i="8"/>
  <c r="AC669" i="8"/>
  <c r="AB669" i="8"/>
  <c r="AT669" i="8"/>
  <c r="AK669" i="8" s="1"/>
  <c r="AS669" i="8"/>
  <c r="AJ669" i="8" s="1"/>
  <c r="AA669" i="8" s="1"/>
  <c r="AT955" i="8"/>
  <c r="AK955" i="8" s="1"/>
  <c r="AS955" i="8"/>
  <c r="AJ955" i="8" s="1"/>
  <c r="AA955" i="8" s="1"/>
  <c r="AC955" i="8"/>
  <c r="AB955" i="8"/>
  <c r="AT1024" i="8"/>
  <c r="AK1024" i="8" s="1"/>
  <c r="AS1024" i="8"/>
  <c r="AJ1024" i="8" s="1"/>
  <c r="AC1024" i="8"/>
  <c r="AB1024" i="8"/>
  <c r="AT184" i="8"/>
  <c r="AK184" i="8" s="1"/>
  <c r="AC184" i="8"/>
  <c r="AS184" i="8"/>
  <c r="AJ184" i="8" s="1"/>
  <c r="AB184" i="8"/>
  <c r="AS536" i="8"/>
  <c r="AJ536" i="8" s="1"/>
  <c r="AB536" i="8"/>
  <c r="AC536" i="8"/>
  <c r="AT536" i="8"/>
  <c r="AK536" i="8" s="1"/>
  <c r="AS879" i="8"/>
  <c r="AJ879" i="8" s="1"/>
  <c r="AC879" i="8"/>
  <c r="AB879" i="8"/>
  <c r="AT879" i="8"/>
  <c r="AK879" i="8" s="1"/>
  <c r="AO114" i="8"/>
  <c r="AN114" i="8"/>
  <c r="AM114" i="8"/>
  <c r="AF114" i="8" s="1"/>
  <c r="AL114" i="8"/>
  <c r="AE114" i="8" s="1"/>
  <c r="AO745" i="8"/>
  <c r="AN745" i="8"/>
  <c r="AM745" i="8"/>
  <c r="AF745" i="8" s="1"/>
  <c r="AL745" i="8"/>
  <c r="AE745" i="8" s="1"/>
  <c r="AO1072" i="8"/>
  <c r="AN1072" i="8"/>
  <c r="AM1072" i="8"/>
  <c r="AF1072" i="8" s="1"/>
  <c r="AL1072" i="8"/>
  <c r="AE1072" i="8" s="1"/>
  <c r="Y1072" i="8" s="1"/>
  <c r="AS789" i="8"/>
  <c r="AJ789" i="8" s="1"/>
  <c r="AC789" i="8"/>
  <c r="AB789" i="8"/>
  <c r="AT789" i="8"/>
  <c r="AK789" i="8" s="1"/>
  <c r="AT973" i="8"/>
  <c r="AK973" i="8" s="1"/>
  <c r="AS973" i="8"/>
  <c r="AJ973" i="8" s="1"/>
  <c r="AC973" i="8"/>
  <c r="AB973" i="8"/>
  <c r="AS1190" i="8"/>
  <c r="AJ1190" i="8" s="1"/>
  <c r="AC1190" i="8"/>
  <c r="AT1190" i="8"/>
  <c r="AK1190" i="8" s="1"/>
  <c r="AB1190" i="8"/>
  <c r="AS377" i="8"/>
  <c r="AJ377" i="8" s="1"/>
  <c r="AC377" i="8"/>
  <c r="AB377" i="8"/>
  <c r="AT377" i="8"/>
  <c r="AK377" i="8" s="1"/>
  <c r="AS758" i="8"/>
  <c r="AJ758" i="8" s="1"/>
  <c r="AC758" i="8"/>
  <c r="AB758" i="8"/>
  <c r="AT758" i="8"/>
  <c r="AK758" i="8" s="1"/>
  <c r="AB1154" i="8"/>
  <c r="AC1154" i="8"/>
  <c r="AT1154" i="8"/>
  <c r="AK1154" i="8" s="1"/>
  <c r="AS1154" i="8"/>
  <c r="AJ1154" i="8" s="1"/>
  <c r="AA1154" i="8" s="1"/>
  <c r="AT267" i="8"/>
  <c r="AK267" i="8" s="1"/>
  <c r="AB267" i="8"/>
  <c r="AC267" i="8"/>
  <c r="AS267" i="8"/>
  <c r="AJ267" i="8" s="1"/>
  <c r="Z353" i="8"/>
  <c r="Z354" i="8"/>
  <c r="Y270" i="8"/>
  <c r="AT175" i="8"/>
  <c r="AK175" i="8" s="1"/>
  <c r="AC175" i="8"/>
  <c r="AS175" i="8"/>
  <c r="AJ175" i="8" s="1"/>
  <c r="AB175" i="8"/>
  <c r="AS305" i="8"/>
  <c r="AJ305" i="8" s="1"/>
  <c r="AC305" i="8"/>
  <c r="AT305" i="8"/>
  <c r="AK305" i="8" s="1"/>
  <c r="AB305" i="8"/>
  <c r="AS494" i="8"/>
  <c r="AJ494" i="8" s="1"/>
  <c r="AA494" i="8" s="1"/>
  <c r="AB494" i="8"/>
  <c r="AT494" i="8"/>
  <c r="AK494" i="8" s="1"/>
  <c r="AC494" i="8"/>
  <c r="AT699" i="8"/>
  <c r="AK699" i="8" s="1"/>
  <c r="AB699" i="8"/>
  <c r="AC699" i="8"/>
  <c r="AS699" i="8"/>
  <c r="AJ699" i="8" s="1"/>
  <c r="AA699" i="8" s="1"/>
  <c r="AS944" i="8"/>
  <c r="AJ944" i="8" s="1"/>
  <c r="AA944" i="8" s="1"/>
  <c r="AC944" i="8"/>
  <c r="AB944" i="8"/>
  <c r="AT944" i="8"/>
  <c r="AK944" i="8" s="1"/>
  <c r="AT1128" i="8"/>
  <c r="AK1128" i="8" s="1"/>
  <c r="AC1128" i="8"/>
  <c r="AB1128" i="8"/>
  <c r="AS1128" i="8"/>
  <c r="AJ1128" i="8" s="1"/>
  <c r="AA1128" i="8" s="1"/>
  <c r="Y68" i="8"/>
  <c r="AM121" i="8"/>
  <c r="AF121" i="8" s="1"/>
  <c r="AL121" i="8"/>
  <c r="AE121" i="8" s="1"/>
  <c r="AO121" i="8"/>
  <c r="AN121" i="8"/>
  <c r="AO808" i="8"/>
  <c r="AM808" i="8"/>
  <c r="AF808" i="8" s="1"/>
  <c r="AL808" i="8"/>
  <c r="AE808" i="8" s="1"/>
  <c r="AN808" i="8"/>
  <c r="AN1171" i="8"/>
  <c r="AL1171" i="8"/>
  <c r="AE1171" i="8" s="1"/>
  <c r="AO1171" i="8"/>
  <c r="AM1171" i="8"/>
  <c r="AF1171" i="8" s="1"/>
  <c r="AL271" i="8"/>
  <c r="AE271" i="8" s="1"/>
  <c r="AO271" i="8"/>
  <c r="AN271" i="8"/>
  <c r="AM271" i="8"/>
  <c r="AF271" i="8" s="1"/>
  <c r="AO772" i="8"/>
  <c r="AN772" i="8"/>
  <c r="AM772" i="8"/>
  <c r="AF772" i="8" s="1"/>
  <c r="AL772" i="8"/>
  <c r="AE772" i="8" s="1"/>
  <c r="AO1140" i="8"/>
  <c r="AM1140" i="8"/>
  <c r="AF1140" i="8" s="1"/>
  <c r="AL1140" i="8"/>
  <c r="AE1140" i="8" s="1"/>
  <c r="AN1140" i="8"/>
  <c r="AS237" i="8"/>
  <c r="AJ237" i="8" s="1"/>
  <c r="AC237" i="8"/>
  <c r="AB237" i="8"/>
  <c r="AT237" i="8"/>
  <c r="AK237" i="8" s="1"/>
  <c r="AC200" i="8"/>
  <c r="AB200" i="8"/>
  <c r="AT200" i="8"/>
  <c r="AK200" i="8" s="1"/>
  <c r="AS200" i="8"/>
  <c r="AJ200" i="8" s="1"/>
  <c r="AA200" i="8" s="1"/>
  <c r="AS274" i="8"/>
  <c r="AJ274" i="8" s="1"/>
  <c r="AA274" i="8" s="1"/>
  <c r="AC274" i="8"/>
  <c r="AB274" i="8"/>
  <c r="AT274" i="8"/>
  <c r="AK274" i="8" s="1"/>
  <c r="AS785" i="8"/>
  <c r="AJ785" i="8" s="1"/>
  <c r="AC785" i="8"/>
  <c r="AB785" i="8"/>
  <c r="AT785" i="8"/>
  <c r="AK785" i="8" s="1"/>
  <c r="AC534" i="8"/>
  <c r="AB534" i="8"/>
  <c r="AT534" i="8"/>
  <c r="AK534" i="8" s="1"/>
  <c r="AS534" i="8"/>
  <c r="AJ534" i="8" s="1"/>
  <c r="AS821" i="8"/>
  <c r="AJ821" i="8" s="1"/>
  <c r="AC821" i="8"/>
  <c r="AB821" i="8"/>
  <c r="AT821" i="8"/>
  <c r="AK821" i="8" s="1"/>
  <c r="AT1028" i="8"/>
  <c r="AK1028" i="8" s="1"/>
  <c r="AC1028" i="8"/>
  <c r="AS1028" i="8"/>
  <c r="AJ1028" i="8" s="1"/>
  <c r="AB1028" i="8"/>
  <c r="AT1153" i="8"/>
  <c r="AK1153" i="8" s="1"/>
  <c r="AB1153" i="8"/>
  <c r="AS1153" i="8"/>
  <c r="AJ1153" i="8" s="1"/>
  <c r="AC1153" i="8"/>
  <c r="AS567" i="8"/>
  <c r="AJ567" i="8" s="1"/>
  <c r="AB567" i="8"/>
  <c r="AT567" i="8"/>
  <c r="AK567" i="8" s="1"/>
  <c r="AC567" i="8"/>
  <c r="AC774" i="8"/>
  <c r="AT774" i="8"/>
  <c r="AK774" i="8" s="1"/>
  <c r="AS774" i="8"/>
  <c r="AJ774" i="8" s="1"/>
  <c r="AB774" i="8"/>
  <c r="AT638" i="8"/>
  <c r="AK638" i="8" s="1"/>
  <c r="AB638" i="8"/>
  <c r="AC638" i="8"/>
  <c r="AS638" i="8"/>
  <c r="AJ638" i="8" s="1"/>
  <c r="AS745" i="8"/>
  <c r="AJ745" i="8" s="1"/>
  <c r="AC745" i="8"/>
  <c r="AT745" i="8"/>
  <c r="AK745" i="8" s="1"/>
  <c r="AB745" i="8"/>
  <c r="AB125" i="8"/>
  <c r="AS125" i="8"/>
  <c r="AJ125" i="8" s="1"/>
  <c r="AA125" i="8" s="1"/>
  <c r="AC125" i="8"/>
  <c r="AT125" i="8"/>
  <c r="AK125" i="8" s="1"/>
  <c r="AT421" i="8"/>
  <c r="AK421" i="8" s="1"/>
  <c r="AC421" i="8"/>
  <c r="AS421" i="8"/>
  <c r="AJ421" i="8" s="1"/>
  <c r="AA421" i="8" s="1"/>
  <c r="AB421" i="8"/>
  <c r="AS444" i="8"/>
  <c r="AJ444" i="8" s="1"/>
  <c r="AA444" i="8" s="1"/>
  <c r="AC444" i="8"/>
  <c r="AB444" i="8"/>
  <c r="AT444" i="8"/>
  <c r="AK444" i="8" s="1"/>
  <c r="AC608" i="8"/>
  <c r="AB608" i="8"/>
  <c r="AT608" i="8"/>
  <c r="AK608" i="8" s="1"/>
  <c r="AS608" i="8"/>
  <c r="AJ608" i="8" s="1"/>
  <c r="AA608" i="8" s="1"/>
  <c r="AS899" i="8"/>
  <c r="AJ899" i="8" s="1"/>
  <c r="AC899" i="8"/>
  <c r="AT899" i="8"/>
  <c r="AK899" i="8" s="1"/>
  <c r="AB899" i="8"/>
  <c r="AC1096" i="8"/>
  <c r="AB1096" i="8"/>
  <c r="AT1096" i="8"/>
  <c r="AK1096" i="8" s="1"/>
  <c r="AS1096" i="8"/>
  <c r="AJ1096" i="8" s="1"/>
  <c r="AA1096" i="8" s="1"/>
  <c r="AS637" i="8"/>
  <c r="AJ637" i="8" s="1"/>
  <c r="AA637" i="8" s="1"/>
  <c r="AC637" i="8"/>
  <c r="AB637" i="8"/>
  <c r="AT637" i="8"/>
  <c r="AK637" i="8" s="1"/>
  <c r="AC739" i="8"/>
  <c r="AB739" i="8"/>
  <c r="AT739" i="8"/>
  <c r="AK739" i="8" s="1"/>
  <c r="AS739" i="8"/>
  <c r="AJ739" i="8" s="1"/>
  <c r="AA739" i="8" s="1"/>
  <c r="AN148" i="8"/>
  <c r="AM148" i="8"/>
  <c r="AF148" i="8" s="1"/>
  <c r="AO148" i="8"/>
  <c r="AL148" i="8"/>
  <c r="AE148" i="8" s="1"/>
  <c r="AN723" i="8"/>
  <c r="AM723" i="8"/>
  <c r="AF723" i="8" s="1"/>
  <c r="AL723" i="8"/>
  <c r="AE723" i="8" s="1"/>
  <c r="AO723" i="8"/>
  <c r="AO1147" i="8"/>
  <c r="AM1147" i="8"/>
  <c r="AF1147" i="8" s="1"/>
  <c r="AL1147" i="8"/>
  <c r="AE1147" i="8" s="1"/>
  <c r="AN1147" i="8"/>
  <c r="AO276" i="8"/>
  <c r="AN276" i="8"/>
  <c r="AL276" i="8"/>
  <c r="AE276" i="8" s="1"/>
  <c r="AM276" i="8"/>
  <c r="AF276" i="8" s="1"/>
  <c r="AO984" i="8"/>
  <c r="AN984" i="8"/>
  <c r="AM984" i="8"/>
  <c r="AF984" i="8" s="1"/>
  <c r="AL984" i="8"/>
  <c r="AE984" i="8" s="1"/>
  <c r="AC814" i="8"/>
  <c r="AB814" i="8"/>
  <c r="AT814" i="8"/>
  <c r="AK814" i="8" s="1"/>
  <c r="AS814" i="8"/>
  <c r="AJ814" i="8" s="1"/>
  <c r="AA814" i="8" s="1"/>
  <c r="AS929" i="8"/>
  <c r="AJ929" i="8" s="1"/>
  <c r="AA929" i="8" s="1"/>
  <c r="AB929" i="8"/>
  <c r="AT929" i="8"/>
  <c r="AK929" i="8" s="1"/>
  <c r="AC929" i="8"/>
  <c r="AB1146" i="8"/>
  <c r="AT1146" i="8"/>
  <c r="AK1146" i="8" s="1"/>
  <c r="AS1146" i="8"/>
  <c r="AJ1146" i="8" s="1"/>
  <c r="AA1146" i="8" s="1"/>
  <c r="AC1146" i="8"/>
  <c r="AO60" i="8"/>
  <c r="AL60" i="8"/>
  <c r="AE60" i="8" s="1"/>
  <c r="AN60" i="8"/>
  <c r="AM60" i="8"/>
  <c r="AF60" i="8" s="1"/>
  <c r="AB134" i="8"/>
  <c r="AC134" i="8"/>
  <c r="AS134" i="8"/>
  <c r="AJ134" i="8" s="1"/>
  <c r="AT134" i="8"/>
  <c r="AK134" i="8" s="1"/>
  <c r="AT918" i="8"/>
  <c r="AK918" i="8" s="1"/>
  <c r="AS918" i="8"/>
  <c r="AJ918" i="8" s="1"/>
  <c r="AC918" i="8"/>
  <c r="AB918" i="8"/>
  <c r="AT1102" i="8"/>
  <c r="AK1102" i="8" s="1"/>
  <c r="AC1102" i="8"/>
  <c r="AS1102" i="8"/>
  <c r="AJ1102" i="8" s="1"/>
  <c r="AB1102" i="8"/>
  <c r="AC207" i="8"/>
  <c r="AB207" i="8"/>
  <c r="AT207" i="8"/>
  <c r="AK207" i="8" s="1"/>
  <c r="AS207" i="8"/>
  <c r="AJ207" i="8" s="1"/>
  <c r="AO323" i="8"/>
  <c r="AM323" i="8"/>
  <c r="AF323" i="8" s="1"/>
  <c r="AL323" i="8"/>
  <c r="AE323" i="8" s="1"/>
  <c r="AN323" i="8"/>
  <c r="AL916" i="8"/>
  <c r="AE916" i="8" s="1"/>
  <c r="Y916" i="8" s="1"/>
  <c r="AO916" i="8"/>
  <c r="AN916" i="8"/>
  <c r="AM916" i="8"/>
  <c r="AF916" i="8" s="1"/>
  <c r="AC507" i="8"/>
  <c r="AT507" i="8"/>
  <c r="AK507" i="8" s="1"/>
  <c r="AB507" i="8"/>
  <c r="AS507" i="8"/>
  <c r="AJ507" i="8" s="1"/>
  <c r="AA507" i="8" s="1"/>
  <c r="AT663" i="8"/>
  <c r="AK663" i="8" s="1"/>
  <c r="AC663" i="8"/>
  <c r="AS663" i="8"/>
  <c r="AJ663" i="8" s="1"/>
  <c r="AA663" i="8" s="1"/>
  <c r="AB663" i="8"/>
  <c r="Z116" i="8"/>
  <c r="AL218" i="8"/>
  <c r="AE218" i="8" s="1"/>
  <c r="AO218" i="8"/>
  <c r="AN218" i="8"/>
  <c r="AM218" i="8"/>
  <c r="AF218" i="8" s="1"/>
  <c r="AN719" i="8"/>
  <c r="AM719" i="8"/>
  <c r="AF719" i="8" s="1"/>
  <c r="AL719" i="8"/>
  <c r="AE719" i="8" s="1"/>
  <c r="AO719" i="8"/>
  <c r="AM1051" i="8"/>
  <c r="AF1051" i="8" s="1"/>
  <c r="AL1051" i="8"/>
  <c r="AE1051" i="8" s="1"/>
  <c r="AN1051" i="8"/>
  <c r="AO1051" i="8"/>
  <c r="AS825" i="8"/>
  <c r="AJ825" i="8" s="1"/>
  <c r="AC825" i="8"/>
  <c r="AB825" i="8"/>
  <c r="AT825" i="8"/>
  <c r="AK825" i="8" s="1"/>
  <c r="AS1045" i="8"/>
  <c r="AJ1045" i="8" s="1"/>
  <c r="AB1045" i="8"/>
  <c r="AT1045" i="8"/>
  <c r="AK1045" i="8" s="1"/>
  <c r="AC1045" i="8"/>
  <c r="X1193" i="8"/>
  <c r="AB720" i="8"/>
  <c r="AT720" i="8"/>
  <c r="AK720" i="8" s="1"/>
  <c r="AS720" i="8"/>
  <c r="AJ720" i="8" s="1"/>
  <c r="AA720" i="8" s="1"/>
  <c r="AC720" i="8"/>
  <c r="AS269" i="8"/>
  <c r="AJ269" i="8" s="1"/>
  <c r="AA269" i="8" s="1"/>
  <c r="AC269" i="8"/>
  <c r="AB269" i="8"/>
  <c r="AT269" i="8"/>
  <c r="AK269" i="8" s="1"/>
  <c r="Y67" i="8"/>
  <c r="AS185" i="8"/>
  <c r="AJ185" i="8" s="1"/>
  <c r="AC185" i="8"/>
  <c r="AT185" i="8"/>
  <c r="AK185" i="8" s="1"/>
  <c r="AB185" i="8"/>
  <c r="AS537" i="8"/>
  <c r="AJ537" i="8" s="1"/>
  <c r="AA537" i="8" s="1"/>
  <c r="AC537" i="8"/>
  <c r="AB537" i="8"/>
  <c r="AT537" i="8"/>
  <c r="AK537" i="8" s="1"/>
  <c r="AC857" i="8"/>
  <c r="AB857" i="8"/>
  <c r="AT857" i="8"/>
  <c r="AK857" i="8" s="1"/>
  <c r="AS857" i="8"/>
  <c r="AJ857" i="8" s="1"/>
  <c r="AA857" i="8" s="1"/>
  <c r="X118" i="8"/>
  <c r="AT215" i="8"/>
  <c r="AK215" i="8" s="1"/>
  <c r="AB215" i="8"/>
  <c r="AS215" i="8"/>
  <c r="AJ215" i="8" s="1"/>
  <c r="AA215" i="8" s="1"/>
  <c r="AC215" i="8"/>
  <c r="AT271" i="8"/>
  <c r="AK271" i="8" s="1"/>
  <c r="AB271" i="8"/>
  <c r="AC271" i="8"/>
  <c r="AS271" i="8"/>
  <c r="AJ271" i="8" s="1"/>
  <c r="AA271" i="8" s="1"/>
  <c r="AT503" i="8"/>
  <c r="AK503" i="8" s="1"/>
  <c r="AC503" i="8"/>
  <c r="AB503" i="8"/>
  <c r="AS503" i="8"/>
  <c r="AJ503" i="8" s="1"/>
  <c r="AB726" i="8"/>
  <c r="AC726" i="8"/>
  <c r="AT726" i="8"/>
  <c r="AK726" i="8" s="1"/>
  <c r="AS726" i="8"/>
  <c r="AJ726" i="8" s="1"/>
  <c r="AA726" i="8" s="1"/>
  <c r="AC979" i="8"/>
  <c r="AT979" i="8"/>
  <c r="AK979" i="8" s="1"/>
  <c r="AS979" i="8"/>
  <c r="AJ979" i="8" s="1"/>
  <c r="AA979" i="8" s="1"/>
  <c r="AB979" i="8"/>
  <c r="AS1163" i="8"/>
  <c r="AJ1163" i="8" s="1"/>
  <c r="AC1163" i="8"/>
  <c r="AB1163" i="8"/>
  <c r="AT1163" i="8"/>
  <c r="AK1163" i="8" s="1"/>
  <c r="AO296" i="8"/>
  <c r="AN296" i="8"/>
  <c r="AM296" i="8"/>
  <c r="AF296" i="8" s="1"/>
  <c r="AL296" i="8"/>
  <c r="AE296" i="8" s="1"/>
  <c r="AO935" i="8"/>
  <c r="AN935" i="8"/>
  <c r="AM935" i="8"/>
  <c r="AF935" i="8" s="1"/>
  <c r="AL935" i="8"/>
  <c r="AE935" i="8" s="1"/>
  <c r="AS314" i="8"/>
  <c r="AJ314" i="8" s="1"/>
  <c r="AC314" i="8"/>
  <c r="AT314" i="8"/>
  <c r="AK314" i="8" s="1"/>
  <c r="AB314" i="8"/>
  <c r="AS103" i="8"/>
  <c r="AJ103" i="8" s="1"/>
  <c r="AC103" i="8"/>
  <c r="AB103" i="8"/>
  <c r="AT103" i="8"/>
  <c r="AK103" i="8" s="1"/>
  <c r="X938" i="8"/>
  <c r="X1099" i="8"/>
  <c r="Z133" i="8"/>
  <c r="Z269" i="8"/>
  <c r="AC112" i="8"/>
  <c r="AT112" i="8"/>
  <c r="AK112" i="8" s="1"/>
  <c r="AB112" i="8"/>
  <c r="AS112" i="8"/>
  <c r="AJ112" i="8" s="1"/>
  <c r="AA112" i="8" s="1"/>
  <c r="AT316" i="8"/>
  <c r="AK316" i="8" s="1"/>
  <c r="AB316" i="8"/>
  <c r="AS316" i="8"/>
  <c r="AJ316" i="8" s="1"/>
  <c r="AA316" i="8" s="1"/>
  <c r="AC316" i="8"/>
  <c r="AT413" i="8"/>
  <c r="AK413" i="8" s="1"/>
  <c r="AS413" i="8"/>
  <c r="AJ413" i="8" s="1"/>
  <c r="AC413" i="8"/>
  <c r="AB413" i="8"/>
  <c r="AS553" i="8"/>
  <c r="AJ553" i="8" s="1"/>
  <c r="AA553" i="8" s="1"/>
  <c r="AC553" i="8"/>
  <c r="AB553" i="8"/>
  <c r="AT553" i="8"/>
  <c r="AK553" i="8" s="1"/>
  <c r="AB873" i="8"/>
  <c r="AT873" i="8"/>
  <c r="AK873" i="8" s="1"/>
  <c r="AS873" i="8"/>
  <c r="AJ873" i="8" s="1"/>
  <c r="AA873" i="8" s="1"/>
  <c r="AC873" i="8"/>
  <c r="AT1057" i="8"/>
  <c r="AK1057" i="8" s="1"/>
  <c r="AC1057" i="8"/>
  <c r="AS1057" i="8"/>
  <c r="AJ1057" i="8" s="1"/>
  <c r="AA1057" i="8" s="1"/>
  <c r="AB1057" i="8"/>
  <c r="AA38" i="8"/>
  <c r="AS286" i="8"/>
  <c r="AJ286" i="8" s="1"/>
  <c r="AC286" i="8"/>
  <c r="AB286" i="8"/>
  <c r="AT286" i="8"/>
  <c r="AK286" i="8" s="1"/>
  <c r="AC590" i="8"/>
  <c r="AT590" i="8"/>
  <c r="AK590" i="8" s="1"/>
  <c r="AB590" i="8"/>
  <c r="AS590" i="8"/>
  <c r="AJ590" i="8" s="1"/>
  <c r="AA590" i="8" s="1"/>
  <c r="AT948" i="8"/>
  <c r="AK948" i="8" s="1"/>
  <c r="AC948" i="8"/>
  <c r="AB948" i="8"/>
  <c r="AS948" i="8"/>
  <c r="AJ948" i="8" s="1"/>
  <c r="AO170" i="8"/>
  <c r="AN170" i="8"/>
  <c r="AL170" i="8"/>
  <c r="AE170" i="8" s="1"/>
  <c r="AM170" i="8"/>
  <c r="AF170" i="8" s="1"/>
  <c r="AO796" i="8"/>
  <c r="AN796" i="8"/>
  <c r="AM796" i="8"/>
  <c r="AF796" i="8" s="1"/>
  <c r="AL796" i="8"/>
  <c r="AE796" i="8" s="1"/>
  <c r="AO1113" i="8"/>
  <c r="AN1113" i="8"/>
  <c r="AL1113" i="8"/>
  <c r="AE1113" i="8" s="1"/>
  <c r="AM1113" i="8"/>
  <c r="AF1113" i="8" s="1"/>
  <c r="AC822" i="8"/>
  <c r="AB822" i="8"/>
  <c r="AT822" i="8"/>
  <c r="AK822" i="8" s="1"/>
  <c r="AS822" i="8"/>
  <c r="AJ822" i="8" s="1"/>
  <c r="AT996" i="8"/>
  <c r="AK996" i="8" s="1"/>
  <c r="AC996" i="8"/>
  <c r="AS996" i="8"/>
  <c r="AJ996" i="8" s="1"/>
  <c r="AB996" i="8"/>
  <c r="AT1157" i="8"/>
  <c r="AK1157" i="8" s="1"/>
  <c r="AC1157" i="8"/>
  <c r="AS1157" i="8"/>
  <c r="AJ1157" i="8" s="1"/>
  <c r="AB1157" i="8"/>
  <c r="AS22" i="8"/>
  <c r="AJ22" i="8" s="1"/>
  <c r="AC22" i="8"/>
  <c r="AB22" i="8"/>
  <c r="AT22" i="8"/>
  <c r="AK22" i="8" s="1"/>
  <c r="AB400" i="8"/>
  <c r="AS400" i="8"/>
  <c r="AJ400" i="8" s="1"/>
  <c r="AC400" i="8"/>
  <c r="AT400" i="8"/>
  <c r="AK400" i="8" s="1"/>
  <c r="AB730" i="8"/>
  <c r="AT730" i="8"/>
  <c r="AK730" i="8" s="1"/>
  <c r="AS730" i="8"/>
  <c r="AJ730" i="8" s="1"/>
  <c r="AC730" i="8"/>
  <c r="AS1131" i="8"/>
  <c r="AJ1131" i="8" s="1"/>
  <c r="AC1131" i="8"/>
  <c r="AB1131" i="8"/>
  <c r="AT1131" i="8"/>
  <c r="AK1131" i="8" s="1"/>
  <c r="AS262" i="8"/>
  <c r="AJ262" i="8" s="1"/>
  <c r="AC262" i="8"/>
  <c r="AB262" i="8"/>
  <c r="AT262" i="8"/>
  <c r="AK262" i="8" s="1"/>
  <c r="Y19" i="8"/>
  <c r="AT757" i="8"/>
  <c r="AK757" i="8" s="1"/>
  <c r="AS757" i="8"/>
  <c r="AJ757" i="8" s="1"/>
  <c r="AA757" i="8" s="1"/>
  <c r="AC757" i="8"/>
  <c r="AB757" i="8"/>
  <c r="AO215" i="8"/>
  <c r="AN215" i="8"/>
  <c r="AM215" i="8"/>
  <c r="AF215" i="8" s="1"/>
  <c r="AL215" i="8"/>
  <c r="AE215" i="8" s="1"/>
  <c r="AB736" i="8"/>
  <c r="AC736" i="8"/>
  <c r="AT736" i="8"/>
  <c r="AK736" i="8" s="1"/>
  <c r="AS736" i="8"/>
  <c r="AJ736" i="8" s="1"/>
  <c r="AS801" i="8"/>
  <c r="AJ801" i="8" s="1"/>
  <c r="AC801" i="8"/>
  <c r="AB801" i="8"/>
  <c r="AT801" i="8"/>
  <c r="AK801" i="8" s="1"/>
  <c r="Z888" i="8"/>
  <c r="Y699" i="8"/>
  <c r="Z729" i="8"/>
  <c r="Z615" i="8"/>
  <c r="Z828" i="8"/>
  <c r="Z629" i="8"/>
  <c r="Z430" i="8"/>
  <c r="Z477" i="8"/>
  <c r="Z322" i="8"/>
  <c r="Y230" i="8"/>
  <c r="Z159" i="8"/>
  <c r="AC124" i="8"/>
  <c r="AB124" i="8"/>
  <c r="AT124" i="8"/>
  <c r="AK124" i="8" s="1"/>
  <c r="AS124" i="8"/>
  <c r="AJ124" i="8" s="1"/>
  <c r="AA124" i="8" s="1"/>
  <c r="AS346" i="8"/>
  <c r="AJ346" i="8" s="1"/>
  <c r="AC346" i="8"/>
  <c r="AT346" i="8"/>
  <c r="AK346" i="8" s="1"/>
  <c r="AB346" i="8"/>
  <c r="AC514" i="8"/>
  <c r="AT514" i="8"/>
  <c r="AK514" i="8" s="1"/>
  <c r="AS514" i="8"/>
  <c r="AJ514" i="8" s="1"/>
  <c r="AB514" i="8"/>
  <c r="AC796" i="8"/>
  <c r="AT796" i="8"/>
  <c r="AK796" i="8" s="1"/>
  <c r="AB796" i="8"/>
  <c r="AS796" i="8"/>
  <c r="AJ796" i="8" s="1"/>
  <c r="AT990" i="8"/>
  <c r="AK990" i="8" s="1"/>
  <c r="AS990" i="8"/>
  <c r="AJ990" i="8" s="1"/>
  <c r="AC990" i="8"/>
  <c r="AB990" i="8"/>
  <c r="AC1164" i="8"/>
  <c r="AB1164" i="8"/>
  <c r="AT1164" i="8"/>
  <c r="AK1164" i="8" s="1"/>
  <c r="AS1164" i="8"/>
  <c r="AJ1164" i="8" s="1"/>
  <c r="AB142" i="8"/>
  <c r="AC142" i="8"/>
  <c r="AT142" i="8"/>
  <c r="AK142" i="8" s="1"/>
  <c r="AS142" i="8"/>
  <c r="AJ142" i="8" s="1"/>
  <c r="AA142" i="8" s="1"/>
  <c r="Z225" i="8"/>
  <c r="AN149" i="8"/>
  <c r="AM149" i="8"/>
  <c r="AF149" i="8" s="1"/>
  <c r="AL149" i="8"/>
  <c r="AE149" i="8" s="1"/>
  <c r="AO149" i="8"/>
  <c r="AO780" i="8"/>
  <c r="AN780" i="8"/>
  <c r="AM780" i="8"/>
  <c r="AF780" i="8" s="1"/>
  <c r="AL780" i="8"/>
  <c r="AE780" i="8" s="1"/>
  <c r="AO1194" i="8"/>
  <c r="AN1194" i="8"/>
  <c r="AM1194" i="8"/>
  <c r="AF1194" i="8" s="1"/>
  <c r="AL1194" i="8"/>
  <c r="AE1194" i="8" s="1"/>
  <c r="AL243" i="8"/>
  <c r="AE243" i="8" s="1"/>
  <c r="AN243" i="8"/>
  <c r="AO243" i="8"/>
  <c r="AM243" i="8"/>
  <c r="AF243" i="8" s="1"/>
  <c r="AO818" i="8"/>
  <c r="AN818" i="8"/>
  <c r="AM818" i="8"/>
  <c r="AF818" i="8" s="1"/>
  <c r="AL818" i="8"/>
  <c r="AE818" i="8" s="1"/>
  <c r="AL1163" i="8"/>
  <c r="AE1163" i="8" s="1"/>
  <c r="AM1163" i="8"/>
  <c r="AF1163" i="8" s="1"/>
  <c r="AO1163" i="8"/>
  <c r="AN1163" i="8"/>
  <c r="AS265" i="8"/>
  <c r="AJ265" i="8" s="1"/>
  <c r="AA265" i="8" s="1"/>
  <c r="AC265" i="8"/>
  <c r="AB265" i="8"/>
  <c r="AT265" i="8"/>
  <c r="AK265" i="8" s="1"/>
  <c r="AS29" i="8"/>
  <c r="AJ29" i="8" s="1"/>
  <c r="AA29" i="8" s="1"/>
  <c r="AT29" i="8"/>
  <c r="AK29" i="8" s="1"/>
  <c r="AC29" i="8"/>
  <c r="AB29" i="8"/>
  <c r="AT60" i="8"/>
  <c r="AK60" i="8" s="1"/>
  <c r="AC60" i="8"/>
  <c r="AS60" i="8"/>
  <c r="AJ60" i="8" s="1"/>
  <c r="AB60" i="8"/>
  <c r="AS320" i="8"/>
  <c r="AJ320" i="8" s="1"/>
  <c r="AC320" i="8"/>
  <c r="AB320" i="8"/>
  <c r="AT320" i="8"/>
  <c r="AK320" i="8" s="1"/>
  <c r="AS394" i="8"/>
  <c r="AJ394" i="8" s="1"/>
  <c r="AA394" i="8" s="1"/>
  <c r="AC394" i="8"/>
  <c r="AB394" i="8"/>
  <c r="AT394" i="8"/>
  <c r="AK394" i="8" s="1"/>
  <c r="AC588" i="8"/>
  <c r="AT588" i="8"/>
  <c r="AK588" i="8" s="1"/>
  <c r="AB588" i="8"/>
  <c r="AS588" i="8"/>
  <c r="AJ588" i="8" s="1"/>
  <c r="AA588" i="8" s="1"/>
  <c r="AS854" i="8"/>
  <c r="AJ854" i="8" s="1"/>
  <c r="AC854" i="8"/>
  <c r="AB854" i="8"/>
  <c r="AT854" i="8"/>
  <c r="AK854" i="8" s="1"/>
  <c r="AS1005" i="8"/>
  <c r="AJ1005" i="8" s="1"/>
  <c r="AB1005" i="8"/>
  <c r="AT1005" i="8"/>
  <c r="AK1005" i="8" s="1"/>
  <c r="AC1005" i="8"/>
  <c r="AS210" i="8"/>
  <c r="AJ210" i="8" s="1"/>
  <c r="AA210" i="8" s="1"/>
  <c r="AC210" i="8"/>
  <c r="AB210" i="8"/>
  <c r="AT210" i="8"/>
  <c r="AK210" i="8" s="1"/>
  <c r="AS601" i="8"/>
  <c r="AJ601" i="8" s="1"/>
  <c r="AA601" i="8" s="1"/>
  <c r="AC601" i="8"/>
  <c r="AT601" i="8"/>
  <c r="AK601" i="8" s="1"/>
  <c r="AB601" i="8"/>
  <c r="AT713" i="8"/>
  <c r="AK713" i="8" s="1"/>
  <c r="AB713" i="8"/>
  <c r="AS713" i="8"/>
  <c r="AJ713" i="8" s="1"/>
  <c r="AC713" i="8"/>
  <c r="AC666" i="8"/>
  <c r="AT666" i="8"/>
  <c r="AK666" i="8" s="1"/>
  <c r="AB666" i="8"/>
  <c r="AS666" i="8"/>
  <c r="AJ666" i="8" s="1"/>
  <c r="AA666" i="8" s="1"/>
  <c r="AS773" i="8"/>
  <c r="AJ773" i="8" s="1"/>
  <c r="AA773" i="8" s="1"/>
  <c r="AC773" i="8"/>
  <c r="AB773" i="8"/>
  <c r="AT773" i="8"/>
  <c r="AK773" i="8" s="1"/>
  <c r="AB148" i="8"/>
  <c r="AT148" i="8"/>
  <c r="AK148" i="8" s="1"/>
  <c r="AS148" i="8"/>
  <c r="AJ148" i="8" s="1"/>
  <c r="AA148" i="8" s="1"/>
  <c r="AC148" i="8"/>
  <c r="AS306" i="8"/>
  <c r="AJ306" i="8" s="1"/>
  <c r="AC306" i="8"/>
  <c r="AB306" i="8"/>
  <c r="AT306" i="8"/>
  <c r="AK306" i="8" s="1"/>
  <c r="AB375" i="8"/>
  <c r="AC375" i="8"/>
  <c r="AT375" i="8"/>
  <c r="AK375" i="8" s="1"/>
  <c r="AS375" i="8"/>
  <c r="AJ375" i="8" s="1"/>
  <c r="AC616" i="8"/>
  <c r="AB616" i="8"/>
  <c r="AT616" i="8"/>
  <c r="AK616" i="8" s="1"/>
  <c r="AS616" i="8"/>
  <c r="AJ616" i="8" s="1"/>
  <c r="AC889" i="8"/>
  <c r="AT889" i="8"/>
  <c r="AK889" i="8" s="1"/>
  <c r="AS889" i="8"/>
  <c r="AJ889" i="8" s="1"/>
  <c r="AA889" i="8" s="1"/>
  <c r="AB889" i="8"/>
  <c r="AS1119" i="8"/>
  <c r="AJ1119" i="8" s="1"/>
  <c r="AC1119" i="8"/>
  <c r="AB1119" i="8"/>
  <c r="AT1119" i="8"/>
  <c r="AK1119" i="8" s="1"/>
  <c r="AB688" i="8"/>
  <c r="AC688" i="8"/>
  <c r="AS688" i="8"/>
  <c r="AJ688" i="8" s="1"/>
  <c r="AT688" i="8"/>
  <c r="AK688" i="8" s="1"/>
  <c r="AT767" i="8"/>
  <c r="AK767" i="8" s="1"/>
  <c r="AS767" i="8"/>
  <c r="AJ767" i="8" s="1"/>
  <c r="AC767" i="8"/>
  <c r="AB767" i="8"/>
  <c r="AO176" i="8"/>
  <c r="AN176" i="8"/>
  <c r="AM176" i="8"/>
  <c r="AF176" i="8" s="1"/>
  <c r="AL176" i="8"/>
  <c r="AE176" i="8" s="1"/>
  <c r="AO807" i="8"/>
  <c r="AN807" i="8"/>
  <c r="AM807" i="8"/>
  <c r="AF807" i="8" s="1"/>
  <c r="AL807" i="8"/>
  <c r="AE807" i="8" s="1"/>
  <c r="AO1170" i="8"/>
  <c r="AM1170" i="8"/>
  <c r="AF1170" i="8" s="1"/>
  <c r="AN1170" i="8"/>
  <c r="AL1170" i="8"/>
  <c r="AE1170" i="8" s="1"/>
  <c r="AO368" i="8"/>
  <c r="AN368" i="8"/>
  <c r="AL368" i="8"/>
  <c r="AE368" i="8" s="1"/>
  <c r="AM368" i="8"/>
  <c r="AF368" i="8" s="1"/>
  <c r="AM1007" i="8"/>
  <c r="AF1007" i="8" s="1"/>
  <c r="AO1007" i="8"/>
  <c r="AN1007" i="8"/>
  <c r="AL1007" i="8"/>
  <c r="AE1007" i="8" s="1"/>
  <c r="AS791" i="8"/>
  <c r="AJ791" i="8" s="1"/>
  <c r="AC791" i="8"/>
  <c r="AB791" i="8"/>
  <c r="AT791" i="8"/>
  <c r="AK791" i="8" s="1"/>
  <c r="AT985" i="8"/>
  <c r="AK985" i="8" s="1"/>
  <c r="AS985" i="8"/>
  <c r="AJ985" i="8" s="1"/>
  <c r="AC985" i="8"/>
  <c r="AB985" i="8"/>
  <c r="AB1182" i="8"/>
  <c r="AT1182" i="8"/>
  <c r="AK1182" i="8" s="1"/>
  <c r="AC1182" i="8"/>
  <c r="AS1182" i="8"/>
  <c r="AJ1182" i="8" s="1"/>
  <c r="AT162" i="8"/>
  <c r="AK162" i="8" s="1"/>
  <c r="AC162" i="8"/>
  <c r="AS162" i="8"/>
  <c r="AJ162" i="8" s="1"/>
  <c r="AB162" i="8"/>
  <c r="AC931" i="8"/>
  <c r="AT931" i="8"/>
  <c r="AK931" i="8" s="1"/>
  <c r="AB931" i="8"/>
  <c r="AS931" i="8"/>
  <c r="AJ931" i="8" s="1"/>
  <c r="AT1138" i="8"/>
  <c r="AK1138" i="8" s="1"/>
  <c r="AC1138" i="8"/>
  <c r="AB1138" i="8"/>
  <c r="AS1138" i="8"/>
  <c r="AJ1138" i="8" s="1"/>
  <c r="AO346" i="8"/>
  <c r="AN346" i="8"/>
  <c r="AM346" i="8"/>
  <c r="AF346" i="8" s="1"/>
  <c r="AL346" i="8"/>
  <c r="AE346" i="8" s="1"/>
  <c r="AN962" i="8"/>
  <c r="AM962" i="8"/>
  <c r="AF962" i="8" s="1"/>
  <c r="AL962" i="8"/>
  <c r="AE962" i="8" s="1"/>
  <c r="AO962" i="8"/>
  <c r="AS517" i="8"/>
  <c r="AJ517" i="8" s="1"/>
  <c r="AC517" i="8"/>
  <c r="AT517" i="8"/>
  <c r="AK517" i="8" s="1"/>
  <c r="AB517" i="8"/>
  <c r="AT653" i="8"/>
  <c r="AK653" i="8" s="1"/>
  <c r="AC653" i="8"/>
  <c r="AS653" i="8"/>
  <c r="AJ653" i="8" s="1"/>
  <c r="AB653" i="8"/>
  <c r="AT691" i="8"/>
  <c r="AK691" i="8" s="1"/>
  <c r="AB691" i="8"/>
  <c r="AS691" i="8"/>
  <c r="AJ691" i="8" s="1"/>
  <c r="AC691" i="8"/>
  <c r="X37" i="8"/>
  <c r="X15" i="8"/>
  <c r="AO844" i="8"/>
  <c r="AN844" i="8"/>
  <c r="AM844" i="8"/>
  <c r="AF844" i="8" s="1"/>
  <c r="AL844" i="8"/>
  <c r="AE844" i="8" s="1"/>
  <c r="AO1097" i="8"/>
  <c r="AN1097" i="8"/>
  <c r="AM1097" i="8"/>
  <c r="AF1097" i="8" s="1"/>
  <c r="AL1097" i="8"/>
  <c r="AE1097" i="8" s="1"/>
  <c r="AT802" i="8"/>
  <c r="AK802" i="8" s="1"/>
  <c r="AB802" i="8"/>
  <c r="AS802" i="8"/>
  <c r="AJ802" i="8" s="1"/>
  <c r="AC802" i="8"/>
  <c r="AC999" i="8"/>
  <c r="AT999" i="8"/>
  <c r="AK999" i="8" s="1"/>
  <c r="AS999" i="8"/>
  <c r="AJ999" i="8" s="1"/>
  <c r="AA999" i="8" s="1"/>
  <c r="AB999" i="8"/>
  <c r="AT1183" i="8"/>
  <c r="AK1183" i="8" s="1"/>
  <c r="AS1183" i="8"/>
  <c r="AJ1183" i="8" s="1"/>
  <c r="AC1183" i="8"/>
  <c r="AB1183" i="8"/>
  <c r="AT659" i="8"/>
  <c r="AK659" i="8" s="1"/>
  <c r="AC659" i="8"/>
  <c r="AS659" i="8"/>
  <c r="AJ659" i="8" s="1"/>
  <c r="AB659" i="8"/>
  <c r="AS338" i="8"/>
  <c r="AJ338" i="8" s="1"/>
  <c r="AC338" i="8"/>
  <c r="AB338" i="8"/>
  <c r="AT338" i="8"/>
  <c r="AK338" i="8" s="1"/>
  <c r="AS101" i="8"/>
  <c r="AJ101" i="8" s="1"/>
  <c r="AC101" i="8"/>
  <c r="AT101" i="8"/>
  <c r="AK101" i="8" s="1"/>
  <c r="AB101" i="8"/>
  <c r="AS529" i="8"/>
  <c r="AJ529" i="8" s="1"/>
  <c r="AC529" i="8"/>
  <c r="AB529" i="8"/>
  <c r="AT529" i="8"/>
  <c r="AK529" i="8" s="1"/>
  <c r="AS880" i="8"/>
  <c r="AJ880" i="8" s="1"/>
  <c r="AA880" i="8" s="1"/>
  <c r="AC880" i="8"/>
  <c r="AB880" i="8"/>
  <c r="AT880" i="8"/>
  <c r="AK880" i="8" s="1"/>
  <c r="AS67" i="8"/>
  <c r="AJ67" i="8" s="1"/>
  <c r="AC67" i="8"/>
  <c r="AT67" i="8"/>
  <c r="AK67" i="8" s="1"/>
  <c r="AB67" i="8"/>
  <c r="AS281" i="8"/>
  <c r="AJ281" i="8" s="1"/>
  <c r="AC281" i="8"/>
  <c r="AT281" i="8"/>
  <c r="AK281" i="8" s="1"/>
  <c r="AB281" i="8"/>
  <c r="AS373" i="8"/>
  <c r="AJ373" i="8" s="1"/>
  <c r="AC373" i="8"/>
  <c r="AB373" i="8"/>
  <c r="AT373" i="8"/>
  <c r="AK373" i="8" s="1"/>
  <c r="AT572" i="8"/>
  <c r="AK572" i="8" s="1"/>
  <c r="AS572" i="8"/>
  <c r="AJ572" i="8" s="1"/>
  <c r="AC572" i="8"/>
  <c r="AB572" i="8"/>
  <c r="X828" i="8"/>
  <c r="AT933" i="8"/>
  <c r="AK933" i="8" s="1"/>
  <c r="AB933" i="8"/>
  <c r="AS933" i="8"/>
  <c r="AJ933" i="8" s="1"/>
  <c r="AA933" i="8" s="1"/>
  <c r="AC933" i="8"/>
  <c r="AT1140" i="8"/>
  <c r="AK1140" i="8" s="1"/>
  <c r="AC1140" i="8"/>
  <c r="AS1140" i="8"/>
  <c r="AJ1140" i="8" s="1"/>
  <c r="AB1140" i="8"/>
  <c r="AO388" i="8"/>
  <c r="AN388" i="8"/>
  <c r="AM388" i="8"/>
  <c r="AF388" i="8" s="1"/>
  <c r="AL388" i="8"/>
  <c r="AE388" i="8" s="1"/>
  <c r="AL912" i="8"/>
  <c r="AE912" i="8" s="1"/>
  <c r="AM912" i="8"/>
  <c r="AF912" i="8" s="1"/>
  <c r="AO912" i="8"/>
  <c r="AN912" i="8"/>
  <c r="AS337" i="8"/>
  <c r="AJ337" i="8" s="1"/>
  <c r="AC337" i="8"/>
  <c r="AT337" i="8"/>
  <c r="AK337" i="8" s="1"/>
  <c r="AB337" i="8"/>
  <c r="AT164" i="8"/>
  <c r="AK164" i="8" s="1"/>
  <c r="AC164" i="8"/>
  <c r="AS164" i="8"/>
  <c r="AJ164" i="8" s="1"/>
  <c r="AB164" i="8"/>
  <c r="AT928" i="8"/>
  <c r="AK928" i="8" s="1"/>
  <c r="AS928" i="8"/>
  <c r="AJ928" i="8" s="1"/>
  <c r="AC928" i="8"/>
  <c r="AB928" i="8"/>
  <c r="AS1135" i="8"/>
  <c r="AJ1135" i="8" s="1"/>
  <c r="AA1135" i="8" s="1"/>
  <c r="AC1135" i="8"/>
  <c r="AT1135" i="8"/>
  <c r="AK1135" i="8" s="1"/>
  <c r="AB1135" i="8"/>
  <c r="Z198" i="8"/>
  <c r="Z318" i="8"/>
  <c r="Z11" i="8"/>
  <c r="AS173" i="8"/>
  <c r="AJ173" i="8" s="1"/>
  <c r="AC173" i="8"/>
  <c r="AT173" i="8"/>
  <c r="AK173" i="8" s="1"/>
  <c r="AB173" i="8"/>
  <c r="AS326" i="8"/>
  <c r="AJ326" i="8" s="1"/>
  <c r="AC326" i="8"/>
  <c r="AB326" i="8"/>
  <c r="AT326" i="8"/>
  <c r="AK326" i="8" s="1"/>
  <c r="AB372" i="8"/>
  <c r="AS372" i="8"/>
  <c r="AJ372" i="8" s="1"/>
  <c r="AA372" i="8" s="1"/>
  <c r="AC372" i="8"/>
  <c r="AT372" i="8"/>
  <c r="AK372" i="8" s="1"/>
  <c r="AT584" i="8"/>
  <c r="AK584" i="8" s="1"/>
  <c r="AS584" i="8"/>
  <c r="AJ584" i="8" s="1"/>
  <c r="AC584" i="8"/>
  <c r="AB584" i="8"/>
  <c r="AS919" i="8"/>
  <c r="AJ919" i="8" s="1"/>
  <c r="AC919" i="8"/>
  <c r="AB919" i="8"/>
  <c r="AT919" i="8"/>
  <c r="AK919" i="8" s="1"/>
  <c r="AC1093" i="8"/>
  <c r="AB1093" i="8"/>
  <c r="AT1093" i="8"/>
  <c r="AK1093" i="8" s="1"/>
  <c r="AS1093" i="8"/>
  <c r="AJ1093" i="8" s="1"/>
  <c r="AA1093" i="8" s="1"/>
  <c r="Z212" i="8"/>
  <c r="AS27" i="8"/>
  <c r="AJ27" i="8" s="1"/>
  <c r="AC27" i="8"/>
  <c r="AB27" i="8"/>
  <c r="AT27" i="8"/>
  <c r="AK27" i="8" s="1"/>
  <c r="AT647" i="8"/>
  <c r="AK647" i="8" s="1"/>
  <c r="AC647" i="8"/>
  <c r="AS647" i="8"/>
  <c r="AJ647" i="8" s="1"/>
  <c r="AB647" i="8"/>
  <c r="AT971" i="8"/>
  <c r="AK971" i="8" s="1"/>
  <c r="AC971" i="8"/>
  <c r="AS971" i="8"/>
  <c r="AJ971" i="8" s="1"/>
  <c r="AB971" i="8"/>
  <c r="AO216" i="8"/>
  <c r="AN216" i="8"/>
  <c r="AM216" i="8"/>
  <c r="AF216" i="8" s="1"/>
  <c r="AL216" i="8"/>
  <c r="AE216" i="8" s="1"/>
  <c r="AO773" i="8"/>
  <c r="AN773" i="8"/>
  <c r="AM773" i="8"/>
  <c r="AF773" i="8" s="1"/>
  <c r="AL773" i="8"/>
  <c r="AE773" i="8" s="1"/>
  <c r="AO1164" i="8"/>
  <c r="AN1164" i="8"/>
  <c r="AM1164" i="8"/>
  <c r="AF1164" i="8" s="1"/>
  <c r="AL1164" i="8"/>
  <c r="AE1164" i="8" s="1"/>
  <c r="AS799" i="8"/>
  <c r="AJ799" i="8" s="1"/>
  <c r="AC799" i="8"/>
  <c r="AB799" i="8"/>
  <c r="AT799" i="8"/>
  <c r="AK799" i="8" s="1"/>
  <c r="AS1006" i="8"/>
  <c r="AJ1006" i="8" s="1"/>
  <c r="AC1006" i="8"/>
  <c r="AB1006" i="8"/>
  <c r="AT1006" i="8"/>
  <c r="AK1006" i="8" s="1"/>
  <c r="Z20" i="8"/>
  <c r="AT127" i="8"/>
  <c r="AK127" i="8" s="1"/>
  <c r="AS127" i="8"/>
  <c r="AJ127" i="8" s="1"/>
  <c r="AC127" i="8"/>
  <c r="AB127" i="8"/>
  <c r="AB451" i="8"/>
  <c r="AC451" i="8"/>
  <c r="AT451" i="8"/>
  <c r="AK451" i="8" s="1"/>
  <c r="AS451" i="8"/>
  <c r="AJ451" i="8" s="1"/>
  <c r="AS809" i="8"/>
  <c r="AJ809" i="8" s="1"/>
  <c r="AC809" i="8"/>
  <c r="AB809" i="8"/>
  <c r="AT809" i="8"/>
  <c r="AK809" i="8" s="1"/>
  <c r="AC1200" i="8"/>
  <c r="AT1200" i="8"/>
  <c r="AK1200" i="8" s="1"/>
  <c r="AB1200" i="8"/>
  <c r="AS1200" i="8"/>
  <c r="AJ1200" i="8" s="1"/>
  <c r="AS290" i="8"/>
  <c r="AJ290" i="8" s="1"/>
  <c r="AC290" i="8"/>
  <c r="AT290" i="8"/>
  <c r="AK290" i="8" s="1"/>
  <c r="AB290" i="8"/>
  <c r="Z863" i="8"/>
  <c r="Y784" i="8"/>
  <c r="Z858" i="8"/>
  <c r="Y673" i="8"/>
  <c r="Y740" i="8"/>
  <c r="Y654" i="8"/>
  <c r="Y427" i="8"/>
  <c r="Y379" i="8"/>
  <c r="Z499" i="8"/>
  <c r="Y358" i="8"/>
  <c r="Y375" i="8"/>
  <c r="Y255" i="8"/>
  <c r="Y225" i="8"/>
  <c r="Y331" i="8"/>
  <c r="Y206" i="8"/>
  <c r="AS254" i="8"/>
  <c r="AJ254" i="8" s="1"/>
  <c r="AA254" i="8" s="1"/>
  <c r="AC254" i="8"/>
  <c r="AB254" i="8"/>
  <c r="AT254" i="8"/>
  <c r="AK254" i="8" s="1"/>
  <c r="AC323" i="8"/>
  <c r="AT323" i="8"/>
  <c r="AK323" i="8" s="1"/>
  <c r="AS323" i="8"/>
  <c r="AJ323" i="8" s="1"/>
  <c r="AB323" i="8"/>
  <c r="AC524" i="8"/>
  <c r="AT524" i="8"/>
  <c r="AK524" i="8" s="1"/>
  <c r="AS524" i="8"/>
  <c r="AJ524" i="8" s="1"/>
  <c r="AA524" i="8" s="1"/>
  <c r="AB524" i="8"/>
  <c r="AS829" i="8"/>
  <c r="AJ829" i="8" s="1"/>
  <c r="AC829" i="8"/>
  <c r="AB829" i="8"/>
  <c r="AT829" i="8"/>
  <c r="AK829" i="8" s="1"/>
  <c r="AS1026" i="8"/>
  <c r="AJ1026" i="8" s="1"/>
  <c r="AC1026" i="8"/>
  <c r="AT1026" i="8"/>
  <c r="AK1026" i="8" s="1"/>
  <c r="AB1026" i="8"/>
  <c r="AS1151" i="8"/>
  <c r="AJ1151" i="8" s="1"/>
  <c r="AC1151" i="8"/>
  <c r="AB1151" i="8"/>
  <c r="AT1151" i="8"/>
  <c r="AK1151" i="8" s="1"/>
  <c r="AN223" i="8"/>
  <c r="AL223" i="8"/>
  <c r="AE223" i="8" s="1"/>
  <c r="AO223" i="8"/>
  <c r="AM223" i="8"/>
  <c r="AF223" i="8" s="1"/>
  <c r="AN831" i="8"/>
  <c r="AM831" i="8"/>
  <c r="AF831" i="8" s="1"/>
  <c r="AO831" i="8"/>
  <c r="AL831" i="8"/>
  <c r="AE831" i="8" s="1"/>
  <c r="AS485" i="8"/>
  <c r="AJ485" i="8" s="1"/>
  <c r="AC485" i="8"/>
  <c r="AT485" i="8"/>
  <c r="AK485" i="8" s="1"/>
  <c r="AB485" i="8"/>
  <c r="AN363" i="8"/>
  <c r="AO363" i="8"/>
  <c r="AM363" i="8"/>
  <c r="AF363" i="8" s="1"/>
  <c r="AL363" i="8"/>
  <c r="AE363" i="8" s="1"/>
  <c r="AM841" i="8"/>
  <c r="AF841" i="8" s="1"/>
  <c r="AO841" i="8"/>
  <c r="AN841" i="8"/>
  <c r="AL841" i="8"/>
  <c r="AE841" i="8" s="1"/>
  <c r="AT499" i="8"/>
  <c r="AK499" i="8" s="1"/>
  <c r="AC499" i="8"/>
  <c r="AS499" i="8"/>
  <c r="AJ499" i="8" s="1"/>
  <c r="AB499" i="8"/>
  <c r="AS288" i="8"/>
  <c r="AJ288" i="8" s="1"/>
  <c r="AA288" i="8" s="1"/>
  <c r="AC288" i="8"/>
  <c r="AB288" i="8"/>
  <c r="AT288" i="8"/>
  <c r="AK288" i="8" s="1"/>
  <c r="AB19" i="8"/>
  <c r="AC19" i="8"/>
  <c r="AT19" i="8"/>
  <c r="AK19" i="8" s="1"/>
  <c r="AS19" i="8"/>
  <c r="AJ19" i="8" s="1"/>
  <c r="AA19" i="8" s="1"/>
  <c r="AT182" i="8"/>
  <c r="AK182" i="8" s="1"/>
  <c r="AC182" i="8"/>
  <c r="AS182" i="8"/>
  <c r="AJ182" i="8" s="1"/>
  <c r="AB182" i="8"/>
  <c r="AC256" i="8"/>
  <c r="AT256" i="8"/>
  <c r="AK256" i="8" s="1"/>
  <c r="AB256" i="8"/>
  <c r="AS256" i="8"/>
  <c r="AJ256" i="8" s="1"/>
  <c r="AT417" i="8"/>
  <c r="AK417" i="8" s="1"/>
  <c r="AC417" i="8"/>
  <c r="AS417" i="8"/>
  <c r="AJ417" i="8" s="1"/>
  <c r="AB417" i="8"/>
  <c r="AT478" i="8"/>
  <c r="AK478" i="8" s="1"/>
  <c r="AS478" i="8"/>
  <c r="AJ478" i="8" s="1"/>
  <c r="AA478" i="8" s="1"/>
  <c r="AC478" i="8"/>
  <c r="AB478" i="8"/>
  <c r="AS831" i="8"/>
  <c r="AJ831" i="8" s="1"/>
  <c r="AA831" i="8" s="1"/>
  <c r="AC831" i="8"/>
  <c r="AB831" i="8"/>
  <c r="AT831" i="8"/>
  <c r="AK831" i="8" s="1"/>
  <c r="AS1038" i="8"/>
  <c r="AJ1038" i="8" s="1"/>
  <c r="AC1038" i="8"/>
  <c r="AB1038" i="8"/>
  <c r="AT1038" i="8"/>
  <c r="AK1038" i="8" s="1"/>
  <c r="AS261" i="8"/>
  <c r="AJ261" i="8" s="1"/>
  <c r="AA261" i="8" s="1"/>
  <c r="AC261" i="8"/>
  <c r="AB261" i="8"/>
  <c r="AT261" i="8"/>
  <c r="AK261" i="8" s="1"/>
  <c r="AT580" i="8"/>
  <c r="AK580" i="8" s="1"/>
  <c r="AC580" i="8"/>
  <c r="AS580" i="8"/>
  <c r="AJ580" i="8" s="1"/>
  <c r="AB580" i="8"/>
  <c r="AB708" i="8"/>
  <c r="AC708" i="8"/>
  <c r="AT708" i="8"/>
  <c r="AK708" i="8" s="1"/>
  <c r="AS708" i="8"/>
  <c r="AJ708" i="8" s="1"/>
  <c r="AS633" i="8"/>
  <c r="AJ633" i="8" s="1"/>
  <c r="AC633" i="8"/>
  <c r="AB633" i="8"/>
  <c r="AT633" i="8"/>
  <c r="AK633" i="8" s="1"/>
  <c r="AC768" i="8"/>
  <c r="AT768" i="8"/>
  <c r="AK768" i="8" s="1"/>
  <c r="AB768" i="8"/>
  <c r="AS768" i="8"/>
  <c r="AJ768" i="8" s="1"/>
  <c r="AS199" i="8"/>
  <c r="AJ199" i="8" s="1"/>
  <c r="AT199" i="8"/>
  <c r="AK199" i="8" s="1"/>
  <c r="AC199" i="8"/>
  <c r="AB199" i="8"/>
  <c r="AS329" i="8"/>
  <c r="AJ329" i="8" s="1"/>
  <c r="AC329" i="8"/>
  <c r="AT329" i="8"/>
  <c r="AK329" i="8" s="1"/>
  <c r="AB329" i="8"/>
  <c r="AT411" i="8"/>
  <c r="AK411" i="8" s="1"/>
  <c r="AB411" i="8"/>
  <c r="AC411" i="8"/>
  <c r="AS411" i="8"/>
  <c r="AJ411" i="8" s="1"/>
  <c r="AA411" i="8" s="1"/>
  <c r="AC644" i="8"/>
  <c r="AB644" i="8"/>
  <c r="AT644" i="8"/>
  <c r="AK644" i="8" s="1"/>
  <c r="AS644" i="8"/>
  <c r="AJ644" i="8" s="1"/>
  <c r="AC935" i="8"/>
  <c r="AT935" i="8"/>
  <c r="AK935" i="8" s="1"/>
  <c r="AS935" i="8"/>
  <c r="AJ935" i="8" s="1"/>
  <c r="AB935" i="8"/>
  <c r="AT1106" i="8"/>
  <c r="AK1106" i="8" s="1"/>
  <c r="AS1106" i="8"/>
  <c r="AJ1106" i="8" s="1"/>
  <c r="AC1106" i="8"/>
  <c r="AB1106" i="8"/>
  <c r="AT632" i="8"/>
  <c r="AK632" i="8" s="1"/>
  <c r="AS632" i="8"/>
  <c r="AJ632" i="8" s="1"/>
  <c r="AC632" i="8"/>
  <c r="AB632" i="8"/>
  <c r="AT772" i="8"/>
  <c r="AK772" i="8" s="1"/>
  <c r="AS772" i="8"/>
  <c r="AJ772" i="8" s="1"/>
  <c r="AC772" i="8"/>
  <c r="AB772" i="8"/>
  <c r="AT188" i="8"/>
  <c r="AK188" i="8" s="1"/>
  <c r="AC188" i="8"/>
  <c r="AS188" i="8"/>
  <c r="AJ188" i="8" s="1"/>
  <c r="AB188" i="8"/>
  <c r="AO199" i="8"/>
  <c r="AN199" i="8"/>
  <c r="AM199" i="8"/>
  <c r="AF199" i="8" s="1"/>
  <c r="AL199" i="8"/>
  <c r="AE199" i="8" s="1"/>
  <c r="AO871" i="8"/>
  <c r="AN871" i="8"/>
  <c r="AM871" i="8"/>
  <c r="AF871" i="8" s="1"/>
  <c r="AL871" i="8"/>
  <c r="AE871" i="8" s="1"/>
  <c r="AM1119" i="8"/>
  <c r="AF1119" i="8" s="1"/>
  <c r="AO1119" i="8"/>
  <c r="AN1119" i="8"/>
  <c r="AL1119" i="8"/>
  <c r="AE1119" i="8" s="1"/>
  <c r="AM442" i="8"/>
  <c r="AF442" i="8" s="1"/>
  <c r="AL442" i="8"/>
  <c r="AE442" i="8" s="1"/>
  <c r="Y442" i="8" s="1"/>
  <c r="AO442" i="8"/>
  <c r="AN442" i="8"/>
  <c r="AO1030" i="8"/>
  <c r="AL1030" i="8"/>
  <c r="AE1030" i="8" s="1"/>
  <c r="AN1030" i="8"/>
  <c r="AM1030" i="8"/>
  <c r="AF1030" i="8" s="1"/>
  <c r="AS837" i="8"/>
  <c r="AJ837" i="8" s="1"/>
  <c r="AC837" i="8"/>
  <c r="AB837" i="8"/>
  <c r="AT837" i="8"/>
  <c r="AK837" i="8" s="1"/>
  <c r="AC1008" i="8"/>
  <c r="AB1008" i="8"/>
  <c r="AS1008" i="8"/>
  <c r="AJ1008" i="8" s="1"/>
  <c r="AA1008" i="8" s="1"/>
  <c r="AT1008" i="8"/>
  <c r="AK1008" i="8" s="1"/>
  <c r="AT1169" i="8"/>
  <c r="AK1169" i="8" s="1"/>
  <c r="AS1169" i="8"/>
  <c r="AJ1169" i="8" s="1"/>
  <c r="AA1169" i="8" s="1"/>
  <c r="AC1169" i="8"/>
  <c r="AB1169" i="8"/>
  <c r="Z38" i="8"/>
  <c r="AT139" i="8"/>
  <c r="AK139" i="8" s="1"/>
  <c r="AS139" i="8"/>
  <c r="AJ139" i="8" s="1"/>
  <c r="AA139" i="8" s="1"/>
  <c r="AC139" i="8"/>
  <c r="AB139" i="8"/>
  <c r="AS954" i="8"/>
  <c r="AJ954" i="8" s="1"/>
  <c r="AC954" i="8"/>
  <c r="AB954" i="8"/>
  <c r="AT954" i="8"/>
  <c r="AK954" i="8" s="1"/>
  <c r="AS1115" i="8"/>
  <c r="AJ1115" i="8" s="1"/>
  <c r="AA1115" i="8" s="1"/>
  <c r="AC1115" i="8"/>
  <c r="AT1115" i="8"/>
  <c r="AK1115" i="8" s="1"/>
  <c r="AB1115" i="8"/>
  <c r="AT28" i="8"/>
  <c r="AK28" i="8" s="1"/>
  <c r="AC28" i="8"/>
  <c r="AB28" i="8"/>
  <c r="AS28" i="8"/>
  <c r="AJ28" i="8" s="1"/>
  <c r="AA28" i="8" s="1"/>
  <c r="AO392" i="8"/>
  <c r="AN392" i="8"/>
  <c r="AM392" i="8"/>
  <c r="AF392" i="8" s="1"/>
  <c r="AL392" i="8"/>
  <c r="AE392" i="8" s="1"/>
  <c r="AO985" i="8"/>
  <c r="AN985" i="8"/>
  <c r="AM985" i="8"/>
  <c r="AF985" i="8" s="1"/>
  <c r="AL985" i="8"/>
  <c r="AE985" i="8" s="1"/>
  <c r="AT482" i="8"/>
  <c r="AK482" i="8" s="1"/>
  <c r="AS482" i="8"/>
  <c r="AJ482" i="8" s="1"/>
  <c r="AC482" i="8"/>
  <c r="AB482" i="8"/>
  <c r="AT635" i="8"/>
  <c r="AK635" i="8" s="1"/>
  <c r="AS635" i="8"/>
  <c r="AJ635" i="8" s="1"/>
  <c r="AC635" i="8"/>
  <c r="AB635" i="8"/>
  <c r="X719" i="8"/>
  <c r="Y107" i="8"/>
  <c r="AO116" i="8"/>
  <c r="AN116" i="8"/>
  <c r="AM116" i="8"/>
  <c r="AF116" i="8" s="1"/>
  <c r="AL116" i="8"/>
  <c r="AE116" i="8" s="1"/>
  <c r="AO798" i="8"/>
  <c r="AN798" i="8"/>
  <c r="AM798" i="8"/>
  <c r="AF798" i="8" s="1"/>
  <c r="AL798" i="8"/>
  <c r="AE798" i="8" s="1"/>
  <c r="AO1115" i="8"/>
  <c r="AN1115" i="8"/>
  <c r="AM1115" i="8"/>
  <c r="AF1115" i="8" s="1"/>
  <c r="AL1115" i="8"/>
  <c r="AE1115" i="8" s="1"/>
  <c r="X894" i="8"/>
  <c r="X1009" i="8"/>
  <c r="AT631" i="8"/>
  <c r="AK631" i="8" s="1"/>
  <c r="AS631" i="8"/>
  <c r="AJ631" i="8" s="1"/>
  <c r="AA631" i="8" s="1"/>
  <c r="AC631" i="8"/>
  <c r="AB631" i="8"/>
  <c r="AT687" i="8"/>
  <c r="AK687" i="8" s="1"/>
  <c r="AB687" i="8"/>
  <c r="AC687" i="8"/>
  <c r="AS687" i="8"/>
  <c r="AJ687" i="8" s="1"/>
  <c r="AS361" i="8"/>
  <c r="AJ361" i="8" s="1"/>
  <c r="AA361" i="8" s="1"/>
  <c r="AC361" i="8"/>
  <c r="AT361" i="8"/>
  <c r="AK361" i="8" s="1"/>
  <c r="AB361" i="8"/>
  <c r="Z58" i="8"/>
  <c r="AS157" i="8"/>
  <c r="AJ157" i="8" s="1"/>
  <c r="AC157" i="8"/>
  <c r="AB157" i="8"/>
  <c r="AT157" i="8"/>
  <c r="AK157" i="8" s="1"/>
  <c r="AS578" i="8"/>
  <c r="AJ578" i="8" s="1"/>
  <c r="AB578" i="8"/>
  <c r="AT578" i="8"/>
  <c r="AK578" i="8" s="1"/>
  <c r="AC578" i="8"/>
  <c r="AS903" i="8"/>
  <c r="AJ903" i="8" s="1"/>
  <c r="AC903" i="8"/>
  <c r="AB903" i="8"/>
  <c r="AT903" i="8"/>
  <c r="AK903" i="8" s="1"/>
  <c r="AT123" i="8"/>
  <c r="AK123" i="8" s="1"/>
  <c r="AS123" i="8"/>
  <c r="AJ123" i="8" s="1"/>
  <c r="AC123" i="8"/>
  <c r="AB123" i="8"/>
  <c r="AC340" i="8"/>
  <c r="AT340" i="8"/>
  <c r="AK340" i="8" s="1"/>
  <c r="AB340" i="8"/>
  <c r="AS340" i="8"/>
  <c r="AJ340" i="8" s="1"/>
  <c r="AA340" i="8" s="1"/>
  <c r="X368" i="8"/>
  <c r="AB475" i="8"/>
  <c r="AT475" i="8"/>
  <c r="AK475" i="8" s="1"/>
  <c r="AS475" i="8"/>
  <c r="AJ475" i="8" s="1"/>
  <c r="AC475" i="8"/>
  <c r="X805" i="8"/>
  <c r="AC1012" i="8"/>
  <c r="AB1012" i="8"/>
  <c r="AS1012" i="8"/>
  <c r="AJ1012" i="8" s="1"/>
  <c r="AA1012" i="8" s="1"/>
  <c r="AT1012" i="8"/>
  <c r="AK1012" i="8" s="1"/>
  <c r="AS1186" i="8"/>
  <c r="AJ1186" i="8" s="1"/>
  <c r="AC1186" i="8"/>
  <c r="AT1186" i="8"/>
  <c r="AK1186" i="8" s="1"/>
  <c r="AB1186" i="8"/>
  <c r="AN411" i="8"/>
  <c r="AM411" i="8"/>
  <c r="AF411" i="8" s="1"/>
  <c r="AL411" i="8"/>
  <c r="AE411" i="8" s="1"/>
  <c r="AO411" i="8"/>
  <c r="AO1027" i="8"/>
  <c r="AL1027" i="8"/>
  <c r="AE1027" i="8" s="1"/>
  <c r="AN1027" i="8"/>
  <c r="AM1027" i="8"/>
  <c r="AF1027" i="8" s="1"/>
  <c r="Z75" i="8"/>
  <c r="AT291" i="8"/>
  <c r="AK291" i="8" s="1"/>
  <c r="AS291" i="8"/>
  <c r="AJ291" i="8" s="1"/>
  <c r="AC291" i="8"/>
  <c r="AB291" i="8"/>
  <c r="AT187" i="8"/>
  <c r="AK187" i="8" s="1"/>
  <c r="AC187" i="8"/>
  <c r="AS187" i="8"/>
  <c r="AJ187" i="8" s="1"/>
  <c r="AB187" i="8"/>
  <c r="AT905" i="8"/>
  <c r="AK905" i="8" s="1"/>
  <c r="AS905" i="8"/>
  <c r="AJ905" i="8" s="1"/>
  <c r="AA905" i="8" s="1"/>
  <c r="AC905" i="8"/>
  <c r="AB905" i="8"/>
  <c r="AB1158" i="8"/>
  <c r="AC1158" i="8"/>
  <c r="AS1158" i="8"/>
  <c r="AJ1158" i="8" s="1"/>
  <c r="AA1158" i="8" s="1"/>
  <c r="AT1158" i="8"/>
  <c r="AK1158" i="8" s="1"/>
  <c r="Z174" i="8"/>
  <c r="Z325" i="8"/>
  <c r="AB145" i="8"/>
  <c r="AS145" i="8"/>
  <c r="AJ145" i="8" s="1"/>
  <c r="AC145" i="8"/>
  <c r="AT145" i="8"/>
  <c r="AK145" i="8" s="1"/>
  <c r="AS349" i="8"/>
  <c r="AJ349" i="8" s="1"/>
  <c r="AC349" i="8"/>
  <c r="AB349" i="8"/>
  <c r="AT349" i="8"/>
  <c r="AK349" i="8" s="1"/>
  <c r="AB408" i="8"/>
  <c r="AT408" i="8"/>
  <c r="AK408" i="8" s="1"/>
  <c r="AS408" i="8"/>
  <c r="AJ408" i="8" s="1"/>
  <c r="AC408" i="8"/>
  <c r="AS613" i="8"/>
  <c r="AJ613" i="8" s="1"/>
  <c r="AA613" i="8" s="1"/>
  <c r="AC613" i="8"/>
  <c r="AB613" i="8"/>
  <c r="AT613" i="8"/>
  <c r="AK613" i="8" s="1"/>
  <c r="AS896" i="8"/>
  <c r="AJ896" i="8" s="1"/>
  <c r="AC896" i="8"/>
  <c r="AT896" i="8"/>
  <c r="AK896" i="8" s="1"/>
  <c r="AB896" i="8"/>
  <c r="AS1103" i="8"/>
  <c r="AJ1103" i="8" s="1"/>
  <c r="AC1103" i="8"/>
  <c r="AB1103" i="8"/>
  <c r="AT1103" i="8"/>
  <c r="AK1103" i="8" s="1"/>
  <c r="Z73" i="8"/>
  <c r="AC128" i="8"/>
  <c r="AB128" i="8"/>
  <c r="AT128" i="8"/>
  <c r="AK128" i="8" s="1"/>
  <c r="AS128" i="8"/>
  <c r="AJ128" i="8" s="1"/>
  <c r="AA128" i="8" s="1"/>
  <c r="AS577" i="8"/>
  <c r="AJ577" i="8" s="1"/>
  <c r="AC577" i="8"/>
  <c r="AT577" i="8"/>
  <c r="AK577" i="8" s="1"/>
  <c r="AB577" i="8"/>
  <c r="AT1017" i="8"/>
  <c r="AK1017" i="8" s="1"/>
  <c r="AC1017" i="8"/>
  <c r="AS1017" i="8"/>
  <c r="AJ1017" i="8" s="1"/>
  <c r="AB1017" i="8"/>
  <c r="AO272" i="8"/>
  <c r="AN272" i="8"/>
  <c r="AL272" i="8"/>
  <c r="AE272" i="8" s="1"/>
  <c r="AM272" i="8"/>
  <c r="AF272" i="8" s="1"/>
  <c r="AO824" i="8"/>
  <c r="AN824" i="8"/>
  <c r="AM824" i="8"/>
  <c r="AF824" i="8" s="1"/>
  <c r="AL824" i="8"/>
  <c r="AE824" i="8" s="1"/>
  <c r="AO1187" i="8"/>
  <c r="AL1187" i="8"/>
  <c r="AE1187" i="8" s="1"/>
  <c r="AN1187" i="8"/>
  <c r="AM1187" i="8"/>
  <c r="AF1187" i="8" s="1"/>
  <c r="AS858" i="8"/>
  <c r="AJ858" i="8" s="1"/>
  <c r="AC858" i="8"/>
  <c r="AB858" i="8"/>
  <c r="AT858" i="8"/>
  <c r="AK858" i="8" s="1"/>
  <c r="AS1042" i="8"/>
  <c r="AJ1042" i="8" s="1"/>
  <c r="AA1042" i="8" s="1"/>
  <c r="AC1042" i="8"/>
  <c r="AB1042" i="8"/>
  <c r="AT1042" i="8"/>
  <c r="AK1042" i="8" s="1"/>
  <c r="AS48" i="8"/>
  <c r="AJ48" i="8" s="1"/>
  <c r="AB48" i="8"/>
  <c r="AC48" i="8"/>
  <c r="AT48" i="8"/>
  <c r="AK48" i="8" s="1"/>
  <c r="AC535" i="8"/>
  <c r="AT535" i="8"/>
  <c r="AK535" i="8" s="1"/>
  <c r="AB535" i="8"/>
  <c r="AS535" i="8"/>
  <c r="AJ535" i="8" s="1"/>
  <c r="AT786" i="8"/>
  <c r="AK786" i="8" s="1"/>
  <c r="AB786" i="8"/>
  <c r="AS786" i="8"/>
  <c r="AJ786" i="8" s="1"/>
  <c r="AC786" i="8"/>
  <c r="AT1177" i="8"/>
  <c r="AK1177" i="8" s="1"/>
  <c r="AS1177" i="8"/>
  <c r="AJ1177" i="8" s="1"/>
  <c r="AC1177" i="8"/>
  <c r="AB1177" i="8"/>
  <c r="AB239" i="8"/>
  <c r="AT239" i="8"/>
  <c r="AK239" i="8" s="1"/>
  <c r="AS239" i="8"/>
  <c r="AJ239" i="8" s="1"/>
  <c r="AC239" i="8"/>
  <c r="AS302" i="8"/>
  <c r="AJ302" i="8" s="1"/>
  <c r="AA302" i="8" s="1"/>
  <c r="AC302" i="8"/>
  <c r="AB302" i="8"/>
  <c r="AT302" i="8"/>
  <c r="AK302" i="8" s="1"/>
  <c r="AC351" i="8"/>
  <c r="AT351" i="8"/>
  <c r="AK351" i="8" s="1"/>
  <c r="AB351" i="8"/>
  <c r="AS351" i="8"/>
  <c r="AJ351" i="8" s="1"/>
  <c r="AN823" i="8"/>
  <c r="AO823" i="8"/>
  <c r="AM823" i="8"/>
  <c r="AF823" i="8" s="1"/>
  <c r="AL823" i="8"/>
  <c r="AE823" i="8" s="1"/>
  <c r="AS549" i="8"/>
  <c r="AJ549" i="8" s="1"/>
  <c r="AA549" i="8" s="1"/>
  <c r="AC549" i="8"/>
  <c r="AT549" i="8"/>
  <c r="AK549" i="8" s="1"/>
  <c r="AB549" i="8"/>
  <c r="Y853" i="8"/>
  <c r="Y1098" i="8"/>
  <c r="Z1049" i="8"/>
  <c r="Y948" i="8"/>
  <c r="Z902" i="8"/>
  <c r="Y840" i="8"/>
  <c r="Y815" i="8"/>
  <c r="Y704" i="8"/>
  <c r="Y735" i="8"/>
  <c r="Y669" i="8"/>
  <c r="Y845" i="8"/>
  <c r="Z742" i="8"/>
  <c r="Y739" i="8"/>
  <c r="Y598" i="8"/>
  <c r="Y676" i="8"/>
  <c r="Y568" i="8"/>
  <c r="Z598" i="8"/>
  <c r="Y529" i="8"/>
  <c r="Y514" i="8"/>
  <c r="Y530" i="8"/>
  <c r="Y400" i="8"/>
  <c r="Y355" i="8"/>
  <c r="Z650" i="8"/>
  <c r="Z306" i="8"/>
  <c r="Y372" i="8"/>
  <c r="Z292" i="8"/>
  <c r="Y287" i="8"/>
  <c r="Y286" i="8"/>
  <c r="Z178" i="8"/>
  <c r="Z201" i="8"/>
  <c r="AS91" i="8"/>
  <c r="AJ91" i="8" s="1"/>
  <c r="AC91" i="8"/>
  <c r="AT91" i="8"/>
  <c r="AK91" i="8" s="1"/>
  <c r="AB91" i="8"/>
  <c r="AT328" i="8"/>
  <c r="AK328" i="8" s="1"/>
  <c r="AB328" i="8"/>
  <c r="AS328" i="8"/>
  <c r="AJ328" i="8" s="1"/>
  <c r="AC328" i="8"/>
  <c r="AB364" i="8"/>
  <c r="AT364" i="8"/>
  <c r="AK364" i="8" s="1"/>
  <c r="AS364" i="8"/>
  <c r="AJ364" i="8" s="1"/>
  <c r="AA364" i="8" s="1"/>
  <c r="AC364" i="8"/>
  <c r="AT555" i="8"/>
  <c r="AK555" i="8" s="1"/>
  <c r="AC555" i="8"/>
  <c r="AS555" i="8"/>
  <c r="AJ555" i="8" s="1"/>
  <c r="AB555" i="8"/>
  <c r="AC755" i="8"/>
  <c r="AB755" i="8"/>
  <c r="AT755" i="8"/>
  <c r="AK755" i="8" s="1"/>
  <c r="AS755" i="8"/>
  <c r="AJ755" i="8" s="1"/>
  <c r="AS980" i="8"/>
  <c r="AJ980" i="8" s="1"/>
  <c r="AC980" i="8"/>
  <c r="AB980" i="8"/>
  <c r="AT980" i="8"/>
  <c r="AK980" i="8" s="1"/>
  <c r="AB1174" i="8"/>
  <c r="AT1174" i="8"/>
  <c r="AK1174" i="8" s="1"/>
  <c r="AC1174" i="8"/>
  <c r="AS1174" i="8"/>
  <c r="AJ1174" i="8" s="1"/>
  <c r="AA1174" i="8" s="1"/>
  <c r="Z101" i="8"/>
  <c r="Y205" i="8"/>
  <c r="Y126" i="8"/>
  <c r="Z77" i="8"/>
  <c r="AL279" i="8"/>
  <c r="AE279" i="8" s="1"/>
  <c r="AM279" i="8"/>
  <c r="AF279" i="8" s="1"/>
  <c r="AO279" i="8"/>
  <c r="AN279" i="8"/>
  <c r="AL872" i="8"/>
  <c r="AE872" i="8" s="1"/>
  <c r="AN872" i="8"/>
  <c r="AO872" i="8"/>
  <c r="AM872" i="8"/>
  <c r="AF872" i="8" s="1"/>
  <c r="AT490" i="8"/>
  <c r="AS490" i="8"/>
  <c r="AM294" i="8"/>
  <c r="AF294" i="8" s="1"/>
  <c r="AO294" i="8"/>
  <c r="AN294" i="8"/>
  <c r="AL294" i="8"/>
  <c r="AE294" i="8" s="1"/>
  <c r="AO887" i="8"/>
  <c r="AM887" i="8"/>
  <c r="AF887" i="8" s="1"/>
  <c r="AN887" i="8"/>
  <c r="AL887" i="8"/>
  <c r="AE887" i="8" s="1"/>
  <c r="AS545" i="8"/>
  <c r="AJ545" i="8" s="1"/>
  <c r="AC545" i="8"/>
  <c r="AT545" i="8"/>
  <c r="AK545" i="8" s="1"/>
  <c r="AB545" i="8"/>
  <c r="AT311" i="8"/>
  <c r="AK311" i="8" s="1"/>
  <c r="AB311" i="8"/>
  <c r="AS311" i="8"/>
  <c r="AJ311" i="8" s="1"/>
  <c r="AC311" i="8"/>
  <c r="Z81" i="8"/>
  <c r="AT65" i="8"/>
  <c r="AK65" i="8" s="1"/>
  <c r="AC65" i="8"/>
  <c r="AS65" i="8"/>
  <c r="AJ65" i="8" s="1"/>
  <c r="AB65" i="8"/>
  <c r="AT251" i="8"/>
  <c r="AK251" i="8" s="1"/>
  <c r="AB251" i="8"/>
  <c r="AS251" i="8"/>
  <c r="AJ251" i="8" s="1"/>
  <c r="AA251" i="8" s="1"/>
  <c r="AC251" i="8"/>
  <c r="AS440" i="8"/>
  <c r="AJ440" i="8" s="1"/>
  <c r="AA440" i="8" s="1"/>
  <c r="AC440" i="8"/>
  <c r="AB440" i="8"/>
  <c r="AT440" i="8"/>
  <c r="AK440" i="8" s="1"/>
  <c r="AT575" i="8"/>
  <c r="AK575" i="8" s="1"/>
  <c r="AC575" i="8"/>
  <c r="AS575" i="8"/>
  <c r="AJ575" i="8" s="1"/>
  <c r="AB575" i="8"/>
  <c r="AC877" i="8"/>
  <c r="AB877" i="8"/>
  <c r="AT877" i="8"/>
  <c r="AK877" i="8" s="1"/>
  <c r="AS877" i="8"/>
  <c r="AJ877" i="8" s="1"/>
  <c r="AT1051" i="8"/>
  <c r="AK1051" i="8" s="1"/>
  <c r="AC1051" i="8"/>
  <c r="AB1051" i="8"/>
  <c r="AS1051" i="8"/>
  <c r="AJ1051" i="8" s="1"/>
  <c r="AA1051" i="8" s="1"/>
  <c r="AS238" i="8"/>
  <c r="AJ238" i="8" s="1"/>
  <c r="AA238" i="8" s="1"/>
  <c r="AC238" i="8"/>
  <c r="AB238" i="8"/>
  <c r="AT238" i="8"/>
  <c r="AK238" i="8" s="1"/>
  <c r="AT657" i="8"/>
  <c r="AK657" i="8" s="1"/>
  <c r="AC657" i="8"/>
  <c r="AS657" i="8"/>
  <c r="AJ657" i="8" s="1"/>
  <c r="AB657" i="8"/>
  <c r="AT667" i="8"/>
  <c r="AK667" i="8" s="1"/>
  <c r="AC667" i="8"/>
  <c r="AB667" i="8"/>
  <c r="AS667" i="8"/>
  <c r="AJ667" i="8" s="1"/>
  <c r="AB684" i="8"/>
  <c r="AC684" i="8"/>
  <c r="AS684" i="8"/>
  <c r="AJ684" i="8" s="1"/>
  <c r="AT684" i="8"/>
  <c r="AK684" i="8" s="1"/>
  <c r="AT735" i="8"/>
  <c r="AK735" i="8" s="1"/>
  <c r="AS735" i="8"/>
  <c r="AJ735" i="8" s="1"/>
  <c r="AC735" i="8"/>
  <c r="AB735" i="8"/>
  <c r="AT296" i="8"/>
  <c r="AK296" i="8" s="1"/>
  <c r="AB296" i="8"/>
  <c r="AS296" i="8"/>
  <c r="AJ296" i="8" s="1"/>
  <c r="AC296" i="8"/>
  <c r="AS365" i="8"/>
  <c r="AJ365" i="8" s="1"/>
  <c r="AC365" i="8"/>
  <c r="AT365" i="8"/>
  <c r="AK365" i="8" s="1"/>
  <c r="AB365" i="8"/>
  <c r="AS477" i="8"/>
  <c r="AJ477" i="8" s="1"/>
  <c r="AT477" i="8"/>
  <c r="AK477" i="8" s="1"/>
  <c r="AC477" i="8"/>
  <c r="AB477" i="8"/>
  <c r="AB700" i="8"/>
  <c r="AT700" i="8"/>
  <c r="AK700" i="8" s="1"/>
  <c r="AS700" i="8"/>
  <c r="AJ700" i="8" s="1"/>
  <c r="AC700" i="8"/>
  <c r="AS968" i="8"/>
  <c r="AJ968" i="8" s="1"/>
  <c r="AC968" i="8"/>
  <c r="AB968" i="8"/>
  <c r="AT968" i="8"/>
  <c r="AK968" i="8" s="1"/>
  <c r="AS1198" i="8"/>
  <c r="AJ1198" i="8" s="1"/>
  <c r="AC1198" i="8"/>
  <c r="AB1198" i="8"/>
  <c r="AT1198" i="8"/>
  <c r="AK1198" i="8" s="1"/>
  <c r="AC665" i="8"/>
  <c r="AB665" i="8"/>
  <c r="AT665" i="8"/>
  <c r="AK665" i="8" s="1"/>
  <c r="AS665" i="8"/>
  <c r="AJ665" i="8" s="1"/>
  <c r="AO120" i="8"/>
  <c r="AN120" i="8"/>
  <c r="AM120" i="8"/>
  <c r="AF120" i="8" s="1"/>
  <c r="AL120" i="8"/>
  <c r="AE120" i="8" s="1"/>
  <c r="AO779" i="8"/>
  <c r="AN779" i="8"/>
  <c r="AM779" i="8"/>
  <c r="AF779" i="8" s="1"/>
  <c r="AL779" i="8"/>
  <c r="AE779" i="8" s="1"/>
  <c r="Y779" i="8" s="1"/>
  <c r="AO1193" i="8"/>
  <c r="AM1193" i="8"/>
  <c r="AF1193" i="8" s="1"/>
  <c r="AN1193" i="8"/>
  <c r="AL1193" i="8"/>
  <c r="AE1193" i="8" s="1"/>
  <c r="AO90" i="8"/>
  <c r="AN90" i="8"/>
  <c r="AM90" i="8"/>
  <c r="AF90" i="8" s="1"/>
  <c r="AL90" i="8"/>
  <c r="AE90" i="8" s="1"/>
  <c r="AN391" i="8"/>
  <c r="AM391" i="8"/>
  <c r="AF391" i="8" s="1"/>
  <c r="AL391" i="8"/>
  <c r="AE391" i="8" s="1"/>
  <c r="AO391" i="8"/>
  <c r="AN1099" i="8"/>
  <c r="AO1099" i="8"/>
  <c r="AM1099" i="8"/>
  <c r="AF1099" i="8" s="1"/>
  <c r="AL1099" i="8"/>
  <c r="AE1099" i="8" s="1"/>
  <c r="Y1099" i="8" s="1"/>
  <c r="AT824" i="8"/>
  <c r="AK824" i="8" s="1"/>
  <c r="AB824" i="8"/>
  <c r="AC824" i="8"/>
  <c r="AS824" i="8"/>
  <c r="AJ824" i="8" s="1"/>
  <c r="AC1021" i="8"/>
  <c r="AB1021" i="8"/>
  <c r="AT1021" i="8"/>
  <c r="AK1021" i="8" s="1"/>
  <c r="AS1021" i="8"/>
  <c r="AJ1021" i="8" s="1"/>
  <c r="AT167" i="8"/>
  <c r="AK167" i="8" s="1"/>
  <c r="AC167" i="8"/>
  <c r="AS167" i="8"/>
  <c r="AJ167" i="8" s="1"/>
  <c r="AB167" i="8"/>
  <c r="AS964" i="8"/>
  <c r="AJ964" i="8" s="1"/>
  <c r="AA964" i="8" s="1"/>
  <c r="AC964" i="8"/>
  <c r="AT964" i="8"/>
  <c r="AK964" i="8" s="1"/>
  <c r="AB964" i="8"/>
  <c r="AT1148" i="8"/>
  <c r="AK1148" i="8" s="1"/>
  <c r="AB1148" i="8"/>
  <c r="AS1148" i="8"/>
  <c r="AJ1148" i="8" s="1"/>
  <c r="AC1148" i="8"/>
  <c r="Z31" i="8"/>
  <c r="Z107" i="8"/>
  <c r="AO300" i="8"/>
  <c r="AN300" i="8"/>
  <c r="AM300" i="8"/>
  <c r="AF300" i="8" s="1"/>
  <c r="AL300" i="8"/>
  <c r="AE300" i="8" s="1"/>
  <c r="AO1008" i="8"/>
  <c r="AL1008" i="8"/>
  <c r="AE1008" i="8" s="1"/>
  <c r="AN1008" i="8"/>
  <c r="AM1008" i="8"/>
  <c r="AF1008" i="8" s="1"/>
  <c r="AS561" i="8"/>
  <c r="AJ561" i="8" s="1"/>
  <c r="AC561" i="8"/>
  <c r="AT561" i="8"/>
  <c r="AK561" i="8" s="1"/>
  <c r="AB561" i="8"/>
  <c r="AB630" i="8"/>
  <c r="AC630" i="8"/>
  <c r="AT630" i="8"/>
  <c r="AK630" i="8" s="1"/>
  <c r="AS630" i="8"/>
  <c r="AJ630" i="8" s="1"/>
  <c r="AS737" i="8"/>
  <c r="AJ737" i="8" s="1"/>
  <c r="AA737" i="8" s="1"/>
  <c r="AC737" i="8"/>
  <c r="AB737" i="8"/>
  <c r="AT737" i="8"/>
  <c r="AK737" i="8" s="1"/>
  <c r="Z37" i="8"/>
  <c r="AM195" i="8"/>
  <c r="AF195" i="8" s="1"/>
  <c r="AL195" i="8"/>
  <c r="AE195" i="8" s="1"/>
  <c r="Y195" i="8" s="1"/>
  <c r="AO195" i="8"/>
  <c r="AN195" i="8"/>
  <c r="AO775" i="8"/>
  <c r="AN775" i="8"/>
  <c r="AM775" i="8"/>
  <c r="AF775" i="8" s="1"/>
  <c r="AL775" i="8"/>
  <c r="AE775" i="8" s="1"/>
  <c r="AL1143" i="8"/>
  <c r="AE1143" i="8" s="1"/>
  <c r="AN1143" i="8"/>
  <c r="AO1143" i="8"/>
  <c r="AM1143" i="8"/>
  <c r="AF1143" i="8" s="1"/>
  <c r="X963" i="8"/>
  <c r="AS1022" i="8"/>
  <c r="AJ1022" i="8" s="1"/>
  <c r="AA1022" i="8" s="1"/>
  <c r="AC1022" i="8"/>
  <c r="AT1022" i="8"/>
  <c r="AK1022" i="8" s="1"/>
  <c r="AB1022" i="8"/>
  <c r="AB664" i="8"/>
  <c r="AT664" i="8"/>
  <c r="AK664" i="8" s="1"/>
  <c r="AC664" i="8"/>
  <c r="AS664" i="8"/>
  <c r="AJ664" i="8" s="1"/>
  <c r="AA664" i="8" s="1"/>
  <c r="AT715" i="8"/>
  <c r="AK715" i="8" s="1"/>
  <c r="AB715" i="8"/>
  <c r="AS715" i="8"/>
  <c r="AJ715" i="8" s="1"/>
  <c r="AC715" i="8"/>
  <c r="Z165" i="8"/>
  <c r="AC315" i="8"/>
  <c r="AT315" i="8"/>
  <c r="AK315" i="8" s="1"/>
  <c r="AB315" i="8"/>
  <c r="AS315" i="8"/>
  <c r="AJ315" i="8" s="1"/>
  <c r="AT46" i="8"/>
  <c r="AK46" i="8" s="1"/>
  <c r="AC46" i="8"/>
  <c r="AS46" i="8"/>
  <c r="AJ46" i="8" s="1"/>
  <c r="AB46" i="8"/>
  <c r="AB129" i="8"/>
  <c r="AS129" i="8"/>
  <c r="AJ129" i="8" s="1"/>
  <c r="AC129" i="8"/>
  <c r="AT129" i="8"/>
  <c r="AK129" i="8" s="1"/>
  <c r="AS599" i="8"/>
  <c r="AJ599" i="8" s="1"/>
  <c r="AA599" i="8" s="1"/>
  <c r="AC599" i="8"/>
  <c r="AB599" i="8"/>
  <c r="AT599" i="8"/>
  <c r="AK599" i="8" s="1"/>
  <c r="AB926" i="8"/>
  <c r="AS926" i="8"/>
  <c r="AJ926" i="8" s="1"/>
  <c r="AA926" i="8" s="1"/>
  <c r="AC926" i="8"/>
  <c r="AT926" i="8"/>
  <c r="AK926" i="8" s="1"/>
  <c r="AS113" i="8"/>
  <c r="AJ113" i="8" s="1"/>
  <c r="AC113" i="8"/>
  <c r="AB113" i="8"/>
  <c r="AT113" i="8"/>
  <c r="AK113" i="8" s="1"/>
  <c r="AC243" i="8"/>
  <c r="AT243" i="8"/>
  <c r="AK243" i="8" s="1"/>
  <c r="AB243" i="8"/>
  <c r="AS243" i="8"/>
  <c r="AJ243" i="8" s="1"/>
  <c r="AA243" i="8" s="1"/>
  <c r="AS386" i="8"/>
  <c r="AJ386" i="8" s="1"/>
  <c r="AC386" i="8"/>
  <c r="AT386" i="8"/>
  <c r="AK386" i="8" s="1"/>
  <c r="AB386" i="8"/>
  <c r="AS513" i="8"/>
  <c r="AJ513" i="8" s="1"/>
  <c r="AC513" i="8"/>
  <c r="AB513" i="8"/>
  <c r="AT513" i="8"/>
  <c r="AK513" i="8" s="1"/>
  <c r="AC782" i="8"/>
  <c r="AT782" i="8"/>
  <c r="AK782" i="8" s="1"/>
  <c r="AB782" i="8"/>
  <c r="AS782" i="8"/>
  <c r="AJ782" i="8" s="1"/>
  <c r="AA782" i="8" s="1"/>
  <c r="AT989" i="8"/>
  <c r="AK989" i="8" s="1"/>
  <c r="AS989" i="8"/>
  <c r="AJ989" i="8" s="1"/>
  <c r="AA989" i="8" s="1"/>
  <c r="AC989" i="8"/>
  <c r="AB989" i="8"/>
  <c r="AT1173" i="8"/>
  <c r="AK1173" i="8" s="1"/>
  <c r="AC1173" i="8"/>
  <c r="AB1173" i="8"/>
  <c r="AS1173" i="8"/>
  <c r="AJ1173" i="8" s="1"/>
  <c r="AO467" i="8"/>
  <c r="AN467" i="8"/>
  <c r="AM467" i="8"/>
  <c r="AF467" i="8" s="1"/>
  <c r="AL467" i="8"/>
  <c r="AE467" i="8" s="1"/>
  <c r="AN1050" i="8"/>
  <c r="AL1050" i="8"/>
  <c r="AE1050" i="8" s="1"/>
  <c r="AM1050" i="8"/>
  <c r="AF1050" i="8" s="1"/>
  <c r="AO1050" i="8"/>
  <c r="Y72" i="8"/>
  <c r="AT406" i="8"/>
  <c r="AK406" i="8" s="1"/>
  <c r="AS406" i="8"/>
  <c r="AJ406" i="8" s="1"/>
  <c r="AA406" i="8" s="1"/>
  <c r="AC406" i="8"/>
  <c r="AB406" i="8"/>
  <c r="AB136" i="8"/>
  <c r="AC136" i="8"/>
  <c r="AS136" i="8"/>
  <c r="AJ136" i="8" s="1"/>
  <c r="AT136" i="8"/>
  <c r="AK136" i="8" s="1"/>
  <c r="X961" i="8"/>
  <c r="AT1112" i="8"/>
  <c r="AK1112" i="8" s="1"/>
  <c r="AC1112" i="8"/>
  <c r="AS1112" i="8"/>
  <c r="AJ1112" i="8" s="1"/>
  <c r="AB1112" i="8"/>
  <c r="Z149" i="8"/>
  <c r="Z317" i="8"/>
  <c r="AS8" i="8"/>
  <c r="AJ8" i="8" s="1"/>
  <c r="AB8" i="8"/>
  <c r="AT8" i="8"/>
  <c r="AK8" i="8" s="1"/>
  <c r="AC8" i="8"/>
  <c r="AC196" i="8"/>
  <c r="AB196" i="8"/>
  <c r="AT196" i="8"/>
  <c r="AK196" i="8" s="1"/>
  <c r="AS196" i="8"/>
  <c r="AJ196" i="8" s="1"/>
  <c r="AC303" i="8"/>
  <c r="AT303" i="8"/>
  <c r="AK303" i="8" s="1"/>
  <c r="AB303" i="8"/>
  <c r="AS303" i="8"/>
  <c r="AJ303" i="8" s="1"/>
  <c r="AT492" i="8"/>
  <c r="AK492" i="8" s="1"/>
  <c r="AC492" i="8"/>
  <c r="AS492" i="8"/>
  <c r="AJ492" i="8" s="1"/>
  <c r="AB492" i="8"/>
  <c r="AS641" i="8"/>
  <c r="AJ641" i="8" s="1"/>
  <c r="AC641" i="8"/>
  <c r="AB641" i="8"/>
  <c r="AT641" i="8"/>
  <c r="AK641" i="8" s="1"/>
  <c r="AS886" i="8"/>
  <c r="AJ886" i="8" s="1"/>
  <c r="AC886" i="8"/>
  <c r="AT886" i="8"/>
  <c r="AK886" i="8" s="1"/>
  <c r="AB886" i="8"/>
  <c r="AC1080" i="8"/>
  <c r="AT1080" i="8"/>
  <c r="AK1080" i="8" s="1"/>
  <c r="AB1080" i="8"/>
  <c r="AS1080" i="8"/>
  <c r="AJ1080" i="8" s="1"/>
  <c r="Z185" i="8"/>
  <c r="AT332" i="8"/>
  <c r="AK332" i="8" s="1"/>
  <c r="AB332" i="8"/>
  <c r="AS332" i="8"/>
  <c r="AJ332" i="8" s="1"/>
  <c r="AA332" i="8" s="1"/>
  <c r="AC332" i="8"/>
  <c r="AC559" i="8"/>
  <c r="AB559" i="8"/>
  <c r="AT559" i="8"/>
  <c r="AK559" i="8" s="1"/>
  <c r="AS559" i="8"/>
  <c r="AJ559" i="8" s="1"/>
  <c r="AC925" i="8"/>
  <c r="AB925" i="8"/>
  <c r="AT925" i="8"/>
  <c r="AK925" i="8" s="1"/>
  <c r="AS925" i="8"/>
  <c r="AJ925" i="8" s="1"/>
  <c r="AN410" i="8"/>
  <c r="AO410" i="8"/>
  <c r="AM410" i="8"/>
  <c r="AF410" i="8" s="1"/>
  <c r="AL410" i="8"/>
  <c r="AE410" i="8" s="1"/>
  <c r="AN801" i="8"/>
  <c r="AL801" i="8"/>
  <c r="AE801" i="8" s="1"/>
  <c r="AO801" i="8"/>
  <c r="AM801" i="8"/>
  <c r="AF801" i="8" s="1"/>
  <c r="AN1141" i="8"/>
  <c r="AM1141" i="8"/>
  <c r="AF1141" i="8" s="1"/>
  <c r="AO1141" i="8"/>
  <c r="AL1141" i="8"/>
  <c r="AE1141" i="8" s="1"/>
  <c r="AS868" i="8"/>
  <c r="AJ868" i="8" s="1"/>
  <c r="AA868" i="8" s="1"/>
  <c r="AC868" i="8"/>
  <c r="AB868" i="8"/>
  <c r="AT868" i="8"/>
  <c r="AK868" i="8" s="1"/>
  <c r="AT1019" i="8"/>
  <c r="AK1019" i="8" s="1"/>
  <c r="AC1019" i="8"/>
  <c r="AS1019" i="8"/>
  <c r="AJ1019" i="8" s="1"/>
  <c r="AB1019" i="8"/>
  <c r="Z22" i="8"/>
  <c r="Y73" i="8"/>
  <c r="AS99" i="8"/>
  <c r="AJ99" i="8" s="1"/>
  <c r="AC99" i="8"/>
  <c r="AB99" i="8"/>
  <c r="AT99" i="8"/>
  <c r="AK99" i="8" s="1"/>
  <c r="AS589" i="8"/>
  <c r="AJ589" i="8" s="1"/>
  <c r="AC589" i="8"/>
  <c r="AB589" i="8"/>
  <c r="AT589" i="8"/>
  <c r="AK589" i="8" s="1"/>
  <c r="AS855" i="8"/>
  <c r="AJ855" i="8" s="1"/>
  <c r="AC855" i="8"/>
  <c r="AT855" i="8"/>
  <c r="AK855" i="8" s="1"/>
  <c r="AB855" i="8"/>
  <c r="AS565" i="8"/>
  <c r="AJ565" i="8" s="1"/>
  <c r="AA565" i="8" s="1"/>
  <c r="AC565" i="8"/>
  <c r="AT565" i="8"/>
  <c r="AK565" i="8" s="1"/>
  <c r="AB565" i="8"/>
  <c r="AC359" i="8"/>
  <c r="AT359" i="8"/>
  <c r="AK359" i="8" s="1"/>
  <c r="AB359" i="8"/>
  <c r="AS359" i="8"/>
  <c r="AJ359" i="8" s="1"/>
  <c r="AA359" i="8" s="1"/>
  <c r="AT466" i="8"/>
  <c r="AK466" i="8" s="1"/>
  <c r="AS466" i="8"/>
  <c r="AJ466" i="8" s="1"/>
  <c r="AC466" i="8"/>
  <c r="AB466" i="8"/>
  <c r="AO1120" i="8"/>
  <c r="AN1120" i="8"/>
  <c r="AM1120" i="8"/>
  <c r="AF1120" i="8" s="1"/>
  <c r="AL1120" i="8"/>
  <c r="AE1120" i="8" s="1"/>
  <c r="AC921" i="8"/>
  <c r="AB921" i="8"/>
  <c r="AT921" i="8"/>
  <c r="AK921" i="8" s="1"/>
  <c r="AS921" i="8"/>
  <c r="AJ921" i="8" s="1"/>
  <c r="AA921" i="8" s="1"/>
  <c r="Y71" i="8"/>
  <c r="AS232" i="8"/>
  <c r="AJ232" i="8" s="1"/>
  <c r="AC232" i="8"/>
  <c r="AB232" i="8"/>
  <c r="AT232" i="8"/>
  <c r="AK232" i="8" s="1"/>
  <c r="AT661" i="8"/>
  <c r="AK661" i="8" s="1"/>
  <c r="AC661" i="8"/>
  <c r="AS661" i="8"/>
  <c r="AJ661" i="8" s="1"/>
  <c r="AB661" i="8"/>
  <c r="AS416" i="8"/>
  <c r="AJ416" i="8" s="1"/>
  <c r="AB416" i="8"/>
  <c r="AT416" i="8"/>
  <c r="AK416" i="8" s="1"/>
  <c r="AC416" i="8"/>
  <c r="AT1069" i="8"/>
  <c r="AK1069" i="8" s="1"/>
  <c r="AC1069" i="8"/>
  <c r="AS1069" i="8"/>
  <c r="AJ1069" i="8" s="1"/>
  <c r="AB1069" i="8"/>
  <c r="Z884" i="8"/>
  <c r="Z1150" i="8"/>
  <c r="Y1132" i="8"/>
  <c r="Y1190" i="8"/>
  <c r="Y1154" i="8"/>
  <c r="Y1080" i="8"/>
  <c r="Z1077" i="8"/>
  <c r="W345" i="9"/>
  <c r="Y1092" i="8"/>
  <c r="Y1136" i="8"/>
  <c r="Y1121" i="8"/>
  <c r="Z1141" i="8"/>
  <c r="Z1090" i="8"/>
  <c r="Z1082" i="8"/>
  <c r="Y1012" i="8"/>
  <c r="Z1020" i="8"/>
  <c r="Z1026" i="8"/>
  <c r="Z965" i="8"/>
  <c r="Y862" i="8"/>
  <c r="Y885" i="8"/>
  <c r="Y816" i="8"/>
  <c r="Z760" i="8"/>
  <c r="Z861" i="8"/>
  <c r="Z855" i="8"/>
  <c r="Y813" i="8"/>
  <c r="Y810" i="8"/>
  <c r="Z771" i="8"/>
  <c r="Y662" i="8"/>
  <c r="Y644" i="8"/>
  <c r="Z718" i="8"/>
  <c r="Y645" i="8"/>
  <c r="Y595" i="8"/>
  <c r="Z690" i="8"/>
  <c r="Y589" i="8"/>
  <c r="Z691" i="8"/>
  <c r="Y618" i="8"/>
  <c r="Z581" i="8"/>
  <c r="Y513" i="8"/>
  <c r="Y523" i="8"/>
  <c r="Y469" i="8"/>
  <c r="Z416" i="8"/>
  <c r="Z479" i="8"/>
  <c r="Y549" i="8"/>
  <c r="Z298" i="8"/>
  <c r="Z310" i="8"/>
  <c r="Y313" i="8"/>
  <c r="Y402" i="8"/>
  <c r="Y257" i="8"/>
  <c r="Z242" i="8"/>
  <c r="Z281" i="8"/>
  <c r="Y204" i="8"/>
  <c r="Y184" i="8"/>
  <c r="Y190" i="8"/>
  <c r="AS282" i="8"/>
  <c r="AJ282" i="8" s="1"/>
  <c r="AC282" i="8"/>
  <c r="AB282" i="8"/>
  <c r="AT282" i="8"/>
  <c r="AK282" i="8" s="1"/>
  <c r="AS374" i="8"/>
  <c r="AJ374" i="8" s="1"/>
  <c r="AA374" i="8" s="1"/>
  <c r="AC374" i="8"/>
  <c r="AT374" i="8"/>
  <c r="AK374" i="8" s="1"/>
  <c r="AB374" i="8"/>
  <c r="AC471" i="8"/>
  <c r="AT471" i="8"/>
  <c r="AK471" i="8" s="1"/>
  <c r="AS471" i="8"/>
  <c r="AJ471" i="8" s="1"/>
  <c r="AA471" i="8" s="1"/>
  <c r="AB471" i="8"/>
  <c r="AS875" i="8"/>
  <c r="AJ875" i="8" s="1"/>
  <c r="AC875" i="8"/>
  <c r="AB875" i="8"/>
  <c r="AT875" i="8"/>
  <c r="AK875" i="8" s="1"/>
  <c r="AT1049" i="8"/>
  <c r="AK1049" i="8" s="1"/>
  <c r="AS1049" i="8"/>
  <c r="AJ1049" i="8" s="1"/>
  <c r="AA1049" i="8" s="1"/>
  <c r="AC1049" i="8"/>
  <c r="AB1049" i="8"/>
  <c r="AT1187" i="8"/>
  <c r="AK1187" i="8" s="1"/>
  <c r="AS1187" i="8"/>
  <c r="AJ1187" i="8" s="1"/>
  <c r="AC1187" i="8"/>
  <c r="AB1187" i="8"/>
  <c r="Z94" i="8"/>
  <c r="Z194" i="8"/>
  <c r="AS63" i="8"/>
  <c r="AJ63" i="8" s="1"/>
  <c r="AA63" i="8" s="1"/>
  <c r="AC63" i="8"/>
  <c r="AT63" i="8"/>
  <c r="AK63" i="8" s="1"/>
  <c r="AB63" i="8"/>
  <c r="Z217" i="8"/>
  <c r="Z150" i="8"/>
  <c r="AA96" i="8"/>
  <c r="AO251" i="8"/>
  <c r="AM251" i="8"/>
  <c r="AF251" i="8" s="1"/>
  <c r="AL251" i="8"/>
  <c r="AE251" i="8" s="1"/>
  <c r="AN251" i="8"/>
  <c r="AO895" i="8"/>
  <c r="AL895" i="8"/>
  <c r="AE895" i="8" s="1"/>
  <c r="AN895" i="8"/>
  <c r="AM895" i="8"/>
  <c r="AF895" i="8" s="1"/>
  <c r="AT510" i="8"/>
  <c r="AK510" i="8" s="1"/>
  <c r="AC510" i="8"/>
  <c r="AS510" i="8"/>
  <c r="AJ510" i="8" s="1"/>
  <c r="AB510" i="8"/>
  <c r="AO317" i="8"/>
  <c r="AM317" i="8"/>
  <c r="AF317" i="8" s="1"/>
  <c r="AL317" i="8"/>
  <c r="AE317" i="8" s="1"/>
  <c r="AN317" i="8"/>
  <c r="AO864" i="8"/>
  <c r="AN864" i="8"/>
  <c r="AM864" i="8"/>
  <c r="AF864" i="8" s="1"/>
  <c r="AL864" i="8"/>
  <c r="AE864" i="8" s="1"/>
  <c r="AT484" i="8"/>
  <c r="AK484" i="8" s="1"/>
  <c r="AC484" i="8"/>
  <c r="AS484" i="8"/>
  <c r="AJ484" i="8" s="1"/>
  <c r="AB484" i="8"/>
  <c r="AS357" i="8"/>
  <c r="AJ357" i="8" s="1"/>
  <c r="AA357" i="8" s="1"/>
  <c r="AC357" i="8"/>
  <c r="AT357" i="8"/>
  <c r="AK357" i="8" s="1"/>
  <c r="AB357" i="8"/>
  <c r="AT88" i="8"/>
  <c r="AK88" i="8" s="1"/>
  <c r="AC88" i="8"/>
  <c r="AS88" i="8"/>
  <c r="AJ88" i="8" s="1"/>
  <c r="AB88" i="8"/>
  <c r="AS325" i="8"/>
  <c r="AJ325" i="8" s="1"/>
  <c r="AA325" i="8" s="1"/>
  <c r="AC325" i="8"/>
  <c r="AT325" i="8"/>
  <c r="AK325" i="8" s="1"/>
  <c r="AB325" i="8"/>
  <c r="AT450" i="8"/>
  <c r="AK450" i="8" s="1"/>
  <c r="AS450" i="8"/>
  <c r="AJ450" i="8" s="1"/>
  <c r="AC450" i="8"/>
  <c r="AB450" i="8"/>
  <c r="AS557" i="8"/>
  <c r="AJ557" i="8" s="1"/>
  <c r="AC557" i="8"/>
  <c r="AB557" i="8"/>
  <c r="AT557" i="8"/>
  <c r="AK557" i="8" s="1"/>
  <c r="AS890" i="8"/>
  <c r="AJ890" i="8" s="1"/>
  <c r="AA890" i="8" s="1"/>
  <c r="AC890" i="8"/>
  <c r="AB890" i="8"/>
  <c r="AT890" i="8"/>
  <c r="AK890" i="8" s="1"/>
  <c r="AS1074" i="8"/>
  <c r="AJ1074" i="8" s="1"/>
  <c r="AA1074" i="8" s="1"/>
  <c r="AC1074" i="8"/>
  <c r="AT1074" i="8"/>
  <c r="AK1074" i="8" s="1"/>
  <c r="AB1074" i="8"/>
  <c r="AT381" i="8"/>
  <c r="AK381" i="8" s="1"/>
  <c r="AS381" i="8"/>
  <c r="AJ381" i="8" s="1"/>
  <c r="AC381" i="8"/>
  <c r="AB381" i="8"/>
  <c r="AB680" i="8"/>
  <c r="AC680" i="8"/>
  <c r="AT680" i="8"/>
  <c r="AK680" i="8" s="1"/>
  <c r="AS680" i="8"/>
  <c r="AJ680" i="8" s="1"/>
  <c r="AT695" i="8"/>
  <c r="AK695" i="8" s="1"/>
  <c r="AB695" i="8"/>
  <c r="AC695" i="8"/>
  <c r="AS695" i="8"/>
  <c r="AJ695" i="8" s="1"/>
  <c r="AB628" i="8"/>
  <c r="AT628" i="8"/>
  <c r="AK628" i="8" s="1"/>
  <c r="AS628" i="8"/>
  <c r="AJ628" i="8" s="1"/>
  <c r="AC628" i="8"/>
  <c r="AC763" i="8"/>
  <c r="AB763" i="8"/>
  <c r="AT763" i="8"/>
  <c r="AK763" i="8" s="1"/>
  <c r="AS763" i="8"/>
  <c r="AJ763" i="8" s="1"/>
  <c r="AS194" i="8"/>
  <c r="AJ194" i="8" s="1"/>
  <c r="AA194" i="8" s="1"/>
  <c r="AC194" i="8"/>
  <c r="AT194" i="8"/>
  <c r="AK194" i="8" s="1"/>
  <c r="AB194" i="8"/>
  <c r="AC283" i="8"/>
  <c r="AT283" i="8"/>
  <c r="AK283" i="8" s="1"/>
  <c r="AB283" i="8"/>
  <c r="AS283" i="8"/>
  <c r="AJ283" i="8" s="1"/>
  <c r="AS595" i="8"/>
  <c r="AJ595" i="8" s="1"/>
  <c r="AC595" i="8"/>
  <c r="AB595" i="8"/>
  <c r="AT595" i="8"/>
  <c r="AK595" i="8" s="1"/>
  <c r="AS866" i="8"/>
  <c r="AJ866" i="8" s="1"/>
  <c r="AA866" i="8" s="1"/>
  <c r="AC866" i="8"/>
  <c r="AB866" i="8"/>
  <c r="AT866" i="8"/>
  <c r="AK866" i="8" s="1"/>
  <c r="AS958" i="8"/>
  <c r="AJ958" i="8" s="1"/>
  <c r="AC958" i="8"/>
  <c r="AB958" i="8"/>
  <c r="AT958" i="8"/>
  <c r="AK958" i="8" s="1"/>
  <c r="AT1129" i="8"/>
  <c r="AK1129" i="8" s="1"/>
  <c r="AC1129" i="8"/>
  <c r="AS1129" i="8"/>
  <c r="AJ1129" i="8" s="1"/>
  <c r="AB1129" i="8"/>
  <c r="AT678" i="8"/>
  <c r="AK678" i="8" s="1"/>
  <c r="AS678" i="8"/>
  <c r="AJ678" i="8" s="1"/>
  <c r="AC678" i="8"/>
  <c r="AB678" i="8"/>
  <c r="Z91" i="8"/>
  <c r="Y40" i="8"/>
  <c r="AT84" i="8"/>
  <c r="AK84" i="8" s="1"/>
  <c r="AC84" i="8"/>
  <c r="AS84" i="8"/>
  <c r="AJ84" i="8" s="1"/>
  <c r="AB84" i="8"/>
  <c r="AO222" i="8"/>
  <c r="AM222" i="8"/>
  <c r="AF222" i="8" s="1"/>
  <c r="AN222" i="8"/>
  <c r="AL222" i="8"/>
  <c r="AE222" i="8" s="1"/>
  <c r="AN751" i="8"/>
  <c r="AM751" i="8"/>
  <c r="AF751" i="8" s="1"/>
  <c r="AL751" i="8"/>
  <c r="AE751" i="8" s="1"/>
  <c r="AO751" i="8"/>
  <c r="AO146" i="8"/>
  <c r="AN146" i="8"/>
  <c r="AM146" i="8"/>
  <c r="AF146" i="8" s="1"/>
  <c r="AL146" i="8"/>
  <c r="AE146" i="8" s="1"/>
  <c r="AM470" i="8"/>
  <c r="AF470" i="8" s="1"/>
  <c r="AL470" i="8"/>
  <c r="AE470" i="8" s="1"/>
  <c r="AO470" i="8"/>
  <c r="AN470" i="8"/>
  <c r="AO1053" i="8"/>
  <c r="AN1053" i="8"/>
  <c r="AM1053" i="8"/>
  <c r="AF1053" i="8" s="1"/>
  <c r="AL1053" i="8"/>
  <c r="AE1053" i="8" s="1"/>
  <c r="AS870" i="8"/>
  <c r="AJ870" i="8" s="1"/>
  <c r="AC870" i="8"/>
  <c r="AT870" i="8"/>
  <c r="AK870" i="8" s="1"/>
  <c r="AB870" i="8"/>
  <c r="AC1031" i="8"/>
  <c r="AB1031" i="8"/>
  <c r="AT1031" i="8"/>
  <c r="AK1031" i="8" s="1"/>
  <c r="AS1031" i="8"/>
  <c r="AJ1031" i="8" s="1"/>
  <c r="AS190" i="8"/>
  <c r="AJ190" i="8" s="1"/>
  <c r="AA190" i="8" s="1"/>
  <c r="AB190" i="8"/>
  <c r="AT190" i="8"/>
  <c r="AK190" i="8" s="1"/>
  <c r="AC190" i="8"/>
  <c r="AT941" i="8"/>
  <c r="AK941" i="8" s="1"/>
  <c r="AB941" i="8"/>
  <c r="AS941" i="8"/>
  <c r="AJ941" i="8" s="1"/>
  <c r="AA941" i="8" s="1"/>
  <c r="AC941" i="8"/>
  <c r="AB1184" i="8"/>
  <c r="AT1184" i="8"/>
  <c r="AK1184" i="8" s="1"/>
  <c r="AS1184" i="8"/>
  <c r="AJ1184" i="8" s="1"/>
  <c r="AA1184" i="8" s="1"/>
  <c r="AC1184" i="8"/>
  <c r="AC104" i="8"/>
  <c r="AT104" i="8"/>
  <c r="AK104" i="8" s="1"/>
  <c r="AB104" i="8"/>
  <c r="AS104" i="8"/>
  <c r="AJ104" i="8" s="1"/>
  <c r="AN415" i="8"/>
  <c r="AM415" i="8"/>
  <c r="AF415" i="8" s="1"/>
  <c r="AL415" i="8"/>
  <c r="AE415" i="8" s="1"/>
  <c r="AO415" i="8"/>
  <c r="AO1031" i="8"/>
  <c r="AN1031" i="8"/>
  <c r="AM1031" i="8"/>
  <c r="AF1031" i="8" s="1"/>
  <c r="AL1031" i="8"/>
  <c r="AE1031" i="8" s="1"/>
  <c r="AT543" i="8"/>
  <c r="AK543" i="8" s="1"/>
  <c r="AS543" i="8"/>
  <c r="AJ543" i="8" s="1"/>
  <c r="AC543" i="8"/>
  <c r="AB543" i="8"/>
  <c r="AS658" i="8"/>
  <c r="AJ658" i="8" s="1"/>
  <c r="AB658" i="8"/>
  <c r="AT658" i="8"/>
  <c r="AK658" i="8" s="1"/>
  <c r="AC658" i="8"/>
  <c r="AT765" i="8"/>
  <c r="AK765" i="8" s="1"/>
  <c r="AS765" i="8"/>
  <c r="AJ765" i="8" s="1"/>
  <c r="AC765" i="8"/>
  <c r="AB765" i="8"/>
  <c r="AM343" i="8"/>
  <c r="AF343" i="8" s="1"/>
  <c r="AL343" i="8"/>
  <c r="AE343" i="8" s="1"/>
  <c r="AO343" i="8"/>
  <c r="AN343" i="8"/>
  <c r="AN747" i="8"/>
  <c r="AM747" i="8"/>
  <c r="AF747" i="8" s="1"/>
  <c r="AL747" i="8"/>
  <c r="AE747" i="8" s="1"/>
  <c r="AO747" i="8"/>
  <c r="AO1166" i="8"/>
  <c r="AM1166" i="8"/>
  <c r="AF1166" i="8" s="1"/>
  <c r="AN1166" i="8"/>
  <c r="AL1166" i="8"/>
  <c r="AE1166" i="8" s="1"/>
  <c r="AT848" i="8"/>
  <c r="AK848" i="8" s="1"/>
  <c r="AB848" i="8"/>
  <c r="AS848" i="8"/>
  <c r="AJ848" i="8" s="1"/>
  <c r="AC848" i="8"/>
  <c r="X1032" i="8"/>
  <c r="AB626" i="8"/>
  <c r="AC626" i="8"/>
  <c r="AT626" i="8"/>
  <c r="AK626" i="8" s="1"/>
  <c r="AS626" i="8"/>
  <c r="AJ626" i="8" s="1"/>
  <c r="AB738" i="8"/>
  <c r="AT738" i="8"/>
  <c r="AK738" i="8" s="1"/>
  <c r="AS738" i="8"/>
  <c r="AJ738" i="8" s="1"/>
  <c r="AC738" i="8"/>
  <c r="AS430" i="8"/>
  <c r="AJ430" i="8" s="1"/>
  <c r="AA430" i="8" s="1"/>
  <c r="AB430" i="8"/>
  <c r="AC430" i="8"/>
  <c r="AT430" i="8"/>
  <c r="AK430" i="8" s="1"/>
  <c r="AL41" i="8"/>
  <c r="AE41" i="8" s="1"/>
  <c r="AM41" i="8"/>
  <c r="AF41" i="8" s="1"/>
  <c r="AN41" i="8"/>
  <c r="AO41" i="8"/>
  <c r="AC208" i="8"/>
  <c r="AB208" i="8"/>
  <c r="AT208" i="8"/>
  <c r="AK208" i="8" s="1"/>
  <c r="AS208" i="8"/>
  <c r="AJ208" i="8" s="1"/>
  <c r="AC560" i="8"/>
  <c r="AB560" i="8"/>
  <c r="AT560" i="8"/>
  <c r="AK560" i="8" s="1"/>
  <c r="AS560" i="8"/>
  <c r="AJ560" i="8" s="1"/>
  <c r="AS972" i="8"/>
  <c r="AJ972" i="8" s="1"/>
  <c r="AA972" i="8" s="1"/>
  <c r="AC972" i="8"/>
  <c r="AT972" i="8"/>
  <c r="AK972" i="8" s="1"/>
  <c r="AB972" i="8"/>
  <c r="AT57" i="8"/>
  <c r="AK57" i="8" s="1"/>
  <c r="AC57" i="8"/>
  <c r="AS57" i="8"/>
  <c r="AJ57" i="8" s="1"/>
  <c r="AA57" i="8" s="1"/>
  <c r="AB57" i="8"/>
  <c r="X248" i="8"/>
  <c r="X414" i="8"/>
  <c r="AS523" i="8"/>
  <c r="AJ523" i="8" s="1"/>
  <c r="AB523" i="8"/>
  <c r="AT523" i="8"/>
  <c r="AK523" i="8" s="1"/>
  <c r="AC523" i="8"/>
  <c r="AS795" i="8"/>
  <c r="AJ795" i="8" s="1"/>
  <c r="AC795" i="8"/>
  <c r="AB795" i="8"/>
  <c r="AT795" i="8"/>
  <c r="AK795" i="8" s="1"/>
  <c r="AS1002" i="8"/>
  <c r="AJ1002" i="8" s="1"/>
  <c r="AC1002" i="8"/>
  <c r="AB1002" i="8"/>
  <c r="AT1002" i="8"/>
  <c r="AK1002" i="8" s="1"/>
  <c r="AS1196" i="8"/>
  <c r="AJ1196" i="8" s="1"/>
  <c r="AA1196" i="8" s="1"/>
  <c r="AT1196" i="8"/>
  <c r="AK1196" i="8" s="1"/>
  <c r="AC1196" i="8"/>
  <c r="AB1196" i="8"/>
  <c r="AO439" i="8"/>
  <c r="AN439" i="8"/>
  <c r="AL439" i="8"/>
  <c r="AE439" i="8" s="1"/>
  <c r="AM439" i="8"/>
  <c r="AF439" i="8" s="1"/>
  <c r="AO958" i="8"/>
  <c r="AN958" i="8"/>
  <c r="AM958" i="8"/>
  <c r="AF958" i="8" s="1"/>
  <c r="AL958" i="8"/>
  <c r="AE958" i="8" s="1"/>
  <c r="AT20" i="8"/>
  <c r="AK20" i="8" s="1"/>
  <c r="AB20" i="8"/>
  <c r="AC20" i="8"/>
  <c r="AS20" i="8"/>
  <c r="AJ20" i="8" s="1"/>
  <c r="AC457" i="8"/>
  <c r="AB457" i="8"/>
  <c r="AS457" i="8"/>
  <c r="AJ457" i="8" s="1"/>
  <c r="AT457" i="8"/>
  <c r="AK457" i="8" s="1"/>
  <c r="AC790" i="8"/>
  <c r="AT790" i="8"/>
  <c r="AK790" i="8" s="1"/>
  <c r="AS790" i="8"/>
  <c r="AJ790" i="8" s="1"/>
  <c r="AB790" i="8"/>
  <c r="AS974" i="8"/>
  <c r="AJ974" i="8" s="1"/>
  <c r="AC974" i="8"/>
  <c r="AB974" i="8"/>
  <c r="AT974" i="8"/>
  <c r="AK974" i="8" s="1"/>
  <c r="X1168" i="8"/>
  <c r="Z188" i="8"/>
  <c r="Z324" i="8"/>
  <c r="AS5" i="8"/>
  <c r="AJ5" i="8" s="1"/>
  <c r="AA5" i="8" s="1"/>
  <c r="AC5" i="8"/>
  <c r="AT5" i="8"/>
  <c r="AK5" i="8" s="1"/>
  <c r="AB5" i="8"/>
  <c r="AS214" i="8"/>
  <c r="AJ214" i="8" s="1"/>
  <c r="AC214" i="8"/>
  <c r="AT214" i="8"/>
  <c r="AK214" i="8" s="1"/>
  <c r="AB214" i="8"/>
  <c r="AT344" i="8"/>
  <c r="AK344" i="8" s="1"/>
  <c r="AB344" i="8"/>
  <c r="AS344" i="8"/>
  <c r="AJ344" i="8" s="1"/>
  <c r="AC344" i="8"/>
  <c r="AB367" i="8"/>
  <c r="AT367" i="8"/>
  <c r="AK367" i="8" s="1"/>
  <c r="AS367" i="8"/>
  <c r="AJ367" i="8" s="1"/>
  <c r="AA367" i="8" s="1"/>
  <c r="AC367" i="8"/>
  <c r="AT840" i="8"/>
  <c r="AK840" i="8" s="1"/>
  <c r="AB840" i="8"/>
  <c r="AS840" i="8"/>
  <c r="AJ840" i="8" s="1"/>
  <c r="AC840" i="8"/>
  <c r="AT965" i="8"/>
  <c r="AK965" i="8" s="1"/>
  <c r="AS965" i="8"/>
  <c r="AJ965" i="8" s="1"/>
  <c r="AC965" i="8"/>
  <c r="AB965" i="8"/>
  <c r="AB1162" i="8"/>
  <c r="AS1162" i="8"/>
  <c r="AJ1162" i="8" s="1"/>
  <c r="AC1162" i="8"/>
  <c r="AT1162" i="8"/>
  <c r="AK1162" i="8" s="1"/>
  <c r="AA52" i="8"/>
  <c r="AS230" i="8"/>
  <c r="AJ230" i="8" s="1"/>
  <c r="AC230" i="8"/>
  <c r="AB230" i="8"/>
  <c r="AT230" i="8"/>
  <c r="AK230" i="8" s="1"/>
  <c r="AT598" i="8"/>
  <c r="AK598" i="8" s="1"/>
  <c r="AB598" i="8"/>
  <c r="AS598" i="8"/>
  <c r="AJ598" i="8" s="1"/>
  <c r="AC598" i="8"/>
  <c r="AS994" i="8"/>
  <c r="AJ994" i="8" s="1"/>
  <c r="AC994" i="8"/>
  <c r="AB994" i="8"/>
  <c r="AT994" i="8"/>
  <c r="AK994" i="8" s="1"/>
  <c r="AO244" i="8"/>
  <c r="AN244" i="8"/>
  <c r="AM244" i="8"/>
  <c r="AF244" i="8" s="1"/>
  <c r="AL244" i="8"/>
  <c r="AE244" i="8" s="1"/>
  <c r="AM888" i="8"/>
  <c r="AF888" i="8" s="1"/>
  <c r="AL888" i="8"/>
  <c r="AE888" i="8" s="1"/>
  <c r="AO888" i="8"/>
  <c r="AN888" i="8"/>
  <c r="AS107" i="8"/>
  <c r="AJ107" i="8" s="1"/>
  <c r="AA107" i="8" s="1"/>
  <c r="AC107" i="8"/>
  <c r="AT107" i="8"/>
  <c r="AK107" i="8" s="1"/>
  <c r="AB107" i="8"/>
  <c r="AS835" i="8"/>
  <c r="AJ835" i="8" s="1"/>
  <c r="AC835" i="8"/>
  <c r="AB835" i="8"/>
  <c r="AT835" i="8"/>
  <c r="AK835" i="8" s="1"/>
  <c r="AC1088" i="8"/>
  <c r="AB1088" i="8"/>
  <c r="AT1088" i="8"/>
  <c r="AK1088" i="8" s="1"/>
  <c r="AS1088" i="8"/>
  <c r="AJ1088" i="8" s="1"/>
  <c r="AS71" i="8"/>
  <c r="AJ71" i="8" s="1"/>
  <c r="AA71" i="8" s="1"/>
  <c r="AC71" i="8"/>
  <c r="AT71" i="8"/>
  <c r="AK71" i="8" s="1"/>
  <c r="AB71" i="8"/>
  <c r="AB479" i="8"/>
  <c r="AT479" i="8"/>
  <c r="AK479" i="8" s="1"/>
  <c r="AS479" i="8"/>
  <c r="AJ479" i="8" s="1"/>
  <c r="AC479" i="8"/>
  <c r="AS878" i="8"/>
  <c r="AJ878" i="8" s="1"/>
  <c r="AA878" i="8" s="1"/>
  <c r="AC878" i="8"/>
  <c r="AT878" i="8"/>
  <c r="AK878" i="8" s="1"/>
  <c r="AB878" i="8"/>
  <c r="AT491" i="8"/>
  <c r="AS491" i="8"/>
  <c r="AS313" i="8"/>
  <c r="AJ313" i="8" s="1"/>
  <c r="AA313" i="8" s="1"/>
  <c r="AC313" i="8"/>
  <c r="AT313" i="8"/>
  <c r="AK313" i="8" s="1"/>
  <c r="AB313" i="8"/>
  <c r="AO795" i="8"/>
  <c r="AN795" i="8"/>
  <c r="AM795" i="8"/>
  <c r="AF795" i="8" s="1"/>
  <c r="AL795" i="8"/>
  <c r="AE795" i="8" s="1"/>
  <c r="AO200" i="8"/>
  <c r="AL200" i="8"/>
  <c r="AE200" i="8" s="1"/>
  <c r="AN200" i="8"/>
  <c r="AM200" i="8"/>
  <c r="AF200" i="8" s="1"/>
  <c r="AT969" i="8"/>
  <c r="AK969" i="8" s="1"/>
  <c r="AS969" i="8"/>
  <c r="AJ969" i="8" s="1"/>
  <c r="AA969" i="8" s="1"/>
  <c r="AC969" i="8"/>
  <c r="AB969" i="8"/>
  <c r="AO345" i="8"/>
  <c r="AN345" i="8"/>
  <c r="AM345" i="8"/>
  <c r="AF345" i="8" s="1"/>
  <c r="AL345" i="8"/>
  <c r="AE345" i="8" s="1"/>
  <c r="Z1010" i="8"/>
  <c r="W720" i="9"/>
  <c r="Z877" i="8"/>
  <c r="W447" i="9"/>
  <c r="Y1144" i="8"/>
  <c r="Y1122" i="8"/>
  <c r="W649" i="9"/>
  <c r="Y1200" i="8"/>
  <c r="Z1187" i="8"/>
  <c r="Z1143" i="8"/>
  <c r="Z1093" i="8"/>
  <c r="Y1083" i="8"/>
  <c r="Y1069" i="8"/>
  <c r="Z1061" i="8"/>
  <c r="Y1042" i="8"/>
  <c r="Y1024" i="8"/>
  <c r="Z970" i="8"/>
  <c r="Y970" i="8"/>
  <c r="Y922" i="8"/>
  <c r="Z959" i="8"/>
  <c r="Z917" i="8"/>
  <c r="Z928" i="8"/>
  <c r="Y901" i="8"/>
  <c r="Z842" i="8"/>
  <c r="Y759" i="8"/>
  <c r="Z853" i="8"/>
  <c r="Y854" i="8"/>
  <c r="Y764" i="8"/>
  <c r="Y768" i="8"/>
  <c r="Z803" i="8"/>
  <c r="Z756" i="8"/>
  <c r="Z824" i="8"/>
  <c r="Y832" i="8"/>
  <c r="Y814" i="8"/>
  <c r="Z678" i="8"/>
  <c r="Y640" i="8"/>
  <c r="Y641" i="8"/>
  <c r="Z658" i="8"/>
  <c r="Y666" i="8"/>
  <c r="Y601" i="8"/>
  <c r="Y506" i="8"/>
  <c r="Z513" i="8"/>
  <c r="Z552" i="8"/>
  <c r="Y562" i="8"/>
  <c r="Y608" i="8"/>
  <c r="Y621" i="8"/>
  <c r="Y510" i="8"/>
  <c r="Y526" i="8"/>
  <c r="Y503" i="8"/>
  <c r="Z412" i="8"/>
  <c r="Z508" i="8"/>
  <c r="Z330" i="8"/>
  <c r="Y424" i="8"/>
  <c r="Y307" i="8"/>
  <c r="Y310" i="8"/>
  <c r="Z360" i="8"/>
  <c r="Z327" i="8"/>
  <c r="Y303" i="8"/>
  <c r="Y268" i="8"/>
  <c r="Y235" i="8"/>
  <c r="Y304" i="8"/>
  <c r="Y157" i="8"/>
  <c r="Z190" i="8"/>
  <c r="Y180" i="8"/>
  <c r="AS341" i="8"/>
  <c r="AJ341" i="8" s="1"/>
  <c r="AC341" i="8"/>
  <c r="AT341" i="8"/>
  <c r="AK341" i="8" s="1"/>
  <c r="AB341" i="8"/>
  <c r="AT410" i="8"/>
  <c r="AK410" i="8" s="1"/>
  <c r="AS410" i="8"/>
  <c r="AJ410" i="8" s="1"/>
  <c r="AA410" i="8" s="1"/>
  <c r="AC410" i="8"/>
  <c r="AB410" i="8"/>
  <c r="AT532" i="8"/>
  <c r="AK532" i="8" s="1"/>
  <c r="AS532" i="8"/>
  <c r="AJ532" i="8" s="1"/>
  <c r="AA532" i="8" s="1"/>
  <c r="AC532" i="8"/>
  <c r="AB532" i="8"/>
  <c r="AS819" i="8"/>
  <c r="AJ819" i="8" s="1"/>
  <c r="AA819" i="8" s="1"/>
  <c r="AC819" i="8"/>
  <c r="AB819" i="8"/>
  <c r="AT819" i="8"/>
  <c r="AK819" i="8" s="1"/>
  <c r="AS1003" i="8"/>
  <c r="AJ1003" i="8" s="1"/>
  <c r="AC1003" i="8"/>
  <c r="AB1003" i="8"/>
  <c r="AT1003" i="8"/>
  <c r="AK1003" i="8" s="1"/>
  <c r="Z74" i="8"/>
  <c r="Y103" i="8"/>
  <c r="Z115" i="8"/>
  <c r="Z313" i="8"/>
  <c r="AN394" i="8"/>
  <c r="AL394" i="8"/>
  <c r="AE394" i="8" s="1"/>
  <c r="Y394" i="8" s="1"/>
  <c r="AO394" i="8"/>
  <c r="AM394" i="8"/>
  <c r="AF394" i="8" s="1"/>
  <c r="AO964" i="8"/>
  <c r="AN964" i="8"/>
  <c r="AM964" i="8"/>
  <c r="AF964" i="8" s="1"/>
  <c r="AL964" i="8"/>
  <c r="AE964" i="8" s="1"/>
  <c r="AS564" i="8"/>
  <c r="AJ564" i="8" s="1"/>
  <c r="AB564" i="8"/>
  <c r="AT564" i="8"/>
  <c r="AK564" i="8" s="1"/>
  <c r="AC564" i="8"/>
  <c r="AO340" i="8"/>
  <c r="AN340" i="8"/>
  <c r="AM340" i="8"/>
  <c r="AF340" i="8" s="1"/>
  <c r="AL340" i="8"/>
  <c r="AE340" i="8" s="1"/>
  <c r="AO956" i="8"/>
  <c r="AN956" i="8"/>
  <c r="AM956" i="8"/>
  <c r="AF956" i="8" s="1"/>
  <c r="AL956" i="8"/>
  <c r="AE956" i="8" s="1"/>
  <c r="AC540" i="8"/>
  <c r="AB540" i="8"/>
  <c r="AT540" i="8"/>
  <c r="AK540" i="8" s="1"/>
  <c r="AS540" i="8"/>
  <c r="AJ540" i="8" s="1"/>
  <c r="AA540" i="8" s="1"/>
  <c r="AS260" i="8"/>
  <c r="AJ260" i="8" s="1"/>
  <c r="AC260" i="8"/>
  <c r="AT260" i="8"/>
  <c r="AK260" i="8" s="1"/>
  <c r="AB260" i="8"/>
  <c r="Z170" i="8"/>
  <c r="Y18" i="8"/>
  <c r="AC154" i="8"/>
  <c r="AB154" i="8"/>
  <c r="AT154" i="8"/>
  <c r="AK154" i="8" s="1"/>
  <c r="AS154" i="8"/>
  <c r="AJ154" i="8" s="1"/>
  <c r="AA154" i="8" s="1"/>
  <c r="AB284" i="8"/>
  <c r="AT284" i="8"/>
  <c r="AK284" i="8" s="1"/>
  <c r="AS284" i="8"/>
  <c r="AJ284" i="8" s="1"/>
  <c r="AA284" i="8" s="1"/>
  <c r="AC284" i="8"/>
  <c r="AB376" i="8"/>
  <c r="AC376" i="8"/>
  <c r="AT376" i="8"/>
  <c r="AK376" i="8" s="1"/>
  <c r="AS376" i="8"/>
  <c r="AJ376" i="8" s="1"/>
  <c r="AA376" i="8" s="1"/>
  <c r="AC596" i="8"/>
  <c r="AT596" i="8"/>
  <c r="AK596" i="8" s="1"/>
  <c r="AB596" i="8"/>
  <c r="AS596" i="8"/>
  <c r="AJ596" i="8" s="1"/>
  <c r="AA596" i="8" s="1"/>
  <c r="AB946" i="8"/>
  <c r="AC946" i="8"/>
  <c r="AT946" i="8"/>
  <c r="AK946" i="8" s="1"/>
  <c r="AS946" i="8"/>
  <c r="AJ946" i="8" s="1"/>
  <c r="AA946" i="8" s="1"/>
  <c r="AC1084" i="8"/>
  <c r="AB1084" i="8"/>
  <c r="AT1084" i="8"/>
  <c r="AK1084" i="8" s="1"/>
  <c r="AS1084" i="8"/>
  <c r="AJ1084" i="8" s="1"/>
  <c r="AS266" i="8"/>
  <c r="AJ266" i="8" s="1"/>
  <c r="AA266" i="8" s="1"/>
  <c r="AC266" i="8"/>
  <c r="AT266" i="8"/>
  <c r="AK266" i="8" s="1"/>
  <c r="AB266" i="8"/>
  <c r="AT639" i="8"/>
  <c r="AK639" i="8" s="1"/>
  <c r="AS639" i="8"/>
  <c r="AJ639" i="8" s="1"/>
  <c r="AC639" i="8"/>
  <c r="AB639" i="8"/>
  <c r="AT723" i="8"/>
  <c r="AK723" i="8" s="1"/>
  <c r="AB723" i="8"/>
  <c r="AC723" i="8"/>
  <c r="AS723" i="8"/>
  <c r="AJ723" i="8" s="1"/>
  <c r="AT689" i="8"/>
  <c r="AK689" i="8" s="1"/>
  <c r="AS689" i="8"/>
  <c r="AJ689" i="8" s="1"/>
  <c r="AC689" i="8"/>
  <c r="AB689" i="8"/>
  <c r="AC64" i="8"/>
  <c r="AB64" i="8"/>
  <c r="AT64" i="8"/>
  <c r="AK64" i="8" s="1"/>
  <c r="AS64" i="8"/>
  <c r="AJ64" i="8" s="1"/>
  <c r="AA64" i="8" s="1"/>
  <c r="AS217" i="8"/>
  <c r="AJ217" i="8" s="1"/>
  <c r="AC217" i="8"/>
  <c r="AB217" i="8"/>
  <c r="AT217" i="8"/>
  <c r="AK217" i="8" s="1"/>
  <c r="AC347" i="8"/>
  <c r="AT347" i="8"/>
  <c r="AK347" i="8" s="1"/>
  <c r="AB347" i="8"/>
  <c r="AS347" i="8"/>
  <c r="AJ347" i="8" s="1"/>
  <c r="AS533" i="8"/>
  <c r="AJ533" i="8" s="1"/>
  <c r="AC533" i="8"/>
  <c r="AT533" i="8"/>
  <c r="AK533" i="8" s="1"/>
  <c r="AB533" i="8"/>
  <c r="AS807" i="8"/>
  <c r="AJ807" i="8" s="1"/>
  <c r="AC807" i="8"/>
  <c r="AB807" i="8"/>
  <c r="AT807" i="8"/>
  <c r="AK807" i="8" s="1"/>
  <c r="AC945" i="8"/>
  <c r="AT945" i="8"/>
  <c r="AK945" i="8" s="1"/>
  <c r="AB945" i="8"/>
  <c r="AS945" i="8"/>
  <c r="AJ945" i="8" s="1"/>
  <c r="AA945" i="8" s="1"/>
  <c r="AC1152" i="8"/>
  <c r="AT1152" i="8"/>
  <c r="AK1152" i="8" s="1"/>
  <c r="AB1152" i="8"/>
  <c r="AS1152" i="8"/>
  <c r="AJ1152" i="8" s="1"/>
  <c r="AT706" i="8"/>
  <c r="AK706" i="8" s="1"/>
  <c r="AS706" i="8"/>
  <c r="AJ706" i="8" s="1"/>
  <c r="AC706" i="8"/>
  <c r="AB706" i="8"/>
  <c r="Z32" i="8"/>
  <c r="AM250" i="8"/>
  <c r="AF250" i="8" s="1"/>
  <c r="AL250" i="8"/>
  <c r="AE250" i="8" s="1"/>
  <c r="AO250" i="8"/>
  <c r="AN250" i="8"/>
  <c r="AO830" i="8"/>
  <c r="AN830" i="8"/>
  <c r="AL830" i="8"/>
  <c r="AE830" i="8" s="1"/>
  <c r="AM830" i="8"/>
  <c r="AF830" i="8" s="1"/>
  <c r="AN39" i="8"/>
  <c r="AM39" i="8"/>
  <c r="AF39" i="8" s="1"/>
  <c r="AL39" i="8"/>
  <c r="AE39" i="8" s="1"/>
  <c r="AO39" i="8"/>
  <c r="AO693" i="8"/>
  <c r="AM693" i="8"/>
  <c r="AF693" i="8" s="1"/>
  <c r="AL693" i="8"/>
  <c r="AE693" i="8" s="1"/>
  <c r="AN693" i="8"/>
  <c r="AN1076" i="8"/>
  <c r="AM1076" i="8"/>
  <c r="AF1076" i="8" s="1"/>
  <c r="AL1076" i="8"/>
  <c r="AE1076" i="8" s="1"/>
  <c r="AO1076" i="8"/>
  <c r="AS847" i="8"/>
  <c r="AJ847" i="8" s="1"/>
  <c r="AC847" i="8"/>
  <c r="AB847" i="8"/>
  <c r="AT847" i="8"/>
  <c r="AK847" i="8" s="1"/>
  <c r="AT1067" i="8"/>
  <c r="AK1067" i="8" s="1"/>
  <c r="AC1067" i="8"/>
  <c r="AS1067" i="8"/>
  <c r="AJ1067" i="8" s="1"/>
  <c r="AB1067" i="8"/>
  <c r="AS31" i="8"/>
  <c r="AJ31" i="8" s="1"/>
  <c r="AA31" i="8" s="1"/>
  <c r="AC31" i="8"/>
  <c r="AB31" i="8"/>
  <c r="AT31" i="8"/>
  <c r="AK31" i="8" s="1"/>
  <c r="AS803" i="8"/>
  <c r="AJ803" i="8" s="1"/>
  <c r="AC803" i="8"/>
  <c r="AB803" i="8"/>
  <c r="AT803" i="8"/>
  <c r="AK803" i="8" s="1"/>
  <c r="AC1000" i="8"/>
  <c r="AB1000" i="8"/>
  <c r="AT1000" i="8"/>
  <c r="AK1000" i="8" s="1"/>
  <c r="AS1000" i="8"/>
  <c r="AJ1000" i="8" s="1"/>
  <c r="AS1125" i="8"/>
  <c r="AJ1125" i="8" s="1"/>
  <c r="AA1125" i="8" s="1"/>
  <c r="AB1125" i="8"/>
  <c r="AC1125" i="8"/>
  <c r="AT1125" i="8"/>
  <c r="AK1125" i="8" s="1"/>
  <c r="AO471" i="8"/>
  <c r="AN471" i="8"/>
  <c r="AL471" i="8"/>
  <c r="AE471" i="8" s="1"/>
  <c r="AM471" i="8"/>
  <c r="AF471" i="8" s="1"/>
  <c r="AO1077" i="8"/>
  <c r="AL1077" i="8"/>
  <c r="AE1077" i="8" s="1"/>
  <c r="AN1077" i="8"/>
  <c r="AM1077" i="8"/>
  <c r="AF1077" i="8" s="1"/>
  <c r="Z10" i="8"/>
  <c r="AB752" i="8"/>
  <c r="AT752" i="8"/>
  <c r="AK752" i="8" s="1"/>
  <c r="AS752" i="8"/>
  <c r="AJ752" i="8" s="1"/>
  <c r="AC752" i="8"/>
  <c r="AC780" i="8"/>
  <c r="AT780" i="8"/>
  <c r="AK780" i="8" s="1"/>
  <c r="AB780" i="8"/>
  <c r="AS780" i="8"/>
  <c r="AJ780" i="8" s="1"/>
  <c r="AO274" i="8"/>
  <c r="AL274" i="8"/>
  <c r="AE274" i="8" s="1"/>
  <c r="AN274" i="8"/>
  <c r="AM274" i="8"/>
  <c r="AF274" i="8" s="1"/>
  <c r="AM821" i="8"/>
  <c r="AF821" i="8" s="1"/>
  <c r="AO821" i="8"/>
  <c r="AN821" i="8"/>
  <c r="AL821" i="8"/>
  <c r="AE821" i="8" s="1"/>
  <c r="AO1189" i="8"/>
  <c r="AL1189" i="8"/>
  <c r="AE1189" i="8" s="1"/>
  <c r="AM1189" i="8"/>
  <c r="AF1189" i="8" s="1"/>
  <c r="AN1189" i="8"/>
  <c r="AS815" i="8"/>
  <c r="AJ815" i="8" s="1"/>
  <c r="AC815" i="8"/>
  <c r="AB815" i="8"/>
  <c r="AT815" i="8"/>
  <c r="AK815" i="8" s="1"/>
  <c r="AT1068" i="8"/>
  <c r="AK1068" i="8" s="1"/>
  <c r="AS1068" i="8"/>
  <c r="AJ1068" i="8" s="1"/>
  <c r="AC1068" i="8"/>
  <c r="AB1068" i="8"/>
  <c r="AT649" i="8"/>
  <c r="AK649" i="8" s="1"/>
  <c r="AC649" i="8"/>
  <c r="AS649" i="8"/>
  <c r="AJ649" i="8" s="1"/>
  <c r="AA649" i="8" s="1"/>
  <c r="AB649" i="8"/>
  <c r="AC776" i="8"/>
  <c r="AT776" i="8"/>
  <c r="AK776" i="8" s="1"/>
  <c r="AB776" i="8"/>
  <c r="AS776" i="8"/>
  <c r="AJ776" i="8" s="1"/>
  <c r="AC435" i="8"/>
  <c r="AB435" i="8"/>
  <c r="AT435" i="8"/>
  <c r="AK435" i="8" s="1"/>
  <c r="AS435" i="8"/>
  <c r="AJ435" i="8" s="1"/>
  <c r="AC259" i="8"/>
  <c r="AT259" i="8"/>
  <c r="AK259" i="8" s="1"/>
  <c r="AB259" i="8"/>
  <c r="AS259" i="8"/>
  <c r="AJ259" i="8" s="1"/>
  <c r="AB676" i="8"/>
  <c r="AC676" i="8"/>
  <c r="AT676" i="8"/>
  <c r="AK676" i="8" s="1"/>
  <c r="AS676" i="8"/>
  <c r="AJ676" i="8" s="1"/>
  <c r="AC949" i="8"/>
  <c r="AB949" i="8"/>
  <c r="AT949" i="8"/>
  <c r="AK949" i="8" s="1"/>
  <c r="AS949" i="8"/>
  <c r="AJ949" i="8" s="1"/>
  <c r="X62" i="8"/>
  <c r="AS304" i="8"/>
  <c r="AJ304" i="8" s="1"/>
  <c r="AA304" i="8" s="1"/>
  <c r="AT304" i="8"/>
  <c r="AK304" i="8" s="1"/>
  <c r="AB304" i="8"/>
  <c r="AC304" i="8"/>
  <c r="X442" i="8"/>
  <c r="AC606" i="8"/>
  <c r="AB606" i="8"/>
  <c r="AT606" i="8"/>
  <c r="AK606" i="8" s="1"/>
  <c r="AS606" i="8"/>
  <c r="AJ606" i="8" s="1"/>
  <c r="AA606" i="8" s="1"/>
  <c r="AB818" i="8"/>
  <c r="AT818" i="8"/>
  <c r="AK818" i="8" s="1"/>
  <c r="AS818" i="8"/>
  <c r="AJ818" i="8" s="1"/>
  <c r="AC818" i="8"/>
  <c r="AT1025" i="8"/>
  <c r="AK1025" i="8" s="1"/>
  <c r="AC1025" i="8"/>
  <c r="AS1025" i="8"/>
  <c r="AJ1025" i="8" s="1"/>
  <c r="AB1025" i="8"/>
  <c r="AN87" i="8"/>
  <c r="AM87" i="8"/>
  <c r="AF87" i="8" s="1"/>
  <c r="AL87" i="8"/>
  <c r="AE87" i="8" s="1"/>
  <c r="AO87" i="8"/>
  <c r="AN690" i="8"/>
  <c r="AO690" i="8"/>
  <c r="AM690" i="8"/>
  <c r="AF690" i="8" s="1"/>
  <c r="AL690" i="8"/>
  <c r="AE690" i="8" s="1"/>
  <c r="AO981" i="8"/>
  <c r="AN981" i="8"/>
  <c r="AM981" i="8"/>
  <c r="AF981" i="8" s="1"/>
  <c r="AL981" i="8"/>
  <c r="AE981" i="8" s="1"/>
  <c r="Y15" i="8"/>
  <c r="AB383" i="8"/>
  <c r="AT383" i="8"/>
  <c r="AK383" i="8" s="1"/>
  <c r="AS383" i="8"/>
  <c r="AJ383" i="8" s="1"/>
  <c r="AA383" i="8" s="1"/>
  <c r="AC383" i="8"/>
  <c r="AC800" i="8"/>
  <c r="AT800" i="8"/>
  <c r="AK800" i="8" s="1"/>
  <c r="AB800" i="8"/>
  <c r="AS800" i="8"/>
  <c r="AJ800" i="8" s="1"/>
  <c r="X984" i="8"/>
  <c r="X1191" i="8"/>
  <c r="Z147" i="8"/>
  <c r="Z498" i="8"/>
  <c r="AS150" i="8"/>
  <c r="AJ150" i="8" s="1"/>
  <c r="AB150" i="8"/>
  <c r="AT150" i="8"/>
  <c r="AK150" i="8" s="1"/>
  <c r="AC150" i="8"/>
  <c r="AB140" i="8"/>
  <c r="AC140" i="8"/>
  <c r="AT140" i="8"/>
  <c r="AK140" i="8" s="1"/>
  <c r="AS140" i="8"/>
  <c r="AJ140" i="8" s="1"/>
  <c r="AS298" i="8"/>
  <c r="AJ298" i="8" s="1"/>
  <c r="AC298" i="8"/>
  <c r="AT298" i="8"/>
  <c r="AK298" i="8" s="1"/>
  <c r="AB298" i="8"/>
  <c r="AT395" i="8"/>
  <c r="AK395" i="8" s="1"/>
  <c r="AB395" i="8"/>
  <c r="AC395" i="8"/>
  <c r="AS395" i="8"/>
  <c r="AJ395" i="8" s="1"/>
  <c r="AT697" i="8"/>
  <c r="AK697" i="8" s="1"/>
  <c r="AB697" i="8"/>
  <c r="AC697" i="8"/>
  <c r="AS697" i="8"/>
  <c r="AJ697" i="8" s="1"/>
  <c r="AA697" i="8" s="1"/>
  <c r="AS932" i="8"/>
  <c r="AJ932" i="8" s="1"/>
  <c r="AA932" i="8" s="1"/>
  <c r="AC932" i="8"/>
  <c r="AB932" i="8"/>
  <c r="AT932" i="8"/>
  <c r="AK932" i="8" s="1"/>
  <c r="AT1116" i="8"/>
  <c r="AK1116" i="8" s="1"/>
  <c r="AC1116" i="8"/>
  <c r="AS1116" i="8"/>
  <c r="AJ1116" i="8" s="1"/>
  <c r="AB1116" i="8"/>
  <c r="AS258" i="8"/>
  <c r="AJ258" i="8" s="1"/>
  <c r="AC258" i="8"/>
  <c r="AB258" i="8"/>
  <c r="AT258" i="8"/>
  <c r="AK258" i="8" s="1"/>
  <c r="AS619" i="8"/>
  <c r="AJ619" i="8" s="1"/>
  <c r="AC619" i="8"/>
  <c r="AB619" i="8"/>
  <c r="AT619" i="8"/>
  <c r="AK619" i="8" s="1"/>
  <c r="AB1040" i="8"/>
  <c r="AT1040" i="8"/>
  <c r="AK1040" i="8" s="1"/>
  <c r="AS1040" i="8"/>
  <c r="AJ1040" i="8" s="1"/>
  <c r="AA1040" i="8" s="1"/>
  <c r="AC1040" i="8"/>
  <c r="AM295" i="8"/>
  <c r="AF295" i="8" s="1"/>
  <c r="AL295" i="8"/>
  <c r="AE295" i="8" s="1"/>
  <c r="AO295" i="8"/>
  <c r="AN295" i="8"/>
  <c r="AO911" i="8"/>
  <c r="AN911" i="8"/>
  <c r="AM911" i="8"/>
  <c r="AF911" i="8" s="1"/>
  <c r="AL911" i="8"/>
  <c r="AE911" i="8" s="1"/>
  <c r="AC102" i="8"/>
  <c r="AT102" i="8"/>
  <c r="AK102" i="8" s="1"/>
  <c r="AB102" i="8"/>
  <c r="AS102" i="8"/>
  <c r="AJ102" i="8" s="1"/>
  <c r="AA102" i="8" s="1"/>
  <c r="AS904" i="8"/>
  <c r="AJ904" i="8" s="1"/>
  <c r="AA904" i="8" s="1"/>
  <c r="AC904" i="8"/>
  <c r="AB904" i="8"/>
  <c r="AT904" i="8"/>
  <c r="AK904" i="8" s="1"/>
  <c r="AC1065" i="8"/>
  <c r="AB1065" i="8"/>
  <c r="AT1065" i="8"/>
  <c r="AK1065" i="8" s="1"/>
  <c r="AS1065" i="8"/>
  <c r="AJ1065" i="8" s="1"/>
  <c r="AT183" i="8"/>
  <c r="AK183" i="8" s="1"/>
  <c r="AS183" i="8"/>
  <c r="AJ183" i="8" s="1"/>
  <c r="AC183" i="8"/>
  <c r="AB183" i="8"/>
  <c r="AC527" i="8"/>
  <c r="AB527" i="8"/>
  <c r="AT527" i="8"/>
  <c r="AK527" i="8" s="1"/>
  <c r="AS527" i="8"/>
  <c r="AJ527" i="8" s="1"/>
  <c r="AT924" i="8"/>
  <c r="AK924" i="8" s="1"/>
  <c r="AS924" i="8"/>
  <c r="AJ924" i="8" s="1"/>
  <c r="AC924" i="8"/>
  <c r="AB924" i="8"/>
  <c r="AC511" i="8"/>
  <c r="AB511" i="8"/>
  <c r="AT511" i="8"/>
  <c r="AK511" i="8" s="1"/>
  <c r="AS511" i="8"/>
  <c r="AJ511" i="8" s="1"/>
  <c r="AS382" i="8"/>
  <c r="AJ382" i="8" s="1"/>
  <c r="AC382" i="8"/>
  <c r="AB382" i="8"/>
  <c r="AT382" i="8"/>
  <c r="AK382" i="8" s="1"/>
  <c r="AO177" i="8"/>
  <c r="AN177" i="8"/>
  <c r="AM177" i="8"/>
  <c r="AF177" i="8" s="1"/>
  <c r="AL177" i="8"/>
  <c r="AE177" i="8" s="1"/>
  <c r="Z199" i="8"/>
  <c r="AC586" i="8"/>
  <c r="AT586" i="8"/>
  <c r="AK586" i="8" s="1"/>
  <c r="AB586" i="8"/>
  <c r="AS586" i="8"/>
  <c r="AJ586" i="8" s="1"/>
  <c r="AC798" i="8"/>
  <c r="AT798" i="8"/>
  <c r="AK798" i="8" s="1"/>
  <c r="AB798" i="8"/>
  <c r="AS798" i="8"/>
  <c r="AJ798" i="8" s="1"/>
  <c r="AS895" i="8"/>
  <c r="AJ895" i="8" s="1"/>
  <c r="AC895" i="8"/>
  <c r="AT895" i="8"/>
  <c r="AK895" i="8" s="1"/>
  <c r="AB895" i="8"/>
  <c r="W317" i="9"/>
  <c r="Z1190" i="8"/>
  <c r="Z1192" i="8"/>
  <c r="Z1079" i="8"/>
  <c r="Z1064" i="8"/>
  <c r="Z1067" i="8"/>
  <c r="Y1061" i="8"/>
  <c r="Z1073" i="8"/>
  <c r="Z1005" i="8"/>
  <c r="Z967" i="8"/>
  <c r="Y955" i="8"/>
  <c r="Z962" i="8"/>
  <c r="Y847" i="8"/>
  <c r="Y874" i="8"/>
  <c r="Y755" i="8"/>
  <c r="Y760" i="8"/>
  <c r="Z872" i="8"/>
  <c r="Z794" i="8"/>
  <c r="Y636" i="8"/>
  <c r="Y637" i="8"/>
  <c r="Z591" i="8"/>
  <c r="Z664" i="8"/>
  <c r="Y602" i="8"/>
  <c r="Y679" i="8"/>
  <c r="Y585" i="8"/>
  <c r="Y610" i="8"/>
  <c r="Z503" i="8"/>
  <c r="Y527" i="8"/>
  <c r="Y556" i="8"/>
  <c r="Z469" i="8"/>
  <c r="Y420" i="8"/>
  <c r="Y360" i="8"/>
  <c r="Z365" i="8"/>
  <c r="Z291" i="8"/>
  <c r="Z282" i="8"/>
  <c r="Y239" i="8"/>
  <c r="Y44" i="8"/>
  <c r="AS249" i="8"/>
  <c r="AJ249" i="8" s="1"/>
  <c r="AC249" i="8"/>
  <c r="AB249" i="8"/>
  <c r="AT249" i="8"/>
  <c r="AK249" i="8" s="1"/>
  <c r="AT476" i="8"/>
  <c r="AK476" i="8" s="1"/>
  <c r="AS476" i="8"/>
  <c r="AJ476" i="8" s="1"/>
  <c r="AC476" i="8"/>
  <c r="AB476" i="8"/>
  <c r="AC504" i="8"/>
  <c r="AB504" i="8"/>
  <c r="AT504" i="8"/>
  <c r="AK504" i="8" s="1"/>
  <c r="AS504" i="8"/>
  <c r="AJ504" i="8" s="1"/>
  <c r="AC852" i="8"/>
  <c r="AT852" i="8"/>
  <c r="AK852" i="8" s="1"/>
  <c r="AB852" i="8"/>
  <c r="AS852" i="8"/>
  <c r="AJ852" i="8" s="1"/>
  <c r="AC1036" i="8"/>
  <c r="AS1036" i="8"/>
  <c r="AJ1036" i="8" s="1"/>
  <c r="AB1036" i="8"/>
  <c r="AT1036" i="8"/>
  <c r="AK1036" i="8" s="1"/>
  <c r="AT44" i="8"/>
  <c r="AK44" i="8" s="1"/>
  <c r="AC44" i="8"/>
  <c r="AS44" i="8"/>
  <c r="AJ44" i="8" s="1"/>
  <c r="AB44" i="8"/>
  <c r="AO417" i="8"/>
  <c r="AN417" i="8"/>
  <c r="AL417" i="8"/>
  <c r="AE417" i="8" s="1"/>
  <c r="AM417" i="8"/>
  <c r="AF417" i="8" s="1"/>
  <c r="AN941" i="8"/>
  <c r="AO941" i="8"/>
  <c r="AM941" i="8"/>
  <c r="AF941" i="8" s="1"/>
  <c r="AL941" i="8"/>
  <c r="AE941" i="8" s="1"/>
  <c r="AT500" i="8"/>
  <c r="AK500" i="8" s="1"/>
  <c r="AC500" i="8"/>
  <c r="AS500" i="8"/>
  <c r="AJ500" i="8" s="1"/>
  <c r="AB500" i="8"/>
  <c r="AN386" i="8"/>
  <c r="AO386" i="8"/>
  <c r="AM386" i="8"/>
  <c r="AF386" i="8" s="1"/>
  <c r="AL386" i="8"/>
  <c r="AE386" i="8" s="1"/>
  <c r="AO910" i="8"/>
  <c r="AM910" i="8"/>
  <c r="AF910" i="8" s="1"/>
  <c r="AL910" i="8"/>
  <c r="AE910" i="8" s="1"/>
  <c r="AN910" i="8"/>
  <c r="AS509" i="8"/>
  <c r="AJ509" i="8" s="1"/>
  <c r="AA509" i="8" s="1"/>
  <c r="AC509" i="8"/>
  <c r="AB509" i="8"/>
  <c r="AT509" i="8"/>
  <c r="AK509" i="8" s="1"/>
  <c r="AS334" i="8"/>
  <c r="AJ334" i="8" s="1"/>
  <c r="AC334" i="8"/>
  <c r="AB334" i="8"/>
  <c r="AT334" i="8"/>
  <c r="AK334" i="8" s="1"/>
  <c r="AT69" i="8"/>
  <c r="AK69" i="8" s="1"/>
  <c r="AC69" i="8"/>
  <c r="AS69" i="8"/>
  <c r="AJ69" i="8" s="1"/>
  <c r="AB69" i="8"/>
  <c r="AT223" i="8"/>
  <c r="AK223" i="8" s="1"/>
  <c r="AB223" i="8"/>
  <c r="AS223" i="8"/>
  <c r="AJ223" i="8" s="1"/>
  <c r="AC223" i="8"/>
  <c r="AS246" i="8"/>
  <c r="AJ246" i="8" s="1"/>
  <c r="AC246" i="8"/>
  <c r="AT246" i="8"/>
  <c r="AK246" i="8" s="1"/>
  <c r="AB246" i="8"/>
  <c r="AB412" i="8"/>
  <c r="AC412" i="8"/>
  <c r="AT412" i="8"/>
  <c r="AK412" i="8" s="1"/>
  <c r="AS412" i="8"/>
  <c r="AJ412" i="8" s="1"/>
  <c r="AA412" i="8" s="1"/>
  <c r="AS609" i="8"/>
  <c r="AJ609" i="8" s="1"/>
  <c r="AA609" i="8" s="1"/>
  <c r="AC609" i="8"/>
  <c r="AB609" i="8"/>
  <c r="AT609" i="8"/>
  <c r="AK609" i="8" s="1"/>
  <c r="AS900" i="8"/>
  <c r="AJ900" i="8" s="1"/>
  <c r="AA900" i="8" s="1"/>
  <c r="AC900" i="8"/>
  <c r="AT900" i="8"/>
  <c r="AK900" i="8" s="1"/>
  <c r="AB900" i="8"/>
  <c r="AT1061" i="8"/>
  <c r="AK1061" i="8" s="1"/>
  <c r="AC1061" i="8"/>
  <c r="AS1061" i="8"/>
  <c r="AJ1061" i="8" s="1"/>
  <c r="AB1061" i="8"/>
  <c r="AT312" i="8"/>
  <c r="AK312" i="8" s="1"/>
  <c r="AB312" i="8"/>
  <c r="AS312" i="8"/>
  <c r="AJ312" i="8" s="1"/>
  <c r="AC312" i="8"/>
  <c r="AT634" i="8"/>
  <c r="AK634" i="8" s="1"/>
  <c r="AB634" i="8"/>
  <c r="AC634" i="8"/>
  <c r="AS634" i="8"/>
  <c r="AJ634" i="8" s="1"/>
  <c r="AS769" i="8"/>
  <c r="AJ769" i="8" s="1"/>
  <c r="AA769" i="8" s="1"/>
  <c r="AC769" i="8"/>
  <c r="AB769" i="8"/>
  <c r="AT769" i="8"/>
  <c r="AK769" i="8" s="1"/>
  <c r="AS694" i="8"/>
  <c r="AJ694" i="8" s="1"/>
  <c r="AA694" i="8" s="1"/>
  <c r="AC694" i="8"/>
  <c r="AB694" i="8"/>
  <c r="AT694" i="8"/>
  <c r="AK694" i="8" s="1"/>
  <c r="AT92" i="8"/>
  <c r="AK92" i="8" s="1"/>
  <c r="AC92" i="8"/>
  <c r="AS92" i="8"/>
  <c r="AJ92" i="8" s="1"/>
  <c r="AB92" i="8"/>
  <c r="AS245" i="8"/>
  <c r="AJ245" i="8" s="1"/>
  <c r="AC245" i="8"/>
  <c r="AT245" i="8"/>
  <c r="AK245" i="8" s="1"/>
  <c r="AB245" i="8"/>
  <c r="AS342" i="8"/>
  <c r="AJ342" i="8" s="1"/>
  <c r="AA342" i="8" s="1"/>
  <c r="AC342" i="8"/>
  <c r="AB342" i="8"/>
  <c r="AT342" i="8"/>
  <c r="AK342" i="8" s="1"/>
  <c r="AS505" i="8"/>
  <c r="AJ505" i="8" s="1"/>
  <c r="AA505" i="8" s="1"/>
  <c r="AC505" i="8"/>
  <c r="AB505" i="8"/>
  <c r="AT505" i="8"/>
  <c r="AK505" i="8" s="1"/>
  <c r="AB756" i="8"/>
  <c r="AC756" i="8"/>
  <c r="AT756" i="8"/>
  <c r="AK756" i="8" s="1"/>
  <c r="AS756" i="8"/>
  <c r="AJ756" i="8" s="1"/>
  <c r="AA756" i="8" s="1"/>
  <c r="AT981" i="8"/>
  <c r="AK981" i="8" s="1"/>
  <c r="AS981" i="8"/>
  <c r="AJ981" i="8" s="1"/>
  <c r="AC981" i="8"/>
  <c r="AB981" i="8"/>
  <c r="AB1142" i="8"/>
  <c r="AT1142" i="8"/>
  <c r="AK1142" i="8" s="1"/>
  <c r="AS1142" i="8"/>
  <c r="AJ1142" i="8" s="1"/>
  <c r="AC1142" i="8"/>
  <c r="X721" i="8"/>
  <c r="AT26" i="8"/>
  <c r="AK26" i="8" s="1"/>
  <c r="AS26" i="8"/>
  <c r="AJ26" i="8" s="1"/>
  <c r="AB26" i="8"/>
  <c r="AC26" i="8"/>
  <c r="AO301" i="8"/>
  <c r="AM301" i="8"/>
  <c r="AF301" i="8" s="1"/>
  <c r="AL301" i="8"/>
  <c r="AE301" i="8" s="1"/>
  <c r="AN301" i="8"/>
  <c r="AO894" i="8"/>
  <c r="AN894" i="8"/>
  <c r="AM894" i="8"/>
  <c r="AF894" i="8" s="1"/>
  <c r="AL894" i="8"/>
  <c r="AE894" i="8" s="1"/>
  <c r="AO62" i="8"/>
  <c r="AN62" i="8"/>
  <c r="AM62" i="8"/>
  <c r="AF62" i="8" s="1"/>
  <c r="AL62" i="8"/>
  <c r="AE62" i="8" s="1"/>
  <c r="AO721" i="8"/>
  <c r="AN721" i="8"/>
  <c r="AM721" i="8"/>
  <c r="AF721" i="8" s="1"/>
  <c r="AL721" i="8"/>
  <c r="AE721" i="8" s="1"/>
  <c r="AO1117" i="8"/>
  <c r="AM1117" i="8"/>
  <c r="AF1117" i="8" s="1"/>
  <c r="AL1117" i="8"/>
  <c r="AE1117" i="8" s="1"/>
  <c r="AN1117" i="8"/>
  <c r="AS860" i="8"/>
  <c r="AJ860" i="8" s="1"/>
  <c r="AC860" i="8"/>
  <c r="AB860" i="8"/>
  <c r="AT860" i="8"/>
  <c r="AK860" i="8" s="1"/>
  <c r="AS1044" i="8"/>
  <c r="AJ1044" i="8" s="1"/>
  <c r="AA1044" i="8" s="1"/>
  <c r="AB1044" i="8"/>
  <c r="AT1044" i="8"/>
  <c r="AK1044" i="8" s="1"/>
  <c r="AC1044" i="8"/>
  <c r="Y105" i="8"/>
  <c r="AS793" i="8"/>
  <c r="AJ793" i="8" s="1"/>
  <c r="AA793" i="8" s="1"/>
  <c r="AC793" i="8"/>
  <c r="AB793" i="8"/>
  <c r="AT793" i="8"/>
  <c r="AK793" i="8" s="1"/>
  <c r="AT977" i="8"/>
  <c r="AK977" i="8" s="1"/>
  <c r="AS977" i="8"/>
  <c r="AJ977" i="8" s="1"/>
  <c r="AA977" i="8" s="1"/>
  <c r="AC977" i="8"/>
  <c r="AB977" i="8"/>
  <c r="AS1171" i="8"/>
  <c r="AJ1171" i="8" s="1"/>
  <c r="AC1171" i="8"/>
  <c r="AB1171" i="8"/>
  <c r="AT1171" i="8"/>
  <c r="AK1171" i="8" s="1"/>
  <c r="Z105" i="8"/>
  <c r="Z26" i="8"/>
  <c r="AO443" i="8"/>
  <c r="AN443" i="8"/>
  <c r="AL443" i="8"/>
  <c r="AE443" i="8" s="1"/>
  <c r="AM443" i="8"/>
  <c r="AF443" i="8" s="1"/>
  <c r="AM1054" i="8"/>
  <c r="AF1054" i="8" s="1"/>
  <c r="AL1054" i="8"/>
  <c r="AE1054" i="8" s="1"/>
  <c r="AO1054" i="8"/>
  <c r="AN1054" i="8"/>
  <c r="AS625" i="8"/>
  <c r="AJ625" i="8" s="1"/>
  <c r="AA625" i="8" s="1"/>
  <c r="AC625" i="8"/>
  <c r="AB625" i="8"/>
  <c r="AT625" i="8"/>
  <c r="AK625" i="8" s="1"/>
  <c r="AS775" i="8"/>
  <c r="AJ775" i="8" s="1"/>
  <c r="AA775" i="8" s="1"/>
  <c r="AC775" i="8"/>
  <c r="AB775" i="8"/>
  <c r="AT775" i="8"/>
  <c r="AK775" i="8" s="1"/>
  <c r="Y29" i="8"/>
  <c r="AO320" i="8"/>
  <c r="AN320" i="8"/>
  <c r="AM320" i="8"/>
  <c r="AF320" i="8" s="1"/>
  <c r="AL320" i="8"/>
  <c r="AE320" i="8" s="1"/>
  <c r="AO826" i="8"/>
  <c r="AL826" i="8"/>
  <c r="AE826" i="8" s="1"/>
  <c r="AN826" i="8"/>
  <c r="AM826" i="8"/>
  <c r="AF826" i="8" s="1"/>
  <c r="AT54" i="8"/>
  <c r="AK54" i="8" s="1"/>
  <c r="AC54" i="8"/>
  <c r="AS54" i="8"/>
  <c r="AJ54" i="8" s="1"/>
  <c r="AB54" i="8"/>
  <c r="AT838" i="8"/>
  <c r="AK838" i="8" s="1"/>
  <c r="AS838" i="8"/>
  <c r="AJ838" i="8" s="1"/>
  <c r="AC838" i="8"/>
  <c r="AB838" i="8"/>
  <c r="AT1114" i="8"/>
  <c r="AK1114" i="8" s="1"/>
  <c r="AC1114" i="8"/>
  <c r="AS1114" i="8"/>
  <c r="AJ1114" i="8" s="1"/>
  <c r="AB1114" i="8"/>
  <c r="AS621" i="8"/>
  <c r="AJ621" i="8" s="1"/>
  <c r="AC621" i="8"/>
  <c r="AB621" i="8"/>
  <c r="AT621" i="8"/>
  <c r="AK621" i="8" s="1"/>
  <c r="AS771" i="8"/>
  <c r="AJ771" i="8" s="1"/>
  <c r="AC771" i="8"/>
  <c r="AB771" i="8"/>
  <c r="AT771" i="8"/>
  <c r="AK771" i="8" s="1"/>
  <c r="AB384" i="8"/>
  <c r="AC384" i="8"/>
  <c r="AS384" i="8"/>
  <c r="AJ384" i="8" s="1"/>
  <c r="AT384" i="8"/>
  <c r="AK384" i="8" s="1"/>
  <c r="AN36" i="8"/>
  <c r="AL36" i="8"/>
  <c r="AE36" i="8" s="1"/>
  <c r="AO36" i="8"/>
  <c r="AM36" i="8"/>
  <c r="AF36" i="8" s="1"/>
  <c r="AC231" i="8"/>
  <c r="AT231" i="8"/>
  <c r="AK231" i="8" s="1"/>
  <c r="AB231" i="8"/>
  <c r="AS231" i="8"/>
  <c r="AJ231" i="8" s="1"/>
  <c r="AS591" i="8"/>
  <c r="AJ591" i="8" s="1"/>
  <c r="AA591" i="8" s="1"/>
  <c r="AC591" i="8"/>
  <c r="AT591" i="8"/>
  <c r="AK591" i="8" s="1"/>
  <c r="AB591" i="8"/>
  <c r="AS1018" i="8"/>
  <c r="AJ1018" i="8" s="1"/>
  <c r="AC1018" i="8"/>
  <c r="AB1018" i="8"/>
  <c r="AT1018" i="8"/>
  <c r="AK1018" i="8" s="1"/>
  <c r="AS85" i="8"/>
  <c r="AJ85" i="8" s="1"/>
  <c r="AA85" i="8" s="1"/>
  <c r="AB85" i="8"/>
  <c r="AT85" i="8"/>
  <c r="AK85" i="8" s="1"/>
  <c r="AC85" i="8"/>
  <c r="X276" i="8"/>
  <c r="AT409" i="8"/>
  <c r="AK409" i="8" s="1"/>
  <c r="AS409" i="8"/>
  <c r="AJ409" i="8" s="1"/>
  <c r="AA409" i="8" s="1"/>
  <c r="AC409" i="8"/>
  <c r="AB409" i="8"/>
  <c r="AC531" i="8"/>
  <c r="AS531" i="8"/>
  <c r="AJ531" i="8" s="1"/>
  <c r="AT531" i="8"/>
  <c r="AK531" i="8" s="1"/>
  <c r="AB531" i="8"/>
  <c r="AS910" i="8"/>
  <c r="AJ910" i="8" s="1"/>
  <c r="AC910" i="8"/>
  <c r="AB910" i="8"/>
  <c r="AT910" i="8"/>
  <c r="AK910" i="8" s="1"/>
  <c r="AT1035" i="8"/>
  <c r="AK1035" i="8" s="1"/>
  <c r="AB1035" i="8"/>
  <c r="AS1035" i="8"/>
  <c r="AJ1035" i="8" s="1"/>
  <c r="AC1035" i="8"/>
  <c r="AN143" i="8"/>
  <c r="AM143" i="8"/>
  <c r="AF143" i="8" s="1"/>
  <c r="AO143" i="8"/>
  <c r="AL143" i="8"/>
  <c r="AE143" i="8" s="1"/>
  <c r="AN718" i="8"/>
  <c r="AO718" i="8"/>
  <c r="AM718" i="8"/>
  <c r="AF718" i="8" s="1"/>
  <c r="AL718" i="8"/>
  <c r="AE718" i="8" s="1"/>
  <c r="AO1004" i="8"/>
  <c r="AN1004" i="8"/>
  <c r="AM1004" i="8"/>
  <c r="AF1004" i="8" s="1"/>
  <c r="AL1004" i="8"/>
  <c r="AE1004" i="8" s="1"/>
  <c r="Y66" i="8"/>
  <c r="AO13" i="8"/>
  <c r="AN13" i="8"/>
  <c r="AM13" i="8"/>
  <c r="AF13" i="8" s="1"/>
  <c r="AL13" i="8"/>
  <c r="AE13" i="8" s="1"/>
  <c r="AT462" i="8"/>
  <c r="AK462" i="8" s="1"/>
  <c r="AS462" i="8"/>
  <c r="AJ462" i="8" s="1"/>
  <c r="AC462" i="8"/>
  <c r="AB462" i="8"/>
  <c r="AS813" i="8"/>
  <c r="AJ813" i="8" s="1"/>
  <c r="AC813" i="8"/>
  <c r="AB813" i="8"/>
  <c r="AT813" i="8"/>
  <c r="AK813" i="8" s="1"/>
  <c r="AT1020" i="8"/>
  <c r="AK1020" i="8" s="1"/>
  <c r="AC1020" i="8"/>
  <c r="AS1020" i="8"/>
  <c r="AJ1020" i="8" s="1"/>
  <c r="AA1020" i="8" s="1"/>
  <c r="AB1020" i="8"/>
  <c r="X1145" i="8"/>
  <c r="Z88" i="8"/>
  <c r="Z859" i="8"/>
  <c r="AT66" i="8"/>
  <c r="AK66" i="8" s="1"/>
  <c r="AC66" i="8"/>
  <c r="AS66" i="8"/>
  <c r="AJ66" i="8" s="1"/>
  <c r="AB66" i="8"/>
  <c r="AB224" i="8"/>
  <c r="AS224" i="8"/>
  <c r="AJ224" i="8" s="1"/>
  <c r="AT224" i="8"/>
  <c r="AK224" i="8" s="1"/>
  <c r="AC224" i="8"/>
  <c r="AS321" i="8"/>
  <c r="AJ321" i="8" s="1"/>
  <c r="AC321" i="8"/>
  <c r="AT321" i="8"/>
  <c r="AK321" i="8" s="1"/>
  <c r="AB321" i="8"/>
  <c r="AB512" i="8"/>
  <c r="AT512" i="8"/>
  <c r="AK512" i="8" s="1"/>
  <c r="AS512" i="8"/>
  <c r="AJ512" i="8" s="1"/>
  <c r="AA512" i="8" s="1"/>
  <c r="AC512" i="8"/>
  <c r="AC794" i="8"/>
  <c r="AT794" i="8"/>
  <c r="AK794" i="8" s="1"/>
  <c r="AB794" i="8"/>
  <c r="AS794" i="8"/>
  <c r="AJ794" i="8" s="1"/>
  <c r="AS988" i="8"/>
  <c r="AJ988" i="8" s="1"/>
  <c r="AC988" i="8"/>
  <c r="AB988" i="8"/>
  <c r="AT988" i="8"/>
  <c r="AK988" i="8" s="1"/>
  <c r="AT1126" i="8"/>
  <c r="AK1126" i="8" s="1"/>
  <c r="AC1126" i="8"/>
  <c r="AS1126" i="8"/>
  <c r="AJ1126" i="8" s="1"/>
  <c r="AA1126" i="8" s="1"/>
  <c r="AB1126" i="8"/>
  <c r="AS309" i="8"/>
  <c r="AJ309" i="8" s="1"/>
  <c r="AC309" i="8"/>
  <c r="AT309" i="8"/>
  <c r="AK309" i="8" s="1"/>
  <c r="AB309" i="8"/>
  <c r="AT675" i="8"/>
  <c r="AK675" i="8" s="1"/>
  <c r="AC675" i="8"/>
  <c r="AB675" i="8"/>
  <c r="AS675" i="8"/>
  <c r="AJ675" i="8" s="1"/>
  <c r="AS1109" i="8"/>
  <c r="AJ1109" i="8" s="1"/>
  <c r="AB1109" i="8"/>
  <c r="AC1109" i="8"/>
  <c r="AT1109" i="8"/>
  <c r="AK1109" i="8" s="1"/>
  <c r="AO364" i="8"/>
  <c r="AN364" i="8"/>
  <c r="AM364" i="8"/>
  <c r="AF364" i="8" s="1"/>
  <c r="AL364" i="8"/>
  <c r="AE364" i="8" s="1"/>
  <c r="AO842" i="8"/>
  <c r="AN842" i="8"/>
  <c r="AL842" i="8"/>
  <c r="AE842" i="8" s="1"/>
  <c r="AM842" i="8"/>
  <c r="AF842" i="8" s="1"/>
  <c r="AB130" i="8"/>
  <c r="AC130" i="8"/>
  <c r="AT130" i="8"/>
  <c r="AK130" i="8" s="1"/>
  <c r="AS130" i="8"/>
  <c r="AJ130" i="8" s="1"/>
  <c r="AT927" i="8"/>
  <c r="AK927" i="8" s="1"/>
  <c r="AC927" i="8"/>
  <c r="AS927" i="8"/>
  <c r="AJ927" i="8" s="1"/>
  <c r="AB927" i="8"/>
  <c r="AS1111" i="8"/>
  <c r="AJ1111" i="8" s="1"/>
  <c r="AC1111" i="8"/>
  <c r="AT1111" i="8"/>
  <c r="AK1111" i="8" s="1"/>
  <c r="AB1111" i="8"/>
  <c r="AS229" i="8"/>
  <c r="AJ229" i="8" s="1"/>
  <c r="AC229" i="8"/>
  <c r="AT229" i="8"/>
  <c r="AK229" i="8" s="1"/>
  <c r="AB229" i="8"/>
  <c r="AT558" i="8"/>
  <c r="AK558" i="8" s="1"/>
  <c r="AC558" i="8"/>
  <c r="AB558" i="8"/>
  <c r="AS558" i="8"/>
  <c r="AJ558" i="8" s="1"/>
  <c r="AC947" i="8"/>
  <c r="AT947" i="8"/>
  <c r="AK947" i="8" s="1"/>
  <c r="AB947" i="8"/>
  <c r="AS947" i="8"/>
  <c r="AJ947" i="8" s="1"/>
  <c r="AA947" i="8" s="1"/>
  <c r="AB486" i="8"/>
  <c r="AT486" i="8"/>
  <c r="AK486" i="8" s="1"/>
  <c r="AS486" i="8"/>
  <c r="AJ486" i="8" s="1"/>
  <c r="AA486" i="8" s="1"/>
  <c r="AC486" i="8"/>
  <c r="AT405" i="8"/>
  <c r="AK405" i="8" s="1"/>
  <c r="AS405" i="8"/>
  <c r="AJ405" i="8" s="1"/>
  <c r="AC405" i="8"/>
  <c r="AB405" i="8"/>
  <c r="AB42" i="8"/>
  <c r="AB87" i="8"/>
  <c r="Y17" i="8"/>
  <c r="Y113" i="8"/>
  <c r="Y741" i="8"/>
  <c r="AT445" i="8"/>
  <c r="AK445" i="8" s="1"/>
  <c r="AS445" i="8"/>
  <c r="AJ445" i="8" s="1"/>
  <c r="AA445" i="8" s="1"/>
  <c r="AC445" i="8"/>
  <c r="AB445" i="8"/>
  <c r="Z666" i="8"/>
  <c r="AT195" i="8"/>
  <c r="AK195" i="8" s="1"/>
  <c r="AB195" i="8"/>
  <c r="AC195" i="8"/>
  <c r="AS195" i="8"/>
  <c r="AJ195" i="8" s="1"/>
  <c r="AT61" i="8"/>
  <c r="AK61" i="8" s="1"/>
  <c r="AC61" i="8"/>
  <c r="AB61" i="8"/>
  <c r="AS61" i="8"/>
  <c r="AJ61" i="8" s="1"/>
  <c r="AA61" i="8" s="1"/>
  <c r="Z1160" i="8"/>
  <c r="Y900" i="8"/>
  <c r="Y622" i="8"/>
  <c r="Y1152" i="8"/>
  <c r="Y1035" i="8"/>
  <c r="Z894" i="8"/>
  <c r="Z886" i="8"/>
  <c r="Y839" i="8"/>
  <c r="Y799" i="8"/>
  <c r="Z813" i="8"/>
  <c r="Y791" i="8"/>
  <c r="Z720" i="8"/>
  <c r="Y632" i="8"/>
  <c r="Y501" i="8"/>
  <c r="Z501" i="8"/>
  <c r="Y457" i="8"/>
  <c r="Y339" i="8"/>
  <c r="Z333" i="8"/>
  <c r="Y373" i="8"/>
  <c r="Y266" i="8"/>
  <c r="Y327" i="8"/>
  <c r="Z228" i="8"/>
  <c r="Y161" i="8"/>
  <c r="AS221" i="8"/>
  <c r="AJ221" i="8" s="1"/>
  <c r="AC221" i="8"/>
  <c r="AT221" i="8"/>
  <c r="AK221" i="8" s="1"/>
  <c r="AB221" i="8"/>
  <c r="AS277" i="8"/>
  <c r="AJ277" i="8" s="1"/>
  <c r="AC277" i="8"/>
  <c r="AB277" i="8"/>
  <c r="AT277" i="8"/>
  <c r="AK277" i="8" s="1"/>
  <c r="AS420" i="8"/>
  <c r="AJ420" i="8" s="1"/>
  <c r="AA420" i="8" s="1"/>
  <c r="AC420" i="8"/>
  <c r="AT420" i="8"/>
  <c r="AK420" i="8" s="1"/>
  <c r="AB420" i="8"/>
  <c r="AS615" i="8"/>
  <c r="AJ615" i="8" s="1"/>
  <c r="AC615" i="8"/>
  <c r="AB615" i="8"/>
  <c r="AT615" i="8"/>
  <c r="AK615" i="8" s="1"/>
  <c r="AS842" i="8"/>
  <c r="AJ842" i="8" s="1"/>
  <c r="AC842" i="8"/>
  <c r="AB842" i="8"/>
  <c r="AT842" i="8"/>
  <c r="AK842" i="8" s="1"/>
  <c r="AC1013" i="8"/>
  <c r="AB1013" i="8"/>
  <c r="AS1013" i="8"/>
  <c r="AJ1013" i="8" s="1"/>
  <c r="AT1013" i="8"/>
  <c r="AK1013" i="8" s="1"/>
  <c r="Z206" i="8"/>
  <c r="Z175" i="8"/>
  <c r="AO348" i="8"/>
  <c r="AN348" i="8"/>
  <c r="AM348" i="8"/>
  <c r="AF348" i="8" s="1"/>
  <c r="AL348" i="8"/>
  <c r="AE348" i="8" s="1"/>
  <c r="AO918" i="8"/>
  <c r="AM918" i="8"/>
  <c r="AF918" i="8" s="1"/>
  <c r="AL918" i="8"/>
  <c r="AE918" i="8" s="1"/>
  <c r="AN918" i="8"/>
  <c r="AS520" i="8"/>
  <c r="AJ520" i="8" s="1"/>
  <c r="AB520" i="8"/>
  <c r="AC520" i="8"/>
  <c r="AT520" i="8"/>
  <c r="AK520" i="8" s="1"/>
  <c r="AO409" i="8"/>
  <c r="AN409" i="8"/>
  <c r="AM409" i="8"/>
  <c r="AF409" i="8" s="1"/>
  <c r="AL409" i="8"/>
  <c r="AE409" i="8" s="1"/>
  <c r="AN933" i="8"/>
  <c r="AO933" i="8"/>
  <c r="AM933" i="8"/>
  <c r="AF933" i="8" s="1"/>
  <c r="AL933" i="8"/>
  <c r="AE933" i="8" s="1"/>
  <c r="AS519" i="8"/>
  <c r="AJ519" i="8" s="1"/>
  <c r="AA519" i="8" s="1"/>
  <c r="AT519" i="8"/>
  <c r="AK519" i="8" s="1"/>
  <c r="AC519" i="8"/>
  <c r="AB519" i="8"/>
  <c r="AC459" i="8"/>
  <c r="AT459" i="8"/>
  <c r="AK459" i="8" s="1"/>
  <c r="AS459" i="8"/>
  <c r="AJ459" i="8" s="1"/>
  <c r="AB459" i="8"/>
  <c r="AC14" i="8"/>
  <c r="AS14" i="8"/>
  <c r="AJ14" i="8" s="1"/>
  <c r="AT14" i="8"/>
  <c r="AK14" i="8" s="1"/>
  <c r="AB14" i="8"/>
  <c r="AS177" i="8"/>
  <c r="AJ177" i="8" s="1"/>
  <c r="AC177" i="8"/>
  <c r="AB177" i="8"/>
  <c r="AT177" i="8"/>
  <c r="AK177" i="8" s="1"/>
  <c r="AT348" i="8"/>
  <c r="AK348" i="8" s="1"/>
  <c r="AB348" i="8"/>
  <c r="AS348" i="8"/>
  <c r="AJ348" i="8" s="1"/>
  <c r="AC348" i="8"/>
  <c r="AB371" i="8"/>
  <c r="AS371" i="8"/>
  <c r="AJ371" i="8" s="1"/>
  <c r="AC371" i="8"/>
  <c r="AT371" i="8"/>
  <c r="AK371" i="8" s="1"/>
  <c r="AS617" i="8"/>
  <c r="AJ617" i="8" s="1"/>
  <c r="AC617" i="8"/>
  <c r="AB617" i="8"/>
  <c r="AT617" i="8"/>
  <c r="AK617" i="8" s="1"/>
  <c r="AS923" i="8"/>
  <c r="AJ923" i="8" s="1"/>
  <c r="AC923" i="8"/>
  <c r="AB923" i="8"/>
  <c r="AT923" i="8"/>
  <c r="AK923" i="8" s="1"/>
  <c r="AS1130" i="8"/>
  <c r="AJ1130" i="8" s="1"/>
  <c r="AB1130" i="8"/>
  <c r="AC1130" i="8"/>
  <c r="AT1130" i="8"/>
  <c r="AK1130" i="8" s="1"/>
  <c r="AS233" i="8"/>
  <c r="AJ233" i="8" s="1"/>
  <c r="AC233" i="8"/>
  <c r="AT233" i="8"/>
  <c r="AK233" i="8" s="1"/>
  <c r="AB233" i="8"/>
  <c r="AB652" i="8"/>
  <c r="AS652" i="8"/>
  <c r="AJ652" i="8" s="1"/>
  <c r="AC652" i="8"/>
  <c r="AT652" i="8"/>
  <c r="AK652" i="8" s="1"/>
  <c r="AS741" i="8"/>
  <c r="AJ741" i="8" s="1"/>
  <c r="AA741" i="8" s="1"/>
  <c r="AC741" i="8"/>
  <c r="AT741" i="8"/>
  <c r="AK741" i="8" s="1"/>
  <c r="AB741" i="8"/>
  <c r="AT722" i="8"/>
  <c r="AK722" i="8" s="1"/>
  <c r="AS722" i="8"/>
  <c r="AJ722" i="8" s="1"/>
  <c r="AC722" i="8"/>
  <c r="AB722" i="8"/>
  <c r="AS97" i="8"/>
  <c r="AJ97" i="8" s="1"/>
  <c r="AC97" i="8"/>
  <c r="AB97" i="8"/>
  <c r="AT97" i="8"/>
  <c r="AK97" i="8" s="1"/>
  <c r="AS250" i="8"/>
  <c r="AJ250" i="8" s="1"/>
  <c r="AC250" i="8"/>
  <c r="AT250" i="8"/>
  <c r="AK250" i="8" s="1"/>
  <c r="AB250" i="8"/>
  <c r="AC319" i="8"/>
  <c r="AT319" i="8"/>
  <c r="AK319" i="8" s="1"/>
  <c r="AB319" i="8"/>
  <c r="AS319" i="8"/>
  <c r="AJ319" i="8" s="1"/>
  <c r="AC467" i="8"/>
  <c r="AB467" i="8"/>
  <c r="AT467" i="8"/>
  <c r="AK467" i="8" s="1"/>
  <c r="AS467" i="8"/>
  <c r="AJ467" i="8" s="1"/>
  <c r="AA467" i="8" s="1"/>
  <c r="AC784" i="8"/>
  <c r="AT784" i="8"/>
  <c r="AK784" i="8" s="1"/>
  <c r="AB784" i="8"/>
  <c r="AS784" i="8"/>
  <c r="AJ784" i="8" s="1"/>
  <c r="AC1004" i="8"/>
  <c r="AB1004" i="8"/>
  <c r="AT1004" i="8"/>
  <c r="AK1004" i="8" s="1"/>
  <c r="AS1004" i="8"/>
  <c r="AJ1004" i="8" s="1"/>
  <c r="AT1175" i="8"/>
  <c r="AK1175" i="8" s="1"/>
  <c r="AS1175" i="8"/>
  <c r="AJ1175" i="8" s="1"/>
  <c r="AA1175" i="8" s="1"/>
  <c r="AC1175" i="8"/>
  <c r="AB1175" i="8"/>
  <c r="AB734" i="8"/>
  <c r="AC734" i="8"/>
  <c r="AT734" i="8"/>
  <c r="AK734" i="8" s="1"/>
  <c r="AS734" i="8"/>
  <c r="AJ734" i="8" s="1"/>
  <c r="AA734" i="8" s="1"/>
  <c r="Y24" i="8"/>
  <c r="Y159" i="8"/>
  <c r="AO347" i="8"/>
  <c r="AM347" i="8"/>
  <c r="AF347" i="8" s="1"/>
  <c r="AL347" i="8"/>
  <c r="AE347" i="8" s="1"/>
  <c r="AN347" i="8"/>
  <c r="AO917" i="8"/>
  <c r="AN917" i="8"/>
  <c r="AM917" i="8"/>
  <c r="AF917" i="8" s="1"/>
  <c r="AL917" i="8"/>
  <c r="AE917" i="8" s="1"/>
  <c r="AS562" i="8"/>
  <c r="AJ562" i="8" s="1"/>
  <c r="AB562" i="8"/>
  <c r="AT562" i="8"/>
  <c r="AK562" i="8" s="1"/>
  <c r="AC562" i="8"/>
  <c r="AO118" i="8"/>
  <c r="AN118" i="8"/>
  <c r="AM118" i="8"/>
  <c r="AF118" i="8" s="1"/>
  <c r="AL118" i="8"/>
  <c r="AE118" i="8" s="1"/>
  <c r="AO749" i="8"/>
  <c r="AN749" i="8"/>
  <c r="AM749" i="8"/>
  <c r="AF749" i="8" s="1"/>
  <c r="AL749" i="8"/>
  <c r="AE749" i="8" s="1"/>
  <c r="AN1145" i="8"/>
  <c r="AO1145" i="8"/>
  <c r="AM1145" i="8"/>
  <c r="AF1145" i="8" s="1"/>
  <c r="AL1145" i="8"/>
  <c r="AE1145" i="8" s="1"/>
  <c r="AS906" i="8"/>
  <c r="AJ906" i="8" s="1"/>
  <c r="AC906" i="8"/>
  <c r="AB906" i="8"/>
  <c r="AT906" i="8"/>
  <c r="AK906" i="8" s="1"/>
  <c r="AS1054" i="8"/>
  <c r="AJ1054" i="8" s="1"/>
  <c r="AC1054" i="8"/>
  <c r="AT1054" i="8"/>
  <c r="AK1054" i="8" s="1"/>
  <c r="AB1054" i="8"/>
  <c r="AC826" i="8"/>
  <c r="AB826" i="8"/>
  <c r="AT826" i="8"/>
  <c r="AK826" i="8" s="1"/>
  <c r="AS826" i="8"/>
  <c r="AJ826" i="8" s="1"/>
  <c r="AS1010" i="8"/>
  <c r="AJ1010" i="8" s="1"/>
  <c r="AA1010" i="8" s="1"/>
  <c r="AC1010" i="8"/>
  <c r="AB1010" i="8"/>
  <c r="AT1010" i="8"/>
  <c r="AK1010" i="8" s="1"/>
  <c r="AS1194" i="8"/>
  <c r="AJ1194" i="8" s="1"/>
  <c r="AC1194" i="8"/>
  <c r="AT1194" i="8"/>
  <c r="AK1194" i="8" s="1"/>
  <c r="AB1194" i="8"/>
  <c r="Z21" i="8"/>
  <c r="Z7" i="8"/>
  <c r="AN694" i="8"/>
  <c r="AO694" i="8"/>
  <c r="AM694" i="8"/>
  <c r="AF694" i="8" s="1"/>
  <c r="AL694" i="8"/>
  <c r="AE694" i="8" s="1"/>
  <c r="AO1118" i="8"/>
  <c r="AN1118" i="8"/>
  <c r="AM1118" i="8"/>
  <c r="AF1118" i="8" s="1"/>
  <c r="AL1118" i="8"/>
  <c r="AE1118" i="8" s="1"/>
  <c r="AB668" i="8"/>
  <c r="AC668" i="8"/>
  <c r="AT668" i="8"/>
  <c r="AK668" i="8" s="1"/>
  <c r="AS668" i="8"/>
  <c r="AJ668" i="8" s="1"/>
  <c r="AA668" i="8" s="1"/>
  <c r="AT770" i="8"/>
  <c r="AK770" i="8" s="1"/>
  <c r="AB770" i="8"/>
  <c r="AS770" i="8"/>
  <c r="AJ770" i="8" s="1"/>
  <c r="AC770" i="8"/>
  <c r="AO246" i="8"/>
  <c r="AN246" i="8"/>
  <c r="AM246" i="8"/>
  <c r="AF246" i="8" s="1"/>
  <c r="AL246" i="8"/>
  <c r="AE246" i="8" s="1"/>
  <c r="AO890" i="8"/>
  <c r="AM890" i="8"/>
  <c r="AF890" i="8" s="1"/>
  <c r="AL890" i="8"/>
  <c r="AE890" i="8" s="1"/>
  <c r="AN890" i="8"/>
  <c r="AB77" i="8"/>
  <c r="AT77" i="8"/>
  <c r="AK77" i="8" s="1"/>
  <c r="AS77" i="8"/>
  <c r="AJ77" i="8" s="1"/>
  <c r="AC77" i="8"/>
  <c r="AB930" i="8"/>
  <c r="AT930" i="8"/>
  <c r="AK930" i="8" s="1"/>
  <c r="AC930" i="8"/>
  <c r="AS930" i="8"/>
  <c r="AJ930" i="8" s="1"/>
  <c r="AA930" i="8" s="1"/>
  <c r="AB1091" i="8"/>
  <c r="AC1091" i="8"/>
  <c r="AT1091" i="8"/>
  <c r="AK1091" i="8" s="1"/>
  <c r="AS1091" i="8"/>
  <c r="AJ1091" i="8" s="1"/>
  <c r="AA1091" i="8" s="1"/>
  <c r="AC677" i="8"/>
  <c r="AB677" i="8"/>
  <c r="AT677" i="8"/>
  <c r="AK677" i="8" s="1"/>
  <c r="AS677" i="8"/>
  <c r="AJ677" i="8" s="1"/>
  <c r="AS733" i="8"/>
  <c r="AJ733" i="8" s="1"/>
  <c r="AC733" i="8"/>
  <c r="AB733" i="8"/>
  <c r="AT733" i="8"/>
  <c r="AK733" i="8" s="1"/>
  <c r="AT407" i="8"/>
  <c r="AK407" i="8" s="1"/>
  <c r="AB407" i="8"/>
  <c r="AS407" i="8"/>
  <c r="AJ407" i="8" s="1"/>
  <c r="AC407" i="8"/>
  <c r="Y111" i="8"/>
  <c r="AC356" i="8"/>
  <c r="AT356" i="8"/>
  <c r="AK356" i="8" s="1"/>
  <c r="AB356" i="8"/>
  <c r="AS356" i="8"/>
  <c r="AJ356" i="8" s="1"/>
  <c r="AB648" i="8"/>
  <c r="AT648" i="8"/>
  <c r="AK648" i="8" s="1"/>
  <c r="AS648" i="8"/>
  <c r="AJ648" i="8" s="1"/>
  <c r="AC648" i="8"/>
  <c r="AT995" i="8"/>
  <c r="AK995" i="8" s="1"/>
  <c r="AC995" i="8"/>
  <c r="AS995" i="8"/>
  <c r="AJ995" i="8" s="1"/>
  <c r="AB995" i="8"/>
  <c r="X220" i="8"/>
  <c r="AS350" i="8"/>
  <c r="AJ350" i="8" s="1"/>
  <c r="AC350" i="8"/>
  <c r="AB350" i="8"/>
  <c r="AT350" i="8"/>
  <c r="AK350" i="8" s="1"/>
  <c r="AC437" i="8"/>
  <c r="AB437" i="8"/>
  <c r="AT437" i="8"/>
  <c r="AK437" i="8" s="1"/>
  <c r="AS437" i="8"/>
  <c r="AJ437" i="8" s="1"/>
  <c r="AT554" i="8"/>
  <c r="AK554" i="8" s="1"/>
  <c r="AC554" i="8"/>
  <c r="AB554" i="8"/>
  <c r="AS554" i="8"/>
  <c r="AJ554" i="8" s="1"/>
  <c r="AS874" i="8"/>
  <c r="AJ874" i="8" s="1"/>
  <c r="AC874" i="8"/>
  <c r="AB874" i="8"/>
  <c r="AT874" i="8"/>
  <c r="AK874" i="8" s="1"/>
  <c r="AS1048" i="8"/>
  <c r="AJ1048" i="8" s="1"/>
  <c r="AB1048" i="8"/>
  <c r="AT1048" i="8"/>
  <c r="AK1048" i="8" s="1"/>
  <c r="AC1048" i="8"/>
  <c r="AO59" i="8"/>
  <c r="AN59" i="8"/>
  <c r="AM59" i="8"/>
  <c r="AF59" i="8" s="1"/>
  <c r="AL59" i="8"/>
  <c r="AE59" i="8" s="1"/>
  <c r="AO746" i="8"/>
  <c r="AN746" i="8"/>
  <c r="AM746" i="8"/>
  <c r="AF746" i="8" s="1"/>
  <c r="AL746" i="8"/>
  <c r="AE746" i="8" s="1"/>
  <c r="AO1073" i="8"/>
  <c r="AM1073" i="8"/>
  <c r="AF1073" i="8" s="1"/>
  <c r="AL1073" i="8"/>
  <c r="AE1073" i="8" s="1"/>
  <c r="Y1073" i="8" s="1"/>
  <c r="AN1073" i="8"/>
  <c r="AC434" i="8"/>
  <c r="AB434" i="8"/>
  <c r="AT434" i="8"/>
  <c r="AK434" i="8" s="1"/>
  <c r="AS434" i="8"/>
  <c r="AJ434" i="8" s="1"/>
  <c r="AT836" i="8"/>
  <c r="AK836" i="8" s="1"/>
  <c r="AB836" i="8"/>
  <c r="AC836" i="8"/>
  <c r="AS836" i="8"/>
  <c r="AJ836" i="8" s="1"/>
  <c r="AA836" i="8" s="1"/>
  <c r="X1007" i="8"/>
  <c r="AT1181" i="8"/>
  <c r="AK1181" i="8" s="1"/>
  <c r="AS1181" i="8"/>
  <c r="AJ1181" i="8" s="1"/>
  <c r="AC1181" i="8"/>
  <c r="AB1181" i="8"/>
  <c r="Z144" i="8"/>
  <c r="Z862" i="8"/>
  <c r="AT168" i="8"/>
  <c r="AK168" i="8" s="1"/>
  <c r="AC168" i="8"/>
  <c r="AS168" i="8"/>
  <c r="AJ168" i="8" s="1"/>
  <c r="AA168" i="8" s="1"/>
  <c r="AB168" i="8"/>
  <c r="AS201" i="8"/>
  <c r="AJ201" i="8" s="1"/>
  <c r="AA201" i="8" s="1"/>
  <c r="AC201" i="8"/>
  <c r="AB201" i="8"/>
  <c r="AT201" i="8"/>
  <c r="AK201" i="8" s="1"/>
  <c r="AS362" i="8"/>
  <c r="AJ362" i="8" s="1"/>
  <c r="AA362" i="8" s="1"/>
  <c r="AC362" i="8"/>
  <c r="AB362" i="8"/>
  <c r="AT362" i="8"/>
  <c r="AK362" i="8" s="1"/>
  <c r="AT464" i="8"/>
  <c r="AK464" i="8" s="1"/>
  <c r="AS464" i="8"/>
  <c r="AJ464" i="8" s="1"/>
  <c r="AC464" i="8"/>
  <c r="AB464" i="8"/>
  <c r="AS725" i="8"/>
  <c r="AJ725" i="8" s="1"/>
  <c r="AC725" i="8"/>
  <c r="AT725" i="8"/>
  <c r="AK725" i="8" s="1"/>
  <c r="AB725" i="8"/>
  <c r="AT909" i="8"/>
  <c r="AK909" i="8" s="1"/>
  <c r="AS909" i="8"/>
  <c r="AJ909" i="8" s="1"/>
  <c r="AB909" i="8"/>
  <c r="AC909" i="8"/>
  <c r="AB1172" i="8"/>
  <c r="AC1172" i="8"/>
  <c r="AT1172" i="8"/>
  <c r="AK1172" i="8" s="1"/>
  <c r="AS1172" i="8"/>
  <c r="AJ1172" i="8" s="1"/>
  <c r="AT401" i="8"/>
  <c r="AK401" i="8" s="1"/>
  <c r="AS401" i="8"/>
  <c r="AJ401" i="8" s="1"/>
  <c r="AC401" i="8"/>
  <c r="AB401" i="8"/>
  <c r="AT703" i="8"/>
  <c r="AK703" i="8" s="1"/>
  <c r="AB703" i="8"/>
  <c r="AS703" i="8"/>
  <c r="AJ703" i="8" s="1"/>
  <c r="AA703" i="8" s="1"/>
  <c r="AC703" i="8"/>
  <c r="AT1063" i="8"/>
  <c r="AK1063" i="8" s="1"/>
  <c r="AC1063" i="8"/>
  <c r="AS1063" i="8"/>
  <c r="AJ1063" i="8" s="1"/>
  <c r="AB1063" i="8"/>
  <c r="AN318" i="8"/>
  <c r="AM318" i="8"/>
  <c r="AF318" i="8" s="1"/>
  <c r="AL318" i="8"/>
  <c r="AE318" i="8" s="1"/>
  <c r="AO318" i="8"/>
  <c r="AO865" i="8"/>
  <c r="AM865" i="8"/>
  <c r="AF865" i="8" s="1"/>
  <c r="AL865" i="8"/>
  <c r="AE865" i="8" s="1"/>
  <c r="AN865" i="8"/>
  <c r="AS51" i="8"/>
  <c r="AJ51" i="8" s="1"/>
  <c r="AC51" i="8"/>
  <c r="AT51" i="8"/>
  <c r="AK51" i="8" s="1"/>
  <c r="AB51" i="8"/>
  <c r="AC881" i="8"/>
  <c r="AT881" i="8"/>
  <c r="AK881" i="8" s="1"/>
  <c r="AS881" i="8"/>
  <c r="AJ881" i="8" s="1"/>
  <c r="AA881" i="8" s="1"/>
  <c r="AB881" i="8"/>
  <c r="AC1052" i="8"/>
  <c r="AB1052" i="8"/>
  <c r="AT1052" i="8"/>
  <c r="AK1052" i="8" s="1"/>
  <c r="AS1052" i="8"/>
  <c r="AJ1052" i="8" s="1"/>
  <c r="AT155" i="8"/>
  <c r="AK155" i="8" s="1"/>
  <c r="AC155" i="8"/>
  <c r="AS155" i="8"/>
  <c r="AJ155" i="8" s="1"/>
  <c r="AB155" i="8"/>
  <c r="AS597" i="8"/>
  <c r="AJ597" i="8" s="1"/>
  <c r="AC597" i="8"/>
  <c r="AB597" i="8"/>
  <c r="AT597" i="8"/>
  <c r="AK597" i="8" s="1"/>
  <c r="AC901" i="8"/>
  <c r="AB901" i="8"/>
  <c r="AT901" i="8"/>
  <c r="AK901" i="8" s="1"/>
  <c r="AS901" i="8"/>
  <c r="AJ901" i="8" s="1"/>
  <c r="AS521" i="8"/>
  <c r="AJ521" i="8" s="1"/>
  <c r="AC521" i="8"/>
  <c r="AT521" i="8"/>
  <c r="AK521" i="8" s="1"/>
  <c r="AB521" i="8"/>
  <c r="AT456" i="8"/>
  <c r="AK456" i="8" s="1"/>
  <c r="AS456" i="8"/>
  <c r="AJ456" i="8" s="1"/>
  <c r="AC456" i="8"/>
  <c r="AB456" i="8"/>
  <c r="Y119" i="8"/>
  <c r="AT526" i="8"/>
  <c r="AK526" i="8" s="1"/>
  <c r="AC526" i="8"/>
  <c r="AB526" i="8"/>
  <c r="AS526" i="8"/>
  <c r="AJ526" i="8" s="1"/>
  <c r="AA526" i="8" s="1"/>
  <c r="AC203" i="8"/>
  <c r="AT203" i="8"/>
  <c r="AK203" i="8" s="1"/>
  <c r="AS203" i="8"/>
  <c r="AJ203" i="8" s="1"/>
  <c r="AB203" i="8"/>
  <c r="AT600" i="8"/>
  <c r="AK600" i="8" s="1"/>
  <c r="AS600" i="8"/>
  <c r="AJ600" i="8" s="1"/>
  <c r="AC600" i="8"/>
  <c r="AB600" i="8"/>
  <c r="AT1189" i="8"/>
  <c r="AK1189" i="8" s="1"/>
  <c r="AC1189" i="8"/>
  <c r="AS1189" i="8"/>
  <c r="AJ1189" i="8" s="1"/>
  <c r="AA1189" i="8" s="1"/>
  <c r="AB1189" i="8"/>
  <c r="AS962" i="8"/>
  <c r="AJ962" i="8" s="1"/>
  <c r="AC962" i="8"/>
  <c r="AT962" i="8"/>
  <c r="AK962" i="8" s="1"/>
  <c r="AB962" i="8"/>
  <c r="Y1081" i="8"/>
  <c r="Y1135" i="8"/>
  <c r="Z997" i="8"/>
  <c r="Y906" i="8"/>
  <c r="Y873" i="8"/>
  <c r="Y783" i="8"/>
  <c r="Z847" i="8"/>
  <c r="Z716" i="8"/>
  <c r="Y498" i="8"/>
  <c r="Y575" i="8"/>
  <c r="Y507" i="8"/>
  <c r="Y483" i="8"/>
  <c r="Z466" i="8"/>
  <c r="Z323" i="8"/>
  <c r="Z442" i="8"/>
  <c r="Z275" i="8"/>
  <c r="Y292" i="8"/>
  <c r="Y326" i="8"/>
  <c r="Z192" i="8"/>
  <c r="Y158" i="8"/>
  <c r="AT226" i="8"/>
  <c r="AK226" i="8" s="1"/>
  <c r="AS226" i="8"/>
  <c r="AJ226" i="8" s="1"/>
  <c r="AC226" i="8"/>
  <c r="AB226" i="8"/>
  <c r="AS318" i="8"/>
  <c r="AJ318" i="8" s="1"/>
  <c r="AC318" i="8"/>
  <c r="AB318" i="8"/>
  <c r="AT318" i="8"/>
  <c r="AK318" i="8" s="1"/>
  <c r="AT448" i="8"/>
  <c r="AK448" i="8" s="1"/>
  <c r="AS448" i="8"/>
  <c r="AJ448" i="8" s="1"/>
  <c r="AA448" i="8" s="1"/>
  <c r="AC448" i="8"/>
  <c r="AB448" i="8"/>
  <c r="AC594" i="8"/>
  <c r="AS594" i="8"/>
  <c r="AJ594" i="8" s="1"/>
  <c r="AA594" i="8" s="1"/>
  <c r="AT594" i="8"/>
  <c r="AK594" i="8" s="1"/>
  <c r="AB594" i="8"/>
  <c r="AS898" i="8"/>
  <c r="AJ898" i="8" s="1"/>
  <c r="AA898" i="8" s="1"/>
  <c r="AC898" i="8"/>
  <c r="AB898" i="8"/>
  <c r="AT898" i="8"/>
  <c r="AK898" i="8" s="1"/>
  <c r="AB1095" i="8"/>
  <c r="AC1095" i="8"/>
  <c r="AT1095" i="8"/>
  <c r="AK1095" i="8" s="1"/>
  <c r="AS1095" i="8"/>
  <c r="AJ1095" i="8" s="1"/>
  <c r="AO35" i="8"/>
  <c r="AN35" i="8"/>
  <c r="AM35" i="8"/>
  <c r="AF35" i="8" s="1"/>
  <c r="AL35" i="8"/>
  <c r="AE35" i="8" s="1"/>
  <c r="AN371" i="8"/>
  <c r="AO371" i="8"/>
  <c r="AM371" i="8"/>
  <c r="AF371" i="8" s="1"/>
  <c r="AL371" i="8"/>
  <c r="AE371" i="8" s="1"/>
  <c r="AM1010" i="8"/>
  <c r="AF1010" i="8" s="1"/>
  <c r="AL1010" i="8"/>
  <c r="AE1010" i="8" s="1"/>
  <c r="AO1010" i="8"/>
  <c r="AN1010" i="8"/>
  <c r="AS541" i="8"/>
  <c r="AJ541" i="8" s="1"/>
  <c r="AC541" i="8"/>
  <c r="AT541" i="8"/>
  <c r="AK541" i="8" s="1"/>
  <c r="AB541" i="8"/>
  <c r="AO437" i="8"/>
  <c r="AN437" i="8"/>
  <c r="AL437" i="8"/>
  <c r="AE437" i="8" s="1"/>
  <c r="AM437" i="8"/>
  <c r="AF437" i="8" s="1"/>
  <c r="AO1002" i="8"/>
  <c r="AN1002" i="8"/>
  <c r="AM1002" i="8"/>
  <c r="AF1002" i="8" s="1"/>
  <c r="AL1002" i="8"/>
  <c r="AE1002" i="8" s="1"/>
  <c r="AT489" i="8"/>
  <c r="AS489" i="8"/>
  <c r="AT454" i="8"/>
  <c r="AK454" i="8" s="1"/>
  <c r="AS454" i="8"/>
  <c r="AJ454" i="8" s="1"/>
  <c r="AA454" i="8" s="1"/>
  <c r="AC454" i="8"/>
  <c r="AB454" i="8"/>
  <c r="AS218" i="8"/>
  <c r="AJ218" i="8" s="1"/>
  <c r="AC218" i="8"/>
  <c r="AB218" i="8"/>
  <c r="AT218" i="8"/>
  <c r="AK218" i="8" s="1"/>
  <c r="AT343" i="8"/>
  <c r="AK343" i="8" s="1"/>
  <c r="AB343" i="8"/>
  <c r="AS343" i="8"/>
  <c r="AJ343" i="8" s="1"/>
  <c r="AC343" i="8"/>
  <c r="AT399" i="8"/>
  <c r="AK399" i="8" s="1"/>
  <c r="AB399" i="8"/>
  <c r="AC399" i="8"/>
  <c r="AS399" i="8"/>
  <c r="AJ399" i="8" s="1"/>
  <c r="AA399" i="8" s="1"/>
  <c r="AS645" i="8"/>
  <c r="AJ645" i="8" s="1"/>
  <c r="AC645" i="8"/>
  <c r="AB645" i="8"/>
  <c r="AT645" i="8"/>
  <c r="AK645" i="8" s="1"/>
  <c r="AS867" i="8"/>
  <c r="AJ867" i="8" s="1"/>
  <c r="AA867" i="8" s="1"/>
  <c r="AC867" i="8"/>
  <c r="AT867" i="8"/>
  <c r="AK867" i="8" s="1"/>
  <c r="AB867" i="8"/>
  <c r="AT1097" i="8"/>
  <c r="AK1097" i="8" s="1"/>
  <c r="AS1097" i="8"/>
  <c r="AJ1097" i="8" s="1"/>
  <c r="AC1097" i="8"/>
  <c r="AB1097" i="8"/>
  <c r="AS427" i="8"/>
  <c r="AJ427" i="8" s="1"/>
  <c r="AB427" i="8"/>
  <c r="AC427" i="8"/>
  <c r="AT427" i="8"/>
  <c r="AK427" i="8" s="1"/>
  <c r="AS629" i="8"/>
  <c r="AJ629" i="8" s="1"/>
  <c r="AC629" i="8"/>
  <c r="AB629" i="8"/>
  <c r="AT629" i="8"/>
  <c r="AK629" i="8" s="1"/>
  <c r="AS764" i="8"/>
  <c r="AJ764" i="8" s="1"/>
  <c r="AC764" i="8"/>
  <c r="AB764" i="8"/>
  <c r="AT764" i="8"/>
  <c r="AK764" i="8" s="1"/>
  <c r="AT717" i="8"/>
  <c r="AK717" i="8" s="1"/>
  <c r="AB717" i="8"/>
  <c r="AC717" i="8"/>
  <c r="AS717" i="8"/>
  <c r="AJ717" i="8" s="1"/>
  <c r="AT115" i="8"/>
  <c r="AK115" i="8" s="1"/>
  <c r="AS115" i="8"/>
  <c r="AJ115" i="8" s="1"/>
  <c r="AA115" i="8" s="1"/>
  <c r="AC115" i="8"/>
  <c r="AB115" i="8"/>
  <c r="AS222" i="8"/>
  <c r="AJ222" i="8" s="1"/>
  <c r="AC222" i="8"/>
  <c r="AB222" i="8"/>
  <c r="AT222" i="8"/>
  <c r="AK222" i="8" s="1"/>
  <c r="AT393" i="8"/>
  <c r="AK393" i="8" s="1"/>
  <c r="AS393" i="8"/>
  <c r="AJ393" i="8" s="1"/>
  <c r="AC393" i="8"/>
  <c r="AB393" i="8"/>
  <c r="AS525" i="8"/>
  <c r="AJ525" i="8" s="1"/>
  <c r="AC525" i="8"/>
  <c r="AT525" i="8"/>
  <c r="AK525" i="8" s="1"/>
  <c r="AB525" i="8"/>
  <c r="AB820" i="8"/>
  <c r="AC820" i="8"/>
  <c r="AT820" i="8"/>
  <c r="AK820" i="8" s="1"/>
  <c r="AS820" i="8"/>
  <c r="AJ820" i="8" s="1"/>
  <c r="AC991" i="8"/>
  <c r="AB991" i="8"/>
  <c r="AT991" i="8"/>
  <c r="AK991" i="8" s="1"/>
  <c r="AS991" i="8"/>
  <c r="AJ991" i="8" s="1"/>
  <c r="AT1165" i="8"/>
  <c r="AK1165" i="8" s="1"/>
  <c r="AC1165" i="8"/>
  <c r="AB1165" i="8"/>
  <c r="AS1165" i="8"/>
  <c r="AJ1165" i="8" s="1"/>
  <c r="AB716" i="8"/>
  <c r="AC716" i="8"/>
  <c r="AT716" i="8"/>
  <c r="AK716" i="8" s="1"/>
  <c r="AS716" i="8"/>
  <c r="AJ716" i="8" s="1"/>
  <c r="AA716" i="8" s="1"/>
  <c r="Y22" i="8"/>
  <c r="AN370" i="8"/>
  <c r="AO370" i="8"/>
  <c r="AM370" i="8"/>
  <c r="AF370" i="8" s="1"/>
  <c r="AL370" i="8"/>
  <c r="AE370" i="8" s="1"/>
  <c r="AO940" i="8"/>
  <c r="AN940" i="8"/>
  <c r="AL940" i="8"/>
  <c r="AE940" i="8" s="1"/>
  <c r="AM940" i="8"/>
  <c r="AF940" i="8" s="1"/>
  <c r="AT488" i="8"/>
  <c r="AS488" i="8"/>
  <c r="AO197" i="8"/>
  <c r="AN197" i="8"/>
  <c r="AM197" i="8"/>
  <c r="AF197" i="8" s="1"/>
  <c r="AL197" i="8"/>
  <c r="AE197" i="8" s="1"/>
  <c r="AO828" i="8"/>
  <c r="AM828" i="8"/>
  <c r="AF828" i="8" s="1"/>
  <c r="AL828" i="8"/>
  <c r="AE828" i="8" s="1"/>
  <c r="AN828" i="8"/>
  <c r="AL1168" i="8"/>
  <c r="AE1168" i="8" s="1"/>
  <c r="AN1168" i="8"/>
  <c r="AM1168" i="8"/>
  <c r="AF1168" i="8" s="1"/>
  <c r="AO1168" i="8"/>
  <c r="AS883" i="8"/>
  <c r="AJ883" i="8" s="1"/>
  <c r="AA883" i="8" s="1"/>
  <c r="AC883" i="8"/>
  <c r="AT883" i="8"/>
  <c r="AK883" i="8" s="1"/>
  <c r="AB883" i="8"/>
  <c r="AT1077" i="8"/>
  <c r="AK1077" i="8" s="1"/>
  <c r="AC1077" i="8"/>
  <c r="AS1077" i="8"/>
  <c r="AJ1077" i="8" s="1"/>
  <c r="AB1077" i="8"/>
  <c r="AC849" i="8"/>
  <c r="AT849" i="8"/>
  <c r="AK849" i="8" s="1"/>
  <c r="AS849" i="8"/>
  <c r="AJ849" i="8" s="1"/>
  <c r="AA849" i="8" s="1"/>
  <c r="AB849" i="8"/>
  <c r="AB987" i="8"/>
  <c r="AT987" i="8"/>
  <c r="AK987" i="8" s="1"/>
  <c r="AS987" i="8"/>
  <c r="AJ987" i="8" s="1"/>
  <c r="AA987" i="8" s="1"/>
  <c r="AC987" i="8"/>
  <c r="AT1161" i="8"/>
  <c r="AK1161" i="8" s="1"/>
  <c r="AC1161" i="8"/>
  <c r="AB1161" i="8"/>
  <c r="AS1161" i="8"/>
  <c r="AJ1161" i="8" s="1"/>
  <c r="AN147" i="8"/>
  <c r="AM147" i="8"/>
  <c r="AF147" i="8" s="1"/>
  <c r="AO147" i="8"/>
  <c r="AL147" i="8"/>
  <c r="AE147" i="8" s="1"/>
  <c r="AO778" i="8"/>
  <c r="AN778" i="8"/>
  <c r="AM778" i="8"/>
  <c r="AF778" i="8" s="1"/>
  <c r="AL778" i="8"/>
  <c r="AE778" i="8" s="1"/>
  <c r="Y778" i="8" s="1"/>
  <c r="AN1100" i="8"/>
  <c r="AM1100" i="8"/>
  <c r="AF1100" i="8" s="1"/>
  <c r="AL1100" i="8"/>
  <c r="AE1100" i="8" s="1"/>
  <c r="AO1100" i="8"/>
  <c r="AC640" i="8"/>
  <c r="AB640" i="8"/>
  <c r="AT640" i="8"/>
  <c r="AK640" i="8" s="1"/>
  <c r="AS640" i="8"/>
  <c r="AJ640" i="8" s="1"/>
  <c r="X747" i="8"/>
  <c r="AO297" i="8"/>
  <c r="AN297" i="8"/>
  <c r="AM297" i="8"/>
  <c r="AF297" i="8" s="1"/>
  <c r="AL297" i="8"/>
  <c r="AE297" i="8" s="1"/>
  <c r="AO913" i="8"/>
  <c r="AN913" i="8"/>
  <c r="AM913" i="8"/>
  <c r="AF913" i="8" s="1"/>
  <c r="AL913" i="8"/>
  <c r="AE913" i="8" s="1"/>
  <c r="AB138" i="8"/>
  <c r="AC138" i="8"/>
  <c r="AT138" i="8"/>
  <c r="AK138" i="8" s="1"/>
  <c r="AS138" i="8"/>
  <c r="AJ138" i="8" s="1"/>
  <c r="AS907" i="8"/>
  <c r="AJ907" i="8" s="1"/>
  <c r="AA907" i="8" s="1"/>
  <c r="AC907" i="8"/>
  <c r="AT907" i="8"/>
  <c r="AK907" i="8" s="1"/>
  <c r="AB907" i="8"/>
  <c r="X1055" i="8"/>
  <c r="AS654" i="8"/>
  <c r="AJ654" i="8" s="1"/>
  <c r="AB654" i="8"/>
  <c r="AT654" i="8"/>
  <c r="AK654" i="8" s="1"/>
  <c r="AC654" i="8"/>
  <c r="AT761" i="8"/>
  <c r="AK761" i="8" s="1"/>
  <c r="AS761" i="8"/>
  <c r="AJ761" i="8" s="1"/>
  <c r="AA761" i="8" s="1"/>
  <c r="AC761" i="8"/>
  <c r="AB761" i="8"/>
  <c r="AC463" i="8"/>
  <c r="AB463" i="8"/>
  <c r="AS463" i="8"/>
  <c r="AJ463" i="8" s="1"/>
  <c r="AT463" i="8"/>
  <c r="AK463" i="8" s="1"/>
  <c r="AS310" i="8"/>
  <c r="AJ310" i="8" s="1"/>
  <c r="AC310" i="8"/>
  <c r="AB310" i="8"/>
  <c r="AT310" i="8"/>
  <c r="AK310" i="8" s="1"/>
  <c r="AC612" i="8"/>
  <c r="AB612" i="8"/>
  <c r="AT612" i="8"/>
  <c r="AK612" i="8" s="1"/>
  <c r="AS612" i="8"/>
  <c r="AJ612" i="8" s="1"/>
  <c r="AB1041" i="8"/>
  <c r="AT1041" i="8"/>
  <c r="AK1041" i="8" s="1"/>
  <c r="AS1041" i="8"/>
  <c r="AJ1041" i="8" s="1"/>
  <c r="AC1041" i="8"/>
  <c r="AT192" i="8"/>
  <c r="AK192" i="8" s="1"/>
  <c r="AS192" i="8"/>
  <c r="AJ192" i="8" s="1"/>
  <c r="AC192" i="8"/>
  <c r="AB192" i="8"/>
  <c r="AS225" i="8"/>
  <c r="AJ225" i="8" s="1"/>
  <c r="AC225" i="8"/>
  <c r="AT225" i="8"/>
  <c r="AK225" i="8" s="1"/>
  <c r="AB225" i="8"/>
  <c r="AS493" i="8"/>
  <c r="AJ493" i="8" s="1"/>
  <c r="AC493" i="8"/>
  <c r="AT493" i="8"/>
  <c r="AK493" i="8" s="1"/>
  <c r="AB493" i="8"/>
  <c r="AS585" i="8"/>
  <c r="AJ585" i="8" s="1"/>
  <c r="AC585" i="8"/>
  <c r="AT585" i="8"/>
  <c r="AK585" i="8" s="1"/>
  <c r="AB585" i="8"/>
  <c r="AS864" i="8"/>
  <c r="AJ864" i="8" s="1"/>
  <c r="AA864" i="8" s="1"/>
  <c r="AC864" i="8"/>
  <c r="AT864" i="8"/>
  <c r="AK864" i="8" s="1"/>
  <c r="AB864" i="8"/>
  <c r="AS1071" i="8"/>
  <c r="AJ1071" i="8" s="1"/>
  <c r="AB1071" i="8"/>
  <c r="AT1071" i="8"/>
  <c r="AK1071" i="8" s="1"/>
  <c r="AC1071" i="8"/>
  <c r="AN171" i="8"/>
  <c r="AM171" i="8"/>
  <c r="AF171" i="8" s="1"/>
  <c r="AL171" i="8"/>
  <c r="AE171" i="8" s="1"/>
  <c r="AO171" i="8"/>
  <c r="AM825" i="8"/>
  <c r="AF825" i="8" s="1"/>
  <c r="AN825" i="8"/>
  <c r="AO825" i="8"/>
  <c r="AL825" i="8"/>
  <c r="AE825" i="8" s="1"/>
  <c r="AO1114" i="8"/>
  <c r="AN1114" i="8"/>
  <c r="AM1114" i="8"/>
  <c r="AF1114" i="8" s="1"/>
  <c r="AL1114" i="8"/>
  <c r="AE1114" i="8" s="1"/>
  <c r="AS569" i="8"/>
  <c r="AJ569" i="8" s="1"/>
  <c r="AC569" i="8"/>
  <c r="AT569" i="8"/>
  <c r="AK569" i="8" s="1"/>
  <c r="AB569" i="8"/>
  <c r="AS859" i="8"/>
  <c r="AJ859" i="8" s="1"/>
  <c r="AC859" i="8"/>
  <c r="AT859" i="8"/>
  <c r="AK859" i="8" s="1"/>
  <c r="AB859" i="8"/>
  <c r="AT997" i="8"/>
  <c r="AK997" i="8" s="1"/>
  <c r="AS997" i="8"/>
  <c r="AJ997" i="8" s="1"/>
  <c r="AA997" i="8" s="1"/>
  <c r="AC997" i="8"/>
  <c r="AB997" i="8"/>
  <c r="Z141" i="8"/>
  <c r="AB53" i="8"/>
  <c r="AC53" i="8"/>
  <c r="AS53" i="8"/>
  <c r="AJ53" i="8" s="1"/>
  <c r="AA53" i="8" s="1"/>
  <c r="AT53" i="8"/>
  <c r="AK53" i="8" s="1"/>
  <c r="AT178" i="8"/>
  <c r="AK178" i="8" s="1"/>
  <c r="AC178" i="8"/>
  <c r="AS178" i="8"/>
  <c r="AJ178" i="8" s="1"/>
  <c r="AA178" i="8" s="1"/>
  <c r="AB178" i="8"/>
  <c r="AB219" i="8"/>
  <c r="AT219" i="8"/>
  <c r="AK219" i="8" s="1"/>
  <c r="AS219" i="8"/>
  <c r="AJ219" i="8" s="1"/>
  <c r="AC219" i="8"/>
  <c r="AT441" i="8"/>
  <c r="AK441" i="8" s="1"/>
  <c r="AS441" i="8"/>
  <c r="AJ441" i="8" s="1"/>
  <c r="AB441" i="8"/>
  <c r="AC441" i="8"/>
  <c r="AT474" i="8"/>
  <c r="AK474" i="8" s="1"/>
  <c r="AS474" i="8"/>
  <c r="AJ474" i="8" s="1"/>
  <c r="AC474" i="8"/>
  <c r="AB474" i="8"/>
  <c r="AT753" i="8"/>
  <c r="AK753" i="8" s="1"/>
  <c r="AS753" i="8"/>
  <c r="AJ753" i="8" s="1"/>
  <c r="AA753" i="8" s="1"/>
  <c r="AC753" i="8"/>
  <c r="AB753" i="8"/>
  <c r="AB942" i="8"/>
  <c r="AS942" i="8"/>
  <c r="AJ942" i="8" s="1"/>
  <c r="AA942" i="8" s="1"/>
  <c r="AT942" i="8"/>
  <c r="AK942" i="8" s="1"/>
  <c r="AC942" i="8"/>
  <c r="AS1139" i="8"/>
  <c r="AJ1139" i="8" s="1"/>
  <c r="AA1139" i="8" s="1"/>
  <c r="AC1139" i="8"/>
  <c r="AB1139" i="8"/>
  <c r="AT1139" i="8"/>
  <c r="AK1139" i="8" s="1"/>
  <c r="AC355" i="8"/>
  <c r="AT355" i="8"/>
  <c r="AK355" i="8" s="1"/>
  <c r="AB355" i="8"/>
  <c r="AS355" i="8"/>
  <c r="AJ355" i="8" s="1"/>
  <c r="AC810" i="8"/>
  <c r="AB810" i="8"/>
  <c r="AT810" i="8"/>
  <c r="AK810" i="8" s="1"/>
  <c r="AS810" i="8"/>
  <c r="AJ810" i="8" s="1"/>
  <c r="AS1086" i="8"/>
  <c r="AJ1086" i="8" s="1"/>
  <c r="AC1086" i="8"/>
  <c r="AB1086" i="8"/>
  <c r="AT1086" i="8"/>
  <c r="AK1086" i="8" s="1"/>
  <c r="AO341" i="8"/>
  <c r="AN341" i="8"/>
  <c r="AM341" i="8"/>
  <c r="AF341" i="8" s="1"/>
  <c r="AL341" i="8"/>
  <c r="AE341" i="8" s="1"/>
  <c r="AO934" i="8"/>
  <c r="AN934" i="8"/>
  <c r="AM934" i="8"/>
  <c r="AF934" i="8" s="1"/>
  <c r="AL934" i="8"/>
  <c r="AE934" i="8" s="1"/>
  <c r="AS74" i="8"/>
  <c r="AJ74" i="8" s="1"/>
  <c r="AB74" i="8"/>
  <c r="AT74" i="8"/>
  <c r="AK74" i="8" s="1"/>
  <c r="AC74" i="8"/>
  <c r="AT914" i="8"/>
  <c r="AK914" i="8" s="1"/>
  <c r="AS914" i="8"/>
  <c r="AJ914" i="8" s="1"/>
  <c r="AA914" i="8" s="1"/>
  <c r="AC914" i="8"/>
  <c r="AB914" i="8"/>
  <c r="AT1075" i="8"/>
  <c r="AK1075" i="8" s="1"/>
  <c r="AC1075" i="8"/>
  <c r="AS1075" i="8"/>
  <c r="AJ1075" i="8" s="1"/>
  <c r="AB1075" i="8"/>
  <c r="Z41" i="8"/>
  <c r="AS206" i="8"/>
  <c r="AJ206" i="8" s="1"/>
  <c r="AA206" i="8" s="1"/>
  <c r="AC206" i="8"/>
  <c r="AB206" i="8"/>
  <c r="AT206" i="8"/>
  <c r="AK206" i="8" s="1"/>
  <c r="AT576" i="8"/>
  <c r="AK576" i="8" s="1"/>
  <c r="AC576" i="8"/>
  <c r="AS576" i="8"/>
  <c r="AJ576" i="8" s="1"/>
  <c r="AB576" i="8"/>
  <c r="AS970" i="8"/>
  <c r="AJ970" i="8" s="1"/>
  <c r="AC970" i="8"/>
  <c r="AB970" i="8"/>
  <c r="AT970" i="8"/>
  <c r="AK970" i="8" s="1"/>
  <c r="AT542" i="8"/>
  <c r="AK542" i="8" s="1"/>
  <c r="AC542" i="8"/>
  <c r="AS542" i="8"/>
  <c r="AJ542" i="8" s="1"/>
  <c r="AB542" i="8"/>
  <c r="AS428" i="8"/>
  <c r="AJ428" i="8" s="1"/>
  <c r="AA428" i="8" s="1"/>
  <c r="AC428" i="8"/>
  <c r="AB428" i="8"/>
  <c r="AT428" i="8"/>
  <c r="AK428" i="8" s="1"/>
  <c r="AC87" i="8"/>
  <c r="AB36" i="8"/>
  <c r="AS93" i="8"/>
  <c r="AJ93" i="8" s="1"/>
  <c r="AA93" i="8" s="1"/>
  <c r="AC93" i="8"/>
  <c r="AB93" i="8"/>
  <c r="AT93" i="8"/>
  <c r="AK93" i="8" s="1"/>
  <c r="AS1197" i="8"/>
  <c r="AJ1197" i="8" s="1"/>
  <c r="AA1197" i="8" s="1"/>
  <c r="AC1197" i="8"/>
  <c r="AB1197" i="8"/>
  <c r="AT1197" i="8"/>
  <c r="AK1197" i="8" s="1"/>
  <c r="AO1186" i="8"/>
  <c r="AL1186" i="8"/>
  <c r="AE1186" i="8" s="1"/>
  <c r="AN1186" i="8"/>
  <c r="AM1186" i="8"/>
  <c r="AF1186" i="8" s="1"/>
  <c r="AN1078" i="8"/>
  <c r="AO1078" i="8"/>
  <c r="AM1078" i="8"/>
  <c r="AF1078" i="8" s="1"/>
  <c r="AL1078" i="8"/>
  <c r="AE1078" i="8" s="1"/>
  <c r="Y681" i="8"/>
  <c r="Y944" i="8"/>
  <c r="Z1098" i="8"/>
  <c r="Z1140" i="8"/>
  <c r="Y1138" i="8"/>
  <c r="Z1115" i="8"/>
  <c r="Z1074" i="8"/>
  <c r="Y1066" i="8"/>
  <c r="Z1037" i="8"/>
  <c r="Y995" i="8"/>
  <c r="Y960" i="8"/>
  <c r="Z932" i="8"/>
  <c r="Z907" i="8"/>
  <c r="Z920" i="8"/>
  <c r="Y875" i="8"/>
  <c r="Z800" i="8"/>
  <c r="Y868" i="8"/>
  <c r="Z787" i="8"/>
  <c r="Z738" i="8"/>
  <c r="Y715" i="8"/>
  <c r="Y771" i="8"/>
  <c r="Z785" i="8"/>
  <c r="Y659" i="8"/>
  <c r="Y625" i="8"/>
  <c r="Y675" i="8"/>
  <c r="Z661" i="8"/>
  <c r="Z641" i="8"/>
  <c r="Y648" i="8"/>
  <c r="Z537" i="8"/>
  <c r="Y492" i="8"/>
  <c r="Z597" i="8"/>
  <c r="Z515" i="8"/>
  <c r="Z496" i="8"/>
  <c r="Z507" i="8"/>
  <c r="Z465" i="8"/>
  <c r="Z493" i="8"/>
  <c r="Z380" i="8"/>
  <c r="Z410" i="8"/>
  <c r="Z406" i="8"/>
  <c r="Y285" i="8"/>
  <c r="Z231" i="8"/>
  <c r="Y353" i="8"/>
  <c r="Z260" i="8"/>
  <c r="Z223" i="8"/>
  <c r="Y219" i="8"/>
  <c r="Z302" i="8"/>
  <c r="Z203" i="8"/>
  <c r="Z218" i="8"/>
  <c r="AT216" i="8"/>
  <c r="AK216" i="8" s="1"/>
  <c r="AS216" i="8"/>
  <c r="AJ216" i="8" s="1"/>
  <c r="AC216" i="8"/>
  <c r="AB216" i="8"/>
  <c r="AC272" i="8"/>
  <c r="AB272" i="8"/>
  <c r="AT272" i="8"/>
  <c r="AK272" i="8" s="1"/>
  <c r="AS272" i="8"/>
  <c r="AJ272" i="8" s="1"/>
  <c r="AC443" i="8"/>
  <c r="AB443" i="8"/>
  <c r="AT443" i="8"/>
  <c r="AK443" i="8" s="1"/>
  <c r="AS443" i="8"/>
  <c r="AJ443" i="8" s="1"/>
  <c r="AA443" i="8" s="1"/>
  <c r="AT643" i="8"/>
  <c r="AK643" i="8" s="1"/>
  <c r="AS643" i="8"/>
  <c r="AJ643" i="8" s="1"/>
  <c r="AC643" i="8"/>
  <c r="AB643" i="8"/>
  <c r="AS865" i="8"/>
  <c r="AJ865" i="8" s="1"/>
  <c r="AT865" i="8"/>
  <c r="AK865" i="8" s="1"/>
  <c r="AB865" i="8"/>
  <c r="AC865" i="8"/>
  <c r="AT1059" i="8"/>
  <c r="AK1059" i="8" s="1"/>
  <c r="AS1059" i="8"/>
  <c r="AJ1059" i="8" s="1"/>
  <c r="AA1059" i="8" s="1"/>
  <c r="AB1059" i="8"/>
  <c r="AC1059" i="8"/>
  <c r="Y173" i="8"/>
  <c r="Y189" i="8"/>
  <c r="Y233" i="8"/>
  <c r="AN302" i="8"/>
  <c r="AM302" i="8"/>
  <c r="AF302" i="8" s="1"/>
  <c r="AL302" i="8"/>
  <c r="AE302" i="8" s="1"/>
  <c r="AO302" i="8"/>
  <c r="AO1033" i="8"/>
  <c r="AM1033" i="8"/>
  <c r="AF1033" i="8" s="1"/>
  <c r="AL1033" i="8"/>
  <c r="AE1033" i="8" s="1"/>
  <c r="AN1033" i="8"/>
  <c r="AT551" i="8"/>
  <c r="AK551" i="8" s="1"/>
  <c r="AC551" i="8"/>
  <c r="AS551" i="8"/>
  <c r="AJ551" i="8" s="1"/>
  <c r="AA551" i="8" s="1"/>
  <c r="AB551" i="8"/>
  <c r="AO465" i="8"/>
  <c r="AN465" i="8"/>
  <c r="AM465" i="8"/>
  <c r="AF465" i="8" s="1"/>
  <c r="AL465" i="8"/>
  <c r="AE465" i="8" s="1"/>
  <c r="AO979" i="8"/>
  <c r="AM979" i="8"/>
  <c r="AF979" i="8" s="1"/>
  <c r="AL979" i="8"/>
  <c r="AE979" i="8" s="1"/>
  <c r="AN979" i="8"/>
  <c r="AT563" i="8"/>
  <c r="AK563" i="8" s="1"/>
  <c r="AS563" i="8"/>
  <c r="AJ563" i="8" s="1"/>
  <c r="AC563" i="8"/>
  <c r="AB563" i="8"/>
  <c r="AB380" i="8"/>
  <c r="AT380" i="8"/>
  <c r="AK380" i="8" s="1"/>
  <c r="AS380" i="8"/>
  <c r="AJ380" i="8" s="1"/>
  <c r="AA380" i="8" s="1"/>
  <c r="AC380" i="8"/>
  <c r="AS205" i="8"/>
  <c r="AJ205" i="8" s="1"/>
  <c r="AC205" i="8"/>
  <c r="AB205" i="8"/>
  <c r="AT205" i="8"/>
  <c r="AK205" i="8" s="1"/>
  <c r="AS297" i="8"/>
  <c r="AJ297" i="8" s="1"/>
  <c r="AA297" i="8" s="1"/>
  <c r="AC297" i="8"/>
  <c r="AT297" i="8"/>
  <c r="AK297" i="8" s="1"/>
  <c r="AB297" i="8"/>
  <c r="AC506" i="8"/>
  <c r="AT506" i="8"/>
  <c r="AK506" i="8" s="1"/>
  <c r="AB506" i="8"/>
  <c r="AS506" i="8"/>
  <c r="AJ506" i="8" s="1"/>
  <c r="AT673" i="8"/>
  <c r="AK673" i="8" s="1"/>
  <c r="AS673" i="8"/>
  <c r="AJ673" i="8" s="1"/>
  <c r="AA673" i="8" s="1"/>
  <c r="AC673" i="8"/>
  <c r="AB673" i="8"/>
  <c r="AS936" i="8"/>
  <c r="AJ936" i="8" s="1"/>
  <c r="AC936" i="8"/>
  <c r="AB936" i="8"/>
  <c r="AT936" i="8"/>
  <c r="AK936" i="8" s="1"/>
  <c r="AS1107" i="8"/>
  <c r="AJ1107" i="8" s="1"/>
  <c r="AA1107" i="8" s="1"/>
  <c r="AC1107" i="8"/>
  <c r="AT1107" i="8"/>
  <c r="AK1107" i="8" s="1"/>
  <c r="AB1107" i="8"/>
  <c r="AS432" i="8"/>
  <c r="AJ432" i="8" s="1"/>
  <c r="AC432" i="8"/>
  <c r="AB432" i="8"/>
  <c r="AT432" i="8"/>
  <c r="AK432" i="8" s="1"/>
  <c r="AC624" i="8"/>
  <c r="AB624" i="8"/>
  <c r="AT624" i="8"/>
  <c r="AK624" i="8" s="1"/>
  <c r="AS624" i="8"/>
  <c r="AJ624" i="8" s="1"/>
  <c r="AS779" i="8"/>
  <c r="AJ779" i="8" s="1"/>
  <c r="AC779" i="8"/>
  <c r="AB779" i="8"/>
  <c r="AT779" i="8"/>
  <c r="AK779" i="8" s="1"/>
  <c r="AB740" i="8"/>
  <c r="AC740" i="8"/>
  <c r="AT740" i="8"/>
  <c r="AK740" i="8" s="1"/>
  <c r="AS740" i="8"/>
  <c r="AJ740" i="8" s="1"/>
  <c r="AA740" i="8" s="1"/>
  <c r="AS153" i="8"/>
  <c r="AJ153" i="8" s="1"/>
  <c r="AA153" i="8" s="1"/>
  <c r="AC153" i="8"/>
  <c r="AT153" i="8"/>
  <c r="AK153" i="8" s="1"/>
  <c r="AB153" i="8"/>
  <c r="AS227" i="8"/>
  <c r="AJ227" i="8" s="1"/>
  <c r="AC227" i="8"/>
  <c r="AB227" i="8"/>
  <c r="AT227" i="8"/>
  <c r="AK227" i="8" s="1"/>
  <c r="AT472" i="8"/>
  <c r="AK472" i="8" s="1"/>
  <c r="AS472" i="8"/>
  <c r="AJ472" i="8" s="1"/>
  <c r="AA472" i="8" s="1"/>
  <c r="AC472" i="8"/>
  <c r="AB472" i="8"/>
  <c r="AB728" i="8"/>
  <c r="AC728" i="8"/>
  <c r="AT728" i="8"/>
  <c r="AK728" i="8" s="1"/>
  <c r="AS728" i="8"/>
  <c r="AJ728" i="8" s="1"/>
  <c r="AA728" i="8" s="1"/>
  <c r="AS797" i="8"/>
  <c r="AJ797" i="8" s="1"/>
  <c r="AC797" i="8"/>
  <c r="AB797" i="8"/>
  <c r="AT797" i="8"/>
  <c r="AK797" i="8" s="1"/>
  <c r="AS1014" i="8"/>
  <c r="AJ1014" i="8" s="1"/>
  <c r="AC1014" i="8"/>
  <c r="AT1014" i="8"/>
  <c r="AK1014" i="8" s="1"/>
  <c r="AB1014" i="8"/>
  <c r="AT1188" i="8"/>
  <c r="AK1188" i="8" s="1"/>
  <c r="AC1188" i="8"/>
  <c r="AB1188" i="8"/>
  <c r="AS1188" i="8"/>
  <c r="AJ1188" i="8" s="1"/>
  <c r="AT762" i="8"/>
  <c r="AK762" i="8" s="1"/>
  <c r="AS762" i="8"/>
  <c r="AJ762" i="8" s="1"/>
  <c r="AC762" i="8"/>
  <c r="AB762" i="8"/>
  <c r="AM278" i="8"/>
  <c r="AF278" i="8" s="1"/>
  <c r="AO278" i="8"/>
  <c r="AN278" i="8"/>
  <c r="AL278" i="8"/>
  <c r="AE278" i="8" s="1"/>
  <c r="AO963" i="8"/>
  <c r="AN963" i="8"/>
  <c r="AM963" i="8"/>
  <c r="AF963" i="8" s="1"/>
  <c r="AL963" i="8"/>
  <c r="AE963" i="8" s="1"/>
  <c r="AT544" i="8"/>
  <c r="AK544" i="8" s="1"/>
  <c r="AC544" i="8"/>
  <c r="AB544" i="8"/>
  <c r="AS544" i="8"/>
  <c r="AJ544" i="8" s="1"/>
  <c r="AO174" i="8"/>
  <c r="AN174" i="8"/>
  <c r="AM174" i="8"/>
  <c r="AF174" i="8" s="1"/>
  <c r="AL174" i="8"/>
  <c r="AE174" i="8" s="1"/>
  <c r="AO805" i="8"/>
  <c r="AN805" i="8"/>
  <c r="AM805" i="8"/>
  <c r="AF805" i="8" s="1"/>
  <c r="AL805" i="8"/>
  <c r="AE805" i="8" s="1"/>
  <c r="AO1191" i="8"/>
  <c r="AN1191" i="8"/>
  <c r="AM1191" i="8"/>
  <c r="AF1191" i="8" s="1"/>
  <c r="AL1191" i="8"/>
  <c r="AE1191" i="8" s="1"/>
  <c r="AT916" i="8"/>
  <c r="AK916" i="8" s="1"/>
  <c r="AS916" i="8"/>
  <c r="AJ916" i="8" s="1"/>
  <c r="AA916" i="8" s="1"/>
  <c r="AC916" i="8"/>
  <c r="AB916" i="8"/>
  <c r="AS1090" i="8"/>
  <c r="AJ1090" i="8" s="1"/>
  <c r="AC1090" i="8"/>
  <c r="AB1090" i="8"/>
  <c r="AT1090" i="8"/>
  <c r="AK1090" i="8" s="1"/>
  <c r="Z17" i="8"/>
  <c r="AB816" i="8"/>
  <c r="AS816" i="8"/>
  <c r="AJ816" i="8" s="1"/>
  <c r="AC816" i="8"/>
  <c r="AT816" i="8"/>
  <c r="AK816" i="8" s="1"/>
  <c r="AT1023" i="8"/>
  <c r="AK1023" i="8" s="1"/>
  <c r="AC1023" i="8"/>
  <c r="AS1023" i="8"/>
  <c r="AJ1023" i="8" s="1"/>
  <c r="AB1023" i="8"/>
  <c r="AS10" i="8"/>
  <c r="AJ10" i="8" s="1"/>
  <c r="AA10" i="8" s="1"/>
  <c r="AT10" i="8"/>
  <c r="AK10" i="8" s="1"/>
  <c r="AC10" i="8"/>
  <c r="AB10" i="8"/>
  <c r="AL198" i="8"/>
  <c r="AE198" i="8" s="1"/>
  <c r="AM198" i="8"/>
  <c r="AF198" i="8" s="1"/>
  <c r="AO198" i="8"/>
  <c r="AN198" i="8"/>
  <c r="AN722" i="8"/>
  <c r="AO722" i="8"/>
  <c r="AM722" i="8"/>
  <c r="AF722" i="8" s="1"/>
  <c r="AL722" i="8"/>
  <c r="AE722" i="8" s="1"/>
  <c r="AO1146" i="8"/>
  <c r="AN1146" i="8"/>
  <c r="AM1146" i="8"/>
  <c r="AF1146" i="8" s="1"/>
  <c r="AL1146" i="8"/>
  <c r="AE1146" i="8" s="1"/>
  <c r="AT681" i="8"/>
  <c r="AK681" i="8" s="1"/>
  <c r="AS681" i="8"/>
  <c r="AJ681" i="8" s="1"/>
  <c r="AC681" i="8"/>
  <c r="AB681" i="8"/>
  <c r="AO366" i="8"/>
  <c r="AN366" i="8"/>
  <c r="AL366" i="8"/>
  <c r="AE366" i="8" s="1"/>
  <c r="AM366" i="8"/>
  <c r="AF366" i="8" s="1"/>
  <c r="AO867" i="8"/>
  <c r="AN867" i="8"/>
  <c r="AM867" i="8"/>
  <c r="AF867" i="8" s="1"/>
  <c r="AL867" i="8"/>
  <c r="AE867" i="8" s="1"/>
  <c r="AS110" i="8"/>
  <c r="AJ110" i="8" s="1"/>
  <c r="AA110" i="8" s="1"/>
  <c r="AC110" i="8"/>
  <c r="AB110" i="8"/>
  <c r="AT110" i="8"/>
  <c r="AK110" i="8" s="1"/>
  <c r="X871" i="8"/>
  <c r="X1078" i="8"/>
  <c r="AT636" i="8"/>
  <c r="AK636" i="8" s="1"/>
  <c r="AS636" i="8"/>
  <c r="AJ636" i="8" s="1"/>
  <c r="AA636" i="8" s="1"/>
  <c r="AC636" i="8"/>
  <c r="AB636" i="8"/>
  <c r="AC743" i="8"/>
  <c r="AB743" i="8"/>
  <c r="AT743" i="8"/>
  <c r="AK743" i="8" s="1"/>
  <c r="AS743" i="8"/>
  <c r="AJ743" i="8" s="1"/>
  <c r="AA111" i="8"/>
  <c r="AT458" i="8"/>
  <c r="AK458" i="8" s="1"/>
  <c r="AS458" i="8"/>
  <c r="AJ458" i="8" s="1"/>
  <c r="AC458" i="8"/>
  <c r="AB458" i="8"/>
  <c r="AS333" i="8"/>
  <c r="AJ333" i="8" s="1"/>
  <c r="AC333" i="8"/>
  <c r="AB333" i="8"/>
  <c r="AT333" i="8"/>
  <c r="AK333" i="8" s="1"/>
  <c r="AT620" i="8"/>
  <c r="AK620" i="8" s="1"/>
  <c r="AS620" i="8"/>
  <c r="AJ620" i="8" s="1"/>
  <c r="AC620" i="8"/>
  <c r="AB620" i="8"/>
  <c r="AT1064" i="8"/>
  <c r="AK1064" i="8" s="1"/>
  <c r="AC1064" i="8"/>
  <c r="AS1064" i="8"/>
  <c r="AJ1064" i="8" s="1"/>
  <c r="AB1064" i="8"/>
  <c r="AS202" i="8"/>
  <c r="AJ202" i="8" s="1"/>
  <c r="AC202" i="8"/>
  <c r="AT202" i="8"/>
  <c r="AK202" i="8" s="1"/>
  <c r="AB202" i="8"/>
  <c r="AS294" i="8"/>
  <c r="AJ294" i="8" s="1"/>
  <c r="AC294" i="8"/>
  <c r="AB294" i="8"/>
  <c r="AT294" i="8"/>
  <c r="AK294" i="8" s="1"/>
  <c r="AB396" i="8"/>
  <c r="AC396" i="8"/>
  <c r="AT396" i="8"/>
  <c r="AK396" i="8" s="1"/>
  <c r="AS396" i="8"/>
  <c r="AJ396" i="8" s="1"/>
  <c r="AA396" i="8" s="1"/>
  <c r="AC670" i="8"/>
  <c r="AB670" i="8"/>
  <c r="AT670" i="8"/>
  <c r="AK670" i="8" s="1"/>
  <c r="AS670" i="8"/>
  <c r="AJ670" i="8" s="1"/>
  <c r="AA670" i="8" s="1"/>
  <c r="AS851" i="8"/>
  <c r="AJ851" i="8" s="1"/>
  <c r="AC851" i="8"/>
  <c r="AB851" i="8"/>
  <c r="AT851" i="8"/>
  <c r="AK851" i="8" s="1"/>
  <c r="AC1081" i="8"/>
  <c r="AT1081" i="8"/>
  <c r="AK1081" i="8" s="1"/>
  <c r="AB1081" i="8"/>
  <c r="AS1081" i="8"/>
  <c r="AJ1081" i="8" s="1"/>
  <c r="AM194" i="8"/>
  <c r="AF194" i="8" s="1"/>
  <c r="AO194" i="8"/>
  <c r="AN194" i="8"/>
  <c r="AL194" i="8"/>
  <c r="AE194" i="8" s="1"/>
  <c r="AO820" i="8"/>
  <c r="AN820" i="8"/>
  <c r="AM820" i="8"/>
  <c r="AF820" i="8" s="1"/>
  <c r="AL820" i="8"/>
  <c r="AE820" i="8" s="1"/>
  <c r="AM1096" i="8"/>
  <c r="AF1096" i="8" s="1"/>
  <c r="AL1096" i="8"/>
  <c r="AE1096" i="8" s="1"/>
  <c r="AO1096" i="8"/>
  <c r="AN1096" i="8"/>
  <c r="AC212" i="8"/>
  <c r="AT212" i="8"/>
  <c r="AK212" i="8" s="1"/>
  <c r="AS212" i="8"/>
  <c r="AJ212" i="8" s="1"/>
  <c r="AB212" i="8"/>
  <c r="AS603" i="8"/>
  <c r="AJ603" i="8" s="1"/>
  <c r="AC603" i="8"/>
  <c r="AB603" i="8"/>
  <c r="AT603" i="8"/>
  <c r="AK603" i="8" s="1"/>
  <c r="AS823" i="8"/>
  <c r="AJ823" i="8" s="1"/>
  <c r="AC823" i="8"/>
  <c r="AB823" i="8"/>
  <c r="AT823" i="8"/>
  <c r="AK823" i="8" s="1"/>
  <c r="AC1043" i="8"/>
  <c r="AB1043" i="8"/>
  <c r="AT1043" i="8"/>
  <c r="AK1043" i="8" s="1"/>
  <c r="AS1043" i="8"/>
  <c r="AJ1043" i="8" s="1"/>
  <c r="Z216" i="8"/>
  <c r="Z221" i="8"/>
  <c r="AT89" i="8"/>
  <c r="AK89" i="8" s="1"/>
  <c r="AC89" i="8"/>
  <c r="AS89" i="8"/>
  <c r="AJ89" i="8" s="1"/>
  <c r="AA89" i="8" s="1"/>
  <c r="AB89" i="8"/>
  <c r="AT252" i="8"/>
  <c r="AK252" i="8" s="1"/>
  <c r="AB252" i="8"/>
  <c r="AS252" i="8"/>
  <c r="AJ252" i="8" s="1"/>
  <c r="AA252" i="8" s="1"/>
  <c r="AC252" i="8"/>
  <c r="AS275" i="8"/>
  <c r="AJ275" i="8" s="1"/>
  <c r="AB275" i="8"/>
  <c r="AT275" i="8"/>
  <c r="AK275" i="8" s="1"/>
  <c r="AC275" i="8"/>
  <c r="AS530" i="8"/>
  <c r="AJ530" i="8" s="1"/>
  <c r="AA530" i="8" s="1"/>
  <c r="AC530" i="8"/>
  <c r="AB530" i="8"/>
  <c r="AT530" i="8"/>
  <c r="AK530" i="8" s="1"/>
  <c r="AS817" i="8"/>
  <c r="AJ817" i="8" s="1"/>
  <c r="AC817" i="8"/>
  <c r="AB817" i="8"/>
  <c r="AT817" i="8"/>
  <c r="AK817" i="8" s="1"/>
  <c r="AS978" i="8"/>
  <c r="AJ978" i="8" s="1"/>
  <c r="AC978" i="8"/>
  <c r="AB978" i="8"/>
  <c r="AT978" i="8"/>
  <c r="AK978" i="8" s="1"/>
  <c r="AC1195" i="8"/>
  <c r="AS1195" i="8"/>
  <c r="AJ1195" i="8" s="1"/>
  <c r="AA1195" i="8" s="1"/>
  <c r="AB1195" i="8"/>
  <c r="AT1195" i="8"/>
  <c r="AK1195" i="8" s="1"/>
  <c r="AS378" i="8"/>
  <c r="AJ378" i="8" s="1"/>
  <c r="AA378" i="8" s="1"/>
  <c r="AC378" i="8"/>
  <c r="AT378" i="8"/>
  <c r="AK378" i="8" s="1"/>
  <c r="AB378" i="8"/>
  <c r="AS833" i="8"/>
  <c r="AJ833" i="8" s="1"/>
  <c r="AC833" i="8"/>
  <c r="AB833" i="8"/>
  <c r="AT833" i="8"/>
  <c r="AK833" i="8" s="1"/>
  <c r="AS1132" i="8"/>
  <c r="AJ1132" i="8" s="1"/>
  <c r="AB1132" i="8"/>
  <c r="AC1132" i="8"/>
  <c r="AT1132" i="8"/>
  <c r="AK1132" i="8" s="1"/>
  <c r="AN387" i="8"/>
  <c r="AM387" i="8"/>
  <c r="AF387" i="8" s="1"/>
  <c r="AL387" i="8"/>
  <c r="AE387" i="8" s="1"/>
  <c r="AO387" i="8"/>
  <c r="AO957" i="8"/>
  <c r="AM957" i="8"/>
  <c r="AF957" i="8" s="1"/>
  <c r="AL957" i="8"/>
  <c r="AE957" i="8" s="1"/>
  <c r="AN957" i="8"/>
  <c r="AC163" i="8"/>
  <c r="AB163" i="8"/>
  <c r="AT163" i="8"/>
  <c r="AK163" i="8" s="1"/>
  <c r="AS163" i="8"/>
  <c r="AJ163" i="8" s="1"/>
  <c r="AS891" i="8"/>
  <c r="AJ891" i="8" s="1"/>
  <c r="AC891" i="8"/>
  <c r="AT891" i="8"/>
  <c r="AK891" i="8" s="1"/>
  <c r="AB891" i="8"/>
  <c r="AT1098" i="8"/>
  <c r="AK1098" i="8" s="1"/>
  <c r="AS1098" i="8"/>
  <c r="AJ1098" i="8" s="1"/>
  <c r="AA1098" i="8" s="1"/>
  <c r="AC1098" i="8"/>
  <c r="AB1098" i="8"/>
  <c r="Z39" i="8"/>
  <c r="AS257" i="8"/>
  <c r="AJ257" i="8" s="1"/>
  <c r="AA257" i="8" s="1"/>
  <c r="AC257" i="8"/>
  <c r="AB257" i="8"/>
  <c r="AT257" i="8"/>
  <c r="AK257" i="8" s="1"/>
  <c r="AB610" i="8"/>
  <c r="AC610" i="8"/>
  <c r="AS610" i="8"/>
  <c r="AJ610" i="8" s="1"/>
  <c r="AA610" i="8" s="1"/>
  <c r="AT610" i="8"/>
  <c r="AK610" i="8" s="1"/>
  <c r="AT993" i="8"/>
  <c r="AK993" i="8" s="1"/>
  <c r="AC993" i="8"/>
  <c r="AB993" i="8"/>
  <c r="AS993" i="8"/>
  <c r="AJ993" i="8" s="1"/>
  <c r="AS501" i="8"/>
  <c r="AJ501" i="8" s="1"/>
  <c r="AA501" i="8" s="1"/>
  <c r="AC501" i="8"/>
  <c r="AT501" i="8"/>
  <c r="AK501" i="8" s="1"/>
  <c r="AB501" i="8"/>
  <c r="AT433" i="8"/>
  <c r="AK433" i="8" s="1"/>
  <c r="AC433" i="8"/>
  <c r="AS433" i="8"/>
  <c r="AJ433" i="8" s="1"/>
  <c r="AB433" i="8"/>
  <c r="AA87" i="8"/>
  <c r="AC36" i="8"/>
  <c r="AC1141" i="8"/>
  <c r="AS1141" i="8"/>
  <c r="AJ1141" i="8" s="1"/>
  <c r="AT1141" i="8"/>
  <c r="AK1141" i="8" s="1"/>
  <c r="AB1141" i="8"/>
  <c r="AO192" i="8"/>
  <c r="AN192" i="8"/>
  <c r="AM192" i="8"/>
  <c r="AF192" i="8" s="1"/>
  <c r="AL192" i="8"/>
  <c r="AE192" i="8" s="1"/>
  <c r="Z1159" i="8"/>
  <c r="Y337" i="8"/>
  <c r="AO724" i="8"/>
  <c r="AN724" i="8"/>
  <c r="AM724" i="8"/>
  <c r="AF724" i="8" s="1"/>
  <c r="AL724" i="8"/>
  <c r="AE724" i="8" s="1"/>
  <c r="AT279" i="8"/>
  <c r="AK279" i="8" s="1"/>
  <c r="AB279" i="8"/>
  <c r="AC279" i="8"/>
  <c r="AS279" i="8"/>
  <c r="AJ279" i="8" s="1"/>
  <c r="AT455" i="8"/>
  <c r="AK455" i="8" s="1"/>
  <c r="AS455" i="8"/>
  <c r="AJ455" i="8" s="1"/>
  <c r="AC455" i="8"/>
  <c r="AB455" i="8"/>
  <c r="AS278" i="8"/>
  <c r="AJ278" i="8" s="1"/>
  <c r="AA278" i="8" s="1"/>
  <c r="AC278" i="8"/>
  <c r="AT278" i="8"/>
  <c r="AK278" i="8" s="1"/>
  <c r="AB278" i="8"/>
  <c r="Y1040" i="8"/>
  <c r="W455" i="9"/>
  <c r="Z1194" i="8"/>
  <c r="Y1202" i="8"/>
  <c r="Y991" i="8"/>
  <c r="Y926" i="8"/>
  <c r="Z939" i="8"/>
  <c r="Y858" i="8"/>
  <c r="Y790" i="8"/>
  <c r="Y860" i="8"/>
  <c r="Z712" i="8"/>
  <c r="Y765" i="8"/>
  <c r="Z728" i="8"/>
  <c r="Y714" i="8"/>
  <c r="Y612" i="8"/>
  <c r="Y561" i="8"/>
  <c r="Y586" i="8"/>
  <c r="Y528" i="8"/>
  <c r="Y537" i="8"/>
  <c r="Z621" i="8"/>
  <c r="Y479" i="8"/>
  <c r="Z471" i="8"/>
  <c r="Y380" i="8"/>
  <c r="Z459" i="8"/>
  <c r="Z278" i="8"/>
  <c r="Y311" i="8"/>
  <c r="Y298" i="8"/>
  <c r="Z243" i="8"/>
  <c r="Y137" i="8"/>
  <c r="AT147" i="8"/>
  <c r="AK147" i="8" s="1"/>
  <c r="AS147" i="8"/>
  <c r="AJ147" i="8" s="1"/>
  <c r="AC147" i="8"/>
  <c r="AB147" i="8"/>
  <c r="AS244" i="8"/>
  <c r="AJ244" i="8" s="1"/>
  <c r="AC244" i="8"/>
  <c r="AB244" i="8"/>
  <c r="AT244" i="8"/>
  <c r="AK244" i="8" s="1"/>
  <c r="AB392" i="8"/>
  <c r="AC392" i="8"/>
  <c r="AT392" i="8"/>
  <c r="AK392" i="8" s="1"/>
  <c r="AS392" i="8"/>
  <c r="AJ392" i="8" s="1"/>
  <c r="AA392" i="8" s="1"/>
  <c r="AS607" i="8"/>
  <c r="AJ607" i="8" s="1"/>
  <c r="AC607" i="8"/>
  <c r="AB607" i="8"/>
  <c r="AT607" i="8"/>
  <c r="AK607" i="8" s="1"/>
  <c r="AS911" i="8"/>
  <c r="AJ911" i="8" s="1"/>
  <c r="AC911" i="8"/>
  <c r="AB911" i="8"/>
  <c r="AT911" i="8"/>
  <c r="AK911" i="8" s="1"/>
  <c r="AT1072" i="8"/>
  <c r="AK1072" i="8" s="1"/>
  <c r="AC1072" i="8"/>
  <c r="AS1072" i="8"/>
  <c r="AJ1072" i="8" s="1"/>
  <c r="AB1072" i="8"/>
  <c r="Y160" i="8"/>
  <c r="Z156" i="8"/>
  <c r="AT86" i="8"/>
  <c r="AK86" i="8" s="1"/>
  <c r="AC86" i="8"/>
  <c r="AS86" i="8"/>
  <c r="AJ86" i="8" s="1"/>
  <c r="AA86" i="8" s="1"/>
  <c r="AB86" i="8"/>
  <c r="Y188" i="8"/>
  <c r="AT152" i="8"/>
  <c r="AK152" i="8" s="1"/>
  <c r="AC152" i="8"/>
  <c r="AS152" i="8"/>
  <c r="AJ152" i="8" s="1"/>
  <c r="AB152" i="8"/>
  <c r="Y16" i="8"/>
  <c r="AO325" i="8"/>
  <c r="AN325" i="8"/>
  <c r="AM325" i="8"/>
  <c r="AF325" i="8" s="1"/>
  <c r="AL325" i="8"/>
  <c r="AE325" i="8" s="1"/>
  <c r="AO987" i="8"/>
  <c r="AN987" i="8"/>
  <c r="AM987" i="8"/>
  <c r="AF987" i="8" s="1"/>
  <c r="AL987" i="8"/>
  <c r="AE987" i="8" s="1"/>
  <c r="AC546" i="8"/>
  <c r="AB546" i="8"/>
  <c r="AT546" i="8"/>
  <c r="AK546" i="8" s="1"/>
  <c r="AS546" i="8"/>
  <c r="AJ546" i="8" s="1"/>
  <c r="AA546" i="8" s="1"/>
  <c r="AO688" i="8"/>
  <c r="AN688" i="8"/>
  <c r="AM688" i="8"/>
  <c r="AF688" i="8" s="1"/>
  <c r="AL688" i="8"/>
  <c r="AE688" i="8" s="1"/>
  <c r="AO1025" i="8"/>
  <c r="AN1025" i="8"/>
  <c r="AM1025" i="8"/>
  <c r="AF1025" i="8" s="1"/>
  <c r="AL1025" i="8"/>
  <c r="AE1025" i="8" s="1"/>
  <c r="AB550" i="8"/>
  <c r="AS550" i="8"/>
  <c r="AJ550" i="8" s="1"/>
  <c r="AC550" i="8"/>
  <c r="AT550" i="8"/>
  <c r="AK550" i="8" s="1"/>
  <c r="AS426" i="8"/>
  <c r="AJ426" i="8" s="1"/>
  <c r="AB426" i="8"/>
  <c r="AT426" i="8"/>
  <c r="AK426" i="8" s="1"/>
  <c r="AC426" i="8"/>
  <c r="AT50" i="8"/>
  <c r="AK50" i="8" s="1"/>
  <c r="AS50" i="8"/>
  <c r="AJ50" i="8" s="1"/>
  <c r="AB50" i="8"/>
  <c r="AC50" i="8"/>
  <c r="AC98" i="8"/>
  <c r="AS98" i="8"/>
  <c r="AJ98" i="8" s="1"/>
  <c r="AA98" i="8" s="1"/>
  <c r="AT98" i="8"/>
  <c r="AK98" i="8" s="1"/>
  <c r="AB98" i="8"/>
  <c r="AB149" i="8"/>
  <c r="AS149" i="8"/>
  <c r="AJ149" i="8" s="1"/>
  <c r="AC149" i="8"/>
  <c r="AT149" i="8"/>
  <c r="AK149" i="8" s="1"/>
  <c r="AS366" i="8"/>
  <c r="AJ366" i="8" s="1"/>
  <c r="AC366" i="8"/>
  <c r="AT366" i="8"/>
  <c r="AK366" i="8" s="1"/>
  <c r="AB366" i="8"/>
  <c r="AC473" i="8"/>
  <c r="AB473" i="8"/>
  <c r="AS473" i="8"/>
  <c r="AJ473" i="8" s="1"/>
  <c r="AT473" i="8"/>
  <c r="AK473" i="8" s="1"/>
  <c r="AT701" i="8"/>
  <c r="AK701" i="8" s="1"/>
  <c r="AB701" i="8"/>
  <c r="AC701" i="8"/>
  <c r="AS701" i="8"/>
  <c r="AJ701" i="8" s="1"/>
  <c r="AC959" i="8"/>
  <c r="AB959" i="8"/>
  <c r="AT959" i="8"/>
  <c r="AK959" i="8" s="1"/>
  <c r="AS959" i="8"/>
  <c r="AJ959" i="8" s="1"/>
  <c r="AA959" i="8" s="1"/>
  <c r="AC1199" i="8"/>
  <c r="AT1199" i="8"/>
  <c r="AK1199" i="8" s="1"/>
  <c r="AB1199" i="8"/>
  <c r="AS1199" i="8"/>
  <c r="AJ1199" i="8" s="1"/>
  <c r="AS289" i="8"/>
  <c r="AJ289" i="8" s="1"/>
  <c r="AC289" i="8"/>
  <c r="AT289" i="8"/>
  <c r="AK289" i="8" s="1"/>
  <c r="AB289" i="8"/>
  <c r="AT662" i="8"/>
  <c r="AK662" i="8" s="1"/>
  <c r="AC662" i="8"/>
  <c r="AS662" i="8"/>
  <c r="AJ662" i="8" s="1"/>
  <c r="AB662" i="8"/>
  <c r="AT751" i="8"/>
  <c r="AK751" i="8" s="1"/>
  <c r="AS751" i="8"/>
  <c r="AJ751" i="8" s="1"/>
  <c r="AC751" i="8"/>
  <c r="AB751" i="8"/>
  <c r="AB712" i="8"/>
  <c r="AT712" i="8"/>
  <c r="AK712" i="8" s="1"/>
  <c r="AS712" i="8"/>
  <c r="AJ712" i="8" s="1"/>
  <c r="AC712" i="8"/>
  <c r="AT171" i="8"/>
  <c r="AK171" i="8" s="1"/>
  <c r="AC171" i="8"/>
  <c r="AS171" i="8"/>
  <c r="AJ171" i="8" s="1"/>
  <c r="AA171" i="8" s="1"/>
  <c r="AB171" i="8"/>
  <c r="AS273" i="8"/>
  <c r="AJ273" i="8" s="1"/>
  <c r="AA273" i="8" s="1"/>
  <c r="AC273" i="8"/>
  <c r="AT273" i="8"/>
  <c r="AK273" i="8" s="1"/>
  <c r="AB273" i="8"/>
  <c r="AS370" i="8"/>
  <c r="AJ370" i="8" s="1"/>
  <c r="AC370" i="8"/>
  <c r="AB370" i="8"/>
  <c r="AT370" i="8"/>
  <c r="AK370" i="8" s="1"/>
  <c r="AT495" i="8"/>
  <c r="AK495" i="8" s="1"/>
  <c r="AC495" i="8"/>
  <c r="AS495" i="8"/>
  <c r="AJ495" i="8" s="1"/>
  <c r="AB495" i="8"/>
  <c r="AS876" i="8"/>
  <c r="AJ876" i="8" s="1"/>
  <c r="AC876" i="8"/>
  <c r="AB876" i="8"/>
  <c r="AT876" i="8"/>
  <c r="AK876" i="8" s="1"/>
  <c r="AT1060" i="8"/>
  <c r="AK1060" i="8" s="1"/>
  <c r="AC1060" i="8"/>
  <c r="AS1060" i="8"/>
  <c r="AJ1060" i="8" s="1"/>
  <c r="AB1060" i="8"/>
  <c r="AB744" i="8"/>
  <c r="AT744" i="8"/>
  <c r="AK744" i="8" s="1"/>
  <c r="AS744" i="8"/>
  <c r="AJ744" i="8" s="1"/>
  <c r="AC744" i="8"/>
  <c r="AS109" i="8"/>
  <c r="AJ109" i="8" s="1"/>
  <c r="AC109" i="8"/>
  <c r="AB109" i="8"/>
  <c r="AT109" i="8"/>
  <c r="AK109" i="8" s="1"/>
  <c r="AS12" i="8"/>
  <c r="AJ12" i="8" s="1"/>
  <c r="AC12" i="8"/>
  <c r="AT12" i="8"/>
  <c r="AK12" i="8" s="1"/>
  <c r="AB12" i="8"/>
  <c r="Z118" i="8"/>
  <c r="AO324" i="8"/>
  <c r="AN324" i="8"/>
  <c r="AM324" i="8"/>
  <c r="AF324" i="8" s="1"/>
  <c r="AL324" i="8"/>
  <c r="AE324" i="8" s="1"/>
  <c r="AM986" i="8"/>
  <c r="AF986" i="8" s="1"/>
  <c r="AO986" i="8"/>
  <c r="AN986" i="8"/>
  <c r="AL986" i="8"/>
  <c r="AE986" i="8" s="1"/>
  <c r="AB508" i="8"/>
  <c r="AT508" i="8"/>
  <c r="AK508" i="8" s="1"/>
  <c r="AS508" i="8"/>
  <c r="AJ508" i="8" s="1"/>
  <c r="AA508" i="8" s="1"/>
  <c r="AC508" i="8"/>
  <c r="AO220" i="8"/>
  <c r="AN220" i="8"/>
  <c r="AM220" i="8"/>
  <c r="AF220" i="8" s="1"/>
  <c r="AL220" i="8"/>
  <c r="AE220" i="8" s="1"/>
  <c r="AO777" i="8"/>
  <c r="AN777" i="8"/>
  <c r="AM777" i="8"/>
  <c r="AF777" i="8" s="1"/>
  <c r="AL777" i="8"/>
  <c r="AE777" i="8" s="1"/>
  <c r="AS165" i="8"/>
  <c r="AJ165" i="8" s="1"/>
  <c r="AC165" i="8"/>
  <c r="AT165" i="8"/>
  <c r="AK165" i="8" s="1"/>
  <c r="AB165" i="8"/>
  <c r="AC939" i="8"/>
  <c r="AT939" i="8"/>
  <c r="AK939" i="8" s="1"/>
  <c r="AB939" i="8"/>
  <c r="AS939" i="8"/>
  <c r="AJ939" i="8" s="1"/>
  <c r="AS1123" i="8"/>
  <c r="AJ1123" i="8" s="1"/>
  <c r="AC1123" i="8"/>
  <c r="AT1123" i="8"/>
  <c r="AK1123" i="8" s="1"/>
  <c r="AB1123" i="8"/>
  <c r="X17" i="8"/>
  <c r="AS872" i="8"/>
  <c r="AJ872" i="8" s="1"/>
  <c r="AC872" i="8"/>
  <c r="AT872" i="8"/>
  <c r="AK872" i="8" s="1"/>
  <c r="AB872" i="8"/>
  <c r="AS1046" i="8"/>
  <c r="AJ1046" i="8" s="1"/>
  <c r="AC1046" i="8"/>
  <c r="AB1046" i="8"/>
  <c r="AT1046" i="8"/>
  <c r="AK1046" i="8" s="1"/>
  <c r="AO91" i="8"/>
  <c r="AN91" i="8"/>
  <c r="AM91" i="8"/>
  <c r="AF91" i="8" s="1"/>
  <c r="AL91" i="8"/>
  <c r="AE91" i="8" s="1"/>
  <c r="AO750" i="8"/>
  <c r="AN750" i="8"/>
  <c r="AM750" i="8"/>
  <c r="AF750" i="8" s="1"/>
  <c r="AL750" i="8"/>
  <c r="AE750" i="8" s="1"/>
  <c r="AN1169" i="8"/>
  <c r="AM1169" i="8"/>
  <c r="AF1169" i="8" s="1"/>
  <c r="AO1169" i="8"/>
  <c r="AL1169" i="8"/>
  <c r="AE1169" i="8" s="1"/>
  <c r="AS686" i="8"/>
  <c r="AJ686" i="8" s="1"/>
  <c r="AC686" i="8"/>
  <c r="AB686" i="8"/>
  <c r="AT686" i="8"/>
  <c r="AK686" i="8" s="1"/>
  <c r="AO64" i="8"/>
  <c r="AN64" i="8"/>
  <c r="AL64" i="8"/>
  <c r="AE64" i="8" s="1"/>
  <c r="AM64" i="8"/>
  <c r="AF64" i="8" s="1"/>
  <c r="AO389" i="8"/>
  <c r="AL389" i="8"/>
  <c r="AE389" i="8" s="1"/>
  <c r="AN389" i="8"/>
  <c r="AM389" i="8"/>
  <c r="AF389" i="8" s="1"/>
  <c r="AO936" i="8"/>
  <c r="AN936" i="8"/>
  <c r="AM936" i="8"/>
  <c r="AF936" i="8" s="1"/>
  <c r="AL936" i="8"/>
  <c r="AE936" i="8" s="1"/>
  <c r="AS189" i="8"/>
  <c r="AJ189" i="8" s="1"/>
  <c r="AC189" i="8"/>
  <c r="AT189" i="8"/>
  <c r="AK189" i="8" s="1"/>
  <c r="AB189" i="8"/>
  <c r="AS884" i="8"/>
  <c r="AJ884" i="8" s="1"/>
  <c r="AC884" i="8"/>
  <c r="AB884" i="8"/>
  <c r="AT884" i="8"/>
  <c r="AK884" i="8" s="1"/>
  <c r="AC1124" i="8"/>
  <c r="AB1124" i="8"/>
  <c r="AT1124" i="8"/>
  <c r="AK1124" i="8" s="1"/>
  <c r="AS1124" i="8"/>
  <c r="AJ1124" i="8" s="1"/>
  <c r="AA1124" i="8" s="1"/>
  <c r="AS682" i="8"/>
  <c r="AJ682" i="8" s="1"/>
  <c r="AC682" i="8"/>
  <c r="AB682" i="8"/>
  <c r="AT682" i="8"/>
  <c r="AK682" i="8" s="1"/>
  <c r="AC604" i="8"/>
  <c r="AT604" i="8"/>
  <c r="AK604" i="8" s="1"/>
  <c r="AB604" i="8"/>
  <c r="AS604" i="8"/>
  <c r="AJ604" i="8" s="1"/>
  <c r="Z103" i="8"/>
  <c r="AC287" i="8"/>
  <c r="AT287" i="8"/>
  <c r="AK287" i="8" s="1"/>
  <c r="AB287" i="8"/>
  <c r="AS287" i="8"/>
  <c r="AJ287" i="8" s="1"/>
  <c r="AA287" i="8" s="1"/>
  <c r="AB732" i="8"/>
  <c r="AC732" i="8"/>
  <c r="AS732" i="8"/>
  <c r="AJ732" i="8" s="1"/>
  <c r="AA732" i="8" s="1"/>
  <c r="AT732" i="8"/>
  <c r="AK732" i="8" s="1"/>
  <c r="AB1087" i="8"/>
  <c r="AC1087" i="8"/>
  <c r="AT1087" i="8"/>
  <c r="AK1087" i="8" s="1"/>
  <c r="AS1087" i="8"/>
  <c r="AJ1087" i="8" s="1"/>
  <c r="AT151" i="8"/>
  <c r="AK151" i="8" s="1"/>
  <c r="AS151" i="8"/>
  <c r="AJ151" i="8" s="1"/>
  <c r="AC151" i="8"/>
  <c r="AB151" i="8"/>
  <c r="AS253" i="8"/>
  <c r="AJ253" i="8" s="1"/>
  <c r="AC253" i="8"/>
  <c r="AB253" i="8"/>
  <c r="AT253" i="8"/>
  <c r="AK253" i="8" s="1"/>
  <c r="X470" i="8"/>
  <c r="AS593" i="8"/>
  <c r="AJ593" i="8" s="1"/>
  <c r="AA593" i="8" s="1"/>
  <c r="AC593" i="8"/>
  <c r="AB593" i="8"/>
  <c r="AT593" i="8"/>
  <c r="AK593" i="8" s="1"/>
  <c r="AS887" i="8"/>
  <c r="AJ887" i="8" s="1"/>
  <c r="AC887" i="8"/>
  <c r="AB887" i="8"/>
  <c r="AT887" i="8"/>
  <c r="AK887" i="8" s="1"/>
  <c r="AS1058" i="8"/>
  <c r="AJ1058" i="8" s="1"/>
  <c r="AC1058" i="8"/>
  <c r="AT1058" i="8"/>
  <c r="AK1058" i="8" s="1"/>
  <c r="AB1058" i="8"/>
  <c r="AO217" i="8"/>
  <c r="AL217" i="8"/>
  <c r="AE217" i="8" s="1"/>
  <c r="AN217" i="8"/>
  <c r="AM217" i="8"/>
  <c r="AF217" i="8" s="1"/>
  <c r="AO802" i="8"/>
  <c r="AN802" i="8"/>
  <c r="AM802" i="8"/>
  <c r="AF802" i="8" s="1"/>
  <c r="AL802" i="8"/>
  <c r="AE802" i="8" s="1"/>
  <c r="AO1142" i="8"/>
  <c r="AN1142" i="8"/>
  <c r="AM1142" i="8"/>
  <c r="AF1142" i="8" s="1"/>
  <c r="AL1142" i="8"/>
  <c r="AE1142" i="8" s="1"/>
  <c r="AT240" i="8"/>
  <c r="AK240" i="8" s="1"/>
  <c r="AB240" i="8"/>
  <c r="AS240" i="8"/>
  <c r="AJ240" i="8" s="1"/>
  <c r="AC240" i="8"/>
  <c r="AT582" i="8"/>
  <c r="AK582" i="8" s="1"/>
  <c r="AB582" i="8"/>
  <c r="AS582" i="8"/>
  <c r="AJ582" i="8" s="1"/>
  <c r="AA582" i="8" s="1"/>
  <c r="AC582" i="8"/>
  <c r="AT846" i="8"/>
  <c r="AK846" i="8" s="1"/>
  <c r="AC846" i="8"/>
  <c r="AB846" i="8"/>
  <c r="AS846" i="8"/>
  <c r="AJ846" i="8" s="1"/>
  <c r="X1030" i="8"/>
  <c r="Z131" i="8"/>
  <c r="AS117" i="8"/>
  <c r="AJ117" i="8" s="1"/>
  <c r="AC117" i="8"/>
  <c r="AB117" i="8"/>
  <c r="AT117" i="8"/>
  <c r="AK117" i="8" s="1"/>
  <c r="AC247" i="8"/>
  <c r="AT247" i="8"/>
  <c r="AK247" i="8" s="1"/>
  <c r="AB247" i="8"/>
  <c r="AS247" i="8"/>
  <c r="AJ247" i="8" s="1"/>
  <c r="AC339" i="8"/>
  <c r="AT339" i="8"/>
  <c r="AK339" i="8" s="1"/>
  <c r="AB339" i="8"/>
  <c r="AS339" i="8"/>
  <c r="AJ339" i="8" s="1"/>
  <c r="AT571" i="8"/>
  <c r="AK571" i="8" s="1"/>
  <c r="AC571" i="8"/>
  <c r="AS571" i="8"/>
  <c r="AJ571" i="8" s="1"/>
  <c r="AA571" i="8" s="1"/>
  <c r="AB571" i="8"/>
  <c r="AT804" i="8"/>
  <c r="AK804" i="8" s="1"/>
  <c r="AB804" i="8"/>
  <c r="AC804" i="8"/>
  <c r="AS804" i="8"/>
  <c r="AJ804" i="8" s="1"/>
  <c r="AA804" i="8" s="1"/>
  <c r="AS1034" i="8"/>
  <c r="AJ1034" i="8" s="1"/>
  <c r="AC1034" i="8"/>
  <c r="AB1034" i="8"/>
  <c r="AT1034" i="8"/>
  <c r="AK1034" i="8" s="1"/>
  <c r="AC1149" i="8"/>
  <c r="AT1149" i="8"/>
  <c r="AK1149" i="8" s="1"/>
  <c r="AB1149" i="8"/>
  <c r="AS1149" i="8"/>
  <c r="AJ1149" i="8" s="1"/>
  <c r="Y95" i="8"/>
  <c r="AS424" i="8"/>
  <c r="AJ424" i="8" s="1"/>
  <c r="AA424" i="8" s="1"/>
  <c r="AC424" i="8"/>
  <c r="AT424" i="8"/>
  <c r="AK424" i="8" s="1"/>
  <c r="AB424" i="8"/>
  <c r="AS787" i="8"/>
  <c r="AJ787" i="8" s="1"/>
  <c r="AA787" i="8" s="1"/>
  <c r="AC787" i="8"/>
  <c r="AB787" i="8"/>
  <c r="AT787" i="8"/>
  <c r="AK787" i="8" s="1"/>
  <c r="AS1155" i="8"/>
  <c r="AJ1155" i="8" s="1"/>
  <c r="AC1155" i="8"/>
  <c r="AB1155" i="8"/>
  <c r="AT1155" i="8"/>
  <c r="AK1155" i="8" s="1"/>
  <c r="AO438" i="8"/>
  <c r="AN438" i="8"/>
  <c r="AM438" i="8"/>
  <c r="AF438" i="8" s="1"/>
  <c r="AL438" i="8"/>
  <c r="AE438" i="8" s="1"/>
  <c r="AO980" i="8"/>
  <c r="AN980" i="8"/>
  <c r="AM980" i="8"/>
  <c r="AF980" i="8" s="1"/>
  <c r="AL980" i="8"/>
  <c r="AE980" i="8" s="1"/>
  <c r="AC186" i="8"/>
  <c r="AB186" i="8"/>
  <c r="AT186" i="8"/>
  <c r="AK186" i="8" s="1"/>
  <c r="AS186" i="8"/>
  <c r="AJ186" i="8" s="1"/>
  <c r="AS960" i="8"/>
  <c r="AJ960" i="8" s="1"/>
  <c r="AA960" i="8" s="1"/>
  <c r="AB960" i="8"/>
  <c r="AT960" i="8"/>
  <c r="AK960" i="8" s="1"/>
  <c r="AC960" i="8"/>
  <c r="AC1121" i="8"/>
  <c r="AT1121" i="8"/>
  <c r="AK1121" i="8" s="1"/>
  <c r="AB1121" i="8"/>
  <c r="AS1121" i="8"/>
  <c r="AJ1121" i="8" s="1"/>
  <c r="AS285" i="8"/>
  <c r="AJ285" i="8" s="1"/>
  <c r="AA285" i="8" s="1"/>
  <c r="AC285" i="8"/>
  <c r="AT285" i="8"/>
  <c r="AK285" i="8" s="1"/>
  <c r="AB285" i="8"/>
  <c r="AB618" i="8"/>
  <c r="AC618" i="8"/>
  <c r="AT618" i="8"/>
  <c r="AK618" i="8" s="1"/>
  <c r="AS618" i="8"/>
  <c r="AJ618" i="8" s="1"/>
  <c r="AC1016" i="8"/>
  <c r="AB1016" i="8"/>
  <c r="AT1016" i="8"/>
  <c r="AK1016" i="8" s="1"/>
  <c r="AS1016" i="8"/>
  <c r="AJ1016" i="8" s="1"/>
  <c r="AA1016" i="8" s="1"/>
  <c r="AT552" i="8"/>
  <c r="AK552" i="8" s="1"/>
  <c r="AC552" i="8"/>
  <c r="AS552" i="8"/>
  <c r="AJ552" i="8" s="1"/>
  <c r="AB552" i="8"/>
  <c r="AB461" i="8"/>
  <c r="AT461" i="8"/>
  <c r="AK461" i="8" s="1"/>
  <c r="AS461" i="8"/>
  <c r="AJ461" i="8" s="1"/>
  <c r="AC461" i="8"/>
  <c r="AT170" i="8"/>
  <c r="AK170" i="8" s="1"/>
  <c r="AC170" i="8"/>
  <c r="AS170" i="8"/>
  <c r="AJ170" i="8" s="1"/>
  <c r="AB170" i="8"/>
  <c r="AN696" i="8"/>
  <c r="AM696" i="8"/>
  <c r="AF696" i="8" s="1"/>
  <c r="AL696" i="8"/>
  <c r="AE696" i="8" s="1"/>
  <c r="AO696" i="8"/>
  <c r="AC114" i="8"/>
  <c r="AT114" i="8"/>
  <c r="AK114" i="8" s="1"/>
  <c r="AS114" i="8"/>
  <c r="AJ114" i="8" s="1"/>
  <c r="AB114" i="8"/>
  <c r="AC778" i="8"/>
  <c r="AT778" i="8"/>
  <c r="AK778" i="8" s="1"/>
  <c r="AB778" i="8"/>
  <c r="AS778" i="8"/>
  <c r="AJ778" i="8" s="1"/>
  <c r="AO961" i="8"/>
  <c r="AN961" i="8"/>
  <c r="AM961" i="8"/>
  <c r="AF961" i="8" s="1"/>
  <c r="AL961" i="8"/>
  <c r="AE961" i="8" s="1"/>
  <c r="W401" i="9"/>
  <c r="W653" i="9"/>
  <c r="Y1185" i="8"/>
  <c r="Y1197" i="8"/>
  <c r="Y1196" i="8"/>
  <c r="Z1146" i="8"/>
  <c r="Y1139" i="8"/>
  <c r="Z1104" i="8"/>
  <c r="Z1186" i="8"/>
  <c r="Y1090" i="8"/>
  <c r="Y1107" i="8"/>
  <c r="Z1048" i="8"/>
  <c r="Z1009" i="8"/>
  <c r="Z976" i="8"/>
  <c r="Y1006" i="8"/>
  <c r="Y932" i="8"/>
  <c r="Z916" i="8"/>
  <c r="Z852" i="8"/>
  <c r="Y876" i="8"/>
  <c r="Y859" i="8"/>
  <c r="Z809" i="8"/>
  <c r="Z784" i="8"/>
  <c r="Y897" i="8"/>
  <c r="Y792" i="8"/>
  <c r="Y711" i="8"/>
  <c r="Y770" i="8"/>
  <c r="Z801" i="8"/>
  <c r="Z648" i="8"/>
  <c r="Z630" i="8"/>
  <c r="Y582" i="8"/>
  <c r="Z523" i="8"/>
  <c r="Y604" i="8"/>
  <c r="Y619" i="8"/>
  <c r="Y450" i="8"/>
  <c r="Y399" i="8"/>
  <c r="Z475" i="8"/>
  <c r="Y508" i="8"/>
  <c r="Y406" i="8"/>
  <c r="Y382" i="8"/>
  <c r="Y264" i="8"/>
  <c r="Y362" i="8"/>
  <c r="Y312" i="8"/>
  <c r="Z285" i="8"/>
  <c r="Z248" i="8"/>
  <c r="Y240" i="8"/>
  <c r="Z222" i="8"/>
  <c r="Z169" i="8"/>
  <c r="Y98" i="8"/>
  <c r="AT180" i="8"/>
  <c r="AK180" i="8" s="1"/>
  <c r="AS180" i="8"/>
  <c r="AJ180" i="8" s="1"/>
  <c r="AC180" i="8"/>
  <c r="AB180" i="8"/>
  <c r="AT295" i="8"/>
  <c r="AK295" i="8" s="1"/>
  <c r="AB295" i="8"/>
  <c r="AS295" i="8"/>
  <c r="AJ295" i="8" s="1"/>
  <c r="AC295" i="8"/>
  <c r="AB387" i="8"/>
  <c r="AT387" i="8"/>
  <c r="AK387" i="8" s="1"/>
  <c r="AS387" i="8"/>
  <c r="AJ387" i="8" s="1"/>
  <c r="AC387" i="8"/>
  <c r="AC806" i="8"/>
  <c r="AT806" i="8"/>
  <c r="AK806" i="8" s="1"/>
  <c r="AS806" i="8"/>
  <c r="AJ806" i="8" s="1"/>
  <c r="AB806" i="8"/>
  <c r="AT967" i="8"/>
  <c r="AK967" i="8" s="1"/>
  <c r="AS967" i="8"/>
  <c r="AJ967" i="8" s="1"/>
  <c r="AC967" i="8"/>
  <c r="AB967" i="8"/>
  <c r="AT1105" i="8"/>
  <c r="AK1105" i="8" s="1"/>
  <c r="AC1105" i="8"/>
  <c r="AS1105" i="8"/>
  <c r="AJ1105" i="8" s="1"/>
  <c r="AB1105" i="8"/>
  <c r="Z153" i="8"/>
  <c r="Y94" i="8"/>
  <c r="Y122" i="8"/>
  <c r="Y81" i="8"/>
  <c r="AC120" i="8"/>
  <c r="AB120" i="8"/>
  <c r="AT120" i="8"/>
  <c r="AK120" i="8" s="1"/>
  <c r="AS120" i="8"/>
  <c r="AJ120" i="8" s="1"/>
  <c r="AO93" i="8"/>
  <c r="AN93" i="8"/>
  <c r="AM93" i="8"/>
  <c r="AF93" i="8" s="1"/>
  <c r="AL93" i="8"/>
  <c r="AE93" i="8" s="1"/>
  <c r="AO473" i="8"/>
  <c r="AN473" i="8"/>
  <c r="AM473" i="8"/>
  <c r="AF473" i="8" s="1"/>
  <c r="AL473" i="8"/>
  <c r="AE473" i="8" s="1"/>
  <c r="AO1056" i="8"/>
  <c r="AN1056" i="8"/>
  <c r="AM1056" i="8"/>
  <c r="AF1056" i="8" s="1"/>
  <c r="AL1056" i="8"/>
  <c r="AE1056" i="8" s="1"/>
  <c r="AO169" i="8"/>
  <c r="AN169" i="8"/>
  <c r="AL169" i="8"/>
  <c r="AE169" i="8" s="1"/>
  <c r="AM169" i="8"/>
  <c r="AF169" i="8" s="1"/>
  <c r="AN716" i="8"/>
  <c r="AM716" i="8"/>
  <c r="AF716" i="8" s="1"/>
  <c r="AL716" i="8"/>
  <c r="AE716" i="8" s="1"/>
  <c r="AO716" i="8"/>
  <c r="AO1048" i="8"/>
  <c r="AN1048" i="8"/>
  <c r="AM1048" i="8"/>
  <c r="AF1048" i="8" s="1"/>
  <c r="AL1048" i="8"/>
  <c r="AE1048" i="8" s="1"/>
  <c r="AT431" i="8"/>
  <c r="AK431" i="8" s="1"/>
  <c r="AS431" i="8"/>
  <c r="AJ431" i="8" s="1"/>
  <c r="AA431" i="8" s="1"/>
  <c r="AC431" i="8"/>
  <c r="AB431" i="8"/>
  <c r="Y46" i="8"/>
  <c r="AC116" i="8"/>
  <c r="AT116" i="8"/>
  <c r="AK116" i="8" s="1"/>
  <c r="AS116" i="8"/>
  <c r="AJ116" i="8" s="1"/>
  <c r="AB116" i="8"/>
  <c r="AB144" i="8"/>
  <c r="AC144" i="8"/>
  <c r="AT144" i="8"/>
  <c r="AK144" i="8" s="1"/>
  <c r="AS144" i="8"/>
  <c r="AJ144" i="8" s="1"/>
  <c r="AS330" i="8"/>
  <c r="AJ330" i="8" s="1"/>
  <c r="AA330" i="8" s="1"/>
  <c r="AC330" i="8"/>
  <c r="AB330" i="8"/>
  <c r="AT330" i="8"/>
  <c r="AK330" i="8" s="1"/>
  <c r="AC422" i="8"/>
  <c r="AT422" i="8"/>
  <c r="AK422" i="8" s="1"/>
  <c r="AB422" i="8"/>
  <c r="AS422" i="8"/>
  <c r="AJ422" i="8" s="1"/>
  <c r="AA422" i="8" s="1"/>
  <c r="AC808" i="8"/>
  <c r="AT808" i="8"/>
  <c r="AK808" i="8" s="1"/>
  <c r="AB808" i="8"/>
  <c r="AS808" i="8"/>
  <c r="AJ808" i="8" s="1"/>
  <c r="AC913" i="8"/>
  <c r="AB913" i="8"/>
  <c r="AT913" i="8"/>
  <c r="AK913" i="8" s="1"/>
  <c r="AS913" i="8"/>
  <c r="AJ913" i="8" s="1"/>
  <c r="AS1120" i="8"/>
  <c r="AJ1120" i="8" s="1"/>
  <c r="AA1120" i="8" s="1"/>
  <c r="AB1120" i="8"/>
  <c r="AT1120" i="8"/>
  <c r="AK1120" i="8" s="1"/>
  <c r="AC1120" i="8"/>
  <c r="AS358" i="8"/>
  <c r="AJ358" i="8" s="1"/>
  <c r="AC358" i="8"/>
  <c r="AB358" i="8"/>
  <c r="AT358" i="8"/>
  <c r="AK358" i="8" s="1"/>
  <c r="AT685" i="8"/>
  <c r="AK685" i="8" s="1"/>
  <c r="AS685" i="8"/>
  <c r="AJ685" i="8" s="1"/>
  <c r="AC685" i="8"/>
  <c r="AB685" i="8"/>
  <c r="AS750" i="8"/>
  <c r="AJ750" i="8" s="1"/>
  <c r="AC750" i="8"/>
  <c r="AB750" i="8"/>
  <c r="AT750" i="8"/>
  <c r="AK750" i="8" s="1"/>
  <c r="AS59" i="8"/>
  <c r="AJ59" i="8" s="1"/>
  <c r="AA59" i="8" s="1"/>
  <c r="AC59" i="8"/>
  <c r="AB59" i="8"/>
  <c r="AT59" i="8"/>
  <c r="AK59" i="8" s="1"/>
  <c r="AS301" i="8"/>
  <c r="AJ301" i="8" s="1"/>
  <c r="AA301" i="8" s="1"/>
  <c r="AC301" i="8"/>
  <c r="AT301" i="8"/>
  <c r="AK301" i="8" s="1"/>
  <c r="AB301" i="8"/>
  <c r="AS398" i="8"/>
  <c r="AJ398" i="8" s="1"/>
  <c r="AC398" i="8"/>
  <c r="AB398" i="8"/>
  <c r="AT398" i="8"/>
  <c r="AK398" i="8" s="1"/>
  <c r="AT574" i="8"/>
  <c r="AK574" i="8" s="1"/>
  <c r="AC574" i="8"/>
  <c r="AS574" i="8"/>
  <c r="AJ574" i="8" s="1"/>
  <c r="AA574" i="8" s="1"/>
  <c r="AB574" i="8"/>
  <c r="AS843" i="8"/>
  <c r="AJ843" i="8" s="1"/>
  <c r="AA843" i="8" s="1"/>
  <c r="AC843" i="8"/>
  <c r="AB843" i="8"/>
  <c r="AT843" i="8"/>
  <c r="AK843" i="8" s="1"/>
  <c r="AS1050" i="8"/>
  <c r="AJ1050" i="8" s="1"/>
  <c r="AA1050" i="8" s="1"/>
  <c r="AC1050" i="8"/>
  <c r="AT1050" i="8"/>
  <c r="AK1050" i="8" s="1"/>
  <c r="AB1050" i="8"/>
  <c r="AT650" i="8"/>
  <c r="AK650" i="8" s="1"/>
  <c r="AC650" i="8"/>
  <c r="AS650" i="8"/>
  <c r="AJ650" i="8" s="1"/>
  <c r="AB650" i="8"/>
  <c r="AS655" i="8"/>
  <c r="AJ655" i="8" s="1"/>
  <c r="AB655" i="8"/>
  <c r="AT655" i="8"/>
  <c r="AK655" i="8" s="1"/>
  <c r="AC655" i="8"/>
  <c r="AO393" i="8"/>
  <c r="AL393" i="8"/>
  <c r="AE393" i="8" s="1"/>
  <c r="AN393" i="8"/>
  <c r="AM393" i="8"/>
  <c r="AF393" i="8" s="1"/>
  <c r="AO1009" i="8"/>
  <c r="AN1009" i="8"/>
  <c r="AM1009" i="8"/>
  <c r="AF1009" i="8" s="1"/>
  <c r="AL1009" i="8"/>
  <c r="AE1009" i="8" s="1"/>
  <c r="AC518" i="8"/>
  <c r="AT518" i="8"/>
  <c r="AK518" i="8" s="1"/>
  <c r="AS518" i="8"/>
  <c r="AJ518" i="8" s="1"/>
  <c r="AB518" i="8"/>
  <c r="AN414" i="8"/>
  <c r="AM414" i="8"/>
  <c r="AF414" i="8" s="1"/>
  <c r="AL414" i="8"/>
  <c r="AE414" i="8" s="1"/>
  <c r="AO414" i="8"/>
  <c r="AL892" i="8"/>
  <c r="AE892" i="8" s="1"/>
  <c r="AN892" i="8"/>
  <c r="AO892" i="8"/>
  <c r="AM892" i="8"/>
  <c r="AF892" i="8" s="1"/>
  <c r="AT81" i="8"/>
  <c r="AK81" i="8" s="1"/>
  <c r="AC81" i="8"/>
  <c r="AS81" i="8"/>
  <c r="AJ81" i="8" s="1"/>
  <c r="AB81" i="8"/>
  <c r="AS998" i="8"/>
  <c r="AJ998" i="8" s="1"/>
  <c r="AC998" i="8"/>
  <c r="AB998" i="8"/>
  <c r="AT998" i="8"/>
  <c r="AK998" i="8" s="1"/>
  <c r="AT1113" i="8"/>
  <c r="AK1113" i="8" s="1"/>
  <c r="AC1113" i="8"/>
  <c r="AS1113" i="8"/>
  <c r="AJ1113" i="8" s="1"/>
  <c r="AA1113" i="8" s="1"/>
  <c r="AB1113" i="8"/>
  <c r="AS862" i="8"/>
  <c r="AJ862" i="8" s="1"/>
  <c r="AA862" i="8" s="1"/>
  <c r="AC862" i="8"/>
  <c r="AT862" i="8"/>
  <c r="AK862" i="8" s="1"/>
  <c r="AB862" i="8"/>
  <c r="AC1092" i="8"/>
  <c r="AB1092" i="8"/>
  <c r="AT1092" i="8"/>
  <c r="AK1092" i="8" s="1"/>
  <c r="AS1092" i="8"/>
  <c r="AJ1092" i="8" s="1"/>
  <c r="AA1092" i="8" s="1"/>
  <c r="Z68" i="8"/>
  <c r="AO175" i="8"/>
  <c r="AM175" i="8"/>
  <c r="AF175" i="8" s="1"/>
  <c r="AL175" i="8"/>
  <c r="AE175" i="8" s="1"/>
  <c r="AN175" i="8"/>
  <c r="AO870" i="8"/>
  <c r="AL870" i="8"/>
  <c r="AE870" i="8" s="1"/>
  <c r="AN870" i="8"/>
  <c r="AM870" i="8"/>
  <c r="AF870" i="8" s="1"/>
  <c r="AM1192" i="8"/>
  <c r="AF1192" i="8" s="1"/>
  <c r="AO1192" i="8"/>
  <c r="AN1192" i="8"/>
  <c r="AL1192" i="8"/>
  <c r="AE1192" i="8" s="1"/>
  <c r="AT714" i="8"/>
  <c r="AK714" i="8" s="1"/>
  <c r="AS714" i="8"/>
  <c r="AJ714" i="8" s="1"/>
  <c r="AC714" i="8"/>
  <c r="AB714" i="8"/>
  <c r="Z151" i="8"/>
  <c r="Z15" i="8"/>
  <c r="AO412" i="8"/>
  <c r="AN412" i="8"/>
  <c r="AM412" i="8"/>
  <c r="AF412" i="8" s="1"/>
  <c r="AL412" i="8"/>
  <c r="AE412" i="8" s="1"/>
  <c r="AL959" i="8"/>
  <c r="AE959" i="8" s="1"/>
  <c r="AO959" i="8"/>
  <c r="AN959" i="8"/>
  <c r="AM959" i="8"/>
  <c r="AF959" i="8" s="1"/>
  <c r="AB133" i="8"/>
  <c r="AS133" i="8"/>
  <c r="AJ133" i="8" s="1"/>
  <c r="AA133" i="8" s="1"/>
  <c r="AC133" i="8"/>
  <c r="AT133" i="8"/>
  <c r="AK133" i="8" s="1"/>
  <c r="AS976" i="8"/>
  <c r="AJ976" i="8" s="1"/>
  <c r="AC976" i="8"/>
  <c r="AT976" i="8"/>
  <c r="AK976" i="8" s="1"/>
  <c r="AB976" i="8"/>
  <c r="X1147" i="8"/>
  <c r="AT710" i="8"/>
  <c r="AK710" i="8" s="1"/>
  <c r="AS710" i="8"/>
  <c r="AJ710" i="8" s="1"/>
  <c r="AC710" i="8"/>
  <c r="AB710" i="8"/>
  <c r="AS213" i="8"/>
  <c r="AJ213" i="8" s="1"/>
  <c r="AA213" i="8" s="1"/>
  <c r="AC213" i="8"/>
  <c r="AT213" i="8"/>
  <c r="AK213" i="8" s="1"/>
  <c r="AB213" i="8"/>
  <c r="AS583" i="8"/>
  <c r="AJ583" i="8" s="1"/>
  <c r="AC583" i="8"/>
  <c r="AB583" i="8"/>
  <c r="AT583" i="8"/>
  <c r="AK583" i="8" s="1"/>
  <c r="AS95" i="8"/>
  <c r="AJ95" i="8" s="1"/>
  <c r="AC95" i="8"/>
  <c r="AB95" i="8"/>
  <c r="AT95" i="8"/>
  <c r="AK95" i="8" s="1"/>
  <c r="AS481" i="8"/>
  <c r="AJ481" i="8" s="1"/>
  <c r="AC481" i="8"/>
  <c r="AT481" i="8"/>
  <c r="AK481" i="8" s="1"/>
  <c r="AB481" i="8"/>
  <c r="AB704" i="8"/>
  <c r="AT704" i="8"/>
  <c r="AK704" i="8" s="1"/>
  <c r="AS704" i="8"/>
  <c r="AJ704" i="8" s="1"/>
  <c r="AC704" i="8"/>
  <c r="AC1156" i="8"/>
  <c r="AB1156" i="8"/>
  <c r="AT1156" i="8"/>
  <c r="AK1156" i="8" s="1"/>
  <c r="AS1156" i="8"/>
  <c r="AJ1156" i="8" s="1"/>
  <c r="AA1156" i="8" s="1"/>
  <c r="X197" i="8"/>
  <c r="AT327" i="8"/>
  <c r="AK327" i="8" s="1"/>
  <c r="AB327" i="8"/>
  <c r="AS327" i="8"/>
  <c r="AJ327" i="8" s="1"/>
  <c r="AC327" i="8"/>
  <c r="AS419" i="8"/>
  <c r="AJ419" i="8" s="1"/>
  <c r="AB419" i="8"/>
  <c r="AC419" i="8"/>
  <c r="AT419" i="8"/>
  <c r="AK419" i="8" s="1"/>
  <c r="AB614" i="8"/>
  <c r="AC614" i="8"/>
  <c r="AT614" i="8"/>
  <c r="AK614" i="8" s="1"/>
  <c r="AS614" i="8"/>
  <c r="AJ614" i="8" s="1"/>
  <c r="AA614" i="8" s="1"/>
  <c r="AT920" i="8"/>
  <c r="AK920" i="8" s="1"/>
  <c r="AS920" i="8"/>
  <c r="AJ920" i="8" s="1"/>
  <c r="AA920" i="8" s="1"/>
  <c r="AC920" i="8"/>
  <c r="AB920" i="8"/>
  <c r="X1117" i="8"/>
  <c r="AO245" i="8"/>
  <c r="AL245" i="8"/>
  <c r="AE245" i="8" s="1"/>
  <c r="AN245" i="8"/>
  <c r="AM245" i="8"/>
  <c r="AF245" i="8" s="1"/>
  <c r="AO797" i="8"/>
  <c r="AN797" i="8"/>
  <c r="AM797" i="8"/>
  <c r="AF797" i="8" s="1"/>
  <c r="AL797" i="8"/>
  <c r="AE797" i="8" s="1"/>
  <c r="AN1165" i="8"/>
  <c r="AM1165" i="8"/>
  <c r="AF1165" i="8" s="1"/>
  <c r="AO1165" i="8"/>
  <c r="AL1165" i="8"/>
  <c r="AE1165" i="8" s="1"/>
  <c r="AB268" i="8"/>
  <c r="AS268" i="8"/>
  <c r="AJ268" i="8" s="1"/>
  <c r="AT268" i="8"/>
  <c r="AK268" i="8" s="1"/>
  <c r="AC268" i="8"/>
  <c r="AT131" i="8"/>
  <c r="AK131" i="8" s="1"/>
  <c r="AS131" i="8"/>
  <c r="AJ131" i="8" s="1"/>
  <c r="AA131" i="8" s="1"/>
  <c r="AC131" i="8"/>
  <c r="AB131" i="8"/>
  <c r="AS882" i="8"/>
  <c r="AJ882" i="8" s="1"/>
  <c r="AA882" i="8" s="1"/>
  <c r="AC882" i="8"/>
  <c r="AT882" i="8"/>
  <c r="AK882" i="8" s="1"/>
  <c r="AB882" i="8"/>
  <c r="X1053" i="8"/>
  <c r="Z132" i="8"/>
  <c r="Z245" i="8"/>
  <c r="AT191" i="8"/>
  <c r="AK191" i="8" s="1"/>
  <c r="AC191" i="8"/>
  <c r="AS191" i="8"/>
  <c r="AJ191" i="8" s="1"/>
  <c r="AA191" i="8" s="1"/>
  <c r="AB191" i="8"/>
  <c r="AS293" i="8"/>
  <c r="AJ293" i="8" s="1"/>
  <c r="AC293" i="8"/>
  <c r="AB293" i="8"/>
  <c r="AT293" i="8"/>
  <c r="AK293" i="8" s="1"/>
  <c r="AT385" i="8"/>
  <c r="AK385" i="8" s="1"/>
  <c r="AS385" i="8"/>
  <c r="AJ385" i="8" s="1"/>
  <c r="AA385" i="8" s="1"/>
  <c r="AC385" i="8"/>
  <c r="AB385" i="8"/>
  <c r="AB522" i="8"/>
  <c r="AS522" i="8"/>
  <c r="AJ522" i="8" s="1"/>
  <c r="AC522" i="8"/>
  <c r="AT522" i="8"/>
  <c r="AK522" i="8" s="1"/>
  <c r="AS781" i="8"/>
  <c r="AJ781" i="8" s="1"/>
  <c r="AC781" i="8"/>
  <c r="AT781" i="8"/>
  <c r="AK781" i="8" s="1"/>
  <c r="AB781" i="8"/>
  <c r="AC1011" i="8"/>
  <c r="AB1011" i="8"/>
  <c r="AT1011" i="8"/>
  <c r="AK1011" i="8" s="1"/>
  <c r="AS1011" i="8"/>
  <c r="AJ1011" i="8" s="1"/>
  <c r="AT1185" i="8"/>
  <c r="AK1185" i="8" s="1"/>
  <c r="AC1185" i="8"/>
  <c r="AS1185" i="8"/>
  <c r="AJ1185" i="8" s="1"/>
  <c r="AB1185" i="8"/>
  <c r="AS18" i="8"/>
  <c r="AJ18" i="8" s="1"/>
  <c r="AC18" i="8"/>
  <c r="AB18" i="8"/>
  <c r="AT18" i="8"/>
  <c r="AK18" i="8" s="1"/>
  <c r="AT452" i="8"/>
  <c r="AK452" i="8" s="1"/>
  <c r="AS452" i="8"/>
  <c r="AJ452" i="8" s="1"/>
  <c r="AC452" i="8"/>
  <c r="AB452" i="8"/>
  <c r="AC731" i="8"/>
  <c r="AB731" i="8"/>
  <c r="AT731" i="8"/>
  <c r="AK731" i="8" s="1"/>
  <c r="AS731" i="8"/>
  <c r="AJ731" i="8" s="1"/>
  <c r="AB1178" i="8"/>
  <c r="AT1178" i="8"/>
  <c r="AK1178" i="8" s="1"/>
  <c r="AC1178" i="8"/>
  <c r="AS1178" i="8"/>
  <c r="AJ1178" i="8" s="1"/>
  <c r="AL466" i="8"/>
  <c r="AE466" i="8" s="1"/>
  <c r="AO466" i="8"/>
  <c r="AN466" i="8"/>
  <c r="AM466" i="8"/>
  <c r="AF466" i="8" s="1"/>
  <c r="AM1003" i="8"/>
  <c r="AF1003" i="8" s="1"/>
  <c r="AO1003" i="8"/>
  <c r="AN1003" i="8"/>
  <c r="AL1003" i="8"/>
  <c r="AE1003" i="8" s="1"/>
  <c r="AT135" i="8"/>
  <c r="AK135" i="8" s="1"/>
  <c r="AS135" i="8"/>
  <c r="AJ135" i="8" s="1"/>
  <c r="AC135" i="8"/>
  <c r="AB135" i="8"/>
  <c r="AT1029" i="8"/>
  <c r="AK1029" i="8" s="1"/>
  <c r="AC1029" i="8"/>
  <c r="AS1029" i="8"/>
  <c r="AJ1029" i="8" s="1"/>
  <c r="AB1029" i="8"/>
  <c r="AT1134" i="8"/>
  <c r="AK1134" i="8" s="1"/>
  <c r="AC1134" i="8"/>
  <c r="AS1134" i="8"/>
  <c r="AJ1134" i="8" s="1"/>
  <c r="AB1134" i="8"/>
  <c r="Y27" i="8"/>
  <c r="AT308" i="8"/>
  <c r="AK308" i="8" s="1"/>
  <c r="AB308" i="8"/>
  <c r="AS308" i="8"/>
  <c r="AJ308" i="8" s="1"/>
  <c r="AA308" i="8" s="1"/>
  <c r="AC308" i="8"/>
  <c r="AT646" i="8"/>
  <c r="AK646" i="8" s="1"/>
  <c r="AB646" i="8"/>
  <c r="AC646" i="8"/>
  <c r="AS646" i="8"/>
  <c r="AJ646" i="8" s="1"/>
  <c r="AT1039" i="8"/>
  <c r="AK1039" i="8" s="1"/>
  <c r="AS1039" i="8"/>
  <c r="AJ1039" i="8" s="1"/>
  <c r="AC1039" i="8"/>
  <c r="AB1039" i="8"/>
  <c r="AT547" i="8"/>
  <c r="AK547" i="8" s="1"/>
  <c r="AC547" i="8"/>
  <c r="AB547" i="8"/>
  <c r="AS547" i="8"/>
  <c r="AJ547" i="8" s="1"/>
  <c r="AC602" i="8"/>
  <c r="AT602" i="8"/>
  <c r="AK602" i="8" s="1"/>
  <c r="AB602" i="8"/>
  <c r="AS602" i="8"/>
  <c r="AJ602" i="8" s="1"/>
  <c r="AS783" i="8"/>
  <c r="AJ783" i="8" s="1"/>
  <c r="AC783" i="8"/>
  <c r="AB783" i="8"/>
  <c r="AT783" i="8"/>
  <c r="AK783" i="8" s="1"/>
  <c r="AT671" i="8"/>
  <c r="AK671" i="8" s="1"/>
  <c r="AC671" i="8"/>
  <c r="AB671" i="8"/>
  <c r="AS671" i="8"/>
  <c r="AJ671" i="8" s="1"/>
  <c r="AT496" i="8"/>
  <c r="AK496" i="8" s="1"/>
  <c r="AC496" i="8"/>
  <c r="AS496" i="8"/>
  <c r="AJ496" i="8" s="1"/>
  <c r="AA496" i="8" s="1"/>
  <c r="AB496" i="8"/>
  <c r="Y949" i="8"/>
  <c r="Z578" i="8"/>
  <c r="Y1124" i="8"/>
  <c r="Z1053" i="8"/>
  <c r="W443" i="9"/>
  <c r="Z1156" i="8"/>
  <c r="W643" i="9"/>
  <c r="W449" i="9"/>
  <c r="W159" i="9"/>
  <c r="Y1181" i="8"/>
  <c r="Z1168" i="8"/>
  <c r="Z1185" i="8"/>
  <c r="Z1184" i="8"/>
  <c r="Y1130" i="8"/>
  <c r="Z1202" i="8"/>
  <c r="Y1088" i="8"/>
  <c r="Y1085" i="8"/>
  <c r="Z1041" i="8"/>
  <c r="Z1042" i="8"/>
  <c r="Y975" i="8"/>
  <c r="Z1027" i="8"/>
  <c r="Z1015" i="8"/>
  <c r="Z1030" i="8"/>
  <c r="Z985" i="8"/>
  <c r="Y952" i="8"/>
  <c r="Y925" i="8"/>
  <c r="Z890" i="8"/>
  <c r="Y834" i="8"/>
  <c r="Z802" i="8"/>
  <c r="Z768" i="8"/>
  <c r="Y809" i="8"/>
  <c r="Z708" i="8"/>
  <c r="Y705" i="8"/>
  <c r="Z670" i="8"/>
  <c r="Y742" i="8"/>
  <c r="Z638" i="8"/>
  <c r="Z654" i="8"/>
  <c r="Z643" i="8"/>
  <c r="Z559" i="8"/>
  <c r="Z527" i="8"/>
  <c r="Z611" i="8"/>
  <c r="Y484" i="8"/>
  <c r="Z494" i="8"/>
  <c r="Z577" i="8"/>
  <c r="Z482" i="8"/>
  <c r="Z520" i="8"/>
  <c r="Z396" i="8"/>
  <c r="Z419" i="8"/>
  <c r="Z433" i="8"/>
  <c r="Z319" i="8"/>
  <c r="Z405" i="8"/>
  <c r="Z401" i="8"/>
  <c r="Y332" i="8"/>
  <c r="Y335" i="8"/>
  <c r="Y357" i="8"/>
  <c r="Y352" i="8"/>
  <c r="Y214" i="8"/>
  <c r="Y155" i="8"/>
  <c r="Y203" i="8"/>
  <c r="Y213" i="8"/>
  <c r="AS193" i="8"/>
  <c r="AJ193" i="8" s="1"/>
  <c r="AA193" i="8" s="1"/>
  <c r="AC193" i="8"/>
  <c r="AB193" i="8"/>
  <c r="AT193" i="8"/>
  <c r="AK193" i="8" s="1"/>
  <c r="AT300" i="8"/>
  <c r="AK300" i="8" s="1"/>
  <c r="AS300" i="8"/>
  <c r="AJ300" i="8" s="1"/>
  <c r="AA300" i="8" s="1"/>
  <c r="AC300" i="8"/>
  <c r="AB300" i="8"/>
  <c r="AT415" i="8"/>
  <c r="AK415" i="8" s="1"/>
  <c r="AB415" i="8"/>
  <c r="AS415" i="8"/>
  <c r="AJ415" i="8" s="1"/>
  <c r="AC415" i="8"/>
  <c r="AS573" i="8"/>
  <c r="AJ573" i="8" s="1"/>
  <c r="AA573" i="8" s="1"/>
  <c r="AC573" i="8"/>
  <c r="AT573" i="8"/>
  <c r="AK573" i="8" s="1"/>
  <c r="AB573" i="8"/>
  <c r="AS888" i="8"/>
  <c r="AJ888" i="8" s="1"/>
  <c r="AC888" i="8"/>
  <c r="AT888" i="8"/>
  <c r="AK888" i="8" s="1"/>
  <c r="AB888" i="8"/>
  <c r="AS1082" i="8"/>
  <c r="AJ1082" i="8" s="1"/>
  <c r="AC1082" i="8"/>
  <c r="AB1082" i="8"/>
  <c r="AT1082" i="8"/>
  <c r="AK1082" i="8" s="1"/>
  <c r="Z138" i="8"/>
  <c r="AT119" i="8"/>
  <c r="AK119" i="8" s="1"/>
  <c r="AS119" i="8"/>
  <c r="AJ119" i="8" s="1"/>
  <c r="AC119" i="8"/>
  <c r="AB119" i="8"/>
  <c r="Y202" i="8"/>
  <c r="AO42" i="8"/>
  <c r="AN42" i="8"/>
  <c r="AM42" i="8"/>
  <c r="AF42" i="8" s="1"/>
  <c r="AL42" i="8"/>
  <c r="AE42" i="8" s="1"/>
  <c r="AO445" i="8"/>
  <c r="AM445" i="8"/>
  <c r="AF445" i="8" s="1"/>
  <c r="AN445" i="8"/>
  <c r="AL445" i="8"/>
  <c r="AE445" i="8" s="1"/>
  <c r="AO1079" i="8"/>
  <c r="AN1079" i="8"/>
  <c r="AM1079" i="8"/>
  <c r="AF1079" i="8" s="1"/>
  <c r="AL1079" i="8"/>
  <c r="AE1079" i="8" s="1"/>
  <c r="AO85" i="8"/>
  <c r="AN85" i="8"/>
  <c r="AM85" i="8"/>
  <c r="AF85" i="8" s="1"/>
  <c r="AL85" i="8"/>
  <c r="AE85" i="8" s="1"/>
  <c r="AO744" i="8"/>
  <c r="AN744" i="8"/>
  <c r="AM744" i="8"/>
  <c r="AF744" i="8" s="1"/>
  <c r="AL744" i="8"/>
  <c r="AE744" i="8" s="1"/>
  <c r="AL1071" i="8"/>
  <c r="AE1071" i="8" s="1"/>
  <c r="AO1071" i="8"/>
  <c r="AN1071" i="8"/>
  <c r="AM1071" i="8"/>
  <c r="AF1071" i="8" s="1"/>
  <c r="AT403" i="8"/>
  <c r="AK403" i="8" s="1"/>
  <c r="AB403" i="8"/>
  <c r="AC403" i="8"/>
  <c r="AS403" i="8"/>
  <c r="AJ403" i="8" s="1"/>
  <c r="AO115" i="8"/>
  <c r="AL115" i="8"/>
  <c r="AE115" i="8" s="1"/>
  <c r="AN115" i="8"/>
  <c r="AM115" i="8"/>
  <c r="AF115" i="8" s="1"/>
  <c r="AB126" i="8"/>
  <c r="AT126" i="8"/>
  <c r="AK126" i="8" s="1"/>
  <c r="AS126" i="8"/>
  <c r="AJ126" i="8" s="1"/>
  <c r="AC126" i="8"/>
  <c r="AT172" i="8"/>
  <c r="AK172" i="8" s="1"/>
  <c r="AC172" i="8"/>
  <c r="AS172" i="8"/>
  <c r="AJ172" i="8" s="1"/>
  <c r="AB172" i="8"/>
  <c r="AS353" i="8"/>
  <c r="AJ353" i="8" s="1"/>
  <c r="AC353" i="8"/>
  <c r="AT353" i="8"/>
  <c r="AK353" i="8" s="1"/>
  <c r="AB353" i="8"/>
  <c r="AT468" i="8"/>
  <c r="AK468" i="8" s="1"/>
  <c r="AS468" i="8"/>
  <c r="AJ468" i="8" s="1"/>
  <c r="AC468" i="8"/>
  <c r="AB468" i="8"/>
  <c r="AT844" i="8"/>
  <c r="AK844" i="8" s="1"/>
  <c r="AB844" i="8"/>
  <c r="AS844" i="8"/>
  <c r="AJ844" i="8" s="1"/>
  <c r="AC844" i="8"/>
  <c r="AS982" i="8"/>
  <c r="AJ982" i="8" s="1"/>
  <c r="AC982" i="8"/>
  <c r="AB982" i="8"/>
  <c r="AT982" i="8"/>
  <c r="AK982" i="8" s="1"/>
  <c r="AS1143" i="8"/>
  <c r="AJ1143" i="8" s="1"/>
  <c r="AC1143" i="8"/>
  <c r="AT1143" i="8"/>
  <c r="AK1143" i="8" s="1"/>
  <c r="AB1143" i="8"/>
  <c r="AC335" i="8"/>
  <c r="AT335" i="8"/>
  <c r="AK335" i="8" s="1"/>
  <c r="AB335" i="8"/>
  <c r="AS335" i="8"/>
  <c r="AJ335" i="8" s="1"/>
  <c r="AS690" i="8"/>
  <c r="AJ690" i="8" s="1"/>
  <c r="AA690" i="8" s="1"/>
  <c r="AC690" i="8"/>
  <c r="AT690" i="8"/>
  <c r="AK690" i="8" s="1"/>
  <c r="AB690" i="8"/>
  <c r="AT651" i="8"/>
  <c r="AK651" i="8" s="1"/>
  <c r="AS651" i="8"/>
  <c r="AJ651" i="8" s="1"/>
  <c r="AC651" i="8"/>
  <c r="AB651" i="8"/>
  <c r="AS181" i="8"/>
  <c r="AJ181" i="8" s="1"/>
  <c r="AC181" i="8"/>
  <c r="AT181" i="8"/>
  <c r="AK181" i="8" s="1"/>
  <c r="AB181" i="8"/>
  <c r="AT324" i="8"/>
  <c r="AK324" i="8" s="1"/>
  <c r="AB324" i="8"/>
  <c r="AS324" i="8"/>
  <c r="AJ324" i="8" s="1"/>
  <c r="AA324" i="8" s="1"/>
  <c r="AC324" i="8"/>
  <c r="AC439" i="8"/>
  <c r="AB439" i="8"/>
  <c r="AT439" i="8"/>
  <c r="AK439" i="8" s="1"/>
  <c r="AS439" i="8"/>
  <c r="AJ439" i="8" s="1"/>
  <c r="AS587" i="8"/>
  <c r="AJ587" i="8" s="1"/>
  <c r="AC587" i="8"/>
  <c r="AB587" i="8"/>
  <c r="AT587" i="8"/>
  <c r="AK587" i="8" s="1"/>
  <c r="AB830" i="8"/>
  <c r="AT830" i="8"/>
  <c r="AK830" i="8" s="1"/>
  <c r="AS830" i="8"/>
  <c r="AJ830" i="8" s="1"/>
  <c r="AC830" i="8"/>
  <c r="AS1027" i="8"/>
  <c r="AJ1027" i="8" s="1"/>
  <c r="AB1027" i="8"/>
  <c r="AT1027" i="8"/>
  <c r="AK1027" i="8" s="1"/>
  <c r="AC1027" i="8"/>
  <c r="AT627" i="8"/>
  <c r="AK627" i="8" s="1"/>
  <c r="AS627" i="8"/>
  <c r="AJ627" i="8" s="1"/>
  <c r="AC627" i="8"/>
  <c r="AB627" i="8"/>
  <c r="AT683" i="8"/>
  <c r="AK683" i="8" s="1"/>
  <c r="AB683" i="8"/>
  <c r="AC683" i="8"/>
  <c r="AS683" i="8"/>
  <c r="AJ683" i="8" s="1"/>
  <c r="X90" i="8"/>
  <c r="AS41" i="8"/>
  <c r="AJ41" i="8" s="1"/>
  <c r="AB41" i="8"/>
  <c r="AC41" i="8"/>
  <c r="AT41" i="8"/>
  <c r="AK41" i="8" s="1"/>
  <c r="AO416" i="8"/>
  <c r="AN416" i="8"/>
  <c r="AM416" i="8"/>
  <c r="AF416" i="8" s="1"/>
  <c r="AL416" i="8"/>
  <c r="AE416" i="8" s="1"/>
  <c r="AO1032" i="8"/>
  <c r="AN1032" i="8"/>
  <c r="AM1032" i="8"/>
  <c r="AF1032" i="8" s="1"/>
  <c r="AL1032" i="8"/>
  <c r="AE1032" i="8" s="1"/>
  <c r="AB483" i="8"/>
  <c r="AT483" i="8"/>
  <c r="AK483" i="8" s="1"/>
  <c r="AS483" i="8"/>
  <c r="AJ483" i="8" s="1"/>
  <c r="AA483" i="8" s="1"/>
  <c r="AC483" i="8"/>
  <c r="AO299" i="8"/>
  <c r="AN299" i="8"/>
  <c r="AL299" i="8"/>
  <c r="AE299" i="8" s="1"/>
  <c r="AM299" i="8"/>
  <c r="AF299" i="8" s="1"/>
  <c r="AO915" i="8"/>
  <c r="AL915" i="8"/>
  <c r="AE915" i="8" s="1"/>
  <c r="AN915" i="8"/>
  <c r="AM915" i="8"/>
  <c r="AF915" i="8" s="1"/>
  <c r="AT160" i="8"/>
  <c r="AK160" i="8" s="1"/>
  <c r="AS160" i="8"/>
  <c r="AJ160" i="8" s="1"/>
  <c r="AB160" i="8"/>
  <c r="AC160" i="8"/>
  <c r="AC893" i="8"/>
  <c r="AB893" i="8"/>
  <c r="AT893" i="8"/>
  <c r="AK893" i="8" s="1"/>
  <c r="AS893" i="8"/>
  <c r="AJ893" i="8" s="1"/>
  <c r="AB1100" i="8"/>
  <c r="AC1100" i="8"/>
  <c r="AT1100" i="8"/>
  <c r="AK1100" i="8" s="1"/>
  <c r="AS1100" i="8"/>
  <c r="AJ1100" i="8" s="1"/>
  <c r="AS839" i="8"/>
  <c r="AJ839" i="8" s="1"/>
  <c r="AC839" i="8"/>
  <c r="AB839" i="8"/>
  <c r="AT839" i="8"/>
  <c r="AK839" i="8" s="1"/>
  <c r="AC1033" i="8"/>
  <c r="AS1033" i="8"/>
  <c r="AJ1033" i="8" s="1"/>
  <c r="AB1033" i="8"/>
  <c r="AT1033" i="8"/>
  <c r="AK1033" i="8" s="1"/>
  <c r="AO221" i="8"/>
  <c r="AM221" i="8"/>
  <c r="AF221" i="8" s="1"/>
  <c r="AL221" i="8"/>
  <c r="AE221" i="8" s="1"/>
  <c r="AN221" i="8"/>
  <c r="AM829" i="8"/>
  <c r="AF829" i="8" s="1"/>
  <c r="AO829" i="8"/>
  <c r="AN829" i="8"/>
  <c r="AL829" i="8"/>
  <c r="AE829" i="8" s="1"/>
  <c r="AT548" i="8"/>
  <c r="AK548" i="8" s="1"/>
  <c r="AC548" i="8"/>
  <c r="AS548" i="8"/>
  <c r="AJ548" i="8" s="1"/>
  <c r="AB548" i="8"/>
  <c r="AB742" i="8"/>
  <c r="AC742" i="8"/>
  <c r="AT742" i="8"/>
  <c r="AK742" i="8" s="1"/>
  <c r="AS742" i="8"/>
  <c r="AJ742" i="8" s="1"/>
  <c r="AA742" i="8" s="1"/>
  <c r="X146" i="8"/>
  <c r="Z50" i="8"/>
  <c r="AT7" i="8"/>
  <c r="AK7" i="8" s="1"/>
  <c r="AC7" i="8"/>
  <c r="AS7" i="8"/>
  <c r="AJ7" i="8" s="1"/>
  <c r="AB7" i="8"/>
  <c r="AL440" i="8"/>
  <c r="AE440" i="8" s="1"/>
  <c r="AN440" i="8"/>
  <c r="AO440" i="8"/>
  <c r="AM440" i="8"/>
  <c r="AF440" i="8" s="1"/>
  <c r="AM982" i="8"/>
  <c r="AF982" i="8" s="1"/>
  <c r="AO982" i="8"/>
  <c r="AN982" i="8"/>
  <c r="AL982" i="8"/>
  <c r="AE982" i="8" s="1"/>
  <c r="AS161" i="8"/>
  <c r="AJ161" i="8" s="1"/>
  <c r="AA161" i="8" s="1"/>
  <c r="AC161" i="8"/>
  <c r="AT161" i="8"/>
  <c r="AK161" i="8" s="1"/>
  <c r="AB161" i="8"/>
  <c r="X940" i="8"/>
  <c r="X1101" i="8"/>
  <c r="AT766" i="8"/>
  <c r="AK766" i="8" s="1"/>
  <c r="AS766" i="8"/>
  <c r="AJ766" i="8" s="1"/>
  <c r="AC766" i="8"/>
  <c r="AB766" i="8"/>
  <c r="AT236" i="8"/>
  <c r="AK236" i="8" s="1"/>
  <c r="AB236" i="8"/>
  <c r="AS236" i="8"/>
  <c r="AJ236" i="8" s="1"/>
  <c r="AC236" i="8"/>
  <c r="AT570" i="8"/>
  <c r="AK570" i="8" s="1"/>
  <c r="AC570" i="8"/>
  <c r="AS570" i="8"/>
  <c r="AJ570" i="8" s="1"/>
  <c r="AB570" i="8"/>
  <c r="AS82" i="8"/>
  <c r="AJ82" i="8" s="1"/>
  <c r="AB82" i="8"/>
  <c r="AC82" i="8"/>
  <c r="AT82" i="8"/>
  <c r="AK82" i="8" s="1"/>
  <c r="AT402" i="8"/>
  <c r="AK402" i="8" s="1"/>
  <c r="AS402" i="8"/>
  <c r="AJ402" i="8" s="1"/>
  <c r="AC402" i="8"/>
  <c r="AB402" i="8"/>
  <c r="AB760" i="8"/>
  <c r="AC760" i="8"/>
  <c r="AT760" i="8"/>
  <c r="AK760" i="8" s="1"/>
  <c r="AS760" i="8"/>
  <c r="AJ760" i="8" s="1"/>
  <c r="AT1110" i="8"/>
  <c r="AK1110" i="8" s="1"/>
  <c r="AC1110" i="8"/>
  <c r="AS1110" i="8"/>
  <c r="AJ1110" i="8" s="1"/>
  <c r="AB1110" i="8"/>
  <c r="X174" i="8"/>
  <c r="X322" i="8"/>
  <c r="AC465" i="8"/>
  <c r="AB465" i="8"/>
  <c r="AT465" i="8"/>
  <c r="AK465" i="8" s="1"/>
  <c r="AS465" i="8"/>
  <c r="AJ465" i="8" s="1"/>
  <c r="AT642" i="8"/>
  <c r="AK642" i="8" s="1"/>
  <c r="AB642" i="8"/>
  <c r="AC642" i="8"/>
  <c r="AS642" i="8"/>
  <c r="AJ642" i="8" s="1"/>
  <c r="AS956" i="8"/>
  <c r="AJ956" i="8" s="1"/>
  <c r="AA956" i="8" s="1"/>
  <c r="AB956" i="8"/>
  <c r="AC956" i="8"/>
  <c r="AT956" i="8"/>
  <c r="AK956" i="8" s="1"/>
  <c r="AS1127" i="8"/>
  <c r="AJ1127" i="8" s="1"/>
  <c r="AA1127" i="8" s="1"/>
  <c r="AC1127" i="8"/>
  <c r="AB1127" i="8"/>
  <c r="AT1127" i="8"/>
  <c r="AK1127" i="8" s="1"/>
  <c r="AO273" i="8"/>
  <c r="AM273" i="8"/>
  <c r="AF273" i="8" s="1"/>
  <c r="AN273" i="8"/>
  <c r="AL273" i="8"/>
  <c r="AE273" i="8" s="1"/>
  <c r="AO774" i="8"/>
  <c r="AN774" i="8"/>
  <c r="AM774" i="8"/>
  <c r="AF774" i="8" s="1"/>
  <c r="AL774" i="8"/>
  <c r="AE774" i="8" s="1"/>
  <c r="AO1188" i="8"/>
  <c r="AN1188" i="8"/>
  <c r="AM1188" i="8"/>
  <c r="AF1188" i="8" s="1"/>
  <c r="AL1188" i="8"/>
  <c r="AE1188" i="8" s="1"/>
  <c r="AC263" i="8"/>
  <c r="AT263" i="8"/>
  <c r="AK263" i="8" s="1"/>
  <c r="AB263" i="8"/>
  <c r="AS263" i="8"/>
  <c r="AJ263" i="8" s="1"/>
  <c r="AT159" i="8"/>
  <c r="AK159" i="8" s="1"/>
  <c r="AC159" i="8"/>
  <c r="AS159" i="8"/>
  <c r="AJ159" i="8" s="1"/>
  <c r="AB159" i="8"/>
  <c r="X892" i="8"/>
  <c r="X1076" i="8"/>
  <c r="Z193" i="8"/>
  <c r="Z234" i="8"/>
  <c r="AC33" i="8"/>
  <c r="AT33" i="8"/>
  <c r="AK33" i="8" s="1"/>
  <c r="AB33" i="8"/>
  <c r="AS33" i="8"/>
  <c r="AJ33" i="8" s="1"/>
  <c r="AT418" i="8"/>
  <c r="AK418" i="8" s="1"/>
  <c r="AC418" i="8"/>
  <c r="AS418" i="8"/>
  <c r="AJ418" i="8" s="1"/>
  <c r="AB418" i="8"/>
  <c r="AS436" i="8"/>
  <c r="AJ436" i="8" s="1"/>
  <c r="AA436" i="8" s="1"/>
  <c r="AC436" i="8"/>
  <c r="AB436" i="8"/>
  <c r="AT436" i="8"/>
  <c r="AK436" i="8" s="1"/>
  <c r="AS605" i="8"/>
  <c r="AJ605" i="8" s="1"/>
  <c r="AC605" i="8"/>
  <c r="AB605" i="8"/>
  <c r="AT605" i="8"/>
  <c r="AK605" i="8" s="1"/>
  <c r="AS850" i="8"/>
  <c r="AJ850" i="8" s="1"/>
  <c r="AA850" i="8" s="1"/>
  <c r="AC850" i="8"/>
  <c r="AB850" i="8"/>
  <c r="AT850" i="8"/>
  <c r="AK850" i="8" s="1"/>
  <c r="AS1070" i="8"/>
  <c r="AJ1070" i="8" s="1"/>
  <c r="AA1070" i="8" s="1"/>
  <c r="AC1070" i="8"/>
  <c r="AT1070" i="8"/>
  <c r="AK1070" i="8" s="1"/>
  <c r="AB1070" i="8"/>
  <c r="X58" i="8"/>
  <c r="X13" i="8"/>
  <c r="X35" i="8"/>
  <c r="Y130" i="8"/>
  <c r="AS100" i="8"/>
  <c r="AJ100" i="8" s="1"/>
  <c r="AC100" i="8"/>
  <c r="AB100" i="8"/>
  <c r="AT100" i="8"/>
  <c r="AK100" i="8" s="1"/>
  <c r="AT480" i="8"/>
  <c r="AK480" i="8" s="1"/>
  <c r="AS480" i="8"/>
  <c r="AJ480" i="8" s="1"/>
  <c r="AC480" i="8"/>
  <c r="AB480" i="8"/>
  <c r="AB759" i="8"/>
  <c r="AT759" i="8"/>
  <c r="AK759" i="8" s="1"/>
  <c r="AS759" i="8"/>
  <c r="AJ759" i="8" s="1"/>
  <c r="AC759" i="8"/>
  <c r="AS1201" i="8"/>
  <c r="AJ1201" i="8" s="1"/>
  <c r="AA1201" i="8" s="1"/>
  <c r="AC1201" i="8"/>
  <c r="AB1201" i="8"/>
  <c r="AT1201" i="8"/>
  <c r="AK1201" i="8" s="1"/>
  <c r="AO689" i="8"/>
  <c r="AM689" i="8"/>
  <c r="AF689" i="8" s="1"/>
  <c r="AL689" i="8"/>
  <c r="AE689" i="8" s="1"/>
  <c r="AN689" i="8"/>
  <c r="AM1026" i="8"/>
  <c r="AF1026" i="8" s="1"/>
  <c r="AL1026" i="8"/>
  <c r="AE1026" i="8" s="1"/>
  <c r="AO1026" i="8"/>
  <c r="AN1026" i="8"/>
  <c r="AS158" i="8"/>
  <c r="AJ158" i="8" s="1"/>
  <c r="AA158" i="8" s="1"/>
  <c r="AB158" i="8"/>
  <c r="AT158" i="8"/>
  <c r="AK158" i="8" s="1"/>
  <c r="AC158" i="8"/>
  <c r="AS950" i="8"/>
  <c r="AJ950" i="8" s="1"/>
  <c r="AA950" i="8" s="1"/>
  <c r="AC950" i="8"/>
  <c r="AB950" i="8"/>
  <c r="AT950" i="8"/>
  <c r="AK950" i="8" s="1"/>
  <c r="AB1180" i="8"/>
  <c r="AC1180" i="8"/>
  <c r="AT1180" i="8"/>
  <c r="AK1180" i="8" s="1"/>
  <c r="AS1180" i="8"/>
  <c r="AJ1180" i="8" s="1"/>
  <c r="AA1180" i="8" s="1"/>
  <c r="Y78" i="8"/>
  <c r="AS354" i="8"/>
  <c r="AJ354" i="8" s="1"/>
  <c r="AA354" i="8" s="1"/>
  <c r="AC354" i="8"/>
  <c r="AB354" i="8"/>
  <c r="AT354" i="8"/>
  <c r="AK354" i="8" s="1"/>
  <c r="AC674" i="8"/>
  <c r="AB674" i="8"/>
  <c r="AT674" i="8"/>
  <c r="AK674" i="8" s="1"/>
  <c r="AS674" i="8"/>
  <c r="AJ674" i="8" s="1"/>
  <c r="AA674" i="8" s="1"/>
  <c r="AS1062" i="8"/>
  <c r="AJ1062" i="8" s="1"/>
  <c r="AC1062" i="8"/>
  <c r="AB1062" i="8"/>
  <c r="AT1062" i="8"/>
  <c r="AK1062" i="8" s="1"/>
  <c r="AC211" i="8"/>
  <c r="AT211" i="8"/>
  <c r="AK211" i="8" s="1"/>
  <c r="AB211" i="8"/>
  <c r="AS211" i="8"/>
  <c r="AJ211" i="8" s="1"/>
  <c r="AT568" i="8"/>
  <c r="AK568" i="8" s="1"/>
  <c r="AC568" i="8"/>
  <c r="AS568" i="8"/>
  <c r="AJ568" i="8" s="1"/>
  <c r="AB568" i="8"/>
  <c r="AT397" i="8"/>
  <c r="AK397" i="8" s="1"/>
  <c r="AS397" i="8"/>
  <c r="AJ397" i="8" s="1"/>
  <c r="AC397" i="8"/>
  <c r="AB397" i="8"/>
  <c r="AS209" i="8"/>
  <c r="AJ209" i="8" s="1"/>
  <c r="AC209" i="8"/>
  <c r="AT209" i="8"/>
  <c r="AK209" i="8" s="1"/>
  <c r="AB209" i="8"/>
  <c r="AT389" i="8"/>
  <c r="AK389" i="8" s="1"/>
  <c r="AS389" i="8"/>
  <c r="AJ389" i="8" s="1"/>
  <c r="AC389" i="8"/>
  <c r="AB389" i="8"/>
  <c r="AS83" i="8"/>
  <c r="AJ83" i="8" s="1"/>
  <c r="AA83" i="8" s="1"/>
  <c r="AC83" i="8"/>
  <c r="AT83" i="8"/>
  <c r="AK83" i="8" s="1"/>
  <c r="AB83" i="8"/>
  <c r="Y1034" i="8"/>
  <c r="Z1201" i="8"/>
  <c r="Z1176" i="8"/>
  <c r="Y1153" i="8"/>
  <c r="Z1165" i="8"/>
  <c r="Z1108" i="8"/>
  <c r="Y1105" i="8"/>
  <c r="Y1041" i="8"/>
  <c r="Y1086" i="8"/>
  <c r="Y992" i="8"/>
  <c r="Z992" i="8"/>
  <c r="Y1018" i="8"/>
  <c r="Z968" i="8"/>
  <c r="Y937" i="8"/>
  <c r="Z896" i="8"/>
  <c r="Y812" i="8"/>
  <c r="Z786" i="8"/>
  <c r="Z798" i="8"/>
  <c r="Y707" i="8"/>
  <c r="Y701" i="8"/>
  <c r="Z698" i="8"/>
  <c r="Z668" i="8"/>
  <c r="Z672" i="8"/>
  <c r="Z692" i="8"/>
  <c r="Y804" i="8"/>
  <c r="Z626" i="8"/>
  <c r="Z642" i="8"/>
  <c r="Y553" i="8"/>
  <c r="Z571" i="8"/>
  <c r="Z478" i="8"/>
  <c r="Z529" i="8"/>
  <c r="Y395" i="8"/>
  <c r="Y359" i="8"/>
  <c r="Z343" i="8"/>
  <c r="Z276" i="8"/>
  <c r="Y254" i="8"/>
  <c r="Z350" i="8"/>
  <c r="Z264" i="8"/>
  <c r="AS198" i="8"/>
  <c r="AJ198" i="8" s="1"/>
  <c r="AC198" i="8"/>
  <c r="AB198" i="8"/>
  <c r="AT198" i="8"/>
  <c r="AK198" i="8" s="1"/>
  <c r="AS369" i="8"/>
  <c r="AJ369" i="8" s="1"/>
  <c r="AA369" i="8" s="1"/>
  <c r="AC369" i="8"/>
  <c r="AB369" i="8"/>
  <c r="AT369" i="8"/>
  <c r="AK369" i="8" s="1"/>
  <c r="AT438" i="8"/>
  <c r="AK438" i="8" s="1"/>
  <c r="AC438" i="8"/>
  <c r="AB438" i="8"/>
  <c r="AS438" i="8"/>
  <c r="AJ438" i="8" s="1"/>
  <c r="AC727" i="8"/>
  <c r="AS727" i="8"/>
  <c r="AJ727" i="8" s="1"/>
  <c r="AT727" i="8"/>
  <c r="AK727" i="8" s="1"/>
  <c r="AB727" i="8"/>
  <c r="AB934" i="8"/>
  <c r="AC934" i="8"/>
  <c r="AS934" i="8"/>
  <c r="AJ934" i="8" s="1"/>
  <c r="AT934" i="8"/>
  <c r="AK934" i="8" s="1"/>
  <c r="AS1118" i="8"/>
  <c r="AJ1118" i="8" s="1"/>
  <c r="AA1118" i="8" s="1"/>
  <c r="AC1118" i="8"/>
  <c r="AT1118" i="8"/>
  <c r="AK1118" i="8" s="1"/>
  <c r="AB1118" i="8"/>
  <c r="AT45" i="8"/>
  <c r="AK45" i="8" s="1"/>
  <c r="AS45" i="8"/>
  <c r="AJ45" i="8" s="1"/>
  <c r="AC45" i="8"/>
  <c r="AB45" i="8"/>
  <c r="Z157" i="8"/>
  <c r="Y186" i="8"/>
  <c r="Z214" i="8"/>
  <c r="AO65" i="8"/>
  <c r="AN65" i="8"/>
  <c r="AM65" i="8"/>
  <c r="AF65" i="8" s="1"/>
  <c r="AL65" i="8"/>
  <c r="AE65" i="8" s="1"/>
  <c r="AO752" i="8"/>
  <c r="AN752" i="8"/>
  <c r="AM752" i="8"/>
  <c r="AF752" i="8" s="1"/>
  <c r="AL752" i="8"/>
  <c r="AE752" i="8" s="1"/>
  <c r="AO1102" i="8"/>
  <c r="AN1102" i="8"/>
  <c r="AL1102" i="8"/>
  <c r="AE1102" i="8" s="1"/>
  <c r="AM1102" i="8"/>
  <c r="AF1102" i="8" s="1"/>
  <c r="AN141" i="8"/>
  <c r="AM141" i="8"/>
  <c r="AF141" i="8" s="1"/>
  <c r="AL141" i="8"/>
  <c r="AE141" i="8" s="1"/>
  <c r="AO141" i="8"/>
  <c r="AO800" i="8"/>
  <c r="AN800" i="8"/>
  <c r="AM800" i="8"/>
  <c r="AF800" i="8" s="1"/>
  <c r="AL800" i="8"/>
  <c r="AE800" i="8" s="1"/>
  <c r="AN1094" i="8"/>
  <c r="AO1094" i="8"/>
  <c r="AM1094" i="8"/>
  <c r="AF1094" i="8" s="1"/>
  <c r="AL1094" i="8"/>
  <c r="AE1094" i="8" s="1"/>
  <c r="AN14" i="8"/>
  <c r="AL14" i="8"/>
  <c r="AE14" i="8" s="1"/>
  <c r="AO14" i="8"/>
  <c r="AM14" i="8"/>
  <c r="AF14" i="8" s="1"/>
  <c r="AT566" i="8"/>
  <c r="AK566" i="8" s="1"/>
  <c r="AS566" i="8"/>
  <c r="AJ566" i="8" s="1"/>
  <c r="AC566" i="8"/>
  <c r="AB566" i="8"/>
  <c r="AS70" i="8"/>
  <c r="AJ70" i="8" s="1"/>
  <c r="AB70" i="8"/>
  <c r="AC70" i="8"/>
  <c r="AT70" i="8"/>
  <c r="AK70" i="8" s="1"/>
  <c r="AS228" i="8"/>
  <c r="AJ228" i="8" s="1"/>
  <c r="AT228" i="8"/>
  <c r="AK228" i="8" s="1"/>
  <c r="AC228" i="8"/>
  <c r="AB228" i="8"/>
  <c r="AT307" i="8"/>
  <c r="AK307" i="8" s="1"/>
  <c r="AS307" i="8"/>
  <c r="AJ307" i="8" s="1"/>
  <c r="AC307" i="8"/>
  <c r="AB307" i="8"/>
  <c r="AC516" i="8"/>
  <c r="AS516" i="8"/>
  <c r="AJ516" i="8" s="1"/>
  <c r="AT516" i="8"/>
  <c r="AK516" i="8" s="1"/>
  <c r="AB516" i="8"/>
  <c r="AS729" i="8"/>
  <c r="AJ729" i="8" s="1"/>
  <c r="AC729" i="8"/>
  <c r="AT729" i="8"/>
  <c r="AK729" i="8" s="1"/>
  <c r="AB729" i="8"/>
  <c r="AT992" i="8"/>
  <c r="AK992" i="8" s="1"/>
  <c r="AS992" i="8"/>
  <c r="AJ992" i="8" s="1"/>
  <c r="AA992" i="8" s="1"/>
  <c r="AC992" i="8"/>
  <c r="AB992" i="8"/>
  <c r="AB1166" i="8"/>
  <c r="AC1166" i="8"/>
  <c r="AT1166" i="8"/>
  <c r="AK1166" i="8" s="1"/>
  <c r="AS1166" i="8"/>
  <c r="AJ1166" i="8" s="1"/>
  <c r="AA1166" i="8" s="1"/>
  <c r="AT460" i="8"/>
  <c r="AK460" i="8" s="1"/>
  <c r="AS460" i="8"/>
  <c r="AJ460" i="8" s="1"/>
  <c r="AC460" i="8"/>
  <c r="AB460" i="8"/>
  <c r="AT718" i="8"/>
  <c r="AK718" i="8" s="1"/>
  <c r="AS718" i="8"/>
  <c r="AJ718" i="8" s="1"/>
  <c r="AC718" i="8"/>
  <c r="AB718" i="8"/>
  <c r="AB656" i="8"/>
  <c r="AT656" i="8"/>
  <c r="AK656" i="8" s="1"/>
  <c r="AC656" i="8"/>
  <c r="AS656" i="8"/>
  <c r="AJ656" i="8" s="1"/>
  <c r="AT679" i="8"/>
  <c r="AK679" i="8" s="1"/>
  <c r="AB679" i="8"/>
  <c r="AC679" i="8"/>
  <c r="AS679" i="8"/>
  <c r="AJ679" i="8" s="1"/>
  <c r="AS204" i="8"/>
  <c r="AJ204" i="8" s="1"/>
  <c r="AB204" i="8"/>
  <c r="AT204" i="8"/>
  <c r="AK204" i="8" s="1"/>
  <c r="AC204" i="8"/>
  <c r="AS352" i="8"/>
  <c r="AJ352" i="8" s="1"/>
  <c r="AB352" i="8"/>
  <c r="AT352" i="8"/>
  <c r="AK352" i="8" s="1"/>
  <c r="AC352" i="8"/>
  <c r="AC449" i="8"/>
  <c r="AB449" i="8"/>
  <c r="AS449" i="8"/>
  <c r="AJ449" i="8" s="1"/>
  <c r="AT449" i="8"/>
  <c r="AK449" i="8" s="1"/>
  <c r="AC556" i="8"/>
  <c r="AB556" i="8"/>
  <c r="AT556" i="8"/>
  <c r="AK556" i="8" s="1"/>
  <c r="AS556" i="8"/>
  <c r="AJ556" i="8" s="1"/>
  <c r="AA556" i="8" s="1"/>
  <c r="AT912" i="8"/>
  <c r="AK912" i="8" s="1"/>
  <c r="AS912" i="8"/>
  <c r="AJ912" i="8" s="1"/>
  <c r="AC912" i="8"/>
  <c r="AB912" i="8"/>
  <c r="AS1037" i="8"/>
  <c r="AJ1037" i="8" s="1"/>
  <c r="AB1037" i="8"/>
  <c r="AT1037" i="8"/>
  <c r="AK1037" i="8" s="1"/>
  <c r="AC1037" i="8"/>
  <c r="AB660" i="8"/>
  <c r="AT660" i="8"/>
  <c r="AK660" i="8" s="1"/>
  <c r="AC660" i="8"/>
  <c r="AS660" i="8"/>
  <c r="AJ660" i="8" s="1"/>
  <c r="AT711" i="8"/>
  <c r="AK711" i="8" s="1"/>
  <c r="AB711" i="8"/>
  <c r="AS711" i="8"/>
  <c r="AJ711" i="8" s="1"/>
  <c r="AC711" i="8"/>
  <c r="AS21" i="8"/>
  <c r="AJ21" i="8" s="1"/>
  <c r="AC21" i="8"/>
  <c r="AT21" i="8"/>
  <c r="AK21" i="8" s="1"/>
  <c r="AB21" i="8"/>
  <c r="AS43" i="8"/>
  <c r="AJ43" i="8" s="1"/>
  <c r="AC43" i="8"/>
  <c r="AT43" i="8"/>
  <c r="AK43" i="8" s="1"/>
  <c r="AB43" i="8"/>
  <c r="AL444" i="8"/>
  <c r="AE444" i="8" s="1"/>
  <c r="AO444" i="8"/>
  <c r="AN444" i="8"/>
  <c r="AM444" i="8"/>
  <c r="AF444" i="8" s="1"/>
  <c r="AO1055" i="8"/>
  <c r="AN1055" i="8"/>
  <c r="AM1055" i="8"/>
  <c r="AF1055" i="8" s="1"/>
  <c r="AL1055" i="8"/>
  <c r="AE1055" i="8" s="1"/>
  <c r="AC498" i="8"/>
  <c r="AB498" i="8"/>
  <c r="AT498" i="8"/>
  <c r="AK498" i="8" s="1"/>
  <c r="AS498" i="8"/>
  <c r="AJ498" i="8" s="1"/>
  <c r="AO248" i="8"/>
  <c r="AN248" i="8"/>
  <c r="AM248" i="8"/>
  <c r="AF248" i="8" s="1"/>
  <c r="AL248" i="8"/>
  <c r="AE248" i="8" s="1"/>
  <c r="AO869" i="8"/>
  <c r="AN869" i="8"/>
  <c r="AM869" i="8"/>
  <c r="AF869" i="8" s="1"/>
  <c r="AL869" i="8"/>
  <c r="AE869" i="8" s="1"/>
  <c r="AB137" i="8"/>
  <c r="AS137" i="8"/>
  <c r="AJ137" i="8" s="1"/>
  <c r="AC137" i="8"/>
  <c r="AT137" i="8"/>
  <c r="AK137" i="8" s="1"/>
  <c r="AB975" i="8"/>
  <c r="AT975" i="8"/>
  <c r="AK975" i="8" s="1"/>
  <c r="AS975" i="8"/>
  <c r="AJ975" i="8" s="1"/>
  <c r="AA975" i="8" s="1"/>
  <c r="AC975" i="8"/>
  <c r="AT1192" i="8"/>
  <c r="AK1192" i="8" s="1"/>
  <c r="AC1192" i="8"/>
  <c r="AS1192" i="8"/>
  <c r="AJ1192" i="8" s="1"/>
  <c r="AB1192" i="8"/>
  <c r="AT885" i="8"/>
  <c r="AK885" i="8" s="1"/>
  <c r="AS885" i="8"/>
  <c r="AJ885" i="8" s="1"/>
  <c r="AA885" i="8" s="1"/>
  <c r="AC885" i="8"/>
  <c r="AB885" i="8"/>
  <c r="AT1056" i="8"/>
  <c r="AK1056" i="8" s="1"/>
  <c r="AC1056" i="8"/>
  <c r="AS1056" i="8"/>
  <c r="AJ1056" i="8" s="1"/>
  <c r="AB1056" i="8"/>
  <c r="AO249" i="8"/>
  <c r="AN249" i="8"/>
  <c r="AM249" i="8"/>
  <c r="AF249" i="8" s="1"/>
  <c r="AL249" i="8"/>
  <c r="AE249" i="8" s="1"/>
  <c r="AO806" i="8"/>
  <c r="AN806" i="8"/>
  <c r="AM806" i="8"/>
  <c r="AF806" i="8" s="1"/>
  <c r="AL806" i="8"/>
  <c r="AE806" i="8" s="1"/>
  <c r="AS487" i="8"/>
  <c r="AT487" i="8"/>
  <c r="Y144" i="8"/>
  <c r="AT709" i="8"/>
  <c r="AK709" i="8" s="1"/>
  <c r="AB709" i="8"/>
  <c r="AC709" i="8"/>
  <c r="AS709" i="8"/>
  <c r="AJ709" i="8" s="1"/>
  <c r="AO142" i="8"/>
  <c r="AN142" i="8"/>
  <c r="AM142" i="8"/>
  <c r="AF142" i="8" s="1"/>
  <c r="AL142" i="8"/>
  <c r="AE142" i="8" s="1"/>
  <c r="AM37" i="8"/>
  <c r="AF37" i="8" s="1"/>
  <c r="AO37" i="8"/>
  <c r="AN37" i="8"/>
  <c r="AL37" i="8"/>
  <c r="AE37" i="8" s="1"/>
  <c r="AM468" i="8"/>
  <c r="AF468" i="8" s="1"/>
  <c r="AL468" i="8"/>
  <c r="AE468" i="8" s="1"/>
  <c r="AO468" i="8"/>
  <c r="AN468" i="8"/>
  <c r="AO1005" i="8"/>
  <c r="AN1005" i="8"/>
  <c r="AM1005" i="8"/>
  <c r="AF1005" i="8" s="1"/>
  <c r="AL1005" i="8"/>
  <c r="AE1005" i="8" s="1"/>
  <c r="AS166" i="8"/>
  <c r="AJ166" i="8" s="1"/>
  <c r="AB166" i="8"/>
  <c r="AC166" i="8"/>
  <c r="AT166" i="8"/>
  <c r="AK166" i="8" s="1"/>
  <c r="X917" i="8"/>
  <c r="AT1137" i="8"/>
  <c r="AK1137" i="8" s="1"/>
  <c r="AC1137" i="8"/>
  <c r="AS1137" i="8"/>
  <c r="AJ1137" i="8" s="1"/>
  <c r="AB1137" i="8"/>
  <c r="AT705" i="8"/>
  <c r="AK705" i="8" s="1"/>
  <c r="AB705" i="8"/>
  <c r="AC705" i="8"/>
  <c r="AS705" i="8"/>
  <c r="AJ705" i="8" s="1"/>
  <c r="Z136" i="8"/>
  <c r="AS241" i="8"/>
  <c r="AJ241" i="8" s="1"/>
  <c r="AC241" i="8"/>
  <c r="AT241" i="8"/>
  <c r="AK241" i="8" s="1"/>
  <c r="AB241" i="8"/>
  <c r="AC425" i="8"/>
  <c r="AB425" i="8"/>
  <c r="AT425" i="8"/>
  <c r="AK425" i="8" s="1"/>
  <c r="AS425" i="8"/>
  <c r="AJ425" i="8" s="1"/>
  <c r="AT788" i="8"/>
  <c r="AK788" i="8" s="1"/>
  <c r="AB788" i="8"/>
  <c r="AC788" i="8"/>
  <c r="AS788" i="8"/>
  <c r="AJ788" i="8" s="1"/>
  <c r="AS1133" i="8"/>
  <c r="AJ1133" i="8" s="1"/>
  <c r="AB1133" i="8"/>
  <c r="AT1133" i="8"/>
  <c r="AK1133" i="8" s="1"/>
  <c r="AC1133" i="8"/>
  <c r="AS179" i="8"/>
  <c r="AJ179" i="8" s="1"/>
  <c r="AB179" i="8"/>
  <c r="AT179" i="8"/>
  <c r="AK179" i="8" s="1"/>
  <c r="AC179" i="8"/>
  <c r="X345" i="8"/>
  <c r="AC363" i="8"/>
  <c r="AB363" i="8"/>
  <c r="AS363" i="8"/>
  <c r="AJ363" i="8" s="1"/>
  <c r="AT363" i="8"/>
  <c r="AK363" i="8" s="1"/>
  <c r="AS698" i="8"/>
  <c r="AJ698" i="8" s="1"/>
  <c r="AC698" i="8"/>
  <c r="AB698" i="8"/>
  <c r="AT698" i="8"/>
  <c r="AK698" i="8" s="1"/>
  <c r="AC943" i="8"/>
  <c r="AT943" i="8"/>
  <c r="AK943" i="8" s="1"/>
  <c r="AB943" i="8"/>
  <c r="AS943" i="8"/>
  <c r="AJ943" i="8" s="1"/>
  <c r="AT1094" i="8"/>
  <c r="AK1094" i="8" s="1"/>
  <c r="AS1094" i="8"/>
  <c r="AJ1094" i="8" s="1"/>
  <c r="AA1094" i="8" s="1"/>
  <c r="AC1094" i="8"/>
  <c r="AB1094" i="8"/>
  <c r="AO319" i="8"/>
  <c r="AL319" i="8"/>
  <c r="AE319" i="8" s="1"/>
  <c r="AM319" i="8"/>
  <c r="AF319" i="8" s="1"/>
  <c r="AN319" i="8"/>
  <c r="AN843" i="8"/>
  <c r="AM843" i="8"/>
  <c r="AF843" i="8" s="1"/>
  <c r="AL843" i="8"/>
  <c r="AE843" i="8" s="1"/>
  <c r="AO843" i="8"/>
  <c r="AT235" i="8"/>
  <c r="AK235" i="8" s="1"/>
  <c r="AB235" i="8"/>
  <c r="AC235" i="8"/>
  <c r="AS235" i="8"/>
  <c r="AJ235" i="8" s="1"/>
  <c r="AS80" i="8"/>
  <c r="AJ80" i="8" s="1"/>
  <c r="AA80" i="8" s="1"/>
  <c r="AB80" i="8"/>
  <c r="AC80" i="8"/>
  <c r="AT80" i="8"/>
  <c r="AK80" i="8" s="1"/>
  <c r="X915" i="8"/>
  <c r="AC1089" i="8"/>
  <c r="AB1089" i="8"/>
  <c r="AT1089" i="8"/>
  <c r="AK1089" i="8" s="1"/>
  <c r="AS1089" i="8"/>
  <c r="AJ1089" i="8" s="1"/>
  <c r="AA1089" i="8" s="1"/>
  <c r="Z162" i="8"/>
  <c r="Z250" i="8"/>
  <c r="AS94" i="8"/>
  <c r="AJ94" i="8" s="1"/>
  <c r="AC94" i="8"/>
  <c r="AT94" i="8"/>
  <c r="AK94" i="8" s="1"/>
  <c r="AB94" i="8"/>
  <c r="AS242" i="8"/>
  <c r="AJ242" i="8" s="1"/>
  <c r="AA242" i="8" s="1"/>
  <c r="AC242" i="8"/>
  <c r="AB242" i="8"/>
  <c r="AT242" i="8"/>
  <c r="AK242" i="8" s="1"/>
  <c r="AT469" i="8"/>
  <c r="AK469" i="8" s="1"/>
  <c r="AS469" i="8"/>
  <c r="AJ469" i="8" s="1"/>
  <c r="AA469" i="8" s="1"/>
  <c r="AC469" i="8"/>
  <c r="AB469" i="8"/>
  <c r="AT502" i="8"/>
  <c r="AK502" i="8" s="1"/>
  <c r="AC502" i="8"/>
  <c r="AS502" i="8"/>
  <c r="AJ502" i="8" s="1"/>
  <c r="AB502" i="8"/>
  <c r="AS827" i="8"/>
  <c r="AJ827" i="8" s="1"/>
  <c r="AC827" i="8"/>
  <c r="AT827" i="8"/>
  <c r="AK827" i="8" s="1"/>
  <c r="AB827" i="8"/>
  <c r="AC1001" i="8"/>
  <c r="AB1001" i="8"/>
  <c r="AT1001" i="8"/>
  <c r="AK1001" i="8" s="1"/>
  <c r="AS1001" i="8"/>
  <c r="AJ1001" i="8" s="1"/>
  <c r="Z92" i="8"/>
  <c r="AT156" i="8"/>
  <c r="AK156" i="8" s="1"/>
  <c r="AC156" i="8"/>
  <c r="AS156" i="8"/>
  <c r="AJ156" i="8" s="1"/>
  <c r="AB156" i="8"/>
  <c r="AC528" i="8"/>
  <c r="AB528" i="8"/>
  <c r="AT528" i="8"/>
  <c r="AK528" i="8" s="1"/>
  <c r="AS528" i="8"/>
  <c r="AJ528" i="8" s="1"/>
  <c r="AA528" i="8" s="1"/>
  <c r="AC856" i="8"/>
  <c r="AB856" i="8"/>
  <c r="AT856" i="8"/>
  <c r="AK856" i="8" s="1"/>
  <c r="AS856" i="8"/>
  <c r="AJ856" i="8" s="1"/>
  <c r="AO86" i="8"/>
  <c r="AN86" i="8"/>
  <c r="AM86" i="8"/>
  <c r="AF86" i="8" s="1"/>
  <c r="AL86" i="8"/>
  <c r="AE86" i="8" s="1"/>
  <c r="AO717" i="8"/>
  <c r="AN717" i="8"/>
  <c r="AM717" i="8"/>
  <c r="AF717" i="8" s="1"/>
  <c r="AL717" i="8"/>
  <c r="AE717" i="8" s="1"/>
  <c r="AN1095" i="8"/>
  <c r="AM1095" i="8"/>
  <c r="AF1095" i="8" s="1"/>
  <c r="AL1095" i="8"/>
  <c r="AE1095" i="8" s="1"/>
  <c r="AO1095" i="8"/>
  <c r="AB812" i="8"/>
  <c r="AC812" i="8"/>
  <c r="AT812" i="8"/>
  <c r="AK812" i="8" s="1"/>
  <c r="AS812" i="8"/>
  <c r="AJ812" i="8" s="1"/>
  <c r="AC983" i="8"/>
  <c r="AB983" i="8"/>
  <c r="AT983" i="8"/>
  <c r="AK983" i="8" s="1"/>
  <c r="AS983" i="8"/>
  <c r="AJ983" i="8" s="1"/>
  <c r="AS1167" i="8"/>
  <c r="AJ1167" i="8" s="1"/>
  <c r="AC1167" i="8"/>
  <c r="AB1167" i="8"/>
  <c r="AT1167" i="8"/>
  <c r="AK1167" i="8" s="1"/>
  <c r="AC331" i="8"/>
  <c r="AT331" i="8"/>
  <c r="AK331" i="8" s="1"/>
  <c r="AB331" i="8"/>
  <c r="AS331" i="8"/>
  <c r="AJ331" i="8" s="1"/>
  <c r="AA331" i="8" s="1"/>
  <c r="AT702" i="8"/>
  <c r="AK702" i="8" s="1"/>
  <c r="AS702" i="8"/>
  <c r="AJ702" i="8" s="1"/>
  <c r="AC702" i="8"/>
  <c r="AB702" i="8"/>
  <c r="AC1085" i="8"/>
  <c r="AB1085" i="8"/>
  <c r="AT1085" i="8"/>
  <c r="AK1085" i="8" s="1"/>
  <c r="AS1085" i="8"/>
  <c r="AJ1085" i="8" s="1"/>
  <c r="AS234" i="8"/>
  <c r="AJ234" i="8" s="1"/>
  <c r="AC234" i="8"/>
  <c r="AB234" i="8"/>
  <c r="AT234" i="8"/>
  <c r="AK234" i="8" s="1"/>
  <c r="AS581" i="8"/>
  <c r="AJ581" i="8" s="1"/>
  <c r="AC581" i="8"/>
  <c r="AB581" i="8"/>
  <c r="AT581" i="8"/>
  <c r="AK581" i="8" s="1"/>
  <c r="AA727" i="8" l="1"/>
  <c r="Y221" i="8"/>
  <c r="AA683" i="8"/>
  <c r="Y445" i="8"/>
  <c r="AA268" i="8"/>
  <c r="AA976" i="8"/>
  <c r="Y1009" i="8"/>
  <c r="Y1142" i="8"/>
  <c r="Y987" i="8"/>
  <c r="Y194" i="8"/>
  <c r="Y366" i="8"/>
  <c r="Y174" i="8"/>
  <c r="AA1165" i="8"/>
  <c r="Y62" i="8"/>
  <c r="AA246" i="8"/>
  <c r="Y981" i="8"/>
  <c r="Y1189" i="8"/>
  <c r="Y830" i="8"/>
  <c r="Y200" i="8"/>
  <c r="AA214" i="8"/>
  <c r="AA329" i="8"/>
  <c r="AA1006" i="8"/>
  <c r="AA1183" i="8"/>
  <c r="Y1007" i="8"/>
  <c r="Y176" i="8"/>
  <c r="Y215" i="8"/>
  <c r="AA1131" i="8"/>
  <c r="AA286" i="8"/>
  <c r="AA413" i="8"/>
  <c r="AA1045" i="8"/>
  <c r="Y218" i="8"/>
  <c r="AA973" i="8"/>
  <c r="AA1024" i="8"/>
  <c r="AA1160" i="8"/>
  <c r="Y691" i="8"/>
  <c r="Y939" i="8"/>
  <c r="AA336" i="8"/>
  <c r="AA754" i="8"/>
  <c r="Y142" i="8"/>
  <c r="Y141" i="8"/>
  <c r="Y92" i="8"/>
  <c r="AA497" i="8"/>
  <c r="AA958" i="8"/>
  <c r="AA557" i="8"/>
  <c r="AA145" i="8"/>
  <c r="AA1186" i="8"/>
  <c r="AA1151" i="8"/>
  <c r="AA825" i="8"/>
  <c r="Y369" i="8"/>
  <c r="AA176" i="8"/>
  <c r="Y1112" i="8"/>
  <c r="AA179" i="8"/>
  <c r="AA241" i="8"/>
  <c r="AA137" i="8"/>
  <c r="AA888" i="8"/>
  <c r="AA682" i="8"/>
  <c r="AA833" i="8"/>
  <c r="AA817" i="8"/>
  <c r="AA318" i="8"/>
  <c r="AA874" i="8"/>
  <c r="AA813" i="8"/>
  <c r="AA1003" i="8"/>
  <c r="AA919" i="8"/>
  <c r="AA899" i="8"/>
  <c r="AA567" i="8"/>
  <c r="AA237" i="8"/>
  <c r="AA758" i="8"/>
  <c r="AA789" i="8"/>
  <c r="AA879" i="8"/>
  <c r="AA966" i="8"/>
  <c r="AA1083" i="8"/>
  <c r="Y1148" i="8"/>
  <c r="AA264" i="8"/>
  <c r="AA627" i="8"/>
  <c r="Y466" i="8"/>
  <c r="AA18" i="8"/>
  <c r="Y393" i="8"/>
  <c r="AA1105" i="8"/>
  <c r="AA295" i="8"/>
  <c r="AA114" i="8"/>
  <c r="AA552" i="8"/>
  <c r="AA1149" i="8"/>
  <c r="AA339" i="8"/>
  <c r="AA433" i="8"/>
  <c r="AA542" i="8"/>
  <c r="Y1100" i="8"/>
  <c r="AA1109" i="8"/>
  <c r="AA988" i="8"/>
  <c r="AA1171" i="8"/>
  <c r="AA69" i="8"/>
  <c r="AA44" i="8"/>
  <c r="AA798" i="8"/>
  <c r="AA382" i="8"/>
  <c r="AA258" i="8"/>
  <c r="AA259" i="8"/>
  <c r="AA803" i="8"/>
  <c r="Y888" i="8"/>
  <c r="AA484" i="8"/>
  <c r="AA1112" i="8"/>
  <c r="AA113" i="8"/>
  <c r="AA735" i="8"/>
  <c r="Y872" i="8"/>
  <c r="AA980" i="8"/>
  <c r="AA291" i="8"/>
  <c r="AA482" i="8"/>
  <c r="AA417" i="8"/>
  <c r="AA647" i="8"/>
  <c r="AA767" i="8"/>
  <c r="Y866" i="8"/>
  <c r="AA832" i="8"/>
  <c r="AA922" i="8"/>
  <c r="AA143" i="8"/>
  <c r="AA702" i="8"/>
  <c r="AA480" i="8"/>
  <c r="AA760" i="8"/>
  <c r="AA244" i="8"/>
  <c r="AA294" i="8"/>
  <c r="AA333" i="8"/>
  <c r="AA779" i="8"/>
  <c r="AA936" i="8"/>
  <c r="AA205" i="8"/>
  <c r="AA222" i="8"/>
  <c r="AA629" i="8"/>
  <c r="AA645" i="8"/>
  <c r="AA733" i="8"/>
  <c r="AA923" i="8"/>
  <c r="AA177" i="8"/>
  <c r="AA771" i="8"/>
  <c r="AA860" i="8"/>
  <c r="AA807" i="8"/>
  <c r="AA230" i="8"/>
  <c r="AA1002" i="8"/>
  <c r="AA755" i="8"/>
  <c r="AA772" i="8"/>
  <c r="AA400" i="8"/>
  <c r="AA687" i="8"/>
  <c r="AA1138" i="8"/>
  <c r="AA1176" i="8"/>
  <c r="Y915" i="8"/>
  <c r="Y870" i="8"/>
  <c r="Y414" i="8"/>
  <c r="AA473" i="8"/>
  <c r="Y890" i="8"/>
  <c r="Y1117" i="8"/>
  <c r="Y301" i="8"/>
  <c r="Y295" i="8"/>
  <c r="Y87" i="8"/>
  <c r="Y864" i="8"/>
  <c r="AA684" i="8"/>
  <c r="Y887" i="8"/>
  <c r="Y824" i="8"/>
  <c r="Y871" i="8"/>
  <c r="AA256" i="8"/>
  <c r="Y831" i="8"/>
  <c r="Y773" i="8"/>
  <c r="AA67" i="8"/>
  <c r="AA338" i="8"/>
  <c r="AA653" i="8"/>
  <c r="AA688" i="8"/>
  <c r="AA745" i="8"/>
  <c r="AA94" i="8"/>
  <c r="AA1133" i="8"/>
  <c r="AA389" i="8"/>
  <c r="AA839" i="8"/>
  <c r="AA468" i="8"/>
  <c r="AA419" i="8"/>
  <c r="AA710" i="8"/>
  <c r="AA1123" i="8"/>
  <c r="AA50" i="8"/>
  <c r="AA147" i="8"/>
  <c r="AA458" i="8"/>
  <c r="AA585" i="8"/>
  <c r="Y1002" i="8"/>
  <c r="Y371" i="8"/>
  <c r="AA521" i="8"/>
  <c r="Y59" i="8"/>
  <c r="AA437" i="8"/>
  <c r="AA826" i="8"/>
  <c r="Y749" i="8"/>
  <c r="AA652" i="8"/>
  <c r="Y13" i="8"/>
  <c r="AA92" i="8"/>
  <c r="AA312" i="8"/>
  <c r="AA500" i="8"/>
  <c r="AA586" i="8"/>
  <c r="AA298" i="8"/>
  <c r="AA435" i="8"/>
  <c r="AA780" i="8"/>
  <c r="AA706" i="8"/>
  <c r="AA689" i="8"/>
  <c r="AA560" i="8"/>
  <c r="AA658" i="8"/>
  <c r="AA628" i="8"/>
  <c r="AA416" i="8"/>
  <c r="AA925" i="8"/>
  <c r="AA513" i="8"/>
  <c r="AA630" i="8"/>
  <c r="AA91" i="8"/>
  <c r="AA239" i="8"/>
  <c r="AA127" i="8"/>
  <c r="AA985" i="8"/>
  <c r="AA539" i="8"/>
  <c r="AA39" i="8"/>
  <c r="AA698" i="8"/>
  <c r="AA1137" i="8"/>
  <c r="AA1192" i="8"/>
  <c r="AA100" i="8"/>
  <c r="AA605" i="8"/>
  <c r="Y440" i="8"/>
  <c r="Y299" i="8"/>
  <c r="AA403" i="8"/>
  <c r="Y1079" i="8"/>
  <c r="Y245" i="8"/>
  <c r="AA327" i="8"/>
  <c r="Y175" i="8"/>
  <c r="AA808" i="8"/>
  <c r="AA1155" i="8"/>
  <c r="AA253" i="8"/>
  <c r="AA1199" i="8"/>
  <c r="Y820" i="8"/>
  <c r="Y805" i="8"/>
  <c r="Y278" i="8"/>
  <c r="AA506" i="8"/>
  <c r="Y171" i="8"/>
  <c r="Y297" i="8"/>
  <c r="AA717" i="8"/>
  <c r="AA1063" i="8"/>
  <c r="Y246" i="8"/>
  <c r="Y694" i="8"/>
  <c r="AA784" i="8"/>
  <c r="Y842" i="8"/>
  <c r="AA1035" i="8"/>
  <c r="Y320" i="8"/>
  <c r="Y721" i="8"/>
  <c r="AA1067" i="8"/>
  <c r="Y39" i="8"/>
  <c r="AA1152" i="8"/>
  <c r="AA347" i="8"/>
  <c r="AA723" i="8"/>
  <c r="Y747" i="8"/>
  <c r="Y751" i="8"/>
  <c r="AA661" i="8"/>
  <c r="AA824" i="8"/>
  <c r="AA667" i="8"/>
  <c r="AA555" i="8"/>
  <c r="AA1200" i="8"/>
  <c r="AA106" i="8"/>
  <c r="Y1101" i="8"/>
  <c r="AA827" i="8"/>
  <c r="AA581" i="8"/>
  <c r="Y37" i="8"/>
  <c r="Y717" i="8"/>
  <c r="AA718" i="8"/>
  <c r="AA198" i="8"/>
  <c r="AA465" i="8"/>
  <c r="AA402" i="8"/>
  <c r="AA766" i="8"/>
  <c r="AA830" i="8"/>
  <c r="AA783" i="8"/>
  <c r="AA135" i="8"/>
  <c r="AA518" i="8"/>
  <c r="AA650" i="8"/>
  <c r="AA116" i="8"/>
  <c r="AA120" i="8"/>
  <c r="AA618" i="8"/>
  <c r="AA186" i="8"/>
  <c r="AA1034" i="8"/>
  <c r="AA240" i="8"/>
  <c r="AA884" i="8"/>
  <c r="AA495" i="8"/>
  <c r="AA712" i="8"/>
  <c r="AA275" i="8"/>
  <c r="AA1064" i="8"/>
  <c r="AA743" i="8"/>
  <c r="AA816" i="8"/>
  <c r="AA216" i="8"/>
  <c r="AA343" i="8"/>
  <c r="AA909" i="8"/>
  <c r="AA459" i="8"/>
  <c r="AA405" i="8"/>
  <c r="AA924" i="8"/>
  <c r="AA1025" i="8"/>
  <c r="AA790" i="8"/>
  <c r="AA543" i="8"/>
  <c r="AA283" i="8"/>
  <c r="AA715" i="8"/>
  <c r="AA1148" i="8"/>
  <c r="AA65" i="8"/>
  <c r="AA708" i="8"/>
  <c r="AA713" i="8"/>
  <c r="AA60" i="8"/>
  <c r="Y149" i="8"/>
  <c r="AA796" i="8"/>
  <c r="AA1190" i="8"/>
  <c r="AA56" i="8"/>
  <c r="AA1170" i="8"/>
  <c r="AA132" i="8"/>
  <c r="AA388" i="8"/>
  <c r="AA970" i="8"/>
  <c r="AA334" i="8"/>
  <c r="AA249" i="8"/>
  <c r="AA595" i="8"/>
  <c r="Y1143" i="8"/>
  <c r="Y1193" i="8"/>
  <c r="AA877" i="8"/>
  <c r="AA48" i="8"/>
  <c r="Y392" i="8"/>
  <c r="AA837" i="8"/>
  <c r="AA633" i="8"/>
  <c r="AA1038" i="8"/>
  <c r="AA829" i="8"/>
  <c r="AA27" i="8"/>
  <c r="Y912" i="8"/>
  <c r="AA572" i="8"/>
  <c r="AA931" i="8"/>
  <c r="Y807" i="8"/>
  <c r="Y818" i="8"/>
  <c r="AA736" i="8"/>
  <c r="AA262" i="8"/>
  <c r="AA22" i="8"/>
  <c r="AB1099" i="8"/>
  <c r="AC1099" i="8"/>
  <c r="AT1099" i="8"/>
  <c r="AK1099" i="8" s="1"/>
  <c r="AS1099" i="8"/>
  <c r="AJ1099" i="8" s="1"/>
  <c r="AA1099" i="8" s="1"/>
  <c r="AS1193" i="8"/>
  <c r="AJ1193" i="8" s="1"/>
  <c r="AC1193" i="8"/>
  <c r="AB1193" i="8"/>
  <c r="AT1193" i="8"/>
  <c r="AK1193" i="8" s="1"/>
  <c r="AA918" i="8"/>
  <c r="Y121" i="8"/>
  <c r="AA446" i="8"/>
  <c r="AA447" i="8"/>
  <c r="AA692" i="8"/>
  <c r="Y695" i="8"/>
  <c r="AA696" i="8"/>
  <c r="Y58" i="8"/>
  <c r="AA993" i="8"/>
  <c r="Y1033" i="8"/>
  <c r="AA1086" i="8"/>
  <c r="Y147" i="8"/>
  <c r="Y197" i="8"/>
  <c r="AA277" i="8"/>
  <c r="AA195" i="8"/>
  <c r="AC1145" i="8"/>
  <c r="AT1145" i="8"/>
  <c r="AK1145" i="8" s="1"/>
  <c r="AB1145" i="8"/>
  <c r="AS1145" i="8"/>
  <c r="AJ1145" i="8" s="1"/>
  <c r="AA1114" i="8"/>
  <c r="Y941" i="8"/>
  <c r="AA852" i="8"/>
  <c r="AC62" i="8"/>
  <c r="AB62" i="8"/>
  <c r="AS62" i="8"/>
  <c r="AJ62" i="8" s="1"/>
  <c r="AA62" i="8" s="1"/>
  <c r="AT62" i="8"/>
  <c r="AK62" i="8" s="1"/>
  <c r="AA815" i="8"/>
  <c r="Y439" i="8"/>
  <c r="AA695" i="8"/>
  <c r="AA282" i="8"/>
  <c r="Y775" i="8"/>
  <c r="Y294" i="8"/>
  <c r="Y823" i="8"/>
  <c r="Y199" i="8"/>
  <c r="Y841" i="8"/>
  <c r="Y216" i="8"/>
  <c r="Y388" i="8"/>
  <c r="Y796" i="8"/>
  <c r="AB938" i="8"/>
  <c r="AC938" i="8"/>
  <c r="AT938" i="8"/>
  <c r="AK938" i="8" s="1"/>
  <c r="AS938" i="8"/>
  <c r="AJ938" i="8" s="1"/>
  <c r="AA672" i="8"/>
  <c r="AS892" i="8"/>
  <c r="AJ892" i="8" s="1"/>
  <c r="AA892" i="8" s="1"/>
  <c r="AC892" i="8"/>
  <c r="AT892" i="8"/>
  <c r="AK892" i="8" s="1"/>
  <c r="AB892" i="8"/>
  <c r="AA156" i="8"/>
  <c r="AA363" i="8"/>
  <c r="AA425" i="8"/>
  <c r="AA43" i="8"/>
  <c r="AA1037" i="8"/>
  <c r="AA352" i="8"/>
  <c r="AA729" i="8"/>
  <c r="AA70" i="8"/>
  <c r="AS35" i="8"/>
  <c r="AJ35" i="8" s="1"/>
  <c r="AC35" i="8"/>
  <c r="AB35" i="8"/>
  <c r="AT35" i="8"/>
  <c r="AK35" i="8" s="1"/>
  <c r="AA159" i="8"/>
  <c r="AA7" i="8"/>
  <c r="AA41" i="8"/>
  <c r="AA602" i="8"/>
  <c r="AA293" i="8"/>
  <c r="AT1117" i="8"/>
  <c r="AK1117" i="8" s="1"/>
  <c r="AB1117" i="8"/>
  <c r="AS1117" i="8"/>
  <c r="AJ1117" i="8" s="1"/>
  <c r="AC1117" i="8"/>
  <c r="AA685" i="8"/>
  <c r="Y169" i="8"/>
  <c r="AA806" i="8"/>
  <c r="AA170" i="8"/>
  <c r="AA604" i="8"/>
  <c r="AA563" i="8"/>
  <c r="AA865" i="8"/>
  <c r="AA576" i="8"/>
  <c r="AA810" i="8"/>
  <c r="AA859" i="8"/>
  <c r="AA493" i="8"/>
  <c r="AA654" i="8"/>
  <c r="AA1077" i="8"/>
  <c r="AA1097" i="8"/>
  <c r="Y35" i="8"/>
  <c r="AA434" i="8"/>
  <c r="Y118" i="8"/>
  <c r="AA371" i="8"/>
  <c r="AA229" i="8"/>
  <c r="AA309" i="8"/>
  <c r="Y36" i="8"/>
  <c r="Y443" i="8"/>
  <c r="AA26" i="8"/>
  <c r="AA1061" i="8"/>
  <c r="AA949" i="8"/>
  <c r="AA776" i="8"/>
  <c r="Y340" i="8"/>
  <c r="AA208" i="8"/>
  <c r="AA626" i="8"/>
  <c r="AA870" i="8"/>
  <c r="AA1129" i="8"/>
  <c r="AA88" i="8"/>
  <c r="Y317" i="8"/>
  <c r="AA466" i="8"/>
  <c r="Y1141" i="8"/>
  <c r="AA559" i="8"/>
  <c r="AA886" i="8"/>
  <c r="AA386" i="8"/>
  <c r="Y272" i="8"/>
  <c r="Y411" i="8"/>
  <c r="AB368" i="8"/>
  <c r="AC368" i="8"/>
  <c r="AT368" i="8"/>
  <c r="AK368" i="8" s="1"/>
  <c r="AS368" i="8"/>
  <c r="AJ368" i="8" s="1"/>
  <c r="AA368" i="8" s="1"/>
  <c r="AA578" i="8"/>
  <c r="AA182" i="8"/>
  <c r="Y844" i="8"/>
  <c r="AA1157" i="8"/>
  <c r="Y114" i="8"/>
  <c r="AA379" i="8"/>
  <c r="Y889" i="8"/>
  <c r="AA622" i="8"/>
  <c r="Y273" i="8"/>
  <c r="Y961" i="8"/>
  <c r="Y319" i="8"/>
  <c r="AC917" i="8"/>
  <c r="AB917" i="8"/>
  <c r="AT917" i="8"/>
  <c r="AK917" i="8" s="1"/>
  <c r="AS917" i="8"/>
  <c r="AJ917" i="8" s="1"/>
  <c r="Y249" i="8"/>
  <c r="AA498" i="8"/>
  <c r="AA209" i="8"/>
  <c r="AA1062" i="8"/>
  <c r="AS13" i="8"/>
  <c r="AJ13" i="8" s="1"/>
  <c r="AA13" i="8" s="1"/>
  <c r="AC13" i="8"/>
  <c r="AB13" i="8"/>
  <c r="AT13" i="8"/>
  <c r="AK13" i="8" s="1"/>
  <c r="AB1101" i="8"/>
  <c r="AC1101" i="8"/>
  <c r="AT1101" i="8"/>
  <c r="AK1101" i="8" s="1"/>
  <c r="AS1101" i="8"/>
  <c r="AJ1101" i="8" s="1"/>
  <c r="AA1101" i="8" s="1"/>
  <c r="AA893" i="8"/>
  <c r="AT90" i="8"/>
  <c r="AK90" i="8" s="1"/>
  <c r="AC90" i="8"/>
  <c r="AB90" i="8"/>
  <c r="AS90" i="8"/>
  <c r="AJ90" i="8" s="1"/>
  <c r="AA181" i="8"/>
  <c r="AA1143" i="8"/>
  <c r="AA353" i="8"/>
  <c r="Y1003" i="8"/>
  <c r="AS197" i="8"/>
  <c r="AJ197" i="8" s="1"/>
  <c r="AA197" i="8" s="1"/>
  <c r="AC197" i="8"/>
  <c r="AT197" i="8"/>
  <c r="AK197" i="8" s="1"/>
  <c r="AB197" i="8"/>
  <c r="AA95" i="8"/>
  <c r="AA998" i="8"/>
  <c r="AA398" i="8"/>
  <c r="AA1058" i="8"/>
  <c r="AA151" i="8"/>
  <c r="Y986" i="8"/>
  <c r="AA109" i="8"/>
  <c r="AA366" i="8"/>
  <c r="AA426" i="8"/>
  <c r="AA607" i="8"/>
  <c r="AA455" i="8"/>
  <c r="AA823" i="8"/>
  <c r="AA797" i="8"/>
  <c r="AA432" i="8"/>
  <c r="Y1078" i="8"/>
  <c r="AS1055" i="8"/>
  <c r="AJ1055" i="8" s="1"/>
  <c r="AB1055" i="8"/>
  <c r="AT1055" i="8"/>
  <c r="AK1055" i="8" s="1"/>
  <c r="AC1055" i="8"/>
  <c r="AA525" i="8"/>
  <c r="Y437" i="8"/>
  <c r="AA97" i="8"/>
  <c r="AA233" i="8"/>
  <c r="AA520" i="8"/>
  <c r="Y364" i="8"/>
  <c r="Y1004" i="8"/>
  <c r="Y177" i="8"/>
  <c r="AA527" i="8"/>
  <c r="AA752" i="8"/>
  <c r="AA1000" i="8"/>
  <c r="AA835" i="8"/>
  <c r="AA994" i="8"/>
  <c r="AA965" i="8"/>
  <c r="AA523" i="8"/>
  <c r="Y1031" i="8"/>
  <c r="Y1053" i="8"/>
  <c r="Y222" i="8"/>
  <c r="AA589" i="8"/>
  <c r="AA1198" i="8"/>
  <c r="AA365" i="8"/>
  <c r="AA1177" i="8"/>
  <c r="AT719" i="8"/>
  <c r="AK719" i="8" s="1"/>
  <c r="AB719" i="8"/>
  <c r="AS719" i="8"/>
  <c r="AJ719" i="8" s="1"/>
  <c r="AC719" i="8"/>
  <c r="Y1030" i="8"/>
  <c r="AA1106" i="8"/>
  <c r="Y223" i="8"/>
  <c r="AA928" i="8"/>
  <c r="AA517" i="8"/>
  <c r="AA791" i="8"/>
  <c r="AA1119" i="8"/>
  <c r="AA306" i="8"/>
  <c r="AA854" i="8"/>
  <c r="Y323" i="8"/>
  <c r="AA134" i="8"/>
  <c r="Y723" i="8"/>
  <c r="AA774" i="8"/>
  <c r="AA1150" i="8"/>
  <c r="AA845" i="8"/>
  <c r="AA811" i="8"/>
  <c r="Y803" i="8"/>
  <c r="AA623" i="8"/>
  <c r="AS915" i="8"/>
  <c r="AJ915" i="8" s="1"/>
  <c r="AA915" i="8" s="1"/>
  <c r="AC915" i="8"/>
  <c r="AB915" i="8"/>
  <c r="AT915" i="8"/>
  <c r="AK915" i="8" s="1"/>
  <c r="AT1009" i="8"/>
  <c r="AK1009" i="8" s="1"/>
  <c r="AS1009" i="8"/>
  <c r="AJ1009" i="8" s="1"/>
  <c r="AA1009" i="8" s="1"/>
  <c r="AC1009" i="8"/>
  <c r="AB1009" i="8"/>
  <c r="AA902" i="8"/>
  <c r="AA863" i="8"/>
  <c r="AA453" i="8"/>
  <c r="Y57" i="8"/>
  <c r="AA234" i="8"/>
  <c r="AS940" i="8"/>
  <c r="AJ940" i="8" s="1"/>
  <c r="AC940" i="8"/>
  <c r="AB940" i="8"/>
  <c r="AT940" i="8"/>
  <c r="AK940" i="8" s="1"/>
  <c r="AT414" i="8"/>
  <c r="AK414" i="8" s="1"/>
  <c r="AS414" i="8"/>
  <c r="AJ414" i="8" s="1"/>
  <c r="AC414" i="8"/>
  <c r="AB414" i="8"/>
  <c r="AA1085" i="8"/>
  <c r="AA983" i="8"/>
  <c r="Y86" i="8"/>
  <c r="AS345" i="8"/>
  <c r="AJ345" i="8" s="1"/>
  <c r="AA345" i="8" s="1"/>
  <c r="AC345" i="8"/>
  <c r="AB345" i="8"/>
  <c r="AT345" i="8"/>
  <c r="AK345" i="8" s="1"/>
  <c r="AA912" i="8"/>
  <c r="AA460" i="8"/>
  <c r="AA516" i="8"/>
  <c r="AA566" i="8"/>
  <c r="AA263" i="8"/>
  <c r="AS322" i="8"/>
  <c r="AJ322" i="8" s="1"/>
  <c r="AC322" i="8"/>
  <c r="AB322" i="8"/>
  <c r="AT322" i="8"/>
  <c r="AK322" i="8" s="1"/>
  <c r="AA172" i="8"/>
  <c r="AA1082" i="8"/>
  <c r="AA452" i="8"/>
  <c r="AA714" i="8"/>
  <c r="AA81" i="8"/>
  <c r="Y1056" i="8"/>
  <c r="AA778" i="8"/>
  <c r="Y980" i="8"/>
  <c r="AA117" i="8"/>
  <c r="AA1087" i="8"/>
  <c r="AA189" i="8"/>
  <c r="AA686" i="8"/>
  <c r="AA1046" i="8"/>
  <c r="AA744" i="8"/>
  <c r="AA279" i="8"/>
  <c r="AA1141" i="8"/>
  <c r="AA891" i="8"/>
  <c r="AA1132" i="8"/>
  <c r="AA978" i="8"/>
  <c r="Y979" i="8"/>
  <c r="Y302" i="8"/>
  <c r="AA643" i="8"/>
  <c r="AA74" i="8"/>
  <c r="AA640" i="8"/>
  <c r="AA1161" i="8"/>
  <c r="AA962" i="8"/>
  <c r="AA1048" i="8"/>
  <c r="AA350" i="8"/>
  <c r="AA407" i="8"/>
  <c r="AA770" i="8"/>
  <c r="AA1054" i="8"/>
  <c r="AA348" i="8"/>
  <c r="Y918" i="8"/>
  <c r="AA842" i="8"/>
  <c r="AA221" i="8"/>
  <c r="AA384" i="8"/>
  <c r="AA504" i="8"/>
  <c r="AA818" i="8"/>
  <c r="AA479" i="8"/>
  <c r="AA598" i="8"/>
  <c r="AA457" i="8"/>
  <c r="AT248" i="8"/>
  <c r="AK248" i="8" s="1"/>
  <c r="AS248" i="8"/>
  <c r="AJ248" i="8" s="1"/>
  <c r="AC248" i="8"/>
  <c r="AB248" i="8"/>
  <c r="Y343" i="8"/>
  <c r="AA680" i="8"/>
  <c r="AA875" i="8"/>
  <c r="AA129" i="8"/>
  <c r="AA561" i="8"/>
  <c r="AA296" i="8"/>
  <c r="AA657" i="8"/>
  <c r="AA575" i="8"/>
  <c r="AA351" i="8"/>
  <c r="AA1103" i="8"/>
  <c r="AA349" i="8"/>
  <c r="AA187" i="8"/>
  <c r="AS894" i="8"/>
  <c r="AJ894" i="8" s="1"/>
  <c r="AC894" i="8"/>
  <c r="AB894" i="8"/>
  <c r="AT894" i="8"/>
  <c r="AK894" i="8" s="1"/>
  <c r="Y363" i="8"/>
  <c r="AA326" i="8"/>
  <c r="AA373" i="8"/>
  <c r="AA529" i="8"/>
  <c r="Y962" i="8"/>
  <c r="AA162" i="8"/>
  <c r="AA103" i="8"/>
  <c r="AA1163" i="8"/>
  <c r="AA821" i="8"/>
  <c r="Y271" i="8"/>
  <c r="AA270" i="8"/>
  <c r="AA317" i="8"/>
  <c r="Y1049" i="8"/>
  <c r="AA592" i="8"/>
  <c r="Y172" i="8"/>
  <c r="AA1073" i="8"/>
  <c r="AC747" i="8"/>
  <c r="AB747" i="8"/>
  <c r="AT747" i="8"/>
  <c r="AK747" i="8" s="1"/>
  <c r="AS747" i="8"/>
  <c r="AJ747" i="8" s="1"/>
  <c r="AA747" i="8" s="1"/>
  <c r="AA1001" i="8"/>
  <c r="AA21" i="8"/>
  <c r="AA204" i="8"/>
  <c r="AA438" i="8"/>
  <c r="AA397" i="8"/>
  <c r="AA759" i="8"/>
  <c r="AA418" i="8"/>
  <c r="AT174" i="8"/>
  <c r="AK174" i="8" s="1"/>
  <c r="AC174" i="8"/>
  <c r="AS174" i="8"/>
  <c r="AJ174" i="8" s="1"/>
  <c r="AB174" i="8"/>
  <c r="AA82" i="8"/>
  <c r="AB146" i="8"/>
  <c r="AT146" i="8"/>
  <c r="AK146" i="8" s="1"/>
  <c r="AS146" i="8"/>
  <c r="AJ146" i="8" s="1"/>
  <c r="AA146" i="8" s="1"/>
  <c r="AC146" i="8"/>
  <c r="AA651" i="8"/>
  <c r="AA547" i="8"/>
  <c r="AA781" i="8"/>
  <c r="Y1165" i="8"/>
  <c r="AA387" i="8"/>
  <c r="AA461" i="8"/>
  <c r="Y936" i="8"/>
  <c r="Y1169" i="8"/>
  <c r="AA165" i="8"/>
  <c r="AA751" i="8"/>
  <c r="AA149" i="8"/>
  <c r="AA550" i="8"/>
  <c r="AA163" i="8"/>
  <c r="AA620" i="8"/>
  <c r="Y198" i="8"/>
  <c r="AA762" i="8"/>
  <c r="Y934" i="8"/>
  <c r="AA355" i="8"/>
  <c r="AA569" i="8"/>
  <c r="AA1071" i="8"/>
  <c r="AA225" i="8"/>
  <c r="AA310" i="8"/>
  <c r="AA393" i="8"/>
  <c r="AA1095" i="8"/>
  <c r="AA597" i="8"/>
  <c r="AA51" i="8"/>
  <c r="AA725" i="8"/>
  <c r="AT220" i="8"/>
  <c r="AK220" i="8" s="1"/>
  <c r="AB220" i="8"/>
  <c r="AS220" i="8"/>
  <c r="AJ220" i="8" s="1"/>
  <c r="AC220" i="8"/>
  <c r="AA722" i="8"/>
  <c r="AA1111" i="8"/>
  <c r="AA321" i="8"/>
  <c r="AA910" i="8"/>
  <c r="AA838" i="8"/>
  <c r="AA1142" i="8"/>
  <c r="AA223" i="8"/>
  <c r="Y910" i="8"/>
  <c r="Y417" i="8"/>
  <c r="AA619" i="8"/>
  <c r="AA150" i="8"/>
  <c r="AA676" i="8"/>
  <c r="Y821" i="8"/>
  <c r="AA847" i="8"/>
  <c r="AA639" i="8"/>
  <c r="Y795" i="8"/>
  <c r="AA840" i="8"/>
  <c r="AT1032" i="8"/>
  <c r="AK1032" i="8" s="1"/>
  <c r="AC1032" i="8"/>
  <c r="AS1032" i="8"/>
  <c r="AJ1032" i="8" s="1"/>
  <c r="AA1032" i="8" s="1"/>
  <c r="AB1032" i="8"/>
  <c r="AA510" i="8"/>
  <c r="AA232" i="8"/>
  <c r="AA641" i="8"/>
  <c r="AA8" i="8"/>
  <c r="AA311" i="8"/>
  <c r="AA786" i="8"/>
  <c r="AA1017" i="8"/>
  <c r="AA157" i="8"/>
  <c r="Y1115" i="8"/>
  <c r="AA635" i="8"/>
  <c r="AA188" i="8"/>
  <c r="AA935" i="8"/>
  <c r="AA580" i="8"/>
  <c r="AA323" i="8"/>
  <c r="AA971" i="8"/>
  <c r="AA164" i="8"/>
  <c r="AA1140" i="8"/>
  <c r="AT15" i="8"/>
  <c r="AK15" i="8" s="1"/>
  <c r="AB15" i="8"/>
  <c r="AC15" i="8"/>
  <c r="AS15" i="8"/>
  <c r="AJ15" i="8" s="1"/>
  <c r="AA15" i="8" s="1"/>
  <c r="AA514" i="8"/>
  <c r="AA730" i="8"/>
  <c r="AA996" i="8"/>
  <c r="Y170" i="8"/>
  <c r="AA185" i="8"/>
  <c r="AA207" i="8"/>
  <c r="Y984" i="8"/>
  <c r="Y148" i="8"/>
  <c r="AA534" i="8"/>
  <c r="AA305" i="8"/>
  <c r="AA34" i="8"/>
  <c r="AA1108" i="8"/>
  <c r="AT391" i="8"/>
  <c r="AK391" i="8" s="1"/>
  <c r="AB391" i="8"/>
  <c r="AS391" i="8"/>
  <c r="AJ391" i="8" s="1"/>
  <c r="AA391" i="8" s="1"/>
  <c r="AC391" i="8"/>
  <c r="Y63" i="8"/>
  <c r="Y472" i="8"/>
  <c r="AA255" i="8"/>
  <c r="AA166" i="8"/>
  <c r="Y1055" i="8"/>
  <c r="AA679" i="8"/>
  <c r="Y1032" i="8"/>
  <c r="AA587" i="8"/>
  <c r="AA982" i="8"/>
  <c r="Y1071" i="8"/>
  <c r="AA583" i="8"/>
  <c r="Y1192" i="8"/>
  <c r="AA358" i="8"/>
  <c r="AS1030" i="8"/>
  <c r="AJ1030" i="8" s="1"/>
  <c r="AC1030" i="8"/>
  <c r="AT1030" i="8"/>
  <c r="AK1030" i="8" s="1"/>
  <c r="AB1030" i="8"/>
  <c r="AA887" i="8"/>
  <c r="Y777" i="8"/>
  <c r="Y324" i="8"/>
  <c r="AA370" i="8"/>
  <c r="AA603" i="8"/>
  <c r="AA1090" i="8"/>
  <c r="Y1114" i="8"/>
  <c r="AA764" i="8"/>
  <c r="AA218" i="8"/>
  <c r="AA1130" i="8"/>
  <c r="Y718" i="8"/>
  <c r="AA1018" i="8"/>
  <c r="Y911" i="8"/>
  <c r="AA395" i="8"/>
  <c r="AA217" i="8"/>
  <c r="AA99" i="8"/>
  <c r="AA968" i="8"/>
  <c r="AA809" i="8"/>
  <c r="AS37" i="8"/>
  <c r="AJ37" i="8" s="1"/>
  <c r="AB37" i="8"/>
  <c r="AC37" i="8"/>
  <c r="AT37" i="8"/>
  <c r="AK37" i="8" s="1"/>
  <c r="Y243" i="8"/>
  <c r="Y88" i="8"/>
  <c r="AS777" i="8"/>
  <c r="AJ777" i="8" s="1"/>
  <c r="AA777" i="8" s="1"/>
  <c r="AC777" i="8"/>
  <c r="AB777" i="8"/>
  <c r="AT777" i="8"/>
  <c r="AK777" i="8" s="1"/>
  <c r="AC299" i="8"/>
  <c r="AT299" i="8"/>
  <c r="AK299" i="8" s="1"/>
  <c r="AB299" i="8"/>
  <c r="AS299" i="8"/>
  <c r="AJ299" i="8" s="1"/>
  <c r="Y1005" i="8"/>
  <c r="AA709" i="8"/>
  <c r="AA1056" i="8"/>
  <c r="AA711" i="8"/>
  <c r="Y1102" i="8"/>
  <c r="AA45" i="8"/>
  <c r="AA1110" i="8"/>
  <c r="AA570" i="8"/>
  <c r="AA439" i="8"/>
  <c r="Y744" i="8"/>
  <c r="Y42" i="8"/>
  <c r="AA1134" i="8"/>
  <c r="AA846" i="8"/>
  <c r="Y802" i="8"/>
  <c r="AA701" i="8"/>
  <c r="Y1025" i="8"/>
  <c r="Y325" i="8"/>
  <c r="AA1081" i="8"/>
  <c r="AA544" i="8"/>
  <c r="AA1188" i="8"/>
  <c r="Y465" i="8"/>
  <c r="AA474" i="8"/>
  <c r="AA463" i="8"/>
  <c r="AA138" i="8"/>
  <c r="Y940" i="8"/>
  <c r="AA991" i="8"/>
  <c r="AA155" i="8"/>
  <c r="Y865" i="8"/>
  <c r="AA995" i="8"/>
  <c r="AA319" i="8"/>
  <c r="Y933" i="8"/>
  <c r="Y348" i="8"/>
  <c r="AA927" i="8"/>
  <c r="Y894" i="8"/>
  <c r="Y690" i="8"/>
  <c r="Y1076" i="8"/>
  <c r="AA20" i="8"/>
  <c r="AA848" i="8"/>
  <c r="Y415" i="8"/>
  <c r="AA84" i="8"/>
  <c r="AA1069" i="8"/>
  <c r="Y801" i="8"/>
  <c r="AA492" i="8"/>
  <c r="AA46" i="8"/>
  <c r="Y1008" i="8"/>
  <c r="Y120" i="8"/>
  <c r="AA328" i="8"/>
  <c r="AA858" i="8"/>
  <c r="AA199" i="8"/>
  <c r="AA451" i="8"/>
  <c r="AA799" i="8"/>
  <c r="Y346" i="8"/>
  <c r="AA1182" i="8"/>
  <c r="AA616" i="8"/>
  <c r="Y1194" i="8"/>
  <c r="Y60" i="8"/>
  <c r="Y1171" i="8"/>
  <c r="AA175" i="8"/>
  <c r="AT693" i="8"/>
  <c r="AK693" i="8" s="1"/>
  <c r="AB693" i="8"/>
  <c r="AC693" i="8"/>
  <c r="AS693" i="8"/>
  <c r="AJ693" i="8" s="1"/>
  <c r="AA611" i="8"/>
  <c r="AA1066" i="8"/>
  <c r="Y342" i="8"/>
  <c r="Y893" i="8"/>
  <c r="AA1136" i="8"/>
  <c r="Y322" i="8"/>
  <c r="AA1167" i="8"/>
  <c r="AA812" i="8"/>
  <c r="AA856" i="8"/>
  <c r="AA235" i="8"/>
  <c r="AA943" i="8"/>
  <c r="AA307" i="8"/>
  <c r="Y14" i="8"/>
  <c r="AA568" i="8"/>
  <c r="AA33" i="8"/>
  <c r="Y1188" i="8"/>
  <c r="Y982" i="8"/>
  <c r="AA1033" i="8"/>
  <c r="AA160" i="8"/>
  <c r="AA844" i="8"/>
  <c r="AA126" i="8"/>
  <c r="AA522" i="8"/>
  <c r="AT1053" i="8"/>
  <c r="AK1053" i="8" s="1"/>
  <c r="AC1053" i="8"/>
  <c r="AB1053" i="8"/>
  <c r="AS1053" i="8"/>
  <c r="AJ1053" i="8" s="1"/>
  <c r="AA704" i="8"/>
  <c r="Y1048" i="8"/>
  <c r="Y473" i="8"/>
  <c r="AA1121" i="8"/>
  <c r="Y438" i="8"/>
  <c r="AA872" i="8"/>
  <c r="AA1060" i="8"/>
  <c r="AA662" i="8"/>
  <c r="AA1072" i="8"/>
  <c r="Y724" i="8"/>
  <c r="AA212" i="8"/>
  <c r="AS1078" i="8"/>
  <c r="AJ1078" i="8" s="1"/>
  <c r="AC1078" i="8"/>
  <c r="AT1078" i="8"/>
  <c r="AK1078" i="8" s="1"/>
  <c r="AB1078" i="8"/>
  <c r="AA681" i="8"/>
  <c r="Y1186" i="8"/>
  <c r="AA192" i="8"/>
  <c r="AA541" i="8"/>
  <c r="AA456" i="8"/>
  <c r="AA401" i="8"/>
  <c r="AA464" i="8"/>
  <c r="AA77" i="8"/>
  <c r="AA1194" i="8"/>
  <c r="AA906" i="8"/>
  <c r="AA562" i="8"/>
  <c r="AA615" i="8"/>
  <c r="AA224" i="8"/>
  <c r="AA531" i="8"/>
  <c r="AA54" i="8"/>
  <c r="AA634" i="8"/>
  <c r="Y386" i="8"/>
  <c r="AA895" i="8"/>
  <c r="AA183" i="8"/>
  <c r="AT1191" i="8"/>
  <c r="AK1191" i="8" s="1"/>
  <c r="AS1191" i="8"/>
  <c r="AJ1191" i="8" s="1"/>
  <c r="AC1191" i="8"/>
  <c r="AB1191" i="8"/>
  <c r="Y1077" i="8"/>
  <c r="Y250" i="8"/>
  <c r="AA260" i="8"/>
  <c r="AA564" i="8"/>
  <c r="AA341" i="8"/>
  <c r="Y41" i="8"/>
  <c r="AA765" i="8"/>
  <c r="Y470" i="8"/>
  <c r="AA763" i="8"/>
  <c r="Y1050" i="8"/>
  <c r="AA167" i="8"/>
  <c r="Y391" i="8"/>
  <c r="AA700" i="8"/>
  <c r="AA535" i="8"/>
  <c r="AA896" i="8"/>
  <c r="AA123" i="8"/>
  <c r="Y1119" i="8"/>
  <c r="AA644" i="8"/>
  <c r="AA768" i="8"/>
  <c r="Y1164" i="8"/>
  <c r="AA173" i="8"/>
  <c r="AA281" i="8"/>
  <c r="AA101" i="8"/>
  <c r="AA691" i="8"/>
  <c r="Y368" i="8"/>
  <c r="AA1164" i="8"/>
  <c r="AA822" i="8"/>
  <c r="AA948" i="8"/>
  <c r="AA314" i="8"/>
  <c r="AA169" i="8"/>
  <c r="AA73" i="8"/>
  <c r="AS869" i="8"/>
  <c r="AJ869" i="8" s="1"/>
  <c r="AA869" i="8" s="1"/>
  <c r="AB869" i="8"/>
  <c r="AT869" i="8"/>
  <c r="AK869" i="8" s="1"/>
  <c r="AC869" i="8"/>
  <c r="AA404" i="8"/>
  <c r="AA671" i="8"/>
  <c r="Y797" i="8"/>
  <c r="Y750" i="8"/>
  <c r="AS17" i="8"/>
  <c r="AJ17" i="8" s="1"/>
  <c r="AA17" i="8" s="1"/>
  <c r="AC17" i="8"/>
  <c r="AB17" i="8"/>
  <c r="AT17" i="8"/>
  <c r="AK17" i="8" s="1"/>
  <c r="AS871" i="8"/>
  <c r="AJ871" i="8" s="1"/>
  <c r="AC871" i="8"/>
  <c r="AT871" i="8"/>
  <c r="AK871" i="8" s="1"/>
  <c r="AB871" i="8"/>
  <c r="Y341" i="8"/>
  <c r="Y746" i="8"/>
  <c r="AA554" i="8"/>
  <c r="Y1145" i="8"/>
  <c r="Y917" i="8"/>
  <c r="AS984" i="8"/>
  <c r="AJ984" i="8" s="1"/>
  <c r="AC984" i="8"/>
  <c r="AB984" i="8"/>
  <c r="AT984" i="8"/>
  <c r="AK984" i="8" s="1"/>
  <c r="Y964" i="8"/>
  <c r="Y345" i="8"/>
  <c r="Y410" i="8"/>
  <c r="Y300" i="8"/>
  <c r="Y798" i="8"/>
  <c r="Y935" i="8"/>
  <c r="AB118" i="8"/>
  <c r="AT118" i="8"/>
  <c r="AK118" i="8" s="1"/>
  <c r="AS118" i="8"/>
  <c r="AJ118" i="8" s="1"/>
  <c r="AC118" i="8"/>
  <c r="AA986" i="8"/>
  <c r="Y819" i="8"/>
  <c r="AA141" i="8"/>
  <c r="AT58" i="8"/>
  <c r="AK58" i="8" s="1"/>
  <c r="AC58" i="8"/>
  <c r="AS58" i="8"/>
  <c r="AJ58" i="8" s="1"/>
  <c r="AA58" i="8" s="1"/>
  <c r="AB58" i="8"/>
  <c r="AT721" i="8"/>
  <c r="AK721" i="8" s="1"/>
  <c r="AB721" i="8"/>
  <c r="AS721" i="8"/>
  <c r="AJ721" i="8" s="1"/>
  <c r="AA721" i="8" s="1"/>
  <c r="AC721" i="8"/>
  <c r="AA705" i="8"/>
  <c r="Y869" i="8"/>
  <c r="AA660" i="8"/>
  <c r="AA656" i="8"/>
  <c r="Y1094" i="8"/>
  <c r="Y752" i="8"/>
  <c r="Y1026" i="8"/>
  <c r="Y416" i="8"/>
  <c r="AA1178" i="8"/>
  <c r="Y892" i="8"/>
  <c r="Y220" i="8"/>
  <c r="Y957" i="8"/>
  <c r="Y1146" i="8"/>
  <c r="AA272" i="8"/>
  <c r="AA1075" i="8"/>
  <c r="Y825" i="8"/>
  <c r="Y370" i="8"/>
  <c r="AA1052" i="8"/>
  <c r="AA1172" i="8"/>
  <c r="AA1181" i="8"/>
  <c r="AA558" i="8"/>
  <c r="AA130" i="8"/>
  <c r="AA675" i="8"/>
  <c r="AA794" i="8"/>
  <c r="Y143" i="8"/>
  <c r="AA981" i="8"/>
  <c r="AA476" i="8"/>
  <c r="AA511" i="8"/>
  <c r="AA1065" i="8"/>
  <c r="AA800" i="8"/>
  <c r="AB1168" i="8"/>
  <c r="AT1168" i="8"/>
  <c r="AK1168" i="8" s="1"/>
  <c r="AS1168" i="8"/>
  <c r="AJ1168" i="8" s="1"/>
  <c r="AC1168" i="8"/>
  <c r="Y1166" i="8"/>
  <c r="AA104" i="8"/>
  <c r="AA1031" i="8"/>
  <c r="Y146" i="8"/>
  <c r="AA381" i="8"/>
  <c r="AA450" i="8"/>
  <c r="Y895" i="8"/>
  <c r="AA1019" i="8"/>
  <c r="AA1080" i="8"/>
  <c r="AA303" i="8"/>
  <c r="Y467" i="8"/>
  <c r="AA315" i="8"/>
  <c r="Y1187" i="8"/>
  <c r="AA802" i="8"/>
  <c r="Y1051" i="8"/>
  <c r="AA1102" i="8"/>
  <c r="Y276" i="8"/>
  <c r="AA1153" i="8"/>
  <c r="Y1140" i="8"/>
  <c r="Y808" i="8"/>
  <c r="AA449" i="8"/>
  <c r="AA211" i="8"/>
  <c r="AA236" i="8"/>
  <c r="AA548" i="8"/>
  <c r="AA335" i="8"/>
  <c r="Y85" i="8"/>
  <c r="AA1039" i="8"/>
  <c r="AA1029" i="8"/>
  <c r="AA1185" i="8"/>
  <c r="Y959" i="8"/>
  <c r="AA913" i="8"/>
  <c r="AA144" i="8"/>
  <c r="AT470" i="8"/>
  <c r="AK470" i="8" s="1"/>
  <c r="AS470" i="8"/>
  <c r="AJ470" i="8" s="1"/>
  <c r="AC470" i="8"/>
  <c r="AB470" i="8"/>
  <c r="Y389" i="8"/>
  <c r="Y688" i="8"/>
  <c r="AA1043" i="8"/>
  <c r="AA1023" i="8"/>
  <c r="Y1191" i="8"/>
  <c r="Y963" i="8"/>
  <c r="AA624" i="8"/>
  <c r="AA441" i="8"/>
  <c r="AA1041" i="8"/>
  <c r="Y913" i="8"/>
  <c r="Y1168" i="8"/>
  <c r="AA820" i="8"/>
  <c r="Y1010" i="8"/>
  <c r="AA226" i="8"/>
  <c r="AA600" i="8"/>
  <c r="Y318" i="8"/>
  <c r="AA648" i="8"/>
  <c r="AA677" i="8"/>
  <c r="Y1118" i="8"/>
  <c r="AA1004" i="8"/>
  <c r="Y409" i="8"/>
  <c r="AA66" i="8"/>
  <c r="AA462" i="8"/>
  <c r="AA231" i="8"/>
  <c r="AA245" i="8"/>
  <c r="AA1116" i="8"/>
  <c r="AT442" i="8"/>
  <c r="AK442" i="8" s="1"/>
  <c r="AS442" i="8"/>
  <c r="AJ442" i="8" s="1"/>
  <c r="AC442" i="8"/>
  <c r="AB442" i="8"/>
  <c r="AA1068" i="8"/>
  <c r="Y274" i="8"/>
  <c r="Y471" i="8"/>
  <c r="Y693" i="8"/>
  <c r="AA1084" i="8"/>
  <c r="AA1088" i="8"/>
  <c r="Y244" i="8"/>
  <c r="Y958" i="8"/>
  <c r="AA1187" i="8"/>
  <c r="Y1120" i="8"/>
  <c r="AC963" i="8"/>
  <c r="AB963" i="8"/>
  <c r="AT963" i="8"/>
  <c r="AK963" i="8" s="1"/>
  <c r="AS963" i="8"/>
  <c r="AJ963" i="8" s="1"/>
  <c r="AA1021" i="8"/>
  <c r="Y90" i="8"/>
  <c r="AA665" i="8"/>
  <c r="AA545" i="8"/>
  <c r="AA577" i="8"/>
  <c r="Y985" i="8"/>
  <c r="AA485" i="8"/>
  <c r="AA1026" i="8"/>
  <c r="AA584" i="8"/>
  <c r="AA337" i="8"/>
  <c r="Y1170" i="8"/>
  <c r="AA375" i="8"/>
  <c r="Y780" i="8"/>
  <c r="AA346" i="8"/>
  <c r="AA1144" i="8"/>
  <c r="AA390" i="8"/>
  <c r="Y1028" i="8"/>
  <c r="Y277" i="8"/>
  <c r="AA707" i="8"/>
  <c r="AS1147" i="8"/>
  <c r="AJ1147" i="8" s="1"/>
  <c r="AC1147" i="8"/>
  <c r="AB1147" i="8"/>
  <c r="AT1147" i="8"/>
  <c r="AK1147" i="8" s="1"/>
  <c r="Y774" i="8"/>
  <c r="Y412" i="8"/>
  <c r="Y93" i="8"/>
  <c r="AS1007" i="8"/>
  <c r="AJ1007" i="8" s="1"/>
  <c r="AB1007" i="8"/>
  <c r="AT1007" i="8"/>
  <c r="AK1007" i="8" s="1"/>
  <c r="AC1007" i="8"/>
  <c r="AS961" i="8"/>
  <c r="AJ961" i="8" s="1"/>
  <c r="AC961" i="8"/>
  <c r="AB961" i="8"/>
  <c r="AT961" i="8"/>
  <c r="AK961" i="8" s="1"/>
  <c r="AS805" i="8"/>
  <c r="AJ805" i="8" s="1"/>
  <c r="AC805" i="8"/>
  <c r="AB805" i="8"/>
  <c r="AT805" i="8"/>
  <c r="AK805" i="8" s="1"/>
  <c r="AT828" i="8"/>
  <c r="AK828" i="8" s="1"/>
  <c r="AB828" i="8"/>
  <c r="AC828" i="8"/>
  <c r="AS828" i="8"/>
  <c r="AJ828" i="8" s="1"/>
  <c r="AA785" i="8"/>
  <c r="AA377" i="8"/>
  <c r="AA536" i="8"/>
  <c r="AA853" i="8"/>
  <c r="AA937" i="8"/>
  <c r="AA1104" i="8"/>
  <c r="AA642" i="8"/>
  <c r="AA788" i="8"/>
  <c r="Y468" i="8"/>
  <c r="Y444" i="8"/>
  <c r="Y689" i="8"/>
  <c r="Y115" i="8"/>
  <c r="AA646" i="8"/>
  <c r="Y716" i="8"/>
  <c r="Y696" i="8"/>
  <c r="AA247" i="8"/>
  <c r="Y217" i="8"/>
  <c r="Y91" i="8"/>
  <c r="AA152" i="8"/>
  <c r="Y1096" i="8"/>
  <c r="Y828" i="8"/>
  <c r="AA14" i="8"/>
  <c r="Y826" i="8"/>
  <c r="Y956" i="8"/>
  <c r="AA344" i="8"/>
  <c r="Y251" i="8"/>
  <c r="Y279" i="8"/>
  <c r="AA903" i="8"/>
  <c r="Y116" i="8"/>
  <c r="AA499" i="8"/>
  <c r="Y1097" i="8"/>
  <c r="Y1113" i="8"/>
  <c r="Y296" i="8"/>
  <c r="AA503" i="8"/>
  <c r="Y719" i="8"/>
  <c r="AA638" i="8"/>
  <c r="Y772" i="8"/>
  <c r="AA267" i="8"/>
  <c r="Y745" i="8"/>
  <c r="AA951" i="8"/>
  <c r="Y365" i="8"/>
  <c r="AA834" i="8"/>
  <c r="AA724" i="8"/>
  <c r="AA1159" i="8"/>
  <c r="AA423" i="8"/>
  <c r="Y193" i="8"/>
  <c r="AA1047" i="8"/>
  <c r="AA897" i="8"/>
  <c r="AA908" i="8"/>
  <c r="AA952" i="8"/>
  <c r="AA749" i="8"/>
  <c r="Y1095" i="8"/>
  <c r="Y843" i="8"/>
  <c r="AA228" i="8"/>
  <c r="AA502" i="8"/>
  <c r="Y806" i="8"/>
  <c r="Y248" i="8"/>
  <c r="Y800" i="8"/>
  <c r="Y65" i="8"/>
  <c r="AA934" i="8"/>
  <c r="AT1076" i="8"/>
  <c r="AK1076" i="8" s="1"/>
  <c r="AC1076" i="8"/>
  <c r="AS1076" i="8"/>
  <c r="AJ1076" i="8" s="1"/>
  <c r="AA1076" i="8" s="1"/>
  <c r="AB1076" i="8"/>
  <c r="Y829" i="8"/>
  <c r="AA1100" i="8"/>
  <c r="AA1027" i="8"/>
  <c r="AA119" i="8"/>
  <c r="AA415" i="8"/>
  <c r="AA731" i="8"/>
  <c r="AA1011" i="8"/>
  <c r="AA481" i="8"/>
  <c r="AA655" i="8"/>
  <c r="AA750" i="8"/>
  <c r="AA967" i="8"/>
  <c r="AA180" i="8"/>
  <c r="Y64" i="8"/>
  <c r="AA939" i="8"/>
  <c r="AA12" i="8"/>
  <c r="AA876" i="8"/>
  <c r="AA289" i="8"/>
  <c r="AA911" i="8"/>
  <c r="Y192" i="8"/>
  <c r="Y387" i="8"/>
  <c r="AA851" i="8"/>
  <c r="AA202" i="8"/>
  <c r="Y867" i="8"/>
  <c r="Y722" i="8"/>
  <c r="AA1014" i="8"/>
  <c r="AA227" i="8"/>
  <c r="AA219" i="8"/>
  <c r="AA612" i="8"/>
  <c r="AA427" i="8"/>
  <c r="AA203" i="8"/>
  <c r="AA901" i="8"/>
  <c r="AA356" i="8"/>
  <c r="Y347" i="8"/>
  <c r="AA250" i="8"/>
  <c r="AA617" i="8"/>
  <c r="AA1013" i="8"/>
  <c r="AS276" i="8"/>
  <c r="AJ276" i="8" s="1"/>
  <c r="AC276" i="8"/>
  <c r="AB276" i="8"/>
  <c r="AT276" i="8"/>
  <c r="AK276" i="8" s="1"/>
  <c r="AA621" i="8"/>
  <c r="Y1054" i="8"/>
  <c r="AA1036" i="8"/>
  <c r="AA140" i="8"/>
  <c r="AA533" i="8"/>
  <c r="AA1162" i="8"/>
  <c r="AA974" i="8"/>
  <c r="AA795" i="8"/>
  <c r="AA738" i="8"/>
  <c r="AA678" i="8"/>
  <c r="AA855" i="8"/>
  <c r="AA196" i="8"/>
  <c r="AA136" i="8"/>
  <c r="AA1173" i="8"/>
  <c r="AA477" i="8"/>
  <c r="AA408" i="8"/>
  <c r="Y1027" i="8"/>
  <c r="AA475" i="8"/>
  <c r="AA954" i="8"/>
  <c r="AA632" i="8"/>
  <c r="AA290" i="8"/>
  <c r="AA659" i="8"/>
  <c r="AA1005" i="8"/>
  <c r="AA320" i="8"/>
  <c r="Y1163" i="8"/>
  <c r="AA990" i="8"/>
  <c r="AA801" i="8"/>
  <c r="Y1147" i="8"/>
  <c r="AA1028" i="8"/>
  <c r="AA184" i="8"/>
  <c r="AA538" i="8"/>
  <c r="AA429" i="8"/>
  <c r="AA871" i="8" l="1"/>
  <c r="AA90" i="8"/>
  <c r="AA917" i="8"/>
  <c r="AA1078" i="8"/>
  <c r="AA37" i="8"/>
  <c r="AA322" i="8"/>
  <c r="AA1007" i="8"/>
  <c r="AA1053" i="8"/>
  <c r="AA828" i="8"/>
  <c r="AA1193" i="8"/>
  <c r="AA220" i="8"/>
  <c r="AA984" i="8"/>
  <c r="AA414" i="8"/>
  <c r="AA938" i="8"/>
  <c r="AA1147" i="8"/>
  <c r="AA1055" i="8"/>
  <c r="AA35" i="8"/>
  <c r="AA805" i="8"/>
  <c r="AA299" i="8"/>
  <c r="AA174" i="8"/>
  <c r="AA248" i="8"/>
  <c r="AA470" i="8"/>
  <c r="AA118" i="8"/>
  <c r="AA894" i="8"/>
  <c r="AA693" i="8"/>
  <c r="AA940" i="8"/>
  <c r="AA963" i="8"/>
  <c r="AA442" i="8"/>
  <c r="AA1030" i="8"/>
  <c r="AA719" i="8"/>
  <c r="AA276" i="8"/>
  <c r="AA961" i="8"/>
  <c r="AA1168" i="8"/>
  <c r="AA1191" i="8"/>
  <c r="AA1117" i="8"/>
  <c r="AA1145" i="8"/>
</calcChain>
</file>

<file path=xl/sharedStrings.xml><?xml version="1.0" encoding="utf-8"?>
<sst xmlns="http://schemas.openxmlformats.org/spreadsheetml/2006/main" count="12070" uniqueCount="995">
  <si>
    <t>职业名称</t>
  </si>
  <si>
    <t>阶级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</si>
  <si>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</si>
  <si>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</si>
  <si>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</si>
  <si>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</si>
  <si>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</si>
  <si>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</si>
  <si>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</si>
  <si>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</si>
  <si>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</si>
  <si>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</si>
  <si>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</si>
  <si>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</si>
  <si>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</si>
  <si>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</si>
  <si>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</si>
  <si>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</si>
  <si>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</si>
  <si>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</si>
  <si>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</si>
  <si>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</si>
  <si>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</si>
  <si>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食品</t>
  </si>
  <si>
    <t>服务</t>
  </si>
  <si>
    <t>玻璃</t>
  </si>
  <si>
    <t>衣物</t>
  </si>
  <si>
    <t>家具</t>
  </si>
  <si>
    <t>饮品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</si>
  <si>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</si>
  <si>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</si>
  <si>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</si>
  <si>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</si>
  <si>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</si>
  <si>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</si>
  <si>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</si>
  <si>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</si>
  <si>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</si>
  <si>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</si>
  <si>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</si>
  <si>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</si>
  <si>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</si>
  <si>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</si>
  <si>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</si>
  <si>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</si>
  <si>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</si>
  <si>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</si>
  <si>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轻武器</t>
  </si>
  <si>
    <t>金属武器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</si>
  <si>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</si>
  <si>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</si>
  <si>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</si>
  <si>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</si>
  <si>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</si>
  <si>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</si>
  <si>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</si>
  <si>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建造</t>
  </si>
  <si>
    <t>交易</t>
  </si>
  <si>
    <t>法铳</t>
  </si>
  <si>
    <t>第一列字段
必须是index</t>
  </si>
  <si>
    <t>便捷取色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</si>
  <si>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</si>
  <si>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</si>
  <si>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</si>
  <si>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</si>
  <si>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</si>
  <si>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</si>
  <si>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</si>
  <si>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</si>
  <si>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</si>
  <si>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</si>
  <si>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</si>
  <si>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</si>
  <si>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</si>
  <si>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</si>
  <si>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</si>
  <si>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</si>
  <si>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</si>
  <si>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</si>
  <si>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</si>
  <si>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</si>
  <si>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</si>
  <si>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生产方式类别</t>
  </si>
  <si>
    <t>消耗等级</t>
  </si>
  <si>
    <t>工资等级</t>
  </si>
  <si>
    <t>产出倍率
(辅助配置）</t>
  </si>
  <si>
    <t>产出等级</t>
  </si>
  <si>
    <t>生产方式组类别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</si>
  <si>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</si>
  <si>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</si>
  <si>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</si>
  <si>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</si>
  <si>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</si>
  <si>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</si>
  <si>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</si>
  <si>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</si>
  <si>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</si>
  <si>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</si>
  <si>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</si>
  <si>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</si>
  <si>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</si>
  <si>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</si>
  <si>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</si>
  <si>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</si>
  <si>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</si>
  <si>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</si>
  <si>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</si>
  <si>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</si>
  <si>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</si>
  <si>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</si>
  <si>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</si>
  <si>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</si>
  <si>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</si>
  <si>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</si>
  <si>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</si>
  <si>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</si>
  <si>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</si>
  <si>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</si>
  <si>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</si>
  <si>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科学自动化1</t>
  </si>
  <si>
    <t>（交通运输和所有制比较特殊，另外设计）</t>
  </si>
  <si>
    <t>技术密集2</t>
  </si>
  <si>
    <t>科学自动化2</t>
  </si>
  <si>
    <t>技术密集3</t>
  </si>
  <si>
    <t>科学自动化3</t>
  </si>
  <si>
    <t>技术密集4</t>
  </si>
  <si>
    <t>科学自动化4</t>
  </si>
  <si>
    <t>技术密集5</t>
  </si>
  <si>
    <t>科学自动化5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</si>
  <si>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</si>
  <si>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</si>
  <si>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</si>
  <si>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</si>
  <si>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</si>
  <si>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</si>
  <si>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</si>
  <si>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</si>
  <si>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</si>
  <si>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</si>
  <si>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</si>
  <si>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</si>
  <si>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</si>
  <si>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</si>
  <si>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</si>
  <si>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</si>
  <si>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</si>
  <si>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</si>
  <si>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</si>
  <si>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魔法自动化1</t>
  </si>
  <si>
    <t>无2</t>
  </si>
  <si>
    <t>魔法自动化2</t>
  </si>
  <si>
    <t>无3</t>
  </si>
  <si>
    <t>魔法自动化3</t>
  </si>
  <si>
    <t>无4</t>
  </si>
  <si>
    <t>魔法自动化4</t>
  </si>
  <si>
    <t>无5</t>
  </si>
  <si>
    <t>魔法自动化5</t>
  </si>
  <si>
    <t>无6</t>
  </si>
  <si>
    <t>无7</t>
  </si>
  <si>
    <t>无8</t>
  </si>
  <si>
    <t>无9</t>
  </si>
  <si>
    <t>无10</t>
  </si>
  <si>
    <t>无11</t>
  </si>
  <si>
    <t>无12</t>
  </si>
  <si>
    <t>无13</t>
  </si>
  <si>
    <t>建筑名称</t>
  </si>
  <si>
    <t>生产方式组</t>
  </si>
  <si>
    <t>生产方式</t>
  </si>
  <si>
    <t>生产方式等级</t>
  </si>
  <si>
    <t>building_食品厂</t>
  </si>
  <si>
    <t>pmg_食品厂_基础生产</t>
  </si>
  <si>
    <t>劳动密集</t>
  </si>
  <si>
    <t>基础生产</t>
  </si>
  <si>
    <t>pmg_食品厂_科学自动化</t>
  </si>
  <si>
    <t>无</t>
  </si>
  <si>
    <t>科学自动化</t>
  </si>
  <si>
    <t>pmg_食品厂_魔法自动化</t>
  </si>
  <si>
    <t>魔法自动化</t>
  </si>
  <si>
    <t>pmg_食品厂_所有制</t>
  </si>
  <si>
    <t>所有制</t>
  </si>
  <si>
    <t>building_酿酒厂</t>
  </si>
  <si>
    <t>pmg_酿酒厂_基础生产</t>
  </si>
  <si>
    <t>pmg_酿酒厂_科学自动化</t>
  </si>
  <si>
    <t>pmg_酿酒厂_魔法自动化</t>
  </si>
  <si>
    <t>pmg_酿酒厂_所有制</t>
  </si>
  <si>
    <t>building_造纸厂</t>
  </si>
  <si>
    <t>pmg_造纸厂_基础生产</t>
  </si>
  <si>
    <t>pmg_造纸厂_科学自动化</t>
  </si>
  <si>
    <t>pmg_造纸厂_魔法自动化</t>
  </si>
  <si>
    <t>pmg_造纸厂_所有制</t>
  </si>
  <si>
    <t>building_纺织厂</t>
  </si>
  <si>
    <t>pmg_纺织厂_基础生产</t>
  </si>
  <si>
    <t>pmg_纺织厂_高级生产</t>
  </si>
  <si>
    <t>高级生产</t>
  </si>
  <si>
    <t>pmg_纺织厂_科学自动化</t>
  </si>
  <si>
    <t>pmg_纺织厂_魔法自动化</t>
  </si>
  <si>
    <t>pmg_纺织厂_所有制</t>
  </si>
  <si>
    <t>building_家具厂</t>
  </si>
  <si>
    <t>pmg_家具厂_基础生产</t>
  </si>
  <si>
    <t>pmg_家具厂_高级生产</t>
  </si>
  <si>
    <t>pmg_家具厂_科学自动化</t>
  </si>
  <si>
    <t>pmg_家具厂_魔法自动化</t>
  </si>
  <si>
    <t>pmg_家具厂_所有制</t>
  </si>
  <si>
    <t>building_玻璃厂</t>
  </si>
  <si>
    <t>pmg_玻璃厂_基础生产</t>
  </si>
  <si>
    <t>pmg_玻璃厂_高级生产</t>
  </si>
  <si>
    <t>pmg_玻璃厂_科学自动化</t>
  </si>
  <si>
    <t>pmg_玻璃厂_魔法自动化</t>
  </si>
  <si>
    <t>pmg_玻璃厂_所有制</t>
  </si>
  <si>
    <t>building_化工厂</t>
  </si>
  <si>
    <t>pmg_化工厂_基础生产</t>
  </si>
  <si>
    <t>pmg_化工厂_高级生产</t>
  </si>
  <si>
    <t>pmg_化工厂_科学自动化</t>
  </si>
  <si>
    <t>pmg_化工厂_魔法自动化</t>
  </si>
  <si>
    <t>pmg_化工厂_所有制</t>
  </si>
  <si>
    <t>building_工具作坊</t>
  </si>
  <si>
    <t>pmg_工具作坊_基础生产</t>
  </si>
  <si>
    <t>pmg_工具作坊_科学自动化</t>
  </si>
  <si>
    <t>pmg_工具作坊_魔法自动化</t>
  </si>
  <si>
    <t>pmg_工具作坊_所有制</t>
  </si>
  <si>
    <t>building_魔偶工厂</t>
  </si>
  <si>
    <t>pmg_魔偶工厂_基础生产</t>
  </si>
  <si>
    <t>技术密集</t>
  </si>
  <si>
    <t>pmg_魔偶工厂_科学自动化</t>
  </si>
  <si>
    <t>pmg_魔偶工厂_魔法自动化</t>
  </si>
  <si>
    <t>pmg_魔偶工厂_所有制</t>
  </si>
  <si>
    <t>building_科学武器厂</t>
  </si>
  <si>
    <t>pmg_科学武器厂_基础生产</t>
  </si>
  <si>
    <t>pmg_科学武器厂_高级生产</t>
  </si>
  <si>
    <t>pmg_科学武器厂_科学自动化</t>
  </si>
  <si>
    <t>pmg_科学武器厂_魔法自动化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</si>
  <si>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</si>
  <si>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</si>
  <si>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</si>
  <si>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</si>
  <si>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</si>
  <si>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</si>
  <si>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</si>
  <si>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building_合成材料工厂</t>
  </si>
  <si>
    <t>pmg_合成材料工厂_基础生产</t>
  </si>
  <si>
    <t>pmg_合成材料工厂_科学自动化</t>
  </si>
  <si>
    <t>pmg_合成材料工厂_魔法自动化</t>
  </si>
  <si>
    <t>pmg_合成材料工厂_所有制</t>
  </si>
  <si>
    <t>building_钢铁厂</t>
  </si>
  <si>
    <t>pmg_钢铁厂_基础生产</t>
  </si>
  <si>
    <t>pmg_钢铁厂_科学自动化</t>
  </si>
  <si>
    <t>pmg_钢铁厂_魔法自动化</t>
  </si>
  <si>
    <t>pmg_钢铁厂_所有制</t>
  </si>
  <si>
    <t>building_炼金厂</t>
  </si>
  <si>
    <t>pmg_炼金厂_基础生产</t>
  </si>
  <si>
    <t>pmg_炼金厂_科学自动化</t>
  </si>
  <si>
    <t>pmg_炼金厂_魔法自动化</t>
  </si>
  <si>
    <t>pmg_炼金厂_所有制</t>
  </si>
  <si>
    <t>building_晶体萃取厂</t>
  </si>
  <si>
    <t>pmg_晶体萃取厂_基础生产</t>
  </si>
  <si>
    <t>pmg_晶体萃取厂_科学自动化</t>
  </si>
  <si>
    <t>pmg_晶体萃取厂_魔法自动化</t>
  </si>
  <si>
    <t>pmg_晶体萃取厂_所有制</t>
  </si>
  <si>
    <t>building_科学动力厂</t>
  </si>
  <si>
    <t>pmg_科学动力厂_基础生产</t>
  </si>
  <si>
    <t>pmg_科学动力厂_科学自动化</t>
  </si>
  <si>
    <t>pmg_科学动力厂_魔法自动化</t>
  </si>
  <si>
    <t>pmg_科学动力厂_所有制</t>
  </si>
  <si>
    <t>building_魔导动力厂</t>
  </si>
  <si>
    <t>pmg_魔导动力厂_基础生产</t>
  </si>
  <si>
    <t>pmg_魔导动力厂_科学自动化</t>
  </si>
  <si>
    <t>pmg_魔导动力厂_魔法自动化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</si>
  <si>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</si>
  <si>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</si>
  <si>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</si>
  <si>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</si>
  <si>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pmg_魔能军械厂_科学自动化</t>
  </si>
  <si>
    <t>pmg_魔能军械厂_魔法自动化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</si>
  <si>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</si>
  <si>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</si>
  <si>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</si>
  <si>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</si>
  <si>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pmg_科学军械厂_科学自动化</t>
  </si>
  <si>
    <t>pmg_科学军械厂_魔法自动化</t>
  </si>
  <si>
    <t>pmg_科学军械厂_所有制</t>
  </si>
  <si>
    <t>building_道路</t>
  </si>
  <si>
    <t>pmg_道路_基础生产</t>
  </si>
  <si>
    <t>资本密集</t>
  </si>
  <si>
    <t>pmg_道路_高级生产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</si>
  <si>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</si>
  <si>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</si>
  <si>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</si>
  <si>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</si>
  <si>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</si>
  <si>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</si>
  <si>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</si>
  <si>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</si>
  <si>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</si>
  <si>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</si>
  <si>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</si>
  <si>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</si>
  <si>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</si>
  <si>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</si>
  <si>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</si>
  <si>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</si>
  <si>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</si>
  <si>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</si>
  <si>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</si>
  <si>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</si>
  <si>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</si>
  <si>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</si>
  <si>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</si>
  <si>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</si>
  <si>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</si>
  <si>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</si>
  <si>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</si>
  <si>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</si>
  <si>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资源密集</t>
  </si>
  <si>
    <t>pmg_煤矿_高级生产</t>
  </si>
  <si>
    <t>pmg_煤矿_科学自动化</t>
  </si>
  <si>
    <t>pmg_煤矿_魔法自动化</t>
  </si>
  <si>
    <t>pmg_煤矿_所有制</t>
  </si>
  <si>
    <t>building_铁矿</t>
  </si>
  <si>
    <t>pmg_铁矿_基础生产</t>
  </si>
  <si>
    <t>pmg_铁矿_高级生产</t>
  </si>
  <si>
    <t>pmg_铁矿_科学自动化</t>
  </si>
  <si>
    <t>pmg_铁矿_魔法自动化</t>
  </si>
  <si>
    <t>pmg_铁矿_所有制</t>
  </si>
  <si>
    <t>building_铅矿</t>
  </si>
  <si>
    <t>pmg_铅矿_基础生产</t>
  </si>
  <si>
    <t>pmg_铅矿_高级生产</t>
  </si>
  <si>
    <t>pmg_铅矿_科学自动化</t>
  </si>
  <si>
    <t>pmg_铅矿_魔法自动化</t>
  </si>
  <si>
    <t>pmg_铅矿_所有制</t>
  </si>
  <si>
    <t>building_硫矿</t>
  </si>
  <si>
    <t>pmg_硫矿_基础生产</t>
  </si>
  <si>
    <t>pmg_硫矿_高级生产</t>
  </si>
  <si>
    <t>pmg_硫矿_科学自动化</t>
  </si>
  <si>
    <t>pmg_硫矿_魔法自动化</t>
  </si>
  <si>
    <t>pmg_硫矿_所有制</t>
  </si>
  <si>
    <t>building_金矿</t>
  </si>
  <si>
    <t>pmg_金矿_基础生产</t>
  </si>
  <si>
    <t>pmg_金矿_高级生产</t>
  </si>
  <si>
    <t>pmg_金矿_科学自动化</t>
  </si>
  <si>
    <t>pmg_金矿_魔法自动化</t>
  </si>
  <si>
    <t>pmg_金矿_所有制</t>
  </si>
  <si>
    <t>building_油井</t>
  </si>
  <si>
    <t>pmg_油井_基础生产</t>
  </si>
  <si>
    <t>pmg_油井_高级生产</t>
  </si>
  <si>
    <t>pmg_油井_科学自动化</t>
  </si>
  <si>
    <t>pmg_油井_魔法自动化</t>
  </si>
  <si>
    <t>pmg_油井_所有制</t>
  </si>
  <si>
    <t>building_棉花</t>
  </si>
  <si>
    <t>pmg_棉花_基础生产</t>
  </si>
  <si>
    <t>pmg_棉花_科学自动化</t>
  </si>
  <si>
    <t>pmg_棉花_魔法自动化</t>
  </si>
  <si>
    <t>pmg_棉花_所有制</t>
  </si>
  <si>
    <t>building_染料</t>
  </si>
  <si>
    <t>pmg_染料_基础生产</t>
  </si>
  <si>
    <t>pmg_染料_科学自动化</t>
  </si>
  <si>
    <t>pmg_染料_魔法自动化</t>
  </si>
  <si>
    <t>pmg_染料_所有制</t>
  </si>
  <si>
    <t>building_鸦片</t>
  </si>
  <si>
    <t>pmg_鸦片_基础生产</t>
  </si>
  <si>
    <t>pmg_鸦片_科学自动化</t>
  </si>
  <si>
    <t>pmg_鸦片_魔法自动化</t>
  </si>
  <si>
    <t>pmg_鸦片_所有制</t>
  </si>
  <si>
    <t>building_茶叶</t>
  </si>
  <si>
    <t>pmg_茶叶_基础生产</t>
  </si>
  <si>
    <t>pmg_茶叶_科学自动化</t>
  </si>
  <si>
    <t>pmg_茶叶_魔法自动化</t>
  </si>
  <si>
    <t>pmg_茶叶_所有制</t>
  </si>
  <si>
    <t>building_烟草</t>
  </si>
  <si>
    <t>pmg_烟草_基础生产</t>
  </si>
  <si>
    <t>pmg_烟草_科学自动化</t>
  </si>
  <si>
    <t>pmg_烟草_魔法自动化</t>
  </si>
  <si>
    <t>pmg_烟草_所有制</t>
  </si>
  <si>
    <t>building_香蕉</t>
  </si>
  <si>
    <t>pmg_香蕉_基础生产</t>
  </si>
  <si>
    <t>pmg_香蕉_科学自动化</t>
  </si>
  <si>
    <t>pmg_香蕉_魔法自动化</t>
  </si>
  <si>
    <t>pmg_香蕉_所有制</t>
  </si>
  <si>
    <t>building_糖类</t>
  </si>
  <si>
    <t>pmg_糖类_基础生产</t>
  </si>
  <si>
    <t>pmg_糖类_科学自动化</t>
  </si>
  <si>
    <t>pmg_糖类_魔法自动化</t>
  </si>
  <si>
    <t>pmg_糖类_所有制</t>
  </si>
  <si>
    <t>building_丝绸</t>
  </si>
  <si>
    <t>pmg_丝绸_基础生产</t>
  </si>
  <si>
    <t>pmg_丝绸_科学自动化</t>
  </si>
  <si>
    <t>pmg_丝绸_魔法自动化</t>
  </si>
  <si>
    <t>pmg_丝绸_所有制</t>
  </si>
  <si>
    <t>building_伐木场</t>
  </si>
  <si>
    <t>pmg_伐木场_基础生产</t>
  </si>
  <si>
    <t>pmg_伐木场_科学自动化</t>
  </si>
  <si>
    <t>pmg_伐木场_魔法自动化</t>
  </si>
  <si>
    <t>pmg_伐木场_所有制</t>
  </si>
  <si>
    <t>building_树胶</t>
  </si>
  <si>
    <t>pmg_树胶_基础生产</t>
  </si>
  <si>
    <t>pmg_树胶_科学自动化</t>
  </si>
  <si>
    <t>pmg_树胶_魔法自动化</t>
  </si>
  <si>
    <t>pmg_树胶_所有制</t>
  </si>
  <si>
    <t>building_黑麦</t>
  </si>
  <si>
    <t>pmg_黑麦_基础生产</t>
  </si>
  <si>
    <t>pmg_黑麦_科学自动化</t>
  </si>
  <si>
    <t>pmg_黑麦_魔法自动化</t>
  </si>
  <si>
    <t>pmg_黑麦_所有制</t>
  </si>
  <si>
    <t>building_小麦</t>
  </si>
  <si>
    <t>pmg_小麦_基础生产</t>
  </si>
  <si>
    <t>pmg_小麦_科学自动化</t>
  </si>
  <si>
    <t>pmg_小麦_魔法自动化</t>
  </si>
  <si>
    <t>pmg_小麦_所有制</t>
  </si>
  <si>
    <t>building_大米</t>
  </si>
  <si>
    <t>pmg_大米_基础生产</t>
  </si>
  <si>
    <t>pmg_大米_科学自动化</t>
  </si>
  <si>
    <t>pmg_大米_魔法自动化</t>
  </si>
  <si>
    <t>pmg_大米_所有制</t>
  </si>
  <si>
    <t>building_玉米</t>
  </si>
  <si>
    <t>pmg_玉米_基础生产</t>
  </si>
  <si>
    <t>pmg_玉米_科学自动化</t>
  </si>
  <si>
    <t>pmg_玉米_魔法自动化</t>
  </si>
  <si>
    <t>pmg_玉米_所有制</t>
  </si>
  <si>
    <t>building_小米</t>
  </si>
  <si>
    <t>pmg_小米_基础生产</t>
  </si>
  <si>
    <t>pmg_小米_科学自动化</t>
  </si>
  <si>
    <t>pmg_小米_魔法自动化</t>
  </si>
  <si>
    <t>pmg_小米_所有制</t>
  </si>
  <si>
    <t>building_牧场</t>
  </si>
  <si>
    <t>pmg_牧场_基础生产</t>
  </si>
  <si>
    <t>pmg_牧场_科学自动化</t>
  </si>
  <si>
    <t>pmg_牧场_魔法自动化</t>
  </si>
  <si>
    <t>pmg_牧场_所有制</t>
  </si>
  <si>
    <t>building_渔船码头</t>
  </si>
  <si>
    <t>pmg_渔船码头_基础生产</t>
  </si>
  <si>
    <t>pmg_渔船码头_科学自动化</t>
  </si>
  <si>
    <t>pmg_渔船码头_魔法自动化</t>
  </si>
  <si>
    <t>pmg_渔船码头_所有制</t>
  </si>
  <si>
    <t>building_捕鲸站</t>
  </si>
  <si>
    <t>pmg_捕鲸站_基础生产</t>
  </si>
  <si>
    <t>pmg_捕鲸站_科学自动化</t>
  </si>
  <si>
    <t>pmg_捕鲸站_魔法自动化</t>
  </si>
  <si>
    <t>pmg_捕鲸站_所有制</t>
  </si>
  <si>
    <t>雇佣的权重，有增必有减；
权重不为0</t>
  </si>
  <si>
    <t>演算</t>
  </si>
  <si>
    <t>等级</t>
  </si>
  <si>
    <t>生产方式组
类别</t>
  </si>
  <si>
    <t>消耗1</t>
  </si>
  <si>
    <t>权重</t>
  </si>
  <si>
    <t>消耗2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</si>
  <si>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</si>
  <si>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</si>
  <si>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</si>
  <si>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</si>
  <si>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</si>
  <si>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</si>
  <si>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</si>
  <si>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产出1</t>
  </si>
  <si>
    <t>产出2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</si>
  <si>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</si>
  <si>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</si>
  <si>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</si>
  <si>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</si>
  <si>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</si>
  <si>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</si>
  <si>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</si>
  <si>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</si>
  <si>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运力
数量</t>
  </si>
  <si>
    <t>交易数量</t>
  </si>
  <si>
    <t>数量3</t>
  </si>
  <si>
    <t>消耗
总权重</t>
  </si>
  <si>
    <t>雇佣
总权重</t>
  </si>
  <si>
    <t>产出
总权重</t>
  </si>
  <si>
    <t>pm_食品_面包房</t>
  </si>
  <si>
    <t>pm_食品_甜味剂</t>
  </si>
  <si>
    <t>pm_食品_烘焙粉</t>
  </si>
  <si>
    <t>pmg_食品_装罐</t>
  </si>
  <si>
    <t>pm_食品_无罐装</t>
  </si>
  <si>
    <t>工具改良</t>
  </si>
  <si>
    <t>pm_食品_罐装</t>
  </si>
  <si>
    <t>pm_食品_真空罐装</t>
  </si>
  <si>
    <t>pmg_食品厂_自动化</t>
  </si>
  <si>
    <t>pm_食品_手工面团</t>
  </si>
  <si>
    <t>pm_食品_自动化面包房</t>
  </si>
  <si>
    <t>pm_食品_流水线生产</t>
  </si>
  <si>
    <t>pm_食品_机械臂</t>
  </si>
  <si>
    <t>pm_食品_高速流水线</t>
  </si>
  <si>
    <t>pm_食品_魔偶面包房</t>
  </si>
  <si>
    <t>pm_食品_魔偶自动面包房</t>
  </si>
  <si>
    <t>pm_食品_专精化魔偶</t>
  </si>
  <si>
    <t>pm_食品_魔偶自维护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</si>
  <si>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</si>
  <si>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</si>
  <si>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</si>
  <si>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</si>
  <si>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</si>
  <si>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</si>
  <si>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</si>
  <si>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</si>
  <si>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pm_酿酒_罐馏器</t>
  </si>
  <si>
    <t>pm_酿酒_连续式蒸馏器</t>
  </si>
  <si>
    <t>pm_酿酒_金属瓶身</t>
  </si>
  <si>
    <t>pm_酿酒_玻璃瓶身</t>
  </si>
  <si>
    <t>pmg_酿酒厂_自动化</t>
  </si>
  <si>
    <t>pm_酿酒_无自动化</t>
  </si>
  <si>
    <t>pm_酿酒_自动蒸馏器</t>
  </si>
  <si>
    <t>pm_酿酒_流水线生产</t>
  </si>
  <si>
    <t>pm_酿酒_机械臂</t>
  </si>
  <si>
    <t>pm_酿酒_高速流水线</t>
  </si>
  <si>
    <t>pm_酿酒_魔偶蒸馏</t>
  </si>
  <si>
    <t>pm_酿酒_魔偶自动蒸馏器</t>
  </si>
  <si>
    <t>pm_酿酒_专精化魔偶</t>
  </si>
  <si>
    <t>pm_酿酒_魔偶自维护</t>
  </si>
  <si>
    <t>pmg_造纸厂_自动化</t>
  </si>
  <si>
    <t>pmg_纺织厂_自动化</t>
  </si>
  <si>
    <t>pmg_家具厂_自动化</t>
  </si>
  <si>
    <t>pmg_玻璃厂_自动化</t>
  </si>
  <si>
    <t>pmg_化工厂_自动化</t>
  </si>
  <si>
    <t>pmg_工具作坊_自动化</t>
  </si>
  <si>
    <t>pmg_魔偶工厂_自动化</t>
  </si>
  <si>
    <t>pmg_科学武器厂_自动化</t>
  </si>
  <si>
    <t>pmg_魔导武器厂_自动化</t>
  </si>
  <si>
    <t>pmg_合成材料工厂_自动化</t>
  </si>
  <si>
    <t>pmg_钢铁厂_自动化</t>
  </si>
  <si>
    <t>pmg_炼金厂_自动化</t>
  </si>
  <si>
    <t>pmg_晶体萃取厂_自动化</t>
  </si>
  <si>
    <t>pmg_科学动力厂_自动化</t>
  </si>
  <si>
    <t>pmg_魔导动力厂_自动化</t>
  </si>
  <si>
    <t>pmg_魔能军械厂_自动化</t>
  </si>
  <si>
    <t>pmg_科学军械厂_自动化</t>
  </si>
  <si>
    <t>自动化</t>
  </si>
  <si>
    <t>数量</t>
  </si>
  <si>
    <t>消耗3</t>
  </si>
  <si>
    <t>消耗总等级</t>
  </si>
  <si>
    <t>雇佣总等级</t>
  </si>
  <si>
    <t>产出总等级</t>
  </si>
  <si>
    <t>利润等级</t>
  </si>
  <si>
    <t>pmg_食品厂_高级生产</t>
  </si>
  <si>
    <t>pmg_酿酒厂_高级生产</t>
  </si>
  <si>
    <t>pmg_煤矿_自动化</t>
  </si>
  <si>
    <t>pmg_铁矿_自动化</t>
  </si>
  <si>
    <t>pmg_铅矿_自动化</t>
  </si>
  <si>
    <t>pmg_硫矿_自动化</t>
  </si>
  <si>
    <t>pmg_金矿_自动化</t>
  </si>
  <si>
    <t>pmg_油井_自动化</t>
  </si>
  <si>
    <t>pmg_棉花_自动化</t>
  </si>
  <si>
    <t>pmg_染料_自动化</t>
  </si>
  <si>
    <t>pmg_鸦片_自动化</t>
  </si>
  <si>
    <t>pmg_茶叶_自动化</t>
  </si>
  <si>
    <t>pmg_烟草_自动化</t>
  </si>
  <si>
    <t>pmg_香蕉_自动化</t>
  </si>
  <si>
    <t>pmg_糖类_自动化</t>
  </si>
  <si>
    <t>pmg_丝绸_自动化</t>
  </si>
  <si>
    <t>pmg_伐木场_自动化</t>
  </si>
  <si>
    <t>pmg_树胶_自动化</t>
  </si>
  <si>
    <t>pmg_黑麦_自动化</t>
  </si>
  <si>
    <t>pmg_小麦_自动化</t>
  </si>
  <si>
    <t>pmg_大米_自动化</t>
  </si>
  <si>
    <t>pmg_玉米_自动化</t>
  </si>
  <si>
    <t>pmg_小米_自动化</t>
  </si>
  <si>
    <t>pmg_牧场_自动化</t>
  </si>
  <si>
    <t>pmg_渔船码头_自动化</t>
  </si>
  <si>
    <t>pmg_捕鲸站_自动化</t>
  </si>
  <si>
    <t>index</t>
  </si>
  <si>
    <t>value</t>
  </si>
  <si>
    <t>note_所属表格</t>
  </si>
  <si>
    <t>localization</t>
  </si>
  <si>
    <t>中文字符串</t>
  </si>
  <si>
    <t>转表后英文字符串</t>
  </si>
  <si>
    <t>本地化文本（未开发）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</si>
  <si>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</si>
  <si>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</si>
  <si>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</si>
  <si>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</si>
  <si>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</si>
  <si>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</si>
  <si>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</si>
  <si>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</si>
  <si>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pm_钢铁_无科学基础生产</t>
  </si>
  <si>
    <t>pm_no_science_base</t>
  </si>
  <si>
    <t>pm_钢铁_高炉炼铁</t>
  </si>
  <si>
    <t>pm_blast_furnace_building</t>
  </si>
  <si>
    <t>pm_钢铁_泡钢法</t>
  </si>
  <si>
    <t>pm_blister_steel_process</t>
  </si>
  <si>
    <t>pm_钢铁_贝塞麦转炉炼钢法</t>
  </si>
  <si>
    <t>pm_bessemer_process</t>
  </si>
  <si>
    <t>pm_钢铁_平炉炼钢法</t>
  </si>
  <si>
    <t>pm_open_hearth_process</t>
  </si>
  <si>
    <t>pm_钢铁_无魔法基础生产</t>
  </si>
  <si>
    <t>no_magic_base_production</t>
  </si>
  <si>
    <t>pm_钢铁_冲击分离法</t>
  </si>
  <si>
    <t>pm_magic_impact_process</t>
  </si>
  <si>
    <t>pm_钢铁_漂浮分离法</t>
  </si>
  <si>
    <t>pm_magic_floating_process</t>
  </si>
  <si>
    <t>pm_钢铁_魔能丝线分离法</t>
  </si>
  <si>
    <t>pm_magic_thread_seperation_process</t>
  </si>
  <si>
    <t>pm_钢铁_无科学自动化</t>
  </si>
  <si>
    <t>pm_no_science_automation</t>
  </si>
  <si>
    <t>pm_钢铁_水管锅炉</t>
  </si>
  <si>
    <t>pm_watertube_boiler_building_steel_mills</t>
  </si>
  <si>
    <t>pm_钢铁_旋转阀蒸汽机</t>
  </si>
  <si>
    <t>pm_rotary_valve_engine_building_steel_mills</t>
  </si>
  <si>
    <t>pm_钢铁_无魔法自动化</t>
  </si>
  <si>
    <t>pm_no_magic_automation_building_steel_mill</t>
  </si>
  <si>
    <t>pm_钢铁_基础魔偶</t>
  </si>
  <si>
    <t>pm_base_doll_building_steel_mill</t>
  </si>
  <si>
    <t>pm_钢铁_智能魔偶</t>
  </si>
  <si>
    <t>pm_intellectual_doll_building_steel_mill</t>
  </si>
  <si>
    <t>pm_钢铁_强智能魔偶</t>
  </si>
  <si>
    <t>pm_super_doll_building_steel_mill</t>
  </si>
  <si>
    <t>pm_钢铁_无魔导自动化</t>
  </si>
  <si>
    <t>pm_no_magiscientia_automation_building_steel_mill</t>
  </si>
  <si>
    <t>pm_钢铁_魔偶流水线</t>
  </si>
  <si>
    <t>pm_doll_based_assemble_line_building_steel_mill</t>
  </si>
  <si>
    <t>pm_科动_往复式蒸汽机</t>
  </si>
  <si>
    <t>pm_reciprocating_engines</t>
  </si>
  <si>
    <t>pm_科动_旋转阀蒸汽机</t>
  </si>
  <si>
    <t>pm_rotary_valve_engines</t>
  </si>
  <si>
    <t>pm_科动_通用化蒸汽核心</t>
  </si>
  <si>
    <t>pm_universal_steam_core</t>
  </si>
  <si>
    <t>pm_科动_无自动化</t>
  </si>
  <si>
    <t>pm_automation_disabled_building_motor_industry</t>
  </si>
  <si>
    <t>pm_科动_水管锅炉</t>
  </si>
  <si>
    <t>pm_watertube_boiler_building_motor_industry</t>
  </si>
  <si>
    <t>pm_科动_旋转阀蒸汽引擎</t>
  </si>
  <si>
    <t>pm_rotary_valve_engine_motor_industry</t>
  </si>
  <si>
    <t>pm_科动_流水线</t>
  </si>
  <si>
    <t>pm_assembly_lines_motor_industry</t>
  </si>
  <si>
    <t>pm_科动_魔偶流水线</t>
  </si>
  <si>
    <t>pm_doll_based_assemble_line_motor_industry</t>
  </si>
  <si>
    <t>pm_魔偶_基础魔偶生产</t>
  </si>
  <si>
    <t>pm_basic_magical_dolls</t>
  </si>
  <si>
    <t>pm_魔偶_智能魔偶生产</t>
  </si>
  <si>
    <t>pm_intelligent_magical_dolls</t>
  </si>
  <si>
    <t>pm_魔偶_超智能魔偶生产</t>
  </si>
  <si>
    <t>pm_strong_intelligent_magical_dolls</t>
  </si>
  <si>
    <t>pm_魔偶_无自动化</t>
  </si>
  <si>
    <t>pm_automation_disabled_building_doll_industry</t>
  </si>
  <si>
    <t>pm_魔偶_基础魔偶</t>
  </si>
  <si>
    <t>pm_base_doll_building_doll_industry</t>
  </si>
  <si>
    <t>pm_魔偶_智能魔偶</t>
  </si>
  <si>
    <t>pm_intellectual_doll_building_doll_industry</t>
  </si>
  <si>
    <t>pm_魔偶_超智能魔偶</t>
  </si>
  <si>
    <t>pm_super_doll_building_doll_industry</t>
  </si>
  <si>
    <t>pm_魔偶_魔偶流水线</t>
  </si>
  <si>
    <t>pm_doll_based_assemble_line_building_doll_industry</t>
  </si>
  <si>
    <t>pm_炼金_精炼</t>
  </si>
  <si>
    <t>pm_refinery</t>
  </si>
  <si>
    <t>pm_炼金_雌雄金属熔铸</t>
  </si>
  <si>
    <t>pm_masculine_and_feminine_metal_fusing</t>
  </si>
  <si>
    <t>pm_炼金_元素叠加传送</t>
  </si>
  <si>
    <t>pm_element_teleportation</t>
  </si>
  <si>
    <t>pm_炼金_无自动化</t>
  </si>
  <si>
    <t>pm_automation_disabled_building_alchemy_industry</t>
  </si>
  <si>
    <t>pm_炼金_基础魔偶</t>
  </si>
  <si>
    <t>pm_base_doll_building_alchemy_industry</t>
  </si>
  <si>
    <t>pm_炼金_智能魔偶</t>
  </si>
  <si>
    <t>pm_intellectual_doll_building_alchemy_industry</t>
  </si>
  <si>
    <t>pm_炼金_超智能魔偶</t>
  </si>
  <si>
    <t>pm_super_doll_building_alchemy_industry</t>
  </si>
  <si>
    <t>pm_炼金_魔偶流水线</t>
  </si>
  <si>
    <t>pm_doll_based_assemble_line_building_alchemy_industry</t>
  </si>
  <si>
    <t>pm_泽洛提取_养殖提取</t>
  </si>
  <si>
    <t>pm_extract_ranch</t>
  </si>
  <si>
    <t>pm_泽洛提取_尸体榨取</t>
  </si>
  <si>
    <t>pm_extract_from_body</t>
  </si>
  <si>
    <t>pm_泽洛提取_标准法杖</t>
  </si>
  <si>
    <t>pm_standard_wands</t>
  </si>
  <si>
    <t>pm_魔武_教国法铳</t>
  </si>
  <si>
    <t>pm_papa_made_magic_rifle</t>
  </si>
  <si>
    <t>pm_魔武_制式法铳</t>
  </si>
  <si>
    <t>pm_standard_magic_rifle</t>
  </si>
  <si>
    <t>pm_魔武_复式法铳</t>
  </si>
  <si>
    <t>pm_compound_magic_rifle</t>
  </si>
  <si>
    <t>pm_魔武_无自动化</t>
  </si>
  <si>
    <t>pm_automation_disabled_building_magical_small_arms_industry</t>
  </si>
  <si>
    <t>pm_魔武_基础魔偶</t>
  </si>
  <si>
    <t>pm_base_doll_building_magical_small_arms_industry</t>
  </si>
  <si>
    <t>pm_魔武_智能魔偶</t>
  </si>
  <si>
    <t>pm_intellectual_doll_building_magical_small_arms_industry</t>
  </si>
  <si>
    <t>pm_魔武_超智能魔偶</t>
  </si>
  <si>
    <t>pm_super_doll_building_magical_small_arms_industry</t>
  </si>
  <si>
    <t>pm_魔武_魔偶流水线</t>
  </si>
  <si>
    <t>pm_doll_based_assemble_line_building_magical_small_arms_industry</t>
  </si>
  <si>
    <t>pm_魔装_灵能撞击法</t>
  </si>
  <si>
    <t>pm_psionic_strike_method</t>
  </si>
  <si>
    <t>pm_魔装_灵能聚集法</t>
  </si>
  <si>
    <t>pm_psionic_assembling_method</t>
  </si>
  <si>
    <t>pm_魔装_灵能召唤法</t>
  </si>
  <si>
    <t>pm_psionic_summoning_method</t>
  </si>
  <si>
    <t>pm_魔装_无浮空车生产</t>
  </si>
  <si>
    <t>pm_no_magical_floating_vehicle_production</t>
  </si>
  <si>
    <t>pm_魔装_浮空车生产</t>
  </si>
  <si>
    <t>pm_magical_floating_vehicle_production</t>
  </si>
  <si>
    <t>pm_魔装_无自动化</t>
  </si>
  <si>
    <t>pm_automation_disabled_building_magical_equipment_industry</t>
  </si>
  <si>
    <t>pm_魔装_基础魔偶</t>
  </si>
  <si>
    <t>pm_base_doll_building_magical_equipment_industry</t>
  </si>
  <si>
    <t>pm_魔装_智能魔偶</t>
  </si>
  <si>
    <t>pm_intellectual_doll_building_magical_equipment_industry</t>
  </si>
  <si>
    <t>pm_魔装_超智能魔偶</t>
  </si>
  <si>
    <t>pm_super_doll_building_magical_equipment_industry</t>
  </si>
  <si>
    <t>pm_魔装_魔偶流水线</t>
  </si>
  <si>
    <t>pm_doll_based_assemble_line_building_magical_equipment_industry</t>
  </si>
  <si>
    <t>pm_科军_无飞行器生产</t>
  </si>
  <si>
    <t>pm_no_aerocraft_production</t>
  </si>
  <si>
    <t>pm_科军_蒸汽飞机生产</t>
  </si>
  <si>
    <t>pm_aeroplane_production</t>
  </si>
  <si>
    <t>pm_科军_空天母舰生产</t>
  </si>
  <si>
    <t>pm_helicarrier</t>
  </si>
  <si>
    <t>pm_科军_无机甲生产</t>
  </si>
  <si>
    <t>pm_no_mech_production</t>
  </si>
  <si>
    <t>pm_科军_蒸汽机甲</t>
  </si>
  <si>
    <t>pm_steam_mech_production</t>
  </si>
  <si>
    <t>pm_科军_科学机甲</t>
  </si>
  <si>
    <t>pm_science_mech_production</t>
  </si>
  <si>
    <t>pm_科军_无自动化</t>
  </si>
  <si>
    <t>pm_automation_disabledr_building_war_machine_industry</t>
  </si>
  <si>
    <t>pm_科军_水管锅炉</t>
  </si>
  <si>
    <t>pm_watertube_boiler_building_war_machine_industry</t>
  </si>
  <si>
    <t>pm_科军_旋转阀蒸汽机</t>
  </si>
  <si>
    <t>pm_rotary_valve_engine_building_war_machine_industry</t>
  </si>
  <si>
    <t>pm_科军_流水线</t>
  </si>
  <si>
    <t>pm_assembly_lines_building_war_machine_industry</t>
  </si>
  <si>
    <t>pm_科军_魔偶流水线</t>
  </si>
  <si>
    <t>pm_doll_based_assemble_line_building_war_machine_industry</t>
  </si>
  <si>
    <t>pm_魔军_无飞行器生产</t>
  </si>
  <si>
    <t>pm_no_magical_aerocraft_production</t>
  </si>
  <si>
    <t>pm_魔军_浮空平台生产</t>
  </si>
  <si>
    <t>pm_magical_floating_platform_production</t>
  </si>
  <si>
    <t>pm_魔军_浮空城生产</t>
  </si>
  <si>
    <t>pm_magical_floating_city_production</t>
  </si>
  <si>
    <t>pm_魔军_无机甲生产</t>
  </si>
  <si>
    <t>pm_no_magical_mech_production</t>
  </si>
  <si>
    <t>pm_魔军_魔能机甲</t>
  </si>
  <si>
    <t>pm_magical_mech_production</t>
  </si>
  <si>
    <t>pm_魔军_魔导机甲</t>
  </si>
  <si>
    <t>pm_magiscientia_mech_production</t>
  </si>
  <si>
    <t>pm_魔军_无自动化</t>
  </si>
  <si>
    <t>pm_automation_disabled</t>
  </si>
  <si>
    <t>pm_魔军_基础魔偶</t>
  </si>
  <si>
    <t>pm_base_doll_building_magic_war_machine_industry</t>
  </si>
  <si>
    <t>pm_魔军_智能魔偶</t>
  </si>
  <si>
    <t>pm_intellectual_doll_building_magic_war_machine_industry</t>
  </si>
  <si>
    <t>pm_魔军_超智能魔偶</t>
  </si>
  <si>
    <t>pm_super_doll_building_magic_war_machine_industry</t>
  </si>
  <si>
    <t>pm_魔军_魔偶流水线</t>
  </si>
  <si>
    <t>pm_doll_based_assemble_line_building_magic_war_machine_industry</t>
  </si>
  <si>
    <t>pm_科武_滑膛枪</t>
  </si>
  <si>
    <t>pm_muskets</t>
  </si>
  <si>
    <t>pm_科武_来复枪</t>
  </si>
  <si>
    <t>pm_rifles</t>
  </si>
  <si>
    <t>pm_科武_连发枪</t>
  </si>
  <si>
    <t>pm_repeaters</t>
  </si>
  <si>
    <t>pm_科武_栓动步枪</t>
  </si>
  <si>
    <t>pm_bolt_action_rifles</t>
  </si>
  <si>
    <t>pm_科武_无火炮生产</t>
  </si>
  <si>
    <t>pm_no_artillery_production</t>
  </si>
  <si>
    <t>pm_科武_加农炮</t>
  </si>
  <si>
    <t>pm_cannons</t>
  </si>
  <si>
    <t>pm_科武_滑膛炮</t>
  </si>
  <si>
    <t>pm_smoothbores</t>
  </si>
  <si>
    <t>pm_科武_后膛炮</t>
  </si>
  <si>
    <t>pm_breech_loaders</t>
  </si>
  <si>
    <t>pm_科武_无自动化</t>
  </si>
  <si>
    <t>pm_science_automation_disabled</t>
  </si>
  <si>
    <t>pm_科武_水管锅炉</t>
  </si>
  <si>
    <t>pm_watertube_boiler_building_arms_industry</t>
  </si>
  <si>
    <t>pm_科武_旋转阀蒸汽机</t>
  </si>
  <si>
    <t>pm_rotary_valve_engine_building_arms_industry</t>
  </si>
  <si>
    <t>pm_科武_流水线</t>
  </si>
  <si>
    <t>pm_assembly_lines_building_arms_industry</t>
  </si>
  <si>
    <t>pm_科武_魔偶流水线</t>
  </si>
  <si>
    <t>pm_doll_based_assemble_line_building_arms_industry</t>
  </si>
  <si>
    <t>pm_轻_商人行会</t>
  </si>
  <si>
    <t>pm_merchant_guilds_light_industry</t>
  </si>
  <si>
    <t>pm_轻_教会所有</t>
  </si>
  <si>
    <t>pm_church_owned_light_industry</t>
  </si>
  <si>
    <t>pm_轻_私人运营</t>
  </si>
  <si>
    <t>pm_privately_owned_light_industry</t>
  </si>
  <si>
    <t>pm_轻_公开交易</t>
  </si>
  <si>
    <t>pm_publicly_traded_light_industry</t>
  </si>
  <si>
    <t>pm_轻_政府运营</t>
  </si>
  <si>
    <t>pm_government_run_light_industry</t>
  </si>
  <si>
    <t>pm_轻_初级工人合作社</t>
  </si>
  <si>
    <t>pm_elementary_worker_cooperative_light_industry</t>
  </si>
  <si>
    <t>pm_轻_高级工人合作社</t>
  </si>
  <si>
    <t>pm_advanced_worker_cooperative_light_industry</t>
  </si>
  <si>
    <t>pm_轻_法师所有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</si>
  <si>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</si>
  <si>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</si>
  <si>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</si>
  <si>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</si>
  <si>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</si>
  <si>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</si>
  <si>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</si>
  <si>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</si>
  <si>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</si>
  <si>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pm_assembly_lines_building_food_industry</t>
  </si>
  <si>
    <t>pm_mechanical_arm_food_industry</t>
  </si>
  <si>
    <t>pm_high_speed_lines_food_industry</t>
  </si>
  <si>
    <t>pm_intelligent_doll_building_food_industry</t>
  </si>
  <si>
    <t>pm_doll_based_automated_bakery</t>
  </si>
  <si>
    <t>pm_specialization_doll_food_industry</t>
  </si>
  <si>
    <t>pm_self_maintenance_food_industry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</si>
  <si>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</si>
  <si>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</si>
  <si>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</si>
  <si>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</si>
  <si>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</si>
  <si>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</si>
  <si>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pm_assembly_lines_building_brewery</t>
  </si>
  <si>
    <t>pm_mechanical_arm_brewery</t>
  </si>
  <si>
    <t>pm_high_speed_lines_brewery</t>
  </si>
  <si>
    <t>pm_intelligent_doll_building_liquor_industry</t>
  </si>
  <si>
    <t>pm_doll_based_automated_distillery</t>
  </si>
  <si>
    <t>pm_纺织_手工缝纫</t>
  </si>
  <si>
    <t>pm_handsewn_clothes</t>
  </si>
  <si>
    <t>pm_纺织_染料工坊</t>
  </si>
  <si>
    <t>pm_dye_workshops</t>
  </si>
  <si>
    <t>pm_纺织_无奢侈衣物</t>
  </si>
  <si>
    <t>pm_no_luxury_clothes</t>
  </si>
  <si>
    <t>pm_纺织_匠人缝纫</t>
  </si>
  <si>
    <t>pm_craftsman_sewing</t>
  </si>
  <si>
    <t>pm_纺织_弹性织物</t>
  </si>
  <si>
    <t>pm_elastics</t>
  </si>
  <si>
    <t>pm_纺织_传统织机</t>
  </si>
  <si>
    <t>pm_traditional_looms</t>
  </si>
  <si>
    <t>pm_纺织_缝纫机</t>
  </si>
  <si>
    <t>pm_sewing_machines</t>
  </si>
  <si>
    <t>pm_纺织_自动缝纫机</t>
  </si>
  <si>
    <t>pm_automatic_sewing_machines</t>
  </si>
  <si>
    <t>pm_纺织_无魔法自动化</t>
  </si>
  <si>
    <t>pm_no_magic_automation</t>
  </si>
  <si>
    <t>pm_纺织_基础魔偶</t>
  </si>
  <si>
    <t>pm_base_doll_building_textile_mills</t>
  </si>
  <si>
    <t>pm_纺织_智能魔偶</t>
  </si>
  <si>
    <t>pm_intellectual_dolll_building_textile_mills</t>
  </si>
  <si>
    <t>pm_纺织_无魔导自动化</t>
  </si>
  <si>
    <t>pm_no_magiscientia_automation</t>
  </si>
  <si>
    <t>pm_纺织_魔偶流水线</t>
  </si>
  <si>
    <t>pm_doll_based_assemble_line_building_textile_mills</t>
  </si>
  <si>
    <t>pmg_钢铁_魔偶生产</t>
  </si>
  <si>
    <t>pmg_magical_dolls_industry_methods_building_steel_mills</t>
  </si>
  <si>
    <t>pmg_钢铁_科学线基础</t>
  </si>
  <si>
    <t>pmg_science_building_steel_mills</t>
  </si>
  <si>
    <t>pmg_重工业所有制</t>
  </si>
  <si>
    <t>pmg_ownership_capital_heavy_industry</t>
  </si>
  <si>
    <t>pmg_钢铁_魔法线基础</t>
  </si>
  <si>
    <t>pmg_magic_building_steel_mills</t>
  </si>
  <si>
    <t>pmg_钢铁_科学自动化</t>
  </si>
  <si>
    <t>pmg_science_automation_building_steel_mills</t>
  </si>
  <si>
    <t>pmg_钢铁_魔法自动化</t>
  </si>
  <si>
    <t>pmg_magical_automation_building_steel_mills</t>
  </si>
  <si>
    <t>pmg_钢铁_魔导自动化</t>
  </si>
  <si>
    <t>pmg_magiscientia_automation_building_steel_mills</t>
  </si>
  <si>
    <t>pmg_科学动力_基础</t>
  </si>
  <si>
    <t>pmg_base_building_motor_industry</t>
  </si>
  <si>
    <t>pmg_科学动力_自动化</t>
  </si>
  <si>
    <t>pmg_automation_building_motor_industry</t>
  </si>
  <si>
    <t>pmg_魔偶_基础</t>
  </si>
  <si>
    <t>pmg_magical_dolls_industry_methods</t>
  </si>
  <si>
    <t>pmg_魔偶_自动化</t>
  </si>
  <si>
    <t>pmg_automation_building_magical_doll_industry</t>
  </si>
  <si>
    <t>pmg_炼金_炼金方式</t>
  </si>
  <si>
    <t>pmg_alchemy_method</t>
  </si>
  <si>
    <t>pmg_炼金_自动化</t>
  </si>
  <si>
    <t>pmg_automation_building_alchemy_industry</t>
  </si>
  <si>
    <t>pmg_泽洛提取_萃取方式</t>
  </si>
  <si>
    <t>pmg_zro_extraction_method</t>
  </si>
  <si>
    <t>pmg_魔武_魔法轻武器生产</t>
  </si>
  <si>
    <t>pmg_magical_small_arms_manufacturing</t>
  </si>
  <si>
    <t>pmg_魔武_自动化</t>
  </si>
  <si>
    <t>pmg_automation_building_magic_weapon_industry</t>
  </si>
  <si>
    <t>pmg_魔装_灵能水晶生产</t>
  </si>
  <si>
    <t>pmg_psionic_crystal_production</t>
  </si>
  <si>
    <t>pmg_魔装_浮空车生产</t>
  </si>
  <si>
    <t>pmg_magical_floating_vehicle_production</t>
  </si>
  <si>
    <t>pmg_魔装_自动化</t>
  </si>
  <si>
    <t>pmg_automation_building_magical_equipment_industry</t>
  </si>
  <si>
    <t>pmg_科军_蒸汽飞行器</t>
  </si>
  <si>
    <t>pmg_aeroplanes</t>
  </si>
  <si>
    <t>pmg_科军_机甲生产</t>
  </si>
  <si>
    <t>pmg_science_mech_production</t>
  </si>
  <si>
    <t>pmg_科军_自动化</t>
  </si>
  <si>
    <t>pmg_automation_building_war_machine_industry</t>
  </si>
  <si>
    <t>pmg_魔军_魔能飞行器</t>
  </si>
  <si>
    <t>pmg_magical_aerocraft</t>
  </si>
  <si>
    <t>pmg_魔军_机甲生产</t>
  </si>
  <si>
    <t>pmg_magical_mech_production</t>
  </si>
  <si>
    <t>pmg_魔军_自动化</t>
  </si>
  <si>
    <t>pmg_automation_building_magic_war_machine_industry</t>
  </si>
  <si>
    <t>pmg_科武_轻武器生产</t>
  </si>
  <si>
    <t>pmg_firearms_manufacturing</t>
  </si>
  <si>
    <t>pmg_科武_铸造车间</t>
  </si>
  <si>
    <t>pmg_foundries</t>
  </si>
  <si>
    <t>pmg_科武_自动化</t>
  </si>
  <si>
    <t>pmg_automation_building_arms_industry</t>
  </si>
  <si>
    <t>pmg_轻工业所有制</t>
  </si>
  <si>
    <t>pmg_ownership_capital_light_industry</t>
  </si>
  <si>
    <t>pmg_食品_基础</t>
  </si>
  <si>
    <t>pmg_base_building_food_industry</t>
  </si>
  <si>
    <t>pmg_canning</t>
  </si>
  <si>
    <t>pmg_食品_自动化</t>
  </si>
  <si>
    <t>pmg_automation_building_food_industry</t>
  </si>
  <si>
    <t>pmg_酿酒_蒸馏</t>
  </si>
  <si>
    <t>pmg_distillery</t>
  </si>
  <si>
    <t>pmg_酿酒_瓶身材质</t>
  </si>
  <si>
    <t>pmg_bottle_material</t>
  </si>
  <si>
    <t>pmg_酿酒_自动化</t>
  </si>
  <si>
    <t>pmg_automation_building_liquor_factory</t>
  </si>
  <si>
    <t>pmg_纺织_基础</t>
  </si>
  <si>
    <t>pmg_base_building_textile_mills</t>
  </si>
  <si>
    <t>pmg_纺织_奢侈衣物</t>
  </si>
  <si>
    <t>pmg_luxury_building_textile_mills</t>
  </si>
  <si>
    <t>pmg_纺织_科学自动化</t>
  </si>
  <si>
    <t>pmg_automation_building_textile_mills</t>
  </si>
  <si>
    <t>pmg_纺织_魔法自动化</t>
  </si>
  <si>
    <t>pmg_magical_automation_building_textile_mills</t>
  </si>
  <si>
    <t>pmg_纺织_魔导自动化</t>
  </si>
  <si>
    <t>pmg_magiscientia_automation_building_textile_mills</t>
  </si>
  <si>
    <t>building_magical_dolls_industry</t>
  </si>
  <si>
    <t>建筑</t>
  </si>
  <si>
    <t>building_steel_mills</t>
  </si>
  <si>
    <t>building_动力机械厂</t>
  </si>
  <si>
    <t>building_motor_industry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</si>
  <si>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</si>
  <si>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</si>
  <si>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</si>
  <si>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</si>
  <si>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</si>
  <si>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</si>
  <si>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</si>
  <si>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building_war_machine_industry</t>
  </si>
  <si>
    <t>building_magic_war_machine_industry</t>
  </si>
  <si>
    <t>building_arms_industry</t>
  </si>
  <si>
    <t>building_food_industry</t>
  </si>
  <si>
    <t>building_liquor_factory</t>
  </si>
  <si>
    <t>building_textile_mills</t>
  </si>
  <si>
    <t>building_furniture_manufacturies</t>
  </si>
  <si>
    <t>grain</t>
    <phoneticPr fontId="10" type="noConversion"/>
  </si>
  <si>
    <t>fish</t>
    <phoneticPr fontId="10" type="noConversion"/>
  </si>
  <si>
    <t>sugar</t>
    <phoneticPr fontId="10" type="noConversion"/>
  </si>
  <si>
    <t>meat</t>
    <phoneticPr fontId="10" type="noConversion"/>
  </si>
  <si>
    <t>tobacco</t>
  </si>
  <si>
    <t>tea</t>
    <phoneticPr fontId="10" type="noConversion"/>
  </si>
  <si>
    <t>silk</t>
    <phoneticPr fontId="10" type="noConversion"/>
  </si>
  <si>
    <t>wood</t>
    <phoneticPr fontId="10" type="noConversion"/>
  </si>
  <si>
    <t>fabric</t>
    <phoneticPr fontId="10" type="noConversion"/>
  </si>
  <si>
    <t>dye</t>
    <phoneticPr fontId="10" type="noConversion"/>
  </si>
  <si>
    <t>hardwood</t>
    <phoneticPr fontId="10" type="noConversion"/>
  </si>
  <si>
    <t>rubber</t>
    <phoneticPr fontId="10" type="noConversion"/>
  </si>
  <si>
    <t>iron</t>
    <phoneticPr fontId="10" type="noConversion"/>
  </si>
  <si>
    <t>opium</t>
    <phoneticPr fontId="10" type="noConversion"/>
  </si>
  <si>
    <t>lead</t>
    <phoneticPr fontId="10" type="noConversion"/>
  </si>
  <si>
    <t>sulur</t>
    <phoneticPr fontId="10" type="noConversion"/>
  </si>
  <si>
    <t>coal</t>
    <phoneticPr fontId="10" type="noConversion"/>
  </si>
  <si>
    <t>psychical_crystal</t>
    <phoneticPr fontId="10" type="noConversion"/>
  </si>
  <si>
    <t>electricity</t>
    <phoneticPr fontId="10" type="noConversion"/>
  </si>
  <si>
    <t>zro</t>
    <phoneticPr fontId="10" type="noConversion"/>
  </si>
  <si>
    <t>groceries</t>
    <phoneticPr fontId="10" type="noConversion"/>
  </si>
  <si>
    <t>service</t>
    <phoneticPr fontId="10" type="noConversion"/>
  </si>
  <si>
    <t>glass</t>
    <phoneticPr fontId="10" type="noConversion"/>
  </si>
  <si>
    <t>clothes</t>
    <phoneticPr fontId="10" type="noConversion"/>
  </si>
  <si>
    <t>furniture</t>
    <phoneticPr fontId="10" type="noConversion"/>
  </si>
  <si>
    <t>liquor</t>
    <phoneticPr fontId="10" type="noConversion"/>
  </si>
  <si>
    <t>porcelain</t>
    <phoneticPr fontId="10" type="noConversion"/>
  </si>
  <si>
    <t>luxury_clothes</t>
    <phoneticPr fontId="10" type="noConversion"/>
  </si>
  <si>
    <t>luxury_furniture</t>
    <phoneticPr fontId="10" type="noConversion"/>
  </si>
  <si>
    <t>wine</t>
    <phoneticPr fontId="10" type="noConversion"/>
  </si>
  <si>
    <t>floating_vehicles</t>
    <phoneticPr fontId="10" type="noConversion"/>
  </si>
  <si>
    <t>gold</t>
    <phoneticPr fontId="10" type="noConversion"/>
  </si>
  <si>
    <t>fine_art</t>
    <phoneticPr fontId="10" type="noConversion"/>
  </si>
  <si>
    <t>paper</t>
    <phoneticPr fontId="10" type="noConversion"/>
  </si>
  <si>
    <t>clippers</t>
    <phoneticPr fontId="10" type="noConversion"/>
  </si>
  <si>
    <t>fertilizer</t>
    <phoneticPr fontId="10" type="noConversion"/>
  </si>
  <si>
    <t>steel</t>
    <phoneticPr fontId="10" type="noConversion"/>
  </si>
  <si>
    <t>mithril</t>
    <phoneticPr fontId="10" type="noConversion"/>
  </si>
  <si>
    <t>tools</t>
    <phoneticPr fontId="10" type="noConversion"/>
  </si>
  <si>
    <t>magical_dolls</t>
    <phoneticPr fontId="10" type="noConversion"/>
  </si>
  <si>
    <t>transportation</t>
    <phoneticPr fontId="10" type="noConversion"/>
  </si>
  <si>
    <t>explosives</t>
    <phoneticPr fontId="10" type="noConversion"/>
  </si>
  <si>
    <t>engines</t>
    <phoneticPr fontId="10" type="noConversion"/>
  </si>
  <si>
    <t>maginscientia_engines</t>
    <phoneticPr fontId="10" type="noConversion"/>
  </si>
  <si>
    <t>small_weapons</t>
    <phoneticPr fontId="10" type="noConversion"/>
  </si>
  <si>
    <t>medal_arms</t>
    <phoneticPr fontId="10" type="noConversion"/>
  </si>
  <si>
    <t>artillery</t>
  </si>
  <si>
    <t>magical_artillery</t>
    <phoneticPr fontId="10" type="noConversion"/>
  </si>
  <si>
    <t>steam_aerocraft</t>
    <phoneticPr fontId="10" type="noConversion"/>
  </si>
  <si>
    <t>magic_aerocraft</t>
    <phoneticPr fontId="10" type="noConversion"/>
  </si>
  <si>
    <t>steam_mecha</t>
    <phoneticPr fontId="10" type="noConversion"/>
  </si>
  <si>
    <t>magic_mecha</t>
    <phoneticPr fontId="10" type="noConversion"/>
  </si>
  <si>
    <t>magiscientia_mecha</t>
    <phoneticPr fontId="10" type="noConversion"/>
  </si>
  <si>
    <t>construction</t>
    <phoneticPr fontId="10" type="noConversion"/>
  </si>
  <si>
    <t>trade</t>
    <phoneticPr fontId="10" type="noConversion"/>
  </si>
  <si>
    <t>magic_gun</t>
    <phoneticPr fontId="10" type="noConversion"/>
  </si>
  <si>
    <t>商品</t>
    <phoneticPr fontId="10" type="noConversion"/>
  </si>
  <si>
    <t>零工</t>
    <phoneticPr fontId="12" type="noConversion"/>
  </si>
  <si>
    <t>零工</t>
    <phoneticPr fontId="10" type="noConversion"/>
  </si>
  <si>
    <t>gig</t>
    <phoneticPr fontId="10" type="noConversion"/>
  </si>
  <si>
    <t>fruit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</si>
</sst>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4"/>
      <color theme="1"/>
      <name val="宋体"/>
      <charset val="134"/>
      <scheme val="major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4"/>
      <color theme="1"/>
      <name val="宋体"/>
      <family val="3"/>
      <charset val="134"/>
      <scheme val="major"/>
    </font>
  </fonts>
  <fills count="2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92065187536243"/>
        <bgColor indexed="64"/>
      </patternFill>
    </fill>
    <fill>
      <patternFill patternType="solid">
        <fgColor theme="9" tint="0.7999206518753624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92065187536243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3" tint="0.39991454817346722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6" borderId="0" xfId="0" applyFill="1">
      <alignment vertical="center"/>
    </xf>
    <xf numFmtId="0" fontId="0" fillId="0" borderId="2" xfId="0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10" borderId="8" xfId="0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2" fillId="6" borderId="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2" fillId="7" borderId="22" xfId="0" applyFont="1" applyFill="1" applyBorder="1" applyAlignment="1">
      <alignment horizontal="center" vertical="center" wrapText="1"/>
    </xf>
    <xf numFmtId="0" fontId="2" fillId="15" borderId="5" xfId="0" applyFont="1" applyFill="1" applyBorder="1" applyAlignment="1">
      <alignment horizontal="right" vertical="center" wrapText="1"/>
    </xf>
    <xf numFmtId="0" fontId="2" fillId="15" borderId="5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8" borderId="2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2" xfId="0" applyFont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0" fontId="5" fillId="19" borderId="2" xfId="0" applyFont="1" applyFill="1" applyBorder="1" applyAlignment="1">
      <alignment horizontal="center" vertical="center" wrapText="1"/>
    </xf>
    <xf numFmtId="0" fontId="5" fillId="5" borderId="5" xfId="0" applyFont="1" applyFill="1" applyBorder="1" applyAlignment="1">
      <alignment horizontal="center" vertical="center"/>
    </xf>
    <xf numFmtId="0" fontId="4" fillId="14" borderId="2" xfId="0" applyFont="1" applyFill="1" applyBorder="1" applyAlignment="1">
      <alignment horizontal="center" vertical="center"/>
    </xf>
    <xf numFmtId="0" fontId="4" fillId="20" borderId="2" xfId="0" applyFont="1" applyFill="1" applyBorder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6" fillId="0" borderId="2" xfId="0" applyFont="1" applyBorder="1" applyAlignment="1">
      <alignment horizontal="center" vertical="center" wrapText="1"/>
    </xf>
    <xf numFmtId="0" fontId="0" fillId="21" borderId="1" xfId="0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 wrapText="1"/>
    </xf>
    <xf numFmtId="0" fontId="7" fillId="23" borderId="2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7" fillId="23" borderId="2" xfId="0" applyFont="1" applyFill="1" applyBorder="1" applyAlignment="1">
      <alignment horizontal="center" vertical="center"/>
    </xf>
    <xf numFmtId="0" fontId="9" fillId="14" borderId="2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13" fillId="14" borderId="25" xfId="0" applyFont="1" applyFill="1" applyBorder="1" applyAlignment="1">
      <alignment horizontal="center" vertical="center"/>
    </xf>
    <xf numFmtId="0" fontId="13" fillId="13" borderId="25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2" fillId="5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2" fillId="6" borderId="11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</cellXfs>
  <cellStyles count="1">
    <cellStyle name="常规" xfId="0" builtinId="0"/>
  </cellStyles>
  <dxfs count="1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FFF2CC"/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2</xdr:col>
          <xdr:colOff>441960</xdr:colOff>
          <xdr:row>2</xdr:row>
          <xdr:rowOff>205740</xdr:rowOff>
        </xdr:to>
        <xdr:sp macro="" textlink="">
          <xdr:nvSpPr>
            <xdr:cNvPr id="1025" name="pmTransforme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 refreshError="1"/>
      <sheetData sheetId="1" refreshError="1"/>
      <sheetData sheetId="2">
        <row r="4">
          <cell r="A4" t="str">
            <v>wealth_1</v>
          </cell>
          <cell r="B4">
            <v>0.03</v>
          </cell>
          <cell r="C4">
            <v>157</v>
          </cell>
        </row>
        <row r="5">
          <cell r="A5" t="str">
            <v>wealth_2</v>
          </cell>
          <cell r="B5">
            <v>0.04</v>
          </cell>
          <cell r="C5">
            <v>183</v>
          </cell>
        </row>
        <row r="6">
          <cell r="A6" t="str">
            <v>wealth_3</v>
          </cell>
          <cell r="B6">
            <v>0.05</v>
          </cell>
          <cell r="C6">
            <v>209</v>
          </cell>
        </row>
        <row r="7">
          <cell r="A7" t="str">
            <v>wealth_4</v>
          </cell>
          <cell r="B7">
            <v>0.1</v>
          </cell>
          <cell r="C7">
            <v>228</v>
          </cell>
        </row>
        <row r="8">
          <cell r="A8" t="str">
            <v>wealth_5</v>
          </cell>
          <cell r="B8">
            <v>0.15</v>
          </cell>
          <cell r="C8">
            <v>261</v>
          </cell>
        </row>
        <row r="9">
          <cell r="A9" t="str">
            <v>wealth_6</v>
          </cell>
          <cell r="B9">
            <v>0.25</v>
          </cell>
          <cell r="C9">
            <v>290</v>
          </cell>
        </row>
        <row r="10">
          <cell r="A10" t="str">
            <v>wealth_7</v>
          </cell>
          <cell r="B10">
            <v>0.35</v>
          </cell>
          <cell r="C10">
            <v>315</v>
          </cell>
        </row>
        <row r="11">
          <cell r="A11" t="str">
            <v>wealth_8</v>
          </cell>
          <cell r="B11">
            <v>0.45</v>
          </cell>
          <cell r="C11">
            <v>340</v>
          </cell>
        </row>
        <row r="12">
          <cell r="A12" t="str">
            <v>wealth_9</v>
          </cell>
          <cell r="B12">
            <v>0.6</v>
          </cell>
          <cell r="C12">
            <v>361</v>
          </cell>
        </row>
        <row r="13">
          <cell r="A13" t="str">
            <v>wealth_10</v>
          </cell>
          <cell r="B13">
            <v>0.75</v>
          </cell>
          <cell r="C13">
            <v>399</v>
          </cell>
        </row>
        <row r="14">
          <cell r="A14" t="str">
            <v>wealth_11</v>
          </cell>
          <cell r="B14">
            <v>0.9</v>
          </cell>
          <cell r="C14">
            <v>433</v>
          </cell>
        </row>
        <row r="15">
          <cell r="A15" t="str">
            <v>wealth_12</v>
          </cell>
          <cell r="B15">
            <v>1.4</v>
          </cell>
          <cell r="C15">
            <v>462</v>
          </cell>
        </row>
        <row r="16">
          <cell r="A16" t="str">
            <v>wealth_13</v>
          </cell>
          <cell r="B16">
            <v>1.9</v>
          </cell>
          <cell r="C16">
            <v>489</v>
          </cell>
        </row>
        <row r="17">
          <cell r="A17" t="str">
            <v>wealth_14</v>
          </cell>
          <cell r="B17">
            <v>2.4</v>
          </cell>
          <cell r="C17">
            <v>526</v>
          </cell>
        </row>
        <row r="18">
          <cell r="A18" t="str">
            <v>wealth_15</v>
          </cell>
          <cell r="B18">
            <v>4.5999999999999996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>
        <row r="16">
          <cell r="A16" t="str">
            <v>牲畜</v>
          </cell>
          <cell r="B16" t="str">
            <v>poor</v>
          </cell>
          <cell r="C16">
            <v>1</v>
          </cell>
          <cell r="D16">
            <v>0</v>
          </cell>
          <cell r="E16">
            <v>157</v>
          </cell>
        </row>
      </sheetData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61"/>
  <sheetViews>
    <sheetView showGridLines="0" tabSelected="1" topLeftCell="A52" workbookViewId="0">
      <selection activeCell="A61" sqref="A61:B61"/>
    </sheetView>
  </sheetViews>
  <sheetFormatPr defaultColWidth="9" defaultRowHeight="19.95" customHeight="1" x14ac:dyDescent="0.25"/>
  <cols>
    <col min="1" max="1" width="15.88671875" customWidth="1"/>
    <col min="2" max="2" width="8.88671875" customWidth="1"/>
    <col min="3" max="3" width="13.77734375" customWidth="1"/>
    <col min="4" max="4" width="18.21875" customWidth="1"/>
    <col min="5" max="5" width="14.6640625" customWidth="1"/>
    <col min="6" max="6" width="9.88671875" customWidth="1"/>
    <col min="7" max="7" width="14.6640625" customWidth="1"/>
    <col min="8" max="8" width="9.88671875" customWidth="1"/>
  </cols>
  <sheetData>
    <row r="1" spans="1:2" ht="33" customHeight="1" x14ac:dyDescent="0.25"/>
    <row r="2" spans="1:2" ht="19.95" customHeight="1" x14ac:dyDescent="0.25">
      <c r="A2" s="58"/>
      <c r="B2" s="58"/>
    </row>
    <row r="3" spans="1:2" ht="19.95" customHeight="1" x14ac:dyDescent="0.25">
      <c r="A3" s="61" t="s">
        <v>0</v>
      </c>
      <c r="B3" s="60" t="s">
        <v>1</v>
      </c>
    </row>
    <row r="4" spans="1:2" ht="19.95" customHeight="1" x14ac:dyDescent="0.25">
      <c r="A4" s="63" t="s">
        <v>2</v>
      </c>
      <c r="B4" s="64">
        <v>20</v>
      </c>
    </row>
    <row r="5" spans="1:2" ht="19.95" customHeight="1" x14ac:dyDescent="0.25">
      <c r="A5" s="63" t="s">
        <v>3</v>
      </c>
      <c r="B5" s="64">
        <v>20</v>
      </c>
    </row>
    <row r="6" spans="1:2" ht="19.95" customHeight="1" x14ac:dyDescent="0.25">
      <c r="A6" s="63" t="s">
        <v>4</v>
      </c>
      <c r="B6" s="64">
        <v>40</v>
      </c>
    </row>
    <row r="7" spans="1:2" ht="19.95" customHeight="1" x14ac:dyDescent="0.25">
      <c r="A7" s="63" t="s">
        <v>5</v>
      </c>
      <c r="B7" s="64">
        <v>40</v>
      </c>
    </row>
    <row r="8" spans="1:2" ht="19.95" customHeight="1" x14ac:dyDescent="0.25">
      <c r="A8" s="63" t="s">
        <v>6</v>
      </c>
      <c r="B8" s="64">
        <v>40</v>
      </c>
    </row>
    <row r="9" spans="1:2" ht="19.95" customHeight="1" x14ac:dyDescent="0.25">
      <c r="A9" s="63" t="s">
        <v>7</v>
      </c>
      <c r="B9" s="64">
        <v>60</v>
      </c>
    </row>
    <row r="10" spans="1:2" ht="19.95" customHeight="1" x14ac:dyDescent="0.25">
      <c r="A10" s="63" t="s">
        <v>8</v>
      </c>
      <c r="B10" s="64">
        <v>60</v>
      </c>
    </row>
    <row r="11" spans="1:2" ht="19.95" customHeight="1" x14ac:dyDescent="0.25">
      <c r="A11" s="63" t="s">
        <v>9</v>
      </c>
      <c r="B11" s="64">
        <v>60</v>
      </c>
    </row>
    <row r="12" spans="1:2" ht="19.95" customHeight="1" x14ac:dyDescent="0.25">
      <c r="A12" s="63" t="s">
        <v>10</v>
      </c>
      <c r="B12" s="64">
        <v>60</v>
      </c>
    </row>
    <row r="13" spans="1:2" ht="19.95" customHeight="1" x14ac:dyDescent="0.25">
      <c r="A13" s="63" t="s">
        <v>11</v>
      </c>
      <c r="B13" s="64">
        <v>20</v>
      </c>
    </row>
    <row r="14" spans="1:2" ht="19.95" customHeight="1" x14ac:dyDescent="0.25">
      <c r="A14" s="63" t="s">
        <v>12</v>
      </c>
      <c r="B14" s="64">
        <v>20</v>
      </c>
    </row>
    <row r="15" spans="1:2" ht="19.95" customHeight="1" x14ac:dyDescent="0.25">
      <c r="A15" s="63" t="s">
        <v>13</v>
      </c>
      <c r="B15" s="64">
        <v>20</v>
      </c>
    </row>
    <row r="16" spans="1:2" ht="19.95" customHeight="1" x14ac:dyDescent="0.25">
      <c r="A16" s="63" t="s">
        <v>14</v>
      </c>
      <c r="B16" s="64">
        <v>40</v>
      </c>
    </row>
    <row r="17" spans="1:2" ht="19.95" customHeight="1" x14ac:dyDescent="0.25">
      <c r="A17" s="63" t="s">
        <v>15</v>
      </c>
      <c r="B17" s="64">
        <v>40</v>
      </c>
    </row>
    <row r="18" spans="1:2" ht="19.95" customHeight="1" x14ac:dyDescent="0.25">
      <c r="A18" s="63" t="s">
        <v>16</v>
      </c>
      <c r="B18" s="64">
        <v>40</v>
      </c>
    </row>
    <row r="19" spans="1:2" ht="19.95" customHeight="1" x14ac:dyDescent="0.25">
      <c r="A19" s="63" t="s">
        <v>17</v>
      </c>
      <c r="B19" s="64">
        <v>60</v>
      </c>
    </row>
    <row r="20" spans="1:2" ht="19.95" customHeight="1" x14ac:dyDescent="0.25">
      <c r="A20" s="63" t="s">
        <v>18</v>
      </c>
      <c r="B20" s="64">
        <v>60</v>
      </c>
    </row>
    <row r="21" spans="1:2" ht="19.95" customHeight="1" x14ac:dyDescent="0.25">
      <c r="A21" s="63" t="s">
        <v>19</v>
      </c>
      <c r="B21" s="64">
        <v>30</v>
      </c>
    </row>
    <row r="22" spans="1:2" ht="19.95" customHeight="1" x14ac:dyDescent="0.25">
      <c r="A22" s="63" t="s">
        <v>20</v>
      </c>
      <c r="B22" s="64">
        <v>30</v>
      </c>
    </row>
    <row r="23" spans="1:2" ht="19.95" customHeight="1" x14ac:dyDescent="0.25">
      <c r="A23" s="63" t="s">
        <v>21</v>
      </c>
      <c r="B23" s="64">
        <v>50</v>
      </c>
    </row>
    <row r="24" spans="1:2" ht="19.95" customHeight="1" x14ac:dyDescent="0.25">
      <c r="A24" s="63" t="s">
        <v>22</v>
      </c>
      <c r="B24" s="64">
        <v>50</v>
      </c>
    </row>
    <row r="25" spans="1:2" ht="19.95" customHeight="1" x14ac:dyDescent="0.25">
      <c r="A25" s="63" t="s">
        <v>23</v>
      </c>
      <c r="B25" s="64">
        <v>30</v>
      </c>
    </row>
    <row r="26" spans="1:2" ht="19.95" customHeight="1" x14ac:dyDescent="0.25">
      <c r="A26" s="63" t="s">
        <v>24</v>
      </c>
      <c r="B26" s="64">
        <v>30</v>
      </c>
    </row>
    <row r="27" spans="1:2" ht="19.95" customHeight="1" x14ac:dyDescent="0.25">
      <c r="A27" s="63" t="s">
        <v>25</v>
      </c>
      <c r="B27" s="64">
        <v>30</v>
      </c>
    </row>
    <row r="28" spans="1:2" ht="19.95" customHeight="1" x14ac:dyDescent="0.25">
      <c r="A28" s="63" t="s">
        <v>26</v>
      </c>
      <c r="B28" s="64">
        <v>30</v>
      </c>
    </row>
    <row r="29" spans="1:2" ht="19.95" customHeight="1" x14ac:dyDescent="0.25">
      <c r="A29" s="63" t="s">
        <v>27</v>
      </c>
      <c r="B29" s="64">
        <v>30</v>
      </c>
    </row>
    <row r="30" spans="1:2" ht="19.95" customHeight="1" x14ac:dyDescent="0.25">
      <c r="A30" s="63" t="s">
        <v>28</v>
      </c>
      <c r="B30" s="64">
        <v>30</v>
      </c>
    </row>
    <row r="31" spans="1:2" ht="19.95" customHeight="1" x14ac:dyDescent="0.25">
      <c r="A31" s="63" t="s">
        <v>29</v>
      </c>
      <c r="B31" s="64">
        <v>50</v>
      </c>
    </row>
    <row r="32" spans="1:2" ht="19.95" customHeight="1" x14ac:dyDescent="0.25">
      <c r="A32" s="63" t="s">
        <v>30</v>
      </c>
      <c r="B32" s="64">
        <v>50</v>
      </c>
    </row>
    <row r="33" spans="1:2" ht="19.95" customHeight="1" x14ac:dyDescent="0.25">
      <c r="A33" s="63" t="s">
        <v>31</v>
      </c>
      <c r="B33" s="64">
        <v>50</v>
      </c>
    </row>
    <row r="34" spans="1:2" ht="19.95" customHeight="1" x14ac:dyDescent="0.25">
      <c r="A34" s="63" t="s">
        <v>32</v>
      </c>
      <c r="B34" s="64">
        <v>50</v>
      </c>
    </row>
    <row r="35" spans="1:2" ht="19.95" customHeight="1" x14ac:dyDescent="0.25">
      <c r="A35" s="63" t="s">
        <v>33</v>
      </c>
      <c r="B35" s="64">
        <v>70</v>
      </c>
    </row>
    <row r="36" spans="1:2" ht="19.95" customHeight="1" x14ac:dyDescent="0.25">
      <c r="A36" s="63" t="s">
        <v>34</v>
      </c>
      <c r="B36" s="64">
        <v>70</v>
      </c>
    </row>
    <row r="37" spans="1:2" ht="19.95" customHeight="1" x14ac:dyDescent="0.25">
      <c r="A37" s="63" t="s">
        <v>35</v>
      </c>
      <c r="B37" s="64">
        <v>70</v>
      </c>
    </row>
    <row r="38" spans="1:2" ht="19.95" customHeight="1" x14ac:dyDescent="0.25">
      <c r="A38" s="63" t="s">
        <v>36</v>
      </c>
      <c r="B38" s="64">
        <v>40</v>
      </c>
    </row>
    <row r="39" spans="1:2" ht="19.95" customHeight="1" x14ac:dyDescent="0.25">
      <c r="A39" s="63" t="s">
        <v>37</v>
      </c>
      <c r="B39" s="64">
        <v>40</v>
      </c>
    </row>
    <row r="40" spans="1:2" ht="19.95" customHeight="1" x14ac:dyDescent="0.25">
      <c r="A40" s="63" t="s">
        <v>38</v>
      </c>
      <c r="B40" s="64">
        <v>60</v>
      </c>
    </row>
    <row r="41" spans="1:2" ht="19.95" customHeight="1" x14ac:dyDescent="0.25">
      <c r="A41" s="63" t="s">
        <v>39</v>
      </c>
      <c r="B41" s="64">
        <v>60</v>
      </c>
    </row>
    <row r="42" spans="1:2" ht="19.95" customHeight="1" x14ac:dyDescent="0.25">
      <c r="A42" s="63" t="s">
        <v>40</v>
      </c>
      <c r="B42" s="64">
        <v>80</v>
      </c>
    </row>
    <row r="43" spans="1:2" ht="19.95" customHeight="1" x14ac:dyDescent="0.25">
      <c r="A43" s="63" t="s">
        <v>41</v>
      </c>
      <c r="B43" s="64">
        <v>40</v>
      </c>
    </row>
    <row r="44" spans="1:2" ht="19.95" customHeight="1" x14ac:dyDescent="0.25">
      <c r="A44" s="63" t="s">
        <v>42</v>
      </c>
      <c r="B44" s="64">
        <v>40</v>
      </c>
    </row>
    <row r="45" spans="1:2" ht="19.95" customHeight="1" x14ac:dyDescent="0.25">
      <c r="A45" s="63" t="s">
        <v>43</v>
      </c>
      <c r="B45" s="64">
        <f>B58</f>
        <v>10</v>
      </c>
    </row>
    <row r="46" spans="1:2" ht="19.95" customHeight="1" x14ac:dyDescent="0.25">
      <c r="A46" s="63" t="s">
        <v>44</v>
      </c>
      <c r="B46" s="64">
        <v>60</v>
      </c>
    </row>
    <row r="47" spans="1:2" ht="19.95" customHeight="1" x14ac:dyDescent="0.25">
      <c r="A47" s="63" t="s">
        <v>45</v>
      </c>
      <c r="B47" s="64">
        <v>80</v>
      </c>
    </row>
    <row r="48" spans="1:2" ht="19.95" customHeight="1" x14ac:dyDescent="0.25">
      <c r="A48" s="63" t="s">
        <v>46</v>
      </c>
      <c r="B48" s="64">
        <v>80</v>
      </c>
    </row>
    <row r="49" spans="1:2" ht="19.95" customHeight="1" x14ac:dyDescent="0.25">
      <c r="A49" s="63" t="s">
        <v>47</v>
      </c>
      <c r="B49" s="64">
        <v>60</v>
      </c>
    </row>
    <row r="50" spans="1:2" ht="19.95" customHeight="1" x14ac:dyDescent="0.25">
      <c r="A50" s="63" t="s">
        <v>48</v>
      </c>
      <c r="B50" s="64">
        <v>60</v>
      </c>
    </row>
    <row r="51" spans="1:2" ht="19.95" customHeight="1" x14ac:dyDescent="0.25">
      <c r="A51" s="63" t="s">
        <v>49</v>
      </c>
      <c r="B51" s="64">
        <v>80</v>
      </c>
    </row>
    <row r="52" spans="1:2" ht="19.95" customHeight="1" x14ac:dyDescent="0.25">
      <c r="A52" s="63" t="s">
        <v>50</v>
      </c>
      <c r="B52" s="64">
        <v>80</v>
      </c>
    </row>
    <row r="53" spans="1:2" ht="19.95" customHeight="1" x14ac:dyDescent="0.25">
      <c r="A53" s="63" t="s">
        <v>51</v>
      </c>
      <c r="B53" s="64">
        <v>80</v>
      </c>
    </row>
    <row r="54" spans="1:2" ht="19.95" customHeight="1" x14ac:dyDescent="0.25">
      <c r="A54" s="63" t="s">
        <v>52</v>
      </c>
      <c r="B54" s="64">
        <v>80</v>
      </c>
    </row>
    <row r="55" spans="1:2" ht="19.95" customHeight="1" x14ac:dyDescent="0.25">
      <c r="A55" s="63" t="s">
        <v>53</v>
      </c>
      <c r="B55" s="64">
        <v>100</v>
      </c>
    </row>
    <row r="56" spans="1:2" ht="19.95" customHeight="1" x14ac:dyDescent="0.25">
      <c r="A56" s="63" t="s">
        <v>54</v>
      </c>
      <c r="B56" s="64">
        <v>100</v>
      </c>
    </row>
    <row r="57" spans="1:2" ht="19.95" customHeight="1" x14ac:dyDescent="0.25">
      <c r="A57" s="63" t="s">
        <v>55</v>
      </c>
      <c r="B57" s="64">
        <v>100</v>
      </c>
    </row>
    <row r="58" spans="1:2" ht="19.95" customHeight="1" x14ac:dyDescent="0.25">
      <c r="A58" s="63" t="s">
        <v>56</v>
      </c>
      <c r="B58" s="64">
        <f>B59</f>
        <v>10</v>
      </c>
    </row>
    <row r="59" spans="1:2" ht="19.95" customHeight="1" x14ac:dyDescent="0.25">
      <c r="A59" s="63" t="s">
        <v>57</v>
      </c>
      <c r="B59" s="64">
        <v>10</v>
      </c>
    </row>
    <row r="60" spans="1:2" ht="19.95" customHeight="1" x14ac:dyDescent="0.25">
      <c r="A60" s="63" t="s">
        <v>58</v>
      </c>
      <c r="B60" s="64">
        <v>80</v>
      </c>
    </row>
    <row r="61" spans="1:2" ht="19.95" customHeight="1" x14ac:dyDescent="0.25">
      <c r="A61" s="67" t="s">
        <v>991</v>
      </c>
      <c r="B61" s="68">
        <v>50</v>
      </c>
    </row>
  </sheetData>
  <phoneticPr fontId="12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16"/>
  <sheetViews>
    <sheetView showGridLines="0" workbookViewId="0">
      <selection activeCell="A10" sqref="A10"/>
    </sheetView>
  </sheetViews>
  <sheetFormatPr defaultColWidth="9" defaultRowHeight="19.95" customHeight="1" x14ac:dyDescent="0.25"/>
  <cols>
    <col min="1" max="1" width="15.88671875" customWidth="1"/>
    <col min="2" max="2" width="8.88671875" customWidth="1"/>
    <col min="3" max="3" width="13.77734375" customWidth="1"/>
    <col min="4" max="4" width="18.21875" customWidth="1"/>
    <col min="5" max="5" width="14.6640625" customWidth="1"/>
    <col min="6" max="6" width="9.88671875" customWidth="1"/>
    <col min="7" max="7" width="14.6640625" customWidth="1"/>
    <col min="8" max="8" width="9.88671875" customWidth="1"/>
  </cols>
  <sheetData>
    <row r="1" spans="1:7" ht="33" customHeight="1" x14ac:dyDescent="0.25">
      <c r="A1" s="55" t="s">
        <v>59</v>
      </c>
      <c r="B1" s="56" t="s">
        <v>60</v>
      </c>
      <c r="C1" s="57" t="s">
        <v>60</v>
      </c>
    </row>
    <row r="2" spans="1:7" ht="19.95" customHeight="1" x14ac:dyDescent="0.25">
      <c r="A2" s="58"/>
      <c r="B2" s="58"/>
      <c r="C2" s="59"/>
      <c r="D2" s="60"/>
      <c r="E2" s="60"/>
      <c r="F2" s="60"/>
      <c r="G2" s="60"/>
    </row>
    <row r="3" spans="1:7" ht="19.95" customHeight="1" x14ac:dyDescent="0.25">
      <c r="A3" s="61" t="s">
        <v>0</v>
      </c>
      <c r="B3" s="60" t="s">
        <v>1</v>
      </c>
      <c r="C3" s="62" t="s">
        <v>61</v>
      </c>
      <c r="D3" s="60" t="s">
        <v>62</v>
      </c>
      <c r="E3" s="61" t="s">
        <v>63</v>
      </c>
      <c r="F3" s="61" t="s">
        <v>64</v>
      </c>
      <c r="G3" s="61" t="s">
        <v>65</v>
      </c>
    </row>
    <row r="4" spans="1:7" ht="19.95" customHeight="1" x14ac:dyDescent="0.25">
      <c r="A4" s="2" t="s">
        <v>66</v>
      </c>
      <c r="B4" s="2" t="s">
        <v>67</v>
      </c>
      <c r="C4">
        <v>20</v>
      </c>
      <c r="D4">
        <f t="shared" ref="D4:D16" si="0">G4*F4/$F$15</f>
        <v>0.44200000000000006</v>
      </c>
      <c r="E4">
        <f>VLOOKUP("wealth_"&amp;C4,[1]buy_packages!$A$4:$C$102,3,FALSE)</f>
        <v>934</v>
      </c>
      <c r="F4">
        <v>20</v>
      </c>
      <c r="G4">
        <v>2.2100000000000002E-2</v>
      </c>
    </row>
    <row r="5" spans="1:7" ht="19.95" customHeight="1" x14ac:dyDescent="0.25">
      <c r="A5" s="2" t="s">
        <v>68</v>
      </c>
      <c r="B5" s="2" t="s">
        <v>67</v>
      </c>
      <c r="C5">
        <v>20</v>
      </c>
      <c r="D5">
        <f t="shared" si="0"/>
        <v>0.1326</v>
      </c>
      <c r="E5">
        <f>VLOOKUP("wealth_"&amp;C5,[1]buy_packages!$A$4:$C$102,3,FALSE)</f>
        <v>934</v>
      </c>
      <c r="F5">
        <v>6</v>
      </c>
      <c r="G5">
        <v>2.2100000000000002E-2</v>
      </c>
    </row>
    <row r="6" spans="1:7" ht="19.95" customHeight="1" x14ac:dyDescent="0.25">
      <c r="A6" s="2" t="s">
        <v>69</v>
      </c>
      <c r="B6" s="2" t="s">
        <v>67</v>
      </c>
      <c r="C6">
        <v>20</v>
      </c>
      <c r="D6">
        <f t="shared" si="0"/>
        <v>0.39780000000000004</v>
      </c>
      <c r="E6">
        <f>VLOOKUP("wealth_"&amp;C6,[1]buy_packages!$A$4:$C$102,3,FALSE)</f>
        <v>934</v>
      </c>
      <c r="F6">
        <v>18</v>
      </c>
      <c r="G6">
        <v>2.2100000000000002E-2</v>
      </c>
    </row>
    <row r="7" spans="1:7" ht="19.95" customHeight="1" x14ac:dyDescent="0.25">
      <c r="A7" s="2" t="s">
        <v>70</v>
      </c>
      <c r="B7" s="2" t="s">
        <v>71</v>
      </c>
      <c r="C7">
        <v>10</v>
      </c>
      <c r="D7">
        <f t="shared" si="0"/>
        <v>6.6299999999999998E-2</v>
      </c>
      <c r="E7">
        <f>VLOOKUP("wealth_"&amp;C7,[1]buy_packages!$A$4:$C$102,3,FALSE)</f>
        <v>399</v>
      </c>
      <c r="F7">
        <v>3</v>
      </c>
      <c r="G7">
        <v>2.2100000000000002E-2</v>
      </c>
    </row>
    <row r="8" spans="1:7" ht="19.95" customHeight="1" x14ac:dyDescent="0.25">
      <c r="A8" s="2" t="s">
        <v>72</v>
      </c>
      <c r="B8" s="2" t="s">
        <v>71</v>
      </c>
      <c r="C8">
        <v>10</v>
      </c>
      <c r="D8">
        <f t="shared" si="0"/>
        <v>6.6299999999999998E-2</v>
      </c>
      <c r="E8">
        <f>VLOOKUP("wealth_"&amp;C8,[1]buy_packages!$A$4:$C$102,3,FALSE)</f>
        <v>399</v>
      </c>
      <c r="F8">
        <v>3</v>
      </c>
      <c r="G8">
        <v>2.2100000000000002E-2</v>
      </c>
    </row>
    <row r="9" spans="1:7" ht="19.95" customHeight="1" x14ac:dyDescent="0.25">
      <c r="A9" s="2" t="s">
        <v>73</v>
      </c>
      <c r="B9" s="2" t="s">
        <v>71</v>
      </c>
      <c r="C9">
        <v>10</v>
      </c>
      <c r="D9">
        <f t="shared" si="0"/>
        <v>6.6299999999999998E-2</v>
      </c>
      <c r="E9">
        <f>VLOOKUP("wealth_"&amp;C9,[1]buy_packages!$A$4:$C$102,3,FALSE)</f>
        <v>399</v>
      </c>
      <c r="F9">
        <v>3</v>
      </c>
      <c r="G9">
        <v>2.2100000000000002E-2</v>
      </c>
    </row>
    <row r="10" spans="1:7" ht="19.95" customHeight="1" x14ac:dyDescent="0.25">
      <c r="A10" s="2" t="s">
        <v>74</v>
      </c>
      <c r="B10" s="2" t="s">
        <v>71</v>
      </c>
      <c r="C10">
        <v>10</v>
      </c>
      <c r="D10">
        <f t="shared" si="0"/>
        <v>8.8400000000000006E-2</v>
      </c>
      <c r="E10">
        <f>VLOOKUP("wealth_"&amp;C10,[1]buy_packages!$A$4:$C$102,3,FALSE)</f>
        <v>399</v>
      </c>
      <c r="F10">
        <v>4</v>
      </c>
      <c r="G10">
        <v>2.2100000000000002E-2</v>
      </c>
    </row>
    <row r="11" spans="1:7" ht="19.95" customHeight="1" x14ac:dyDescent="0.25">
      <c r="A11" s="2" t="s">
        <v>75</v>
      </c>
      <c r="B11" s="2" t="s">
        <v>71</v>
      </c>
      <c r="C11">
        <v>10</v>
      </c>
      <c r="D11">
        <f t="shared" si="0"/>
        <v>0.11050000000000001</v>
      </c>
      <c r="E11">
        <f>VLOOKUP("wealth_"&amp;C11,[1]buy_packages!$A$4:$C$102,3,FALSE)</f>
        <v>399</v>
      </c>
      <c r="F11">
        <v>5</v>
      </c>
      <c r="G11">
        <v>2.2100000000000002E-2</v>
      </c>
    </row>
    <row r="12" spans="1:7" ht="19.95" customHeight="1" x14ac:dyDescent="0.25">
      <c r="A12" s="2" t="s">
        <v>76</v>
      </c>
      <c r="B12" s="2" t="s">
        <v>71</v>
      </c>
      <c r="C12">
        <v>10</v>
      </c>
      <c r="D12">
        <f t="shared" si="0"/>
        <v>6.6299999999999998E-2</v>
      </c>
      <c r="E12">
        <f>VLOOKUP("wealth_"&amp;C12,[1]buy_packages!$A$4:$C$102,3,FALSE)</f>
        <v>399</v>
      </c>
      <c r="F12">
        <v>3</v>
      </c>
      <c r="G12">
        <v>2.2100000000000002E-2</v>
      </c>
    </row>
    <row r="13" spans="1:7" ht="19.95" customHeight="1" x14ac:dyDescent="0.25">
      <c r="A13" s="2" t="s">
        <v>77</v>
      </c>
      <c r="B13" s="2" t="s">
        <v>78</v>
      </c>
      <c r="C13">
        <v>7</v>
      </c>
      <c r="D13">
        <f t="shared" si="0"/>
        <v>4.4200000000000003E-2</v>
      </c>
      <c r="E13">
        <f>VLOOKUP("wealth_"&amp;C13,[1]buy_packages!$A$4:$C$102,3,FALSE)</f>
        <v>315</v>
      </c>
      <c r="F13">
        <v>2</v>
      </c>
      <c r="G13">
        <v>2.2100000000000002E-2</v>
      </c>
    </row>
    <row r="14" spans="1:7" ht="19.95" customHeight="1" x14ac:dyDescent="0.25">
      <c r="A14" s="2" t="s">
        <v>79</v>
      </c>
      <c r="B14" s="2" t="s">
        <v>78</v>
      </c>
      <c r="C14">
        <v>5</v>
      </c>
      <c r="D14">
        <f t="shared" si="0"/>
        <v>4.4200000000000003E-3</v>
      </c>
      <c r="E14">
        <f>VLOOKUP("wealth_"&amp;C14,[1]buy_packages!$A$4:$C$102,3,FALSE)</f>
        <v>261</v>
      </c>
      <c r="F14">
        <v>0.2</v>
      </c>
      <c r="G14">
        <v>2.2100000000000002E-2</v>
      </c>
    </row>
    <row r="15" spans="1:7" ht="19.95" customHeight="1" x14ac:dyDescent="0.25">
      <c r="A15" s="2" t="s">
        <v>80</v>
      </c>
      <c r="B15" s="2" t="s">
        <v>78</v>
      </c>
      <c r="C15">
        <v>5</v>
      </c>
      <c r="D15">
        <f t="shared" si="0"/>
        <v>2.2100000000000002E-2</v>
      </c>
      <c r="E15">
        <f>VLOOKUP("wealth_"&amp;C15,[1]buy_packages!$A$4:$C$102,3,FALSE)</f>
        <v>261</v>
      </c>
      <c r="F15">
        <v>1</v>
      </c>
      <c r="G15">
        <v>2.2100000000000002E-2</v>
      </c>
    </row>
    <row r="16" spans="1:7" ht="19.95" customHeight="1" x14ac:dyDescent="0.25">
      <c r="A16" s="2" t="s">
        <v>81</v>
      </c>
      <c r="B16" s="2" t="s">
        <v>78</v>
      </c>
      <c r="C16">
        <v>1</v>
      </c>
      <c r="D16">
        <f t="shared" si="0"/>
        <v>0</v>
      </c>
      <c r="E16">
        <f>VLOOKUP("wealth_"&amp;C16,[1]buy_packages!$A$4:$C$102,3,FALSE)</f>
        <v>157</v>
      </c>
      <c r="F16">
        <v>0</v>
      </c>
      <c r="G16">
        <v>2.2100000000000002E-2</v>
      </c>
    </row>
  </sheetData>
  <phoneticPr fontId="12" type="noConversion"/>
  <conditionalFormatting sqref="B1">
    <cfRule type="duplicateValues" dxfId="16" priority="2"/>
  </conditionalFormatting>
  <conditionalFormatting sqref="C1">
    <cfRule type="duplicateValues" dxfId="15" priority="1"/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L50"/>
  <sheetViews>
    <sheetView showGridLines="0" zoomScale="90" zoomScaleNormal="90" workbookViewId="0">
      <selection activeCell="F18" sqref="F18"/>
    </sheetView>
  </sheetViews>
  <sheetFormatPr defaultColWidth="9" defaultRowHeight="19.95" customHeight="1" x14ac:dyDescent="0.25"/>
  <cols>
    <col min="1" max="1" width="17.33203125" style="43" customWidth="1"/>
    <col min="2" max="2" width="11.88671875" style="43" customWidth="1"/>
    <col min="3" max="3" width="10.88671875" style="43" customWidth="1"/>
    <col min="4" max="4" width="14.77734375" style="43" customWidth="1"/>
    <col min="5" max="5" width="11.88671875" style="43" customWidth="1"/>
    <col min="6" max="6" width="20.109375" style="43" customWidth="1"/>
    <col min="7" max="7" width="11.88671875" style="44" customWidth="1"/>
    <col min="8" max="8" width="10.88671875" style="44" customWidth="1"/>
    <col min="9" max="9" width="15.21875" style="44" customWidth="1"/>
    <col min="10" max="10" width="11.88671875" style="44" customWidth="1"/>
    <col min="11" max="16384" width="9" style="44"/>
  </cols>
  <sheetData>
    <row r="1" spans="1:12" ht="19.95" customHeight="1" x14ac:dyDescent="0.25">
      <c r="A1" s="45"/>
      <c r="B1" s="45"/>
      <c r="C1" s="45"/>
      <c r="D1" s="45"/>
      <c r="E1" s="45"/>
    </row>
    <row r="2" spans="1:12" ht="58.05" customHeight="1" x14ac:dyDescent="0.25">
      <c r="A2" s="46" t="s">
        <v>82</v>
      </c>
      <c r="B2" s="46" t="s">
        <v>83</v>
      </c>
      <c r="C2" s="47" t="s">
        <v>84</v>
      </c>
      <c r="D2" s="48" t="s">
        <v>85</v>
      </c>
      <c r="E2" s="46" t="s">
        <v>86</v>
      </c>
      <c r="F2" s="49" t="s">
        <v>87</v>
      </c>
      <c r="G2" s="46" t="s">
        <v>83</v>
      </c>
      <c r="H2" s="47" t="s">
        <v>84</v>
      </c>
      <c r="I2" s="48" t="s">
        <v>85</v>
      </c>
      <c r="J2" s="46" t="s">
        <v>86</v>
      </c>
    </row>
    <row r="3" spans="1:12" ht="19.95" customHeight="1" x14ac:dyDescent="0.25">
      <c r="A3" s="50" t="s">
        <v>88</v>
      </c>
      <c r="B3" s="50">
        <v>0</v>
      </c>
      <c r="C3" s="50">
        <v>100</v>
      </c>
      <c r="D3" s="50">
        <v>4</v>
      </c>
      <c r="E3" s="51">
        <f t="shared" ref="E3:E43" si="0">ROUND((B3+C3)*(1+D3),0)</f>
        <v>500</v>
      </c>
      <c r="F3" s="50" t="s">
        <v>89</v>
      </c>
      <c r="G3" s="50">
        <v>0</v>
      </c>
      <c r="H3" s="50">
        <v>0</v>
      </c>
      <c r="I3" s="50">
        <v>0.2</v>
      </c>
      <c r="J3" s="51">
        <f t="shared" ref="J3:J43" si="1">ROUND((G3+H3)*(1+I3),0)</f>
        <v>0</v>
      </c>
      <c r="L3" s="53" t="s">
        <v>90</v>
      </c>
    </row>
    <row r="4" spans="1:12" ht="19.95" customHeight="1" x14ac:dyDescent="0.25">
      <c r="A4" s="50" t="s">
        <v>91</v>
      </c>
      <c r="B4" s="50">
        <v>800</v>
      </c>
      <c r="C4" s="50">
        <v>100</v>
      </c>
      <c r="D4" s="50">
        <v>0.4</v>
      </c>
      <c r="E4" s="51">
        <f t="shared" si="0"/>
        <v>1260</v>
      </c>
      <c r="F4" s="50" t="s">
        <v>92</v>
      </c>
      <c r="G4" s="50">
        <v>500</v>
      </c>
      <c r="H4" s="50">
        <v>0</v>
      </c>
      <c r="I4" s="50">
        <v>0.2</v>
      </c>
      <c r="J4" s="51">
        <f t="shared" si="1"/>
        <v>600</v>
      </c>
      <c r="L4" s="53" t="s">
        <v>93</v>
      </c>
    </row>
    <row r="5" spans="1:12" ht="19.95" customHeight="1" x14ac:dyDescent="0.25">
      <c r="A5" s="50" t="s">
        <v>94</v>
      </c>
      <c r="B5" s="50">
        <v>1600</v>
      </c>
      <c r="C5" s="50">
        <v>100</v>
      </c>
      <c r="D5" s="50">
        <v>0.4</v>
      </c>
      <c r="E5" s="51">
        <f t="shared" si="0"/>
        <v>2380</v>
      </c>
      <c r="F5" s="50" t="s">
        <v>95</v>
      </c>
      <c r="G5" s="50">
        <v>625</v>
      </c>
      <c r="H5" s="50">
        <v>0</v>
      </c>
      <c r="I5" s="50">
        <v>0.2</v>
      </c>
      <c r="J5" s="51">
        <f t="shared" si="1"/>
        <v>750</v>
      </c>
      <c r="L5" s="53" t="s">
        <v>96</v>
      </c>
    </row>
    <row r="6" spans="1:12" ht="19.95" customHeight="1" x14ac:dyDescent="0.25">
      <c r="A6" s="50" t="s">
        <v>97</v>
      </c>
      <c r="B6" s="50">
        <v>2400</v>
      </c>
      <c r="C6" s="50">
        <v>100</v>
      </c>
      <c r="D6" s="50">
        <v>0.4</v>
      </c>
      <c r="E6" s="51">
        <f t="shared" si="0"/>
        <v>3500</v>
      </c>
      <c r="F6" s="50" t="s">
        <v>98</v>
      </c>
      <c r="G6" s="50">
        <v>750</v>
      </c>
      <c r="H6" s="50">
        <v>0</v>
      </c>
      <c r="I6" s="50">
        <v>0.2</v>
      </c>
      <c r="J6" s="51">
        <f t="shared" si="1"/>
        <v>900</v>
      </c>
      <c r="L6" s="54" t="s">
        <v>99</v>
      </c>
    </row>
    <row r="7" spans="1:12" ht="19.95" customHeight="1" x14ac:dyDescent="0.25">
      <c r="A7" s="50" t="s">
        <v>100</v>
      </c>
      <c r="B7" s="50">
        <v>3200</v>
      </c>
      <c r="C7" s="50">
        <v>100</v>
      </c>
      <c r="D7" s="50">
        <v>0.4</v>
      </c>
      <c r="E7" s="51">
        <f t="shared" si="0"/>
        <v>4620</v>
      </c>
      <c r="F7" s="50" t="s">
        <v>101</v>
      </c>
      <c r="G7" s="50">
        <v>875</v>
      </c>
      <c r="H7" s="50">
        <v>0</v>
      </c>
      <c r="I7" s="50">
        <v>0.2</v>
      </c>
      <c r="J7" s="51">
        <f t="shared" si="1"/>
        <v>1050</v>
      </c>
      <c r="L7" s="54" t="s">
        <v>102</v>
      </c>
    </row>
    <row r="8" spans="1:12" ht="19.95" customHeight="1" x14ac:dyDescent="0.25">
      <c r="A8" s="52" t="s">
        <v>103</v>
      </c>
      <c r="B8" s="52">
        <v>300</v>
      </c>
      <c r="C8" s="52">
        <v>100</v>
      </c>
      <c r="D8" s="52">
        <v>0.3</v>
      </c>
      <c r="E8" s="51">
        <f t="shared" si="0"/>
        <v>520</v>
      </c>
      <c r="F8" s="52" t="s">
        <v>104</v>
      </c>
      <c r="G8" s="52">
        <v>0</v>
      </c>
      <c r="H8" s="52">
        <v>0</v>
      </c>
      <c r="I8" s="52">
        <v>0</v>
      </c>
      <c r="J8" s="51">
        <f t="shared" si="1"/>
        <v>0</v>
      </c>
      <c r="L8" s="54" t="s">
        <v>105</v>
      </c>
    </row>
    <row r="9" spans="1:12" ht="19.95" customHeight="1" x14ac:dyDescent="0.25">
      <c r="A9" s="52" t="s">
        <v>106</v>
      </c>
      <c r="B9" s="52">
        <v>600</v>
      </c>
      <c r="C9" s="52">
        <v>100</v>
      </c>
      <c r="D9" s="52">
        <v>0.3</v>
      </c>
      <c r="E9" s="51">
        <f t="shared" si="0"/>
        <v>910</v>
      </c>
      <c r="F9" s="52" t="s">
        <v>107</v>
      </c>
      <c r="G9" s="52">
        <v>400</v>
      </c>
      <c r="H9" s="52">
        <v>-95</v>
      </c>
      <c r="I9" s="52">
        <v>0.4</v>
      </c>
      <c r="J9" s="51">
        <f t="shared" si="1"/>
        <v>427</v>
      </c>
      <c r="L9" s="54" t="s">
        <v>108</v>
      </c>
    </row>
    <row r="10" spans="1:12" ht="19.95" customHeight="1" x14ac:dyDescent="0.25">
      <c r="A10" s="52" t="s">
        <v>109</v>
      </c>
      <c r="B10" s="52">
        <v>900</v>
      </c>
      <c r="C10" s="52">
        <v>100</v>
      </c>
      <c r="D10" s="52">
        <v>0.3</v>
      </c>
      <c r="E10" s="51">
        <f t="shared" si="0"/>
        <v>1300</v>
      </c>
      <c r="F10" s="52" t="s">
        <v>110</v>
      </c>
      <c r="G10" s="52">
        <v>500</v>
      </c>
      <c r="H10" s="52">
        <v>-90</v>
      </c>
      <c r="I10" s="52">
        <v>0.4</v>
      </c>
      <c r="J10" s="51">
        <f t="shared" si="1"/>
        <v>574</v>
      </c>
      <c r="L10" s="54" t="s">
        <v>111</v>
      </c>
    </row>
    <row r="11" spans="1:12" ht="19.95" customHeight="1" x14ac:dyDescent="0.25">
      <c r="A11" s="52" t="s">
        <v>112</v>
      </c>
      <c r="B11" s="52">
        <v>1200</v>
      </c>
      <c r="C11" s="52">
        <v>100</v>
      </c>
      <c r="D11" s="52">
        <v>0.3</v>
      </c>
      <c r="E11" s="51">
        <f t="shared" si="0"/>
        <v>1690</v>
      </c>
      <c r="F11" s="52" t="s">
        <v>113</v>
      </c>
      <c r="G11" s="52">
        <v>600</v>
      </c>
      <c r="H11" s="52">
        <v>-85</v>
      </c>
      <c r="I11" s="52">
        <v>0.4</v>
      </c>
      <c r="J11" s="51">
        <f t="shared" si="1"/>
        <v>721</v>
      </c>
      <c r="L11" s="54" t="s">
        <v>114</v>
      </c>
    </row>
    <row r="12" spans="1:12" ht="19.95" customHeight="1" x14ac:dyDescent="0.25">
      <c r="A12" s="52" t="s">
        <v>115</v>
      </c>
      <c r="B12" s="52">
        <v>1500</v>
      </c>
      <c r="C12" s="52">
        <v>100</v>
      </c>
      <c r="D12" s="52">
        <v>0.3</v>
      </c>
      <c r="E12" s="51">
        <f t="shared" si="0"/>
        <v>2080</v>
      </c>
      <c r="F12" s="52" t="s">
        <v>116</v>
      </c>
      <c r="G12" s="52">
        <v>700</v>
      </c>
      <c r="H12" s="52">
        <v>-80</v>
      </c>
      <c r="I12" s="52">
        <v>0.4</v>
      </c>
      <c r="J12" s="51">
        <f t="shared" si="1"/>
        <v>868</v>
      </c>
      <c r="L12" s="53" t="s">
        <v>117</v>
      </c>
    </row>
    <row r="13" spans="1:12" ht="19.95" customHeight="1" x14ac:dyDescent="0.25">
      <c r="A13" s="50" t="s">
        <v>118</v>
      </c>
      <c r="B13" s="50">
        <v>1000</v>
      </c>
      <c r="C13" s="50">
        <v>100</v>
      </c>
      <c r="D13" s="50">
        <v>0.6</v>
      </c>
      <c r="E13" s="51">
        <f t="shared" si="0"/>
        <v>1760</v>
      </c>
      <c r="F13" s="50" t="s">
        <v>119</v>
      </c>
      <c r="G13" s="50">
        <v>0</v>
      </c>
      <c r="H13" s="50">
        <v>0</v>
      </c>
      <c r="I13" s="50">
        <v>-1</v>
      </c>
      <c r="J13" s="51">
        <f t="shared" si="1"/>
        <v>0</v>
      </c>
      <c r="L13" s="53" t="s">
        <v>120</v>
      </c>
    </row>
    <row r="14" spans="1:12" ht="19.95" customHeight="1" x14ac:dyDescent="0.25">
      <c r="A14" s="50" t="s">
        <v>121</v>
      </c>
      <c r="B14" s="50">
        <v>1100</v>
      </c>
      <c r="C14" s="50">
        <v>100</v>
      </c>
      <c r="D14" s="50">
        <v>0.6</v>
      </c>
      <c r="E14" s="51">
        <f t="shared" si="0"/>
        <v>1920</v>
      </c>
      <c r="F14" s="50" t="s">
        <v>122</v>
      </c>
      <c r="G14" s="50">
        <f>H14*5</f>
        <v>50</v>
      </c>
      <c r="H14" s="50">
        <v>10</v>
      </c>
      <c r="I14" s="50">
        <v>-1</v>
      </c>
      <c r="J14" s="51">
        <f t="shared" si="1"/>
        <v>0</v>
      </c>
    </row>
    <row r="15" spans="1:12" ht="19.95" customHeight="1" x14ac:dyDescent="0.25">
      <c r="A15" s="50" t="s">
        <v>123</v>
      </c>
      <c r="B15" s="50">
        <v>1200</v>
      </c>
      <c r="C15" s="50">
        <v>100</v>
      </c>
      <c r="D15" s="50">
        <v>0.6</v>
      </c>
      <c r="E15" s="51">
        <f t="shared" si="0"/>
        <v>2080</v>
      </c>
      <c r="F15" s="50" t="s">
        <v>124</v>
      </c>
      <c r="G15" s="50">
        <f>H15*5</f>
        <v>100</v>
      </c>
      <c r="H15" s="50">
        <v>20</v>
      </c>
      <c r="I15" s="50">
        <v>-1</v>
      </c>
      <c r="J15" s="51">
        <f t="shared" si="1"/>
        <v>0</v>
      </c>
    </row>
    <row r="16" spans="1:12" ht="19.95" customHeight="1" x14ac:dyDescent="0.25">
      <c r="A16" s="50" t="s">
        <v>125</v>
      </c>
      <c r="B16" s="50">
        <v>1300</v>
      </c>
      <c r="C16" s="50">
        <v>100</v>
      </c>
      <c r="D16" s="50">
        <v>0.6</v>
      </c>
      <c r="E16" s="51">
        <f t="shared" si="0"/>
        <v>2240</v>
      </c>
      <c r="F16" s="50" t="s">
        <v>126</v>
      </c>
      <c r="G16" s="50">
        <f>H16*5</f>
        <v>150</v>
      </c>
      <c r="H16" s="50">
        <v>30</v>
      </c>
      <c r="I16" s="50">
        <v>-1</v>
      </c>
      <c r="J16" s="51">
        <f t="shared" si="1"/>
        <v>0</v>
      </c>
    </row>
    <row r="17" spans="1:12" ht="19.95" customHeight="1" x14ac:dyDescent="0.25">
      <c r="A17" s="50" t="s">
        <v>127</v>
      </c>
      <c r="B17" s="50">
        <v>1400</v>
      </c>
      <c r="C17" s="50">
        <v>100</v>
      </c>
      <c r="D17" s="50">
        <v>0.6</v>
      </c>
      <c r="E17" s="51">
        <f t="shared" si="0"/>
        <v>2400</v>
      </c>
      <c r="F17" s="50" t="s">
        <v>128</v>
      </c>
      <c r="G17" s="50">
        <f>H17*5</f>
        <v>200</v>
      </c>
      <c r="H17" s="50">
        <v>40</v>
      </c>
      <c r="I17" s="50">
        <v>-1</v>
      </c>
      <c r="J17" s="51">
        <f t="shared" si="1"/>
        <v>0</v>
      </c>
    </row>
    <row r="18" spans="1:12" ht="19.95" customHeight="1" x14ac:dyDescent="0.25">
      <c r="A18" s="52" t="s">
        <v>129</v>
      </c>
      <c r="B18" s="52">
        <v>2000</v>
      </c>
      <c r="C18" s="52">
        <v>100</v>
      </c>
      <c r="D18" s="52">
        <v>0.5</v>
      </c>
      <c r="E18" s="51">
        <f t="shared" si="0"/>
        <v>3150</v>
      </c>
      <c r="F18" s="52" t="s">
        <v>130</v>
      </c>
      <c r="G18" s="52">
        <v>0</v>
      </c>
      <c r="H18" s="52">
        <v>0</v>
      </c>
      <c r="I18" s="52">
        <v>0.2</v>
      </c>
      <c r="J18" s="51">
        <f t="shared" si="1"/>
        <v>0</v>
      </c>
    </row>
    <row r="19" spans="1:12" ht="19.95" customHeight="1" x14ac:dyDescent="0.25">
      <c r="A19" s="52" t="s">
        <v>131</v>
      </c>
      <c r="B19" s="52">
        <v>2400</v>
      </c>
      <c r="C19" s="52">
        <v>100</v>
      </c>
      <c r="D19" s="52">
        <v>0.5</v>
      </c>
      <c r="E19" s="51">
        <f t="shared" si="0"/>
        <v>3750</v>
      </c>
      <c r="F19" s="52" t="s">
        <v>132</v>
      </c>
      <c r="G19" s="52">
        <v>500</v>
      </c>
      <c r="H19" s="52">
        <v>0</v>
      </c>
      <c r="I19" s="52">
        <v>0.2</v>
      </c>
      <c r="J19" s="51">
        <f t="shared" si="1"/>
        <v>600</v>
      </c>
    </row>
    <row r="20" spans="1:12" ht="19.95" customHeight="1" x14ac:dyDescent="0.25">
      <c r="A20" s="52" t="s">
        <v>133</v>
      </c>
      <c r="B20" s="52">
        <v>2800</v>
      </c>
      <c r="C20" s="52">
        <v>100</v>
      </c>
      <c r="D20" s="52">
        <v>0.5</v>
      </c>
      <c r="E20" s="51">
        <f t="shared" si="0"/>
        <v>4350</v>
      </c>
      <c r="F20" s="52" t="s">
        <v>134</v>
      </c>
      <c r="G20" s="52">
        <v>1000</v>
      </c>
      <c r="H20" s="52">
        <v>0</v>
      </c>
      <c r="I20" s="52">
        <v>0.2</v>
      </c>
      <c r="J20" s="51">
        <f t="shared" si="1"/>
        <v>1200</v>
      </c>
    </row>
    <row r="21" spans="1:12" ht="19.95" customHeight="1" x14ac:dyDescent="0.25">
      <c r="A21" s="52" t="s">
        <v>135</v>
      </c>
      <c r="B21" s="52">
        <v>3200</v>
      </c>
      <c r="C21" s="52">
        <v>100</v>
      </c>
      <c r="D21" s="52">
        <v>0.5</v>
      </c>
      <c r="E21" s="51">
        <f t="shared" si="0"/>
        <v>4950</v>
      </c>
      <c r="F21" s="52" t="s">
        <v>136</v>
      </c>
      <c r="G21" s="52">
        <v>1500</v>
      </c>
      <c r="H21" s="52">
        <v>0</v>
      </c>
      <c r="I21" s="52">
        <v>0.2</v>
      </c>
      <c r="J21" s="51">
        <f t="shared" si="1"/>
        <v>1800</v>
      </c>
    </row>
    <row r="22" spans="1:12" ht="19.95" customHeight="1" x14ac:dyDescent="0.25">
      <c r="A22" s="52" t="s">
        <v>137</v>
      </c>
      <c r="B22" s="52">
        <v>3600</v>
      </c>
      <c r="C22" s="52">
        <v>100</v>
      </c>
      <c r="D22" s="52">
        <v>0.5</v>
      </c>
      <c r="E22" s="51">
        <f t="shared" si="0"/>
        <v>5550</v>
      </c>
      <c r="F22" s="52" t="s">
        <v>138</v>
      </c>
      <c r="G22" s="52">
        <v>2000</v>
      </c>
      <c r="H22" s="52">
        <v>0</v>
      </c>
      <c r="I22" s="52">
        <v>0.2</v>
      </c>
      <c r="J22" s="51">
        <f t="shared" si="1"/>
        <v>2400</v>
      </c>
    </row>
    <row r="23" spans="1:12" ht="19.95" customHeight="1" x14ac:dyDescent="0.25">
      <c r="A23" s="50" t="s">
        <v>139</v>
      </c>
      <c r="B23" s="50">
        <v>0</v>
      </c>
      <c r="C23" s="50">
        <v>100</v>
      </c>
      <c r="D23" s="50">
        <v>0</v>
      </c>
      <c r="E23" s="51">
        <f t="shared" si="0"/>
        <v>100</v>
      </c>
      <c r="F23" s="50" t="s">
        <v>139</v>
      </c>
      <c r="G23" s="50">
        <v>0</v>
      </c>
      <c r="H23" s="50">
        <v>100</v>
      </c>
      <c r="I23" s="50">
        <v>0</v>
      </c>
      <c r="J23" s="51">
        <f t="shared" si="1"/>
        <v>100</v>
      </c>
      <c r="L23" s="53"/>
    </row>
    <row r="24" spans="1:12" ht="19.95" customHeight="1" x14ac:dyDescent="0.25">
      <c r="A24" s="50" t="s">
        <v>140</v>
      </c>
      <c r="B24" s="50">
        <v>0</v>
      </c>
      <c r="C24" s="50">
        <v>100</v>
      </c>
      <c r="D24" s="50">
        <v>0</v>
      </c>
      <c r="E24" s="51">
        <f t="shared" si="0"/>
        <v>100</v>
      </c>
      <c r="F24" s="50" t="s">
        <v>140</v>
      </c>
      <c r="G24" s="50">
        <v>0</v>
      </c>
      <c r="H24" s="50">
        <v>100</v>
      </c>
      <c r="I24" s="50">
        <v>0</v>
      </c>
      <c r="J24" s="51">
        <f t="shared" si="1"/>
        <v>100</v>
      </c>
      <c r="L24" s="53"/>
    </row>
    <row r="25" spans="1:12" ht="19.95" customHeight="1" x14ac:dyDescent="0.25">
      <c r="A25" s="50" t="s">
        <v>141</v>
      </c>
      <c r="B25" s="50">
        <v>0</v>
      </c>
      <c r="C25" s="50">
        <v>100</v>
      </c>
      <c r="D25" s="50">
        <v>0</v>
      </c>
      <c r="E25" s="51">
        <f t="shared" si="0"/>
        <v>100</v>
      </c>
      <c r="F25" s="50" t="s">
        <v>141</v>
      </c>
      <c r="G25" s="50">
        <v>0</v>
      </c>
      <c r="H25" s="50">
        <v>100</v>
      </c>
      <c r="I25" s="50">
        <v>0</v>
      </c>
      <c r="J25" s="51">
        <f t="shared" si="1"/>
        <v>100</v>
      </c>
      <c r="L25" s="53"/>
    </row>
    <row r="26" spans="1:12" ht="19.95" customHeight="1" x14ac:dyDescent="0.25">
      <c r="A26" s="50" t="s">
        <v>142</v>
      </c>
      <c r="B26" s="50">
        <v>0</v>
      </c>
      <c r="C26" s="50">
        <v>100</v>
      </c>
      <c r="D26" s="50">
        <v>0</v>
      </c>
      <c r="E26" s="51">
        <f t="shared" si="0"/>
        <v>100</v>
      </c>
      <c r="F26" s="50" t="s">
        <v>142</v>
      </c>
      <c r="G26" s="50">
        <v>0</v>
      </c>
      <c r="H26" s="50">
        <v>100</v>
      </c>
      <c r="I26" s="50">
        <v>0</v>
      </c>
      <c r="J26" s="51">
        <f t="shared" si="1"/>
        <v>100</v>
      </c>
      <c r="L26" s="53"/>
    </row>
    <row r="27" spans="1:12" ht="19.95" customHeight="1" x14ac:dyDescent="0.25">
      <c r="A27" s="50" t="s">
        <v>143</v>
      </c>
      <c r="B27" s="50">
        <v>0</v>
      </c>
      <c r="C27" s="50">
        <v>100</v>
      </c>
      <c r="D27" s="50">
        <v>0</v>
      </c>
      <c r="E27" s="51">
        <f t="shared" si="0"/>
        <v>100</v>
      </c>
      <c r="F27" s="50" t="s">
        <v>143</v>
      </c>
      <c r="G27" s="50">
        <v>0</v>
      </c>
      <c r="H27" s="50">
        <v>100</v>
      </c>
      <c r="I27" s="50">
        <v>0</v>
      </c>
      <c r="J27" s="51">
        <f t="shared" si="1"/>
        <v>100</v>
      </c>
      <c r="L27" s="53"/>
    </row>
    <row r="28" spans="1:12" ht="19.95" customHeight="1" x14ac:dyDescent="0.25">
      <c r="A28" s="50" t="s">
        <v>144</v>
      </c>
      <c r="B28" s="50">
        <v>0</v>
      </c>
      <c r="C28" s="50">
        <v>100</v>
      </c>
      <c r="D28" s="50">
        <v>0</v>
      </c>
      <c r="E28" s="51">
        <f t="shared" si="0"/>
        <v>100</v>
      </c>
      <c r="F28" s="50" t="s">
        <v>144</v>
      </c>
      <c r="G28" s="50">
        <v>0</v>
      </c>
      <c r="H28" s="50">
        <v>100</v>
      </c>
      <c r="I28" s="50">
        <v>0</v>
      </c>
      <c r="J28" s="51">
        <f t="shared" si="1"/>
        <v>100</v>
      </c>
      <c r="L28" s="53"/>
    </row>
    <row r="29" spans="1:12" ht="19.95" customHeight="1" x14ac:dyDescent="0.25">
      <c r="A29" s="50" t="s">
        <v>145</v>
      </c>
      <c r="B29" s="50">
        <v>0</v>
      </c>
      <c r="C29" s="50">
        <v>100</v>
      </c>
      <c r="D29" s="50">
        <v>0</v>
      </c>
      <c r="E29" s="51">
        <f t="shared" si="0"/>
        <v>100</v>
      </c>
      <c r="F29" s="50" t="s">
        <v>145</v>
      </c>
      <c r="G29" s="50">
        <v>0</v>
      </c>
      <c r="H29" s="50">
        <v>100</v>
      </c>
      <c r="I29" s="50">
        <v>0</v>
      </c>
      <c r="J29" s="51">
        <f t="shared" si="1"/>
        <v>100</v>
      </c>
      <c r="L29" s="53"/>
    </row>
    <row r="30" spans="1:12" ht="19.95" customHeight="1" x14ac:dyDescent="0.25">
      <c r="A30" s="50" t="s">
        <v>146</v>
      </c>
      <c r="B30" s="50">
        <v>0</v>
      </c>
      <c r="C30" s="50">
        <v>100</v>
      </c>
      <c r="D30" s="50">
        <v>0</v>
      </c>
      <c r="E30" s="51">
        <f t="shared" si="0"/>
        <v>100</v>
      </c>
      <c r="F30" s="50" t="s">
        <v>146</v>
      </c>
      <c r="G30" s="50">
        <v>0</v>
      </c>
      <c r="H30" s="50">
        <v>100</v>
      </c>
      <c r="I30" s="50">
        <v>0</v>
      </c>
      <c r="J30" s="51">
        <f t="shared" si="1"/>
        <v>100</v>
      </c>
      <c r="L30" s="53"/>
    </row>
    <row r="31" spans="1:12" ht="19.95" customHeight="1" x14ac:dyDescent="0.25">
      <c r="A31" s="52" t="s">
        <v>147</v>
      </c>
      <c r="B31" s="52">
        <v>0</v>
      </c>
      <c r="C31" s="52">
        <v>0</v>
      </c>
      <c r="D31" s="52">
        <v>0</v>
      </c>
      <c r="E31" s="51">
        <f t="shared" si="0"/>
        <v>0</v>
      </c>
      <c r="F31" s="52" t="s">
        <v>148</v>
      </c>
      <c r="G31" s="52">
        <v>0</v>
      </c>
      <c r="H31" s="52">
        <v>0</v>
      </c>
      <c r="I31" s="52">
        <v>-1</v>
      </c>
      <c r="J31" s="51">
        <f t="shared" si="1"/>
        <v>0</v>
      </c>
    </row>
    <row r="32" spans="1:12" ht="19.95" customHeight="1" x14ac:dyDescent="0.25">
      <c r="A32" s="52" t="s">
        <v>149</v>
      </c>
      <c r="B32" s="52">
        <v>0</v>
      </c>
      <c r="C32" s="52">
        <v>0</v>
      </c>
      <c r="D32" s="52">
        <v>0</v>
      </c>
      <c r="E32" s="51">
        <f t="shared" si="0"/>
        <v>0</v>
      </c>
      <c r="F32" s="52" t="s">
        <v>150</v>
      </c>
      <c r="G32" s="52">
        <f>H32*7</f>
        <v>105</v>
      </c>
      <c r="H32" s="52">
        <v>15</v>
      </c>
      <c r="I32" s="52">
        <v>-1</v>
      </c>
      <c r="J32" s="51">
        <f t="shared" si="1"/>
        <v>0</v>
      </c>
    </row>
    <row r="33" spans="1:10" ht="19.95" customHeight="1" x14ac:dyDescent="0.25">
      <c r="A33" s="52" t="s">
        <v>151</v>
      </c>
      <c r="B33" s="52">
        <v>0</v>
      </c>
      <c r="C33" s="52">
        <v>0</v>
      </c>
      <c r="D33" s="52">
        <v>0</v>
      </c>
      <c r="E33" s="51">
        <f t="shared" si="0"/>
        <v>0</v>
      </c>
      <c r="F33" s="52" t="s">
        <v>152</v>
      </c>
      <c r="G33" s="52">
        <f>H33*7</f>
        <v>210</v>
      </c>
      <c r="H33" s="52">
        <v>30</v>
      </c>
      <c r="I33" s="52">
        <v>-1</v>
      </c>
      <c r="J33" s="51">
        <f t="shared" si="1"/>
        <v>0</v>
      </c>
    </row>
    <row r="34" spans="1:10" ht="19.95" customHeight="1" x14ac:dyDescent="0.25">
      <c r="A34" s="52" t="s">
        <v>153</v>
      </c>
      <c r="B34" s="52">
        <v>0</v>
      </c>
      <c r="C34" s="52">
        <v>0</v>
      </c>
      <c r="D34" s="52">
        <v>0</v>
      </c>
      <c r="E34" s="51">
        <f t="shared" si="0"/>
        <v>0</v>
      </c>
      <c r="F34" s="52" t="s">
        <v>154</v>
      </c>
      <c r="G34" s="52">
        <f>H34*7</f>
        <v>315</v>
      </c>
      <c r="H34" s="52">
        <v>45</v>
      </c>
      <c r="I34" s="52">
        <v>-1</v>
      </c>
      <c r="J34" s="51">
        <f t="shared" si="1"/>
        <v>0</v>
      </c>
    </row>
    <row r="35" spans="1:10" ht="19.95" customHeight="1" x14ac:dyDescent="0.25">
      <c r="A35" s="52" t="s">
        <v>155</v>
      </c>
      <c r="B35" s="52">
        <v>0</v>
      </c>
      <c r="C35" s="52">
        <v>0</v>
      </c>
      <c r="D35" s="52">
        <v>0</v>
      </c>
      <c r="E35" s="51">
        <f t="shared" si="0"/>
        <v>0</v>
      </c>
      <c r="F35" s="52" t="s">
        <v>156</v>
      </c>
      <c r="G35" s="52">
        <f>H35*7</f>
        <v>420</v>
      </c>
      <c r="H35" s="52">
        <v>60</v>
      </c>
      <c r="I35" s="52">
        <v>-1</v>
      </c>
      <c r="J35" s="51">
        <f t="shared" si="1"/>
        <v>0</v>
      </c>
    </row>
    <row r="36" spans="1:10" ht="19.95" customHeight="1" x14ac:dyDescent="0.25">
      <c r="A36" s="52" t="s">
        <v>157</v>
      </c>
      <c r="B36" s="52">
        <v>0</v>
      </c>
      <c r="C36" s="52">
        <v>0</v>
      </c>
      <c r="D36" s="52">
        <v>0</v>
      </c>
      <c r="E36" s="51">
        <f t="shared" si="0"/>
        <v>0</v>
      </c>
      <c r="F36" s="52" t="s">
        <v>147</v>
      </c>
      <c r="G36" s="52">
        <v>0</v>
      </c>
      <c r="H36" s="52">
        <v>0</v>
      </c>
      <c r="I36" s="52">
        <v>0</v>
      </c>
      <c r="J36" s="51">
        <f t="shared" si="1"/>
        <v>0</v>
      </c>
    </row>
    <row r="37" spans="1:10" ht="19.95" customHeight="1" x14ac:dyDescent="0.25">
      <c r="A37" s="52" t="s">
        <v>158</v>
      </c>
      <c r="B37" s="52">
        <v>0</v>
      </c>
      <c r="C37" s="52">
        <v>0</v>
      </c>
      <c r="D37" s="52">
        <v>0</v>
      </c>
      <c r="E37" s="51">
        <f t="shared" si="0"/>
        <v>0</v>
      </c>
      <c r="F37" s="52" t="s">
        <v>149</v>
      </c>
      <c r="G37" s="52">
        <v>0</v>
      </c>
      <c r="H37" s="52">
        <v>0</v>
      </c>
      <c r="I37" s="52">
        <v>0</v>
      </c>
      <c r="J37" s="51">
        <f t="shared" si="1"/>
        <v>0</v>
      </c>
    </row>
    <row r="38" spans="1:10" ht="19.95" customHeight="1" x14ac:dyDescent="0.25">
      <c r="A38" s="52" t="s">
        <v>159</v>
      </c>
      <c r="B38" s="52">
        <v>0</v>
      </c>
      <c r="C38" s="52">
        <v>0</v>
      </c>
      <c r="D38" s="52">
        <v>0</v>
      </c>
      <c r="E38" s="51">
        <f t="shared" si="0"/>
        <v>0</v>
      </c>
      <c r="F38" s="52" t="s">
        <v>151</v>
      </c>
      <c r="G38" s="52">
        <v>0</v>
      </c>
      <c r="H38" s="52">
        <v>0</v>
      </c>
      <c r="I38" s="52">
        <v>0</v>
      </c>
      <c r="J38" s="51">
        <f t="shared" si="1"/>
        <v>0</v>
      </c>
    </row>
    <row r="39" spans="1:10" ht="19.95" customHeight="1" x14ac:dyDescent="0.25">
      <c r="A39" s="52" t="s">
        <v>160</v>
      </c>
      <c r="B39" s="52">
        <v>0</v>
      </c>
      <c r="C39" s="52">
        <v>0</v>
      </c>
      <c r="D39" s="52">
        <v>0</v>
      </c>
      <c r="E39" s="51">
        <f t="shared" si="0"/>
        <v>0</v>
      </c>
      <c r="F39" s="52" t="s">
        <v>153</v>
      </c>
      <c r="G39" s="52">
        <v>0</v>
      </c>
      <c r="H39" s="52">
        <v>0</v>
      </c>
      <c r="I39" s="52">
        <v>0</v>
      </c>
      <c r="J39" s="51">
        <f t="shared" si="1"/>
        <v>0</v>
      </c>
    </row>
    <row r="40" spans="1:10" ht="19.95" customHeight="1" x14ac:dyDescent="0.25">
      <c r="A40" s="52" t="s">
        <v>161</v>
      </c>
      <c r="B40" s="52">
        <v>0</v>
      </c>
      <c r="C40" s="52">
        <v>0</v>
      </c>
      <c r="D40" s="52">
        <v>0</v>
      </c>
      <c r="E40" s="51">
        <f t="shared" si="0"/>
        <v>0</v>
      </c>
      <c r="F40" s="52" t="s">
        <v>155</v>
      </c>
      <c r="G40" s="52">
        <v>0</v>
      </c>
      <c r="H40" s="52">
        <v>0</v>
      </c>
      <c r="I40" s="52">
        <v>0</v>
      </c>
      <c r="J40" s="51">
        <f t="shared" si="1"/>
        <v>0</v>
      </c>
    </row>
    <row r="41" spans="1:10" ht="19.95" customHeight="1" x14ac:dyDescent="0.25">
      <c r="A41" s="52" t="s">
        <v>162</v>
      </c>
      <c r="B41" s="52">
        <v>0</v>
      </c>
      <c r="C41" s="52">
        <v>0</v>
      </c>
      <c r="D41" s="52">
        <v>0</v>
      </c>
      <c r="E41" s="51">
        <f t="shared" si="0"/>
        <v>0</v>
      </c>
      <c r="F41" s="52" t="s">
        <v>157</v>
      </c>
      <c r="G41" s="52">
        <v>0</v>
      </c>
      <c r="H41" s="52">
        <v>0</v>
      </c>
      <c r="I41" s="52">
        <v>0</v>
      </c>
      <c r="J41" s="51">
        <f t="shared" si="1"/>
        <v>0</v>
      </c>
    </row>
    <row r="42" spans="1:10" ht="19.95" customHeight="1" x14ac:dyDescent="0.25">
      <c r="A42" s="52" t="s">
        <v>163</v>
      </c>
      <c r="B42" s="52">
        <v>0</v>
      </c>
      <c r="C42" s="52">
        <v>0</v>
      </c>
      <c r="D42" s="52">
        <v>0</v>
      </c>
      <c r="E42" s="51">
        <f t="shared" si="0"/>
        <v>0</v>
      </c>
      <c r="F42" s="52" t="s">
        <v>158</v>
      </c>
      <c r="G42" s="52">
        <v>0</v>
      </c>
      <c r="H42" s="52">
        <v>0</v>
      </c>
      <c r="I42" s="52">
        <v>0</v>
      </c>
      <c r="J42" s="51">
        <f t="shared" si="1"/>
        <v>0</v>
      </c>
    </row>
    <row r="43" spans="1:10" ht="19.95" customHeight="1" x14ac:dyDescent="0.25">
      <c r="A43" s="52" t="s">
        <v>164</v>
      </c>
      <c r="B43" s="52">
        <v>0</v>
      </c>
      <c r="C43" s="52">
        <v>0</v>
      </c>
      <c r="D43" s="52">
        <v>0</v>
      </c>
      <c r="E43" s="51">
        <f t="shared" si="0"/>
        <v>0</v>
      </c>
      <c r="F43" s="52" t="s">
        <v>159</v>
      </c>
      <c r="G43" s="52">
        <v>0</v>
      </c>
      <c r="H43" s="52">
        <v>0</v>
      </c>
      <c r="I43" s="52">
        <v>0</v>
      </c>
      <c r="J43" s="51">
        <f t="shared" si="1"/>
        <v>0</v>
      </c>
    </row>
    <row r="44" spans="1:10" ht="19.95" customHeight="1" x14ac:dyDescent="0.25">
      <c r="A44" s="44"/>
      <c r="B44" s="45"/>
      <c r="C44" s="45"/>
      <c r="E44" s="44"/>
      <c r="G44" s="45"/>
      <c r="H44" s="45"/>
    </row>
    <row r="45" spans="1:10" ht="19.95" customHeight="1" x14ac:dyDescent="0.25">
      <c r="A45" s="44"/>
      <c r="B45" s="45"/>
      <c r="C45" s="45"/>
      <c r="E45" s="44"/>
      <c r="G45" s="45"/>
      <c r="H45" s="45"/>
    </row>
    <row r="46" spans="1:10" ht="19.95" customHeight="1" x14ac:dyDescent="0.25">
      <c r="A46" s="44"/>
      <c r="B46" s="45"/>
      <c r="C46" s="45"/>
      <c r="G46" s="45"/>
      <c r="H46" s="45"/>
    </row>
    <row r="47" spans="1:10" ht="19.95" customHeight="1" x14ac:dyDescent="0.25">
      <c r="A47" s="44"/>
      <c r="B47" s="45"/>
    </row>
    <row r="48" spans="1:10" ht="19.95" customHeight="1" x14ac:dyDescent="0.25">
      <c r="A48" s="44"/>
    </row>
    <row r="49" spans="1:1" ht="19.95" customHeight="1" x14ac:dyDescent="0.25">
      <c r="A49" s="44"/>
    </row>
    <row r="50" spans="1:1" ht="19.95" customHeight="1" x14ac:dyDescent="0.25">
      <c r="A50" s="44"/>
    </row>
  </sheetData>
  <phoneticPr fontId="12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F1200"/>
  <sheetViews>
    <sheetView showGridLines="0" topLeftCell="A103" zoomScale="90" zoomScaleNormal="90" workbookViewId="0">
      <selection activeCell="B128" sqref="B128"/>
    </sheetView>
  </sheetViews>
  <sheetFormatPr defaultColWidth="9" defaultRowHeight="21" customHeight="1" x14ac:dyDescent="0.25"/>
  <cols>
    <col min="1" max="1" width="22.88671875" style="39" customWidth="1"/>
    <col min="2" max="3" width="26.88671875" style="40" customWidth="1"/>
    <col min="4" max="4" width="14.6640625" style="40" customWidth="1"/>
    <col min="5" max="5" width="14.6640625" style="2" customWidth="1"/>
    <col min="6" max="6" width="23.77734375" style="2" customWidth="1"/>
  </cols>
  <sheetData>
    <row r="2" spans="1:6" ht="21" customHeight="1" x14ac:dyDescent="0.25">
      <c r="A2" s="6" t="s">
        <v>165</v>
      </c>
      <c r="B2" s="6" t="s">
        <v>166</v>
      </c>
      <c r="C2" s="6" t="s">
        <v>167</v>
      </c>
      <c r="D2" s="6" t="s">
        <v>168</v>
      </c>
      <c r="E2" s="6" t="s">
        <v>82</v>
      </c>
      <c r="F2" s="6" t="s">
        <v>87</v>
      </c>
    </row>
    <row r="3" spans="1:6" ht="21" customHeight="1" x14ac:dyDescent="0.25">
      <c r="A3" s="41" t="s">
        <v>169</v>
      </c>
      <c r="B3" s="15" t="s">
        <v>170</v>
      </c>
      <c r="C3" s="15"/>
      <c r="D3" s="15">
        <v>1</v>
      </c>
      <c r="E3" s="2" t="s">
        <v>171</v>
      </c>
      <c r="F3" s="2" t="s">
        <v>172</v>
      </c>
    </row>
    <row r="4" spans="1:6" ht="21" customHeight="1" x14ac:dyDescent="0.25">
      <c r="A4" s="41" t="s">
        <v>169</v>
      </c>
      <c r="B4" s="15" t="s">
        <v>170</v>
      </c>
      <c r="C4" s="15"/>
      <c r="D4" s="15">
        <v>2</v>
      </c>
      <c r="E4" s="2" t="s">
        <v>171</v>
      </c>
      <c r="F4" s="2" t="s">
        <v>172</v>
      </c>
    </row>
    <row r="5" spans="1:6" ht="21" customHeight="1" x14ac:dyDescent="0.25">
      <c r="A5" s="41" t="s">
        <v>169</v>
      </c>
      <c r="B5" s="15" t="s">
        <v>170</v>
      </c>
      <c r="C5" s="15"/>
      <c r="D5" s="15">
        <v>3</v>
      </c>
      <c r="E5" s="2" t="s">
        <v>171</v>
      </c>
      <c r="F5" s="2" t="s">
        <v>172</v>
      </c>
    </row>
    <row r="6" spans="1:6" ht="21" customHeight="1" x14ac:dyDescent="0.25">
      <c r="A6" s="41" t="s">
        <v>169</v>
      </c>
      <c r="B6" s="15" t="s">
        <v>170</v>
      </c>
      <c r="C6" s="15"/>
      <c r="D6" s="15">
        <v>4</v>
      </c>
      <c r="E6" s="2" t="s">
        <v>171</v>
      </c>
      <c r="F6" s="2" t="s">
        <v>172</v>
      </c>
    </row>
    <row r="7" spans="1:6" ht="21" customHeight="1" x14ac:dyDescent="0.25">
      <c r="A7" s="41" t="s">
        <v>169</v>
      </c>
      <c r="B7" s="15" t="s">
        <v>170</v>
      </c>
      <c r="C7" s="15"/>
      <c r="D7" s="15">
        <v>5</v>
      </c>
      <c r="E7" s="2" t="s">
        <v>171</v>
      </c>
      <c r="F7" s="2" t="s">
        <v>172</v>
      </c>
    </row>
    <row r="8" spans="1:6" ht="21" customHeight="1" x14ac:dyDescent="0.25">
      <c r="A8" s="41" t="s">
        <v>169</v>
      </c>
      <c r="B8" s="16" t="s">
        <v>173</v>
      </c>
      <c r="C8" s="16"/>
      <c r="D8" s="16">
        <v>1</v>
      </c>
      <c r="E8" s="2" t="s">
        <v>174</v>
      </c>
      <c r="F8" s="2" t="s">
        <v>175</v>
      </c>
    </row>
    <row r="9" spans="1:6" ht="21" customHeight="1" x14ac:dyDescent="0.25">
      <c r="A9" s="41" t="s">
        <v>169</v>
      </c>
      <c r="B9" s="16" t="s">
        <v>173</v>
      </c>
      <c r="C9" s="16"/>
      <c r="D9" s="16">
        <v>2</v>
      </c>
      <c r="E9" s="2" t="s">
        <v>174</v>
      </c>
      <c r="F9" s="2" t="s">
        <v>175</v>
      </c>
    </row>
    <row r="10" spans="1:6" ht="21" customHeight="1" x14ac:dyDescent="0.25">
      <c r="A10" s="41" t="s">
        <v>169</v>
      </c>
      <c r="B10" s="16" t="s">
        <v>173</v>
      </c>
      <c r="C10" s="16"/>
      <c r="D10" s="16">
        <v>3</v>
      </c>
      <c r="E10" s="2" t="s">
        <v>174</v>
      </c>
      <c r="F10" s="2" t="s">
        <v>175</v>
      </c>
    </row>
    <row r="11" spans="1:6" ht="21" customHeight="1" x14ac:dyDescent="0.25">
      <c r="A11" s="41" t="s">
        <v>169</v>
      </c>
      <c r="B11" s="16" t="s">
        <v>173</v>
      </c>
      <c r="C11" s="16"/>
      <c r="D11" s="16">
        <v>4</v>
      </c>
      <c r="E11" s="2" t="s">
        <v>174</v>
      </c>
      <c r="F11" s="2" t="s">
        <v>175</v>
      </c>
    </row>
    <row r="12" spans="1:6" ht="21" customHeight="1" x14ac:dyDescent="0.25">
      <c r="A12" s="41" t="s">
        <v>169</v>
      </c>
      <c r="B12" s="16" t="s">
        <v>173</v>
      </c>
      <c r="C12" s="16"/>
      <c r="D12" s="16">
        <v>5</v>
      </c>
      <c r="E12" s="2" t="s">
        <v>174</v>
      </c>
      <c r="F12" s="2" t="s">
        <v>175</v>
      </c>
    </row>
    <row r="13" spans="1:6" ht="21" customHeight="1" x14ac:dyDescent="0.25">
      <c r="A13" s="41" t="s">
        <v>169</v>
      </c>
      <c r="B13" s="15" t="s">
        <v>176</v>
      </c>
      <c r="C13" s="15"/>
      <c r="D13" s="15">
        <v>1</v>
      </c>
      <c r="E13" s="2" t="s">
        <v>174</v>
      </c>
      <c r="F13" s="2" t="s">
        <v>177</v>
      </c>
    </row>
    <row r="14" spans="1:6" ht="21" customHeight="1" x14ac:dyDescent="0.25">
      <c r="A14" s="41" t="s">
        <v>169</v>
      </c>
      <c r="B14" s="15" t="s">
        <v>176</v>
      </c>
      <c r="C14" s="15"/>
      <c r="D14" s="15">
        <v>2</v>
      </c>
      <c r="E14" s="2" t="s">
        <v>174</v>
      </c>
      <c r="F14" s="2" t="s">
        <v>177</v>
      </c>
    </row>
    <row r="15" spans="1:6" ht="21" customHeight="1" x14ac:dyDescent="0.25">
      <c r="A15" s="41" t="s">
        <v>169</v>
      </c>
      <c r="B15" s="15" t="s">
        <v>176</v>
      </c>
      <c r="C15" s="15"/>
      <c r="D15" s="15">
        <v>3</v>
      </c>
      <c r="E15" s="2" t="s">
        <v>174</v>
      </c>
      <c r="F15" s="2" t="s">
        <v>177</v>
      </c>
    </row>
    <row r="16" spans="1:6" ht="21" customHeight="1" x14ac:dyDescent="0.25">
      <c r="A16" s="41" t="s">
        <v>169</v>
      </c>
      <c r="B16" s="15" t="s">
        <v>176</v>
      </c>
      <c r="C16" s="15"/>
      <c r="D16" s="15">
        <v>4</v>
      </c>
      <c r="E16" s="2" t="s">
        <v>174</v>
      </c>
      <c r="F16" s="2" t="s">
        <v>177</v>
      </c>
    </row>
    <row r="17" spans="1:6" ht="21" customHeight="1" x14ac:dyDescent="0.25">
      <c r="A17" s="41" t="s">
        <v>169</v>
      </c>
      <c r="B17" s="15" t="s">
        <v>176</v>
      </c>
      <c r="C17" s="15"/>
      <c r="D17" s="15">
        <v>5</v>
      </c>
      <c r="E17" s="2" t="s">
        <v>174</v>
      </c>
      <c r="F17" s="2" t="s">
        <v>177</v>
      </c>
    </row>
    <row r="18" spans="1:6" ht="21" customHeight="1" x14ac:dyDescent="0.25">
      <c r="A18" s="41" t="s">
        <v>169</v>
      </c>
      <c r="B18" s="16" t="s">
        <v>178</v>
      </c>
      <c r="C18" s="16"/>
      <c r="D18" s="16">
        <v>1</v>
      </c>
      <c r="E18" s="2" t="s">
        <v>174</v>
      </c>
      <c r="F18" s="2" t="s">
        <v>179</v>
      </c>
    </row>
    <row r="19" spans="1:6" ht="21" customHeight="1" x14ac:dyDescent="0.25">
      <c r="A19" s="41" t="s">
        <v>169</v>
      </c>
      <c r="B19" s="16" t="s">
        <v>178</v>
      </c>
      <c r="C19" s="16"/>
      <c r="D19" s="16">
        <v>2</v>
      </c>
      <c r="E19" s="2" t="s">
        <v>174</v>
      </c>
      <c r="F19" s="2" t="s">
        <v>179</v>
      </c>
    </row>
    <row r="20" spans="1:6" ht="21" customHeight="1" x14ac:dyDescent="0.25">
      <c r="A20" s="41" t="s">
        <v>169</v>
      </c>
      <c r="B20" s="16" t="s">
        <v>178</v>
      </c>
      <c r="C20" s="16"/>
      <c r="D20" s="16">
        <v>3</v>
      </c>
      <c r="E20" s="2" t="s">
        <v>174</v>
      </c>
      <c r="F20" s="2" t="s">
        <v>179</v>
      </c>
    </row>
    <row r="21" spans="1:6" ht="21" customHeight="1" x14ac:dyDescent="0.25">
      <c r="A21" s="41" t="s">
        <v>169</v>
      </c>
      <c r="B21" s="16" t="s">
        <v>178</v>
      </c>
      <c r="C21" s="16"/>
      <c r="D21" s="16">
        <v>4</v>
      </c>
      <c r="E21" s="2" t="s">
        <v>174</v>
      </c>
      <c r="F21" s="2" t="s">
        <v>179</v>
      </c>
    </row>
    <row r="22" spans="1:6" ht="21" customHeight="1" x14ac:dyDescent="0.25">
      <c r="A22" s="41" t="s">
        <v>169</v>
      </c>
      <c r="B22" s="16" t="s">
        <v>178</v>
      </c>
      <c r="C22" s="16"/>
      <c r="D22" s="16">
        <v>5</v>
      </c>
      <c r="E22" s="2" t="s">
        <v>174</v>
      </c>
      <c r="F22" s="2" t="s">
        <v>179</v>
      </c>
    </row>
    <row r="23" spans="1:6" ht="21" customHeight="1" x14ac:dyDescent="0.25">
      <c r="A23" s="41" t="s">
        <v>169</v>
      </c>
      <c r="B23" s="16" t="s">
        <v>178</v>
      </c>
      <c r="C23" s="16"/>
      <c r="D23" s="16">
        <v>6</v>
      </c>
      <c r="E23" s="2" t="s">
        <v>174</v>
      </c>
      <c r="F23" s="2" t="s">
        <v>179</v>
      </c>
    </row>
    <row r="24" spans="1:6" ht="21" customHeight="1" x14ac:dyDescent="0.25">
      <c r="A24" s="41" t="s">
        <v>169</v>
      </c>
      <c r="B24" s="16" t="s">
        <v>178</v>
      </c>
      <c r="C24" s="16"/>
      <c r="D24" s="16">
        <v>7</v>
      </c>
      <c r="E24" s="2" t="s">
        <v>174</v>
      </c>
      <c r="F24" s="2" t="s">
        <v>179</v>
      </c>
    </row>
    <row r="25" spans="1:6" ht="21" customHeight="1" x14ac:dyDescent="0.25">
      <c r="A25" s="41" t="s">
        <v>169</v>
      </c>
      <c r="B25" s="16" t="s">
        <v>178</v>
      </c>
      <c r="C25" s="16"/>
      <c r="D25" s="16">
        <v>8</v>
      </c>
      <c r="E25" s="2" t="s">
        <v>174</v>
      </c>
      <c r="F25" s="2" t="s">
        <v>179</v>
      </c>
    </row>
    <row r="26" spans="1:6" ht="21" customHeight="1" x14ac:dyDescent="0.25">
      <c r="A26" s="42" t="s">
        <v>180</v>
      </c>
      <c r="B26" s="15" t="s">
        <v>181</v>
      </c>
      <c r="C26" s="15"/>
      <c r="D26" s="15">
        <v>1</v>
      </c>
      <c r="E26" s="2" t="s">
        <v>171</v>
      </c>
      <c r="F26" s="2" t="s">
        <v>172</v>
      </c>
    </row>
    <row r="27" spans="1:6" ht="21" customHeight="1" x14ac:dyDescent="0.25">
      <c r="A27" s="42" t="s">
        <v>180</v>
      </c>
      <c r="B27" s="15" t="s">
        <v>181</v>
      </c>
      <c r="C27" s="15"/>
      <c r="D27" s="15">
        <v>2</v>
      </c>
      <c r="E27" s="2" t="s">
        <v>171</v>
      </c>
      <c r="F27" s="2" t="s">
        <v>172</v>
      </c>
    </row>
    <row r="28" spans="1:6" ht="21" customHeight="1" x14ac:dyDescent="0.25">
      <c r="A28" s="42" t="s">
        <v>180</v>
      </c>
      <c r="B28" s="15" t="s">
        <v>181</v>
      </c>
      <c r="C28" s="15"/>
      <c r="D28" s="15">
        <v>3</v>
      </c>
      <c r="E28" s="2" t="s">
        <v>171</v>
      </c>
      <c r="F28" s="2" t="s">
        <v>172</v>
      </c>
    </row>
    <row r="29" spans="1:6" ht="21" customHeight="1" x14ac:dyDescent="0.25">
      <c r="A29" s="42" t="s">
        <v>180</v>
      </c>
      <c r="B29" s="15" t="s">
        <v>181</v>
      </c>
      <c r="C29" s="15"/>
      <c r="D29" s="15">
        <v>4</v>
      </c>
      <c r="E29" s="2" t="s">
        <v>171</v>
      </c>
      <c r="F29" s="2" t="s">
        <v>172</v>
      </c>
    </row>
    <row r="30" spans="1:6" ht="21" customHeight="1" x14ac:dyDescent="0.25">
      <c r="A30" s="42" t="s">
        <v>180</v>
      </c>
      <c r="B30" s="15" t="s">
        <v>181</v>
      </c>
      <c r="C30" s="15"/>
      <c r="D30" s="15">
        <v>5</v>
      </c>
      <c r="E30" s="2" t="s">
        <v>171</v>
      </c>
      <c r="F30" s="2" t="s">
        <v>172</v>
      </c>
    </row>
    <row r="31" spans="1:6" ht="21" customHeight="1" x14ac:dyDescent="0.25">
      <c r="A31" s="42" t="s">
        <v>180</v>
      </c>
      <c r="B31" s="16" t="s">
        <v>182</v>
      </c>
      <c r="C31" s="16"/>
      <c r="D31" s="16">
        <v>1</v>
      </c>
      <c r="E31" s="2" t="s">
        <v>174</v>
      </c>
      <c r="F31" s="2" t="s">
        <v>175</v>
      </c>
    </row>
    <row r="32" spans="1:6" ht="21" customHeight="1" x14ac:dyDescent="0.25">
      <c r="A32" s="42" t="s">
        <v>180</v>
      </c>
      <c r="B32" s="16" t="s">
        <v>182</v>
      </c>
      <c r="C32" s="16"/>
      <c r="D32" s="16">
        <v>2</v>
      </c>
      <c r="E32" s="2" t="s">
        <v>174</v>
      </c>
      <c r="F32" s="2" t="s">
        <v>175</v>
      </c>
    </row>
    <row r="33" spans="1:6" ht="21" customHeight="1" x14ac:dyDescent="0.25">
      <c r="A33" s="42" t="s">
        <v>180</v>
      </c>
      <c r="B33" s="16" t="s">
        <v>182</v>
      </c>
      <c r="C33" s="16"/>
      <c r="D33" s="16">
        <v>3</v>
      </c>
      <c r="E33" s="2" t="s">
        <v>174</v>
      </c>
      <c r="F33" s="2" t="s">
        <v>175</v>
      </c>
    </row>
    <row r="34" spans="1:6" ht="21" customHeight="1" x14ac:dyDescent="0.25">
      <c r="A34" s="42" t="s">
        <v>180</v>
      </c>
      <c r="B34" s="16" t="s">
        <v>182</v>
      </c>
      <c r="C34" s="16"/>
      <c r="D34" s="16">
        <v>4</v>
      </c>
      <c r="E34" s="2" t="s">
        <v>174</v>
      </c>
      <c r="F34" s="2" t="s">
        <v>175</v>
      </c>
    </row>
    <row r="35" spans="1:6" ht="21" customHeight="1" x14ac:dyDescent="0.25">
      <c r="A35" s="42" t="s">
        <v>180</v>
      </c>
      <c r="B35" s="16" t="s">
        <v>182</v>
      </c>
      <c r="C35" s="16"/>
      <c r="D35" s="16">
        <v>5</v>
      </c>
      <c r="E35" s="2" t="s">
        <v>174</v>
      </c>
      <c r="F35" s="2" t="s">
        <v>175</v>
      </c>
    </row>
    <row r="36" spans="1:6" ht="21" customHeight="1" x14ac:dyDescent="0.25">
      <c r="A36" s="42" t="s">
        <v>180</v>
      </c>
      <c r="B36" s="15" t="s">
        <v>183</v>
      </c>
      <c r="C36" s="15"/>
      <c r="D36" s="15">
        <v>1</v>
      </c>
      <c r="E36" s="2" t="s">
        <v>174</v>
      </c>
      <c r="F36" s="2" t="s">
        <v>177</v>
      </c>
    </row>
    <row r="37" spans="1:6" ht="21" customHeight="1" x14ac:dyDescent="0.25">
      <c r="A37" s="42" t="s">
        <v>180</v>
      </c>
      <c r="B37" s="15" t="s">
        <v>183</v>
      </c>
      <c r="C37" s="15"/>
      <c r="D37" s="15">
        <v>2</v>
      </c>
      <c r="E37" s="2" t="s">
        <v>174</v>
      </c>
      <c r="F37" s="2" t="s">
        <v>177</v>
      </c>
    </row>
    <row r="38" spans="1:6" ht="21" customHeight="1" x14ac:dyDescent="0.25">
      <c r="A38" s="42" t="s">
        <v>180</v>
      </c>
      <c r="B38" s="15" t="s">
        <v>183</v>
      </c>
      <c r="C38" s="15"/>
      <c r="D38" s="15">
        <v>3</v>
      </c>
      <c r="E38" s="2" t="s">
        <v>174</v>
      </c>
      <c r="F38" s="2" t="s">
        <v>177</v>
      </c>
    </row>
    <row r="39" spans="1:6" ht="21" customHeight="1" x14ac:dyDescent="0.25">
      <c r="A39" s="42" t="s">
        <v>180</v>
      </c>
      <c r="B39" s="15" t="s">
        <v>183</v>
      </c>
      <c r="C39" s="15"/>
      <c r="D39" s="15">
        <v>4</v>
      </c>
      <c r="E39" s="2" t="s">
        <v>174</v>
      </c>
      <c r="F39" s="2" t="s">
        <v>177</v>
      </c>
    </row>
    <row r="40" spans="1:6" ht="21" customHeight="1" x14ac:dyDescent="0.25">
      <c r="A40" s="42" t="s">
        <v>180</v>
      </c>
      <c r="B40" s="15" t="s">
        <v>183</v>
      </c>
      <c r="C40" s="15"/>
      <c r="D40" s="15">
        <v>5</v>
      </c>
      <c r="E40" s="2" t="s">
        <v>174</v>
      </c>
      <c r="F40" s="2" t="s">
        <v>177</v>
      </c>
    </row>
    <row r="41" spans="1:6" ht="21" customHeight="1" x14ac:dyDescent="0.25">
      <c r="A41" s="42" t="s">
        <v>180</v>
      </c>
      <c r="B41" s="16" t="s">
        <v>184</v>
      </c>
      <c r="C41" s="16"/>
      <c r="D41" s="16">
        <v>1</v>
      </c>
      <c r="E41" s="2" t="s">
        <v>174</v>
      </c>
      <c r="F41" s="2" t="s">
        <v>179</v>
      </c>
    </row>
    <row r="42" spans="1:6" ht="21" customHeight="1" x14ac:dyDescent="0.25">
      <c r="A42" s="42" t="s">
        <v>180</v>
      </c>
      <c r="B42" s="16" t="s">
        <v>184</v>
      </c>
      <c r="C42" s="16"/>
      <c r="D42" s="16">
        <v>2</v>
      </c>
      <c r="E42" s="2" t="s">
        <v>174</v>
      </c>
      <c r="F42" s="2" t="s">
        <v>179</v>
      </c>
    </row>
    <row r="43" spans="1:6" ht="21" customHeight="1" x14ac:dyDescent="0.25">
      <c r="A43" s="42" t="s">
        <v>180</v>
      </c>
      <c r="B43" s="16" t="s">
        <v>184</v>
      </c>
      <c r="C43" s="16"/>
      <c r="D43" s="16">
        <v>3</v>
      </c>
      <c r="E43" s="2" t="s">
        <v>174</v>
      </c>
      <c r="F43" s="2" t="s">
        <v>179</v>
      </c>
    </row>
    <row r="44" spans="1:6" ht="21" customHeight="1" x14ac:dyDescent="0.25">
      <c r="A44" s="42" t="s">
        <v>180</v>
      </c>
      <c r="B44" s="16" t="s">
        <v>184</v>
      </c>
      <c r="C44" s="16"/>
      <c r="D44" s="16">
        <v>4</v>
      </c>
      <c r="E44" s="2" t="s">
        <v>174</v>
      </c>
      <c r="F44" s="2" t="s">
        <v>179</v>
      </c>
    </row>
    <row r="45" spans="1:6" ht="21" customHeight="1" x14ac:dyDescent="0.25">
      <c r="A45" s="42" t="s">
        <v>180</v>
      </c>
      <c r="B45" s="16" t="s">
        <v>184</v>
      </c>
      <c r="C45" s="16"/>
      <c r="D45" s="16">
        <v>5</v>
      </c>
      <c r="E45" s="2" t="s">
        <v>174</v>
      </c>
      <c r="F45" s="2" t="s">
        <v>179</v>
      </c>
    </row>
    <row r="46" spans="1:6" ht="21" customHeight="1" x14ac:dyDescent="0.25">
      <c r="A46" s="42" t="s">
        <v>180</v>
      </c>
      <c r="B46" s="16" t="s">
        <v>184</v>
      </c>
      <c r="C46" s="16"/>
      <c r="D46" s="16">
        <v>6</v>
      </c>
      <c r="E46" s="2" t="s">
        <v>174</v>
      </c>
      <c r="F46" s="2" t="s">
        <v>179</v>
      </c>
    </row>
    <row r="47" spans="1:6" ht="21" customHeight="1" x14ac:dyDescent="0.25">
      <c r="A47" s="42" t="s">
        <v>180</v>
      </c>
      <c r="B47" s="16" t="s">
        <v>184</v>
      </c>
      <c r="C47" s="16"/>
      <c r="D47" s="16">
        <v>7</v>
      </c>
      <c r="E47" s="2" t="s">
        <v>174</v>
      </c>
      <c r="F47" s="2" t="s">
        <v>179</v>
      </c>
    </row>
    <row r="48" spans="1:6" ht="21" customHeight="1" x14ac:dyDescent="0.25">
      <c r="A48" s="42" t="s">
        <v>180</v>
      </c>
      <c r="B48" s="16" t="s">
        <v>184</v>
      </c>
      <c r="C48" s="16"/>
      <c r="D48" s="16">
        <v>8</v>
      </c>
      <c r="E48" s="2" t="s">
        <v>174</v>
      </c>
      <c r="F48" s="2" t="s">
        <v>179</v>
      </c>
    </row>
    <row r="49" spans="1:6" ht="21" customHeight="1" x14ac:dyDescent="0.25">
      <c r="A49" s="41" t="s">
        <v>185</v>
      </c>
      <c r="B49" s="15" t="s">
        <v>186</v>
      </c>
      <c r="C49" s="15"/>
      <c r="D49" s="15">
        <v>1</v>
      </c>
      <c r="E49" s="2" t="s">
        <v>171</v>
      </c>
      <c r="F49" s="2" t="s">
        <v>172</v>
      </c>
    </row>
    <row r="50" spans="1:6" ht="21" customHeight="1" x14ac:dyDescent="0.25">
      <c r="A50" s="41" t="s">
        <v>185</v>
      </c>
      <c r="B50" s="15" t="s">
        <v>186</v>
      </c>
      <c r="C50" s="15"/>
      <c r="D50" s="15">
        <v>2</v>
      </c>
      <c r="E50" s="2" t="s">
        <v>171</v>
      </c>
      <c r="F50" s="2" t="s">
        <v>172</v>
      </c>
    </row>
    <row r="51" spans="1:6" ht="21" customHeight="1" x14ac:dyDescent="0.25">
      <c r="A51" s="41" t="s">
        <v>185</v>
      </c>
      <c r="B51" s="15" t="s">
        <v>186</v>
      </c>
      <c r="C51" s="15"/>
      <c r="D51" s="15">
        <v>3</v>
      </c>
      <c r="E51" s="2" t="s">
        <v>171</v>
      </c>
      <c r="F51" s="2" t="s">
        <v>172</v>
      </c>
    </row>
    <row r="52" spans="1:6" ht="21" customHeight="1" x14ac:dyDescent="0.25">
      <c r="A52" s="41" t="s">
        <v>185</v>
      </c>
      <c r="B52" s="15" t="s">
        <v>186</v>
      </c>
      <c r="C52" s="15"/>
      <c r="D52" s="15">
        <v>4</v>
      </c>
      <c r="E52" s="2" t="s">
        <v>171</v>
      </c>
      <c r="F52" s="2" t="s">
        <v>172</v>
      </c>
    </row>
    <row r="53" spans="1:6" ht="21" customHeight="1" x14ac:dyDescent="0.25">
      <c r="A53" s="41" t="s">
        <v>185</v>
      </c>
      <c r="B53" s="15" t="s">
        <v>186</v>
      </c>
      <c r="C53" s="15"/>
      <c r="D53" s="15">
        <v>5</v>
      </c>
      <c r="E53" s="2" t="s">
        <v>171</v>
      </c>
      <c r="F53" s="2" t="s">
        <v>172</v>
      </c>
    </row>
    <row r="54" spans="1:6" ht="21" customHeight="1" x14ac:dyDescent="0.25">
      <c r="A54" s="41" t="s">
        <v>185</v>
      </c>
      <c r="B54" s="16" t="s">
        <v>187</v>
      </c>
      <c r="C54" s="16"/>
      <c r="D54" s="16">
        <v>1</v>
      </c>
      <c r="E54" s="2" t="s">
        <v>174</v>
      </c>
      <c r="F54" s="2" t="s">
        <v>175</v>
      </c>
    </row>
    <row r="55" spans="1:6" ht="21" customHeight="1" x14ac:dyDescent="0.25">
      <c r="A55" s="41" t="s">
        <v>185</v>
      </c>
      <c r="B55" s="16" t="s">
        <v>187</v>
      </c>
      <c r="C55" s="16"/>
      <c r="D55" s="16">
        <v>2</v>
      </c>
      <c r="E55" s="2" t="s">
        <v>174</v>
      </c>
      <c r="F55" s="2" t="s">
        <v>175</v>
      </c>
    </row>
    <row r="56" spans="1:6" ht="21" customHeight="1" x14ac:dyDescent="0.25">
      <c r="A56" s="41" t="s">
        <v>185</v>
      </c>
      <c r="B56" s="16" t="s">
        <v>187</v>
      </c>
      <c r="C56" s="16"/>
      <c r="D56" s="16">
        <v>3</v>
      </c>
      <c r="E56" s="2" t="s">
        <v>174</v>
      </c>
      <c r="F56" s="2" t="s">
        <v>175</v>
      </c>
    </row>
    <row r="57" spans="1:6" ht="21" customHeight="1" x14ac:dyDescent="0.25">
      <c r="A57" s="41" t="s">
        <v>185</v>
      </c>
      <c r="B57" s="16" t="s">
        <v>187</v>
      </c>
      <c r="C57" s="16"/>
      <c r="D57" s="16">
        <v>4</v>
      </c>
      <c r="E57" s="2" t="s">
        <v>174</v>
      </c>
      <c r="F57" s="2" t="s">
        <v>175</v>
      </c>
    </row>
    <row r="58" spans="1:6" ht="21" customHeight="1" x14ac:dyDescent="0.25">
      <c r="A58" s="41" t="s">
        <v>185</v>
      </c>
      <c r="B58" s="16" t="s">
        <v>187</v>
      </c>
      <c r="C58" s="16"/>
      <c r="D58" s="16">
        <v>5</v>
      </c>
      <c r="E58" s="2" t="s">
        <v>174</v>
      </c>
      <c r="F58" s="2" t="s">
        <v>175</v>
      </c>
    </row>
    <row r="59" spans="1:6" ht="21" customHeight="1" x14ac:dyDescent="0.25">
      <c r="A59" s="41" t="s">
        <v>185</v>
      </c>
      <c r="B59" s="15" t="s">
        <v>188</v>
      </c>
      <c r="C59" s="15"/>
      <c r="D59" s="15">
        <v>1</v>
      </c>
      <c r="E59" s="2" t="s">
        <v>174</v>
      </c>
      <c r="F59" s="2" t="s">
        <v>177</v>
      </c>
    </row>
    <row r="60" spans="1:6" ht="21" customHeight="1" x14ac:dyDescent="0.25">
      <c r="A60" s="41" t="s">
        <v>185</v>
      </c>
      <c r="B60" s="15" t="s">
        <v>188</v>
      </c>
      <c r="C60" s="15"/>
      <c r="D60" s="15">
        <v>2</v>
      </c>
      <c r="E60" s="2" t="s">
        <v>174</v>
      </c>
      <c r="F60" s="2" t="s">
        <v>177</v>
      </c>
    </row>
    <row r="61" spans="1:6" ht="21" customHeight="1" x14ac:dyDescent="0.25">
      <c r="A61" s="41" t="s">
        <v>185</v>
      </c>
      <c r="B61" s="15" t="s">
        <v>188</v>
      </c>
      <c r="C61" s="15"/>
      <c r="D61" s="15">
        <v>3</v>
      </c>
      <c r="E61" s="2" t="s">
        <v>174</v>
      </c>
      <c r="F61" s="2" t="s">
        <v>177</v>
      </c>
    </row>
    <row r="62" spans="1:6" ht="21" customHeight="1" x14ac:dyDescent="0.25">
      <c r="A62" s="41" t="s">
        <v>185</v>
      </c>
      <c r="B62" s="15" t="s">
        <v>188</v>
      </c>
      <c r="C62" s="15"/>
      <c r="D62" s="15">
        <v>4</v>
      </c>
      <c r="E62" s="2" t="s">
        <v>174</v>
      </c>
      <c r="F62" s="2" t="s">
        <v>177</v>
      </c>
    </row>
    <row r="63" spans="1:6" ht="21" customHeight="1" x14ac:dyDescent="0.25">
      <c r="A63" s="41" t="s">
        <v>185</v>
      </c>
      <c r="B63" s="15" t="s">
        <v>188</v>
      </c>
      <c r="C63" s="15"/>
      <c r="D63" s="15">
        <v>5</v>
      </c>
      <c r="E63" s="2" t="s">
        <v>174</v>
      </c>
      <c r="F63" s="2" t="s">
        <v>177</v>
      </c>
    </row>
    <row r="64" spans="1:6" ht="21" customHeight="1" x14ac:dyDescent="0.25">
      <c r="A64" s="41" t="s">
        <v>185</v>
      </c>
      <c r="B64" s="16" t="s">
        <v>189</v>
      </c>
      <c r="C64" s="16"/>
      <c r="D64" s="16">
        <v>1</v>
      </c>
      <c r="E64" s="2" t="s">
        <v>174</v>
      </c>
      <c r="F64" s="2" t="s">
        <v>179</v>
      </c>
    </row>
    <row r="65" spans="1:6" ht="21" customHeight="1" x14ac:dyDescent="0.25">
      <c r="A65" s="41" t="s">
        <v>185</v>
      </c>
      <c r="B65" s="16" t="s">
        <v>189</v>
      </c>
      <c r="C65" s="16"/>
      <c r="D65" s="16">
        <v>2</v>
      </c>
      <c r="E65" s="2" t="s">
        <v>174</v>
      </c>
      <c r="F65" s="2" t="s">
        <v>179</v>
      </c>
    </row>
    <row r="66" spans="1:6" ht="21" customHeight="1" x14ac:dyDescent="0.25">
      <c r="A66" s="41" t="s">
        <v>185</v>
      </c>
      <c r="B66" s="16" t="s">
        <v>189</v>
      </c>
      <c r="C66" s="16"/>
      <c r="D66" s="16">
        <v>3</v>
      </c>
      <c r="E66" s="2" t="s">
        <v>174</v>
      </c>
      <c r="F66" s="2" t="s">
        <v>179</v>
      </c>
    </row>
    <row r="67" spans="1:6" ht="21" customHeight="1" x14ac:dyDescent="0.25">
      <c r="A67" s="41" t="s">
        <v>185</v>
      </c>
      <c r="B67" s="16" t="s">
        <v>189</v>
      </c>
      <c r="C67" s="16"/>
      <c r="D67" s="16">
        <v>4</v>
      </c>
      <c r="E67" s="2" t="s">
        <v>174</v>
      </c>
      <c r="F67" s="2" t="s">
        <v>179</v>
      </c>
    </row>
    <row r="68" spans="1:6" ht="21" customHeight="1" x14ac:dyDescent="0.25">
      <c r="A68" s="41" t="s">
        <v>185</v>
      </c>
      <c r="B68" s="16" t="s">
        <v>189</v>
      </c>
      <c r="C68" s="16"/>
      <c r="D68" s="16">
        <v>5</v>
      </c>
      <c r="E68" s="2" t="s">
        <v>174</v>
      </c>
      <c r="F68" s="2" t="s">
        <v>179</v>
      </c>
    </row>
    <row r="69" spans="1:6" ht="21" customHeight="1" x14ac:dyDescent="0.25">
      <c r="A69" s="41" t="s">
        <v>185</v>
      </c>
      <c r="B69" s="16" t="s">
        <v>189</v>
      </c>
      <c r="C69" s="16"/>
      <c r="D69" s="16">
        <v>6</v>
      </c>
      <c r="E69" s="2" t="s">
        <v>174</v>
      </c>
      <c r="F69" s="2" t="s">
        <v>179</v>
      </c>
    </row>
    <row r="70" spans="1:6" ht="21" customHeight="1" x14ac:dyDescent="0.25">
      <c r="A70" s="41" t="s">
        <v>185</v>
      </c>
      <c r="B70" s="16" t="s">
        <v>189</v>
      </c>
      <c r="C70" s="16"/>
      <c r="D70" s="16">
        <v>7</v>
      </c>
      <c r="E70" s="2" t="s">
        <v>174</v>
      </c>
      <c r="F70" s="2" t="s">
        <v>179</v>
      </c>
    </row>
    <row r="71" spans="1:6" ht="21" customHeight="1" x14ac:dyDescent="0.25">
      <c r="A71" s="41" t="s">
        <v>185</v>
      </c>
      <c r="B71" s="16" t="s">
        <v>189</v>
      </c>
      <c r="C71" s="16"/>
      <c r="D71" s="16">
        <v>8</v>
      </c>
      <c r="E71" s="2" t="s">
        <v>174</v>
      </c>
      <c r="F71" s="2" t="s">
        <v>179</v>
      </c>
    </row>
    <row r="72" spans="1:6" ht="21" customHeight="1" x14ac:dyDescent="0.25">
      <c r="A72" s="42" t="s">
        <v>190</v>
      </c>
      <c r="B72" s="15" t="s">
        <v>191</v>
      </c>
      <c r="C72" s="15"/>
      <c r="D72" s="15">
        <v>1</v>
      </c>
      <c r="E72" s="2" t="s">
        <v>171</v>
      </c>
      <c r="F72" s="2" t="s">
        <v>172</v>
      </c>
    </row>
    <row r="73" spans="1:6" ht="21" customHeight="1" x14ac:dyDescent="0.25">
      <c r="A73" s="42" t="s">
        <v>190</v>
      </c>
      <c r="B73" s="15" t="s">
        <v>191</v>
      </c>
      <c r="C73" s="15"/>
      <c r="D73" s="15">
        <v>2</v>
      </c>
      <c r="E73" s="2" t="s">
        <v>171</v>
      </c>
      <c r="F73" s="2" t="s">
        <v>172</v>
      </c>
    </row>
    <row r="74" spans="1:6" ht="21" customHeight="1" x14ac:dyDescent="0.25">
      <c r="A74" s="42" t="s">
        <v>190</v>
      </c>
      <c r="B74" s="15" t="s">
        <v>191</v>
      </c>
      <c r="C74" s="15"/>
      <c r="D74" s="15">
        <v>3</v>
      </c>
      <c r="E74" s="2" t="s">
        <v>171</v>
      </c>
      <c r="F74" s="2" t="s">
        <v>172</v>
      </c>
    </row>
    <row r="75" spans="1:6" ht="21" customHeight="1" x14ac:dyDescent="0.25">
      <c r="A75" s="42" t="s">
        <v>190</v>
      </c>
      <c r="B75" s="15" t="s">
        <v>191</v>
      </c>
      <c r="C75" s="15"/>
      <c r="D75" s="15">
        <v>4</v>
      </c>
      <c r="E75" s="2" t="s">
        <v>171</v>
      </c>
      <c r="F75" s="2" t="s">
        <v>172</v>
      </c>
    </row>
    <row r="76" spans="1:6" ht="21" customHeight="1" x14ac:dyDescent="0.25">
      <c r="A76" s="42" t="s">
        <v>190</v>
      </c>
      <c r="B76" s="15" t="s">
        <v>191</v>
      </c>
      <c r="C76" s="15"/>
      <c r="D76" s="15">
        <v>5</v>
      </c>
      <c r="E76" s="2" t="s">
        <v>171</v>
      </c>
      <c r="F76" s="2" t="s">
        <v>172</v>
      </c>
    </row>
    <row r="77" spans="1:6" ht="21" customHeight="1" x14ac:dyDescent="0.25">
      <c r="A77" s="42" t="s">
        <v>190</v>
      </c>
      <c r="B77" s="16" t="s">
        <v>192</v>
      </c>
      <c r="C77" s="16"/>
      <c r="D77" s="16">
        <v>1</v>
      </c>
      <c r="E77" s="2" t="s">
        <v>171</v>
      </c>
      <c r="F77" s="2" t="s">
        <v>193</v>
      </c>
    </row>
    <row r="78" spans="1:6" ht="21" customHeight="1" x14ac:dyDescent="0.25">
      <c r="A78" s="42" t="s">
        <v>190</v>
      </c>
      <c r="B78" s="16" t="s">
        <v>192</v>
      </c>
      <c r="C78" s="16"/>
      <c r="D78" s="16">
        <v>2</v>
      </c>
      <c r="E78" s="2" t="s">
        <v>171</v>
      </c>
      <c r="F78" s="2" t="s">
        <v>193</v>
      </c>
    </row>
    <row r="79" spans="1:6" ht="21" customHeight="1" x14ac:dyDescent="0.25">
      <c r="A79" s="42" t="s">
        <v>190</v>
      </c>
      <c r="B79" s="16" t="s">
        <v>192</v>
      </c>
      <c r="C79" s="16"/>
      <c r="D79" s="16">
        <v>3</v>
      </c>
      <c r="E79" s="2" t="s">
        <v>171</v>
      </c>
      <c r="F79" s="2" t="s">
        <v>193</v>
      </c>
    </row>
    <row r="80" spans="1:6" ht="21" customHeight="1" x14ac:dyDescent="0.25">
      <c r="A80" s="42" t="s">
        <v>190</v>
      </c>
      <c r="B80" s="16" t="s">
        <v>192</v>
      </c>
      <c r="C80" s="16"/>
      <c r="D80" s="16">
        <v>4</v>
      </c>
      <c r="E80" s="2" t="s">
        <v>171</v>
      </c>
      <c r="F80" s="2" t="s">
        <v>193</v>
      </c>
    </row>
    <row r="81" spans="1:6" ht="21" customHeight="1" x14ac:dyDescent="0.25">
      <c r="A81" s="42" t="s">
        <v>190</v>
      </c>
      <c r="B81" s="16" t="s">
        <v>192</v>
      </c>
      <c r="C81" s="16"/>
      <c r="D81" s="16">
        <v>5</v>
      </c>
      <c r="E81" s="2" t="s">
        <v>171</v>
      </c>
      <c r="F81" s="2" t="s">
        <v>193</v>
      </c>
    </row>
    <row r="82" spans="1:6" ht="21" customHeight="1" x14ac:dyDescent="0.25">
      <c r="A82" s="42" t="s">
        <v>190</v>
      </c>
      <c r="B82" s="15" t="s">
        <v>194</v>
      </c>
      <c r="C82" s="15"/>
      <c r="D82" s="15">
        <v>1</v>
      </c>
      <c r="E82" s="2" t="s">
        <v>174</v>
      </c>
      <c r="F82" s="2" t="s">
        <v>175</v>
      </c>
    </row>
    <row r="83" spans="1:6" ht="21" customHeight="1" x14ac:dyDescent="0.25">
      <c r="A83" s="42" t="s">
        <v>190</v>
      </c>
      <c r="B83" s="15" t="s">
        <v>194</v>
      </c>
      <c r="C83" s="15"/>
      <c r="D83" s="15">
        <v>2</v>
      </c>
      <c r="E83" s="2" t="s">
        <v>174</v>
      </c>
      <c r="F83" s="2" t="s">
        <v>175</v>
      </c>
    </row>
    <row r="84" spans="1:6" ht="21" customHeight="1" x14ac:dyDescent="0.25">
      <c r="A84" s="42" t="s">
        <v>190</v>
      </c>
      <c r="B84" s="15" t="s">
        <v>194</v>
      </c>
      <c r="C84" s="15"/>
      <c r="D84" s="15">
        <v>3</v>
      </c>
      <c r="E84" s="2" t="s">
        <v>174</v>
      </c>
      <c r="F84" s="2" t="s">
        <v>175</v>
      </c>
    </row>
    <row r="85" spans="1:6" ht="21" customHeight="1" x14ac:dyDescent="0.25">
      <c r="A85" s="42" t="s">
        <v>190</v>
      </c>
      <c r="B85" s="15" t="s">
        <v>194</v>
      </c>
      <c r="C85" s="15"/>
      <c r="D85" s="15">
        <v>4</v>
      </c>
      <c r="E85" s="2" t="s">
        <v>174</v>
      </c>
      <c r="F85" s="2" t="s">
        <v>175</v>
      </c>
    </row>
    <row r="86" spans="1:6" ht="21" customHeight="1" x14ac:dyDescent="0.25">
      <c r="A86" s="42" t="s">
        <v>190</v>
      </c>
      <c r="B86" s="15" t="s">
        <v>194</v>
      </c>
      <c r="C86" s="15"/>
      <c r="D86" s="15">
        <v>5</v>
      </c>
      <c r="E86" s="2" t="s">
        <v>174</v>
      </c>
      <c r="F86" s="2" t="s">
        <v>175</v>
      </c>
    </row>
    <row r="87" spans="1:6" ht="21" customHeight="1" x14ac:dyDescent="0.25">
      <c r="A87" s="42" t="s">
        <v>190</v>
      </c>
      <c r="B87" s="16" t="s">
        <v>195</v>
      </c>
      <c r="C87" s="16"/>
      <c r="D87" s="16">
        <v>1</v>
      </c>
      <c r="E87" s="2" t="s">
        <v>174</v>
      </c>
      <c r="F87" s="2" t="s">
        <v>177</v>
      </c>
    </row>
    <row r="88" spans="1:6" ht="21" customHeight="1" x14ac:dyDescent="0.25">
      <c r="A88" s="42" t="s">
        <v>190</v>
      </c>
      <c r="B88" s="16" t="s">
        <v>195</v>
      </c>
      <c r="C88" s="16"/>
      <c r="D88" s="16">
        <v>2</v>
      </c>
      <c r="E88" s="2" t="s">
        <v>174</v>
      </c>
      <c r="F88" s="2" t="s">
        <v>177</v>
      </c>
    </row>
    <row r="89" spans="1:6" ht="21" customHeight="1" x14ac:dyDescent="0.25">
      <c r="A89" s="42" t="s">
        <v>190</v>
      </c>
      <c r="B89" s="16" t="s">
        <v>195</v>
      </c>
      <c r="C89" s="16"/>
      <c r="D89" s="16">
        <v>3</v>
      </c>
      <c r="E89" s="2" t="s">
        <v>174</v>
      </c>
      <c r="F89" s="2" t="s">
        <v>177</v>
      </c>
    </row>
    <row r="90" spans="1:6" ht="21" customHeight="1" x14ac:dyDescent="0.25">
      <c r="A90" s="42" t="s">
        <v>190</v>
      </c>
      <c r="B90" s="16" t="s">
        <v>195</v>
      </c>
      <c r="C90" s="16"/>
      <c r="D90" s="16">
        <v>4</v>
      </c>
      <c r="E90" s="2" t="s">
        <v>174</v>
      </c>
      <c r="F90" s="2" t="s">
        <v>177</v>
      </c>
    </row>
    <row r="91" spans="1:6" ht="21" customHeight="1" x14ac:dyDescent="0.25">
      <c r="A91" s="42" t="s">
        <v>190</v>
      </c>
      <c r="B91" s="16" t="s">
        <v>195</v>
      </c>
      <c r="C91" s="16"/>
      <c r="D91" s="16">
        <v>5</v>
      </c>
      <c r="E91" s="2" t="s">
        <v>174</v>
      </c>
      <c r="F91" s="2" t="s">
        <v>177</v>
      </c>
    </row>
    <row r="92" spans="1:6" ht="21" customHeight="1" x14ac:dyDescent="0.25">
      <c r="A92" s="42" t="s">
        <v>190</v>
      </c>
      <c r="B92" s="15" t="s">
        <v>196</v>
      </c>
      <c r="C92" s="15"/>
      <c r="D92" s="15">
        <v>1</v>
      </c>
      <c r="E92" s="2" t="s">
        <v>174</v>
      </c>
      <c r="F92" s="2" t="s">
        <v>179</v>
      </c>
    </row>
    <row r="93" spans="1:6" ht="21" customHeight="1" x14ac:dyDescent="0.25">
      <c r="A93" s="42" t="s">
        <v>190</v>
      </c>
      <c r="B93" s="15" t="s">
        <v>196</v>
      </c>
      <c r="C93" s="15"/>
      <c r="D93" s="15">
        <v>2</v>
      </c>
      <c r="E93" s="2" t="s">
        <v>174</v>
      </c>
      <c r="F93" s="2" t="s">
        <v>179</v>
      </c>
    </row>
    <row r="94" spans="1:6" ht="21" customHeight="1" x14ac:dyDescent="0.25">
      <c r="A94" s="42" t="s">
        <v>190</v>
      </c>
      <c r="B94" s="15" t="s">
        <v>196</v>
      </c>
      <c r="C94" s="15"/>
      <c r="D94" s="15">
        <v>3</v>
      </c>
      <c r="E94" s="2" t="s">
        <v>174</v>
      </c>
      <c r="F94" s="2" t="s">
        <v>179</v>
      </c>
    </row>
    <row r="95" spans="1:6" ht="21" customHeight="1" x14ac:dyDescent="0.25">
      <c r="A95" s="42" t="s">
        <v>190</v>
      </c>
      <c r="B95" s="15" t="s">
        <v>196</v>
      </c>
      <c r="C95" s="15"/>
      <c r="D95" s="15">
        <v>4</v>
      </c>
      <c r="E95" s="2" t="s">
        <v>174</v>
      </c>
      <c r="F95" s="2" t="s">
        <v>179</v>
      </c>
    </row>
    <row r="96" spans="1:6" ht="21" customHeight="1" x14ac:dyDescent="0.25">
      <c r="A96" s="42" t="s">
        <v>190</v>
      </c>
      <c r="B96" s="15" t="s">
        <v>196</v>
      </c>
      <c r="C96" s="15"/>
      <c r="D96" s="15">
        <v>5</v>
      </c>
      <c r="E96" s="2" t="s">
        <v>174</v>
      </c>
      <c r="F96" s="2" t="s">
        <v>179</v>
      </c>
    </row>
    <row r="97" spans="1:6" ht="21" customHeight="1" x14ac:dyDescent="0.25">
      <c r="A97" s="42" t="s">
        <v>190</v>
      </c>
      <c r="B97" s="15" t="s">
        <v>196</v>
      </c>
      <c r="C97" s="15"/>
      <c r="D97" s="15">
        <v>6</v>
      </c>
      <c r="E97" s="2" t="s">
        <v>174</v>
      </c>
      <c r="F97" s="2" t="s">
        <v>179</v>
      </c>
    </row>
    <row r="98" spans="1:6" ht="21" customHeight="1" x14ac:dyDescent="0.25">
      <c r="A98" s="42" t="s">
        <v>190</v>
      </c>
      <c r="B98" s="15" t="s">
        <v>196</v>
      </c>
      <c r="C98" s="15"/>
      <c r="D98" s="15">
        <v>7</v>
      </c>
      <c r="E98" s="2" t="s">
        <v>174</v>
      </c>
      <c r="F98" s="2" t="s">
        <v>179</v>
      </c>
    </row>
    <row r="99" spans="1:6" ht="21" customHeight="1" x14ac:dyDescent="0.25">
      <c r="A99" s="42" t="s">
        <v>190</v>
      </c>
      <c r="B99" s="15" t="s">
        <v>196</v>
      </c>
      <c r="C99" s="15"/>
      <c r="D99" s="15">
        <v>8</v>
      </c>
      <c r="E99" s="2" t="s">
        <v>174</v>
      </c>
      <c r="F99" s="2" t="s">
        <v>179</v>
      </c>
    </row>
    <row r="100" spans="1:6" ht="21" customHeight="1" x14ac:dyDescent="0.25">
      <c r="A100" s="41" t="s">
        <v>197</v>
      </c>
      <c r="B100" s="16" t="s">
        <v>198</v>
      </c>
      <c r="C100" s="16"/>
      <c r="D100" s="16">
        <v>1</v>
      </c>
      <c r="E100" s="2" t="s">
        <v>171</v>
      </c>
      <c r="F100" s="2" t="s">
        <v>172</v>
      </c>
    </row>
    <row r="101" spans="1:6" ht="21" customHeight="1" x14ac:dyDescent="0.25">
      <c r="A101" s="41" t="s">
        <v>197</v>
      </c>
      <c r="B101" s="16" t="s">
        <v>198</v>
      </c>
      <c r="C101" s="16"/>
      <c r="D101" s="16">
        <v>2</v>
      </c>
      <c r="E101" s="2" t="s">
        <v>171</v>
      </c>
      <c r="F101" s="2" t="s">
        <v>172</v>
      </c>
    </row>
    <row r="102" spans="1:6" ht="21" customHeight="1" x14ac:dyDescent="0.25">
      <c r="A102" s="41" t="s">
        <v>197</v>
      </c>
      <c r="B102" s="16" t="s">
        <v>198</v>
      </c>
      <c r="C102" s="16"/>
      <c r="D102" s="16">
        <v>3</v>
      </c>
      <c r="E102" s="2" t="s">
        <v>171</v>
      </c>
      <c r="F102" s="2" t="s">
        <v>172</v>
      </c>
    </row>
    <row r="103" spans="1:6" ht="21" customHeight="1" x14ac:dyDescent="0.25">
      <c r="A103" s="41" t="s">
        <v>197</v>
      </c>
      <c r="B103" s="16" t="s">
        <v>198</v>
      </c>
      <c r="C103" s="16"/>
      <c r="D103" s="16">
        <v>4</v>
      </c>
      <c r="E103" s="2" t="s">
        <v>171</v>
      </c>
      <c r="F103" s="2" t="s">
        <v>172</v>
      </c>
    </row>
    <row r="104" spans="1:6" ht="21" customHeight="1" x14ac:dyDescent="0.25">
      <c r="A104" s="41" t="s">
        <v>197</v>
      </c>
      <c r="B104" s="16" t="s">
        <v>198</v>
      </c>
      <c r="C104" s="16"/>
      <c r="D104" s="16">
        <v>5</v>
      </c>
      <c r="E104" s="2" t="s">
        <v>171</v>
      </c>
      <c r="F104" s="2" t="s">
        <v>172</v>
      </c>
    </row>
    <row r="105" spans="1:6" ht="21" customHeight="1" x14ac:dyDescent="0.25">
      <c r="A105" s="41" t="s">
        <v>197</v>
      </c>
      <c r="B105" s="15" t="s">
        <v>199</v>
      </c>
      <c r="C105" s="15"/>
      <c r="D105" s="15">
        <v>1</v>
      </c>
      <c r="E105" s="2" t="s">
        <v>171</v>
      </c>
      <c r="F105" s="2" t="s">
        <v>193</v>
      </c>
    </row>
    <row r="106" spans="1:6" ht="21" customHeight="1" x14ac:dyDescent="0.25">
      <c r="A106" s="41" t="s">
        <v>197</v>
      </c>
      <c r="B106" s="15" t="s">
        <v>199</v>
      </c>
      <c r="C106" s="15"/>
      <c r="D106" s="15">
        <v>2</v>
      </c>
      <c r="E106" s="2" t="s">
        <v>171</v>
      </c>
      <c r="F106" s="2" t="s">
        <v>193</v>
      </c>
    </row>
    <row r="107" spans="1:6" ht="21" customHeight="1" x14ac:dyDescent="0.25">
      <c r="A107" s="41" t="s">
        <v>197</v>
      </c>
      <c r="B107" s="15" t="s">
        <v>199</v>
      </c>
      <c r="C107" s="15"/>
      <c r="D107" s="15">
        <v>3</v>
      </c>
      <c r="E107" s="2" t="s">
        <v>171</v>
      </c>
      <c r="F107" s="2" t="s">
        <v>193</v>
      </c>
    </row>
    <row r="108" spans="1:6" ht="21" customHeight="1" x14ac:dyDescent="0.25">
      <c r="A108" s="41" t="s">
        <v>197</v>
      </c>
      <c r="B108" s="15" t="s">
        <v>199</v>
      </c>
      <c r="C108" s="15"/>
      <c r="D108" s="15">
        <v>4</v>
      </c>
      <c r="E108" s="2" t="s">
        <v>171</v>
      </c>
      <c r="F108" s="2" t="s">
        <v>193</v>
      </c>
    </row>
    <row r="109" spans="1:6" ht="21" customHeight="1" x14ac:dyDescent="0.25">
      <c r="A109" s="41" t="s">
        <v>197</v>
      </c>
      <c r="B109" s="15" t="s">
        <v>199</v>
      </c>
      <c r="C109" s="15"/>
      <c r="D109" s="15">
        <v>5</v>
      </c>
      <c r="E109" s="2" t="s">
        <v>171</v>
      </c>
      <c r="F109" s="2" t="s">
        <v>193</v>
      </c>
    </row>
    <row r="110" spans="1:6" ht="21" customHeight="1" x14ac:dyDescent="0.25">
      <c r="A110" s="41" t="s">
        <v>197</v>
      </c>
      <c r="B110" s="16" t="s">
        <v>200</v>
      </c>
      <c r="C110" s="16"/>
      <c r="D110" s="16">
        <v>1</v>
      </c>
      <c r="E110" s="2" t="s">
        <v>174</v>
      </c>
      <c r="F110" s="2" t="s">
        <v>175</v>
      </c>
    </row>
    <row r="111" spans="1:6" ht="21" customHeight="1" x14ac:dyDescent="0.25">
      <c r="A111" s="41" t="s">
        <v>197</v>
      </c>
      <c r="B111" s="16" t="s">
        <v>200</v>
      </c>
      <c r="C111" s="16"/>
      <c r="D111" s="16">
        <v>2</v>
      </c>
      <c r="E111" s="2" t="s">
        <v>174</v>
      </c>
      <c r="F111" s="2" t="s">
        <v>175</v>
      </c>
    </row>
    <row r="112" spans="1:6" ht="21" customHeight="1" x14ac:dyDescent="0.25">
      <c r="A112" s="41" t="s">
        <v>197</v>
      </c>
      <c r="B112" s="16" t="s">
        <v>200</v>
      </c>
      <c r="C112" s="16"/>
      <c r="D112" s="16">
        <v>3</v>
      </c>
      <c r="E112" s="2" t="s">
        <v>174</v>
      </c>
      <c r="F112" s="2" t="s">
        <v>175</v>
      </c>
    </row>
    <row r="113" spans="1:6" ht="21" customHeight="1" x14ac:dyDescent="0.25">
      <c r="A113" s="41" t="s">
        <v>197</v>
      </c>
      <c r="B113" s="16" t="s">
        <v>200</v>
      </c>
      <c r="C113" s="16"/>
      <c r="D113" s="16">
        <v>4</v>
      </c>
      <c r="E113" s="2" t="s">
        <v>174</v>
      </c>
      <c r="F113" s="2" t="s">
        <v>175</v>
      </c>
    </row>
    <row r="114" spans="1:6" ht="21" customHeight="1" x14ac:dyDescent="0.25">
      <c r="A114" s="41" t="s">
        <v>197</v>
      </c>
      <c r="B114" s="16" t="s">
        <v>200</v>
      </c>
      <c r="C114" s="16"/>
      <c r="D114" s="16">
        <v>5</v>
      </c>
      <c r="E114" s="2" t="s">
        <v>174</v>
      </c>
      <c r="F114" s="2" t="s">
        <v>175</v>
      </c>
    </row>
    <row r="115" spans="1:6" ht="21" customHeight="1" x14ac:dyDescent="0.25">
      <c r="A115" s="41" t="s">
        <v>197</v>
      </c>
      <c r="B115" s="15" t="s">
        <v>201</v>
      </c>
      <c r="C115" s="15"/>
      <c r="D115" s="15">
        <v>1</v>
      </c>
      <c r="E115" s="2" t="s">
        <v>174</v>
      </c>
      <c r="F115" s="2" t="s">
        <v>177</v>
      </c>
    </row>
    <row r="116" spans="1:6" ht="21" customHeight="1" x14ac:dyDescent="0.25">
      <c r="A116" s="41" t="s">
        <v>197</v>
      </c>
      <c r="B116" s="15" t="s">
        <v>201</v>
      </c>
      <c r="C116" s="15"/>
      <c r="D116" s="15">
        <v>2</v>
      </c>
      <c r="E116" s="2" t="s">
        <v>174</v>
      </c>
      <c r="F116" s="2" t="s">
        <v>177</v>
      </c>
    </row>
    <row r="117" spans="1:6" ht="21" customHeight="1" x14ac:dyDescent="0.25">
      <c r="A117" s="41" t="s">
        <v>197</v>
      </c>
      <c r="B117" s="15" t="s">
        <v>201</v>
      </c>
      <c r="C117" s="15"/>
      <c r="D117" s="15">
        <v>3</v>
      </c>
      <c r="E117" s="2" t="s">
        <v>174</v>
      </c>
      <c r="F117" s="2" t="s">
        <v>177</v>
      </c>
    </row>
    <row r="118" spans="1:6" ht="21" customHeight="1" x14ac:dyDescent="0.25">
      <c r="A118" s="41" t="s">
        <v>197</v>
      </c>
      <c r="B118" s="15" t="s">
        <v>201</v>
      </c>
      <c r="C118" s="15"/>
      <c r="D118" s="15">
        <v>4</v>
      </c>
      <c r="E118" s="2" t="s">
        <v>174</v>
      </c>
      <c r="F118" s="2" t="s">
        <v>177</v>
      </c>
    </row>
    <row r="119" spans="1:6" ht="21" customHeight="1" x14ac:dyDescent="0.25">
      <c r="A119" s="41" t="s">
        <v>197</v>
      </c>
      <c r="B119" s="15" t="s">
        <v>201</v>
      </c>
      <c r="C119" s="15"/>
      <c r="D119" s="15">
        <v>5</v>
      </c>
      <c r="E119" s="2" t="s">
        <v>174</v>
      </c>
      <c r="F119" s="2" t="s">
        <v>177</v>
      </c>
    </row>
    <row r="120" spans="1:6" ht="21" customHeight="1" x14ac:dyDescent="0.25">
      <c r="A120" s="41" t="s">
        <v>197</v>
      </c>
      <c r="B120" s="16" t="s">
        <v>202</v>
      </c>
      <c r="C120" s="16"/>
      <c r="D120" s="16">
        <v>1</v>
      </c>
      <c r="E120" s="2" t="s">
        <v>174</v>
      </c>
      <c r="F120" s="2" t="s">
        <v>179</v>
      </c>
    </row>
    <row r="121" spans="1:6" ht="21" customHeight="1" x14ac:dyDescent="0.25">
      <c r="A121" s="41" t="s">
        <v>197</v>
      </c>
      <c r="B121" s="16" t="s">
        <v>202</v>
      </c>
      <c r="C121" s="16"/>
      <c r="D121" s="16">
        <v>2</v>
      </c>
      <c r="E121" s="2" t="s">
        <v>174</v>
      </c>
      <c r="F121" s="2" t="s">
        <v>179</v>
      </c>
    </row>
    <row r="122" spans="1:6" ht="21" customHeight="1" x14ac:dyDescent="0.25">
      <c r="A122" s="41" t="s">
        <v>197</v>
      </c>
      <c r="B122" s="16" t="s">
        <v>202</v>
      </c>
      <c r="C122" s="16"/>
      <c r="D122" s="16">
        <v>3</v>
      </c>
      <c r="E122" s="2" t="s">
        <v>174</v>
      </c>
      <c r="F122" s="2" t="s">
        <v>179</v>
      </c>
    </row>
    <row r="123" spans="1:6" ht="21" customHeight="1" x14ac:dyDescent="0.25">
      <c r="A123" s="41" t="s">
        <v>197</v>
      </c>
      <c r="B123" s="16" t="s">
        <v>202</v>
      </c>
      <c r="C123" s="16"/>
      <c r="D123" s="16">
        <v>4</v>
      </c>
      <c r="E123" s="2" t="s">
        <v>174</v>
      </c>
      <c r="F123" s="2" t="s">
        <v>179</v>
      </c>
    </row>
    <row r="124" spans="1:6" ht="21" customHeight="1" x14ac:dyDescent="0.25">
      <c r="A124" s="41" t="s">
        <v>197</v>
      </c>
      <c r="B124" s="16" t="s">
        <v>202</v>
      </c>
      <c r="C124" s="16"/>
      <c r="D124" s="16">
        <v>5</v>
      </c>
      <c r="E124" s="2" t="s">
        <v>174</v>
      </c>
      <c r="F124" s="2" t="s">
        <v>179</v>
      </c>
    </row>
    <row r="125" spans="1:6" ht="21" customHeight="1" x14ac:dyDescent="0.25">
      <c r="A125" s="41" t="s">
        <v>197</v>
      </c>
      <c r="B125" s="16" t="s">
        <v>202</v>
      </c>
      <c r="C125" s="16"/>
      <c r="D125" s="16">
        <v>6</v>
      </c>
      <c r="E125" s="2" t="s">
        <v>174</v>
      </c>
      <c r="F125" s="2" t="s">
        <v>179</v>
      </c>
    </row>
    <row r="126" spans="1:6" ht="21" customHeight="1" x14ac:dyDescent="0.25">
      <c r="A126" s="41" t="s">
        <v>197</v>
      </c>
      <c r="B126" s="16" t="s">
        <v>202</v>
      </c>
      <c r="C126" s="16"/>
      <c r="D126" s="16">
        <v>7</v>
      </c>
      <c r="E126" s="2" t="s">
        <v>174</v>
      </c>
      <c r="F126" s="2" t="s">
        <v>179</v>
      </c>
    </row>
    <row r="127" spans="1:6" ht="21" customHeight="1" x14ac:dyDescent="0.25">
      <c r="A127" s="41" t="s">
        <v>197</v>
      </c>
      <c r="B127" s="16" t="s">
        <v>202</v>
      </c>
      <c r="C127" s="16"/>
      <c r="D127" s="16">
        <v>8</v>
      </c>
      <c r="E127" s="2" t="s">
        <v>174</v>
      </c>
      <c r="F127" s="2" t="s">
        <v>179</v>
      </c>
    </row>
    <row r="128" spans="1:6" ht="21" customHeight="1" x14ac:dyDescent="0.25">
      <c r="A128" s="42" t="s">
        <v>203</v>
      </c>
      <c r="B128" s="15" t="s">
        <v>204</v>
      </c>
      <c r="C128" s="15"/>
      <c r="D128" s="15">
        <v>1</v>
      </c>
      <c r="E128" s="2" t="s">
        <v>171</v>
      </c>
      <c r="F128" s="2" t="s">
        <v>172</v>
      </c>
    </row>
    <row r="129" spans="1:6" ht="21" customHeight="1" x14ac:dyDescent="0.25">
      <c r="A129" s="42" t="s">
        <v>203</v>
      </c>
      <c r="B129" s="15" t="s">
        <v>204</v>
      </c>
      <c r="C129" s="15"/>
      <c r="D129" s="15">
        <v>2</v>
      </c>
      <c r="E129" s="2" t="s">
        <v>171</v>
      </c>
      <c r="F129" s="2" t="s">
        <v>172</v>
      </c>
    </row>
    <row r="130" spans="1:6" ht="21" customHeight="1" x14ac:dyDescent="0.25">
      <c r="A130" s="42" t="s">
        <v>203</v>
      </c>
      <c r="B130" s="15" t="s">
        <v>204</v>
      </c>
      <c r="C130" s="15"/>
      <c r="D130" s="15">
        <v>3</v>
      </c>
      <c r="E130" s="2" t="s">
        <v>171</v>
      </c>
      <c r="F130" s="2" t="s">
        <v>172</v>
      </c>
    </row>
    <row r="131" spans="1:6" ht="21" customHeight="1" x14ac:dyDescent="0.25">
      <c r="A131" s="42" t="s">
        <v>203</v>
      </c>
      <c r="B131" s="15" t="s">
        <v>204</v>
      </c>
      <c r="C131" s="15"/>
      <c r="D131" s="15">
        <v>4</v>
      </c>
      <c r="E131" s="2" t="s">
        <v>171</v>
      </c>
      <c r="F131" s="2" t="s">
        <v>172</v>
      </c>
    </row>
    <row r="132" spans="1:6" ht="21" customHeight="1" x14ac:dyDescent="0.25">
      <c r="A132" s="42" t="s">
        <v>203</v>
      </c>
      <c r="B132" s="15" t="s">
        <v>204</v>
      </c>
      <c r="C132" s="15"/>
      <c r="D132" s="15">
        <v>5</v>
      </c>
      <c r="E132" s="2" t="s">
        <v>171</v>
      </c>
      <c r="F132" s="2" t="s">
        <v>172</v>
      </c>
    </row>
    <row r="133" spans="1:6" ht="21" customHeight="1" x14ac:dyDescent="0.25">
      <c r="A133" s="42" t="s">
        <v>203</v>
      </c>
      <c r="B133" s="16" t="s">
        <v>205</v>
      </c>
      <c r="C133" s="16"/>
      <c r="D133" s="16">
        <v>1</v>
      </c>
      <c r="E133" s="2" t="s">
        <v>171</v>
      </c>
      <c r="F133" s="2" t="s">
        <v>193</v>
      </c>
    </row>
    <row r="134" spans="1:6" ht="21" customHeight="1" x14ac:dyDescent="0.25">
      <c r="A134" s="42" t="s">
        <v>203</v>
      </c>
      <c r="B134" s="16" t="s">
        <v>205</v>
      </c>
      <c r="C134" s="16"/>
      <c r="D134" s="16">
        <v>2</v>
      </c>
      <c r="E134" s="2" t="s">
        <v>171</v>
      </c>
      <c r="F134" s="2" t="s">
        <v>193</v>
      </c>
    </row>
    <row r="135" spans="1:6" ht="21" customHeight="1" x14ac:dyDescent="0.25">
      <c r="A135" s="42" t="s">
        <v>203</v>
      </c>
      <c r="B135" s="16" t="s">
        <v>205</v>
      </c>
      <c r="C135" s="16"/>
      <c r="D135" s="16">
        <v>3</v>
      </c>
      <c r="E135" s="2" t="s">
        <v>171</v>
      </c>
      <c r="F135" s="2" t="s">
        <v>193</v>
      </c>
    </row>
    <row r="136" spans="1:6" ht="21" customHeight="1" x14ac:dyDescent="0.25">
      <c r="A136" s="42" t="s">
        <v>203</v>
      </c>
      <c r="B136" s="16" t="s">
        <v>205</v>
      </c>
      <c r="C136" s="16"/>
      <c r="D136" s="16">
        <v>4</v>
      </c>
      <c r="E136" s="2" t="s">
        <v>171</v>
      </c>
      <c r="F136" s="2" t="s">
        <v>193</v>
      </c>
    </row>
    <row r="137" spans="1:6" ht="21" customHeight="1" x14ac:dyDescent="0.25">
      <c r="A137" s="42" t="s">
        <v>203</v>
      </c>
      <c r="B137" s="16" t="s">
        <v>205</v>
      </c>
      <c r="C137" s="16"/>
      <c r="D137" s="16">
        <v>5</v>
      </c>
      <c r="E137" s="2" t="s">
        <v>171</v>
      </c>
      <c r="F137" s="2" t="s">
        <v>193</v>
      </c>
    </row>
    <row r="138" spans="1:6" ht="21" customHeight="1" x14ac:dyDescent="0.25">
      <c r="A138" s="42" t="s">
        <v>203</v>
      </c>
      <c r="B138" s="15" t="s">
        <v>206</v>
      </c>
      <c r="C138" s="15"/>
      <c r="D138" s="15">
        <v>1</v>
      </c>
      <c r="E138" s="2" t="s">
        <v>174</v>
      </c>
      <c r="F138" s="2" t="s">
        <v>175</v>
      </c>
    </row>
    <row r="139" spans="1:6" ht="21" customHeight="1" x14ac:dyDescent="0.25">
      <c r="A139" s="42" t="s">
        <v>203</v>
      </c>
      <c r="B139" s="15" t="s">
        <v>206</v>
      </c>
      <c r="C139" s="15"/>
      <c r="D139" s="15">
        <v>2</v>
      </c>
      <c r="E139" s="2" t="s">
        <v>174</v>
      </c>
      <c r="F139" s="2" t="s">
        <v>175</v>
      </c>
    </row>
    <row r="140" spans="1:6" ht="21" customHeight="1" x14ac:dyDescent="0.25">
      <c r="A140" s="42" t="s">
        <v>203</v>
      </c>
      <c r="B140" s="15" t="s">
        <v>206</v>
      </c>
      <c r="C140" s="15"/>
      <c r="D140" s="15">
        <v>3</v>
      </c>
      <c r="E140" s="2" t="s">
        <v>174</v>
      </c>
      <c r="F140" s="2" t="s">
        <v>175</v>
      </c>
    </row>
    <row r="141" spans="1:6" ht="21" customHeight="1" x14ac:dyDescent="0.25">
      <c r="A141" s="42" t="s">
        <v>203</v>
      </c>
      <c r="B141" s="15" t="s">
        <v>206</v>
      </c>
      <c r="C141" s="15"/>
      <c r="D141" s="15">
        <v>4</v>
      </c>
      <c r="E141" s="2" t="s">
        <v>174</v>
      </c>
      <c r="F141" s="2" t="s">
        <v>175</v>
      </c>
    </row>
    <row r="142" spans="1:6" ht="21" customHeight="1" x14ac:dyDescent="0.25">
      <c r="A142" s="42" t="s">
        <v>203</v>
      </c>
      <c r="B142" s="15" t="s">
        <v>206</v>
      </c>
      <c r="C142" s="15"/>
      <c r="D142" s="15">
        <v>5</v>
      </c>
      <c r="E142" s="2" t="s">
        <v>174</v>
      </c>
      <c r="F142" s="2" t="s">
        <v>175</v>
      </c>
    </row>
    <row r="143" spans="1:6" ht="21" customHeight="1" x14ac:dyDescent="0.25">
      <c r="A143" s="42" t="s">
        <v>203</v>
      </c>
      <c r="B143" s="16" t="s">
        <v>207</v>
      </c>
      <c r="C143" s="16"/>
      <c r="D143" s="16">
        <v>1</v>
      </c>
      <c r="E143" s="2" t="s">
        <v>174</v>
      </c>
      <c r="F143" s="2" t="s">
        <v>177</v>
      </c>
    </row>
    <row r="144" spans="1:6" ht="21" customHeight="1" x14ac:dyDescent="0.25">
      <c r="A144" s="42" t="s">
        <v>203</v>
      </c>
      <c r="B144" s="16" t="s">
        <v>207</v>
      </c>
      <c r="C144" s="16"/>
      <c r="D144" s="16">
        <v>2</v>
      </c>
      <c r="E144" s="2" t="s">
        <v>174</v>
      </c>
      <c r="F144" s="2" t="s">
        <v>177</v>
      </c>
    </row>
    <row r="145" spans="1:6" ht="21" customHeight="1" x14ac:dyDescent="0.25">
      <c r="A145" s="42" t="s">
        <v>203</v>
      </c>
      <c r="B145" s="16" t="s">
        <v>207</v>
      </c>
      <c r="C145" s="16"/>
      <c r="D145" s="16">
        <v>3</v>
      </c>
      <c r="E145" s="2" t="s">
        <v>174</v>
      </c>
      <c r="F145" s="2" t="s">
        <v>177</v>
      </c>
    </row>
    <row r="146" spans="1:6" ht="21" customHeight="1" x14ac:dyDescent="0.25">
      <c r="A146" s="42" t="s">
        <v>203</v>
      </c>
      <c r="B146" s="16" t="s">
        <v>207</v>
      </c>
      <c r="C146" s="16"/>
      <c r="D146" s="16">
        <v>4</v>
      </c>
      <c r="E146" s="2" t="s">
        <v>174</v>
      </c>
      <c r="F146" s="2" t="s">
        <v>177</v>
      </c>
    </row>
    <row r="147" spans="1:6" ht="21" customHeight="1" x14ac:dyDescent="0.25">
      <c r="A147" s="42" t="s">
        <v>203</v>
      </c>
      <c r="B147" s="16" t="s">
        <v>207</v>
      </c>
      <c r="C147" s="16"/>
      <c r="D147" s="16">
        <v>5</v>
      </c>
      <c r="E147" s="2" t="s">
        <v>174</v>
      </c>
      <c r="F147" s="2" t="s">
        <v>177</v>
      </c>
    </row>
    <row r="148" spans="1:6" ht="21" customHeight="1" x14ac:dyDescent="0.25">
      <c r="A148" s="42" t="s">
        <v>203</v>
      </c>
      <c r="B148" s="15" t="s">
        <v>208</v>
      </c>
      <c r="C148" s="15"/>
      <c r="D148" s="15">
        <v>1</v>
      </c>
      <c r="E148" s="2" t="s">
        <v>174</v>
      </c>
      <c r="F148" s="2" t="s">
        <v>179</v>
      </c>
    </row>
    <row r="149" spans="1:6" ht="21" customHeight="1" x14ac:dyDescent="0.25">
      <c r="A149" s="42" t="s">
        <v>203</v>
      </c>
      <c r="B149" s="15" t="s">
        <v>208</v>
      </c>
      <c r="C149" s="15"/>
      <c r="D149" s="15">
        <v>2</v>
      </c>
      <c r="E149" s="2" t="s">
        <v>174</v>
      </c>
      <c r="F149" s="2" t="s">
        <v>179</v>
      </c>
    </row>
    <row r="150" spans="1:6" ht="21" customHeight="1" x14ac:dyDescent="0.25">
      <c r="A150" s="42" t="s">
        <v>203</v>
      </c>
      <c r="B150" s="15" t="s">
        <v>208</v>
      </c>
      <c r="C150" s="15"/>
      <c r="D150" s="15">
        <v>3</v>
      </c>
      <c r="E150" s="2" t="s">
        <v>174</v>
      </c>
      <c r="F150" s="2" t="s">
        <v>179</v>
      </c>
    </row>
    <row r="151" spans="1:6" ht="21" customHeight="1" x14ac:dyDescent="0.25">
      <c r="A151" s="42" t="s">
        <v>203</v>
      </c>
      <c r="B151" s="15" t="s">
        <v>208</v>
      </c>
      <c r="C151" s="15"/>
      <c r="D151" s="15">
        <v>4</v>
      </c>
      <c r="E151" s="2" t="s">
        <v>174</v>
      </c>
      <c r="F151" s="2" t="s">
        <v>179</v>
      </c>
    </row>
    <row r="152" spans="1:6" ht="21" customHeight="1" x14ac:dyDescent="0.25">
      <c r="A152" s="42" t="s">
        <v>203</v>
      </c>
      <c r="B152" s="15" t="s">
        <v>208</v>
      </c>
      <c r="C152" s="15"/>
      <c r="D152" s="15">
        <v>5</v>
      </c>
      <c r="E152" s="2" t="s">
        <v>174</v>
      </c>
      <c r="F152" s="2" t="s">
        <v>179</v>
      </c>
    </row>
    <row r="153" spans="1:6" ht="21" customHeight="1" x14ac:dyDescent="0.25">
      <c r="A153" s="42" t="s">
        <v>203</v>
      </c>
      <c r="B153" s="15" t="s">
        <v>208</v>
      </c>
      <c r="C153" s="15"/>
      <c r="D153" s="15">
        <v>6</v>
      </c>
      <c r="E153" s="2" t="s">
        <v>174</v>
      </c>
      <c r="F153" s="2" t="s">
        <v>179</v>
      </c>
    </row>
    <row r="154" spans="1:6" ht="21" customHeight="1" x14ac:dyDescent="0.25">
      <c r="A154" s="42" t="s">
        <v>203</v>
      </c>
      <c r="B154" s="15" t="s">
        <v>208</v>
      </c>
      <c r="C154" s="15"/>
      <c r="D154" s="15">
        <v>7</v>
      </c>
      <c r="E154" s="2" t="s">
        <v>174</v>
      </c>
      <c r="F154" s="2" t="s">
        <v>179</v>
      </c>
    </row>
    <row r="155" spans="1:6" ht="21" customHeight="1" x14ac:dyDescent="0.25">
      <c r="A155" s="42" t="s">
        <v>203</v>
      </c>
      <c r="B155" s="15" t="s">
        <v>208</v>
      </c>
      <c r="C155" s="15"/>
      <c r="D155" s="15">
        <v>8</v>
      </c>
      <c r="E155" s="2" t="s">
        <v>174</v>
      </c>
      <c r="F155" s="2" t="s">
        <v>179</v>
      </c>
    </row>
    <row r="156" spans="1:6" ht="21" customHeight="1" x14ac:dyDescent="0.25">
      <c r="A156" s="41" t="s">
        <v>209</v>
      </c>
      <c r="B156" s="16" t="s">
        <v>210</v>
      </c>
      <c r="C156" s="16"/>
      <c r="D156" s="16">
        <v>1</v>
      </c>
      <c r="E156" s="2" t="s">
        <v>171</v>
      </c>
      <c r="F156" s="2" t="s">
        <v>172</v>
      </c>
    </row>
    <row r="157" spans="1:6" ht="21" customHeight="1" x14ac:dyDescent="0.25">
      <c r="A157" s="41" t="s">
        <v>209</v>
      </c>
      <c r="B157" s="16" t="s">
        <v>210</v>
      </c>
      <c r="C157" s="16"/>
      <c r="D157" s="16">
        <v>2</v>
      </c>
      <c r="E157" s="2" t="s">
        <v>171</v>
      </c>
      <c r="F157" s="2" t="s">
        <v>172</v>
      </c>
    </row>
    <row r="158" spans="1:6" ht="21" customHeight="1" x14ac:dyDescent="0.25">
      <c r="A158" s="41" t="s">
        <v>209</v>
      </c>
      <c r="B158" s="16" t="s">
        <v>210</v>
      </c>
      <c r="C158" s="16"/>
      <c r="D158" s="16">
        <v>3</v>
      </c>
      <c r="E158" s="2" t="s">
        <v>171</v>
      </c>
      <c r="F158" s="2" t="s">
        <v>172</v>
      </c>
    </row>
    <row r="159" spans="1:6" ht="21" customHeight="1" x14ac:dyDescent="0.25">
      <c r="A159" s="41" t="s">
        <v>209</v>
      </c>
      <c r="B159" s="16" t="s">
        <v>210</v>
      </c>
      <c r="C159" s="16"/>
      <c r="D159" s="16">
        <v>4</v>
      </c>
      <c r="E159" s="2" t="s">
        <v>171</v>
      </c>
      <c r="F159" s="2" t="s">
        <v>172</v>
      </c>
    </row>
    <row r="160" spans="1:6" ht="21" customHeight="1" x14ac:dyDescent="0.25">
      <c r="A160" s="41" t="s">
        <v>209</v>
      </c>
      <c r="B160" s="16" t="s">
        <v>210</v>
      </c>
      <c r="C160" s="16"/>
      <c r="D160" s="16">
        <v>5</v>
      </c>
      <c r="E160" s="2" t="s">
        <v>171</v>
      </c>
      <c r="F160" s="2" t="s">
        <v>172</v>
      </c>
    </row>
    <row r="161" spans="1:6" ht="21" customHeight="1" x14ac:dyDescent="0.25">
      <c r="A161" s="41" t="s">
        <v>209</v>
      </c>
      <c r="B161" s="15" t="s">
        <v>211</v>
      </c>
      <c r="C161" s="15"/>
      <c r="D161" s="15">
        <v>1</v>
      </c>
      <c r="E161" s="2" t="s">
        <v>171</v>
      </c>
      <c r="F161" s="2" t="s">
        <v>193</v>
      </c>
    </row>
    <row r="162" spans="1:6" ht="21" customHeight="1" x14ac:dyDescent="0.25">
      <c r="A162" s="41" t="s">
        <v>209</v>
      </c>
      <c r="B162" s="15" t="s">
        <v>211</v>
      </c>
      <c r="C162" s="15"/>
      <c r="D162" s="15">
        <v>2</v>
      </c>
      <c r="E162" s="2" t="s">
        <v>171</v>
      </c>
      <c r="F162" s="2" t="s">
        <v>193</v>
      </c>
    </row>
    <row r="163" spans="1:6" ht="21" customHeight="1" x14ac:dyDescent="0.25">
      <c r="A163" s="41" t="s">
        <v>209</v>
      </c>
      <c r="B163" s="15" t="s">
        <v>211</v>
      </c>
      <c r="C163" s="15"/>
      <c r="D163" s="15">
        <v>3</v>
      </c>
      <c r="E163" s="2" t="s">
        <v>171</v>
      </c>
      <c r="F163" s="2" t="s">
        <v>193</v>
      </c>
    </row>
    <row r="164" spans="1:6" ht="21" customHeight="1" x14ac:dyDescent="0.25">
      <c r="A164" s="41" t="s">
        <v>209</v>
      </c>
      <c r="B164" s="15" t="s">
        <v>211</v>
      </c>
      <c r="C164" s="15"/>
      <c r="D164" s="15">
        <v>4</v>
      </c>
      <c r="E164" s="2" t="s">
        <v>171</v>
      </c>
      <c r="F164" s="2" t="s">
        <v>193</v>
      </c>
    </row>
    <row r="165" spans="1:6" ht="21" customHeight="1" x14ac:dyDescent="0.25">
      <c r="A165" s="41" t="s">
        <v>209</v>
      </c>
      <c r="B165" s="15" t="s">
        <v>211</v>
      </c>
      <c r="C165" s="15"/>
      <c r="D165" s="15">
        <v>5</v>
      </c>
      <c r="E165" s="2" t="s">
        <v>171</v>
      </c>
      <c r="F165" s="2" t="s">
        <v>193</v>
      </c>
    </row>
    <row r="166" spans="1:6" ht="21" customHeight="1" x14ac:dyDescent="0.25">
      <c r="A166" s="41" t="s">
        <v>209</v>
      </c>
      <c r="B166" s="16" t="s">
        <v>212</v>
      </c>
      <c r="C166" s="16"/>
      <c r="D166" s="16">
        <v>1</v>
      </c>
      <c r="E166" s="2" t="s">
        <v>174</v>
      </c>
      <c r="F166" s="2" t="s">
        <v>175</v>
      </c>
    </row>
    <row r="167" spans="1:6" ht="21" customHeight="1" x14ac:dyDescent="0.25">
      <c r="A167" s="41" t="s">
        <v>209</v>
      </c>
      <c r="B167" s="16" t="s">
        <v>212</v>
      </c>
      <c r="C167" s="16"/>
      <c r="D167" s="16">
        <v>2</v>
      </c>
      <c r="E167" s="2" t="s">
        <v>174</v>
      </c>
      <c r="F167" s="2" t="s">
        <v>175</v>
      </c>
    </row>
    <row r="168" spans="1:6" ht="21" customHeight="1" x14ac:dyDescent="0.25">
      <c r="A168" s="41" t="s">
        <v>209</v>
      </c>
      <c r="B168" s="16" t="s">
        <v>212</v>
      </c>
      <c r="C168" s="16"/>
      <c r="D168" s="16">
        <v>3</v>
      </c>
      <c r="E168" s="2" t="s">
        <v>174</v>
      </c>
      <c r="F168" s="2" t="s">
        <v>175</v>
      </c>
    </row>
    <row r="169" spans="1:6" ht="21" customHeight="1" x14ac:dyDescent="0.25">
      <c r="A169" s="41" t="s">
        <v>209</v>
      </c>
      <c r="B169" s="16" t="s">
        <v>212</v>
      </c>
      <c r="C169" s="16"/>
      <c r="D169" s="16">
        <v>4</v>
      </c>
      <c r="E169" s="2" t="s">
        <v>174</v>
      </c>
      <c r="F169" s="2" t="s">
        <v>175</v>
      </c>
    </row>
    <row r="170" spans="1:6" ht="21" customHeight="1" x14ac:dyDescent="0.25">
      <c r="A170" s="41" t="s">
        <v>209</v>
      </c>
      <c r="B170" s="16" t="s">
        <v>212</v>
      </c>
      <c r="C170" s="16"/>
      <c r="D170" s="16">
        <v>5</v>
      </c>
      <c r="E170" s="2" t="s">
        <v>174</v>
      </c>
      <c r="F170" s="2" t="s">
        <v>175</v>
      </c>
    </row>
    <row r="171" spans="1:6" ht="21" customHeight="1" x14ac:dyDescent="0.25">
      <c r="A171" s="41" t="s">
        <v>209</v>
      </c>
      <c r="B171" s="15" t="s">
        <v>213</v>
      </c>
      <c r="C171" s="15"/>
      <c r="D171" s="15">
        <v>1</v>
      </c>
      <c r="E171" s="2" t="s">
        <v>174</v>
      </c>
      <c r="F171" s="2" t="s">
        <v>177</v>
      </c>
    </row>
    <row r="172" spans="1:6" ht="21" customHeight="1" x14ac:dyDescent="0.25">
      <c r="A172" s="41" t="s">
        <v>209</v>
      </c>
      <c r="B172" s="15" t="s">
        <v>213</v>
      </c>
      <c r="C172" s="15"/>
      <c r="D172" s="15">
        <v>2</v>
      </c>
      <c r="E172" s="2" t="s">
        <v>174</v>
      </c>
      <c r="F172" s="2" t="s">
        <v>177</v>
      </c>
    </row>
    <row r="173" spans="1:6" ht="21" customHeight="1" x14ac:dyDescent="0.25">
      <c r="A173" s="41" t="s">
        <v>209</v>
      </c>
      <c r="B173" s="15" t="s">
        <v>213</v>
      </c>
      <c r="C173" s="15"/>
      <c r="D173" s="15">
        <v>3</v>
      </c>
      <c r="E173" s="2" t="s">
        <v>174</v>
      </c>
      <c r="F173" s="2" t="s">
        <v>177</v>
      </c>
    </row>
    <row r="174" spans="1:6" ht="21" customHeight="1" x14ac:dyDescent="0.25">
      <c r="A174" s="41" t="s">
        <v>209</v>
      </c>
      <c r="B174" s="15" t="s">
        <v>213</v>
      </c>
      <c r="C174" s="15"/>
      <c r="D174" s="15">
        <v>4</v>
      </c>
      <c r="E174" s="2" t="s">
        <v>174</v>
      </c>
      <c r="F174" s="2" t="s">
        <v>177</v>
      </c>
    </row>
    <row r="175" spans="1:6" ht="21" customHeight="1" x14ac:dyDescent="0.25">
      <c r="A175" s="41" t="s">
        <v>209</v>
      </c>
      <c r="B175" s="15" t="s">
        <v>213</v>
      </c>
      <c r="C175" s="15"/>
      <c r="D175" s="15">
        <v>5</v>
      </c>
      <c r="E175" s="2" t="s">
        <v>174</v>
      </c>
      <c r="F175" s="2" t="s">
        <v>177</v>
      </c>
    </row>
    <row r="176" spans="1:6" ht="21" customHeight="1" x14ac:dyDescent="0.25">
      <c r="A176" s="41" t="s">
        <v>209</v>
      </c>
      <c r="B176" s="16" t="s">
        <v>214</v>
      </c>
      <c r="C176" s="16"/>
      <c r="D176" s="16">
        <v>1</v>
      </c>
      <c r="E176" s="2" t="s">
        <v>174</v>
      </c>
      <c r="F176" s="2" t="s">
        <v>179</v>
      </c>
    </row>
    <row r="177" spans="1:6" ht="21" customHeight="1" x14ac:dyDescent="0.25">
      <c r="A177" s="41" t="s">
        <v>209</v>
      </c>
      <c r="B177" s="16" t="s">
        <v>214</v>
      </c>
      <c r="C177" s="16"/>
      <c r="D177" s="16">
        <v>2</v>
      </c>
      <c r="E177" s="2" t="s">
        <v>174</v>
      </c>
      <c r="F177" s="2" t="s">
        <v>179</v>
      </c>
    </row>
    <row r="178" spans="1:6" ht="21" customHeight="1" x14ac:dyDescent="0.25">
      <c r="A178" s="41" t="s">
        <v>209</v>
      </c>
      <c r="B178" s="16" t="s">
        <v>214</v>
      </c>
      <c r="C178" s="16"/>
      <c r="D178" s="16">
        <v>3</v>
      </c>
      <c r="E178" s="2" t="s">
        <v>174</v>
      </c>
      <c r="F178" s="2" t="s">
        <v>179</v>
      </c>
    </row>
    <row r="179" spans="1:6" ht="21" customHeight="1" x14ac:dyDescent="0.25">
      <c r="A179" s="41" t="s">
        <v>209</v>
      </c>
      <c r="B179" s="16" t="s">
        <v>214</v>
      </c>
      <c r="C179" s="16"/>
      <c r="D179" s="16">
        <v>4</v>
      </c>
      <c r="E179" s="2" t="s">
        <v>174</v>
      </c>
      <c r="F179" s="2" t="s">
        <v>179</v>
      </c>
    </row>
    <row r="180" spans="1:6" ht="21" customHeight="1" x14ac:dyDescent="0.25">
      <c r="A180" s="41" t="s">
        <v>209</v>
      </c>
      <c r="B180" s="16" t="s">
        <v>214</v>
      </c>
      <c r="C180" s="16"/>
      <c r="D180" s="16">
        <v>5</v>
      </c>
      <c r="E180" s="2" t="s">
        <v>174</v>
      </c>
      <c r="F180" s="2" t="s">
        <v>179</v>
      </c>
    </row>
    <row r="181" spans="1:6" ht="21" customHeight="1" x14ac:dyDescent="0.25">
      <c r="A181" s="41" t="s">
        <v>209</v>
      </c>
      <c r="B181" s="16" t="s">
        <v>214</v>
      </c>
      <c r="C181" s="16"/>
      <c r="D181" s="16">
        <v>6</v>
      </c>
      <c r="E181" s="2" t="s">
        <v>174</v>
      </c>
      <c r="F181" s="2" t="s">
        <v>179</v>
      </c>
    </row>
    <row r="182" spans="1:6" ht="21" customHeight="1" x14ac:dyDescent="0.25">
      <c r="A182" s="41" t="s">
        <v>209</v>
      </c>
      <c r="B182" s="16" t="s">
        <v>214</v>
      </c>
      <c r="C182" s="16"/>
      <c r="D182" s="16">
        <v>7</v>
      </c>
      <c r="E182" s="2" t="s">
        <v>174</v>
      </c>
      <c r="F182" s="2" t="s">
        <v>179</v>
      </c>
    </row>
    <row r="183" spans="1:6" ht="21" customHeight="1" x14ac:dyDescent="0.25">
      <c r="A183" s="41" t="s">
        <v>209</v>
      </c>
      <c r="B183" s="16" t="s">
        <v>214</v>
      </c>
      <c r="C183" s="16"/>
      <c r="D183" s="16">
        <v>8</v>
      </c>
      <c r="E183" s="2" t="s">
        <v>174</v>
      </c>
      <c r="F183" s="2" t="s">
        <v>179</v>
      </c>
    </row>
    <row r="184" spans="1:6" ht="21" customHeight="1" x14ac:dyDescent="0.25">
      <c r="A184" s="42" t="s">
        <v>215</v>
      </c>
      <c r="B184" s="15" t="s">
        <v>216</v>
      </c>
      <c r="C184" s="15"/>
      <c r="D184" s="15">
        <v>1</v>
      </c>
      <c r="E184" s="2" t="s">
        <v>171</v>
      </c>
      <c r="F184" s="2" t="s">
        <v>172</v>
      </c>
    </row>
    <row r="185" spans="1:6" ht="21" customHeight="1" x14ac:dyDescent="0.25">
      <c r="A185" s="42" t="s">
        <v>215</v>
      </c>
      <c r="B185" s="15" t="s">
        <v>216</v>
      </c>
      <c r="C185" s="15"/>
      <c r="D185" s="15">
        <v>2</v>
      </c>
      <c r="E185" s="2" t="s">
        <v>171</v>
      </c>
      <c r="F185" s="2" t="s">
        <v>172</v>
      </c>
    </row>
    <row r="186" spans="1:6" ht="21" customHeight="1" x14ac:dyDescent="0.25">
      <c r="A186" s="42" t="s">
        <v>215</v>
      </c>
      <c r="B186" s="15" t="s">
        <v>216</v>
      </c>
      <c r="C186" s="15"/>
      <c r="D186" s="15">
        <v>3</v>
      </c>
      <c r="E186" s="2" t="s">
        <v>171</v>
      </c>
      <c r="F186" s="2" t="s">
        <v>172</v>
      </c>
    </row>
    <row r="187" spans="1:6" ht="21" customHeight="1" x14ac:dyDescent="0.25">
      <c r="A187" s="42" t="s">
        <v>215</v>
      </c>
      <c r="B187" s="15" t="s">
        <v>216</v>
      </c>
      <c r="C187" s="15"/>
      <c r="D187" s="15">
        <v>4</v>
      </c>
      <c r="E187" s="2" t="s">
        <v>171</v>
      </c>
      <c r="F187" s="2" t="s">
        <v>172</v>
      </c>
    </row>
    <row r="188" spans="1:6" ht="21" customHeight="1" x14ac:dyDescent="0.25">
      <c r="A188" s="42" t="s">
        <v>215</v>
      </c>
      <c r="B188" s="15" t="s">
        <v>216</v>
      </c>
      <c r="C188" s="15"/>
      <c r="D188" s="15">
        <v>5</v>
      </c>
      <c r="E188" s="2" t="s">
        <v>171</v>
      </c>
      <c r="F188" s="2" t="s">
        <v>172</v>
      </c>
    </row>
    <row r="189" spans="1:6" ht="21" customHeight="1" x14ac:dyDescent="0.25">
      <c r="A189" s="42" t="s">
        <v>215</v>
      </c>
      <c r="B189" s="16" t="s">
        <v>217</v>
      </c>
      <c r="C189" s="16"/>
      <c r="D189" s="16">
        <v>1</v>
      </c>
      <c r="E189" s="2" t="s">
        <v>174</v>
      </c>
      <c r="F189" s="2" t="s">
        <v>175</v>
      </c>
    </row>
    <row r="190" spans="1:6" ht="21" customHeight="1" x14ac:dyDescent="0.25">
      <c r="A190" s="42" t="s">
        <v>215</v>
      </c>
      <c r="B190" s="16" t="s">
        <v>217</v>
      </c>
      <c r="C190" s="16"/>
      <c r="D190" s="16">
        <v>2</v>
      </c>
      <c r="E190" s="2" t="s">
        <v>174</v>
      </c>
      <c r="F190" s="2" t="s">
        <v>175</v>
      </c>
    </row>
    <row r="191" spans="1:6" ht="21" customHeight="1" x14ac:dyDescent="0.25">
      <c r="A191" s="42" t="s">
        <v>215</v>
      </c>
      <c r="B191" s="16" t="s">
        <v>217</v>
      </c>
      <c r="C191" s="16"/>
      <c r="D191" s="16">
        <v>3</v>
      </c>
      <c r="E191" s="2" t="s">
        <v>174</v>
      </c>
      <c r="F191" s="2" t="s">
        <v>175</v>
      </c>
    </row>
    <row r="192" spans="1:6" ht="21" customHeight="1" x14ac:dyDescent="0.25">
      <c r="A192" s="42" t="s">
        <v>215</v>
      </c>
      <c r="B192" s="16" t="s">
        <v>217</v>
      </c>
      <c r="C192" s="16"/>
      <c r="D192" s="16">
        <v>4</v>
      </c>
      <c r="E192" s="2" t="s">
        <v>174</v>
      </c>
      <c r="F192" s="2" t="s">
        <v>175</v>
      </c>
    </row>
    <row r="193" spans="1:6" ht="21" customHeight="1" x14ac:dyDescent="0.25">
      <c r="A193" s="42" t="s">
        <v>215</v>
      </c>
      <c r="B193" s="16" t="s">
        <v>217</v>
      </c>
      <c r="C193" s="16"/>
      <c r="D193" s="16">
        <v>5</v>
      </c>
      <c r="E193" s="2" t="s">
        <v>174</v>
      </c>
      <c r="F193" s="2" t="s">
        <v>175</v>
      </c>
    </row>
    <row r="194" spans="1:6" ht="21" customHeight="1" x14ac:dyDescent="0.25">
      <c r="A194" s="42" t="s">
        <v>215</v>
      </c>
      <c r="B194" s="15" t="s">
        <v>218</v>
      </c>
      <c r="C194" s="15"/>
      <c r="D194" s="15">
        <v>1</v>
      </c>
      <c r="E194" s="2" t="s">
        <v>174</v>
      </c>
      <c r="F194" s="2" t="s">
        <v>177</v>
      </c>
    </row>
    <row r="195" spans="1:6" ht="21" customHeight="1" x14ac:dyDescent="0.25">
      <c r="A195" s="42" t="s">
        <v>215</v>
      </c>
      <c r="B195" s="15" t="s">
        <v>218</v>
      </c>
      <c r="C195" s="15"/>
      <c r="D195" s="15">
        <v>2</v>
      </c>
      <c r="E195" s="2" t="s">
        <v>174</v>
      </c>
      <c r="F195" s="2" t="s">
        <v>177</v>
      </c>
    </row>
    <row r="196" spans="1:6" ht="21" customHeight="1" x14ac:dyDescent="0.25">
      <c r="A196" s="42" t="s">
        <v>215</v>
      </c>
      <c r="B196" s="15" t="s">
        <v>218</v>
      </c>
      <c r="C196" s="15"/>
      <c r="D196" s="15">
        <v>3</v>
      </c>
      <c r="E196" s="2" t="s">
        <v>174</v>
      </c>
      <c r="F196" s="2" t="s">
        <v>177</v>
      </c>
    </row>
    <row r="197" spans="1:6" ht="21" customHeight="1" x14ac:dyDescent="0.25">
      <c r="A197" s="42" t="s">
        <v>215</v>
      </c>
      <c r="B197" s="15" t="s">
        <v>218</v>
      </c>
      <c r="C197" s="15"/>
      <c r="D197" s="15">
        <v>4</v>
      </c>
      <c r="E197" s="2" t="s">
        <v>174</v>
      </c>
      <c r="F197" s="2" t="s">
        <v>177</v>
      </c>
    </row>
    <row r="198" spans="1:6" ht="21" customHeight="1" x14ac:dyDescent="0.25">
      <c r="A198" s="42" t="s">
        <v>215</v>
      </c>
      <c r="B198" s="15" t="s">
        <v>218</v>
      </c>
      <c r="C198" s="15"/>
      <c r="D198" s="15">
        <v>5</v>
      </c>
      <c r="E198" s="2" t="s">
        <v>174</v>
      </c>
      <c r="F198" s="2" t="s">
        <v>177</v>
      </c>
    </row>
    <row r="199" spans="1:6" ht="21" customHeight="1" x14ac:dyDescent="0.25">
      <c r="A199" s="42" t="s">
        <v>215</v>
      </c>
      <c r="B199" s="16" t="s">
        <v>219</v>
      </c>
      <c r="C199" s="16"/>
      <c r="D199" s="16">
        <v>1</v>
      </c>
      <c r="E199" s="2" t="s">
        <v>174</v>
      </c>
      <c r="F199" s="2" t="s">
        <v>179</v>
      </c>
    </row>
    <row r="200" spans="1:6" ht="21" customHeight="1" x14ac:dyDescent="0.25">
      <c r="A200" s="42" t="s">
        <v>215</v>
      </c>
      <c r="B200" s="16" t="s">
        <v>219</v>
      </c>
      <c r="C200" s="16"/>
      <c r="D200" s="16">
        <v>2</v>
      </c>
      <c r="E200" s="2" t="s">
        <v>174</v>
      </c>
      <c r="F200" s="2" t="s">
        <v>179</v>
      </c>
    </row>
    <row r="201" spans="1:6" ht="21" customHeight="1" x14ac:dyDescent="0.25">
      <c r="A201" s="42" t="s">
        <v>215</v>
      </c>
      <c r="B201" s="16" t="s">
        <v>219</v>
      </c>
      <c r="C201" s="16"/>
      <c r="D201" s="16">
        <v>3</v>
      </c>
      <c r="E201" s="2" t="s">
        <v>174</v>
      </c>
      <c r="F201" s="2" t="s">
        <v>179</v>
      </c>
    </row>
    <row r="202" spans="1:6" ht="21" customHeight="1" x14ac:dyDescent="0.25">
      <c r="A202" s="42" t="s">
        <v>215</v>
      </c>
      <c r="B202" s="16" t="s">
        <v>219</v>
      </c>
      <c r="C202" s="16"/>
      <c r="D202" s="16">
        <v>4</v>
      </c>
      <c r="E202" s="2" t="s">
        <v>174</v>
      </c>
      <c r="F202" s="2" t="s">
        <v>179</v>
      </c>
    </row>
    <row r="203" spans="1:6" ht="21" customHeight="1" x14ac:dyDescent="0.25">
      <c r="A203" s="42" t="s">
        <v>215</v>
      </c>
      <c r="B203" s="16" t="s">
        <v>219</v>
      </c>
      <c r="C203" s="16"/>
      <c r="D203" s="16">
        <v>5</v>
      </c>
      <c r="E203" s="2" t="s">
        <v>174</v>
      </c>
      <c r="F203" s="2" t="s">
        <v>179</v>
      </c>
    </row>
    <row r="204" spans="1:6" ht="21" customHeight="1" x14ac:dyDescent="0.25">
      <c r="A204" s="42" t="s">
        <v>215</v>
      </c>
      <c r="B204" s="16" t="s">
        <v>219</v>
      </c>
      <c r="C204" s="16"/>
      <c r="D204" s="16">
        <v>6</v>
      </c>
      <c r="E204" s="2" t="s">
        <v>174</v>
      </c>
      <c r="F204" s="2" t="s">
        <v>179</v>
      </c>
    </row>
    <row r="205" spans="1:6" ht="21" customHeight="1" x14ac:dyDescent="0.25">
      <c r="A205" s="42" t="s">
        <v>215</v>
      </c>
      <c r="B205" s="16" t="s">
        <v>219</v>
      </c>
      <c r="C205" s="16"/>
      <c r="D205" s="16">
        <v>7</v>
      </c>
      <c r="E205" s="2" t="s">
        <v>174</v>
      </c>
      <c r="F205" s="2" t="s">
        <v>179</v>
      </c>
    </row>
    <row r="206" spans="1:6" ht="21" customHeight="1" x14ac:dyDescent="0.25">
      <c r="A206" s="42" t="s">
        <v>215</v>
      </c>
      <c r="B206" s="16" t="s">
        <v>219</v>
      </c>
      <c r="C206" s="16"/>
      <c r="D206" s="16">
        <v>8</v>
      </c>
      <c r="E206" s="2" t="s">
        <v>174</v>
      </c>
      <c r="F206" s="2" t="s">
        <v>179</v>
      </c>
    </row>
    <row r="207" spans="1:6" ht="21" customHeight="1" x14ac:dyDescent="0.25">
      <c r="A207" s="41" t="s">
        <v>220</v>
      </c>
      <c r="B207" s="15" t="s">
        <v>221</v>
      </c>
      <c r="C207" s="15"/>
      <c r="D207" s="15">
        <v>1</v>
      </c>
      <c r="E207" s="2" t="s">
        <v>222</v>
      </c>
      <c r="F207" s="2" t="s">
        <v>172</v>
      </c>
    </row>
    <row r="208" spans="1:6" ht="21" customHeight="1" x14ac:dyDescent="0.25">
      <c r="A208" s="41" t="s">
        <v>220</v>
      </c>
      <c r="B208" s="15" t="s">
        <v>221</v>
      </c>
      <c r="C208" s="15"/>
      <c r="D208" s="15">
        <v>2</v>
      </c>
      <c r="E208" s="2" t="s">
        <v>222</v>
      </c>
      <c r="F208" s="2" t="s">
        <v>172</v>
      </c>
    </row>
    <row r="209" spans="1:6" ht="21" customHeight="1" x14ac:dyDescent="0.25">
      <c r="A209" s="41" t="s">
        <v>220</v>
      </c>
      <c r="B209" s="15" t="s">
        <v>221</v>
      </c>
      <c r="C209" s="15"/>
      <c r="D209" s="15">
        <v>3</v>
      </c>
      <c r="E209" s="2" t="s">
        <v>222</v>
      </c>
      <c r="F209" s="2" t="s">
        <v>172</v>
      </c>
    </row>
    <row r="210" spans="1:6" ht="21" customHeight="1" x14ac:dyDescent="0.25">
      <c r="A210" s="41" t="s">
        <v>220</v>
      </c>
      <c r="B210" s="15" t="s">
        <v>221</v>
      </c>
      <c r="C210" s="15"/>
      <c r="D210" s="15">
        <v>4</v>
      </c>
      <c r="E210" s="2" t="s">
        <v>222</v>
      </c>
      <c r="F210" s="2" t="s">
        <v>172</v>
      </c>
    </row>
    <row r="211" spans="1:6" ht="21" customHeight="1" x14ac:dyDescent="0.25">
      <c r="A211" s="41" t="s">
        <v>220</v>
      </c>
      <c r="B211" s="15" t="s">
        <v>221</v>
      </c>
      <c r="C211" s="15"/>
      <c r="D211" s="15">
        <v>5</v>
      </c>
      <c r="E211" s="2" t="s">
        <v>222</v>
      </c>
      <c r="F211" s="2" t="s">
        <v>172</v>
      </c>
    </row>
    <row r="212" spans="1:6" ht="21" customHeight="1" x14ac:dyDescent="0.25">
      <c r="A212" s="41" t="s">
        <v>220</v>
      </c>
      <c r="B212" s="16" t="s">
        <v>223</v>
      </c>
      <c r="C212" s="16"/>
      <c r="D212" s="16">
        <v>1</v>
      </c>
      <c r="E212" s="2" t="s">
        <v>174</v>
      </c>
      <c r="F212" s="2" t="s">
        <v>175</v>
      </c>
    </row>
    <row r="213" spans="1:6" ht="21" customHeight="1" x14ac:dyDescent="0.25">
      <c r="A213" s="41" t="s">
        <v>220</v>
      </c>
      <c r="B213" s="16" t="s">
        <v>223</v>
      </c>
      <c r="C213" s="16"/>
      <c r="D213" s="16">
        <v>2</v>
      </c>
      <c r="E213" s="2" t="s">
        <v>174</v>
      </c>
      <c r="F213" s="2" t="s">
        <v>175</v>
      </c>
    </row>
    <row r="214" spans="1:6" ht="21" customHeight="1" x14ac:dyDescent="0.25">
      <c r="A214" s="41" t="s">
        <v>220</v>
      </c>
      <c r="B214" s="16" t="s">
        <v>223</v>
      </c>
      <c r="C214" s="16"/>
      <c r="D214" s="16">
        <v>3</v>
      </c>
      <c r="E214" s="2" t="s">
        <v>174</v>
      </c>
      <c r="F214" s="2" t="s">
        <v>175</v>
      </c>
    </row>
    <row r="215" spans="1:6" ht="21" customHeight="1" x14ac:dyDescent="0.25">
      <c r="A215" s="41" t="s">
        <v>220</v>
      </c>
      <c r="B215" s="16" t="s">
        <v>223</v>
      </c>
      <c r="C215" s="16"/>
      <c r="D215" s="16">
        <v>4</v>
      </c>
      <c r="E215" s="2" t="s">
        <v>174</v>
      </c>
      <c r="F215" s="2" t="s">
        <v>175</v>
      </c>
    </row>
    <row r="216" spans="1:6" ht="21" customHeight="1" x14ac:dyDescent="0.25">
      <c r="A216" s="41" t="s">
        <v>220</v>
      </c>
      <c r="B216" s="16" t="s">
        <v>223</v>
      </c>
      <c r="C216" s="16"/>
      <c r="D216" s="16">
        <v>5</v>
      </c>
      <c r="E216" s="2" t="s">
        <v>174</v>
      </c>
      <c r="F216" s="2" t="s">
        <v>175</v>
      </c>
    </row>
    <row r="217" spans="1:6" ht="21" customHeight="1" x14ac:dyDescent="0.25">
      <c r="A217" s="41" t="s">
        <v>220</v>
      </c>
      <c r="B217" s="15" t="s">
        <v>224</v>
      </c>
      <c r="C217" s="15"/>
      <c r="D217" s="15">
        <v>1</v>
      </c>
      <c r="E217" s="2" t="s">
        <v>174</v>
      </c>
      <c r="F217" s="2" t="s">
        <v>177</v>
      </c>
    </row>
    <row r="218" spans="1:6" ht="21" customHeight="1" x14ac:dyDescent="0.25">
      <c r="A218" s="41" t="s">
        <v>220</v>
      </c>
      <c r="B218" s="15" t="s">
        <v>224</v>
      </c>
      <c r="C218" s="15"/>
      <c r="D218" s="15">
        <v>2</v>
      </c>
      <c r="E218" s="2" t="s">
        <v>174</v>
      </c>
      <c r="F218" s="2" t="s">
        <v>177</v>
      </c>
    </row>
    <row r="219" spans="1:6" ht="21" customHeight="1" x14ac:dyDescent="0.25">
      <c r="A219" s="41" t="s">
        <v>220</v>
      </c>
      <c r="B219" s="15" t="s">
        <v>224</v>
      </c>
      <c r="C219" s="15"/>
      <c r="D219" s="15">
        <v>3</v>
      </c>
      <c r="E219" s="2" t="s">
        <v>174</v>
      </c>
      <c r="F219" s="2" t="s">
        <v>177</v>
      </c>
    </row>
    <row r="220" spans="1:6" ht="21" customHeight="1" x14ac:dyDescent="0.25">
      <c r="A220" s="41" t="s">
        <v>220</v>
      </c>
      <c r="B220" s="15" t="s">
        <v>224</v>
      </c>
      <c r="C220" s="15"/>
      <c r="D220" s="15">
        <v>4</v>
      </c>
      <c r="E220" s="2" t="s">
        <v>174</v>
      </c>
      <c r="F220" s="2" t="s">
        <v>177</v>
      </c>
    </row>
    <row r="221" spans="1:6" ht="21" customHeight="1" x14ac:dyDescent="0.25">
      <c r="A221" s="41" t="s">
        <v>220</v>
      </c>
      <c r="B221" s="15" t="s">
        <v>224</v>
      </c>
      <c r="C221" s="15"/>
      <c r="D221" s="15">
        <v>5</v>
      </c>
      <c r="E221" s="2" t="s">
        <v>174</v>
      </c>
      <c r="F221" s="2" t="s">
        <v>177</v>
      </c>
    </row>
    <row r="222" spans="1:6" ht="21" customHeight="1" x14ac:dyDescent="0.25">
      <c r="A222" s="41" t="s">
        <v>220</v>
      </c>
      <c r="B222" s="16" t="s">
        <v>225</v>
      </c>
      <c r="C222" s="16"/>
      <c r="D222" s="16">
        <v>1</v>
      </c>
      <c r="E222" s="2" t="s">
        <v>174</v>
      </c>
      <c r="F222" s="2" t="s">
        <v>179</v>
      </c>
    </row>
    <row r="223" spans="1:6" ht="21" customHeight="1" x14ac:dyDescent="0.25">
      <c r="A223" s="41" t="s">
        <v>220</v>
      </c>
      <c r="B223" s="16" t="s">
        <v>225</v>
      </c>
      <c r="C223" s="16"/>
      <c r="D223" s="16">
        <v>2</v>
      </c>
      <c r="E223" s="2" t="s">
        <v>174</v>
      </c>
      <c r="F223" s="2" t="s">
        <v>179</v>
      </c>
    </row>
    <row r="224" spans="1:6" ht="21" customHeight="1" x14ac:dyDescent="0.25">
      <c r="A224" s="41" t="s">
        <v>220</v>
      </c>
      <c r="B224" s="16" t="s">
        <v>225</v>
      </c>
      <c r="C224" s="16"/>
      <c r="D224" s="16">
        <v>3</v>
      </c>
      <c r="E224" s="2" t="s">
        <v>174</v>
      </c>
      <c r="F224" s="2" t="s">
        <v>179</v>
      </c>
    </row>
    <row r="225" spans="1:6" ht="21" customHeight="1" x14ac:dyDescent="0.25">
      <c r="A225" s="41" t="s">
        <v>220</v>
      </c>
      <c r="B225" s="16" t="s">
        <v>225</v>
      </c>
      <c r="C225" s="16"/>
      <c r="D225" s="16">
        <v>4</v>
      </c>
      <c r="E225" s="2" t="s">
        <v>174</v>
      </c>
      <c r="F225" s="2" t="s">
        <v>179</v>
      </c>
    </row>
    <row r="226" spans="1:6" ht="21" customHeight="1" x14ac:dyDescent="0.25">
      <c r="A226" s="41" t="s">
        <v>220</v>
      </c>
      <c r="B226" s="16" t="s">
        <v>225</v>
      </c>
      <c r="C226" s="16"/>
      <c r="D226" s="16">
        <v>5</v>
      </c>
      <c r="E226" s="2" t="s">
        <v>174</v>
      </c>
      <c r="F226" s="2" t="s">
        <v>179</v>
      </c>
    </row>
    <row r="227" spans="1:6" ht="21" customHeight="1" x14ac:dyDescent="0.25">
      <c r="A227" s="41" t="s">
        <v>220</v>
      </c>
      <c r="B227" s="16" t="s">
        <v>225</v>
      </c>
      <c r="C227" s="16"/>
      <c r="D227" s="16">
        <v>6</v>
      </c>
      <c r="E227" s="2" t="s">
        <v>174</v>
      </c>
      <c r="F227" s="2" t="s">
        <v>179</v>
      </c>
    </row>
    <row r="228" spans="1:6" ht="21" customHeight="1" x14ac:dyDescent="0.25">
      <c r="A228" s="41" t="s">
        <v>220</v>
      </c>
      <c r="B228" s="16" t="s">
        <v>225</v>
      </c>
      <c r="C228" s="16"/>
      <c r="D228" s="16">
        <v>7</v>
      </c>
      <c r="E228" s="2" t="s">
        <v>174</v>
      </c>
      <c r="F228" s="2" t="s">
        <v>179</v>
      </c>
    </row>
    <row r="229" spans="1:6" ht="21" customHeight="1" x14ac:dyDescent="0.25">
      <c r="A229" s="41" t="s">
        <v>220</v>
      </c>
      <c r="B229" s="16" t="s">
        <v>225</v>
      </c>
      <c r="C229" s="16"/>
      <c r="D229" s="16">
        <v>8</v>
      </c>
      <c r="E229" s="2" t="s">
        <v>174</v>
      </c>
      <c r="F229" s="2" t="s">
        <v>179</v>
      </c>
    </row>
    <row r="230" spans="1:6" ht="21" customHeight="1" x14ac:dyDescent="0.25">
      <c r="A230" s="42" t="s">
        <v>226</v>
      </c>
      <c r="B230" s="15" t="s">
        <v>227</v>
      </c>
      <c r="C230" s="15"/>
      <c r="D230" s="15">
        <v>1</v>
      </c>
      <c r="E230" s="2" t="s">
        <v>222</v>
      </c>
      <c r="F230" s="2" t="s">
        <v>172</v>
      </c>
    </row>
    <row r="231" spans="1:6" ht="21" customHeight="1" x14ac:dyDescent="0.25">
      <c r="A231" s="42" t="s">
        <v>226</v>
      </c>
      <c r="B231" s="15" t="s">
        <v>227</v>
      </c>
      <c r="C231" s="15"/>
      <c r="D231" s="15">
        <v>2</v>
      </c>
      <c r="E231" s="2" t="s">
        <v>222</v>
      </c>
      <c r="F231" s="2" t="s">
        <v>172</v>
      </c>
    </row>
    <row r="232" spans="1:6" ht="21" customHeight="1" x14ac:dyDescent="0.25">
      <c r="A232" s="42" t="s">
        <v>226</v>
      </c>
      <c r="B232" s="15" t="s">
        <v>227</v>
      </c>
      <c r="C232" s="15"/>
      <c r="D232" s="15">
        <v>3</v>
      </c>
      <c r="E232" s="2" t="s">
        <v>222</v>
      </c>
      <c r="F232" s="2" t="s">
        <v>172</v>
      </c>
    </row>
    <row r="233" spans="1:6" ht="21" customHeight="1" x14ac:dyDescent="0.25">
      <c r="A233" s="42" t="s">
        <v>226</v>
      </c>
      <c r="B233" s="15" t="s">
        <v>227</v>
      </c>
      <c r="C233" s="15"/>
      <c r="D233" s="15">
        <v>4</v>
      </c>
      <c r="E233" s="2" t="s">
        <v>222</v>
      </c>
      <c r="F233" s="2" t="s">
        <v>172</v>
      </c>
    </row>
    <row r="234" spans="1:6" ht="21" customHeight="1" x14ac:dyDescent="0.25">
      <c r="A234" s="42" t="s">
        <v>226</v>
      </c>
      <c r="B234" s="15" t="s">
        <v>227</v>
      </c>
      <c r="C234" s="15"/>
      <c r="D234" s="15">
        <v>5</v>
      </c>
      <c r="E234" s="2" t="s">
        <v>222</v>
      </c>
      <c r="F234" s="2" t="s">
        <v>172</v>
      </c>
    </row>
    <row r="235" spans="1:6" ht="21" customHeight="1" x14ac:dyDescent="0.25">
      <c r="A235" s="42" t="s">
        <v>226</v>
      </c>
      <c r="B235" s="16" t="s">
        <v>228</v>
      </c>
      <c r="C235" s="16"/>
      <c r="D235" s="16">
        <v>1</v>
      </c>
      <c r="E235" s="2" t="s">
        <v>222</v>
      </c>
      <c r="F235" s="2" t="s">
        <v>193</v>
      </c>
    </row>
    <row r="236" spans="1:6" ht="21" customHeight="1" x14ac:dyDescent="0.25">
      <c r="A236" s="42" t="s">
        <v>226</v>
      </c>
      <c r="B236" s="16" t="s">
        <v>228</v>
      </c>
      <c r="C236" s="16"/>
      <c r="D236" s="16">
        <v>2</v>
      </c>
      <c r="E236" s="2" t="s">
        <v>222</v>
      </c>
      <c r="F236" s="2" t="s">
        <v>193</v>
      </c>
    </row>
    <row r="237" spans="1:6" ht="21" customHeight="1" x14ac:dyDescent="0.25">
      <c r="A237" s="42" t="s">
        <v>226</v>
      </c>
      <c r="B237" s="16" t="s">
        <v>228</v>
      </c>
      <c r="C237" s="16"/>
      <c r="D237" s="16">
        <v>3</v>
      </c>
      <c r="E237" s="2" t="s">
        <v>222</v>
      </c>
      <c r="F237" s="2" t="s">
        <v>193</v>
      </c>
    </row>
    <row r="238" spans="1:6" ht="21" customHeight="1" x14ac:dyDescent="0.25">
      <c r="A238" s="42" t="s">
        <v>226</v>
      </c>
      <c r="B238" s="16" t="s">
        <v>228</v>
      </c>
      <c r="C238" s="16"/>
      <c r="D238" s="16">
        <v>4</v>
      </c>
      <c r="E238" s="2" t="s">
        <v>222</v>
      </c>
      <c r="F238" s="2" t="s">
        <v>193</v>
      </c>
    </row>
    <row r="239" spans="1:6" ht="21" customHeight="1" x14ac:dyDescent="0.25">
      <c r="A239" s="42" t="s">
        <v>226</v>
      </c>
      <c r="B239" s="16" t="s">
        <v>228</v>
      </c>
      <c r="C239" s="16"/>
      <c r="D239" s="16">
        <v>5</v>
      </c>
      <c r="E239" s="2" t="s">
        <v>222</v>
      </c>
      <c r="F239" s="2" t="s">
        <v>193</v>
      </c>
    </row>
    <row r="240" spans="1:6" ht="21" customHeight="1" x14ac:dyDescent="0.25">
      <c r="A240" s="42" t="s">
        <v>226</v>
      </c>
      <c r="B240" s="15" t="s">
        <v>229</v>
      </c>
      <c r="C240" s="15"/>
      <c r="D240" s="15">
        <v>1</v>
      </c>
      <c r="E240" s="2" t="s">
        <v>174</v>
      </c>
      <c r="F240" s="2" t="s">
        <v>175</v>
      </c>
    </row>
    <row r="241" spans="1:6" ht="21" customHeight="1" x14ac:dyDescent="0.25">
      <c r="A241" s="42" t="s">
        <v>226</v>
      </c>
      <c r="B241" s="15" t="s">
        <v>229</v>
      </c>
      <c r="C241" s="15"/>
      <c r="D241" s="15">
        <v>2</v>
      </c>
      <c r="E241" s="2" t="s">
        <v>174</v>
      </c>
      <c r="F241" s="2" t="s">
        <v>175</v>
      </c>
    </row>
    <row r="242" spans="1:6" ht="21" customHeight="1" x14ac:dyDescent="0.25">
      <c r="A242" s="42" t="s">
        <v>226</v>
      </c>
      <c r="B242" s="15" t="s">
        <v>229</v>
      </c>
      <c r="C242" s="15"/>
      <c r="D242" s="15">
        <v>3</v>
      </c>
      <c r="E242" s="2" t="s">
        <v>174</v>
      </c>
      <c r="F242" s="2" t="s">
        <v>175</v>
      </c>
    </row>
    <row r="243" spans="1:6" ht="21" customHeight="1" x14ac:dyDescent="0.25">
      <c r="A243" s="42" t="s">
        <v>226</v>
      </c>
      <c r="B243" s="15" t="s">
        <v>229</v>
      </c>
      <c r="C243" s="15"/>
      <c r="D243" s="15">
        <v>4</v>
      </c>
      <c r="E243" s="2" t="s">
        <v>174</v>
      </c>
      <c r="F243" s="2" t="s">
        <v>175</v>
      </c>
    </row>
    <row r="244" spans="1:6" ht="21" customHeight="1" x14ac:dyDescent="0.25">
      <c r="A244" s="42" t="s">
        <v>226</v>
      </c>
      <c r="B244" s="15" t="s">
        <v>229</v>
      </c>
      <c r="C244" s="15"/>
      <c r="D244" s="15">
        <v>5</v>
      </c>
      <c r="E244" s="2" t="s">
        <v>174</v>
      </c>
      <c r="F244" s="2" t="s">
        <v>175</v>
      </c>
    </row>
    <row r="245" spans="1:6" ht="21" customHeight="1" x14ac:dyDescent="0.25">
      <c r="A245" s="42" t="s">
        <v>226</v>
      </c>
      <c r="B245" s="16" t="s">
        <v>230</v>
      </c>
      <c r="C245" s="16"/>
      <c r="D245" s="16">
        <v>1</v>
      </c>
      <c r="E245" s="2" t="s">
        <v>174</v>
      </c>
      <c r="F245" s="2" t="s">
        <v>177</v>
      </c>
    </row>
    <row r="246" spans="1:6" ht="21" customHeight="1" x14ac:dyDescent="0.25">
      <c r="A246" s="42" t="s">
        <v>226</v>
      </c>
      <c r="B246" s="16" t="s">
        <v>230</v>
      </c>
      <c r="C246" s="16"/>
      <c r="D246" s="16">
        <v>2</v>
      </c>
      <c r="E246" s="2" t="s">
        <v>174</v>
      </c>
      <c r="F246" s="2" t="s">
        <v>177</v>
      </c>
    </row>
    <row r="247" spans="1:6" ht="21" customHeight="1" x14ac:dyDescent="0.25">
      <c r="A247" s="42" t="s">
        <v>226</v>
      </c>
      <c r="B247" s="16" t="s">
        <v>230</v>
      </c>
      <c r="C247" s="16"/>
      <c r="D247" s="16">
        <v>3</v>
      </c>
      <c r="E247" s="2" t="s">
        <v>174</v>
      </c>
      <c r="F247" s="2" t="s">
        <v>177</v>
      </c>
    </row>
    <row r="248" spans="1:6" ht="21" customHeight="1" x14ac:dyDescent="0.25">
      <c r="A248" s="42" t="s">
        <v>226</v>
      </c>
      <c r="B248" s="16" t="s">
        <v>230</v>
      </c>
      <c r="C248" s="16"/>
      <c r="D248" s="16">
        <v>4</v>
      </c>
      <c r="E248" s="2" t="s">
        <v>174</v>
      </c>
      <c r="F248" s="2" t="s">
        <v>177</v>
      </c>
    </row>
    <row r="249" spans="1:6" ht="21" customHeight="1" x14ac:dyDescent="0.25">
      <c r="A249" s="42" t="s">
        <v>226</v>
      </c>
      <c r="B249" s="16" t="s">
        <v>230</v>
      </c>
      <c r="C249" s="16"/>
      <c r="D249" s="16">
        <v>5</v>
      </c>
      <c r="E249" s="2" t="s">
        <v>174</v>
      </c>
      <c r="F249" s="2" t="s">
        <v>177</v>
      </c>
    </row>
    <row r="250" spans="1:6" ht="21" customHeight="1" x14ac:dyDescent="0.25">
      <c r="A250" s="42" t="s">
        <v>226</v>
      </c>
      <c r="B250" s="15" t="s">
        <v>231</v>
      </c>
      <c r="C250" s="15"/>
      <c r="D250" s="15">
        <v>1</v>
      </c>
      <c r="E250" s="2" t="s">
        <v>174</v>
      </c>
      <c r="F250" s="2" t="s">
        <v>179</v>
      </c>
    </row>
    <row r="251" spans="1:6" ht="21" customHeight="1" x14ac:dyDescent="0.25">
      <c r="A251" s="42" t="s">
        <v>226</v>
      </c>
      <c r="B251" s="15" t="s">
        <v>231</v>
      </c>
      <c r="C251" s="15"/>
      <c r="D251" s="15">
        <v>2</v>
      </c>
      <c r="E251" s="2" t="s">
        <v>174</v>
      </c>
      <c r="F251" s="2" t="s">
        <v>179</v>
      </c>
    </row>
    <row r="252" spans="1:6" ht="21" customHeight="1" x14ac:dyDescent="0.25">
      <c r="A252" s="42" t="s">
        <v>226</v>
      </c>
      <c r="B252" s="15" t="s">
        <v>231</v>
      </c>
      <c r="C252" s="15"/>
      <c r="D252" s="15">
        <v>3</v>
      </c>
      <c r="E252" s="2" t="s">
        <v>174</v>
      </c>
      <c r="F252" s="2" t="s">
        <v>179</v>
      </c>
    </row>
    <row r="253" spans="1:6" ht="21" customHeight="1" x14ac:dyDescent="0.25">
      <c r="A253" s="42" t="s">
        <v>226</v>
      </c>
      <c r="B253" s="15" t="s">
        <v>231</v>
      </c>
      <c r="C253" s="15"/>
      <c r="D253" s="15">
        <v>4</v>
      </c>
      <c r="E253" s="2" t="s">
        <v>174</v>
      </c>
      <c r="F253" s="2" t="s">
        <v>179</v>
      </c>
    </row>
    <row r="254" spans="1:6" ht="21" customHeight="1" x14ac:dyDescent="0.25">
      <c r="A254" s="42" t="s">
        <v>226</v>
      </c>
      <c r="B254" s="15" t="s">
        <v>231</v>
      </c>
      <c r="C254" s="15"/>
      <c r="D254" s="15">
        <v>5</v>
      </c>
      <c r="E254" s="2" t="s">
        <v>174</v>
      </c>
      <c r="F254" s="2" t="s">
        <v>179</v>
      </c>
    </row>
    <row r="255" spans="1:6" ht="21" customHeight="1" x14ac:dyDescent="0.25">
      <c r="A255" s="42" t="s">
        <v>226</v>
      </c>
      <c r="B255" s="15" t="s">
        <v>231</v>
      </c>
      <c r="C255" s="15"/>
      <c r="D255" s="15">
        <v>6</v>
      </c>
      <c r="E255" s="2" t="s">
        <v>174</v>
      </c>
      <c r="F255" s="2" t="s">
        <v>179</v>
      </c>
    </row>
    <row r="256" spans="1:6" ht="21" customHeight="1" x14ac:dyDescent="0.25">
      <c r="A256" s="42" t="s">
        <v>226</v>
      </c>
      <c r="B256" s="15" t="s">
        <v>231</v>
      </c>
      <c r="C256" s="15"/>
      <c r="D256" s="15">
        <v>7</v>
      </c>
      <c r="E256" s="2" t="s">
        <v>174</v>
      </c>
      <c r="F256" s="2" t="s">
        <v>179</v>
      </c>
    </row>
    <row r="257" spans="1:6" ht="21" customHeight="1" x14ac:dyDescent="0.25">
      <c r="A257" s="42" t="s">
        <v>226</v>
      </c>
      <c r="B257" s="15" t="s">
        <v>231</v>
      </c>
      <c r="C257" s="15"/>
      <c r="D257" s="15">
        <v>8</v>
      </c>
      <c r="E257" s="2" t="s">
        <v>174</v>
      </c>
      <c r="F257" s="2" t="s">
        <v>179</v>
      </c>
    </row>
    <row r="258" spans="1:6" ht="21" customHeight="1" x14ac:dyDescent="0.25">
      <c r="A258" s="41" t="s">
        <v>232</v>
      </c>
      <c r="B258" s="16" t="s">
        <v>233</v>
      </c>
      <c r="C258" s="16"/>
      <c r="D258" s="16">
        <v>1</v>
      </c>
      <c r="E258" s="2" t="s">
        <v>222</v>
      </c>
      <c r="F258" s="2" t="s">
        <v>172</v>
      </c>
    </row>
    <row r="259" spans="1:6" ht="21" customHeight="1" x14ac:dyDescent="0.25">
      <c r="A259" s="41" t="s">
        <v>232</v>
      </c>
      <c r="B259" s="16" t="s">
        <v>233</v>
      </c>
      <c r="C259" s="16"/>
      <c r="D259" s="16">
        <v>2</v>
      </c>
      <c r="E259" s="2" t="s">
        <v>222</v>
      </c>
      <c r="F259" s="2" t="s">
        <v>172</v>
      </c>
    </row>
    <row r="260" spans="1:6" ht="21" customHeight="1" x14ac:dyDescent="0.25">
      <c r="A260" s="41" t="s">
        <v>232</v>
      </c>
      <c r="B260" s="16" t="s">
        <v>233</v>
      </c>
      <c r="C260" s="16"/>
      <c r="D260" s="16">
        <v>3</v>
      </c>
      <c r="E260" s="2" t="s">
        <v>222</v>
      </c>
      <c r="F260" s="2" t="s">
        <v>172</v>
      </c>
    </row>
    <row r="261" spans="1:6" ht="21" customHeight="1" x14ac:dyDescent="0.25">
      <c r="A261" s="41" t="s">
        <v>232</v>
      </c>
      <c r="B261" s="16" t="s">
        <v>233</v>
      </c>
      <c r="C261" s="16"/>
      <c r="D261" s="16">
        <v>4</v>
      </c>
      <c r="E261" s="2" t="s">
        <v>222</v>
      </c>
      <c r="F261" s="2" t="s">
        <v>172</v>
      </c>
    </row>
    <row r="262" spans="1:6" ht="21" customHeight="1" x14ac:dyDescent="0.25">
      <c r="A262" s="41" t="s">
        <v>232</v>
      </c>
      <c r="B262" s="16" t="s">
        <v>233</v>
      </c>
      <c r="C262" s="16"/>
      <c r="D262" s="16">
        <v>5</v>
      </c>
      <c r="E262" s="2" t="s">
        <v>222</v>
      </c>
      <c r="F262" s="2" t="s">
        <v>172</v>
      </c>
    </row>
    <row r="263" spans="1:6" ht="21" customHeight="1" x14ac:dyDescent="0.25">
      <c r="A263" s="41" t="s">
        <v>232</v>
      </c>
      <c r="B263" s="15" t="s">
        <v>234</v>
      </c>
      <c r="C263" s="15"/>
      <c r="D263" s="15">
        <v>1</v>
      </c>
      <c r="E263" s="2" t="s">
        <v>222</v>
      </c>
      <c r="F263" s="2" t="s">
        <v>193</v>
      </c>
    </row>
    <row r="264" spans="1:6" ht="21" customHeight="1" x14ac:dyDescent="0.25">
      <c r="A264" s="41" t="s">
        <v>232</v>
      </c>
      <c r="B264" s="15" t="s">
        <v>234</v>
      </c>
      <c r="C264" s="15"/>
      <c r="D264" s="15">
        <v>2</v>
      </c>
      <c r="E264" s="2" t="s">
        <v>222</v>
      </c>
      <c r="F264" s="2" t="s">
        <v>193</v>
      </c>
    </row>
    <row r="265" spans="1:6" ht="21" customHeight="1" x14ac:dyDescent="0.25">
      <c r="A265" s="41" t="s">
        <v>232</v>
      </c>
      <c r="B265" s="15" t="s">
        <v>234</v>
      </c>
      <c r="C265" s="15"/>
      <c r="D265" s="15">
        <v>3</v>
      </c>
      <c r="E265" s="2" t="s">
        <v>222</v>
      </c>
      <c r="F265" s="2" t="s">
        <v>193</v>
      </c>
    </row>
    <row r="266" spans="1:6" ht="21" customHeight="1" x14ac:dyDescent="0.25">
      <c r="A266" s="41" t="s">
        <v>232</v>
      </c>
      <c r="B266" s="15" t="s">
        <v>234</v>
      </c>
      <c r="C266" s="15"/>
      <c r="D266" s="15">
        <v>4</v>
      </c>
      <c r="E266" s="2" t="s">
        <v>222</v>
      </c>
      <c r="F266" s="2" t="s">
        <v>193</v>
      </c>
    </row>
    <row r="267" spans="1:6" ht="21" customHeight="1" x14ac:dyDescent="0.25">
      <c r="A267" s="41" t="s">
        <v>232</v>
      </c>
      <c r="B267" s="15" t="s">
        <v>234</v>
      </c>
      <c r="C267" s="15"/>
      <c r="D267" s="15">
        <v>5</v>
      </c>
      <c r="E267" s="2" t="s">
        <v>222</v>
      </c>
      <c r="F267" s="2" t="s">
        <v>193</v>
      </c>
    </row>
    <row r="268" spans="1:6" ht="21" customHeight="1" x14ac:dyDescent="0.25">
      <c r="A268" s="41" t="s">
        <v>232</v>
      </c>
      <c r="B268" s="16" t="s">
        <v>235</v>
      </c>
      <c r="C268" s="16"/>
      <c r="D268" s="16">
        <v>1</v>
      </c>
      <c r="E268" s="2" t="s">
        <v>174</v>
      </c>
      <c r="F268" s="2" t="s">
        <v>175</v>
      </c>
    </row>
    <row r="269" spans="1:6" ht="21" customHeight="1" x14ac:dyDescent="0.25">
      <c r="A269" s="41" t="s">
        <v>232</v>
      </c>
      <c r="B269" s="16" t="s">
        <v>235</v>
      </c>
      <c r="C269" s="16"/>
      <c r="D269" s="16">
        <v>2</v>
      </c>
      <c r="E269" s="2" t="s">
        <v>174</v>
      </c>
      <c r="F269" s="2" t="s">
        <v>175</v>
      </c>
    </row>
    <row r="270" spans="1:6" ht="21" customHeight="1" x14ac:dyDescent="0.25">
      <c r="A270" s="41" t="s">
        <v>232</v>
      </c>
      <c r="B270" s="16" t="s">
        <v>235</v>
      </c>
      <c r="C270" s="16"/>
      <c r="D270" s="16">
        <v>3</v>
      </c>
      <c r="E270" s="2" t="s">
        <v>174</v>
      </c>
      <c r="F270" s="2" t="s">
        <v>175</v>
      </c>
    </row>
    <row r="271" spans="1:6" ht="21" customHeight="1" x14ac:dyDescent="0.25">
      <c r="A271" s="41" t="s">
        <v>232</v>
      </c>
      <c r="B271" s="16" t="s">
        <v>235</v>
      </c>
      <c r="C271" s="16"/>
      <c r="D271" s="16">
        <v>4</v>
      </c>
      <c r="E271" s="2" t="s">
        <v>174</v>
      </c>
      <c r="F271" s="2" t="s">
        <v>175</v>
      </c>
    </row>
    <row r="272" spans="1:6" ht="21" customHeight="1" x14ac:dyDescent="0.25">
      <c r="A272" s="41" t="s">
        <v>232</v>
      </c>
      <c r="B272" s="16" t="s">
        <v>235</v>
      </c>
      <c r="C272" s="16"/>
      <c r="D272" s="16">
        <v>5</v>
      </c>
      <c r="E272" s="2" t="s">
        <v>174</v>
      </c>
      <c r="F272" s="2" t="s">
        <v>175</v>
      </c>
    </row>
    <row r="273" spans="1:6" ht="21" customHeight="1" x14ac:dyDescent="0.25">
      <c r="A273" s="41" t="s">
        <v>232</v>
      </c>
      <c r="B273" s="15" t="s">
        <v>236</v>
      </c>
      <c r="C273" s="15"/>
      <c r="D273" s="15">
        <v>1</v>
      </c>
      <c r="E273" s="2" t="s">
        <v>174</v>
      </c>
      <c r="F273" s="2" t="s">
        <v>177</v>
      </c>
    </row>
    <row r="274" spans="1:6" ht="21" customHeight="1" x14ac:dyDescent="0.25">
      <c r="A274" s="41" t="s">
        <v>232</v>
      </c>
      <c r="B274" s="15" t="s">
        <v>236</v>
      </c>
      <c r="C274" s="15"/>
      <c r="D274" s="15">
        <v>2</v>
      </c>
      <c r="E274" s="2" t="s">
        <v>174</v>
      </c>
      <c r="F274" s="2" t="s">
        <v>177</v>
      </c>
    </row>
    <row r="275" spans="1:6" ht="21" customHeight="1" x14ac:dyDescent="0.25">
      <c r="A275" s="41" t="s">
        <v>232</v>
      </c>
      <c r="B275" s="15" t="s">
        <v>236</v>
      </c>
      <c r="C275" s="15"/>
      <c r="D275" s="15">
        <v>3</v>
      </c>
      <c r="E275" s="2" t="s">
        <v>174</v>
      </c>
      <c r="F275" s="2" t="s">
        <v>177</v>
      </c>
    </row>
    <row r="276" spans="1:6" ht="21" customHeight="1" x14ac:dyDescent="0.25">
      <c r="A276" s="41" t="s">
        <v>232</v>
      </c>
      <c r="B276" s="15" t="s">
        <v>236</v>
      </c>
      <c r="C276" s="15"/>
      <c r="D276" s="15">
        <v>4</v>
      </c>
      <c r="E276" s="2" t="s">
        <v>174</v>
      </c>
      <c r="F276" s="2" t="s">
        <v>177</v>
      </c>
    </row>
    <row r="277" spans="1:6" ht="21" customHeight="1" x14ac:dyDescent="0.25">
      <c r="A277" s="41" t="s">
        <v>232</v>
      </c>
      <c r="B277" s="15" t="s">
        <v>236</v>
      </c>
      <c r="C277" s="15"/>
      <c r="D277" s="15">
        <v>5</v>
      </c>
      <c r="E277" s="2" t="s">
        <v>174</v>
      </c>
      <c r="F277" s="2" t="s">
        <v>177</v>
      </c>
    </row>
    <row r="278" spans="1:6" ht="21" customHeight="1" x14ac:dyDescent="0.25">
      <c r="A278" s="41" t="s">
        <v>232</v>
      </c>
      <c r="B278" s="16" t="s">
        <v>237</v>
      </c>
      <c r="C278" s="16"/>
      <c r="D278" s="16">
        <v>1</v>
      </c>
      <c r="E278" s="2" t="s">
        <v>174</v>
      </c>
      <c r="F278" s="2" t="s">
        <v>179</v>
      </c>
    </row>
    <row r="279" spans="1:6" ht="21" customHeight="1" x14ac:dyDescent="0.25">
      <c r="A279" s="41" t="s">
        <v>232</v>
      </c>
      <c r="B279" s="16" t="s">
        <v>237</v>
      </c>
      <c r="C279" s="16"/>
      <c r="D279" s="16">
        <v>2</v>
      </c>
      <c r="E279" s="2" t="s">
        <v>174</v>
      </c>
      <c r="F279" s="2" t="s">
        <v>179</v>
      </c>
    </row>
    <row r="280" spans="1:6" ht="21" customHeight="1" x14ac:dyDescent="0.25">
      <c r="A280" s="41" t="s">
        <v>232</v>
      </c>
      <c r="B280" s="16" t="s">
        <v>237</v>
      </c>
      <c r="C280" s="16"/>
      <c r="D280" s="16">
        <v>3</v>
      </c>
      <c r="E280" s="2" t="s">
        <v>174</v>
      </c>
      <c r="F280" s="2" t="s">
        <v>179</v>
      </c>
    </row>
    <row r="281" spans="1:6" ht="21" customHeight="1" x14ac:dyDescent="0.25">
      <c r="A281" s="41" t="s">
        <v>232</v>
      </c>
      <c r="B281" s="16" t="s">
        <v>237</v>
      </c>
      <c r="C281" s="16"/>
      <c r="D281" s="16">
        <v>4</v>
      </c>
      <c r="E281" s="2" t="s">
        <v>174</v>
      </c>
      <c r="F281" s="2" t="s">
        <v>179</v>
      </c>
    </row>
    <row r="282" spans="1:6" ht="21" customHeight="1" x14ac:dyDescent="0.25">
      <c r="A282" s="41" t="s">
        <v>232</v>
      </c>
      <c r="B282" s="16" t="s">
        <v>237</v>
      </c>
      <c r="C282" s="16"/>
      <c r="D282" s="16">
        <v>5</v>
      </c>
      <c r="E282" s="2" t="s">
        <v>174</v>
      </c>
      <c r="F282" s="2" t="s">
        <v>179</v>
      </c>
    </row>
    <row r="283" spans="1:6" ht="21" customHeight="1" x14ac:dyDescent="0.25">
      <c r="A283" s="41" t="s">
        <v>232</v>
      </c>
      <c r="B283" s="16" t="s">
        <v>237</v>
      </c>
      <c r="C283" s="16"/>
      <c r="D283" s="16">
        <v>6</v>
      </c>
      <c r="E283" s="2" t="s">
        <v>174</v>
      </c>
      <c r="F283" s="2" t="s">
        <v>179</v>
      </c>
    </row>
    <row r="284" spans="1:6" ht="21" customHeight="1" x14ac:dyDescent="0.25">
      <c r="A284" s="41" t="s">
        <v>232</v>
      </c>
      <c r="B284" s="16" t="s">
        <v>237</v>
      </c>
      <c r="C284" s="16"/>
      <c r="D284" s="16">
        <v>7</v>
      </c>
      <c r="E284" s="2" t="s">
        <v>174</v>
      </c>
      <c r="F284" s="2" t="s">
        <v>179</v>
      </c>
    </row>
    <row r="285" spans="1:6" ht="21" customHeight="1" x14ac:dyDescent="0.25">
      <c r="A285" s="41" t="s">
        <v>232</v>
      </c>
      <c r="B285" s="16" t="s">
        <v>237</v>
      </c>
      <c r="C285" s="16"/>
      <c r="D285" s="16">
        <v>8</v>
      </c>
      <c r="E285" s="2" t="s">
        <v>174</v>
      </c>
      <c r="F285" s="2" t="s">
        <v>179</v>
      </c>
    </row>
    <row r="286" spans="1:6" ht="21" customHeight="1" x14ac:dyDescent="0.25">
      <c r="A286" s="41" t="s">
        <v>238</v>
      </c>
      <c r="B286" s="15" t="s">
        <v>239</v>
      </c>
      <c r="C286" s="15"/>
      <c r="D286" s="15">
        <v>1</v>
      </c>
      <c r="E286" s="2" t="s">
        <v>222</v>
      </c>
      <c r="F286" s="2" t="s">
        <v>172</v>
      </c>
    </row>
    <row r="287" spans="1:6" ht="21" customHeight="1" x14ac:dyDescent="0.25">
      <c r="A287" s="41" t="s">
        <v>238</v>
      </c>
      <c r="B287" s="15" t="s">
        <v>239</v>
      </c>
      <c r="C287" s="15"/>
      <c r="D287" s="15">
        <v>2</v>
      </c>
      <c r="E287" s="2" t="s">
        <v>222</v>
      </c>
      <c r="F287" s="2" t="s">
        <v>172</v>
      </c>
    </row>
    <row r="288" spans="1:6" ht="21" customHeight="1" x14ac:dyDescent="0.25">
      <c r="A288" s="41" t="s">
        <v>238</v>
      </c>
      <c r="B288" s="15" t="s">
        <v>239</v>
      </c>
      <c r="C288" s="15"/>
      <c r="D288" s="15">
        <v>3</v>
      </c>
      <c r="E288" s="2" t="s">
        <v>222</v>
      </c>
      <c r="F288" s="2" t="s">
        <v>172</v>
      </c>
    </row>
    <row r="289" spans="1:6" ht="21" customHeight="1" x14ac:dyDescent="0.25">
      <c r="A289" s="41" t="s">
        <v>238</v>
      </c>
      <c r="B289" s="15" t="s">
        <v>239</v>
      </c>
      <c r="C289" s="15"/>
      <c r="D289" s="15">
        <v>4</v>
      </c>
      <c r="E289" s="2" t="s">
        <v>222</v>
      </c>
      <c r="F289" s="2" t="s">
        <v>172</v>
      </c>
    </row>
    <row r="290" spans="1:6" ht="21" customHeight="1" x14ac:dyDescent="0.25">
      <c r="A290" s="41" t="s">
        <v>238</v>
      </c>
      <c r="B290" s="15" t="s">
        <v>239</v>
      </c>
      <c r="C290" s="15"/>
      <c r="D290" s="15">
        <v>5</v>
      </c>
      <c r="E290" s="2" t="s">
        <v>222</v>
      </c>
      <c r="F290" s="2" t="s">
        <v>172</v>
      </c>
    </row>
    <row r="291" spans="1:6" ht="21" customHeight="1" x14ac:dyDescent="0.25">
      <c r="A291" s="41" t="s">
        <v>238</v>
      </c>
      <c r="B291" s="16" t="s">
        <v>240</v>
      </c>
      <c r="C291" s="16"/>
      <c r="D291" s="16">
        <v>1</v>
      </c>
      <c r="E291" s="2" t="s">
        <v>174</v>
      </c>
      <c r="F291" s="2" t="s">
        <v>175</v>
      </c>
    </row>
    <row r="292" spans="1:6" ht="21" customHeight="1" x14ac:dyDescent="0.25">
      <c r="A292" s="41" t="s">
        <v>238</v>
      </c>
      <c r="B292" s="16" t="s">
        <v>240</v>
      </c>
      <c r="C292" s="16"/>
      <c r="D292" s="16">
        <v>2</v>
      </c>
      <c r="E292" s="2" t="s">
        <v>174</v>
      </c>
      <c r="F292" s="2" t="s">
        <v>175</v>
      </c>
    </row>
    <row r="293" spans="1:6" ht="21" customHeight="1" x14ac:dyDescent="0.25">
      <c r="A293" s="41" t="s">
        <v>238</v>
      </c>
      <c r="B293" s="16" t="s">
        <v>240</v>
      </c>
      <c r="C293" s="16"/>
      <c r="D293" s="16">
        <v>3</v>
      </c>
      <c r="E293" s="2" t="s">
        <v>174</v>
      </c>
      <c r="F293" s="2" t="s">
        <v>175</v>
      </c>
    </row>
    <row r="294" spans="1:6" ht="21" customHeight="1" x14ac:dyDescent="0.25">
      <c r="A294" s="41" t="s">
        <v>238</v>
      </c>
      <c r="B294" s="16" t="s">
        <v>240</v>
      </c>
      <c r="C294" s="16"/>
      <c r="D294" s="16">
        <v>4</v>
      </c>
      <c r="E294" s="2" t="s">
        <v>174</v>
      </c>
      <c r="F294" s="2" t="s">
        <v>175</v>
      </c>
    </row>
    <row r="295" spans="1:6" ht="21" customHeight="1" x14ac:dyDescent="0.25">
      <c r="A295" s="41" t="s">
        <v>238</v>
      </c>
      <c r="B295" s="16" t="s">
        <v>240</v>
      </c>
      <c r="C295" s="16"/>
      <c r="D295" s="16">
        <v>5</v>
      </c>
      <c r="E295" s="2" t="s">
        <v>174</v>
      </c>
      <c r="F295" s="2" t="s">
        <v>175</v>
      </c>
    </row>
    <row r="296" spans="1:6" ht="21" customHeight="1" x14ac:dyDescent="0.25">
      <c r="A296" s="41" t="s">
        <v>238</v>
      </c>
      <c r="B296" s="15" t="s">
        <v>241</v>
      </c>
      <c r="C296" s="15"/>
      <c r="D296" s="15">
        <v>1</v>
      </c>
      <c r="E296" s="2" t="s">
        <v>174</v>
      </c>
      <c r="F296" s="2" t="s">
        <v>177</v>
      </c>
    </row>
    <row r="297" spans="1:6" ht="21" customHeight="1" x14ac:dyDescent="0.25">
      <c r="A297" s="41" t="s">
        <v>238</v>
      </c>
      <c r="B297" s="15" t="s">
        <v>241</v>
      </c>
      <c r="C297" s="15"/>
      <c r="D297" s="15">
        <v>2</v>
      </c>
      <c r="E297" s="2" t="s">
        <v>174</v>
      </c>
      <c r="F297" s="2" t="s">
        <v>177</v>
      </c>
    </row>
    <row r="298" spans="1:6" ht="21" customHeight="1" x14ac:dyDescent="0.25">
      <c r="A298" s="41" t="s">
        <v>238</v>
      </c>
      <c r="B298" s="15" t="s">
        <v>241</v>
      </c>
      <c r="C298" s="15"/>
      <c r="D298" s="15">
        <v>3</v>
      </c>
      <c r="E298" s="2" t="s">
        <v>174</v>
      </c>
      <c r="F298" s="2" t="s">
        <v>177</v>
      </c>
    </row>
    <row r="299" spans="1:6" ht="21" customHeight="1" x14ac:dyDescent="0.25">
      <c r="A299" s="41" t="s">
        <v>238</v>
      </c>
      <c r="B299" s="15" t="s">
        <v>241</v>
      </c>
      <c r="C299" s="15"/>
      <c r="D299" s="15">
        <v>4</v>
      </c>
      <c r="E299" s="2" t="s">
        <v>174</v>
      </c>
      <c r="F299" s="2" t="s">
        <v>177</v>
      </c>
    </row>
    <row r="300" spans="1:6" ht="21" customHeight="1" x14ac:dyDescent="0.25">
      <c r="A300" s="41" t="s">
        <v>238</v>
      </c>
      <c r="B300" s="15" t="s">
        <v>241</v>
      </c>
      <c r="C300" s="15"/>
      <c r="D300" s="15">
        <v>5</v>
      </c>
      <c r="E300" s="2" t="s">
        <v>174</v>
      </c>
      <c r="F300" s="2" t="s">
        <v>177</v>
      </c>
    </row>
    <row r="301" spans="1:6" ht="21" customHeight="1" x14ac:dyDescent="0.25">
      <c r="A301" s="41" t="s">
        <v>238</v>
      </c>
      <c r="B301" s="16" t="s">
        <v>242</v>
      </c>
      <c r="C301" s="16"/>
      <c r="D301" s="16">
        <v>1</v>
      </c>
      <c r="E301" s="2" t="s">
        <v>174</v>
      </c>
      <c r="F301" s="2" t="s">
        <v>179</v>
      </c>
    </row>
    <row r="302" spans="1:6" ht="21" customHeight="1" x14ac:dyDescent="0.25">
      <c r="A302" s="41" t="s">
        <v>238</v>
      </c>
      <c r="B302" s="16" t="s">
        <v>242</v>
      </c>
      <c r="C302" s="16"/>
      <c r="D302" s="16">
        <v>2</v>
      </c>
      <c r="E302" s="2" t="s">
        <v>174</v>
      </c>
      <c r="F302" s="2" t="s">
        <v>179</v>
      </c>
    </row>
    <row r="303" spans="1:6" ht="21" customHeight="1" x14ac:dyDescent="0.25">
      <c r="A303" s="41" t="s">
        <v>238</v>
      </c>
      <c r="B303" s="16" t="s">
        <v>242</v>
      </c>
      <c r="C303" s="16"/>
      <c r="D303" s="16">
        <v>3</v>
      </c>
      <c r="E303" s="2" t="s">
        <v>174</v>
      </c>
      <c r="F303" s="2" t="s">
        <v>179</v>
      </c>
    </row>
    <row r="304" spans="1:6" ht="21" customHeight="1" x14ac:dyDescent="0.25">
      <c r="A304" s="41" t="s">
        <v>238</v>
      </c>
      <c r="B304" s="16" t="s">
        <v>242</v>
      </c>
      <c r="C304" s="16"/>
      <c r="D304" s="16">
        <v>4</v>
      </c>
      <c r="E304" s="2" t="s">
        <v>174</v>
      </c>
      <c r="F304" s="2" t="s">
        <v>179</v>
      </c>
    </row>
    <row r="305" spans="1:6" ht="21" customHeight="1" x14ac:dyDescent="0.25">
      <c r="A305" s="41" t="s">
        <v>238</v>
      </c>
      <c r="B305" s="16" t="s">
        <v>242</v>
      </c>
      <c r="C305" s="16"/>
      <c r="D305" s="16">
        <v>5</v>
      </c>
      <c r="E305" s="2" t="s">
        <v>174</v>
      </c>
      <c r="F305" s="2" t="s">
        <v>179</v>
      </c>
    </row>
    <row r="306" spans="1:6" ht="21" customHeight="1" x14ac:dyDescent="0.25">
      <c r="A306" s="41" t="s">
        <v>238</v>
      </c>
      <c r="B306" s="16" t="s">
        <v>242</v>
      </c>
      <c r="C306" s="16"/>
      <c r="D306" s="16">
        <v>6</v>
      </c>
      <c r="E306" s="2" t="s">
        <v>174</v>
      </c>
      <c r="F306" s="2" t="s">
        <v>179</v>
      </c>
    </row>
    <row r="307" spans="1:6" ht="21" customHeight="1" x14ac:dyDescent="0.25">
      <c r="A307" s="41" t="s">
        <v>238</v>
      </c>
      <c r="B307" s="16" t="s">
        <v>242</v>
      </c>
      <c r="C307" s="16"/>
      <c r="D307" s="16">
        <v>7</v>
      </c>
      <c r="E307" s="2" t="s">
        <v>174</v>
      </c>
      <c r="F307" s="2" t="s">
        <v>179</v>
      </c>
    </row>
    <row r="308" spans="1:6" ht="21" customHeight="1" x14ac:dyDescent="0.25">
      <c r="A308" s="41" t="s">
        <v>238</v>
      </c>
      <c r="B308" s="16" t="s">
        <v>242</v>
      </c>
      <c r="C308" s="16"/>
      <c r="D308" s="16">
        <v>8</v>
      </c>
      <c r="E308" s="2" t="s">
        <v>174</v>
      </c>
      <c r="F308" s="2" t="s">
        <v>179</v>
      </c>
    </row>
    <row r="309" spans="1:6" ht="21" customHeight="1" x14ac:dyDescent="0.25">
      <c r="A309" s="42" t="s">
        <v>243</v>
      </c>
      <c r="B309" s="15" t="s">
        <v>244</v>
      </c>
      <c r="C309" s="15"/>
      <c r="D309" s="15">
        <v>1</v>
      </c>
      <c r="E309" s="2" t="s">
        <v>222</v>
      </c>
      <c r="F309" s="2" t="s">
        <v>172</v>
      </c>
    </row>
    <row r="310" spans="1:6" ht="21" customHeight="1" x14ac:dyDescent="0.25">
      <c r="A310" s="42" t="s">
        <v>243</v>
      </c>
      <c r="B310" s="15" t="s">
        <v>244</v>
      </c>
      <c r="C310" s="15"/>
      <c r="D310" s="15">
        <v>2</v>
      </c>
      <c r="E310" s="2" t="s">
        <v>222</v>
      </c>
      <c r="F310" s="2" t="s">
        <v>172</v>
      </c>
    </row>
    <row r="311" spans="1:6" ht="21" customHeight="1" x14ac:dyDescent="0.25">
      <c r="A311" s="42" t="s">
        <v>243</v>
      </c>
      <c r="B311" s="15" t="s">
        <v>244</v>
      </c>
      <c r="C311" s="15"/>
      <c r="D311" s="15">
        <v>3</v>
      </c>
      <c r="E311" s="2" t="s">
        <v>222</v>
      </c>
      <c r="F311" s="2" t="s">
        <v>172</v>
      </c>
    </row>
    <row r="312" spans="1:6" ht="21" customHeight="1" x14ac:dyDescent="0.25">
      <c r="A312" s="42" t="s">
        <v>243</v>
      </c>
      <c r="B312" s="15" t="s">
        <v>244</v>
      </c>
      <c r="C312" s="15"/>
      <c r="D312" s="15">
        <v>4</v>
      </c>
      <c r="E312" s="2" t="s">
        <v>222</v>
      </c>
      <c r="F312" s="2" t="s">
        <v>172</v>
      </c>
    </row>
    <row r="313" spans="1:6" ht="21" customHeight="1" x14ac:dyDescent="0.25">
      <c r="A313" s="42" t="s">
        <v>243</v>
      </c>
      <c r="B313" s="15" t="s">
        <v>244</v>
      </c>
      <c r="C313" s="15"/>
      <c r="D313" s="15">
        <v>5</v>
      </c>
      <c r="E313" s="2" t="s">
        <v>222</v>
      </c>
      <c r="F313" s="2" t="s">
        <v>172</v>
      </c>
    </row>
    <row r="314" spans="1:6" ht="21" customHeight="1" x14ac:dyDescent="0.25">
      <c r="A314" s="42" t="s">
        <v>243</v>
      </c>
      <c r="B314" s="16" t="s">
        <v>245</v>
      </c>
      <c r="C314" s="16"/>
      <c r="D314" s="16">
        <v>1</v>
      </c>
      <c r="E314" s="2" t="s">
        <v>174</v>
      </c>
      <c r="F314" s="2" t="s">
        <v>175</v>
      </c>
    </row>
    <row r="315" spans="1:6" ht="21" customHeight="1" x14ac:dyDescent="0.25">
      <c r="A315" s="42" t="s">
        <v>243</v>
      </c>
      <c r="B315" s="16" t="s">
        <v>245</v>
      </c>
      <c r="C315" s="16"/>
      <c r="D315" s="16">
        <v>2</v>
      </c>
      <c r="E315" s="2" t="s">
        <v>174</v>
      </c>
      <c r="F315" s="2" t="s">
        <v>175</v>
      </c>
    </row>
    <row r="316" spans="1:6" ht="21" customHeight="1" x14ac:dyDescent="0.25">
      <c r="A316" s="42" t="s">
        <v>243</v>
      </c>
      <c r="B316" s="16" t="s">
        <v>245</v>
      </c>
      <c r="C316" s="16"/>
      <c r="D316" s="16">
        <v>3</v>
      </c>
      <c r="E316" s="2" t="s">
        <v>174</v>
      </c>
      <c r="F316" s="2" t="s">
        <v>175</v>
      </c>
    </row>
    <row r="317" spans="1:6" ht="21" customHeight="1" x14ac:dyDescent="0.25">
      <c r="A317" s="42" t="s">
        <v>243</v>
      </c>
      <c r="B317" s="16" t="s">
        <v>245</v>
      </c>
      <c r="C317" s="16"/>
      <c r="D317" s="16">
        <v>4</v>
      </c>
      <c r="E317" s="2" t="s">
        <v>174</v>
      </c>
      <c r="F317" s="2" t="s">
        <v>175</v>
      </c>
    </row>
    <row r="318" spans="1:6" ht="21" customHeight="1" x14ac:dyDescent="0.25">
      <c r="A318" s="42" t="s">
        <v>243</v>
      </c>
      <c r="B318" s="16" t="s">
        <v>245</v>
      </c>
      <c r="C318" s="16"/>
      <c r="D318" s="16">
        <v>5</v>
      </c>
      <c r="E318" s="2" t="s">
        <v>174</v>
      </c>
      <c r="F318" s="2" t="s">
        <v>175</v>
      </c>
    </row>
    <row r="319" spans="1:6" ht="21" customHeight="1" x14ac:dyDescent="0.25">
      <c r="A319" s="42" t="s">
        <v>243</v>
      </c>
      <c r="B319" s="15" t="s">
        <v>246</v>
      </c>
      <c r="C319" s="15"/>
      <c r="D319" s="15">
        <v>1</v>
      </c>
      <c r="E319" s="2" t="s">
        <v>174</v>
      </c>
      <c r="F319" s="2" t="s">
        <v>177</v>
      </c>
    </row>
    <row r="320" spans="1:6" ht="21" customHeight="1" x14ac:dyDescent="0.25">
      <c r="A320" s="42" t="s">
        <v>243</v>
      </c>
      <c r="B320" s="15" t="s">
        <v>246</v>
      </c>
      <c r="C320" s="15"/>
      <c r="D320" s="15">
        <v>2</v>
      </c>
      <c r="E320" s="2" t="s">
        <v>174</v>
      </c>
      <c r="F320" s="2" t="s">
        <v>177</v>
      </c>
    </row>
    <row r="321" spans="1:6" ht="21" customHeight="1" x14ac:dyDescent="0.25">
      <c r="A321" s="42" t="s">
        <v>243</v>
      </c>
      <c r="B321" s="15" t="s">
        <v>246</v>
      </c>
      <c r="C321" s="15"/>
      <c r="D321" s="15">
        <v>3</v>
      </c>
      <c r="E321" s="2" t="s">
        <v>174</v>
      </c>
      <c r="F321" s="2" t="s">
        <v>177</v>
      </c>
    </row>
    <row r="322" spans="1:6" ht="21" customHeight="1" x14ac:dyDescent="0.25">
      <c r="A322" s="42" t="s">
        <v>243</v>
      </c>
      <c r="B322" s="15" t="s">
        <v>246</v>
      </c>
      <c r="C322" s="15"/>
      <c r="D322" s="15">
        <v>4</v>
      </c>
      <c r="E322" s="2" t="s">
        <v>174</v>
      </c>
      <c r="F322" s="2" t="s">
        <v>177</v>
      </c>
    </row>
    <row r="323" spans="1:6" ht="21" customHeight="1" x14ac:dyDescent="0.25">
      <c r="A323" s="42" t="s">
        <v>243</v>
      </c>
      <c r="B323" s="15" t="s">
        <v>246</v>
      </c>
      <c r="C323" s="15"/>
      <c r="D323" s="15">
        <v>5</v>
      </c>
      <c r="E323" s="2" t="s">
        <v>174</v>
      </c>
      <c r="F323" s="2" t="s">
        <v>177</v>
      </c>
    </row>
    <row r="324" spans="1:6" ht="21" customHeight="1" x14ac:dyDescent="0.25">
      <c r="A324" s="42" t="s">
        <v>243</v>
      </c>
      <c r="B324" s="16" t="s">
        <v>247</v>
      </c>
      <c r="C324" s="16"/>
      <c r="D324" s="16">
        <v>1</v>
      </c>
      <c r="E324" s="2" t="s">
        <v>174</v>
      </c>
      <c r="F324" s="2" t="s">
        <v>179</v>
      </c>
    </row>
    <row r="325" spans="1:6" ht="21" customHeight="1" x14ac:dyDescent="0.25">
      <c r="A325" s="42" t="s">
        <v>243</v>
      </c>
      <c r="B325" s="16" t="s">
        <v>247</v>
      </c>
      <c r="C325" s="16"/>
      <c r="D325" s="16">
        <v>2</v>
      </c>
      <c r="E325" s="2" t="s">
        <v>174</v>
      </c>
      <c r="F325" s="2" t="s">
        <v>179</v>
      </c>
    </row>
    <row r="326" spans="1:6" ht="21" customHeight="1" x14ac:dyDescent="0.25">
      <c r="A326" s="42" t="s">
        <v>243</v>
      </c>
      <c r="B326" s="16" t="s">
        <v>247</v>
      </c>
      <c r="C326" s="16"/>
      <c r="D326" s="16">
        <v>3</v>
      </c>
      <c r="E326" s="2" t="s">
        <v>174</v>
      </c>
      <c r="F326" s="2" t="s">
        <v>179</v>
      </c>
    </row>
    <row r="327" spans="1:6" ht="21" customHeight="1" x14ac:dyDescent="0.25">
      <c r="A327" s="42" t="s">
        <v>243</v>
      </c>
      <c r="B327" s="16" t="s">
        <v>247</v>
      </c>
      <c r="C327" s="16"/>
      <c r="D327" s="16">
        <v>4</v>
      </c>
      <c r="E327" s="2" t="s">
        <v>174</v>
      </c>
      <c r="F327" s="2" t="s">
        <v>179</v>
      </c>
    </row>
    <row r="328" spans="1:6" ht="21" customHeight="1" x14ac:dyDescent="0.25">
      <c r="A328" s="42" t="s">
        <v>243</v>
      </c>
      <c r="B328" s="16" t="s">
        <v>247</v>
      </c>
      <c r="C328" s="16"/>
      <c r="D328" s="16">
        <v>5</v>
      </c>
      <c r="E328" s="2" t="s">
        <v>174</v>
      </c>
      <c r="F328" s="2" t="s">
        <v>179</v>
      </c>
    </row>
    <row r="329" spans="1:6" ht="21" customHeight="1" x14ac:dyDescent="0.25">
      <c r="A329" s="42" t="s">
        <v>243</v>
      </c>
      <c r="B329" s="16" t="s">
        <v>247</v>
      </c>
      <c r="C329" s="16"/>
      <c r="D329" s="16">
        <v>6</v>
      </c>
      <c r="E329" s="2" t="s">
        <v>174</v>
      </c>
      <c r="F329" s="2" t="s">
        <v>179</v>
      </c>
    </row>
    <row r="330" spans="1:6" ht="21" customHeight="1" x14ac:dyDescent="0.25">
      <c r="A330" s="42" t="s">
        <v>243</v>
      </c>
      <c r="B330" s="16" t="s">
        <v>247</v>
      </c>
      <c r="C330" s="16"/>
      <c r="D330" s="16">
        <v>7</v>
      </c>
      <c r="E330" s="2" t="s">
        <v>174</v>
      </c>
      <c r="F330" s="2" t="s">
        <v>179</v>
      </c>
    </row>
    <row r="331" spans="1:6" ht="21" customHeight="1" x14ac:dyDescent="0.25">
      <c r="A331" s="42" t="s">
        <v>243</v>
      </c>
      <c r="B331" s="16" t="s">
        <v>247</v>
      </c>
      <c r="C331" s="16"/>
      <c r="D331" s="16">
        <v>8</v>
      </c>
      <c r="E331" s="2" t="s">
        <v>174</v>
      </c>
      <c r="F331" s="2" t="s">
        <v>179</v>
      </c>
    </row>
    <row r="332" spans="1:6" ht="21" customHeight="1" x14ac:dyDescent="0.25">
      <c r="A332" s="41" t="s">
        <v>248</v>
      </c>
      <c r="B332" s="15" t="s">
        <v>249</v>
      </c>
      <c r="C332" s="15"/>
      <c r="D332" s="15">
        <v>1</v>
      </c>
      <c r="E332" s="2" t="s">
        <v>222</v>
      </c>
      <c r="F332" s="2" t="s">
        <v>172</v>
      </c>
    </row>
    <row r="333" spans="1:6" ht="21" customHeight="1" x14ac:dyDescent="0.25">
      <c r="A333" s="41" t="s">
        <v>248</v>
      </c>
      <c r="B333" s="15" t="s">
        <v>249</v>
      </c>
      <c r="C333" s="15"/>
      <c r="D333" s="15">
        <v>2</v>
      </c>
      <c r="E333" s="2" t="s">
        <v>222</v>
      </c>
      <c r="F333" s="2" t="s">
        <v>172</v>
      </c>
    </row>
    <row r="334" spans="1:6" ht="21" customHeight="1" x14ac:dyDescent="0.25">
      <c r="A334" s="41" t="s">
        <v>248</v>
      </c>
      <c r="B334" s="15" t="s">
        <v>249</v>
      </c>
      <c r="C334" s="15"/>
      <c r="D334" s="15">
        <v>3</v>
      </c>
      <c r="E334" s="2" t="s">
        <v>222</v>
      </c>
      <c r="F334" s="2" t="s">
        <v>172</v>
      </c>
    </row>
    <row r="335" spans="1:6" ht="21" customHeight="1" x14ac:dyDescent="0.25">
      <c r="A335" s="41" t="s">
        <v>248</v>
      </c>
      <c r="B335" s="15" t="s">
        <v>249</v>
      </c>
      <c r="C335" s="15"/>
      <c r="D335" s="15">
        <v>4</v>
      </c>
      <c r="E335" s="2" t="s">
        <v>222</v>
      </c>
      <c r="F335" s="2" t="s">
        <v>172</v>
      </c>
    </row>
    <row r="336" spans="1:6" ht="21" customHeight="1" x14ac:dyDescent="0.25">
      <c r="A336" s="41" t="s">
        <v>248</v>
      </c>
      <c r="B336" s="15" t="s">
        <v>249</v>
      </c>
      <c r="C336" s="15"/>
      <c r="D336" s="15">
        <v>5</v>
      </c>
      <c r="E336" s="2" t="s">
        <v>222</v>
      </c>
      <c r="F336" s="2" t="s">
        <v>172</v>
      </c>
    </row>
    <row r="337" spans="1:6" ht="21" customHeight="1" x14ac:dyDescent="0.25">
      <c r="A337" s="41" t="s">
        <v>248</v>
      </c>
      <c r="B337" s="16" t="s">
        <v>250</v>
      </c>
      <c r="C337" s="16"/>
      <c r="D337" s="16">
        <v>1</v>
      </c>
      <c r="E337" s="2" t="s">
        <v>174</v>
      </c>
      <c r="F337" s="2" t="s">
        <v>175</v>
      </c>
    </row>
    <row r="338" spans="1:6" ht="21" customHeight="1" x14ac:dyDescent="0.25">
      <c r="A338" s="41" t="s">
        <v>248</v>
      </c>
      <c r="B338" s="16" t="s">
        <v>250</v>
      </c>
      <c r="C338" s="16"/>
      <c r="D338" s="16">
        <v>2</v>
      </c>
      <c r="E338" s="2" t="s">
        <v>174</v>
      </c>
      <c r="F338" s="2" t="s">
        <v>175</v>
      </c>
    </row>
    <row r="339" spans="1:6" ht="21" customHeight="1" x14ac:dyDescent="0.25">
      <c r="A339" s="41" t="s">
        <v>248</v>
      </c>
      <c r="B339" s="16" t="s">
        <v>250</v>
      </c>
      <c r="C339" s="16"/>
      <c r="D339" s="16">
        <v>3</v>
      </c>
      <c r="E339" s="2" t="s">
        <v>174</v>
      </c>
      <c r="F339" s="2" t="s">
        <v>175</v>
      </c>
    </row>
    <row r="340" spans="1:6" ht="21" customHeight="1" x14ac:dyDescent="0.25">
      <c r="A340" s="41" t="s">
        <v>248</v>
      </c>
      <c r="B340" s="16" t="s">
        <v>250</v>
      </c>
      <c r="C340" s="16"/>
      <c r="D340" s="16">
        <v>4</v>
      </c>
      <c r="E340" s="2" t="s">
        <v>174</v>
      </c>
      <c r="F340" s="2" t="s">
        <v>175</v>
      </c>
    </row>
    <row r="341" spans="1:6" ht="21" customHeight="1" x14ac:dyDescent="0.25">
      <c r="A341" s="41" t="s">
        <v>248</v>
      </c>
      <c r="B341" s="16" t="s">
        <v>250</v>
      </c>
      <c r="C341" s="16"/>
      <c r="D341" s="16">
        <v>5</v>
      </c>
      <c r="E341" s="2" t="s">
        <v>174</v>
      </c>
      <c r="F341" s="2" t="s">
        <v>175</v>
      </c>
    </row>
    <row r="342" spans="1:6" ht="21" customHeight="1" x14ac:dyDescent="0.25">
      <c r="A342" s="41" t="s">
        <v>248</v>
      </c>
      <c r="B342" s="15" t="s">
        <v>251</v>
      </c>
      <c r="C342" s="15"/>
      <c r="D342" s="15">
        <v>1</v>
      </c>
      <c r="E342" s="2" t="s">
        <v>174</v>
      </c>
      <c r="F342" s="2" t="s">
        <v>177</v>
      </c>
    </row>
    <row r="343" spans="1:6" ht="21" customHeight="1" x14ac:dyDescent="0.25">
      <c r="A343" s="41" t="s">
        <v>248</v>
      </c>
      <c r="B343" s="15" t="s">
        <v>251</v>
      </c>
      <c r="C343" s="15"/>
      <c r="D343" s="15">
        <v>2</v>
      </c>
      <c r="E343" s="2" t="s">
        <v>174</v>
      </c>
      <c r="F343" s="2" t="s">
        <v>177</v>
      </c>
    </row>
    <row r="344" spans="1:6" ht="21" customHeight="1" x14ac:dyDescent="0.25">
      <c r="A344" s="41" t="s">
        <v>248</v>
      </c>
      <c r="B344" s="15" t="s">
        <v>251</v>
      </c>
      <c r="C344" s="15"/>
      <c r="D344" s="15">
        <v>3</v>
      </c>
      <c r="E344" s="2" t="s">
        <v>174</v>
      </c>
      <c r="F344" s="2" t="s">
        <v>177</v>
      </c>
    </row>
    <row r="345" spans="1:6" ht="21" customHeight="1" x14ac:dyDescent="0.25">
      <c r="A345" s="41" t="s">
        <v>248</v>
      </c>
      <c r="B345" s="15" t="s">
        <v>251</v>
      </c>
      <c r="C345" s="15"/>
      <c r="D345" s="15">
        <v>4</v>
      </c>
      <c r="E345" s="2" t="s">
        <v>174</v>
      </c>
      <c r="F345" s="2" t="s">
        <v>177</v>
      </c>
    </row>
    <row r="346" spans="1:6" ht="21" customHeight="1" x14ac:dyDescent="0.25">
      <c r="A346" s="41" t="s">
        <v>248</v>
      </c>
      <c r="B346" s="15" t="s">
        <v>251</v>
      </c>
      <c r="C346" s="15"/>
      <c r="D346" s="15">
        <v>5</v>
      </c>
      <c r="E346" s="2" t="s">
        <v>174</v>
      </c>
      <c r="F346" s="2" t="s">
        <v>177</v>
      </c>
    </row>
    <row r="347" spans="1:6" ht="21" customHeight="1" x14ac:dyDescent="0.25">
      <c r="A347" s="41" t="s">
        <v>248</v>
      </c>
      <c r="B347" s="16" t="s">
        <v>252</v>
      </c>
      <c r="C347" s="16"/>
      <c r="D347" s="16">
        <v>1</v>
      </c>
      <c r="E347" s="2" t="s">
        <v>174</v>
      </c>
      <c r="F347" s="2" t="s">
        <v>179</v>
      </c>
    </row>
    <row r="348" spans="1:6" ht="21" customHeight="1" x14ac:dyDescent="0.25">
      <c r="A348" s="41" t="s">
        <v>248</v>
      </c>
      <c r="B348" s="16" t="s">
        <v>252</v>
      </c>
      <c r="C348" s="16"/>
      <c r="D348" s="16">
        <v>2</v>
      </c>
      <c r="E348" s="2" t="s">
        <v>174</v>
      </c>
      <c r="F348" s="2" t="s">
        <v>179</v>
      </c>
    </row>
    <row r="349" spans="1:6" ht="21" customHeight="1" x14ac:dyDescent="0.25">
      <c r="A349" s="41" t="s">
        <v>248</v>
      </c>
      <c r="B349" s="16" t="s">
        <v>252</v>
      </c>
      <c r="C349" s="16"/>
      <c r="D349" s="16">
        <v>3</v>
      </c>
      <c r="E349" s="2" t="s">
        <v>174</v>
      </c>
      <c r="F349" s="2" t="s">
        <v>179</v>
      </c>
    </row>
    <row r="350" spans="1:6" ht="21" customHeight="1" x14ac:dyDescent="0.25">
      <c r="A350" s="41" t="s">
        <v>248</v>
      </c>
      <c r="B350" s="16" t="s">
        <v>252</v>
      </c>
      <c r="C350" s="16"/>
      <c r="D350" s="16">
        <v>4</v>
      </c>
      <c r="E350" s="2" t="s">
        <v>174</v>
      </c>
      <c r="F350" s="2" t="s">
        <v>179</v>
      </c>
    </row>
    <row r="351" spans="1:6" ht="21" customHeight="1" x14ac:dyDescent="0.25">
      <c r="A351" s="41" t="s">
        <v>248</v>
      </c>
      <c r="B351" s="16" t="s">
        <v>252</v>
      </c>
      <c r="C351" s="16"/>
      <c r="D351" s="16">
        <v>5</v>
      </c>
      <c r="E351" s="2" t="s">
        <v>174</v>
      </c>
      <c r="F351" s="2" t="s">
        <v>179</v>
      </c>
    </row>
    <row r="352" spans="1:6" ht="21" customHeight="1" x14ac:dyDescent="0.25">
      <c r="A352" s="41" t="s">
        <v>248</v>
      </c>
      <c r="B352" s="16" t="s">
        <v>252</v>
      </c>
      <c r="C352" s="16"/>
      <c r="D352" s="16">
        <v>6</v>
      </c>
      <c r="E352" s="2" t="s">
        <v>174</v>
      </c>
      <c r="F352" s="2" t="s">
        <v>179</v>
      </c>
    </row>
    <row r="353" spans="1:6" ht="21" customHeight="1" x14ac:dyDescent="0.25">
      <c r="A353" s="41" t="s">
        <v>248</v>
      </c>
      <c r="B353" s="16" t="s">
        <v>252</v>
      </c>
      <c r="C353" s="16"/>
      <c r="D353" s="16">
        <v>7</v>
      </c>
      <c r="E353" s="2" t="s">
        <v>174</v>
      </c>
      <c r="F353" s="2" t="s">
        <v>179</v>
      </c>
    </row>
    <row r="354" spans="1:6" ht="21" customHeight="1" x14ac:dyDescent="0.25">
      <c r="A354" s="41" t="s">
        <v>248</v>
      </c>
      <c r="B354" s="16" t="s">
        <v>252</v>
      </c>
      <c r="C354" s="16"/>
      <c r="D354" s="16">
        <v>8</v>
      </c>
      <c r="E354" s="2" t="s">
        <v>174</v>
      </c>
      <c r="F354" s="2" t="s">
        <v>179</v>
      </c>
    </row>
    <row r="355" spans="1:6" ht="21" customHeight="1" x14ac:dyDescent="0.25">
      <c r="A355" s="42" t="s">
        <v>253</v>
      </c>
      <c r="B355" s="15" t="s">
        <v>254</v>
      </c>
      <c r="C355" s="15"/>
      <c r="D355" s="15">
        <v>1</v>
      </c>
      <c r="E355" s="2" t="s">
        <v>222</v>
      </c>
      <c r="F355" s="2" t="s">
        <v>172</v>
      </c>
    </row>
    <row r="356" spans="1:6" ht="21" customHeight="1" x14ac:dyDescent="0.25">
      <c r="A356" s="42" t="s">
        <v>253</v>
      </c>
      <c r="B356" s="15" t="s">
        <v>254</v>
      </c>
      <c r="C356" s="15"/>
      <c r="D356" s="15">
        <v>2</v>
      </c>
      <c r="E356" s="2" t="s">
        <v>222</v>
      </c>
      <c r="F356" s="2" t="s">
        <v>172</v>
      </c>
    </row>
    <row r="357" spans="1:6" ht="21" customHeight="1" x14ac:dyDescent="0.25">
      <c r="A357" s="42" t="s">
        <v>253</v>
      </c>
      <c r="B357" s="15" t="s">
        <v>254</v>
      </c>
      <c r="C357" s="15"/>
      <c r="D357" s="15">
        <v>3</v>
      </c>
      <c r="E357" s="2" t="s">
        <v>222</v>
      </c>
      <c r="F357" s="2" t="s">
        <v>172</v>
      </c>
    </row>
    <row r="358" spans="1:6" ht="21" customHeight="1" x14ac:dyDescent="0.25">
      <c r="A358" s="42" t="s">
        <v>253</v>
      </c>
      <c r="B358" s="15" t="s">
        <v>254</v>
      </c>
      <c r="C358" s="15"/>
      <c r="D358" s="15">
        <v>4</v>
      </c>
      <c r="E358" s="2" t="s">
        <v>222</v>
      </c>
      <c r="F358" s="2" t="s">
        <v>172</v>
      </c>
    </row>
    <row r="359" spans="1:6" ht="21" customHeight="1" x14ac:dyDescent="0.25">
      <c r="A359" s="42" t="s">
        <v>253</v>
      </c>
      <c r="B359" s="15" t="s">
        <v>254</v>
      </c>
      <c r="C359" s="15"/>
      <c r="D359" s="15">
        <v>5</v>
      </c>
      <c r="E359" s="2" t="s">
        <v>222</v>
      </c>
      <c r="F359" s="2" t="s">
        <v>172</v>
      </c>
    </row>
    <row r="360" spans="1:6" ht="21" customHeight="1" x14ac:dyDescent="0.25">
      <c r="A360" s="42" t="s">
        <v>253</v>
      </c>
      <c r="B360" s="16" t="s">
        <v>255</v>
      </c>
      <c r="C360" s="16"/>
      <c r="D360" s="16">
        <v>1</v>
      </c>
      <c r="E360" s="2" t="s">
        <v>174</v>
      </c>
      <c r="F360" s="2" t="s">
        <v>175</v>
      </c>
    </row>
    <row r="361" spans="1:6" ht="21" customHeight="1" x14ac:dyDescent="0.25">
      <c r="A361" s="42" t="s">
        <v>253</v>
      </c>
      <c r="B361" s="16" t="s">
        <v>255</v>
      </c>
      <c r="C361" s="16"/>
      <c r="D361" s="16">
        <v>2</v>
      </c>
      <c r="E361" s="2" t="s">
        <v>174</v>
      </c>
      <c r="F361" s="2" t="s">
        <v>175</v>
      </c>
    </row>
    <row r="362" spans="1:6" ht="21" customHeight="1" x14ac:dyDescent="0.25">
      <c r="A362" s="42" t="s">
        <v>253</v>
      </c>
      <c r="B362" s="16" t="s">
        <v>255</v>
      </c>
      <c r="C362" s="16"/>
      <c r="D362" s="16">
        <v>3</v>
      </c>
      <c r="E362" s="2" t="s">
        <v>174</v>
      </c>
      <c r="F362" s="2" t="s">
        <v>175</v>
      </c>
    </row>
    <row r="363" spans="1:6" ht="21" customHeight="1" x14ac:dyDescent="0.25">
      <c r="A363" s="42" t="s">
        <v>253</v>
      </c>
      <c r="B363" s="16" t="s">
        <v>255</v>
      </c>
      <c r="C363" s="16"/>
      <c r="D363" s="16">
        <v>4</v>
      </c>
      <c r="E363" s="2" t="s">
        <v>174</v>
      </c>
      <c r="F363" s="2" t="s">
        <v>175</v>
      </c>
    </row>
    <row r="364" spans="1:6" ht="21" customHeight="1" x14ac:dyDescent="0.25">
      <c r="A364" s="42" t="s">
        <v>253</v>
      </c>
      <c r="B364" s="16" t="s">
        <v>255</v>
      </c>
      <c r="C364" s="16"/>
      <c r="D364" s="16">
        <v>5</v>
      </c>
      <c r="E364" s="2" t="s">
        <v>174</v>
      </c>
      <c r="F364" s="2" t="s">
        <v>175</v>
      </c>
    </row>
    <row r="365" spans="1:6" ht="21" customHeight="1" x14ac:dyDescent="0.25">
      <c r="A365" s="42" t="s">
        <v>253</v>
      </c>
      <c r="B365" s="15" t="s">
        <v>256</v>
      </c>
      <c r="C365" s="15"/>
      <c r="D365" s="15">
        <v>1</v>
      </c>
      <c r="E365" s="2" t="s">
        <v>174</v>
      </c>
      <c r="F365" s="2" t="s">
        <v>177</v>
      </c>
    </row>
    <row r="366" spans="1:6" ht="21" customHeight="1" x14ac:dyDescent="0.25">
      <c r="A366" s="42" t="s">
        <v>253</v>
      </c>
      <c r="B366" s="15" t="s">
        <v>256</v>
      </c>
      <c r="C366" s="15"/>
      <c r="D366" s="15">
        <v>2</v>
      </c>
      <c r="E366" s="2" t="s">
        <v>174</v>
      </c>
      <c r="F366" s="2" t="s">
        <v>177</v>
      </c>
    </row>
    <row r="367" spans="1:6" ht="21" customHeight="1" x14ac:dyDescent="0.25">
      <c r="A367" s="42" t="s">
        <v>253</v>
      </c>
      <c r="B367" s="15" t="s">
        <v>256</v>
      </c>
      <c r="C367" s="15"/>
      <c r="D367" s="15">
        <v>3</v>
      </c>
      <c r="E367" s="2" t="s">
        <v>174</v>
      </c>
      <c r="F367" s="2" t="s">
        <v>177</v>
      </c>
    </row>
    <row r="368" spans="1:6" ht="21" customHeight="1" x14ac:dyDescent="0.25">
      <c r="A368" s="42" t="s">
        <v>253</v>
      </c>
      <c r="B368" s="15" t="s">
        <v>256</v>
      </c>
      <c r="C368" s="15"/>
      <c r="D368" s="15">
        <v>4</v>
      </c>
      <c r="E368" s="2" t="s">
        <v>174</v>
      </c>
      <c r="F368" s="2" t="s">
        <v>177</v>
      </c>
    </row>
    <row r="369" spans="1:6" ht="21" customHeight="1" x14ac:dyDescent="0.25">
      <c r="A369" s="42" t="s">
        <v>253</v>
      </c>
      <c r="B369" s="15" t="s">
        <v>256</v>
      </c>
      <c r="C369" s="15"/>
      <c r="D369" s="15">
        <v>5</v>
      </c>
      <c r="E369" s="2" t="s">
        <v>174</v>
      </c>
      <c r="F369" s="2" t="s">
        <v>177</v>
      </c>
    </row>
    <row r="370" spans="1:6" ht="21" customHeight="1" x14ac:dyDescent="0.25">
      <c r="A370" s="42" t="s">
        <v>253</v>
      </c>
      <c r="B370" s="16" t="s">
        <v>257</v>
      </c>
      <c r="C370" s="16"/>
      <c r="D370" s="16">
        <v>1</v>
      </c>
      <c r="E370" s="2" t="s">
        <v>174</v>
      </c>
      <c r="F370" s="2" t="s">
        <v>179</v>
      </c>
    </row>
    <row r="371" spans="1:6" ht="21" customHeight="1" x14ac:dyDescent="0.25">
      <c r="A371" s="42" t="s">
        <v>253</v>
      </c>
      <c r="B371" s="16" t="s">
        <v>257</v>
      </c>
      <c r="C371" s="16"/>
      <c r="D371" s="16">
        <v>2</v>
      </c>
      <c r="E371" s="2" t="s">
        <v>174</v>
      </c>
      <c r="F371" s="2" t="s">
        <v>179</v>
      </c>
    </row>
    <row r="372" spans="1:6" ht="21" customHeight="1" x14ac:dyDescent="0.25">
      <c r="A372" s="42" t="s">
        <v>253</v>
      </c>
      <c r="B372" s="16" t="s">
        <v>257</v>
      </c>
      <c r="C372" s="16"/>
      <c r="D372" s="16">
        <v>3</v>
      </c>
      <c r="E372" s="2" t="s">
        <v>174</v>
      </c>
      <c r="F372" s="2" t="s">
        <v>179</v>
      </c>
    </row>
    <row r="373" spans="1:6" ht="21" customHeight="1" x14ac:dyDescent="0.25">
      <c r="A373" s="42" t="s">
        <v>253</v>
      </c>
      <c r="B373" s="16" t="s">
        <v>257</v>
      </c>
      <c r="C373" s="16"/>
      <c r="D373" s="16">
        <v>4</v>
      </c>
      <c r="E373" s="2" t="s">
        <v>174</v>
      </c>
      <c r="F373" s="2" t="s">
        <v>179</v>
      </c>
    </row>
    <row r="374" spans="1:6" ht="21" customHeight="1" x14ac:dyDescent="0.25">
      <c r="A374" s="42" t="s">
        <v>253</v>
      </c>
      <c r="B374" s="16" t="s">
        <v>257</v>
      </c>
      <c r="C374" s="16"/>
      <c r="D374" s="16">
        <v>5</v>
      </c>
      <c r="E374" s="2" t="s">
        <v>174</v>
      </c>
      <c r="F374" s="2" t="s">
        <v>179</v>
      </c>
    </row>
    <row r="375" spans="1:6" ht="21" customHeight="1" x14ac:dyDescent="0.25">
      <c r="A375" s="42" t="s">
        <v>253</v>
      </c>
      <c r="B375" s="16" t="s">
        <v>257</v>
      </c>
      <c r="C375" s="16"/>
      <c r="D375" s="16">
        <v>6</v>
      </c>
      <c r="E375" s="2" t="s">
        <v>174</v>
      </c>
      <c r="F375" s="2" t="s">
        <v>179</v>
      </c>
    </row>
    <row r="376" spans="1:6" ht="21" customHeight="1" x14ac:dyDescent="0.25">
      <c r="A376" s="42" t="s">
        <v>253</v>
      </c>
      <c r="B376" s="16" t="s">
        <v>257</v>
      </c>
      <c r="C376" s="16"/>
      <c r="D376" s="16">
        <v>7</v>
      </c>
      <c r="E376" s="2" t="s">
        <v>174</v>
      </c>
      <c r="F376" s="2" t="s">
        <v>179</v>
      </c>
    </row>
    <row r="377" spans="1:6" ht="21" customHeight="1" x14ac:dyDescent="0.25">
      <c r="A377" s="42" t="s">
        <v>253</v>
      </c>
      <c r="B377" s="16" t="s">
        <v>257</v>
      </c>
      <c r="C377" s="16"/>
      <c r="D377" s="16">
        <v>8</v>
      </c>
      <c r="E377" s="2" t="s">
        <v>174</v>
      </c>
      <c r="F377" s="2" t="s">
        <v>179</v>
      </c>
    </row>
    <row r="378" spans="1:6" ht="21" customHeight="1" x14ac:dyDescent="0.25">
      <c r="A378" s="41" t="s">
        <v>258</v>
      </c>
      <c r="B378" s="15" t="s">
        <v>259</v>
      </c>
      <c r="C378" s="15"/>
      <c r="D378" s="15">
        <v>1</v>
      </c>
      <c r="E378" s="2" t="s">
        <v>222</v>
      </c>
      <c r="F378" s="2" t="s">
        <v>172</v>
      </c>
    </row>
    <row r="379" spans="1:6" ht="21" customHeight="1" x14ac:dyDescent="0.25">
      <c r="A379" s="41" t="s">
        <v>258</v>
      </c>
      <c r="B379" s="15" t="s">
        <v>259</v>
      </c>
      <c r="C379" s="15"/>
      <c r="D379" s="15">
        <v>2</v>
      </c>
      <c r="E379" s="2" t="s">
        <v>222</v>
      </c>
      <c r="F379" s="2" t="s">
        <v>172</v>
      </c>
    </row>
    <row r="380" spans="1:6" ht="21" customHeight="1" x14ac:dyDescent="0.25">
      <c r="A380" s="41" t="s">
        <v>258</v>
      </c>
      <c r="B380" s="15" t="s">
        <v>259</v>
      </c>
      <c r="C380" s="15"/>
      <c r="D380" s="15">
        <v>3</v>
      </c>
      <c r="E380" s="2" t="s">
        <v>222</v>
      </c>
      <c r="F380" s="2" t="s">
        <v>172</v>
      </c>
    </row>
    <row r="381" spans="1:6" ht="21" customHeight="1" x14ac:dyDescent="0.25">
      <c r="A381" s="41" t="s">
        <v>258</v>
      </c>
      <c r="B381" s="15" t="s">
        <v>259</v>
      </c>
      <c r="C381" s="15"/>
      <c r="D381" s="15">
        <v>4</v>
      </c>
      <c r="E381" s="2" t="s">
        <v>222</v>
      </c>
      <c r="F381" s="2" t="s">
        <v>172</v>
      </c>
    </row>
    <row r="382" spans="1:6" ht="21" customHeight="1" x14ac:dyDescent="0.25">
      <c r="A382" s="41" t="s">
        <v>258</v>
      </c>
      <c r="B382" s="15" t="s">
        <v>259</v>
      </c>
      <c r="C382" s="15"/>
      <c r="D382" s="15">
        <v>5</v>
      </c>
      <c r="E382" s="2" t="s">
        <v>222</v>
      </c>
      <c r="F382" s="2" t="s">
        <v>172</v>
      </c>
    </row>
    <row r="383" spans="1:6" ht="21" customHeight="1" x14ac:dyDescent="0.25">
      <c r="A383" s="41" t="s">
        <v>258</v>
      </c>
      <c r="B383" s="16" t="s">
        <v>260</v>
      </c>
      <c r="C383" s="16"/>
      <c r="D383" s="16">
        <v>1</v>
      </c>
      <c r="E383" s="2" t="s">
        <v>174</v>
      </c>
      <c r="F383" s="2" t="s">
        <v>175</v>
      </c>
    </row>
    <row r="384" spans="1:6" ht="21" customHeight="1" x14ac:dyDescent="0.25">
      <c r="A384" s="41" t="s">
        <v>258</v>
      </c>
      <c r="B384" s="16" t="s">
        <v>260</v>
      </c>
      <c r="C384" s="16"/>
      <c r="D384" s="16">
        <v>2</v>
      </c>
      <c r="E384" s="2" t="s">
        <v>174</v>
      </c>
      <c r="F384" s="2" t="s">
        <v>175</v>
      </c>
    </row>
    <row r="385" spans="1:6" ht="21" customHeight="1" x14ac:dyDescent="0.25">
      <c r="A385" s="41" t="s">
        <v>258</v>
      </c>
      <c r="B385" s="16" t="s">
        <v>260</v>
      </c>
      <c r="C385" s="16"/>
      <c r="D385" s="16">
        <v>3</v>
      </c>
      <c r="E385" s="2" t="s">
        <v>174</v>
      </c>
      <c r="F385" s="2" t="s">
        <v>175</v>
      </c>
    </row>
    <row r="386" spans="1:6" ht="21" customHeight="1" x14ac:dyDescent="0.25">
      <c r="A386" s="41" t="s">
        <v>258</v>
      </c>
      <c r="B386" s="16" t="s">
        <v>260</v>
      </c>
      <c r="C386" s="16"/>
      <c r="D386" s="16">
        <v>4</v>
      </c>
      <c r="E386" s="2" t="s">
        <v>174</v>
      </c>
      <c r="F386" s="2" t="s">
        <v>175</v>
      </c>
    </row>
    <row r="387" spans="1:6" ht="21" customHeight="1" x14ac:dyDescent="0.25">
      <c r="A387" s="41" t="s">
        <v>258</v>
      </c>
      <c r="B387" s="16" t="s">
        <v>260</v>
      </c>
      <c r="C387" s="16"/>
      <c r="D387" s="16">
        <v>5</v>
      </c>
      <c r="E387" s="2" t="s">
        <v>174</v>
      </c>
      <c r="F387" s="2" t="s">
        <v>175</v>
      </c>
    </row>
    <row r="388" spans="1:6" ht="21" customHeight="1" x14ac:dyDescent="0.25">
      <c r="A388" s="41" t="s">
        <v>258</v>
      </c>
      <c r="B388" s="15" t="s">
        <v>261</v>
      </c>
      <c r="C388" s="15"/>
      <c r="D388" s="15">
        <v>1</v>
      </c>
      <c r="E388" s="2" t="s">
        <v>174</v>
      </c>
      <c r="F388" s="2" t="s">
        <v>177</v>
      </c>
    </row>
    <row r="389" spans="1:6" ht="21" customHeight="1" x14ac:dyDescent="0.25">
      <c r="A389" s="41" t="s">
        <v>258</v>
      </c>
      <c r="B389" s="15" t="s">
        <v>261</v>
      </c>
      <c r="C389" s="15"/>
      <c r="D389" s="15">
        <v>2</v>
      </c>
      <c r="E389" s="2" t="s">
        <v>174</v>
      </c>
      <c r="F389" s="2" t="s">
        <v>177</v>
      </c>
    </row>
    <row r="390" spans="1:6" ht="21" customHeight="1" x14ac:dyDescent="0.25">
      <c r="A390" s="41" t="s">
        <v>258</v>
      </c>
      <c r="B390" s="15" t="s">
        <v>261</v>
      </c>
      <c r="C390" s="15"/>
      <c r="D390" s="15">
        <v>3</v>
      </c>
      <c r="E390" s="2" t="s">
        <v>174</v>
      </c>
      <c r="F390" s="2" t="s">
        <v>177</v>
      </c>
    </row>
    <row r="391" spans="1:6" ht="21" customHeight="1" x14ac:dyDescent="0.25">
      <c r="A391" s="41" t="s">
        <v>258</v>
      </c>
      <c r="B391" s="15" t="s">
        <v>261</v>
      </c>
      <c r="C391" s="15"/>
      <c r="D391" s="15">
        <v>4</v>
      </c>
      <c r="E391" s="2" t="s">
        <v>174</v>
      </c>
      <c r="F391" s="2" t="s">
        <v>177</v>
      </c>
    </row>
    <row r="392" spans="1:6" ht="21" customHeight="1" x14ac:dyDescent="0.25">
      <c r="A392" s="41" t="s">
        <v>258</v>
      </c>
      <c r="B392" s="15" t="s">
        <v>261</v>
      </c>
      <c r="C392" s="15"/>
      <c r="D392" s="15">
        <v>5</v>
      </c>
      <c r="E392" s="2" t="s">
        <v>174</v>
      </c>
      <c r="F392" s="2" t="s">
        <v>177</v>
      </c>
    </row>
    <row r="393" spans="1:6" ht="21" customHeight="1" x14ac:dyDescent="0.25">
      <c r="A393" s="41" t="s">
        <v>258</v>
      </c>
      <c r="B393" s="16" t="s">
        <v>262</v>
      </c>
      <c r="C393" s="16"/>
      <c r="D393" s="16">
        <v>1</v>
      </c>
      <c r="E393" s="2" t="s">
        <v>174</v>
      </c>
      <c r="F393" s="2" t="s">
        <v>179</v>
      </c>
    </row>
    <row r="394" spans="1:6" ht="21" customHeight="1" x14ac:dyDescent="0.25">
      <c r="A394" s="41" t="s">
        <v>258</v>
      </c>
      <c r="B394" s="16" t="s">
        <v>262</v>
      </c>
      <c r="C394" s="16"/>
      <c r="D394" s="16">
        <v>2</v>
      </c>
      <c r="E394" s="2" t="s">
        <v>174</v>
      </c>
      <c r="F394" s="2" t="s">
        <v>179</v>
      </c>
    </row>
    <row r="395" spans="1:6" ht="21" customHeight="1" x14ac:dyDescent="0.25">
      <c r="A395" s="41" t="s">
        <v>258</v>
      </c>
      <c r="B395" s="16" t="s">
        <v>262</v>
      </c>
      <c r="C395" s="16"/>
      <c r="D395" s="16">
        <v>3</v>
      </c>
      <c r="E395" s="2" t="s">
        <v>174</v>
      </c>
      <c r="F395" s="2" t="s">
        <v>179</v>
      </c>
    </row>
    <row r="396" spans="1:6" ht="21" customHeight="1" x14ac:dyDescent="0.25">
      <c r="A396" s="41" t="s">
        <v>258</v>
      </c>
      <c r="B396" s="16" t="s">
        <v>262</v>
      </c>
      <c r="C396" s="16"/>
      <c r="D396" s="16">
        <v>4</v>
      </c>
      <c r="E396" s="2" t="s">
        <v>174</v>
      </c>
      <c r="F396" s="2" t="s">
        <v>179</v>
      </c>
    </row>
    <row r="397" spans="1:6" ht="21" customHeight="1" x14ac:dyDescent="0.25">
      <c r="A397" s="41" t="s">
        <v>258</v>
      </c>
      <c r="B397" s="16" t="s">
        <v>262</v>
      </c>
      <c r="C397" s="16"/>
      <c r="D397" s="16">
        <v>5</v>
      </c>
      <c r="E397" s="2" t="s">
        <v>174</v>
      </c>
      <c r="F397" s="2" t="s">
        <v>179</v>
      </c>
    </row>
    <row r="398" spans="1:6" ht="21" customHeight="1" x14ac:dyDescent="0.25">
      <c r="A398" s="41" t="s">
        <v>258</v>
      </c>
      <c r="B398" s="16" t="s">
        <v>262</v>
      </c>
      <c r="C398" s="16"/>
      <c r="D398" s="16">
        <v>6</v>
      </c>
      <c r="E398" s="2" t="s">
        <v>174</v>
      </c>
      <c r="F398" s="2" t="s">
        <v>179</v>
      </c>
    </row>
    <row r="399" spans="1:6" ht="21" customHeight="1" x14ac:dyDescent="0.25">
      <c r="A399" s="41" t="s">
        <v>258</v>
      </c>
      <c r="B399" s="16" t="s">
        <v>262</v>
      </c>
      <c r="C399" s="16"/>
      <c r="D399" s="16">
        <v>7</v>
      </c>
      <c r="E399" s="2" t="s">
        <v>174</v>
      </c>
      <c r="F399" s="2" t="s">
        <v>179</v>
      </c>
    </row>
    <row r="400" spans="1:6" ht="21" customHeight="1" x14ac:dyDescent="0.25">
      <c r="A400" s="41" t="s">
        <v>258</v>
      </c>
      <c r="B400" s="16" t="s">
        <v>262</v>
      </c>
      <c r="C400" s="16"/>
      <c r="D400" s="16">
        <v>8</v>
      </c>
      <c r="E400" s="2" t="s">
        <v>174</v>
      </c>
      <c r="F400" s="2" t="s">
        <v>179</v>
      </c>
    </row>
    <row r="401" spans="1:6" ht="21" customHeight="1" x14ac:dyDescent="0.25">
      <c r="A401" s="42" t="s">
        <v>263</v>
      </c>
      <c r="B401" s="15" t="s">
        <v>264</v>
      </c>
      <c r="C401" s="15"/>
      <c r="D401" s="15">
        <v>1</v>
      </c>
      <c r="E401" s="2" t="s">
        <v>222</v>
      </c>
      <c r="F401" s="2" t="s">
        <v>172</v>
      </c>
    </row>
    <row r="402" spans="1:6" ht="21" customHeight="1" x14ac:dyDescent="0.25">
      <c r="A402" s="42" t="s">
        <v>263</v>
      </c>
      <c r="B402" s="15" t="s">
        <v>264</v>
      </c>
      <c r="C402" s="15"/>
      <c r="D402" s="15">
        <v>2</v>
      </c>
      <c r="E402" s="2" t="s">
        <v>222</v>
      </c>
      <c r="F402" s="2" t="s">
        <v>172</v>
      </c>
    </row>
    <row r="403" spans="1:6" ht="21" customHeight="1" x14ac:dyDescent="0.25">
      <c r="A403" s="42" t="s">
        <v>263</v>
      </c>
      <c r="B403" s="15" t="s">
        <v>264</v>
      </c>
      <c r="C403" s="15"/>
      <c r="D403" s="15">
        <v>3</v>
      </c>
      <c r="E403" s="2" t="s">
        <v>222</v>
      </c>
      <c r="F403" s="2" t="s">
        <v>172</v>
      </c>
    </row>
    <row r="404" spans="1:6" ht="21" customHeight="1" x14ac:dyDescent="0.25">
      <c r="A404" s="42" t="s">
        <v>263</v>
      </c>
      <c r="B404" s="15" t="s">
        <v>264</v>
      </c>
      <c r="C404" s="15"/>
      <c r="D404" s="15">
        <v>4</v>
      </c>
      <c r="E404" s="2" t="s">
        <v>222</v>
      </c>
      <c r="F404" s="2" t="s">
        <v>172</v>
      </c>
    </row>
    <row r="405" spans="1:6" ht="21" customHeight="1" x14ac:dyDescent="0.25">
      <c r="A405" s="42" t="s">
        <v>263</v>
      </c>
      <c r="B405" s="15" t="s">
        <v>264</v>
      </c>
      <c r="C405" s="15"/>
      <c r="D405" s="15">
        <v>5</v>
      </c>
      <c r="E405" s="2" t="s">
        <v>222</v>
      </c>
      <c r="F405" s="2" t="s">
        <v>172</v>
      </c>
    </row>
    <row r="406" spans="1:6" ht="21" customHeight="1" x14ac:dyDescent="0.25">
      <c r="A406" s="42" t="s">
        <v>263</v>
      </c>
      <c r="B406" s="16" t="s">
        <v>265</v>
      </c>
      <c r="C406" s="16"/>
      <c r="D406" s="16">
        <v>1</v>
      </c>
      <c r="E406" s="2" t="s">
        <v>174</v>
      </c>
      <c r="F406" s="2" t="s">
        <v>175</v>
      </c>
    </row>
    <row r="407" spans="1:6" ht="21" customHeight="1" x14ac:dyDescent="0.25">
      <c r="A407" s="42" t="s">
        <v>263</v>
      </c>
      <c r="B407" s="16" t="s">
        <v>265</v>
      </c>
      <c r="C407" s="16"/>
      <c r="D407" s="16">
        <v>2</v>
      </c>
      <c r="E407" s="2" t="s">
        <v>174</v>
      </c>
      <c r="F407" s="2" t="s">
        <v>175</v>
      </c>
    </row>
    <row r="408" spans="1:6" ht="21" customHeight="1" x14ac:dyDescent="0.25">
      <c r="A408" s="42" t="s">
        <v>263</v>
      </c>
      <c r="B408" s="16" t="s">
        <v>265</v>
      </c>
      <c r="C408" s="16"/>
      <c r="D408" s="16">
        <v>3</v>
      </c>
      <c r="E408" s="2" t="s">
        <v>174</v>
      </c>
      <c r="F408" s="2" t="s">
        <v>175</v>
      </c>
    </row>
    <row r="409" spans="1:6" ht="21" customHeight="1" x14ac:dyDescent="0.25">
      <c r="A409" s="42" t="s">
        <v>263</v>
      </c>
      <c r="B409" s="16" t="s">
        <v>265</v>
      </c>
      <c r="C409" s="16"/>
      <c r="D409" s="16">
        <v>4</v>
      </c>
      <c r="E409" s="2" t="s">
        <v>174</v>
      </c>
      <c r="F409" s="2" t="s">
        <v>175</v>
      </c>
    </row>
    <row r="410" spans="1:6" ht="21" customHeight="1" x14ac:dyDescent="0.25">
      <c r="A410" s="42" t="s">
        <v>263</v>
      </c>
      <c r="B410" s="16" t="s">
        <v>265</v>
      </c>
      <c r="C410" s="16"/>
      <c r="D410" s="16">
        <v>5</v>
      </c>
      <c r="E410" s="2" t="s">
        <v>174</v>
      </c>
      <c r="F410" s="2" t="s">
        <v>175</v>
      </c>
    </row>
    <row r="411" spans="1:6" ht="21" customHeight="1" x14ac:dyDescent="0.25">
      <c r="A411" s="42" t="s">
        <v>263</v>
      </c>
      <c r="B411" s="15" t="s">
        <v>266</v>
      </c>
      <c r="C411" s="15"/>
      <c r="D411" s="15">
        <v>1</v>
      </c>
      <c r="E411" s="2" t="s">
        <v>174</v>
      </c>
      <c r="F411" s="2" t="s">
        <v>177</v>
      </c>
    </row>
    <row r="412" spans="1:6" ht="21" customHeight="1" x14ac:dyDescent="0.25">
      <c r="A412" s="42" t="s">
        <v>263</v>
      </c>
      <c r="B412" s="15" t="s">
        <v>266</v>
      </c>
      <c r="C412" s="15"/>
      <c r="D412" s="15">
        <v>2</v>
      </c>
      <c r="E412" s="2" t="s">
        <v>174</v>
      </c>
      <c r="F412" s="2" t="s">
        <v>177</v>
      </c>
    </row>
    <row r="413" spans="1:6" ht="21" customHeight="1" x14ac:dyDescent="0.25">
      <c r="A413" s="42" t="s">
        <v>263</v>
      </c>
      <c r="B413" s="15" t="s">
        <v>266</v>
      </c>
      <c r="C413" s="15"/>
      <c r="D413" s="15">
        <v>3</v>
      </c>
      <c r="E413" s="2" t="s">
        <v>174</v>
      </c>
      <c r="F413" s="2" t="s">
        <v>177</v>
      </c>
    </row>
    <row r="414" spans="1:6" ht="21" customHeight="1" x14ac:dyDescent="0.25">
      <c r="A414" s="42" t="s">
        <v>263</v>
      </c>
      <c r="B414" s="15" t="s">
        <v>266</v>
      </c>
      <c r="C414" s="15"/>
      <c r="D414" s="15">
        <v>4</v>
      </c>
      <c r="E414" s="2" t="s">
        <v>174</v>
      </c>
      <c r="F414" s="2" t="s">
        <v>177</v>
      </c>
    </row>
    <row r="415" spans="1:6" ht="21" customHeight="1" x14ac:dyDescent="0.25">
      <c r="A415" s="42" t="s">
        <v>263</v>
      </c>
      <c r="B415" s="15" t="s">
        <v>266</v>
      </c>
      <c r="C415" s="15"/>
      <c r="D415" s="15">
        <v>5</v>
      </c>
      <c r="E415" s="2" t="s">
        <v>174</v>
      </c>
      <c r="F415" s="2" t="s">
        <v>177</v>
      </c>
    </row>
    <row r="416" spans="1:6" ht="21" customHeight="1" x14ac:dyDescent="0.25">
      <c r="A416" s="42" t="s">
        <v>263</v>
      </c>
      <c r="B416" s="16" t="s">
        <v>267</v>
      </c>
      <c r="C416" s="16"/>
      <c r="D416" s="16">
        <v>1</v>
      </c>
      <c r="E416" s="2" t="s">
        <v>174</v>
      </c>
      <c r="F416" s="2" t="s">
        <v>179</v>
      </c>
    </row>
    <row r="417" spans="1:6" ht="21" customHeight="1" x14ac:dyDescent="0.25">
      <c r="A417" s="42" t="s">
        <v>263</v>
      </c>
      <c r="B417" s="16" t="s">
        <v>267</v>
      </c>
      <c r="C417" s="16"/>
      <c r="D417" s="16">
        <v>2</v>
      </c>
      <c r="E417" s="2" t="s">
        <v>174</v>
      </c>
      <c r="F417" s="2" t="s">
        <v>179</v>
      </c>
    </row>
    <row r="418" spans="1:6" ht="21" customHeight="1" x14ac:dyDescent="0.25">
      <c r="A418" s="42" t="s">
        <v>263</v>
      </c>
      <c r="B418" s="16" t="s">
        <v>267</v>
      </c>
      <c r="C418" s="16"/>
      <c r="D418" s="16">
        <v>3</v>
      </c>
      <c r="E418" s="2" t="s">
        <v>174</v>
      </c>
      <c r="F418" s="2" t="s">
        <v>179</v>
      </c>
    </row>
    <row r="419" spans="1:6" ht="21" customHeight="1" x14ac:dyDescent="0.25">
      <c r="A419" s="42" t="s">
        <v>263</v>
      </c>
      <c r="B419" s="16" t="s">
        <v>267</v>
      </c>
      <c r="C419" s="16"/>
      <c r="D419" s="16">
        <v>4</v>
      </c>
      <c r="E419" s="2" t="s">
        <v>174</v>
      </c>
      <c r="F419" s="2" t="s">
        <v>179</v>
      </c>
    </row>
    <row r="420" spans="1:6" ht="21" customHeight="1" x14ac:dyDescent="0.25">
      <c r="A420" s="42" t="s">
        <v>263</v>
      </c>
      <c r="B420" s="16" t="s">
        <v>267</v>
      </c>
      <c r="C420" s="16"/>
      <c r="D420" s="16">
        <v>5</v>
      </c>
      <c r="E420" s="2" t="s">
        <v>174</v>
      </c>
      <c r="F420" s="2" t="s">
        <v>179</v>
      </c>
    </row>
    <row r="421" spans="1:6" ht="21" customHeight="1" x14ac:dyDescent="0.25">
      <c r="A421" s="42" t="s">
        <v>263</v>
      </c>
      <c r="B421" s="16" t="s">
        <v>267</v>
      </c>
      <c r="C421" s="16"/>
      <c r="D421" s="16">
        <v>6</v>
      </c>
      <c r="E421" s="2" t="s">
        <v>174</v>
      </c>
      <c r="F421" s="2" t="s">
        <v>179</v>
      </c>
    </row>
    <row r="422" spans="1:6" ht="21" customHeight="1" x14ac:dyDescent="0.25">
      <c r="A422" s="42" t="s">
        <v>263</v>
      </c>
      <c r="B422" s="16" t="s">
        <v>267</v>
      </c>
      <c r="C422" s="16"/>
      <c r="D422" s="16">
        <v>7</v>
      </c>
      <c r="E422" s="2" t="s">
        <v>174</v>
      </c>
      <c r="F422" s="2" t="s">
        <v>179</v>
      </c>
    </row>
    <row r="423" spans="1:6" ht="21" customHeight="1" x14ac:dyDescent="0.25">
      <c r="A423" s="42" t="s">
        <v>263</v>
      </c>
      <c r="B423" s="16" t="s">
        <v>267</v>
      </c>
      <c r="C423" s="16"/>
      <c r="D423" s="16">
        <v>8</v>
      </c>
      <c r="E423" s="2" t="s">
        <v>174</v>
      </c>
      <c r="F423" s="2" t="s">
        <v>179</v>
      </c>
    </row>
    <row r="424" spans="1:6" ht="21" customHeight="1" x14ac:dyDescent="0.25">
      <c r="A424" s="41" t="s">
        <v>268</v>
      </c>
      <c r="B424" s="15" t="s">
        <v>269</v>
      </c>
      <c r="C424" s="15"/>
      <c r="D424" s="15">
        <v>1</v>
      </c>
      <c r="E424" s="2" t="s">
        <v>222</v>
      </c>
      <c r="F424" s="2" t="s">
        <v>172</v>
      </c>
    </row>
    <row r="425" spans="1:6" ht="21" customHeight="1" x14ac:dyDescent="0.25">
      <c r="A425" s="41" t="s">
        <v>268</v>
      </c>
      <c r="B425" s="15" t="s">
        <v>269</v>
      </c>
      <c r="C425" s="15"/>
      <c r="D425" s="15">
        <v>2</v>
      </c>
      <c r="E425" s="2" t="s">
        <v>222</v>
      </c>
      <c r="F425" s="2" t="s">
        <v>172</v>
      </c>
    </row>
    <row r="426" spans="1:6" ht="21" customHeight="1" x14ac:dyDescent="0.25">
      <c r="A426" s="41" t="s">
        <v>268</v>
      </c>
      <c r="B426" s="15" t="s">
        <v>269</v>
      </c>
      <c r="C426" s="15"/>
      <c r="D426" s="15">
        <v>3</v>
      </c>
      <c r="E426" s="2" t="s">
        <v>222</v>
      </c>
      <c r="F426" s="2" t="s">
        <v>172</v>
      </c>
    </row>
    <row r="427" spans="1:6" ht="21" customHeight="1" x14ac:dyDescent="0.25">
      <c r="A427" s="41" t="s">
        <v>268</v>
      </c>
      <c r="B427" s="15" t="s">
        <v>269</v>
      </c>
      <c r="C427" s="15"/>
      <c r="D427" s="15">
        <v>4</v>
      </c>
      <c r="E427" s="2" t="s">
        <v>222</v>
      </c>
      <c r="F427" s="2" t="s">
        <v>172</v>
      </c>
    </row>
    <row r="428" spans="1:6" ht="21" customHeight="1" x14ac:dyDescent="0.25">
      <c r="A428" s="41" t="s">
        <v>268</v>
      </c>
      <c r="B428" s="15" t="s">
        <v>269</v>
      </c>
      <c r="C428" s="15"/>
      <c r="D428" s="15">
        <v>5</v>
      </c>
      <c r="E428" s="2" t="s">
        <v>222</v>
      </c>
      <c r="F428" s="2" t="s">
        <v>172</v>
      </c>
    </row>
    <row r="429" spans="1:6" ht="21" customHeight="1" x14ac:dyDescent="0.25">
      <c r="A429" s="41" t="s">
        <v>268</v>
      </c>
      <c r="B429" s="16" t="s">
        <v>270</v>
      </c>
      <c r="C429" s="16"/>
      <c r="D429" s="16">
        <v>1</v>
      </c>
      <c r="E429" s="2" t="s">
        <v>222</v>
      </c>
      <c r="F429" s="2" t="s">
        <v>193</v>
      </c>
    </row>
    <row r="430" spans="1:6" ht="21" customHeight="1" x14ac:dyDescent="0.25">
      <c r="A430" s="41" t="s">
        <v>268</v>
      </c>
      <c r="B430" s="16" t="s">
        <v>270</v>
      </c>
      <c r="C430" s="16"/>
      <c r="D430" s="16">
        <v>2</v>
      </c>
      <c r="E430" s="2" t="s">
        <v>222</v>
      </c>
      <c r="F430" s="2" t="s">
        <v>193</v>
      </c>
    </row>
    <row r="431" spans="1:6" ht="21" customHeight="1" x14ac:dyDescent="0.25">
      <c r="A431" s="41" t="s">
        <v>268</v>
      </c>
      <c r="B431" s="16" t="s">
        <v>270</v>
      </c>
      <c r="C431" s="16"/>
      <c r="D431" s="16">
        <v>3</v>
      </c>
      <c r="E431" s="2" t="s">
        <v>222</v>
      </c>
      <c r="F431" s="2" t="s">
        <v>193</v>
      </c>
    </row>
    <row r="432" spans="1:6" ht="21" customHeight="1" x14ac:dyDescent="0.25">
      <c r="A432" s="41" t="s">
        <v>268</v>
      </c>
      <c r="B432" s="16" t="s">
        <v>270</v>
      </c>
      <c r="C432" s="16"/>
      <c r="D432" s="16">
        <v>4</v>
      </c>
      <c r="E432" s="2" t="s">
        <v>222</v>
      </c>
      <c r="F432" s="2" t="s">
        <v>193</v>
      </c>
    </row>
    <row r="433" spans="1:6" ht="21" customHeight="1" x14ac:dyDescent="0.25">
      <c r="A433" s="41" t="s">
        <v>268</v>
      </c>
      <c r="B433" s="16" t="s">
        <v>270</v>
      </c>
      <c r="C433" s="16"/>
      <c r="D433" s="16">
        <v>5</v>
      </c>
      <c r="E433" s="2" t="s">
        <v>222</v>
      </c>
      <c r="F433" s="2" t="s">
        <v>193</v>
      </c>
    </row>
    <row r="434" spans="1:6" ht="21" customHeight="1" x14ac:dyDescent="0.25">
      <c r="A434" s="41" t="s">
        <v>268</v>
      </c>
      <c r="B434" s="15" t="s">
        <v>271</v>
      </c>
      <c r="C434" s="15"/>
      <c r="D434" s="15">
        <v>1</v>
      </c>
      <c r="E434" s="2" t="s">
        <v>174</v>
      </c>
      <c r="F434" s="2" t="s">
        <v>175</v>
      </c>
    </row>
    <row r="435" spans="1:6" ht="21" customHeight="1" x14ac:dyDescent="0.25">
      <c r="A435" s="41" t="s">
        <v>268</v>
      </c>
      <c r="B435" s="15" t="s">
        <v>271</v>
      </c>
      <c r="C435" s="15"/>
      <c r="D435" s="15">
        <v>2</v>
      </c>
      <c r="E435" s="2" t="s">
        <v>174</v>
      </c>
      <c r="F435" s="2" t="s">
        <v>175</v>
      </c>
    </row>
    <row r="436" spans="1:6" ht="21" customHeight="1" x14ac:dyDescent="0.25">
      <c r="A436" s="41" t="s">
        <v>268</v>
      </c>
      <c r="B436" s="15" t="s">
        <v>271</v>
      </c>
      <c r="C436" s="15"/>
      <c r="D436" s="15">
        <v>3</v>
      </c>
      <c r="E436" s="2" t="s">
        <v>174</v>
      </c>
      <c r="F436" s="2" t="s">
        <v>175</v>
      </c>
    </row>
    <row r="437" spans="1:6" ht="21" customHeight="1" x14ac:dyDescent="0.25">
      <c r="A437" s="41" t="s">
        <v>268</v>
      </c>
      <c r="B437" s="15" t="s">
        <v>271</v>
      </c>
      <c r="C437" s="15"/>
      <c r="D437" s="15">
        <v>4</v>
      </c>
      <c r="E437" s="2" t="s">
        <v>174</v>
      </c>
      <c r="F437" s="2" t="s">
        <v>175</v>
      </c>
    </row>
    <row r="438" spans="1:6" ht="21" customHeight="1" x14ac:dyDescent="0.25">
      <c r="A438" s="41" t="s">
        <v>268</v>
      </c>
      <c r="B438" s="15" t="s">
        <v>271</v>
      </c>
      <c r="C438" s="15"/>
      <c r="D438" s="15">
        <v>5</v>
      </c>
      <c r="E438" s="2" t="s">
        <v>174</v>
      </c>
      <c r="F438" s="2" t="s">
        <v>175</v>
      </c>
    </row>
    <row r="439" spans="1:6" ht="21" customHeight="1" x14ac:dyDescent="0.25">
      <c r="A439" s="41" t="s">
        <v>268</v>
      </c>
      <c r="B439" s="16" t="s">
        <v>272</v>
      </c>
      <c r="C439" s="16"/>
      <c r="D439" s="16">
        <v>1</v>
      </c>
      <c r="E439" s="2" t="s">
        <v>174</v>
      </c>
      <c r="F439" s="2" t="s">
        <v>177</v>
      </c>
    </row>
    <row r="440" spans="1:6" ht="21" customHeight="1" x14ac:dyDescent="0.25">
      <c r="A440" s="41" t="s">
        <v>268</v>
      </c>
      <c r="B440" s="16" t="s">
        <v>272</v>
      </c>
      <c r="C440" s="16"/>
      <c r="D440" s="16">
        <v>2</v>
      </c>
      <c r="E440" s="2" t="s">
        <v>174</v>
      </c>
      <c r="F440" s="2" t="s">
        <v>177</v>
      </c>
    </row>
    <row r="441" spans="1:6" ht="21" customHeight="1" x14ac:dyDescent="0.25">
      <c r="A441" s="41" t="s">
        <v>268</v>
      </c>
      <c r="B441" s="16" t="s">
        <v>272</v>
      </c>
      <c r="C441" s="16"/>
      <c r="D441" s="16">
        <v>3</v>
      </c>
      <c r="E441" s="2" t="s">
        <v>174</v>
      </c>
      <c r="F441" s="2" t="s">
        <v>177</v>
      </c>
    </row>
    <row r="442" spans="1:6" ht="21" customHeight="1" x14ac:dyDescent="0.25">
      <c r="A442" s="41" t="s">
        <v>268</v>
      </c>
      <c r="B442" s="16" t="s">
        <v>272</v>
      </c>
      <c r="C442" s="16"/>
      <c r="D442" s="16">
        <v>4</v>
      </c>
      <c r="E442" s="2" t="s">
        <v>174</v>
      </c>
      <c r="F442" s="2" t="s">
        <v>177</v>
      </c>
    </row>
    <row r="443" spans="1:6" ht="21" customHeight="1" x14ac:dyDescent="0.25">
      <c r="A443" s="41" t="s">
        <v>268</v>
      </c>
      <c r="B443" s="16" t="s">
        <v>272</v>
      </c>
      <c r="C443" s="16"/>
      <c r="D443" s="16">
        <v>5</v>
      </c>
      <c r="E443" s="2" t="s">
        <v>174</v>
      </c>
      <c r="F443" s="2" t="s">
        <v>177</v>
      </c>
    </row>
    <row r="444" spans="1:6" ht="21" customHeight="1" x14ac:dyDescent="0.25">
      <c r="A444" s="41" t="s">
        <v>268</v>
      </c>
      <c r="B444" s="15" t="s">
        <v>273</v>
      </c>
      <c r="C444" s="15"/>
      <c r="D444" s="15">
        <v>1</v>
      </c>
      <c r="E444" s="2" t="s">
        <v>174</v>
      </c>
      <c r="F444" s="2" t="s">
        <v>179</v>
      </c>
    </row>
    <row r="445" spans="1:6" ht="21" customHeight="1" x14ac:dyDescent="0.25">
      <c r="A445" s="41" t="s">
        <v>268</v>
      </c>
      <c r="B445" s="15" t="s">
        <v>273</v>
      </c>
      <c r="C445" s="15"/>
      <c r="D445" s="15">
        <v>2</v>
      </c>
      <c r="E445" s="2" t="s">
        <v>174</v>
      </c>
      <c r="F445" s="2" t="s">
        <v>179</v>
      </c>
    </row>
    <row r="446" spans="1:6" ht="21" customHeight="1" x14ac:dyDescent="0.25">
      <c r="A446" s="41" t="s">
        <v>268</v>
      </c>
      <c r="B446" s="15" t="s">
        <v>273</v>
      </c>
      <c r="C446" s="15"/>
      <c r="D446" s="15">
        <v>3</v>
      </c>
      <c r="E446" s="2" t="s">
        <v>174</v>
      </c>
      <c r="F446" s="2" t="s">
        <v>179</v>
      </c>
    </row>
    <row r="447" spans="1:6" ht="21" customHeight="1" x14ac:dyDescent="0.25">
      <c r="A447" s="41" t="s">
        <v>268</v>
      </c>
      <c r="B447" s="15" t="s">
        <v>273</v>
      </c>
      <c r="C447" s="15"/>
      <c r="D447" s="15">
        <v>4</v>
      </c>
      <c r="E447" s="2" t="s">
        <v>174</v>
      </c>
      <c r="F447" s="2" t="s">
        <v>179</v>
      </c>
    </row>
    <row r="448" spans="1:6" ht="21" customHeight="1" x14ac:dyDescent="0.25">
      <c r="A448" s="41" t="s">
        <v>268</v>
      </c>
      <c r="B448" s="15" t="s">
        <v>273</v>
      </c>
      <c r="C448" s="15"/>
      <c r="D448" s="15">
        <v>5</v>
      </c>
      <c r="E448" s="2" t="s">
        <v>174</v>
      </c>
      <c r="F448" s="2" t="s">
        <v>179</v>
      </c>
    </row>
    <row r="449" spans="1:6" ht="21" customHeight="1" x14ac:dyDescent="0.25">
      <c r="A449" s="41" t="s">
        <v>268</v>
      </c>
      <c r="B449" s="15" t="s">
        <v>273</v>
      </c>
      <c r="C449" s="15"/>
      <c r="D449" s="15">
        <v>6</v>
      </c>
      <c r="E449" s="2" t="s">
        <v>174</v>
      </c>
      <c r="F449" s="2" t="s">
        <v>179</v>
      </c>
    </row>
    <row r="450" spans="1:6" ht="21" customHeight="1" x14ac:dyDescent="0.25">
      <c r="A450" s="41" t="s">
        <v>268</v>
      </c>
      <c r="B450" s="15" t="s">
        <v>273</v>
      </c>
      <c r="C450" s="15"/>
      <c r="D450" s="15">
        <v>7</v>
      </c>
      <c r="E450" s="2" t="s">
        <v>174</v>
      </c>
      <c r="F450" s="2" t="s">
        <v>179</v>
      </c>
    </row>
    <row r="451" spans="1:6" ht="21" customHeight="1" x14ac:dyDescent="0.25">
      <c r="A451" s="41" t="s">
        <v>268</v>
      </c>
      <c r="B451" s="15" t="s">
        <v>273</v>
      </c>
      <c r="C451" s="15"/>
      <c r="D451" s="15">
        <v>8</v>
      </c>
      <c r="E451" s="2" t="s">
        <v>174</v>
      </c>
      <c r="F451" s="2" t="s">
        <v>179</v>
      </c>
    </row>
    <row r="452" spans="1:6" ht="21" customHeight="1" x14ac:dyDescent="0.25">
      <c r="A452" s="42" t="s">
        <v>274</v>
      </c>
      <c r="B452" s="16" t="s">
        <v>275</v>
      </c>
      <c r="C452" s="16"/>
      <c r="D452" s="16">
        <v>1</v>
      </c>
      <c r="E452" s="2" t="s">
        <v>222</v>
      </c>
      <c r="F452" s="2" t="s">
        <v>172</v>
      </c>
    </row>
    <row r="453" spans="1:6" ht="21" customHeight="1" x14ac:dyDescent="0.25">
      <c r="A453" s="42" t="s">
        <v>274</v>
      </c>
      <c r="B453" s="16" t="s">
        <v>275</v>
      </c>
      <c r="C453" s="16"/>
      <c r="D453" s="16">
        <v>2</v>
      </c>
      <c r="E453" s="2" t="s">
        <v>222</v>
      </c>
      <c r="F453" s="2" t="s">
        <v>172</v>
      </c>
    </row>
    <row r="454" spans="1:6" ht="21" customHeight="1" x14ac:dyDescent="0.25">
      <c r="A454" s="42" t="s">
        <v>274</v>
      </c>
      <c r="B454" s="16" t="s">
        <v>275</v>
      </c>
      <c r="C454" s="16"/>
      <c r="D454" s="16">
        <v>3</v>
      </c>
      <c r="E454" s="2" t="s">
        <v>222</v>
      </c>
      <c r="F454" s="2" t="s">
        <v>172</v>
      </c>
    </row>
    <row r="455" spans="1:6" ht="21" customHeight="1" x14ac:dyDescent="0.25">
      <c r="A455" s="42" t="s">
        <v>274</v>
      </c>
      <c r="B455" s="16" t="s">
        <v>275</v>
      </c>
      <c r="C455" s="16"/>
      <c r="D455" s="16">
        <v>4</v>
      </c>
      <c r="E455" s="2" t="s">
        <v>222</v>
      </c>
      <c r="F455" s="2" t="s">
        <v>172</v>
      </c>
    </row>
    <row r="456" spans="1:6" ht="21" customHeight="1" x14ac:dyDescent="0.25">
      <c r="A456" s="42" t="s">
        <v>274</v>
      </c>
      <c r="B456" s="16" t="s">
        <v>275</v>
      </c>
      <c r="C456" s="16"/>
      <c r="D456" s="16">
        <v>5</v>
      </c>
      <c r="E456" s="2" t="s">
        <v>222</v>
      </c>
      <c r="F456" s="2" t="s">
        <v>172</v>
      </c>
    </row>
    <row r="457" spans="1:6" ht="21" customHeight="1" x14ac:dyDescent="0.25">
      <c r="A457" s="42" t="s">
        <v>274</v>
      </c>
      <c r="B457" s="15" t="s">
        <v>276</v>
      </c>
      <c r="C457" s="15"/>
      <c r="D457" s="15">
        <v>1</v>
      </c>
      <c r="E457" s="2" t="s">
        <v>222</v>
      </c>
      <c r="F457" s="2" t="s">
        <v>193</v>
      </c>
    </row>
    <row r="458" spans="1:6" ht="21" customHeight="1" x14ac:dyDescent="0.25">
      <c r="A458" s="42" t="s">
        <v>274</v>
      </c>
      <c r="B458" s="15" t="s">
        <v>276</v>
      </c>
      <c r="C458" s="15"/>
      <c r="D458" s="15">
        <v>2</v>
      </c>
      <c r="E458" s="2" t="s">
        <v>222</v>
      </c>
      <c r="F458" s="2" t="s">
        <v>193</v>
      </c>
    </row>
    <row r="459" spans="1:6" ht="21" customHeight="1" x14ac:dyDescent="0.25">
      <c r="A459" s="42" t="s">
        <v>274</v>
      </c>
      <c r="B459" s="15" t="s">
        <v>276</v>
      </c>
      <c r="C459" s="15"/>
      <c r="D459" s="15">
        <v>3</v>
      </c>
      <c r="E459" s="2" t="s">
        <v>222</v>
      </c>
      <c r="F459" s="2" t="s">
        <v>193</v>
      </c>
    </row>
    <row r="460" spans="1:6" ht="21" customHeight="1" x14ac:dyDescent="0.25">
      <c r="A460" s="42" t="s">
        <v>274</v>
      </c>
      <c r="B460" s="15" t="s">
        <v>276</v>
      </c>
      <c r="C460" s="15"/>
      <c r="D460" s="15">
        <v>4</v>
      </c>
      <c r="E460" s="2" t="s">
        <v>222</v>
      </c>
      <c r="F460" s="2" t="s">
        <v>193</v>
      </c>
    </row>
    <row r="461" spans="1:6" ht="21" customHeight="1" x14ac:dyDescent="0.25">
      <c r="A461" s="42" t="s">
        <v>274</v>
      </c>
      <c r="B461" s="15" t="s">
        <v>276</v>
      </c>
      <c r="C461" s="15"/>
      <c r="D461" s="15">
        <v>5</v>
      </c>
      <c r="E461" s="2" t="s">
        <v>222</v>
      </c>
      <c r="F461" s="2" t="s">
        <v>193</v>
      </c>
    </row>
    <row r="462" spans="1:6" ht="21" customHeight="1" x14ac:dyDescent="0.25">
      <c r="A462" s="42" t="s">
        <v>274</v>
      </c>
      <c r="B462" s="16" t="s">
        <v>277</v>
      </c>
      <c r="C462" s="16"/>
      <c r="D462" s="16">
        <v>1</v>
      </c>
      <c r="E462" s="2" t="s">
        <v>174</v>
      </c>
      <c r="F462" s="2" t="s">
        <v>175</v>
      </c>
    </row>
    <row r="463" spans="1:6" ht="21" customHeight="1" x14ac:dyDescent="0.25">
      <c r="A463" s="42" t="s">
        <v>274</v>
      </c>
      <c r="B463" s="16" t="s">
        <v>277</v>
      </c>
      <c r="C463" s="16"/>
      <c r="D463" s="16">
        <v>2</v>
      </c>
      <c r="E463" s="2" t="s">
        <v>174</v>
      </c>
      <c r="F463" s="2" t="s">
        <v>175</v>
      </c>
    </row>
    <row r="464" spans="1:6" ht="21" customHeight="1" x14ac:dyDescent="0.25">
      <c r="A464" s="42" t="s">
        <v>274</v>
      </c>
      <c r="B464" s="16" t="s">
        <v>277</v>
      </c>
      <c r="C464" s="16"/>
      <c r="D464" s="16">
        <v>3</v>
      </c>
      <c r="E464" s="2" t="s">
        <v>174</v>
      </c>
      <c r="F464" s="2" t="s">
        <v>175</v>
      </c>
    </row>
    <row r="465" spans="1:6" ht="21" customHeight="1" x14ac:dyDescent="0.25">
      <c r="A465" s="42" t="s">
        <v>274</v>
      </c>
      <c r="B465" s="16" t="s">
        <v>277</v>
      </c>
      <c r="C465" s="16"/>
      <c r="D465" s="16">
        <v>4</v>
      </c>
      <c r="E465" s="2" t="s">
        <v>174</v>
      </c>
      <c r="F465" s="2" t="s">
        <v>175</v>
      </c>
    </row>
    <row r="466" spans="1:6" ht="21" customHeight="1" x14ac:dyDescent="0.25">
      <c r="A466" s="42" t="s">
        <v>274</v>
      </c>
      <c r="B466" s="16" t="s">
        <v>277</v>
      </c>
      <c r="C466" s="16"/>
      <c r="D466" s="16">
        <v>5</v>
      </c>
      <c r="E466" s="2" t="s">
        <v>174</v>
      </c>
      <c r="F466" s="2" t="s">
        <v>175</v>
      </c>
    </row>
    <row r="467" spans="1:6" ht="21" customHeight="1" x14ac:dyDescent="0.25">
      <c r="A467" s="42" t="s">
        <v>274</v>
      </c>
      <c r="B467" s="15" t="s">
        <v>278</v>
      </c>
      <c r="C467" s="15"/>
      <c r="D467" s="15">
        <v>1</v>
      </c>
      <c r="E467" s="2" t="s">
        <v>174</v>
      </c>
      <c r="F467" s="2" t="s">
        <v>177</v>
      </c>
    </row>
    <row r="468" spans="1:6" ht="21" customHeight="1" x14ac:dyDescent="0.25">
      <c r="A468" s="42" t="s">
        <v>274</v>
      </c>
      <c r="B468" s="15" t="s">
        <v>278</v>
      </c>
      <c r="C468" s="15"/>
      <c r="D468" s="15">
        <v>2</v>
      </c>
      <c r="E468" s="2" t="s">
        <v>174</v>
      </c>
      <c r="F468" s="2" t="s">
        <v>177</v>
      </c>
    </row>
    <row r="469" spans="1:6" ht="21" customHeight="1" x14ac:dyDescent="0.25">
      <c r="A469" s="42" t="s">
        <v>274</v>
      </c>
      <c r="B469" s="15" t="s">
        <v>278</v>
      </c>
      <c r="C469" s="15"/>
      <c r="D469" s="15">
        <v>3</v>
      </c>
      <c r="E469" s="2" t="s">
        <v>174</v>
      </c>
      <c r="F469" s="2" t="s">
        <v>177</v>
      </c>
    </row>
    <row r="470" spans="1:6" ht="21" customHeight="1" x14ac:dyDescent="0.25">
      <c r="A470" s="42" t="s">
        <v>274</v>
      </c>
      <c r="B470" s="15" t="s">
        <v>278</v>
      </c>
      <c r="C470" s="15"/>
      <c r="D470" s="15">
        <v>4</v>
      </c>
      <c r="E470" s="2" t="s">
        <v>174</v>
      </c>
      <c r="F470" s="2" t="s">
        <v>177</v>
      </c>
    </row>
    <row r="471" spans="1:6" ht="21" customHeight="1" x14ac:dyDescent="0.25">
      <c r="A471" s="42" t="s">
        <v>274</v>
      </c>
      <c r="B471" s="15" t="s">
        <v>278</v>
      </c>
      <c r="C471" s="15"/>
      <c r="D471" s="15">
        <v>5</v>
      </c>
      <c r="E471" s="2" t="s">
        <v>174</v>
      </c>
      <c r="F471" s="2" t="s">
        <v>177</v>
      </c>
    </row>
    <row r="472" spans="1:6" ht="21" customHeight="1" x14ac:dyDescent="0.25">
      <c r="A472" s="42" t="s">
        <v>274</v>
      </c>
      <c r="B472" s="16" t="s">
        <v>279</v>
      </c>
      <c r="C472" s="16"/>
      <c r="D472" s="16">
        <v>1</v>
      </c>
      <c r="E472" s="2" t="s">
        <v>174</v>
      </c>
      <c r="F472" s="2" t="s">
        <v>179</v>
      </c>
    </row>
    <row r="473" spans="1:6" ht="21" customHeight="1" x14ac:dyDescent="0.25">
      <c r="A473" s="42" t="s">
        <v>274</v>
      </c>
      <c r="B473" s="16" t="s">
        <v>279</v>
      </c>
      <c r="C473" s="16"/>
      <c r="D473" s="16">
        <v>2</v>
      </c>
      <c r="E473" s="2" t="s">
        <v>174</v>
      </c>
      <c r="F473" s="2" t="s">
        <v>179</v>
      </c>
    </row>
    <row r="474" spans="1:6" ht="21" customHeight="1" x14ac:dyDescent="0.25">
      <c r="A474" s="42" t="s">
        <v>274</v>
      </c>
      <c r="B474" s="16" t="s">
        <v>279</v>
      </c>
      <c r="C474" s="16"/>
      <c r="D474" s="16">
        <v>3</v>
      </c>
      <c r="E474" s="2" t="s">
        <v>174</v>
      </c>
      <c r="F474" s="2" t="s">
        <v>179</v>
      </c>
    </row>
    <row r="475" spans="1:6" ht="21" customHeight="1" x14ac:dyDescent="0.25">
      <c r="A475" s="42" t="s">
        <v>274</v>
      </c>
      <c r="B475" s="16" t="s">
        <v>279</v>
      </c>
      <c r="C475" s="16"/>
      <c r="D475" s="16">
        <v>4</v>
      </c>
      <c r="E475" s="2" t="s">
        <v>174</v>
      </c>
      <c r="F475" s="2" t="s">
        <v>179</v>
      </c>
    </row>
    <row r="476" spans="1:6" ht="21" customHeight="1" x14ac:dyDescent="0.25">
      <c r="A476" s="42" t="s">
        <v>274</v>
      </c>
      <c r="B476" s="16" t="s">
        <v>279</v>
      </c>
      <c r="C476" s="16"/>
      <c r="D476" s="16">
        <v>5</v>
      </c>
      <c r="E476" s="2" t="s">
        <v>174</v>
      </c>
      <c r="F476" s="2" t="s">
        <v>179</v>
      </c>
    </row>
    <row r="477" spans="1:6" ht="21" customHeight="1" x14ac:dyDescent="0.25">
      <c r="A477" s="42" t="s">
        <v>274</v>
      </c>
      <c r="B477" s="16" t="s">
        <v>279</v>
      </c>
      <c r="C477" s="16"/>
      <c r="D477" s="16">
        <v>6</v>
      </c>
      <c r="E477" s="2" t="s">
        <v>174</v>
      </c>
      <c r="F477" s="2" t="s">
        <v>179</v>
      </c>
    </row>
    <row r="478" spans="1:6" ht="21" customHeight="1" x14ac:dyDescent="0.25">
      <c r="A478" s="42" t="s">
        <v>274</v>
      </c>
      <c r="B478" s="16" t="s">
        <v>279</v>
      </c>
      <c r="C478" s="16"/>
      <c r="D478" s="16">
        <v>7</v>
      </c>
      <c r="E478" s="2" t="s">
        <v>174</v>
      </c>
      <c r="F478" s="2" t="s">
        <v>179</v>
      </c>
    </row>
    <row r="479" spans="1:6" ht="21" customHeight="1" x14ac:dyDescent="0.25">
      <c r="A479" s="42" t="s">
        <v>274</v>
      </c>
      <c r="B479" s="16" t="s">
        <v>279</v>
      </c>
      <c r="C479" s="16"/>
      <c r="D479" s="16">
        <v>8</v>
      </c>
      <c r="E479" s="2" t="s">
        <v>174</v>
      </c>
      <c r="F479" s="2" t="s">
        <v>179</v>
      </c>
    </row>
    <row r="480" spans="1:6" ht="21" customHeight="1" x14ac:dyDescent="0.25">
      <c r="A480" s="42" t="s">
        <v>280</v>
      </c>
      <c r="B480" s="15" t="s">
        <v>281</v>
      </c>
      <c r="C480" s="15"/>
      <c r="D480" s="15">
        <v>1</v>
      </c>
      <c r="E480" s="2" t="s">
        <v>282</v>
      </c>
      <c r="F480" s="2" t="s">
        <v>172</v>
      </c>
    </row>
    <row r="481" spans="1:6" ht="21" customHeight="1" x14ac:dyDescent="0.25">
      <c r="A481" s="42" t="s">
        <v>280</v>
      </c>
      <c r="B481" s="15" t="s">
        <v>281</v>
      </c>
      <c r="C481" s="15"/>
      <c r="D481" s="15">
        <v>2</v>
      </c>
      <c r="E481" s="2" t="s">
        <v>282</v>
      </c>
      <c r="F481" s="2" t="s">
        <v>172</v>
      </c>
    </row>
    <row r="482" spans="1:6" ht="21" customHeight="1" x14ac:dyDescent="0.25">
      <c r="A482" s="42" t="s">
        <v>280</v>
      </c>
      <c r="B482" s="15" t="s">
        <v>281</v>
      </c>
      <c r="C482" s="15"/>
      <c r="D482" s="15">
        <v>3</v>
      </c>
      <c r="E482" s="2" t="s">
        <v>282</v>
      </c>
      <c r="F482" s="2" t="s">
        <v>172</v>
      </c>
    </row>
    <row r="483" spans="1:6" ht="21" customHeight="1" x14ac:dyDescent="0.25">
      <c r="A483" s="42" t="s">
        <v>280</v>
      </c>
      <c r="B483" s="15" t="s">
        <v>281</v>
      </c>
      <c r="C483" s="15"/>
      <c r="D483" s="15">
        <v>4</v>
      </c>
      <c r="E483" s="2" t="s">
        <v>282</v>
      </c>
      <c r="F483" s="2" t="s">
        <v>172</v>
      </c>
    </row>
    <row r="484" spans="1:6" ht="21" customHeight="1" x14ac:dyDescent="0.25">
      <c r="A484" s="42" t="s">
        <v>280</v>
      </c>
      <c r="B484" s="15" t="s">
        <v>281</v>
      </c>
      <c r="C484" s="15"/>
      <c r="D484" s="15">
        <v>5</v>
      </c>
      <c r="E484" s="2" t="s">
        <v>282</v>
      </c>
      <c r="F484" s="2" t="s">
        <v>172</v>
      </c>
    </row>
    <row r="485" spans="1:6" ht="21" customHeight="1" x14ac:dyDescent="0.25">
      <c r="A485" s="42" t="s">
        <v>280</v>
      </c>
      <c r="B485" s="16" t="s">
        <v>283</v>
      </c>
      <c r="C485" s="16"/>
      <c r="D485" s="16">
        <v>1</v>
      </c>
      <c r="E485" s="2" t="s">
        <v>282</v>
      </c>
      <c r="F485" s="2" t="s">
        <v>193</v>
      </c>
    </row>
    <row r="486" spans="1:6" ht="21" customHeight="1" x14ac:dyDescent="0.25">
      <c r="A486" s="42" t="s">
        <v>280</v>
      </c>
      <c r="B486" s="16" t="s">
        <v>283</v>
      </c>
      <c r="C486" s="16"/>
      <c r="D486" s="16">
        <v>2</v>
      </c>
      <c r="E486" s="2" t="s">
        <v>282</v>
      </c>
      <c r="F486" s="2" t="s">
        <v>193</v>
      </c>
    </row>
    <row r="487" spans="1:6" ht="21" customHeight="1" x14ac:dyDescent="0.25">
      <c r="A487" s="42" t="s">
        <v>280</v>
      </c>
      <c r="B487" s="16" t="s">
        <v>283</v>
      </c>
      <c r="C487" s="16"/>
      <c r="D487" s="16">
        <v>3</v>
      </c>
      <c r="E487" s="2" t="s">
        <v>282</v>
      </c>
      <c r="F487" s="2" t="s">
        <v>193</v>
      </c>
    </row>
    <row r="488" spans="1:6" ht="21" customHeight="1" x14ac:dyDescent="0.25">
      <c r="A488" s="42" t="s">
        <v>280</v>
      </c>
      <c r="B488" s="16" t="s">
        <v>283</v>
      </c>
      <c r="C488" s="16"/>
      <c r="D488" s="16">
        <v>4</v>
      </c>
      <c r="E488" s="2" t="s">
        <v>282</v>
      </c>
      <c r="F488" s="2" t="s">
        <v>193</v>
      </c>
    </row>
    <row r="489" spans="1:6" ht="21" customHeight="1" x14ac:dyDescent="0.25">
      <c r="A489" s="42" t="s">
        <v>280</v>
      </c>
      <c r="B489" s="16" t="s">
        <v>283</v>
      </c>
      <c r="C489" s="16"/>
      <c r="D489" s="16">
        <v>5</v>
      </c>
      <c r="E489" s="2" t="s">
        <v>282</v>
      </c>
      <c r="F489" s="2" t="s">
        <v>193</v>
      </c>
    </row>
    <row r="490" spans="1:6" ht="21" customHeight="1" x14ac:dyDescent="0.25">
      <c r="A490" s="42" t="s">
        <v>280</v>
      </c>
      <c r="B490" s="15" t="s">
        <v>284</v>
      </c>
      <c r="C490" s="15"/>
      <c r="D490" s="15">
        <v>1</v>
      </c>
      <c r="E490" s="2" t="s">
        <v>174</v>
      </c>
      <c r="F490" s="2" t="s">
        <v>179</v>
      </c>
    </row>
    <row r="491" spans="1:6" ht="21" customHeight="1" x14ac:dyDescent="0.25">
      <c r="A491" s="42" t="s">
        <v>280</v>
      </c>
      <c r="B491" s="15" t="s">
        <v>284</v>
      </c>
      <c r="C491" s="15"/>
      <c r="D491" s="15">
        <v>2</v>
      </c>
      <c r="E491" s="2" t="s">
        <v>174</v>
      </c>
      <c r="F491" s="2" t="s">
        <v>179</v>
      </c>
    </row>
    <row r="492" spans="1:6" ht="21" customHeight="1" x14ac:dyDescent="0.25">
      <c r="A492" s="42" t="s">
        <v>280</v>
      </c>
      <c r="B492" s="15" t="s">
        <v>284</v>
      </c>
      <c r="C492" s="15"/>
      <c r="D492" s="15">
        <v>3</v>
      </c>
      <c r="E492" s="2" t="s">
        <v>174</v>
      </c>
      <c r="F492" s="2" t="s">
        <v>179</v>
      </c>
    </row>
    <row r="493" spans="1:6" ht="21" customHeight="1" x14ac:dyDescent="0.25">
      <c r="A493" s="42" t="s">
        <v>280</v>
      </c>
      <c r="B493" s="15" t="s">
        <v>284</v>
      </c>
      <c r="C493" s="15"/>
      <c r="D493" s="15">
        <v>4</v>
      </c>
      <c r="E493" s="2" t="s">
        <v>174</v>
      </c>
      <c r="F493" s="2" t="s">
        <v>179</v>
      </c>
    </row>
    <row r="494" spans="1:6" ht="21" customHeight="1" x14ac:dyDescent="0.25">
      <c r="A494" s="42" t="s">
        <v>280</v>
      </c>
      <c r="B494" s="15" t="s">
        <v>284</v>
      </c>
      <c r="C494" s="15"/>
      <c r="D494" s="15">
        <v>5</v>
      </c>
      <c r="E494" s="2" t="s">
        <v>174</v>
      </c>
      <c r="F494" s="2" t="s">
        <v>179</v>
      </c>
    </row>
    <row r="495" spans="1:6" ht="21" customHeight="1" x14ac:dyDescent="0.25">
      <c r="A495" s="41" t="s">
        <v>285</v>
      </c>
      <c r="B495" s="16" t="s">
        <v>286</v>
      </c>
      <c r="C495" s="16"/>
      <c r="D495" s="16">
        <v>1</v>
      </c>
      <c r="E495" s="2" t="s">
        <v>282</v>
      </c>
      <c r="F495" s="2" t="s">
        <v>172</v>
      </c>
    </row>
    <row r="496" spans="1:6" ht="21" customHeight="1" x14ac:dyDescent="0.25">
      <c r="A496" s="41" t="s">
        <v>285</v>
      </c>
      <c r="B496" s="16" t="s">
        <v>286</v>
      </c>
      <c r="C496" s="16"/>
      <c r="D496" s="16">
        <v>2</v>
      </c>
      <c r="E496" s="2" t="s">
        <v>282</v>
      </c>
      <c r="F496" s="2" t="s">
        <v>172</v>
      </c>
    </row>
    <row r="497" spans="1:6" ht="21" customHeight="1" x14ac:dyDescent="0.25">
      <c r="A497" s="41" t="s">
        <v>285</v>
      </c>
      <c r="B497" s="16" t="s">
        <v>286</v>
      </c>
      <c r="C497" s="16"/>
      <c r="D497" s="16">
        <v>3</v>
      </c>
      <c r="E497" s="2" t="s">
        <v>282</v>
      </c>
      <c r="F497" s="2" t="s">
        <v>172</v>
      </c>
    </row>
    <row r="498" spans="1:6" ht="21" customHeight="1" x14ac:dyDescent="0.25">
      <c r="A498" s="41" t="s">
        <v>285</v>
      </c>
      <c r="B498" s="16" t="s">
        <v>286</v>
      </c>
      <c r="C498" s="16"/>
      <c r="D498" s="16">
        <v>4</v>
      </c>
      <c r="E498" s="2" t="s">
        <v>282</v>
      </c>
      <c r="F498" s="2" t="s">
        <v>172</v>
      </c>
    </row>
    <row r="499" spans="1:6" ht="21" customHeight="1" x14ac:dyDescent="0.25">
      <c r="A499" s="41" t="s">
        <v>285</v>
      </c>
      <c r="B499" s="16" t="s">
        <v>286</v>
      </c>
      <c r="C499" s="16"/>
      <c r="D499" s="16">
        <v>5</v>
      </c>
      <c r="E499" s="2" t="s">
        <v>282</v>
      </c>
      <c r="F499" s="2" t="s">
        <v>172</v>
      </c>
    </row>
    <row r="500" spans="1:6" ht="21" customHeight="1" x14ac:dyDescent="0.25">
      <c r="A500" s="41" t="s">
        <v>285</v>
      </c>
      <c r="B500" s="15" t="s">
        <v>287</v>
      </c>
      <c r="C500" s="15"/>
      <c r="D500" s="15">
        <v>1</v>
      </c>
      <c r="E500" s="2" t="s">
        <v>174</v>
      </c>
      <c r="F500" s="2" t="s">
        <v>179</v>
      </c>
    </row>
    <row r="501" spans="1:6" ht="21" customHeight="1" x14ac:dyDescent="0.25">
      <c r="A501" s="41" t="s">
        <v>285</v>
      </c>
      <c r="B501" s="15" t="s">
        <v>287</v>
      </c>
      <c r="C501" s="15"/>
      <c r="D501" s="15">
        <v>2</v>
      </c>
      <c r="E501" s="2" t="s">
        <v>174</v>
      </c>
      <c r="F501" s="2" t="s">
        <v>179</v>
      </c>
    </row>
    <row r="502" spans="1:6" ht="21" customHeight="1" x14ac:dyDescent="0.25">
      <c r="A502" s="41" t="s">
        <v>285</v>
      </c>
      <c r="B502" s="15" t="s">
        <v>287</v>
      </c>
      <c r="C502" s="15"/>
      <c r="D502" s="15">
        <v>3</v>
      </c>
      <c r="E502" s="2" t="s">
        <v>174</v>
      </c>
      <c r="F502" s="2" t="s">
        <v>179</v>
      </c>
    </row>
    <row r="503" spans="1:6" ht="21" customHeight="1" x14ac:dyDescent="0.25">
      <c r="A503" s="41" t="s">
        <v>285</v>
      </c>
      <c r="B503" s="15" t="s">
        <v>287</v>
      </c>
      <c r="C503" s="15"/>
      <c r="D503" s="15">
        <v>4</v>
      </c>
      <c r="E503" s="2" t="s">
        <v>174</v>
      </c>
      <c r="F503" s="2" t="s">
        <v>179</v>
      </c>
    </row>
    <row r="504" spans="1:6" ht="21" customHeight="1" x14ac:dyDescent="0.25">
      <c r="A504" s="41" t="s">
        <v>285</v>
      </c>
      <c r="B504" s="15" t="s">
        <v>287</v>
      </c>
      <c r="C504" s="15"/>
      <c r="D504" s="15">
        <v>5</v>
      </c>
      <c r="E504" s="2" t="s">
        <v>174</v>
      </c>
      <c r="F504" s="2" t="s">
        <v>179</v>
      </c>
    </row>
    <row r="505" spans="1:6" ht="21" customHeight="1" x14ac:dyDescent="0.25">
      <c r="A505" s="42" t="s">
        <v>288</v>
      </c>
      <c r="B505" s="16" t="s">
        <v>289</v>
      </c>
      <c r="C505" s="16"/>
      <c r="D505" s="16">
        <v>1</v>
      </c>
      <c r="E505" s="2" t="s">
        <v>282</v>
      </c>
      <c r="F505" s="2" t="s">
        <v>172</v>
      </c>
    </row>
    <row r="506" spans="1:6" ht="21" customHeight="1" x14ac:dyDescent="0.25">
      <c r="A506" s="42" t="s">
        <v>288</v>
      </c>
      <c r="B506" s="16" t="s">
        <v>289</v>
      </c>
      <c r="C506" s="16"/>
      <c r="D506" s="16">
        <v>2</v>
      </c>
      <c r="E506" s="2" t="s">
        <v>282</v>
      </c>
      <c r="F506" s="2" t="s">
        <v>172</v>
      </c>
    </row>
    <row r="507" spans="1:6" ht="21" customHeight="1" x14ac:dyDescent="0.25">
      <c r="A507" s="42" t="s">
        <v>288</v>
      </c>
      <c r="B507" s="16" t="s">
        <v>289</v>
      </c>
      <c r="C507" s="16"/>
      <c r="D507" s="16">
        <v>3</v>
      </c>
      <c r="E507" s="2" t="s">
        <v>282</v>
      </c>
      <c r="F507" s="2" t="s">
        <v>172</v>
      </c>
    </row>
    <row r="508" spans="1:6" ht="21" customHeight="1" x14ac:dyDescent="0.25">
      <c r="A508" s="42" t="s">
        <v>288</v>
      </c>
      <c r="B508" s="16" t="s">
        <v>289</v>
      </c>
      <c r="C508" s="16"/>
      <c r="D508" s="16">
        <v>4</v>
      </c>
      <c r="E508" s="2" t="s">
        <v>282</v>
      </c>
      <c r="F508" s="2" t="s">
        <v>172</v>
      </c>
    </row>
    <row r="509" spans="1:6" ht="21" customHeight="1" x14ac:dyDescent="0.25">
      <c r="A509" s="42" t="s">
        <v>288</v>
      </c>
      <c r="B509" s="16" t="s">
        <v>289</v>
      </c>
      <c r="C509" s="16"/>
      <c r="D509" s="16">
        <v>5</v>
      </c>
      <c r="E509" s="2" t="s">
        <v>282</v>
      </c>
      <c r="F509" s="2" t="s">
        <v>172</v>
      </c>
    </row>
    <row r="510" spans="1:6" ht="21" customHeight="1" x14ac:dyDescent="0.25">
      <c r="A510" s="42" t="s">
        <v>288</v>
      </c>
      <c r="B510" s="15" t="s">
        <v>290</v>
      </c>
      <c r="C510" s="15"/>
      <c r="D510" s="15">
        <v>1</v>
      </c>
      <c r="E510" s="2" t="s">
        <v>174</v>
      </c>
      <c r="F510" s="2" t="s">
        <v>179</v>
      </c>
    </row>
    <row r="511" spans="1:6" ht="21" customHeight="1" x14ac:dyDescent="0.25">
      <c r="A511" s="42" t="s">
        <v>288</v>
      </c>
      <c r="B511" s="15" t="s">
        <v>290</v>
      </c>
      <c r="C511" s="15"/>
      <c r="D511" s="15">
        <v>2</v>
      </c>
      <c r="E511" s="2" t="s">
        <v>174</v>
      </c>
      <c r="F511" s="2" t="s">
        <v>179</v>
      </c>
    </row>
    <row r="512" spans="1:6" ht="21" customHeight="1" x14ac:dyDescent="0.25">
      <c r="A512" s="42" t="s">
        <v>288</v>
      </c>
      <c r="B512" s="15" t="s">
        <v>290</v>
      </c>
      <c r="C512" s="15"/>
      <c r="D512" s="15">
        <v>3</v>
      </c>
      <c r="E512" s="2" t="s">
        <v>174</v>
      </c>
      <c r="F512" s="2" t="s">
        <v>179</v>
      </c>
    </row>
    <row r="513" spans="1:6" ht="21" customHeight="1" x14ac:dyDescent="0.25">
      <c r="A513" s="42" t="s">
        <v>288</v>
      </c>
      <c r="B513" s="15" t="s">
        <v>290</v>
      </c>
      <c r="C513" s="15"/>
      <c r="D513" s="15">
        <v>4</v>
      </c>
      <c r="E513" s="2" t="s">
        <v>174</v>
      </c>
      <c r="F513" s="2" t="s">
        <v>179</v>
      </c>
    </row>
    <row r="514" spans="1:6" ht="21" customHeight="1" x14ac:dyDescent="0.25">
      <c r="A514" s="42" t="s">
        <v>288</v>
      </c>
      <c r="B514" s="15" t="s">
        <v>290</v>
      </c>
      <c r="C514" s="15"/>
      <c r="D514" s="15">
        <v>5</v>
      </c>
      <c r="E514" s="2" t="s">
        <v>174</v>
      </c>
      <c r="F514" s="2" t="s">
        <v>179</v>
      </c>
    </row>
    <row r="515" spans="1:6" ht="21" customHeight="1" x14ac:dyDescent="0.25">
      <c r="A515" s="41" t="s">
        <v>291</v>
      </c>
      <c r="B515" s="16" t="s">
        <v>292</v>
      </c>
      <c r="C515" s="16"/>
      <c r="D515" s="16">
        <v>1</v>
      </c>
      <c r="E515" s="2" t="s">
        <v>282</v>
      </c>
      <c r="F515" s="2" t="s">
        <v>172</v>
      </c>
    </row>
    <row r="516" spans="1:6" ht="21" customHeight="1" x14ac:dyDescent="0.25">
      <c r="A516" s="41" t="s">
        <v>291</v>
      </c>
      <c r="B516" s="16" t="s">
        <v>292</v>
      </c>
      <c r="C516" s="16"/>
      <c r="D516" s="16">
        <v>2</v>
      </c>
      <c r="E516" s="2" t="s">
        <v>282</v>
      </c>
      <c r="F516" s="2" t="s">
        <v>172</v>
      </c>
    </row>
    <row r="517" spans="1:6" ht="21" customHeight="1" x14ac:dyDescent="0.25">
      <c r="A517" s="41" t="s">
        <v>291</v>
      </c>
      <c r="B517" s="16" t="s">
        <v>292</v>
      </c>
      <c r="C517" s="16"/>
      <c r="D517" s="16">
        <v>3</v>
      </c>
      <c r="E517" s="2" t="s">
        <v>282</v>
      </c>
      <c r="F517" s="2" t="s">
        <v>172</v>
      </c>
    </row>
    <row r="518" spans="1:6" ht="21" customHeight="1" x14ac:dyDescent="0.25">
      <c r="A518" s="41" t="s">
        <v>291</v>
      </c>
      <c r="B518" s="16" t="s">
        <v>292</v>
      </c>
      <c r="C518" s="16"/>
      <c r="D518" s="16">
        <v>4</v>
      </c>
      <c r="E518" s="2" t="s">
        <v>282</v>
      </c>
      <c r="F518" s="2" t="s">
        <v>172</v>
      </c>
    </row>
    <row r="519" spans="1:6" ht="21" customHeight="1" x14ac:dyDescent="0.25">
      <c r="A519" s="41" t="s">
        <v>291</v>
      </c>
      <c r="B519" s="16" t="s">
        <v>292</v>
      </c>
      <c r="C519" s="16"/>
      <c r="D519" s="16">
        <v>5</v>
      </c>
      <c r="E519" s="2" t="s">
        <v>282</v>
      </c>
      <c r="F519" s="2" t="s">
        <v>172</v>
      </c>
    </row>
    <row r="520" spans="1:6" ht="21" customHeight="1" x14ac:dyDescent="0.25">
      <c r="A520" s="41" t="s">
        <v>291</v>
      </c>
      <c r="B520" s="15" t="s">
        <v>293</v>
      </c>
      <c r="C520" s="15"/>
      <c r="D520" s="15">
        <v>1</v>
      </c>
      <c r="E520" s="2" t="s">
        <v>174</v>
      </c>
      <c r="F520" s="2" t="s">
        <v>179</v>
      </c>
    </row>
    <row r="521" spans="1:6" ht="21" customHeight="1" x14ac:dyDescent="0.25">
      <c r="A521" s="41" t="s">
        <v>291</v>
      </c>
      <c r="B521" s="15" t="s">
        <v>293</v>
      </c>
      <c r="C521" s="15"/>
      <c r="D521" s="15">
        <v>2</v>
      </c>
      <c r="E521" s="2" t="s">
        <v>174</v>
      </c>
      <c r="F521" s="2" t="s">
        <v>179</v>
      </c>
    </row>
    <row r="522" spans="1:6" ht="21" customHeight="1" x14ac:dyDescent="0.25">
      <c r="A522" s="41" t="s">
        <v>291</v>
      </c>
      <c r="B522" s="15" t="s">
        <v>293</v>
      </c>
      <c r="C522" s="15"/>
      <c r="D522" s="15">
        <v>3</v>
      </c>
      <c r="E522" s="2" t="s">
        <v>174</v>
      </c>
      <c r="F522" s="2" t="s">
        <v>179</v>
      </c>
    </row>
    <row r="523" spans="1:6" ht="21" customHeight="1" x14ac:dyDescent="0.25">
      <c r="A523" s="41" t="s">
        <v>291</v>
      </c>
      <c r="B523" s="15" t="s">
        <v>293</v>
      </c>
      <c r="C523" s="15"/>
      <c r="D523" s="15">
        <v>4</v>
      </c>
      <c r="E523" s="2" t="s">
        <v>174</v>
      </c>
      <c r="F523" s="2" t="s">
        <v>179</v>
      </c>
    </row>
    <row r="524" spans="1:6" ht="21" customHeight="1" x14ac:dyDescent="0.25">
      <c r="A524" s="41" t="s">
        <v>291</v>
      </c>
      <c r="B524" s="15" t="s">
        <v>293</v>
      </c>
      <c r="C524" s="15"/>
      <c r="D524" s="15">
        <v>5</v>
      </c>
      <c r="E524" s="2" t="s">
        <v>174</v>
      </c>
      <c r="F524" s="2" t="s">
        <v>179</v>
      </c>
    </row>
    <row r="525" spans="1:6" ht="21" customHeight="1" x14ac:dyDescent="0.25">
      <c r="A525" s="41" t="s">
        <v>291</v>
      </c>
      <c r="B525" s="15" t="s">
        <v>293</v>
      </c>
      <c r="C525" s="15"/>
      <c r="D525" s="15">
        <v>6</v>
      </c>
      <c r="E525" s="2" t="s">
        <v>174</v>
      </c>
      <c r="F525" s="2" t="s">
        <v>179</v>
      </c>
    </row>
    <row r="526" spans="1:6" ht="21" customHeight="1" x14ac:dyDescent="0.25">
      <c r="A526" s="41" t="s">
        <v>291</v>
      </c>
      <c r="B526" s="15" t="s">
        <v>293</v>
      </c>
      <c r="C526" s="15"/>
      <c r="D526" s="15">
        <v>7</v>
      </c>
      <c r="E526" s="2" t="s">
        <v>174</v>
      </c>
      <c r="F526" s="2" t="s">
        <v>179</v>
      </c>
    </row>
    <row r="527" spans="1:6" ht="21" customHeight="1" x14ac:dyDescent="0.25">
      <c r="A527" s="41" t="s">
        <v>291</v>
      </c>
      <c r="B527" s="15" t="s">
        <v>293</v>
      </c>
      <c r="C527" s="15"/>
      <c r="D527" s="15">
        <v>8</v>
      </c>
      <c r="E527" s="2" t="s">
        <v>174</v>
      </c>
      <c r="F527" s="2" t="s">
        <v>179</v>
      </c>
    </row>
    <row r="528" spans="1:6" ht="21" customHeight="1" x14ac:dyDescent="0.25">
      <c r="A528" s="41" t="s">
        <v>291</v>
      </c>
      <c r="B528" s="16" t="s">
        <v>293</v>
      </c>
      <c r="C528" s="16"/>
      <c r="D528" s="16">
        <v>1</v>
      </c>
      <c r="E528" s="2" t="s">
        <v>174</v>
      </c>
      <c r="F528" s="2" t="s">
        <v>179</v>
      </c>
    </row>
    <row r="529" spans="1:6" ht="21" customHeight="1" x14ac:dyDescent="0.25">
      <c r="A529" s="41" t="s">
        <v>291</v>
      </c>
      <c r="B529" s="16" t="s">
        <v>293</v>
      </c>
      <c r="C529" s="16"/>
      <c r="D529" s="16">
        <v>2</v>
      </c>
      <c r="E529" s="2" t="s">
        <v>174</v>
      </c>
      <c r="F529" s="2" t="s">
        <v>179</v>
      </c>
    </row>
    <row r="530" spans="1:6" ht="21" customHeight="1" x14ac:dyDescent="0.25">
      <c r="A530" s="41" t="s">
        <v>291</v>
      </c>
      <c r="B530" s="16" t="s">
        <v>293</v>
      </c>
      <c r="C530" s="16"/>
      <c r="D530" s="16">
        <v>3</v>
      </c>
      <c r="E530" s="2" t="s">
        <v>174</v>
      </c>
      <c r="F530" s="2" t="s">
        <v>179</v>
      </c>
    </row>
    <row r="531" spans="1:6" ht="21" customHeight="1" x14ac:dyDescent="0.25">
      <c r="A531" s="41" t="s">
        <v>291</v>
      </c>
      <c r="B531" s="16" t="s">
        <v>293</v>
      </c>
      <c r="C531" s="16"/>
      <c r="D531" s="16">
        <v>4</v>
      </c>
      <c r="E531" s="2" t="s">
        <v>174</v>
      </c>
      <c r="F531" s="2" t="s">
        <v>179</v>
      </c>
    </row>
    <row r="532" spans="1:6" ht="21" customHeight="1" x14ac:dyDescent="0.25">
      <c r="A532" s="41" t="s">
        <v>291</v>
      </c>
      <c r="B532" s="16" t="s">
        <v>293</v>
      </c>
      <c r="C532" s="16"/>
      <c r="D532" s="16">
        <v>5</v>
      </c>
      <c r="E532" s="2" t="s">
        <v>174</v>
      </c>
      <c r="F532" s="2" t="s">
        <v>179</v>
      </c>
    </row>
    <row r="533" spans="1:6" ht="21" customHeight="1" x14ac:dyDescent="0.25">
      <c r="A533" s="41" t="s">
        <v>291</v>
      </c>
      <c r="B533" s="16" t="s">
        <v>293</v>
      </c>
      <c r="C533" s="16"/>
      <c r="D533" s="16">
        <v>6</v>
      </c>
      <c r="E533" s="2" t="s">
        <v>174</v>
      </c>
      <c r="F533" s="2" t="s">
        <v>179</v>
      </c>
    </row>
    <row r="534" spans="1:6" ht="21" customHeight="1" x14ac:dyDescent="0.25">
      <c r="A534" s="41" t="s">
        <v>291</v>
      </c>
      <c r="B534" s="16" t="s">
        <v>293</v>
      </c>
      <c r="C534" s="16"/>
      <c r="D534" s="16">
        <v>7</v>
      </c>
      <c r="E534" s="2" t="s">
        <v>174</v>
      </c>
      <c r="F534" s="2" t="s">
        <v>179</v>
      </c>
    </row>
    <row r="535" spans="1:6" ht="21" customHeight="1" x14ac:dyDescent="0.25">
      <c r="A535" s="41" t="s">
        <v>291</v>
      </c>
      <c r="B535" s="16" t="s">
        <v>293</v>
      </c>
      <c r="C535" s="16"/>
      <c r="D535" s="16">
        <v>8</v>
      </c>
      <c r="E535" s="2" t="s">
        <v>174</v>
      </c>
      <c r="F535" s="2" t="s">
        <v>179</v>
      </c>
    </row>
    <row r="536" spans="1:6" ht="21" customHeight="1" x14ac:dyDescent="0.25">
      <c r="A536" s="42" t="s">
        <v>294</v>
      </c>
      <c r="B536" s="15" t="s">
        <v>295</v>
      </c>
      <c r="C536" s="15"/>
      <c r="D536" s="15">
        <v>1</v>
      </c>
      <c r="E536" s="2" t="s">
        <v>282</v>
      </c>
      <c r="F536" s="2" t="s">
        <v>172</v>
      </c>
    </row>
    <row r="537" spans="1:6" ht="21" customHeight="1" x14ac:dyDescent="0.25">
      <c r="A537" s="42" t="s">
        <v>294</v>
      </c>
      <c r="B537" s="15" t="s">
        <v>295</v>
      </c>
      <c r="C537" s="15"/>
      <c r="D537" s="15">
        <v>2</v>
      </c>
      <c r="E537" s="2" t="s">
        <v>282</v>
      </c>
      <c r="F537" s="2" t="s">
        <v>172</v>
      </c>
    </row>
    <row r="538" spans="1:6" ht="21" customHeight="1" x14ac:dyDescent="0.25">
      <c r="A538" s="42" t="s">
        <v>294</v>
      </c>
      <c r="B538" s="15" t="s">
        <v>295</v>
      </c>
      <c r="C538" s="15"/>
      <c r="D538" s="15">
        <v>3</v>
      </c>
      <c r="E538" s="2" t="s">
        <v>282</v>
      </c>
      <c r="F538" s="2" t="s">
        <v>172</v>
      </c>
    </row>
    <row r="539" spans="1:6" ht="21" customHeight="1" x14ac:dyDescent="0.25">
      <c r="A539" s="42" t="s">
        <v>294</v>
      </c>
      <c r="B539" s="15" t="s">
        <v>295</v>
      </c>
      <c r="C539" s="15"/>
      <c r="D539" s="15">
        <v>4</v>
      </c>
      <c r="E539" s="2" t="s">
        <v>282</v>
      </c>
      <c r="F539" s="2" t="s">
        <v>172</v>
      </c>
    </row>
    <row r="540" spans="1:6" ht="21" customHeight="1" x14ac:dyDescent="0.25">
      <c r="A540" s="42" t="s">
        <v>294</v>
      </c>
      <c r="B540" s="15" t="s">
        <v>295</v>
      </c>
      <c r="C540" s="15"/>
      <c r="D540" s="15">
        <v>5</v>
      </c>
      <c r="E540" s="2" t="s">
        <v>282</v>
      </c>
      <c r="F540" s="2" t="s">
        <v>172</v>
      </c>
    </row>
    <row r="541" spans="1:6" ht="21" customHeight="1" x14ac:dyDescent="0.25">
      <c r="A541" s="42" t="s">
        <v>294</v>
      </c>
      <c r="B541" s="16" t="s">
        <v>295</v>
      </c>
      <c r="C541" s="16"/>
      <c r="D541" s="16">
        <v>1</v>
      </c>
      <c r="E541" s="2" t="s">
        <v>282</v>
      </c>
      <c r="F541" s="2" t="s">
        <v>172</v>
      </c>
    </row>
    <row r="542" spans="1:6" ht="21" customHeight="1" x14ac:dyDescent="0.25">
      <c r="A542" s="42" t="s">
        <v>294</v>
      </c>
      <c r="B542" s="16" t="s">
        <v>295</v>
      </c>
      <c r="C542" s="16"/>
      <c r="D542" s="16">
        <v>2</v>
      </c>
      <c r="E542" s="2" t="s">
        <v>282</v>
      </c>
      <c r="F542" s="2" t="s">
        <v>172</v>
      </c>
    </row>
    <row r="543" spans="1:6" ht="21" customHeight="1" x14ac:dyDescent="0.25">
      <c r="A543" s="42" t="s">
        <v>294</v>
      </c>
      <c r="B543" s="16" t="s">
        <v>295</v>
      </c>
      <c r="C543" s="16"/>
      <c r="D543" s="16">
        <v>3</v>
      </c>
      <c r="E543" s="2" t="s">
        <v>282</v>
      </c>
      <c r="F543" s="2" t="s">
        <v>172</v>
      </c>
    </row>
    <row r="544" spans="1:6" ht="21" customHeight="1" x14ac:dyDescent="0.25">
      <c r="A544" s="42" t="s">
        <v>294</v>
      </c>
      <c r="B544" s="16" t="s">
        <v>295</v>
      </c>
      <c r="C544" s="16"/>
      <c r="D544" s="16">
        <v>4</v>
      </c>
      <c r="E544" s="2" t="s">
        <v>282</v>
      </c>
      <c r="F544" s="2" t="s">
        <v>172</v>
      </c>
    </row>
    <row r="545" spans="1:6" ht="21" customHeight="1" x14ac:dyDescent="0.25">
      <c r="A545" s="42" t="s">
        <v>294</v>
      </c>
      <c r="B545" s="16" t="s">
        <v>295</v>
      </c>
      <c r="C545" s="16"/>
      <c r="D545" s="16">
        <v>5</v>
      </c>
      <c r="E545" s="2" t="s">
        <v>282</v>
      </c>
      <c r="F545" s="2" t="s">
        <v>172</v>
      </c>
    </row>
    <row r="546" spans="1:6" ht="21" customHeight="1" x14ac:dyDescent="0.25">
      <c r="A546" s="42" t="s">
        <v>294</v>
      </c>
      <c r="B546" s="15" t="s">
        <v>296</v>
      </c>
      <c r="C546" s="15"/>
      <c r="D546" s="15">
        <v>1</v>
      </c>
      <c r="E546" s="2" t="s">
        <v>282</v>
      </c>
      <c r="F546" s="2" t="s">
        <v>297</v>
      </c>
    </row>
    <row r="547" spans="1:6" ht="21" customHeight="1" x14ac:dyDescent="0.25">
      <c r="A547" s="42" t="s">
        <v>294</v>
      </c>
      <c r="B547" s="15" t="s">
        <v>296</v>
      </c>
      <c r="C547" s="15"/>
      <c r="D547" s="15">
        <v>2</v>
      </c>
      <c r="E547" s="2" t="s">
        <v>282</v>
      </c>
      <c r="F547" s="2" t="s">
        <v>297</v>
      </c>
    </row>
    <row r="548" spans="1:6" ht="21" customHeight="1" x14ac:dyDescent="0.25">
      <c r="A548" s="42" t="s">
        <v>294</v>
      </c>
      <c r="B548" s="15" t="s">
        <v>296</v>
      </c>
      <c r="C548" s="15"/>
      <c r="D548" s="15">
        <v>3</v>
      </c>
      <c r="E548" s="2" t="s">
        <v>282</v>
      </c>
      <c r="F548" s="2" t="s">
        <v>297</v>
      </c>
    </row>
    <row r="549" spans="1:6" ht="21" customHeight="1" x14ac:dyDescent="0.25">
      <c r="A549" s="42" t="s">
        <v>294</v>
      </c>
      <c r="B549" s="15" t="s">
        <v>296</v>
      </c>
      <c r="C549" s="15"/>
      <c r="D549" s="15">
        <v>4</v>
      </c>
      <c r="E549" s="2" t="s">
        <v>282</v>
      </c>
      <c r="F549" s="2" t="s">
        <v>297</v>
      </c>
    </row>
    <row r="550" spans="1:6" ht="21" customHeight="1" x14ac:dyDescent="0.25">
      <c r="A550" s="42" t="s">
        <v>294</v>
      </c>
      <c r="B550" s="15" t="s">
        <v>296</v>
      </c>
      <c r="C550" s="15"/>
      <c r="D550" s="15">
        <v>5</v>
      </c>
      <c r="E550" s="2" t="s">
        <v>282</v>
      </c>
      <c r="F550" s="2" t="s">
        <v>297</v>
      </c>
    </row>
    <row r="551" spans="1:6" ht="21" customHeight="1" x14ac:dyDescent="0.25">
      <c r="A551" s="42" t="s">
        <v>294</v>
      </c>
      <c r="B551" s="16" t="s">
        <v>298</v>
      </c>
      <c r="C551" s="16"/>
      <c r="D551" s="16">
        <v>1</v>
      </c>
      <c r="E551" s="2" t="s">
        <v>174</v>
      </c>
      <c r="F551" s="2" t="s">
        <v>179</v>
      </c>
    </row>
    <row r="552" spans="1:6" ht="21" customHeight="1" x14ac:dyDescent="0.25">
      <c r="A552" s="42" t="s">
        <v>294</v>
      </c>
      <c r="B552" s="16" t="s">
        <v>298</v>
      </c>
      <c r="C552" s="16"/>
      <c r="D552" s="16">
        <v>2</v>
      </c>
      <c r="E552" s="2" t="s">
        <v>174</v>
      </c>
      <c r="F552" s="2" t="s">
        <v>179</v>
      </c>
    </row>
    <row r="553" spans="1:6" ht="21" customHeight="1" x14ac:dyDescent="0.25">
      <c r="A553" s="42" t="s">
        <v>294</v>
      </c>
      <c r="B553" s="16" t="s">
        <v>298</v>
      </c>
      <c r="C553" s="16"/>
      <c r="D553" s="16">
        <v>3</v>
      </c>
      <c r="E553" s="2" t="s">
        <v>174</v>
      </c>
      <c r="F553" s="2" t="s">
        <v>179</v>
      </c>
    </row>
    <row r="554" spans="1:6" ht="21" customHeight="1" x14ac:dyDescent="0.25">
      <c r="A554" s="42" t="s">
        <v>294</v>
      </c>
      <c r="B554" s="16" t="s">
        <v>298</v>
      </c>
      <c r="C554" s="16"/>
      <c r="D554" s="16">
        <v>4</v>
      </c>
      <c r="E554" s="2" t="s">
        <v>174</v>
      </c>
      <c r="F554" s="2" t="s">
        <v>179</v>
      </c>
    </row>
    <row r="555" spans="1:6" ht="21" customHeight="1" x14ac:dyDescent="0.25">
      <c r="A555" s="42" t="s">
        <v>294</v>
      </c>
      <c r="B555" s="16" t="s">
        <v>298</v>
      </c>
      <c r="C555" s="16"/>
      <c r="D555" s="16">
        <v>5</v>
      </c>
      <c r="E555" s="2" t="s">
        <v>174</v>
      </c>
      <c r="F555" s="2" t="s">
        <v>179</v>
      </c>
    </row>
    <row r="556" spans="1:6" ht="21" customHeight="1" x14ac:dyDescent="0.25">
      <c r="A556" s="42" t="s">
        <v>294</v>
      </c>
      <c r="B556" s="16" t="s">
        <v>298</v>
      </c>
      <c r="C556" s="16"/>
      <c r="D556" s="16">
        <v>6</v>
      </c>
      <c r="E556" s="2" t="s">
        <v>174</v>
      </c>
      <c r="F556" s="2" t="s">
        <v>179</v>
      </c>
    </row>
    <row r="557" spans="1:6" ht="21" customHeight="1" x14ac:dyDescent="0.25">
      <c r="A557" s="42" t="s">
        <v>294</v>
      </c>
      <c r="B557" s="16" t="s">
        <v>298</v>
      </c>
      <c r="C557" s="16"/>
      <c r="D557" s="16">
        <v>7</v>
      </c>
      <c r="E557" s="2" t="s">
        <v>174</v>
      </c>
      <c r="F557" s="2" t="s">
        <v>179</v>
      </c>
    </row>
    <row r="558" spans="1:6" ht="21" customHeight="1" x14ac:dyDescent="0.25">
      <c r="A558" s="42" t="s">
        <v>294</v>
      </c>
      <c r="B558" s="16" t="s">
        <v>298</v>
      </c>
      <c r="C558" s="16"/>
      <c r="D558" s="16">
        <v>8</v>
      </c>
      <c r="E558" s="2" t="s">
        <v>174</v>
      </c>
      <c r="F558" s="2" t="s">
        <v>179</v>
      </c>
    </row>
    <row r="559" spans="1:6" ht="21" customHeight="1" x14ac:dyDescent="0.25">
      <c r="A559" s="42" t="s">
        <v>299</v>
      </c>
      <c r="B559" s="15" t="s">
        <v>300</v>
      </c>
      <c r="C559" s="15"/>
      <c r="D559" s="15">
        <v>1</v>
      </c>
      <c r="E559" s="2" t="s">
        <v>282</v>
      </c>
      <c r="F559" s="2" t="s">
        <v>172</v>
      </c>
    </row>
    <row r="560" spans="1:6" ht="21" customHeight="1" x14ac:dyDescent="0.25">
      <c r="A560" s="42" t="s">
        <v>299</v>
      </c>
      <c r="B560" s="15" t="s">
        <v>300</v>
      </c>
      <c r="C560" s="15"/>
      <c r="D560" s="15">
        <v>2</v>
      </c>
      <c r="E560" s="2" t="s">
        <v>282</v>
      </c>
      <c r="F560" s="2" t="s">
        <v>172</v>
      </c>
    </row>
    <row r="561" spans="1:6" ht="21" customHeight="1" x14ac:dyDescent="0.25">
      <c r="A561" s="42" t="s">
        <v>299</v>
      </c>
      <c r="B561" s="15" t="s">
        <v>300</v>
      </c>
      <c r="C561" s="15"/>
      <c r="D561" s="15">
        <v>3</v>
      </c>
      <c r="E561" s="2" t="s">
        <v>282</v>
      </c>
      <c r="F561" s="2" t="s">
        <v>172</v>
      </c>
    </row>
    <row r="562" spans="1:6" ht="21" customHeight="1" x14ac:dyDescent="0.25">
      <c r="A562" s="42" t="s">
        <v>299</v>
      </c>
      <c r="B562" s="15" t="s">
        <v>300</v>
      </c>
      <c r="C562" s="15"/>
      <c r="D562" s="15">
        <v>4</v>
      </c>
      <c r="E562" s="2" t="s">
        <v>282</v>
      </c>
      <c r="F562" s="2" t="s">
        <v>172</v>
      </c>
    </row>
    <row r="563" spans="1:6" ht="21" customHeight="1" x14ac:dyDescent="0.25">
      <c r="A563" s="42" t="s">
        <v>299</v>
      </c>
      <c r="B563" s="15" t="s">
        <v>300</v>
      </c>
      <c r="C563" s="15"/>
      <c r="D563" s="15">
        <v>5</v>
      </c>
      <c r="E563" s="2" t="s">
        <v>282</v>
      </c>
      <c r="F563" s="2" t="s">
        <v>172</v>
      </c>
    </row>
    <row r="564" spans="1:6" ht="21" customHeight="1" x14ac:dyDescent="0.25">
      <c r="A564" s="42" t="s">
        <v>301</v>
      </c>
      <c r="B564" s="16" t="s">
        <v>302</v>
      </c>
      <c r="C564" s="16"/>
      <c r="D564" s="16">
        <v>1</v>
      </c>
      <c r="E564" s="2" t="s">
        <v>222</v>
      </c>
      <c r="F564" s="2" t="s">
        <v>172</v>
      </c>
    </row>
    <row r="565" spans="1:6" ht="21" customHeight="1" x14ac:dyDescent="0.25">
      <c r="A565" s="42" t="s">
        <v>301</v>
      </c>
      <c r="B565" s="16" t="s">
        <v>302</v>
      </c>
      <c r="C565" s="16"/>
      <c r="D565" s="16">
        <v>2</v>
      </c>
      <c r="E565" s="2" t="s">
        <v>222</v>
      </c>
      <c r="F565" s="2" t="s">
        <v>172</v>
      </c>
    </row>
    <row r="566" spans="1:6" ht="21" customHeight="1" x14ac:dyDescent="0.25">
      <c r="A566" s="42" t="s">
        <v>301</v>
      </c>
      <c r="B566" s="16" t="s">
        <v>302</v>
      </c>
      <c r="C566" s="16"/>
      <c r="D566" s="16">
        <v>3</v>
      </c>
      <c r="E566" s="2" t="s">
        <v>222</v>
      </c>
      <c r="F566" s="2" t="s">
        <v>172</v>
      </c>
    </row>
    <row r="567" spans="1:6" ht="21" customHeight="1" x14ac:dyDescent="0.25">
      <c r="A567" s="42" t="s">
        <v>301</v>
      </c>
      <c r="B567" s="16" t="s">
        <v>302</v>
      </c>
      <c r="C567" s="16"/>
      <c r="D567" s="16">
        <v>4</v>
      </c>
      <c r="E567" s="2" t="s">
        <v>222</v>
      </c>
      <c r="F567" s="2" t="s">
        <v>172</v>
      </c>
    </row>
    <row r="568" spans="1:6" ht="21" customHeight="1" x14ac:dyDescent="0.25">
      <c r="A568" s="42" t="s">
        <v>301</v>
      </c>
      <c r="B568" s="16" t="s">
        <v>302</v>
      </c>
      <c r="C568" s="16"/>
      <c r="D568" s="16">
        <v>5</v>
      </c>
      <c r="E568" s="2" t="s">
        <v>222</v>
      </c>
      <c r="F568" s="2" t="s">
        <v>172</v>
      </c>
    </row>
    <row r="569" spans="1:6" ht="21" customHeight="1" x14ac:dyDescent="0.25">
      <c r="A569" s="42" t="s">
        <v>301</v>
      </c>
      <c r="B569" s="15" t="s">
        <v>303</v>
      </c>
      <c r="C569" s="15"/>
      <c r="D569" s="15">
        <v>1</v>
      </c>
      <c r="E569" s="2" t="s">
        <v>174</v>
      </c>
      <c r="F569" s="2" t="s">
        <v>179</v>
      </c>
    </row>
    <row r="570" spans="1:6" ht="21" customHeight="1" x14ac:dyDescent="0.25">
      <c r="A570" s="42" t="s">
        <v>301</v>
      </c>
      <c r="B570" s="15" t="s">
        <v>303</v>
      </c>
      <c r="C570" s="15"/>
      <c r="D570" s="15">
        <v>2</v>
      </c>
      <c r="E570" s="2" t="s">
        <v>174</v>
      </c>
      <c r="F570" s="2" t="s">
        <v>179</v>
      </c>
    </row>
    <row r="571" spans="1:6" ht="21" customHeight="1" x14ac:dyDescent="0.25">
      <c r="A571" s="42" t="s">
        <v>301</v>
      </c>
      <c r="B571" s="15" t="s">
        <v>303</v>
      </c>
      <c r="C571" s="15"/>
      <c r="D571" s="15">
        <v>3</v>
      </c>
      <c r="E571" s="2" t="s">
        <v>174</v>
      </c>
      <c r="F571" s="2" t="s">
        <v>179</v>
      </c>
    </row>
    <row r="572" spans="1:6" ht="21" customHeight="1" x14ac:dyDescent="0.25">
      <c r="A572" s="42" t="s">
        <v>301</v>
      </c>
      <c r="B572" s="15" t="s">
        <v>303</v>
      </c>
      <c r="C572" s="15"/>
      <c r="D572" s="15">
        <v>4</v>
      </c>
      <c r="E572" s="2" t="s">
        <v>174</v>
      </c>
      <c r="F572" s="2" t="s">
        <v>179</v>
      </c>
    </row>
    <row r="573" spans="1:6" ht="21" customHeight="1" x14ac:dyDescent="0.25">
      <c r="A573" s="42" t="s">
        <v>301</v>
      </c>
      <c r="B573" s="15" t="s">
        <v>303</v>
      </c>
      <c r="C573" s="15"/>
      <c r="D573" s="15">
        <v>5</v>
      </c>
      <c r="E573" s="2" t="s">
        <v>174</v>
      </c>
      <c r="F573" s="2" t="s">
        <v>179</v>
      </c>
    </row>
    <row r="574" spans="1:6" ht="21" customHeight="1" x14ac:dyDescent="0.25">
      <c r="A574" s="42" t="s">
        <v>301</v>
      </c>
      <c r="B574" s="15" t="s">
        <v>303</v>
      </c>
      <c r="C574" s="15"/>
      <c r="D574" s="15">
        <v>6</v>
      </c>
      <c r="E574" s="2" t="s">
        <v>174</v>
      </c>
      <c r="F574" s="2" t="s">
        <v>179</v>
      </c>
    </row>
    <row r="575" spans="1:6" ht="21" customHeight="1" x14ac:dyDescent="0.25">
      <c r="A575" s="42" t="s">
        <v>301</v>
      </c>
      <c r="B575" s="15" t="s">
        <v>303</v>
      </c>
      <c r="C575" s="15"/>
      <c r="D575" s="15">
        <v>7</v>
      </c>
      <c r="E575" s="2" t="s">
        <v>174</v>
      </c>
      <c r="F575" s="2" t="s">
        <v>179</v>
      </c>
    </row>
    <row r="576" spans="1:6" ht="21" customHeight="1" x14ac:dyDescent="0.25">
      <c r="A576" s="42" t="s">
        <v>301</v>
      </c>
      <c r="B576" s="15" t="s">
        <v>303</v>
      </c>
      <c r="C576" s="15"/>
      <c r="D576" s="15">
        <v>8</v>
      </c>
      <c r="E576" s="2" t="s">
        <v>174</v>
      </c>
      <c r="F576" s="2" t="s">
        <v>179</v>
      </c>
    </row>
    <row r="577" spans="1:6" ht="21" customHeight="1" x14ac:dyDescent="0.25">
      <c r="A577" s="41" t="s">
        <v>304</v>
      </c>
      <c r="B577" s="16" t="s">
        <v>305</v>
      </c>
      <c r="C577" s="16"/>
      <c r="D577" s="16">
        <v>1</v>
      </c>
      <c r="E577" s="2" t="s">
        <v>222</v>
      </c>
      <c r="F577" s="2" t="s">
        <v>172</v>
      </c>
    </row>
    <row r="578" spans="1:6" ht="21" customHeight="1" x14ac:dyDescent="0.25">
      <c r="A578" s="41" t="s">
        <v>304</v>
      </c>
      <c r="B578" s="16" t="s">
        <v>305</v>
      </c>
      <c r="C578" s="16"/>
      <c r="D578" s="16">
        <v>2</v>
      </c>
      <c r="E578" s="2" t="s">
        <v>222</v>
      </c>
      <c r="F578" s="2" t="s">
        <v>172</v>
      </c>
    </row>
    <row r="579" spans="1:6" ht="21" customHeight="1" x14ac:dyDescent="0.25">
      <c r="A579" s="41" t="s">
        <v>304</v>
      </c>
      <c r="B579" s="16" t="s">
        <v>305</v>
      </c>
      <c r="C579" s="16"/>
      <c r="D579" s="16">
        <v>3</v>
      </c>
      <c r="E579" s="2" t="s">
        <v>222</v>
      </c>
      <c r="F579" s="2" t="s">
        <v>172</v>
      </c>
    </row>
    <row r="580" spans="1:6" ht="21" customHeight="1" x14ac:dyDescent="0.25">
      <c r="A580" s="41" t="s">
        <v>304</v>
      </c>
      <c r="B580" s="16" t="s">
        <v>305</v>
      </c>
      <c r="C580" s="16"/>
      <c r="D580" s="16">
        <v>4</v>
      </c>
      <c r="E580" s="2" t="s">
        <v>222</v>
      </c>
      <c r="F580" s="2" t="s">
        <v>172</v>
      </c>
    </row>
    <row r="581" spans="1:6" ht="21" customHeight="1" x14ac:dyDescent="0.25">
      <c r="A581" s="41" t="s">
        <v>304</v>
      </c>
      <c r="B581" s="16" t="s">
        <v>305</v>
      </c>
      <c r="C581" s="16"/>
      <c r="D581" s="16">
        <v>5</v>
      </c>
      <c r="E581" s="2" t="s">
        <v>222</v>
      </c>
      <c r="F581" s="2" t="s">
        <v>172</v>
      </c>
    </row>
    <row r="582" spans="1:6" ht="21" customHeight="1" x14ac:dyDescent="0.25">
      <c r="A582" s="41" t="s">
        <v>304</v>
      </c>
      <c r="B582" s="15" t="s">
        <v>306</v>
      </c>
      <c r="C582" s="15"/>
      <c r="D582" s="15">
        <v>1</v>
      </c>
      <c r="E582" s="2" t="s">
        <v>174</v>
      </c>
      <c r="F582" s="2" t="s">
        <v>179</v>
      </c>
    </row>
    <row r="583" spans="1:6" ht="21" customHeight="1" x14ac:dyDescent="0.25">
      <c r="A583" s="41" t="s">
        <v>304</v>
      </c>
      <c r="B583" s="15" t="s">
        <v>306</v>
      </c>
      <c r="C583" s="15"/>
      <c r="D583" s="15">
        <v>2</v>
      </c>
      <c r="E583" s="2" t="s">
        <v>174</v>
      </c>
      <c r="F583" s="2" t="s">
        <v>179</v>
      </c>
    </row>
    <row r="584" spans="1:6" ht="21" customHeight="1" x14ac:dyDescent="0.25">
      <c r="A584" s="41" t="s">
        <v>304</v>
      </c>
      <c r="B584" s="15" t="s">
        <v>306</v>
      </c>
      <c r="C584" s="15"/>
      <c r="D584" s="15">
        <v>3</v>
      </c>
      <c r="E584" s="2" t="s">
        <v>174</v>
      </c>
      <c r="F584" s="2" t="s">
        <v>179</v>
      </c>
    </row>
    <row r="585" spans="1:6" ht="21" customHeight="1" x14ac:dyDescent="0.25">
      <c r="A585" s="41" t="s">
        <v>304</v>
      </c>
      <c r="B585" s="15" t="s">
        <v>306</v>
      </c>
      <c r="C585" s="15"/>
      <c r="D585" s="15">
        <v>4</v>
      </c>
      <c r="E585" s="2" t="s">
        <v>174</v>
      </c>
      <c r="F585" s="2" t="s">
        <v>179</v>
      </c>
    </row>
    <row r="586" spans="1:6" ht="21" customHeight="1" x14ac:dyDescent="0.25">
      <c r="A586" s="41" t="s">
        <v>304</v>
      </c>
      <c r="B586" s="15" t="s">
        <v>306</v>
      </c>
      <c r="C586" s="15"/>
      <c r="D586" s="15">
        <v>5</v>
      </c>
      <c r="E586" s="2" t="s">
        <v>174</v>
      </c>
      <c r="F586" s="2" t="s">
        <v>179</v>
      </c>
    </row>
    <row r="587" spans="1:6" ht="21" customHeight="1" x14ac:dyDescent="0.25">
      <c r="A587" s="41" t="s">
        <v>304</v>
      </c>
      <c r="B587" s="15" t="s">
        <v>306</v>
      </c>
      <c r="C587" s="15"/>
      <c r="D587" s="15">
        <v>6</v>
      </c>
      <c r="E587" s="2" t="s">
        <v>174</v>
      </c>
      <c r="F587" s="2" t="s">
        <v>179</v>
      </c>
    </row>
    <row r="588" spans="1:6" ht="21" customHeight="1" x14ac:dyDescent="0.25">
      <c r="A588" s="41" t="s">
        <v>304</v>
      </c>
      <c r="B588" s="15" t="s">
        <v>306</v>
      </c>
      <c r="C588" s="15"/>
      <c r="D588" s="15">
        <v>7</v>
      </c>
      <c r="E588" s="2" t="s">
        <v>174</v>
      </c>
      <c r="F588" s="2" t="s">
        <v>179</v>
      </c>
    </row>
    <row r="589" spans="1:6" ht="21" customHeight="1" x14ac:dyDescent="0.25">
      <c r="A589" s="41" t="s">
        <v>304</v>
      </c>
      <c r="B589" s="15" t="s">
        <v>306</v>
      </c>
      <c r="C589" s="15"/>
      <c r="D589" s="15">
        <v>8</v>
      </c>
      <c r="E589" s="2" t="s">
        <v>174</v>
      </c>
      <c r="F589" s="2" t="s">
        <v>179</v>
      </c>
    </row>
    <row r="590" spans="1:6" ht="21" customHeight="1" x14ac:dyDescent="0.25">
      <c r="A590" s="41" t="s">
        <v>304</v>
      </c>
      <c r="B590" s="16" t="s">
        <v>306</v>
      </c>
      <c r="C590" s="16"/>
      <c r="D590" s="16">
        <v>1</v>
      </c>
      <c r="E590" s="2" t="s">
        <v>174</v>
      </c>
      <c r="F590" s="2" t="s">
        <v>179</v>
      </c>
    </row>
    <row r="591" spans="1:6" ht="21" customHeight="1" x14ac:dyDescent="0.25">
      <c r="A591" s="41" t="s">
        <v>304</v>
      </c>
      <c r="B591" s="16" t="s">
        <v>306</v>
      </c>
      <c r="C591" s="16"/>
      <c r="D591" s="16">
        <v>2</v>
      </c>
      <c r="E591" s="2" t="s">
        <v>174</v>
      </c>
      <c r="F591" s="2" t="s">
        <v>179</v>
      </c>
    </row>
    <row r="592" spans="1:6" ht="21" customHeight="1" x14ac:dyDescent="0.25">
      <c r="A592" s="41" t="s">
        <v>304</v>
      </c>
      <c r="B592" s="16" t="s">
        <v>306</v>
      </c>
      <c r="C592" s="16"/>
      <c r="D592" s="16">
        <v>3</v>
      </c>
      <c r="E592" s="2" t="s">
        <v>174</v>
      </c>
      <c r="F592" s="2" t="s">
        <v>179</v>
      </c>
    </row>
    <row r="593" spans="1:6" ht="21" customHeight="1" x14ac:dyDescent="0.25">
      <c r="A593" s="41" t="s">
        <v>304</v>
      </c>
      <c r="B593" s="16" t="s">
        <v>306</v>
      </c>
      <c r="C593" s="16"/>
      <c r="D593" s="16">
        <v>4</v>
      </c>
      <c r="E593" s="2" t="s">
        <v>174</v>
      </c>
      <c r="F593" s="2" t="s">
        <v>179</v>
      </c>
    </row>
    <row r="594" spans="1:6" ht="21" customHeight="1" x14ac:dyDescent="0.25">
      <c r="A594" s="41" t="s">
        <v>304</v>
      </c>
      <c r="B594" s="16" t="s">
        <v>306</v>
      </c>
      <c r="C594" s="16"/>
      <c r="D594" s="16">
        <v>5</v>
      </c>
      <c r="E594" s="2" t="s">
        <v>174</v>
      </c>
      <c r="F594" s="2" t="s">
        <v>179</v>
      </c>
    </row>
    <row r="595" spans="1:6" ht="21" customHeight="1" x14ac:dyDescent="0.25">
      <c r="A595" s="41" t="s">
        <v>304</v>
      </c>
      <c r="B595" s="16" t="s">
        <v>306</v>
      </c>
      <c r="C595" s="16"/>
      <c r="D595" s="16">
        <v>6</v>
      </c>
      <c r="E595" s="2" t="s">
        <v>174</v>
      </c>
      <c r="F595" s="2" t="s">
        <v>179</v>
      </c>
    </row>
    <row r="596" spans="1:6" ht="21" customHeight="1" x14ac:dyDescent="0.25">
      <c r="A596" s="41" t="s">
        <v>304</v>
      </c>
      <c r="B596" s="16" t="s">
        <v>306</v>
      </c>
      <c r="C596" s="16"/>
      <c r="D596" s="16">
        <v>7</v>
      </c>
      <c r="E596" s="2" t="s">
        <v>174</v>
      </c>
      <c r="F596" s="2" t="s">
        <v>179</v>
      </c>
    </row>
    <row r="597" spans="1:6" ht="21" customHeight="1" x14ac:dyDescent="0.25">
      <c r="A597" s="41" t="s">
        <v>304</v>
      </c>
      <c r="B597" s="16" t="s">
        <v>306</v>
      </c>
      <c r="C597" s="16"/>
      <c r="D597" s="16">
        <v>8</v>
      </c>
      <c r="E597" s="2" t="s">
        <v>174</v>
      </c>
      <c r="F597" s="2" t="s">
        <v>179</v>
      </c>
    </row>
    <row r="598" spans="1:6" ht="21" customHeight="1" x14ac:dyDescent="0.25">
      <c r="A598" s="42" t="s">
        <v>307</v>
      </c>
      <c r="B598" s="15" t="s">
        <v>308</v>
      </c>
      <c r="C598" s="15"/>
      <c r="D598" s="15">
        <v>1</v>
      </c>
      <c r="E598" s="2" t="s">
        <v>222</v>
      </c>
      <c r="F598" s="2" t="s">
        <v>172</v>
      </c>
    </row>
    <row r="599" spans="1:6" ht="21" customHeight="1" x14ac:dyDescent="0.25">
      <c r="A599" s="42" t="s">
        <v>307</v>
      </c>
      <c r="B599" s="15" t="s">
        <v>308</v>
      </c>
      <c r="C599" s="15"/>
      <c r="D599" s="15">
        <v>2</v>
      </c>
      <c r="E599" s="2" t="s">
        <v>222</v>
      </c>
      <c r="F599" s="2" t="s">
        <v>172</v>
      </c>
    </row>
    <row r="600" spans="1:6" ht="21" customHeight="1" x14ac:dyDescent="0.25">
      <c r="A600" s="42" t="s">
        <v>307</v>
      </c>
      <c r="B600" s="15" t="s">
        <v>308</v>
      </c>
      <c r="C600" s="15"/>
      <c r="D600" s="15">
        <v>3</v>
      </c>
      <c r="E600" s="2" t="s">
        <v>222</v>
      </c>
      <c r="F600" s="2" t="s">
        <v>172</v>
      </c>
    </row>
    <row r="601" spans="1:6" ht="21" customHeight="1" x14ac:dyDescent="0.25">
      <c r="A601" s="42" t="s">
        <v>307</v>
      </c>
      <c r="B601" s="15" t="s">
        <v>308</v>
      </c>
      <c r="C601" s="15"/>
      <c r="D601" s="15">
        <v>4</v>
      </c>
      <c r="E601" s="2" t="s">
        <v>222</v>
      </c>
      <c r="F601" s="2" t="s">
        <v>172</v>
      </c>
    </row>
    <row r="602" spans="1:6" ht="21" customHeight="1" x14ac:dyDescent="0.25">
      <c r="A602" s="42" t="s">
        <v>307</v>
      </c>
      <c r="B602" s="15" t="s">
        <v>308</v>
      </c>
      <c r="C602" s="15"/>
      <c r="D602" s="15">
        <v>5</v>
      </c>
      <c r="E602" s="2" t="s">
        <v>222</v>
      </c>
      <c r="F602" s="2" t="s">
        <v>172</v>
      </c>
    </row>
    <row r="603" spans="1:6" ht="21" customHeight="1" x14ac:dyDescent="0.25">
      <c r="A603" s="42" t="s">
        <v>307</v>
      </c>
      <c r="B603" s="16" t="s">
        <v>309</v>
      </c>
      <c r="C603" s="16"/>
      <c r="D603" s="16">
        <v>1</v>
      </c>
      <c r="E603" s="2" t="s">
        <v>174</v>
      </c>
      <c r="F603" s="2" t="s">
        <v>179</v>
      </c>
    </row>
    <row r="604" spans="1:6" ht="21" customHeight="1" x14ac:dyDescent="0.25">
      <c r="A604" s="42" t="s">
        <v>307</v>
      </c>
      <c r="B604" s="16" t="s">
        <v>309</v>
      </c>
      <c r="C604" s="16"/>
      <c r="D604" s="16">
        <v>2</v>
      </c>
      <c r="E604" s="2" t="s">
        <v>174</v>
      </c>
      <c r="F604" s="2" t="s">
        <v>179</v>
      </c>
    </row>
    <row r="605" spans="1:6" ht="21" customHeight="1" x14ac:dyDescent="0.25">
      <c r="A605" s="42" t="s">
        <v>307</v>
      </c>
      <c r="B605" s="16" t="s">
        <v>309</v>
      </c>
      <c r="C605" s="16"/>
      <c r="D605" s="16">
        <v>3</v>
      </c>
      <c r="E605" s="2" t="s">
        <v>174</v>
      </c>
      <c r="F605" s="2" t="s">
        <v>179</v>
      </c>
    </row>
    <row r="606" spans="1:6" ht="21" customHeight="1" x14ac:dyDescent="0.25">
      <c r="A606" s="42" t="s">
        <v>307</v>
      </c>
      <c r="B606" s="16" t="s">
        <v>309</v>
      </c>
      <c r="C606" s="16"/>
      <c r="D606" s="16">
        <v>4</v>
      </c>
      <c r="E606" s="2" t="s">
        <v>174</v>
      </c>
      <c r="F606" s="2" t="s">
        <v>179</v>
      </c>
    </row>
    <row r="607" spans="1:6" ht="21" customHeight="1" x14ac:dyDescent="0.25">
      <c r="A607" s="42" t="s">
        <v>307</v>
      </c>
      <c r="B607" s="16" t="s">
        <v>309</v>
      </c>
      <c r="C607" s="16"/>
      <c r="D607" s="16">
        <v>5</v>
      </c>
      <c r="E607" s="2" t="s">
        <v>174</v>
      </c>
      <c r="F607" s="2" t="s">
        <v>179</v>
      </c>
    </row>
    <row r="608" spans="1:6" ht="21" customHeight="1" x14ac:dyDescent="0.25">
      <c r="A608" s="42" t="s">
        <v>307</v>
      </c>
      <c r="B608" s="16" t="s">
        <v>309</v>
      </c>
      <c r="C608" s="16"/>
      <c r="D608" s="16">
        <v>6</v>
      </c>
      <c r="E608" s="2" t="s">
        <v>174</v>
      </c>
      <c r="F608" s="2" t="s">
        <v>179</v>
      </c>
    </row>
    <row r="609" spans="1:6" ht="21" customHeight="1" x14ac:dyDescent="0.25">
      <c r="A609" s="42" t="s">
        <v>307</v>
      </c>
      <c r="B609" s="16" t="s">
        <v>309</v>
      </c>
      <c r="C609" s="16"/>
      <c r="D609" s="16">
        <v>7</v>
      </c>
      <c r="E609" s="2" t="s">
        <v>174</v>
      </c>
      <c r="F609" s="2" t="s">
        <v>179</v>
      </c>
    </row>
    <row r="610" spans="1:6" ht="21" customHeight="1" x14ac:dyDescent="0.25">
      <c r="A610" s="42" t="s">
        <v>307</v>
      </c>
      <c r="B610" s="16" t="s">
        <v>309</v>
      </c>
      <c r="C610" s="16"/>
      <c r="D610" s="16">
        <v>8</v>
      </c>
      <c r="E610" s="2" t="s">
        <v>174</v>
      </c>
      <c r="F610" s="2" t="s">
        <v>179</v>
      </c>
    </row>
    <row r="611" spans="1:6" ht="21" customHeight="1" x14ac:dyDescent="0.25">
      <c r="A611" s="42" t="s">
        <v>307</v>
      </c>
      <c r="B611" s="15" t="s">
        <v>309</v>
      </c>
      <c r="C611" s="15"/>
      <c r="D611" s="15">
        <v>1</v>
      </c>
      <c r="E611" s="2" t="s">
        <v>174</v>
      </c>
      <c r="F611" s="2" t="s">
        <v>179</v>
      </c>
    </row>
    <row r="612" spans="1:6" ht="21" customHeight="1" x14ac:dyDescent="0.25">
      <c r="A612" s="42" t="s">
        <v>307</v>
      </c>
      <c r="B612" s="15" t="s">
        <v>309</v>
      </c>
      <c r="C612" s="15"/>
      <c r="D612" s="15">
        <v>2</v>
      </c>
      <c r="E612" s="2" t="s">
        <v>174</v>
      </c>
      <c r="F612" s="2" t="s">
        <v>179</v>
      </c>
    </row>
    <row r="613" spans="1:6" ht="21" customHeight="1" x14ac:dyDescent="0.25">
      <c r="A613" s="42" t="s">
        <v>307</v>
      </c>
      <c r="B613" s="15" t="s">
        <v>309</v>
      </c>
      <c r="C613" s="15"/>
      <c r="D613" s="15">
        <v>3</v>
      </c>
      <c r="E613" s="2" t="s">
        <v>174</v>
      </c>
      <c r="F613" s="2" t="s">
        <v>179</v>
      </c>
    </row>
    <row r="614" spans="1:6" ht="21" customHeight="1" x14ac:dyDescent="0.25">
      <c r="A614" s="42" t="s">
        <v>307</v>
      </c>
      <c r="B614" s="15" t="s">
        <v>309</v>
      </c>
      <c r="C614" s="15"/>
      <c r="D614" s="15">
        <v>4</v>
      </c>
      <c r="E614" s="2" t="s">
        <v>174</v>
      </c>
      <c r="F614" s="2" t="s">
        <v>179</v>
      </c>
    </row>
    <row r="615" spans="1:6" ht="21" customHeight="1" x14ac:dyDescent="0.25">
      <c r="A615" s="42" t="s">
        <v>307</v>
      </c>
      <c r="B615" s="15" t="s">
        <v>309</v>
      </c>
      <c r="C615" s="15"/>
      <c r="D615" s="15">
        <v>5</v>
      </c>
      <c r="E615" s="2" t="s">
        <v>174</v>
      </c>
      <c r="F615" s="2" t="s">
        <v>179</v>
      </c>
    </row>
    <row r="616" spans="1:6" ht="21" customHeight="1" x14ac:dyDescent="0.25">
      <c r="A616" s="42" t="s">
        <v>307</v>
      </c>
      <c r="B616" s="15" t="s">
        <v>309</v>
      </c>
      <c r="C616" s="15"/>
      <c r="D616" s="15">
        <v>6</v>
      </c>
      <c r="E616" s="2" t="s">
        <v>174</v>
      </c>
      <c r="F616" s="2" t="s">
        <v>179</v>
      </c>
    </row>
    <row r="617" spans="1:6" ht="21" customHeight="1" x14ac:dyDescent="0.25">
      <c r="A617" s="42" t="s">
        <v>307</v>
      </c>
      <c r="B617" s="15" t="s">
        <v>309</v>
      </c>
      <c r="C617" s="15"/>
      <c r="D617" s="15">
        <v>7</v>
      </c>
      <c r="E617" s="2" t="s">
        <v>174</v>
      </c>
      <c r="F617" s="2" t="s">
        <v>179</v>
      </c>
    </row>
    <row r="618" spans="1:6" ht="21" customHeight="1" x14ac:dyDescent="0.25">
      <c r="A618" s="42" t="s">
        <v>307</v>
      </c>
      <c r="B618" s="15" t="s">
        <v>309</v>
      </c>
      <c r="C618" s="15"/>
      <c r="D618" s="15">
        <v>8</v>
      </c>
      <c r="E618" s="2" t="s">
        <v>174</v>
      </c>
      <c r="F618" s="2" t="s">
        <v>179</v>
      </c>
    </row>
    <row r="619" spans="1:6" ht="21" customHeight="1" x14ac:dyDescent="0.25">
      <c r="A619" s="42" t="s">
        <v>310</v>
      </c>
      <c r="B619" s="16" t="s">
        <v>311</v>
      </c>
      <c r="C619" s="16"/>
      <c r="D619" s="16">
        <v>1</v>
      </c>
      <c r="E619" s="2" t="s">
        <v>312</v>
      </c>
      <c r="F619" s="2" t="s">
        <v>172</v>
      </c>
    </row>
    <row r="620" spans="1:6" ht="21" customHeight="1" x14ac:dyDescent="0.25">
      <c r="A620" s="42" t="s">
        <v>310</v>
      </c>
      <c r="B620" s="16" t="s">
        <v>311</v>
      </c>
      <c r="C620" s="16"/>
      <c r="D620" s="16">
        <v>2</v>
      </c>
      <c r="E620" s="2" t="s">
        <v>312</v>
      </c>
      <c r="F620" s="2" t="s">
        <v>172</v>
      </c>
    </row>
    <row r="621" spans="1:6" ht="21" customHeight="1" x14ac:dyDescent="0.25">
      <c r="A621" s="42" t="s">
        <v>310</v>
      </c>
      <c r="B621" s="16" t="s">
        <v>311</v>
      </c>
      <c r="C621" s="16"/>
      <c r="D621" s="16">
        <v>3</v>
      </c>
      <c r="E621" s="2" t="s">
        <v>312</v>
      </c>
      <c r="F621" s="2" t="s">
        <v>172</v>
      </c>
    </row>
    <row r="622" spans="1:6" ht="21" customHeight="1" x14ac:dyDescent="0.25">
      <c r="A622" s="42" t="s">
        <v>310</v>
      </c>
      <c r="B622" s="16" t="s">
        <v>311</v>
      </c>
      <c r="C622" s="16"/>
      <c r="D622" s="16">
        <v>4</v>
      </c>
      <c r="E622" s="2" t="s">
        <v>312</v>
      </c>
      <c r="F622" s="2" t="s">
        <v>172</v>
      </c>
    </row>
    <row r="623" spans="1:6" ht="21" customHeight="1" x14ac:dyDescent="0.25">
      <c r="A623" s="42" t="s">
        <v>310</v>
      </c>
      <c r="B623" s="16" t="s">
        <v>311</v>
      </c>
      <c r="C623" s="16"/>
      <c r="D623" s="16">
        <v>5</v>
      </c>
      <c r="E623" s="2" t="s">
        <v>312</v>
      </c>
      <c r="F623" s="2" t="s">
        <v>172</v>
      </c>
    </row>
    <row r="624" spans="1:6" ht="21" customHeight="1" x14ac:dyDescent="0.25">
      <c r="A624" s="42" t="s">
        <v>310</v>
      </c>
      <c r="B624" s="15" t="s">
        <v>313</v>
      </c>
      <c r="C624" s="15"/>
      <c r="D624" s="15">
        <v>1</v>
      </c>
      <c r="E624" s="2" t="s">
        <v>312</v>
      </c>
      <c r="F624" s="2" t="s">
        <v>193</v>
      </c>
    </row>
    <row r="625" spans="1:6" ht="21" customHeight="1" x14ac:dyDescent="0.25">
      <c r="A625" s="42" t="s">
        <v>310</v>
      </c>
      <c r="B625" s="15" t="s">
        <v>313</v>
      </c>
      <c r="C625" s="15"/>
      <c r="D625" s="15">
        <v>2</v>
      </c>
      <c r="E625" s="2" t="s">
        <v>312</v>
      </c>
      <c r="F625" s="2" t="s">
        <v>193</v>
      </c>
    </row>
    <row r="626" spans="1:6" ht="21" customHeight="1" x14ac:dyDescent="0.25">
      <c r="A626" s="42" t="s">
        <v>310</v>
      </c>
      <c r="B626" s="15" t="s">
        <v>313</v>
      </c>
      <c r="C626" s="15"/>
      <c r="D626" s="15">
        <v>3</v>
      </c>
      <c r="E626" s="2" t="s">
        <v>312</v>
      </c>
      <c r="F626" s="2" t="s">
        <v>193</v>
      </c>
    </row>
    <row r="627" spans="1:6" ht="21" customHeight="1" x14ac:dyDescent="0.25">
      <c r="A627" s="42" t="s">
        <v>310</v>
      </c>
      <c r="B627" s="15" t="s">
        <v>313</v>
      </c>
      <c r="C627" s="15"/>
      <c r="D627" s="15">
        <v>4</v>
      </c>
      <c r="E627" s="2" t="s">
        <v>312</v>
      </c>
      <c r="F627" s="2" t="s">
        <v>193</v>
      </c>
    </row>
    <row r="628" spans="1:6" ht="21" customHeight="1" x14ac:dyDescent="0.25">
      <c r="A628" s="42" t="s">
        <v>310</v>
      </c>
      <c r="B628" s="15" t="s">
        <v>313</v>
      </c>
      <c r="C628" s="15"/>
      <c r="D628" s="15">
        <v>5</v>
      </c>
      <c r="E628" s="2" t="s">
        <v>312</v>
      </c>
      <c r="F628" s="2" t="s">
        <v>193</v>
      </c>
    </row>
    <row r="629" spans="1:6" ht="21" customHeight="1" x14ac:dyDescent="0.25">
      <c r="A629" s="42" t="s">
        <v>310</v>
      </c>
      <c r="B629" s="16" t="s">
        <v>314</v>
      </c>
      <c r="C629" s="16"/>
      <c r="D629" s="16">
        <v>1</v>
      </c>
      <c r="E629" s="2" t="s">
        <v>174</v>
      </c>
      <c r="F629" s="2" t="s">
        <v>175</v>
      </c>
    </row>
    <row r="630" spans="1:6" ht="21" customHeight="1" x14ac:dyDescent="0.25">
      <c r="A630" s="42" t="s">
        <v>310</v>
      </c>
      <c r="B630" s="16" t="s">
        <v>314</v>
      </c>
      <c r="C630" s="16"/>
      <c r="D630" s="16">
        <v>2</v>
      </c>
      <c r="E630" s="2" t="s">
        <v>174</v>
      </c>
      <c r="F630" s="2" t="s">
        <v>175</v>
      </c>
    </row>
    <row r="631" spans="1:6" ht="21" customHeight="1" x14ac:dyDescent="0.25">
      <c r="A631" s="42" t="s">
        <v>310</v>
      </c>
      <c r="B631" s="16" t="s">
        <v>314</v>
      </c>
      <c r="C631" s="16"/>
      <c r="D631" s="16">
        <v>3</v>
      </c>
      <c r="E631" s="2" t="s">
        <v>174</v>
      </c>
      <c r="F631" s="2" t="s">
        <v>175</v>
      </c>
    </row>
    <row r="632" spans="1:6" ht="21" customHeight="1" x14ac:dyDescent="0.25">
      <c r="A632" s="42" t="s">
        <v>310</v>
      </c>
      <c r="B632" s="16" t="s">
        <v>314</v>
      </c>
      <c r="C632" s="16"/>
      <c r="D632" s="16">
        <v>4</v>
      </c>
      <c r="E632" s="2" t="s">
        <v>174</v>
      </c>
      <c r="F632" s="2" t="s">
        <v>175</v>
      </c>
    </row>
    <row r="633" spans="1:6" ht="21" customHeight="1" x14ac:dyDescent="0.25">
      <c r="A633" s="42" t="s">
        <v>310</v>
      </c>
      <c r="B633" s="16" t="s">
        <v>314</v>
      </c>
      <c r="C633" s="16"/>
      <c r="D633" s="16">
        <v>5</v>
      </c>
      <c r="E633" s="2" t="s">
        <v>174</v>
      </c>
      <c r="F633" s="2" t="s">
        <v>175</v>
      </c>
    </row>
    <row r="634" spans="1:6" ht="21" customHeight="1" x14ac:dyDescent="0.25">
      <c r="A634" s="42" t="s">
        <v>310</v>
      </c>
      <c r="B634" s="15" t="s">
        <v>315</v>
      </c>
      <c r="C634" s="15"/>
      <c r="D634" s="15">
        <v>1</v>
      </c>
      <c r="E634" s="2" t="s">
        <v>174</v>
      </c>
      <c r="F634" s="2" t="s">
        <v>177</v>
      </c>
    </row>
    <row r="635" spans="1:6" ht="21" customHeight="1" x14ac:dyDescent="0.25">
      <c r="A635" s="42" t="s">
        <v>310</v>
      </c>
      <c r="B635" s="15" t="s">
        <v>315</v>
      </c>
      <c r="C635" s="15"/>
      <c r="D635" s="15">
        <v>2</v>
      </c>
      <c r="E635" s="2" t="s">
        <v>174</v>
      </c>
      <c r="F635" s="2" t="s">
        <v>177</v>
      </c>
    </row>
    <row r="636" spans="1:6" ht="21" customHeight="1" x14ac:dyDescent="0.25">
      <c r="A636" s="42" t="s">
        <v>310</v>
      </c>
      <c r="B636" s="15" t="s">
        <v>315</v>
      </c>
      <c r="C636" s="15"/>
      <c r="D636" s="15">
        <v>3</v>
      </c>
      <c r="E636" s="2" t="s">
        <v>174</v>
      </c>
      <c r="F636" s="2" t="s">
        <v>177</v>
      </c>
    </row>
    <row r="637" spans="1:6" ht="21" customHeight="1" x14ac:dyDescent="0.25">
      <c r="A637" s="42" t="s">
        <v>310</v>
      </c>
      <c r="B637" s="15" t="s">
        <v>315</v>
      </c>
      <c r="C637" s="15"/>
      <c r="D637" s="15">
        <v>4</v>
      </c>
      <c r="E637" s="2" t="s">
        <v>174</v>
      </c>
      <c r="F637" s="2" t="s">
        <v>177</v>
      </c>
    </row>
    <row r="638" spans="1:6" ht="21" customHeight="1" x14ac:dyDescent="0.25">
      <c r="A638" s="42" t="s">
        <v>310</v>
      </c>
      <c r="B638" s="15" t="s">
        <v>315</v>
      </c>
      <c r="C638" s="15"/>
      <c r="D638" s="15">
        <v>5</v>
      </c>
      <c r="E638" s="2" t="s">
        <v>174</v>
      </c>
      <c r="F638" s="2" t="s">
        <v>177</v>
      </c>
    </row>
    <row r="639" spans="1:6" ht="21" customHeight="1" x14ac:dyDescent="0.25">
      <c r="A639" s="42" t="s">
        <v>310</v>
      </c>
      <c r="B639" s="16" t="s">
        <v>316</v>
      </c>
      <c r="C639" s="16"/>
      <c r="D639" s="16">
        <v>1</v>
      </c>
      <c r="E639" s="2" t="s">
        <v>174</v>
      </c>
      <c r="F639" s="2" t="s">
        <v>179</v>
      </c>
    </row>
    <row r="640" spans="1:6" ht="21" customHeight="1" x14ac:dyDescent="0.25">
      <c r="A640" s="42" t="s">
        <v>310</v>
      </c>
      <c r="B640" s="16" t="s">
        <v>316</v>
      </c>
      <c r="C640" s="16"/>
      <c r="D640" s="16">
        <v>2</v>
      </c>
      <c r="E640" s="2" t="s">
        <v>174</v>
      </c>
      <c r="F640" s="2" t="s">
        <v>179</v>
      </c>
    </row>
    <row r="641" spans="1:6" ht="21" customHeight="1" x14ac:dyDescent="0.25">
      <c r="A641" s="42" t="s">
        <v>310</v>
      </c>
      <c r="B641" s="16" t="s">
        <v>316</v>
      </c>
      <c r="C641" s="16"/>
      <c r="D641" s="16">
        <v>3</v>
      </c>
      <c r="E641" s="2" t="s">
        <v>174</v>
      </c>
      <c r="F641" s="2" t="s">
        <v>179</v>
      </c>
    </row>
    <row r="642" spans="1:6" ht="21" customHeight="1" x14ac:dyDescent="0.25">
      <c r="A642" s="42" t="s">
        <v>310</v>
      </c>
      <c r="B642" s="16" t="s">
        <v>316</v>
      </c>
      <c r="C642" s="16"/>
      <c r="D642" s="16">
        <v>4</v>
      </c>
      <c r="E642" s="2" t="s">
        <v>174</v>
      </c>
      <c r="F642" s="2" t="s">
        <v>179</v>
      </c>
    </row>
    <row r="643" spans="1:6" ht="21" customHeight="1" x14ac:dyDescent="0.25">
      <c r="A643" s="42" t="s">
        <v>310</v>
      </c>
      <c r="B643" s="16" t="s">
        <v>316</v>
      </c>
      <c r="C643" s="16"/>
      <c r="D643" s="16">
        <v>5</v>
      </c>
      <c r="E643" s="2" t="s">
        <v>174</v>
      </c>
      <c r="F643" s="2" t="s">
        <v>179</v>
      </c>
    </row>
    <row r="644" spans="1:6" ht="21" customHeight="1" x14ac:dyDescent="0.25">
      <c r="A644" s="42" t="s">
        <v>310</v>
      </c>
      <c r="B644" s="16" t="s">
        <v>316</v>
      </c>
      <c r="C644" s="16"/>
      <c r="D644" s="16">
        <v>6</v>
      </c>
      <c r="E644" s="2" t="s">
        <v>174</v>
      </c>
      <c r="F644" s="2" t="s">
        <v>179</v>
      </c>
    </row>
    <row r="645" spans="1:6" ht="21" customHeight="1" x14ac:dyDescent="0.25">
      <c r="A645" s="42" t="s">
        <v>310</v>
      </c>
      <c r="B645" s="16" t="s">
        <v>316</v>
      </c>
      <c r="C645" s="16"/>
      <c r="D645" s="16">
        <v>7</v>
      </c>
      <c r="E645" s="2" t="s">
        <v>174</v>
      </c>
      <c r="F645" s="2" t="s">
        <v>179</v>
      </c>
    </row>
    <row r="646" spans="1:6" ht="21" customHeight="1" x14ac:dyDescent="0.25">
      <c r="A646" s="42" t="s">
        <v>310</v>
      </c>
      <c r="B646" s="16" t="s">
        <v>316</v>
      </c>
      <c r="C646" s="16"/>
      <c r="D646" s="16">
        <v>8</v>
      </c>
      <c r="E646" s="2" t="s">
        <v>174</v>
      </c>
      <c r="F646" s="2" t="s">
        <v>179</v>
      </c>
    </row>
    <row r="647" spans="1:6" ht="21" customHeight="1" x14ac:dyDescent="0.25">
      <c r="A647" s="41" t="s">
        <v>317</v>
      </c>
      <c r="B647" s="15" t="s">
        <v>318</v>
      </c>
      <c r="C647" s="15"/>
      <c r="D647" s="15">
        <v>1</v>
      </c>
      <c r="E647" s="2" t="s">
        <v>312</v>
      </c>
      <c r="F647" s="2" t="s">
        <v>172</v>
      </c>
    </row>
    <row r="648" spans="1:6" ht="21" customHeight="1" x14ac:dyDescent="0.25">
      <c r="A648" s="41" t="s">
        <v>317</v>
      </c>
      <c r="B648" s="15" t="s">
        <v>318</v>
      </c>
      <c r="C648" s="15"/>
      <c r="D648" s="15">
        <v>2</v>
      </c>
      <c r="E648" s="2" t="s">
        <v>312</v>
      </c>
      <c r="F648" s="2" t="s">
        <v>172</v>
      </c>
    </row>
    <row r="649" spans="1:6" ht="21" customHeight="1" x14ac:dyDescent="0.25">
      <c r="A649" s="41" t="s">
        <v>317</v>
      </c>
      <c r="B649" s="15" t="s">
        <v>318</v>
      </c>
      <c r="C649" s="15"/>
      <c r="D649" s="15">
        <v>3</v>
      </c>
      <c r="E649" s="2" t="s">
        <v>312</v>
      </c>
      <c r="F649" s="2" t="s">
        <v>172</v>
      </c>
    </row>
    <row r="650" spans="1:6" ht="21" customHeight="1" x14ac:dyDescent="0.25">
      <c r="A650" s="41" t="s">
        <v>317</v>
      </c>
      <c r="B650" s="15" t="s">
        <v>318</v>
      </c>
      <c r="C650" s="15"/>
      <c r="D650" s="15">
        <v>4</v>
      </c>
      <c r="E650" s="2" t="s">
        <v>312</v>
      </c>
      <c r="F650" s="2" t="s">
        <v>172</v>
      </c>
    </row>
    <row r="651" spans="1:6" ht="21" customHeight="1" x14ac:dyDescent="0.25">
      <c r="A651" s="41" t="s">
        <v>317</v>
      </c>
      <c r="B651" s="15" t="s">
        <v>318</v>
      </c>
      <c r="C651" s="15"/>
      <c r="D651" s="15">
        <v>5</v>
      </c>
      <c r="E651" s="2" t="s">
        <v>312</v>
      </c>
      <c r="F651" s="2" t="s">
        <v>172</v>
      </c>
    </row>
    <row r="652" spans="1:6" ht="21" customHeight="1" x14ac:dyDescent="0.25">
      <c r="A652" s="41" t="s">
        <v>317</v>
      </c>
      <c r="B652" s="16" t="s">
        <v>319</v>
      </c>
      <c r="C652" s="16"/>
      <c r="D652" s="16">
        <v>1</v>
      </c>
      <c r="E652" s="2" t="s">
        <v>312</v>
      </c>
      <c r="F652" s="2" t="s">
        <v>193</v>
      </c>
    </row>
    <row r="653" spans="1:6" ht="21" customHeight="1" x14ac:dyDescent="0.25">
      <c r="A653" s="41" t="s">
        <v>317</v>
      </c>
      <c r="B653" s="16" t="s">
        <v>319</v>
      </c>
      <c r="C653" s="16"/>
      <c r="D653" s="16">
        <v>2</v>
      </c>
      <c r="E653" s="2" t="s">
        <v>312</v>
      </c>
      <c r="F653" s="2" t="s">
        <v>193</v>
      </c>
    </row>
    <row r="654" spans="1:6" ht="21" customHeight="1" x14ac:dyDescent="0.25">
      <c r="A654" s="41" t="s">
        <v>317</v>
      </c>
      <c r="B654" s="16" t="s">
        <v>319</v>
      </c>
      <c r="C654" s="16"/>
      <c r="D654" s="16">
        <v>3</v>
      </c>
      <c r="E654" s="2" t="s">
        <v>312</v>
      </c>
      <c r="F654" s="2" t="s">
        <v>193</v>
      </c>
    </row>
    <row r="655" spans="1:6" ht="21" customHeight="1" x14ac:dyDescent="0.25">
      <c r="A655" s="41" t="s">
        <v>317</v>
      </c>
      <c r="B655" s="16" t="s">
        <v>319</v>
      </c>
      <c r="C655" s="16"/>
      <c r="D655" s="16">
        <v>4</v>
      </c>
      <c r="E655" s="2" t="s">
        <v>312</v>
      </c>
      <c r="F655" s="2" t="s">
        <v>193</v>
      </c>
    </row>
    <row r="656" spans="1:6" ht="21" customHeight="1" x14ac:dyDescent="0.25">
      <c r="A656" s="41" t="s">
        <v>317</v>
      </c>
      <c r="B656" s="16" t="s">
        <v>319</v>
      </c>
      <c r="C656" s="16"/>
      <c r="D656" s="16">
        <v>5</v>
      </c>
      <c r="E656" s="2" t="s">
        <v>312</v>
      </c>
      <c r="F656" s="2" t="s">
        <v>193</v>
      </c>
    </row>
    <row r="657" spans="1:6" ht="21" customHeight="1" x14ac:dyDescent="0.25">
      <c r="A657" s="41" t="s">
        <v>317</v>
      </c>
      <c r="B657" s="15" t="s">
        <v>320</v>
      </c>
      <c r="C657" s="15"/>
      <c r="D657" s="15">
        <v>1</v>
      </c>
      <c r="E657" s="2" t="s">
        <v>174</v>
      </c>
      <c r="F657" s="2" t="s">
        <v>175</v>
      </c>
    </row>
    <row r="658" spans="1:6" ht="21" customHeight="1" x14ac:dyDescent="0.25">
      <c r="A658" s="41" t="s">
        <v>317</v>
      </c>
      <c r="B658" s="15" t="s">
        <v>320</v>
      </c>
      <c r="C658" s="15"/>
      <c r="D658" s="15">
        <v>2</v>
      </c>
      <c r="E658" s="2" t="s">
        <v>174</v>
      </c>
      <c r="F658" s="2" t="s">
        <v>175</v>
      </c>
    </row>
    <row r="659" spans="1:6" ht="21" customHeight="1" x14ac:dyDescent="0.25">
      <c r="A659" s="41" t="s">
        <v>317</v>
      </c>
      <c r="B659" s="15" t="s">
        <v>320</v>
      </c>
      <c r="C659" s="15"/>
      <c r="D659" s="15">
        <v>3</v>
      </c>
      <c r="E659" s="2" t="s">
        <v>174</v>
      </c>
      <c r="F659" s="2" t="s">
        <v>175</v>
      </c>
    </row>
    <row r="660" spans="1:6" ht="21" customHeight="1" x14ac:dyDescent="0.25">
      <c r="A660" s="41" t="s">
        <v>317</v>
      </c>
      <c r="B660" s="15" t="s">
        <v>320</v>
      </c>
      <c r="C660" s="15"/>
      <c r="D660" s="15">
        <v>4</v>
      </c>
      <c r="E660" s="2" t="s">
        <v>174</v>
      </c>
      <c r="F660" s="2" t="s">
        <v>175</v>
      </c>
    </row>
    <row r="661" spans="1:6" ht="21" customHeight="1" x14ac:dyDescent="0.25">
      <c r="A661" s="41" t="s">
        <v>317</v>
      </c>
      <c r="B661" s="15" t="s">
        <v>320</v>
      </c>
      <c r="C661" s="15"/>
      <c r="D661" s="15">
        <v>5</v>
      </c>
      <c r="E661" s="2" t="s">
        <v>174</v>
      </c>
      <c r="F661" s="2" t="s">
        <v>175</v>
      </c>
    </row>
    <row r="662" spans="1:6" ht="21" customHeight="1" x14ac:dyDescent="0.25">
      <c r="A662" s="41" t="s">
        <v>317</v>
      </c>
      <c r="B662" s="16" t="s">
        <v>321</v>
      </c>
      <c r="C662" s="16"/>
      <c r="D662" s="16">
        <v>1</v>
      </c>
      <c r="E662" s="2" t="s">
        <v>174</v>
      </c>
      <c r="F662" s="2" t="s">
        <v>177</v>
      </c>
    </row>
    <row r="663" spans="1:6" ht="21" customHeight="1" x14ac:dyDescent="0.25">
      <c r="A663" s="41" t="s">
        <v>317</v>
      </c>
      <c r="B663" s="16" t="s">
        <v>321</v>
      </c>
      <c r="C663" s="16"/>
      <c r="D663" s="16">
        <v>2</v>
      </c>
      <c r="E663" s="2" t="s">
        <v>174</v>
      </c>
      <c r="F663" s="2" t="s">
        <v>177</v>
      </c>
    </row>
    <row r="664" spans="1:6" ht="21" customHeight="1" x14ac:dyDescent="0.25">
      <c r="A664" s="41" t="s">
        <v>317</v>
      </c>
      <c r="B664" s="16" t="s">
        <v>321</v>
      </c>
      <c r="C664" s="16"/>
      <c r="D664" s="16">
        <v>3</v>
      </c>
      <c r="E664" s="2" t="s">
        <v>174</v>
      </c>
      <c r="F664" s="2" t="s">
        <v>177</v>
      </c>
    </row>
    <row r="665" spans="1:6" ht="21" customHeight="1" x14ac:dyDescent="0.25">
      <c r="A665" s="41" t="s">
        <v>317</v>
      </c>
      <c r="B665" s="16" t="s">
        <v>321</v>
      </c>
      <c r="C665" s="16"/>
      <c r="D665" s="16">
        <v>4</v>
      </c>
      <c r="E665" s="2" t="s">
        <v>174</v>
      </c>
      <c r="F665" s="2" t="s">
        <v>177</v>
      </c>
    </row>
    <row r="666" spans="1:6" ht="21" customHeight="1" x14ac:dyDescent="0.25">
      <c r="A666" s="41" t="s">
        <v>317</v>
      </c>
      <c r="B666" s="16" t="s">
        <v>321</v>
      </c>
      <c r="C666" s="16"/>
      <c r="D666" s="16">
        <v>5</v>
      </c>
      <c r="E666" s="2" t="s">
        <v>174</v>
      </c>
      <c r="F666" s="2" t="s">
        <v>177</v>
      </c>
    </row>
    <row r="667" spans="1:6" ht="21" customHeight="1" x14ac:dyDescent="0.25">
      <c r="A667" s="41" t="s">
        <v>317</v>
      </c>
      <c r="B667" s="15" t="s">
        <v>322</v>
      </c>
      <c r="C667" s="15"/>
      <c r="D667" s="15">
        <v>1</v>
      </c>
      <c r="E667" s="2" t="s">
        <v>174</v>
      </c>
      <c r="F667" s="2" t="s">
        <v>179</v>
      </c>
    </row>
    <row r="668" spans="1:6" ht="21" customHeight="1" x14ac:dyDescent="0.25">
      <c r="A668" s="41" t="s">
        <v>317</v>
      </c>
      <c r="B668" s="15" t="s">
        <v>322</v>
      </c>
      <c r="C668" s="15"/>
      <c r="D668" s="15">
        <v>2</v>
      </c>
      <c r="E668" s="2" t="s">
        <v>174</v>
      </c>
      <c r="F668" s="2" t="s">
        <v>179</v>
      </c>
    </row>
    <row r="669" spans="1:6" ht="21" customHeight="1" x14ac:dyDescent="0.25">
      <c r="A669" s="41" t="s">
        <v>317</v>
      </c>
      <c r="B669" s="15" t="s">
        <v>322</v>
      </c>
      <c r="C669" s="15"/>
      <c r="D669" s="15">
        <v>3</v>
      </c>
      <c r="E669" s="2" t="s">
        <v>174</v>
      </c>
      <c r="F669" s="2" t="s">
        <v>179</v>
      </c>
    </row>
    <row r="670" spans="1:6" ht="21" customHeight="1" x14ac:dyDescent="0.25">
      <c r="A670" s="41" t="s">
        <v>317</v>
      </c>
      <c r="B670" s="15" t="s">
        <v>322</v>
      </c>
      <c r="C670" s="15"/>
      <c r="D670" s="15">
        <v>4</v>
      </c>
      <c r="E670" s="2" t="s">
        <v>174</v>
      </c>
      <c r="F670" s="2" t="s">
        <v>179</v>
      </c>
    </row>
    <row r="671" spans="1:6" ht="21" customHeight="1" x14ac:dyDescent="0.25">
      <c r="A671" s="41" t="s">
        <v>317</v>
      </c>
      <c r="B671" s="15" t="s">
        <v>322</v>
      </c>
      <c r="C671" s="15"/>
      <c r="D671" s="15">
        <v>5</v>
      </c>
      <c r="E671" s="2" t="s">
        <v>174</v>
      </c>
      <c r="F671" s="2" t="s">
        <v>179</v>
      </c>
    </row>
    <row r="672" spans="1:6" ht="21" customHeight="1" x14ac:dyDescent="0.25">
      <c r="A672" s="41" t="s">
        <v>317</v>
      </c>
      <c r="B672" s="15" t="s">
        <v>322</v>
      </c>
      <c r="C672" s="15"/>
      <c r="D672" s="15">
        <v>6</v>
      </c>
      <c r="E672" s="2" t="s">
        <v>174</v>
      </c>
      <c r="F672" s="2" t="s">
        <v>179</v>
      </c>
    </row>
    <row r="673" spans="1:6" ht="21" customHeight="1" x14ac:dyDescent="0.25">
      <c r="A673" s="41" t="s">
        <v>317</v>
      </c>
      <c r="B673" s="15" t="s">
        <v>322</v>
      </c>
      <c r="C673" s="15"/>
      <c r="D673" s="15">
        <v>7</v>
      </c>
      <c r="E673" s="2" t="s">
        <v>174</v>
      </c>
      <c r="F673" s="2" t="s">
        <v>179</v>
      </c>
    </row>
    <row r="674" spans="1:6" ht="21" customHeight="1" x14ac:dyDescent="0.25">
      <c r="A674" s="41" t="s">
        <v>317</v>
      </c>
      <c r="B674" s="15" t="s">
        <v>322</v>
      </c>
      <c r="C674" s="15"/>
      <c r="D674" s="15">
        <v>8</v>
      </c>
      <c r="E674" s="2" t="s">
        <v>174</v>
      </c>
      <c r="F674" s="2" t="s">
        <v>179</v>
      </c>
    </row>
    <row r="675" spans="1:6" ht="21" customHeight="1" x14ac:dyDescent="0.25">
      <c r="A675" s="42" t="s">
        <v>323</v>
      </c>
      <c r="B675" s="16" t="s">
        <v>324</v>
      </c>
      <c r="C675" s="16"/>
      <c r="D675" s="16">
        <v>1</v>
      </c>
      <c r="E675" s="2" t="s">
        <v>312</v>
      </c>
      <c r="F675" s="2" t="s">
        <v>172</v>
      </c>
    </row>
    <row r="676" spans="1:6" ht="21" customHeight="1" x14ac:dyDescent="0.25">
      <c r="A676" s="42" t="s">
        <v>323</v>
      </c>
      <c r="B676" s="16" t="s">
        <v>324</v>
      </c>
      <c r="C676" s="16"/>
      <c r="D676" s="16">
        <v>2</v>
      </c>
      <c r="E676" s="2" t="s">
        <v>312</v>
      </c>
      <c r="F676" s="2" t="s">
        <v>172</v>
      </c>
    </row>
    <row r="677" spans="1:6" ht="21" customHeight="1" x14ac:dyDescent="0.25">
      <c r="A677" s="42" t="s">
        <v>323</v>
      </c>
      <c r="B677" s="16" t="s">
        <v>324</v>
      </c>
      <c r="C677" s="16"/>
      <c r="D677" s="16">
        <v>3</v>
      </c>
      <c r="E677" s="2" t="s">
        <v>312</v>
      </c>
      <c r="F677" s="2" t="s">
        <v>172</v>
      </c>
    </row>
    <row r="678" spans="1:6" ht="21" customHeight="1" x14ac:dyDescent="0.25">
      <c r="A678" s="42" t="s">
        <v>323</v>
      </c>
      <c r="B678" s="16" t="s">
        <v>324</v>
      </c>
      <c r="C678" s="16"/>
      <c r="D678" s="16">
        <v>4</v>
      </c>
      <c r="E678" s="2" t="s">
        <v>312</v>
      </c>
      <c r="F678" s="2" t="s">
        <v>172</v>
      </c>
    </row>
    <row r="679" spans="1:6" ht="21" customHeight="1" x14ac:dyDescent="0.25">
      <c r="A679" s="42" t="s">
        <v>323</v>
      </c>
      <c r="B679" s="16" t="s">
        <v>324</v>
      </c>
      <c r="C679" s="16"/>
      <c r="D679" s="16">
        <v>5</v>
      </c>
      <c r="E679" s="2" t="s">
        <v>312</v>
      </c>
      <c r="F679" s="2" t="s">
        <v>172</v>
      </c>
    </row>
    <row r="680" spans="1:6" ht="21" customHeight="1" x14ac:dyDescent="0.25">
      <c r="A680" s="42" t="s">
        <v>323</v>
      </c>
      <c r="B680" s="15" t="s">
        <v>325</v>
      </c>
      <c r="C680" s="15"/>
      <c r="D680" s="15">
        <v>1</v>
      </c>
      <c r="E680" s="2" t="s">
        <v>312</v>
      </c>
      <c r="F680" s="2" t="s">
        <v>193</v>
      </c>
    </row>
    <row r="681" spans="1:6" ht="21" customHeight="1" x14ac:dyDescent="0.25">
      <c r="A681" s="42" t="s">
        <v>323</v>
      </c>
      <c r="B681" s="15" t="s">
        <v>325</v>
      </c>
      <c r="C681" s="15"/>
      <c r="D681" s="15">
        <v>2</v>
      </c>
      <c r="E681" s="2" t="s">
        <v>312</v>
      </c>
      <c r="F681" s="2" t="s">
        <v>193</v>
      </c>
    </row>
    <row r="682" spans="1:6" ht="21" customHeight="1" x14ac:dyDescent="0.25">
      <c r="A682" s="42" t="s">
        <v>323</v>
      </c>
      <c r="B682" s="15" t="s">
        <v>325</v>
      </c>
      <c r="C682" s="15"/>
      <c r="D682" s="15">
        <v>3</v>
      </c>
      <c r="E682" s="2" t="s">
        <v>312</v>
      </c>
      <c r="F682" s="2" t="s">
        <v>193</v>
      </c>
    </row>
    <row r="683" spans="1:6" ht="21" customHeight="1" x14ac:dyDescent="0.25">
      <c r="A683" s="42" t="s">
        <v>323</v>
      </c>
      <c r="B683" s="15" t="s">
        <v>325</v>
      </c>
      <c r="C683" s="15"/>
      <c r="D683" s="15">
        <v>4</v>
      </c>
      <c r="E683" s="2" t="s">
        <v>312</v>
      </c>
      <c r="F683" s="2" t="s">
        <v>193</v>
      </c>
    </row>
    <row r="684" spans="1:6" ht="21" customHeight="1" x14ac:dyDescent="0.25">
      <c r="A684" s="42" t="s">
        <v>323</v>
      </c>
      <c r="B684" s="15" t="s">
        <v>325</v>
      </c>
      <c r="C684" s="15"/>
      <c r="D684" s="15">
        <v>5</v>
      </c>
      <c r="E684" s="2" t="s">
        <v>312</v>
      </c>
      <c r="F684" s="2" t="s">
        <v>193</v>
      </c>
    </row>
    <row r="685" spans="1:6" ht="21" customHeight="1" x14ac:dyDescent="0.25">
      <c r="A685" s="42" t="s">
        <v>323</v>
      </c>
      <c r="B685" s="16" t="s">
        <v>326</v>
      </c>
      <c r="C685" s="16"/>
      <c r="D685" s="16">
        <v>1</v>
      </c>
      <c r="E685" s="2" t="s">
        <v>174</v>
      </c>
      <c r="F685" s="2" t="s">
        <v>175</v>
      </c>
    </row>
    <row r="686" spans="1:6" ht="21" customHeight="1" x14ac:dyDescent="0.25">
      <c r="A686" s="42" t="s">
        <v>323</v>
      </c>
      <c r="B686" s="16" t="s">
        <v>326</v>
      </c>
      <c r="C686" s="16"/>
      <c r="D686" s="16">
        <v>2</v>
      </c>
      <c r="E686" s="2" t="s">
        <v>174</v>
      </c>
      <c r="F686" s="2" t="s">
        <v>175</v>
      </c>
    </row>
    <row r="687" spans="1:6" ht="21" customHeight="1" x14ac:dyDescent="0.25">
      <c r="A687" s="42" t="s">
        <v>323</v>
      </c>
      <c r="B687" s="16" t="s">
        <v>326</v>
      </c>
      <c r="C687" s="16"/>
      <c r="D687" s="16">
        <v>3</v>
      </c>
      <c r="E687" s="2" t="s">
        <v>174</v>
      </c>
      <c r="F687" s="2" t="s">
        <v>175</v>
      </c>
    </row>
    <row r="688" spans="1:6" ht="21" customHeight="1" x14ac:dyDescent="0.25">
      <c r="A688" s="42" t="s">
        <v>323</v>
      </c>
      <c r="B688" s="16" t="s">
        <v>326</v>
      </c>
      <c r="C688" s="16"/>
      <c r="D688" s="16">
        <v>4</v>
      </c>
      <c r="E688" s="2" t="s">
        <v>174</v>
      </c>
      <c r="F688" s="2" t="s">
        <v>175</v>
      </c>
    </row>
    <row r="689" spans="1:6" ht="21" customHeight="1" x14ac:dyDescent="0.25">
      <c r="A689" s="42" t="s">
        <v>323</v>
      </c>
      <c r="B689" s="16" t="s">
        <v>326</v>
      </c>
      <c r="C689" s="16"/>
      <c r="D689" s="16">
        <v>5</v>
      </c>
      <c r="E689" s="2" t="s">
        <v>174</v>
      </c>
      <c r="F689" s="2" t="s">
        <v>175</v>
      </c>
    </row>
    <row r="690" spans="1:6" ht="21" customHeight="1" x14ac:dyDescent="0.25">
      <c r="A690" s="42" t="s">
        <v>323</v>
      </c>
      <c r="B690" s="15" t="s">
        <v>327</v>
      </c>
      <c r="C690" s="15"/>
      <c r="D690" s="15">
        <v>1</v>
      </c>
      <c r="E690" s="2" t="s">
        <v>174</v>
      </c>
      <c r="F690" s="2" t="s">
        <v>177</v>
      </c>
    </row>
    <row r="691" spans="1:6" ht="21" customHeight="1" x14ac:dyDescent="0.25">
      <c r="A691" s="42" t="s">
        <v>323</v>
      </c>
      <c r="B691" s="15" t="s">
        <v>327</v>
      </c>
      <c r="C691" s="15"/>
      <c r="D691" s="15">
        <v>2</v>
      </c>
      <c r="E691" s="2" t="s">
        <v>174</v>
      </c>
      <c r="F691" s="2" t="s">
        <v>177</v>
      </c>
    </row>
    <row r="692" spans="1:6" ht="21" customHeight="1" x14ac:dyDescent="0.25">
      <c r="A692" s="42" t="s">
        <v>323</v>
      </c>
      <c r="B692" s="15" t="s">
        <v>327</v>
      </c>
      <c r="C692" s="15"/>
      <c r="D692" s="15">
        <v>3</v>
      </c>
      <c r="E692" s="2" t="s">
        <v>174</v>
      </c>
      <c r="F692" s="2" t="s">
        <v>177</v>
      </c>
    </row>
    <row r="693" spans="1:6" ht="21" customHeight="1" x14ac:dyDescent="0.25">
      <c r="A693" s="42" t="s">
        <v>323</v>
      </c>
      <c r="B693" s="15" t="s">
        <v>327</v>
      </c>
      <c r="C693" s="15"/>
      <c r="D693" s="15">
        <v>4</v>
      </c>
      <c r="E693" s="2" t="s">
        <v>174</v>
      </c>
      <c r="F693" s="2" t="s">
        <v>177</v>
      </c>
    </row>
    <row r="694" spans="1:6" ht="21" customHeight="1" x14ac:dyDescent="0.25">
      <c r="A694" s="42" t="s">
        <v>323</v>
      </c>
      <c r="B694" s="15" t="s">
        <v>327</v>
      </c>
      <c r="C694" s="15"/>
      <c r="D694" s="15">
        <v>5</v>
      </c>
      <c r="E694" s="2" t="s">
        <v>174</v>
      </c>
      <c r="F694" s="2" t="s">
        <v>177</v>
      </c>
    </row>
    <row r="695" spans="1:6" ht="21" customHeight="1" x14ac:dyDescent="0.25">
      <c r="A695" s="42" t="s">
        <v>323</v>
      </c>
      <c r="B695" s="16" t="s">
        <v>328</v>
      </c>
      <c r="C695" s="16"/>
      <c r="D695" s="16">
        <v>1</v>
      </c>
      <c r="E695" s="2" t="s">
        <v>174</v>
      </c>
      <c r="F695" s="2" t="s">
        <v>179</v>
      </c>
    </row>
    <row r="696" spans="1:6" ht="21" customHeight="1" x14ac:dyDescent="0.25">
      <c r="A696" s="42" t="s">
        <v>323</v>
      </c>
      <c r="B696" s="16" t="s">
        <v>328</v>
      </c>
      <c r="C696" s="16"/>
      <c r="D696" s="16">
        <v>2</v>
      </c>
      <c r="E696" s="2" t="s">
        <v>174</v>
      </c>
      <c r="F696" s="2" t="s">
        <v>179</v>
      </c>
    </row>
    <row r="697" spans="1:6" ht="21" customHeight="1" x14ac:dyDescent="0.25">
      <c r="A697" s="42" t="s">
        <v>323</v>
      </c>
      <c r="B697" s="16" t="s">
        <v>328</v>
      </c>
      <c r="C697" s="16"/>
      <c r="D697" s="16">
        <v>3</v>
      </c>
      <c r="E697" s="2" t="s">
        <v>174</v>
      </c>
      <c r="F697" s="2" t="s">
        <v>179</v>
      </c>
    </row>
    <row r="698" spans="1:6" ht="21" customHeight="1" x14ac:dyDescent="0.25">
      <c r="A698" s="42" t="s">
        <v>323</v>
      </c>
      <c r="B698" s="16" t="s">
        <v>328</v>
      </c>
      <c r="C698" s="16"/>
      <c r="D698" s="16">
        <v>4</v>
      </c>
      <c r="E698" s="2" t="s">
        <v>174</v>
      </c>
      <c r="F698" s="2" t="s">
        <v>179</v>
      </c>
    </row>
    <row r="699" spans="1:6" ht="21" customHeight="1" x14ac:dyDescent="0.25">
      <c r="A699" s="42" t="s">
        <v>323</v>
      </c>
      <c r="B699" s="16" t="s">
        <v>328</v>
      </c>
      <c r="C699" s="16"/>
      <c r="D699" s="16">
        <v>5</v>
      </c>
      <c r="E699" s="2" t="s">
        <v>174</v>
      </c>
      <c r="F699" s="2" t="s">
        <v>179</v>
      </c>
    </row>
    <row r="700" spans="1:6" ht="21" customHeight="1" x14ac:dyDescent="0.25">
      <c r="A700" s="42" t="s">
        <v>323</v>
      </c>
      <c r="B700" s="16" t="s">
        <v>328</v>
      </c>
      <c r="C700" s="16"/>
      <c r="D700" s="16">
        <v>6</v>
      </c>
      <c r="E700" s="2" t="s">
        <v>174</v>
      </c>
      <c r="F700" s="2" t="s">
        <v>179</v>
      </c>
    </row>
    <row r="701" spans="1:6" ht="21" customHeight="1" x14ac:dyDescent="0.25">
      <c r="A701" s="42" t="s">
        <v>323</v>
      </c>
      <c r="B701" s="16" t="s">
        <v>328</v>
      </c>
      <c r="C701" s="16"/>
      <c r="D701" s="16">
        <v>7</v>
      </c>
      <c r="E701" s="2" t="s">
        <v>174</v>
      </c>
      <c r="F701" s="2" t="s">
        <v>179</v>
      </c>
    </row>
    <row r="702" spans="1:6" ht="21" customHeight="1" x14ac:dyDescent="0.25">
      <c r="A702" s="42" t="s">
        <v>323</v>
      </c>
      <c r="B702" s="16" t="s">
        <v>328</v>
      </c>
      <c r="C702" s="16"/>
      <c r="D702" s="16">
        <v>8</v>
      </c>
      <c r="E702" s="2" t="s">
        <v>174</v>
      </c>
      <c r="F702" s="2" t="s">
        <v>179</v>
      </c>
    </row>
    <row r="703" spans="1:6" ht="21" customHeight="1" x14ac:dyDescent="0.25">
      <c r="A703" s="41" t="s">
        <v>329</v>
      </c>
      <c r="B703" s="15" t="s">
        <v>330</v>
      </c>
      <c r="C703" s="15"/>
      <c r="D703" s="15">
        <v>1</v>
      </c>
      <c r="E703" s="2" t="s">
        <v>312</v>
      </c>
      <c r="F703" s="2" t="s">
        <v>172</v>
      </c>
    </row>
    <row r="704" spans="1:6" ht="21" customHeight="1" x14ac:dyDescent="0.25">
      <c r="A704" s="41" t="s">
        <v>329</v>
      </c>
      <c r="B704" s="15" t="s">
        <v>330</v>
      </c>
      <c r="C704" s="15"/>
      <c r="D704" s="15">
        <v>2</v>
      </c>
      <c r="E704" s="2" t="s">
        <v>312</v>
      </c>
      <c r="F704" s="2" t="s">
        <v>172</v>
      </c>
    </row>
    <row r="705" spans="1:6" ht="21" customHeight="1" x14ac:dyDescent="0.25">
      <c r="A705" s="41" t="s">
        <v>329</v>
      </c>
      <c r="B705" s="15" t="s">
        <v>330</v>
      </c>
      <c r="C705" s="15"/>
      <c r="D705" s="15">
        <v>3</v>
      </c>
      <c r="E705" s="2" t="s">
        <v>312</v>
      </c>
      <c r="F705" s="2" t="s">
        <v>172</v>
      </c>
    </row>
    <row r="706" spans="1:6" ht="21" customHeight="1" x14ac:dyDescent="0.25">
      <c r="A706" s="41" t="s">
        <v>329</v>
      </c>
      <c r="B706" s="15" t="s">
        <v>330</v>
      </c>
      <c r="C706" s="15"/>
      <c r="D706" s="15">
        <v>4</v>
      </c>
      <c r="E706" s="2" t="s">
        <v>312</v>
      </c>
      <c r="F706" s="2" t="s">
        <v>172</v>
      </c>
    </row>
    <row r="707" spans="1:6" ht="21" customHeight="1" x14ac:dyDescent="0.25">
      <c r="A707" s="41" t="s">
        <v>329</v>
      </c>
      <c r="B707" s="15" t="s">
        <v>330</v>
      </c>
      <c r="C707" s="15"/>
      <c r="D707" s="15">
        <v>5</v>
      </c>
      <c r="E707" s="2" t="s">
        <v>312</v>
      </c>
      <c r="F707" s="2" t="s">
        <v>172</v>
      </c>
    </row>
    <row r="708" spans="1:6" ht="21" customHeight="1" x14ac:dyDescent="0.25">
      <c r="A708" s="41" t="s">
        <v>329</v>
      </c>
      <c r="B708" s="16" t="s">
        <v>331</v>
      </c>
      <c r="C708" s="16"/>
      <c r="D708" s="16">
        <v>1</v>
      </c>
      <c r="E708" s="2" t="s">
        <v>312</v>
      </c>
      <c r="F708" s="2" t="s">
        <v>193</v>
      </c>
    </row>
    <row r="709" spans="1:6" ht="21" customHeight="1" x14ac:dyDescent="0.25">
      <c r="A709" s="41" t="s">
        <v>329</v>
      </c>
      <c r="B709" s="16" t="s">
        <v>331</v>
      </c>
      <c r="C709" s="16"/>
      <c r="D709" s="16">
        <v>2</v>
      </c>
      <c r="E709" s="2" t="s">
        <v>312</v>
      </c>
      <c r="F709" s="2" t="s">
        <v>193</v>
      </c>
    </row>
    <row r="710" spans="1:6" ht="21" customHeight="1" x14ac:dyDescent="0.25">
      <c r="A710" s="41" t="s">
        <v>329</v>
      </c>
      <c r="B710" s="16" t="s">
        <v>331</v>
      </c>
      <c r="C710" s="16"/>
      <c r="D710" s="16">
        <v>3</v>
      </c>
      <c r="E710" s="2" t="s">
        <v>312</v>
      </c>
      <c r="F710" s="2" t="s">
        <v>193</v>
      </c>
    </row>
    <row r="711" spans="1:6" ht="21" customHeight="1" x14ac:dyDescent="0.25">
      <c r="A711" s="41" t="s">
        <v>329</v>
      </c>
      <c r="B711" s="16" t="s">
        <v>331</v>
      </c>
      <c r="C711" s="16"/>
      <c r="D711" s="16">
        <v>4</v>
      </c>
      <c r="E711" s="2" t="s">
        <v>312</v>
      </c>
      <c r="F711" s="2" t="s">
        <v>193</v>
      </c>
    </row>
    <row r="712" spans="1:6" ht="21" customHeight="1" x14ac:dyDescent="0.25">
      <c r="A712" s="41" t="s">
        <v>329</v>
      </c>
      <c r="B712" s="16" t="s">
        <v>331</v>
      </c>
      <c r="C712" s="16"/>
      <c r="D712" s="16">
        <v>5</v>
      </c>
      <c r="E712" s="2" t="s">
        <v>312</v>
      </c>
      <c r="F712" s="2" t="s">
        <v>193</v>
      </c>
    </row>
    <row r="713" spans="1:6" ht="21" customHeight="1" x14ac:dyDescent="0.25">
      <c r="A713" s="41" t="s">
        <v>329</v>
      </c>
      <c r="B713" s="15" t="s">
        <v>332</v>
      </c>
      <c r="C713" s="15"/>
      <c r="D713" s="15">
        <v>1</v>
      </c>
      <c r="E713" s="2" t="s">
        <v>174</v>
      </c>
      <c r="F713" s="2" t="s">
        <v>175</v>
      </c>
    </row>
    <row r="714" spans="1:6" ht="21" customHeight="1" x14ac:dyDescent="0.25">
      <c r="A714" s="41" t="s">
        <v>329</v>
      </c>
      <c r="B714" s="15" t="s">
        <v>332</v>
      </c>
      <c r="C714" s="15"/>
      <c r="D714" s="15">
        <v>2</v>
      </c>
      <c r="E714" s="2" t="s">
        <v>174</v>
      </c>
      <c r="F714" s="2" t="s">
        <v>175</v>
      </c>
    </row>
    <row r="715" spans="1:6" ht="21" customHeight="1" x14ac:dyDescent="0.25">
      <c r="A715" s="41" t="s">
        <v>329</v>
      </c>
      <c r="B715" s="15" t="s">
        <v>332</v>
      </c>
      <c r="C715" s="15"/>
      <c r="D715" s="15">
        <v>3</v>
      </c>
      <c r="E715" s="2" t="s">
        <v>174</v>
      </c>
      <c r="F715" s="2" t="s">
        <v>175</v>
      </c>
    </row>
    <row r="716" spans="1:6" ht="21" customHeight="1" x14ac:dyDescent="0.25">
      <c r="A716" s="41" t="s">
        <v>329</v>
      </c>
      <c r="B716" s="15" t="s">
        <v>332</v>
      </c>
      <c r="C716" s="15"/>
      <c r="D716" s="15">
        <v>4</v>
      </c>
      <c r="E716" s="2" t="s">
        <v>174</v>
      </c>
      <c r="F716" s="2" t="s">
        <v>175</v>
      </c>
    </row>
    <row r="717" spans="1:6" ht="21" customHeight="1" x14ac:dyDescent="0.25">
      <c r="A717" s="41" t="s">
        <v>329</v>
      </c>
      <c r="B717" s="15" t="s">
        <v>332</v>
      </c>
      <c r="C717" s="15"/>
      <c r="D717" s="15">
        <v>5</v>
      </c>
      <c r="E717" s="2" t="s">
        <v>174</v>
      </c>
      <c r="F717" s="2" t="s">
        <v>175</v>
      </c>
    </row>
    <row r="718" spans="1:6" ht="21" customHeight="1" x14ac:dyDescent="0.25">
      <c r="A718" s="41" t="s">
        <v>329</v>
      </c>
      <c r="B718" s="16" t="s">
        <v>333</v>
      </c>
      <c r="C718" s="16"/>
      <c r="D718" s="16">
        <v>1</v>
      </c>
      <c r="E718" s="2" t="s">
        <v>174</v>
      </c>
      <c r="F718" s="2" t="s">
        <v>177</v>
      </c>
    </row>
    <row r="719" spans="1:6" ht="21" customHeight="1" x14ac:dyDescent="0.25">
      <c r="A719" s="41" t="s">
        <v>329</v>
      </c>
      <c r="B719" s="16" t="s">
        <v>333</v>
      </c>
      <c r="C719" s="16"/>
      <c r="D719" s="16">
        <v>2</v>
      </c>
      <c r="E719" s="2" t="s">
        <v>174</v>
      </c>
      <c r="F719" s="2" t="s">
        <v>177</v>
      </c>
    </row>
    <row r="720" spans="1:6" ht="21" customHeight="1" x14ac:dyDescent="0.25">
      <c r="A720" s="41" t="s">
        <v>329</v>
      </c>
      <c r="B720" s="16" t="s">
        <v>333</v>
      </c>
      <c r="C720" s="16"/>
      <c r="D720" s="16">
        <v>3</v>
      </c>
      <c r="E720" s="2" t="s">
        <v>174</v>
      </c>
      <c r="F720" s="2" t="s">
        <v>177</v>
      </c>
    </row>
    <row r="721" spans="1:6" ht="21" customHeight="1" x14ac:dyDescent="0.25">
      <c r="A721" s="41" t="s">
        <v>329</v>
      </c>
      <c r="B721" s="16" t="s">
        <v>333</v>
      </c>
      <c r="C721" s="16"/>
      <c r="D721" s="16">
        <v>4</v>
      </c>
      <c r="E721" s="2" t="s">
        <v>174</v>
      </c>
      <c r="F721" s="2" t="s">
        <v>177</v>
      </c>
    </row>
    <row r="722" spans="1:6" ht="21" customHeight="1" x14ac:dyDescent="0.25">
      <c r="A722" s="41" t="s">
        <v>329</v>
      </c>
      <c r="B722" s="16" t="s">
        <v>333</v>
      </c>
      <c r="C722" s="16"/>
      <c r="D722" s="16">
        <v>5</v>
      </c>
      <c r="E722" s="2" t="s">
        <v>174</v>
      </c>
      <c r="F722" s="2" t="s">
        <v>177</v>
      </c>
    </row>
    <row r="723" spans="1:6" ht="21" customHeight="1" x14ac:dyDescent="0.25">
      <c r="A723" s="41" t="s">
        <v>329</v>
      </c>
      <c r="B723" s="15" t="s">
        <v>334</v>
      </c>
      <c r="C723" s="15"/>
      <c r="D723" s="15">
        <v>1</v>
      </c>
      <c r="E723" s="2" t="s">
        <v>174</v>
      </c>
      <c r="F723" s="2" t="s">
        <v>179</v>
      </c>
    </row>
    <row r="724" spans="1:6" ht="21" customHeight="1" x14ac:dyDescent="0.25">
      <c r="A724" s="41" t="s">
        <v>329</v>
      </c>
      <c r="B724" s="15" t="s">
        <v>334</v>
      </c>
      <c r="C724" s="15"/>
      <c r="D724" s="15">
        <v>2</v>
      </c>
      <c r="E724" s="2" t="s">
        <v>174</v>
      </c>
      <c r="F724" s="2" t="s">
        <v>179</v>
      </c>
    </row>
    <row r="725" spans="1:6" ht="21" customHeight="1" x14ac:dyDescent="0.25">
      <c r="A725" s="41" t="s">
        <v>329</v>
      </c>
      <c r="B725" s="15" t="s">
        <v>334</v>
      </c>
      <c r="C725" s="15"/>
      <c r="D725" s="15">
        <v>3</v>
      </c>
      <c r="E725" s="2" t="s">
        <v>174</v>
      </c>
      <c r="F725" s="2" t="s">
        <v>179</v>
      </c>
    </row>
    <row r="726" spans="1:6" ht="21" customHeight="1" x14ac:dyDescent="0.25">
      <c r="A726" s="41" t="s">
        <v>329</v>
      </c>
      <c r="B726" s="15" t="s">
        <v>334</v>
      </c>
      <c r="C726" s="15"/>
      <c r="D726" s="15">
        <v>4</v>
      </c>
      <c r="E726" s="2" t="s">
        <v>174</v>
      </c>
      <c r="F726" s="2" t="s">
        <v>179</v>
      </c>
    </row>
    <row r="727" spans="1:6" ht="21" customHeight="1" x14ac:dyDescent="0.25">
      <c r="A727" s="41" t="s">
        <v>329</v>
      </c>
      <c r="B727" s="15" t="s">
        <v>334</v>
      </c>
      <c r="C727" s="15"/>
      <c r="D727" s="15">
        <v>5</v>
      </c>
      <c r="E727" s="2" t="s">
        <v>174</v>
      </c>
      <c r="F727" s="2" t="s">
        <v>179</v>
      </c>
    </row>
    <row r="728" spans="1:6" ht="21" customHeight="1" x14ac:dyDescent="0.25">
      <c r="A728" s="41" t="s">
        <v>329</v>
      </c>
      <c r="B728" s="15" t="s">
        <v>334</v>
      </c>
      <c r="C728" s="15"/>
      <c r="D728" s="15">
        <v>6</v>
      </c>
      <c r="E728" s="2" t="s">
        <v>174</v>
      </c>
      <c r="F728" s="2" t="s">
        <v>179</v>
      </c>
    </row>
    <row r="729" spans="1:6" ht="21" customHeight="1" x14ac:dyDescent="0.25">
      <c r="A729" s="41" t="s">
        <v>329</v>
      </c>
      <c r="B729" s="15" t="s">
        <v>334</v>
      </c>
      <c r="C729" s="15"/>
      <c r="D729" s="15">
        <v>7</v>
      </c>
      <c r="E729" s="2" t="s">
        <v>174</v>
      </c>
      <c r="F729" s="2" t="s">
        <v>179</v>
      </c>
    </row>
    <row r="730" spans="1:6" ht="21" customHeight="1" x14ac:dyDescent="0.25">
      <c r="A730" s="41" t="s">
        <v>329</v>
      </c>
      <c r="B730" s="15" t="s">
        <v>334</v>
      </c>
      <c r="C730" s="15"/>
      <c r="D730" s="15">
        <v>8</v>
      </c>
      <c r="E730" s="2" t="s">
        <v>174</v>
      </c>
      <c r="F730" s="2" t="s">
        <v>179</v>
      </c>
    </row>
    <row r="731" spans="1:6" ht="21" customHeight="1" x14ac:dyDescent="0.25">
      <c r="A731" s="42" t="s">
        <v>335</v>
      </c>
      <c r="B731" s="16" t="s">
        <v>336</v>
      </c>
      <c r="C731" s="16"/>
      <c r="D731" s="16">
        <v>1</v>
      </c>
      <c r="E731" s="2" t="s">
        <v>312</v>
      </c>
      <c r="F731" s="2" t="s">
        <v>172</v>
      </c>
    </row>
    <row r="732" spans="1:6" ht="21" customHeight="1" x14ac:dyDescent="0.25">
      <c r="A732" s="42" t="s">
        <v>335</v>
      </c>
      <c r="B732" s="16" t="s">
        <v>336</v>
      </c>
      <c r="C732" s="16"/>
      <c r="D732" s="16">
        <v>2</v>
      </c>
      <c r="E732" s="2" t="s">
        <v>312</v>
      </c>
      <c r="F732" s="2" t="s">
        <v>172</v>
      </c>
    </row>
    <row r="733" spans="1:6" ht="21" customHeight="1" x14ac:dyDescent="0.25">
      <c r="A733" s="42" t="s">
        <v>335</v>
      </c>
      <c r="B733" s="16" t="s">
        <v>336</v>
      </c>
      <c r="C733" s="16"/>
      <c r="D733" s="16">
        <v>3</v>
      </c>
      <c r="E733" s="2" t="s">
        <v>312</v>
      </c>
      <c r="F733" s="2" t="s">
        <v>172</v>
      </c>
    </row>
    <row r="734" spans="1:6" ht="21" customHeight="1" x14ac:dyDescent="0.25">
      <c r="A734" s="42" t="s">
        <v>335</v>
      </c>
      <c r="B734" s="16" t="s">
        <v>336</v>
      </c>
      <c r="C734" s="16"/>
      <c r="D734" s="16">
        <v>4</v>
      </c>
      <c r="E734" s="2" t="s">
        <v>312</v>
      </c>
      <c r="F734" s="2" t="s">
        <v>172</v>
      </c>
    </row>
    <row r="735" spans="1:6" ht="21" customHeight="1" x14ac:dyDescent="0.25">
      <c r="A735" s="42" t="s">
        <v>335</v>
      </c>
      <c r="B735" s="16" t="s">
        <v>336</v>
      </c>
      <c r="C735" s="16"/>
      <c r="D735" s="16">
        <v>5</v>
      </c>
      <c r="E735" s="2" t="s">
        <v>312</v>
      </c>
      <c r="F735" s="2" t="s">
        <v>172</v>
      </c>
    </row>
    <row r="736" spans="1:6" ht="21" customHeight="1" x14ac:dyDescent="0.25">
      <c r="A736" s="42" t="s">
        <v>335</v>
      </c>
      <c r="B736" s="15" t="s">
        <v>337</v>
      </c>
      <c r="C736" s="15"/>
      <c r="D736" s="15">
        <v>1</v>
      </c>
      <c r="E736" s="2" t="s">
        <v>312</v>
      </c>
      <c r="F736" s="2" t="s">
        <v>193</v>
      </c>
    </row>
    <row r="737" spans="1:6" ht="21" customHeight="1" x14ac:dyDescent="0.25">
      <c r="A737" s="42" t="s">
        <v>335</v>
      </c>
      <c r="B737" s="15" t="s">
        <v>337</v>
      </c>
      <c r="C737" s="15"/>
      <c r="D737" s="15">
        <v>2</v>
      </c>
      <c r="E737" s="2" t="s">
        <v>312</v>
      </c>
      <c r="F737" s="2" t="s">
        <v>193</v>
      </c>
    </row>
    <row r="738" spans="1:6" ht="21" customHeight="1" x14ac:dyDescent="0.25">
      <c r="A738" s="42" t="s">
        <v>335</v>
      </c>
      <c r="B738" s="15" t="s">
        <v>337</v>
      </c>
      <c r="C738" s="15"/>
      <c r="D738" s="15">
        <v>3</v>
      </c>
      <c r="E738" s="2" t="s">
        <v>312</v>
      </c>
      <c r="F738" s="2" t="s">
        <v>193</v>
      </c>
    </row>
    <row r="739" spans="1:6" ht="21" customHeight="1" x14ac:dyDescent="0.25">
      <c r="A739" s="42" t="s">
        <v>335</v>
      </c>
      <c r="B739" s="15" t="s">
        <v>337</v>
      </c>
      <c r="C739" s="15"/>
      <c r="D739" s="15">
        <v>4</v>
      </c>
      <c r="E739" s="2" t="s">
        <v>312</v>
      </c>
      <c r="F739" s="2" t="s">
        <v>193</v>
      </c>
    </row>
    <row r="740" spans="1:6" ht="21" customHeight="1" x14ac:dyDescent="0.25">
      <c r="A740" s="42" t="s">
        <v>335</v>
      </c>
      <c r="B740" s="15" t="s">
        <v>337</v>
      </c>
      <c r="C740" s="15"/>
      <c r="D740" s="15">
        <v>5</v>
      </c>
      <c r="E740" s="2" t="s">
        <v>312</v>
      </c>
      <c r="F740" s="2" t="s">
        <v>193</v>
      </c>
    </row>
    <row r="741" spans="1:6" ht="21" customHeight="1" x14ac:dyDescent="0.25">
      <c r="A741" s="42" t="s">
        <v>335</v>
      </c>
      <c r="B741" s="16" t="s">
        <v>338</v>
      </c>
      <c r="C741" s="16"/>
      <c r="D741" s="16">
        <v>1</v>
      </c>
      <c r="E741" s="2" t="s">
        <v>174</v>
      </c>
      <c r="F741" s="2" t="s">
        <v>175</v>
      </c>
    </row>
    <row r="742" spans="1:6" ht="21" customHeight="1" x14ac:dyDescent="0.25">
      <c r="A742" s="42" t="s">
        <v>335</v>
      </c>
      <c r="B742" s="16" t="s">
        <v>338</v>
      </c>
      <c r="C742" s="16"/>
      <c r="D742" s="16">
        <v>2</v>
      </c>
      <c r="E742" s="2" t="s">
        <v>174</v>
      </c>
      <c r="F742" s="2" t="s">
        <v>175</v>
      </c>
    </row>
    <row r="743" spans="1:6" ht="21" customHeight="1" x14ac:dyDescent="0.25">
      <c r="A743" s="42" t="s">
        <v>335</v>
      </c>
      <c r="B743" s="16" t="s">
        <v>338</v>
      </c>
      <c r="C743" s="16"/>
      <c r="D743" s="16">
        <v>3</v>
      </c>
      <c r="E743" s="2" t="s">
        <v>174</v>
      </c>
      <c r="F743" s="2" t="s">
        <v>175</v>
      </c>
    </row>
    <row r="744" spans="1:6" ht="21" customHeight="1" x14ac:dyDescent="0.25">
      <c r="A744" s="42" t="s">
        <v>335</v>
      </c>
      <c r="B744" s="16" t="s">
        <v>338</v>
      </c>
      <c r="C744" s="16"/>
      <c r="D744" s="16">
        <v>4</v>
      </c>
      <c r="E744" s="2" t="s">
        <v>174</v>
      </c>
      <c r="F744" s="2" t="s">
        <v>175</v>
      </c>
    </row>
    <row r="745" spans="1:6" ht="21" customHeight="1" x14ac:dyDescent="0.25">
      <c r="A745" s="42" t="s">
        <v>335</v>
      </c>
      <c r="B745" s="16" t="s">
        <v>338</v>
      </c>
      <c r="C745" s="16"/>
      <c r="D745" s="16">
        <v>5</v>
      </c>
      <c r="E745" s="2" t="s">
        <v>174</v>
      </c>
      <c r="F745" s="2" t="s">
        <v>175</v>
      </c>
    </row>
    <row r="746" spans="1:6" ht="21" customHeight="1" x14ac:dyDescent="0.25">
      <c r="A746" s="42" t="s">
        <v>335</v>
      </c>
      <c r="B746" s="15" t="s">
        <v>339</v>
      </c>
      <c r="C746" s="15"/>
      <c r="D746" s="15">
        <v>1</v>
      </c>
      <c r="E746" s="2" t="s">
        <v>174</v>
      </c>
      <c r="F746" s="2" t="s">
        <v>177</v>
      </c>
    </row>
    <row r="747" spans="1:6" ht="21" customHeight="1" x14ac:dyDescent="0.25">
      <c r="A747" s="42" t="s">
        <v>335</v>
      </c>
      <c r="B747" s="15" t="s">
        <v>339</v>
      </c>
      <c r="C747" s="15"/>
      <c r="D747" s="15">
        <v>2</v>
      </c>
      <c r="E747" s="2" t="s">
        <v>174</v>
      </c>
      <c r="F747" s="2" t="s">
        <v>177</v>
      </c>
    </row>
    <row r="748" spans="1:6" ht="21" customHeight="1" x14ac:dyDescent="0.25">
      <c r="A748" s="42" t="s">
        <v>335</v>
      </c>
      <c r="B748" s="15" t="s">
        <v>339</v>
      </c>
      <c r="C748" s="15"/>
      <c r="D748" s="15">
        <v>3</v>
      </c>
      <c r="E748" s="2" t="s">
        <v>174</v>
      </c>
      <c r="F748" s="2" t="s">
        <v>177</v>
      </c>
    </row>
    <row r="749" spans="1:6" ht="21" customHeight="1" x14ac:dyDescent="0.25">
      <c r="A749" s="42" t="s">
        <v>335</v>
      </c>
      <c r="B749" s="15" t="s">
        <v>339</v>
      </c>
      <c r="C749" s="15"/>
      <c r="D749" s="15">
        <v>4</v>
      </c>
      <c r="E749" s="2" t="s">
        <v>174</v>
      </c>
      <c r="F749" s="2" t="s">
        <v>177</v>
      </c>
    </row>
    <row r="750" spans="1:6" ht="21" customHeight="1" x14ac:dyDescent="0.25">
      <c r="A750" s="42" t="s">
        <v>335</v>
      </c>
      <c r="B750" s="15" t="s">
        <v>339</v>
      </c>
      <c r="C750" s="15"/>
      <c r="D750" s="15">
        <v>5</v>
      </c>
      <c r="E750" s="2" t="s">
        <v>174</v>
      </c>
      <c r="F750" s="2" t="s">
        <v>177</v>
      </c>
    </row>
    <row r="751" spans="1:6" ht="21" customHeight="1" x14ac:dyDescent="0.25">
      <c r="A751" s="42" t="s">
        <v>335</v>
      </c>
      <c r="B751" s="16" t="s">
        <v>340</v>
      </c>
      <c r="C751" s="16"/>
      <c r="D751" s="16">
        <v>1</v>
      </c>
      <c r="E751" s="2" t="s">
        <v>174</v>
      </c>
      <c r="F751" s="2" t="s">
        <v>179</v>
      </c>
    </row>
    <row r="752" spans="1:6" ht="21" customHeight="1" x14ac:dyDescent="0.25">
      <c r="A752" s="42" t="s">
        <v>335</v>
      </c>
      <c r="B752" s="16" t="s">
        <v>340</v>
      </c>
      <c r="C752" s="16"/>
      <c r="D752" s="16">
        <v>2</v>
      </c>
      <c r="E752" s="2" t="s">
        <v>174</v>
      </c>
      <c r="F752" s="2" t="s">
        <v>179</v>
      </c>
    </row>
    <row r="753" spans="1:6" ht="21" customHeight="1" x14ac:dyDescent="0.25">
      <c r="A753" s="42" t="s">
        <v>335</v>
      </c>
      <c r="B753" s="16" t="s">
        <v>340</v>
      </c>
      <c r="C753" s="16"/>
      <c r="D753" s="16">
        <v>3</v>
      </c>
      <c r="E753" s="2" t="s">
        <v>174</v>
      </c>
      <c r="F753" s="2" t="s">
        <v>179</v>
      </c>
    </row>
    <row r="754" spans="1:6" ht="21" customHeight="1" x14ac:dyDescent="0.25">
      <c r="A754" s="42" t="s">
        <v>335</v>
      </c>
      <c r="B754" s="16" t="s">
        <v>340</v>
      </c>
      <c r="C754" s="16"/>
      <c r="D754" s="16">
        <v>4</v>
      </c>
      <c r="E754" s="2" t="s">
        <v>174</v>
      </c>
      <c r="F754" s="2" t="s">
        <v>179</v>
      </c>
    </row>
    <row r="755" spans="1:6" ht="21" customHeight="1" x14ac:dyDescent="0.25">
      <c r="A755" s="42" t="s">
        <v>335</v>
      </c>
      <c r="B755" s="16" t="s">
        <v>340</v>
      </c>
      <c r="C755" s="16"/>
      <c r="D755" s="16">
        <v>5</v>
      </c>
      <c r="E755" s="2" t="s">
        <v>174</v>
      </c>
      <c r="F755" s="2" t="s">
        <v>179</v>
      </c>
    </row>
    <row r="756" spans="1:6" ht="21" customHeight="1" x14ac:dyDescent="0.25">
      <c r="A756" s="42" t="s">
        <v>335</v>
      </c>
      <c r="B756" s="16" t="s">
        <v>340</v>
      </c>
      <c r="C756" s="16"/>
      <c r="D756" s="16">
        <v>6</v>
      </c>
      <c r="E756" s="2" t="s">
        <v>174</v>
      </c>
      <c r="F756" s="2" t="s">
        <v>179</v>
      </c>
    </row>
    <row r="757" spans="1:6" ht="21" customHeight="1" x14ac:dyDescent="0.25">
      <c r="A757" s="42" t="s">
        <v>335</v>
      </c>
      <c r="B757" s="16" t="s">
        <v>340</v>
      </c>
      <c r="C757" s="16"/>
      <c r="D757" s="16">
        <v>7</v>
      </c>
      <c r="E757" s="2" t="s">
        <v>174</v>
      </c>
      <c r="F757" s="2" t="s">
        <v>179</v>
      </c>
    </row>
    <row r="758" spans="1:6" ht="21" customHeight="1" x14ac:dyDescent="0.25">
      <c r="A758" s="42" t="s">
        <v>335</v>
      </c>
      <c r="B758" s="16" t="s">
        <v>340</v>
      </c>
      <c r="C758" s="16"/>
      <c r="D758" s="16">
        <v>8</v>
      </c>
      <c r="E758" s="2" t="s">
        <v>174</v>
      </c>
      <c r="F758" s="2" t="s">
        <v>179</v>
      </c>
    </row>
    <row r="759" spans="1:6" ht="21" customHeight="1" x14ac:dyDescent="0.25">
      <c r="A759" s="41" t="s">
        <v>341</v>
      </c>
      <c r="B759" s="15" t="s">
        <v>342</v>
      </c>
      <c r="C759" s="15"/>
      <c r="D759" s="15">
        <v>1</v>
      </c>
      <c r="E759" s="2" t="s">
        <v>312</v>
      </c>
      <c r="F759" s="2" t="s">
        <v>172</v>
      </c>
    </row>
    <row r="760" spans="1:6" ht="21" customHeight="1" x14ac:dyDescent="0.25">
      <c r="A760" s="41" t="s">
        <v>341</v>
      </c>
      <c r="B760" s="15" t="s">
        <v>342</v>
      </c>
      <c r="C760" s="15"/>
      <c r="D760" s="15">
        <v>2</v>
      </c>
      <c r="E760" s="2" t="s">
        <v>312</v>
      </c>
      <c r="F760" s="2" t="s">
        <v>172</v>
      </c>
    </row>
    <row r="761" spans="1:6" ht="21" customHeight="1" x14ac:dyDescent="0.25">
      <c r="A761" s="41" t="s">
        <v>341</v>
      </c>
      <c r="B761" s="15" t="s">
        <v>342</v>
      </c>
      <c r="C761" s="15"/>
      <c r="D761" s="15">
        <v>3</v>
      </c>
      <c r="E761" s="2" t="s">
        <v>312</v>
      </c>
      <c r="F761" s="2" t="s">
        <v>172</v>
      </c>
    </row>
    <row r="762" spans="1:6" ht="21" customHeight="1" x14ac:dyDescent="0.25">
      <c r="A762" s="41" t="s">
        <v>341</v>
      </c>
      <c r="B762" s="15" t="s">
        <v>342</v>
      </c>
      <c r="C762" s="15"/>
      <c r="D762" s="15">
        <v>4</v>
      </c>
      <c r="E762" s="2" t="s">
        <v>312</v>
      </c>
      <c r="F762" s="2" t="s">
        <v>172</v>
      </c>
    </row>
    <row r="763" spans="1:6" ht="21" customHeight="1" x14ac:dyDescent="0.25">
      <c r="A763" s="41" t="s">
        <v>341</v>
      </c>
      <c r="B763" s="15" t="s">
        <v>342</v>
      </c>
      <c r="C763" s="15"/>
      <c r="D763" s="15">
        <v>5</v>
      </c>
      <c r="E763" s="2" t="s">
        <v>312</v>
      </c>
      <c r="F763" s="2" t="s">
        <v>172</v>
      </c>
    </row>
    <row r="764" spans="1:6" ht="21" customHeight="1" x14ac:dyDescent="0.25">
      <c r="A764" s="41" t="s">
        <v>341</v>
      </c>
      <c r="B764" s="16" t="s">
        <v>343</v>
      </c>
      <c r="C764" s="16"/>
      <c r="D764" s="16">
        <v>1</v>
      </c>
      <c r="E764" s="2" t="s">
        <v>312</v>
      </c>
      <c r="F764" s="2" t="s">
        <v>193</v>
      </c>
    </row>
    <row r="765" spans="1:6" ht="21" customHeight="1" x14ac:dyDescent="0.25">
      <c r="A765" s="41" t="s">
        <v>341</v>
      </c>
      <c r="B765" s="16" t="s">
        <v>343</v>
      </c>
      <c r="C765" s="16"/>
      <c r="D765" s="16">
        <v>2</v>
      </c>
      <c r="E765" s="2" t="s">
        <v>312</v>
      </c>
      <c r="F765" s="2" t="s">
        <v>193</v>
      </c>
    </row>
    <row r="766" spans="1:6" ht="21" customHeight="1" x14ac:dyDescent="0.25">
      <c r="A766" s="41" t="s">
        <v>341</v>
      </c>
      <c r="B766" s="16" t="s">
        <v>343</v>
      </c>
      <c r="C766" s="16"/>
      <c r="D766" s="16">
        <v>3</v>
      </c>
      <c r="E766" s="2" t="s">
        <v>312</v>
      </c>
      <c r="F766" s="2" t="s">
        <v>193</v>
      </c>
    </row>
    <row r="767" spans="1:6" ht="21" customHeight="1" x14ac:dyDescent="0.25">
      <c r="A767" s="41" t="s">
        <v>341</v>
      </c>
      <c r="B767" s="16" t="s">
        <v>343</v>
      </c>
      <c r="C767" s="16"/>
      <c r="D767" s="16">
        <v>4</v>
      </c>
      <c r="E767" s="2" t="s">
        <v>312</v>
      </c>
      <c r="F767" s="2" t="s">
        <v>193</v>
      </c>
    </row>
    <row r="768" spans="1:6" ht="21" customHeight="1" x14ac:dyDescent="0.25">
      <c r="A768" s="41" t="s">
        <v>341</v>
      </c>
      <c r="B768" s="16" t="s">
        <v>343</v>
      </c>
      <c r="C768" s="16"/>
      <c r="D768" s="16">
        <v>5</v>
      </c>
      <c r="E768" s="2" t="s">
        <v>312</v>
      </c>
      <c r="F768" s="2" t="s">
        <v>193</v>
      </c>
    </row>
    <row r="769" spans="1:6" ht="21" customHeight="1" x14ac:dyDescent="0.25">
      <c r="A769" s="41" t="s">
        <v>341</v>
      </c>
      <c r="B769" s="15" t="s">
        <v>344</v>
      </c>
      <c r="C769" s="15"/>
      <c r="D769" s="15">
        <v>1</v>
      </c>
      <c r="E769" s="2" t="s">
        <v>174</v>
      </c>
      <c r="F769" s="2" t="s">
        <v>175</v>
      </c>
    </row>
    <row r="770" spans="1:6" ht="21" customHeight="1" x14ac:dyDescent="0.25">
      <c r="A770" s="41" t="s">
        <v>341</v>
      </c>
      <c r="B770" s="15" t="s">
        <v>344</v>
      </c>
      <c r="C770" s="15"/>
      <c r="D770" s="15">
        <v>2</v>
      </c>
      <c r="E770" s="2" t="s">
        <v>174</v>
      </c>
      <c r="F770" s="2" t="s">
        <v>175</v>
      </c>
    </row>
    <row r="771" spans="1:6" ht="21" customHeight="1" x14ac:dyDescent="0.25">
      <c r="A771" s="41" t="s">
        <v>341</v>
      </c>
      <c r="B771" s="15" t="s">
        <v>344</v>
      </c>
      <c r="C771" s="15"/>
      <c r="D771" s="15">
        <v>3</v>
      </c>
      <c r="E771" s="2" t="s">
        <v>174</v>
      </c>
      <c r="F771" s="2" t="s">
        <v>175</v>
      </c>
    </row>
    <row r="772" spans="1:6" ht="21" customHeight="1" x14ac:dyDescent="0.25">
      <c r="A772" s="41" t="s">
        <v>341</v>
      </c>
      <c r="B772" s="15" t="s">
        <v>344</v>
      </c>
      <c r="C772" s="15"/>
      <c r="D772" s="15">
        <v>4</v>
      </c>
      <c r="E772" s="2" t="s">
        <v>174</v>
      </c>
      <c r="F772" s="2" t="s">
        <v>175</v>
      </c>
    </row>
    <row r="773" spans="1:6" ht="21" customHeight="1" x14ac:dyDescent="0.25">
      <c r="A773" s="41" t="s">
        <v>341</v>
      </c>
      <c r="B773" s="15" t="s">
        <v>344</v>
      </c>
      <c r="C773" s="15"/>
      <c r="D773" s="15">
        <v>5</v>
      </c>
      <c r="E773" s="2" t="s">
        <v>174</v>
      </c>
      <c r="F773" s="2" t="s">
        <v>175</v>
      </c>
    </row>
    <row r="774" spans="1:6" ht="21" customHeight="1" x14ac:dyDescent="0.25">
      <c r="A774" s="41" t="s">
        <v>341</v>
      </c>
      <c r="B774" s="16" t="s">
        <v>345</v>
      </c>
      <c r="C774" s="16"/>
      <c r="D774" s="16">
        <v>1</v>
      </c>
      <c r="E774" s="2" t="s">
        <v>174</v>
      </c>
      <c r="F774" s="2" t="s">
        <v>177</v>
      </c>
    </row>
    <row r="775" spans="1:6" ht="21" customHeight="1" x14ac:dyDescent="0.25">
      <c r="A775" s="41" t="s">
        <v>341</v>
      </c>
      <c r="B775" s="16" t="s">
        <v>345</v>
      </c>
      <c r="C775" s="16"/>
      <c r="D775" s="16">
        <v>2</v>
      </c>
      <c r="E775" s="2" t="s">
        <v>174</v>
      </c>
      <c r="F775" s="2" t="s">
        <v>177</v>
      </c>
    </row>
    <row r="776" spans="1:6" ht="21" customHeight="1" x14ac:dyDescent="0.25">
      <c r="A776" s="41" t="s">
        <v>341</v>
      </c>
      <c r="B776" s="16" t="s">
        <v>345</v>
      </c>
      <c r="C776" s="16"/>
      <c r="D776" s="16">
        <v>3</v>
      </c>
      <c r="E776" s="2" t="s">
        <v>174</v>
      </c>
      <c r="F776" s="2" t="s">
        <v>177</v>
      </c>
    </row>
    <row r="777" spans="1:6" ht="21" customHeight="1" x14ac:dyDescent="0.25">
      <c r="A777" s="41" t="s">
        <v>341</v>
      </c>
      <c r="B777" s="16" t="s">
        <v>345</v>
      </c>
      <c r="C777" s="16"/>
      <c r="D777" s="16">
        <v>4</v>
      </c>
      <c r="E777" s="2" t="s">
        <v>174</v>
      </c>
      <c r="F777" s="2" t="s">
        <v>177</v>
      </c>
    </row>
    <row r="778" spans="1:6" ht="21" customHeight="1" x14ac:dyDescent="0.25">
      <c r="A778" s="41" t="s">
        <v>341</v>
      </c>
      <c r="B778" s="16" t="s">
        <v>345</v>
      </c>
      <c r="C778" s="16"/>
      <c r="D778" s="16">
        <v>5</v>
      </c>
      <c r="E778" s="2" t="s">
        <v>174</v>
      </c>
      <c r="F778" s="2" t="s">
        <v>177</v>
      </c>
    </row>
    <row r="779" spans="1:6" ht="21" customHeight="1" x14ac:dyDescent="0.25">
      <c r="A779" s="41" t="s">
        <v>341</v>
      </c>
      <c r="B779" s="15" t="s">
        <v>346</v>
      </c>
      <c r="C779" s="15"/>
      <c r="D779" s="15">
        <v>1</v>
      </c>
      <c r="E779" s="2" t="s">
        <v>174</v>
      </c>
      <c r="F779" s="2" t="s">
        <v>179</v>
      </c>
    </row>
    <row r="780" spans="1:6" ht="21" customHeight="1" x14ac:dyDescent="0.25">
      <c r="A780" s="41" t="s">
        <v>341</v>
      </c>
      <c r="B780" s="15" t="s">
        <v>346</v>
      </c>
      <c r="C780" s="15"/>
      <c r="D780" s="15">
        <v>2</v>
      </c>
      <c r="E780" s="2" t="s">
        <v>174</v>
      </c>
      <c r="F780" s="2" t="s">
        <v>179</v>
      </c>
    </row>
    <row r="781" spans="1:6" ht="21" customHeight="1" x14ac:dyDescent="0.25">
      <c r="A781" s="41" t="s">
        <v>341</v>
      </c>
      <c r="B781" s="15" t="s">
        <v>346</v>
      </c>
      <c r="C781" s="15"/>
      <c r="D781" s="15">
        <v>3</v>
      </c>
      <c r="E781" s="2" t="s">
        <v>174</v>
      </c>
      <c r="F781" s="2" t="s">
        <v>179</v>
      </c>
    </row>
    <row r="782" spans="1:6" ht="21" customHeight="1" x14ac:dyDescent="0.25">
      <c r="A782" s="41" t="s">
        <v>341</v>
      </c>
      <c r="B782" s="15" t="s">
        <v>346</v>
      </c>
      <c r="C782" s="15"/>
      <c r="D782" s="15">
        <v>4</v>
      </c>
      <c r="E782" s="2" t="s">
        <v>174</v>
      </c>
      <c r="F782" s="2" t="s">
        <v>179</v>
      </c>
    </row>
    <row r="783" spans="1:6" ht="21" customHeight="1" x14ac:dyDescent="0.25">
      <c r="A783" s="41" t="s">
        <v>341</v>
      </c>
      <c r="B783" s="15" t="s">
        <v>346</v>
      </c>
      <c r="C783" s="15"/>
      <c r="D783" s="15">
        <v>5</v>
      </c>
      <c r="E783" s="2" t="s">
        <v>174</v>
      </c>
      <c r="F783" s="2" t="s">
        <v>179</v>
      </c>
    </row>
    <row r="784" spans="1:6" ht="21" customHeight="1" x14ac:dyDescent="0.25">
      <c r="A784" s="41" t="s">
        <v>341</v>
      </c>
      <c r="B784" s="15" t="s">
        <v>346</v>
      </c>
      <c r="C784" s="15"/>
      <c r="D784" s="15">
        <v>6</v>
      </c>
      <c r="E784" s="2" t="s">
        <v>174</v>
      </c>
      <c r="F784" s="2" t="s">
        <v>179</v>
      </c>
    </row>
    <row r="785" spans="1:6" ht="21" customHeight="1" x14ac:dyDescent="0.25">
      <c r="A785" s="41" t="s">
        <v>341</v>
      </c>
      <c r="B785" s="15" t="s">
        <v>346</v>
      </c>
      <c r="C785" s="15"/>
      <c r="D785" s="15">
        <v>7</v>
      </c>
      <c r="E785" s="2" t="s">
        <v>174</v>
      </c>
      <c r="F785" s="2" t="s">
        <v>179</v>
      </c>
    </row>
    <row r="786" spans="1:6" ht="21" customHeight="1" x14ac:dyDescent="0.25">
      <c r="A786" s="41" t="s">
        <v>341</v>
      </c>
      <c r="B786" s="15" t="s">
        <v>346</v>
      </c>
      <c r="C786" s="15"/>
      <c r="D786" s="15">
        <v>8</v>
      </c>
      <c r="E786" s="2" t="s">
        <v>174</v>
      </c>
      <c r="F786" s="2" t="s">
        <v>179</v>
      </c>
    </row>
    <row r="787" spans="1:6" ht="21" customHeight="1" x14ac:dyDescent="0.25">
      <c r="A787" s="41" t="s">
        <v>347</v>
      </c>
      <c r="B787" s="16" t="s">
        <v>348</v>
      </c>
      <c r="C787" s="16"/>
      <c r="D787" s="16">
        <v>1</v>
      </c>
      <c r="E787" s="2" t="s">
        <v>171</v>
      </c>
      <c r="F787" s="2" t="s">
        <v>172</v>
      </c>
    </row>
    <row r="788" spans="1:6" ht="21" customHeight="1" x14ac:dyDescent="0.25">
      <c r="A788" s="41" t="s">
        <v>347</v>
      </c>
      <c r="B788" s="16" t="s">
        <v>348</v>
      </c>
      <c r="C788" s="16"/>
      <c r="D788" s="16">
        <v>2</v>
      </c>
      <c r="E788" s="2" t="s">
        <v>171</v>
      </c>
      <c r="F788" s="2" t="s">
        <v>172</v>
      </c>
    </row>
    <row r="789" spans="1:6" ht="21" customHeight="1" x14ac:dyDescent="0.25">
      <c r="A789" s="41" t="s">
        <v>347</v>
      </c>
      <c r="B789" s="16" t="s">
        <v>348</v>
      </c>
      <c r="C789" s="16"/>
      <c r="D789" s="16">
        <v>3</v>
      </c>
      <c r="E789" s="2" t="s">
        <v>171</v>
      </c>
      <c r="F789" s="2" t="s">
        <v>172</v>
      </c>
    </row>
    <row r="790" spans="1:6" ht="21" customHeight="1" x14ac:dyDescent="0.25">
      <c r="A790" s="41" t="s">
        <v>347</v>
      </c>
      <c r="B790" s="16" t="s">
        <v>348</v>
      </c>
      <c r="C790" s="16"/>
      <c r="D790" s="16">
        <v>4</v>
      </c>
      <c r="E790" s="2" t="s">
        <v>171</v>
      </c>
      <c r="F790" s="2" t="s">
        <v>172</v>
      </c>
    </row>
    <row r="791" spans="1:6" ht="21" customHeight="1" x14ac:dyDescent="0.25">
      <c r="A791" s="41" t="s">
        <v>347</v>
      </c>
      <c r="B791" s="16" t="s">
        <v>348</v>
      </c>
      <c r="C791" s="16"/>
      <c r="D791" s="16">
        <v>5</v>
      </c>
      <c r="E791" s="2" t="s">
        <v>171</v>
      </c>
      <c r="F791" s="2" t="s">
        <v>172</v>
      </c>
    </row>
    <row r="792" spans="1:6" ht="21" customHeight="1" x14ac:dyDescent="0.25">
      <c r="A792" s="41" t="s">
        <v>347</v>
      </c>
      <c r="B792" s="15" t="s">
        <v>349</v>
      </c>
      <c r="C792" s="15"/>
      <c r="D792" s="15">
        <v>1</v>
      </c>
      <c r="E792" s="2" t="s">
        <v>174</v>
      </c>
      <c r="F792" s="2" t="s">
        <v>175</v>
      </c>
    </row>
    <row r="793" spans="1:6" ht="21" customHeight="1" x14ac:dyDescent="0.25">
      <c r="A793" s="41" t="s">
        <v>347</v>
      </c>
      <c r="B793" s="15" t="s">
        <v>349</v>
      </c>
      <c r="C793" s="15"/>
      <c r="D793" s="15">
        <v>2</v>
      </c>
      <c r="E793" s="2" t="s">
        <v>174</v>
      </c>
      <c r="F793" s="2" t="s">
        <v>175</v>
      </c>
    </row>
    <row r="794" spans="1:6" ht="21" customHeight="1" x14ac:dyDescent="0.25">
      <c r="A794" s="41" t="s">
        <v>347</v>
      </c>
      <c r="B794" s="15" t="s">
        <v>349</v>
      </c>
      <c r="C794" s="15"/>
      <c r="D794" s="15">
        <v>3</v>
      </c>
      <c r="E794" s="2" t="s">
        <v>174</v>
      </c>
      <c r="F794" s="2" t="s">
        <v>175</v>
      </c>
    </row>
    <row r="795" spans="1:6" ht="21" customHeight="1" x14ac:dyDescent="0.25">
      <c r="A795" s="41" t="s">
        <v>347</v>
      </c>
      <c r="B795" s="15" t="s">
        <v>349</v>
      </c>
      <c r="C795" s="15"/>
      <c r="D795" s="15">
        <v>4</v>
      </c>
      <c r="E795" s="2" t="s">
        <v>174</v>
      </c>
      <c r="F795" s="2" t="s">
        <v>175</v>
      </c>
    </row>
    <row r="796" spans="1:6" ht="21" customHeight="1" x14ac:dyDescent="0.25">
      <c r="A796" s="41" t="s">
        <v>347</v>
      </c>
      <c r="B796" s="15" t="s">
        <v>349</v>
      </c>
      <c r="C796" s="15"/>
      <c r="D796" s="15">
        <v>5</v>
      </c>
      <c r="E796" s="2" t="s">
        <v>174</v>
      </c>
      <c r="F796" s="2" t="s">
        <v>175</v>
      </c>
    </row>
    <row r="797" spans="1:6" ht="21" customHeight="1" x14ac:dyDescent="0.25">
      <c r="A797" s="41" t="s">
        <v>347</v>
      </c>
      <c r="B797" s="16" t="s">
        <v>350</v>
      </c>
      <c r="C797" s="16"/>
      <c r="D797" s="16">
        <v>1</v>
      </c>
      <c r="E797" s="2" t="s">
        <v>174</v>
      </c>
      <c r="F797" s="2" t="s">
        <v>177</v>
      </c>
    </row>
    <row r="798" spans="1:6" ht="21" customHeight="1" x14ac:dyDescent="0.25">
      <c r="A798" s="41" t="s">
        <v>347</v>
      </c>
      <c r="B798" s="16" t="s">
        <v>350</v>
      </c>
      <c r="C798" s="16"/>
      <c r="D798" s="16">
        <v>2</v>
      </c>
      <c r="E798" s="2" t="s">
        <v>174</v>
      </c>
      <c r="F798" s="2" t="s">
        <v>177</v>
      </c>
    </row>
    <row r="799" spans="1:6" ht="21" customHeight="1" x14ac:dyDescent="0.25">
      <c r="A799" s="41" t="s">
        <v>347</v>
      </c>
      <c r="B799" s="16" t="s">
        <v>350</v>
      </c>
      <c r="C799" s="16"/>
      <c r="D799" s="16">
        <v>3</v>
      </c>
      <c r="E799" s="2" t="s">
        <v>174</v>
      </c>
      <c r="F799" s="2" t="s">
        <v>177</v>
      </c>
    </row>
    <row r="800" spans="1:6" ht="21" customHeight="1" x14ac:dyDescent="0.25">
      <c r="A800" s="41" t="s">
        <v>347</v>
      </c>
      <c r="B800" s="16" t="s">
        <v>350</v>
      </c>
      <c r="C800" s="16"/>
      <c r="D800" s="16">
        <v>4</v>
      </c>
      <c r="E800" s="2" t="s">
        <v>174</v>
      </c>
      <c r="F800" s="2" t="s">
        <v>177</v>
      </c>
    </row>
    <row r="801" spans="1:6" ht="21" customHeight="1" x14ac:dyDescent="0.25">
      <c r="A801" s="41" t="s">
        <v>347</v>
      </c>
      <c r="B801" s="16" t="s">
        <v>350</v>
      </c>
      <c r="C801" s="16"/>
      <c r="D801" s="16">
        <v>5</v>
      </c>
      <c r="E801" s="2" t="s">
        <v>174</v>
      </c>
      <c r="F801" s="2" t="s">
        <v>177</v>
      </c>
    </row>
    <row r="802" spans="1:6" ht="21" customHeight="1" x14ac:dyDescent="0.25">
      <c r="A802" s="41" t="s">
        <v>347</v>
      </c>
      <c r="B802" s="15" t="s">
        <v>351</v>
      </c>
      <c r="C802" s="15"/>
      <c r="D802" s="15">
        <v>1</v>
      </c>
      <c r="E802" s="2" t="s">
        <v>174</v>
      </c>
      <c r="F802" s="2" t="s">
        <v>179</v>
      </c>
    </row>
    <row r="803" spans="1:6" ht="21" customHeight="1" x14ac:dyDescent="0.25">
      <c r="A803" s="41" t="s">
        <v>347</v>
      </c>
      <c r="B803" s="15" t="s">
        <v>351</v>
      </c>
      <c r="C803" s="15"/>
      <c r="D803" s="15">
        <v>2</v>
      </c>
      <c r="E803" s="2" t="s">
        <v>174</v>
      </c>
      <c r="F803" s="2" t="s">
        <v>179</v>
      </c>
    </row>
    <row r="804" spans="1:6" ht="21" customHeight="1" x14ac:dyDescent="0.25">
      <c r="A804" s="41" t="s">
        <v>347</v>
      </c>
      <c r="B804" s="15" t="s">
        <v>351</v>
      </c>
      <c r="C804" s="15"/>
      <c r="D804" s="15">
        <v>3</v>
      </c>
      <c r="E804" s="2" t="s">
        <v>174</v>
      </c>
      <c r="F804" s="2" t="s">
        <v>179</v>
      </c>
    </row>
    <row r="805" spans="1:6" ht="21" customHeight="1" x14ac:dyDescent="0.25">
      <c r="A805" s="41" t="s">
        <v>347</v>
      </c>
      <c r="B805" s="15" t="s">
        <v>351</v>
      </c>
      <c r="C805" s="15"/>
      <c r="D805" s="15">
        <v>4</v>
      </c>
      <c r="E805" s="2" t="s">
        <v>174</v>
      </c>
      <c r="F805" s="2" t="s">
        <v>179</v>
      </c>
    </row>
    <row r="806" spans="1:6" ht="21" customHeight="1" x14ac:dyDescent="0.25">
      <c r="A806" s="41" t="s">
        <v>347</v>
      </c>
      <c r="B806" s="15" t="s">
        <v>351</v>
      </c>
      <c r="C806" s="15"/>
      <c r="D806" s="15">
        <v>5</v>
      </c>
      <c r="E806" s="2" t="s">
        <v>174</v>
      </c>
      <c r="F806" s="2" t="s">
        <v>179</v>
      </c>
    </row>
    <row r="807" spans="1:6" ht="21" customHeight="1" x14ac:dyDescent="0.25">
      <c r="A807" s="41" t="s">
        <v>347</v>
      </c>
      <c r="B807" s="15" t="s">
        <v>351</v>
      </c>
      <c r="C807" s="15"/>
      <c r="D807" s="15">
        <v>6</v>
      </c>
      <c r="E807" s="2" t="s">
        <v>174</v>
      </c>
      <c r="F807" s="2" t="s">
        <v>179</v>
      </c>
    </row>
    <row r="808" spans="1:6" ht="21" customHeight="1" x14ac:dyDescent="0.25">
      <c r="A808" s="41" t="s">
        <v>347</v>
      </c>
      <c r="B808" s="15" t="s">
        <v>351</v>
      </c>
      <c r="C808" s="15"/>
      <c r="D808" s="15">
        <v>7</v>
      </c>
      <c r="E808" s="2" t="s">
        <v>174</v>
      </c>
      <c r="F808" s="2" t="s">
        <v>179</v>
      </c>
    </row>
    <row r="809" spans="1:6" ht="21" customHeight="1" x14ac:dyDescent="0.25">
      <c r="A809" s="41" t="s">
        <v>347</v>
      </c>
      <c r="B809" s="15" t="s">
        <v>351</v>
      </c>
      <c r="C809" s="15"/>
      <c r="D809" s="15">
        <v>8</v>
      </c>
      <c r="E809" s="2" t="s">
        <v>174</v>
      </c>
      <c r="F809" s="2" t="s">
        <v>179</v>
      </c>
    </row>
    <row r="810" spans="1:6" ht="21" customHeight="1" x14ac:dyDescent="0.25">
      <c r="A810" s="42" t="s">
        <v>352</v>
      </c>
      <c r="B810" s="16" t="s">
        <v>353</v>
      </c>
      <c r="C810" s="16"/>
      <c r="D810" s="16">
        <v>1</v>
      </c>
      <c r="E810" s="2" t="s">
        <v>171</v>
      </c>
      <c r="F810" s="2" t="s">
        <v>172</v>
      </c>
    </row>
    <row r="811" spans="1:6" ht="21" customHeight="1" x14ac:dyDescent="0.25">
      <c r="A811" s="42" t="s">
        <v>352</v>
      </c>
      <c r="B811" s="16" t="s">
        <v>353</v>
      </c>
      <c r="C811" s="16"/>
      <c r="D811" s="16">
        <v>2</v>
      </c>
      <c r="E811" s="2" t="s">
        <v>171</v>
      </c>
      <c r="F811" s="2" t="s">
        <v>172</v>
      </c>
    </row>
    <row r="812" spans="1:6" ht="21" customHeight="1" x14ac:dyDescent="0.25">
      <c r="A812" s="42" t="s">
        <v>352</v>
      </c>
      <c r="B812" s="16" t="s">
        <v>353</v>
      </c>
      <c r="C812" s="16"/>
      <c r="D812" s="16">
        <v>3</v>
      </c>
      <c r="E812" s="2" t="s">
        <v>171</v>
      </c>
      <c r="F812" s="2" t="s">
        <v>172</v>
      </c>
    </row>
    <row r="813" spans="1:6" ht="21" customHeight="1" x14ac:dyDescent="0.25">
      <c r="A813" s="42" t="s">
        <v>352</v>
      </c>
      <c r="B813" s="16" t="s">
        <v>353</v>
      </c>
      <c r="C813" s="16"/>
      <c r="D813" s="16">
        <v>4</v>
      </c>
      <c r="E813" s="2" t="s">
        <v>171</v>
      </c>
      <c r="F813" s="2" t="s">
        <v>172</v>
      </c>
    </row>
    <row r="814" spans="1:6" ht="21" customHeight="1" x14ac:dyDescent="0.25">
      <c r="A814" s="42" t="s">
        <v>352</v>
      </c>
      <c r="B814" s="16" t="s">
        <v>353</v>
      </c>
      <c r="C814" s="16"/>
      <c r="D814" s="16">
        <v>5</v>
      </c>
      <c r="E814" s="2" t="s">
        <v>171</v>
      </c>
      <c r="F814" s="2" t="s">
        <v>172</v>
      </c>
    </row>
    <row r="815" spans="1:6" ht="21" customHeight="1" x14ac:dyDescent="0.25">
      <c r="A815" s="42" t="s">
        <v>352</v>
      </c>
      <c r="B815" s="15" t="s">
        <v>354</v>
      </c>
      <c r="C815" s="15"/>
      <c r="D815" s="15">
        <v>1</v>
      </c>
      <c r="E815" s="2" t="s">
        <v>174</v>
      </c>
      <c r="F815" s="2" t="s">
        <v>175</v>
      </c>
    </row>
    <row r="816" spans="1:6" ht="21" customHeight="1" x14ac:dyDescent="0.25">
      <c r="A816" s="42" t="s">
        <v>352</v>
      </c>
      <c r="B816" s="15" t="s">
        <v>354</v>
      </c>
      <c r="C816" s="15"/>
      <c r="D816" s="15">
        <v>2</v>
      </c>
      <c r="E816" s="2" t="s">
        <v>174</v>
      </c>
      <c r="F816" s="2" t="s">
        <v>175</v>
      </c>
    </row>
    <row r="817" spans="1:6" ht="21" customHeight="1" x14ac:dyDescent="0.25">
      <c r="A817" s="42" t="s">
        <v>352</v>
      </c>
      <c r="B817" s="15" t="s">
        <v>354</v>
      </c>
      <c r="C817" s="15"/>
      <c r="D817" s="15">
        <v>3</v>
      </c>
      <c r="E817" s="2" t="s">
        <v>174</v>
      </c>
      <c r="F817" s="2" t="s">
        <v>175</v>
      </c>
    </row>
    <row r="818" spans="1:6" ht="21" customHeight="1" x14ac:dyDescent="0.25">
      <c r="A818" s="42" t="s">
        <v>352</v>
      </c>
      <c r="B818" s="15" t="s">
        <v>354</v>
      </c>
      <c r="C818" s="15"/>
      <c r="D818" s="15">
        <v>4</v>
      </c>
      <c r="E818" s="2" t="s">
        <v>174</v>
      </c>
      <c r="F818" s="2" t="s">
        <v>175</v>
      </c>
    </row>
    <row r="819" spans="1:6" ht="21" customHeight="1" x14ac:dyDescent="0.25">
      <c r="A819" s="42" t="s">
        <v>352</v>
      </c>
      <c r="B819" s="15" t="s">
        <v>354</v>
      </c>
      <c r="C819" s="15"/>
      <c r="D819" s="15">
        <v>5</v>
      </c>
      <c r="E819" s="2" t="s">
        <v>174</v>
      </c>
      <c r="F819" s="2" t="s">
        <v>175</v>
      </c>
    </row>
    <row r="820" spans="1:6" ht="21" customHeight="1" x14ac:dyDescent="0.25">
      <c r="A820" s="42" t="s">
        <v>352</v>
      </c>
      <c r="B820" s="16" t="s">
        <v>355</v>
      </c>
      <c r="C820" s="16"/>
      <c r="D820" s="16">
        <v>1</v>
      </c>
      <c r="E820" s="2" t="s">
        <v>174</v>
      </c>
      <c r="F820" s="2" t="s">
        <v>177</v>
      </c>
    </row>
    <row r="821" spans="1:6" ht="21" customHeight="1" x14ac:dyDescent="0.25">
      <c r="A821" s="42" t="s">
        <v>352</v>
      </c>
      <c r="B821" s="16" t="s">
        <v>355</v>
      </c>
      <c r="C821" s="16"/>
      <c r="D821" s="16">
        <v>2</v>
      </c>
      <c r="E821" s="2" t="s">
        <v>174</v>
      </c>
      <c r="F821" s="2" t="s">
        <v>177</v>
      </c>
    </row>
    <row r="822" spans="1:6" ht="21" customHeight="1" x14ac:dyDescent="0.25">
      <c r="A822" s="42" t="s">
        <v>352</v>
      </c>
      <c r="B822" s="16" t="s">
        <v>355</v>
      </c>
      <c r="C822" s="16"/>
      <c r="D822" s="16">
        <v>3</v>
      </c>
      <c r="E822" s="2" t="s">
        <v>174</v>
      </c>
      <c r="F822" s="2" t="s">
        <v>177</v>
      </c>
    </row>
    <row r="823" spans="1:6" ht="21" customHeight="1" x14ac:dyDescent="0.25">
      <c r="A823" s="42" t="s">
        <v>352</v>
      </c>
      <c r="B823" s="16" t="s">
        <v>355</v>
      </c>
      <c r="C823" s="16"/>
      <c r="D823" s="16">
        <v>4</v>
      </c>
      <c r="E823" s="2" t="s">
        <v>174</v>
      </c>
      <c r="F823" s="2" t="s">
        <v>177</v>
      </c>
    </row>
    <row r="824" spans="1:6" ht="21" customHeight="1" x14ac:dyDescent="0.25">
      <c r="A824" s="42" t="s">
        <v>352</v>
      </c>
      <c r="B824" s="16" t="s">
        <v>355</v>
      </c>
      <c r="C824" s="16"/>
      <c r="D824" s="16">
        <v>5</v>
      </c>
      <c r="E824" s="2" t="s">
        <v>174</v>
      </c>
      <c r="F824" s="2" t="s">
        <v>177</v>
      </c>
    </row>
    <row r="825" spans="1:6" ht="21" customHeight="1" x14ac:dyDescent="0.25">
      <c r="A825" s="42" t="s">
        <v>352</v>
      </c>
      <c r="B825" s="15" t="s">
        <v>356</v>
      </c>
      <c r="C825" s="15"/>
      <c r="D825" s="15">
        <v>1</v>
      </c>
      <c r="E825" s="2" t="s">
        <v>174</v>
      </c>
      <c r="F825" s="2" t="s">
        <v>179</v>
      </c>
    </row>
    <row r="826" spans="1:6" ht="21" customHeight="1" x14ac:dyDescent="0.25">
      <c r="A826" s="42" t="s">
        <v>352</v>
      </c>
      <c r="B826" s="15" t="s">
        <v>356</v>
      </c>
      <c r="C826" s="15"/>
      <c r="D826" s="15">
        <v>2</v>
      </c>
      <c r="E826" s="2" t="s">
        <v>174</v>
      </c>
      <c r="F826" s="2" t="s">
        <v>179</v>
      </c>
    </row>
    <row r="827" spans="1:6" ht="21" customHeight="1" x14ac:dyDescent="0.25">
      <c r="A827" s="42" t="s">
        <v>352</v>
      </c>
      <c r="B827" s="15" t="s">
        <v>356</v>
      </c>
      <c r="C827" s="15"/>
      <c r="D827" s="15">
        <v>3</v>
      </c>
      <c r="E827" s="2" t="s">
        <v>174</v>
      </c>
      <c r="F827" s="2" t="s">
        <v>179</v>
      </c>
    </row>
    <row r="828" spans="1:6" ht="21" customHeight="1" x14ac:dyDescent="0.25">
      <c r="A828" s="42" t="s">
        <v>352</v>
      </c>
      <c r="B828" s="15" t="s">
        <v>356</v>
      </c>
      <c r="C828" s="15"/>
      <c r="D828" s="15">
        <v>4</v>
      </c>
      <c r="E828" s="2" t="s">
        <v>174</v>
      </c>
      <c r="F828" s="2" t="s">
        <v>179</v>
      </c>
    </row>
    <row r="829" spans="1:6" ht="21" customHeight="1" x14ac:dyDescent="0.25">
      <c r="A829" s="42" t="s">
        <v>352</v>
      </c>
      <c r="B829" s="15" t="s">
        <v>356</v>
      </c>
      <c r="C829" s="15"/>
      <c r="D829" s="15">
        <v>5</v>
      </c>
      <c r="E829" s="2" t="s">
        <v>174</v>
      </c>
      <c r="F829" s="2" t="s">
        <v>179</v>
      </c>
    </row>
    <row r="830" spans="1:6" ht="21" customHeight="1" x14ac:dyDescent="0.25">
      <c r="A830" s="42" t="s">
        <v>352</v>
      </c>
      <c r="B830" s="15" t="s">
        <v>356</v>
      </c>
      <c r="C830" s="15"/>
      <c r="D830" s="15">
        <v>6</v>
      </c>
      <c r="E830" s="2" t="s">
        <v>174</v>
      </c>
      <c r="F830" s="2" t="s">
        <v>179</v>
      </c>
    </row>
    <row r="831" spans="1:6" ht="21" customHeight="1" x14ac:dyDescent="0.25">
      <c r="A831" s="42" t="s">
        <v>352</v>
      </c>
      <c r="B831" s="15" t="s">
        <v>356</v>
      </c>
      <c r="C831" s="15"/>
      <c r="D831" s="15">
        <v>7</v>
      </c>
      <c r="E831" s="2" t="s">
        <v>174</v>
      </c>
      <c r="F831" s="2" t="s">
        <v>179</v>
      </c>
    </row>
    <row r="832" spans="1:6" ht="21" customHeight="1" x14ac:dyDescent="0.25">
      <c r="A832" s="42" t="s">
        <v>352</v>
      </c>
      <c r="B832" s="15" t="s">
        <v>356</v>
      </c>
      <c r="C832" s="15"/>
      <c r="D832" s="15">
        <v>8</v>
      </c>
      <c r="E832" s="2" t="s">
        <v>174</v>
      </c>
      <c r="F832" s="2" t="s">
        <v>179</v>
      </c>
    </row>
    <row r="833" spans="1:6" ht="21" customHeight="1" x14ac:dyDescent="0.25">
      <c r="A833" s="41" t="s">
        <v>357</v>
      </c>
      <c r="B833" s="16" t="s">
        <v>358</v>
      </c>
      <c r="C833" s="16"/>
      <c r="D833" s="16">
        <v>1</v>
      </c>
      <c r="E833" s="2" t="s">
        <v>171</v>
      </c>
      <c r="F833" s="2" t="s">
        <v>172</v>
      </c>
    </row>
    <row r="834" spans="1:6" ht="21" customHeight="1" x14ac:dyDescent="0.25">
      <c r="A834" s="41" t="s">
        <v>357</v>
      </c>
      <c r="B834" s="16" t="s">
        <v>358</v>
      </c>
      <c r="C834" s="16"/>
      <c r="D834" s="16">
        <v>2</v>
      </c>
      <c r="E834" s="2" t="s">
        <v>171</v>
      </c>
      <c r="F834" s="2" t="s">
        <v>172</v>
      </c>
    </row>
    <row r="835" spans="1:6" ht="21" customHeight="1" x14ac:dyDescent="0.25">
      <c r="A835" s="41" t="s">
        <v>357</v>
      </c>
      <c r="B835" s="16" t="s">
        <v>358</v>
      </c>
      <c r="C835" s="16"/>
      <c r="D835" s="16">
        <v>3</v>
      </c>
      <c r="E835" s="2" t="s">
        <v>171</v>
      </c>
      <c r="F835" s="2" t="s">
        <v>172</v>
      </c>
    </row>
    <row r="836" spans="1:6" ht="21" customHeight="1" x14ac:dyDescent="0.25">
      <c r="A836" s="41" t="s">
        <v>357</v>
      </c>
      <c r="B836" s="16" t="s">
        <v>358</v>
      </c>
      <c r="C836" s="16"/>
      <c r="D836" s="16">
        <v>4</v>
      </c>
      <c r="E836" s="2" t="s">
        <v>171</v>
      </c>
      <c r="F836" s="2" t="s">
        <v>172</v>
      </c>
    </row>
    <row r="837" spans="1:6" ht="21" customHeight="1" x14ac:dyDescent="0.25">
      <c r="A837" s="41" t="s">
        <v>357</v>
      </c>
      <c r="B837" s="16" t="s">
        <v>358</v>
      </c>
      <c r="C837" s="16"/>
      <c r="D837" s="16">
        <v>5</v>
      </c>
      <c r="E837" s="2" t="s">
        <v>171</v>
      </c>
      <c r="F837" s="2" t="s">
        <v>172</v>
      </c>
    </row>
    <row r="838" spans="1:6" ht="21" customHeight="1" x14ac:dyDescent="0.25">
      <c r="A838" s="41" t="s">
        <v>357</v>
      </c>
      <c r="B838" s="15" t="s">
        <v>359</v>
      </c>
      <c r="C838" s="15"/>
      <c r="D838" s="15">
        <v>1</v>
      </c>
      <c r="E838" s="2" t="s">
        <v>174</v>
      </c>
      <c r="F838" s="2" t="s">
        <v>175</v>
      </c>
    </row>
    <row r="839" spans="1:6" ht="21" customHeight="1" x14ac:dyDescent="0.25">
      <c r="A839" s="41" t="s">
        <v>357</v>
      </c>
      <c r="B839" s="15" t="s">
        <v>359</v>
      </c>
      <c r="C839" s="15"/>
      <c r="D839" s="15">
        <v>2</v>
      </c>
      <c r="E839" s="2" t="s">
        <v>174</v>
      </c>
      <c r="F839" s="2" t="s">
        <v>175</v>
      </c>
    </row>
    <row r="840" spans="1:6" ht="21" customHeight="1" x14ac:dyDescent="0.25">
      <c r="A840" s="41" t="s">
        <v>357</v>
      </c>
      <c r="B840" s="15" t="s">
        <v>359</v>
      </c>
      <c r="C840" s="15"/>
      <c r="D840" s="15">
        <v>3</v>
      </c>
      <c r="E840" s="2" t="s">
        <v>174</v>
      </c>
      <c r="F840" s="2" t="s">
        <v>175</v>
      </c>
    </row>
    <row r="841" spans="1:6" ht="21" customHeight="1" x14ac:dyDescent="0.25">
      <c r="A841" s="41" t="s">
        <v>357</v>
      </c>
      <c r="B841" s="15" t="s">
        <v>359</v>
      </c>
      <c r="C841" s="15"/>
      <c r="D841" s="15">
        <v>4</v>
      </c>
      <c r="E841" s="2" t="s">
        <v>174</v>
      </c>
      <c r="F841" s="2" t="s">
        <v>175</v>
      </c>
    </row>
    <row r="842" spans="1:6" ht="21" customHeight="1" x14ac:dyDescent="0.25">
      <c r="A842" s="41" t="s">
        <v>357</v>
      </c>
      <c r="B842" s="15" t="s">
        <v>359</v>
      </c>
      <c r="C842" s="15"/>
      <c r="D842" s="15">
        <v>5</v>
      </c>
      <c r="E842" s="2" t="s">
        <v>174</v>
      </c>
      <c r="F842" s="2" t="s">
        <v>175</v>
      </c>
    </row>
    <row r="843" spans="1:6" ht="21" customHeight="1" x14ac:dyDescent="0.25">
      <c r="A843" s="41" t="s">
        <v>357</v>
      </c>
      <c r="B843" s="16" t="s">
        <v>360</v>
      </c>
      <c r="C843" s="16"/>
      <c r="D843" s="16">
        <v>1</v>
      </c>
      <c r="E843" s="2" t="s">
        <v>174</v>
      </c>
      <c r="F843" s="2" t="s">
        <v>177</v>
      </c>
    </row>
    <row r="844" spans="1:6" ht="21" customHeight="1" x14ac:dyDescent="0.25">
      <c r="A844" s="41" t="s">
        <v>357</v>
      </c>
      <c r="B844" s="16" t="s">
        <v>360</v>
      </c>
      <c r="C844" s="16"/>
      <c r="D844" s="16">
        <v>2</v>
      </c>
      <c r="E844" s="2" t="s">
        <v>174</v>
      </c>
      <c r="F844" s="2" t="s">
        <v>177</v>
      </c>
    </row>
    <row r="845" spans="1:6" ht="21" customHeight="1" x14ac:dyDescent="0.25">
      <c r="A845" s="41" t="s">
        <v>357</v>
      </c>
      <c r="B845" s="16" t="s">
        <v>360</v>
      </c>
      <c r="C845" s="16"/>
      <c r="D845" s="16">
        <v>3</v>
      </c>
      <c r="E845" s="2" t="s">
        <v>174</v>
      </c>
      <c r="F845" s="2" t="s">
        <v>177</v>
      </c>
    </row>
    <row r="846" spans="1:6" ht="21" customHeight="1" x14ac:dyDescent="0.25">
      <c r="A846" s="41" t="s">
        <v>357</v>
      </c>
      <c r="B846" s="16" t="s">
        <v>360</v>
      </c>
      <c r="C846" s="16"/>
      <c r="D846" s="16">
        <v>4</v>
      </c>
      <c r="E846" s="2" t="s">
        <v>174</v>
      </c>
      <c r="F846" s="2" t="s">
        <v>177</v>
      </c>
    </row>
    <row r="847" spans="1:6" ht="21" customHeight="1" x14ac:dyDescent="0.25">
      <c r="A847" s="41" t="s">
        <v>357</v>
      </c>
      <c r="B847" s="16" t="s">
        <v>360</v>
      </c>
      <c r="C847" s="16"/>
      <c r="D847" s="16">
        <v>5</v>
      </c>
      <c r="E847" s="2" t="s">
        <v>174</v>
      </c>
      <c r="F847" s="2" t="s">
        <v>177</v>
      </c>
    </row>
    <row r="848" spans="1:6" ht="21" customHeight="1" x14ac:dyDescent="0.25">
      <c r="A848" s="41" t="s">
        <v>357</v>
      </c>
      <c r="B848" s="15" t="s">
        <v>361</v>
      </c>
      <c r="C848" s="15"/>
      <c r="D848" s="15">
        <v>1</v>
      </c>
      <c r="E848" s="2" t="s">
        <v>174</v>
      </c>
      <c r="F848" s="2" t="s">
        <v>179</v>
      </c>
    </row>
    <row r="849" spans="1:6" ht="21" customHeight="1" x14ac:dyDescent="0.25">
      <c r="A849" s="41" t="s">
        <v>357</v>
      </c>
      <c r="B849" s="15" t="s">
        <v>361</v>
      </c>
      <c r="C849" s="15"/>
      <c r="D849" s="15">
        <v>2</v>
      </c>
      <c r="E849" s="2" t="s">
        <v>174</v>
      </c>
      <c r="F849" s="2" t="s">
        <v>179</v>
      </c>
    </row>
    <row r="850" spans="1:6" ht="21" customHeight="1" x14ac:dyDescent="0.25">
      <c r="A850" s="41" t="s">
        <v>357</v>
      </c>
      <c r="B850" s="15" t="s">
        <v>361</v>
      </c>
      <c r="C850" s="15"/>
      <c r="D850" s="15">
        <v>3</v>
      </c>
      <c r="E850" s="2" t="s">
        <v>174</v>
      </c>
      <c r="F850" s="2" t="s">
        <v>179</v>
      </c>
    </row>
    <row r="851" spans="1:6" ht="21" customHeight="1" x14ac:dyDescent="0.25">
      <c r="A851" s="41" t="s">
        <v>357</v>
      </c>
      <c r="B851" s="15" t="s">
        <v>361</v>
      </c>
      <c r="C851" s="15"/>
      <c r="D851" s="15">
        <v>4</v>
      </c>
      <c r="E851" s="2" t="s">
        <v>174</v>
      </c>
      <c r="F851" s="2" t="s">
        <v>179</v>
      </c>
    </row>
    <row r="852" spans="1:6" ht="21" customHeight="1" x14ac:dyDescent="0.25">
      <c r="A852" s="41" t="s">
        <v>357</v>
      </c>
      <c r="B852" s="15" t="s">
        <v>361</v>
      </c>
      <c r="C852" s="15"/>
      <c r="D852" s="15">
        <v>5</v>
      </c>
      <c r="E852" s="2" t="s">
        <v>174</v>
      </c>
      <c r="F852" s="2" t="s">
        <v>179</v>
      </c>
    </row>
    <row r="853" spans="1:6" ht="21" customHeight="1" x14ac:dyDescent="0.25">
      <c r="A853" s="41" t="s">
        <v>357</v>
      </c>
      <c r="B853" s="15" t="s">
        <v>361</v>
      </c>
      <c r="C853" s="15"/>
      <c r="D853" s="15">
        <v>6</v>
      </c>
      <c r="E853" s="2" t="s">
        <v>174</v>
      </c>
      <c r="F853" s="2" t="s">
        <v>179</v>
      </c>
    </row>
    <row r="854" spans="1:6" ht="21" customHeight="1" x14ac:dyDescent="0.25">
      <c r="A854" s="41" t="s">
        <v>357</v>
      </c>
      <c r="B854" s="15" t="s">
        <v>361</v>
      </c>
      <c r="C854" s="15"/>
      <c r="D854" s="15">
        <v>7</v>
      </c>
      <c r="E854" s="2" t="s">
        <v>174</v>
      </c>
      <c r="F854" s="2" t="s">
        <v>179</v>
      </c>
    </row>
    <row r="855" spans="1:6" ht="21" customHeight="1" x14ac:dyDescent="0.25">
      <c r="A855" s="41" t="s">
        <v>357</v>
      </c>
      <c r="B855" s="15" t="s">
        <v>361</v>
      </c>
      <c r="C855" s="15"/>
      <c r="D855" s="15">
        <v>8</v>
      </c>
      <c r="E855" s="2" t="s">
        <v>174</v>
      </c>
      <c r="F855" s="2" t="s">
        <v>179</v>
      </c>
    </row>
    <row r="856" spans="1:6" ht="21" customHeight="1" x14ac:dyDescent="0.25">
      <c r="A856" s="42" t="s">
        <v>362</v>
      </c>
      <c r="B856" s="16" t="s">
        <v>363</v>
      </c>
      <c r="C856" s="16"/>
      <c r="D856" s="16">
        <v>1</v>
      </c>
      <c r="E856" s="2" t="s">
        <v>171</v>
      </c>
      <c r="F856" s="2" t="s">
        <v>172</v>
      </c>
    </row>
    <row r="857" spans="1:6" ht="21" customHeight="1" x14ac:dyDescent="0.25">
      <c r="A857" s="42" t="s">
        <v>362</v>
      </c>
      <c r="B857" s="16" t="s">
        <v>363</v>
      </c>
      <c r="C857" s="16"/>
      <c r="D857" s="16">
        <v>2</v>
      </c>
      <c r="E857" s="2" t="s">
        <v>171</v>
      </c>
      <c r="F857" s="2" t="s">
        <v>172</v>
      </c>
    </row>
    <row r="858" spans="1:6" ht="21" customHeight="1" x14ac:dyDescent="0.25">
      <c r="A858" s="42" t="s">
        <v>362</v>
      </c>
      <c r="B858" s="16" t="s">
        <v>363</v>
      </c>
      <c r="C858" s="16"/>
      <c r="D858" s="16">
        <v>3</v>
      </c>
      <c r="E858" s="2" t="s">
        <v>171</v>
      </c>
      <c r="F858" s="2" t="s">
        <v>172</v>
      </c>
    </row>
    <row r="859" spans="1:6" ht="21" customHeight="1" x14ac:dyDescent="0.25">
      <c r="A859" s="42" t="s">
        <v>362</v>
      </c>
      <c r="B859" s="16" t="s">
        <v>363</v>
      </c>
      <c r="C859" s="16"/>
      <c r="D859" s="16">
        <v>4</v>
      </c>
      <c r="E859" s="2" t="s">
        <v>171</v>
      </c>
      <c r="F859" s="2" t="s">
        <v>172</v>
      </c>
    </row>
    <row r="860" spans="1:6" ht="21" customHeight="1" x14ac:dyDescent="0.25">
      <c r="A860" s="42" t="s">
        <v>362</v>
      </c>
      <c r="B860" s="16" t="s">
        <v>363</v>
      </c>
      <c r="C860" s="16"/>
      <c r="D860" s="16">
        <v>5</v>
      </c>
      <c r="E860" s="2" t="s">
        <v>171</v>
      </c>
      <c r="F860" s="2" t="s">
        <v>172</v>
      </c>
    </row>
    <row r="861" spans="1:6" ht="21" customHeight="1" x14ac:dyDescent="0.25">
      <c r="A861" s="42" t="s">
        <v>362</v>
      </c>
      <c r="B861" s="15" t="s">
        <v>364</v>
      </c>
      <c r="C861" s="15"/>
      <c r="D861" s="15">
        <v>1</v>
      </c>
      <c r="E861" s="2" t="s">
        <v>174</v>
      </c>
      <c r="F861" s="2" t="s">
        <v>175</v>
      </c>
    </row>
    <row r="862" spans="1:6" ht="21" customHeight="1" x14ac:dyDescent="0.25">
      <c r="A862" s="42" t="s">
        <v>362</v>
      </c>
      <c r="B862" s="15" t="s">
        <v>364</v>
      </c>
      <c r="C862" s="15"/>
      <c r="D862" s="15">
        <v>2</v>
      </c>
      <c r="E862" s="2" t="s">
        <v>174</v>
      </c>
      <c r="F862" s="2" t="s">
        <v>175</v>
      </c>
    </row>
    <row r="863" spans="1:6" ht="21" customHeight="1" x14ac:dyDescent="0.25">
      <c r="A863" s="42" t="s">
        <v>362</v>
      </c>
      <c r="B863" s="15" t="s">
        <v>364</v>
      </c>
      <c r="C863" s="15"/>
      <c r="D863" s="15">
        <v>3</v>
      </c>
      <c r="E863" s="2" t="s">
        <v>174</v>
      </c>
      <c r="F863" s="2" t="s">
        <v>175</v>
      </c>
    </row>
    <row r="864" spans="1:6" ht="21" customHeight="1" x14ac:dyDescent="0.25">
      <c r="A864" s="42" t="s">
        <v>362</v>
      </c>
      <c r="B864" s="15" t="s">
        <v>364</v>
      </c>
      <c r="C864" s="15"/>
      <c r="D864" s="15">
        <v>4</v>
      </c>
      <c r="E864" s="2" t="s">
        <v>174</v>
      </c>
      <c r="F864" s="2" t="s">
        <v>175</v>
      </c>
    </row>
    <row r="865" spans="1:6" ht="21" customHeight="1" x14ac:dyDescent="0.25">
      <c r="A865" s="42" t="s">
        <v>362</v>
      </c>
      <c r="B865" s="15" t="s">
        <v>364</v>
      </c>
      <c r="C865" s="15"/>
      <c r="D865" s="15">
        <v>5</v>
      </c>
      <c r="E865" s="2" t="s">
        <v>174</v>
      </c>
      <c r="F865" s="2" t="s">
        <v>175</v>
      </c>
    </row>
    <row r="866" spans="1:6" ht="21" customHeight="1" x14ac:dyDescent="0.25">
      <c r="A866" s="42" t="s">
        <v>362</v>
      </c>
      <c r="B866" s="16" t="s">
        <v>365</v>
      </c>
      <c r="C866" s="16"/>
      <c r="D866" s="16">
        <v>1</v>
      </c>
      <c r="E866" s="2" t="s">
        <v>174</v>
      </c>
      <c r="F866" s="2" t="s">
        <v>177</v>
      </c>
    </row>
    <row r="867" spans="1:6" ht="21" customHeight="1" x14ac:dyDescent="0.25">
      <c r="A867" s="42" t="s">
        <v>362</v>
      </c>
      <c r="B867" s="16" t="s">
        <v>365</v>
      </c>
      <c r="C867" s="16"/>
      <c r="D867" s="16">
        <v>2</v>
      </c>
      <c r="E867" s="2" t="s">
        <v>174</v>
      </c>
      <c r="F867" s="2" t="s">
        <v>177</v>
      </c>
    </row>
    <row r="868" spans="1:6" ht="21" customHeight="1" x14ac:dyDescent="0.25">
      <c r="A868" s="42" t="s">
        <v>362</v>
      </c>
      <c r="B868" s="16" t="s">
        <v>365</v>
      </c>
      <c r="C868" s="16"/>
      <c r="D868" s="16">
        <v>3</v>
      </c>
      <c r="E868" s="2" t="s">
        <v>174</v>
      </c>
      <c r="F868" s="2" t="s">
        <v>177</v>
      </c>
    </row>
    <row r="869" spans="1:6" ht="21" customHeight="1" x14ac:dyDescent="0.25">
      <c r="A869" s="42" t="s">
        <v>362</v>
      </c>
      <c r="B869" s="16" t="s">
        <v>365</v>
      </c>
      <c r="C869" s="16"/>
      <c r="D869" s="16">
        <v>4</v>
      </c>
      <c r="E869" s="2" t="s">
        <v>174</v>
      </c>
      <c r="F869" s="2" t="s">
        <v>177</v>
      </c>
    </row>
    <row r="870" spans="1:6" ht="21" customHeight="1" x14ac:dyDescent="0.25">
      <c r="A870" s="42" t="s">
        <v>362</v>
      </c>
      <c r="B870" s="16" t="s">
        <v>365</v>
      </c>
      <c r="C870" s="16"/>
      <c r="D870" s="16">
        <v>5</v>
      </c>
      <c r="E870" s="2" t="s">
        <v>174</v>
      </c>
      <c r="F870" s="2" t="s">
        <v>177</v>
      </c>
    </row>
    <row r="871" spans="1:6" ht="21" customHeight="1" x14ac:dyDescent="0.25">
      <c r="A871" s="42" t="s">
        <v>362</v>
      </c>
      <c r="B871" s="15" t="s">
        <v>366</v>
      </c>
      <c r="C871" s="15"/>
      <c r="D871" s="15">
        <v>1</v>
      </c>
      <c r="E871" s="2" t="s">
        <v>174</v>
      </c>
      <c r="F871" s="2" t="s">
        <v>179</v>
      </c>
    </row>
    <row r="872" spans="1:6" ht="21" customHeight="1" x14ac:dyDescent="0.25">
      <c r="A872" s="42" t="s">
        <v>362</v>
      </c>
      <c r="B872" s="15" t="s">
        <v>366</v>
      </c>
      <c r="C872" s="15"/>
      <c r="D872" s="15">
        <v>2</v>
      </c>
      <c r="E872" s="2" t="s">
        <v>174</v>
      </c>
      <c r="F872" s="2" t="s">
        <v>179</v>
      </c>
    </row>
    <row r="873" spans="1:6" ht="21" customHeight="1" x14ac:dyDescent="0.25">
      <c r="A873" s="42" t="s">
        <v>362</v>
      </c>
      <c r="B873" s="15" t="s">
        <v>366</v>
      </c>
      <c r="C873" s="15"/>
      <c r="D873" s="15">
        <v>3</v>
      </c>
      <c r="E873" s="2" t="s">
        <v>174</v>
      </c>
      <c r="F873" s="2" t="s">
        <v>179</v>
      </c>
    </row>
    <row r="874" spans="1:6" ht="21" customHeight="1" x14ac:dyDescent="0.25">
      <c r="A874" s="42" t="s">
        <v>362</v>
      </c>
      <c r="B874" s="15" t="s">
        <v>366</v>
      </c>
      <c r="C874" s="15"/>
      <c r="D874" s="15">
        <v>4</v>
      </c>
      <c r="E874" s="2" t="s">
        <v>174</v>
      </c>
      <c r="F874" s="2" t="s">
        <v>179</v>
      </c>
    </row>
    <row r="875" spans="1:6" ht="21" customHeight="1" x14ac:dyDescent="0.25">
      <c r="A875" s="42" t="s">
        <v>362</v>
      </c>
      <c r="B875" s="15" t="s">
        <v>366</v>
      </c>
      <c r="C875" s="15"/>
      <c r="D875" s="15">
        <v>5</v>
      </c>
      <c r="E875" s="2" t="s">
        <v>174</v>
      </c>
      <c r="F875" s="2" t="s">
        <v>179</v>
      </c>
    </row>
    <row r="876" spans="1:6" ht="21" customHeight="1" x14ac:dyDescent="0.25">
      <c r="A876" s="42" t="s">
        <v>362</v>
      </c>
      <c r="B876" s="15" t="s">
        <v>366</v>
      </c>
      <c r="C876" s="15"/>
      <c r="D876" s="15">
        <v>6</v>
      </c>
      <c r="E876" s="2" t="s">
        <v>174</v>
      </c>
      <c r="F876" s="2" t="s">
        <v>179</v>
      </c>
    </row>
    <row r="877" spans="1:6" ht="21" customHeight="1" x14ac:dyDescent="0.25">
      <c r="A877" s="42" t="s">
        <v>362</v>
      </c>
      <c r="B877" s="15" t="s">
        <v>366</v>
      </c>
      <c r="C877" s="15"/>
      <c r="D877" s="15">
        <v>7</v>
      </c>
      <c r="E877" s="2" t="s">
        <v>174</v>
      </c>
      <c r="F877" s="2" t="s">
        <v>179</v>
      </c>
    </row>
    <row r="878" spans="1:6" ht="21" customHeight="1" x14ac:dyDescent="0.25">
      <c r="A878" s="42" t="s">
        <v>362</v>
      </c>
      <c r="B878" s="15" t="s">
        <v>366</v>
      </c>
      <c r="C878" s="15"/>
      <c r="D878" s="15">
        <v>8</v>
      </c>
      <c r="E878" s="2" t="s">
        <v>174</v>
      </c>
      <c r="F878" s="2" t="s">
        <v>179</v>
      </c>
    </row>
    <row r="879" spans="1:6" ht="21" customHeight="1" x14ac:dyDescent="0.25">
      <c r="A879" s="41" t="s">
        <v>367</v>
      </c>
      <c r="B879" s="16" t="s">
        <v>368</v>
      </c>
      <c r="C879" s="16"/>
      <c r="D879" s="16">
        <v>1</v>
      </c>
      <c r="E879" s="2" t="s">
        <v>171</v>
      </c>
      <c r="F879" s="2" t="s">
        <v>172</v>
      </c>
    </row>
    <row r="880" spans="1:6" ht="21" customHeight="1" x14ac:dyDescent="0.25">
      <c r="A880" s="41" t="s">
        <v>367</v>
      </c>
      <c r="B880" s="16" t="s">
        <v>368</v>
      </c>
      <c r="C880" s="16"/>
      <c r="D880" s="16">
        <v>2</v>
      </c>
      <c r="E880" s="2" t="s">
        <v>171</v>
      </c>
      <c r="F880" s="2" t="s">
        <v>172</v>
      </c>
    </row>
    <row r="881" spans="1:6" ht="21" customHeight="1" x14ac:dyDescent="0.25">
      <c r="A881" s="41" t="s">
        <v>367</v>
      </c>
      <c r="B881" s="16" t="s">
        <v>368</v>
      </c>
      <c r="C881" s="16"/>
      <c r="D881" s="16">
        <v>3</v>
      </c>
      <c r="E881" s="2" t="s">
        <v>171</v>
      </c>
      <c r="F881" s="2" t="s">
        <v>172</v>
      </c>
    </row>
    <row r="882" spans="1:6" ht="21" customHeight="1" x14ac:dyDescent="0.25">
      <c r="A882" s="41" t="s">
        <v>367</v>
      </c>
      <c r="B882" s="16" t="s">
        <v>368</v>
      </c>
      <c r="C882" s="16"/>
      <c r="D882" s="16">
        <v>4</v>
      </c>
      <c r="E882" s="2" t="s">
        <v>171</v>
      </c>
      <c r="F882" s="2" t="s">
        <v>172</v>
      </c>
    </row>
    <row r="883" spans="1:6" ht="21" customHeight="1" x14ac:dyDescent="0.25">
      <c r="A883" s="41" t="s">
        <v>367</v>
      </c>
      <c r="B883" s="16" t="s">
        <v>368</v>
      </c>
      <c r="C883" s="16"/>
      <c r="D883" s="16">
        <v>5</v>
      </c>
      <c r="E883" s="2" t="s">
        <v>171</v>
      </c>
      <c r="F883" s="2" t="s">
        <v>172</v>
      </c>
    </row>
    <row r="884" spans="1:6" ht="21" customHeight="1" x14ac:dyDescent="0.25">
      <c r="A884" s="41" t="s">
        <v>367</v>
      </c>
      <c r="B884" s="15" t="s">
        <v>369</v>
      </c>
      <c r="C884" s="15"/>
      <c r="D884" s="15">
        <v>1</v>
      </c>
      <c r="E884" s="2" t="s">
        <v>174</v>
      </c>
      <c r="F884" s="2" t="s">
        <v>175</v>
      </c>
    </row>
    <row r="885" spans="1:6" ht="21" customHeight="1" x14ac:dyDescent="0.25">
      <c r="A885" s="41" t="s">
        <v>367</v>
      </c>
      <c r="B885" s="15" t="s">
        <v>369</v>
      </c>
      <c r="C885" s="15"/>
      <c r="D885" s="15">
        <v>2</v>
      </c>
      <c r="E885" s="2" t="s">
        <v>174</v>
      </c>
      <c r="F885" s="2" t="s">
        <v>175</v>
      </c>
    </row>
    <row r="886" spans="1:6" ht="21" customHeight="1" x14ac:dyDescent="0.25">
      <c r="A886" s="41" t="s">
        <v>367</v>
      </c>
      <c r="B886" s="15" t="s">
        <v>369</v>
      </c>
      <c r="C886" s="15"/>
      <c r="D886" s="15">
        <v>3</v>
      </c>
      <c r="E886" s="2" t="s">
        <v>174</v>
      </c>
      <c r="F886" s="2" t="s">
        <v>175</v>
      </c>
    </row>
    <row r="887" spans="1:6" ht="21" customHeight="1" x14ac:dyDescent="0.25">
      <c r="A887" s="41" t="s">
        <v>367</v>
      </c>
      <c r="B887" s="15" t="s">
        <v>369</v>
      </c>
      <c r="C887" s="15"/>
      <c r="D887" s="15">
        <v>4</v>
      </c>
      <c r="E887" s="2" t="s">
        <v>174</v>
      </c>
      <c r="F887" s="2" t="s">
        <v>175</v>
      </c>
    </row>
    <row r="888" spans="1:6" ht="21" customHeight="1" x14ac:dyDescent="0.25">
      <c r="A888" s="41" t="s">
        <v>367</v>
      </c>
      <c r="B888" s="15" t="s">
        <v>369</v>
      </c>
      <c r="C888" s="15"/>
      <c r="D888" s="15">
        <v>5</v>
      </c>
      <c r="E888" s="2" t="s">
        <v>174</v>
      </c>
      <c r="F888" s="2" t="s">
        <v>175</v>
      </c>
    </row>
    <row r="889" spans="1:6" ht="21" customHeight="1" x14ac:dyDescent="0.25">
      <c r="A889" s="41" t="s">
        <v>367</v>
      </c>
      <c r="B889" s="16" t="s">
        <v>370</v>
      </c>
      <c r="C889" s="16"/>
      <c r="D889" s="16">
        <v>1</v>
      </c>
      <c r="E889" s="2" t="s">
        <v>174</v>
      </c>
      <c r="F889" s="2" t="s">
        <v>177</v>
      </c>
    </row>
    <row r="890" spans="1:6" ht="21" customHeight="1" x14ac:dyDescent="0.25">
      <c r="A890" s="41" t="s">
        <v>367</v>
      </c>
      <c r="B890" s="16" t="s">
        <v>370</v>
      </c>
      <c r="C890" s="16"/>
      <c r="D890" s="16">
        <v>2</v>
      </c>
      <c r="E890" s="2" t="s">
        <v>174</v>
      </c>
      <c r="F890" s="2" t="s">
        <v>177</v>
      </c>
    </row>
    <row r="891" spans="1:6" ht="21" customHeight="1" x14ac:dyDescent="0.25">
      <c r="A891" s="41" t="s">
        <v>367</v>
      </c>
      <c r="B891" s="16" t="s">
        <v>370</v>
      </c>
      <c r="C891" s="16"/>
      <c r="D891" s="16">
        <v>3</v>
      </c>
      <c r="E891" s="2" t="s">
        <v>174</v>
      </c>
      <c r="F891" s="2" t="s">
        <v>177</v>
      </c>
    </row>
    <row r="892" spans="1:6" ht="21" customHeight="1" x14ac:dyDescent="0.25">
      <c r="A892" s="41" t="s">
        <v>367</v>
      </c>
      <c r="B892" s="16" t="s">
        <v>370</v>
      </c>
      <c r="C892" s="16"/>
      <c r="D892" s="16">
        <v>4</v>
      </c>
      <c r="E892" s="2" t="s">
        <v>174</v>
      </c>
      <c r="F892" s="2" t="s">
        <v>177</v>
      </c>
    </row>
    <row r="893" spans="1:6" ht="21" customHeight="1" x14ac:dyDescent="0.25">
      <c r="A893" s="41" t="s">
        <v>367</v>
      </c>
      <c r="B893" s="16" t="s">
        <v>370</v>
      </c>
      <c r="C893" s="16"/>
      <c r="D893" s="16">
        <v>5</v>
      </c>
      <c r="E893" s="2" t="s">
        <v>174</v>
      </c>
      <c r="F893" s="2" t="s">
        <v>177</v>
      </c>
    </row>
    <row r="894" spans="1:6" ht="21" customHeight="1" x14ac:dyDescent="0.25">
      <c r="A894" s="41" t="s">
        <v>367</v>
      </c>
      <c r="B894" s="15" t="s">
        <v>371</v>
      </c>
      <c r="C894" s="15"/>
      <c r="D894" s="15">
        <v>1</v>
      </c>
      <c r="E894" s="2" t="s">
        <v>174</v>
      </c>
      <c r="F894" s="2" t="s">
        <v>179</v>
      </c>
    </row>
    <row r="895" spans="1:6" ht="21" customHeight="1" x14ac:dyDescent="0.25">
      <c r="A895" s="41" t="s">
        <v>367</v>
      </c>
      <c r="B895" s="15" t="s">
        <v>371</v>
      </c>
      <c r="C895" s="15"/>
      <c r="D895" s="15">
        <v>2</v>
      </c>
      <c r="E895" s="2" t="s">
        <v>174</v>
      </c>
      <c r="F895" s="2" t="s">
        <v>179</v>
      </c>
    </row>
    <row r="896" spans="1:6" ht="21" customHeight="1" x14ac:dyDescent="0.25">
      <c r="A896" s="41" t="s">
        <v>367</v>
      </c>
      <c r="B896" s="15" t="s">
        <v>371</v>
      </c>
      <c r="C896" s="15"/>
      <c r="D896" s="15">
        <v>3</v>
      </c>
      <c r="E896" s="2" t="s">
        <v>174</v>
      </c>
      <c r="F896" s="2" t="s">
        <v>179</v>
      </c>
    </row>
    <row r="897" spans="1:6" ht="21" customHeight="1" x14ac:dyDescent="0.25">
      <c r="A897" s="41" t="s">
        <v>367</v>
      </c>
      <c r="B897" s="15" t="s">
        <v>371</v>
      </c>
      <c r="C897" s="15"/>
      <c r="D897" s="15">
        <v>4</v>
      </c>
      <c r="E897" s="2" t="s">
        <v>174</v>
      </c>
      <c r="F897" s="2" t="s">
        <v>179</v>
      </c>
    </row>
    <row r="898" spans="1:6" ht="21" customHeight="1" x14ac:dyDescent="0.25">
      <c r="A898" s="41" t="s">
        <v>367</v>
      </c>
      <c r="B898" s="15" t="s">
        <v>371</v>
      </c>
      <c r="C898" s="15"/>
      <c r="D898" s="15">
        <v>5</v>
      </c>
      <c r="E898" s="2" t="s">
        <v>174</v>
      </c>
      <c r="F898" s="2" t="s">
        <v>179</v>
      </c>
    </row>
    <row r="899" spans="1:6" ht="21" customHeight="1" x14ac:dyDescent="0.25">
      <c r="A899" s="41" t="s">
        <v>367</v>
      </c>
      <c r="B899" s="15" t="s">
        <v>371</v>
      </c>
      <c r="C899" s="15"/>
      <c r="D899" s="15">
        <v>6</v>
      </c>
      <c r="E899" s="2" t="s">
        <v>174</v>
      </c>
      <c r="F899" s="2" t="s">
        <v>179</v>
      </c>
    </row>
    <row r="900" spans="1:6" ht="21" customHeight="1" x14ac:dyDescent="0.25">
      <c r="A900" s="41" t="s">
        <v>367</v>
      </c>
      <c r="B900" s="15" t="s">
        <v>371</v>
      </c>
      <c r="C900" s="15"/>
      <c r="D900" s="15">
        <v>7</v>
      </c>
      <c r="E900" s="2" t="s">
        <v>174</v>
      </c>
      <c r="F900" s="2" t="s">
        <v>179</v>
      </c>
    </row>
    <row r="901" spans="1:6" ht="21" customHeight="1" x14ac:dyDescent="0.25">
      <c r="A901" s="41" t="s">
        <v>367</v>
      </c>
      <c r="B901" s="15" t="s">
        <v>371</v>
      </c>
      <c r="C901" s="15"/>
      <c r="D901" s="15">
        <v>8</v>
      </c>
      <c r="E901" s="2" t="s">
        <v>174</v>
      </c>
      <c r="F901" s="2" t="s">
        <v>179</v>
      </c>
    </row>
    <row r="902" spans="1:6" ht="21" customHeight="1" x14ac:dyDescent="0.25">
      <c r="A902" s="42" t="s">
        <v>372</v>
      </c>
      <c r="B902" s="16" t="s">
        <v>373</v>
      </c>
      <c r="C902" s="16"/>
      <c r="D902" s="16">
        <v>1</v>
      </c>
      <c r="E902" s="2" t="s">
        <v>171</v>
      </c>
      <c r="F902" s="2" t="s">
        <v>172</v>
      </c>
    </row>
    <row r="903" spans="1:6" ht="21" customHeight="1" x14ac:dyDescent="0.25">
      <c r="A903" s="42" t="s">
        <v>372</v>
      </c>
      <c r="B903" s="16" t="s">
        <v>373</v>
      </c>
      <c r="C903" s="16"/>
      <c r="D903" s="16">
        <v>2</v>
      </c>
      <c r="E903" s="2" t="s">
        <v>171</v>
      </c>
      <c r="F903" s="2" t="s">
        <v>172</v>
      </c>
    </row>
    <row r="904" spans="1:6" ht="21" customHeight="1" x14ac:dyDescent="0.25">
      <c r="A904" s="42" t="s">
        <v>372</v>
      </c>
      <c r="B904" s="16" t="s">
        <v>373</v>
      </c>
      <c r="C904" s="16"/>
      <c r="D904" s="16">
        <v>3</v>
      </c>
      <c r="E904" s="2" t="s">
        <v>171</v>
      </c>
      <c r="F904" s="2" t="s">
        <v>172</v>
      </c>
    </row>
    <row r="905" spans="1:6" ht="21" customHeight="1" x14ac:dyDescent="0.25">
      <c r="A905" s="42" t="s">
        <v>372</v>
      </c>
      <c r="B905" s="16" t="s">
        <v>373</v>
      </c>
      <c r="C905" s="16"/>
      <c r="D905" s="16">
        <v>4</v>
      </c>
      <c r="E905" s="2" t="s">
        <v>171</v>
      </c>
      <c r="F905" s="2" t="s">
        <v>172</v>
      </c>
    </row>
    <row r="906" spans="1:6" ht="21" customHeight="1" x14ac:dyDescent="0.25">
      <c r="A906" s="42" t="s">
        <v>372</v>
      </c>
      <c r="B906" s="16" t="s">
        <v>373</v>
      </c>
      <c r="C906" s="16"/>
      <c r="D906" s="16">
        <v>5</v>
      </c>
      <c r="E906" s="2" t="s">
        <v>171</v>
      </c>
      <c r="F906" s="2" t="s">
        <v>172</v>
      </c>
    </row>
    <row r="907" spans="1:6" ht="21" customHeight="1" x14ac:dyDescent="0.25">
      <c r="A907" s="42" t="s">
        <v>372</v>
      </c>
      <c r="B907" s="15" t="s">
        <v>374</v>
      </c>
      <c r="C907" s="15"/>
      <c r="D907" s="15">
        <v>1</v>
      </c>
      <c r="E907" s="2" t="s">
        <v>174</v>
      </c>
      <c r="F907" s="2" t="s">
        <v>175</v>
      </c>
    </row>
    <row r="908" spans="1:6" ht="21" customHeight="1" x14ac:dyDescent="0.25">
      <c r="A908" s="42" t="s">
        <v>372</v>
      </c>
      <c r="B908" s="15" t="s">
        <v>374</v>
      </c>
      <c r="C908" s="15"/>
      <c r="D908" s="15">
        <v>2</v>
      </c>
      <c r="E908" s="2" t="s">
        <v>174</v>
      </c>
      <c r="F908" s="2" t="s">
        <v>175</v>
      </c>
    </row>
    <row r="909" spans="1:6" ht="21" customHeight="1" x14ac:dyDescent="0.25">
      <c r="A909" s="42" t="s">
        <v>372</v>
      </c>
      <c r="B909" s="15" t="s">
        <v>374</v>
      </c>
      <c r="C909" s="15"/>
      <c r="D909" s="15">
        <v>3</v>
      </c>
      <c r="E909" s="2" t="s">
        <v>174</v>
      </c>
      <c r="F909" s="2" t="s">
        <v>175</v>
      </c>
    </row>
    <row r="910" spans="1:6" ht="21" customHeight="1" x14ac:dyDescent="0.25">
      <c r="A910" s="42" t="s">
        <v>372</v>
      </c>
      <c r="B910" s="15" t="s">
        <v>374</v>
      </c>
      <c r="C910" s="15"/>
      <c r="D910" s="15">
        <v>4</v>
      </c>
      <c r="E910" s="2" t="s">
        <v>174</v>
      </c>
      <c r="F910" s="2" t="s">
        <v>175</v>
      </c>
    </row>
    <row r="911" spans="1:6" ht="21" customHeight="1" x14ac:dyDescent="0.25">
      <c r="A911" s="42" t="s">
        <v>372</v>
      </c>
      <c r="B911" s="15" t="s">
        <v>374</v>
      </c>
      <c r="C911" s="15"/>
      <c r="D911" s="15">
        <v>5</v>
      </c>
      <c r="E911" s="2" t="s">
        <v>174</v>
      </c>
      <c r="F911" s="2" t="s">
        <v>175</v>
      </c>
    </row>
    <row r="912" spans="1:6" ht="21" customHeight="1" x14ac:dyDescent="0.25">
      <c r="A912" s="42" t="s">
        <v>372</v>
      </c>
      <c r="B912" s="16" t="s">
        <v>375</v>
      </c>
      <c r="C912" s="16"/>
      <c r="D912" s="16">
        <v>1</v>
      </c>
      <c r="E912" s="2" t="s">
        <v>174</v>
      </c>
      <c r="F912" s="2" t="s">
        <v>177</v>
      </c>
    </row>
    <row r="913" spans="1:6" ht="21" customHeight="1" x14ac:dyDescent="0.25">
      <c r="A913" s="42" t="s">
        <v>372</v>
      </c>
      <c r="B913" s="16" t="s">
        <v>375</v>
      </c>
      <c r="C913" s="16"/>
      <c r="D913" s="16">
        <v>2</v>
      </c>
      <c r="E913" s="2" t="s">
        <v>174</v>
      </c>
      <c r="F913" s="2" t="s">
        <v>177</v>
      </c>
    </row>
    <row r="914" spans="1:6" ht="21" customHeight="1" x14ac:dyDescent="0.25">
      <c r="A914" s="42" t="s">
        <v>372</v>
      </c>
      <c r="B914" s="16" t="s">
        <v>375</v>
      </c>
      <c r="C914" s="16"/>
      <c r="D914" s="16">
        <v>3</v>
      </c>
      <c r="E914" s="2" t="s">
        <v>174</v>
      </c>
      <c r="F914" s="2" t="s">
        <v>177</v>
      </c>
    </row>
    <row r="915" spans="1:6" ht="21" customHeight="1" x14ac:dyDescent="0.25">
      <c r="A915" s="42" t="s">
        <v>372</v>
      </c>
      <c r="B915" s="16" t="s">
        <v>375</v>
      </c>
      <c r="C915" s="16"/>
      <c r="D915" s="16">
        <v>4</v>
      </c>
      <c r="E915" s="2" t="s">
        <v>174</v>
      </c>
      <c r="F915" s="2" t="s">
        <v>177</v>
      </c>
    </row>
    <row r="916" spans="1:6" ht="21" customHeight="1" x14ac:dyDescent="0.25">
      <c r="A916" s="42" t="s">
        <v>372</v>
      </c>
      <c r="B916" s="16" t="s">
        <v>375</v>
      </c>
      <c r="C916" s="16"/>
      <c r="D916" s="16">
        <v>5</v>
      </c>
      <c r="E916" s="2" t="s">
        <v>174</v>
      </c>
      <c r="F916" s="2" t="s">
        <v>177</v>
      </c>
    </row>
    <row r="917" spans="1:6" ht="21" customHeight="1" x14ac:dyDescent="0.25">
      <c r="A917" s="42" t="s">
        <v>372</v>
      </c>
      <c r="B917" s="15" t="s">
        <v>376</v>
      </c>
      <c r="C917" s="15"/>
      <c r="D917" s="15">
        <v>1</v>
      </c>
      <c r="E917" s="2" t="s">
        <v>174</v>
      </c>
      <c r="F917" s="2" t="s">
        <v>179</v>
      </c>
    </row>
    <row r="918" spans="1:6" ht="21" customHeight="1" x14ac:dyDescent="0.25">
      <c r="A918" s="42" t="s">
        <v>372</v>
      </c>
      <c r="B918" s="15" t="s">
        <v>376</v>
      </c>
      <c r="C918" s="15"/>
      <c r="D918" s="15">
        <v>2</v>
      </c>
      <c r="E918" s="2" t="s">
        <v>174</v>
      </c>
      <c r="F918" s="2" t="s">
        <v>179</v>
      </c>
    </row>
    <row r="919" spans="1:6" ht="21" customHeight="1" x14ac:dyDescent="0.25">
      <c r="A919" s="42" t="s">
        <v>372</v>
      </c>
      <c r="B919" s="15" t="s">
        <v>376</v>
      </c>
      <c r="C919" s="15"/>
      <c r="D919" s="15">
        <v>3</v>
      </c>
      <c r="E919" s="2" t="s">
        <v>174</v>
      </c>
      <c r="F919" s="2" t="s">
        <v>179</v>
      </c>
    </row>
    <row r="920" spans="1:6" ht="21" customHeight="1" x14ac:dyDescent="0.25">
      <c r="A920" s="42" t="s">
        <v>372</v>
      </c>
      <c r="B920" s="15" t="s">
        <v>376</v>
      </c>
      <c r="C920" s="15"/>
      <c r="D920" s="15">
        <v>4</v>
      </c>
      <c r="E920" s="2" t="s">
        <v>174</v>
      </c>
      <c r="F920" s="2" t="s">
        <v>179</v>
      </c>
    </row>
    <row r="921" spans="1:6" ht="21" customHeight="1" x14ac:dyDescent="0.25">
      <c r="A921" s="42" t="s">
        <v>372</v>
      </c>
      <c r="B921" s="15" t="s">
        <v>376</v>
      </c>
      <c r="C921" s="15"/>
      <c r="D921" s="15">
        <v>5</v>
      </c>
      <c r="E921" s="2" t="s">
        <v>174</v>
      </c>
      <c r="F921" s="2" t="s">
        <v>179</v>
      </c>
    </row>
    <row r="922" spans="1:6" ht="21" customHeight="1" x14ac:dyDescent="0.25">
      <c r="A922" s="42" t="s">
        <v>372</v>
      </c>
      <c r="B922" s="15" t="s">
        <v>376</v>
      </c>
      <c r="C922" s="15"/>
      <c r="D922" s="15">
        <v>6</v>
      </c>
      <c r="E922" s="2" t="s">
        <v>174</v>
      </c>
      <c r="F922" s="2" t="s">
        <v>179</v>
      </c>
    </row>
    <row r="923" spans="1:6" ht="21" customHeight="1" x14ac:dyDescent="0.25">
      <c r="A923" s="42" t="s">
        <v>372</v>
      </c>
      <c r="B923" s="15" t="s">
        <v>376</v>
      </c>
      <c r="C923" s="15"/>
      <c r="D923" s="15">
        <v>7</v>
      </c>
      <c r="E923" s="2" t="s">
        <v>174</v>
      </c>
      <c r="F923" s="2" t="s">
        <v>179</v>
      </c>
    </row>
    <row r="924" spans="1:6" ht="21" customHeight="1" x14ac:dyDescent="0.25">
      <c r="A924" s="42" t="s">
        <v>372</v>
      </c>
      <c r="B924" s="15" t="s">
        <v>376</v>
      </c>
      <c r="C924" s="15"/>
      <c r="D924" s="15">
        <v>8</v>
      </c>
      <c r="E924" s="2" t="s">
        <v>174</v>
      </c>
      <c r="F924" s="2" t="s">
        <v>179</v>
      </c>
    </row>
    <row r="925" spans="1:6" ht="21" customHeight="1" x14ac:dyDescent="0.25">
      <c r="A925" s="41" t="s">
        <v>377</v>
      </c>
      <c r="B925" s="16" t="s">
        <v>378</v>
      </c>
      <c r="C925" s="16"/>
      <c r="D925" s="16">
        <v>1</v>
      </c>
      <c r="E925" s="2" t="s">
        <v>171</v>
      </c>
      <c r="F925" s="2" t="s">
        <v>172</v>
      </c>
    </row>
    <row r="926" spans="1:6" ht="21" customHeight="1" x14ac:dyDescent="0.25">
      <c r="A926" s="41" t="s">
        <v>377</v>
      </c>
      <c r="B926" s="16" t="s">
        <v>378</v>
      </c>
      <c r="C926" s="16"/>
      <c r="D926" s="16">
        <v>2</v>
      </c>
      <c r="E926" s="2" t="s">
        <v>171</v>
      </c>
      <c r="F926" s="2" t="s">
        <v>172</v>
      </c>
    </row>
    <row r="927" spans="1:6" ht="21" customHeight="1" x14ac:dyDescent="0.25">
      <c r="A927" s="41" t="s">
        <v>377</v>
      </c>
      <c r="B927" s="16" t="s">
        <v>378</v>
      </c>
      <c r="C927" s="16"/>
      <c r="D927" s="16">
        <v>3</v>
      </c>
      <c r="E927" s="2" t="s">
        <v>171</v>
      </c>
      <c r="F927" s="2" t="s">
        <v>172</v>
      </c>
    </row>
    <row r="928" spans="1:6" ht="21" customHeight="1" x14ac:dyDescent="0.25">
      <c r="A928" s="41" t="s">
        <v>377</v>
      </c>
      <c r="B928" s="16" t="s">
        <v>378</v>
      </c>
      <c r="C928" s="16"/>
      <c r="D928" s="16">
        <v>4</v>
      </c>
      <c r="E928" s="2" t="s">
        <v>171</v>
      </c>
      <c r="F928" s="2" t="s">
        <v>172</v>
      </c>
    </row>
    <row r="929" spans="1:6" ht="21" customHeight="1" x14ac:dyDescent="0.25">
      <c r="A929" s="41" t="s">
        <v>377</v>
      </c>
      <c r="B929" s="16" t="s">
        <v>378</v>
      </c>
      <c r="C929" s="16"/>
      <c r="D929" s="16">
        <v>5</v>
      </c>
      <c r="E929" s="2" t="s">
        <v>171</v>
      </c>
      <c r="F929" s="2" t="s">
        <v>172</v>
      </c>
    </row>
    <row r="930" spans="1:6" ht="21" customHeight="1" x14ac:dyDescent="0.25">
      <c r="A930" s="41" t="s">
        <v>377</v>
      </c>
      <c r="B930" s="15" t="s">
        <v>379</v>
      </c>
      <c r="C930" s="15"/>
      <c r="D930" s="15">
        <v>1</v>
      </c>
      <c r="E930" s="2" t="s">
        <v>174</v>
      </c>
      <c r="F930" s="2" t="s">
        <v>175</v>
      </c>
    </row>
    <row r="931" spans="1:6" ht="21" customHeight="1" x14ac:dyDescent="0.25">
      <c r="A931" s="41" t="s">
        <v>377</v>
      </c>
      <c r="B931" s="15" t="s">
        <v>379</v>
      </c>
      <c r="C931" s="15"/>
      <c r="D931" s="15">
        <v>2</v>
      </c>
      <c r="E931" s="2" t="s">
        <v>174</v>
      </c>
      <c r="F931" s="2" t="s">
        <v>175</v>
      </c>
    </row>
    <row r="932" spans="1:6" ht="21" customHeight="1" x14ac:dyDescent="0.25">
      <c r="A932" s="41" t="s">
        <v>377</v>
      </c>
      <c r="B932" s="15" t="s">
        <v>379</v>
      </c>
      <c r="C932" s="15"/>
      <c r="D932" s="15">
        <v>3</v>
      </c>
      <c r="E932" s="2" t="s">
        <v>174</v>
      </c>
      <c r="F932" s="2" t="s">
        <v>175</v>
      </c>
    </row>
    <row r="933" spans="1:6" ht="21" customHeight="1" x14ac:dyDescent="0.25">
      <c r="A933" s="41" t="s">
        <v>377</v>
      </c>
      <c r="B933" s="15" t="s">
        <v>379</v>
      </c>
      <c r="C933" s="15"/>
      <c r="D933" s="15">
        <v>4</v>
      </c>
      <c r="E933" s="2" t="s">
        <v>174</v>
      </c>
      <c r="F933" s="2" t="s">
        <v>175</v>
      </c>
    </row>
    <row r="934" spans="1:6" ht="21" customHeight="1" x14ac:dyDescent="0.25">
      <c r="A934" s="41" t="s">
        <v>377</v>
      </c>
      <c r="B934" s="15" t="s">
        <v>379</v>
      </c>
      <c r="C934" s="15"/>
      <c r="D934" s="15">
        <v>5</v>
      </c>
      <c r="E934" s="2" t="s">
        <v>174</v>
      </c>
      <c r="F934" s="2" t="s">
        <v>175</v>
      </c>
    </row>
    <row r="935" spans="1:6" ht="21" customHeight="1" x14ac:dyDescent="0.25">
      <c r="A935" s="41" t="s">
        <v>377</v>
      </c>
      <c r="B935" s="16" t="s">
        <v>380</v>
      </c>
      <c r="C935" s="16"/>
      <c r="D935" s="16">
        <v>1</v>
      </c>
      <c r="E935" s="2" t="s">
        <v>174</v>
      </c>
      <c r="F935" s="2" t="s">
        <v>177</v>
      </c>
    </row>
    <row r="936" spans="1:6" ht="21" customHeight="1" x14ac:dyDescent="0.25">
      <c r="A936" s="41" t="s">
        <v>377</v>
      </c>
      <c r="B936" s="16" t="s">
        <v>380</v>
      </c>
      <c r="C936" s="16"/>
      <c r="D936" s="16">
        <v>2</v>
      </c>
      <c r="E936" s="2" t="s">
        <v>174</v>
      </c>
      <c r="F936" s="2" t="s">
        <v>177</v>
      </c>
    </row>
    <row r="937" spans="1:6" ht="21" customHeight="1" x14ac:dyDescent="0.25">
      <c r="A937" s="41" t="s">
        <v>377</v>
      </c>
      <c r="B937" s="16" t="s">
        <v>380</v>
      </c>
      <c r="C937" s="16"/>
      <c r="D937" s="16">
        <v>3</v>
      </c>
      <c r="E937" s="2" t="s">
        <v>174</v>
      </c>
      <c r="F937" s="2" t="s">
        <v>177</v>
      </c>
    </row>
    <row r="938" spans="1:6" ht="21" customHeight="1" x14ac:dyDescent="0.25">
      <c r="A938" s="41" t="s">
        <v>377</v>
      </c>
      <c r="B938" s="16" t="s">
        <v>380</v>
      </c>
      <c r="C938" s="16"/>
      <c r="D938" s="16">
        <v>4</v>
      </c>
      <c r="E938" s="2" t="s">
        <v>174</v>
      </c>
      <c r="F938" s="2" t="s">
        <v>177</v>
      </c>
    </row>
    <row r="939" spans="1:6" ht="21" customHeight="1" x14ac:dyDescent="0.25">
      <c r="A939" s="41" t="s">
        <v>377</v>
      </c>
      <c r="B939" s="16" t="s">
        <v>380</v>
      </c>
      <c r="C939" s="16"/>
      <c r="D939" s="16">
        <v>5</v>
      </c>
      <c r="E939" s="2" t="s">
        <v>174</v>
      </c>
      <c r="F939" s="2" t="s">
        <v>177</v>
      </c>
    </row>
    <row r="940" spans="1:6" ht="21" customHeight="1" x14ac:dyDescent="0.25">
      <c r="A940" s="41" t="s">
        <v>377</v>
      </c>
      <c r="B940" s="15" t="s">
        <v>381</v>
      </c>
      <c r="C940" s="15"/>
      <c r="D940" s="15">
        <v>1</v>
      </c>
      <c r="E940" s="2" t="s">
        <v>174</v>
      </c>
      <c r="F940" s="2" t="s">
        <v>179</v>
      </c>
    </row>
    <row r="941" spans="1:6" ht="21" customHeight="1" x14ac:dyDescent="0.25">
      <c r="A941" s="41" t="s">
        <v>377</v>
      </c>
      <c r="B941" s="15" t="s">
        <v>381</v>
      </c>
      <c r="C941" s="15"/>
      <c r="D941" s="15">
        <v>2</v>
      </c>
      <c r="E941" s="2" t="s">
        <v>174</v>
      </c>
      <c r="F941" s="2" t="s">
        <v>179</v>
      </c>
    </row>
    <row r="942" spans="1:6" ht="21" customHeight="1" x14ac:dyDescent="0.25">
      <c r="A942" s="41" t="s">
        <v>377</v>
      </c>
      <c r="B942" s="15" t="s">
        <v>381</v>
      </c>
      <c r="C942" s="15"/>
      <c r="D942" s="15">
        <v>3</v>
      </c>
      <c r="E942" s="2" t="s">
        <v>174</v>
      </c>
      <c r="F942" s="2" t="s">
        <v>179</v>
      </c>
    </row>
    <row r="943" spans="1:6" ht="21" customHeight="1" x14ac:dyDescent="0.25">
      <c r="A943" s="41" t="s">
        <v>377</v>
      </c>
      <c r="B943" s="15" t="s">
        <v>381</v>
      </c>
      <c r="C943" s="15"/>
      <c r="D943" s="15">
        <v>4</v>
      </c>
      <c r="E943" s="2" t="s">
        <v>174</v>
      </c>
      <c r="F943" s="2" t="s">
        <v>179</v>
      </c>
    </row>
    <row r="944" spans="1:6" ht="21" customHeight="1" x14ac:dyDescent="0.25">
      <c r="A944" s="41" t="s">
        <v>377</v>
      </c>
      <c r="B944" s="15" t="s">
        <v>381</v>
      </c>
      <c r="C944" s="15"/>
      <c r="D944" s="15">
        <v>5</v>
      </c>
      <c r="E944" s="2" t="s">
        <v>174</v>
      </c>
      <c r="F944" s="2" t="s">
        <v>179</v>
      </c>
    </row>
    <row r="945" spans="1:6" ht="21" customHeight="1" x14ac:dyDescent="0.25">
      <c r="A945" s="41" t="s">
        <v>377</v>
      </c>
      <c r="B945" s="15" t="s">
        <v>381</v>
      </c>
      <c r="C945" s="15"/>
      <c r="D945" s="15">
        <v>6</v>
      </c>
      <c r="E945" s="2" t="s">
        <v>174</v>
      </c>
      <c r="F945" s="2" t="s">
        <v>179</v>
      </c>
    </row>
    <row r="946" spans="1:6" ht="21" customHeight="1" x14ac:dyDescent="0.25">
      <c r="A946" s="41" t="s">
        <v>377</v>
      </c>
      <c r="B946" s="15" t="s">
        <v>381</v>
      </c>
      <c r="C946" s="15"/>
      <c r="D946" s="15">
        <v>7</v>
      </c>
      <c r="E946" s="2" t="s">
        <v>174</v>
      </c>
      <c r="F946" s="2" t="s">
        <v>179</v>
      </c>
    </row>
    <row r="947" spans="1:6" ht="21" customHeight="1" x14ac:dyDescent="0.25">
      <c r="A947" s="41" t="s">
        <v>377</v>
      </c>
      <c r="B947" s="15" t="s">
        <v>381</v>
      </c>
      <c r="C947" s="15"/>
      <c r="D947" s="15">
        <v>8</v>
      </c>
      <c r="E947" s="2" t="s">
        <v>174</v>
      </c>
      <c r="F947" s="2" t="s">
        <v>179</v>
      </c>
    </row>
    <row r="948" spans="1:6" ht="21" customHeight="1" x14ac:dyDescent="0.25">
      <c r="A948" s="42" t="s">
        <v>382</v>
      </c>
      <c r="B948" s="16" t="s">
        <v>383</v>
      </c>
      <c r="C948" s="16"/>
      <c r="D948" s="16">
        <v>1</v>
      </c>
      <c r="E948" s="2" t="s">
        <v>171</v>
      </c>
      <c r="F948" s="2" t="s">
        <v>172</v>
      </c>
    </row>
    <row r="949" spans="1:6" ht="21" customHeight="1" x14ac:dyDescent="0.25">
      <c r="A949" s="42" t="s">
        <v>382</v>
      </c>
      <c r="B949" s="16" t="s">
        <v>383</v>
      </c>
      <c r="C949" s="16"/>
      <c r="D949" s="16">
        <v>2</v>
      </c>
      <c r="E949" s="2" t="s">
        <v>171</v>
      </c>
      <c r="F949" s="2" t="s">
        <v>172</v>
      </c>
    </row>
    <row r="950" spans="1:6" ht="21" customHeight="1" x14ac:dyDescent="0.25">
      <c r="A950" s="42" t="s">
        <v>382</v>
      </c>
      <c r="B950" s="16" t="s">
        <v>383</v>
      </c>
      <c r="C950" s="16"/>
      <c r="D950" s="16">
        <v>3</v>
      </c>
      <c r="E950" s="2" t="s">
        <v>171</v>
      </c>
      <c r="F950" s="2" t="s">
        <v>172</v>
      </c>
    </row>
    <row r="951" spans="1:6" ht="21" customHeight="1" x14ac:dyDescent="0.25">
      <c r="A951" s="42" t="s">
        <v>382</v>
      </c>
      <c r="B951" s="16" t="s">
        <v>383</v>
      </c>
      <c r="C951" s="16"/>
      <c r="D951" s="16">
        <v>4</v>
      </c>
      <c r="E951" s="2" t="s">
        <v>171</v>
      </c>
      <c r="F951" s="2" t="s">
        <v>172</v>
      </c>
    </row>
    <row r="952" spans="1:6" ht="21" customHeight="1" x14ac:dyDescent="0.25">
      <c r="A952" s="42" t="s">
        <v>382</v>
      </c>
      <c r="B952" s="16" t="s">
        <v>383</v>
      </c>
      <c r="C952" s="16"/>
      <c r="D952" s="16">
        <v>5</v>
      </c>
      <c r="E952" s="2" t="s">
        <v>171</v>
      </c>
      <c r="F952" s="2" t="s">
        <v>172</v>
      </c>
    </row>
    <row r="953" spans="1:6" ht="21" customHeight="1" x14ac:dyDescent="0.25">
      <c r="A953" s="42" t="s">
        <v>382</v>
      </c>
      <c r="B953" s="15" t="s">
        <v>384</v>
      </c>
      <c r="C953" s="15"/>
      <c r="D953" s="15">
        <v>1</v>
      </c>
      <c r="E953" s="2" t="s">
        <v>174</v>
      </c>
      <c r="F953" s="2" t="s">
        <v>175</v>
      </c>
    </row>
    <row r="954" spans="1:6" ht="21" customHeight="1" x14ac:dyDescent="0.25">
      <c r="A954" s="42" t="s">
        <v>382</v>
      </c>
      <c r="B954" s="15" t="s">
        <v>384</v>
      </c>
      <c r="C954" s="15"/>
      <c r="D954" s="15">
        <v>2</v>
      </c>
      <c r="E954" s="2" t="s">
        <v>174</v>
      </c>
      <c r="F954" s="2" t="s">
        <v>175</v>
      </c>
    </row>
    <row r="955" spans="1:6" ht="21" customHeight="1" x14ac:dyDescent="0.25">
      <c r="A955" s="42" t="s">
        <v>382</v>
      </c>
      <c r="B955" s="15" t="s">
        <v>384</v>
      </c>
      <c r="C955" s="15"/>
      <c r="D955" s="15">
        <v>3</v>
      </c>
      <c r="E955" s="2" t="s">
        <v>174</v>
      </c>
      <c r="F955" s="2" t="s">
        <v>175</v>
      </c>
    </row>
    <row r="956" spans="1:6" ht="21" customHeight="1" x14ac:dyDescent="0.25">
      <c r="A956" s="42" t="s">
        <v>382</v>
      </c>
      <c r="B956" s="15" t="s">
        <v>384</v>
      </c>
      <c r="C956" s="15"/>
      <c r="D956" s="15">
        <v>4</v>
      </c>
      <c r="E956" s="2" t="s">
        <v>174</v>
      </c>
      <c r="F956" s="2" t="s">
        <v>175</v>
      </c>
    </row>
    <row r="957" spans="1:6" ht="21" customHeight="1" x14ac:dyDescent="0.25">
      <c r="A957" s="42" t="s">
        <v>382</v>
      </c>
      <c r="B957" s="15" t="s">
        <v>384</v>
      </c>
      <c r="C957" s="15"/>
      <c r="D957" s="15">
        <v>5</v>
      </c>
      <c r="E957" s="2" t="s">
        <v>174</v>
      </c>
      <c r="F957" s="2" t="s">
        <v>175</v>
      </c>
    </row>
    <row r="958" spans="1:6" ht="21" customHeight="1" x14ac:dyDescent="0.25">
      <c r="A958" s="42" t="s">
        <v>382</v>
      </c>
      <c r="B958" s="16" t="s">
        <v>385</v>
      </c>
      <c r="C958" s="16"/>
      <c r="D958" s="16">
        <v>1</v>
      </c>
      <c r="E958" s="2" t="s">
        <v>174</v>
      </c>
      <c r="F958" s="2" t="s">
        <v>177</v>
      </c>
    </row>
    <row r="959" spans="1:6" ht="21" customHeight="1" x14ac:dyDescent="0.25">
      <c r="A959" s="42" t="s">
        <v>382</v>
      </c>
      <c r="B959" s="16" t="s">
        <v>385</v>
      </c>
      <c r="C959" s="16"/>
      <c r="D959" s="16">
        <v>2</v>
      </c>
      <c r="E959" s="2" t="s">
        <v>174</v>
      </c>
      <c r="F959" s="2" t="s">
        <v>177</v>
      </c>
    </row>
    <row r="960" spans="1:6" ht="21" customHeight="1" x14ac:dyDescent="0.25">
      <c r="A960" s="42" t="s">
        <v>382</v>
      </c>
      <c r="B960" s="16" t="s">
        <v>385</v>
      </c>
      <c r="C960" s="16"/>
      <c r="D960" s="16">
        <v>3</v>
      </c>
      <c r="E960" s="2" t="s">
        <v>174</v>
      </c>
      <c r="F960" s="2" t="s">
        <v>177</v>
      </c>
    </row>
    <row r="961" spans="1:6" ht="21" customHeight="1" x14ac:dyDescent="0.25">
      <c r="A961" s="42" t="s">
        <v>382</v>
      </c>
      <c r="B961" s="16" t="s">
        <v>385</v>
      </c>
      <c r="C961" s="16"/>
      <c r="D961" s="16">
        <v>4</v>
      </c>
      <c r="E961" s="2" t="s">
        <v>174</v>
      </c>
      <c r="F961" s="2" t="s">
        <v>177</v>
      </c>
    </row>
    <row r="962" spans="1:6" ht="21" customHeight="1" x14ac:dyDescent="0.25">
      <c r="A962" s="42" t="s">
        <v>382</v>
      </c>
      <c r="B962" s="16" t="s">
        <v>385</v>
      </c>
      <c r="C962" s="16"/>
      <c r="D962" s="16">
        <v>5</v>
      </c>
      <c r="E962" s="2" t="s">
        <v>174</v>
      </c>
      <c r="F962" s="2" t="s">
        <v>177</v>
      </c>
    </row>
    <row r="963" spans="1:6" ht="21" customHeight="1" x14ac:dyDescent="0.25">
      <c r="A963" s="42" t="s">
        <v>382</v>
      </c>
      <c r="B963" s="15" t="s">
        <v>386</v>
      </c>
      <c r="C963" s="15"/>
      <c r="D963" s="15">
        <v>1</v>
      </c>
      <c r="E963" s="2" t="s">
        <v>174</v>
      </c>
      <c r="F963" s="2" t="s">
        <v>179</v>
      </c>
    </row>
    <row r="964" spans="1:6" ht="21" customHeight="1" x14ac:dyDescent="0.25">
      <c r="A964" s="42" t="s">
        <v>382</v>
      </c>
      <c r="B964" s="15" t="s">
        <v>386</v>
      </c>
      <c r="C964" s="15"/>
      <c r="D964" s="15">
        <v>2</v>
      </c>
      <c r="E964" s="2" t="s">
        <v>174</v>
      </c>
      <c r="F964" s="2" t="s">
        <v>179</v>
      </c>
    </row>
    <row r="965" spans="1:6" ht="21" customHeight="1" x14ac:dyDescent="0.25">
      <c r="A965" s="42" t="s">
        <v>382</v>
      </c>
      <c r="B965" s="15" t="s">
        <v>386</v>
      </c>
      <c r="C965" s="15"/>
      <c r="D965" s="15">
        <v>3</v>
      </c>
      <c r="E965" s="2" t="s">
        <v>174</v>
      </c>
      <c r="F965" s="2" t="s">
        <v>179</v>
      </c>
    </row>
    <row r="966" spans="1:6" ht="21" customHeight="1" x14ac:dyDescent="0.25">
      <c r="A966" s="42" t="s">
        <v>382</v>
      </c>
      <c r="B966" s="15" t="s">
        <v>386</v>
      </c>
      <c r="C966" s="15"/>
      <c r="D966" s="15">
        <v>4</v>
      </c>
      <c r="E966" s="2" t="s">
        <v>174</v>
      </c>
      <c r="F966" s="2" t="s">
        <v>179</v>
      </c>
    </row>
    <row r="967" spans="1:6" ht="21" customHeight="1" x14ac:dyDescent="0.25">
      <c r="A967" s="42" t="s">
        <v>382</v>
      </c>
      <c r="B967" s="15" t="s">
        <v>386</v>
      </c>
      <c r="C967" s="15"/>
      <c r="D967" s="15">
        <v>5</v>
      </c>
      <c r="E967" s="2" t="s">
        <v>174</v>
      </c>
      <c r="F967" s="2" t="s">
        <v>179</v>
      </c>
    </row>
    <row r="968" spans="1:6" ht="21" customHeight="1" x14ac:dyDescent="0.25">
      <c r="A968" s="42" t="s">
        <v>382</v>
      </c>
      <c r="B968" s="15" t="s">
        <v>386</v>
      </c>
      <c r="C968" s="15"/>
      <c r="D968" s="15">
        <v>6</v>
      </c>
      <c r="E968" s="2" t="s">
        <v>174</v>
      </c>
      <c r="F968" s="2" t="s">
        <v>179</v>
      </c>
    </row>
    <row r="969" spans="1:6" ht="21" customHeight="1" x14ac:dyDescent="0.25">
      <c r="A969" s="42" t="s">
        <v>382</v>
      </c>
      <c r="B969" s="15" t="s">
        <v>386</v>
      </c>
      <c r="C969" s="15"/>
      <c r="D969" s="15">
        <v>7</v>
      </c>
      <c r="E969" s="2" t="s">
        <v>174</v>
      </c>
      <c r="F969" s="2" t="s">
        <v>179</v>
      </c>
    </row>
    <row r="970" spans="1:6" ht="21" customHeight="1" x14ac:dyDescent="0.25">
      <c r="A970" s="42" t="s">
        <v>382</v>
      </c>
      <c r="B970" s="15" t="s">
        <v>386</v>
      </c>
      <c r="C970" s="15"/>
      <c r="D970" s="15">
        <v>8</v>
      </c>
      <c r="E970" s="2" t="s">
        <v>174</v>
      </c>
      <c r="F970" s="2" t="s">
        <v>179</v>
      </c>
    </row>
    <row r="971" spans="1:6" ht="21" customHeight="1" x14ac:dyDescent="0.25">
      <c r="A971" s="41" t="s">
        <v>387</v>
      </c>
      <c r="B971" s="16" t="s">
        <v>388</v>
      </c>
      <c r="C971" s="16"/>
      <c r="D971" s="16">
        <v>1</v>
      </c>
      <c r="E971" s="2" t="s">
        <v>171</v>
      </c>
      <c r="F971" s="2" t="s">
        <v>172</v>
      </c>
    </row>
    <row r="972" spans="1:6" ht="21" customHeight="1" x14ac:dyDescent="0.25">
      <c r="A972" s="41" t="s">
        <v>387</v>
      </c>
      <c r="B972" s="16" t="s">
        <v>388</v>
      </c>
      <c r="C972" s="16"/>
      <c r="D972" s="16">
        <v>2</v>
      </c>
      <c r="E972" s="2" t="s">
        <v>171</v>
      </c>
      <c r="F972" s="2" t="s">
        <v>172</v>
      </c>
    </row>
    <row r="973" spans="1:6" ht="21" customHeight="1" x14ac:dyDescent="0.25">
      <c r="A973" s="41" t="s">
        <v>387</v>
      </c>
      <c r="B973" s="16" t="s">
        <v>388</v>
      </c>
      <c r="C973" s="16"/>
      <c r="D973" s="16">
        <v>3</v>
      </c>
      <c r="E973" s="2" t="s">
        <v>171</v>
      </c>
      <c r="F973" s="2" t="s">
        <v>172</v>
      </c>
    </row>
    <row r="974" spans="1:6" ht="21" customHeight="1" x14ac:dyDescent="0.25">
      <c r="A974" s="41" t="s">
        <v>387</v>
      </c>
      <c r="B974" s="16" t="s">
        <v>388</v>
      </c>
      <c r="C974" s="16"/>
      <c r="D974" s="16">
        <v>4</v>
      </c>
      <c r="E974" s="2" t="s">
        <v>171</v>
      </c>
      <c r="F974" s="2" t="s">
        <v>172</v>
      </c>
    </row>
    <row r="975" spans="1:6" ht="21" customHeight="1" x14ac:dyDescent="0.25">
      <c r="A975" s="41" t="s">
        <v>387</v>
      </c>
      <c r="B975" s="16" t="s">
        <v>388</v>
      </c>
      <c r="C975" s="16"/>
      <c r="D975" s="16">
        <v>5</v>
      </c>
      <c r="E975" s="2" t="s">
        <v>171</v>
      </c>
      <c r="F975" s="2" t="s">
        <v>172</v>
      </c>
    </row>
    <row r="976" spans="1:6" ht="21" customHeight="1" x14ac:dyDescent="0.25">
      <c r="A976" s="41" t="s">
        <v>387</v>
      </c>
      <c r="B976" s="15" t="s">
        <v>389</v>
      </c>
      <c r="C976" s="15"/>
      <c r="D976" s="15">
        <v>1</v>
      </c>
      <c r="E976" s="2" t="s">
        <v>174</v>
      </c>
      <c r="F976" s="2" t="s">
        <v>175</v>
      </c>
    </row>
    <row r="977" spans="1:6" ht="21" customHeight="1" x14ac:dyDescent="0.25">
      <c r="A977" s="41" t="s">
        <v>387</v>
      </c>
      <c r="B977" s="15" t="s">
        <v>389</v>
      </c>
      <c r="C977" s="15"/>
      <c r="D977" s="15">
        <v>2</v>
      </c>
      <c r="E977" s="2" t="s">
        <v>174</v>
      </c>
      <c r="F977" s="2" t="s">
        <v>175</v>
      </c>
    </row>
    <row r="978" spans="1:6" ht="21" customHeight="1" x14ac:dyDescent="0.25">
      <c r="A978" s="41" t="s">
        <v>387</v>
      </c>
      <c r="B978" s="15" t="s">
        <v>389</v>
      </c>
      <c r="C978" s="15"/>
      <c r="D978" s="15">
        <v>3</v>
      </c>
      <c r="E978" s="2" t="s">
        <v>174</v>
      </c>
      <c r="F978" s="2" t="s">
        <v>175</v>
      </c>
    </row>
    <row r="979" spans="1:6" ht="21" customHeight="1" x14ac:dyDescent="0.25">
      <c r="A979" s="41" t="s">
        <v>387</v>
      </c>
      <c r="B979" s="15" t="s">
        <v>389</v>
      </c>
      <c r="C979" s="15"/>
      <c r="D979" s="15">
        <v>4</v>
      </c>
      <c r="E979" s="2" t="s">
        <v>174</v>
      </c>
      <c r="F979" s="2" t="s">
        <v>175</v>
      </c>
    </row>
    <row r="980" spans="1:6" ht="21" customHeight="1" x14ac:dyDescent="0.25">
      <c r="A980" s="41" t="s">
        <v>387</v>
      </c>
      <c r="B980" s="15" t="s">
        <v>389</v>
      </c>
      <c r="C980" s="15"/>
      <c r="D980" s="15">
        <v>5</v>
      </c>
      <c r="E980" s="2" t="s">
        <v>174</v>
      </c>
      <c r="F980" s="2" t="s">
        <v>175</v>
      </c>
    </row>
    <row r="981" spans="1:6" ht="21" customHeight="1" x14ac:dyDescent="0.25">
      <c r="A981" s="41" t="s">
        <v>387</v>
      </c>
      <c r="B981" s="16" t="s">
        <v>390</v>
      </c>
      <c r="C981" s="16"/>
      <c r="D981" s="16">
        <v>1</v>
      </c>
      <c r="E981" s="2" t="s">
        <v>174</v>
      </c>
      <c r="F981" s="2" t="s">
        <v>177</v>
      </c>
    </row>
    <row r="982" spans="1:6" ht="21" customHeight="1" x14ac:dyDescent="0.25">
      <c r="A982" s="41" t="s">
        <v>387</v>
      </c>
      <c r="B982" s="16" t="s">
        <v>390</v>
      </c>
      <c r="C982" s="16"/>
      <c r="D982" s="16">
        <v>2</v>
      </c>
      <c r="E982" s="2" t="s">
        <v>174</v>
      </c>
      <c r="F982" s="2" t="s">
        <v>177</v>
      </c>
    </row>
    <row r="983" spans="1:6" ht="21" customHeight="1" x14ac:dyDescent="0.25">
      <c r="A983" s="41" t="s">
        <v>387</v>
      </c>
      <c r="B983" s="16" t="s">
        <v>390</v>
      </c>
      <c r="C983" s="16"/>
      <c r="D983" s="16">
        <v>3</v>
      </c>
      <c r="E983" s="2" t="s">
        <v>174</v>
      </c>
      <c r="F983" s="2" t="s">
        <v>177</v>
      </c>
    </row>
    <row r="984" spans="1:6" ht="21" customHeight="1" x14ac:dyDescent="0.25">
      <c r="A984" s="41" t="s">
        <v>387</v>
      </c>
      <c r="B984" s="16" t="s">
        <v>390</v>
      </c>
      <c r="C984" s="16"/>
      <c r="D984" s="16">
        <v>4</v>
      </c>
      <c r="E984" s="2" t="s">
        <v>174</v>
      </c>
      <c r="F984" s="2" t="s">
        <v>177</v>
      </c>
    </row>
    <row r="985" spans="1:6" ht="21" customHeight="1" x14ac:dyDescent="0.25">
      <c r="A985" s="41" t="s">
        <v>387</v>
      </c>
      <c r="B985" s="16" t="s">
        <v>390</v>
      </c>
      <c r="C985" s="16"/>
      <c r="D985" s="16">
        <v>5</v>
      </c>
      <c r="E985" s="2" t="s">
        <v>174</v>
      </c>
      <c r="F985" s="2" t="s">
        <v>177</v>
      </c>
    </row>
    <row r="986" spans="1:6" ht="21" customHeight="1" x14ac:dyDescent="0.25">
      <c r="A986" s="41" t="s">
        <v>387</v>
      </c>
      <c r="B986" s="15" t="s">
        <v>391</v>
      </c>
      <c r="C986" s="15"/>
      <c r="D986" s="15">
        <v>1</v>
      </c>
      <c r="E986" s="2" t="s">
        <v>174</v>
      </c>
      <c r="F986" s="2" t="s">
        <v>179</v>
      </c>
    </row>
    <row r="987" spans="1:6" ht="21" customHeight="1" x14ac:dyDescent="0.25">
      <c r="A987" s="41" t="s">
        <v>387</v>
      </c>
      <c r="B987" s="15" t="s">
        <v>391</v>
      </c>
      <c r="C987" s="15"/>
      <c r="D987" s="15">
        <v>2</v>
      </c>
      <c r="E987" s="2" t="s">
        <v>174</v>
      </c>
      <c r="F987" s="2" t="s">
        <v>179</v>
      </c>
    </row>
    <row r="988" spans="1:6" ht="21" customHeight="1" x14ac:dyDescent="0.25">
      <c r="A988" s="41" t="s">
        <v>387</v>
      </c>
      <c r="B988" s="15" t="s">
        <v>391</v>
      </c>
      <c r="C988" s="15"/>
      <c r="D988" s="15">
        <v>3</v>
      </c>
      <c r="E988" s="2" t="s">
        <v>174</v>
      </c>
      <c r="F988" s="2" t="s">
        <v>179</v>
      </c>
    </row>
    <row r="989" spans="1:6" ht="21" customHeight="1" x14ac:dyDescent="0.25">
      <c r="A989" s="41" t="s">
        <v>387</v>
      </c>
      <c r="B989" s="15" t="s">
        <v>391</v>
      </c>
      <c r="C989" s="15"/>
      <c r="D989" s="15">
        <v>4</v>
      </c>
      <c r="E989" s="2" t="s">
        <v>174</v>
      </c>
      <c r="F989" s="2" t="s">
        <v>179</v>
      </c>
    </row>
    <row r="990" spans="1:6" ht="21" customHeight="1" x14ac:dyDescent="0.25">
      <c r="A990" s="41" t="s">
        <v>387</v>
      </c>
      <c r="B990" s="15" t="s">
        <v>391</v>
      </c>
      <c r="C990" s="15"/>
      <c r="D990" s="15">
        <v>5</v>
      </c>
      <c r="E990" s="2" t="s">
        <v>174</v>
      </c>
      <c r="F990" s="2" t="s">
        <v>179</v>
      </c>
    </row>
    <row r="991" spans="1:6" ht="21" customHeight="1" x14ac:dyDescent="0.25">
      <c r="A991" s="41" t="s">
        <v>387</v>
      </c>
      <c r="B991" s="15" t="s">
        <v>391</v>
      </c>
      <c r="C991" s="15"/>
      <c r="D991" s="15">
        <v>6</v>
      </c>
      <c r="E991" s="2" t="s">
        <v>174</v>
      </c>
      <c r="F991" s="2" t="s">
        <v>179</v>
      </c>
    </row>
    <row r="992" spans="1:6" ht="21" customHeight="1" x14ac:dyDescent="0.25">
      <c r="A992" s="41" t="s">
        <v>387</v>
      </c>
      <c r="B992" s="15" t="s">
        <v>391</v>
      </c>
      <c r="C992" s="15"/>
      <c r="D992" s="15">
        <v>7</v>
      </c>
      <c r="E992" s="2" t="s">
        <v>174</v>
      </c>
      <c r="F992" s="2" t="s">
        <v>179</v>
      </c>
    </row>
    <row r="993" spans="1:6" ht="21" customHeight="1" x14ac:dyDescent="0.25">
      <c r="A993" s="41" t="s">
        <v>387</v>
      </c>
      <c r="B993" s="15" t="s">
        <v>391</v>
      </c>
      <c r="C993" s="15"/>
      <c r="D993" s="15">
        <v>8</v>
      </c>
      <c r="E993" s="2" t="s">
        <v>174</v>
      </c>
      <c r="F993" s="2" t="s">
        <v>179</v>
      </c>
    </row>
    <row r="994" spans="1:6" ht="21" customHeight="1" x14ac:dyDescent="0.25">
      <c r="A994" s="42" t="s">
        <v>392</v>
      </c>
      <c r="B994" s="16" t="s">
        <v>393</v>
      </c>
      <c r="C994" s="16"/>
      <c r="D994" s="16">
        <v>1</v>
      </c>
      <c r="E994" s="2" t="s">
        <v>171</v>
      </c>
      <c r="F994" s="2" t="s">
        <v>172</v>
      </c>
    </row>
    <row r="995" spans="1:6" ht="21" customHeight="1" x14ac:dyDescent="0.25">
      <c r="A995" s="42" t="s">
        <v>392</v>
      </c>
      <c r="B995" s="16" t="s">
        <v>393</v>
      </c>
      <c r="C995" s="16"/>
      <c r="D995" s="16">
        <v>2</v>
      </c>
      <c r="E995" s="2" t="s">
        <v>171</v>
      </c>
      <c r="F995" s="2" t="s">
        <v>172</v>
      </c>
    </row>
    <row r="996" spans="1:6" ht="21" customHeight="1" x14ac:dyDescent="0.25">
      <c r="A996" s="42" t="s">
        <v>392</v>
      </c>
      <c r="B996" s="16" t="s">
        <v>393</v>
      </c>
      <c r="C996" s="16"/>
      <c r="D996" s="16">
        <v>3</v>
      </c>
      <c r="E996" s="2" t="s">
        <v>171</v>
      </c>
      <c r="F996" s="2" t="s">
        <v>172</v>
      </c>
    </row>
    <row r="997" spans="1:6" ht="21" customHeight="1" x14ac:dyDescent="0.25">
      <c r="A997" s="42" t="s">
        <v>392</v>
      </c>
      <c r="B997" s="16" t="s">
        <v>393</v>
      </c>
      <c r="C997" s="16"/>
      <c r="D997" s="16">
        <v>4</v>
      </c>
      <c r="E997" s="2" t="s">
        <v>171</v>
      </c>
      <c r="F997" s="2" t="s">
        <v>172</v>
      </c>
    </row>
    <row r="998" spans="1:6" ht="21" customHeight="1" x14ac:dyDescent="0.25">
      <c r="A998" s="42" t="s">
        <v>392</v>
      </c>
      <c r="B998" s="16" t="s">
        <v>393</v>
      </c>
      <c r="C998" s="16"/>
      <c r="D998" s="16">
        <v>5</v>
      </c>
      <c r="E998" s="2" t="s">
        <v>171</v>
      </c>
      <c r="F998" s="2" t="s">
        <v>172</v>
      </c>
    </row>
    <row r="999" spans="1:6" ht="21" customHeight="1" x14ac:dyDescent="0.25">
      <c r="A999" s="42" t="s">
        <v>392</v>
      </c>
      <c r="B999" s="15" t="s">
        <v>394</v>
      </c>
      <c r="C999" s="15"/>
      <c r="D999" s="15">
        <v>1</v>
      </c>
      <c r="E999" s="2" t="s">
        <v>174</v>
      </c>
      <c r="F999" s="2" t="s">
        <v>175</v>
      </c>
    </row>
    <row r="1000" spans="1:6" ht="21" customHeight="1" x14ac:dyDescent="0.25">
      <c r="A1000" s="42" t="s">
        <v>392</v>
      </c>
      <c r="B1000" s="15" t="s">
        <v>394</v>
      </c>
      <c r="C1000" s="15"/>
      <c r="D1000" s="15">
        <v>2</v>
      </c>
      <c r="E1000" s="2" t="s">
        <v>174</v>
      </c>
      <c r="F1000" s="2" t="s">
        <v>175</v>
      </c>
    </row>
    <row r="1001" spans="1:6" ht="21" customHeight="1" x14ac:dyDescent="0.25">
      <c r="A1001" s="42" t="s">
        <v>392</v>
      </c>
      <c r="B1001" s="15" t="s">
        <v>394</v>
      </c>
      <c r="C1001" s="15"/>
      <c r="D1001" s="15">
        <v>3</v>
      </c>
      <c r="E1001" s="2" t="s">
        <v>174</v>
      </c>
      <c r="F1001" s="2" t="s">
        <v>175</v>
      </c>
    </row>
    <row r="1002" spans="1:6" ht="21" customHeight="1" x14ac:dyDescent="0.25">
      <c r="A1002" s="42" t="s">
        <v>392</v>
      </c>
      <c r="B1002" s="15" t="s">
        <v>394</v>
      </c>
      <c r="C1002" s="15"/>
      <c r="D1002" s="15">
        <v>4</v>
      </c>
      <c r="E1002" s="2" t="s">
        <v>174</v>
      </c>
      <c r="F1002" s="2" t="s">
        <v>175</v>
      </c>
    </row>
    <row r="1003" spans="1:6" ht="21" customHeight="1" x14ac:dyDescent="0.25">
      <c r="A1003" s="42" t="s">
        <v>392</v>
      </c>
      <c r="B1003" s="15" t="s">
        <v>394</v>
      </c>
      <c r="C1003" s="15"/>
      <c r="D1003" s="15">
        <v>5</v>
      </c>
      <c r="E1003" s="2" t="s">
        <v>174</v>
      </c>
      <c r="F1003" s="2" t="s">
        <v>175</v>
      </c>
    </row>
    <row r="1004" spans="1:6" ht="21" customHeight="1" x14ac:dyDescent="0.25">
      <c r="A1004" s="42" t="s">
        <v>392</v>
      </c>
      <c r="B1004" s="16" t="s">
        <v>395</v>
      </c>
      <c r="C1004" s="16"/>
      <c r="D1004" s="16">
        <v>1</v>
      </c>
      <c r="E1004" s="2" t="s">
        <v>174</v>
      </c>
      <c r="F1004" s="2" t="s">
        <v>177</v>
      </c>
    </row>
    <row r="1005" spans="1:6" ht="21" customHeight="1" x14ac:dyDescent="0.25">
      <c r="A1005" s="42" t="s">
        <v>392</v>
      </c>
      <c r="B1005" s="16" t="s">
        <v>395</v>
      </c>
      <c r="C1005" s="16"/>
      <c r="D1005" s="16">
        <v>2</v>
      </c>
      <c r="E1005" s="2" t="s">
        <v>174</v>
      </c>
      <c r="F1005" s="2" t="s">
        <v>177</v>
      </c>
    </row>
    <row r="1006" spans="1:6" ht="21" customHeight="1" x14ac:dyDescent="0.25">
      <c r="A1006" s="42" t="s">
        <v>392</v>
      </c>
      <c r="B1006" s="16" t="s">
        <v>395</v>
      </c>
      <c r="C1006" s="16"/>
      <c r="D1006" s="16">
        <v>3</v>
      </c>
      <c r="E1006" s="2" t="s">
        <v>174</v>
      </c>
      <c r="F1006" s="2" t="s">
        <v>177</v>
      </c>
    </row>
    <row r="1007" spans="1:6" ht="21" customHeight="1" x14ac:dyDescent="0.25">
      <c r="A1007" s="42" t="s">
        <v>392</v>
      </c>
      <c r="B1007" s="16" t="s">
        <v>395</v>
      </c>
      <c r="C1007" s="16"/>
      <c r="D1007" s="16">
        <v>4</v>
      </c>
      <c r="E1007" s="2" t="s">
        <v>174</v>
      </c>
      <c r="F1007" s="2" t="s">
        <v>177</v>
      </c>
    </row>
    <row r="1008" spans="1:6" ht="21" customHeight="1" x14ac:dyDescent="0.25">
      <c r="A1008" s="42" t="s">
        <v>392</v>
      </c>
      <c r="B1008" s="16" t="s">
        <v>395</v>
      </c>
      <c r="C1008" s="16"/>
      <c r="D1008" s="16">
        <v>5</v>
      </c>
      <c r="E1008" s="2" t="s">
        <v>174</v>
      </c>
      <c r="F1008" s="2" t="s">
        <v>177</v>
      </c>
    </row>
    <row r="1009" spans="1:6" ht="21" customHeight="1" x14ac:dyDescent="0.25">
      <c r="A1009" s="42" t="s">
        <v>392</v>
      </c>
      <c r="B1009" s="15" t="s">
        <v>396</v>
      </c>
      <c r="C1009" s="15"/>
      <c r="D1009" s="15">
        <v>1</v>
      </c>
      <c r="E1009" s="2" t="s">
        <v>174</v>
      </c>
      <c r="F1009" s="2" t="s">
        <v>179</v>
      </c>
    </row>
    <row r="1010" spans="1:6" ht="21" customHeight="1" x14ac:dyDescent="0.25">
      <c r="A1010" s="42" t="s">
        <v>392</v>
      </c>
      <c r="B1010" s="15" t="s">
        <v>396</v>
      </c>
      <c r="C1010" s="15"/>
      <c r="D1010" s="15">
        <v>2</v>
      </c>
      <c r="E1010" s="2" t="s">
        <v>174</v>
      </c>
      <c r="F1010" s="2" t="s">
        <v>179</v>
      </c>
    </row>
    <row r="1011" spans="1:6" ht="21" customHeight="1" x14ac:dyDescent="0.25">
      <c r="A1011" s="42" t="s">
        <v>392</v>
      </c>
      <c r="B1011" s="15" t="s">
        <v>396</v>
      </c>
      <c r="C1011" s="15"/>
      <c r="D1011" s="15">
        <v>3</v>
      </c>
      <c r="E1011" s="2" t="s">
        <v>174</v>
      </c>
      <c r="F1011" s="2" t="s">
        <v>179</v>
      </c>
    </row>
    <row r="1012" spans="1:6" ht="21" customHeight="1" x14ac:dyDescent="0.25">
      <c r="A1012" s="42" t="s">
        <v>392</v>
      </c>
      <c r="B1012" s="15" t="s">
        <v>396</v>
      </c>
      <c r="C1012" s="15"/>
      <c r="D1012" s="15">
        <v>4</v>
      </c>
      <c r="E1012" s="2" t="s">
        <v>174</v>
      </c>
      <c r="F1012" s="2" t="s">
        <v>179</v>
      </c>
    </row>
    <row r="1013" spans="1:6" ht="21" customHeight="1" x14ac:dyDescent="0.25">
      <c r="A1013" s="42" t="s">
        <v>392</v>
      </c>
      <c r="B1013" s="15" t="s">
        <v>396</v>
      </c>
      <c r="C1013" s="15"/>
      <c r="D1013" s="15">
        <v>5</v>
      </c>
      <c r="E1013" s="2" t="s">
        <v>174</v>
      </c>
      <c r="F1013" s="2" t="s">
        <v>179</v>
      </c>
    </row>
    <row r="1014" spans="1:6" ht="21" customHeight="1" x14ac:dyDescent="0.25">
      <c r="A1014" s="42" t="s">
        <v>392</v>
      </c>
      <c r="B1014" s="15" t="s">
        <v>396</v>
      </c>
      <c r="C1014" s="15"/>
      <c r="D1014" s="15">
        <v>6</v>
      </c>
      <c r="E1014" s="2" t="s">
        <v>174</v>
      </c>
      <c r="F1014" s="2" t="s">
        <v>179</v>
      </c>
    </row>
    <row r="1015" spans="1:6" ht="21" customHeight="1" x14ac:dyDescent="0.25">
      <c r="A1015" s="42" t="s">
        <v>392</v>
      </c>
      <c r="B1015" s="15" t="s">
        <v>396</v>
      </c>
      <c r="C1015" s="15"/>
      <c r="D1015" s="15">
        <v>7</v>
      </c>
      <c r="E1015" s="2" t="s">
        <v>174</v>
      </c>
      <c r="F1015" s="2" t="s">
        <v>179</v>
      </c>
    </row>
    <row r="1016" spans="1:6" ht="21" customHeight="1" x14ac:dyDescent="0.25">
      <c r="A1016" s="42" t="s">
        <v>392</v>
      </c>
      <c r="B1016" s="15" t="s">
        <v>396</v>
      </c>
      <c r="C1016" s="15"/>
      <c r="D1016" s="15">
        <v>8</v>
      </c>
      <c r="E1016" s="2" t="s">
        <v>174</v>
      </c>
      <c r="F1016" s="2" t="s">
        <v>179</v>
      </c>
    </row>
    <row r="1017" spans="1:6" ht="21" customHeight="1" x14ac:dyDescent="0.25">
      <c r="A1017" s="41" t="s">
        <v>397</v>
      </c>
      <c r="B1017" s="16" t="s">
        <v>398</v>
      </c>
      <c r="C1017" s="16"/>
      <c r="D1017" s="16">
        <v>1</v>
      </c>
      <c r="E1017" s="2" t="s">
        <v>171</v>
      </c>
      <c r="F1017" s="2" t="s">
        <v>172</v>
      </c>
    </row>
    <row r="1018" spans="1:6" ht="21" customHeight="1" x14ac:dyDescent="0.25">
      <c r="A1018" s="41" t="s">
        <v>397</v>
      </c>
      <c r="B1018" s="16" t="s">
        <v>398</v>
      </c>
      <c r="C1018" s="16"/>
      <c r="D1018" s="16">
        <v>2</v>
      </c>
      <c r="E1018" s="2" t="s">
        <v>171</v>
      </c>
      <c r="F1018" s="2" t="s">
        <v>172</v>
      </c>
    </row>
    <row r="1019" spans="1:6" ht="21" customHeight="1" x14ac:dyDescent="0.25">
      <c r="A1019" s="41" t="s">
        <v>397</v>
      </c>
      <c r="B1019" s="16" t="s">
        <v>398</v>
      </c>
      <c r="C1019" s="16"/>
      <c r="D1019" s="16">
        <v>3</v>
      </c>
      <c r="E1019" s="2" t="s">
        <v>171</v>
      </c>
      <c r="F1019" s="2" t="s">
        <v>172</v>
      </c>
    </row>
    <row r="1020" spans="1:6" ht="21" customHeight="1" x14ac:dyDescent="0.25">
      <c r="A1020" s="41" t="s">
        <v>397</v>
      </c>
      <c r="B1020" s="16" t="s">
        <v>398</v>
      </c>
      <c r="C1020" s="16"/>
      <c r="D1020" s="16">
        <v>4</v>
      </c>
      <c r="E1020" s="2" t="s">
        <v>171</v>
      </c>
      <c r="F1020" s="2" t="s">
        <v>172</v>
      </c>
    </row>
    <row r="1021" spans="1:6" ht="21" customHeight="1" x14ac:dyDescent="0.25">
      <c r="A1021" s="41" t="s">
        <v>397</v>
      </c>
      <c r="B1021" s="16" t="s">
        <v>398</v>
      </c>
      <c r="C1021" s="16"/>
      <c r="D1021" s="16">
        <v>5</v>
      </c>
      <c r="E1021" s="2" t="s">
        <v>171</v>
      </c>
      <c r="F1021" s="2" t="s">
        <v>172</v>
      </c>
    </row>
    <row r="1022" spans="1:6" ht="21" customHeight="1" x14ac:dyDescent="0.25">
      <c r="A1022" s="41" t="s">
        <v>397</v>
      </c>
      <c r="B1022" s="15" t="s">
        <v>399</v>
      </c>
      <c r="C1022" s="15"/>
      <c r="D1022" s="15">
        <v>1</v>
      </c>
      <c r="E1022" s="2" t="s">
        <v>174</v>
      </c>
      <c r="F1022" s="2" t="s">
        <v>175</v>
      </c>
    </row>
    <row r="1023" spans="1:6" ht="21" customHeight="1" x14ac:dyDescent="0.25">
      <c r="A1023" s="41" t="s">
        <v>397</v>
      </c>
      <c r="B1023" s="15" t="s">
        <v>399</v>
      </c>
      <c r="C1023" s="15"/>
      <c r="D1023" s="15">
        <v>2</v>
      </c>
      <c r="E1023" s="2" t="s">
        <v>174</v>
      </c>
      <c r="F1023" s="2" t="s">
        <v>175</v>
      </c>
    </row>
    <row r="1024" spans="1:6" ht="21" customHeight="1" x14ac:dyDescent="0.25">
      <c r="A1024" s="41" t="s">
        <v>397</v>
      </c>
      <c r="B1024" s="15" t="s">
        <v>399</v>
      </c>
      <c r="C1024" s="15"/>
      <c r="D1024" s="15">
        <v>3</v>
      </c>
      <c r="E1024" s="2" t="s">
        <v>174</v>
      </c>
      <c r="F1024" s="2" t="s">
        <v>175</v>
      </c>
    </row>
    <row r="1025" spans="1:6" ht="21" customHeight="1" x14ac:dyDescent="0.25">
      <c r="A1025" s="41" t="s">
        <v>397</v>
      </c>
      <c r="B1025" s="15" t="s">
        <v>399</v>
      </c>
      <c r="C1025" s="15"/>
      <c r="D1025" s="15">
        <v>4</v>
      </c>
      <c r="E1025" s="2" t="s">
        <v>174</v>
      </c>
      <c r="F1025" s="2" t="s">
        <v>175</v>
      </c>
    </row>
    <row r="1026" spans="1:6" ht="21" customHeight="1" x14ac:dyDescent="0.25">
      <c r="A1026" s="41" t="s">
        <v>397</v>
      </c>
      <c r="B1026" s="15" t="s">
        <v>399</v>
      </c>
      <c r="C1026" s="15"/>
      <c r="D1026" s="15">
        <v>5</v>
      </c>
      <c r="E1026" s="2" t="s">
        <v>174</v>
      </c>
      <c r="F1026" s="2" t="s">
        <v>175</v>
      </c>
    </row>
    <row r="1027" spans="1:6" ht="21" customHeight="1" x14ac:dyDescent="0.25">
      <c r="A1027" s="41" t="s">
        <v>397</v>
      </c>
      <c r="B1027" s="16" t="s">
        <v>400</v>
      </c>
      <c r="C1027" s="16"/>
      <c r="D1027" s="16">
        <v>1</v>
      </c>
      <c r="E1027" s="2" t="s">
        <v>174</v>
      </c>
      <c r="F1027" s="2" t="s">
        <v>177</v>
      </c>
    </row>
    <row r="1028" spans="1:6" ht="21" customHeight="1" x14ac:dyDescent="0.25">
      <c r="A1028" s="41" t="s">
        <v>397</v>
      </c>
      <c r="B1028" s="16" t="s">
        <v>400</v>
      </c>
      <c r="C1028" s="16"/>
      <c r="D1028" s="16">
        <v>2</v>
      </c>
      <c r="E1028" s="2" t="s">
        <v>174</v>
      </c>
      <c r="F1028" s="2" t="s">
        <v>177</v>
      </c>
    </row>
    <row r="1029" spans="1:6" ht="21" customHeight="1" x14ac:dyDescent="0.25">
      <c r="A1029" s="41" t="s">
        <v>397</v>
      </c>
      <c r="B1029" s="16" t="s">
        <v>400</v>
      </c>
      <c r="C1029" s="16"/>
      <c r="D1029" s="16">
        <v>3</v>
      </c>
      <c r="E1029" s="2" t="s">
        <v>174</v>
      </c>
      <c r="F1029" s="2" t="s">
        <v>177</v>
      </c>
    </row>
    <row r="1030" spans="1:6" ht="21" customHeight="1" x14ac:dyDescent="0.25">
      <c r="A1030" s="41" t="s">
        <v>397</v>
      </c>
      <c r="B1030" s="16" t="s">
        <v>400</v>
      </c>
      <c r="C1030" s="16"/>
      <c r="D1030" s="16">
        <v>4</v>
      </c>
      <c r="E1030" s="2" t="s">
        <v>174</v>
      </c>
      <c r="F1030" s="2" t="s">
        <v>177</v>
      </c>
    </row>
    <row r="1031" spans="1:6" ht="21" customHeight="1" x14ac:dyDescent="0.25">
      <c r="A1031" s="41" t="s">
        <v>397</v>
      </c>
      <c r="B1031" s="16" t="s">
        <v>400</v>
      </c>
      <c r="C1031" s="16"/>
      <c r="D1031" s="16">
        <v>5</v>
      </c>
      <c r="E1031" s="2" t="s">
        <v>174</v>
      </c>
      <c r="F1031" s="2" t="s">
        <v>177</v>
      </c>
    </row>
    <row r="1032" spans="1:6" ht="21" customHeight="1" x14ac:dyDescent="0.25">
      <c r="A1032" s="41" t="s">
        <v>397</v>
      </c>
      <c r="B1032" s="15" t="s">
        <v>401</v>
      </c>
      <c r="C1032" s="15"/>
      <c r="D1032" s="15">
        <v>1</v>
      </c>
      <c r="E1032" s="2" t="s">
        <v>174</v>
      </c>
      <c r="F1032" s="2" t="s">
        <v>179</v>
      </c>
    </row>
    <row r="1033" spans="1:6" ht="21" customHeight="1" x14ac:dyDescent="0.25">
      <c r="A1033" s="41" t="s">
        <v>397</v>
      </c>
      <c r="B1033" s="15" t="s">
        <v>401</v>
      </c>
      <c r="C1033" s="15"/>
      <c r="D1033" s="15">
        <v>2</v>
      </c>
      <c r="E1033" s="2" t="s">
        <v>174</v>
      </c>
      <c r="F1033" s="2" t="s">
        <v>179</v>
      </c>
    </row>
    <row r="1034" spans="1:6" ht="21" customHeight="1" x14ac:dyDescent="0.25">
      <c r="A1034" s="41" t="s">
        <v>397</v>
      </c>
      <c r="B1034" s="15" t="s">
        <v>401</v>
      </c>
      <c r="C1034" s="15"/>
      <c r="D1034" s="15">
        <v>3</v>
      </c>
      <c r="E1034" s="2" t="s">
        <v>174</v>
      </c>
      <c r="F1034" s="2" t="s">
        <v>179</v>
      </c>
    </row>
    <row r="1035" spans="1:6" ht="21" customHeight="1" x14ac:dyDescent="0.25">
      <c r="A1035" s="41" t="s">
        <v>397</v>
      </c>
      <c r="B1035" s="15" t="s">
        <v>401</v>
      </c>
      <c r="C1035" s="15"/>
      <c r="D1035" s="15">
        <v>4</v>
      </c>
      <c r="E1035" s="2" t="s">
        <v>174</v>
      </c>
      <c r="F1035" s="2" t="s">
        <v>179</v>
      </c>
    </row>
    <row r="1036" spans="1:6" ht="21" customHeight="1" x14ac:dyDescent="0.25">
      <c r="A1036" s="41" t="s">
        <v>397</v>
      </c>
      <c r="B1036" s="15" t="s">
        <v>401</v>
      </c>
      <c r="C1036" s="15"/>
      <c r="D1036" s="15">
        <v>5</v>
      </c>
      <c r="E1036" s="2" t="s">
        <v>174</v>
      </c>
      <c r="F1036" s="2" t="s">
        <v>179</v>
      </c>
    </row>
    <row r="1037" spans="1:6" ht="21" customHeight="1" x14ac:dyDescent="0.25">
      <c r="A1037" s="41" t="s">
        <v>397</v>
      </c>
      <c r="B1037" s="15" t="s">
        <v>401</v>
      </c>
      <c r="C1037" s="15"/>
      <c r="D1037" s="15">
        <v>6</v>
      </c>
      <c r="E1037" s="2" t="s">
        <v>174</v>
      </c>
      <c r="F1037" s="2" t="s">
        <v>179</v>
      </c>
    </row>
    <row r="1038" spans="1:6" ht="21" customHeight="1" x14ac:dyDescent="0.25">
      <c r="A1038" s="41" t="s">
        <v>397</v>
      </c>
      <c r="B1038" s="15" t="s">
        <v>401</v>
      </c>
      <c r="C1038" s="15"/>
      <c r="D1038" s="15">
        <v>7</v>
      </c>
      <c r="E1038" s="2" t="s">
        <v>174</v>
      </c>
      <c r="F1038" s="2" t="s">
        <v>179</v>
      </c>
    </row>
    <row r="1039" spans="1:6" ht="21" customHeight="1" x14ac:dyDescent="0.25">
      <c r="A1039" s="41" t="s">
        <v>397</v>
      </c>
      <c r="B1039" s="15" t="s">
        <v>401</v>
      </c>
      <c r="C1039" s="15"/>
      <c r="D1039" s="15">
        <v>8</v>
      </c>
      <c r="E1039" s="2" t="s">
        <v>174</v>
      </c>
      <c r="F1039" s="2" t="s">
        <v>179</v>
      </c>
    </row>
    <row r="1040" spans="1:6" ht="21" customHeight="1" x14ac:dyDescent="0.25">
      <c r="A1040" s="42" t="s">
        <v>402</v>
      </c>
      <c r="B1040" s="16" t="s">
        <v>403</v>
      </c>
      <c r="C1040" s="16"/>
      <c r="D1040" s="16">
        <v>1</v>
      </c>
      <c r="E1040" s="2" t="s">
        <v>171</v>
      </c>
      <c r="F1040" s="2" t="s">
        <v>172</v>
      </c>
    </row>
    <row r="1041" spans="1:6" ht="21" customHeight="1" x14ac:dyDescent="0.25">
      <c r="A1041" s="42" t="s">
        <v>402</v>
      </c>
      <c r="B1041" s="16" t="s">
        <v>403</v>
      </c>
      <c r="C1041" s="16"/>
      <c r="D1041" s="16">
        <v>2</v>
      </c>
      <c r="E1041" s="2" t="s">
        <v>171</v>
      </c>
      <c r="F1041" s="2" t="s">
        <v>172</v>
      </c>
    </row>
    <row r="1042" spans="1:6" ht="21" customHeight="1" x14ac:dyDescent="0.25">
      <c r="A1042" s="42" t="s">
        <v>402</v>
      </c>
      <c r="B1042" s="16" t="s">
        <v>403</v>
      </c>
      <c r="C1042" s="16"/>
      <c r="D1042" s="16">
        <v>3</v>
      </c>
      <c r="E1042" s="2" t="s">
        <v>171</v>
      </c>
      <c r="F1042" s="2" t="s">
        <v>172</v>
      </c>
    </row>
    <row r="1043" spans="1:6" ht="21" customHeight="1" x14ac:dyDescent="0.25">
      <c r="A1043" s="42" t="s">
        <v>402</v>
      </c>
      <c r="B1043" s="16" t="s">
        <v>403</v>
      </c>
      <c r="C1043" s="16"/>
      <c r="D1043" s="16">
        <v>4</v>
      </c>
      <c r="E1043" s="2" t="s">
        <v>171</v>
      </c>
      <c r="F1043" s="2" t="s">
        <v>172</v>
      </c>
    </row>
    <row r="1044" spans="1:6" ht="21" customHeight="1" x14ac:dyDescent="0.25">
      <c r="A1044" s="42" t="s">
        <v>402</v>
      </c>
      <c r="B1044" s="16" t="s">
        <v>403</v>
      </c>
      <c r="C1044" s="16"/>
      <c r="D1044" s="16">
        <v>5</v>
      </c>
      <c r="E1044" s="2" t="s">
        <v>171</v>
      </c>
      <c r="F1044" s="2" t="s">
        <v>172</v>
      </c>
    </row>
    <row r="1045" spans="1:6" ht="21" customHeight="1" x14ac:dyDescent="0.25">
      <c r="A1045" s="42" t="s">
        <v>402</v>
      </c>
      <c r="B1045" s="15" t="s">
        <v>404</v>
      </c>
      <c r="C1045" s="15"/>
      <c r="D1045" s="15">
        <v>1</v>
      </c>
      <c r="E1045" s="2" t="s">
        <v>174</v>
      </c>
      <c r="F1045" s="2" t="s">
        <v>175</v>
      </c>
    </row>
    <row r="1046" spans="1:6" ht="21" customHeight="1" x14ac:dyDescent="0.25">
      <c r="A1046" s="42" t="s">
        <v>402</v>
      </c>
      <c r="B1046" s="15" t="s">
        <v>404</v>
      </c>
      <c r="C1046" s="15"/>
      <c r="D1046" s="15">
        <v>2</v>
      </c>
      <c r="E1046" s="2" t="s">
        <v>174</v>
      </c>
      <c r="F1046" s="2" t="s">
        <v>175</v>
      </c>
    </row>
    <row r="1047" spans="1:6" ht="21" customHeight="1" x14ac:dyDescent="0.25">
      <c r="A1047" s="42" t="s">
        <v>402</v>
      </c>
      <c r="B1047" s="15" t="s">
        <v>404</v>
      </c>
      <c r="C1047" s="15"/>
      <c r="D1047" s="15">
        <v>3</v>
      </c>
      <c r="E1047" s="2" t="s">
        <v>174</v>
      </c>
      <c r="F1047" s="2" t="s">
        <v>175</v>
      </c>
    </row>
    <row r="1048" spans="1:6" ht="21" customHeight="1" x14ac:dyDescent="0.25">
      <c r="A1048" s="42" t="s">
        <v>402</v>
      </c>
      <c r="B1048" s="15" t="s">
        <v>404</v>
      </c>
      <c r="C1048" s="15"/>
      <c r="D1048" s="15">
        <v>4</v>
      </c>
      <c r="E1048" s="2" t="s">
        <v>174</v>
      </c>
      <c r="F1048" s="2" t="s">
        <v>175</v>
      </c>
    </row>
    <row r="1049" spans="1:6" ht="21" customHeight="1" x14ac:dyDescent="0.25">
      <c r="A1049" s="42" t="s">
        <v>402</v>
      </c>
      <c r="B1049" s="15" t="s">
        <v>404</v>
      </c>
      <c r="C1049" s="15"/>
      <c r="D1049" s="15">
        <v>5</v>
      </c>
      <c r="E1049" s="2" t="s">
        <v>174</v>
      </c>
      <c r="F1049" s="2" t="s">
        <v>175</v>
      </c>
    </row>
    <row r="1050" spans="1:6" ht="21" customHeight="1" x14ac:dyDescent="0.25">
      <c r="A1050" s="42" t="s">
        <v>402</v>
      </c>
      <c r="B1050" s="16" t="s">
        <v>405</v>
      </c>
      <c r="C1050" s="16"/>
      <c r="D1050" s="16">
        <v>1</v>
      </c>
      <c r="E1050" s="2" t="s">
        <v>174</v>
      </c>
      <c r="F1050" s="2" t="s">
        <v>177</v>
      </c>
    </row>
    <row r="1051" spans="1:6" ht="21" customHeight="1" x14ac:dyDescent="0.25">
      <c r="A1051" s="42" t="s">
        <v>402</v>
      </c>
      <c r="B1051" s="16" t="s">
        <v>405</v>
      </c>
      <c r="C1051" s="16"/>
      <c r="D1051" s="16">
        <v>2</v>
      </c>
      <c r="E1051" s="2" t="s">
        <v>174</v>
      </c>
      <c r="F1051" s="2" t="s">
        <v>177</v>
      </c>
    </row>
    <row r="1052" spans="1:6" ht="21" customHeight="1" x14ac:dyDescent="0.25">
      <c r="A1052" s="42" t="s">
        <v>402</v>
      </c>
      <c r="B1052" s="16" t="s">
        <v>405</v>
      </c>
      <c r="C1052" s="16"/>
      <c r="D1052" s="16">
        <v>3</v>
      </c>
      <c r="E1052" s="2" t="s">
        <v>174</v>
      </c>
      <c r="F1052" s="2" t="s">
        <v>177</v>
      </c>
    </row>
    <row r="1053" spans="1:6" ht="21" customHeight="1" x14ac:dyDescent="0.25">
      <c r="A1053" s="42" t="s">
        <v>402</v>
      </c>
      <c r="B1053" s="16" t="s">
        <v>405</v>
      </c>
      <c r="C1053" s="16"/>
      <c r="D1053" s="16">
        <v>4</v>
      </c>
      <c r="E1053" s="2" t="s">
        <v>174</v>
      </c>
      <c r="F1053" s="2" t="s">
        <v>177</v>
      </c>
    </row>
    <row r="1054" spans="1:6" ht="21" customHeight="1" x14ac:dyDescent="0.25">
      <c r="A1054" s="42" t="s">
        <v>402</v>
      </c>
      <c r="B1054" s="16" t="s">
        <v>405</v>
      </c>
      <c r="C1054" s="16"/>
      <c r="D1054" s="16">
        <v>5</v>
      </c>
      <c r="E1054" s="2" t="s">
        <v>174</v>
      </c>
      <c r="F1054" s="2" t="s">
        <v>177</v>
      </c>
    </row>
    <row r="1055" spans="1:6" ht="21" customHeight="1" x14ac:dyDescent="0.25">
      <c r="A1055" s="42" t="s">
        <v>402</v>
      </c>
      <c r="B1055" s="15" t="s">
        <v>406</v>
      </c>
      <c r="C1055" s="15"/>
      <c r="D1055" s="15">
        <v>1</v>
      </c>
      <c r="E1055" s="2" t="s">
        <v>174</v>
      </c>
      <c r="F1055" s="2" t="s">
        <v>179</v>
      </c>
    </row>
    <row r="1056" spans="1:6" ht="21" customHeight="1" x14ac:dyDescent="0.25">
      <c r="A1056" s="42" t="s">
        <v>402</v>
      </c>
      <c r="B1056" s="15" t="s">
        <v>406</v>
      </c>
      <c r="C1056" s="15"/>
      <c r="D1056" s="15">
        <v>2</v>
      </c>
      <c r="E1056" s="2" t="s">
        <v>174</v>
      </c>
      <c r="F1056" s="2" t="s">
        <v>179</v>
      </c>
    </row>
    <row r="1057" spans="1:6" ht="21" customHeight="1" x14ac:dyDescent="0.25">
      <c r="A1057" s="42" t="s">
        <v>402</v>
      </c>
      <c r="B1057" s="15" t="s">
        <v>406</v>
      </c>
      <c r="C1057" s="15"/>
      <c r="D1057" s="15">
        <v>3</v>
      </c>
      <c r="E1057" s="2" t="s">
        <v>174</v>
      </c>
      <c r="F1057" s="2" t="s">
        <v>179</v>
      </c>
    </row>
    <row r="1058" spans="1:6" ht="21" customHeight="1" x14ac:dyDescent="0.25">
      <c r="A1058" s="42" t="s">
        <v>402</v>
      </c>
      <c r="B1058" s="15" t="s">
        <v>406</v>
      </c>
      <c r="C1058" s="15"/>
      <c r="D1058" s="15">
        <v>4</v>
      </c>
      <c r="E1058" s="2" t="s">
        <v>174</v>
      </c>
      <c r="F1058" s="2" t="s">
        <v>179</v>
      </c>
    </row>
    <row r="1059" spans="1:6" ht="21" customHeight="1" x14ac:dyDescent="0.25">
      <c r="A1059" s="42" t="s">
        <v>402</v>
      </c>
      <c r="B1059" s="15" t="s">
        <v>406</v>
      </c>
      <c r="C1059" s="15"/>
      <c r="D1059" s="15">
        <v>5</v>
      </c>
      <c r="E1059" s="2" t="s">
        <v>174</v>
      </c>
      <c r="F1059" s="2" t="s">
        <v>179</v>
      </c>
    </row>
    <row r="1060" spans="1:6" ht="21" customHeight="1" x14ac:dyDescent="0.25">
      <c r="A1060" s="42" t="s">
        <v>402</v>
      </c>
      <c r="B1060" s="15" t="s">
        <v>406</v>
      </c>
      <c r="C1060" s="15"/>
      <c r="D1060" s="15">
        <v>6</v>
      </c>
      <c r="E1060" s="2" t="s">
        <v>174</v>
      </c>
      <c r="F1060" s="2" t="s">
        <v>179</v>
      </c>
    </row>
    <row r="1061" spans="1:6" ht="21" customHeight="1" x14ac:dyDescent="0.25">
      <c r="A1061" s="42" t="s">
        <v>402</v>
      </c>
      <c r="B1061" s="15" t="s">
        <v>406</v>
      </c>
      <c r="C1061" s="15"/>
      <c r="D1061" s="15">
        <v>7</v>
      </c>
      <c r="E1061" s="2" t="s">
        <v>174</v>
      </c>
      <c r="F1061" s="2" t="s">
        <v>179</v>
      </c>
    </row>
    <row r="1062" spans="1:6" ht="21" customHeight="1" x14ac:dyDescent="0.25">
      <c r="A1062" s="42" t="s">
        <v>402</v>
      </c>
      <c r="B1062" s="15" t="s">
        <v>406</v>
      </c>
      <c r="C1062" s="15"/>
      <c r="D1062" s="15">
        <v>8</v>
      </c>
      <c r="E1062" s="2" t="s">
        <v>174</v>
      </c>
      <c r="F1062" s="2" t="s">
        <v>179</v>
      </c>
    </row>
    <row r="1063" spans="1:6" ht="21" customHeight="1" x14ac:dyDescent="0.25">
      <c r="A1063" s="41" t="s">
        <v>407</v>
      </c>
      <c r="B1063" s="16" t="s">
        <v>408</v>
      </c>
      <c r="C1063" s="16"/>
      <c r="D1063" s="16">
        <v>1</v>
      </c>
      <c r="E1063" s="2" t="s">
        <v>171</v>
      </c>
      <c r="F1063" s="2" t="s">
        <v>172</v>
      </c>
    </row>
    <row r="1064" spans="1:6" ht="21" customHeight="1" x14ac:dyDescent="0.25">
      <c r="A1064" s="41" t="s">
        <v>407</v>
      </c>
      <c r="B1064" s="16" t="s">
        <v>408</v>
      </c>
      <c r="C1064" s="16"/>
      <c r="D1064" s="16">
        <v>2</v>
      </c>
      <c r="E1064" s="2" t="s">
        <v>171</v>
      </c>
      <c r="F1064" s="2" t="s">
        <v>172</v>
      </c>
    </row>
    <row r="1065" spans="1:6" ht="21" customHeight="1" x14ac:dyDescent="0.25">
      <c r="A1065" s="41" t="s">
        <v>407</v>
      </c>
      <c r="B1065" s="16" t="s">
        <v>408</v>
      </c>
      <c r="C1065" s="16"/>
      <c r="D1065" s="16">
        <v>3</v>
      </c>
      <c r="E1065" s="2" t="s">
        <v>171</v>
      </c>
      <c r="F1065" s="2" t="s">
        <v>172</v>
      </c>
    </row>
    <row r="1066" spans="1:6" ht="21" customHeight="1" x14ac:dyDescent="0.25">
      <c r="A1066" s="41" t="s">
        <v>407</v>
      </c>
      <c r="B1066" s="16" t="s">
        <v>408</v>
      </c>
      <c r="C1066" s="16"/>
      <c r="D1066" s="16">
        <v>4</v>
      </c>
      <c r="E1066" s="2" t="s">
        <v>171</v>
      </c>
      <c r="F1066" s="2" t="s">
        <v>172</v>
      </c>
    </row>
    <row r="1067" spans="1:6" ht="21" customHeight="1" x14ac:dyDescent="0.25">
      <c r="A1067" s="41" t="s">
        <v>407</v>
      </c>
      <c r="B1067" s="16" t="s">
        <v>408</v>
      </c>
      <c r="C1067" s="16"/>
      <c r="D1067" s="16">
        <v>5</v>
      </c>
      <c r="E1067" s="2" t="s">
        <v>171</v>
      </c>
      <c r="F1067" s="2" t="s">
        <v>172</v>
      </c>
    </row>
    <row r="1068" spans="1:6" ht="21" customHeight="1" x14ac:dyDescent="0.25">
      <c r="A1068" s="41" t="s">
        <v>407</v>
      </c>
      <c r="B1068" s="15" t="s">
        <v>409</v>
      </c>
      <c r="C1068" s="15"/>
      <c r="D1068" s="15">
        <v>1</v>
      </c>
      <c r="E1068" s="2" t="s">
        <v>174</v>
      </c>
      <c r="F1068" s="2" t="s">
        <v>175</v>
      </c>
    </row>
    <row r="1069" spans="1:6" ht="21" customHeight="1" x14ac:dyDescent="0.25">
      <c r="A1069" s="41" t="s">
        <v>407</v>
      </c>
      <c r="B1069" s="15" t="s">
        <v>409</v>
      </c>
      <c r="C1069" s="15"/>
      <c r="D1069" s="15">
        <v>2</v>
      </c>
      <c r="E1069" s="2" t="s">
        <v>174</v>
      </c>
      <c r="F1069" s="2" t="s">
        <v>175</v>
      </c>
    </row>
    <row r="1070" spans="1:6" ht="21" customHeight="1" x14ac:dyDescent="0.25">
      <c r="A1070" s="41" t="s">
        <v>407</v>
      </c>
      <c r="B1070" s="15" t="s">
        <v>409</v>
      </c>
      <c r="C1070" s="15"/>
      <c r="D1070" s="15">
        <v>3</v>
      </c>
      <c r="E1070" s="2" t="s">
        <v>174</v>
      </c>
      <c r="F1070" s="2" t="s">
        <v>175</v>
      </c>
    </row>
    <row r="1071" spans="1:6" ht="21" customHeight="1" x14ac:dyDescent="0.25">
      <c r="A1071" s="41" t="s">
        <v>407</v>
      </c>
      <c r="B1071" s="15" t="s">
        <v>409</v>
      </c>
      <c r="C1071" s="15"/>
      <c r="D1071" s="15">
        <v>4</v>
      </c>
      <c r="E1071" s="2" t="s">
        <v>174</v>
      </c>
      <c r="F1071" s="2" t="s">
        <v>175</v>
      </c>
    </row>
    <row r="1072" spans="1:6" ht="21" customHeight="1" x14ac:dyDescent="0.25">
      <c r="A1072" s="41" t="s">
        <v>407</v>
      </c>
      <c r="B1072" s="15" t="s">
        <v>409</v>
      </c>
      <c r="C1072" s="15"/>
      <c r="D1072" s="15">
        <v>5</v>
      </c>
      <c r="E1072" s="2" t="s">
        <v>174</v>
      </c>
      <c r="F1072" s="2" t="s">
        <v>175</v>
      </c>
    </row>
    <row r="1073" spans="1:6" ht="21" customHeight="1" x14ac:dyDescent="0.25">
      <c r="A1073" s="41" t="s">
        <v>407</v>
      </c>
      <c r="B1073" s="16" t="s">
        <v>410</v>
      </c>
      <c r="C1073" s="16"/>
      <c r="D1073" s="16">
        <v>1</v>
      </c>
      <c r="E1073" s="2" t="s">
        <v>174</v>
      </c>
      <c r="F1073" s="2" t="s">
        <v>177</v>
      </c>
    </row>
    <row r="1074" spans="1:6" ht="21" customHeight="1" x14ac:dyDescent="0.25">
      <c r="A1074" s="41" t="s">
        <v>407</v>
      </c>
      <c r="B1074" s="16" t="s">
        <v>410</v>
      </c>
      <c r="C1074" s="16"/>
      <c r="D1074" s="16">
        <v>2</v>
      </c>
      <c r="E1074" s="2" t="s">
        <v>174</v>
      </c>
      <c r="F1074" s="2" t="s">
        <v>177</v>
      </c>
    </row>
    <row r="1075" spans="1:6" ht="21" customHeight="1" x14ac:dyDescent="0.25">
      <c r="A1075" s="41" t="s">
        <v>407</v>
      </c>
      <c r="B1075" s="16" t="s">
        <v>410</v>
      </c>
      <c r="C1075" s="16"/>
      <c r="D1075" s="16">
        <v>3</v>
      </c>
      <c r="E1075" s="2" t="s">
        <v>174</v>
      </c>
      <c r="F1075" s="2" t="s">
        <v>177</v>
      </c>
    </row>
    <row r="1076" spans="1:6" ht="21" customHeight="1" x14ac:dyDescent="0.25">
      <c r="A1076" s="41" t="s">
        <v>407</v>
      </c>
      <c r="B1076" s="16" t="s">
        <v>410</v>
      </c>
      <c r="C1076" s="16"/>
      <c r="D1076" s="16">
        <v>4</v>
      </c>
      <c r="E1076" s="2" t="s">
        <v>174</v>
      </c>
      <c r="F1076" s="2" t="s">
        <v>177</v>
      </c>
    </row>
    <row r="1077" spans="1:6" ht="21" customHeight="1" x14ac:dyDescent="0.25">
      <c r="A1077" s="41" t="s">
        <v>407</v>
      </c>
      <c r="B1077" s="16" t="s">
        <v>410</v>
      </c>
      <c r="C1077" s="16"/>
      <c r="D1077" s="16">
        <v>5</v>
      </c>
      <c r="E1077" s="2" t="s">
        <v>174</v>
      </c>
      <c r="F1077" s="2" t="s">
        <v>177</v>
      </c>
    </row>
    <row r="1078" spans="1:6" ht="21" customHeight="1" x14ac:dyDescent="0.25">
      <c r="A1078" s="41" t="s">
        <v>407</v>
      </c>
      <c r="B1078" s="15" t="s">
        <v>411</v>
      </c>
      <c r="C1078" s="15"/>
      <c r="D1078" s="15">
        <v>1</v>
      </c>
      <c r="E1078" s="2" t="s">
        <v>174</v>
      </c>
      <c r="F1078" s="2" t="s">
        <v>179</v>
      </c>
    </row>
    <row r="1079" spans="1:6" ht="21" customHeight="1" x14ac:dyDescent="0.25">
      <c r="A1079" s="41" t="s">
        <v>407</v>
      </c>
      <c r="B1079" s="15" t="s">
        <v>411</v>
      </c>
      <c r="C1079" s="15"/>
      <c r="D1079" s="15">
        <v>2</v>
      </c>
      <c r="E1079" s="2" t="s">
        <v>174</v>
      </c>
      <c r="F1079" s="2" t="s">
        <v>179</v>
      </c>
    </row>
    <row r="1080" spans="1:6" ht="21" customHeight="1" x14ac:dyDescent="0.25">
      <c r="A1080" s="41" t="s">
        <v>407</v>
      </c>
      <c r="B1080" s="15" t="s">
        <v>411</v>
      </c>
      <c r="C1080" s="15"/>
      <c r="D1080" s="15">
        <v>3</v>
      </c>
      <c r="E1080" s="2" t="s">
        <v>174</v>
      </c>
      <c r="F1080" s="2" t="s">
        <v>179</v>
      </c>
    </row>
    <row r="1081" spans="1:6" ht="21" customHeight="1" x14ac:dyDescent="0.25">
      <c r="A1081" s="41" t="s">
        <v>407</v>
      </c>
      <c r="B1081" s="15" t="s">
        <v>411</v>
      </c>
      <c r="C1081" s="15"/>
      <c r="D1081" s="15">
        <v>4</v>
      </c>
      <c r="E1081" s="2" t="s">
        <v>174</v>
      </c>
      <c r="F1081" s="2" t="s">
        <v>179</v>
      </c>
    </row>
    <row r="1082" spans="1:6" ht="21" customHeight="1" x14ac:dyDescent="0.25">
      <c r="A1082" s="41" t="s">
        <v>407</v>
      </c>
      <c r="B1082" s="15" t="s">
        <v>411</v>
      </c>
      <c r="C1082" s="15"/>
      <c r="D1082" s="15">
        <v>5</v>
      </c>
      <c r="E1082" s="2" t="s">
        <v>174</v>
      </c>
      <c r="F1082" s="2" t="s">
        <v>179</v>
      </c>
    </row>
    <row r="1083" spans="1:6" ht="21" customHeight="1" x14ac:dyDescent="0.25">
      <c r="A1083" s="41" t="s">
        <v>407</v>
      </c>
      <c r="B1083" s="15" t="s">
        <v>411</v>
      </c>
      <c r="C1083" s="15"/>
      <c r="D1083" s="15">
        <v>6</v>
      </c>
      <c r="E1083" s="2" t="s">
        <v>174</v>
      </c>
      <c r="F1083" s="2" t="s">
        <v>179</v>
      </c>
    </row>
    <row r="1084" spans="1:6" ht="21" customHeight="1" x14ac:dyDescent="0.25">
      <c r="A1084" s="41" t="s">
        <v>407</v>
      </c>
      <c r="B1084" s="15" t="s">
        <v>411</v>
      </c>
      <c r="C1084" s="15"/>
      <c r="D1084" s="15">
        <v>7</v>
      </c>
      <c r="E1084" s="2" t="s">
        <v>174</v>
      </c>
      <c r="F1084" s="2" t="s">
        <v>179</v>
      </c>
    </row>
    <row r="1085" spans="1:6" ht="21" customHeight="1" x14ac:dyDescent="0.25">
      <c r="A1085" s="41" t="s">
        <v>407</v>
      </c>
      <c r="B1085" s="15" t="s">
        <v>411</v>
      </c>
      <c r="C1085" s="15"/>
      <c r="D1085" s="15">
        <v>8</v>
      </c>
      <c r="E1085" s="2" t="s">
        <v>174</v>
      </c>
      <c r="F1085" s="2" t="s">
        <v>179</v>
      </c>
    </row>
    <row r="1086" spans="1:6" ht="21" customHeight="1" x14ac:dyDescent="0.25">
      <c r="A1086" s="42" t="s">
        <v>412</v>
      </c>
      <c r="B1086" s="16" t="s">
        <v>413</v>
      </c>
      <c r="C1086" s="16"/>
      <c r="D1086" s="16">
        <v>1</v>
      </c>
      <c r="E1086" s="2" t="s">
        <v>171</v>
      </c>
      <c r="F1086" s="2" t="s">
        <v>172</v>
      </c>
    </row>
    <row r="1087" spans="1:6" ht="21" customHeight="1" x14ac:dyDescent="0.25">
      <c r="A1087" s="42" t="s">
        <v>412</v>
      </c>
      <c r="B1087" s="16" t="s">
        <v>413</v>
      </c>
      <c r="C1087" s="16"/>
      <c r="D1087" s="16">
        <v>2</v>
      </c>
      <c r="E1087" s="2" t="s">
        <v>171</v>
      </c>
      <c r="F1087" s="2" t="s">
        <v>172</v>
      </c>
    </row>
    <row r="1088" spans="1:6" ht="21" customHeight="1" x14ac:dyDescent="0.25">
      <c r="A1088" s="42" t="s">
        <v>412</v>
      </c>
      <c r="B1088" s="16" t="s">
        <v>413</v>
      </c>
      <c r="C1088" s="16"/>
      <c r="D1088" s="16">
        <v>3</v>
      </c>
      <c r="E1088" s="2" t="s">
        <v>171</v>
      </c>
      <c r="F1088" s="2" t="s">
        <v>172</v>
      </c>
    </row>
    <row r="1089" spans="1:6" ht="21" customHeight="1" x14ac:dyDescent="0.25">
      <c r="A1089" s="42" t="s">
        <v>412</v>
      </c>
      <c r="B1089" s="16" t="s">
        <v>413</v>
      </c>
      <c r="C1089" s="16"/>
      <c r="D1089" s="16">
        <v>4</v>
      </c>
      <c r="E1089" s="2" t="s">
        <v>171</v>
      </c>
      <c r="F1089" s="2" t="s">
        <v>172</v>
      </c>
    </row>
    <row r="1090" spans="1:6" ht="21" customHeight="1" x14ac:dyDescent="0.25">
      <c r="A1090" s="42" t="s">
        <v>412</v>
      </c>
      <c r="B1090" s="16" t="s">
        <v>413</v>
      </c>
      <c r="C1090" s="16"/>
      <c r="D1090" s="16">
        <v>5</v>
      </c>
      <c r="E1090" s="2" t="s">
        <v>171</v>
      </c>
      <c r="F1090" s="2" t="s">
        <v>172</v>
      </c>
    </row>
    <row r="1091" spans="1:6" ht="21" customHeight="1" x14ac:dyDescent="0.25">
      <c r="A1091" s="42" t="s">
        <v>412</v>
      </c>
      <c r="B1091" s="15" t="s">
        <v>414</v>
      </c>
      <c r="C1091" s="15"/>
      <c r="D1091" s="15">
        <v>1</v>
      </c>
      <c r="E1091" s="2" t="s">
        <v>174</v>
      </c>
      <c r="F1091" s="2" t="s">
        <v>175</v>
      </c>
    </row>
    <row r="1092" spans="1:6" ht="21" customHeight="1" x14ac:dyDescent="0.25">
      <c r="A1092" s="42" t="s">
        <v>412</v>
      </c>
      <c r="B1092" s="15" t="s">
        <v>414</v>
      </c>
      <c r="C1092" s="15"/>
      <c r="D1092" s="15">
        <v>2</v>
      </c>
      <c r="E1092" s="2" t="s">
        <v>174</v>
      </c>
      <c r="F1092" s="2" t="s">
        <v>175</v>
      </c>
    </row>
    <row r="1093" spans="1:6" ht="21" customHeight="1" x14ac:dyDescent="0.25">
      <c r="A1093" s="42" t="s">
        <v>412</v>
      </c>
      <c r="B1093" s="15" t="s">
        <v>414</v>
      </c>
      <c r="C1093" s="15"/>
      <c r="D1093" s="15">
        <v>3</v>
      </c>
      <c r="E1093" s="2" t="s">
        <v>174</v>
      </c>
      <c r="F1093" s="2" t="s">
        <v>175</v>
      </c>
    </row>
    <row r="1094" spans="1:6" ht="21" customHeight="1" x14ac:dyDescent="0.25">
      <c r="A1094" s="42" t="s">
        <v>412</v>
      </c>
      <c r="B1094" s="15" t="s">
        <v>414</v>
      </c>
      <c r="C1094" s="15"/>
      <c r="D1094" s="15">
        <v>4</v>
      </c>
      <c r="E1094" s="2" t="s">
        <v>174</v>
      </c>
      <c r="F1094" s="2" t="s">
        <v>175</v>
      </c>
    </row>
    <row r="1095" spans="1:6" ht="21" customHeight="1" x14ac:dyDescent="0.25">
      <c r="A1095" s="42" t="s">
        <v>412</v>
      </c>
      <c r="B1095" s="15" t="s">
        <v>414</v>
      </c>
      <c r="C1095" s="15"/>
      <c r="D1095" s="15">
        <v>5</v>
      </c>
      <c r="E1095" s="2" t="s">
        <v>174</v>
      </c>
      <c r="F1095" s="2" t="s">
        <v>175</v>
      </c>
    </row>
    <row r="1096" spans="1:6" ht="21" customHeight="1" x14ac:dyDescent="0.25">
      <c r="A1096" s="42" t="s">
        <v>412</v>
      </c>
      <c r="B1096" s="16" t="s">
        <v>415</v>
      </c>
      <c r="C1096" s="16"/>
      <c r="D1096" s="16">
        <v>1</v>
      </c>
      <c r="E1096" s="2" t="s">
        <v>174</v>
      </c>
      <c r="F1096" s="2" t="s">
        <v>177</v>
      </c>
    </row>
    <row r="1097" spans="1:6" ht="21" customHeight="1" x14ac:dyDescent="0.25">
      <c r="A1097" s="42" t="s">
        <v>412</v>
      </c>
      <c r="B1097" s="16" t="s">
        <v>415</v>
      </c>
      <c r="C1097" s="16"/>
      <c r="D1097" s="16">
        <v>2</v>
      </c>
      <c r="E1097" s="2" t="s">
        <v>174</v>
      </c>
      <c r="F1097" s="2" t="s">
        <v>177</v>
      </c>
    </row>
    <row r="1098" spans="1:6" ht="21" customHeight="1" x14ac:dyDescent="0.25">
      <c r="A1098" s="42" t="s">
        <v>412</v>
      </c>
      <c r="B1098" s="16" t="s">
        <v>415</v>
      </c>
      <c r="C1098" s="16"/>
      <c r="D1098" s="16">
        <v>3</v>
      </c>
      <c r="E1098" s="2" t="s">
        <v>174</v>
      </c>
      <c r="F1098" s="2" t="s">
        <v>177</v>
      </c>
    </row>
    <row r="1099" spans="1:6" ht="21" customHeight="1" x14ac:dyDescent="0.25">
      <c r="A1099" s="42" t="s">
        <v>412</v>
      </c>
      <c r="B1099" s="16" t="s">
        <v>415</v>
      </c>
      <c r="C1099" s="16"/>
      <c r="D1099" s="16">
        <v>4</v>
      </c>
      <c r="E1099" s="2" t="s">
        <v>174</v>
      </c>
      <c r="F1099" s="2" t="s">
        <v>177</v>
      </c>
    </row>
    <row r="1100" spans="1:6" ht="21" customHeight="1" x14ac:dyDescent="0.25">
      <c r="A1100" s="42" t="s">
        <v>412</v>
      </c>
      <c r="B1100" s="16" t="s">
        <v>415</v>
      </c>
      <c r="C1100" s="16"/>
      <c r="D1100" s="16">
        <v>5</v>
      </c>
      <c r="E1100" s="2" t="s">
        <v>174</v>
      </c>
      <c r="F1100" s="2" t="s">
        <v>177</v>
      </c>
    </row>
    <row r="1101" spans="1:6" ht="21" customHeight="1" x14ac:dyDescent="0.25">
      <c r="A1101" s="42" t="s">
        <v>412</v>
      </c>
      <c r="B1101" s="15" t="s">
        <v>416</v>
      </c>
      <c r="C1101" s="15"/>
      <c r="D1101" s="15">
        <v>1</v>
      </c>
      <c r="E1101" s="2" t="s">
        <v>174</v>
      </c>
      <c r="F1101" s="2" t="s">
        <v>179</v>
      </c>
    </row>
    <row r="1102" spans="1:6" ht="21" customHeight="1" x14ac:dyDescent="0.25">
      <c r="A1102" s="42" t="s">
        <v>412</v>
      </c>
      <c r="B1102" s="15" t="s">
        <v>416</v>
      </c>
      <c r="C1102" s="15"/>
      <c r="D1102" s="15">
        <v>2</v>
      </c>
      <c r="E1102" s="2" t="s">
        <v>174</v>
      </c>
      <c r="F1102" s="2" t="s">
        <v>179</v>
      </c>
    </row>
    <row r="1103" spans="1:6" ht="21" customHeight="1" x14ac:dyDescent="0.25">
      <c r="A1103" s="42" t="s">
        <v>412</v>
      </c>
      <c r="B1103" s="15" t="s">
        <v>416</v>
      </c>
      <c r="C1103" s="15"/>
      <c r="D1103" s="15">
        <v>3</v>
      </c>
      <c r="E1103" s="2" t="s">
        <v>174</v>
      </c>
      <c r="F1103" s="2" t="s">
        <v>179</v>
      </c>
    </row>
    <row r="1104" spans="1:6" ht="21" customHeight="1" x14ac:dyDescent="0.25">
      <c r="A1104" s="42" t="s">
        <v>412</v>
      </c>
      <c r="B1104" s="15" t="s">
        <v>416</v>
      </c>
      <c r="C1104" s="15"/>
      <c r="D1104" s="15">
        <v>4</v>
      </c>
      <c r="E1104" s="2" t="s">
        <v>174</v>
      </c>
      <c r="F1104" s="2" t="s">
        <v>179</v>
      </c>
    </row>
    <row r="1105" spans="1:6" ht="21" customHeight="1" x14ac:dyDescent="0.25">
      <c r="A1105" s="42" t="s">
        <v>412</v>
      </c>
      <c r="B1105" s="15" t="s">
        <v>416</v>
      </c>
      <c r="C1105" s="15"/>
      <c r="D1105" s="15">
        <v>5</v>
      </c>
      <c r="E1105" s="2" t="s">
        <v>174</v>
      </c>
      <c r="F1105" s="2" t="s">
        <v>179</v>
      </c>
    </row>
    <row r="1106" spans="1:6" ht="21" customHeight="1" x14ac:dyDescent="0.25">
      <c r="A1106" s="42" t="s">
        <v>412</v>
      </c>
      <c r="B1106" s="15" t="s">
        <v>416</v>
      </c>
      <c r="C1106" s="15"/>
      <c r="D1106" s="15">
        <v>6</v>
      </c>
      <c r="E1106" s="2" t="s">
        <v>174</v>
      </c>
      <c r="F1106" s="2" t="s">
        <v>179</v>
      </c>
    </row>
    <row r="1107" spans="1:6" ht="21" customHeight="1" x14ac:dyDescent="0.25">
      <c r="A1107" s="42" t="s">
        <v>412</v>
      </c>
      <c r="B1107" s="15" t="s">
        <v>416</v>
      </c>
      <c r="C1107" s="15"/>
      <c r="D1107" s="15">
        <v>7</v>
      </c>
      <c r="E1107" s="2" t="s">
        <v>174</v>
      </c>
      <c r="F1107" s="2" t="s">
        <v>179</v>
      </c>
    </row>
    <row r="1108" spans="1:6" ht="21" customHeight="1" x14ac:dyDescent="0.25">
      <c r="A1108" s="42" t="s">
        <v>412</v>
      </c>
      <c r="B1108" s="15" t="s">
        <v>416</v>
      </c>
      <c r="C1108" s="15"/>
      <c r="D1108" s="15">
        <v>8</v>
      </c>
      <c r="E1108" s="2" t="s">
        <v>174</v>
      </c>
      <c r="F1108" s="2" t="s">
        <v>179</v>
      </c>
    </row>
    <row r="1109" spans="1:6" ht="21" customHeight="1" x14ac:dyDescent="0.25">
      <c r="A1109" s="41" t="s">
        <v>417</v>
      </c>
      <c r="B1109" s="16" t="s">
        <v>418</v>
      </c>
      <c r="C1109" s="16"/>
      <c r="D1109" s="16">
        <v>1</v>
      </c>
      <c r="E1109" s="2" t="s">
        <v>171</v>
      </c>
      <c r="F1109" s="2" t="s">
        <v>172</v>
      </c>
    </row>
    <row r="1110" spans="1:6" ht="21" customHeight="1" x14ac:dyDescent="0.25">
      <c r="A1110" s="41" t="s">
        <v>417</v>
      </c>
      <c r="B1110" s="16" t="s">
        <v>418</v>
      </c>
      <c r="C1110" s="16"/>
      <c r="D1110" s="16">
        <v>2</v>
      </c>
      <c r="E1110" s="2" t="s">
        <v>171</v>
      </c>
      <c r="F1110" s="2" t="s">
        <v>172</v>
      </c>
    </row>
    <row r="1111" spans="1:6" ht="21" customHeight="1" x14ac:dyDescent="0.25">
      <c r="A1111" s="41" t="s">
        <v>417</v>
      </c>
      <c r="B1111" s="16" t="s">
        <v>418</v>
      </c>
      <c r="C1111" s="16"/>
      <c r="D1111" s="16">
        <v>3</v>
      </c>
      <c r="E1111" s="2" t="s">
        <v>171</v>
      </c>
      <c r="F1111" s="2" t="s">
        <v>172</v>
      </c>
    </row>
    <row r="1112" spans="1:6" ht="21" customHeight="1" x14ac:dyDescent="0.25">
      <c r="A1112" s="41" t="s">
        <v>417</v>
      </c>
      <c r="B1112" s="16" t="s">
        <v>418</v>
      </c>
      <c r="C1112" s="16"/>
      <c r="D1112" s="16">
        <v>4</v>
      </c>
      <c r="E1112" s="2" t="s">
        <v>171</v>
      </c>
      <c r="F1112" s="2" t="s">
        <v>172</v>
      </c>
    </row>
    <row r="1113" spans="1:6" ht="21" customHeight="1" x14ac:dyDescent="0.25">
      <c r="A1113" s="41" t="s">
        <v>417</v>
      </c>
      <c r="B1113" s="16" t="s">
        <v>418</v>
      </c>
      <c r="C1113" s="16"/>
      <c r="D1113" s="16">
        <v>5</v>
      </c>
      <c r="E1113" s="2" t="s">
        <v>171</v>
      </c>
      <c r="F1113" s="2" t="s">
        <v>172</v>
      </c>
    </row>
    <row r="1114" spans="1:6" ht="21" customHeight="1" x14ac:dyDescent="0.25">
      <c r="A1114" s="41" t="s">
        <v>417</v>
      </c>
      <c r="B1114" s="15" t="s">
        <v>419</v>
      </c>
      <c r="C1114" s="15"/>
      <c r="D1114" s="15">
        <v>1</v>
      </c>
      <c r="E1114" s="2" t="s">
        <v>174</v>
      </c>
      <c r="F1114" s="2" t="s">
        <v>175</v>
      </c>
    </row>
    <row r="1115" spans="1:6" ht="21" customHeight="1" x14ac:dyDescent="0.25">
      <c r="A1115" s="41" t="s">
        <v>417</v>
      </c>
      <c r="B1115" s="15" t="s">
        <v>419</v>
      </c>
      <c r="C1115" s="15"/>
      <c r="D1115" s="15">
        <v>2</v>
      </c>
      <c r="E1115" s="2" t="s">
        <v>174</v>
      </c>
      <c r="F1115" s="2" t="s">
        <v>175</v>
      </c>
    </row>
    <row r="1116" spans="1:6" ht="21" customHeight="1" x14ac:dyDescent="0.25">
      <c r="A1116" s="41" t="s">
        <v>417</v>
      </c>
      <c r="B1116" s="15" t="s">
        <v>419</v>
      </c>
      <c r="C1116" s="15"/>
      <c r="D1116" s="15">
        <v>3</v>
      </c>
      <c r="E1116" s="2" t="s">
        <v>174</v>
      </c>
      <c r="F1116" s="2" t="s">
        <v>175</v>
      </c>
    </row>
    <row r="1117" spans="1:6" ht="21" customHeight="1" x14ac:dyDescent="0.25">
      <c r="A1117" s="41" t="s">
        <v>417</v>
      </c>
      <c r="B1117" s="15" t="s">
        <v>419</v>
      </c>
      <c r="C1117" s="15"/>
      <c r="D1117" s="15">
        <v>4</v>
      </c>
      <c r="E1117" s="2" t="s">
        <v>174</v>
      </c>
      <c r="F1117" s="2" t="s">
        <v>175</v>
      </c>
    </row>
    <row r="1118" spans="1:6" ht="21" customHeight="1" x14ac:dyDescent="0.25">
      <c r="A1118" s="41" t="s">
        <v>417</v>
      </c>
      <c r="B1118" s="15" t="s">
        <v>419</v>
      </c>
      <c r="C1118" s="15"/>
      <c r="D1118" s="15">
        <v>5</v>
      </c>
      <c r="E1118" s="2" t="s">
        <v>174</v>
      </c>
      <c r="F1118" s="2" t="s">
        <v>175</v>
      </c>
    </row>
    <row r="1119" spans="1:6" ht="21" customHeight="1" x14ac:dyDescent="0.25">
      <c r="A1119" s="41" t="s">
        <v>417</v>
      </c>
      <c r="B1119" s="16" t="s">
        <v>420</v>
      </c>
      <c r="C1119" s="16"/>
      <c r="D1119" s="16">
        <v>1</v>
      </c>
      <c r="E1119" s="2" t="s">
        <v>174</v>
      </c>
      <c r="F1119" s="2" t="s">
        <v>177</v>
      </c>
    </row>
    <row r="1120" spans="1:6" ht="21" customHeight="1" x14ac:dyDescent="0.25">
      <c r="A1120" s="41" t="s">
        <v>417</v>
      </c>
      <c r="B1120" s="16" t="s">
        <v>420</v>
      </c>
      <c r="C1120" s="16"/>
      <c r="D1120" s="16">
        <v>2</v>
      </c>
      <c r="E1120" s="2" t="s">
        <v>174</v>
      </c>
      <c r="F1120" s="2" t="s">
        <v>177</v>
      </c>
    </row>
    <row r="1121" spans="1:6" ht="21" customHeight="1" x14ac:dyDescent="0.25">
      <c r="A1121" s="41" t="s">
        <v>417</v>
      </c>
      <c r="B1121" s="16" t="s">
        <v>420</v>
      </c>
      <c r="C1121" s="16"/>
      <c r="D1121" s="16">
        <v>3</v>
      </c>
      <c r="E1121" s="2" t="s">
        <v>174</v>
      </c>
      <c r="F1121" s="2" t="s">
        <v>177</v>
      </c>
    </row>
    <row r="1122" spans="1:6" ht="21" customHeight="1" x14ac:dyDescent="0.25">
      <c r="A1122" s="41" t="s">
        <v>417</v>
      </c>
      <c r="B1122" s="16" t="s">
        <v>420</v>
      </c>
      <c r="C1122" s="16"/>
      <c r="D1122" s="16">
        <v>4</v>
      </c>
      <c r="E1122" s="2" t="s">
        <v>174</v>
      </c>
      <c r="F1122" s="2" t="s">
        <v>177</v>
      </c>
    </row>
    <row r="1123" spans="1:6" ht="21" customHeight="1" x14ac:dyDescent="0.25">
      <c r="A1123" s="41" t="s">
        <v>417</v>
      </c>
      <c r="B1123" s="16" t="s">
        <v>420</v>
      </c>
      <c r="C1123" s="16"/>
      <c r="D1123" s="16">
        <v>5</v>
      </c>
      <c r="E1123" s="2" t="s">
        <v>174</v>
      </c>
      <c r="F1123" s="2" t="s">
        <v>177</v>
      </c>
    </row>
    <row r="1124" spans="1:6" ht="21" customHeight="1" x14ac:dyDescent="0.25">
      <c r="A1124" s="41" t="s">
        <v>417</v>
      </c>
      <c r="B1124" s="15" t="s">
        <v>421</v>
      </c>
      <c r="C1124" s="15"/>
      <c r="D1124" s="15">
        <v>1</v>
      </c>
      <c r="E1124" s="2" t="s">
        <v>174</v>
      </c>
      <c r="F1124" s="2" t="s">
        <v>179</v>
      </c>
    </row>
    <row r="1125" spans="1:6" ht="21" customHeight="1" x14ac:dyDescent="0.25">
      <c r="A1125" s="41" t="s">
        <v>417</v>
      </c>
      <c r="B1125" s="15" t="s">
        <v>421</v>
      </c>
      <c r="C1125" s="15"/>
      <c r="D1125" s="15">
        <v>2</v>
      </c>
      <c r="E1125" s="2" t="s">
        <v>174</v>
      </c>
      <c r="F1125" s="2" t="s">
        <v>179</v>
      </c>
    </row>
    <row r="1126" spans="1:6" ht="21" customHeight="1" x14ac:dyDescent="0.25">
      <c r="A1126" s="41" t="s">
        <v>417</v>
      </c>
      <c r="B1126" s="15" t="s">
        <v>421</v>
      </c>
      <c r="C1126" s="15"/>
      <c r="D1126" s="15">
        <v>3</v>
      </c>
      <c r="E1126" s="2" t="s">
        <v>174</v>
      </c>
      <c r="F1126" s="2" t="s">
        <v>179</v>
      </c>
    </row>
    <row r="1127" spans="1:6" ht="21" customHeight="1" x14ac:dyDescent="0.25">
      <c r="A1127" s="41" t="s">
        <v>417</v>
      </c>
      <c r="B1127" s="15" t="s">
        <v>421</v>
      </c>
      <c r="C1127" s="15"/>
      <c r="D1127" s="15">
        <v>4</v>
      </c>
      <c r="E1127" s="2" t="s">
        <v>174</v>
      </c>
      <c r="F1127" s="2" t="s">
        <v>179</v>
      </c>
    </row>
    <row r="1128" spans="1:6" ht="21" customHeight="1" x14ac:dyDescent="0.25">
      <c r="A1128" s="41" t="s">
        <v>417</v>
      </c>
      <c r="B1128" s="15" t="s">
        <v>421</v>
      </c>
      <c r="C1128" s="15"/>
      <c r="D1128" s="15">
        <v>5</v>
      </c>
      <c r="E1128" s="2" t="s">
        <v>174</v>
      </c>
      <c r="F1128" s="2" t="s">
        <v>179</v>
      </c>
    </row>
    <row r="1129" spans="1:6" ht="21" customHeight="1" x14ac:dyDescent="0.25">
      <c r="A1129" s="41" t="s">
        <v>417</v>
      </c>
      <c r="B1129" s="15" t="s">
        <v>421</v>
      </c>
      <c r="C1129" s="15"/>
      <c r="D1129" s="15">
        <v>6</v>
      </c>
      <c r="E1129" s="2" t="s">
        <v>174</v>
      </c>
      <c r="F1129" s="2" t="s">
        <v>179</v>
      </c>
    </row>
    <row r="1130" spans="1:6" ht="21" customHeight="1" x14ac:dyDescent="0.25">
      <c r="A1130" s="41" t="s">
        <v>417</v>
      </c>
      <c r="B1130" s="15" t="s">
        <v>421</v>
      </c>
      <c r="C1130" s="15"/>
      <c r="D1130" s="15">
        <v>7</v>
      </c>
      <c r="E1130" s="2" t="s">
        <v>174</v>
      </c>
      <c r="F1130" s="2" t="s">
        <v>179</v>
      </c>
    </row>
    <row r="1131" spans="1:6" ht="21" customHeight="1" x14ac:dyDescent="0.25">
      <c r="A1131" s="41" t="s">
        <v>417</v>
      </c>
      <c r="B1131" s="15" t="s">
        <v>421</v>
      </c>
      <c r="C1131" s="15"/>
      <c r="D1131" s="15">
        <v>8</v>
      </c>
      <c r="E1131" s="2" t="s">
        <v>174</v>
      </c>
      <c r="F1131" s="2" t="s">
        <v>179</v>
      </c>
    </row>
    <row r="1132" spans="1:6" ht="21" customHeight="1" x14ac:dyDescent="0.25">
      <c r="A1132" s="42" t="s">
        <v>422</v>
      </c>
      <c r="B1132" s="16" t="s">
        <v>423</v>
      </c>
      <c r="C1132" s="16"/>
      <c r="D1132" s="16">
        <v>1</v>
      </c>
      <c r="E1132" s="2" t="s">
        <v>171</v>
      </c>
      <c r="F1132" s="2" t="s">
        <v>172</v>
      </c>
    </row>
    <row r="1133" spans="1:6" ht="21" customHeight="1" x14ac:dyDescent="0.25">
      <c r="A1133" s="42" t="s">
        <v>422</v>
      </c>
      <c r="B1133" s="16" t="s">
        <v>423</v>
      </c>
      <c r="C1133" s="16"/>
      <c r="D1133" s="16">
        <v>2</v>
      </c>
      <c r="E1133" s="2" t="s">
        <v>171</v>
      </c>
      <c r="F1133" s="2" t="s">
        <v>172</v>
      </c>
    </row>
    <row r="1134" spans="1:6" ht="21" customHeight="1" x14ac:dyDescent="0.25">
      <c r="A1134" s="42" t="s">
        <v>422</v>
      </c>
      <c r="B1134" s="16" t="s">
        <v>423</v>
      </c>
      <c r="C1134" s="16"/>
      <c r="D1134" s="16">
        <v>3</v>
      </c>
      <c r="E1134" s="2" t="s">
        <v>171</v>
      </c>
      <c r="F1134" s="2" t="s">
        <v>172</v>
      </c>
    </row>
    <row r="1135" spans="1:6" ht="21" customHeight="1" x14ac:dyDescent="0.25">
      <c r="A1135" s="42" t="s">
        <v>422</v>
      </c>
      <c r="B1135" s="16" t="s">
        <v>423</v>
      </c>
      <c r="C1135" s="16"/>
      <c r="D1135" s="16">
        <v>4</v>
      </c>
      <c r="E1135" s="2" t="s">
        <v>171</v>
      </c>
      <c r="F1135" s="2" t="s">
        <v>172</v>
      </c>
    </row>
    <row r="1136" spans="1:6" ht="21" customHeight="1" x14ac:dyDescent="0.25">
      <c r="A1136" s="42" t="s">
        <v>422</v>
      </c>
      <c r="B1136" s="16" t="s">
        <v>423</v>
      </c>
      <c r="C1136" s="16"/>
      <c r="D1136" s="16">
        <v>5</v>
      </c>
      <c r="E1136" s="2" t="s">
        <v>171</v>
      </c>
      <c r="F1136" s="2" t="s">
        <v>172</v>
      </c>
    </row>
    <row r="1137" spans="1:6" ht="21" customHeight="1" x14ac:dyDescent="0.25">
      <c r="A1137" s="42" t="s">
        <v>422</v>
      </c>
      <c r="B1137" s="15" t="s">
        <v>424</v>
      </c>
      <c r="C1137" s="15"/>
      <c r="D1137" s="15">
        <v>1</v>
      </c>
      <c r="E1137" s="2" t="s">
        <v>174</v>
      </c>
      <c r="F1137" s="2" t="s">
        <v>175</v>
      </c>
    </row>
    <row r="1138" spans="1:6" ht="21" customHeight="1" x14ac:dyDescent="0.25">
      <c r="A1138" s="42" t="s">
        <v>422</v>
      </c>
      <c r="B1138" s="15" t="s">
        <v>424</v>
      </c>
      <c r="C1138" s="15"/>
      <c r="D1138" s="15">
        <v>2</v>
      </c>
      <c r="E1138" s="2" t="s">
        <v>174</v>
      </c>
      <c r="F1138" s="2" t="s">
        <v>175</v>
      </c>
    </row>
    <row r="1139" spans="1:6" ht="21" customHeight="1" x14ac:dyDescent="0.25">
      <c r="A1139" s="42" t="s">
        <v>422</v>
      </c>
      <c r="B1139" s="15" t="s">
        <v>424</v>
      </c>
      <c r="C1139" s="15"/>
      <c r="D1139" s="15">
        <v>3</v>
      </c>
      <c r="E1139" s="2" t="s">
        <v>174</v>
      </c>
      <c r="F1139" s="2" t="s">
        <v>175</v>
      </c>
    </row>
    <row r="1140" spans="1:6" ht="21" customHeight="1" x14ac:dyDescent="0.25">
      <c r="A1140" s="42" t="s">
        <v>422</v>
      </c>
      <c r="B1140" s="15" t="s">
        <v>424</v>
      </c>
      <c r="C1140" s="15"/>
      <c r="D1140" s="15">
        <v>4</v>
      </c>
      <c r="E1140" s="2" t="s">
        <v>174</v>
      </c>
      <c r="F1140" s="2" t="s">
        <v>175</v>
      </c>
    </row>
    <row r="1141" spans="1:6" ht="21" customHeight="1" x14ac:dyDescent="0.25">
      <c r="A1141" s="42" t="s">
        <v>422</v>
      </c>
      <c r="B1141" s="15" t="s">
        <v>424</v>
      </c>
      <c r="C1141" s="15"/>
      <c r="D1141" s="15">
        <v>5</v>
      </c>
      <c r="E1141" s="2" t="s">
        <v>174</v>
      </c>
      <c r="F1141" s="2" t="s">
        <v>175</v>
      </c>
    </row>
    <row r="1142" spans="1:6" ht="21" customHeight="1" x14ac:dyDescent="0.25">
      <c r="A1142" s="42" t="s">
        <v>422</v>
      </c>
      <c r="B1142" s="16" t="s">
        <v>425</v>
      </c>
      <c r="C1142" s="16"/>
      <c r="D1142" s="16">
        <v>1</v>
      </c>
      <c r="E1142" s="2" t="s">
        <v>174</v>
      </c>
      <c r="F1142" s="2" t="s">
        <v>177</v>
      </c>
    </row>
    <row r="1143" spans="1:6" ht="21" customHeight="1" x14ac:dyDescent="0.25">
      <c r="A1143" s="42" t="s">
        <v>422</v>
      </c>
      <c r="B1143" s="16" t="s">
        <v>425</v>
      </c>
      <c r="C1143" s="16"/>
      <c r="D1143" s="16">
        <v>2</v>
      </c>
      <c r="E1143" s="2" t="s">
        <v>174</v>
      </c>
      <c r="F1143" s="2" t="s">
        <v>177</v>
      </c>
    </row>
    <row r="1144" spans="1:6" ht="21" customHeight="1" x14ac:dyDescent="0.25">
      <c r="A1144" s="42" t="s">
        <v>422</v>
      </c>
      <c r="B1144" s="16" t="s">
        <v>425</v>
      </c>
      <c r="C1144" s="16"/>
      <c r="D1144" s="16">
        <v>3</v>
      </c>
      <c r="E1144" s="2" t="s">
        <v>174</v>
      </c>
      <c r="F1144" s="2" t="s">
        <v>177</v>
      </c>
    </row>
    <row r="1145" spans="1:6" ht="21" customHeight="1" x14ac:dyDescent="0.25">
      <c r="A1145" s="42" t="s">
        <v>422</v>
      </c>
      <c r="B1145" s="16" t="s">
        <v>425</v>
      </c>
      <c r="C1145" s="16"/>
      <c r="D1145" s="16">
        <v>4</v>
      </c>
      <c r="E1145" s="2" t="s">
        <v>174</v>
      </c>
      <c r="F1145" s="2" t="s">
        <v>177</v>
      </c>
    </row>
    <row r="1146" spans="1:6" ht="21" customHeight="1" x14ac:dyDescent="0.25">
      <c r="A1146" s="42" t="s">
        <v>422</v>
      </c>
      <c r="B1146" s="16" t="s">
        <v>425</v>
      </c>
      <c r="C1146" s="16"/>
      <c r="D1146" s="16">
        <v>5</v>
      </c>
      <c r="E1146" s="2" t="s">
        <v>174</v>
      </c>
      <c r="F1146" s="2" t="s">
        <v>177</v>
      </c>
    </row>
    <row r="1147" spans="1:6" ht="21" customHeight="1" x14ac:dyDescent="0.25">
      <c r="A1147" s="42" t="s">
        <v>422</v>
      </c>
      <c r="B1147" s="15" t="s">
        <v>426</v>
      </c>
      <c r="C1147" s="15"/>
      <c r="D1147" s="15">
        <v>1</v>
      </c>
      <c r="E1147" s="2" t="s">
        <v>174</v>
      </c>
      <c r="F1147" s="2" t="s">
        <v>179</v>
      </c>
    </row>
    <row r="1148" spans="1:6" ht="21" customHeight="1" x14ac:dyDescent="0.25">
      <c r="A1148" s="42" t="s">
        <v>422</v>
      </c>
      <c r="B1148" s="15" t="s">
        <v>426</v>
      </c>
      <c r="C1148" s="15"/>
      <c r="D1148" s="15">
        <v>2</v>
      </c>
      <c r="E1148" s="2" t="s">
        <v>174</v>
      </c>
      <c r="F1148" s="2" t="s">
        <v>179</v>
      </c>
    </row>
    <row r="1149" spans="1:6" ht="21" customHeight="1" x14ac:dyDescent="0.25">
      <c r="A1149" s="42" t="s">
        <v>422</v>
      </c>
      <c r="B1149" s="15" t="s">
        <v>426</v>
      </c>
      <c r="C1149" s="15"/>
      <c r="D1149" s="15">
        <v>3</v>
      </c>
      <c r="E1149" s="2" t="s">
        <v>174</v>
      </c>
      <c r="F1149" s="2" t="s">
        <v>179</v>
      </c>
    </row>
    <row r="1150" spans="1:6" ht="21" customHeight="1" x14ac:dyDescent="0.25">
      <c r="A1150" s="42" t="s">
        <v>422</v>
      </c>
      <c r="B1150" s="15" t="s">
        <v>426</v>
      </c>
      <c r="C1150" s="15"/>
      <c r="D1150" s="15">
        <v>4</v>
      </c>
      <c r="E1150" s="2" t="s">
        <v>174</v>
      </c>
      <c r="F1150" s="2" t="s">
        <v>179</v>
      </c>
    </row>
    <row r="1151" spans="1:6" ht="21" customHeight="1" x14ac:dyDescent="0.25">
      <c r="A1151" s="42" t="s">
        <v>422</v>
      </c>
      <c r="B1151" s="15" t="s">
        <v>426</v>
      </c>
      <c r="C1151" s="15"/>
      <c r="D1151" s="15">
        <v>5</v>
      </c>
      <c r="E1151" s="2" t="s">
        <v>174</v>
      </c>
      <c r="F1151" s="2" t="s">
        <v>179</v>
      </c>
    </row>
    <row r="1152" spans="1:6" ht="21" customHeight="1" x14ac:dyDescent="0.25">
      <c r="A1152" s="42" t="s">
        <v>422</v>
      </c>
      <c r="B1152" s="15" t="s">
        <v>426</v>
      </c>
      <c r="C1152" s="15"/>
      <c r="D1152" s="15">
        <v>6</v>
      </c>
      <c r="E1152" s="2" t="s">
        <v>174</v>
      </c>
      <c r="F1152" s="2" t="s">
        <v>179</v>
      </c>
    </row>
    <row r="1153" spans="1:6" ht="21" customHeight="1" x14ac:dyDescent="0.25">
      <c r="A1153" s="42" t="s">
        <v>422</v>
      </c>
      <c r="B1153" s="15" t="s">
        <v>426</v>
      </c>
      <c r="C1153" s="15"/>
      <c r="D1153" s="15">
        <v>7</v>
      </c>
      <c r="E1153" s="2" t="s">
        <v>174</v>
      </c>
      <c r="F1153" s="2" t="s">
        <v>179</v>
      </c>
    </row>
    <row r="1154" spans="1:6" ht="21" customHeight="1" x14ac:dyDescent="0.25">
      <c r="A1154" s="42" t="s">
        <v>422</v>
      </c>
      <c r="B1154" s="15" t="s">
        <v>426</v>
      </c>
      <c r="C1154" s="15"/>
      <c r="D1154" s="15">
        <v>8</v>
      </c>
      <c r="E1154" s="2" t="s">
        <v>174</v>
      </c>
      <c r="F1154" s="2" t="s">
        <v>179</v>
      </c>
    </row>
    <row r="1155" spans="1:6" ht="21" customHeight="1" x14ac:dyDescent="0.25">
      <c r="A1155" s="41" t="s">
        <v>427</v>
      </c>
      <c r="B1155" s="16" t="s">
        <v>428</v>
      </c>
      <c r="C1155" s="16"/>
      <c r="D1155" s="16">
        <v>1</v>
      </c>
      <c r="E1155" s="2" t="s">
        <v>171</v>
      </c>
      <c r="F1155" s="2" t="s">
        <v>172</v>
      </c>
    </row>
    <row r="1156" spans="1:6" ht="21" customHeight="1" x14ac:dyDescent="0.25">
      <c r="A1156" s="41" t="s">
        <v>427</v>
      </c>
      <c r="B1156" s="16" t="s">
        <v>428</v>
      </c>
      <c r="C1156" s="16"/>
      <c r="D1156" s="16">
        <v>2</v>
      </c>
      <c r="E1156" s="2" t="s">
        <v>171</v>
      </c>
      <c r="F1156" s="2" t="s">
        <v>172</v>
      </c>
    </row>
    <row r="1157" spans="1:6" ht="21" customHeight="1" x14ac:dyDescent="0.25">
      <c r="A1157" s="41" t="s">
        <v>427</v>
      </c>
      <c r="B1157" s="16" t="s">
        <v>428</v>
      </c>
      <c r="C1157" s="16"/>
      <c r="D1157" s="16">
        <v>3</v>
      </c>
      <c r="E1157" s="2" t="s">
        <v>171</v>
      </c>
      <c r="F1157" s="2" t="s">
        <v>172</v>
      </c>
    </row>
    <row r="1158" spans="1:6" ht="21" customHeight="1" x14ac:dyDescent="0.25">
      <c r="A1158" s="41" t="s">
        <v>427</v>
      </c>
      <c r="B1158" s="16" t="s">
        <v>428</v>
      </c>
      <c r="C1158" s="16"/>
      <c r="D1158" s="16">
        <v>4</v>
      </c>
      <c r="E1158" s="2" t="s">
        <v>171</v>
      </c>
      <c r="F1158" s="2" t="s">
        <v>172</v>
      </c>
    </row>
    <row r="1159" spans="1:6" ht="21" customHeight="1" x14ac:dyDescent="0.25">
      <c r="A1159" s="41" t="s">
        <v>427</v>
      </c>
      <c r="B1159" s="16" t="s">
        <v>428</v>
      </c>
      <c r="C1159" s="16"/>
      <c r="D1159" s="16">
        <v>5</v>
      </c>
      <c r="E1159" s="2" t="s">
        <v>171</v>
      </c>
      <c r="F1159" s="2" t="s">
        <v>172</v>
      </c>
    </row>
    <row r="1160" spans="1:6" ht="21" customHeight="1" x14ac:dyDescent="0.25">
      <c r="A1160" s="41" t="s">
        <v>427</v>
      </c>
      <c r="B1160" s="15" t="s">
        <v>429</v>
      </c>
      <c r="C1160" s="15"/>
      <c r="D1160" s="15">
        <v>1</v>
      </c>
      <c r="E1160" s="2" t="s">
        <v>174</v>
      </c>
      <c r="F1160" s="2" t="s">
        <v>175</v>
      </c>
    </row>
    <row r="1161" spans="1:6" ht="21" customHeight="1" x14ac:dyDescent="0.25">
      <c r="A1161" s="41" t="s">
        <v>427</v>
      </c>
      <c r="B1161" s="15" t="s">
        <v>429</v>
      </c>
      <c r="C1161" s="15"/>
      <c r="D1161" s="15">
        <v>2</v>
      </c>
      <c r="E1161" s="2" t="s">
        <v>174</v>
      </c>
      <c r="F1161" s="2" t="s">
        <v>175</v>
      </c>
    </row>
    <row r="1162" spans="1:6" ht="21" customHeight="1" x14ac:dyDescent="0.25">
      <c r="A1162" s="41" t="s">
        <v>427</v>
      </c>
      <c r="B1162" s="15" t="s">
        <v>429</v>
      </c>
      <c r="C1162" s="15"/>
      <c r="D1162" s="15">
        <v>3</v>
      </c>
      <c r="E1162" s="2" t="s">
        <v>174</v>
      </c>
      <c r="F1162" s="2" t="s">
        <v>175</v>
      </c>
    </row>
    <row r="1163" spans="1:6" ht="21" customHeight="1" x14ac:dyDescent="0.25">
      <c r="A1163" s="41" t="s">
        <v>427</v>
      </c>
      <c r="B1163" s="15" t="s">
        <v>429</v>
      </c>
      <c r="C1163" s="15"/>
      <c r="D1163" s="15">
        <v>4</v>
      </c>
      <c r="E1163" s="2" t="s">
        <v>174</v>
      </c>
      <c r="F1163" s="2" t="s">
        <v>175</v>
      </c>
    </row>
    <row r="1164" spans="1:6" ht="21" customHeight="1" x14ac:dyDescent="0.25">
      <c r="A1164" s="41" t="s">
        <v>427</v>
      </c>
      <c r="B1164" s="15" t="s">
        <v>429</v>
      </c>
      <c r="C1164" s="15"/>
      <c r="D1164" s="15">
        <v>5</v>
      </c>
      <c r="E1164" s="2" t="s">
        <v>174</v>
      </c>
      <c r="F1164" s="2" t="s">
        <v>175</v>
      </c>
    </row>
    <row r="1165" spans="1:6" ht="21" customHeight="1" x14ac:dyDescent="0.25">
      <c r="A1165" s="41" t="s">
        <v>427</v>
      </c>
      <c r="B1165" s="16" t="s">
        <v>430</v>
      </c>
      <c r="C1165" s="16"/>
      <c r="D1165" s="16">
        <v>1</v>
      </c>
      <c r="E1165" s="2" t="s">
        <v>174</v>
      </c>
      <c r="F1165" s="2" t="s">
        <v>177</v>
      </c>
    </row>
    <row r="1166" spans="1:6" ht="21" customHeight="1" x14ac:dyDescent="0.25">
      <c r="A1166" s="41" t="s">
        <v>427</v>
      </c>
      <c r="B1166" s="16" t="s">
        <v>430</v>
      </c>
      <c r="C1166" s="16"/>
      <c r="D1166" s="16">
        <v>2</v>
      </c>
      <c r="E1166" s="2" t="s">
        <v>174</v>
      </c>
      <c r="F1166" s="2" t="s">
        <v>177</v>
      </c>
    </row>
    <row r="1167" spans="1:6" ht="21" customHeight="1" x14ac:dyDescent="0.25">
      <c r="A1167" s="41" t="s">
        <v>427</v>
      </c>
      <c r="B1167" s="16" t="s">
        <v>430</v>
      </c>
      <c r="C1167" s="16"/>
      <c r="D1167" s="16">
        <v>3</v>
      </c>
      <c r="E1167" s="2" t="s">
        <v>174</v>
      </c>
      <c r="F1167" s="2" t="s">
        <v>177</v>
      </c>
    </row>
    <row r="1168" spans="1:6" ht="21" customHeight="1" x14ac:dyDescent="0.25">
      <c r="A1168" s="41" t="s">
        <v>427</v>
      </c>
      <c r="B1168" s="16" t="s">
        <v>430</v>
      </c>
      <c r="C1168" s="16"/>
      <c r="D1168" s="16">
        <v>4</v>
      </c>
      <c r="E1168" s="2" t="s">
        <v>174</v>
      </c>
      <c r="F1168" s="2" t="s">
        <v>177</v>
      </c>
    </row>
    <row r="1169" spans="1:6" ht="21" customHeight="1" x14ac:dyDescent="0.25">
      <c r="A1169" s="41" t="s">
        <v>427</v>
      </c>
      <c r="B1169" s="16" t="s">
        <v>430</v>
      </c>
      <c r="C1169" s="16"/>
      <c r="D1169" s="16">
        <v>5</v>
      </c>
      <c r="E1169" s="2" t="s">
        <v>174</v>
      </c>
      <c r="F1169" s="2" t="s">
        <v>177</v>
      </c>
    </row>
    <row r="1170" spans="1:6" ht="21" customHeight="1" x14ac:dyDescent="0.25">
      <c r="A1170" s="41" t="s">
        <v>427</v>
      </c>
      <c r="B1170" s="15" t="s">
        <v>431</v>
      </c>
      <c r="C1170" s="15"/>
      <c r="D1170" s="15">
        <v>1</v>
      </c>
      <c r="E1170" s="2" t="s">
        <v>174</v>
      </c>
      <c r="F1170" s="2" t="s">
        <v>179</v>
      </c>
    </row>
    <row r="1171" spans="1:6" ht="21" customHeight="1" x14ac:dyDescent="0.25">
      <c r="A1171" s="41" t="s">
        <v>427</v>
      </c>
      <c r="B1171" s="15" t="s">
        <v>431</v>
      </c>
      <c r="C1171" s="15"/>
      <c r="D1171" s="15">
        <v>2</v>
      </c>
      <c r="E1171" s="2" t="s">
        <v>174</v>
      </c>
      <c r="F1171" s="2" t="s">
        <v>179</v>
      </c>
    </row>
    <row r="1172" spans="1:6" ht="21" customHeight="1" x14ac:dyDescent="0.25">
      <c r="A1172" s="41" t="s">
        <v>427</v>
      </c>
      <c r="B1172" s="15" t="s">
        <v>431</v>
      </c>
      <c r="C1172" s="15"/>
      <c r="D1172" s="15">
        <v>3</v>
      </c>
      <c r="E1172" s="2" t="s">
        <v>174</v>
      </c>
      <c r="F1172" s="2" t="s">
        <v>179</v>
      </c>
    </row>
    <row r="1173" spans="1:6" ht="21" customHeight="1" x14ac:dyDescent="0.25">
      <c r="A1173" s="41" t="s">
        <v>427</v>
      </c>
      <c r="B1173" s="15" t="s">
        <v>431</v>
      </c>
      <c r="C1173" s="15"/>
      <c r="D1173" s="15">
        <v>4</v>
      </c>
      <c r="E1173" s="2" t="s">
        <v>174</v>
      </c>
      <c r="F1173" s="2" t="s">
        <v>179</v>
      </c>
    </row>
    <row r="1174" spans="1:6" ht="21" customHeight="1" x14ac:dyDescent="0.25">
      <c r="A1174" s="41" t="s">
        <v>427</v>
      </c>
      <c r="B1174" s="15" t="s">
        <v>431</v>
      </c>
      <c r="C1174" s="15"/>
      <c r="D1174" s="15">
        <v>5</v>
      </c>
      <c r="E1174" s="2" t="s">
        <v>174</v>
      </c>
      <c r="F1174" s="2" t="s">
        <v>179</v>
      </c>
    </row>
    <row r="1175" spans="1:6" ht="21" customHeight="1" x14ac:dyDescent="0.25">
      <c r="A1175" s="41" t="s">
        <v>427</v>
      </c>
      <c r="B1175" s="15" t="s">
        <v>431</v>
      </c>
      <c r="C1175" s="15"/>
      <c r="D1175" s="15">
        <v>6</v>
      </c>
      <c r="E1175" s="2" t="s">
        <v>174</v>
      </c>
      <c r="F1175" s="2" t="s">
        <v>179</v>
      </c>
    </row>
    <row r="1176" spans="1:6" ht="21" customHeight="1" x14ac:dyDescent="0.25">
      <c r="A1176" s="41" t="s">
        <v>427</v>
      </c>
      <c r="B1176" s="15" t="s">
        <v>431</v>
      </c>
      <c r="C1176" s="15"/>
      <c r="D1176" s="15">
        <v>7</v>
      </c>
      <c r="E1176" s="2" t="s">
        <v>174</v>
      </c>
      <c r="F1176" s="2" t="s">
        <v>179</v>
      </c>
    </row>
    <row r="1177" spans="1:6" ht="21" customHeight="1" x14ac:dyDescent="0.25">
      <c r="A1177" s="41" t="s">
        <v>427</v>
      </c>
      <c r="B1177" s="15" t="s">
        <v>431</v>
      </c>
      <c r="C1177" s="15"/>
      <c r="D1177" s="15">
        <v>8</v>
      </c>
      <c r="E1177" s="2" t="s">
        <v>174</v>
      </c>
      <c r="F1177" s="2" t="s">
        <v>179</v>
      </c>
    </row>
    <row r="1178" spans="1:6" ht="21" customHeight="1" x14ac:dyDescent="0.25">
      <c r="A1178" s="42" t="s">
        <v>432</v>
      </c>
      <c r="B1178" s="16" t="s">
        <v>433</v>
      </c>
      <c r="C1178" s="16"/>
      <c r="D1178" s="16">
        <v>1</v>
      </c>
      <c r="E1178" s="2" t="s">
        <v>171</v>
      </c>
      <c r="F1178" s="2" t="s">
        <v>172</v>
      </c>
    </row>
    <row r="1179" spans="1:6" ht="21" customHeight="1" x14ac:dyDescent="0.25">
      <c r="A1179" s="42" t="s">
        <v>432</v>
      </c>
      <c r="B1179" s="16" t="s">
        <v>433</v>
      </c>
      <c r="C1179" s="16"/>
      <c r="D1179" s="16">
        <v>2</v>
      </c>
      <c r="E1179" s="2" t="s">
        <v>171</v>
      </c>
      <c r="F1179" s="2" t="s">
        <v>172</v>
      </c>
    </row>
    <row r="1180" spans="1:6" ht="21" customHeight="1" x14ac:dyDescent="0.25">
      <c r="A1180" s="42" t="s">
        <v>432</v>
      </c>
      <c r="B1180" s="16" t="s">
        <v>433</v>
      </c>
      <c r="C1180" s="16"/>
      <c r="D1180" s="16">
        <v>3</v>
      </c>
      <c r="E1180" s="2" t="s">
        <v>171</v>
      </c>
      <c r="F1180" s="2" t="s">
        <v>172</v>
      </c>
    </row>
    <row r="1181" spans="1:6" ht="21" customHeight="1" x14ac:dyDescent="0.25">
      <c r="A1181" s="42" t="s">
        <v>432</v>
      </c>
      <c r="B1181" s="16" t="s">
        <v>433</v>
      </c>
      <c r="C1181" s="16"/>
      <c r="D1181" s="16">
        <v>4</v>
      </c>
      <c r="E1181" s="2" t="s">
        <v>171</v>
      </c>
      <c r="F1181" s="2" t="s">
        <v>172</v>
      </c>
    </row>
    <row r="1182" spans="1:6" ht="21" customHeight="1" x14ac:dyDescent="0.25">
      <c r="A1182" s="42" t="s">
        <v>432</v>
      </c>
      <c r="B1182" s="16" t="s">
        <v>433</v>
      </c>
      <c r="C1182" s="16"/>
      <c r="D1182" s="16">
        <v>5</v>
      </c>
      <c r="E1182" s="2" t="s">
        <v>171</v>
      </c>
      <c r="F1182" s="2" t="s">
        <v>172</v>
      </c>
    </row>
    <row r="1183" spans="1:6" ht="21" customHeight="1" x14ac:dyDescent="0.25">
      <c r="A1183" s="42" t="s">
        <v>432</v>
      </c>
      <c r="B1183" s="15" t="s">
        <v>434</v>
      </c>
      <c r="C1183" s="15"/>
      <c r="D1183" s="15">
        <v>1</v>
      </c>
      <c r="E1183" s="2" t="s">
        <v>174</v>
      </c>
      <c r="F1183" s="2" t="s">
        <v>175</v>
      </c>
    </row>
    <row r="1184" spans="1:6" ht="21" customHeight="1" x14ac:dyDescent="0.25">
      <c r="A1184" s="42" t="s">
        <v>432</v>
      </c>
      <c r="B1184" s="15" t="s">
        <v>434</v>
      </c>
      <c r="C1184" s="15"/>
      <c r="D1184" s="15">
        <v>2</v>
      </c>
      <c r="E1184" s="2" t="s">
        <v>174</v>
      </c>
      <c r="F1184" s="2" t="s">
        <v>175</v>
      </c>
    </row>
    <row r="1185" spans="1:6" ht="21" customHeight="1" x14ac:dyDescent="0.25">
      <c r="A1185" s="42" t="s">
        <v>432</v>
      </c>
      <c r="B1185" s="15" t="s">
        <v>434</v>
      </c>
      <c r="C1185" s="15"/>
      <c r="D1185" s="15">
        <v>3</v>
      </c>
      <c r="E1185" s="2" t="s">
        <v>174</v>
      </c>
      <c r="F1185" s="2" t="s">
        <v>175</v>
      </c>
    </row>
    <row r="1186" spans="1:6" ht="21" customHeight="1" x14ac:dyDescent="0.25">
      <c r="A1186" s="42" t="s">
        <v>432</v>
      </c>
      <c r="B1186" s="15" t="s">
        <v>434</v>
      </c>
      <c r="C1186" s="15"/>
      <c r="D1186" s="15">
        <v>4</v>
      </c>
      <c r="E1186" s="2" t="s">
        <v>174</v>
      </c>
      <c r="F1186" s="2" t="s">
        <v>175</v>
      </c>
    </row>
    <row r="1187" spans="1:6" ht="21" customHeight="1" x14ac:dyDescent="0.25">
      <c r="A1187" s="42" t="s">
        <v>432</v>
      </c>
      <c r="B1187" s="15" t="s">
        <v>434</v>
      </c>
      <c r="C1187" s="15"/>
      <c r="D1187" s="15">
        <v>5</v>
      </c>
      <c r="E1187" s="2" t="s">
        <v>174</v>
      </c>
      <c r="F1187" s="2" t="s">
        <v>175</v>
      </c>
    </row>
    <row r="1188" spans="1:6" ht="21" customHeight="1" x14ac:dyDescent="0.25">
      <c r="A1188" s="42" t="s">
        <v>432</v>
      </c>
      <c r="B1188" s="16" t="s">
        <v>435</v>
      </c>
      <c r="C1188" s="16"/>
      <c r="D1188" s="16">
        <v>1</v>
      </c>
      <c r="E1188" s="2" t="s">
        <v>174</v>
      </c>
      <c r="F1188" s="2" t="s">
        <v>177</v>
      </c>
    </row>
    <row r="1189" spans="1:6" ht="21" customHeight="1" x14ac:dyDescent="0.25">
      <c r="A1189" s="42" t="s">
        <v>432</v>
      </c>
      <c r="B1189" s="16" t="s">
        <v>435</v>
      </c>
      <c r="C1189" s="16"/>
      <c r="D1189" s="16">
        <v>2</v>
      </c>
      <c r="E1189" s="2" t="s">
        <v>174</v>
      </c>
      <c r="F1189" s="2" t="s">
        <v>177</v>
      </c>
    </row>
    <row r="1190" spans="1:6" ht="21" customHeight="1" x14ac:dyDescent="0.25">
      <c r="A1190" s="42" t="s">
        <v>432</v>
      </c>
      <c r="B1190" s="16" t="s">
        <v>435</v>
      </c>
      <c r="C1190" s="16"/>
      <c r="D1190" s="16">
        <v>3</v>
      </c>
      <c r="E1190" s="2" t="s">
        <v>174</v>
      </c>
      <c r="F1190" s="2" t="s">
        <v>177</v>
      </c>
    </row>
    <row r="1191" spans="1:6" ht="21" customHeight="1" x14ac:dyDescent="0.25">
      <c r="A1191" s="42" t="s">
        <v>432</v>
      </c>
      <c r="B1191" s="16" t="s">
        <v>435</v>
      </c>
      <c r="C1191" s="16"/>
      <c r="D1191" s="16">
        <v>4</v>
      </c>
      <c r="E1191" s="2" t="s">
        <v>174</v>
      </c>
      <c r="F1191" s="2" t="s">
        <v>177</v>
      </c>
    </row>
    <row r="1192" spans="1:6" ht="21" customHeight="1" x14ac:dyDescent="0.25">
      <c r="A1192" s="42" t="s">
        <v>432</v>
      </c>
      <c r="B1192" s="16" t="s">
        <v>435</v>
      </c>
      <c r="C1192" s="16"/>
      <c r="D1192" s="16">
        <v>5</v>
      </c>
      <c r="E1192" s="2" t="s">
        <v>174</v>
      </c>
      <c r="F1192" s="2" t="s">
        <v>177</v>
      </c>
    </row>
    <row r="1193" spans="1:6" ht="21" customHeight="1" x14ac:dyDescent="0.25">
      <c r="A1193" s="42" t="s">
        <v>432</v>
      </c>
      <c r="B1193" s="15" t="s">
        <v>436</v>
      </c>
      <c r="C1193" s="15"/>
      <c r="D1193" s="15">
        <v>1</v>
      </c>
      <c r="E1193" s="2" t="s">
        <v>174</v>
      </c>
      <c r="F1193" s="2" t="s">
        <v>179</v>
      </c>
    </row>
    <row r="1194" spans="1:6" ht="21" customHeight="1" x14ac:dyDescent="0.25">
      <c r="A1194" s="42" t="s">
        <v>432</v>
      </c>
      <c r="B1194" s="15" t="s">
        <v>436</v>
      </c>
      <c r="C1194" s="15"/>
      <c r="D1194" s="15">
        <v>2</v>
      </c>
      <c r="E1194" s="2" t="s">
        <v>174</v>
      </c>
      <c r="F1194" s="2" t="s">
        <v>179</v>
      </c>
    </row>
    <row r="1195" spans="1:6" ht="21" customHeight="1" x14ac:dyDescent="0.25">
      <c r="A1195" s="42" t="s">
        <v>432</v>
      </c>
      <c r="B1195" s="15" t="s">
        <v>436</v>
      </c>
      <c r="C1195" s="15"/>
      <c r="D1195" s="15">
        <v>3</v>
      </c>
      <c r="E1195" s="2" t="s">
        <v>174</v>
      </c>
      <c r="F1195" s="2" t="s">
        <v>179</v>
      </c>
    </row>
    <row r="1196" spans="1:6" ht="21" customHeight="1" x14ac:dyDescent="0.25">
      <c r="A1196" s="42" t="s">
        <v>432</v>
      </c>
      <c r="B1196" s="15" t="s">
        <v>436</v>
      </c>
      <c r="C1196" s="15"/>
      <c r="D1196" s="15">
        <v>4</v>
      </c>
      <c r="E1196" s="2" t="s">
        <v>174</v>
      </c>
      <c r="F1196" s="2" t="s">
        <v>179</v>
      </c>
    </row>
    <row r="1197" spans="1:6" ht="21" customHeight="1" x14ac:dyDescent="0.25">
      <c r="A1197" s="42" t="s">
        <v>432</v>
      </c>
      <c r="B1197" s="15" t="s">
        <v>436</v>
      </c>
      <c r="C1197" s="15"/>
      <c r="D1197" s="15">
        <v>5</v>
      </c>
      <c r="E1197" s="2" t="s">
        <v>174</v>
      </c>
      <c r="F1197" s="2" t="s">
        <v>179</v>
      </c>
    </row>
    <row r="1198" spans="1:6" ht="21" customHeight="1" x14ac:dyDescent="0.25">
      <c r="A1198" s="42" t="s">
        <v>432</v>
      </c>
      <c r="B1198" s="15" t="s">
        <v>436</v>
      </c>
      <c r="C1198" s="15"/>
      <c r="D1198" s="15">
        <v>6</v>
      </c>
      <c r="E1198" s="2" t="s">
        <v>174</v>
      </c>
      <c r="F1198" s="2" t="s">
        <v>179</v>
      </c>
    </row>
    <row r="1199" spans="1:6" ht="21" customHeight="1" x14ac:dyDescent="0.25">
      <c r="A1199" s="42" t="s">
        <v>432</v>
      </c>
      <c r="B1199" s="15" t="s">
        <v>436</v>
      </c>
      <c r="C1199" s="15"/>
      <c r="D1199" s="15">
        <v>7</v>
      </c>
      <c r="E1199" s="2" t="s">
        <v>174</v>
      </c>
      <c r="F1199" s="2" t="s">
        <v>179</v>
      </c>
    </row>
    <row r="1200" spans="1:6" ht="21" customHeight="1" x14ac:dyDescent="0.25">
      <c r="A1200" s="42" t="s">
        <v>432</v>
      </c>
      <c r="B1200" s="15" t="s">
        <v>436</v>
      </c>
      <c r="C1200" s="15"/>
      <c r="D1200" s="15">
        <v>8</v>
      </c>
      <c r="E1200" s="2" t="s">
        <v>174</v>
      </c>
      <c r="F1200" s="2" t="s">
        <v>179</v>
      </c>
    </row>
  </sheetData>
  <phoneticPr fontId="12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X1202"/>
  <sheetViews>
    <sheetView showGridLines="0" zoomScale="85" zoomScaleNormal="85" workbookViewId="0">
      <pane xSplit="3" ySplit="4" topLeftCell="D262" activePane="bottomRight" state="frozen"/>
      <selection pane="topRight"/>
      <selection pane="bottomLeft"/>
      <selection pane="bottomRight" activeCell="U276" sqref="U276"/>
    </sheetView>
  </sheetViews>
  <sheetFormatPr defaultColWidth="9" defaultRowHeight="19.95" customHeight="1" x14ac:dyDescent="0.25"/>
  <cols>
    <col min="1" max="1" width="26.88671875" style="2" customWidth="1"/>
    <col min="2" max="2" width="18.33203125" style="2" customWidth="1"/>
    <col min="3" max="3" width="7" style="2" customWidth="1"/>
    <col min="4" max="4" width="10.44140625" style="23" customWidth="1"/>
    <col min="5" max="5" width="17.21875" style="23" customWidth="1"/>
    <col min="6" max="6" width="8.88671875" style="2" customWidth="1"/>
    <col min="7" max="7" width="4.88671875" style="2" customWidth="1"/>
    <col min="8" max="8" width="8.88671875" style="2" customWidth="1"/>
    <col min="9" max="9" width="4.88671875" style="2" customWidth="1"/>
    <col min="10" max="10" width="4.88671875" style="24" customWidth="1"/>
    <col min="11" max="11" width="4.88671875" style="25" customWidth="1"/>
    <col min="12" max="12" width="6.33203125" style="2" customWidth="1"/>
    <col min="13" max="13" width="6.77734375" style="2" customWidth="1"/>
    <col min="14" max="14" width="4.88671875" style="2" customWidth="1"/>
    <col min="15" max="15" width="7" style="2" customWidth="1"/>
    <col min="16" max="16" width="4.88671875" style="2" customWidth="1"/>
    <col min="17" max="17" width="6.77734375" style="2" customWidth="1"/>
    <col min="18" max="18" width="4.88671875" style="2" customWidth="1"/>
    <col min="19" max="19" width="5.6640625" style="2" customWidth="1"/>
    <col min="20" max="20" width="8.88671875" style="2" customWidth="1"/>
    <col min="21" max="21" width="4.88671875" style="2" customWidth="1"/>
    <col min="22" max="22" width="6.77734375" style="2" customWidth="1"/>
    <col min="23" max="23" width="4.88671875" style="2" customWidth="1"/>
    <col min="24" max="24" width="6.33203125" style="2" customWidth="1"/>
    <col min="25" max="25" width="36.5546875" style="26" customWidth="1"/>
    <col min="26" max="26" width="31.6640625" style="2" customWidth="1"/>
    <col min="27" max="27" width="19.88671875" style="2" customWidth="1"/>
    <col min="28" max="28" width="7" style="27" customWidth="1"/>
    <col min="29" max="29" width="8.33203125" style="2" customWidth="1"/>
    <col min="30" max="30" width="5.6640625" style="10" customWidth="1"/>
    <col min="31" max="32" width="12.109375" customWidth="1"/>
    <col min="33" max="34" width="12.21875" customWidth="1"/>
    <col min="35" max="35" width="6.77734375" customWidth="1"/>
    <col min="36" max="37" width="9.109375" customWidth="1"/>
    <col min="38" max="46" width="6.77734375" customWidth="1"/>
    <col min="50" max="50" width="4.88671875" customWidth="1"/>
  </cols>
  <sheetData>
    <row r="1" spans="1:50" ht="19.95" customHeight="1" x14ac:dyDescent="0.25">
      <c r="A1" s="74"/>
      <c r="B1" s="75"/>
      <c r="C1" s="76"/>
      <c r="D1" s="2"/>
      <c r="E1" s="2"/>
      <c r="J1" s="2"/>
      <c r="K1" s="2"/>
      <c r="M1" s="83" t="s">
        <v>437</v>
      </c>
      <c r="N1" s="83"/>
      <c r="O1" s="83"/>
      <c r="P1" s="83"/>
      <c r="Q1" s="83"/>
      <c r="R1" s="83"/>
      <c r="Y1" s="15"/>
      <c r="AD1" s="69" t="s">
        <v>438</v>
      </c>
      <c r="AX1" s="72" t="s">
        <v>438</v>
      </c>
    </row>
    <row r="2" spans="1:50" ht="23.4" customHeight="1" x14ac:dyDescent="0.25">
      <c r="A2" s="77"/>
      <c r="B2" s="78"/>
      <c r="C2" s="79"/>
      <c r="D2" s="2"/>
      <c r="E2" s="2"/>
      <c r="J2" s="2"/>
      <c r="K2" s="2"/>
      <c r="M2" s="83"/>
      <c r="N2" s="83"/>
      <c r="O2" s="83"/>
      <c r="P2" s="83"/>
      <c r="Q2" s="83"/>
      <c r="R2" s="83"/>
      <c r="Y2" s="16"/>
      <c r="AD2" s="70"/>
      <c r="AX2" s="73"/>
    </row>
    <row r="3" spans="1:50" ht="19.95" customHeight="1" x14ac:dyDescent="0.25">
      <c r="A3" s="80"/>
      <c r="B3" s="81"/>
      <c r="C3" s="82"/>
      <c r="D3" s="2"/>
      <c r="E3" s="2"/>
      <c r="J3" s="2"/>
      <c r="K3" s="2"/>
      <c r="M3" s="83"/>
      <c r="N3" s="83"/>
      <c r="O3" s="83"/>
      <c r="P3" s="83"/>
      <c r="Q3" s="83"/>
      <c r="R3" s="83"/>
      <c r="AD3" s="70"/>
      <c r="AX3" s="73"/>
    </row>
    <row r="4" spans="1:50" ht="60" customHeight="1" x14ac:dyDescent="0.25">
      <c r="A4" s="6" t="s">
        <v>166</v>
      </c>
      <c r="B4" s="6" t="s">
        <v>167</v>
      </c>
      <c r="C4" s="13" t="s">
        <v>439</v>
      </c>
      <c r="D4" s="28" t="s">
        <v>82</v>
      </c>
      <c r="E4" s="28" t="s">
        <v>440</v>
      </c>
      <c r="F4" s="14" t="s">
        <v>441</v>
      </c>
      <c r="G4" s="29" t="s">
        <v>442</v>
      </c>
      <c r="H4" s="14" t="s">
        <v>443</v>
      </c>
      <c r="I4" s="29" t="s">
        <v>442</v>
      </c>
      <c r="J4" s="29" t="s">
        <v>444</v>
      </c>
      <c r="K4" s="29" t="s">
        <v>445</v>
      </c>
      <c r="L4" s="29" t="s">
        <v>446</v>
      </c>
      <c r="M4" s="6" t="s">
        <v>447</v>
      </c>
      <c r="N4" s="20" t="s">
        <v>442</v>
      </c>
      <c r="O4" s="6" t="s">
        <v>448</v>
      </c>
      <c r="P4" s="20" t="s">
        <v>442</v>
      </c>
      <c r="Q4" s="6" t="s">
        <v>449</v>
      </c>
      <c r="R4" s="20" t="s">
        <v>442</v>
      </c>
      <c r="S4" s="30" t="s">
        <v>450</v>
      </c>
      <c r="T4" s="17" t="s">
        <v>451</v>
      </c>
      <c r="U4" s="31" t="s">
        <v>442</v>
      </c>
      <c r="V4" s="17" t="s">
        <v>452</v>
      </c>
      <c r="W4" s="31" t="s">
        <v>442</v>
      </c>
      <c r="X4" s="31" t="s">
        <v>453</v>
      </c>
      <c r="Y4" s="32" t="s">
        <v>454</v>
      </c>
      <c r="Z4" s="20" t="s">
        <v>455</v>
      </c>
      <c r="AA4" s="17" t="s">
        <v>456</v>
      </c>
      <c r="AB4" s="33" t="s">
        <v>457</v>
      </c>
      <c r="AC4" s="34" t="s">
        <v>458</v>
      </c>
      <c r="AD4" s="71"/>
      <c r="AE4" s="35" t="s">
        <v>441</v>
      </c>
      <c r="AF4" s="14" t="s">
        <v>443</v>
      </c>
      <c r="AG4" s="6" t="s">
        <v>447</v>
      </c>
      <c r="AH4" s="6" t="s">
        <v>448</v>
      </c>
      <c r="AI4" s="6" t="s">
        <v>449</v>
      </c>
      <c r="AJ4" s="17" t="s">
        <v>451</v>
      </c>
      <c r="AK4" s="17" t="s">
        <v>452</v>
      </c>
      <c r="AL4" s="14" t="s">
        <v>459</v>
      </c>
      <c r="AM4" s="14" t="s">
        <v>460</v>
      </c>
      <c r="AN4" s="29" t="s">
        <v>461</v>
      </c>
      <c r="AO4" s="29" t="s">
        <v>462</v>
      </c>
      <c r="AP4" s="6" t="s">
        <v>459</v>
      </c>
      <c r="AQ4" s="6" t="s">
        <v>460</v>
      </c>
      <c r="AR4" s="6" t="s">
        <v>463</v>
      </c>
      <c r="AS4" s="17" t="s">
        <v>459</v>
      </c>
      <c r="AT4" s="17" t="s">
        <v>460</v>
      </c>
      <c r="AU4" s="29" t="s">
        <v>464</v>
      </c>
      <c r="AV4" s="20" t="s">
        <v>465</v>
      </c>
      <c r="AW4" s="31" t="s">
        <v>466</v>
      </c>
      <c r="AX4" s="73"/>
    </row>
    <row r="5" spans="1:50" ht="19.95" customHeight="1" x14ac:dyDescent="0.25">
      <c r="A5" s="15" t="s">
        <v>170</v>
      </c>
      <c r="B5" s="12" t="s">
        <v>467</v>
      </c>
      <c r="C5" s="15">
        <v>1</v>
      </c>
      <c r="D5" s="23" t="s">
        <v>171</v>
      </c>
      <c r="E5" s="23" t="s">
        <v>172</v>
      </c>
      <c r="F5" s="2" t="s">
        <v>2</v>
      </c>
      <c r="G5" s="2">
        <v>30</v>
      </c>
      <c r="J5" s="24">
        <v>10</v>
      </c>
      <c r="K5" s="25">
        <v>5</v>
      </c>
      <c r="L5" s="15">
        <f>IFERROR(VLOOKUP($D5&amp;$C5,生产方式定位!$A$2:$E$38,2,FALSE)+VLOOKUP($E5&amp;$C5,生产方式定位!$F$3:$J$38,2,FALSE),0)</f>
        <v>300</v>
      </c>
      <c r="M5" s="2" t="s">
        <v>80</v>
      </c>
      <c r="N5" s="2">
        <v>100</v>
      </c>
      <c r="S5" s="15">
        <f>IFERROR(VLOOKUP($D5&amp;$C5,生产方式定位!$A$2:$E$38,3,FALSE)+VLOOKUP($E5&amp;$C5,生产方式定位!$F$3:$J$38,3,FALSE),0)</f>
        <v>100</v>
      </c>
      <c r="T5" s="2" t="s">
        <v>23</v>
      </c>
      <c r="U5" s="2">
        <v>0</v>
      </c>
      <c r="X5" s="15">
        <f>IFERROR(VLOOKUP($D5&amp;$C5,生产方式定位!$A$2:$E$38,5,FALSE)+VLOOKUP($E5&amp;$C5,生产方式定位!$F$3:$J$38,5,FALSE),"错误")</f>
        <v>520</v>
      </c>
      <c r="Y5" s="26" t="str">
        <f t="shared" ref="Y5:Y8" si="0">IF(AE5="","",AE5)&amp;IF(AF5="","",","&amp;AF5)&amp;IF(AN5=0,"",",运力*"&amp;AN5)&amp;IF(AO5=0,"",",交易*"&amp;AO5)</f>
        <v>谷物*10,运力*7,交易*3</v>
      </c>
      <c r="Z5" s="36" t="str">
        <f t="shared" ref="Z5:Z8" si="1">IF(AG5="","",AG5)&amp;IF(AH5="","",","&amp;AH5)&amp;IF(AI5="","",","&amp;AI5)</f>
        <v>劳工*4525</v>
      </c>
      <c r="AA5" s="36" t="str">
        <f t="shared" ref="AA5:AA8" si="2">IF(AJ5="","",AJ5)&amp;IF(AK5="","",","&amp;AK5)</f>
        <v/>
      </c>
      <c r="AB5" s="27" t="str">
        <f t="shared" ref="AB5:AB8" si="3">IFERROR(ROUND(((X5/L5)-1)*100,0)&amp;"%","")</f>
        <v>73%</v>
      </c>
      <c r="AC5" s="2">
        <f t="shared" ref="AC5:AC8" si="4">IF(X5-S5-L5=0,"",X5-S5-L5)</f>
        <v>120</v>
      </c>
      <c r="AD5" s="37">
        <f t="shared" ref="AD5:AD8" si="5">C5</f>
        <v>1</v>
      </c>
      <c r="AE5" t="str">
        <f t="shared" ref="AE5:AE8" si="6">IF(AL5="","",F5&amp;"*"&amp;AL5)</f>
        <v>谷物*10</v>
      </c>
      <c r="AF5" t="str">
        <f t="shared" ref="AF5:AF8" si="7">IF(AM5="","",H5&amp;"*"&amp;AM5)</f>
        <v/>
      </c>
      <c r="AG5" t="str">
        <f t="shared" ref="AG5:AG8" si="8">IF(AP5="","",M5&amp;"*"&amp;AP5)</f>
        <v>劳工*4525</v>
      </c>
      <c r="AH5" t="str">
        <f t="shared" ref="AH5:AH8" si="9">IF(AQ5="","",O5&amp;"*"&amp;AQ5)</f>
        <v/>
      </c>
      <c r="AI5" t="str">
        <f t="shared" ref="AI5:AI8" si="10">IF(AR5="","",Q5&amp;"*"&amp;AR5)</f>
        <v/>
      </c>
      <c r="AJ5" t="str">
        <f t="shared" ref="AJ5:AJ8" si="11">IF(AS5="","",T5&amp;"*"&amp;AS5)</f>
        <v/>
      </c>
      <c r="AK5" t="str">
        <f t="shared" ref="AK5:AK8" si="12">IF(AT5="","",V5&amp;"*"&amp;AT5)</f>
        <v/>
      </c>
      <c r="AL5">
        <f>IFERROR(ROUND(L5*(G5/$AU5)/VLOOKUP(F5,商品!$A$4:$B$60,2,FALSE),0),"")</f>
        <v>10</v>
      </c>
      <c r="AM5" t="str">
        <f>IFERROR(ROUND(L5*(I5/$AU5)/VLOOKUP(H5,商品!$A$4:$B$60,2,FALSE),0),"")</f>
        <v/>
      </c>
      <c r="AN5">
        <f>IFERROR(ROUND(L5*(J5/$AU5)/VLOOKUP("运力",商品!$A$4:$B$60,2,FALSE),0),0)</f>
        <v>7</v>
      </c>
      <c r="AO5">
        <f>IFERROR(ROUND(L5*(K5/$AU5)/VLOOKUP("交易",商品!$A$4:$B$60,2,FALSE),0),0)</f>
        <v>3</v>
      </c>
      <c r="AP5">
        <f>IFERROR(ROUND(S5*(N5/$AV5)/VLOOKUP(M5,职业!$A$4:$G$16,4,FALSE),0),"")</f>
        <v>4525</v>
      </c>
      <c r="AQ5" t="str">
        <f>IFERROR(ROUND(S5*(P5/$AV5)/VLOOKUP(O5,职业!$A$4:$G$16,4,FALSE),0),"")</f>
        <v/>
      </c>
      <c r="AR5" t="str">
        <f>IFERROR(ROUND(S5*(R5/$AV5)/VLOOKUP(Q5,职业!$A$4:$G$16,4,FALSE),0),"")</f>
        <v/>
      </c>
      <c r="AS5" t="str">
        <f>IFERROR(ROUND(X5*(U5/$AW5)/VLOOKUP(T5,商品!$A$4:$B$60,2,FALSE),0),"")</f>
        <v/>
      </c>
      <c r="AT5" t="str">
        <f>IFERROR(ROUND(X5*(W5/$AW5)/VLOOKUP(V5,商品!$A$4:$B$60,2,FALSE),0),"")</f>
        <v/>
      </c>
      <c r="AU5">
        <f t="shared" ref="AU5:AU8" si="13">G5+I5+J5+K5</f>
        <v>45</v>
      </c>
      <c r="AV5">
        <f t="shared" ref="AV5:AV8" si="14">ABS(N5)+ABS(P5)+ABS(R5)</f>
        <v>100</v>
      </c>
      <c r="AW5">
        <f t="shared" ref="AW5:AW8" si="15">U5+W5</f>
        <v>0</v>
      </c>
    </row>
    <row r="6" spans="1:50" ht="19.95" customHeight="1" x14ac:dyDescent="0.25">
      <c r="A6" s="15" t="s">
        <v>170</v>
      </c>
      <c r="B6" s="12" t="s">
        <v>468</v>
      </c>
      <c r="C6" s="15">
        <v>2</v>
      </c>
      <c r="D6" s="23" t="s">
        <v>171</v>
      </c>
      <c r="E6" s="23" t="s">
        <v>172</v>
      </c>
      <c r="F6" s="2" t="s">
        <v>2</v>
      </c>
      <c r="G6" s="2">
        <v>30</v>
      </c>
      <c r="H6" s="2" t="s">
        <v>4</v>
      </c>
      <c r="I6" s="2">
        <v>5</v>
      </c>
      <c r="J6" s="24">
        <v>10</v>
      </c>
      <c r="K6" s="25">
        <v>5</v>
      </c>
      <c r="L6" s="15">
        <f>IFERROR(VLOOKUP($D6&amp;$C6,生产方式定位!$A$2:$E$38,2,FALSE)+VLOOKUP($E6&amp;$C6,生产方式定位!$F$3:$J$38,2,FALSE),0)</f>
        <v>1100</v>
      </c>
      <c r="M6" s="2" t="s">
        <v>80</v>
      </c>
      <c r="N6" s="2">
        <v>100</v>
      </c>
      <c r="O6" s="2" t="s">
        <v>73</v>
      </c>
      <c r="P6" s="2">
        <v>5</v>
      </c>
      <c r="S6" s="15">
        <f>IFERROR(VLOOKUP($D6&amp;$C6,生产方式定位!$A$2:$E$38,3,FALSE)+VLOOKUP($E6&amp;$C6,生产方式定位!$F$3:$J$38,3,FALSE),0)</f>
        <v>100</v>
      </c>
      <c r="T6" s="2" t="s">
        <v>23</v>
      </c>
      <c r="U6" s="2">
        <v>1</v>
      </c>
      <c r="X6" s="15">
        <f>IFERROR(VLOOKUP($D6&amp;$C6,生产方式定位!$A$2:$E$38,5,FALSE)+VLOOKUP($E6&amp;$C6,生产方式定位!$F$3:$J$38,5,FALSE),"错误")</f>
        <v>1510</v>
      </c>
      <c r="Y6" s="26" t="str">
        <f t="shared" si="0"/>
        <v>谷物*33,糖*3,运力*22,交易*11</v>
      </c>
      <c r="Z6" s="36" t="str">
        <f t="shared" si="1"/>
        <v>劳工*4309,工程师*72</v>
      </c>
      <c r="AA6" s="36" t="str">
        <f t="shared" si="2"/>
        <v>食品*50</v>
      </c>
      <c r="AB6" s="27" t="str">
        <f t="shared" si="3"/>
        <v>37%</v>
      </c>
      <c r="AC6" s="2">
        <f t="shared" si="4"/>
        <v>310</v>
      </c>
      <c r="AD6" s="37">
        <f t="shared" si="5"/>
        <v>2</v>
      </c>
      <c r="AE6" t="str">
        <f t="shared" si="6"/>
        <v>谷物*33</v>
      </c>
      <c r="AF6" t="str">
        <f t="shared" si="7"/>
        <v>糖*3</v>
      </c>
      <c r="AG6" t="str">
        <f t="shared" si="8"/>
        <v>劳工*4309</v>
      </c>
      <c r="AH6" t="str">
        <f t="shared" si="9"/>
        <v>工程师*72</v>
      </c>
      <c r="AI6" t="str">
        <f t="shared" si="10"/>
        <v/>
      </c>
      <c r="AJ6" t="str">
        <f t="shared" si="11"/>
        <v>食品*50</v>
      </c>
      <c r="AK6" t="str">
        <f t="shared" si="12"/>
        <v/>
      </c>
      <c r="AL6">
        <f>IFERROR(ROUND(L6*(G6/$AU6)/VLOOKUP(F6,商品!$A$4:$B$60,2,FALSE),0),"")</f>
        <v>33</v>
      </c>
      <c r="AM6">
        <f>IFERROR(ROUND(L6*(I6/$AU6)/VLOOKUP(H6,商品!$A$4:$B$60,2,FALSE),0),"")</f>
        <v>3</v>
      </c>
      <c r="AN6">
        <f>IFERROR(ROUND(L6*(J6/$AU6)/VLOOKUP("运力",商品!$A$4:$B$60,2,FALSE),0),0)</f>
        <v>22</v>
      </c>
      <c r="AO6">
        <f>IFERROR(ROUND(L6*(K6/$AU6)/VLOOKUP("交易",商品!$A$4:$B$60,2,FALSE),0),0)</f>
        <v>11</v>
      </c>
      <c r="AP6">
        <f>IFERROR(ROUND(S6*(N6/$AV6)/VLOOKUP(M6,职业!$A$4:$G$16,4,FALSE),0),"")</f>
        <v>4309</v>
      </c>
      <c r="AQ6">
        <f>IFERROR(ROUND(S6*(P6/$AV6)/VLOOKUP(O6,职业!$A$4:$G$16,4,FALSE),0),"")</f>
        <v>72</v>
      </c>
      <c r="AR6" t="str">
        <f>IFERROR(ROUND(S6*(R6/$AV6)/VLOOKUP(Q6,职业!$A$4:$G$16,4,FALSE),0),"")</f>
        <v/>
      </c>
      <c r="AS6">
        <f>IFERROR(ROUND(X6*(U6/$AW6)/VLOOKUP(T6,商品!$A$4:$B$60,2,FALSE),0),"")</f>
        <v>50</v>
      </c>
      <c r="AT6" t="str">
        <f>IFERROR(ROUND(X6*(W6/$AW6)/VLOOKUP(V6,商品!$A$4:$B$60,2,FALSE),0),"")</f>
        <v/>
      </c>
      <c r="AU6">
        <f t="shared" si="13"/>
        <v>50</v>
      </c>
      <c r="AV6">
        <f t="shared" si="14"/>
        <v>105</v>
      </c>
      <c r="AW6">
        <f t="shared" si="15"/>
        <v>1</v>
      </c>
    </row>
    <row r="7" spans="1:50" ht="19.95" customHeight="1" x14ac:dyDescent="0.25">
      <c r="A7" s="15" t="s">
        <v>170</v>
      </c>
      <c r="B7" s="2" t="s">
        <v>469</v>
      </c>
      <c r="C7" s="15">
        <v>3</v>
      </c>
      <c r="D7" s="23" t="s">
        <v>171</v>
      </c>
      <c r="E7" s="23" t="s">
        <v>172</v>
      </c>
      <c r="F7" s="2" t="s">
        <v>2</v>
      </c>
      <c r="G7" s="2">
        <v>30</v>
      </c>
      <c r="H7" s="2" t="s">
        <v>4</v>
      </c>
      <c r="I7" s="2">
        <v>10</v>
      </c>
      <c r="J7" s="24">
        <v>10</v>
      </c>
      <c r="K7" s="25">
        <v>5</v>
      </c>
      <c r="L7" s="15">
        <f>IFERROR(VLOOKUP($D7&amp;$C7,生产方式定位!$A$2:$E$38,2,FALSE)+VLOOKUP($E7&amp;$C7,生产方式定位!$F$3:$J$38,2,FALSE),0)</f>
        <v>1525</v>
      </c>
      <c r="M7" s="2" t="s">
        <v>80</v>
      </c>
      <c r="N7" s="2">
        <v>100</v>
      </c>
      <c r="O7" s="2" t="s">
        <v>73</v>
      </c>
      <c r="P7" s="2">
        <v>10</v>
      </c>
      <c r="S7" s="15">
        <f>IFERROR(VLOOKUP($D7&amp;$C7,生产方式定位!$A$2:$E$38,3,FALSE)+VLOOKUP($E7&amp;$C7,生产方式定位!$F$3:$J$38,3,FALSE),0)</f>
        <v>100</v>
      </c>
      <c r="T7" s="2" t="s">
        <v>23</v>
      </c>
      <c r="U7" s="2">
        <v>1</v>
      </c>
      <c r="X7" s="15">
        <f>IFERROR(VLOOKUP($D7&amp;$C7,生产方式定位!$A$2:$E$38,5,FALSE)+VLOOKUP($E7&amp;$C7,生产方式定位!$F$3:$J$38,5,FALSE),"错误")</f>
        <v>2050</v>
      </c>
      <c r="Y7" s="26" t="str">
        <f t="shared" si="0"/>
        <v>谷物*42,糖*7,运力*28,交易*14</v>
      </c>
      <c r="Z7" s="36" t="str">
        <f t="shared" si="1"/>
        <v>劳工*4114,工程师*137</v>
      </c>
      <c r="AA7" s="36" t="str">
        <f t="shared" si="2"/>
        <v>食品*68</v>
      </c>
      <c r="AB7" s="27" t="str">
        <f t="shared" si="3"/>
        <v>34%</v>
      </c>
      <c r="AC7" s="2">
        <f t="shared" si="4"/>
        <v>425</v>
      </c>
      <c r="AD7" s="37">
        <f t="shared" si="5"/>
        <v>3</v>
      </c>
      <c r="AE7" t="str">
        <f t="shared" si="6"/>
        <v>谷物*42</v>
      </c>
      <c r="AF7" t="str">
        <f t="shared" si="7"/>
        <v>糖*7</v>
      </c>
      <c r="AG7" t="str">
        <f t="shared" si="8"/>
        <v>劳工*4114</v>
      </c>
      <c r="AH7" t="str">
        <f t="shared" si="9"/>
        <v>工程师*137</v>
      </c>
      <c r="AI7" t="str">
        <f t="shared" si="10"/>
        <v/>
      </c>
      <c r="AJ7" t="str">
        <f t="shared" si="11"/>
        <v>食品*68</v>
      </c>
      <c r="AK7" t="str">
        <f t="shared" si="12"/>
        <v/>
      </c>
      <c r="AL7">
        <f>IFERROR(ROUND(L7*(G7/$AU7)/VLOOKUP(F7,商品!$A$4:$B$60,2,FALSE),0),"")</f>
        <v>42</v>
      </c>
      <c r="AM7">
        <f>IFERROR(ROUND(L7*(I7/$AU7)/VLOOKUP(H7,商品!$A$4:$B$60,2,FALSE),0),"")</f>
        <v>7</v>
      </c>
      <c r="AN7">
        <f>IFERROR(ROUND(L7*(J7/$AU7)/VLOOKUP("运力",商品!$A$4:$B$60,2,FALSE),0),0)</f>
        <v>28</v>
      </c>
      <c r="AO7">
        <f>IFERROR(ROUND(L7*(K7/$AU7)/VLOOKUP("交易",商品!$A$4:$B$60,2,FALSE),0),0)</f>
        <v>14</v>
      </c>
      <c r="AP7">
        <f>IFERROR(ROUND(S7*(N7/$AV7)/VLOOKUP(M7,职业!$A$4:$G$16,4,FALSE),0),"")</f>
        <v>4114</v>
      </c>
      <c r="AQ7">
        <f>IFERROR(ROUND(S7*(P7/$AV7)/VLOOKUP(O7,职业!$A$4:$G$16,4,FALSE),0),"")</f>
        <v>137</v>
      </c>
      <c r="AR7" t="str">
        <f>IFERROR(ROUND(S7*(R7/$AV7)/VLOOKUP(Q7,职业!$A$4:$G$16,4,FALSE),0),"")</f>
        <v/>
      </c>
      <c r="AS7">
        <f>IFERROR(ROUND(X7*(U7/$AW7)/VLOOKUP(T7,商品!$A$4:$B$60,2,FALSE),0),"")</f>
        <v>68</v>
      </c>
      <c r="AT7" t="str">
        <f>IFERROR(ROUND(X7*(W7/$AW7)/VLOOKUP(V7,商品!$A$4:$B$60,2,FALSE),0),"")</f>
        <v/>
      </c>
      <c r="AU7">
        <f t="shared" si="13"/>
        <v>55</v>
      </c>
      <c r="AV7">
        <f t="shared" si="14"/>
        <v>110</v>
      </c>
      <c r="AW7">
        <f t="shared" si="15"/>
        <v>1</v>
      </c>
    </row>
    <row r="8" spans="1:50" ht="19.95" customHeight="1" x14ac:dyDescent="0.25">
      <c r="A8" s="16" t="s">
        <v>470</v>
      </c>
      <c r="B8" s="2" t="s">
        <v>471</v>
      </c>
      <c r="C8" s="16">
        <v>1</v>
      </c>
      <c r="D8" s="23" t="s">
        <v>171</v>
      </c>
      <c r="E8" s="23" t="s">
        <v>472</v>
      </c>
      <c r="L8" s="15">
        <f>IFERROR(VLOOKUP($D8&amp;$C8,生产方式定位!$A$2:$E$38,2,FALSE)+VLOOKUP($E8&amp;$C8,生产方式定位!$F$3:$J$38,2,FALSE),0)</f>
        <v>300</v>
      </c>
      <c r="S8" s="15">
        <f>IFERROR(VLOOKUP($D8&amp;$C8,生产方式定位!$A$2:$E$38,3,FALSE)+VLOOKUP($E8&amp;$C8,生产方式定位!$F$3:$J$38,3,FALSE),0)</f>
        <v>100</v>
      </c>
      <c r="X8" s="15">
        <f>IFERROR(VLOOKUP($D8&amp;$C8,生产方式定位!$A$2:$E$38,5,FALSE)+VLOOKUP($E8&amp;$C8,生产方式定位!$F$3:$J$38,5,FALSE),"错误")</f>
        <v>520</v>
      </c>
      <c r="Y8" s="26" t="str">
        <f t="shared" si="0"/>
        <v/>
      </c>
      <c r="Z8" s="36" t="str">
        <f t="shared" si="1"/>
        <v/>
      </c>
      <c r="AA8" s="36" t="str">
        <f t="shared" si="2"/>
        <v/>
      </c>
      <c r="AB8" s="27" t="str">
        <f t="shared" si="3"/>
        <v>73%</v>
      </c>
      <c r="AC8" s="2">
        <f t="shared" si="4"/>
        <v>120</v>
      </c>
      <c r="AD8" s="37">
        <f t="shared" si="5"/>
        <v>1</v>
      </c>
      <c r="AE8" t="str">
        <f t="shared" si="6"/>
        <v/>
      </c>
      <c r="AF8" t="str">
        <f t="shared" si="7"/>
        <v/>
      </c>
      <c r="AG8" t="str">
        <f t="shared" si="8"/>
        <v/>
      </c>
      <c r="AH8" t="str">
        <f t="shared" si="9"/>
        <v/>
      </c>
      <c r="AI8" t="str">
        <f t="shared" si="10"/>
        <v/>
      </c>
      <c r="AJ8" t="str">
        <f t="shared" si="11"/>
        <v/>
      </c>
      <c r="AK8" t="str">
        <f t="shared" si="12"/>
        <v/>
      </c>
      <c r="AL8" t="str">
        <f>IFERROR(ROUND(L8*(G8/$AU8)/VLOOKUP(F8,商品!$A$4:$B$60,2,FALSE),0),"")</f>
        <v/>
      </c>
      <c r="AM8" t="str">
        <f>IFERROR(ROUND(L8*(I8/$AU8)/VLOOKUP(H8,商品!$A$4:$B$60,2,FALSE),0),"")</f>
        <v/>
      </c>
      <c r="AN8">
        <f>IFERROR(ROUND(L8*(J8/$AU8)/VLOOKUP("运力",商品!$A$4:$B$60,2,FALSE),0),0)</f>
        <v>0</v>
      </c>
      <c r="AO8">
        <f>IFERROR(ROUND(L8*(K8/$AU8)/VLOOKUP("交易",商品!$A$4:$B$60,2,FALSE),0),0)</f>
        <v>0</v>
      </c>
      <c r="AP8" t="str">
        <f>IFERROR(ROUND(S8*(N8/$AV8)/VLOOKUP(M8,职业!$A$4:$G$16,4,FALSE),0),"")</f>
        <v/>
      </c>
      <c r="AQ8" t="str">
        <f>IFERROR(ROUND(S8*(P8/$AV8)/VLOOKUP(O8,职业!$A$4:$G$16,4,FALSE),0),"")</f>
        <v/>
      </c>
      <c r="AR8" t="str">
        <f>IFERROR(ROUND(S8*(R8/$AV8)/VLOOKUP(Q8,职业!$A$4:$G$16,4,FALSE),0),"")</f>
        <v/>
      </c>
      <c r="AS8" t="str">
        <f>IFERROR(ROUND(X8*(U8/$AW8)/VLOOKUP(T8,商品!$A$4:$B$60,2,FALSE),0),"")</f>
        <v/>
      </c>
      <c r="AT8" t="str">
        <f>IFERROR(ROUND(X8*(W8/$AW8)/VLOOKUP(V8,商品!$A$4:$B$60,2,FALSE),0),"")</f>
        <v/>
      </c>
      <c r="AU8">
        <f t="shared" si="13"/>
        <v>0</v>
      </c>
      <c r="AV8">
        <f t="shared" si="14"/>
        <v>0</v>
      </c>
      <c r="AW8">
        <f t="shared" si="15"/>
        <v>0</v>
      </c>
    </row>
    <row r="9" spans="1:50" ht="19.95" customHeight="1" x14ac:dyDescent="0.25">
      <c r="A9" s="16" t="s">
        <v>470</v>
      </c>
      <c r="B9" s="2" t="s">
        <v>473</v>
      </c>
      <c r="C9" s="16">
        <v>2</v>
      </c>
      <c r="D9" s="23" t="s">
        <v>171</v>
      </c>
      <c r="E9" s="23" t="s">
        <v>472</v>
      </c>
      <c r="F9" s="2" t="s">
        <v>3</v>
      </c>
      <c r="G9" s="2">
        <v>30</v>
      </c>
      <c r="H9" s="2" t="s">
        <v>25</v>
      </c>
      <c r="I9" s="2">
        <v>5</v>
      </c>
      <c r="L9" s="15">
        <f>IFERROR(VLOOKUP($D9&amp;$C9,生产方式定位!$A$2:$E$38,2,FALSE)+VLOOKUP($E9&amp;$C9,生产方式定位!$F$3:$J$38,2,FALSE),0)</f>
        <v>1100</v>
      </c>
      <c r="M9" s="2" t="s">
        <v>80</v>
      </c>
      <c r="N9" s="2">
        <v>-5</v>
      </c>
      <c r="O9" s="2" t="s">
        <v>73</v>
      </c>
      <c r="P9" s="2">
        <v>10</v>
      </c>
      <c r="S9" s="15">
        <f>IFERROR(VLOOKUP($D9&amp;$C9,生产方式定位!$A$2:$E$38,3,FALSE)+VLOOKUP($E9&amp;$C9,生产方式定位!$F$3:$J$38,3,FALSE),0)</f>
        <v>100</v>
      </c>
      <c r="T9" s="2" t="s">
        <v>23</v>
      </c>
      <c r="U9" s="2">
        <v>1</v>
      </c>
      <c r="X9" s="15">
        <f>IFERROR(VLOOKUP($D9&amp;$C9,生产方式定位!$A$2:$E$38,5,FALSE)+VLOOKUP($E9&amp;$C9,生产方式定位!$F$3:$J$38,5,FALSE),"错误")</f>
        <v>1510</v>
      </c>
      <c r="Y9" s="26" t="str">
        <f t="shared" ref="Y9:Y32" si="16">IF(AE9="","",AE9)&amp;IF(AF9="","",","&amp;AF9)&amp;IF(AN9=0,"",",运力*"&amp;AN9)&amp;IF(AO9=0,"",",交易*"&amp;AO9)</f>
        <v>鱼*47,玻璃*5</v>
      </c>
      <c r="Z9" s="36" t="str">
        <f t="shared" ref="Z9:Z32" si="17">IF(AG9="","",AG9)&amp;IF(AH9="","",","&amp;AH9)&amp;IF(AI9="","",","&amp;AI9)</f>
        <v>劳工*-1508,工程师*1006</v>
      </c>
      <c r="AA9" s="36" t="str">
        <f t="shared" ref="AA9:AA32" si="18">IF(AJ9="","",AJ9)&amp;IF(AK9="","",","&amp;AK9)</f>
        <v>食品*50</v>
      </c>
      <c r="AB9" s="27" t="str">
        <f t="shared" ref="AB9:AB32" si="19">IFERROR(ROUND(((X9/L9)-1)*100,0)&amp;"%","")</f>
        <v>37%</v>
      </c>
      <c r="AC9" s="2">
        <f t="shared" ref="AC9:AC32" si="20">IF(X9-S9-L9=0,"",X9-S9-L9)</f>
        <v>310</v>
      </c>
      <c r="AD9" s="37">
        <f t="shared" ref="AD9:AD32" si="21">C9</f>
        <v>2</v>
      </c>
      <c r="AE9" t="str">
        <f t="shared" ref="AE9:AE32" si="22">IF(AL9="","",F9&amp;"*"&amp;AL9)</f>
        <v>鱼*47</v>
      </c>
      <c r="AF9" t="str">
        <f t="shared" ref="AF9:AF32" si="23">IF(AM9="","",H9&amp;"*"&amp;AM9)</f>
        <v>玻璃*5</v>
      </c>
      <c r="AG9" t="str">
        <f t="shared" ref="AG9:AG32" si="24">IF(AP9="","",M9&amp;"*"&amp;AP9)</f>
        <v>劳工*-1508</v>
      </c>
      <c r="AH9" t="str">
        <f t="shared" ref="AH9:AH32" si="25">IF(AQ9="","",O9&amp;"*"&amp;AQ9)</f>
        <v>工程师*1006</v>
      </c>
      <c r="AI9" t="str">
        <f t="shared" ref="AI9:AI32" si="26">IF(AR9="","",Q9&amp;"*"&amp;AR9)</f>
        <v/>
      </c>
      <c r="AJ9" t="str">
        <f t="shared" ref="AJ9:AJ32" si="27">IF(AS9="","",T9&amp;"*"&amp;AS9)</f>
        <v>食品*50</v>
      </c>
      <c r="AK9" t="str">
        <f t="shared" ref="AK9:AK32" si="28">IF(AT9="","",V9&amp;"*"&amp;AT9)</f>
        <v/>
      </c>
      <c r="AL9">
        <f>IFERROR(ROUND(L9*(G9/$AU9)/VLOOKUP(F9,商品!$A$4:$B$60,2,FALSE),0),"")</f>
        <v>47</v>
      </c>
      <c r="AM9">
        <f>IFERROR(ROUND(L9*(I9/$AU9)/VLOOKUP(H9,商品!$A$4:$B$60,2,FALSE),0),"")</f>
        <v>5</v>
      </c>
      <c r="AN9">
        <f>IFERROR(ROUND(L9*(J9/$AU9)/VLOOKUP("运力",商品!$A$4:$B$60,2,FALSE),0),0)</f>
        <v>0</v>
      </c>
      <c r="AO9">
        <f>IFERROR(ROUND(L9*(K9/$AU9)/VLOOKUP("交易",商品!$A$4:$B$60,2,FALSE),0),0)</f>
        <v>0</v>
      </c>
      <c r="AP9">
        <f>IFERROR(ROUND(S9*(N9/$AV9)/VLOOKUP(M9,职业!$A$4:$G$16,4,FALSE),0),"")</f>
        <v>-1508</v>
      </c>
      <c r="AQ9">
        <f>IFERROR(ROUND(S9*(P9/$AV9)/VLOOKUP(O9,职业!$A$4:$G$16,4,FALSE),0),"")</f>
        <v>1006</v>
      </c>
      <c r="AR9" t="str">
        <f>IFERROR(ROUND(S9*(R9/$AV9)/VLOOKUP(Q9,职业!$A$4:$G$16,4,FALSE),0),"")</f>
        <v/>
      </c>
      <c r="AS9">
        <f>IFERROR(ROUND(X9*(U9/$AW9)/VLOOKUP(T9,商品!$A$4:$B$60,2,FALSE),0),"")</f>
        <v>50</v>
      </c>
      <c r="AT9" t="str">
        <f>IFERROR(ROUND(X9*(W9/$AW9)/VLOOKUP(V9,商品!$A$4:$B$60,2,FALSE),0),"")</f>
        <v/>
      </c>
      <c r="AU9">
        <f t="shared" ref="AU9:AU32" si="29">G9+I9+J9+K9</f>
        <v>35</v>
      </c>
      <c r="AV9">
        <f t="shared" ref="AV9:AV32" si="30">ABS(N9)+ABS(P9)+ABS(R9)</f>
        <v>15</v>
      </c>
      <c r="AW9">
        <f t="shared" ref="AW9:AW32" si="31">U9+W9</f>
        <v>1</v>
      </c>
    </row>
    <row r="10" spans="1:50" ht="19.95" customHeight="1" x14ac:dyDescent="0.25">
      <c r="A10" s="16" t="s">
        <v>470</v>
      </c>
      <c r="B10" s="2" t="s">
        <v>474</v>
      </c>
      <c r="C10" s="16">
        <v>3</v>
      </c>
      <c r="D10" s="23" t="s">
        <v>171</v>
      </c>
      <c r="E10" s="23" t="s">
        <v>472</v>
      </c>
      <c r="F10" s="2" t="s">
        <v>3</v>
      </c>
      <c r="G10" s="2">
        <v>30</v>
      </c>
      <c r="H10" s="2" t="s">
        <v>25</v>
      </c>
      <c r="I10" s="2">
        <v>10</v>
      </c>
      <c r="L10" s="15">
        <f>IFERROR(VLOOKUP($D10&amp;$C10,生产方式定位!$A$2:$E$38,2,FALSE)+VLOOKUP($E10&amp;$C10,生产方式定位!$F$3:$J$38,2,FALSE),0)</f>
        <v>1900</v>
      </c>
      <c r="M10" s="2" t="s">
        <v>80</v>
      </c>
      <c r="N10" s="2">
        <v>-10</v>
      </c>
      <c r="O10" s="2" t="s">
        <v>73</v>
      </c>
      <c r="P10" s="2">
        <v>30</v>
      </c>
      <c r="S10" s="15">
        <f>IFERROR(VLOOKUP($D10&amp;$C10,生产方式定位!$A$2:$E$38,3,FALSE)+VLOOKUP($E10&amp;$C10,生产方式定位!$F$3:$J$38,3,FALSE),0)</f>
        <v>100</v>
      </c>
      <c r="T10" s="2" t="s">
        <v>23</v>
      </c>
      <c r="U10" s="2">
        <v>1</v>
      </c>
      <c r="X10" s="15">
        <f>IFERROR(VLOOKUP($D10&amp;$C10,生产方式定位!$A$2:$E$38,5,FALSE)+VLOOKUP($E10&amp;$C10,生产方式定位!$F$3:$J$38,5,FALSE),"错误")</f>
        <v>2500</v>
      </c>
      <c r="Y10" s="26" t="str">
        <f t="shared" si="16"/>
        <v>鱼*71,玻璃*16</v>
      </c>
      <c r="Z10" s="36" t="str">
        <f t="shared" si="17"/>
        <v>劳工*-1131,工程师*1131</v>
      </c>
      <c r="AA10" s="36" t="str">
        <f t="shared" si="18"/>
        <v>食品*83</v>
      </c>
      <c r="AB10" s="27" t="str">
        <f t="shared" si="19"/>
        <v>32%</v>
      </c>
      <c r="AC10" s="2">
        <f t="shared" si="20"/>
        <v>500</v>
      </c>
      <c r="AD10" s="37">
        <f t="shared" si="21"/>
        <v>3</v>
      </c>
      <c r="AE10" t="str">
        <f t="shared" si="22"/>
        <v>鱼*71</v>
      </c>
      <c r="AF10" t="str">
        <f t="shared" si="23"/>
        <v>玻璃*16</v>
      </c>
      <c r="AG10" t="str">
        <f t="shared" si="24"/>
        <v>劳工*-1131</v>
      </c>
      <c r="AH10" t="str">
        <f t="shared" si="25"/>
        <v>工程师*1131</v>
      </c>
      <c r="AI10" t="str">
        <f t="shared" si="26"/>
        <v/>
      </c>
      <c r="AJ10" t="str">
        <f t="shared" si="27"/>
        <v>食品*83</v>
      </c>
      <c r="AK10" t="str">
        <f t="shared" si="28"/>
        <v/>
      </c>
      <c r="AL10">
        <f>IFERROR(ROUND(L10*(G10/$AU10)/VLOOKUP(F10,商品!$A$4:$B$60,2,FALSE),0),"")</f>
        <v>71</v>
      </c>
      <c r="AM10">
        <f>IFERROR(ROUND(L10*(I10/$AU10)/VLOOKUP(H10,商品!$A$4:$B$60,2,FALSE),0),"")</f>
        <v>16</v>
      </c>
      <c r="AN10">
        <f>IFERROR(ROUND(L10*(J10/$AU10)/VLOOKUP("运力",商品!$A$4:$B$60,2,FALSE),0),0)</f>
        <v>0</v>
      </c>
      <c r="AO10">
        <f>IFERROR(ROUND(L10*(K10/$AU10)/VLOOKUP("交易",商品!$A$4:$B$60,2,FALSE),0),0)</f>
        <v>0</v>
      </c>
      <c r="AP10">
        <f>IFERROR(ROUND(S10*(N10/$AV10)/VLOOKUP(M10,职业!$A$4:$G$16,4,FALSE),0),"")</f>
        <v>-1131</v>
      </c>
      <c r="AQ10">
        <f>IFERROR(ROUND(S10*(P10/$AV10)/VLOOKUP(O10,职业!$A$4:$G$16,4,FALSE),0),"")</f>
        <v>1131</v>
      </c>
      <c r="AR10" t="str">
        <f>IFERROR(ROUND(S10*(R10/$AV10)/VLOOKUP(Q10,职业!$A$4:$G$16,4,FALSE),0),"")</f>
        <v/>
      </c>
      <c r="AS10">
        <f>IFERROR(ROUND(X10*(U10/$AW10)/VLOOKUP(T10,商品!$A$4:$B$60,2,FALSE),0),"")</f>
        <v>83</v>
      </c>
      <c r="AT10" t="str">
        <f>IFERROR(ROUND(X10*(W10/$AW10)/VLOOKUP(V10,商品!$A$4:$B$60,2,FALSE),0),"")</f>
        <v/>
      </c>
      <c r="AU10">
        <f t="shared" si="29"/>
        <v>40</v>
      </c>
      <c r="AV10">
        <f t="shared" si="30"/>
        <v>40</v>
      </c>
      <c r="AW10">
        <f t="shared" si="31"/>
        <v>1</v>
      </c>
    </row>
    <row r="11" spans="1:50" ht="19.95" customHeight="1" x14ac:dyDescent="0.25">
      <c r="A11" s="15" t="s">
        <v>475</v>
      </c>
      <c r="B11" s="2" t="s">
        <v>476</v>
      </c>
      <c r="C11" s="15">
        <v>1</v>
      </c>
      <c r="D11" s="23" t="s">
        <v>174</v>
      </c>
      <c r="E11" s="23" t="s">
        <v>175</v>
      </c>
      <c r="L11" s="16">
        <f>IFERROR(VLOOKUP($D11&amp;$C11,生产方式定位!$A$2:$E$38,2,FALSE)+VLOOKUP($E11&amp;$C11,生产方式定位!$F$3:$J$38,2,FALSE),0)</f>
        <v>0</v>
      </c>
      <c r="S11" s="16">
        <f>IFERROR(VLOOKUP($D11&amp;$C11,生产方式定位!$A$2:$E$38,3,FALSE)+VLOOKUP($E11&amp;$C11,生产方式定位!$F$3:$J$38,3,FALSE),0)</f>
        <v>0</v>
      </c>
      <c r="X11" s="16">
        <f>IFERROR(VLOOKUP($D11&amp;$C11,生产方式定位!$A$2:$E$38,5,FALSE)+VLOOKUP($E11&amp;$C11,生产方式定位!$F$3:$J$38,5,FALSE),"错误")</f>
        <v>0</v>
      </c>
      <c r="Y11" s="26" t="str">
        <f t="shared" si="16"/>
        <v/>
      </c>
      <c r="Z11" s="36" t="str">
        <f t="shared" si="17"/>
        <v/>
      </c>
      <c r="AA11" s="36" t="str">
        <f t="shared" si="18"/>
        <v/>
      </c>
      <c r="AB11" s="27" t="str">
        <f t="shared" si="19"/>
        <v/>
      </c>
      <c r="AC11" s="2" t="str">
        <f t="shared" si="20"/>
        <v/>
      </c>
      <c r="AD11" s="38">
        <f t="shared" si="21"/>
        <v>1</v>
      </c>
      <c r="AE11" t="str">
        <f t="shared" si="22"/>
        <v/>
      </c>
      <c r="AF11" t="str">
        <f t="shared" si="23"/>
        <v/>
      </c>
      <c r="AG11" t="str">
        <f t="shared" si="24"/>
        <v/>
      </c>
      <c r="AH11" t="str">
        <f t="shared" si="25"/>
        <v/>
      </c>
      <c r="AI11" t="str">
        <f t="shared" si="26"/>
        <v/>
      </c>
      <c r="AJ11" t="str">
        <f t="shared" si="27"/>
        <v/>
      </c>
      <c r="AK11" t="str">
        <f t="shared" si="28"/>
        <v/>
      </c>
      <c r="AL11" t="str">
        <f>IFERROR(ROUND(L11*(G11/$AU11)/VLOOKUP(F11,商品!$A$4:$B$60,2,FALSE),0),"")</f>
        <v/>
      </c>
      <c r="AM11" t="str">
        <f>IFERROR(ROUND(L11*(I11/$AU11)/VLOOKUP(H11,商品!$A$4:$B$60,2,FALSE),0),"")</f>
        <v/>
      </c>
      <c r="AN11">
        <f>IFERROR(ROUND(L11*(J11/$AU11)/VLOOKUP("运力",商品!$A$4:$B$60,2,FALSE),0),0)</f>
        <v>0</v>
      </c>
      <c r="AO11">
        <f>IFERROR(ROUND(L11*(K11/$AU11)/VLOOKUP("交易",商品!$A$4:$B$60,2,FALSE),0),0)</f>
        <v>0</v>
      </c>
      <c r="AP11" t="str">
        <f>IFERROR(ROUND(S11*(N11/$AV11)/VLOOKUP(M11,职业!$A$4:$G$16,4,FALSE),0),"")</f>
        <v/>
      </c>
      <c r="AQ11" t="str">
        <f>IFERROR(ROUND(S11*(P11/$AV11)/VLOOKUP(O11,职业!$A$4:$G$16,4,FALSE),0),"")</f>
        <v/>
      </c>
      <c r="AR11" t="str">
        <f>IFERROR(ROUND(S11*(R11/$AV11)/VLOOKUP(Q11,职业!$A$4:$G$16,4,FALSE),0),"")</f>
        <v/>
      </c>
      <c r="AS11" t="str">
        <f>IFERROR(ROUND(X11*(U11/$AW11)/VLOOKUP(T11,商品!$A$4:$B$60,2,FALSE),0),"")</f>
        <v/>
      </c>
      <c r="AT11" t="str">
        <f>IFERROR(ROUND(X11*(W11/$AW11)/VLOOKUP(V11,商品!$A$4:$B$60,2,FALSE),0),"")</f>
        <v/>
      </c>
      <c r="AU11">
        <f t="shared" si="29"/>
        <v>0</v>
      </c>
      <c r="AV11">
        <f t="shared" si="30"/>
        <v>0</v>
      </c>
      <c r="AW11">
        <f t="shared" si="31"/>
        <v>0</v>
      </c>
    </row>
    <row r="12" spans="1:50" ht="19.95" customHeight="1" x14ac:dyDescent="0.25">
      <c r="A12" s="15" t="s">
        <v>475</v>
      </c>
      <c r="B12" s="2" t="s">
        <v>477</v>
      </c>
      <c r="C12" s="15">
        <v>2</v>
      </c>
      <c r="D12" s="23" t="s">
        <v>174</v>
      </c>
      <c r="E12" s="23" t="s">
        <v>175</v>
      </c>
      <c r="F12" s="2" t="s">
        <v>41</v>
      </c>
      <c r="G12" s="2">
        <v>10</v>
      </c>
      <c r="L12" s="16">
        <f>IFERROR(VLOOKUP($D12&amp;$C12,生产方式定位!$A$2:$E$38,2,FALSE)+VLOOKUP($E12&amp;$C12,生产方式定位!$F$3:$J$38,2,FALSE),0)</f>
        <v>50</v>
      </c>
      <c r="M12" s="2" t="s">
        <v>80</v>
      </c>
      <c r="N12" s="2">
        <v>-30</v>
      </c>
      <c r="O12" s="2" t="s">
        <v>73</v>
      </c>
      <c r="P12" s="2">
        <v>15</v>
      </c>
      <c r="S12" s="16">
        <f>IFERROR(VLOOKUP($D12&amp;$C12,生产方式定位!$A$2:$E$38,3,FALSE)+VLOOKUP($E12&amp;$C12,生产方式定位!$F$3:$J$38,3,FALSE),0)</f>
        <v>10</v>
      </c>
      <c r="T12" s="2" t="s">
        <v>23</v>
      </c>
      <c r="U12" s="2">
        <v>1</v>
      </c>
      <c r="X12" s="16">
        <f>IFERROR(VLOOKUP($D12&amp;$C12,生产方式定位!$A$2:$E$38,5,FALSE)+VLOOKUP($E12&amp;$C12,生产方式定位!$F$3:$J$38,5,FALSE),"错误")</f>
        <v>0</v>
      </c>
      <c r="Y12" s="26" t="str">
        <f t="shared" si="16"/>
        <v>工具*1</v>
      </c>
      <c r="Z12" s="36" t="str">
        <f t="shared" si="17"/>
        <v>劳工*-302,工程师*50</v>
      </c>
      <c r="AA12" s="36" t="str">
        <f t="shared" si="18"/>
        <v>食品*0</v>
      </c>
      <c r="AB12" s="27" t="str">
        <f t="shared" si="19"/>
        <v>-100%</v>
      </c>
      <c r="AC12" s="2">
        <f t="shared" si="20"/>
        <v>-60</v>
      </c>
      <c r="AD12" s="38">
        <f t="shared" si="21"/>
        <v>2</v>
      </c>
      <c r="AE12" t="str">
        <f t="shared" si="22"/>
        <v>工具*1</v>
      </c>
      <c r="AF12" t="str">
        <f t="shared" si="23"/>
        <v/>
      </c>
      <c r="AG12" t="str">
        <f t="shared" si="24"/>
        <v>劳工*-302</v>
      </c>
      <c r="AH12" t="str">
        <f t="shared" si="25"/>
        <v>工程师*50</v>
      </c>
      <c r="AI12" t="str">
        <f t="shared" si="26"/>
        <v/>
      </c>
      <c r="AJ12" t="str">
        <f t="shared" si="27"/>
        <v>食品*0</v>
      </c>
      <c r="AK12" t="str">
        <f t="shared" si="28"/>
        <v/>
      </c>
      <c r="AL12">
        <f>IFERROR(ROUND(L12*(G12/$AU12)/VLOOKUP(F12,商品!$A$4:$B$60,2,FALSE),0),"")</f>
        <v>1</v>
      </c>
      <c r="AM12" t="str">
        <f>IFERROR(ROUND(L12*(I12/$AU12)/VLOOKUP(H12,商品!$A$4:$B$60,2,FALSE),0),"")</f>
        <v/>
      </c>
      <c r="AN12">
        <f>IFERROR(ROUND(L12*(J12/$AU12)/VLOOKUP("运力",商品!$A$4:$B$60,2,FALSE),0),0)</f>
        <v>0</v>
      </c>
      <c r="AO12">
        <f>IFERROR(ROUND(L12*(K12/$AU12)/VLOOKUP("交易",商品!$A$4:$B$60,2,FALSE),0),0)</f>
        <v>0</v>
      </c>
      <c r="AP12">
        <f>IFERROR(ROUND(S12*(N12/$AV12)/VLOOKUP(M12,职业!$A$4:$G$16,4,FALSE),0),"")</f>
        <v>-302</v>
      </c>
      <c r="AQ12">
        <f>IFERROR(ROUND(S12*(P12/$AV12)/VLOOKUP(O12,职业!$A$4:$G$16,4,FALSE),0),"")</f>
        <v>50</v>
      </c>
      <c r="AR12" t="str">
        <f>IFERROR(ROUND(S12*(R12/$AV12)/VLOOKUP(Q12,职业!$A$4:$G$16,4,FALSE),0),"")</f>
        <v/>
      </c>
      <c r="AS12">
        <f>IFERROR(ROUND(X12*(U12/$AW12)/VLOOKUP(T12,商品!$A$4:$B$60,2,FALSE),0),"")</f>
        <v>0</v>
      </c>
      <c r="AT12" t="str">
        <f>IFERROR(ROUND(X12*(W12/$AW12)/VLOOKUP(V12,商品!$A$4:$B$60,2,FALSE),0),"")</f>
        <v/>
      </c>
      <c r="AU12">
        <f t="shared" si="29"/>
        <v>10</v>
      </c>
      <c r="AV12">
        <f t="shared" si="30"/>
        <v>45</v>
      </c>
      <c r="AW12">
        <f t="shared" si="31"/>
        <v>1</v>
      </c>
    </row>
    <row r="13" spans="1:50" ht="19.95" customHeight="1" x14ac:dyDescent="0.25">
      <c r="A13" s="15" t="s">
        <v>475</v>
      </c>
      <c r="B13" s="2" t="s">
        <v>478</v>
      </c>
      <c r="C13" s="15">
        <v>3</v>
      </c>
      <c r="D13" s="23" t="s">
        <v>174</v>
      </c>
      <c r="E13" s="23" t="s">
        <v>175</v>
      </c>
      <c r="F13" s="2" t="s">
        <v>19</v>
      </c>
      <c r="G13" s="2">
        <v>10</v>
      </c>
      <c r="L13" s="16">
        <f>IFERROR(VLOOKUP($D13&amp;$C13,生产方式定位!$A$2:$E$38,2,FALSE)+VLOOKUP($E13&amp;$C13,生产方式定位!$F$3:$J$38,2,FALSE),0)</f>
        <v>100</v>
      </c>
      <c r="M13" s="2" t="s">
        <v>80</v>
      </c>
      <c r="N13" s="2">
        <v>-30</v>
      </c>
      <c r="O13" s="2" t="s">
        <v>73</v>
      </c>
      <c r="P13" s="2">
        <v>15</v>
      </c>
      <c r="S13" s="16">
        <f>IFERROR(VLOOKUP($D13&amp;$C13,生产方式定位!$A$2:$E$38,3,FALSE)+VLOOKUP($E13&amp;$C13,生产方式定位!$F$3:$J$38,3,FALSE),0)</f>
        <v>20</v>
      </c>
      <c r="T13" s="2" t="s">
        <v>23</v>
      </c>
      <c r="U13" s="2">
        <v>1</v>
      </c>
      <c r="X13" s="16">
        <f>IFERROR(VLOOKUP($D13&amp;$C13,生产方式定位!$A$2:$E$38,5,FALSE)+VLOOKUP($E13&amp;$C13,生产方式定位!$F$3:$J$38,5,FALSE),"错误")</f>
        <v>0</v>
      </c>
      <c r="Y13" s="26" t="str">
        <f t="shared" si="16"/>
        <v>煤*3</v>
      </c>
      <c r="Z13" s="36" t="str">
        <f t="shared" si="17"/>
        <v>劳工*-603,工程师*101</v>
      </c>
      <c r="AA13" s="36" t="str">
        <f t="shared" si="18"/>
        <v>食品*0</v>
      </c>
      <c r="AB13" s="27" t="str">
        <f t="shared" si="19"/>
        <v>-100%</v>
      </c>
      <c r="AC13" s="2">
        <f t="shared" si="20"/>
        <v>-120</v>
      </c>
      <c r="AD13" s="38">
        <f t="shared" si="21"/>
        <v>3</v>
      </c>
      <c r="AE13" t="str">
        <f t="shared" si="22"/>
        <v>煤*3</v>
      </c>
      <c r="AF13" t="str">
        <f t="shared" si="23"/>
        <v/>
      </c>
      <c r="AG13" t="str">
        <f t="shared" si="24"/>
        <v>劳工*-603</v>
      </c>
      <c r="AH13" t="str">
        <f t="shared" si="25"/>
        <v>工程师*101</v>
      </c>
      <c r="AI13" t="str">
        <f t="shared" si="26"/>
        <v/>
      </c>
      <c r="AJ13" t="str">
        <f t="shared" si="27"/>
        <v>食品*0</v>
      </c>
      <c r="AK13" t="str">
        <f t="shared" si="28"/>
        <v/>
      </c>
      <c r="AL13">
        <f>IFERROR(ROUND(L13*(G13/$AU13)/VLOOKUP(F13,商品!$A$4:$B$60,2,FALSE),0),"")</f>
        <v>3</v>
      </c>
      <c r="AM13" t="str">
        <f>IFERROR(ROUND(L13*(I13/$AU13)/VLOOKUP(H13,商品!$A$4:$B$60,2,FALSE),0),"")</f>
        <v/>
      </c>
      <c r="AN13">
        <f>IFERROR(ROUND(L13*(J13/$AU13)/VLOOKUP("运力",商品!$A$4:$B$60,2,FALSE),0),0)</f>
        <v>0</v>
      </c>
      <c r="AO13">
        <f>IFERROR(ROUND(L13*(K13/$AU13)/VLOOKUP("交易",商品!$A$4:$B$60,2,FALSE),0),0)</f>
        <v>0</v>
      </c>
      <c r="AP13">
        <f>IFERROR(ROUND(S13*(N13/$AV13)/VLOOKUP(M13,职业!$A$4:$G$16,4,FALSE),0),"")</f>
        <v>-603</v>
      </c>
      <c r="AQ13">
        <f>IFERROR(ROUND(S13*(P13/$AV13)/VLOOKUP(O13,职业!$A$4:$G$16,4,FALSE),0),"")</f>
        <v>101</v>
      </c>
      <c r="AR13" t="str">
        <f>IFERROR(ROUND(S13*(R13/$AV13)/VLOOKUP(Q13,职业!$A$4:$G$16,4,FALSE),0),"")</f>
        <v/>
      </c>
      <c r="AS13">
        <f>IFERROR(ROUND(X13*(U13/$AW13)/VLOOKUP(T13,商品!$A$4:$B$60,2,FALSE),0),"")</f>
        <v>0</v>
      </c>
      <c r="AT13" t="str">
        <f>IFERROR(ROUND(X13*(W13/$AW13)/VLOOKUP(V13,商品!$A$4:$B$60,2,FALSE),0),"")</f>
        <v/>
      </c>
      <c r="AU13">
        <f t="shared" si="29"/>
        <v>10</v>
      </c>
      <c r="AV13">
        <f t="shared" si="30"/>
        <v>45</v>
      </c>
      <c r="AW13">
        <f t="shared" si="31"/>
        <v>1</v>
      </c>
    </row>
    <row r="14" spans="1:50" ht="19.95" customHeight="1" x14ac:dyDescent="0.25">
      <c r="A14" s="15" t="s">
        <v>475</v>
      </c>
      <c r="B14" s="2" t="s">
        <v>479</v>
      </c>
      <c r="C14" s="15">
        <v>4</v>
      </c>
      <c r="D14" s="23" t="s">
        <v>174</v>
      </c>
      <c r="E14" s="23" t="s">
        <v>175</v>
      </c>
      <c r="F14" s="2" t="s">
        <v>45</v>
      </c>
      <c r="G14" s="2">
        <v>5</v>
      </c>
      <c r="H14" s="2" t="s">
        <v>19</v>
      </c>
      <c r="I14" s="2">
        <v>10</v>
      </c>
      <c r="L14" s="16">
        <f>IFERROR(VLOOKUP($D14&amp;$C14,生产方式定位!$A$2:$E$38,2,FALSE)+VLOOKUP($E14&amp;$C14,生产方式定位!$F$3:$J$38,2,FALSE),0)</f>
        <v>150</v>
      </c>
      <c r="M14" s="2" t="s">
        <v>80</v>
      </c>
      <c r="N14" s="2">
        <v>-30</v>
      </c>
      <c r="O14" s="2" t="s">
        <v>73</v>
      </c>
      <c r="P14" s="2">
        <v>15</v>
      </c>
      <c r="S14" s="16">
        <f>IFERROR(VLOOKUP($D14&amp;$C14,生产方式定位!$A$2:$E$38,3,FALSE)+VLOOKUP($E14&amp;$C14,生产方式定位!$F$3:$J$38,3,FALSE),0)</f>
        <v>30</v>
      </c>
      <c r="T14" s="2" t="s">
        <v>23</v>
      </c>
      <c r="U14" s="2">
        <v>1</v>
      </c>
      <c r="X14" s="16">
        <f>IFERROR(VLOOKUP($D14&amp;$C14,生产方式定位!$A$2:$E$38,5,FALSE)+VLOOKUP($E14&amp;$C14,生产方式定位!$F$3:$J$38,5,FALSE),"错误")</f>
        <v>0</v>
      </c>
      <c r="Y14" s="26" t="str">
        <f t="shared" si="16"/>
        <v>科学引擎*1,煤*3</v>
      </c>
      <c r="Z14" s="36" t="str">
        <f t="shared" si="17"/>
        <v>劳工*-905,工程师*151</v>
      </c>
      <c r="AA14" s="36" t="str">
        <f t="shared" si="18"/>
        <v>食品*0</v>
      </c>
      <c r="AB14" s="27" t="str">
        <f t="shared" si="19"/>
        <v>-100%</v>
      </c>
      <c r="AC14" s="2">
        <f t="shared" si="20"/>
        <v>-180</v>
      </c>
      <c r="AD14" s="38">
        <f t="shared" si="21"/>
        <v>4</v>
      </c>
      <c r="AE14" t="str">
        <f t="shared" si="22"/>
        <v>科学引擎*1</v>
      </c>
      <c r="AF14" t="str">
        <f t="shared" si="23"/>
        <v>煤*3</v>
      </c>
      <c r="AG14" t="str">
        <f t="shared" si="24"/>
        <v>劳工*-905</v>
      </c>
      <c r="AH14" t="str">
        <f t="shared" si="25"/>
        <v>工程师*151</v>
      </c>
      <c r="AI14" t="str">
        <f t="shared" si="26"/>
        <v/>
      </c>
      <c r="AJ14" t="str">
        <f t="shared" si="27"/>
        <v>食品*0</v>
      </c>
      <c r="AK14" t="str">
        <f t="shared" si="28"/>
        <v/>
      </c>
      <c r="AL14">
        <f>IFERROR(ROUND(L14*(G14/$AU14)/VLOOKUP(F14,商品!$A$4:$B$60,2,FALSE),0),"")</f>
        <v>1</v>
      </c>
      <c r="AM14">
        <f>IFERROR(ROUND(L14*(I14/$AU14)/VLOOKUP(H14,商品!$A$4:$B$60,2,FALSE),0),"")</f>
        <v>3</v>
      </c>
      <c r="AN14">
        <f>IFERROR(ROUND(L14*(J14/$AU14)/VLOOKUP("运力",商品!$A$4:$B$60,2,FALSE),0),0)</f>
        <v>0</v>
      </c>
      <c r="AO14">
        <f>IFERROR(ROUND(L14*(K14/$AU14)/VLOOKUP("交易",商品!$A$4:$B$60,2,FALSE),0),0)</f>
        <v>0</v>
      </c>
      <c r="AP14">
        <f>IFERROR(ROUND(S14*(N14/$AV14)/VLOOKUP(M14,职业!$A$4:$G$16,4,FALSE),0),"")</f>
        <v>-905</v>
      </c>
      <c r="AQ14">
        <f>IFERROR(ROUND(S14*(P14/$AV14)/VLOOKUP(O14,职业!$A$4:$G$16,4,FALSE),0),"")</f>
        <v>151</v>
      </c>
      <c r="AR14" t="str">
        <f>IFERROR(ROUND(S14*(R14/$AV14)/VLOOKUP(Q14,职业!$A$4:$G$16,4,FALSE),0),"")</f>
        <v/>
      </c>
      <c r="AS14">
        <f>IFERROR(ROUND(X14*(U14/$AW14)/VLOOKUP(T14,商品!$A$4:$B$60,2,FALSE),0),"")</f>
        <v>0</v>
      </c>
      <c r="AT14" t="str">
        <f>IFERROR(ROUND(X14*(W14/$AW14)/VLOOKUP(V14,商品!$A$4:$B$60,2,FALSE),0),"")</f>
        <v/>
      </c>
      <c r="AU14">
        <f t="shared" si="29"/>
        <v>15</v>
      </c>
      <c r="AV14">
        <f t="shared" si="30"/>
        <v>45</v>
      </c>
      <c r="AW14">
        <f t="shared" si="31"/>
        <v>1</v>
      </c>
    </row>
    <row r="15" spans="1:50" ht="19.95" customHeight="1" x14ac:dyDescent="0.25">
      <c r="A15" s="15" t="s">
        <v>475</v>
      </c>
      <c r="B15" s="2" t="s">
        <v>480</v>
      </c>
      <c r="C15" s="15">
        <v>5</v>
      </c>
      <c r="D15" s="23" t="s">
        <v>174</v>
      </c>
      <c r="E15" s="23" t="s">
        <v>175</v>
      </c>
      <c r="F15" s="2" t="s">
        <v>46</v>
      </c>
      <c r="G15" s="2">
        <v>5</v>
      </c>
      <c r="H15" s="2" t="s">
        <v>20</v>
      </c>
      <c r="I15" s="2">
        <v>10</v>
      </c>
      <c r="L15" s="16">
        <f>IFERROR(VLOOKUP($D15&amp;$C15,生产方式定位!$A$2:$E$38,2,FALSE)+VLOOKUP($E15&amp;$C15,生产方式定位!$F$3:$J$38,2,FALSE),0)</f>
        <v>200</v>
      </c>
      <c r="M15" s="2" t="s">
        <v>80</v>
      </c>
      <c r="N15" s="2">
        <v>-30</v>
      </c>
      <c r="O15" s="2" t="s">
        <v>73</v>
      </c>
      <c r="P15" s="2">
        <v>15</v>
      </c>
      <c r="S15" s="16">
        <f>IFERROR(VLOOKUP($D15&amp;$C15,生产方式定位!$A$2:$E$38,3,FALSE)+VLOOKUP($E15&amp;$C15,生产方式定位!$F$3:$J$38,3,FALSE),0)</f>
        <v>40</v>
      </c>
      <c r="T15" s="2" t="s">
        <v>23</v>
      </c>
      <c r="U15" s="2">
        <v>1</v>
      </c>
      <c r="X15" s="16">
        <f>IFERROR(VLOOKUP($D15&amp;$C15,生产方式定位!$A$2:$E$38,5,FALSE)+VLOOKUP($E15&amp;$C15,生产方式定位!$F$3:$J$38,5,FALSE),"错误")</f>
        <v>0</v>
      </c>
      <c r="Y15" s="26" t="str">
        <f t="shared" si="16"/>
        <v>魔导引擎*1,灵能水晶*4</v>
      </c>
      <c r="Z15" s="36" t="str">
        <f t="shared" si="17"/>
        <v>劳工*-1207,工程师*201</v>
      </c>
      <c r="AA15" s="36" t="str">
        <f t="shared" si="18"/>
        <v>食品*0</v>
      </c>
      <c r="AB15" s="27" t="str">
        <f t="shared" si="19"/>
        <v>-100%</v>
      </c>
      <c r="AC15" s="2">
        <f t="shared" si="20"/>
        <v>-240</v>
      </c>
      <c r="AD15" s="38">
        <f t="shared" si="21"/>
        <v>5</v>
      </c>
      <c r="AE15" t="str">
        <f t="shared" si="22"/>
        <v>魔导引擎*1</v>
      </c>
      <c r="AF15" t="str">
        <f t="shared" si="23"/>
        <v>灵能水晶*4</v>
      </c>
      <c r="AG15" t="str">
        <f t="shared" si="24"/>
        <v>劳工*-1207</v>
      </c>
      <c r="AH15" t="str">
        <f t="shared" si="25"/>
        <v>工程师*201</v>
      </c>
      <c r="AI15" t="str">
        <f t="shared" si="26"/>
        <v/>
      </c>
      <c r="AJ15" t="str">
        <f t="shared" si="27"/>
        <v>食品*0</v>
      </c>
      <c r="AK15" t="str">
        <f t="shared" si="28"/>
        <v/>
      </c>
      <c r="AL15">
        <f>IFERROR(ROUND(L15*(G15/$AU15)/VLOOKUP(F15,商品!$A$4:$B$60,2,FALSE),0),"")</f>
        <v>1</v>
      </c>
      <c r="AM15">
        <f>IFERROR(ROUND(L15*(I15/$AU15)/VLOOKUP(H15,商品!$A$4:$B$60,2,FALSE),0),"")</f>
        <v>4</v>
      </c>
      <c r="AN15">
        <f>IFERROR(ROUND(L15*(J15/$AU15)/VLOOKUP("运力",商品!$A$4:$B$60,2,FALSE),0),0)</f>
        <v>0</v>
      </c>
      <c r="AO15">
        <f>IFERROR(ROUND(L15*(K15/$AU15)/VLOOKUP("交易",商品!$A$4:$B$60,2,FALSE),0),0)</f>
        <v>0</v>
      </c>
      <c r="AP15">
        <f>IFERROR(ROUND(S15*(N15/$AV15)/VLOOKUP(M15,职业!$A$4:$G$16,4,FALSE),0),"")</f>
        <v>-1207</v>
      </c>
      <c r="AQ15">
        <f>IFERROR(ROUND(S15*(P15/$AV15)/VLOOKUP(O15,职业!$A$4:$G$16,4,FALSE),0),"")</f>
        <v>201</v>
      </c>
      <c r="AR15" t="str">
        <f>IFERROR(ROUND(S15*(R15/$AV15)/VLOOKUP(Q15,职业!$A$4:$G$16,4,FALSE),0),"")</f>
        <v/>
      </c>
      <c r="AS15">
        <f>IFERROR(ROUND(X15*(U15/$AW15)/VLOOKUP(T15,商品!$A$4:$B$60,2,FALSE),0),"")</f>
        <v>0</v>
      </c>
      <c r="AT15" t="str">
        <f>IFERROR(ROUND(X15*(W15/$AW15)/VLOOKUP(V15,商品!$A$4:$B$60,2,FALSE),0),"")</f>
        <v/>
      </c>
      <c r="AU15">
        <f t="shared" si="29"/>
        <v>15</v>
      </c>
      <c r="AV15">
        <f t="shared" si="30"/>
        <v>45</v>
      </c>
      <c r="AW15">
        <f t="shared" si="31"/>
        <v>1</v>
      </c>
    </row>
    <row r="16" spans="1:50" ht="19.95" customHeight="1" x14ac:dyDescent="0.25">
      <c r="A16" s="16" t="s">
        <v>475</v>
      </c>
      <c r="B16" s="2" t="s">
        <v>476</v>
      </c>
      <c r="C16" s="16">
        <v>1</v>
      </c>
      <c r="D16" s="23" t="s">
        <v>174</v>
      </c>
      <c r="E16" s="23" t="s">
        <v>177</v>
      </c>
      <c r="L16" s="15">
        <f>IFERROR(VLOOKUP($D16&amp;$C16,生产方式定位!$A$2:$E$38,2,FALSE)+VLOOKUP($E16&amp;$C16,生产方式定位!$F$3:$J$38,2,FALSE),0)</f>
        <v>0</v>
      </c>
      <c r="S16" s="15">
        <f>IFERROR(VLOOKUP($D16&amp;$C16,生产方式定位!$A$2:$E$38,3,FALSE)+VLOOKUP($E16&amp;$C16,生产方式定位!$F$3:$J$38,3,FALSE),0)</f>
        <v>0</v>
      </c>
      <c r="X16" s="15">
        <f>IFERROR(VLOOKUP($D16&amp;$C16,生产方式定位!$A$2:$E$38,5,FALSE)+VLOOKUP($E16&amp;$C16,生产方式定位!$F$3:$J$38,5,FALSE),"错误")</f>
        <v>0</v>
      </c>
      <c r="Y16" s="26" t="str">
        <f t="shared" si="16"/>
        <v/>
      </c>
      <c r="Z16" s="36" t="str">
        <f t="shared" si="17"/>
        <v/>
      </c>
      <c r="AA16" s="36" t="str">
        <f t="shared" si="18"/>
        <v/>
      </c>
      <c r="AB16" s="27" t="str">
        <f t="shared" si="19"/>
        <v/>
      </c>
      <c r="AC16" s="2" t="str">
        <f t="shared" si="20"/>
        <v/>
      </c>
      <c r="AD16" s="37">
        <f t="shared" si="21"/>
        <v>1</v>
      </c>
      <c r="AE16" t="str">
        <f t="shared" si="22"/>
        <v/>
      </c>
      <c r="AF16" t="str">
        <f t="shared" si="23"/>
        <v/>
      </c>
      <c r="AG16" t="str">
        <f t="shared" si="24"/>
        <v/>
      </c>
      <c r="AH16" t="str">
        <f t="shared" si="25"/>
        <v/>
      </c>
      <c r="AI16" t="str">
        <f t="shared" si="26"/>
        <v/>
      </c>
      <c r="AJ16" t="str">
        <f t="shared" si="27"/>
        <v/>
      </c>
      <c r="AK16" t="str">
        <f t="shared" si="28"/>
        <v/>
      </c>
      <c r="AL16" t="str">
        <f>IFERROR(ROUND(L16*(G16/$AU16)/VLOOKUP(F16,商品!$A$4:$B$60,2,FALSE),0),"")</f>
        <v/>
      </c>
      <c r="AM16" t="str">
        <f>IFERROR(ROUND(L16*(I16/$AU16)/VLOOKUP(H16,商品!$A$4:$B$60,2,FALSE),0),"")</f>
        <v/>
      </c>
      <c r="AN16">
        <f>IFERROR(ROUND(L16*(J16/$AU16)/VLOOKUP("运力",商品!$A$4:$B$60,2,FALSE),0),0)</f>
        <v>0</v>
      </c>
      <c r="AO16">
        <f>IFERROR(ROUND(L16*(K16/$AU16)/VLOOKUP("交易",商品!$A$4:$B$60,2,FALSE),0),0)</f>
        <v>0</v>
      </c>
      <c r="AP16" t="str">
        <f>IFERROR(ROUND(S16*(N16/$AV16)/VLOOKUP(M16,职业!$A$4:$G$16,4,FALSE),0),"")</f>
        <v/>
      </c>
      <c r="AQ16" t="str">
        <f>IFERROR(ROUND(S16*(P16/$AV16)/VLOOKUP(O16,职业!$A$4:$G$16,4,FALSE),0),"")</f>
        <v/>
      </c>
      <c r="AR16" t="str">
        <f>IFERROR(ROUND(S16*(R16/$AV16)/VLOOKUP(Q16,职业!$A$4:$G$16,4,FALSE),0),"")</f>
        <v/>
      </c>
      <c r="AS16" t="str">
        <f>IFERROR(ROUND(X16*(U16/$AW16)/VLOOKUP(T16,商品!$A$4:$B$60,2,FALSE),0),"")</f>
        <v/>
      </c>
      <c r="AT16" t="str">
        <f>IFERROR(ROUND(X16*(W16/$AW16)/VLOOKUP(V16,商品!$A$4:$B$60,2,FALSE),0),"")</f>
        <v/>
      </c>
      <c r="AU16">
        <f t="shared" si="29"/>
        <v>0</v>
      </c>
      <c r="AV16">
        <f t="shared" si="30"/>
        <v>0</v>
      </c>
      <c r="AW16">
        <f t="shared" si="31"/>
        <v>0</v>
      </c>
    </row>
    <row r="17" spans="1:49" ht="19.95" customHeight="1" x14ac:dyDescent="0.25">
      <c r="A17" s="16" t="s">
        <v>475</v>
      </c>
      <c r="B17" s="2" t="s">
        <v>481</v>
      </c>
      <c r="C17" s="16">
        <v>2</v>
      </c>
      <c r="D17" s="23" t="s">
        <v>174</v>
      </c>
      <c r="E17" s="23" t="s">
        <v>177</v>
      </c>
      <c r="F17" s="2" t="s">
        <v>42</v>
      </c>
      <c r="G17" s="2">
        <v>5</v>
      </c>
      <c r="H17" s="2" t="s">
        <v>20</v>
      </c>
      <c r="I17" s="2">
        <v>10</v>
      </c>
      <c r="L17" s="15">
        <f>IFERROR(VLOOKUP($D17&amp;$C17,生产方式定位!$A$2:$E$38,2,FALSE)+VLOOKUP($E17&amp;$C17,生产方式定位!$F$3:$J$38,2,FALSE),0)</f>
        <v>105</v>
      </c>
      <c r="M17" s="2" t="s">
        <v>80</v>
      </c>
      <c r="N17" s="2">
        <v>-30</v>
      </c>
      <c r="O17" s="2" t="s">
        <v>74</v>
      </c>
      <c r="P17" s="2">
        <v>5</v>
      </c>
      <c r="S17" s="15">
        <f>IFERROR(VLOOKUP($D17&amp;$C17,生产方式定位!$A$2:$E$38,3,FALSE)+VLOOKUP($E17&amp;$C17,生产方式定位!$F$3:$J$38,3,FALSE),0)</f>
        <v>15</v>
      </c>
      <c r="T17" s="2" t="s">
        <v>23</v>
      </c>
      <c r="U17" s="2">
        <v>1</v>
      </c>
      <c r="X17" s="15">
        <f>IFERROR(VLOOKUP($D17&amp;$C17,生产方式定位!$A$2:$E$38,5,FALSE)+VLOOKUP($E17&amp;$C17,生产方式定位!$F$3:$J$38,5,FALSE),"错误")</f>
        <v>0</v>
      </c>
      <c r="Y17" s="26" t="str">
        <f t="shared" si="16"/>
        <v>魔偶*1,灵能水晶*2</v>
      </c>
      <c r="Z17" s="36" t="str">
        <f t="shared" si="17"/>
        <v>劳工*-582,法士*24</v>
      </c>
      <c r="AA17" s="36" t="str">
        <f t="shared" si="18"/>
        <v>食品*0</v>
      </c>
      <c r="AB17" s="27" t="str">
        <f t="shared" si="19"/>
        <v>-100%</v>
      </c>
      <c r="AC17" s="2">
        <f t="shared" si="20"/>
        <v>-120</v>
      </c>
      <c r="AD17" s="37">
        <f t="shared" si="21"/>
        <v>2</v>
      </c>
      <c r="AE17" t="str">
        <f t="shared" si="22"/>
        <v>魔偶*1</v>
      </c>
      <c r="AF17" t="str">
        <f t="shared" si="23"/>
        <v>灵能水晶*2</v>
      </c>
      <c r="AG17" t="str">
        <f t="shared" si="24"/>
        <v>劳工*-582</v>
      </c>
      <c r="AH17" t="str">
        <f t="shared" si="25"/>
        <v>法士*24</v>
      </c>
      <c r="AI17" t="str">
        <f t="shared" si="26"/>
        <v/>
      </c>
      <c r="AJ17" t="str">
        <f t="shared" si="27"/>
        <v>食品*0</v>
      </c>
      <c r="AK17" t="str">
        <f t="shared" si="28"/>
        <v/>
      </c>
      <c r="AL17">
        <f>IFERROR(ROUND(L17*(G17/$AU17)/VLOOKUP(F17,商品!$A$4:$B$60,2,FALSE),0),"")</f>
        <v>1</v>
      </c>
      <c r="AM17">
        <f>IFERROR(ROUND(L17*(I17/$AU17)/VLOOKUP(H17,商品!$A$4:$B$60,2,FALSE),0),"")</f>
        <v>2</v>
      </c>
      <c r="AN17">
        <f>IFERROR(ROUND(L17*(J17/$AU17)/VLOOKUP("运力",商品!$A$4:$B$60,2,FALSE),0),0)</f>
        <v>0</v>
      </c>
      <c r="AO17">
        <f>IFERROR(ROUND(L17*(K17/$AU17)/VLOOKUP("交易",商品!$A$4:$B$60,2,FALSE),0),0)</f>
        <v>0</v>
      </c>
      <c r="AP17">
        <f>IFERROR(ROUND(S17*(N17/$AV17)/VLOOKUP(M17,职业!$A$4:$G$16,4,FALSE),0),"")</f>
        <v>-582</v>
      </c>
      <c r="AQ17">
        <f>IFERROR(ROUND(S17*(P17/$AV17)/VLOOKUP(O17,职业!$A$4:$G$16,4,FALSE),0),"")</f>
        <v>24</v>
      </c>
      <c r="AR17" t="str">
        <f>IFERROR(ROUND(S17*(R17/$AV17)/VLOOKUP(Q17,职业!$A$4:$G$16,4,FALSE),0),"")</f>
        <v/>
      </c>
      <c r="AS17">
        <f>IFERROR(ROUND(X17*(U17/$AW17)/VLOOKUP(T17,商品!$A$4:$B$60,2,FALSE),0),"")</f>
        <v>0</v>
      </c>
      <c r="AT17" t="str">
        <f>IFERROR(ROUND(X17*(W17/$AW17)/VLOOKUP(V17,商品!$A$4:$B$60,2,FALSE),0),"")</f>
        <v/>
      </c>
      <c r="AU17">
        <f t="shared" si="29"/>
        <v>15</v>
      </c>
      <c r="AV17">
        <f t="shared" si="30"/>
        <v>35</v>
      </c>
      <c r="AW17">
        <f t="shared" si="31"/>
        <v>1</v>
      </c>
    </row>
    <row r="18" spans="1:49" ht="19.95" customHeight="1" x14ac:dyDescent="0.25">
      <c r="A18" s="16" t="s">
        <v>475</v>
      </c>
      <c r="B18" s="2" t="s">
        <v>482</v>
      </c>
      <c r="C18" s="16">
        <v>3</v>
      </c>
      <c r="D18" s="23" t="s">
        <v>174</v>
      </c>
      <c r="E18" s="23" t="s">
        <v>177</v>
      </c>
      <c r="F18" s="2" t="s">
        <v>42</v>
      </c>
      <c r="G18" s="2">
        <v>5</v>
      </c>
      <c r="H18" s="2" t="s">
        <v>20</v>
      </c>
      <c r="I18" s="2">
        <v>10</v>
      </c>
      <c r="L18" s="15">
        <f>IFERROR(VLOOKUP($D18&amp;$C18,生产方式定位!$A$2:$E$38,2,FALSE)+VLOOKUP($E18&amp;$C18,生产方式定位!$F$3:$J$38,2,FALSE),0)</f>
        <v>210</v>
      </c>
      <c r="M18" s="2" t="s">
        <v>80</v>
      </c>
      <c r="N18" s="2">
        <v>-30</v>
      </c>
      <c r="O18" s="2" t="s">
        <v>74</v>
      </c>
      <c r="P18" s="2">
        <v>6</v>
      </c>
      <c r="S18" s="15">
        <f>IFERROR(VLOOKUP($D18&amp;$C18,生产方式定位!$A$2:$E$38,3,FALSE)+VLOOKUP($E18&amp;$C18,生产方式定位!$F$3:$J$38,3,FALSE),0)</f>
        <v>30</v>
      </c>
      <c r="T18" s="2" t="s">
        <v>23</v>
      </c>
      <c r="U18" s="2">
        <v>1</v>
      </c>
      <c r="X18" s="15">
        <f>IFERROR(VLOOKUP($D18&amp;$C18,生产方式定位!$A$2:$E$38,5,FALSE)+VLOOKUP($E18&amp;$C18,生产方式定位!$F$3:$J$38,5,FALSE),"错误")</f>
        <v>0</v>
      </c>
      <c r="Y18" s="26" t="str">
        <f t="shared" si="16"/>
        <v>魔偶*2,灵能水晶*5</v>
      </c>
      <c r="Z18" s="36" t="str">
        <f t="shared" si="17"/>
        <v>劳工*-1131,法士*57</v>
      </c>
      <c r="AA18" s="36" t="str">
        <f t="shared" si="18"/>
        <v>食品*0</v>
      </c>
      <c r="AB18" s="27" t="str">
        <f t="shared" si="19"/>
        <v>-100%</v>
      </c>
      <c r="AC18" s="2">
        <f t="shared" si="20"/>
        <v>-240</v>
      </c>
      <c r="AD18" s="37">
        <f t="shared" si="21"/>
        <v>3</v>
      </c>
      <c r="AE18" t="str">
        <f t="shared" si="22"/>
        <v>魔偶*2</v>
      </c>
      <c r="AF18" t="str">
        <f t="shared" si="23"/>
        <v>灵能水晶*5</v>
      </c>
      <c r="AG18" t="str">
        <f t="shared" si="24"/>
        <v>劳工*-1131</v>
      </c>
      <c r="AH18" t="str">
        <f t="shared" si="25"/>
        <v>法士*57</v>
      </c>
      <c r="AI18" t="str">
        <f t="shared" si="26"/>
        <v/>
      </c>
      <c r="AJ18" t="str">
        <f t="shared" si="27"/>
        <v>食品*0</v>
      </c>
      <c r="AK18" t="str">
        <f t="shared" si="28"/>
        <v/>
      </c>
      <c r="AL18">
        <f>IFERROR(ROUND(L18*(G18/$AU18)/VLOOKUP(F18,商品!$A$4:$B$60,2,FALSE),0),"")</f>
        <v>2</v>
      </c>
      <c r="AM18">
        <f>IFERROR(ROUND(L18*(I18/$AU18)/VLOOKUP(H18,商品!$A$4:$B$60,2,FALSE),0),"")</f>
        <v>5</v>
      </c>
      <c r="AN18">
        <f>IFERROR(ROUND(L18*(J18/$AU18)/VLOOKUP("运力",商品!$A$4:$B$60,2,FALSE),0),0)</f>
        <v>0</v>
      </c>
      <c r="AO18">
        <f>IFERROR(ROUND(L18*(K18/$AU18)/VLOOKUP("交易",商品!$A$4:$B$60,2,FALSE),0),0)</f>
        <v>0</v>
      </c>
      <c r="AP18">
        <f>IFERROR(ROUND(S18*(N18/$AV18)/VLOOKUP(M18,职业!$A$4:$G$16,4,FALSE),0),"")</f>
        <v>-1131</v>
      </c>
      <c r="AQ18">
        <f>IFERROR(ROUND(S18*(P18/$AV18)/VLOOKUP(O18,职业!$A$4:$G$16,4,FALSE),0),"")</f>
        <v>57</v>
      </c>
      <c r="AR18" t="str">
        <f>IFERROR(ROUND(S18*(R18/$AV18)/VLOOKUP(Q18,职业!$A$4:$G$16,4,FALSE),0),"")</f>
        <v/>
      </c>
      <c r="AS18">
        <f>IFERROR(ROUND(X18*(U18/$AW18)/VLOOKUP(T18,商品!$A$4:$B$60,2,FALSE),0),"")</f>
        <v>0</v>
      </c>
      <c r="AT18" t="str">
        <f>IFERROR(ROUND(X18*(W18/$AW18)/VLOOKUP(V18,商品!$A$4:$B$60,2,FALSE),0),"")</f>
        <v/>
      </c>
      <c r="AU18">
        <f t="shared" si="29"/>
        <v>15</v>
      </c>
      <c r="AV18">
        <f t="shared" si="30"/>
        <v>36</v>
      </c>
      <c r="AW18">
        <f t="shared" si="31"/>
        <v>1</v>
      </c>
    </row>
    <row r="19" spans="1:49" ht="19.95" customHeight="1" x14ac:dyDescent="0.25">
      <c r="A19" s="16" t="s">
        <v>475</v>
      </c>
      <c r="B19" s="2" t="s">
        <v>483</v>
      </c>
      <c r="C19" s="16">
        <v>4</v>
      </c>
      <c r="D19" s="23" t="s">
        <v>174</v>
      </c>
      <c r="E19" s="23" t="s">
        <v>177</v>
      </c>
      <c r="F19" s="2" t="s">
        <v>42</v>
      </c>
      <c r="G19" s="2">
        <v>5</v>
      </c>
      <c r="H19" s="2" t="s">
        <v>20</v>
      </c>
      <c r="I19" s="2">
        <v>10</v>
      </c>
      <c r="L19" s="15">
        <f>IFERROR(VLOOKUP($D19&amp;$C19,生产方式定位!$A$2:$E$38,2,FALSE)+VLOOKUP($E19&amp;$C19,生产方式定位!$F$3:$J$38,2,FALSE),0)</f>
        <v>315</v>
      </c>
      <c r="M19" s="2" t="s">
        <v>80</v>
      </c>
      <c r="N19" s="2">
        <v>-30</v>
      </c>
      <c r="O19" s="2" t="s">
        <v>74</v>
      </c>
      <c r="P19" s="2">
        <v>8</v>
      </c>
      <c r="S19" s="15">
        <f>IFERROR(VLOOKUP($D19&amp;$C19,生产方式定位!$A$2:$E$38,3,FALSE)+VLOOKUP($E19&amp;$C19,生产方式定位!$F$3:$J$38,3,FALSE),0)</f>
        <v>45</v>
      </c>
      <c r="T19" s="2" t="s">
        <v>23</v>
      </c>
      <c r="U19" s="2">
        <v>1</v>
      </c>
      <c r="X19" s="15">
        <f>IFERROR(VLOOKUP($D19&amp;$C19,生产方式定位!$A$2:$E$38,5,FALSE)+VLOOKUP($E19&amp;$C19,生产方式定位!$F$3:$J$38,5,FALSE),"错误")</f>
        <v>0</v>
      </c>
      <c r="Y19" s="26" t="str">
        <f t="shared" si="16"/>
        <v>魔偶*3,灵能水晶*7</v>
      </c>
      <c r="Z19" s="36" t="str">
        <f t="shared" si="17"/>
        <v>劳工*-1608,法士*107</v>
      </c>
      <c r="AA19" s="36" t="str">
        <f t="shared" si="18"/>
        <v>食品*0</v>
      </c>
      <c r="AB19" s="27" t="str">
        <f t="shared" si="19"/>
        <v>-100%</v>
      </c>
      <c r="AC19" s="2">
        <f t="shared" si="20"/>
        <v>-360</v>
      </c>
      <c r="AD19" s="37">
        <f t="shared" si="21"/>
        <v>4</v>
      </c>
      <c r="AE19" t="str">
        <f t="shared" si="22"/>
        <v>魔偶*3</v>
      </c>
      <c r="AF19" t="str">
        <f t="shared" si="23"/>
        <v>灵能水晶*7</v>
      </c>
      <c r="AG19" t="str">
        <f t="shared" si="24"/>
        <v>劳工*-1608</v>
      </c>
      <c r="AH19" t="str">
        <f t="shared" si="25"/>
        <v>法士*107</v>
      </c>
      <c r="AI19" t="str">
        <f t="shared" si="26"/>
        <v/>
      </c>
      <c r="AJ19" t="str">
        <f t="shared" si="27"/>
        <v>食品*0</v>
      </c>
      <c r="AK19" t="str">
        <f t="shared" si="28"/>
        <v/>
      </c>
      <c r="AL19">
        <f>IFERROR(ROUND(L19*(G19/$AU19)/VLOOKUP(F19,商品!$A$4:$B$60,2,FALSE),0),"")</f>
        <v>3</v>
      </c>
      <c r="AM19">
        <f>IFERROR(ROUND(L19*(I19/$AU19)/VLOOKUP(H19,商品!$A$4:$B$60,2,FALSE),0),"")</f>
        <v>7</v>
      </c>
      <c r="AN19">
        <f>IFERROR(ROUND(L19*(J19/$AU19)/VLOOKUP("运力",商品!$A$4:$B$60,2,FALSE),0),0)</f>
        <v>0</v>
      </c>
      <c r="AO19">
        <f>IFERROR(ROUND(L19*(K19/$AU19)/VLOOKUP("交易",商品!$A$4:$B$60,2,FALSE),0),0)</f>
        <v>0</v>
      </c>
      <c r="AP19">
        <f>IFERROR(ROUND(S19*(N19/$AV19)/VLOOKUP(M19,职业!$A$4:$G$16,4,FALSE),0),"")</f>
        <v>-1608</v>
      </c>
      <c r="AQ19">
        <f>IFERROR(ROUND(S19*(P19/$AV19)/VLOOKUP(O19,职业!$A$4:$G$16,4,FALSE),0),"")</f>
        <v>107</v>
      </c>
      <c r="AR19" t="str">
        <f>IFERROR(ROUND(S19*(R19/$AV19)/VLOOKUP(Q19,职业!$A$4:$G$16,4,FALSE),0),"")</f>
        <v/>
      </c>
      <c r="AS19">
        <f>IFERROR(ROUND(X19*(U19/$AW19)/VLOOKUP(T19,商品!$A$4:$B$60,2,FALSE),0),"")</f>
        <v>0</v>
      </c>
      <c r="AT19" t="str">
        <f>IFERROR(ROUND(X19*(W19/$AW19)/VLOOKUP(V19,商品!$A$4:$B$60,2,FALSE),0),"")</f>
        <v/>
      </c>
      <c r="AU19">
        <f t="shared" si="29"/>
        <v>15</v>
      </c>
      <c r="AV19">
        <f t="shared" si="30"/>
        <v>38</v>
      </c>
      <c r="AW19">
        <f t="shared" si="31"/>
        <v>1</v>
      </c>
    </row>
    <row r="20" spans="1:49" ht="19.95" customHeight="1" x14ac:dyDescent="0.25">
      <c r="A20" s="16" t="s">
        <v>475</v>
      </c>
      <c r="B20" s="2" t="s">
        <v>484</v>
      </c>
      <c r="C20" s="16">
        <v>5</v>
      </c>
      <c r="D20" s="23" t="s">
        <v>174</v>
      </c>
      <c r="E20" s="23" t="s">
        <v>177</v>
      </c>
      <c r="F20" s="2" t="s">
        <v>42</v>
      </c>
      <c r="G20" s="2">
        <v>5</v>
      </c>
      <c r="H20" s="2" t="s">
        <v>20</v>
      </c>
      <c r="I20" s="2">
        <v>10</v>
      </c>
      <c r="L20" s="15">
        <f>IFERROR(VLOOKUP($D20&amp;$C20,生产方式定位!$A$2:$E$38,2,FALSE)+VLOOKUP($E20&amp;$C20,生产方式定位!$F$3:$J$38,2,FALSE),0)</f>
        <v>420</v>
      </c>
      <c r="M20" s="2" t="s">
        <v>80</v>
      </c>
      <c r="N20" s="2">
        <v>-30</v>
      </c>
      <c r="O20" s="2" t="s">
        <v>74</v>
      </c>
      <c r="P20" s="2">
        <v>9</v>
      </c>
      <c r="S20" s="15">
        <f>IFERROR(VLOOKUP($D20&amp;$C20,生产方式定位!$A$2:$E$38,3,FALSE)+VLOOKUP($E20&amp;$C20,生产方式定位!$F$3:$J$38,3,FALSE),0)</f>
        <v>60</v>
      </c>
      <c r="T20" s="2" t="s">
        <v>23</v>
      </c>
      <c r="U20" s="2">
        <v>1</v>
      </c>
      <c r="X20" s="15">
        <f>IFERROR(VLOOKUP($D20&amp;$C20,生产方式定位!$A$2:$E$38,5,FALSE)+VLOOKUP($E20&amp;$C20,生产方式定位!$F$3:$J$38,5,FALSE),"错误")</f>
        <v>0</v>
      </c>
      <c r="Y20" s="26" t="str">
        <f t="shared" si="16"/>
        <v>魔偶*4,灵能水晶*9</v>
      </c>
      <c r="Z20" s="36" t="str">
        <f t="shared" si="17"/>
        <v>劳工*-2088,法士*157</v>
      </c>
      <c r="AA20" s="36" t="str">
        <f t="shared" si="18"/>
        <v>食品*0</v>
      </c>
      <c r="AB20" s="27" t="str">
        <f t="shared" si="19"/>
        <v>-100%</v>
      </c>
      <c r="AC20" s="2">
        <f t="shared" si="20"/>
        <v>-480</v>
      </c>
      <c r="AD20" s="37">
        <f t="shared" si="21"/>
        <v>5</v>
      </c>
      <c r="AE20" t="str">
        <f t="shared" si="22"/>
        <v>魔偶*4</v>
      </c>
      <c r="AF20" t="str">
        <f t="shared" si="23"/>
        <v>灵能水晶*9</v>
      </c>
      <c r="AG20" t="str">
        <f t="shared" si="24"/>
        <v>劳工*-2088</v>
      </c>
      <c r="AH20" t="str">
        <f t="shared" si="25"/>
        <v>法士*157</v>
      </c>
      <c r="AI20" t="str">
        <f t="shared" si="26"/>
        <v/>
      </c>
      <c r="AJ20" t="str">
        <f t="shared" si="27"/>
        <v>食品*0</v>
      </c>
      <c r="AK20" t="str">
        <f t="shared" si="28"/>
        <v/>
      </c>
      <c r="AL20">
        <f>IFERROR(ROUND(L20*(G20/$AU20)/VLOOKUP(F20,商品!$A$4:$B$60,2,FALSE),0),"")</f>
        <v>4</v>
      </c>
      <c r="AM20">
        <f>IFERROR(ROUND(L20*(I20/$AU20)/VLOOKUP(H20,商品!$A$4:$B$60,2,FALSE),0),"")</f>
        <v>9</v>
      </c>
      <c r="AN20">
        <f>IFERROR(ROUND(L20*(J20/$AU20)/VLOOKUP("运力",商品!$A$4:$B$60,2,FALSE),0),0)</f>
        <v>0</v>
      </c>
      <c r="AO20">
        <f>IFERROR(ROUND(L20*(K20/$AU20)/VLOOKUP("交易",商品!$A$4:$B$60,2,FALSE),0),0)</f>
        <v>0</v>
      </c>
      <c r="AP20">
        <f>IFERROR(ROUND(S20*(N20/$AV20)/VLOOKUP(M20,职业!$A$4:$G$16,4,FALSE),0),"")</f>
        <v>-2088</v>
      </c>
      <c r="AQ20">
        <f>IFERROR(ROUND(S20*(P20/$AV20)/VLOOKUP(O20,职业!$A$4:$G$16,4,FALSE),0),"")</f>
        <v>157</v>
      </c>
      <c r="AR20" t="str">
        <f>IFERROR(ROUND(S20*(R20/$AV20)/VLOOKUP(Q20,职业!$A$4:$G$16,4,FALSE),0),"")</f>
        <v/>
      </c>
      <c r="AS20">
        <f>IFERROR(ROUND(X20*(U20/$AW20)/VLOOKUP(T20,商品!$A$4:$B$60,2,FALSE),0),"")</f>
        <v>0</v>
      </c>
      <c r="AT20" t="str">
        <f>IFERROR(ROUND(X20*(W20/$AW20)/VLOOKUP(V20,商品!$A$4:$B$60,2,FALSE),0),"")</f>
        <v/>
      </c>
      <c r="AU20">
        <f t="shared" si="29"/>
        <v>15</v>
      </c>
      <c r="AV20">
        <f t="shared" si="30"/>
        <v>39</v>
      </c>
      <c r="AW20">
        <f t="shared" si="31"/>
        <v>1</v>
      </c>
    </row>
    <row r="21" spans="1:49" ht="19.95" customHeight="1" x14ac:dyDescent="0.25">
      <c r="A21" s="15" t="s">
        <v>178</v>
      </c>
      <c r="B21" s="2" t="s">
        <v>485</v>
      </c>
      <c r="C21" s="15">
        <v>1</v>
      </c>
      <c r="D21" s="23" t="s">
        <v>174</v>
      </c>
      <c r="E21" s="23" t="s">
        <v>179</v>
      </c>
      <c r="L21" s="16">
        <f>IFERROR(VLOOKUP($D21&amp;$C21,生产方式定位!$A$2:$E$38,2,FALSE)+VLOOKUP($E21&amp;$C21,生产方式定位!$F$3:$J$38,2,FALSE),0)</f>
        <v>0</v>
      </c>
      <c r="S21" s="16">
        <f>IFERROR(VLOOKUP($D21&amp;$C21,生产方式定位!$A$2:$E$38,3,FALSE)+VLOOKUP($E21&amp;$C21,生产方式定位!$F$3:$J$38,3,FALSE),0)</f>
        <v>100</v>
      </c>
      <c r="X21" s="16">
        <f>IFERROR(VLOOKUP($D21&amp;$C21,生产方式定位!$A$2:$E$38,5,FALSE)+VLOOKUP($E21&amp;$C21,生产方式定位!$F$3:$J$38,5,FALSE),"错误")</f>
        <v>100</v>
      </c>
      <c r="Y21" s="26" t="str">
        <f t="shared" si="16"/>
        <v/>
      </c>
      <c r="Z21" s="36" t="str">
        <f t="shared" si="17"/>
        <v/>
      </c>
      <c r="AA21" s="36" t="str">
        <f t="shared" si="18"/>
        <v/>
      </c>
      <c r="AB21" s="27" t="str">
        <f t="shared" si="19"/>
        <v/>
      </c>
      <c r="AC21" s="2" t="str">
        <f t="shared" si="20"/>
        <v/>
      </c>
      <c r="AD21" s="38">
        <f t="shared" si="21"/>
        <v>1</v>
      </c>
      <c r="AE21" t="str">
        <f t="shared" si="22"/>
        <v/>
      </c>
      <c r="AF21" t="str">
        <f t="shared" si="23"/>
        <v/>
      </c>
      <c r="AG21" t="str">
        <f t="shared" si="24"/>
        <v/>
      </c>
      <c r="AH21" t="str">
        <f t="shared" si="25"/>
        <v/>
      </c>
      <c r="AI21" t="str">
        <f t="shared" si="26"/>
        <v/>
      </c>
      <c r="AJ21" t="str">
        <f t="shared" si="27"/>
        <v/>
      </c>
      <c r="AK21" t="str">
        <f t="shared" si="28"/>
        <v/>
      </c>
      <c r="AL21" t="str">
        <f>IFERROR(ROUND(L21*(G21/$AU21)/VLOOKUP(F21,商品!$A$4:$B$60,2,FALSE),0),"")</f>
        <v/>
      </c>
      <c r="AM21" t="str">
        <f>IFERROR(ROUND(L21*(I21/$AU21)/VLOOKUP(H21,商品!$A$4:$B$60,2,FALSE),0),"")</f>
        <v/>
      </c>
      <c r="AN21">
        <f>IFERROR(ROUND(L21*(J21/$AU21)/VLOOKUP("运力",商品!$A$4:$B$60,2,FALSE),0),0)</f>
        <v>0</v>
      </c>
      <c r="AO21">
        <f>IFERROR(ROUND(L21*(K21/$AU21)/VLOOKUP("交易",商品!$A$4:$B$60,2,FALSE),0),0)</f>
        <v>0</v>
      </c>
      <c r="AP21" t="str">
        <f>IFERROR(ROUND(S21*(N21/$AV21)/VLOOKUP(M21,职业!$A$4:$G$16,4,FALSE),0),"")</f>
        <v/>
      </c>
      <c r="AQ21" t="str">
        <f>IFERROR(ROUND(S21*(P21/$AV21)/VLOOKUP(O21,职业!$A$4:$G$16,4,FALSE),0),"")</f>
        <v/>
      </c>
      <c r="AR21" t="str">
        <f>IFERROR(ROUND(S21*(R21/$AV21)/VLOOKUP(Q21,职业!$A$4:$G$16,4,FALSE),0),"")</f>
        <v/>
      </c>
      <c r="AS21" t="str">
        <f>IFERROR(ROUND(X21*(U21/$AW21)/VLOOKUP(T21,商品!$A$4:$B$60,2,FALSE),0),"")</f>
        <v/>
      </c>
      <c r="AT21" t="str">
        <f>IFERROR(ROUND(X21*(W21/$AW21)/VLOOKUP(V21,商品!$A$4:$B$60,2,FALSE),0),"")</f>
        <v/>
      </c>
      <c r="AU21">
        <f t="shared" si="29"/>
        <v>0</v>
      </c>
      <c r="AV21">
        <f t="shared" si="30"/>
        <v>0</v>
      </c>
      <c r="AW21">
        <f t="shared" si="31"/>
        <v>0</v>
      </c>
    </row>
    <row r="22" spans="1:49" ht="19.95" customHeight="1" x14ac:dyDescent="0.25">
      <c r="A22" s="15" t="s">
        <v>178</v>
      </c>
      <c r="B22" s="2" t="s">
        <v>486</v>
      </c>
      <c r="C22" s="15">
        <v>2</v>
      </c>
      <c r="D22" s="23" t="s">
        <v>174</v>
      </c>
      <c r="E22" s="23" t="s">
        <v>179</v>
      </c>
      <c r="L22" s="16">
        <f>IFERROR(VLOOKUP($D22&amp;$C22,生产方式定位!$A$2:$E$38,2,FALSE)+VLOOKUP($E22&amp;$C22,生产方式定位!$F$3:$J$38,2,FALSE),0)</f>
        <v>0</v>
      </c>
      <c r="M22" s="2" t="s">
        <v>72</v>
      </c>
      <c r="N22" s="2">
        <v>1</v>
      </c>
      <c r="S22" s="16">
        <f>IFERROR(VLOOKUP($D22&amp;$C22,生产方式定位!$A$2:$E$38,3,FALSE)+VLOOKUP($E22&amp;$C22,生产方式定位!$F$3:$J$38,3,FALSE),0)</f>
        <v>100</v>
      </c>
      <c r="X22" s="16">
        <f>IFERROR(VLOOKUP($D22&amp;$C22,生产方式定位!$A$2:$E$38,5,FALSE)+VLOOKUP($E22&amp;$C22,生产方式定位!$F$3:$J$38,5,FALSE),"错误")</f>
        <v>100</v>
      </c>
      <c r="Y22" s="26" t="str">
        <f t="shared" si="16"/>
        <v/>
      </c>
      <c r="Z22" s="36" t="str">
        <f t="shared" si="17"/>
        <v>教士*1508</v>
      </c>
      <c r="AA22" s="36" t="str">
        <f t="shared" si="18"/>
        <v/>
      </c>
      <c r="AB22" s="27" t="str">
        <f t="shared" si="19"/>
        <v/>
      </c>
      <c r="AC22" s="2" t="str">
        <f t="shared" si="20"/>
        <v/>
      </c>
      <c r="AD22" s="38">
        <f t="shared" si="21"/>
        <v>2</v>
      </c>
      <c r="AE22" t="str">
        <f t="shared" si="22"/>
        <v/>
      </c>
      <c r="AF22" t="str">
        <f t="shared" si="23"/>
        <v/>
      </c>
      <c r="AG22" t="str">
        <f t="shared" si="24"/>
        <v>教士*1508</v>
      </c>
      <c r="AH22" t="str">
        <f t="shared" si="25"/>
        <v/>
      </c>
      <c r="AI22" t="str">
        <f t="shared" si="26"/>
        <v/>
      </c>
      <c r="AJ22" t="str">
        <f t="shared" si="27"/>
        <v/>
      </c>
      <c r="AK22" t="str">
        <f t="shared" si="28"/>
        <v/>
      </c>
      <c r="AL22" t="str">
        <f>IFERROR(ROUND(L22*(G22/$AU22)/VLOOKUP(F22,商品!$A$4:$B$60,2,FALSE),0),"")</f>
        <v/>
      </c>
      <c r="AM22" t="str">
        <f>IFERROR(ROUND(L22*(I22/$AU22)/VLOOKUP(H22,商品!$A$4:$B$60,2,FALSE),0),"")</f>
        <v/>
      </c>
      <c r="AN22">
        <f>IFERROR(ROUND(L22*(J22/$AU22)/VLOOKUP("运力",商品!$A$4:$B$60,2,FALSE),0),0)</f>
        <v>0</v>
      </c>
      <c r="AO22">
        <f>IFERROR(ROUND(L22*(K22/$AU22)/VLOOKUP("交易",商品!$A$4:$B$60,2,FALSE),0),0)</f>
        <v>0</v>
      </c>
      <c r="AP22">
        <f>IFERROR(ROUND(S22*(N22/$AV22)/VLOOKUP(M22,职业!$A$4:$G$16,4,FALSE),0),"")</f>
        <v>1508</v>
      </c>
      <c r="AQ22" t="str">
        <f>IFERROR(ROUND(S22*(P22/$AV22)/VLOOKUP(O22,职业!$A$4:$G$16,4,FALSE),0),"")</f>
        <v/>
      </c>
      <c r="AR22" t="str">
        <f>IFERROR(ROUND(S22*(R22/$AV22)/VLOOKUP(Q22,职业!$A$4:$G$16,4,FALSE),0),"")</f>
        <v/>
      </c>
      <c r="AS22" t="str">
        <f>IFERROR(ROUND(X22*(U22/$AW22)/VLOOKUP(T22,商品!$A$4:$B$60,2,FALSE),0),"")</f>
        <v/>
      </c>
      <c r="AT22" t="str">
        <f>IFERROR(ROUND(X22*(W22/$AW22)/VLOOKUP(V22,商品!$A$4:$B$60,2,FALSE),0),"")</f>
        <v/>
      </c>
      <c r="AU22">
        <f t="shared" si="29"/>
        <v>0</v>
      </c>
      <c r="AV22">
        <f t="shared" si="30"/>
        <v>1</v>
      </c>
      <c r="AW22">
        <f t="shared" si="31"/>
        <v>0</v>
      </c>
    </row>
    <row r="23" spans="1:49" ht="19.95" customHeight="1" x14ac:dyDescent="0.25">
      <c r="A23" s="15" t="s">
        <v>178</v>
      </c>
      <c r="B23" s="2" t="s">
        <v>487</v>
      </c>
      <c r="C23" s="15">
        <v>3</v>
      </c>
      <c r="D23" s="23" t="s">
        <v>174</v>
      </c>
      <c r="E23" s="23" t="s">
        <v>179</v>
      </c>
      <c r="L23" s="16">
        <f>IFERROR(VLOOKUP($D23&amp;$C23,生产方式定位!$A$2:$E$38,2,FALSE)+VLOOKUP($E23&amp;$C23,生产方式定位!$F$3:$J$38,2,FALSE),0)</f>
        <v>0</v>
      </c>
      <c r="M23" s="2" t="s">
        <v>69</v>
      </c>
      <c r="N23" s="2">
        <v>1</v>
      </c>
      <c r="S23" s="16">
        <f>IFERROR(VLOOKUP($D23&amp;$C23,生产方式定位!$A$2:$E$38,3,FALSE)+VLOOKUP($E23&amp;$C23,生产方式定位!$F$3:$J$38,3,FALSE),0)</f>
        <v>100</v>
      </c>
      <c r="X23" s="16">
        <f>IFERROR(VLOOKUP($D23&amp;$C23,生产方式定位!$A$2:$E$38,5,FALSE)+VLOOKUP($E23&amp;$C23,生产方式定位!$F$3:$J$38,5,FALSE),"错误")</f>
        <v>100</v>
      </c>
      <c r="Y23" s="26" t="str">
        <f t="shared" si="16"/>
        <v/>
      </c>
      <c r="Z23" s="36" t="str">
        <f t="shared" si="17"/>
        <v>资本家*251</v>
      </c>
      <c r="AA23" s="36" t="str">
        <f t="shared" si="18"/>
        <v/>
      </c>
      <c r="AB23" s="27" t="str">
        <f t="shared" si="19"/>
        <v/>
      </c>
      <c r="AC23" s="2" t="str">
        <f t="shared" si="20"/>
        <v/>
      </c>
      <c r="AD23" s="38">
        <f t="shared" si="21"/>
        <v>3</v>
      </c>
      <c r="AE23" t="str">
        <f t="shared" si="22"/>
        <v/>
      </c>
      <c r="AF23" t="str">
        <f t="shared" si="23"/>
        <v/>
      </c>
      <c r="AG23" t="str">
        <f t="shared" si="24"/>
        <v>资本家*251</v>
      </c>
      <c r="AH23" t="str">
        <f t="shared" si="25"/>
        <v/>
      </c>
      <c r="AI23" t="str">
        <f t="shared" si="26"/>
        <v/>
      </c>
      <c r="AJ23" t="str">
        <f t="shared" si="27"/>
        <v/>
      </c>
      <c r="AK23" t="str">
        <f t="shared" si="28"/>
        <v/>
      </c>
      <c r="AL23" t="str">
        <f>IFERROR(ROUND(L23*(G23/$AU23)/VLOOKUP(F23,商品!$A$4:$B$60,2,FALSE),0),"")</f>
        <v/>
      </c>
      <c r="AM23" t="str">
        <f>IFERROR(ROUND(L23*(I23/$AU23)/VLOOKUP(H23,商品!$A$4:$B$60,2,FALSE),0),"")</f>
        <v/>
      </c>
      <c r="AN23">
        <f>IFERROR(ROUND(L23*(J23/$AU23)/VLOOKUP("运力",商品!$A$4:$B$60,2,FALSE),0),0)</f>
        <v>0</v>
      </c>
      <c r="AO23">
        <f>IFERROR(ROUND(L23*(K23/$AU23)/VLOOKUP("交易",商品!$A$4:$B$60,2,FALSE),0),0)</f>
        <v>0</v>
      </c>
      <c r="AP23">
        <f>IFERROR(ROUND(S23*(N23/$AV23)/VLOOKUP(M23,职业!$A$4:$G$16,4,FALSE),0),"")</f>
        <v>251</v>
      </c>
      <c r="AQ23" t="str">
        <f>IFERROR(ROUND(S23*(P23/$AV23)/VLOOKUP(O23,职业!$A$4:$G$16,4,FALSE),0),"")</f>
        <v/>
      </c>
      <c r="AR23" t="str">
        <f>IFERROR(ROUND(S23*(R23/$AV23)/VLOOKUP(Q23,职业!$A$4:$G$16,4,FALSE),0),"")</f>
        <v/>
      </c>
      <c r="AS23" t="str">
        <f>IFERROR(ROUND(X23*(U23/$AW23)/VLOOKUP(T23,商品!$A$4:$B$60,2,FALSE),0),"")</f>
        <v/>
      </c>
      <c r="AT23" t="str">
        <f>IFERROR(ROUND(X23*(W23/$AW23)/VLOOKUP(V23,商品!$A$4:$B$60,2,FALSE),0),"")</f>
        <v/>
      </c>
      <c r="AU23">
        <f t="shared" si="29"/>
        <v>0</v>
      </c>
      <c r="AV23">
        <f t="shared" si="30"/>
        <v>1</v>
      </c>
      <c r="AW23">
        <f t="shared" si="31"/>
        <v>0</v>
      </c>
    </row>
    <row r="24" spans="1:49" ht="19.95" customHeight="1" x14ac:dyDescent="0.25">
      <c r="A24" s="15" t="s">
        <v>178</v>
      </c>
      <c r="B24" s="2" t="s">
        <v>488</v>
      </c>
      <c r="C24" s="15">
        <v>4</v>
      </c>
      <c r="D24" s="23" t="s">
        <v>174</v>
      </c>
      <c r="E24" s="23" t="s">
        <v>179</v>
      </c>
      <c r="L24" s="16">
        <f>IFERROR(VLOOKUP($D24&amp;$C24,生产方式定位!$A$2:$E$38,2,FALSE)+VLOOKUP($E24&amp;$C24,生产方式定位!$F$3:$J$38,2,FALSE),0)</f>
        <v>0</v>
      </c>
      <c r="M24" s="2" t="s">
        <v>69</v>
      </c>
      <c r="N24" s="2">
        <v>1</v>
      </c>
      <c r="S24" s="16">
        <f>IFERROR(VLOOKUP($D24&amp;$C24,生产方式定位!$A$2:$E$38,3,FALSE)+VLOOKUP($E24&amp;$C24,生产方式定位!$F$3:$J$38,3,FALSE),0)</f>
        <v>100</v>
      </c>
      <c r="X24" s="16">
        <f>IFERROR(VLOOKUP($D24&amp;$C24,生产方式定位!$A$2:$E$38,5,FALSE)+VLOOKUP($E24&amp;$C24,生产方式定位!$F$3:$J$38,5,FALSE),"错误")</f>
        <v>100</v>
      </c>
      <c r="Y24" s="26" t="str">
        <f t="shared" si="16"/>
        <v/>
      </c>
      <c r="Z24" s="36" t="str">
        <f t="shared" si="17"/>
        <v>资本家*251</v>
      </c>
      <c r="AA24" s="36" t="str">
        <f t="shared" si="18"/>
        <v/>
      </c>
      <c r="AB24" s="27" t="str">
        <f t="shared" si="19"/>
        <v/>
      </c>
      <c r="AC24" s="2" t="str">
        <f t="shared" si="20"/>
        <v/>
      </c>
      <c r="AD24" s="38">
        <f t="shared" si="21"/>
        <v>4</v>
      </c>
      <c r="AE24" t="str">
        <f t="shared" si="22"/>
        <v/>
      </c>
      <c r="AF24" t="str">
        <f t="shared" si="23"/>
        <v/>
      </c>
      <c r="AG24" t="str">
        <f t="shared" si="24"/>
        <v>资本家*251</v>
      </c>
      <c r="AH24" t="str">
        <f t="shared" si="25"/>
        <v/>
      </c>
      <c r="AI24" t="str">
        <f t="shared" si="26"/>
        <v/>
      </c>
      <c r="AJ24" t="str">
        <f t="shared" si="27"/>
        <v/>
      </c>
      <c r="AK24" t="str">
        <f t="shared" si="28"/>
        <v/>
      </c>
      <c r="AL24" t="str">
        <f>IFERROR(ROUND(L24*(G24/$AU24)/VLOOKUP(F24,商品!$A$4:$B$60,2,FALSE),0),"")</f>
        <v/>
      </c>
      <c r="AM24" t="str">
        <f>IFERROR(ROUND(L24*(I24/$AU24)/VLOOKUP(H24,商品!$A$4:$B$60,2,FALSE),0),"")</f>
        <v/>
      </c>
      <c r="AN24">
        <f>IFERROR(ROUND(L24*(J24/$AU24)/VLOOKUP("运力",商品!$A$4:$B$60,2,FALSE),0),0)</f>
        <v>0</v>
      </c>
      <c r="AO24">
        <f>IFERROR(ROUND(L24*(K24/$AU24)/VLOOKUP("交易",商品!$A$4:$B$60,2,FALSE),0),0)</f>
        <v>0</v>
      </c>
      <c r="AP24">
        <f>IFERROR(ROUND(S24*(N24/$AV24)/VLOOKUP(M24,职业!$A$4:$G$16,4,FALSE),0),"")</f>
        <v>251</v>
      </c>
      <c r="AQ24" t="str">
        <f>IFERROR(ROUND(S24*(P24/$AV24)/VLOOKUP(O24,职业!$A$4:$G$16,4,FALSE),0),"")</f>
        <v/>
      </c>
      <c r="AR24" t="str">
        <f>IFERROR(ROUND(S24*(R24/$AV24)/VLOOKUP(Q24,职业!$A$4:$G$16,4,FALSE),0),"")</f>
        <v/>
      </c>
      <c r="AS24" t="str">
        <f>IFERROR(ROUND(X24*(U24/$AW24)/VLOOKUP(T24,商品!$A$4:$B$60,2,FALSE),0),"")</f>
        <v/>
      </c>
      <c r="AT24" t="str">
        <f>IFERROR(ROUND(X24*(W24/$AW24)/VLOOKUP(V24,商品!$A$4:$B$60,2,FALSE),0),"")</f>
        <v/>
      </c>
      <c r="AU24">
        <f t="shared" si="29"/>
        <v>0</v>
      </c>
      <c r="AV24">
        <f t="shared" si="30"/>
        <v>1</v>
      </c>
      <c r="AW24">
        <f t="shared" si="31"/>
        <v>0</v>
      </c>
    </row>
    <row r="25" spans="1:49" ht="19.95" customHeight="1" x14ac:dyDescent="0.25">
      <c r="A25" s="15" t="s">
        <v>178</v>
      </c>
      <c r="B25" s="2" t="s">
        <v>489</v>
      </c>
      <c r="C25" s="15">
        <v>5</v>
      </c>
      <c r="D25" s="23" t="s">
        <v>174</v>
      </c>
      <c r="E25" s="23" t="s">
        <v>179</v>
      </c>
      <c r="L25" s="16">
        <f>IFERROR(VLOOKUP($D25&amp;$C25,生产方式定位!$A$2:$E$38,2,FALSE)+VLOOKUP($E25&amp;$C25,生产方式定位!$F$3:$J$38,2,FALSE),0)</f>
        <v>0</v>
      </c>
      <c r="M25" s="2" t="s">
        <v>70</v>
      </c>
      <c r="N25" s="2">
        <v>1</v>
      </c>
      <c r="S25" s="16">
        <f>IFERROR(VLOOKUP($D25&amp;$C25,生产方式定位!$A$2:$E$38,3,FALSE)+VLOOKUP($E25&amp;$C25,生产方式定位!$F$3:$J$38,3,FALSE),0)</f>
        <v>100</v>
      </c>
      <c r="X25" s="16">
        <f>IFERROR(VLOOKUP($D25&amp;$C25,生产方式定位!$A$2:$E$38,5,FALSE)+VLOOKUP($E25&amp;$C25,生产方式定位!$F$3:$J$38,5,FALSE),"错误")</f>
        <v>100</v>
      </c>
      <c r="Y25" s="26" t="str">
        <f t="shared" si="16"/>
        <v/>
      </c>
      <c r="Z25" s="36" t="str">
        <f t="shared" si="17"/>
        <v>官僚*1508</v>
      </c>
      <c r="AA25" s="36" t="str">
        <f t="shared" si="18"/>
        <v/>
      </c>
      <c r="AB25" s="27" t="str">
        <f t="shared" si="19"/>
        <v/>
      </c>
      <c r="AC25" s="2" t="str">
        <f t="shared" si="20"/>
        <v/>
      </c>
      <c r="AD25" s="38">
        <f t="shared" si="21"/>
        <v>5</v>
      </c>
      <c r="AE25" t="str">
        <f t="shared" si="22"/>
        <v/>
      </c>
      <c r="AF25" t="str">
        <f t="shared" si="23"/>
        <v/>
      </c>
      <c r="AG25" t="str">
        <f t="shared" si="24"/>
        <v>官僚*1508</v>
      </c>
      <c r="AH25" t="str">
        <f t="shared" si="25"/>
        <v/>
      </c>
      <c r="AI25" t="str">
        <f t="shared" si="26"/>
        <v/>
      </c>
      <c r="AJ25" t="str">
        <f t="shared" si="27"/>
        <v/>
      </c>
      <c r="AK25" t="str">
        <f t="shared" si="28"/>
        <v/>
      </c>
      <c r="AL25" t="str">
        <f>IFERROR(ROUND(L25*(G25/$AU25)/VLOOKUP(F25,商品!$A$4:$B$60,2,FALSE),0),"")</f>
        <v/>
      </c>
      <c r="AM25" t="str">
        <f>IFERROR(ROUND(L25*(I25/$AU25)/VLOOKUP(H25,商品!$A$4:$B$60,2,FALSE),0),"")</f>
        <v/>
      </c>
      <c r="AN25">
        <f>IFERROR(ROUND(L25*(J25/$AU25)/VLOOKUP("运力",商品!$A$4:$B$60,2,FALSE),0),0)</f>
        <v>0</v>
      </c>
      <c r="AO25">
        <f>IFERROR(ROUND(L25*(K25/$AU25)/VLOOKUP("交易",商品!$A$4:$B$60,2,FALSE),0),0)</f>
        <v>0</v>
      </c>
      <c r="AP25">
        <f>IFERROR(ROUND(S25*(N25/$AV25)/VLOOKUP(M25,职业!$A$4:$G$16,4,FALSE),0),"")</f>
        <v>1508</v>
      </c>
      <c r="AQ25" t="str">
        <f>IFERROR(ROUND(S25*(P25/$AV25)/VLOOKUP(O25,职业!$A$4:$G$16,4,FALSE),0),"")</f>
        <v/>
      </c>
      <c r="AR25" t="str">
        <f>IFERROR(ROUND(S25*(R25/$AV25)/VLOOKUP(Q25,职业!$A$4:$G$16,4,FALSE),0),"")</f>
        <v/>
      </c>
      <c r="AS25" t="str">
        <f>IFERROR(ROUND(X25*(U25/$AW25)/VLOOKUP(T25,商品!$A$4:$B$60,2,FALSE),0),"")</f>
        <v/>
      </c>
      <c r="AT25" t="str">
        <f>IFERROR(ROUND(X25*(W25/$AW25)/VLOOKUP(V25,商品!$A$4:$B$60,2,FALSE),0),"")</f>
        <v/>
      </c>
      <c r="AU25">
        <f t="shared" si="29"/>
        <v>0</v>
      </c>
      <c r="AV25">
        <f t="shared" si="30"/>
        <v>1</v>
      </c>
      <c r="AW25">
        <f t="shared" si="31"/>
        <v>0</v>
      </c>
    </row>
    <row r="26" spans="1:49" ht="19.95" customHeight="1" x14ac:dyDescent="0.25">
      <c r="A26" s="15" t="s">
        <v>178</v>
      </c>
      <c r="B26" s="2" t="s">
        <v>490</v>
      </c>
      <c r="C26" s="15">
        <v>6</v>
      </c>
      <c r="D26" s="23" t="s">
        <v>174</v>
      </c>
      <c r="E26" s="23" t="s">
        <v>179</v>
      </c>
      <c r="L26" s="16">
        <f>IFERROR(VLOOKUP($D26&amp;$C26,生产方式定位!$A$2:$E$38,2,FALSE)+VLOOKUP($E26&amp;$C26,生产方式定位!$F$3:$J$38,2,FALSE),0)</f>
        <v>0</v>
      </c>
      <c r="M26" s="2" t="s">
        <v>80</v>
      </c>
      <c r="N26" s="2">
        <v>1</v>
      </c>
      <c r="O26" s="2" t="s">
        <v>73</v>
      </c>
      <c r="P26" s="2">
        <v>1</v>
      </c>
      <c r="S26" s="16">
        <f>IFERROR(VLOOKUP($D26&amp;$C26,生产方式定位!$A$2:$E$38,3,FALSE)+VLOOKUP($E26&amp;$C26,生产方式定位!$F$3:$J$38,3,FALSE),0)</f>
        <v>100</v>
      </c>
      <c r="X26" s="16">
        <f>IFERROR(VLOOKUP($D26&amp;$C26,生产方式定位!$A$2:$E$38,5,FALSE)+VLOOKUP($E26&amp;$C26,生产方式定位!$F$3:$J$38,5,FALSE),"错误")</f>
        <v>100</v>
      </c>
      <c r="Y26" s="26" t="str">
        <f t="shared" si="16"/>
        <v/>
      </c>
      <c r="Z26" s="36" t="str">
        <f t="shared" si="17"/>
        <v>劳工*2262,工程师*754</v>
      </c>
      <c r="AA26" s="36" t="str">
        <f t="shared" si="18"/>
        <v/>
      </c>
      <c r="AB26" s="27" t="str">
        <f t="shared" si="19"/>
        <v/>
      </c>
      <c r="AC26" s="2" t="str">
        <f t="shared" si="20"/>
        <v/>
      </c>
      <c r="AD26" s="37">
        <f t="shared" si="21"/>
        <v>6</v>
      </c>
      <c r="AE26" t="str">
        <f t="shared" si="22"/>
        <v/>
      </c>
      <c r="AF26" t="str">
        <f t="shared" si="23"/>
        <v/>
      </c>
      <c r="AG26" t="str">
        <f t="shared" si="24"/>
        <v>劳工*2262</v>
      </c>
      <c r="AH26" t="str">
        <f t="shared" si="25"/>
        <v>工程师*754</v>
      </c>
      <c r="AI26" t="str">
        <f t="shared" si="26"/>
        <v/>
      </c>
      <c r="AJ26" t="str">
        <f t="shared" si="27"/>
        <v/>
      </c>
      <c r="AK26" t="str">
        <f t="shared" si="28"/>
        <v/>
      </c>
      <c r="AL26" t="str">
        <f>IFERROR(ROUND(L26*(G26/$AU26)/VLOOKUP(F26,商品!$A$4:$B$60,2,FALSE),0),"")</f>
        <v/>
      </c>
      <c r="AM26" t="str">
        <f>IFERROR(ROUND(L26*(I26/$AU26)/VLOOKUP(H26,商品!$A$4:$B$60,2,FALSE),0),"")</f>
        <v/>
      </c>
      <c r="AN26">
        <f>IFERROR(ROUND(L26*(J26/$AU26)/VLOOKUP("运力",商品!$A$4:$B$60,2,FALSE),0),0)</f>
        <v>0</v>
      </c>
      <c r="AO26">
        <f>IFERROR(ROUND(L26*(K26/$AU26)/VLOOKUP("交易",商品!$A$4:$B$60,2,FALSE),0),0)</f>
        <v>0</v>
      </c>
      <c r="AP26">
        <f>IFERROR(ROUND(S26*(N26/$AV26)/VLOOKUP(M26,职业!$A$4:$G$16,4,FALSE),0),"")</f>
        <v>2262</v>
      </c>
      <c r="AQ26">
        <f>IFERROR(ROUND(S26*(P26/$AV26)/VLOOKUP(O26,职业!$A$4:$G$16,4,FALSE),0),"")</f>
        <v>754</v>
      </c>
      <c r="AR26" t="str">
        <f>IFERROR(ROUND(S26*(R26/$AV26)/VLOOKUP(Q26,职业!$A$4:$G$16,4,FALSE),0),"")</f>
        <v/>
      </c>
      <c r="AS26" t="str">
        <f>IFERROR(ROUND(X26*(U26/$AW26)/VLOOKUP(T26,商品!$A$4:$B$60,2,FALSE),0),"")</f>
        <v/>
      </c>
      <c r="AT26" t="str">
        <f>IFERROR(ROUND(X26*(W26/$AW26)/VLOOKUP(V26,商品!$A$4:$B$60,2,FALSE),0),"")</f>
        <v/>
      </c>
      <c r="AU26">
        <f t="shared" si="29"/>
        <v>0</v>
      </c>
      <c r="AV26">
        <f t="shared" si="30"/>
        <v>2</v>
      </c>
      <c r="AW26">
        <f t="shared" si="31"/>
        <v>0</v>
      </c>
    </row>
    <row r="27" spans="1:49" ht="19.95" customHeight="1" x14ac:dyDescent="0.25">
      <c r="A27" s="15" t="s">
        <v>178</v>
      </c>
      <c r="B27" s="2" t="s">
        <v>491</v>
      </c>
      <c r="C27" s="15">
        <v>7</v>
      </c>
      <c r="D27" s="23" t="s">
        <v>174</v>
      </c>
      <c r="E27" s="23" t="s">
        <v>179</v>
      </c>
      <c r="L27" s="16">
        <f>IFERROR(VLOOKUP($D27&amp;$C27,生产方式定位!$A$2:$E$38,2,FALSE)+VLOOKUP($E27&amp;$C27,生产方式定位!$F$3:$J$38,2,FALSE),0)</f>
        <v>0</v>
      </c>
      <c r="M27" s="2" t="s">
        <v>80</v>
      </c>
      <c r="N27" s="2">
        <v>10</v>
      </c>
      <c r="O27" s="2" t="s">
        <v>73</v>
      </c>
      <c r="P27" s="2">
        <v>5</v>
      </c>
      <c r="S27" s="16">
        <f>IFERROR(VLOOKUP($D27&amp;$C27,生产方式定位!$A$2:$E$38,3,FALSE)+VLOOKUP($E27&amp;$C27,生产方式定位!$F$3:$J$38,3,FALSE),0)</f>
        <v>100</v>
      </c>
      <c r="X27" s="16">
        <f>IFERROR(VLOOKUP($D27&amp;$C27,生产方式定位!$A$2:$E$38,5,FALSE)+VLOOKUP($E27&amp;$C27,生产方式定位!$F$3:$J$38,5,FALSE),"错误")</f>
        <v>100</v>
      </c>
      <c r="Y27" s="26" t="str">
        <f t="shared" si="16"/>
        <v/>
      </c>
      <c r="Z27" s="36" t="str">
        <f t="shared" si="17"/>
        <v>劳工*3017,工程师*503</v>
      </c>
      <c r="AA27" s="36" t="str">
        <f t="shared" si="18"/>
        <v/>
      </c>
      <c r="AB27" s="27" t="str">
        <f t="shared" si="19"/>
        <v/>
      </c>
      <c r="AC27" s="2" t="str">
        <f t="shared" si="20"/>
        <v/>
      </c>
      <c r="AD27" s="37">
        <f t="shared" si="21"/>
        <v>7</v>
      </c>
      <c r="AE27" t="str">
        <f t="shared" si="22"/>
        <v/>
      </c>
      <c r="AF27" t="str">
        <f t="shared" si="23"/>
        <v/>
      </c>
      <c r="AG27" t="str">
        <f t="shared" si="24"/>
        <v>劳工*3017</v>
      </c>
      <c r="AH27" t="str">
        <f t="shared" si="25"/>
        <v>工程师*503</v>
      </c>
      <c r="AI27" t="str">
        <f t="shared" si="26"/>
        <v/>
      </c>
      <c r="AJ27" t="str">
        <f t="shared" si="27"/>
        <v/>
      </c>
      <c r="AK27" t="str">
        <f t="shared" si="28"/>
        <v/>
      </c>
      <c r="AL27" t="str">
        <f>IFERROR(ROUND(L27*(G27/$AU27)/VLOOKUP(F27,商品!$A$4:$B$60,2,FALSE),0),"")</f>
        <v/>
      </c>
      <c r="AM27" t="str">
        <f>IFERROR(ROUND(L27*(I27/$AU27)/VLOOKUP(H27,商品!$A$4:$B$60,2,FALSE),0),"")</f>
        <v/>
      </c>
      <c r="AN27">
        <f>IFERROR(ROUND(L27*(J27/$AU27)/VLOOKUP("运力",商品!$A$4:$B$60,2,FALSE),0),0)</f>
        <v>0</v>
      </c>
      <c r="AO27">
        <f>IFERROR(ROUND(L27*(K27/$AU27)/VLOOKUP("交易",商品!$A$4:$B$60,2,FALSE),0),0)</f>
        <v>0</v>
      </c>
      <c r="AP27">
        <f>IFERROR(ROUND(S27*(N27/$AV27)/VLOOKUP(M27,职业!$A$4:$G$16,4,FALSE),0),"")</f>
        <v>3017</v>
      </c>
      <c r="AQ27">
        <f>IFERROR(ROUND(S27*(P27/$AV27)/VLOOKUP(O27,职业!$A$4:$G$16,4,FALSE),0),"")</f>
        <v>503</v>
      </c>
      <c r="AR27" t="str">
        <f>IFERROR(ROUND(S27*(R27/$AV27)/VLOOKUP(Q27,职业!$A$4:$G$16,4,FALSE),0),"")</f>
        <v/>
      </c>
      <c r="AS27" t="str">
        <f>IFERROR(ROUND(X27*(U27/$AW27)/VLOOKUP(T27,商品!$A$4:$B$60,2,FALSE),0),"")</f>
        <v/>
      </c>
      <c r="AT27" t="str">
        <f>IFERROR(ROUND(X27*(W27/$AW27)/VLOOKUP(V27,商品!$A$4:$B$60,2,FALSE),0),"")</f>
        <v/>
      </c>
      <c r="AU27">
        <f t="shared" si="29"/>
        <v>0</v>
      </c>
      <c r="AV27">
        <f t="shared" si="30"/>
        <v>15</v>
      </c>
      <c r="AW27">
        <f t="shared" si="31"/>
        <v>0</v>
      </c>
    </row>
    <row r="28" spans="1:49" ht="19.95" customHeight="1" x14ac:dyDescent="0.25">
      <c r="A28" s="15" t="s">
        <v>178</v>
      </c>
      <c r="B28" s="2" t="s">
        <v>492</v>
      </c>
      <c r="C28" s="15">
        <v>8</v>
      </c>
      <c r="D28" s="23" t="s">
        <v>174</v>
      </c>
      <c r="E28" s="23" t="s">
        <v>179</v>
      </c>
      <c r="L28" s="16">
        <f>IFERROR(VLOOKUP($D28&amp;$C28,生产方式定位!$A$2:$E$38,2,FALSE)+VLOOKUP($E28&amp;$C28,生产方式定位!$F$3:$J$38,2,FALSE),0)</f>
        <v>0</v>
      </c>
      <c r="M28" s="2" t="s">
        <v>74</v>
      </c>
      <c r="N28" s="2">
        <v>1</v>
      </c>
      <c r="S28" s="16">
        <f>IFERROR(VLOOKUP($D28&amp;$C28,生产方式定位!$A$2:$E$38,3,FALSE)+VLOOKUP($E28&amp;$C28,生产方式定位!$F$3:$J$38,3,FALSE),0)</f>
        <v>100</v>
      </c>
      <c r="X28" s="16">
        <f>IFERROR(VLOOKUP($D28&amp;$C28,生产方式定位!$A$2:$E$38,5,FALSE)+VLOOKUP($E28&amp;$C28,生产方式定位!$F$3:$J$38,5,FALSE),"错误")</f>
        <v>100</v>
      </c>
      <c r="Y28" s="26" t="str">
        <f t="shared" si="16"/>
        <v/>
      </c>
      <c r="Z28" s="36" t="str">
        <f t="shared" si="17"/>
        <v>法士*1131</v>
      </c>
      <c r="AA28" s="36" t="str">
        <f t="shared" si="18"/>
        <v/>
      </c>
      <c r="AB28" s="27" t="str">
        <f t="shared" si="19"/>
        <v/>
      </c>
      <c r="AC28" s="2" t="str">
        <f t="shared" si="20"/>
        <v/>
      </c>
      <c r="AD28" s="37">
        <f t="shared" si="21"/>
        <v>8</v>
      </c>
      <c r="AE28" t="str">
        <f t="shared" si="22"/>
        <v/>
      </c>
      <c r="AF28" t="str">
        <f t="shared" si="23"/>
        <v/>
      </c>
      <c r="AG28" t="str">
        <f t="shared" si="24"/>
        <v>法士*1131</v>
      </c>
      <c r="AH28" t="str">
        <f t="shared" si="25"/>
        <v/>
      </c>
      <c r="AI28" t="str">
        <f t="shared" si="26"/>
        <v/>
      </c>
      <c r="AJ28" t="str">
        <f t="shared" si="27"/>
        <v/>
      </c>
      <c r="AK28" t="str">
        <f t="shared" si="28"/>
        <v/>
      </c>
      <c r="AL28" t="str">
        <f>IFERROR(ROUND(L28*(G28/$AU28)/VLOOKUP(F28,商品!$A$4:$B$60,2,FALSE),0),"")</f>
        <v/>
      </c>
      <c r="AM28" t="str">
        <f>IFERROR(ROUND(L28*(I28/$AU28)/VLOOKUP(H28,商品!$A$4:$B$60,2,FALSE),0),"")</f>
        <v/>
      </c>
      <c r="AN28">
        <f>IFERROR(ROUND(L28*(J28/$AU28)/VLOOKUP("运力",商品!$A$4:$B$60,2,FALSE),0),0)</f>
        <v>0</v>
      </c>
      <c r="AO28">
        <f>IFERROR(ROUND(L28*(K28/$AU28)/VLOOKUP("交易",商品!$A$4:$B$60,2,FALSE),0),0)</f>
        <v>0</v>
      </c>
      <c r="AP28">
        <f>IFERROR(ROUND(S28*(N28/$AV28)/VLOOKUP(M28,职业!$A$4:$G$16,4,FALSE),0),"")</f>
        <v>1131</v>
      </c>
      <c r="AQ28" t="str">
        <f>IFERROR(ROUND(S28*(P28/$AV28)/VLOOKUP(O28,职业!$A$4:$G$16,4,FALSE),0),"")</f>
        <v/>
      </c>
      <c r="AR28" t="str">
        <f>IFERROR(ROUND(S28*(R28/$AV28)/VLOOKUP(Q28,职业!$A$4:$G$16,4,FALSE),0),"")</f>
        <v/>
      </c>
      <c r="AS28" t="str">
        <f>IFERROR(ROUND(X28*(U28/$AW28)/VLOOKUP(T28,商品!$A$4:$B$60,2,FALSE),0),"")</f>
        <v/>
      </c>
      <c r="AT28" t="str">
        <f>IFERROR(ROUND(X28*(W28/$AW28)/VLOOKUP(V28,商品!$A$4:$B$60,2,FALSE),0),"")</f>
        <v/>
      </c>
      <c r="AU28">
        <f t="shared" si="29"/>
        <v>0</v>
      </c>
      <c r="AV28">
        <f t="shared" si="30"/>
        <v>1</v>
      </c>
      <c r="AW28">
        <f t="shared" si="31"/>
        <v>0</v>
      </c>
    </row>
    <row r="29" spans="1:49" ht="19.95" customHeight="1" x14ac:dyDescent="0.25">
      <c r="A29" s="16" t="s">
        <v>181</v>
      </c>
      <c r="B29" s="2" t="s">
        <v>493</v>
      </c>
      <c r="C29" s="16">
        <v>1</v>
      </c>
      <c r="D29" s="23" t="s">
        <v>171</v>
      </c>
      <c r="E29" s="23" t="s">
        <v>172</v>
      </c>
      <c r="F29" s="2" t="s">
        <v>2</v>
      </c>
      <c r="G29" s="2">
        <v>30</v>
      </c>
      <c r="J29" s="24">
        <v>10</v>
      </c>
      <c r="K29" s="25">
        <v>5</v>
      </c>
      <c r="L29" s="15">
        <f>IFERROR(VLOOKUP($D29&amp;$C29,生产方式定位!$A$2:$E$38,2,FALSE)+VLOOKUP($E29&amp;$C29,生产方式定位!$F$3:$J$38,2,FALSE),0)</f>
        <v>300</v>
      </c>
      <c r="M29" s="2" t="s">
        <v>80</v>
      </c>
      <c r="N29" s="2">
        <v>100</v>
      </c>
      <c r="S29" s="15">
        <f>IFERROR(VLOOKUP($D29&amp;$C29,生产方式定位!$A$2:$E$38,3,FALSE)+VLOOKUP($E29&amp;$C29,生产方式定位!$F$3:$J$38,3,FALSE),0)</f>
        <v>100</v>
      </c>
      <c r="T29" s="2" t="s">
        <v>28</v>
      </c>
      <c r="U29" s="2">
        <v>1</v>
      </c>
      <c r="X29" s="15">
        <f>IFERROR(VLOOKUP($D29&amp;$C29,生产方式定位!$A$2:$E$38,5,FALSE)+VLOOKUP($E29&amp;$C29,生产方式定位!$F$3:$J$38,5,FALSE),"错误")</f>
        <v>520</v>
      </c>
      <c r="Y29" s="26" t="str">
        <f t="shared" si="16"/>
        <v>谷物*10,运力*7,交易*3</v>
      </c>
      <c r="Z29" s="36" t="str">
        <f t="shared" si="17"/>
        <v>劳工*4525</v>
      </c>
      <c r="AA29" s="36" t="str">
        <f t="shared" si="18"/>
        <v>饮品*17</v>
      </c>
      <c r="AB29" s="27" t="str">
        <f t="shared" si="19"/>
        <v>73%</v>
      </c>
      <c r="AC29" s="2">
        <f t="shared" si="20"/>
        <v>120</v>
      </c>
      <c r="AD29" s="37">
        <f t="shared" si="21"/>
        <v>1</v>
      </c>
      <c r="AE29" t="str">
        <f t="shared" si="22"/>
        <v>谷物*10</v>
      </c>
      <c r="AF29" t="str">
        <f t="shared" si="23"/>
        <v/>
      </c>
      <c r="AG29" t="str">
        <f t="shared" si="24"/>
        <v>劳工*4525</v>
      </c>
      <c r="AH29" t="str">
        <f t="shared" si="25"/>
        <v/>
      </c>
      <c r="AI29" t="str">
        <f t="shared" si="26"/>
        <v/>
      </c>
      <c r="AJ29" t="str">
        <f t="shared" si="27"/>
        <v>饮品*17</v>
      </c>
      <c r="AK29" t="str">
        <f t="shared" si="28"/>
        <v/>
      </c>
      <c r="AL29">
        <f>IFERROR(ROUND(L29*(G29/$AU29)/VLOOKUP(F29,商品!$A$4:$B$60,2,FALSE),0),"")</f>
        <v>10</v>
      </c>
      <c r="AM29" t="str">
        <f>IFERROR(ROUND(L29*(I29/$AU29)/VLOOKUP(H29,商品!$A$4:$B$60,2,FALSE),0),"")</f>
        <v/>
      </c>
      <c r="AN29">
        <f>IFERROR(ROUND(L29*(J29/$AU29)/VLOOKUP("运力",商品!$A$4:$B$60,2,FALSE),0),0)</f>
        <v>7</v>
      </c>
      <c r="AO29">
        <f>IFERROR(ROUND(L29*(K29/$AU29)/VLOOKUP("交易",商品!$A$4:$B$60,2,FALSE),0),0)</f>
        <v>3</v>
      </c>
      <c r="AP29">
        <f>IFERROR(ROUND(S29*(N29/$AV29)/VLOOKUP(M29,职业!$A$4:$G$16,4,FALSE),0),"")</f>
        <v>4525</v>
      </c>
      <c r="AQ29" t="str">
        <f>IFERROR(ROUND(S29*(P29/$AV29)/VLOOKUP(O29,职业!$A$4:$G$16,4,FALSE),0),"")</f>
        <v/>
      </c>
      <c r="AR29" t="str">
        <f>IFERROR(ROUND(S29*(R29/$AV29)/VLOOKUP(Q29,职业!$A$4:$G$16,4,FALSE),0),"")</f>
        <v/>
      </c>
      <c r="AS29">
        <f>IFERROR(ROUND(X29*(U29/$AW29)/VLOOKUP(T29,商品!$A$4:$B$60,2,FALSE),0),"")</f>
        <v>17</v>
      </c>
      <c r="AT29" t="str">
        <f>IFERROR(ROUND(X29*(W29/$AW29)/VLOOKUP(V29,商品!$A$4:$B$60,2,FALSE),0),"")</f>
        <v/>
      </c>
      <c r="AU29">
        <f t="shared" si="29"/>
        <v>45</v>
      </c>
      <c r="AV29">
        <f t="shared" si="30"/>
        <v>100</v>
      </c>
      <c r="AW29">
        <f t="shared" si="31"/>
        <v>1</v>
      </c>
    </row>
    <row r="30" spans="1:49" ht="19.95" customHeight="1" x14ac:dyDescent="0.25">
      <c r="A30" s="16" t="s">
        <v>181</v>
      </c>
      <c r="B30" s="2" t="s">
        <v>494</v>
      </c>
      <c r="C30" s="16">
        <v>2</v>
      </c>
      <c r="D30" s="23" t="s">
        <v>171</v>
      </c>
      <c r="E30" s="23" t="s">
        <v>172</v>
      </c>
      <c r="F30" s="2" t="s">
        <v>2</v>
      </c>
      <c r="G30" s="2">
        <v>30</v>
      </c>
      <c r="H30" s="2" t="s">
        <v>25</v>
      </c>
      <c r="I30" s="2">
        <v>5</v>
      </c>
      <c r="J30" s="24">
        <v>10</v>
      </c>
      <c r="K30" s="25">
        <v>5</v>
      </c>
      <c r="L30" s="15">
        <f>IFERROR(VLOOKUP($D30&amp;$C30,生产方式定位!$A$2:$E$38,2,FALSE)+VLOOKUP($E30&amp;$C30,生产方式定位!$F$3:$J$38,2,FALSE),0)</f>
        <v>1100</v>
      </c>
      <c r="M30" s="2" t="s">
        <v>80</v>
      </c>
      <c r="N30" s="2">
        <v>100</v>
      </c>
      <c r="O30" s="2" t="s">
        <v>73</v>
      </c>
      <c r="P30" s="2">
        <v>5</v>
      </c>
      <c r="S30" s="15">
        <f>IFERROR(VLOOKUP($D30&amp;$C30,生产方式定位!$A$2:$E$38,3,FALSE)+VLOOKUP($E30&amp;$C30,生产方式定位!$F$3:$J$38,3,FALSE),0)</f>
        <v>100</v>
      </c>
      <c r="T30" s="2" t="s">
        <v>28</v>
      </c>
      <c r="U30" s="2">
        <v>1</v>
      </c>
      <c r="X30" s="15">
        <f>IFERROR(VLOOKUP($D30&amp;$C30,生产方式定位!$A$2:$E$38,5,FALSE)+VLOOKUP($E30&amp;$C30,生产方式定位!$F$3:$J$38,5,FALSE),"错误")</f>
        <v>1510</v>
      </c>
      <c r="Y30" s="26" t="str">
        <f t="shared" si="16"/>
        <v>谷物*33,玻璃*4,运力*22,交易*11</v>
      </c>
      <c r="Z30" s="36" t="str">
        <f t="shared" si="17"/>
        <v>劳工*4309,工程师*72</v>
      </c>
      <c r="AA30" s="36" t="str">
        <f t="shared" si="18"/>
        <v>饮品*50</v>
      </c>
      <c r="AB30" s="27" t="str">
        <f t="shared" si="19"/>
        <v>37%</v>
      </c>
      <c r="AC30" s="2">
        <f t="shared" si="20"/>
        <v>310</v>
      </c>
      <c r="AD30" s="37">
        <f t="shared" si="21"/>
        <v>2</v>
      </c>
      <c r="AE30" t="str">
        <f t="shared" si="22"/>
        <v>谷物*33</v>
      </c>
      <c r="AF30" t="str">
        <f t="shared" si="23"/>
        <v>玻璃*4</v>
      </c>
      <c r="AG30" t="str">
        <f t="shared" si="24"/>
        <v>劳工*4309</v>
      </c>
      <c r="AH30" t="str">
        <f t="shared" si="25"/>
        <v>工程师*72</v>
      </c>
      <c r="AI30" t="str">
        <f t="shared" si="26"/>
        <v/>
      </c>
      <c r="AJ30" t="str">
        <f t="shared" si="27"/>
        <v>饮品*50</v>
      </c>
      <c r="AK30" t="str">
        <f t="shared" si="28"/>
        <v/>
      </c>
      <c r="AL30">
        <f>IFERROR(ROUND(L30*(G30/$AU30)/VLOOKUP(F30,商品!$A$4:$B$60,2,FALSE),0),"")</f>
        <v>33</v>
      </c>
      <c r="AM30">
        <f>IFERROR(ROUND(L30*(I30/$AU30)/VLOOKUP(H30,商品!$A$4:$B$60,2,FALSE),0),"")</f>
        <v>4</v>
      </c>
      <c r="AN30">
        <f>IFERROR(ROUND(L30*(J30/$AU30)/VLOOKUP("运力",商品!$A$4:$B$60,2,FALSE),0),0)</f>
        <v>22</v>
      </c>
      <c r="AO30">
        <f>IFERROR(ROUND(L30*(K30/$AU30)/VLOOKUP("交易",商品!$A$4:$B$60,2,FALSE),0),0)</f>
        <v>11</v>
      </c>
      <c r="AP30">
        <f>IFERROR(ROUND(S30*(N30/$AV30)/VLOOKUP(M30,职业!$A$4:$G$16,4,FALSE),0),"")</f>
        <v>4309</v>
      </c>
      <c r="AQ30">
        <f>IFERROR(ROUND(S30*(P30/$AV30)/VLOOKUP(O30,职业!$A$4:$G$16,4,FALSE),0),"")</f>
        <v>72</v>
      </c>
      <c r="AR30" t="str">
        <f>IFERROR(ROUND(S30*(R30/$AV30)/VLOOKUP(Q30,职业!$A$4:$G$16,4,FALSE),0),"")</f>
        <v/>
      </c>
      <c r="AS30">
        <f>IFERROR(ROUND(X30*(U30/$AW30)/VLOOKUP(T30,商品!$A$4:$B$60,2,FALSE),0),"")</f>
        <v>50</v>
      </c>
      <c r="AT30" t="str">
        <f>IFERROR(ROUND(X30*(W30/$AW30)/VLOOKUP(V30,商品!$A$4:$B$60,2,FALSE),0),"")</f>
        <v/>
      </c>
      <c r="AU30">
        <f t="shared" si="29"/>
        <v>50</v>
      </c>
      <c r="AV30">
        <f t="shared" si="30"/>
        <v>105</v>
      </c>
      <c r="AW30">
        <f t="shared" si="31"/>
        <v>1</v>
      </c>
    </row>
    <row r="31" spans="1:49" ht="19.95" customHeight="1" x14ac:dyDescent="0.25">
      <c r="A31" s="15" t="s">
        <v>181</v>
      </c>
      <c r="B31" s="2" t="s">
        <v>495</v>
      </c>
      <c r="C31" s="15">
        <v>1</v>
      </c>
      <c r="D31" s="23" t="s">
        <v>171</v>
      </c>
      <c r="E31" s="23" t="s">
        <v>472</v>
      </c>
      <c r="F31" s="2" t="s">
        <v>16</v>
      </c>
      <c r="G31" s="2">
        <v>30</v>
      </c>
      <c r="L31" s="15">
        <f>IFERROR(VLOOKUP($D31&amp;$C31,生产方式定位!$A$2:$E$38,2,FALSE)+VLOOKUP($E31&amp;$C31,生产方式定位!$F$3:$J$38,2,FALSE),0)</f>
        <v>300</v>
      </c>
      <c r="M31" s="2" t="s">
        <v>80</v>
      </c>
      <c r="N31" s="2">
        <v>100</v>
      </c>
      <c r="O31" s="2" t="s">
        <v>73</v>
      </c>
      <c r="P31" s="2">
        <v>10</v>
      </c>
      <c r="S31" s="15">
        <f>IFERROR(VLOOKUP($D31&amp;$C31,生产方式定位!$A$2:$E$38,3,FALSE)+VLOOKUP($E31&amp;$C31,生产方式定位!$F$3:$J$38,3,FALSE),0)</f>
        <v>100</v>
      </c>
      <c r="T31" s="2" t="s">
        <v>28</v>
      </c>
      <c r="U31" s="2">
        <v>1</v>
      </c>
      <c r="X31" s="15">
        <f>IFERROR(VLOOKUP($D31&amp;$C31,生产方式定位!$A$2:$E$38,5,FALSE)+VLOOKUP($E31&amp;$C31,生产方式定位!$F$3:$J$38,5,FALSE),"错误")</f>
        <v>520</v>
      </c>
      <c r="Y31" s="26" t="str">
        <f t="shared" si="16"/>
        <v>铁*8</v>
      </c>
      <c r="Z31" s="36" t="str">
        <f t="shared" si="17"/>
        <v>劳工*4114,工程师*137</v>
      </c>
      <c r="AA31" s="36" t="str">
        <f t="shared" si="18"/>
        <v>饮品*17</v>
      </c>
      <c r="AB31" s="27" t="str">
        <f t="shared" si="19"/>
        <v>73%</v>
      </c>
      <c r="AC31" s="2">
        <f t="shared" si="20"/>
        <v>120</v>
      </c>
      <c r="AD31" s="37">
        <f t="shared" si="21"/>
        <v>1</v>
      </c>
      <c r="AE31" t="str">
        <f t="shared" si="22"/>
        <v>铁*8</v>
      </c>
      <c r="AF31" t="str">
        <f t="shared" si="23"/>
        <v/>
      </c>
      <c r="AG31" t="str">
        <f t="shared" si="24"/>
        <v>劳工*4114</v>
      </c>
      <c r="AH31" t="str">
        <f t="shared" si="25"/>
        <v>工程师*137</v>
      </c>
      <c r="AI31" t="str">
        <f t="shared" si="26"/>
        <v/>
      </c>
      <c r="AJ31" t="str">
        <f t="shared" si="27"/>
        <v>饮品*17</v>
      </c>
      <c r="AK31" t="str">
        <f t="shared" si="28"/>
        <v/>
      </c>
      <c r="AL31">
        <f>IFERROR(ROUND(L31*(G31/$AU31)/VLOOKUP(F31,商品!$A$4:$B$60,2,FALSE),0),"")</f>
        <v>8</v>
      </c>
      <c r="AM31" t="str">
        <f>IFERROR(ROUND(L31*(I31/$AU31)/VLOOKUP(H31,商品!$A$4:$B$60,2,FALSE),0),"")</f>
        <v/>
      </c>
      <c r="AN31">
        <f>IFERROR(ROUND(L31*(J31/$AU31)/VLOOKUP("运力",商品!$A$4:$B$60,2,FALSE),0),0)</f>
        <v>0</v>
      </c>
      <c r="AO31">
        <f>IFERROR(ROUND(L31*(K31/$AU31)/VLOOKUP("交易",商品!$A$4:$B$60,2,FALSE),0),0)</f>
        <v>0</v>
      </c>
      <c r="AP31">
        <f>IFERROR(ROUND(S31*(N31/$AV31)/VLOOKUP(M31,职业!$A$4:$G$16,4,FALSE),0),"")</f>
        <v>4114</v>
      </c>
      <c r="AQ31">
        <f>IFERROR(ROUND(S31*(P31/$AV31)/VLOOKUP(O31,职业!$A$4:$G$16,4,FALSE),0),"")</f>
        <v>137</v>
      </c>
      <c r="AR31" t="str">
        <f>IFERROR(ROUND(S31*(R31/$AV31)/VLOOKUP(Q31,职业!$A$4:$G$16,4,FALSE),0),"")</f>
        <v/>
      </c>
      <c r="AS31">
        <f>IFERROR(ROUND(X31*(U31/$AW31)/VLOOKUP(T31,商品!$A$4:$B$60,2,FALSE),0),"")</f>
        <v>17</v>
      </c>
      <c r="AT31" t="str">
        <f>IFERROR(ROUND(X31*(W31/$AW31)/VLOOKUP(V31,商品!$A$4:$B$60,2,FALSE),0),"")</f>
        <v/>
      </c>
      <c r="AU31">
        <f t="shared" si="29"/>
        <v>30</v>
      </c>
      <c r="AV31">
        <f t="shared" si="30"/>
        <v>110</v>
      </c>
      <c r="AW31">
        <f t="shared" si="31"/>
        <v>1</v>
      </c>
    </row>
    <row r="32" spans="1:49" ht="19.95" customHeight="1" x14ac:dyDescent="0.25">
      <c r="A32" s="15" t="s">
        <v>181</v>
      </c>
      <c r="B32" s="2" t="s">
        <v>496</v>
      </c>
      <c r="C32" s="15">
        <v>2</v>
      </c>
      <c r="D32" s="23" t="s">
        <v>171</v>
      </c>
      <c r="E32" s="23" t="s">
        <v>472</v>
      </c>
      <c r="F32" s="2" t="s">
        <v>25</v>
      </c>
      <c r="G32" s="2">
        <v>30</v>
      </c>
      <c r="L32" s="15">
        <f>IFERROR(VLOOKUP($D32&amp;$C32,生产方式定位!$A$2:$E$38,2,FALSE)+VLOOKUP($E32&amp;$C32,生产方式定位!$F$3:$J$38,2,FALSE),0)</f>
        <v>1100</v>
      </c>
      <c r="M32" s="2" t="s">
        <v>80</v>
      </c>
      <c r="N32" s="2">
        <v>100</v>
      </c>
      <c r="O32" s="2" t="s">
        <v>73</v>
      </c>
      <c r="P32" s="2">
        <v>15</v>
      </c>
      <c r="S32" s="15">
        <f>IFERROR(VLOOKUP($D32&amp;$C32,生产方式定位!$A$2:$E$38,3,FALSE)+VLOOKUP($E32&amp;$C32,生产方式定位!$F$3:$J$38,3,FALSE),0)</f>
        <v>100</v>
      </c>
      <c r="T32" s="2" t="s">
        <v>28</v>
      </c>
      <c r="U32" s="2">
        <v>1</v>
      </c>
      <c r="X32" s="15">
        <f>IFERROR(VLOOKUP($D32&amp;$C32,生产方式定位!$A$2:$E$38,5,FALSE)+VLOOKUP($E32&amp;$C32,生产方式定位!$F$3:$J$38,5,FALSE),"错误")</f>
        <v>1510</v>
      </c>
      <c r="Y32" s="26" t="str">
        <f t="shared" si="16"/>
        <v>玻璃*37</v>
      </c>
      <c r="Z32" s="36" t="str">
        <f t="shared" si="17"/>
        <v>劳工*3935,工程师*197</v>
      </c>
      <c r="AA32" s="36" t="str">
        <f t="shared" si="18"/>
        <v>饮品*50</v>
      </c>
      <c r="AB32" s="27" t="str">
        <f t="shared" si="19"/>
        <v>37%</v>
      </c>
      <c r="AC32" s="2">
        <f t="shared" si="20"/>
        <v>310</v>
      </c>
      <c r="AD32" s="37">
        <f t="shared" si="21"/>
        <v>2</v>
      </c>
      <c r="AE32" t="str">
        <f t="shared" si="22"/>
        <v>玻璃*37</v>
      </c>
      <c r="AF32" t="str">
        <f t="shared" si="23"/>
        <v/>
      </c>
      <c r="AG32" t="str">
        <f t="shared" si="24"/>
        <v>劳工*3935</v>
      </c>
      <c r="AH32" t="str">
        <f t="shared" si="25"/>
        <v>工程师*197</v>
      </c>
      <c r="AI32" t="str">
        <f t="shared" si="26"/>
        <v/>
      </c>
      <c r="AJ32" t="str">
        <f t="shared" si="27"/>
        <v>饮品*50</v>
      </c>
      <c r="AK32" t="str">
        <f t="shared" si="28"/>
        <v/>
      </c>
      <c r="AL32">
        <f>IFERROR(ROUND(L32*(G32/$AU32)/VLOOKUP(F32,商品!$A$4:$B$60,2,FALSE),0),"")</f>
        <v>37</v>
      </c>
      <c r="AM32" t="str">
        <f>IFERROR(ROUND(L32*(I32/$AU32)/VLOOKUP(H32,商品!$A$4:$B$60,2,FALSE),0),"")</f>
        <v/>
      </c>
      <c r="AN32">
        <f>IFERROR(ROUND(L32*(J32/$AU32)/VLOOKUP("运力",商品!$A$4:$B$60,2,FALSE),0),0)</f>
        <v>0</v>
      </c>
      <c r="AO32">
        <f>IFERROR(ROUND(L32*(K32/$AU32)/VLOOKUP("交易",商品!$A$4:$B$60,2,FALSE),0),0)</f>
        <v>0</v>
      </c>
      <c r="AP32">
        <f>IFERROR(ROUND(S32*(N32/$AV32)/VLOOKUP(M32,职业!$A$4:$G$16,4,FALSE),0),"")</f>
        <v>3935</v>
      </c>
      <c r="AQ32">
        <f>IFERROR(ROUND(S32*(P32/$AV32)/VLOOKUP(O32,职业!$A$4:$G$16,4,FALSE),0),"")</f>
        <v>197</v>
      </c>
      <c r="AR32" t="str">
        <f>IFERROR(ROUND(S32*(R32/$AV32)/VLOOKUP(Q32,职业!$A$4:$G$16,4,FALSE),0),"")</f>
        <v/>
      </c>
      <c r="AS32">
        <f>IFERROR(ROUND(X32*(U32/$AW32)/VLOOKUP(T32,商品!$A$4:$B$60,2,FALSE),0),"")</f>
        <v>50</v>
      </c>
      <c r="AT32" t="str">
        <f>IFERROR(ROUND(X32*(W32/$AW32)/VLOOKUP(V32,商品!$A$4:$B$60,2,FALSE),0),"")</f>
        <v/>
      </c>
      <c r="AU32">
        <f t="shared" si="29"/>
        <v>30</v>
      </c>
      <c r="AV32">
        <f t="shared" si="30"/>
        <v>115</v>
      </c>
      <c r="AW32">
        <f t="shared" si="31"/>
        <v>1</v>
      </c>
    </row>
    <row r="33" spans="1:49" ht="19.95" customHeight="1" x14ac:dyDescent="0.25">
      <c r="A33" s="16" t="s">
        <v>497</v>
      </c>
      <c r="B33" s="2" t="s">
        <v>498</v>
      </c>
      <c r="C33" s="16">
        <v>1</v>
      </c>
      <c r="D33" s="23" t="s">
        <v>174</v>
      </c>
      <c r="E33" s="23" t="s">
        <v>175</v>
      </c>
      <c r="L33" s="16">
        <f>IFERROR(VLOOKUP($D33&amp;$C33,生产方式定位!$A$2:$E$38,2,FALSE)+VLOOKUP($E33&amp;$C33,生产方式定位!$F$3:$J$38,2,FALSE),0)</f>
        <v>0</v>
      </c>
      <c r="S33" s="16">
        <f>IFERROR(VLOOKUP($D33&amp;$C33,生产方式定位!$A$2:$E$38,3,FALSE)+VLOOKUP($E33&amp;$C33,生产方式定位!$F$3:$J$38,3,FALSE),0)</f>
        <v>0</v>
      </c>
      <c r="X33" s="16">
        <f>IFERROR(VLOOKUP($D33&amp;$C33,生产方式定位!$A$2:$E$38,5,FALSE)+VLOOKUP($E33&amp;$C33,生产方式定位!$F$3:$J$38,5,FALSE),"错误")</f>
        <v>0</v>
      </c>
      <c r="Y33" s="26" t="str">
        <f t="shared" ref="Y33:Y68" si="32">IF(AE33="","",AE33)&amp;IF(AF33="","",","&amp;AF33)&amp;IF(AN33=0,"",",运力*"&amp;AN33)&amp;IF(AO33=0,"",",交易*"&amp;AO33)</f>
        <v/>
      </c>
      <c r="Z33" s="36" t="str">
        <f t="shared" ref="Z33:Z68" si="33">IF(AG33="","",AG33)&amp;IF(AH33="","",","&amp;AH33)&amp;IF(AI33="","",","&amp;AI33)</f>
        <v/>
      </c>
      <c r="AA33" s="36" t="str">
        <f t="shared" ref="AA33:AA68" si="34">IF(AJ33="","",AJ33)&amp;IF(AK33="","",","&amp;AK33)</f>
        <v/>
      </c>
      <c r="AB33" s="27" t="str">
        <f t="shared" ref="AB33:AB68" si="35">IFERROR(ROUND(((X33/L33)-1)*100,0)&amp;"%","")</f>
        <v/>
      </c>
      <c r="AC33" s="2" t="str">
        <f t="shared" ref="AC33:AC68" si="36">IF(X33-S33-L33=0,"",X33-S33-L33)</f>
        <v/>
      </c>
      <c r="AD33" s="38">
        <f t="shared" ref="AD33:AD68" si="37">C33</f>
        <v>1</v>
      </c>
      <c r="AE33" t="str">
        <f t="shared" ref="AE33:AE68" si="38">IF(AL33="","",F33&amp;"*"&amp;AL33)</f>
        <v/>
      </c>
      <c r="AF33" t="str">
        <f t="shared" ref="AF33:AF68" si="39">IF(AM33="","",H33&amp;"*"&amp;AM33)</f>
        <v/>
      </c>
      <c r="AG33" t="str">
        <f t="shared" ref="AG33:AG68" si="40">IF(AP33="","",M33&amp;"*"&amp;AP33)</f>
        <v/>
      </c>
      <c r="AH33" t="str">
        <f t="shared" ref="AH33:AH68" si="41">IF(AQ33="","",O33&amp;"*"&amp;AQ33)</f>
        <v/>
      </c>
      <c r="AI33" t="str">
        <f t="shared" ref="AI33:AI68" si="42">IF(AR33="","",Q33&amp;"*"&amp;AR33)</f>
        <v/>
      </c>
      <c r="AJ33" t="str">
        <f t="shared" ref="AJ33:AJ68" si="43">IF(AS33="","",T33&amp;"*"&amp;AS33)</f>
        <v/>
      </c>
      <c r="AK33" t="str">
        <f t="shared" ref="AK33:AK68" si="44">IF(AT33="","",V33&amp;"*"&amp;AT33)</f>
        <v/>
      </c>
      <c r="AL33" t="str">
        <f>IFERROR(ROUND(L33*(G33/$AU33)/VLOOKUP(F33,商品!$A$4:$B$60,2,FALSE),0),"")</f>
        <v/>
      </c>
      <c r="AM33" t="str">
        <f>IFERROR(ROUND(L33*(I33/$AU33)/VLOOKUP(H33,商品!$A$4:$B$60,2,FALSE),0),"")</f>
        <v/>
      </c>
      <c r="AN33">
        <f>IFERROR(ROUND(L33*(J33/$AU33)/VLOOKUP("运力",商品!$A$4:$B$60,2,FALSE),0),0)</f>
        <v>0</v>
      </c>
      <c r="AO33">
        <f>IFERROR(ROUND(L33*(K33/$AU33)/VLOOKUP("交易",商品!$A$4:$B$60,2,FALSE),0),0)</f>
        <v>0</v>
      </c>
      <c r="AP33" t="str">
        <f>IFERROR(ROUND(S33*(N33/$AV33)/VLOOKUP(M33,职业!$A$4:$G$16,4,FALSE),0),"")</f>
        <v/>
      </c>
      <c r="AQ33" t="str">
        <f>IFERROR(ROUND(S33*(P33/$AV33)/VLOOKUP(O33,职业!$A$4:$G$16,4,FALSE),0),"")</f>
        <v/>
      </c>
      <c r="AR33" t="str">
        <f>IFERROR(ROUND(S33*(R33/$AV33)/VLOOKUP(Q33,职业!$A$4:$G$16,4,FALSE),0),"")</f>
        <v/>
      </c>
      <c r="AS33" t="str">
        <f>IFERROR(ROUND(X33*(U33/$AW33)/VLOOKUP(T33,商品!$A$4:$B$60,2,FALSE),0),"")</f>
        <v/>
      </c>
      <c r="AT33" t="str">
        <f>IFERROR(ROUND(X33*(W33/$AW33)/VLOOKUP(V33,商品!$A$4:$B$60,2,FALSE),0),"")</f>
        <v/>
      </c>
      <c r="AU33">
        <f t="shared" ref="AU33:AU68" si="45">G33+I33+J33+K33</f>
        <v>0</v>
      </c>
      <c r="AV33">
        <f t="shared" ref="AV33:AV68" si="46">ABS(N33)+ABS(P33)+ABS(R33)</f>
        <v>0</v>
      </c>
      <c r="AW33">
        <f t="shared" ref="AW33:AW68" si="47">U33+W33</f>
        <v>0</v>
      </c>
    </row>
    <row r="34" spans="1:49" ht="19.95" customHeight="1" x14ac:dyDescent="0.25">
      <c r="A34" s="16" t="s">
        <v>497</v>
      </c>
      <c r="B34" s="2" t="s">
        <v>499</v>
      </c>
      <c r="C34" s="16">
        <v>2</v>
      </c>
      <c r="D34" s="23" t="s">
        <v>174</v>
      </c>
      <c r="E34" s="23" t="s">
        <v>175</v>
      </c>
      <c r="F34" s="2" t="s">
        <v>41</v>
      </c>
      <c r="G34" s="2">
        <v>10</v>
      </c>
      <c r="L34" s="16">
        <f>IFERROR(VLOOKUP($D34&amp;$C34,生产方式定位!$A$2:$E$38,2,FALSE)+VLOOKUP($E34&amp;$C34,生产方式定位!$F$3:$J$38,2,FALSE),0)</f>
        <v>50</v>
      </c>
      <c r="M34" s="2" t="s">
        <v>80</v>
      </c>
      <c r="N34" s="2">
        <v>-30</v>
      </c>
      <c r="O34" s="2" t="s">
        <v>73</v>
      </c>
      <c r="P34" s="2">
        <v>15</v>
      </c>
      <c r="S34" s="16">
        <f>IFERROR(VLOOKUP($D34&amp;$C34,生产方式定位!$A$2:$E$38,3,FALSE)+VLOOKUP($E34&amp;$C34,生产方式定位!$F$3:$J$38,3,FALSE),0)</f>
        <v>10</v>
      </c>
      <c r="T34" s="2" t="s">
        <v>28</v>
      </c>
      <c r="U34" s="2">
        <v>1</v>
      </c>
      <c r="X34" s="16">
        <f>IFERROR(VLOOKUP($D34&amp;$C34,生产方式定位!$A$2:$E$38,5,FALSE)+VLOOKUP($E34&amp;$C34,生产方式定位!$F$3:$J$38,5,FALSE),"错误")</f>
        <v>0</v>
      </c>
      <c r="Y34" s="26" t="str">
        <f t="shared" si="32"/>
        <v>工具*1</v>
      </c>
      <c r="Z34" s="36" t="str">
        <f t="shared" si="33"/>
        <v>劳工*-302,工程师*50</v>
      </c>
      <c r="AA34" s="36" t="str">
        <f t="shared" si="34"/>
        <v>饮品*0</v>
      </c>
      <c r="AB34" s="27" t="str">
        <f t="shared" si="35"/>
        <v>-100%</v>
      </c>
      <c r="AC34" s="2">
        <f t="shared" si="36"/>
        <v>-60</v>
      </c>
      <c r="AD34" s="38">
        <f t="shared" si="37"/>
        <v>2</v>
      </c>
      <c r="AE34" t="str">
        <f t="shared" si="38"/>
        <v>工具*1</v>
      </c>
      <c r="AF34" t="str">
        <f t="shared" si="39"/>
        <v/>
      </c>
      <c r="AG34" t="str">
        <f t="shared" si="40"/>
        <v>劳工*-302</v>
      </c>
      <c r="AH34" t="str">
        <f t="shared" si="41"/>
        <v>工程师*50</v>
      </c>
      <c r="AI34" t="str">
        <f t="shared" si="42"/>
        <v/>
      </c>
      <c r="AJ34" t="str">
        <f t="shared" si="43"/>
        <v>饮品*0</v>
      </c>
      <c r="AK34" t="str">
        <f t="shared" si="44"/>
        <v/>
      </c>
      <c r="AL34">
        <f>IFERROR(ROUND(L34*(G34/$AU34)/VLOOKUP(F34,商品!$A$4:$B$60,2,FALSE),0),"")</f>
        <v>1</v>
      </c>
      <c r="AM34" t="str">
        <f>IFERROR(ROUND(L34*(I34/$AU34)/VLOOKUP(H34,商品!$A$4:$B$60,2,FALSE),0),"")</f>
        <v/>
      </c>
      <c r="AN34">
        <f>IFERROR(ROUND(L34*(J34/$AU34)/VLOOKUP("运力",商品!$A$4:$B$60,2,FALSE),0),0)</f>
        <v>0</v>
      </c>
      <c r="AO34">
        <f>IFERROR(ROUND(L34*(K34/$AU34)/VLOOKUP("交易",商品!$A$4:$B$60,2,FALSE),0),0)</f>
        <v>0</v>
      </c>
      <c r="AP34">
        <f>IFERROR(ROUND(S34*(N34/$AV34)/VLOOKUP(M34,职业!$A$4:$G$16,4,FALSE),0),"")</f>
        <v>-302</v>
      </c>
      <c r="AQ34">
        <f>IFERROR(ROUND(S34*(P34/$AV34)/VLOOKUP(O34,职业!$A$4:$G$16,4,FALSE),0),"")</f>
        <v>50</v>
      </c>
      <c r="AR34" t="str">
        <f>IFERROR(ROUND(S34*(R34/$AV34)/VLOOKUP(Q34,职业!$A$4:$G$16,4,FALSE),0),"")</f>
        <v/>
      </c>
      <c r="AS34">
        <f>IFERROR(ROUND(X34*(U34/$AW34)/VLOOKUP(T34,商品!$A$4:$B$60,2,FALSE),0),"")</f>
        <v>0</v>
      </c>
      <c r="AT34" t="str">
        <f>IFERROR(ROUND(X34*(W34/$AW34)/VLOOKUP(V34,商品!$A$4:$B$60,2,FALSE),0),"")</f>
        <v/>
      </c>
      <c r="AU34">
        <f t="shared" si="45"/>
        <v>10</v>
      </c>
      <c r="AV34">
        <f t="shared" si="46"/>
        <v>45</v>
      </c>
      <c r="AW34">
        <f t="shared" si="47"/>
        <v>1</v>
      </c>
    </row>
    <row r="35" spans="1:49" ht="19.95" customHeight="1" x14ac:dyDescent="0.25">
      <c r="A35" s="16" t="s">
        <v>497</v>
      </c>
      <c r="B35" s="2" t="s">
        <v>500</v>
      </c>
      <c r="C35" s="16">
        <v>3</v>
      </c>
      <c r="D35" s="23" t="s">
        <v>174</v>
      </c>
      <c r="E35" s="23" t="s">
        <v>175</v>
      </c>
      <c r="F35" s="2" t="s">
        <v>19</v>
      </c>
      <c r="G35" s="2">
        <v>10</v>
      </c>
      <c r="L35" s="16">
        <f>IFERROR(VLOOKUP($D35&amp;$C35,生产方式定位!$A$2:$E$38,2,FALSE)+VLOOKUP($E35&amp;$C35,生产方式定位!$F$3:$J$38,2,FALSE),0)</f>
        <v>100</v>
      </c>
      <c r="M35" s="2" t="s">
        <v>80</v>
      </c>
      <c r="N35" s="2">
        <v>-30</v>
      </c>
      <c r="O35" s="2" t="s">
        <v>73</v>
      </c>
      <c r="P35" s="2">
        <v>15</v>
      </c>
      <c r="S35" s="16">
        <f>IFERROR(VLOOKUP($D35&amp;$C35,生产方式定位!$A$2:$E$38,3,FALSE)+VLOOKUP($E35&amp;$C35,生产方式定位!$F$3:$J$38,3,FALSE),0)</f>
        <v>20</v>
      </c>
      <c r="T35" s="2" t="s">
        <v>28</v>
      </c>
      <c r="U35" s="2">
        <v>1</v>
      </c>
      <c r="X35" s="16">
        <f>IFERROR(VLOOKUP($D35&amp;$C35,生产方式定位!$A$2:$E$38,5,FALSE)+VLOOKUP($E35&amp;$C35,生产方式定位!$F$3:$J$38,5,FALSE),"错误")</f>
        <v>0</v>
      </c>
      <c r="Y35" s="26" t="str">
        <f t="shared" si="32"/>
        <v>煤*3</v>
      </c>
      <c r="Z35" s="36" t="str">
        <f t="shared" si="33"/>
        <v>劳工*-603,工程师*101</v>
      </c>
      <c r="AA35" s="36" t="str">
        <f t="shared" si="34"/>
        <v>饮品*0</v>
      </c>
      <c r="AB35" s="27" t="str">
        <f t="shared" si="35"/>
        <v>-100%</v>
      </c>
      <c r="AC35" s="2">
        <f t="shared" si="36"/>
        <v>-120</v>
      </c>
      <c r="AD35" s="38">
        <f t="shared" si="37"/>
        <v>3</v>
      </c>
      <c r="AE35" t="str">
        <f t="shared" si="38"/>
        <v>煤*3</v>
      </c>
      <c r="AF35" t="str">
        <f t="shared" si="39"/>
        <v/>
      </c>
      <c r="AG35" t="str">
        <f t="shared" si="40"/>
        <v>劳工*-603</v>
      </c>
      <c r="AH35" t="str">
        <f t="shared" si="41"/>
        <v>工程师*101</v>
      </c>
      <c r="AI35" t="str">
        <f t="shared" si="42"/>
        <v/>
      </c>
      <c r="AJ35" t="str">
        <f t="shared" si="43"/>
        <v>饮品*0</v>
      </c>
      <c r="AK35" t="str">
        <f t="shared" si="44"/>
        <v/>
      </c>
      <c r="AL35">
        <f>IFERROR(ROUND(L35*(G35/$AU35)/VLOOKUP(F35,商品!$A$4:$B$60,2,FALSE),0),"")</f>
        <v>3</v>
      </c>
      <c r="AM35" t="str">
        <f>IFERROR(ROUND(L35*(I35/$AU35)/VLOOKUP(H35,商品!$A$4:$B$60,2,FALSE),0),"")</f>
        <v/>
      </c>
      <c r="AN35">
        <f>IFERROR(ROUND(L35*(J35/$AU35)/VLOOKUP("运力",商品!$A$4:$B$60,2,FALSE),0),0)</f>
        <v>0</v>
      </c>
      <c r="AO35">
        <f>IFERROR(ROUND(L35*(K35/$AU35)/VLOOKUP("交易",商品!$A$4:$B$60,2,FALSE),0),0)</f>
        <v>0</v>
      </c>
      <c r="AP35">
        <f>IFERROR(ROUND(S35*(N35/$AV35)/VLOOKUP(M35,职业!$A$4:$G$16,4,FALSE),0),"")</f>
        <v>-603</v>
      </c>
      <c r="AQ35">
        <f>IFERROR(ROUND(S35*(P35/$AV35)/VLOOKUP(O35,职业!$A$4:$G$16,4,FALSE),0),"")</f>
        <v>101</v>
      </c>
      <c r="AR35" t="str">
        <f>IFERROR(ROUND(S35*(R35/$AV35)/VLOOKUP(Q35,职业!$A$4:$G$16,4,FALSE),0),"")</f>
        <v/>
      </c>
      <c r="AS35">
        <f>IFERROR(ROUND(X35*(U35/$AW35)/VLOOKUP(T35,商品!$A$4:$B$60,2,FALSE),0),"")</f>
        <v>0</v>
      </c>
      <c r="AT35" t="str">
        <f>IFERROR(ROUND(X35*(W35/$AW35)/VLOOKUP(V35,商品!$A$4:$B$60,2,FALSE),0),"")</f>
        <v/>
      </c>
      <c r="AU35">
        <f t="shared" si="45"/>
        <v>10</v>
      </c>
      <c r="AV35">
        <f t="shared" si="46"/>
        <v>45</v>
      </c>
      <c r="AW35">
        <f t="shared" si="47"/>
        <v>1</v>
      </c>
    </row>
    <row r="36" spans="1:49" ht="19.95" customHeight="1" x14ac:dyDescent="0.25">
      <c r="A36" s="16" t="s">
        <v>497</v>
      </c>
      <c r="B36" s="2" t="s">
        <v>501</v>
      </c>
      <c r="C36" s="16">
        <v>4</v>
      </c>
      <c r="D36" s="23" t="s">
        <v>174</v>
      </c>
      <c r="E36" s="23" t="s">
        <v>175</v>
      </c>
      <c r="F36" s="2" t="s">
        <v>45</v>
      </c>
      <c r="G36" s="2">
        <v>5</v>
      </c>
      <c r="H36" s="2" t="s">
        <v>19</v>
      </c>
      <c r="I36" s="2">
        <v>10</v>
      </c>
      <c r="L36" s="16">
        <f>IFERROR(VLOOKUP($D36&amp;$C36,生产方式定位!$A$2:$E$38,2,FALSE)+VLOOKUP($E36&amp;$C36,生产方式定位!$F$3:$J$38,2,FALSE),0)</f>
        <v>150</v>
      </c>
      <c r="M36" s="2" t="s">
        <v>80</v>
      </c>
      <c r="N36" s="2">
        <v>-30</v>
      </c>
      <c r="O36" s="2" t="s">
        <v>73</v>
      </c>
      <c r="P36" s="2">
        <v>15</v>
      </c>
      <c r="S36" s="16">
        <f>IFERROR(VLOOKUP($D36&amp;$C36,生产方式定位!$A$2:$E$38,3,FALSE)+VLOOKUP($E36&amp;$C36,生产方式定位!$F$3:$J$38,3,FALSE),0)</f>
        <v>30</v>
      </c>
      <c r="T36" s="2" t="s">
        <v>28</v>
      </c>
      <c r="U36" s="2">
        <v>1</v>
      </c>
      <c r="X36" s="16">
        <f>IFERROR(VLOOKUP($D36&amp;$C36,生产方式定位!$A$2:$E$38,5,FALSE)+VLOOKUP($E36&amp;$C36,生产方式定位!$F$3:$J$38,5,FALSE),"错误")</f>
        <v>0</v>
      </c>
      <c r="Y36" s="26" t="str">
        <f t="shared" si="32"/>
        <v>科学引擎*1,煤*3</v>
      </c>
      <c r="Z36" s="36" t="str">
        <f t="shared" si="33"/>
        <v>劳工*-905,工程师*151</v>
      </c>
      <c r="AA36" s="36" t="str">
        <f t="shared" si="34"/>
        <v>饮品*0</v>
      </c>
      <c r="AB36" s="27" t="str">
        <f t="shared" si="35"/>
        <v>-100%</v>
      </c>
      <c r="AC36" s="2">
        <f t="shared" si="36"/>
        <v>-180</v>
      </c>
      <c r="AD36" s="38">
        <f t="shared" si="37"/>
        <v>4</v>
      </c>
      <c r="AE36" t="str">
        <f t="shared" si="38"/>
        <v>科学引擎*1</v>
      </c>
      <c r="AF36" t="str">
        <f t="shared" si="39"/>
        <v>煤*3</v>
      </c>
      <c r="AG36" t="str">
        <f t="shared" si="40"/>
        <v>劳工*-905</v>
      </c>
      <c r="AH36" t="str">
        <f t="shared" si="41"/>
        <v>工程师*151</v>
      </c>
      <c r="AI36" t="str">
        <f t="shared" si="42"/>
        <v/>
      </c>
      <c r="AJ36" t="str">
        <f t="shared" si="43"/>
        <v>饮品*0</v>
      </c>
      <c r="AK36" t="str">
        <f t="shared" si="44"/>
        <v/>
      </c>
      <c r="AL36">
        <f>IFERROR(ROUND(L36*(G36/$AU36)/VLOOKUP(F36,商品!$A$4:$B$60,2,FALSE),0),"")</f>
        <v>1</v>
      </c>
      <c r="AM36">
        <f>IFERROR(ROUND(L36*(I36/$AU36)/VLOOKUP(H36,商品!$A$4:$B$60,2,FALSE),0),"")</f>
        <v>3</v>
      </c>
      <c r="AN36">
        <f>IFERROR(ROUND(L36*(J36/$AU36)/VLOOKUP("运力",商品!$A$4:$B$60,2,FALSE),0),0)</f>
        <v>0</v>
      </c>
      <c r="AO36">
        <f>IFERROR(ROUND(L36*(K36/$AU36)/VLOOKUP("交易",商品!$A$4:$B$60,2,FALSE),0),0)</f>
        <v>0</v>
      </c>
      <c r="AP36">
        <f>IFERROR(ROUND(S36*(N36/$AV36)/VLOOKUP(M36,职业!$A$4:$G$16,4,FALSE),0),"")</f>
        <v>-905</v>
      </c>
      <c r="AQ36">
        <f>IFERROR(ROUND(S36*(P36/$AV36)/VLOOKUP(O36,职业!$A$4:$G$16,4,FALSE),0),"")</f>
        <v>151</v>
      </c>
      <c r="AR36" t="str">
        <f>IFERROR(ROUND(S36*(R36/$AV36)/VLOOKUP(Q36,职业!$A$4:$G$16,4,FALSE),0),"")</f>
        <v/>
      </c>
      <c r="AS36">
        <f>IFERROR(ROUND(X36*(U36/$AW36)/VLOOKUP(T36,商品!$A$4:$B$60,2,FALSE),0),"")</f>
        <v>0</v>
      </c>
      <c r="AT36" t="str">
        <f>IFERROR(ROUND(X36*(W36/$AW36)/VLOOKUP(V36,商品!$A$4:$B$60,2,FALSE),0),"")</f>
        <v/>
      </c>
      <c r="AU36">
        <f t="shared" si="45"/>
        <v>15</v>
      </c>
      <c r="AV36">
        <f t="shared" si="46"/>
        <v>45</v>
      </c>
      <c r="AW36">
        <f t="shared" si="47"/>
        <v>1</v>
      </c>
    </row>
    <row r="37" spans="1:49" ht="19.95" customHeight="1" x14ac:dyDescent="0.25">
      <c r="A37" s="16" t="s">
        <v>497</v>
      </c>
      <c r="B37" s="2" t="s">
        <v>502</v>
      </c>
      <c r="C37" s="16">
        <v>5</v>
      </c>
      <c r="D37" s="23" t="s">
        <v>174</v>
      </c>
      <c r="E37" s="23" t="s">
        <v>175</v>
      </c>
      <c r="F37" s="2" t="s">
        <v>46</v>
      </c>
      <c r="G37" s="2">
        <v>5</v>
      </c>
      <c r="H37" s="2" t="s">
        <v>19</v>
      </c>
      <c r="I37" s="2">
        <v>10</v>
      </c>
      <c r="L37" s="16">
        <f>IFERROR(VLOOKUP($D37&amp;$C37,生产方式定位!$A$2:$E$38,2,FALSE)+VLOOKUP($E37&amp;$C37,生产方式定位!$F$3:$J$38,2,FALSE),0)</f>
        <v>200</v>
      </c>
      <c r="M37" s="2" t="s">
        <v>80</v>
      </c>
      <c r="N37" s="2">
        <v>-30</v>
      </c>
      <c r="O37" s="2" t="s">
        <v>73</v>
      </c>
      <c r="P37" s="2">
        <v>15</v>
      </c>
      <c r="S37" s="16">
        <f>IFERROR(VLOOKUP($D37&amp;$C37,生产方式定位!$A$2:$E$38,3,FALSE)+VLOOKUP($E37&amp;$C37,生产方式定位!$F$3:$J$38,3,FALSE),0)</f>
        <v>40</v>
      </c>
      <c r="T37" s="2" t="s">
        <v>28</v>
      </c>
      <c r="U37" s="2">
        <v>1</v>
      </c>
      <c r="X37" s="16">
        <f>IFERROR(VLOOKUP($D37&amp;$C37,生产方式定位!$A$2:$E$38,5,FALSE)+VLOOKUP($E37&amp;$C37,生产方式定位!$F$3:$J$38,5,FALSE),"错误")</f>
        <v>0</v>
      </c>
      <c r="Y37" s="26" t="str">
        <f t="shared" si="32"/>
        <v>魔导引擎*1,煤*4</v>
      </c>
      <c r="Z37" s="36" t="str">
        <f t="shared" si="33"/>
        <v>劳工*-1207,工程师*201</v>
      </c>
      <c r="AA37" s="36" t="str">
        <f t="shared" si="34"/>
        <v>饮品*0</v>
      </c>
      <c r="AB37" s="27" t="str">
        <f t="shared" si="35"/>
        <v>-100%</v>
      </c>
      <c r="AC37" s="2">
        <f t="shared" si="36"/>
        <v>-240</v>
      </c>
      <c r="AD37" s="38">
        <f t="shared" si="37"/>
        <v>5</v>
      </c>
      <c r="AE37" t="str">
        <f t="shared" si="38"/>
        <v>魔导引擎*1</v>
      </c>
      <c r="AF37" t="str">
        <f t="shared" si="39"/>
        <v>煤*4</v>
      </c>
      <c r="AG37" t="str">
        <f t="shared" si="40"/>
        <v>劳工*-1207</v>
      </c>
      <c r="AH37" t="str">
        <f t="shared" si="41"/>
        <v>工程师*201</v>
      </c>
      <c r="AI37" t="str">
        <f t="shared" si="42"/>
        <v/>
      </c>
      <c r="AJ37" t="str">
        <f t="shared" si="43"/>
        <v>饮品*0</v>
      </c>
      <c r="AK37" t="str">
        <f t="shared" si="44"/>
        <v/>
      </c>
      <c r="AL37">
        <f>IFERROR(ROUND(L37*(G37/$AU37)/VLOOKUP(F37,商品!$A$4:$B$60,2,FALSE),0),"")</f>
        <v>1</v>
      </c>
      <c r="AM37">
        <f>IFERROR(ROUND(L37*(I37/$AU37)/VLOOKUP(H37,商品!$A$4:$B$60,2,FALSE),0),"")</f>
        <v>4</v>
      </c>
      <c r="AN37">
        <f>IFERROR(ROUND(L37*(J37/$AU37)/VLOOKUP("运力",商品!$A$4:$B$60,2,FALSE),0),0)</f>
        <v>0</v>
      </c>
      <c r="AO37">
        <f>IFERROR(ROUND(L37*(K37/$AU37)/VLOOKUP("交易",商品!$A$4:$B$60,2,FALSE),0),0)</f>
        <v>0</v>
      </c>
      <c r="AP37">
        <f>IFERROR(ROUND(S37*(N37/$AV37)/VLOOKUP(M37,职业!$A$4:$G$16,4,FALSE),0),"")</f>
        <v>-1207</v>
      </c>
      <c r="AQ37">
        <f>IFERROR(ROUND(S37*(P37/$AV37)/VLOOKUP(O37,职业!$A$4:$G$16,4,FALSE),0),"")</f>
        <v>201</v>
      </c>
      <c r="AR37" t="str">
        <f>IFERROR(ROUND(S37*(R37/$AV37)/VLOOKUP(Q37,职业!$A$4:$G$16,4,FALSE),0),"")</f>
        <v/>
      </c>
      <c r="AS37">
        <f>IFERROR(ROUND(X37*(U37/$AW37)/VLOOKUP(T37,商品!$A$4:$B$60,2,FALSE),0),"")</f>
        <v>0</v>
      </c>
      <c r="AT37" t="str">
        <f>IFERROR(ROUND(X37*(W37/$AW37)/VLOOKUP(V37,商品!$A$4:$B$60,2,FALSE),0),"")</f>
        <v/>
      </c>
      <c r="AU37">
        <f t="shared" si="45"/>
        <v>15</v>
      </c>
      <c r="AV37">
        <f t="shared" si="46"/>
        <v>45</v>
      </c>
      <c r="AW37">
        <f t="shared" si="47"/>
        <v>1</v>
      </c>
    </row>
    <row r="38" spans="1:49" ht="19.95" customHeight="1" x14ac:dyDescent="0.25">
      <c r="A38" s="15" t="s">
        <v>497</v>
      </c>
      <c r="B38" s="2" t="s">
        <v>498</v>
      </c>
      <c r="C38" s="15">
        <v>1</v>
      </c>
      <c r="D38" s="23" t="s">
        <v>174</v>
      </c>
      <c r="E38" s="23" t="s">
        <v>177</v>
      </c>
      <c r="L38" s="15">
        <f>IFERROR(VLOOKUP($D38&amp;$C38,生产方式定位!$A$2:$E$38,2,FALSE)+VLOOKUP($E38&amp;$C38,生产方式定位!$F$3:$J$38,2,FALSE),0)</f>
        <v>0</v>
      </c>
      <c r="S38" s="15">
        <f>IFERROR(VLOOKUP($D38&amp;$C38,生产方式定位!$A$2:$E$38,3,FALSE)+VLOOKUP($E38&amp;$C38,生产方式定位!$F$3:$J$38,3,FALSE),0)</f>
        <v>0</v>
      </c>
      <c r="X38" s="15">
        <f>IFERROR(VLOOKUP($D38&amp;$C38,生产方式定位!$A$2:$E$38,5,FALSE)+VLOOKUP($E38&amp;$C38,生产方式定位!$F$3:$J$38,5,FALSE),"错误")</f>
        <v>0</v>
      </c>
      <c r="Y38" s="26" t="str">
        <f t="shared" si="32"/>
        <v/>
      </c>
      <c r="Z38" s="36" t="str">
        <f t="shared" si="33"/>
        <v/>
      </c>
      <c r="AA38" s="36" t="str">
        <f t="shared" si="34"/>
        <v/>
      </c>
      <c r="AB38" s="27" t="str">
        <f t="shared" si="35"/>
        <v/>
      </c>
      <c r="AC38" s="2" t="str">
        <f t="shared" si="36"/>
        <v/>
      </c>
      <c r="AD38" s="37">
        <f t="shared" si="37"/>
        <v>1</v>
      </c>
      <c r="AE38" t="str">
        <f t="shared" si="38"/>
        <v/>
      </c>
      <c r="AF38" t="str">
        <f t="shared" si="39"/>
        <v/>
      </c>
      <c r="AG38" t="str">
        <f t="shared" si="40"/>
        <v/>
      </c>
      <c r="AH38" t="str">
        <f t="shared" si="41"/>
        <v/>
      </c>
      <c r="AI38" t="str">
        <f t="shared" si="42"/>
        <v/>
      </c>
      <c r="AJ38" t="str">
        <f t="shared" si="43"/>
        <v/>
      </c>
      <c r="AK38" t="str">
        <f t="shared" si="44"/>
        <v/>
      </c>
      <c r="AL38" t="str">
        <f>IFERROR(ROUND(L38*(G38/$AU38)/VLOOKUP(F38,商品!$A$4:$B$60,2,FALSE),0),"")</f>
        <v/>
      </c>
      <c r="AM38" t="str">
        <f>IFERROR(ROUND(L38*(I38/$AU38)/VLOOKUP(H38,商品!$A$4:$B$60,2,FALSE),0),"")</f>
        <v/>
      </c>
      <c r="AN38">
        <f>IFERROR(ROUND(L38*(J38/$AU38)/VLOOKUP("运力",商品!$A$4:$B$60,2,FALSE),0),0)</f>
        <v>0</v>
      </c>
      <c r="AO38">
        <f>IFERROR(ROUND(L38*(K38/$AU38)/VLOOKUP("交易",商品!$A$4:$B$60,2,FALSE),0),0)</f>
        <v>0</v>
      </c>
      <c r="AP38" t="str">
        <f>IFERROR(ROUND(S38*(N38/$AV38)/VLOOKUP(M38,职业!$A$4:$G$16,4,FALSE),0),"")</f>
        <v/>
      </c>
      <c r="AQ38" t="str">
        <f>IFERROR(ROUND(S38*(P38/$AV38)/VLOOKUP(O38,职业!$A$4:$G$16,4,FALSE),0),"")</f>
        <v/>
      </c>
      <c r="AR38" t="str">
        <f>IFERROR(ROUND(S38*(R38/$AV38)/VLOOKUP(Q38,职业!$A$4:$G$16,4,FALSE),0),"")</f>
        <v/>
      </c>
      <c r="AS38" t="str">
        <f>IFERROR(ROUND(X38*(U38/$AW38)/VLOOKUP(T38,商品!$A$4:$B$60,2,FALSE),0),"")</f>
        <v/>
      </c>
      <c r="AT38" t="str">
        <f>IFERROR(ROUND(X38*(W38/$AW38)/VLOOKUP(V38,商品!$A$4:$B$60,2,FALSE),0),"")</f>
        <v/>
      </c>
      <c r="AU38">
        <f t="shared" si="45"/>
        <v>0</v>
      </c>
      <c r="AV38">
        <f t="shared" si="46"/>
        <v>0</v>
      </c>
      <c r="AW38">
        <f t="shared" si="47"/>
        <v>0</v>
      </c>
    </row>
    <row r="39" spans="1:49" ht="19.95" customHeight="1" x14ac:dyDescent="0.25">
      <c r="A39" s="15" t="s">
        <v>497</v>
      </c>
      <c r="B39" s="2" t="s">
        <v>503</v>
      </c>
      <c r="C39" s="15">
        <v>2</v>
      </c>
      <c r="D39" s="23" t="s">
        <v>174</v>
      </c>
      <c r="E39" s="23" t="s">
        <v>177</v>
      </c>
      <c r="F39" s="2" t="s">
        <v>42</v>
      </c>
      <c r="G39" s="2">
        <v>5</v>
      </c>
      <c r="H39" s="2" t="s">
        <v>20</v>
      </c>
      <c r="I39" s="2">
        <v>10</v>
      </c>
      <c r="L39" s="15">
        <f>IFERROR(VLOOKUP($D39&amp;$C39,生产方式定位!$A$2:$E$38,2,FALSE)+VLOOKUP($E39&amp;$C39,生产方式定位!$F$3:$J$38,2,FALSE),0)</f>
        <v>105</v>
      </c>
      <c r="M39" s="2" t="s">
        <v>80</v>
      </c>
      <c r="N39" s="2">
        <v>-30</v>
      </c>
      <c r="O39" s="2" t="s">
        <v>74</v>
      </c>
      <c r="P39" s="2">
        <v>5</v>
      </c>
      <c r="S39" s="15">
        <f>IFERROR(VLOOKUP($D39&amp;$C39,生产方式定位!$A$2:$E$38,3,FALSE)+VLOOKUP($E39&amp;$C39,生产方式定位!$F$3:$J$38,3,FALSE),0)</f>
        <v>15</v>
      </c>
      <c r="T39" s="2" t="s">
        <v>28</v>
      </c>
      <c r="U39" s="2">
        <v>1</v>
      </c>
      <c r="X39" s="15">
        <f>IFERROR(VLOOKUP($D39&amp;$C39,生产方式定位!$A$2:$E$38,5,FALSE)+VLOOKUP($E39&amp;$C39,生产方式定位!$F$3:$J$38,5,FALSE),"错误")</f>
        <v>0</v>
      </c>
      <c r="Y39" s="26" t="str">
        <f t="shared" si="32"/>
        <v>魔偶*1,灵能水晶*2</v>
      </c>
      <c r="Z39" s="36" t="str">
        <f t="shared" si="33"/>
        <v>劳工*-582,法士*24</v>
      </c>
      <c r="AA39" s="36" t="str">
        <f t="shared" si="34"/>
        <v>饮品*0</v>
      </c>
      <c r="AB39" s="27" t="str">
        <f t="shared" si="35"/>
        <v>-100%</v>
      </c>
      <c r="AC39" s="2">
        <f t="shared" si="36"/>
        <v>-120</v>
      </c>
      <c r="AD39" s="37">
        <f t="shared" si="37"/>
        <v>2</v>
      </c>
      <c r="AE39" t="str">
        <f t="shared" si="38"/>
        <v>魔偶*1</v>
      </c>
      <c r="AF39" t="str">
        <f t="shared" si="39"/>
        <v>灵能水晶*2</v>
      </c>
      <c r="AG39" t="str">
        <f t="shared" si="40"/>
        <v>劳工*-582</v>
      </c>
      <c r="AH39" t="str">
        <f t="shared" si="41"/>
        <v>法士*24</v>
      </c>
      <c r="AI39" t="str">
        <f t="shared" si="42"/>
        <v/>
      </c>
      <c r="AJ39" t="str">
        <f t="shared" si="43"/>
        <v>饮品*0</v>
      </c>
      <c r="AK39" t="str">
        <f t="shared" si="44"/>
        <v/>
      </c>
      <c r="AL39">
        <f>IFERROR(ROUND(L39*(G39/$AU39)/VLOOKUP(F39,商品!$A$4:$B$60,2,FALSE),0),"")</f>
        <v>1</v>
      </c>
      <c r="AM39">
        <f>IFERROR(ROUND(L39*(I39/$AU39)/VLOOKUP(H39,商品!$A$4:$B$60,2,FALSE),0),"")</f>
        <v>2</v>
      </c>
      <c r="AN39">
        <f>IFERROR(ROUND(L39*(J39/$AU39)/VLOOKUP("运力",商品!$A$4:$B$60,2,FALSE),0),0)</f>
        <v>0</v>
      </c>
      <c r="AO39">
        <f>IFERROR(ROUND(L39*(K39/$AU39)/VLOOKUP("交易",商品!$A$4:$B$60,2,FALSE),0),0)</f>
        <v>0</v>
      </c>
      <c r="AP39">
        <f>IFERROR(ROUND(S39*(N39/$AV39)/VLOOKUP(M39,职业!$A$4:$G$16,4,FALSE),0),"")</f>
        <v>-582</v>
      </c>
      <c r="AQ39">
        <f>IFERROR(ROUND(S39*(P39/$AV39)/VLOOKUP(O39,职业!$A$4:$G$16,4,FALSE),0),"")</f>
        <v>24</v>
      </c>
      <c r="AR39" t="str">
        <f>IFERROR(ROUND(S39*(R39/$AV39)/VLOOKUP(Q39,职业!$A$4:$G$16,4,FALSE),0),"")</f>
        <v/>
      </c>
      <c r="AS39">
        <f>IFERROR(ROUND(X39*(U39/$AW39)/VLOOKUP(T39,商品!$A$4:$B$60,2,FALSE),0),"")</f>
        <v>0</v>
      </c>
      <c r="AT39" t="str">
        <f>IFERROR(ROUND(X39*(W39/$AW39)/VLOOKUP(V39,商品!$A$4:$B$60,2,FALSE),0),"")</f>
        <v/>
      </c>
      <c r="AU39">
        <f t="shared" si="45"/>
        <v>15</v>
      </c>
      <c r="AV39">
        <f t="shared" si="46"/>
        <v>35</v>
      </c>
      <c r="AW39">
        <f t="shared" si="47"/>
        <v>1</v>
      </c>
    </row>
    <row r="40" spans="1:49" ht="19.95" customHeight="1" x14ac:dyDescent="0.25">
      <c r="A40" s="15" t="s">
        <v>497</v>
      </c>
      <c r="B40" s="2" t="s">
        <v>504</v>
      </c>
      <c r="C40" s="15">
        <v>3</v>
      </c>
      <c r="D40" s="23" t="s">
        <v>174</v>
      </c>
      <c r="E40" s="23" t="s">
        <v>177</v>
      </c>
      <c r="F40" s="2" t="s">
        <v>42</v>
      </c>
      <c r="G40" s="2">
        <v>5</v>
      </c>
      <c r="H40" s="2" t="s">
        <v>20</v>
      </c>
      <c r="I40" s="2">
        <v>10</v>
      </c>
      <c r="L40" s="15">
        <f>IFERROR(VLOOKUP($D40&amp;$C40,生产方式定位!$A$2:$E$38,2,FALSE)+VLOOKUP($E40&amp;$C40,生产方式定位!$F$3:$J$38,2,FALSE),0)</f>
        <v>210</v>
      </c>
      <c r="M40" s="2" t="s">
        <v>80</v>
      </c>
      <c r="N40" s="2">
        <v>-30</v>
      </c>
      <c r="O40" s="2" t="s">
        <v>74</v>
      </c>
      <c r="P40" s="2">
        <v>6</v>
      </c>
      <c r="S40" s="15">
        <f>IFERROR(VLOOKUP($D40&amp;$C40,生产方式定位!$A$2:$E$38,3,FALSE)+VLOOKUP($E40&amp;$C40,生产方式定位!$F$3:$J$38,3,FALSE),0)</f>
        <v>30</v>
      </c>
      <c r="T40" s="2" t="s">
        <v>28</v>
      </c>
      <c r="U40" s="2">
        <v>1</v>
      </c>
      <c r="X40" s="15">
        <f>IFERROR(VLOOKUP($D40&amp;$C40,生产方式定位!$A$2:$E$38,5,FALSE)+VLOOKUP($E40&amp;$C40,生产方式定位!$F$3:$J$38,5,FALSE),"错误")</f>
        <v>0</v>
      </c>
      <c r="Y40" s="26" t="str">
        <f t="shared" si="32"/>
        <v>魔偶*2,灵能水晶*5</v>
      </c>
      <c r="Z40" s="36" t="str">
        <f t="shared" si="33"/>
        <v>劳工*-1131,法士*57</v>
      </c>
      <c r="AA40" s="36" t="str">
        <f t="shared" si="34"/>
        <v>饮品*0</v>
      </c>
      <c r="AB40" s="27" t="str">
        <f t="shared" si="35"/>
        <v>-100%</v>
      </c>
      <c r="AC40" s="2">
        <f t="shared" si="36"/>
        <v>-240</v>
      </c>
      <c r="AD40" s="37">
        <f t="shared" si="37"/>
        <v>3</v>
      </c>
      <c r="AE40" t="str">
        <f t="shared" si="38"/>
        <v>魔偶*2</v>
      </c>
      <c r="AF40" t="str">
        <f t="shared" si="39"/>
        <v>灵能水晶*5</v>
      </c>
      <c r="AG40" t="str">
        <f t="shared" si="40"/>
        <v>劳工*-1131</v>
      </c>
      <c r="AH40" t="str">
        <f t="shared" si="41"/>
        <v>法士*57</v>
      </c>
      <c r="AI40" t="str">
        <f t="shared" si="42"/>
        <v/>
      </c>
      <c r="AJ40" t="str">
        <f t="shared" si="43"/>
        <v>饮品*0</v>
      </c>
      <c r="AK40" t="str">
        <f t="shared" si="44"/>
        <v/>
      </c>
      <c r="AL40">
        <f>IFERROR(ROUND(L40*(G40/$AU40)/VLOOKUP(F40,商品!$A$4:$B$60,2,FALSE),0),"")</f>
        <v>2</v>
      </c>
      <c r="AM40">
        <f>IFERROR(ROUND(L40*(I40/$AU40)/VLOOKUP(H40,商品!$A$4:$B$60,2,FALSE),0),"")</f>
        <v>5</v>
      </c>
      <c r="AN40">
        <f>IFERROR(ROUND(L40*(J40/$AU40)/VLOOKUP("运力",商品!$A$4:$B$60,2,FALSE),0),0)</f>
        <v>0</v>
      </c>
      <c r="AO40">
        <f>IFERROR(ROUND(L40*(K40/$AU40)/VLOOKUP("交易",商品!$A$4:$B$60,2,FALSE),0),0)</f>
        <v>0</v>
      </c>
      <c r="AP40">
        <f>IFERROR(ROUND(S40*(N40/$AV40)/VLOOKUP(M40,职业!$A$4:$G$16,4,FALSE),0),"")</f>
        <v>-1131</v>
      </c>
      <c r="AQ40">
        <f>IFERROR(ROUND(S40*(P40/$AV40)/VLOOKUP(O40,职业!$A$4:$G$16,4,FALSE),0),"")</f>
        <v>57</v>
      </c>
      <c r="AR40" t="str">
        <f>IFERROR(ROUND(S40*(R40/$AV40)/VLOOKUP(Q40,职业!$A$4:$G$16,4,FALSE),0),"")</f>
        <v/>
      </c>
      <c r="AS40">
        <f>IFERROR(ROUND(X40*(U40/$AW40)/VLOOKUP(T40,商品!$A$4:$B$60,2,FALSE),0),"")</f>
        <v>0</v>
      </c>
      <c r="AT40" t="str">
        <f>IFERROR(ROUND(X40*(W40/$AW40)/VLOOKUP(V40,商品!$A$4:$B$60,2,FALSE),0),"")</f>
        <v/>
      </c>
      <c r="AU40">
        <f t="shared" si="45"/>
        <v>15</v>
      </c>
      <c r="AV40">
        <f t="shared" si="46"/>
        <v>36</v>
      </c>
      <c r="AW40">
        <f t="shared" si="47"/>
        <v>1</v>
      </c>
    </row>
    <row r="41" spans="1:49" ht="19.95" customHeight="1" x14ac:dyDescent="0.25">
      <c r="A41" s="15" t="s">
        <v>497</v>
      </c>
      <c r="B41" s="2" t="s">
        <v>505</v>
      </c>
      <c r="C41" s="15">
        <v>4</v>
      </c>
      <c r="D41" s="23" t="s">
        <v>174</v>
      </c>
      <c r="E41" s="23" t="s">
        <v>177</v>
      </c>
      <c r="F41" s="2" t="s">
        <v>42</v>
      </c>
      <c r="G41" s="2">
        <v>5</v>
      </c>
      <c r="H41" s="2" t="s">
        <v>20</v>
      </c>
      <c r="I41" s="2">
        <v>10</v>
      </c>
      <c r="L41" s="15">
        <f>IFERROR(VLOOKUP($D41&amp;$C41,生产方式定位!$A$2:$E$38,2,FALSE)+VLOOKUP($E41&amp;$C41,生产方式定位!$F$3:$J$38,2,FALSE),0)</f>
        <v>315</v>
      </c>
      <c r="M41" s="2" t="s">
        <v>80</v>
      </c>
      <c r="N41" s="2">
        <v>-30</v>
      </c>
      <c r="O41" s="2" t="s">
        <v>74</v>
      </c>
      <c r="P41" s="2">
        <v>8</v>
      </c>
      <c r="S41" s="15">
        <f>IFERROR(VLOOKUP($D41&amp;$C41,生产方式定位!$A$2:$E$38,3,FALSE)+VLOOKUP($E41&amp;$C41,生产方式定位!$F$3:$J$38,3,FALSE),0)</f>
        <v>45</v>
      </c>
      <c r="T41" s="2" t="s">
        <v>28</v>
      </c>
      <c r="U41" s="2">
        <v>1</v>
      </c>
      <c r="X41" s="15">
        <f>IFERROR(VLOOKUP($D41&amp;$C41,生产方式定位!$A$2:$E$38,5,FALSE)+VLOOKUP($E41&amp;$C41,生产方式定位!$F$3:$J$38,5,FALSE),"错误")</f>
        <v>0</v>
      </c>
      <c r="Y41" s="26" t="str">
        <f t="shared" si="32"/>
        <v>魔偶*3,灵能水晶*7</v>
      </c>
      <c r="Z41" s="36" t="str">
        <f t="shared" si="33"/>
        <v>劳工*-1608,法士*107</v>
      </c>
      <c r="AA41" s="36" t="str">
        <f t="shared" si="34"/>
        <v>饮品*0</v>
      </c>
      <c r="AB41" s="27" t="str">
        <f t="shared" si="35"/>
        <v>-100%</v>
      </c>
      <c r="AC41" s="2">
        <f t="shared" si="36"/>
        <v>-360</v>
      </c>
      <c r="AD41" s="37">
        <f t="shared" si="37"/>
        <v>4</v>
      </c>
      <c r="AE41" t="str">
        <f t="shared" si="38"/>
        <v>魔偶*3</v>
      </c>
      <c r="AF41" t="str">
        <f t="shared" si="39"/>
        <v>灵能水晶*7</v>
      </c>
      <c r="AG41" t="str">
        <f t="shared" si="40"/>
        <v>劳工*-1608</v>
      </c>
      <c r="AH41" t="str">
        <f t="shared" si="41"/>
        <v>法士*107</v>
      </c>
      <c r="AI41" t="str">
        <f t="shared" si="42"/>
        <v/>
      </c>
      <c r="AJ41" t="str">
        <f t="shared" si="43"/>
        <v>饮品*0</v>
      </c>
      <c r="AK41" t="str">
        <f t="shared" si="44"/>
        <v/>
      </c>
      <c r="AL41">
        <f>IFERROR(ROUND(L41*(G41/$AU41)/VLOOKUP(F41,商品!$A$4:$B$60,2,FALSE),0),"")</f>
        <v>3</v>
      </c>
      <c r="AM41">
        <f>IFERROR(ROUND(L41*(I41/$AU41)/VLOOKUP(H41,商品!$A$4:$B$60,2,FALSE),0),"")</f>
        <v>7</v>
      </c>
      <c r="AN41">
        <f>IFERROR(ROUND(L41*(J41/$AU41)/VLOOKUP("运力",商品!$A$4:$B$60,2,FALSE),0),0)</f>
        <v>0</v>
      </c>
      <c r="AO41">
        <f>IFERROR(ROUND(L41*(K41/$AU41)/VLOOKUP("交易",商品!$A$4:$B$60,2,FALSE),0),0)</f>
        <v>0</v>
      </c>
      <c r="AP41">
        <f>IFERROR(ROUND(S41*(N41/$AV41)/VLOOKUP(M41,职业!$A$4:$G$16,4,FALSE),0),"")</f>
        <v>-1608</v>
      </c>
      <c r="AQ41">
        <f>IFERROR(ROUND(S41*(P41/$AV41)/VLOOKUP(O41,职业!$A$4:$G$16,4,FALSE),0),"")</f>
        <v>107</v>
      </c>
      <c r="AR41" t="str">
        <f>IFERROR(ROUND(S41*(R41/$AV41)/VLOOKUP(Q41,职业!$A$4:$G$16,4,FALSE),0),"")</f>
        <v/>
      </c>
      <c r="AS41">
        <f>IFERROR(ROUND(X41*(U41/$AW41)/VLOOKUP(T41,商品!$A$4:$B$60,2,FALSE),0),"")</f>
        <v>0</v>
      </c>
      <c r="AT41" t="str">
        <f>IFERROR(ROUND(X41*(W41/$AW41)/VLOOKUP(V41,商品!$A$4:$B$60,2,FALSE),0),"")</f>
        <v/>
      </c>
      <c r="AU41">
        <f t="shared" si="45"/>
        <v>15</v>
      </c>
      <c r="AV41">
        <f t="shared" si="46"/>
        <v>38</v>
      </c>
      <c r="AW41">
        <f t="shared" si="47"/>
        <v>1</v>
      </c>
    </row>
    <row r="42" spans="1:49" ht="19.95" customHeight="1" x14ac:dyDescent="0.25">
      <c r="A42" s="15" t="s">
        <v>497</v>
      </c>
      <c r="B42" s="2" t="s">
        <v>506</v>
      </c>
      <c r="C42" s="15">
        <v>5</v>
      </c>
      <c r="D42" s="23" t="s">
        <v>174</v>
      </c>
      <c r="E42" s="23" t="s">
        <v>177</v>
      </c>
      <c r="F42" s="2" t="s">
        <v>42</v>
      </c>
      <c r="G42" s="2">
        <v>5</v>
      </c>
      <c r="H42" s="2" t="s">
        <v>20</v>
      </c>
      <c r="I42" s="2">
        <v>10</v>
      </c>
      <c r="L42" s="15">
        <f>IFERROR(VLOOKUP($D42&amp;$C42,生产方式定位!$A$2:$E$38,2,FALSE)+VLOOKUP($E42&amp;$C42,生产方式定位!$F$3:$J$38,2,FALSE),0)</f>
        <v>420</v>
      </c>
      <c r="M42" s="2" t="s">
        <v>80</v>
      </c>
      <c r="N42" s="2">
        <v>-30</v>
      </c>
      <c r="O42" s="2" t="s">
        <v>74</v>
      </c>
      <c r="P42" s="2">
        <v>9</v>
      </c>
      <c r="S42" s="15">
        <f>IFERROR(VLOOKUP($D42&amp;$C42,生产方式定位!$A$2:$E$38,3,FALSE)+VLOOKUP($E42&amp;$C42,生产方式定位!$F$3:$J$38,3,FALSE),0)</f>
        <v>60</v>
      </c>
      <c r="T42" s="2" t="s">
        <v>28</v>
      </c>
      <c r="U42" s="2">
        <v>1</v>
      </c>
      <c r="X42" s="15">
        <f>IFERROR(VLOOKUP($D42&amp;$C42,生产方式定位!$A$2:$E$38,5,FALSE)+VLOOKUP($E42&amp;$C42,生产方式定位!$F$3:$J$38,5,FALSE),"错误")</f>
        <v>0</v>
      </c>
      <c r="Y42" s="26" t="str">
        <f t="shared" si="32"/>
        <v>魔偶*4,灵能水晶*9</v>
      </c>
      <c r="Z42" s="36" t="str">
        <f t="shared" si="33"/>
        <v>劳工*-2088,法士*157</v>
      </c>
      <c r="AA42" s="36" t="str">
        <f t="shared" si="34"/>
        <v>饮品*0</v>
      </c>
      <c r="AB42" s="27" t="str">
        <f t="shared" si="35"/>
        <v>-100%</v>
      </c>
      <c r="AC42" s="2">
        <f t="shared" si="36"/>
        <v>-480</v>
      </c>
      <c r="AD42" s="37">
        <f t="shared" si="37"/>
        <v>5</v>
      </c>
      <c r="AE42" t="str">
        <f t="shared" si="38"/>
        <v>魔偶*4</v>
      </c>
      <c r="AF42" t="str">
        <f t="shared" si="39"/>
        <v>灵能水晶*9</v>
      </c>
      <c r="AG42" t="str">
        <f t="shared" si="40"/>
        <v>劳工*-2088</v>
      </c>
      <c r="AH42" t="str">
        <f t="shared" si="41"/>
        <v>法士*157</v>
      </c>
      <c r="AI42" t="str">
        <f t="shared" si="42"/>
        <v/>
      </c>
      <c r="AJ42" t="str">
        <f t="shared" si="43"/>
        <v>饮品*0</v>
      </c>
      <c r="AK42" t="str">
        <f t="shared" si="44"/>
        <v/>
      </c>
      <c r="AL42">
        <f>IFERROR(ROUND(L42*(G42/$AU42)/VLOOKUP(F42,商品!$A$4:$B$60,2,FALSE),0),"")</f>
        <v>4</v>
      </c>
      <c r="AM42">
        <f>IFERROR(ROUND(L42*(I42/$AU42)/VLOOKUP(H42,商品!$A$4:$B$60,2,FALSE),0),"")</f>
        <v>9</v>
      </c>
      <c r="AN42">
        <f>IFERROR(ROUND(L42*(J42/$AU42)/VLOOKUP("运力",商品!$A$4:$B$60,2,FALSE),0),0)</f>
        <v>0</v>
      </c>
      <c r="AO42">
        <f>IFERROR(ROUND(L42*(K42/$AU42)/VLOOKUP("交易",商品!$A$4:$B$60,2,FALSE),0),0)</f>
        <v>0</v>
      </c>
      <c r="AP42">
        <f>IFERROR(ROUND(S42*(N42/$AV42)/VLOOKUP(M42,职业!$A$4:$G$16,4,FALSE),0),"")</f>
        <v>-2088</v>
      </c>
      <c r="AQ42">
        <f>IFERROR(ROUND(S42*(P42/$AV42)/VLOOKUP(O42,职业!$A$4:$G$16,4,FALSE),0),"")</f>
        <v>157</v>
      </c>
      <c r="AR42" t="str">
        <f>IFERROR(ROUND(S42*(R42/$AV42)/VLOOKUP(Q42,职业!$A$4:$G$16,4,FALSE),0),"")</f>
        <v/>
      </c>
      <c r="AS42">
        <f>IFERROR(ROUND(X42*(U42/$AW42)/VLOOKUP(T42,商品!$A$4:$B$60,2,FALSE),0),"")</f>
        <v>0</v>
      </c>
      <c r="AT42" t="str">
        <f>IFERROR(ROUND(X42*(W42/$AW42)/VLOOKUP(V42,商品!$A$4:$B$60,2,FALSE),0),"")</f>
        <v/>
      </c>
      <c r="AU42">
        <f t="shared" si="45"/>
        <v>15</v>
      </c>
      <c r="AV42">
        <f t="shared" si="46"/>
        <v>39</v>
      </c>
      <c r="AW42">
        <f t="shared" si="47"/>
        <v>1</v>
      </c>
    </row>
    <row r="43" spans="1:49" ht="19.95" customHeight="1" x14ac:dyDescent="0.25">
      <c r="A43" s="16" t="s">
        <v>184</v>
      </c>
      <c r="B43" s="2" t="s">
        <v>485</v>
      </c>
      <c r="C43" s="16">
        <v>1</v>
      </c>
      <c r="D43" s="23" t="s">
        <v>174</v>
      </c>
      <c r="E43" s="23" t="s">
        <v>179</v>
      </c>
      <c r="L43" s="16">
        <f>IFERROR(VLOOKUP($D43&amp;$C43,生产方式定位!$A$2:$E$38,2,FALSE)+VLOOKUP($E43&amp;$C43,生产方式定位!$F$3:$J$38,2,FALSE),0)</f>
        <v>0</v>
      </c>
      <c r="S43" s="16">
        <f>IFERROR(VLOOKUP($D43&amp;$C43,生产方式定位!$A$2:$E$38,3,FALSE)+VLOOKUP($E43&amp;$C43,生产方式定位!$F$3:$J$38,3,FALSE),0)</f>
        <v>100</v>
      </c>
      <c r="X43" s="16">
        <f>IFERROR(VLOOKUP($D43&amp;$C43,生产方式定位!$A$2:$E$38,5,FALSE)+VLOOKUP($E43&amp;$C43,生产方式定位!$F$3:$J$38,5,FALSE),"错误")</f>
        <v>100</v>
      </c>
      <c r="Y43" s="26" t="str">
        <f t="shared" si="32"/>
        <v/>
      </c>
      <c r="Z43" s="36" t="str">
        <f t="shared" si="33"/>
        <v/>
      </c>
      <c r="AA43" s="36" t="str">
        <f t="shared" si="34"/>
        <v/>
      </c>
      <c r="AB43" s="27" t="str">
        <f t="shared" si="35"/>
        <v/>
      </c>
      <c r="AC43" s="2" t="str">
        <f t="shared" si="36"/>
        <v/>
      </c>
      <c r="AD43" s="38">
        <f t="shared" si="37"/>
        <v>1</v>
      </c>
      <c r="AE43" t="str">
        <f t="shared" si="38"/>
        <v/>
      </c>
      <c r="AF43" t="str">
        <f t="shared" si="39"/>
        <v/>
      </c>
      <c r="AG43" t="str">
        <f t="shared" si="40"/>
        <v/>
      </c>
      <c r="AH43" t="str">
        <f t="shared" si="41"/>
        <v/>
      </c>
      <c r="AI43" t="str">
        <f t="shared" si="42"/>
        <v/>
      </c>
      <c r="AJ43" t="str">
        <f t="shared" si="43"/>
        <v/>
      </c>
      <c r="AK43" t="str">
        <f t="shared" si="44"/>
        <v/>
      </c>
      <c r="AL43" t="str">
        <f>IFERROR(ROUND(L43*(G43/$AU43)/VLOOKUP(F43,商品!$A$4:$B$60,2,FALSE),0),"")</f>
        <v/>
      </c>
      <c r="AM43" t="str">
        <f>IFERROR(ROUND(L43*(I43/$AU43)/VLOOKUP(H43,商品!$A$4:$B$60,2,FALSE),0),"")</f>
        <v/>
      </c>
      <c r="AN43">
        <f>IFERROR(ROUND(L43*(J43/$AU43)/VLOOKUP("运力",商品!$A$4:$B$60,2,FALSE),0),0)</f>
        <v>0</v>
      </c>
      <c r="AO43">
        <f>IFERROR(ROUND(L43*(K43/$AU43)/VLOOKUP("交易",商品!$A$4:$B$60,2,FALSE),0),0)</f>
        <v>0</v>
      </c>
      <c r="AP43" t="str">
        <f>IFERROR(ROUND(S43*(N43/$AV43)/VLOOKUP(M43,职业!$A$4:$G$16,4,FALSE),0),"")</f>
        <v/>
      </c>
      <c r="AQ43" t="str">
        <f>IFERROR(ROUND(S43*(P43/$AV43)/VLOOKUP(O43,职业!$A$4:$G$16,4,FALSE),0),"")</f>
        <v/>
      </c>
      <c r="AR43" t="str">
        <f>IFERROR(ROUND(S43*(R43/$AV43)/VLOOKUP(Q43,职业!$A$4:$G$16,4,FALSE),0),"")</f>
        <v/>
      </c>
      <c r="AS43" t="str">
        <f>IFERROR(ROUND(X43*(U43/$AW43)/VLOOKUP(T43,商品!$A$4:$B$60,2,FALSE),0),"")</f>
        <v/>
      </c>
      <c r="AT43" t="str">
        <f>IFERROR(ROUND(X43*(W43/$AW43)/VLOOKUP(V43,商品!$A$4:$B$60,2,FALSE),0),"")</f>
        <v/>
      </c>
      <c r="AU43">
        <f t="shared" si="45"/>
        <v>0</v>
      </c>
      <c r="AV43">
        <f t="shared" si="46"/>
        <v>0</v>
      </c>
      <c r="AW43">
        <f t="shared" si="47"/>
        <v>0</v>
      </c>
    </row>
    <row r="44" spans="1:49" ht="19.95" customHeight="1" x14ac:dyDescent="0.25">
      <c r="A44" s="16" t="s">
        <v>184</v>
      </c>
      <c r="B44" s="2" t="s">
        <v>486</v>
      </c>
      <c r="C44" s="16">
        <v>2</v>
      </c>
      <c r="D44" s="23" t="s">
        <v>174</v>
      </c>
      <c r="E44" s="23" t="s">
        <v>179</v>
      </c>
      <c r="L44" s="16">
        <f>IFERROR(VLOOKUP($D44&amp;$C44,生产方式定位!$A$2:$E$38,2,FALSE)+VLOOKUP($E44&amp;$C44,生产方式定位!$F$3:$J$38,2,FALSE),0)</f>
        <v>0</v>
      </c>
      <c r="M44" s="2" t="s">
        <v>72</v>
      </c>
      <c r="N44" s="2">
        <v>1</v>
      </c>
      <c r="S44" s="16">
        <f>IFERROR(VLOOKUP($D44&amp;$C44,生产方式定位!$A$2:$E$38,3,FALSE)+VLOOKUP($E44&amp;$C44,生产方式定位!$F$3:$J$38,3,FALSE),0)</f>
        <v>100</v>
      </c>
      <c r="X44" s="16">
        <f>IFERROR(VLOOKUP($D44&amp;$C44,生产方式定位!$A$2:$E$38,5,FALSE)+VLOOKUP($E44&amp;$C44,生产方式定位!$F$3:$J$38,5,FALSE),"错误")</f>
        <v>100</v>
      </c>
      <c r="Y44" s="26" t="str">
        <f t="shared" si="32"/>
        <v/>
      </c>
      <c r="Z44" s="36" t="str">
        <f t="shared" si="33"/>
        <v>教士*1508</v>
      </c>
      <c r="AA44" s="36" t="str">
        <f t="shared" si="34"/>
        <v/>
      </c>
      <c r="AB44" s="27" t="str">
        <f t="shared" si="35"/>
        <v/>
      </c>
      <c r="AC44" s="2" t="str">
        <f t="shared" si="36"/>
        <v/>
      </c>
      <c r="AD44" s="38">
        <f t="shared" si="37"/>
        <v>2</v>
      </c>
      <c r="AE44" t="str">
        <f t="shared" si="38"/>
        <v/>
      </c>
      <c r="AF44" t="str">
        <f t="shared" si="39"/>
        <v/>
      </c>
      <c r="AG44" t="str">
        <f t="shared" si="40"/>
        <v>教士*1508</v>
      </c>
      <c r="AH44" t="str">
        <f t="shared" si="41"/>
        <v/>
      </c>
      <c r="AI44" t="str">
        <f t="shared" si="42"/>
        <v/>
      </c>
      <c r="AJ44" t="str">
        <f t="shared" si="43"/>
        <v/>
      </c>
      <c r="AK44" t="str">
        <f t="shared" si="44"/>
        <v/>
      </c>
      <c r="AL44" t="str">
        <f>IFERROR(ROUND(L44*(G44/$AU44)/VLOOKUP(F44,商品!$A$4:$B$60,2,FALSE),0),"")</f>
        <v/>
      </c>
      <c r="AM44" t="str">
        <f>IFERROR(ROUND(L44*(I44/$AU44)/VLOOKUP(H44,商品!$A$4:$B$60,2,FALSE),0),"")</f>
        <v/>
      </c>
      <c r="AN44">
        <f>IFERROR(ROUND(L44*(J44/$AU44)/VLOOKUP("运力",商品!$A$4:$B$60,2,FALSE),0),0)</f>
        <v>0</v>
      </c>
      <c r="AO44">
        <f>IFERROR(ROUND(L44*(K44/$AU44)/VLOOKUP("交易",商品!$A$4:$B$60,2,FALSE),0),0)</f>
        <v>0</v>
      </c>
      <c r="AP44">
        <f>IFERROR(ROUND(S44*(N44/$AV44)/VLOOKUP(M44,职业!$A$4:$G$16,4,FALSE),0),"")</f>
        <v>1508</v>
      </c>
      <c r="AQ44" t="str">
        <f>IFERROR(ROUND(S44*(P44/$AV44)/VLOOKUP(O44,职业!$A$4:$G$16,4,FALSE),0),"")</f>
        <v/>
      </c>
      <c r="AR44" t="str">
        <f>IFERROR(ROUND(S44*(R44/$AV44)/VLOOKUP(Q44,职业!$A$4:$G$16,4,FALSE),0),"")</f>
        <v/>
      </c>
      <c r="AS44" t="str">
        <f>IFERROR(ROUND(X44*(U44/$AW44)/VLOOKUP(T44,商品!$A$4:$B$60,2,FALSE),0),"")</f>
        <v/>
      </c>
      <c r="AT44" t="str">
        <f>IFERROR(ROUND(X44*(W44/$AW44)/VLOOKUP(V44,商品!$A$4:$B$60,2,FALSE),0),"")</f>
        <v/>
      </c>
      <c r="AU44">
        <f t="shared" si="45"/>
        <v>0</v>
      </c>
      <c r="AV44">
        <f t="shared" si="46"/>
        <v>1</v>
      </c>
      <c r="AW44">
        <f t="shared" si="47"/>
        <v>0</v>
      </c>
    </row>
    <row r="45" spans="1:49" ht="19.95" customHeight="1" x14ac:dyDescent="0.25">
      <c r="A45" s="16" t="s">
        <v>184</v>
      </c>
      <c r="B45" s="2" t="s">
        <v>487</v>
      </c>
      <c r="C45" s="16">
        <v>3</v>
      </c>
      <c r="D45" s="23" t="s">
        <v>174</v>
      </c>
      <c r="E45" s="23" t="s">
        <v>179</v>
      </c>
      <c r="L45" s="16">
        <f>IFERROR(VLOOKUP($D45&amp;$C45,生产方式定位!$A$2:$E$38,2,FALSE)+VLOOKUP($E45&amp;$C45,生产方式定位!$F$3:$J$38,2,FALSE),0)</f>
        <v>0</v>
      </c>
      <c r="M45" s="2" t="s">
        <v>69</v>
      </c>
      <c r="N45" s="2">
        <v>1</v>
      </c>
      <c r="S45" s="16">
        <f>IFERROR(VLOOKUP($D45&amp;$C45,生产方式定位!$A$2:$E$38,3,FALSE)+VLOOKUP($E45&amp;$C45,生产方式定位!$F$3:$J$38,3,FALSE),0)</f>
        <v>100</v>
      </c>
      <c r="X45" s="16">
        <f>IFERROR(VLOOKUP($D45&amp;$C45,生产方式定位!$A$2:$E$38,5,FALSE)+VLOOKUP($E45&amp;$C45,生产方式定位!$F$3:$J$38,5,FALSE),"错误")</f>
        <v>100</v>
      </c>
      <c r="Y45" s="26" t="str">
        <f t="shared" si="32"/>
        <v/>
      </c>
      <c r="Z45" s="36" t="str">
        <f t="shared" si="33"/>
        <v>资本家*251</v>
      </c>
      <c r="AA45" s="36" t="str">
        <f t="shared" si="34"/>
        <v/>
      </c>
      <c r="AB45" s="27" t="str">
        <f t="shared" si="35"/>
        <v/>
      </c>
      <c r="AC45" s="2" t="str">
        <f t="shared" si="36"/>
        <v/>
      </c>
      <c r="AD45" s="38">
        <f t="shared" si="37"/>
        <v>3</v>
      </c>
      <c r="AE45" t="str">
        <f t="shared" si="38"/>
        <v/>
      </c>
      <c r="AF45" t="str">
        <f t="shared" si="39"/>
        <v/>
      </c>
      <c r="AG45" t="str">
        <f t="shared" si="40"/>
        <v>资本家*251</v>
      </c>
      <c r="AH45" t="str">
        <f t="shared" si="41"/>
        <v/>
      </c>
      <c r="AI45" t="str">
        <f t="shared" si="42"/>
        <v/>
      </c>
      <c r="AJ45" t="str">
        <f t="shared" si="43"/>
        <v/>
      </c>
      <c r="AK45" t="str">
        <f t="shared" si="44"/>
        <v/>
      </c>
      <c r="AL45" t="str">
        <f>IFERROR(ROUND(L45*(G45/$AU45)/VLOOKUP(F45,商品!$A$4:$B$60,2,FALSE),0),"")</f>
        <v/>
      </c>
      <c r="AM45" t="str">
        <f>IFERROR(ROUND(L45*(I45/$AU45)/VLOOKUP(H45,商品!$A$4:$B$60,2,FALSE),0),"")</f>
        <v/>
      </c>
      <c r="AN45">
        <f>IFERROR(ROUND(L45*(J45/$AU45)/VLOOKUP("运力",商品!$A$4:$B$60,2,FALSE),0),0)</f>
        <v>0</v>
      </c>
      <c r="AO45">
        <f>IFERROR(ROUND(L45*(K45/$AU45)/VLOOKUP("交易",商品!$A$4:$B$60,2,FALSE),0),0)</f>
        <v>0</v>
      </c>
      <c r="AP45">
        <f>IFERROR(ROUND(S45*(N45/$AV45)/VLOOKUP(M45,职业!$A$4:$G$16,4,FALSE),0),"")</f>
        <v>251</v>
      </c>
      <c r="AQ45" t="str">
        <f>IFERROR(ROUND(S45*(P45/$AV45)/VLOOKUP(O45,职业!$A$4:$G$16,4,FALSE),0),"")</f>
        <v/>
      </c>
      <c r="AR45" t="str">
        <f>IFERROR(ROUND(S45*(R45/$AV45)/VLOOKUP(Q45,职业!$A$4:$G$16,4,FALSE),0),"")</f>
        <v/>
      </c>
      <c r="AS45" t="str">
        <f>IFERROR(ROUND(X45*(U45/$AW45)/VLOOKUP(T45,商品!$A$4:$B$60,2,FALSE),0),"")</f>
        <v/>
      </c>
      <c r="AT45" t="str">
        <f>IFERROR(ROUND(X45*(W45/$AW45)/VLOOKUP(V45,商品!$A$4:$B$60,2,FALSE),0),"")</f>
        <v/>
      </c>
      <c r="AU45">
        <f t="shared" si="45"/>
        <v>0</v>
      </c>
      <c r="AV45">
        <f t="shared" si="46"/>
        <v>1</v>
      </c>
      <c r="AW45">
        <f t="shared" si="47"/>
        <v>0</v>
      </c>
    </row>
    <row r="46" spans="1:49" ht="19.95" customHeight="1" x14ac:dyDescent="0.25">
      <c r="A46" s="16" t="s">
        <v>184</v>
      </c>
      <c r="B46" s="2" t="s">
        <v>488</v>
      </c>
      <c r="C46" s="16">
        <v>4</v>
      </c>
      <c r="D46" s="23" t="s">
        <v>174</v>
      </c>
      <c r="E46" s="23" t="s">
        <v>179</v>
      </c>
      <c r="L46" s="16">
        <f>IFERROR(VLOOKUP($D46&amp;$C46,生产方式定位!$A$2:$E$38,2,FALSE)+VLOOKUP($E46&amp;$C46,生产方式定位!$F$3:$J$38,2,FALSE),0)</f>
        <v>0</v>
      </c>
      <c r="M46" s="2" t="s">
        <v>69</v>
      </c>
      <c r="N46" s="2">
        <v>1</v>
      </c>
      <c r="S46" s="16">
        <f>IFERROR(VLOOKUP($D46&amp;$C46,生产方式定位!$A$2:$E$38,3,FALSE)+VLOOKUP($E46&amp;$C46,生产方式定位!$F$3:$J$38,3,FALSE),0)</f>
        <v>100</v>
      </c>
      <c r="X46" s="16">
        <f>IFERROR(VLOOKUP($D46&amp;$C46,生产方式定位!$A$2:$E$38,5,FALSE)+VLOOKUP($E46&amp;$C46,生产方式定位!$F$3:$J$38,5,FALSE),"错误")</f>
        <v>100</v>
      </c>
      <c r="Y46" s="26" t="str">
        <f t="shared" si="32"/>
        <v/>
      </c>
      <c r="Z46" s="36" t="str">
        <f t="shared" si="33"/>
        <v>资本家*251</v>
      </c>
      <c r="AA46" s="36" t="str">
        <f t="shared" si="34"/>
        <v/>
      </c>
      <c r="AB46" s="27" t="str">
        <f t="shared" si="35"/>
        <v/>
      </c>
      <c r="AC46" s="2" t="str">
        <f t="shared" si="36"/>
        <v/>
      </c>
      <c r="AD46" s="38">
        <f t="shared" si="37"/>
        <v>4</v>
      </c>
      <c r="AE46" t="str">
        <f t="shared" si="38"/>
        <v/>
      </c>
      <c r="AF46" t="str">
        <f t="shared" si="39"/>
        <v/>
      </c>
      <c r="AG46" t="str">
        <f t="shared" si="40"/>
        <v>资本家*251</v>
      </c>
      <c r="AH46" t="str">
        <f t="shared" si="41"/>
        <v/>
      </c>
      <c r="AI46" t="str">
        <f t="shared" si="42"/>
        <v/>
      </c>
      <c r="AJ46" t="str">
        <f t="shared" si="43"/>
        <v/>
      </c>
      <c r="AK46" t="str">
        <f t="shared" si="44"/>
        <v/>
      </c>
      <c r="AL46" t="str">
        <f>IFERROR(ROUND(L46*(G46/$AU46)/VLOOKUP(F46,商品!$A$4:$B$60,2,FALSE),0),"")</f>
        <v/>
      </c>
      <c r="AM46" t="str">
        <f>IFERROR(ROUND(L46*(I46/$AU46)/VLOOKUP(H46,商品!$A$4:$B$60,2,FALSE),0),"")</f>
        <v/>
      </c>
      <c r="AN46">
        <f>IFERROR(ROUND(L46*(J46/$AU46)/VLOOKUP("运力",商品!$A$4:$B$60,2,FALSE),0),0)</f>
        <v>0</v>
      </c>
      <c r="AO46">
        <f>IFERROR(ROUND(L46*(K46/$AU46)/VLOOKUP("交易",商品!$A$4:$B$60,2,FALSE),0),0)</f>
        <v>0</v>
      </c>
      <c r="AP46">
        <f>IFERROR(ROUND(S46*(N46/$AV46)/VLOOKUP(M46,职业!$A$4:$G$16,4,FALSE),0),"")</f>
        <v>251</v>
      </c>
      <c r="AQ46" t="str">
        <f>IFERROR(ROUND(S46*(P46/$AV46)/VLOOKUP(O46,职业!$A$4:$G$16,4,FALSE),0),"")</f>
        <v/>
      </c>
      <c r="AR46" t="str">
        <f>IFERROR(ROUND(S46*(R46/$AV46)/VLOOKUP(Q46,职业!$A$4:$G$16,4,FALSE),0),"")</f>
        <v/>
      </c>
      <c r="AS46" t="str">
        <f>IFERROR(ROUND(X46*(U46/$AW46)/VLOOKUP(T46,商品!$A$4:$B$60,2,FALSE),0),"")</f>
        <v/>
      </c>
      <c r="AT46" t="str">
        <f>IFERROR(ROUND(X46*(W46/$AW46)/VLOOKUP(V46,商品!$A$4:$B$60,2,FALSE),0),"")</f>
        <v/>
      </c>
      <c r="AU46">
        <f t="shared" si="45"/>
        <v>0</v>
      </c>
      <c r="AV46">
        <f t="shared" si="46"/>
        <v>1</v>
      </c>
      <c r="AW46">
        <f t="shared" si="47"/>
        <v>0</v>
      </c>
    </row>
    <row r="47" spans="1:49" ht="19.95" customHeight="1" x14ac:dyDescent="0.25">
      <c r="A47" s="16" t="s">
        <v>184</v>
      </c>
      <c r="B47" s="2" t="s">
        <v>489</v>
      </c>
      <c r="C47" s="16">
        <v>5</v>
      </c>
      <c r="D47" s="23" t="s">
        <v>174</v>
      </c>
      <c r="E47" s="23" t="s">
        <v>179</v>
      </c>
      <c r="L47" s="16">
        <f>IFERROR(VLOOKUP($D47&amp;$C47,生产方式定位!$A$2:$E$38,2,FALSE)+VLOOKUP($E47&amp;$C47,生产方式定位!$F$3:$J$38,2,FALSE),0)</f>
        <v>0</v>
      </c>
      <c r="M47" s="2" t="s">
        <v>70</v>
      </c>
      <c r="N47" s="2">
        <v>1</v>
      </c>
      <c r="S47" s="16">
        <f>IFERROR(VLOOKUP($D47&amp;$C47,生产方式定位!$A$2:$E$38,3,FALSE)+VLOOKUP($E47&amp;$C47,生产方式定位!$F$3:$J$38,3,FALSE),0)</f>
        <v>100</v>
      </c>
      <c r="X47" s="16">
        <f>IFERROR(VLOOKUP($D47&amp;$C47,生产方式定位!$A$2:$E$38,5,FALSE)+VLOOKUP($E47&amp;$C47,生产方式定位!$F$3:$J$38,5,FALSE),"错误")</f>
        <v>100</v>
      </c>
      <c r="Y47" s="26" t="str">
        <f t="shared" si="32"/>
        <v/>
      </c>
      <c r="Z47" s="36" t="str">
        <f t="shared" si="33"/>
        <v>官僚*1508</v>
      </c>
      <c r="AA47" s="36" t="str">
        <f t="shared" si="34"/>
        <v/>
      </c>
      <c r="AB47" s="27" t="str">
        <f t="shared" si="35"/>
        <v/>
      </c>
      <c r="AC47" s="2" t="str">
        <f t="shared" si="36"/>
        <v/>
      </c>
      <c r="AD47" s="38">
        <f t="shared" si="37"/>
        <v>5</v>
      </c>
      <c r="AE47" t="str">
        <f t="shared" si="38"/>
        <v/>
      </c>
      <c r="AF47" t="str">
        <f t="shared" si="39"/>
        <v/>
      </c>
      <c r="AG47" t="str">
        <f t="shared" si="40"/>
        <v>官僚*1508</v>
      </c>
      <c r="AH47" t="str">
        <f t="shared" si="41"/>
        <v/>
      </c>
      <c r="AI47" t="str">
        <f t="shared" si="42"/>
        <v/>
      </c>
      <c r="AJ47" t="str">
        <f t="shared" si="43"/>
        <v/>
      </c>
      <c r="AK47" t="str">
        <f t="shared" si="44"/>
        <v/>
      </c>
      <c r="AL47" t="str">
        <f>IFERROR(ROUND(L47*(G47/$AU47)/VLOOKUP(F47,商品!$A$4:$B$60,2,FALSE),0),"")</f>
        <v/>
      </c>
      <c r="AM47" t="str">
        <f>IFERROR(ROUND(L47*(I47/$AU47)/VLOOKUP(H47,商品!$A$4:$B$60,2,FALSE),0),"")</f>
        <v/>
      </c>
      <c r="AN47">
        <f>IFERROR(ROUND(L47*(J47/$AU47)/VLOOKUP("运力",商品!$A$4:$B$60,2,FALSE),0),0)</f>
        <v>0</v>
      </c>
      <c r="AO47">
        <f>IFERROR(ROUND(L47*(K47/$AU47)/VLOOKUP("交易",商品!$A$4:$B$60,2,FALSE),0),0)</f>
        <v>0</v>
      </c>
      <c r="AP47">
        <f>IFERROR(ROUND(S47*(N47/$AV47)/VLOOKUP(M47,职业!$A$4:$G$16,4,FALSE),0),"")</f>
        <v>1508</v>
      </c>
      <c r="AQ47" t="str">
        <f>IFERROR(ROUND(S47*(P47/$AV47)/VLOOKUP(O47,职业!$A$4:$G$16,4,FALSE),0),"")</f>
        <v/>
      </c>
      <c r="AR47" t="str">
        <f>IFERROR(ROUND(S47*(R47/$AV47)/VLOOKUP(Q47,职业!$A$4:$G$16,4,FALSE),0),"")</f>
        <v/>
      </c>
      <c r="AS47" t="str">
        <f>IFERROR(ROUND(X47*(U47/$AW47)/VLOOKUP(T47,商品!$A$4:$B$60,2,FALSE),0),"")</f>
        <v/>
      </c>
      <c r="AT47" t="str">
        <f>IFERROR(ROUND(X47*(W47/$AW47)/VLOOKUP(V47,商品!$A$4:$B$60,2,FALSE),0),"")</f>
        <v/>
      </c>
      <c r="AU47">
        <f t="shared" si="45"/>
        <v>0</v>
      </c>
      <c r="AV47">
        <f t="shared" si="46"/>
        <v>1</v>
      </c>
      <c r="AW47">
        <f t="shared" si="47"/>
        <v>0</v>
      </c>
    </row>
    <row r="48" spans="1:49" ht="19.95" customHeight="1" x14ac:dyDescent="0.25">
      <c r="A48" s="16" t="s">
        <v>184</v>
      </c>
      <c r="B48" s="2" t="s">
        <v>490</v>
      </c>
      <c r="C48" s="16">
        <v>6</v>
      </c>
      <c r="D48" s="23" t="s">
        <v>174</v>
      </c>
      <c r="E48" s="23" t="s">
        <v>179</v>
      </c>
      <c r="L48" s="16">
        <f>IFERROR(VLOOKUP($D48&amp;$C48,生产方式定位!$A$2:$E$38,2,FALSE)+VLOOKUP($E48&amp;$C48,生产方式定位!$F$3:$J$38,2,FALSE),0)</f>
        <v>0</v>
      </c>
      <c r="M48" s="2" t="s">
        <v>80</v>
      </c>
      <c r="N48" s="2">
        <v>1</v>
      </c>
      <c r="O48" s="2" t="s">
        <v>73</v>
      </c>
      <c r="P48" s="2">
        <v>1</v>
      </c>
      <c r="S48" s="16">
        <f>IFERROR(VLOOKUP($D48&amp;$C48,生产方式定位!$A$2:$E$38,3,FALSE)+VLOOKUP($E48&amp;$C48,生产方式定位!$F$3:$J$38,3,FALSE),0)</f>
        <v>100</v>
      </c>
      <c r="X48" s="16">
        <f>IFERROR(VLOOKUP($D48&amp;$C48,生产方式定位!$A$2:$E$38,5,FALSE)+VLOOKUP($E48&amp;$C48,生产方式定位!$F$3:$J$38,5,FALSE),"错误")</f>
        <v>100</v>
      </c>
      <c r="Y48" s="26" t="str">
        <f t="shared" si="32"/>
        <v/>
      </c>
      <c r="Z48" s="36" t="str">
        <f t="shared" si="33"/>
        <v>劳工*2262,工程师*754</v>
      </c>
      <c r="AA48" s="36" t="str">
        <f t="shared" si="34"/>
        <v/>
      </c>
      <c r="AB48" s="27" t="str">
        <f t="shared" si="35"/>
        <v/>
      </c>
      <c r="AC48" s="2" t="str">
        <f t="shared" si="36"/>
        <v/>
      </c>
      <c r="AD48" s="37">
        <f t="shared" si="37"/>
        <v>6</v>
      </c>
      <c r="AE48" t="str">
        <f t="shared" si="38"/>
        <v/>
      </c>
      <c r="AF48" t="str">
        <f t="shared" si="39"/>
        <v/>
      </c>
      <c r="AG48" t="str">
        <f t="shared" si="40"/>
        <v>劳工*2262</v>
      </c>
      <c r="AH48" t="str">
        <f t="shared" si="41"/>
        <v>工程师*754</v>
      </c>
      <c r="AI48" t="str">
        <f t="shared" si="42"/>
        <v/>
      </c>
      <c r="AJ48" t="str">
        <f t="shared" si="43"/>
        <v/>
      </c>
      <c r="AK48" t="str">
        <f t="shared" si="44"/>
        <v/>
      </c>
      <c r="AL48" t="str">
        <f>IFERROR(ROUND(L48*(G48/$AU48)/VLOOKUP(F48,商品!$A$4:$B$60,2,FALSE),0),"")</f>
        <v/>
      </c>
      <c r="AM48" t="str">
        <f>IFERROR(ROUND(L48*(I48/$AU48)/VLOOKUP(H48,商品!$A$4:$B$60,2,FALSE),0),"")</f>
        <v/>
      </c>
      <c r="AN48">
        <f>IFERROR(ROUND(L48*(J48/$AU48)/VLOOKUP("运力",商品!$A$4:$B$60,2,FALSE),0),0)</f>
        <v>0</v>
      </c>
      <c r="AO48">
        <f>IFERROR(ROUND(L48*(K48/$AU48)/VLOOKUP("交易",商品!$A$4:$B$60,2,FALSE),0),0)</f>
        <v>0</v>
      </c>
      <c r="AP48">
        <f>IFERROR(ROUND(S48*(N48/$AV48)/VLOOKUP(M48,职业!$A$4:$G$16,4,FALSE),0),"")</f>
        <v>2262</v>
      </c>
      <c r="AQ48">
        <f>IFERROR(ROUND(S48*(P48/$AV48)/VLOOKUP(O48,职业!$A$4:$G$16,4,FALSE),0),"")</f>
        <v>754</v>
      </c>
      <c r="AR48" t="str">
        <f>IFERROR(ROUND(S48*(R48/$AV48)/VLOOKUP(Q48,职业!$A$4:$G$16,4,FALSE),0),"")</f>
        <v/>
      </c>
      <c r="AS48" t="str">
        <f>IFERROR(ROUND(X48*(U48/$AW48)/VLOOKUP(T48,商品!$A$4:$B$60,2,FALSE),0),"")</f>
        <v/>
      </c>
      <c r="AT48" t="str">
        <f>IFERROR(ROUND(X48*(W48/$AW48)/VLOOKUP(V48,商品!$A$4:$B$60,2,FALSE),0),"")</f>
        <v/>
      </c>
      <c r="AU48">
        <f t="shared" si="45"/>
        <v>0</v>
      </c>
      <c r="AV48">
        <f t="shared" si="46"/>
        <v>2</v>
      </c>
      <c r="AW48">
        <f t="shared" si="47"/>
        <v>0</v>
      </c>
    </row>
    <row r="49" spans="1:49" ht="19.95" customHeight="1" x14ac:dyDescent="0.25">
      <c r="A49" s="16" t="s">
        <v>184</v>
      </c>
      <c r="B49" s="2" t="s">
        <v>491</v>
      </c>
      <c r="C49" s="16">
        <v>7</v>
      </c>
      <c r="D49" s="23" t="s">
        <v>174</v>
      </c>
      <c r="E49" s="23" t="s">
        <v>179</v>
      </c>
      <c r="L49" s="16">
        <f>IFERROR(VLOOKUP($D49&amp;$C49,生产方式定位!$A$2:$E$38,2,FALSE)+VLOOKUP($E49&amp;$C49,生产方式定位!$F$3:$J$38,2,FALSE),0)</f>
        <v>0</v>
      </c>
      <c r="M49" s="2" t="s">
        <v>80</v>
      </c>
      <c r="N49" s="2">
        <v>10</v>
      </c>
      <c r="O49" s="2" t="s">
        <v>73</v>
      </c>
      <c r="P49" s="2">
        <v>5</v>
      </c>
      <c r="S49" s="16">
        <f>IFERROR(VLOOKUP($D49&amp;$C49,生产方式定位!$A$2:$E$38,3,FALSE)+VLOOKUP($E49&amp;$C49,生产方式定位!$F$3:$J$38,3,FALSE),0)</f>
        <v>100</v>
      </c>
      <c r="X49" s="16">
        <f>IFERROR(VLOOKUP($D49&amp;$C49,生产方式定位!$A$2:$E$38,5,FALSE)+VLOOKUP($E49&amp;$C49,生产方式定位!$F$3:$J$38,5,FALSE),"错误")</f>
        <v>100</v>
      </c>
      <c r="Y49" s="26" t="str">
        <f t="shared" si="32"/>
        <v/>
      </c>
      <c r="Z49" s="36" t="str">
        <f t="shared" si="33"/>
        <v>劳工*3017,工程师*503</v>
      </c>
      <c r="AA49" s="36" t="str">
        <f t="shared" si="34"/>
        <v/>
      </c>
      <c r="AB49" s="27" t="str">
        <f t="shared" si="35"/>
        <v/>
      </c>
      <c r="AC49" s="2" t="str">
        <f t="shared" si="36"/>
        <v/>
      </c>
      <c r="AD49" s="37">
        <f t="shared" si="37"/>
        <v>7</v>
      </c>
      <c r="AE49" t="str">
        <f t="shared" si="38"/>
        <v/>
      </c>
      <c r="AF49" t="str">
        <f t="shared" si="39"/>
        <v/>
      </c>
      <c r="AG49" t="str">
        <f t="shared" si="40"/>
        <v>劳工*3017</v>
      </c>
      <c r="AH49" t="str">
        <f t="shared" si="41"/>
        <v>工程师*503</v>
      </c>
      <c r="AI49" t="str">
        <f t="shared" si="42"/>
        <v/>
      </c>
      <c r="AJ49" t="str">
        <f t="shared" si="43"/>
        <v/>
      </c>
      <c r="AK49" t="str">
        <f t="shared" si="44"/>
        <v/>
      </c>
      <c r="AL49" t="str">
        <f>IFERROR(ROUND(L49*(G49/$AU49)/VLOOKUP(F49,商品!$A$4:$B$60,2,FALSE),0),"")</f>
        <v/>
      </c>
      <c r="AM49" t="str">
        <f>IFERROR(ROUND(L49*(I49/$AU49)/VLOOKUP(H49,商品!$A$4:$B$60,2,FALSE),0),"")</f>
        <v/>
      </c>
      <c r="AN49">
        <f>IFERROR(ROUND(L49*(J49/$AU49)/VLOOKUP("运力",商品!$A$4:$B$60,2,FALSE),0),0)</f>
        <v>0</v>
      </c>
      <c r="AO49">
        <f>IFERROR(ROUND(L49*(K49/$AU49)/VLOOKUP("交易",商品!$A$4:$B$60,2,FALSE),0),0)</f>
        <v>0</v>
      </c>
      <c r="AP49">
        <f>IFERROR(ROUND(S49*(N49/$AV49)/VLOOKUP(M49,职业!$A$4:$G$16,4,FALSE),0),"")</f>
        <v>3017</v>
      </c>
      <c r="AQ49">
        <f>IFERROR(ROUND(S49*(P49/$AV49)/VLOOKUP(O49,职业!$A$4:$G$16,4,FALSE),0),"")</f>
        <v>503</v>
      </c>
      <c r="AR49" t="str">
        <f>IFERROR(ROUND(S49*(R49/$AV49)/VLOOKUP(Q49,职业!$A$4:$G$16,4,FALSE),0),"")</f>
        <v/>
      </c>
      <c r="AS49" t="str">
        <f>IFERROR(ROUND(X49*(U49/$AW49)/VLOOKUP(T49,商品!$A$4:$B$60,2,FALSE),0),"")</f>
        <v/>
      </c>
      <c r="AT49" t="str">
        <f>IFERROR(ROUND(X49*(W49/$AW49)/VLOOKUP(V49,商品!$A$4:$B$60,2,FALSE),0),"")</f>
        <v/>
      </c>
      <c r="AU49">
        <f t="shared" si="45"/>
        <v>0</v>
      </c>
      <c r="AV49">
        <f t="shared" si="46"/>
        <v>15</v>
      </c>
      <c r="AW49">
        <f t="shared" si="47"/>
        <v>0</v>
      </c>
    </row>
    <row r="50" spans="1:49" ht="19.95" customHeight="1" x14ac:dyDescent="0.25">
      <c r="A50" s="16" t="s">
        <v>184</v>
      </c>
      <c r="B50" s="2" t="s">
        <v>492</v>
      </c>
      <c r="C50" s="16">
        <v>8</v>
      </c>
      <c r="D50" s="23" t="s">
        <v>174</v>
      </c>
      <c r="E50" s="23" t="s">
        <v>179</v>
      </c>
      <c r="L50" s="16">
        <f>IFERROR(VLOOKUP($D50&amp;$C50,生产方式定位!$A$2:$E$38,2,FALSE)+VLOOKUP($E50&amp;$C50,生产方式定位!$F$3:$J$38,2,FALSE),0)</f>
        <v>0</v>
      </c>
      <c r="M50" s="2" t="s">
        <v>74</v>
      </c>
      <c r="N50" s="2">
        <v>1</v>
      </c>
      <c r="S50" s="16">
        <f>IFERROR(VLOOKUP($D50&amp;$C50,生产方式定位!$A$2:$E$38,3,FALSE)+VLOOKUP($E50&amp;$C50,生产方式定位!$F$3:$J$38,3,FALSE),0)</f>
        <v>100</v>
      </c>
      <c r="X50" s="16">
        <f>IFERROR(VLOOKUP($D50&amp;$C50,生产方式定位!$A$2:$E$38,5,FALSE)+VLOOKUP($E50&amp;$C50,生产方式定位!$F$3:$J$38,5,FALSE),"错误")</f>
        <v>100</v>
      </c>
      <c r="Y50" s="26" t="str">
        <f t="shared" si="32"/>
        <v/>
      </c>
      <c r="Z50" s="36" t="str">
        <f t="shared" si="33"/>
        <v>法士*1131</v>
      </c>
      <c r="AA50" s="36" t="str">
        <f t="shared" si="34"/>
        <v/>
      </c>
      <c r="AB50" s="27" t="str">
        <f t="shared" si="35"/>
        <v/>
      </c>
      <c r="AC50" s="2" t="str">
        <f t="shared" si="36"/>
        <v/>
      </c>
      <c r="AD50" s="37">
        <f t="shared" si="37"/>
        <v>8</v>
      </c>
      <c r="AE50" t="str">
        <f t="shared" si="38"/>
        <v/>
      </c>
      <c r="AF50" t="str">
        <f t="shared" si="39"/>
        <v/>
      </c>
      <c r="AG50" t="str">
        <f t="shared" si="40"/>
        <v>法士*1131</v>
      </c>
      <c r="AH50" t="str">
        <f t="shared" si="41"/>
        <v/>
      </c>
      <c r="AI50" t="str">
        <f t="shared" si="42"/>
        <v/>
      </c>
      <c r="AJ50" t="str">
        <f t="shared" si="43"/>
        <v/>
      </c>
      <c r="AK50" t="str">
        <f t="shared" si="44"/>
        <v/>
      </c>
      <c r="AL50" t="str">
        <f>IFERROR(ROUND(L50*(G50/$AU50)/VLOOKUP(F50,商品!$A$4:$B$60,2,FALSE),0),"")</f>
        <v/>
      </c>
      <c r="AM50" t="str">
        <f>IFERROR(ROUND(L50*(I50/$AU50)/VLOOKUP(H50,商品!$A$4:$B$60,2,FALSE),0),"")</f>
        <v/>
      </c>
      <c r="AN50">
        <f>IFERROR(ROUND(L50*(J50/$AU50)/VLOOKUP("运力",商品!$A$4:$B$60,2,FALSE),0),0)</f>
        <v>0</v>
      </c>
      <c r="AO50">
        <f>IFERROR(ROUND(L50*(K50/$AU50)/VLOOKUP("交易",商品!$A$4:$B$60,2,FALSE),0),0)</f>
        <v>0</v>
      </c>
      <c r="AP50">
        <f>IFERROR(ROUND(S50*(N50/$AV50)/VLOOKUP(M50,职业!$A$4:$G$16,4,FALSE),0),"")</f>
        <v>1131</v>
      </c>
      <c r="AQ50" t="str">
        <f>IFERROR(ROUND(S50*(P50/$AV50)/VLOOKUP(O50,职业!$A$4:$G$16,4,FALSE),0),"")</f>
        <v/>
      </c>
      <c r="AR50" t="str">
        <f>IFERROR(ROUND(S50*(R50/$AV50)/VLOOKUP(Q50,职业!$A$4:$G$16,4,FALSE),0),"")</f>
        <v/>
      </c>
      <c r="AS50" t="str">
        <f>IFERROR(ROUND(X50*(U50/$AW50)/VLOOKUP(T50,商品!$A$4:$B$60,2,FALSE),0),"")</f>
        <v/>
      </c>
      <c r="AT50" t="str">
        <f>IFERROR(ROUND(X50*(W50/$AW50)/VLOOKUP(V50,商品!$A$4:$B$60,2,FALSE),0),"")</f>
        <v/>
      </c>
      <c r="AU50">
        <f t="shared" si="45"/>
        <v>0</v>
      </c>
      <c r="AV50">
        <f t="shared" si="46"/>
        <v>1</v>
      </c>
      <c r="AW50">
        <f t="shared" si="47"/>
        <v>0</v>
      </c>
    </row>
    <row r="51" spans="1:49" ht="19.95" customHeight="1" x14ac:dyDescent="0.25">
      <c r="A51" s="15" t="s">
        <v>186</v>
      </c>
      <c r="C51" s="15">
        <v>1</v>
      </c>
      <c r="D51" s="23" t="s">
        <v>171</v>
      </c>
      <c r="E51" s="23" t="s">
        <v>172</v>
      </c>
      <c r="F51" s="2" t="s">
        <v>11</v>
      </c>
      <c r="G51" s="2">
        <v>30</v>
      </c>
      <c r="J51" s="24">
        <v>5</v>
      </c>
      <c r="K51" s="25">
        <v>3</v>
      </c>
      <c r="L51" s="15">
        <f>IFERROR(VLOOKUP($D51&amp;$C51,生产方式定位!$A$2:$E$38,2,FALSE)+VLOOKUP($E51&amp;$C51,生产方式定位!$F$3:$J$38,2,FALSE),0)</f>
        <v>300</v>
      </c>
      <c r="M51" s="2" t="s">
        <v>80</v>
      </c>
      <c r="N51" s="2">
        <v>100</v>
      </c>
      <c r="S51" s="15">
        <f>IFERROR(VLOOKUP($D51&amp;$C51,生产方式定位!$A$2:$E$38,3,FALSE)+VLOOKUP($E51&amp;$C51,生产方式定位!$F$3:$J$38,3,FALSE),0)</f>
        <v>100</v>
      </c>
      <c r="T51" s="2" t="s">
        <v>36</v>
      </c>
      <c r="U51" s="2">
        <v>1</v>
      </c>
      <c r="X51" s="15">
        <f>IFERROR(VLOOKUP($D51&amp;$C51,生产方式定位!$A$2:$E$38,5,FALSE)+VLOOKUP($E51&amp;$C51,生产方式定位!$F$3:$J$38,5,FALSE),"错误")</f>
        <v>520</v>
      </c>
      <c r="Y51" s="26" t="str">
        <f t="shared" si="32"/>
        <v>木材*12,运力*4,交易*2</v>
      </c>
      <c r="Z51" s="36" t="str">
        <f t="shared" si="33"/>
        <v>劳工*4525</v>
      </c>
      <c r="AA51" s="36" t="str">
        <f t="shared" si="34"/>
        <v>纸张*13</v>
      </c>
      <c r="AB51" s="27" t="str">
        <f t="shared" si="35"/>
        <v>73%</v>
      </c>
      <c r="AC51" s="2">
        <f t="shared" si="36"/>
        <v>120</v>
      </c>
      <c r="AD51" s="37">
        <f t="shared" si="37"/>
        <v>1</v>
      </c>
      <c r="AE51" t="str">
        <f t="shared" si="38"/>
        <v>木材*12</v>
      </c>
      <c r="AF51" t="str">
        <f t="shared" si="39"/>
        <v/>
      </c>
      <c r="AG51" t="str">
        <f t="shared" si="40"/>
        <v>劳工*4525</v>
      </c>
      <c r="AH51" t="str">
        <f t="shared" si="41"/>
        <v/>
      </c>
      <c r="AI51" t="str">
        <f t="shared" si="42"/>
        <v/>
      </c>
      <c r="AJ51" t="str">
        <f t="shared" si="43"/>
        <v>纸张*13</v>
      </c>
      <c r="AK51" t="str">
        <f t="shared" si="44"/>
        <v/>
      </c>
      <c r="AL51">
        <f>IFERROR(ROUND(L51*(G51/$AU51)/VLOOKUP(F51,商品!$A$4:$B$60,2,FALSE),0),"")</f>
        <v>12</v>
      </c>
      <c r="AM51" t="str">
        <f>IFERROR(ROUND(L51*(I51/$AU51)/VLOOKUP(H51,商品!$A$4:$B$60,2,FALSE),0),"")</f>
        <v/>
      </c>
      <c r="AN51">
        <f>IFERROR(ROUND(L51*(J51/$AU51)/VLOOKUP("运力",商品!$A$4:$B$60,2,FALSE),0),0)</f>
        <v>4</v>
      </c>
      <c r="AO51">
        <f>IFERROR(ROUND(L51*(K51/$AU51)/VLOOKUP("交易",商品!$A$4:$B$60,2,FALSE),0),0)</f>
        <v>2</v>
      </c>
      <c r="AP51">
        <f>IFERROR(ROUND(S51*(N51/$AV51)/VLOOKUP(M51,职业!$A$4:$G$16,4,FALSE),0),"")</f>
        <v>4525</v>
      </c>
      <c r="AQ51" t="str">
        <f>IFERROR(ROUND(S51*(P51/$AV51)/VLOOKUP(O51,职业!$A$4:$G$16,4,FALSE),0),"")</f>
        <v/>
      </c>
      <c r="AR51" t="str">
        <f>IFERROR(ROUND(S51*(R51/$AV51)/VLOOKUP(Q51,职业!$A$4:$G$16,4,FALSE),0),"")</f>
        <v/>
      </c>
      <c r="AS51">
        <f>IFERROR(ROUND(X51*(U51/$AW51)/VLOOKUP(T51,商品!$A$4:$B$60,2,FALSE),0),"")</f>
        <v>13</v>
      </c>
      <c r="AT51" t="str">
        <f>IFERROR(ROUND(X51*(W51/$AW51)/VLOOKUP(V51,商品!$A$4:$B$60,2,FALSE),0),"")</f>
        <v/>
      </c>
      <c r="AU51">
        <f t="shared" si="45"/>
        <v>38</v>
      </c>
      <c r="AV51">
        <f t="shared" si="46"/>
        <v>100</v>
      </c>
      <c r="AW51">
        <f t="shared" si="47"/>
        <v>1</v>
      </c>
    </row>
    <row r="52" spans="1:49" ht="19.95" customHeight="1" x14ac:dyDescent="0.25">
      <c r="A52" s="15" t="s">
        <v>186</v>
      </c>
      <c r="C52" s="15">
        <v>2</v>
      </c>
      <c r="D52" s="23" t="s">
        <v>171</v>
      </c>
      <c r="E52" s="23" t="s">
        <v>172</v>
      </c>
      <c r="F52" s="2" t="s">
        <v>11</v>
      </c>
      <c r="G52" s="2">
        <v>30</v>
      </c>
      <c r="L52" s="15">
        <f>IFERROR(VLOOKUP($D52&amp;$C52,生产方式定位!$A$2:$E$38,2,FALSE)+VLOOKUP($E52&amp;$C52,生产方式定位!$F$3:$J$38,2,FALSE),0)</f>
        <v>1100</v>
      </c>
      <c r="M52" s="2" t="s">
        <v>80</v>
      </c>
      <c r="N52" s="2">
        <v>100</v>
      </c>
      <c r="O52" s="2" t="s">
        <v>73</v>
      </c>
      <c r="P52" s="2">
        <v>5</v>
      </c>
      <c r="S52" s="15">
        <f>IFERROR(VLOOKUP($D52&amp;$C52,生产方式定位!$A$2:$E$38,3,FALSE)+VLOOKUP($E52&amp;$C52,生产方式定位!$F$3:$J$38,3,FALSE),0)</f>
        <v>100</v>
      </c>
      <c r="T52" s="2" t="s">
        <v>36</v>
      </c>
      <c r="U52" s="2">
        <v>1</v>
      </c>
      <c r="X52" s="15">
        <f>IFERROR(VLOOKUP($D52&amp;$C52,生产方式定位!$A$2:$E$38,5,FALSE)+VLOOKUP($E52&amp;$C52,生产方式定位!$F$3:$J$38,5,FALSE),"错误")</f>
        <v>1510</v>
      </c>
      <c r="Y52" s="26" t="str">
        <f t="shared" si="32"/>
        <v>木材*55</v>
      </c>
      <c r="Z52" s="36" t="str">
        <f t="shared" si="33"/>
        <v>劳工*4309,工程师*72</v>
      </c>
      <c r="AA52" s="36" t="str">
        <f t="shared" si="34"/>
        <v>纸张*38</v>
      </c>
      <c r="AB52" s="27" t="str">
        <f t="shared" si="35"/>
        <v>37%</v>
      </c>
      <c r="AC52" s="2">
        <f t="shared" si="36"/>
        <v>310</v>
      </c>
      <c r="AD52" s="37">
        <f t="shared" si="37"/>
        <v>2</v>
      </c>
      <c r="AE52" t="str">
        <f t="shared" si="38"/>
        <v>木材*55</v>
      </c>
      <c r="AF52" t="str">
        <f t="shared" si="39"/>
        <v/>
      </c>
      <c r="AG52" t="str">
        <f t="shared" si="40"/>
        <v>劳工*4309</v>
      </c>
      <c r="AH52" t="str">
        <f t="shared" si="41"/>
        <v>工程师*72</v>
      </c>
      <c r="AI52" t="str">
        <f t="shared" si="42"/>
        <v/>
      </c>
      <c r="AJ52" t="str">
        <f t="shared" si="43"/>
        <v>纸张*38</v>
      </c>
      <c r="AK52" t="str">
        <f t="shared" si="44"/>
        <v/>
      </c>
      <c r="AL52">
        <f>IFERROR(ROUND(L52*(G52/$AU52)/VLOOKUP(F52,商品!$A$4:$B$60,2,FALSE),0),"")</f>
        <v>55</v>
      </c>
      <c r="AM52" t="str">
        <f>IFERROR(ROUND(L52*(I52/$AU52)/VLOOKUP(H52,商品!$A$4:$B$60,2,FALSE),0),"")</f>
        <v/>
      </c>
      <c r="AN52">
        <f>IFERROR(ROUND(L52*(J52/$AU52)/VLOOKUP("运力",商品!$A$4:$B$60,2,FALSE),0),0)</f>
        <v>0</v>
      </c>
      <c r="AO52">
        <f>IFERROR(ROUND(L52*(K52/$AU52)/VLOOKUP("交易",商品!$A$4:$B$60,2,FALSE),0),0)</f>
        <v>0</v>
      </c>
      <c r="AP52">
        <f>IFERROR(ROUND(S52*(N52/$AV52)/VLOOKUP(M52,职业!$A$4:$G$16,4,FALSE),0),"")</f>
        <v>4309</v>
      </c>
      <c r="AQ52">
        <f>IFERROR(ROUND(S52*(P52/$AV52)/VLOOKUP(O52,职业!$A$4:$G$16,4,FALSE),0),"")</f>
        <v>72</v>
      </c>
      <c r="AR52" t="str">
        <f>IFERROR(ROUND(S52*(R52/$AV52)/VLOOKUP(Q52,职业!$A$4:$G$16,4,FALSE),0),"")</f>
        <v/>
      </c>
      <c r="AS52">
        <f>IFERROR(ROUND(X52*(U52/$AW52)/VLOOKUP(T52,商品!$A$4:$B$60,2,FALSE),0),"")</f>
        <v>38</v>
      </c>
      <c r="AT52" t="str">
        <f>IFERROR(ROUND(X52*(W52/$AW52)/VLOOKUP(V52,商品!$A$4:$B$60,2,FALSE),0),"")</f>
        <v/>
      </c>
      <c r="AU52">
        <f t="shared" si="45"/>
        <v>30</v>
      </c>
      <c r="AV52">
        <f t="shared" si="46"/>
        <v>105</v>
      </c>
      <c r="AW52">
        <f t="shared" si="47"/>
        <v>1</v>
      </c>
    </row>
    <row r="53" spans="1:49" ht="19.95" customHeight="1" x14ac:dyDescent="0.25">
      <c r="A53" s="15" t="s">
        <v>186</v>
      </c>
      <c r="C53" s="15">
        <v>3</v>
      </c>
      <c r="D53" s="23" t="s">
        <v>171</v>
      </c>
      <c r="E53" s="23" t="s">
        <v>172</v>
      </c>
      <c r="F53" s="2" t="s">
        <v>11</v>
      </c>
      <c r="G53" s="2">
        <v>30</v>
      </c>
      <c r="H53" s="2" t="s">
        <v>13</v>
      </c>
      <c r="I53" s="2">
        <v>10</v>
      </c>
      <c r="L53" s="15">
        <f>IFERROR(VLOOKUP($D53&amp;$C53,生产方式定位!$A$2:$E$38,2,FALSE)+VLOOKUP($E53&amp;$C53,生产方式定位!$F$3:$J$38,2,FALSE),0)</f>
        <v>1525</v>
      </c>
      <c r="M53" s="2" t="s">
        <v>80</v>
      </c>
      <c r="N53" s="2">
        <v>100</v>
      </c>
      <c r="O53" s="2" t="s">
        <v>73</v>
      </c>
      <c r="P53" s="2">
        <v>10</v>
      </c>
      <c r="S53" s="15">
        <f>IFERROR(VLOOKUP($D53&amp;$C53,生产方式定位!$A$2:$E$38,3,FALSE)+VLOOKUP($E53&amp;$C53,生产方式定位!$F$3:$J$38,3,FALSE),0)</f>
        <v>100</v>
      </c>
      <c r="T53" s="2" t="s">
        <v>36</v>
      </c>
      <c r="U53" s="2">
        <v>1</v>
      </c>
      <c r="X53" s="15">
        <f>IFERROR(VLOOKUP($D53&amp;$C53,生产方式定位!$A$2:$E$38,5,FALSE)+VLOOKUP($E53&amp;$C53,生产方式定位!$F$3:$J$38,5,FALSE),"错误")</f>
        <v>2050</v>
      </c>
      <c r="Y53" s="26" t="str">
        <f t="shared" si="32"/>
        <v>木材*57,染料*19</v>
      </c>
      <c r="Z53" s="36" t="str">
        <f t="shared" si="33"/>
        <v>劳工*4114,工程师*137</v>
      </c>
      <c r="AA53" s="36" t="str">
        <f t="shared" si="34"/>
        <v>纸张*51</v>
      </c>
      <c r="AB53" s="27" t="str">
        <f t="shared" si="35"/>
        <v>34%</v>
      </c>
      <c r="AC53" s="2">
        <f t="shared" si="36"/>
        <v>425</v>
      </c>
      <c r="AD53" s="38">
        <f t="shared" si="37"/>
        <v>3</v>
      </c>
      <c r="AE53" t="str">
        <f t="shared" si="38"/>
        <v>木材*57</v>
      </c>
      <c r="AF53" t="str">
        <f t="shared" si="39"/>
        <v>染料*19</v>
      </c>
      <c r="AG53" t="str">
        <f t="shared" si="40"/>
        <v>劳工*4114</v>
      </c>
      <c r="AH53" t="str">
        <f t="shared" si="41"/>
        <v>工程师*137</v>
      </c>
      <c r="AI53" t="str">
        <f t="shared" si="42"/>
        <v/>
      </c>
      <c r="AJ53" t="str">
        <f t="shared" si="43"/>
        <v>纸张*51</v>
      </c>
      <c r="AK53" t="str">
        <f t="shared" si="44"/>
        <v/>
      </c>
      <c r="AL53">
        <f>IFERROR(ROUND(L53*(G53/$AU53)/VLOOKUP(F53,商品!$A$4:$B$60,2,FALSE),0),"")</f>
        <v>57</v>
      </c>
      <c r="AM53">
        <f>IFERROR(ROUND(L53*(I53/$AU53)/VLOOKUP(H53,商品!$A$4:$B$60,2,FALSE),0),"")</f>
        <v>19</v>
      </c>
      <c r="AN53">
        <f>IFERROR(ROUND(L53*(J53/$AU53)/VLOOKUP("运力",商品!$A$4:$B$60,2,FALSE),0),0)</f>
        <v>0</v>
      </c>
      <c r="AO53">
        <f>IFERROR(ROUND(L53*(K53/$AU53)/VLOOKUP("交易",商品!$A$4:$B$60,2,FALSE),0),0)</f>
        <v>0</v>
      </c>
      <c r="AP53">
        <f>IFERROR(ROUND(S53*(N53/$AV53)/VLOOKUP(M53,职业!$A$4:$G$16,4,FALSE),0),"")</f>
        <v>4114</v>
      </c>
      <c r="AQ53">
        <f>IFERROR(ROUND(S53*(P53/$AV53)/VLOOKUP(O53,职业!$A$4:$G$16,4,FALSE),0),"")</f>
        <v>137</v>
      </c>
      <c r="AR53" t="str">
        <f>IFERROR(ROUND(S53*(R53/$AV53)/VLOOKUP(Q53,职业!$A$4:$G$16,4,FALSE),0),"")</f>
        <v/>
      </c>
      <c r="AS53">
        <f>IFERROR(ROUND(X53*(U53/$AW53)/VLOOKUP(T53,商品!$A$4:$B$60,2,FALSE),0),"")</f>
        <v>51</v>
      </c>
      <c r="AT53" t="str">
        <f>IFERROR(ROUND(X53*(W53/$AW53)/VLOOKUP(V53,商品!$A$4:$B$60,2,FALSE),0),"")</f>
        <v/>
      </c>
      <c r="AU53">
        <f t="shared" si="45"/>
        <v>40</v>
      </c>
      <c r="AV53">
        <f t="shared" si="46"/>
        <v>110</v>
      </c>
      <c r="AW53">
        <f t="shared" si="47"/>
        <v>1</v>
      </c>
    </row>
    <row r="54" spans="1:49" ht="19.95" customHeight="1" x14ac:dyDescent="0.25">
      <c r="A54" s="15" t="s">
        <v>186</v>
      </c>
      <c r="C54" s="15">
        <v>4</v>
      </c>
      <c r="D54" s="23" t="s">
        <v>171</v>
      </c>
      <c r="E54" s="23" t="s">
        <v>172</v>
      </c>
      <c r="F54" s="2" t="s">
        <v>11</v>
      </c>
      <c r="G54" s="2">
        <v>30</v>
      </c>
      <c r="H54" s="2" t="s">
        <v>13</v>
      </c>
      <c r="I54" s="2">
        <v>20</v>
      </c>
      <c r="L54" s="15">
        <f>IFERROR(VLOOKUP($D54&amp;$C54,生产方式定位!$A$2:$E$38,2,FALSE)+VLOOKUP($E54&amp;$C54,生产方式定位!$F$3:$J$38,2,FALSE),0)</f>
        <v>1950</v>
      </c>
      <c r="M54" s="2" t="s">
        <v>80</v>
      </c>
      <c r="N54" s="2">
        <v>100</v>
      </c>
      <c r="O54" s="2" t="s">
        <v>73</v>
      </c>
      <c r="P54" s="2">
        <v>15</v>
      </c>
      <c r="S54" s="15">
        <f>IFERROR(VLOOKUP($D54&amp;$C54,生产方式定位!$A$2:$E$38,3,FALSE)+VLOOKUP($E54&amp;$C54,生产方式定位!$F$3:$J$38,3,FALSE),0)</f>
        <v>100</v>
      </c>
      <c r="T54" s="2" t="s">
        <v>36</v>
      </c>
      <c r="U54" s="2">
        <v>1</v>
      </c>
      <c r="X54" s="15">
        <f>IFERROR(VLOOKUP($D54&amp;$C54,生产方式定位!$A$2:$E$38,5,FALSE)+VLOOKUP($E54&amp;$C54,生产方式定位!$F$3:$J$38,5,FALSE),"错误")</f>
        <v>2590</v>
      </c>
      <c r="Y54" s="26" t="str">
        <f t="shared" si="32"/>
        <v>木材*59,染料*39</v>
      </c>
      <c r="Z54" s="36" t="str">
        <f t="shared" si="33"/>
        <v>劳工*3935,工程师*197</v>
      </c>
      <c r="AA54" s="36" t="str">
        <f t="shared" si="34"/>
        <v>纸张*65</v>
      </c>
      <c r="AB54" s="27" t="str">
        <f t="shared" si="35"/>
        <v>33%</v>
      </c>
      <c r="AC54" s="2">
        <f t="shared" si="36"/>
        <v>540</v>
      </c>
      <c r="AD54" s="38">
        <f t="shared" si="37"/>
        <v>4</v>
      </c>
      <c r="AE54" t="str">
        <f t="shared" si="38"/>
        <v>木材*59</v>
      </c>
      <c r="AF54" t="str">
        <f t="shared" si="39"/>
        <v>染料*39</v>
      </c>
      <c r="AG54" t="str">
        <f t="shared" si="40"/>
        <v>劳工*3935</v>
      </c>
      <c r="AH54" t="str">
        <f t="shared" si="41"/>
        <v>工程师*197</v>
      </c>
      <c r="AI54" t="str">
        <f t="shared" si="42"/>
        <v/>
      </c>
      <c r="AJ54" t="str">
        <f t="shared" si="43"/>
        <v>纸张*65</v>
      </c>
      <c r="AK54" t="str">
        <f t="shared" si="44"/>
        <v/>
      </c>
      <c r="AL54">
        <f>IFERROR(ROUND(L54*(G54/$AU54)/VLOOKUP(F54,商品!$A$4:$B$60,2,FALSE),0),"")</f>
        <v>59</v>
      </c>
      <c r="AM54">
        <f>IFERROR(ROUND(L54*(I54/$AU54)/VLOOKUP(H54,商品!$A$4:$B$60,2,FALSE),0),"")</f>
        <v>39</v>
      </c>
      <c r="AN54">
        <f>IFERROR(ROUND(L54*(J54/$AU54)/VLOOKUP("运力",商品!$A$4:$B$60,2,FALSE),0),0)</f>
        <v>0</v>
      </c>
      <c r="AO54">
        <f>IFERROR(ROUND(L54*(K54/$AU54)/VLOOKUP("交易",商品!$A$4:$B$60,2,FALSE),0),0)</f>
        <v>0</v>
      </c>
      <c r="AP54">
        <f>IFERROR(ROUND(S54*(N54/$AV54)/VLOOKUP(M54,职业!$A$4:$G$16,4,FALSE),0),"")</f>
        <v>3935</v>
      </c>
      <c r="AQ54">
        <f>IFERROR(ROUND(S54*(P54/$AV54)/VLOOKUP(O54,职业!$A$4:$G$16,4,FALSE),0),"")</f>
        <v>197</v>
      </c>
      <c r="AR54" t="str">
        <f>IFERROR(ROUND(S54*(R54/$AV54)/VLOOKUP(Q54,职业!$A$4:$G$16,4,FALSE),0),"")</f>
        <v/>
      </c>
      <c r="AS54">
        <f>IFERROR(ROUND(X54*(U54/$AW54)/VLOOKUP(T54,商品!$A$4:$B$60,2,FALSE),0),"")</f>
        <v>65</v>
      </c>
      <c r="AT54" t="str">
        <f>IFERROR(ROUND(X54*(W54/$AW54)/VLOOKUP(V54,商品!$A$4:$B$60,2,FALSE),0),"")</f>
        <v/>
      </c>
      <c r="AU54">
        <f t="shared" si="45"/>
        <v>50</v>
      </c>
      <c r="AV54">
        <f t="shared" si="46"/>
        <v>115</v>
      </c>
      <c r="AW54">
        <f t="shared" si="47"/>
        <v>1</v>
      </c>
    </row>
    <row r="55" spans="1:49" ht="19.95" customHeight="1" x14ac:dyDescent="0.25">
      <c r="A55" s="15" t="s">
        <v>186</v>
      </c>
      <c r="C55" s="15">
        <v>5</v>
      </c>
      <c r="D55" s="23" t="s">
        <v>171</v>
      </c>
      <c r="E55" s="23" t="s">
        <v>172</v>
      </c>
      <c r="F55" s="2" t="s">
        <v>11</v>
      </c>
      <c r="G55" s="2">
        <v>30</v>
      </c>
      <c r="H55" s="2" t="s">
        <v>13</v>
      </c>
      <c r="I55" s="2">
        <v>30</v>
      </c>
      <c r="L55" s="15">
        <f>IFERROR(VLOOKUP($D55&amp;$C55,生产方式定位!$A$2:$E$38,2,FALSE)+VLOOKUP($E55&amp;$C55,生产方式定位!$F$3:$J$38,2,FALSE),0)</f>
        <v>2375</v>
      </c>
      <c r="M55" s="2" t="s">
        <v>80</v>
      </c>
      <c r="N55" s="2">
        <v>100</v>
      </c>
      <c r="O55" s="2" t="s">
        <v>73</v>
      </c>
      <c r="P55" s="2">
        <v>20</v>
      </c>
      <c r="S55" s="15">
        <f>IFERROR(VLOOKUP($D55&amp;$C55,生产方式定位!$A$2:$E$38,3,FALSE)+VLOOKUP($E55&amp;$C55,生产方式定位!$F$3:$J$38,3,FALSE),0)</f>
        <v>100</v>
      </c>
      <c r="T55" s="2" t="s">
        <v>36</v>
      </c>
      <c r="U55" s="2">
        <v>1</v>
      </c>
      <c r="X55" s="15">
        <f>IFERROR(VLOOKUP($D55&amp;$C55,生产方式定位!$A$2:$E$38,5,FALSE)+VLOOKUP($E55&amp;$C55,生产方式定位!$F$3:$J$38,5,FALSE),"错误")</f>
        <v>3130</v>
      </c>
      <c r="Y55" s="26" t="str">
        <f t="shared" si="32"/>
        <v>木材*59,染料*59</v>
      </c>
      <c r="Z55" s="36" t="str">
        <f t="shared" si="33"/>
        <v>劳工*3771,工程师*251</v>
      </c>
      <c r="AA55" s="36" t="str">
        <f t="shared" si="34"/>
        <v>纸张*78</v>
      </c>
      <c r="AB55" s="27" t="str">
        <f t="shared" si="35"/>
        <v>32%</v>
      </c>
      <c r="AC55" s="2">
        <f t="shared" si="36"/>
        <v>655</v>
      </c>
      <c r="AD55" s="38">
        <f t="shared" si="37"/>
        <v>5</v>
      </c>
      <c r="AE55" t="str">
        <f t="shared" si="38"/>
        <v>木材*59</v>
      </c>
      <c r="AF55" t="str">
        <f t="shared" si="39"/>
        <v>染料*59</v>
      </c>
      <c r="AG55" t="str">
        <f t="shared" si="40"/>
        <v>劳工*3771</v>
      </c>
      <c r="AH55" t="str">
        <f t="shared" si="41"/>
        <v>工程师*251</v>
      </c>
      <c r="AI55" t="str">
        <f t="shared" si="42"/>
        <v/>
      </c>
      <c r="AJ55" t="str">
        <f t="shared" si="43"/>
        <v>纸张*78</v>
      </c>
      <c r="AK55" t="str">
        <f t="shared" si="44"/>
        <v/>
      </c>
      <c r="AL55">
        <f>IFERROR(ROUND(L55*(G55/$AU55)/VLOOKUP(F55,商品!$A$4:$B$60,2,FALSE),0),"")</f>
        <v>59</v>
      </c>
      <c r="AM55">
        <f>IFERROR(ROUND(L55*(I55/$AU55)/VLOOKUP(H55,商品!$A$4:$B$60,2,FALSE),0),"")</f>
        <v>59</v>
      </c>
      <c r="AN55">
        <f>IFERROR(ROUND(L55*(J55/$AU55)/VLOOKUP("运力",商品!$A$4:$B$60,2,FALSE),0),0)</f>
        <v>0</v>
      </c>
      <c r="AO55">
        <f>IFERROR(ROUND(L55*(K55/$AU55)/VLOOKUP("交易",商品!$A$4:$B$60,2,FALSE),0),0)</f>
        <v>0</v>
      </c>
      <c r="AP55">
        <f>IFERROR(ROUND(S55*(N55/$AV55)/VLOOKUP(M55,职业!$A$4:$G$16,4,FALSE),0),"")</f>
        <v>3771</v>
      </c>
      <c r="AQ55">
        <f>IFERROR(ROUND(S55*(P55/$AV55)/VLOOKUP(O55,职业!$A$4:$G$16,4,FALSE),0),"")</f>
        <v>251</v>
      </c>
      <c r="AR55" t="str">
        <f>IFERROR(ROUND(S55*(R55/$AV55)/VLOOKUP(Q55,职业!$A$4:$G$16,4,FALSE),0),"")</f>
        <v/>
      </c>
      <c r="AS55">
        <f>IFERROR(ROUND(X55*(U55/$AW55)/VLOOKUP(T55,商品!$A$4:$B$60,2,FALSE),0),"")</f>
        <v>78</v>
      </c>
      <c r="AT55" t="str">
        <f>IFERROR(ROUND(X55*(W55/$AW55)/VLOOKUP(V55,商品!$A$4:$B$60,2,FALSE),0),"")</f>
        <v/>
      </c>
      <c r="AU55">
        <f t="shared" si="45"/>
        <v>60</v>
      </c>
      <c r="AV55">
        <f t="shared" si="46"/>
        <v>120</v>
      </c>
      <c r="AW55">
        <f t="shared" si="47"/>
        <v>1</v>
      </c>
    </row>
    <row r="56" spans="1:49" ht="19.95" customHeight="1" x14ac:dyDescent="0.25">
      <c r="A56" s="16" t="s">
        <v>507</v>
      </c>
      <c r="C56" s="16">
        <v>1</v>
      </c>
      <c r="D56" s="23" t="s">
        <v>174</v>
      </c>
      <c r="E56" s="23" t="s">
        <v>175</v>
      </c>
      <c r="L56" s="16">
        <f>IFERROR(VLOOKUP($D56&amp;$C56,生产方式定位!$A$2:$E$38,2,FALSE)+VLOOKUP($E56&amp;$C56,生产方式定位!$F$3:$J$38,2,FALSE),0)</f>
        <v>0</v>
      </c>
      <c r="S56" s="16">
        <f>IFERROR(VLOOKUP($D56&amp;$C56,生产方式定位!$A$2:$E$38,3,FALSE)+VLOOKUP($E56&amp;$C56,生产方式定位!$F$3:$J$38,3,FALSE),0)</f>
        <v>0</v>
      </c>
      <c r="X56" s="16">
        <f>IFERROR(VLOOKUP($D56&amp;$C56,生产方式定位!$A$2:$E$38,5,FALSE)+VLOOKUP($E56&amp;$C56,生产方式定位!$F$3:$J$38,5,FALSE),"错误")</f>
        <v>0</v>
      </c>
      <c r="Y56" s="26" t="str">
        <f t="shared" si="32"/>
        <v/>
      </c>
      <c r="Z56" s="36" t="str">
        <f t="shared" si="33"/>
        <v/>
      </c>
      <c r="AA56" s="36" t="str">
        <f t="shared" si="34"/>
        <v/>
      </c>
      <c r="AB56" s="27" t="str">
        <f t="shared" si="35"/>
        <v/>
      </c>
      <c r="AC56" s="2" t="str">
        <f t="shared" si="36"/>
        <v/>
      </c>
      <c r="AD56" s="38">
        <f t="shared" si="37"/>
        <v>1</v>
      </c>
      <c r="AE56" t="str">
        <f t="shared" si="38"/>
        <v/>
      </c>
      <c r="AF56" t="str">
        <f t="shared" si="39"/>
        <v/>
      </c>
      <c r="AG56" t="str">
        <f t="shared" si="40"/>
        <v/>
      </c>
      <c r="AH56" t="str">
        <f t="shared" si="41"/>
        <v/>
      </c>
      <c r="AI56" t="str">
        <f t="shared" si="42"/>
        <v/>
      </c>
      <c r="AJ56" t="str">
        <f t="shared" si="43"/>
        <v/>
      </c>
      <c r="AK56" t="str">
        <f t="shared" si="44"/>
        <v/>
      </c>
      <c r="AL56" t="str">
        <f>IFERROR(ROUND(L56*(G56/$AU56)/VLOOKUP(F56,商品!$A$4:$B$60,2,FALSE),0),"")</f>
        <v/>
      </c>
      <c r="AM56" t="str">
        <f>IFERROR(ROUND(L56*(I56/$AU56)/VLOOKUP(H56,商品!$A$4:$B$60,2,FALSE),0),"")</f>
        <v/>
      </c>
      <c r="AN56">
        <f>IFERROR(ROUND(L56*(J56/$AU56)/VLOOKUP("运力",商品!$A$4:$B$60,2,FALSE),0),0)</f>
        <v>0</v>
      </c>
      <c r="AO56">
        <f>IFERROR(ROUND(L56*(K56/$AU56)/VLOOKUP("交易",商品!$A$4:$B$60,2,FALSE),0),0)</f>
        <v>0</v>
      </c>
      <c r="AP56" t="str">
        <f>IFERROR(ROUND(S56*(N56/$AV56)/VLOOKUP(M56,职业!$A$4:$G$16,4,FALSE),0),"")</f>
        <v/>
      </c>
      <c r="AQ56" t="str">
        <f>IFERROR(ROUND(S56*(P56/$AV56)/VLOOKUP(O56,职业!$A$4:$G$16,4,FALSE),0),"")</f>
        <v/>
      </c>
      <c r="AR56" t="str">
        <f>IFERROR(ROUND(S56*(R56/$AV56)/VLOOKUP(Q56,职业!$A$4:$G$16,4,FALSE),0),"")</f>
        <v/>
      </c>
      <c r="AS56" t="str">
        <f>IFERROR(ROUND(X56*(U56/$AW56)/VLOOKUP(T56,商品!$A$4:$B$60,2,FALSE),0),"")</f>
        <v/>
      </c>
      <c r="AT56" t="str">
        <f>IFERROR(ROUND(X56*(W56/$AW56)/VLOOKUP(V56,商品!$A$4:$B$60,2,FALSE),0),"")</f>
        <v/>
      </c>
      <c r="AU56">
        <f t="shared" si="45"/>
        <v>0</v>
      </c>
      <c r="AV56">
        <f t="shared" si="46"/>
        <v>0</v>
      </c>
      <c r="AW56">
        <f t="shared" si="47"/>
        <v>0</v>
      </c>
    </row>
    <row r="57" spans="1:49" ht="19.95" customHeight="1" x14ac:dyDescent="0.25">
      <c r="A57" s="16" t="s">
        <v>507</v>
      </c>
      <c r="C57" s="16">
        <v>2</v>
      </c>
      <c r="D57" s="23" t="s">
        <v>174</v>
      </c>
      <c r="E57" s="23" t="s">
        <v>175</v>
      </c>
      <c r="F57" s="2" t="s">
        <v>41</v>
      </c>
      <c r="G57" s="2">
        <v>10</v>
      </c>
      <c r="L57" s="16">
        <f>IFERROR(VLOOKUP($D57&amp;$C57,生产方式定位!$A$2:$E$38,2,FALSE)+VLOOKUP($E57&amp;$C57,生产方式定位!$F$3:$J$38,2,FALSE),0)</f>
        <v>50</v>
      </c>
      <c r="M57" s="2" t="s">
        <v>80</v>
      </c>
      <c r="N57" s="2">
        <v>-30</v>
      </c>
      <c r="O57" s="2" t="s">
        <v>73</v>
      </c>
      <c r="P57" s="2">
        <v>15</v>
      </c>
      <c r="S57" s="16">
        <f>IFERROR(VLOOKUP($D57&amp;$C57,生产方式定位!$A$2:$E$38,3,FALSE)+VLOOKUP($E57&amp;$C57,生产方式定位!$F$3:$J$38,3,FALSE),0)</f>
        <v>10</v>
      </c>
      <c r="T57" s="2" t="s">
        <v>36</v>
      </c>
      <c r="U57" s="2">
        <v>1</v>
      </c>
      <c r="X57" s="16">
        <f>IFERROR(VLOOKUP($D57&amp;$C57,生产方式定位!$A$2:$E$38,5,FALSE)+VLOOKUP($E57&amp;$C57,生产方式定位!$F$3:$J$38,5,FALSE),"错误")</f>
        <v>0</v>
      </c>
      <c r="Y57" s="26" t="str">
        <f t="shared" si="32"/>
        <v>工具*1</v>
      </c>
      <c r="Z57" s="36" t="str">
        <f t="shared" si="33"/>
        <v>劳工*-302,工程师*50</v>
      </c>
      <c r="AA57" s="36" t="str">
        <f t="shared" si="34"/>
        <v>纸张*0</v>
      </c>
      <c r="AB57" s="27" t="str">
        <f t="shared" si="35"/>
        <v>-100%</v>
      </c>
      <c r="AC57" s="2">
        <f t="shared" si="36"/>
        <v>-60</v>
      </c>
      <c r="AD57" s="38">
        <f t="shared" si="37"/>
        <v>2</v>
      </c>
      <c r="AE57" t="str">
        <f t="shared" si="38"/>
        <v>工具*1</v>
      </c>
      <c r="AF57" t="str">
        <f t="shared" si="39"/>
        <v/>
      </c>
      <c r="AG57" t="str">
        <f t="shared" si="40"/>
        <v>劳工*-302</v>
      </c>
      <c r="AH57" t="str">
        <f t="shared" si="41"/>
        <v>工程师*50</v>
      </c>
      <c r="AI57" t="str">
        <f t="shared" si="42"/>
        <v/>
      </c>
      <c r="AJ57" t="str">
        <f t="shared" si="43"/>
        <v>纸张*0</v>
      </c>
      <c r="AK57" t="str">
        <f t="shared" si="44"/>
        <v/>
      </c>
      <c r="AL57">
        <f>IFERROR(ROUND(L57*(G57/$AU57)/VLOOKUP(F57,商品!$A$4:$B$60,2,FALSE),0),"")</f>
        <v>1</v>
      </c>
      <c r="AM57" t="str">
        <f>IFERROR(ROUND(L57*(I57/$AU57)/VLOOKUP(H57,商品!$A$4:$B$60,2,FALSE),0),"")</f>
        <v/>
      </c>
      <c r="AN57">
        <f>IFERROR(ROUND(L57*(J57/$AU57)/VLOOKUP("运力",商品!$A$4:$B$60,2,FALSE),0),0)</f>
        <v>0</v>
      </c>
      <c r="AO57">
        <f>IFERROR(ROUND(L57*(K57/$AU57)/VLOOKUP("交易",商品!$A$4:$B$60,2,FALSE),0),0)</f>
        <v>0</v>
      </c>
      <c r="AP57">
        <f>IFERROR(ROUND(S57*(N57/$AV57)/VLOOKUP(M57,职业!$A$4:$G$16,4,FALSE),0),"")</f>
        <v>-302</v>
      </c>
      <c r="AQ57">
        <f>IFERROR(ROUND(S57*(P57/$AV57)/VLOOKUP(O57,职业!$A$4:$G$16,4,FALSE),0),"")</f>
        <v>50</v>
      </c>
      <c r="AR57" t="str">
        <f>IFERROR(ROUND(S57*(R57/$AV57)/VLOOKUP(Q57,职业!$A$4:$G$16,4,FALSE),0),"")</f>
        <v/>
      </c>
      <c r="AS57">
        <f>IFERROR(ROUND(X57*(U57/$AW57)/VLOOKUP(T57,商品!$A$4:$B$60,2,FALSE),0),"")</f>
        <v>0</v>
      </c>
      <c r="AT57" t="str">
        <f>IFERROR(ROUND(X57*(W57/$AW57)/VLOOKUP(V57,商品!$A$4:$B$60,2,FALSE),0),"")</f>
        <v/>
      </c>
      <c r="AU57">
        <f t="shared" si="45"/>
        <v>10</v>
      </c>
      <c r="AV57">
        <f t="shared" si="46"/>
        <v>45</v>
      </c>
      <c r="AW57">
        <f t="shared" si="47"/>
        <v>1</v>
      </c>
    </row>
    <row r="58" spans="1:49" ht="19.95" customHeight="1" x14ac:dyDescent="0.25">
      <c r="A58" s="16" t="s">
        <v>507</v>
      </c>
      <c r="C58" s="16">
        <v>3</v>
      </c>
      <c r="D58" s="23" t="s">
        <v>174</v>
      </c>
      <c r="E58" s="23" t="s">
        <v>175</v>
      </c>
      <c r="F58" s="2" t="s">
        <v>41</v>
      </c>
      <c r="G58" s="2">
        <v>10</v>
      </c>
      <c r="L58" s="16">
        <f>IFERROR(VLOOKUP($D58&amp;$C58,生产方式定位!$A$2:$E$38,2,FALSE)+VLOOKUP($E58&amp;$C58,生产方式定位!$F$3:$J$38,2,FALSE),0)</f>
        <v>100</v>
      </c>
      <c r="M58" s="2" t="s">
        <v>80</v>
      </c>
      <c r="N58" s="2">
        <v>-30</v>
      </c>
      <c r="O58" s="2" t="s">
        <v>73</v>
      </c>
      <c r="P58" s="2">
        <v>15</v>
      </c>
      <c r="S58" s="16">
        <f>IFERROR(VLOOKUP($D58&amp;$C58,生产方式定位!$A$2:$E$38,3,FALSE)+VLOOKUP($E58&amp;$C58,生产方式定位!$F$3:$J$38,3,FALSE),0)</f>
        <v>20</v>
      </c>
      <c r="T58" s="2" t="s">
        <v>36</v>
      </c>
      <c r="U58" s="2">
        <v>1</v>
      </c>
      <c r="X58" s="16">
        <f>IFERROR(VLOOKUP($D58&amp;$C58,生产方式定位!$A$2:$E$38,5,FALSE)+VLOOKUP($E58&amp;$C58,生产方式定位!$F$3:$J$38,5,FALSE),"错误")</f>
        <v>0</v>
      </c>
      <c r="Y58" s="26" t="str">
        <f t="shared" si="32"/>
        <v>工具*3</v>
      </c>
      <c r="Z58" s="36" t="str">
        <f t="shared" si="33"/>
        <v>劳工*-603,工程师*101</v>
      </c>
      <c r="AA58" s="36" t="str">
        <f t="shared" si="34"/>
        <v>纸张*0</v>
      </c>
      <c r="AB58" s="27" t="str">
        <f t="shared" si="35"/>
        <v>-100%</v>
      </c>
      <c r="AC58" s="2">
        <f t="shared" si="36"/>
        <v>-120</v>
      </c>
      <c r="AD58" s="38">
        <f t="shared" si="37"/>
        <v>3</v>
      </c>
      <c r="AE58" t="str">
        <f t="shared" si="38"/>
        <v>工具*3</v>
      </c>
      <c r="AF58" t="str">
        <f t="shared" si="39"/>
        <v/>
      </c>
      <c r="AG58" t="str">
        <f t="shared" si="40"/>
        <v>劳工*-603</v>
      </c>
      <c r="AH58" t="str">
        <f t="shared" si="41"/>
        <v>工程师*101</v>
      </c>
      <c r="AI58" t="str">
        <f t="shared" si="42"/>
        <v/>
      </c>
      <c r="AJ58" t="str">
        <f t="shared" si="43"/>
        <v>纸张*0</v>
      </c>
      <c r="AK58" t="str">
        <f t="shared" si="44"/>
        <v/>
      </c>
      <c r="AL58">
        <f>IFERROR(ROUND(L58*(G58/$AU58)/VLOOKUP(F58,商品!$A$4:$B$60,2,FALSE),0),"")</f>
        <v>3</v>
      </c>
      <c r="AM58" t="str">
        <f>IFERROR(ROUND(L58*(I58/$AU58)/VLOOKUP(H58,商品!$A$4:$B$60,2,FALSE),0),"")</f>
        <v/>
      </c>
      <c r="AN58">
        <f>IFERROR(ROUND(L58*(J58/$AU58)/VLOOKUP("运力",商品!$A$4:$B$60,2,FALSE),0),0)</f>
        <v>0</v>
      </c>
      <c r="AO58">
        <f>IFERROR(ROUND(L58*(K58/$AU58)/VLOOKUP("交易",商品!$A$4:$B$60,2,FALSE),0),0)</f>
        <v>0</v>
      </c>
      <c r="AP58">
        <f>IFERROR(ROUND(S58*(N58/$AV58)/VLOOKUP(M58,职业!$A$4:$G$16,4,FALSE),0),"")</f>
        <v>-603</v>
      </c>
      <c r="AQ58">
        <f>IFERROR(ROUND(S58*(P58/$AV58)/VLOOKUP(O58,职业!$A$4:$G$16,4,FALSE),0),"")</f>
        <v>101</v>
      </c>
      <c r="AR58" t="str">
        <f>IFERROR(ROUND(S58*(R58/$AV58)/VLOOKUP(Q58,职业!$A$4:$G$16,4,FALSE),0),"")</f>
        <v/>
      </c>
      <c r="AS58">
        <f>IFERROR(ROUND(X58*(U58/$AW58)/VLOOKUP(T58,商品!$A$4:$B$60,2,FALSE),0),"")</f>
        <v>0</v>
      </c>
      <c r="AT58" t="str">
        <f>IFERROR(ROUND(X58*(W58/$AW58)/VLOOKUP(V58,商品!$A$4:$B$60,2,FALSE),0),"")</f>
        <v/>
      </c>
      <c r="AU58">
        <f t="shared" si="45"/>
        <v>10</v>
      </c>
      <c r="AV58">
        <f t="shared" si="46"/>
        <v>45</v>
      </c>
      <c r="AW58">
        <f t="shared" si="47"/>
        <v>1</v>
      </c>
    </row>
    <row r="59" spans="1:49" ht="19.95" customHeight="1" x14ac:dyDescent="0.25">
      <c r="A59" s="16" t="s">
        <v>507</v>
      </c>
      <c r="C59" s="16">
        <v>4</v>
      </c>
      <c r="D59" s="23" t="s">
        <v>174</v>
      </c>
      <c r="E59" s="23" t="s">
        <v>175</v>
      </c>
      <c r="F59" s="2" t="s">
        <v>45</v>
      </c>
      <c r="G59" s="2">
        <v>5</v>
      </c>
      <c r="H59" s="2" t="s">
        <v>19</v>
      </c>
      <c r="I59" s="2">
        <v>10</v>
      </c>
      <c r="L59" s="16">
        <f>IFERROR(VLOOKUP($D59&amp;$C59,生产方式定位!$A$2:$E$38,2,FALSE)+VLOOKUP($E59&amp;$C59,生产方式定位!$F$3:$J$38,2,FALSE),0)</f>
        <v>150</v>
      </c>
      <c r="M59" s="2" t="s">
        <v>80</v>
      </c>
      <c r="N59" s="2">
        <v>-30</v>
      </c>
      <c r="O59" s="2" t="s">
        <v>73</v>
      </c>
      <c r="P59" s="2">
        <v>15</v>
      </c>
      <c r="S59" s="16">
        <f>IFERROR(VLOOKUP($D59&amp;$C59,生产方式定位!$A$2:$E$38,3,FALSE)+VLOOKUP($E59&amp;$C59,生产方式定位!$F$3:$J$38,3,FALSE),0)</f>
        <v>30</v>
      </c>
      <c r="T59" s="2" t="s">
        <v>36</v>
      </c>
      <c r="U59" s="2">
        <v>1</v>
      </c>
      <c r="X59" s="16">
        <f>IFERROR(VLOOKUP($D59&amp;$C59,生产方式定位!$A$2:$E$38,5,FALSE)+VLOOKUP($E59&amp;$C59,生产方式定位!$F$3:$J$38,5,FALSE),"错误")</f>
        <v>0</v>
      </c>
      <c r="Y59" s="26" t="str">
        <f t="shared" si="32"/>
        <v>科学引擎*1,煤*3</v>
      </c>
      <c r="Z59" s="36" t="str">
        <f t="shared" si="33"/>
        <v>劳工*-905,工程师*151</v>
      </c>
      <c r="AA59" s="36" t="str">
        <f t="shared" si="34"/>
        <v>纸张*0</v>
      </c>
      <c r="AB59" s="27" t="str">
        <f t="shared" si="35"/>
        <v>-100%</v>
      </c>
      <c r="AC59" s="2">
        <f t="shared" si="36"/>
        <v>-180</v>
      </c>
      <c r="AD59" s="38">
        <f t="shared" si="37"/>
        <v>4</v>
      </c>
      <c r="AE59" t="str">
        <f t="shared" si="38"/>
        <v>科学引擎*1</v>
      </c>
      <c r="AF59" t="str">
        <f t="shared" si="39"/>
        <v>煤*3</v>
      </c>
      <c r="AG59" t="str">
        <f t="shared" si="40"/>
        <v>劳工*-905</v>
      </c>
      <c r="AH59" t="str">
        <f t="shared" si="41"/>
        <v>工程师*151</v>
      </c>
      <c r="AI59" t="str">
        <f t="shared" si="42"/>
        <v/>
      </c>
      <c r="AJ59" t="str">
        <f t="shared" si="43"/>
        <v>纸张*0</v>
      </c>
      <c r="AK59" t="str">
        <f t="shared" si="44"/>
        <v/>
      </c>
      <c r="AL59">
        <f>IFERROR(ROUND(L59*(G59/$AU59)/VLOOKUP(F59,商品!$A$4:$B$60,2,FALSE),0),"")</f>
        <v>1</v>
      </c>
      <c r="AM59">
        <f>IFERROR(ROUND(L59*(I59/$AU59)/VLOOKUP(H59,商品!$A$4:$B$60,2,FALSE),0),"")</f>
        <v>3</v>
      </c>
      <c r="AN59">
        <f>IFERROR(ROUND(L59*(J59/$AU59)/VLOOKUP("运力",商品!$A$4:$B$60,2,FALSE),0),0)</f>
        <v>0</v>
      </c>
      <c r="AO59">
        <f>IFERROR(ROUND(L59*(K59/$AU59)/VLOOKUP("交易",商品!$A$4:$B$60,2,FALSE),0),0)</f>
        <v>0</v>
      </c>
      <c r="AP59">
        <f>IFERROR(ROUND(S59*(N59/$AV59)/VLOOKUP(M59,职业!$A$4:$G$16,4,FALSE),0),"")</f>
        <v>-905</v>
      </c>
      <c r="AQ59">
        <f>IFERROR(ROUND(S59*(P59/$AV59)/VLOOKUP(O59,职业!$A$4:$G$16,4,FALSE),0),"")</f>
        <v>151</v>
      </c>
      <c r="AR59" t="str">
        <f>IFERROR(ROUND(S59*(R59/$AV59)/VLOOKUP(Q59,职业!$A$4:$G$16,4,FALSE),0),"")</f>
        <v/>
      </c>
      <c r="AS59">
        <f>IFERROR(ROUND(X59*(U59/$AW59)/VLOOKUP(T59,商品!$A$4:$B$60,2,FALSE),0),"")</f>
        <v>0</v>
      </c>
      <c r="AT59" t="str">
        <f>IFERROR(ROUND(X59*(W59/$AW59)/VLOOKUP(V59,商品!$A$4:$B$60,2,FALSE),0),"")</f>
        <v/>
      </c>
      <c r="AU59">
        <f t="shared" si="45"/>
        <v>15</v>
      </c>
      <c r="AV59">
        <f t="shared" si="46"/>
        <v>45</v>
      </c>
      <c r="AW59">
        <f t="shared" si="47"/>
        <v>1</v>
      </c>
    </row>
    <row r="60" spans="1:49" ht="19.95" customHeight="1" x14ac:dyDescent="0.25">
      <c r="A60" s="16" t="s">
        <v>507</v>
      </c>
      <c r="C60" s="16">
        <v>5</v>
      </c>
      <c r="D60" s="23" t="s">
        <v>174</v>
      </c>
      <c r="E60" s="23" t="s">
        <v>175</v>
      </c>
      <c r="F60" s="2" t="s">
        <v>46</v>
      </c>
      <c r="G60" s="2">
        <v>5</v>
      </c>
      <c r="H60" s="2" t="s">
        <v>19</v>
      </c>
      <c r="I60" s="2">
        <v>10</v>
      </c>
      <c r="L60" s="16">
        <f>IFERROR(VLOOKUP($D60&amp;$C60,生产方式定位!$A$2:$E$38,2,FALSE)+VLOOKUP($E60&amp;$C60,生产方式定位!$F$3:$J$38,2,FALSE),0)</f>
        <v>200</v>
      </c>
      <c r="M60" s="2" t="s">
        <v>80</v>
      </c>
      <c r="N60" s="2">
        <v>-30</v>
      </c>
      <c r="O60" s="2" t="s">
        <v>73</v>
      </c>
      <c r="P60" s="2">
        <v>15</v>
      </c>
      <c r="S60" s="16">
        <f>IFERROR(VLOOKUP($D60&amp;$C60,生产方式定位!$A$2:$E$38,3,FALSE)+VLOOKUP($E60&amp;$C60,生产方式定位!$F$3:$J$38,3,FALSE),0)</f>
        <v>40</v>
      </c>
      <c r="T60" s="2" t="s">
        <v>36</v>
      </c>
      <c r="U60" s="2">
        <v>1</v>
      </c>
      <c r="X60" s="16">
        <f>IFERROR(VLOOKUP($D60&amp;$C60,生产方式定位!$A$2:$E$38,5,FALSE)+VLOOKUP($E60&amp;$C60,生产方式定位!$F$3:$J$38,5,FALSE),"错误")</f>
        <v>0</v>
      </c>
      <c r="Y60" s="26" t="str">
        <f t="shared" si="32"/>
        <v>魔导引擎*1,煤*4</v>
      </c>
      <c r="Z60" s="36" t="str">
        <f t="shared" si="33"/>
        <v>劳工*-1207,工程师*201</v>
      </c>
      <c r="AA60" s="36" t="str">
        <f t="shared" si="34"/>
        <v>纸张*0</v>
      </c>
      <c r="AB60" s="27" t="str">
        <f t="shared" si="35"/>
        <v>-100%</v>
      </c>
      <c r="AC60" s="2">
        <f t="shared" si="36"/>
        <v>-240</v>
      </c>
      <c r="AD60" s="38">
        <f t="shared" si="37"/>
        <v>5</v>
      </c>
      <c r="AE60" t="str">
        <f t="shared" si="38"/>
        <v>魔导引擎*1</v>
      </c>
      <c r="AF60" t="str">
        <f t="shared" si="39"/>
        <v>煤*4</v>
      </c>
      <c r="AG60" t="str">
        <f t="shared" si="40"/>
        <v>劳工*-1207</v>
      </c>
      <c r="AH60" t="str">
        <f t="shared" si="41"/>
        <v>工程师*201</v>
      </c>
      <c r="AI60" t="str">
        <f t="shared" si="42"/>
        <v/>
      </c>
      <c r="AJ60" t="str">
        <f t="shared" si="43"/>
        <v>纸张*0</v>
      </c>
      <c r="AK60" t="str">
        <f t="shared" si="44"/>
        <v/>
      </c>
      <c r="AL60">
        <f>IFERROR(ROUND(L60*(G60/$AU60)/VLOOKUP(F60,商品!$A$4:$B$60,2,FALSE),0),"")</f>
        <v>1</v>
      </c>
      <c r="AM60">
        <f>IFERROR(ROUND(L60*(I60/$AU60)/VLOOKUP(H60,商品!$A$4:$B$60,2,FALSE),0),"")</f>
        <v>4</v>
      </c>
      <c r="AN60">
        <f>IFERROR(ROUND(L60*(J60/$AU60)/VLOOKUP("运力",商品!$A$4:$B$60,2,FALSE),0),0)</f>
        <v>0</v>
      </c>
      <c r="AO60">
        <f>IFERROR(ROUND(L60*(K60/$AU60)/VLOOKUP("交易",商品!$A$4:$B$60,2,FALSE),0),0)</f>
        <v>0</v>
      </c>
      <c r="AP60">
        <f>IFERROR(ROUND(S60*(N60/$AV60)/VLOOKUP(M60,职业!$A$4:$G$16,4,FALSE),0),"")</f>
        <v>-1207</v>
      </c>
      <c r="AQ60">
        <f>IFERROR(ROUND(S60*(P60/$AV60)/VLOOKUP(O60,职业!$A$4:$G$16,4,FALSE),0),"")</f>
        <v>201</v>
      </c>
      <c r="AR60" t="str">
        <f>IFERROR(ROUND(S60*(R60/$AV60)/VLOOKUP(Q60,职业!$A$4:$G$16,4,FALSE),0),"")</f>
        <v/>
      </c>
      <c r="AS60">
        <f>IFERROR(ROUND(X60*(U60/$AW60)/VLOOKUP(T60,商品!$A$4:$B$60,2,FALSE),0),"")</f>
        <v>0</v>
      </c>
      <c r="AT60" t="str">
        <f>IFERROR(ROUND(X60*(W60/$AW60)/VLOOKUP(V60,商品!$A$4:$B$60,2,FALSE),0),"")</f>
        <v/>
      </c>
      <c r="AU60">
        <f t="shared" si="45"/>
        <v>15</v>
      </c>
      <c r="AV60">
        <f t="shared" si="46"/>
        <v>45</v>
      </c>
      <c r="AW60">
        <f t="shared" si="47"/>
        <v>1</v>
      </c>
    </row>
    <row r="61" spans="1:49" ht="19.95" customHeight="1" x14ac:dyDescent="0.25">
      <c r="A61" s="15" t="s">
        <v>507</v>
      </c>
      <c r="C61" s="15">
        <v>1</v>
      </c>
      <c r="D61" s="23" t="s">
        <v>174</v>
      </c>
      <c r="E61" s="23" t="s">
        <v>177</v>
      </c>
      <c r="L61" s="15">
        <f>IFERROR(VLOOKUP($D61&amp;$C61,生产方式定位!$A$2:$E$38,2,FALSE)+VLOOKUP($E61&amp;$C61,生产方式定位!$F$3:$J$38,2,FALSE),0)</f>
        <v>0</v>
      </c>
      <c r="S61" s="15">
        <f>IFERROR(VLOOKUP($D61&amp;$C61,生产方式定位!$A$2:$E$38,3,FALSE)+VLOOKUP($E61&amp;$C61,生产方式定位!$F$3:$J$38,3,FALSE),0)</f>
        <v>0</v>
      </c>
      <c r="X61" s="15">
        <f>IFERROR(VLOOKUP($D61&amp;$C61,生产方式定位!$A$2:$E$38,5,FALSE)+VLOOKUP($E61&amp;$C61,生产方式定位!$F$3:$J$38,5,FALSE),"错误")</f>
        <v>0</v>
      </c>
      <c r="Y61" s="26" t="str">
        <f t="shared" si="32"/>
        <v/>
      </c>
      <c r="Z61" s="36" t="str">
        <f t="shared" si="33"/>
        <v/>
      </c>
      <c r="AA61" s="36" t="str">
        <f t="shared" si="34"/>
        <v/>
      </c>
      <c r="AB61" s="27" t="str">
        <f t="shared" si="35"/>
        <v/>
      </c>
      <c r="AC61" s="2" t="str">
        <f t="shared" si="36"/>
        <v/>
      </c>
      <c r="AD61" s="37">
        <f t="shared" si="37"/>
        <v>1</v>
      </c>
      <c r="AE61" t="str">
        <f t="shared" si="38"/>
        <v/>
      </c>
      <c r="AF61" t="str">
        <f t="shared" si="39"/>
        <v/>
      </c>
      <c r="AG61" t="str">
        <f t="shared" si="40"/>
        <v/>
      </c>
      <c r="AH61" t="str">
        <f t="shared" si="41"/>
        <v/>
      </c>
      <c r="AI61" t="str">
        <f t="shared" si="42"/>
        <v/>
      </c>
      <c r="AJ61" t="str">
        <f t="shared" si="43"/>
        <v/>
      </c>
      <c r="AK61" t="str">
        <f t="shared" si="44"/>
        <v/>
      </c>
      <c r="AL61" t="str">
        <f>IFERROR(ROUND(L61*(G61/$AU61)/VLOOKUP(F61,商品!$A$4:$B$60,2,FALSE),0),"")</f>
        <v/>
      </c>
      <c r="AM61" t="str">
        <f>IFERROR(ROUND(L61*(I61/$AU61)/VLOOKUP(H61,商品!$A$4:$B$60,2,FALSE),0),"")</f>
        <v/>
      </c>
      <c r="AN61">
        <f>IFERROR(ROUND(L61*(J61/$AU61)/VLOOKUP("运力",商品!$A$4:$B$60,2,FALSE),0),0)</f>
        <v>0</v>
      </c>
      <c r="AO61">
        <f>IFERROR(ROUND(L61*(K61/$AU61)/VLOOKUP("交易",商品!$A$4:$B$60,2,FALSE),0),0)</f>
        <v>0</v>
      </c>
      <c r="AP61" t="str">
        <f>IFERROR(ROUND(S61*(N61/$AV61)/VLOOKUP(M61,职业!$A$4:$G$16,4,FALSE),0),"")</f>
        <v/>
      </c>
      <c r="AQ61" t="str">
        <f>IFERROR(ROUND(S61*(P61/$AV61)/VLOOKUP(O61,职业!$A$4:$G$16,4,FALSE),0),"")</f>
        <v/>
      </c>
      <c r="AR61" t="str">
        <f>IFERROR(ROUND(S61*(R61/$AV61)/VLOOKUP(Q61,职业!$A$4:$G$16,4,FALSE),0),"")</f>
        <v/>
      </c>
      <c r="AS61" t="str">
        <f>IFERROR(ROUND(X61*(U61/$AW61)/VLOOKUP(T61,商品!$A$4:$B$60,2,FALSE),0),"")</f>
        <v/>
      </c>
      <c r="AT61" t="str">
        <f>IFERROR(ROUND(X61*(W61/$AW61)/VLOOKUP(V61,商品!$A$4:$B$60,2,FALSE),0),"")</f>
        <v/>
      </c>
      <c r="AU61">
        <f t="shared" si="45"/>
        <v>0</v>
      </c>
      <c r="AV61">
        <f t="shared" si="46"/>
        <v>0</v>
      </c>
      <c r="AW61">
        <f t="shared" si="47"/>
        <v>0</v>
      </c>
    </row>
    <row r="62" spans="1:49" ht="19.95" customHeight="1" x14ac:dyDescent="0.25">
      <c r="A62" s="15" t="s">
        <v>507</v>
      </c>
      <c r="C62" s="15">
        <v>2</v>
      </c>
      <c r="D62" s="23" t="s">
        <v>174</v>
      </c>
      <c r="E62" s="23" t="s">
        <v>177</v>
      </c>
      <c r="F62" s="2" t="s">
        <v>42</v>
      </c>
      <c r="G62" s="2">
        <v>5</v>
      </c>
      <c r="H62" s="2" t="s">
        <v>20</v>
      </c>
      <c r="I62" s="2">
        <v>10</v>
      </c>
      <c r="L62" s="15">
        <f>IFERROR(VLOOKUP($D62&amp;$C62,生产方式定位!$A$2:$E$38,2,FALSE)+VLOOKUP($E62&amp;$C62,生产方式定位!$F$3:$J$38,2,FALSE),0)</f>
        <v>105</v>
      </c>
      <c r="M62" s="2" t="s">
        <v>80</v>
      </c>
      <c r="N62" s="2">
        <v>-30</v>
      </c>
      <c r="O62" s="2" t="s">
        <v>74</v>
      </c>
      <c r="P62" s="2">
        <v>5</v>
      </c>
      <c r="S62" s="15">
        <f>IFERROR(VLOOKUP($D62&amp;$C62,生产方式定位!$A$2:$E$38,3,FALSE)+VLOOKUP($E62&amp;$C62,生产方式定位!$F$3:$J$38,3,FALSE),0)</f>
        <v>15</v>
      </c>
      <c r="T62" s="2" t="s">
        <v>36</v>
      </c>
      <c r="U62" s="2">
        <v>1</v>
      </c>
      <c r="X62" s="15">
        <f>IFERROR(VLOOKUP($D62&amp;$C62,生产方式定位!$A$2:$E$38,5,FALSE)+VLOOKUP($E62&amp;$C62,生产方式定位!$F$3:$J$38,5,FALSE),"错误")</f>
        <v>0</v>
      </c>
      <c r="Y62" s="26" t="str">
        <f t="shared" si="32"/>
        <v>魔偶*1,灵能水晶*2</v>
      </c>
      <c r="Z62" s="36" t="str">
        <f t="shared" si="33"/>
        <v>劳工*-582,法士*24</v>
      </c>
      <c r="AA62" s="36" t="str">
        <f t="shared" si="34"/>
        <v>纸张*0</v>
      </c>
      <c r="AB62" s="27" t="str">
        <f t="shared" si="35"/>
        <v>-100%</v>
      </c>
      <c r="AC62" s="2">
        <f t="shared" si="36"/>
        <v>-120</v>
      </c>
      <c r="AD62" s="37">
        <f t="shared" si="37"/>
        <v>2</v>
      </c>
      <c r="AE62" t="str">
        <f t="shared" si="38"/>
        <v>魔偶*1</v>
      </c>
      <c r="AF62" t="str">
        <f t="shared" si="39"/>
        <v>灵能水晶*2</v>
      </c>
      <c r="AG62" t="str">
        <f t="shared" si="40"/>
        <v>劳工*-582</v>
      </c>
      <c r="AH62" t="str">
        <f t="shared" si="41"/>
        <v>法士*24</v>
      </c>
      <c r="AI62" t="str">
        <f t="shared" si="42"/>
        <v/>
      </c>
      <c r="AJ62" t="str">
        <f t="shared" si="43"/>
        <v>纸张*0</v>
      </c>
      <c r="AK62" t="str">
        <f t="shared" si="44"/>
        <v/>
      </c>
      <c r="AL62">
        <f>IFERROR(ROUND(L62*(G62/$AU62)/VLOOKUP(F62,商品!$A$4:$B$60,2,FALSE),0),"")</f>
        <v>1</v>
      </c>
      <c r="AM62">
        <f>IFERROR(ROUND(L62*(I62/$AU62)/VLOOKUP(H62,商品!$A$4:$B$60,2,FALSE),0),"")</f>
        <v>2</v>
      </c>
      <c r="AN62">
        <f>IFERROR(ROUND(L62*(J62/$AU62)/VLOOKUP("运力",商品!$A$4:$B$60,2,FALSE),0),0)</f>
        <v>0</v>
      </c>
      <c r="AO62">
        <f>IFERROR(ROUND(L62*(K62/$AU62)/VLOOKUP("交易",商品!$A$4:$B$60,2,FALSE),0),0)</f>
        <v>0</v>
      </c>
      <c r="AP62">
        <f>IFERROR(ROUND(S62*(N62/$AV62)/VLOOKUP(M62,职业!$A$4:$G$16,4,FALSE),0),"")</f>
        <v>-582</v>
      </c>
      <c r="AQ62">
        <f>IFERROR(ROUND(S62*(P62/$AV62)/VLOOKUP(O62,职业!$A$4:$G$16,4,FALSE),0),"")</f>
        <v>24</v>
      </c>
      <c r="AR62" t="str">
        <f>IFERROR(ROUND(S62*(R62/$AV62)/VLOOKUP(Q62,职业!$A$4:$G$16,4,FALSE),0),"")</f>
        <v/>
      </c>
      <c r="AS62">
        <f>IFERROR(ROUND(X62*(U62/$AW62)/VLOOKUP(T62,商品!$A$4:$B$60,2,FALSE),0),"")</f>
        <v>0</v>
      </c>
      <c r="AT62" t="str">
        <f>IFERROR(ROUND(X62*(W62/$AW62)/VLOOKUP(V62,商品!$A$4:$B$60,2,FALSE),0),"")</f>
        <v/>
      </c>
      <c r="AU62">
        <f t="shared" si="45"/>
        <v>15</v>
      </c>
      <c r="AV62">
        <f t="shared" si="46"/>
        <v>35</v>
      </c>
      <c r="AW62">
        <f t="shared" si="47"/>
        <v>1</v>
      </c>
    </row>
    <row r="63" spans="1:49" ht="19.95" customHeight="1" x14ac:dyDescent="0.25">
      <c r="A63" s="15" t="s">
        <v>507</v>
      </c>
      <c r="C63" s="15">
        <v>3</v>
      </c>
      <c r="D63" s="23" t="s">
        <v>174</v>
      </c>
      <c r="E63" s="23" t="s">
        <v>177</v>
      </c>
      <c r="F63" s="2" t="s">
        <v>42</v>
      </c>
      <c r="G63" s="2">
        <v>5</v>
      </c>
      <c r="H63" s="2" t="s">
        <v>20</v>
      </c>
      <c r="I63" s="2">
        <v>10</v>
      </c>
      <c r="L63" s="15">
        <f>IFERROR(VLOOKUP($D63&amp;$C63,生产方式定位!$A$2:$E$38,2,FALSE)+VLOOKUP($E63&amp;$C63,生产方式定位!$F$3:$J$38,2,FALSE),0)</f>
        <v>210</v>
      </c>
      <c r="M63" s="2" t="s">
        <v>80</v>
      </c>
      <c r="N63" s="2">
        <v>-30</v>
      </c>
      <c r="O63" s="2" t="s">
        <v>74</v>
      </c>
      <c r="P63" s="2">
        <v>6</v>
      </c>
      <c r="S63" s="15">
        <f>IFERROR(VLOOKUP($D63&amp;$C63,生产方式定位!$A$2:$E$38,3,FALSE)+VLOOKUP($E63&amp;$C63,生产方式定位!$F$3:$J$38,3,FALSE),0)</f>
        <v>30</v>
      </c>
      <c r="T63" s="2" t="s">
        <v>36</v>
      </c>
      <c r="U63" s="2">
        <v>1</v>
      </c>
      <c r="X63" s="15">
        <f>IFERROR(VLOOKUP($D63&amp;$C63,生产方式定位!$A$2:$E$38,5,FALSE)+VLOOKUP($E63&amp;$C63,生产方式定位!$F$3:$J$38,5,FALSE),"错误")</f>
        <v>0</v>
      </c>
      <c r="Y63" s="26" t="str">
        <f t="shared" si="32"/>
        <v>魔偶*2,灵能水晶*5</v>
      </c>
      <c r="Z63" s="36" t="str">
        <f t="shared" si="33"/>
        <v>劳工*-1131,法士*57</v>
      </c>
      <c r="AA63" s="36" t="str">
        <f t="shared" si="34"/>
        <v>纸张*0</v>
      </c>
      <c r="AB63" s="27" t="str">
        <f t="shared" si="35"/>
        <v>-100%</v>
      </c>
      <c r="AC63" s="2">
        <f t="shared" si="36"/>
        <v>-240</v>
      </c>
      <c r="AD63" s="37">
        <f t="shared" si="37"/>
        <v>3</v>
      </c>
      <c r="AE63" t="str">
        <f t="shared" si="38"/>
        <v>魔偶*2</v>
      </c>
      <c r="AF63" t="str">
        <f t="shared" si="39"/>
        <v>灵能水晶*5</v>
      </c>
      <c r="AG63" t="str">
        <f t="shared" si="40"/>
        <v>劳工*-1131</v>
      </c>
      <c r="AH63" t="str">
        <f t="shared" si="41"/>
        <v>法士*57</v>
      </c>
      <c r="AI63" t="str">
        <f t="shared" si="42"/>
        <v/>
      </c>
      <c r="AJ63" t="str">
        <f t="shared" si="43"/>
        <v>纸张*0</v>
      </c>
      <c r="AK63" t="str">
        <f t="shared" si="44"/>
        <v/>
      </c>
      <c r="AL63">
        <f>IFERROR(ROUND(L63*(G63/$AU63)/VLOOKUP(F63,商品!$A$4:$B$60,2,FALSE),0),"")</f>
        <v>2</v>
      </c>
      <c r="AM63">
        <f>IFERROR(ROUND(L63*(I63/$AU63)/VLOOKUP(H63,商品!$A$4:$B$60,2,FALSE),0),"")</f>
        <v>5</v>
      </c>
      <c r="AN63">
        <f>IFERROR(ROUND(L63*(J63/$AU63)/VLOOKUP("运力",商品!$A$4:$B$60,2,FALSE),0),0)</f>
        <v>0</v>
      </c>
      <c r="AO63">
        <f>IFERROR(ROUND(L63*(K63/$AU63)/VLOOKUP("交易",商品!$A$4:$B$60,2,FALSE),0),0)</f>
        <v>0</v>
      </c>
      <c r="AP63">
        <f>IFERROR(ROUND(S63*(N63/$AV63)/VLOOKUP(M63,职业!$A$4:$G$16,4,FALSE),0),"")</f>
        <v>-1131</v>
      </c>
      <c r="AQ63">
        <f>IFERROR(ROUND(S63*(P63/$AV63)/VLOOKUP(O63,职业!$A$4:$G$16,4,FALSE),0),"")</f>
        <v>57</v>
      </c>
      <c r="AR63" t="str">
        <f>IFERROR(ROUND(S63*(R63/$AV63)/VLOOKUP(Q63,职业!$A$4:$G$16,4,FALSE),0),"")</f>
        <v/>
      </c>
      <c r="AS63">
        <f>IFERROR(ROUND(X63*(U63/$AW63)/VLOOKUP(T63,商品!$A$4:$B$60,2,FALSE),0),"")</f>
        <v>0</v>
      </c>
      <c r="AT63" t="str">
        <f>IFERROR(ROUND(X63*(W63/$AW63)/VLOOKUP(V63,商品!$A$4:$B$60,2,FALSE),0),"")</f>
        <v/>
      </c>
      <c r="AU63">
        <f t="shared" si="45"/>
        <v>15</v>
      </c>
      <c r="AV63">
        <f t="shared" si="46"/>
        <v>36</v>
      </c>
      <c r="AW63">
        <f t="shared" si="47"/>
        <v>1</v>
      </c>
    </row>
    <row r="64" spans="1:49" ht="19.95" customHeight="1" x14ac:dyDescent="0.25">
      <c r="A64" s="15" t="s">
        <v>507</v>
      </c>
      <c r="C64" s="15">
        <v>4</v>
      </c>
      <c r="D64" s="23" t="s">
        <v>174</v>
      </c>
      <c r="E64" s="23" t="s">
        <v>177</v>
      </c>
      <c r="F64" s="2" t="s">
        <v>42</v>
      </c>
      <c r="G64" s="2">
        <v>5</v>
      </c>
      <c r="H64" s="2" t="s">
        <v>20</v>
      </c>
      <c r="I64" s="2">
        <v>10</v>
      </c>
      <c r="L64" s="15">
        <f>IFERROR(VLOOKUP($D64&amp;$C64,生产方式定位!$A$2:$E$38,2,FALSE)+VLOOKUP($E64&amp;$C64,生产方式定位!$F$3:$J$38,2,FALSE),0)</f>
        <v>315</v>
      </c>
      <c r="M64" s="2" t="s">
        <v>80</v>
      </c>
      <c r="N64" s="2">
        <v>-30</v>
      </c>
      <c r="O64" s="2" t="s">
        <v>74</v>
      </c>
      <c r="P64" s="2">
        <v>8</v>
      </c>
      <c r="S64" s="15">
        <f>IFERROR(VLOOKUP($D64&amp;$C64,生产方式定位!$A$2:$E$38,3,FALSE)+VLOOKUP($E64&amp;$C64,生产方式定位!$F$3:$J$38,3,FALSE),0)</f>
        <v>45</v>
      </c>
      <c r="T64" s="2" t="s">
        <v>36</v>
      </c>
      <c r="U64" s="2">
        <v>1</v>
      </c>
      <c r="X64" s="15">
        <f>IFERROR(VLOOKUP($D64&amp;$C64,生产方式定位!$A$2:$E$38,5,FALSE)+VLOOKUP($E64&amp;$C64,生产方式定位!$F$3:$J$38,5,FALSE),"错误")</f>
        <v>0</v>
      </c>
      <c r="Y64" s="26" t="str">
        <f t="shared" si="32"/>
        <v>魔偶*3,灵能水晶*7</v>
      </c>
      <c r="Z64" s="36" t="str">
        <f t="shared" si="33"/>
        <v>劳工*-1608,法士*107</v>
      </c>
      <c r="AA64" s="36" t="str">
        <f t="shared" si="34"/>
        <v>纸张*0</v>
      </c>
      <c r="AB64" s="27" t="str">
        <f t="shared" si="35"/>
        <v>-100%</v>
      </c>
      <c r="AC64" s="2">
        <f t="shared" si="36"/>
        <v>-360</v>
      </c>
      <c r="AD64" s="37">
        <f t="shared" si="37"/>
        <v>4</v>
      </c>
      <c r="AE64" t="str">
        <f t="shared" si="38"/>
        <v>魔偶*3</v>
      </c>
      <c r="AF64" t="str">
        <f t="shared" si="39"/>
        <v>灵能水晶*7</v>
      </c>
      <c r="AG64" t="str">
        <f t="shared" si="40"/>
        <v>劳工*-1608</v>
      </c>
      <c r="AH64" t="str">
        <f t="shared" si="41"/>
        <v>法士*107</v>
      </c>
      <c r="AI64" t="str">
        <f t="shared" si="42"/>
        <v/>
      </c>
      <c r="AJ64" t="str">
        <f t="shared" si="43"/>
        <v>纸张*0</v>
      </c>
      <c r="AK64" t="str">
        <f t="shared" si="44"/>
        <v/>
      </c>
      <c r="AL64">
        <f>IFERROR(ROUND(L64*(G64/$AU64)/VLOOKUP(F64,商品!$A$4:$B$60,2,FALSE),0),"")</f>
        <v>3</v>
      </c>
      <c r="AM64">
        <f>IFERROR(ROUND(L64*(I64/$AU64)/VLOOKUP(H64,商品!$A$4:$B$60,2,FALSE),0),"")</f>
        <v>7</v>
      </c>
      <c r="AN64">
        <f>IFERROR(ROUND(L64*(J64/$AU64)/VLOOKUP("运力",商品!$A$4:$B$60,2,FALSE),0),0)</f>
        <v>0</v>
      </c>
      <c r="AO64">
        <f>IFERROR(ROUND(L64*(K64/$AU64)/VLOOKUP("交易",商品!$A$4:$B$60,2,FALSE),0),0)</f>
        <v>0</v>
      </c>
      <c r="AP64">
        <f>IFERROR(ROUND(S64*(N64/$AV64)/VLOOKUP(M64,职业!$A$4:$G$16,4,FALSE),0),"")</f>
        <v>-1608</v>
      </c>
      <c r="AQ64">
        <f>IFERROR(ROUND(S64*(P64/$AV64)/VLOOKUP(O64,职业!$A$4:$G$16,4,FALSE),0),"")</f>
        <v>107</v>
      </c>
      <c r="AR64" t="str">
        <f>IFERROR(ROUND(S64*(R64/$AV64)/VLOOKUP(Q64,职业!$A$4:$G$16,4,FALSE),0),"")</f>
        <v/>
      </c>
      <c r="AS64">
        <f>IFERROR(ROUND(X64*(U64/$AW64)/VLOOKUP(T64,商品!$A$4:$B$60,2,FALSE),0),"")</f>
        <v>0</v>
      </c>
      <c r="AT64" t="str">
        <f>IFERROR(ROUND(X64*(W64/$AW64)/VLOOKUP(V64,商品!$A$4:$B$60,2,FALSE),0),"")</f>
        <v/>
      </c>
      <c r="AU64">
        <f t="shared" si="45"/>
        <v>15</v>
      </c>
      <c r="AV64">
        <f t="shared" si="46"/>
        <v>38</v>
      </c>
      <c r="AW64">
        <f t="shared" si="47"/>
        <v>1</v>
      </c>
    </row>
    <row r="65" spans="1:49" ht="19.95" customHeight="1" x14ac:dyDescent="0.25">
      <c r="A65" s="15" t="s">
        <v>507</v>
      </c>
      <c r="C65" s="15">
        <v>5</v>
      </c>
      <c r="D65" s="23" t="s">
        <v>174</v>
      </c>
      <c r="E65" s="23" t="s">
        <v>177</v>
      </c>
      <c r="F65" s="2" t="s">
        <v>42</v>
      </c>
      <c r="G65" s="2">
        <v>5</v>
      </c>
      <c r="H65" s="2" t="s">
        <v>20</v>
      </c>
      <c r="I65" s="2">
        <v>10</v>
      </c>
      <c r="L65" s="15">
        <f>IFERROR(VLOOKUP($D65&amp;$C65,生产方式定位!$A$2:$E$38,2,FALSE)+VLOOKUP($E65&amp;$C65,生产方式定位!$F$3:$J$38,2,FALSE),0)</f>
        <v>420</v>
      </c>
      <c r="M65" s="2" t="s">
        <v>80</v>
      </c>
      <c r="N65" s="2">
        <v>-30</v>
      </c>
      <c r="O65" s="2" t="s">
        <v>74</v>
      </c>
      <c r="P65" s="2">
        <v>9</v>
      </c>
      <c r="S65" s="15">
        <f>IFERROR(VLOOKUP($D65&amp;$C65,生产方式定位!$A$2:$E$38,3,FALSE)+VLOOKUP($E65&amp;$C65,生产方式定位!$F$3:$J$38,3,FALSE),0)</f>
        <v>60</v>
      </c>
      <c r="T65" s="2" t="s">
        <v>36</v>
      </c>
      <c r="U65" s="2">
        <v>1</v>
      </c>
      <c r="X65" s="15">
        <f>IFERROR(VLOOKUP($D65&amp;$C65,生产方式定位!$A$2:$E$38,5,FALSE)+VLOOKUP($E65&amp;$C65,生产方式定位!$F$3:$J$38,5,FALSE),"错误")</f>
        <v>0</v>
      </c>
      <c r="Y65" s="26" t="str">
        <f t="shared" si="32"/>
        <v>魔偶*4,灵能水晶*9</v>
      </c>
      <c r="Z65" s="36" t="str">
        <f t="shared" si="33"/>
        <v>劳工*-2088,法士*157</v>
      </c>
      <c r="AA65" s="36" t="str">
        <f t="shared" si="34"/>
        <v>纸张*0</v>
      </c>
      <c r="AB65" s="27" t="str">
        <f t="shared" si="35"/>
        <v>-100%</v>
      </c>
      <c r="AC65" s="2">
        <f t="shared" si="36"/>
        <v>-480</v>
      </c>
      <c r="AD65" s="37">
        <f t="shared" si="37"/>
        <v>5</v>
      </c>
      <c r="AE65" t="str">
        <f t="shared" si="38"/>
        <v>魔偶*4</v>
      </c>
      <c r="AF65" t="str">
        <f t="shared" si="39"/>
        <v>灵能水晶*9</v>
      </c>
      <c r="AG65" t="str">
        <f t="shared" si="40"/>
        <v>劳工*-2088</v>
      </c>
      <c r="AH65" t="str">
        <f t="shared" si="41"/>
        <v>法士*157</v>
      </c>
      <c r="AI65" t="str">
        <f t="shared" si="42"/>
        <v/>
      </c>
      <c r="AJ65" t="str">
        <f t="shared" si="43"/>
        <v>纸张*0</v>
      </c>
      <c r="AK65" t="str">
        <f t="shared" si="44"/>
        <v/>
      </c>
      <c r="AL65">
        <f>IFERROR(ROUND(L65*(G65/$AU65)/VLOOKUP(F65,商品!$A$4:$B$60,2,FALSE),0),"")</f>
        <v>4</v>
      </c>
      <c r="AM65">
        <f>IFERROR(ROUND(L65*(I65/$AU65)/VLOOKUP(H65,商品!$A$4:$B$60,2,FALSE),0),"")</f>
        <v>9</v>
      </c>
      <c r="AN65">
        <f>IFERROR(ROUND(L65*(J65/$AU65)/VLOOKUP("运力",商品!$A$4:$B$60,2,FALSE),0),0)</f>
        <v>0</v>
      </c>
      <c r="AO65">
        <f>IFERROR(ROUND(L65*(K65/$AU65)/VLOOKUP("交易",商品!$A$4:$B$60,2,FALSE),0),0)</f>
        <v>0</v>
      </c>
      <c r="AP65">
        <f>IFERROR(ROUND(S65*(N65/$AV65)/VLOOKUP(M65,职业!$A$4:$G$16,4,FALSE),0),"")</f>
        <v>-2088</v>
      </c>
      <c r="AQ65">
        <f>IFERROR(ROUND(S65*(P65/$AV65)/VLOOKUP(O65,职业!$A$4:$G$16,4,FALSE),0),"")</f>
        <v>157</v>
      </c>
      <c r="AR65" t="str">
        <f>IFERROR(ROUND(S65*(R65/$AV65)/VLOOKUP(Q65,职业!$A$4:$G$16,4,FALSE),0),"")</f>
        <v/>
      </c>
      <c r="AS65">
        <f>IFERROR(ROUND(X65*(U65/$AW65)/VLOOKUP(T65,商品!$A$4:$B$60,2,FALSE),0),"")</f>
        <v>0</v>
      </c>
      <c r="AT65" t="str">
        <f>IFERROR(ROUND(X65*(W65/$AW65)/VLOOKUP(V65,商品!$A$4:$B$60,2,FALSE),0),"")</f>
        <v/>
      </c>
      <c r="AU65">
        <f t="shared" si="45"/>
        <v>15</v>
      </c>
      <c r="AV65">
        <f t="shared" si="46"/>
        <v>39</v>
      </c>
      <c r="AW65">
        <f t="shared" si="47"/>
        <v>1</v>
      </c>
    </row>
    <row r="66" spans="1:49" ht="19.95" customHeight="1" x14ac:dyDescent="0.25">
      <c r="A66" s="16" t="s">
        <v>189</v>
      </c>
      <c r="C66" s="16">
        <v>1</v>
      </c>
      <c r="D66" s="23" t="s">
        <v>174</v>
      </c>
      <c r="E66" s="23" t="s">
        <v>179</v>
      </c>
      <c r="L66" s="16">
        <f>IFERROR(VLOOKUP($D66&amp;$C66,生产方式定位!$A$2:$E$38,2,FALSE)+VLOOKUP($E66&amp;$C66,生产方式定位!$F$3:$J$38,2,FALSE),0)</f>
        <v>0</v>
      </c>
      <c r="S66" s="16">
        <f>IFERROR(VLOOKUP($D66&amp;$C66,生产方式定位!$A$2:$E$38,3,FALSE)+VLOOKUP($E66&amp;$C66,生产方式定位!$F$3:$J$38,3,FALSE),0)</f>
        <v>100</v>
      </c>
      <c r="X66" s="16">
        <f>IFERROR(VLOOKUP($D66&amp;$C66,生产方式定位!$A$2:$E$38,5,FALSE)+VLOOKUP($E66&amp;$C66,生产方式定位!$F$3:$J$38,5,FALSE),"错误")</f>
        <v>100</v>
      </c>
      <c r="Y66" s="26" t="str">
        <f t="shared" si="32"/>
        <v/>
      </c>
      <c r="Z66" s="36" t="str">
        <f t="shared" si="33"/>
        <v/>
      </c>
      <c r="AA66" s="36" t="str">
        <f t="shared" si="34"/>
        <v/>
      </c>
      <c r="AB66" s="27" t="str">
        <f t="shared" si="35"/>
        <v/>
      </c>
      <c r="AC66" s="2" t="str">
        <f t="shared" si="36"/>
        <v/>
      </c>
      <c r="AD66" s="38">
        <f t="shared" si="37"/>
        <v>1</v>
      </c>
      <c r="AE66" t="str">
        <f t="shared" si="38"/>
        <v/>
      </c>
      <c r="AF66" t="str">
        <f t="shared" si="39"/>
        <v/>
      </c>
      <c r="AG66" t="str">
        <f t="shared" si="40"/>
        <v/>
      </c>
      <c r="AH66" t="str">
        <f t="shared" si="41"/>
        <v/>
      </c>
      <c r="AI66" t="str">
        <f t="shared" si="42"/>
        <v/>
      </c>
      <c r="AJ66" t="str">
        <f t="shared" si="43"/>
        <v/>
      </c>
      <c r="AK66" t="str">
        <f t="shared" si="44"/>
        <v/>
      </c>
      <c r="AL66" t="str">
        <f>IFERROR(ROUND(L66*(G66/$AU66)/VLOOKUP(F66,商品!$A$4:$B$60,2,FALSE),0),"")</f>
        <v/>
      </c>
      <c r="AM66" t="str">
        <f>IFERROR(ROUND(L66*(I66/$AU66)/VLOOKUP(H66,商品!$A$4:$B$60,2,FALSE),0),"")</f>
        <v/>
      </c>
      <c r="AN66">
        <f>IFERROR(ROUND(L66*(J66/$AU66)/VLOOKUP("运力",商品!$A$4:$B$60,2,FALSE),0),0)</f>
        <v>0</v>
      </c>
      <c r="AO66">
        <f>IFERROR(ROUND(L66*(K66/$AU66)/VLOOKUP("交易",商品!$A$4:$B$60,2,FALSE),0),0)</f>
        <v>0</v>
      </c>
      <c r="AP66" t="str">
        <f>IFERROR(ROUND(S66*(N66/$AV66)/VLOOKUP(M66,职业!$A$4:$G$16,4,FALSE),0),"")</f>
        <v/>
      </c>
      <c r="AQ66" t="str">
        <f>IFERROR(ROUND(S66*(P66/$AV66)/VLOOKUP(O66,职业!$A$4:$G$16,4,FALSE),0),"")</f>
        <v/>
      </c>
      <c r="AR66" t="str">
        <f>IFERROR(ROUND(S66*(R66/$AV66)/VLOOKUP(Q66,职业!$A$4:$G$16,4,FALSE),0),"")</f>
        <v/>
      </c>
      <c r="AS66" t="str">
        <f>IFERROR(ROUND(X66*(U66/$AW66)/VLOOKUP(T66,商品!$A$4:$B$60,2,FALSE),0),"")</f>
        <v/>
      </c>
      <c r="AT66" t="str">
        <f>IFERROR(ROUND(X66*(W66/$AW66)/VLOOKUP(V66,商品!$A$4:$B$60,2,FALSE),0),"")</f>
        <v/>
      </c>
      <c r="AU66">
        <f t="shared" si="45"/>
        <v>0</v>
      </c>
      <c r="AV66">
        <f t="shared" si="46"/>
        <v>0</v>
      </c>
      <c r="AW66">
        <f t="shared" si="47"/>
        <v>0</v>
      </c>
    </row>
    <row r="67" spans="1:49" ht="19.95" customHeight="1" x14ac:dyDescent="0.25">
      <c r="A67" s="16" t="s">
        <v>189</v>
      </c>
      <c r="C67" s="16">
        <v>2</v>
      </c>
      <c r="D67" s="23" t="s">
        <v>174</v>
      </c>
      <c r="E67" s="23" t="s">
        <v>179</v>
      </c>
      <c r="L67" s="16">
        <f>IFERROR(VLOOKUP($D67&amp;$C67,生产方式定位!$A$2:$E$38,2,FALSE)+VLOOKUP($E67&amp;$C67,生产方式定位!$F$3:$J$38,2,FALSE),0)</f>
        <v>0</v>
      </c>
      <c r="S67" s="16">
        <f>IFERROR(VLOOKUP($D67&amp;$C67,生产方式定位!$A$2:$E$38,3,FALSE)+VLOOKUP($E67&amp;$C67,生产方式定位!$F$3:$J$38,3,FALSE),0)</f>
        <v>100</v>
      </c>
      <c r="X67" s="16">
        <f>IFERROR(VLOOKUP($D67&amp;$C67,生产方式定位!$A$2:$E$38,5,FALSE)+VLOOKUP($E67&amp;$C67,生产方式定位!$F$3:$J$38,5,FALSE),"错误")</f>
        <v>100</v>
      </c>
      <c r="Y67" s="26" t="str">
        <f t="shared" si="32"/>
        <v/>
      </c>
      <c r="Z67" s="36" t="str">
        <f t="shared" si="33"/>
        <v/>
      </c>
      <c r="AA67" s="36" t="str">
        <f t="shared" si="34"/>
        <v/>
      </c>
      <c r="AB67" s="27" t="str">
        <f t="shared" si="35"/>
        <v/>
      </c>
      <c r="AC67" s="2" t="str">
        <f t="shared" si="36"/>
        <v/>
      </c>
      <c r="AD67" s="38">
        <f t="shared" si="37"/>
        <v>2</v>
      </c>
      <c r="AE67" t="str">
        <f t="shared" si="38"/>
        <v/>
      </c>
      <c r="AF67" t="str">
        <f t="shared" si="39"/>
        <v/>
      </c>
      <c r="AG67" t="str">
        <f t="shared" si="40"/>
        <v/>
      </c>
      <c r="AH67" t="str">
        <f t="shared" si="41"/>
        <v/>
      </c>
      <c r="AI67" t="str">
        <f t="shared" si="42"/>
        <v/>
      </c>
      <c r="AJ67" t="str">
        <f t="shared" si="43"/>
        <v/>
      </c>
      <c r="AK67" t="str">
        <f t="shared" si="44"/>
        <v/>
      </c>
      <c r="AL67" t="str">
        <f>IFERROR(ROUND(L67*(G67/$AU67)/VLOOKUP(F67,商品!$A$4:$B$60,2,FALSE),0),"")</f>
        <v/>
      </c>
      <c r="AM67" t="str">
        <f>IFERROR(ROUND(L67*(I67/$AU67)/VLOOKUP(H67,商品!$A$4:$B$60,2,FALSE),0),"")</f>
        <v/>
      </c>
      <c r="AN67">
        <f>IFERROR(ROUND(L67*(J67/$AU67)/VLOOKUP("运力",商品!$A$4:$B$60,2,FALSE),0),0)</f>
        <v>0</v>
      </c>
      <c r="AO67">
        <f>IFERROR(ROUND(L67*(K67/$AU67)/VLOOKUP("交易",商品!$A$4:$B$60,2,FALSE),0),0)</f>
        <v>0</v>
      </c>
      <c r="AP67" t="str">
        <f>IFERROR(ROUND(S67*(N67/$AV67)/VLOOKUP(M67,职业!$A$4:$G$16,4,FALSE),0),"")</f>
        <v/>
      </c>
      <c r="AQ67" t="str">
        <f>IFERROR(ROUND(S67*(P67/$AV67)/VLOOKUP(O67,职业!$A$4:$G$16,4,FALSE),0),"")</f>
        <v/>
      </c>
      <c r="AR67" t="str">
        <f>IFERROR(ROUND(S67*(R67/$AV67)/VLOOKUP(Q67,职业!$A$4:$G$16,4,FALSE),0),"")</f>
        <v/>
      </c>
      <c r="AS67" t="str">
        <f>IFERROR(ROUND(X67*(U67/$AW67)/VLOOKUP(T67,商品!$A$4:$B$60,2,FALSE),0),"")</f>
        <v/>
      </c>
      <c r="AT67" t="str">
        <f>IFERROR(ROUND(X67*(W67/$AW67)/VLOOKUP(V67,商品!$A$4:$B$60,2,FALSE),0),"")</f>
        <v/>
      </c>
      <c r="AU67">
        <f t="shared" si="45"/>
        <v>0</v>
      </c>
      <c r="AV67">
        <f t="shared" si="46"/>
        <v>0</v>
      </c>
      <c r="AW67">
        <f t="shared" si="47"/>
        <v>0</v>
      </c>
    </row>
    <row r="68" spans="1:49" ht="19.95" customHeight="1" x14ac:dyDescent="0.25">
      <c r="A68" s="16" t="s">
        <v>189</v>
      </c>
      <c r="C68" s="16">
        <v>3</v>
      </c>
      <c r="D68" s="23" t="s">
        <v>174</v>
      </c>
      <c r="E68" s="23" t="s">
        <v>179</v>
      </c>
      <c r="L68" s="16">
        <f>IFERROR(VLOOKUP($D68&amp;$C68,生产方式定位!$A$2:$E$38,2,FALSE)+VLOOKUP($E68&amp;$C68,生产方式定位!$F$3:$J$38,2,FALSE),0)</f>
        <v>0</v>
      </c>
      <c r="S68" s="16">
        <f>IFERROR(VLOOKUP($D68&amp;$C68,生产方式定位!$A$2:$E$38,3,FALSE)+VLOOKUP($E68&amp;$C68,生产方式定位!$F$3:$J$38,3,FALSE),0)</f>
        <v>100</v>
      </c>
      <c r="X68" s="16">
        <f>IFERROR(VLOOKUP($D68&amp;$C68,生产方式定位!$A$2:$E$38,5,FALSE)+VLOOKUP($E68&amp;$C68,生产方式定位!$F$3:$J$38,5,FALSE),"错误")</f>
        <v>100</v>
      </c>
      <c r="Y68" s="26" t="str">
        <f t="shared" si="32"/>
        <v/>
      </c>
      <c r="Z68" s="36" t="str">
        <f t="shared" si="33"/>
        <v/>
      </c>
      <c r="AA68" s="36" t="str">
        <f t="shared" si="34"/>
        <v/>
      </c>
      <c r="AB68" s="27" t="str">
        <f t="shared" si="35"/>
        <v/>
      </c>
      <c r="AC68" s="2" t="str">
        <f t="shared" si="36"/>
        <v/>
      </c>
      <c r="AD68" s="38">
        <f t="shared" si="37"/>
        <v>3</v>
      </c>
      <c r="AE68" t="str">
        <f t="shared" si="38"/>
        <v/>
      </c>
      <c r="AF68" t="str">
        <f t="shared" si="39"/>
        <v/>
      </c>
      <c r="AG68" t="str">
        <f t="shared" si="40"/>
        <v/>
      </c>
      <c r="AH68" t="str">
        <f t="shared" si="41"/>
        <v/>
      </c>
      <c r="AI68" t="str">
        <f t="shared" si="42"/>
        <v/>
      </c>
      <c r="AJ68" t="str">
        <f t="shared" si="43"/>
        <v/>
      </c>
      <c r="AK68" t="str">
        <f t="shared" si="44"/>
        <v/>
      </c>
      <c r="AL68" t="str">
        <f>IFERROR(ROUND(L68*(G68/$AU68)/VLOOKUP(F68,商品!$A$4:$B$60,2,FALSE),0),"")</f>
        <v/>
      </c>
      <c r="AM68" t="str">
        <f>IFERROR(ROUND(L68*(I68/$AU68)/VLOOKUP(H68,商品!$A$4:$B$60,2,FALSE),0),"")</f>
        <v/>
      </c>
      <c r="AN68">
        <f>IFERROR(ROUND(L68*(J68/$AU68)/VLOOKUP("运力",商品!$A$4:$B$60,2,FALSE),0),0)</f>
        <v>0</v>
      </c>
      <c r="AO68">
        <f>IFERROR(ROUND(L68*(K68/$AU68)/VLOOKUP("交易",商品!$A$4:$B$60,2,FALSE),0),0)</f>
        <v>0</v>
      </c>
      <c r="AP68" t="str">
        <f>IFERROR(ROUND(S68*(N68/$AV68)/VLOOKUP(M68,职业!$A$4:$G$16,4,FALSE),0),"")</f>
        <v/>
      </c>
      <c r="AQ68" t="str">
        <f>IFERROR(ROUND(S68*(P68/$AV68)/VLOOKUP(O68,职业!$A$4:$G$16,4,FALSE),0),"")</f>
        <v/>
      </c>
      <c r="AR68" t="str">
        <f>IFERROR(ROUND(S68*(R68/$AV68)/VLOOKUP(Q68,职业!$A$4:$G$16,4,FALSE),0),"")</f>
        <v/>
      </c>
      <c r="AS68" t="str">
        <f>IFERROR(ROUND(X68*(U68/$AW68)/VLOOKUP(T68,商品!$A$4:$B$60,2,FALSE),0),"")</f>
        <v/>
      </c>
      <c r="AT68" t="str">
        <f>IFERROR(ROUND(X68*(W68/$AW68)/VLOOKUP(V68,商品!$A$4:$B$60,2,FALSE),0),"")</f>
        <v/>
      </c>
      <c r="AU68">
        <f t="shared" si="45"/>
        <v>0</v>
      </c>
      <c r="AV68">
        <f t="shared" si="46"/>
        <v>0</v>
      </c>
      <c r="AW68">
        <f t="shared" si="47"/>
        <v>0</v>
      </c>
    </row>
    <row r="69" spans="1:49" ht="19.95" customHeight="1" x14ac:dyDescent="0.25">
      <c r="A69" s="16" t="s">
        <v>189</v>
      </c>
      <c r="C69" s="16">
        <v>4</v>
      </c>
      <c r="D69" s="23" t="s">
        <v>174</v>
      </c>
      <c r="E69" s="23" t="s">
        <v>179</v>
      </c>
      <c r="L69" s="16">
        <f>IFERROR(VLOOKUP($D69&amp;$C69,生产方式定位!$A$2:$E$38,2,FALSE)+VLOOKUP($E69&amp;$C69,生产方式定位!$F$3:$J$38,2,FALSE),0)</f>
        <v>0</v>
      </c>
      <c r="S69" s="16">
        <f>IFERROR(VLOOKUP($D69&amp;$C69,生产方式定位!$A$2:$E$38,3,FALSE)+VLOOKUP($E69&amp;$C69,生产方式定位!$F$3:$J$38,3,FALSE),0)</f>
        <v>100</v>
      </c>
      <c r="X69" s="16">
        <f>IFERROR(VLOOKUP($D69&amp;$C69,生产方式定位!$A$2:$E$38,5,FALSE)+VLOOKUP($E69&amp;$C69,生产方式定位!$F$3:$J$38,5,FALSE),"错误")</f>
        <v>100</v>
      </c>
      <c r="Y69" s="26" t="str">
        <f t="shared" ref="Y69:Y132" si="48">IF(AE69="","",AE69)&amp;IF(AF69="","",","&amp;AF69)&amp;IF(AN69=0,"",",运力*"&amp;AN69)&amp;IF(AO69=0,"",",交易*"&amp;AO69)</f>
        <v/>
      </c>
      <c r="Z69" s="36" t="str">
        <f t="shared" ref="Z69:Z132" si="49">IF(AG69="","",AG69)&amp;IF(AH69="","",","&amp;AH69)&amp;IF(AI69="","",","&amp;AI69)</f>
        <v/>
      </c>
      <c r="AA69" s="36" t="str">
        <f t="shared" ref="AA69:AA132" si="50">IF(AJ69="","",AJ69)&amp;IF(AK69="","",","&amp;AK69)</f>
        <v/>
      </c>
      <c r="AB69" s="27" t="str">
        <f t="shared" ref="AB69:AB132" si="51">IFERROR(ROUND(((X69/L69)-1)*100,0)&amp;"%","")</f>
        <v/>
      </c>
      <c r="AC69" s="2" t="str">
        <f t="shared" ref="AC69:AC132" si="52">IF(X69-S69-L69=0,"",X69-S69-L69)</f>
        <v/>
      </c>
      <c r="AD69" s="38">
        <f t="shared" ref="AD69:AD132" si="53">C69</f>
        <v>4</v>
      </c>
      <c r="AE69" t="str">
        <f t="shared" ref="AE69:AE132" si="54">IF(AL69="","",F69&amp;"*"&amp;AL69)</f>
        <v/>
      </c>
      <c r="AF69" t="str">
        <f t="shared" ref="AF69:AF132" si="55">IF(AM69="","",H69&amp;"*"&amp;AM69)</f>
        <v/>
      </c>
      <c r="AG69" t="str">
        <f t="shared" ref="AG69:AG132" si="56">IF(AP69="","",M69&amp;"*"&amp;AP69)</f>
        <v/>
      </c>
      <c r="AH69" t="str">
        <f t="shared" ref="AH69:AH132" si="57">IF(AQ69="","",O69&amp;"*"&amp;AQ69)</f>
        <v/>
      </c>
      <c r="AI69" t="str">
        <f t="shared" ref="AI69:AI132" si="58">IF(AR69="","",Q69&amp;"*"&amp;AR69)</f>
        <v/>
      </c>
      <c r="AJ69" t="str">
        <f t="shared" ref="AJ69:AJ132" si="59">IF(AS69="","",T69&amp;"*"&amp;AS69)</f>
        <v/>
      </c>
      <c r="AK69" t="str">
        <f t="shared" ref="AK69:AK132" si="60">IF(AT69="","",V69&amp;"*"&amp;AT69)</f>
        <v/>
      </c>
      <c r="AL69" t="str">
        <f>IFERROR(ROUND(L69*(G69/$AU69)/VLOOKUP(F69,商品!$A$4:$B$60,2,FALSE),0),"")</f>
        <v/>
      </c>
      <c r="AM69" t="str">
        <f>IFERROR(ROUND(L69*(I69/$AU69)/VLOOKUP(H69,商品!$A$4:$B$60,2,FALSE),0),"")</f>
        <v/>
      </c>
      <c r="AN69">
        <f>IFERROR(ROUND(L69*(J69/$AU69)/VLOOKUP("运力",商品!$A$4:$B$60,2,FALSE),0),0)</f>
        <v>0</v>
      </c>
      <c r="AO69">
        <f>IFERROR(ROUND(L69*(K69/$AU69)/VLOOKUP("交易",商品!$A$4:$B$60,2,FALSE),0),0)</f>
        <v>0</v>
      </c>
      <c r="AP69" t="str">
        <f>IFERROR(ROUND(S69*(N69/$AV69)/VLOOKUP(M69,职业!$A$4:$G$16,4,FALSE),0),"")</f>
        <v/>
      </c>
      <c r="AQ69" t="str">
        <f>IFERROR(ROUND(S69*(P69/$AV69)/VLOOKUP(O69,职业!$A$4:$G$16,4,FALSE),0),"")</f>
        <v/>
      </c>
      <c r="AR69" t="str">
        <f>IFERROR(ROUND(S69*(R69/$AV69)/VLOOKUP(Q69,职业!$A$4:$G$16,4,FALSE),0),"")</f>
        <v/>
      </c>
      <c r="AS69" t="str">
        <f>IFERROR(ROUND(X69*(U69/$AW69)/VLOOKUP(T69,商品!$A$4:$B$60,2,FALSE),0),"")</f>
        <v/>
      </c>
      <c r="AT69" t="str">
        <f>IFERROR(ROUND(X69*(W69/$AW69)/VLOOKUP(V69,商品!$A$4:$B$60,2,FALSE),0),"")</f>
        <v/>
      </c>
      <c r="AU69">
        <f t="shared" ref="AU69:AU132" si="61">G69+I69+J69+K69</f>
        <v>0</v>
      </c>
      <c r="AV69">
        <f t="shared" ref="AV69:AV132" si="62">ABS(N69)+ABS(P69)+ABS(R69)</f>
        <v>0</v>
      </c>
      <c r="AW69">
        <f t="shared" ref="AW69:AW132" si="63">U69+W69</f>
        <v>0</v>
      </c>
    </row>
    <row r="70" spans="1:49" ht="19.95" customHeight="1" x14ac:dyDescent="0.25">
      <c r="A70" s="16" t="s">
        <v>189</v>
      </c>
      <c r="C70" s="16">
        <v>5</v>
      </c>
      <c r="D70" s="23" t="s">
        <v>174</v>
      </c>
      <c r="E70" s="23" t="s">
        <v>179</v>
      </c>
      <c r="L70" s="16">
        <f>IFERROR(VLOOKUP($D70&amp;$C70,生产方式定位!$A$2:$E$38,2,FALSE)+VLOOKUP($E70&amp;$C70,生产方式定位!$F$3:$J$38,2,FALSE),0)</f>
        <v>0</v>
      </c>
      <c r="S70" s="16">
        <f>IFERROR(VLOOKUP($D70&amp;$C70,生产方式定位!$A$2:$E$38,3,FALSE)+VLOOKUP($E70&amp;$C70,生产方式定位!$F$3:$J$38,3,FALSE),0)</f>
        <v>100</v>
      </c>
      <c r="X70" s="16">
        <f>IFERROR(VLOOKUP($D70&amp;$C70,生产方式定位!$A$2:$E$38,5,FALSE)+VLOOKUP($E70&amp;$C70,生产方式定位!$F$3:$J$38,5,FALSE),"错误")</f>
        <v>100</v>
      </c>
      <c r="Y70" s="26" t="str">
        <f t="shared" si="48"/>
        <v/>
      </c>
      <c r="Z70" s="36" t="str">
        <f t="shared" si="49"/>
        <v/>
      </c>
      <c r="AA70" s="36" t="str">
        <f t="shared" si="50"/>
        <v/>
      </c>
      <c r="AB70" s="27" t="str">
        <f t="shared" si="51"/>
        <v/>
      </c>
      <c r="AC70" s="2" t="str">
        <f t="shared" si="52"/>
        <v/>
      </c>
      <c r="AD70" s="38">
        <f t="shared" si="53"/>
        <v>5</v>
      </c>
      <c r="AE70" t="str">
        <f t="shared" si="54"/>
        <v/>
      </c>
      <c r="AF70" t="str">
        <f t="shared" si="55"/>
        <v/>
      </c>
      <c r="AG70" t="str">
        <f t="shared" si="56"/>
        <v/>
      </c>
      <c r="AH70" t="str">
        <f t="shared" si="57"/>
        <v/>
      </c>
      <c r="AI70" t="str">
        <f t="shared" si="58"/>
        <v/>
      </c>
      <c r="AJ70" t="str">
        <f t="shared" si="59"/>
        <v/>
      </c>
      <c r="AK70" t="str">
        <f t="shared" si="60"/>
        <v/>
      </c>
      <c r="AL70" t="str">
        <f>IFERROR(ROUND(L70*(G70/$AU70)/VLOOKUP(F70,商品!$A$4:$B$60,2,FALSE),0),"")</f>
        <v/>
      </c>
      <c r="AM70" t="str">
        <f>IFERROR(ROUND(L70*(I70/$AU70)/VLOOKUP(H70,商品!$A$4:$B$60,2,FALSE),0),"")</f>
        <v/>
      </c>
      <c r="AN70">
        <f>IFERROR(ROUND(L70*(J70/$AU70)/VLOOKUP("运力",商品!$A$4:$B$60,2,FALSE),0),0)</f>
        <v>0</v>
      </c>
      <c r="AO70">
        <f>IFERROR(ROUND(L70*(K70/$AU70)/VLOOKUP("交易",商品!$A$4:$B$60,2,FALSE),0),0)</f>
        <v>0</v>
      </c>
      <c r="AP70" t="str">
        <f>IFERROR(ROUND(S70*(N70/$AV70)/VLOOKUP(M70,职业!$A$4:$G$16,4,FALSE),0),"")</f>
        <v/>
      </c>
      <c r="AQ70" t="str">
        <f>IFERROR(ROUND(S70*(P70/$AV70)/VLOOKUP(O70,职业!$A$4:$G$16,4,FALSE),0),"")</f>
        <v/>
      </c>
      <c r="AR70" t="str">
        <f>IFERROR(ROUND(S70*(R70/$AV70)/VLOOKUP(Q70,职业!$A$4:$G$16,4,FALSE),0),"")</f>
        <v/>
      </c>
      <c r="AS70" t="str">
        <f>IFERROR(ROUND(X70*(U70/$AW70)/VLOOKUP(T70,商品!$A$4:$B$60,2,FALSE),0),"")</f>
        <v/>
      </c>
      <c r="AT70" t="str">
        <f>IFERROR(ROUND(X70*(W70/$AW70)/VLOOKUP(V70,商品!$A$4:$B$60,2,FALSE),0),"")</f>
        <v/>
      </c>
      <c r="AU70">
        <f t="shared" si="61"/>
        <v>0</v>
      </c>
      <c r="AV70">
        <f t="shared" si="62"/>
        <v>0</v>
      </c>
      <c r="AW70">
        <f t="shared" si="63"/>
        <v>0</v>
      </c>
    </row>
    <row r="71" spans="1:49" ht="19.95" customHeight="1" x14ac:dyDescent="0.25">
      <c r="A71" s="16" t="s">
        <v>189</v>
      </c>
      <c r="C71" s="16">
        <v>6</v>
      </c>
      <c r="D71" s="23" t="s">
        <v>174</v>
      </c>
      <c r="E71" s="23" t="s">
        <v>179</v>
      </c>
      <c r="L71" s="16">
        <f>IFERROR(VLOOKUP($D71&amp;$C71,生产方式定位!$A$2:$E$38,2,FALSE)+VLOOKUP($E71&amp;$C71,生产方式定位!$F$3:$J$38,2,FALSE),0)</f>
        <v>0</v>
      </c>
      <c r="S71" s="16">
        <f>IFERROR(VLOOKUP($D71&amp;$C71,生产方式定位!$A$2:$E$38,3,FALSE)+VLOOKUP($E71&amp;$C71,生产方式定位!$F$3:$J$38,3,FALSE),0)</f>
        <v>100</v>
      </c>
      <c r="X71" s="16">
        <f>IFERROR(VLOOKUP($D71&amp;$C71,生产方式定位!$A$2:$E$38,5,FALSE)+VLOOKUP($E71&amp;$C71,生产方式定位!$F$3:$J$38,5,FALSE),"错误")</f>
        <v>100</v>
      </c>
      <c r="Y71" s="26" t="str">
        <f t="shared" si="48"/>
        <v/>
      </c>
      <c r="Z71" s="36" t="str">
        <f t="shared" si="49"/>
        <v/>
      </c>
      <c r="AA71" s="36" t="str">
        <f t="shared" si="50"/>
        <v/>
      </c>
      <c r="AB71" s="27" t="str">
        <f t="shared" si="51"/>
        <v/>
      </c>
      <c r="AC71" s="2" t="str">
        <f t="shared" si="52"/>
        <v/>
      </c>
      <c r="AD71" s="37">
        <f t="shared" si="53"/>
        <v>6</v>
      </c>
      <c r="AE71" t="str">
        <f t="shared" si="54"/>
        <v/>
      </c>
      <c r="AF71" t="str">
        <f t="shared" si="55"/>
        <v/>
      </c>
      <c r="AG71" t="str">
        <f t="shared" si="56"/>
        <v/>
      </c>
      <c r="AH71" t="str">
        <f t="shared" si="57"/>
        <v/>
      </c>
      <c r="AI71" t="str">
        <f t="shared" si="58"/>
        <v/>
      </c>
      <c r="AJ71" t="str">
        <f t="shared" si="59"/>
        <v/>
      </c>
      <c r="AK71" t="str">
        <f t="shared" si="60"/>
        <v/>
      </c>
      <c r="AL71" t="str">
        <f>IFERROR(ROUND(L71*(G71/$AU71)/VLOOKUP(F71,商品!$A$4:$B$60,2,FALSE),0),"")</f>
        <v/>
      </c>
      <c r="AM71" t="str">
        <f>IFERROR(ROUND(L71*(I71/$AU71)/VLOOKUP(H71,商品!$A$4:$B$60,2,FALSE),0),"")</f>
        <v/>
      </c>
      <c r="AN71">
        <f>IFERROR(ROUND(L71*(J71/$AU71)/VLOOKUP("运力",商品!$A$4:$B$60,2,FALSE),0),0)</f>
        <v>0</v>
      </c>
      <c r="AO71">
        <f>IFERROR(ROUND(L71*(K71/$AU71)/VLOOKUP("交易",商品!$A$4:$B$60,2,FALSE),0),0)</f>
        <v>0</v>
      </c>
      <c r="AP71" t="str">
        <f>IFERROR(ROUND(S71*(N71/$AV71)/VLOOKUP(M71,职业!$A$4:$G$16,4,FALSE),0),"")</f>
        <v/>
      </c>
      <c r="AQ71" t="str">
        <f>IFERROR(ROUND(S71*(P71/$AV71)/VLOOKUP(O71,职业!$A$4:$G$16,4,FALSE),0),"")</f>
        <v/>
      </c>
      <c r="AR71" t="str">
        <f>IFERROR(ROUND(S71*(R71/$AV71)/VLOOKUP(Q71,职业!$A$4:$G$16,4,FALSE),0),"")</f>
        <v/>
      </c>
      <c r="AS71" t="str">
        <f>IFERROR(ROUND(X71*(U71/$AW71)/VLOOKUP(T71,商品!$A$4:$B$60,2,FALSE),0),"")</f>
        <v/>
      </c>
      <c r="AT71" t="str">
        <f>IFERROR(ROUND(X71*(W71/$AW71)/VLOOKUP(V71,商品!$A$4:$B$60,2,FALSE),0),"")</f>
        <v/>
      </c>
      <c r="AU71">
        <f t="shared" si="61"/>
        <v>0</v>
      </c>
      <c r="AV71">
        <f t="shared" si="62"/>
        <v>0</v>
      </c>
      <c r="AW71">
        <f t="shared" si="63"/>
        <v>0</v>
      </c>
    </row>
    <row r="72" spans="1:49" ht="19.95" customHeight="1" x14ac:dyDescent="0.25">
      <c r="A72" s="16" t="s">
        <v>189</v>
      </c>
      <c r="C72" s="16">
        <v>7</v>
      </c>
      <c r="D72" s="23" t="s">
        <v>174</v>
      </c>
      <c r="E72" s="23" t="s">
        <v>179</v>
      </c>
      <c r="L72" s="16">
        <f>IFERROR(VLOOKUP($D72&amp;$C72,生产方式定位!$A$2:$E$38,2,FALSE)+VLOOKUP($E72&amp;$C72,生产方式定位!$F$3:$J$38,2,FALSE),0)</f>
        <v>0</v>
      </c>
      <c r="S72" s="16">
        <f>IFERROR(VLOOKUP($D72&amp;$C72,生产方式定位!$A$2:$E$38,3,FALSE)+VLOOKUP($E72&amp;$C72,生产方式定位!$F$3:$J$38,3,FALSE),0)</f>
        <v>100</v>
      </c>
      <c r="X72" s="16">
        <f>IFERROR(VLOOKUP($D72&amp;$C72,生产方式定位!$A$2:$E$38,5,FALSE)+VLOOKUP($E72&amp;$C72,生产方式定位!$F$3:$J$38,5,FALSE),"错误")</f>
        <v>100</v>
      </c>
      <c r="Y72" s="26" t="str">
        <f t="shared" si="48"/>
        <v/>
      </c>
      <c r="Z72" s="36" t="str">
        <f t="shared" si="49"/>
        <v/>
      </c>
      <c r="AA72" s="36" t="str">
        <f t="shared" si="50"/>
        <v/>
      </c>
      <c r="AB72" s="27" t="str">
        <f t="shared" si="51"/>
        <v/>
      </c>
      <c r="AC72" s="2" t="str">
        <f t="shared" si="52"/>
        <v/>
      </c>
      <c r="AD72" s="37">
        <f t="shared" si="53"/>
        <v>7</v>
      </c>
      <c r="AE72" t="str">
        <f t="shared" si="54"/>
        <v/>
      </c>
      <c r="AF72" t="str">
        <f t="shared" si="55"/>
        <v/>
      </c>
      <c r="AG72" t="str">
        <f t="shared" si="56"/>
        <v/>
      </c>
      <c r="AH72" t="str">
        <f t="shared" si="57"/>
        <v/>
      </c>
      <c r="AI72" t="str">
        <f t="shared" si="58"/>
        <v/>
      </c>
      <c r="AJ72" t="str">
        <f t="shared" si="59"/>
        <v/>
      </c>
      <c r="AK72" t="str">
        <f t="shared" si="60"/>
        <v/>
      </c>
      <c r="AL72" t="str">
        <f>IFERROR(ROUND(L72*(G72/$AU72)/VLOOKUP(F72,商品!$A$4:$B$60,2,FALSE),0),"")</f>
        <v/>
      </c>
      <c r="AM72" t="str">
        <f>IFERROR(ROUND(L72*(I72/$AU72)/VLOOKUP(H72,商品!$A$4:$B$60,2,FALSE),0),"")</f>
        <v/>
      </c>
      <c r="AN72">
        <f>IFERROR(ROUND(L72*(J72/$AU72)/VLOOKUP("运力",商品!$A$4:$B$60,2,FALSE),0),0)</f>
        <v>0</v>
      </c>
      <c r="AO72">
        <f>IFERROR(ROUND(L72*(K72/$AU72)/VLOOKUP("交易",商品!$A$4:$B$60,2,FALSE),0),0)</f>
        <v>0</v>
      </c>
      <c r="AP72" t="str">
        <f>IFERROR(ROUND(S72*(N72/$AV72)/VLOOKUP(M72,职业!$A$4:$G$16,4,FALSE),0),"")</f>
        <v/>
      </c>
      <c r="AQ72" t="str">
        <f>IFERROR(ROUND(S72*(P72/$AV72)/VLOOKUP(O72,职业!$A$4:$G$16,4,FALSE),0),"")</f>
        <v/>
      </c>
      <c r="AR72" t="str">
        <f>IFERROR(ROUND(S72*(R72/$AV72)/VLOOKUP(Q72,职业!$A$4:$G$16,4,FALSE),0),"")</f>
        <v/>
      </c>
      <c r="AS72" t="str">
        <f>IFERROR(ROUND(X72*(U72/$AW72)/VLOOKUP(T72,商品!$A$4:$B$60,2,FALSE),0),"")</f>
        <v/>
      </c>
      <c r="AT72" t="str">
        <f>IFERROR(ROUND(X72*(W72/$AW72)/VLOOKUP(V72,商品!$A$4:$B$60,2,FALSE),0),"")</f>
        <v/>
      </c>
      <c r="AU72">
        <f t="shared" si="61"/>
        <v>0</v>
      </c>
      <c r="AV72">
        <f t="shared" si="62"/>
        <v>0</v>
      </c>
      <c r="AW72">
        <f t="shared" si="63"/>
        <v>0</v>
      </c>
    </row>
    <row r="73" spans="1:49" ht="19.95" customHeight="1" x14ac:dyDescent="0.25">
      <c r="A73" s="16" t="s">
        <v>189</v>
      </c>
      <c r="C73" s="16">
        <v>8</v>
      </c>
      <c r="D73" s="23" t="s">
        <v>174</v>
      </c>
      <c r="E73" s="23" t="s">
        <v>179</v>
      </c>
      <c r="L73" s="16">
        <f>IFERROR(VLOOKUP($D73&amp;$C73,生产方式定位!$A$2:$E$38,2,FALSE)+VLOOKUP($E73&amp;$C73,生产方式定位!$F$3:$J$38,2,FALSE),0)</f>
        <v>0</v>
      </c>
      <c r="S73" s="16">
        <f>IFERROR(VLOOKUP($D73&amp;$C73,生产方式定位!$A$2:$E$38,3,FALSE)+VLOOKUP($E73&amp;$C73,生产方式定位!$F$3:$J$38,3,FALSE),0)</f>
        <v>100</v>
      </c>
      <c r="X73" s="16">
        <f>IFERROR(VLOOKUP($D73&amp;$C73,生产方式定位!$A$2:$E$38,5,FALSE)+VLOOKUP($E73&amp;$C73,生产方式定位!$F$3:$J$38,5,FALSE),"错误")</f>
        <v>100</v>
      </c>
      <c r="Y73" s="26" t="str">
        <f t="shared" si="48"/>
        <v/>
      </c>
      <c r="Z73" s="36" t="str">
        <f t="shared" si="49"/>
        <v/>
      </c>
      <c r="AA73" s="36" t="str">
        <f t="shared" si="50"/>
        <v/>
      </c>
      <c r="AB73" s="27" t="str">
        <f t="shared" si="51"/>
        <v/>
      </c>
      <c r="AC73" s="2" t="str">
        <f t="shared" si="52"/>
        <v/>
      </c>
      <c r="AD73" s="37">
        <f t="shared" si="53"/>
        <v>8</v>
      </c>
      <c r="AE73" t="str">
        <f t="shared" si="54"/>
        <v/>
      </c>
      <c r="AF73" t="str">
        <f t="shared" si="55"/>
        <v/>
      </c>
      <c r="AG73" t="str">
        <f t="shared" si="56"/>
        <v/>
      </c>
      <c r="AH73" t="str">
        <f t="shared" si="57"/>
        <v/>
      </c>
      <c r="AI73" t="str">
        <f t="shared" si="58"/>
        <v/>
      </c>
      <c r="AJ73" t="str">
        <f t="shared" si="59"/>
        <v/>
      </c>
      <c r="AK73" t="str">
        <f t="shared" si="60"/>
        <v/>
      </c>
      <c r="AL73" t="str">
        <f>IFERROR(ROUND(L73*(G73/$AU73)/VLOOKUP(F73,商品!$A$4:$B$60,2,FALSE),0),"")</f>
        <v/>
      </c>
      <c r="AM73" t="str">
        <f>IFERROR(ROUND(L73*(I73/$AU73)/VLOOKUP(H73,商品!$A$4:$B$60,2,FALSE),0),"")</f>
        <v/>
      </c>
      <c r="AN73">
        <f>IFERROR(ROUND(L73*(J73/$AU73)/VLOOKUP("运力",商品!$A$4:$B$60,2,FALSE),0),0)</f>
        <v>0</v>
      </c>
      <c r="AO73">
        <f>IFERROR(ROUND(L73*(K73/$AU73)/VLOOKUP("交易",商品!$A$4:$B$60,2,FALSE),0),0)</f>
        <v>0</v>
      </c>
      <c r="AP73" t="str">
        <f>IFERROR(ROUND(S73*(N73/$AV73)/VLOOKUP(M73,职业!$A$4:$G$16,4,FALSE),0),"")</f>
        <v/>
      </c>
      <c r="AQ73" t="str">
        <f>IFERROR(ROUND(S73*(P73/$AV73)/VLOOKUP(O73,职业!$A$4:$G$16,4,FALSE),0),"")</f>
        <v/>
      </c>
      <c r="AR73" t="str">
        <f>IFERROR(ROUND(S73*(R73/$AV73)/VLOOKUP(Q73,职业!$A$4:$G$16,4,FALSE),0),"")</f>
        <v/>
      </c>
      <c r="AS73" t="str">
        <f>IFERROR(ROUND(X73*(U73/$AW73)/VLOOKUP(T73,商品!$A$4:$B$60,2,FALSE),0),"")</f>
        <v/>
      </c>
      <c r="AT73" t="str">
        <f>IFERROR(ROUND(X73*(W73/$AW73)/VLOOKUP(V73,商品!$A$4:$B$60,2,FALSE),0),"")</f>
        <v/>
      </c>
      <c r="AU73">
        <f t="shared" si="61"/>
        <v>0</v>
      </c>
      <c r="AV73">
        <f t="shared" si="62"/>
        <v>0</v>
      </c>
      <c r="AW73">
        <f t="shared" si="63"/>
        <v>0</v>
      </c>
    </row>
    <row r="74" spans="1:49" ht="19.95" customHeight="1" x14ac:dyDescent="0.25">
      <c r="A74" s="15" t="s">
        <v>191</v>
      </c>
      <c r="C74" s="15">
        <v>1</v>
      </c>
      <c r="D74" s="23" t="s">
        <v>171</v>
      </c>
      <c r="E74" s="23" t="s">
        <v>172</v>
      </c>
      <c r="F74" s="2" t="s">
        <v>12</v>
      </c>
      <c r="G74" s="2">
        <v>40</v>
      </c>
      <c r="J74" s="24">
        <v>10</v>
      </c>
      <c r="K74" s="25">
        <v>5</v>
      </c>
      <c r="L74" s="15">
        <f>IFERROR(VLOOKUP($D74&amp;$C74,生产方式定位!$A$2:$E$38,2,FALSE)+VLOOKUP($E74&amp;$C74,生产方式定位!$F$3:$J$38,2,FALSE),0)</f>
        <v>300</v>
      </c>
      <c r="M74" s="2" t="s">
        <v>80</v>
      </c>
      <c r="N74" s="2">
        <v>100</v>
      </c>
      <c r="S74" s="15">
        <f>IFERROR(VLOOKUP($D74&amp;$C74,生产方式定位!$A$2:$E$38,3,FALSE)+VLOOKUP($E74&amp;$C74,生产方式定位!$F$3:$J$38,3,FALSE),0)</f>
        <v>100</v>
      </c>
      <c r="T74" s="2" t="s">
        <v>26</v>
      </c>
      <c r="U74" s="2">
        <v>1</v>
      </c>
      <c r="X74" s="15">
        <f>IFERROR(VLOOKUP($D74&amp;$C74,生产方式定位!$A$2:$E$38,5,FALSE)+VLOOKUP($E74&amp;$C74,生产方式定位!$F$3:$J$38,5,FALSE),"错误")</f>
        <v>520</v>
      </c>
      <c r="Y74" s="26" t="str">
        <f t="shared" si="48"/>
        <v>布料*11,运力*5,交易*3</v>
      </c>
      <c r="Z74" s="36" t="str">
        <f t="shared" si="49"/>
        <v>劳工*4525</v>
      </c>
      <c r="AA74" s="36" t="str">
        <f t="shared" si="50"/>
        <v>衣物*17</v>
      </c>
      <c r="AB74" s="27" t="str">
        <f t="shared" si="51"/>
        <v>73%</v>
      </c>
      <c r="AC74" s="2">
        <f t="shared" si="52"/>
        <v>120</v>
      </c>
      <c r="AD74" s="37">
        <f t="shared" si="53"/>
        <v>1</v>
      </c>
      <c r="AE74" t="str">
        <f t="shared" si="54"/>
        <v>布料*11</v>
      </c>
      <c r="AF74" t="str">
        <f t="shared" si="55"/>
        <v/>
      </c>
      <c r="AG74" t="str">
        <f t="shared" si="56"/>
        <v>劳工*4525</v>
      </c>
      <c r="AH74" t="str">
        <f t="shared" si="57"/>
        <v/>
      </c>
      <c r="AI74" t="str">
        <f t="shared" si="58"/>
        <v/>
      </c>
      <c r="AJ74" t="str">
        <f t="shared" si="59"/>
        <v>衣物*17</v>
      </c>
      <c r="AK74" t="str">
        <f t="shared" si="60"/>
        <v/>
      </c>
      <c r="AL74">
        <f>IFERROR(ROUND(L74*(G74/$AU74)/VLOOKUP(F74,商品!$A$4:$B$60,2,FALSE),0),"")</f>
        <v>11</v>
      </c>
      <c r="AM74" t="str">
        <f>IFERROR(ROUND(L74*(I74/$AU74)/VLOOKUP(H74,商品!$A$4:$B$60,2,FALSE),0),"")</f>
        <v/>
      </c>
      <c r="AN74">
        <f>IFERROR(ROUND(L74*(J74/$AU74)/VLOOKUP("运力",商品!$A$4:$B$60,2,FALSE),0),0)</f>
        <v>5</v>
      </c>
      <c r="AO74">
        <f>IFERROR(ROUND(L74*(K74/$AU74)/VLOOKUP("交易",商品!$A$4:$B$60,2,FALSE),0),0)</f>
        <v>3</v>
      </c>
      <c r="AP74">
        <f>IFERROR(ROUND(S74*(N74/$AV74)/VLOOKUP(M74,职业!$A$4:$G$16,4,FALSE),0),"")</f>
        <v>4525</v>
      </c>
      <c r="AQ74" t="str">
        <f>IFERROR(ROUND(S74*(P74/$AV74)/VLOOKUP(O74,职业!$A$4:$G$16,4,FALSE),0),"")</f>
        <v/>
      </c>
      <c r="AR74" t="str">
        <f>IFERROR(ROUND(S74*(R74/$AV74)/VLOOKUP(Q74,职业!$A$4:$G$16,4,FALSE),0),"")</f>
        <v/>
      </c>
      <c r="AS74">
        <f>IFERROR(ROUND(X74*(U74/$AW74)/VLOOKUP(T74,商品!$A$4:$B$60,2,FALSE),0),"")</f>
        <v>17</v>
      </c>
      <c r="AT74" t="str">
        <f>IFERROR(ROUND(X74*(W74/$AW74)/VLOOKUP(V74,商品!$A$4:$B$60,2,FALSE),0),"")</f>
        <v/>
      </c>
      <c r="AU74">
        <f t="shared" si="61"/>
        <v>55</v>
      </c>
      <c r="AV74">
        <f t="shared" si="62"/>
        <v>100</v>
      </c>
      <c r="AW74">
        <f t="shared" si="63"/>
        <v>1</v>
      </c>
    </row>
    <row r="75" spans="1:49" ht="19.95" customHeight="1" x14ac:dyDescent="0.25">
      <c r="A75" s="15" t="s">
        <v>191</v>
      </c>
      <c r="C75" s="15">
        <v>2</v>
      </c>
      <c r="D75" s="23" t="s">
        <v>171</v>
      </c>
      <c r="E75" s="23" t="s">
        <v>172</v>
      </c>
      <c r="F75" s="2" t="s">
        <v>12</v>
      </c>
      <c r="G75" s="2">
        <v>40</v>
      </c>
      <c r="J75" s="24">
        <v>10</v>
      </c>
      <c r="K75" s="25">
        <v>5</v>
      </c>
      <c r="L75" s="15">
        <f>IFERROR(VLOOKUP($D75&amp;$C75,生产方式定位!$A$2:$E$38,2,FALSE)+VLOOKUP($E75&amp;$C75,生产方式定位!$F$3:$J$38,2,FALSE),0)</f>
        <v>1100</v>
      </c>
      <c r="M75" s="2" t="s">
        <v>80</v>
      </c>
      <c r="N75" s="2">
        <v>100</v>
      </c>
      <c r="O75" s="2" t="s">
        <v>73</v>
      </c>
      <c r="P75" s="2">
        <v>5</v>
      </c>
      <c r="S75" s="15">
        <f>IFERROR(VLOOKUP($D75&amp;$C75,生产方式定位!$A$2:$E$38,3,FALSE)+VLOOKUP($E75&amp;$C75,生产方式定位!$F$3:$J$38,3,FALSE),0)</f>
        <v>100</v>
      </c>
      <c r="T75" s="2" t="s">
        <v>26</v>
      </c>
      <c r="U75" s="2">
        <v>1</v>
      </c>
      <c r="X75" s="15">
        <f>IFERROR(VLOOKUP($D75&amp;$C75,生产方式定位!$A$2:$E$38,5,FALSE)+VLOOKUP($E75&amp;$C75,生产方式定位!$F$3:$J$38,5,FALSE),"错误")</f>
        <v>1510</v>
      </c>
      <c r="Y75" s="26" t="str">
        <f t="shared" si="48"/>
        <v>布料*40,运力*20,交易*10</v>
      </c>
      <c r="Z75" s="36" t="str">
        <f t="shared" si="49"/>
        <v>劳工*4309,工程师*72</v>
      </c>
      <c r="AA75" s="36" t="str">
        <f t="shared" si="50"/>
        <v>衣物*50</v>
      </c>
      <c r="AB75" s="27" t="str">
        <f t="shared" si="51"/>
        <v>37%</v>
      </c>
      <c r="AC75" s="2">
        <f t="shared" si="52"/>
        <v>310</v>
      </c>
      <c r="AD75" s="37">
        <f t="shared" si="53"/>
        <v>2</v>
      </c>
      <c r="AE75" t="str">
        <f t="shared" si="54"/>
        <v>布料*40</v>
      </c>
      <c r="AF75" t="str">
        <f t="shared" si="55"/>
        <v/>
      </c>
      <c r="AG75" t="str">
        <f t="shared" si="56"/>
        <v>劳工*4309</v>
      </c>
      <c r="AH75" t="str">
        <f t="shared" si="57"/>
        <v>工程师*72</v>
      </c>
      <c r="AI75" t="str">
        <f t="shared" si="58"/>
        <v/>
      </c>
      <c r="AJ75" t="str">
        <f t="shared" si="59"/>
        <v>衣物*50</v>
      </c>
      <c r="AK75" t="str">
        <f t="shared" si="60"/>
        <v/>
      </c>
      <c r="AL75">
        <f>IFERROR(ROUND(L75*(G75/$AU75)/VLOOKUP(F75,商品!$A$4:$B$60,2,FALSE),0),"")</f>
        <v>40</v>
      </c>
      <c r="AM75" t="str">
        <f>IFERROR(ROUND(L75*(I75/$AU75)/VLOOKUP(H75,商品!$A$4:$B$60,2,FALSE),0),"")</f>
        <v/>
      </c>
      <c r="AN75">
        <f>IFERROR(ROUND(L75*(J75/$AU75)/VLOOKUP("运力",商品!$A$4:$B$60,2,FALSE),0),0)</f>
        <v>20</v>
      </c>
      <c r="AO75">
        <f>IFERROR(ROUND(L75*(K75/$AU75)/VLOOKUP("交易",商品!$A$4:$B$60,2,FALSE),0),0)</f>
        <v>10</v>
      </c>
      <c r="AP75">
        <f>IFERROR(ROUND(S75*(N75/$AV75)/VLOOKUP(M75,职业!$A$4:$G$16,4,FALSE),0),"")</f>
        <v>4309</v>
      </c>
      <c r="AQ75">
        <f>IFERROR(ROUND(S75*(P75/$AV75)/VLOOKUP(O75,职业!$A$4:$G$16,4,FALSE),0),"")</f>
        <v>72</v>
      </c>
      <c r="AR75" t="str">
        <f>IFERROR(ROUND(S75*(R75/$AV75)/VLOOKUP(Q75,职业!$A$4:$G$16,4,FALSE),0),"")</f>
        <v/>
      </c>
      <c r="AS75">
        <f>IFERROR(ROUND(X75*(U75/$AW75)/VLOOKUP(T75,商品!$A$4:$B$60,2,FALSE),0),"")</f>
        <v>50</v>
      </c>
      <c r="AT75" t="str">
        <f>IFERROR(ROUND(X75*(W75/$AW75)/VLOOKUP(V75,商品!$A$4:$B$60,2,FALSE),0),"")</f>
        <v/>
      </c>
      <c r="AU75">
        <f t="shared" si="61"/>
        <v>55</v>
      </c>
      <c r="AV75">
        <f t="shared" si="62"/>
        <v>105</v>
      </c>
      <c r="AW75">
        <f t="shared" si="63"/>
        <v>1</v>
      </c>
    </row>
    <row r="76" spans="1:49" ht="19.95" customHeight="1" x14ac:dyDescent="0.25">
      <c r="A76" s="15" t="s">
        <v>191</v>
      </c>
      <c r="C76" s="15">
        <v>3</v>
      </c>
      <c r="D76" s="23" t="s">
        <v>171</v>
      </c>
      <c r="E76" s="23" t="s">
        <v>172</v>
      </c>
      <c r="F76" s="2" t="s">
        <v>12</v>
      </c>
      <c r="G76" s="2">
        <v>40</v>
      </c>
      <c r="J76" s="24">
        <v>10</v>
      </c>
      <c r="K76" s="25">
        <v>5</v>
      </c>
      <c r="L76" s="15">
        <f>IFERROR(VLOOKUP($D76&amp;$C76,生产方式定位!$A$2:$E$38,2,FALSE)+VLOOKUP($E76&amp;$C76,生产方式定位!$F$3:$J$38,2,FALSE),0)</f>
        <v>1525</v>
      </c>
      <c r="M76" s="2" t="s">
        <v>80</v>
      </c>
      <c r="N76" s="2">
        <v>100</v>
      </c>
      <c r="O76" s="2" t="s">
        <v>73</v>
      </c>
      <c r="P76" s="2">
        <v>10</v>
      </c>
      <c r="S76" s="15">
        <f>IFERROR(VLOOKUP($D76&amp;$C76,生产方式定位!$A$2:$E$38,3,FALSE)+VLOOKUP($E76&amp;$C76,生产方式定位!$F$3:$J$38,3,FALSE),0)</f>
        <v>100</v>
      </c>
      <c r="T76" s="2" t="s">
        <v>26</v>
      </c>
      <c r="U76" s="2">
        <v>1</v>
      </c>
      <c r="X76" s="15">
        <f>IFERROR(VLOOKUP($D76&amp;$C76,生产方式定位!$A$2:$E$38,5,FALSE)+VLOOKUP($E76&amp;$C76,生产方式定位!$F$3:$J$38,5,FALSE),"错误")</f>
        <v>2050</v>
      </c>
      <c r="Y76" s="26" t="str">
        <f t="shared" si="48"/>
        <v>布料*55,运力*28,交易*14</v>
      </c>
      <c r="Z76" s="36" t="str">
        <f t="shared" si="49"/>
        <v>劳工*4114,工程师*137</v>
      </c>
      <c r="AA76" s="36" t="str">
        <f t="shared" si="50"/>
        <v>衣物*68</v>
      </c>
      <c r="AB76" s="27" t="str">
        <f t="shared" si="51"/>
        <v>34%</v>
      </c>
      <c r="AC76" s="2">
        <f t="shared" si="52"/>
        <v>425</v>
      </c>
      <c r="AD76" s="38">
        <f t="shared" si="53"/>
        <v>3</v>
      </c>
      <c r="AE76" t="str">
        <f t="shared" si="54"/>
        <v>布料*55</v>
      </c>
      <c r="AF76" t="str">
        <f t="shared" si="55"/>
        <v/>
      </c>
      <c r="AG76" t="str">
        <f t="shared" si="56"/>
        <v>劳工*4114</v>
      </c>
      <c r="AH76" t="str">
        <f t="shared" si="57"/>
        <v>工程师*137</v>
      </c>
      <c r="AI76" t="str">
        <f t="shared" si="58"/>
        <v/>
      </c>
      <c r="AJ76" t="str">
        <f t="shared" si="59"/>
        <v>衣物*68</v>
      </c>
      <c r="AK76" t="str">
        <f t="shared" si="60"/>
        <v/>
      </c>
      <c r="AL76">
        <f>IFERROR(ROUND(L76*(G76/$AU76)/VLOOKUP(F76,商品!$A$4:$B$60,2,FALSE),0),"")</f>
        <v>55</v>
      </c>
      <c r="AM76" t="str">
        <f>IFERROR(ROUND(L76*(I76/$AU76)/VLOOKUP(H76,商品!$A$4:$B$60,2,FALSE),0),"")</f>
        <v/>
      </c>
      <c r="AN76">
        <f>IFERROR(ROUND(L76*(J76/$AU76)/VLOOKUP("运力",商品!$A$4:$B$60,2,FALSE),0),0)</f>
        <v>28</v>
      </c>
      <c r="AO76">
        <f>IFERROR(ROUND(L76*(K76/$AU76)/VLOOKUP("交易",商品!$A$4:$B$60,2,FALSE),0),0)</f>
        <v>14</v>
      </c>
      <c r="AP76">
        <f>IFERROR(ROUND(S76*(N76/$AV76)/VLOOKUP(M76,职业!$A$4:$G$16,4,FALSE),0),"")</f>
        <v>4114</v>
      </c>
      <c r="AQ76">
        <f>IFERROR(ROUND(S76*(P76/$AV76)/VLOOKUP(O76,职业!$A$4:$G$16,4,FALSE),0),"")</f>
        <v>137</v>
      </c>
      <c r="AR76" t="str">
        <f>IFERROR(ROUND(S76*(R76/$AV76)/VLOOKUP(Q76,职业!$A$4:$G$16,4,FALSE),0),"")</f>
        <v/>
      </c>
      <c r="AS76">
        <f>IFERROR(ROUND(X76*(U76/$AW76)/VLOOKUP(T76,商品!$A$4:$B$60,2,FALSE),0),"")</f>
        <v>68</v>
      </c>
      <c r="AT76" t="str">
        <f>IFERROR(ROUND(X76*(W76/$AW76)/VLOOKUP(V76,商品!$A$4:$B$60,2,FALSE),0),"")</f>
        <v/>
      </c>
      <c r="AU76">
        <f t="shared" si="61"/>
        <v>55</v>
      </c>
      <c r="AV76">
        <f t="shared" si="62"/>
        <v>110</v>
      </c>
      <c r="AW76">
        <f t="shared" si="63"/>
        <v>1</v>
      </c>
    </row>
    <row r="77" spans="1:49" ht="19.95" customHeight="1" x14ac:dyDescent="0.25">
      <c r="A77" s="15" t="s">
        <v>191</v>
      </c>
      <c r="C77" s="15">
        <v>4</v>
      </c>
      <c r="D77" s="23" t="s">
        <v>171</v>
      </c>
      <c r="E77" s="23" t="s">
        <v>172</v>
      </c>
      <c r="F77" s="2" t="s">
        <v>12</v>
      </c>
      <c r="G77" s="2">
        <v>40</v>
      </c>
      <c r="J77" s="24">
        <v>10</v>
      </c>
      <c r="K77" s="25">
        <v>5</v>
      </c>
      <c r="L77" s="15">
        <f>IFERROR(VLOOKUP($D77&amp;$C77,生产方式定位!$A$2:$E$38,2,FALSE)+VLOOKUP($E77&amp;$C77,生产方式定位!$F$3:$J$38,2,FALSE),0)</f>
        <v>1950</v>
      </c>
      <c r="M77" s="2" t="s">
        <v>80</v>
      </c>
      <c r="N77" s="2">
        <v>100</v>
      </c>
      <c r="O77" s="2" t="s">
        <v>73</v>
      </c>
      <c r="P77" s="2">
        <v>15</v>
      </c>
      <c r="S77" s="15">
        <f>IFERROR(VLOOKUP($D77&amp;$C77,生产方式定位!$A$2:$E$38,3,FALSE)+VLOOKUP($E77&amp;$C77,生产方式定位!$F$3:$J$38,3,FALSE),0)</f>
        <v>100</v>
      </c>
      <c r="T77" s="2" t="s">
        <v>26</v>
      </c>
      <c r="U77" s="2">
        <v>1</v>
      </c>
      <c r="X77" s="15">
        <f>IFERROR(VLOOKUP($D77&amp;$C77,生产方式定位!$A$2:$E$38,5,FALSE)+VLOOKUP($E77&amp;$C77,生产方式定位!$F$3:$J$38,5,FALSE),"错误")</f>
        <v>2590</v>
      </c>
      <c r="Y77" s="26" t="str">
        <f t="shared" si="48"/>
        <v>布料*71,运力*35,交易*18</v>
      </c>
      <c r="Z77" s="36" t="str">
        <f t="shared" si="49"/>
        <v>劳工*3935,工程师*197</v>
      </c>
      <c r="AA77" s="36" t="str">
        <f t="shared" si="50"/>
        <v>衣物*86</v>
      </c>
      <c r="AB77" s="27" t="str">
        <f t="shared" si="51"/>
        <v>33%</v>
      </c>
      <c r="AC77" s="2">
        <f t="shared" si="52"/>
        <v>540</v>
      </c>
      <c r="AD77" s="38">
        <f t="shared" si="53"/>
        <v>4</v>
      </c>
      <c r="AE77" t="str">
        <f t="shared" si="54"/>
        <v>布料*71</v>
      </c>
      <c r="AF77" t="str">
        <f t="shared" si="55"/>
        <v/>
      </c>
      <c r="AG77" t="str">
        <f t="shared" si="56"/>
        <v>劳工*3935</v>
      </c>
      <c r="AH77" t="str">
        <f t="shared" si="57"/>
        <v>工程师*197</v>
      </c>
      <c r="AI77" t="str">
        <f t="shared" si="58"/>
        <v/>
      </c>
      <c r="AJ77" t="str">
        <f t="shared" si="59"/>
        <v>衣物*86</v>
      </c>
      <c r="AK77" t="str">
        <f t="shared" si="60"/>
        <v/>
      </c>
      <c r="AL77">
        <f>IFERROR(ROUND(L77*(G77/$AU77)/VLOOKUP(F77,商品!$A$4:$B$60,2,FALSE),0),"")</f>
        <v>71</v>
      </c>
      <c r="AM77" t="str">
        <f>IFERROR(ROUND(L77*(I77/$AU77)/VLOOKUP(H77,商品!$A$4:$B$60,2,FALSE),0),"")</f>
        <v/>
      </c>
      <c r="AN77">
        <f>IFERROR(ROUND(L77*(J77/$AU77)/VLOOKUP("运力",商品!$A$4:$B$60,2,FALSE),0),0)</f>
        <v>35</v>
      </c>
      <c r="AO77">
        <f>IFERROR(ROUND(L77*(K77/$AU77)/VLOOKUP("交易",商品!$A$4:$B$60,2,FALSE),0),0)</f>
        <v>18</v>
      </c>
      <c r="AP77">
        <f>IFERROR(ROUND(S77*(N77/$AV77)/VLOOKUP(M77,职业!$A$4:$G$16,4,FALSE),0),"")</f>
        <v>3935</v>
      </c>
      <c r="AQ77">
        <f>IFERROR(ROUND(S77*(P77/$AV77)/VLOOKUP(O77,职业!$A$4:$G$16,4,FALSE),0),"")</f>
        <v>197</v>
      </c>
      <c r="AR77" t="str">
        <f>IFERROR(ROUND(S77*(R77/$AV77)/VLOOKUP(Q77,职业!$A$4:$G$16,4,FALSE),0),"")</f>
        <v/>
      </c>
      <c r="AS77">
        <f>IFERROR(ROUND(X77*(U77/$AW77)/VLOOKUP(T77,商品!$A$4:$B$60,2,FALSE),0),"")</f>
        <v>86</v>
      </c>
      <c r="AT77" t="str">
        <f>IFERROR(ROUND(X77*(W77/$AW77)/VLOOKUP(V77,商品!$A$4:$B$60,2,FALSE),0),"")</f>
        <v/>
      </c>
      <c r="AU77">
        <f t="shared" si="61"/>
        <v>55</v>
      </c>
      <c r="AV77">
        <f t="shared" si="62"/>
        <v>115</v>
      </c>
      <c r="AW77">
        <f t="shared" si="63"/>
        <v>1</v>
      </c>
    </row>
    <row r="78" spans="1:49" ht="19.95" customHeight="1" x14ac:dyDescent="0.25">
      <c r="A78" s="15" t="s">
        <v>191</v>
      </c>
      <c r="C78" s="15">
        <v>5</v>
      </c>
      <c r="D78" s="23" t="s">
        <v>171</v>
      </c>
      <c r="E78" s="23" t="s">
        <v>172</v>
      </c>
      <c r="F78" s="2" t="s">
        <v>12</v>
      </c>
      <c r="G78" s="2">
        <v>40</v>
      </c>
      <c r="J78" s="24">
        <v>10</v>
      </c>
      <c r="K78" s="25">
        <v>5</v>
      </c>
      <c r="L78" s="15">
        <f>IFERROR(VLOOKUP($D78&amp;$C78,生产方式定位!$A$2:$E$38,2,FALSE)+VLOOKUP($E78&amp;$C78,生产方式定位!$F$3:$J$38,2,FALSE),0)</f>
        <v>2375</v>
      </c>
      <c r="M78" s="2" t="s">
        <v>80</v>
      </c>
      <c r="N78" s="2">
        <v>100</v>
      </c>
      <c r="O78" s="2" t="s">
        <v>73</v>
      </c>
      <c r="P78" s="2">
        <v>20</v>
      </c>
      <c r="S78" s="15">
        <f>IFERROR(VLOOKUP($D78&amp;$C78,生产方式定位!$A$2:$E$38,3,FALSE)+VLOOKUP($E78&amp;$C78,生产方式定位!$F$3:$J$38,3,FALSE),0)</f>
        <v>100</v>
      </c>
      <c r="T78" s="2" t="s">
        <v>26</v>
      </c>
      <c r="U78" s="2">
        <v>1</v>
      </c>
      <c r="X78" s="15">
        <f>IFERROR(VLOOKUP($D78&amp;$C78,生产方式定位!$A$2:$E$38,5,FALSE)+VLOOKUP($E78&amp;$C78,生产方式定位!$F$3:$J$38,5,FALSE),"错误")</f>
        <v>3130</v>
      </c>
      <c r="Y78" s="26" t="str">
        <f t="shared" si="48"/>
        <v>布料*86,运力*43,交易*22</v>
      </c>
      <c r="Z78" s="36" t="str">
        <f t="shared" si="49"/>
        <v>劳工*3771,工程师*251</v>
      </c>
      <c r="AA78" s="36" t="str">
        <f t="shared" si="50"/>
        <v>衣物*104</v>
      </c>
      <c r="AB78" s="27" t="str">
        <f t="shared" si="51"/>
        <v>32%</v>
      </c>
      <c r="AC78" s="2">
        <f t="shared" si="52"/>
        <v>655</v>
      </c>
      <c r="AD78" s="38">
        <f t="shared" si="53"/>
        <v>5</v>
      </c>
      <c r="AE78" t="str">
        <f t="shared" si="54"/>
        <v>布料*86</v>
      </c>
      <c r="AF78" t="str">
        <f t="shared" si="55"/>
        <v/>
      </c>
      <c r="AG78" t="str">
        <f t="shared" si="56"/>
        <v>劳工*3771</v>
      </c>
      <c r="AH78" t="str">
        <f t="shared" si="57"/>
        <v>工程师*251</v>
      </c>
      <c r="AI78" t="str">
        <f t="shared" si="58"/>
        <v/>
      </c>
      <c r="AJ78" t="str">
        <f t="shared" si="59"/>
        <v>衣物*104</v>
      </c>
      <c r="AK78" t="str">
        <f t="shared" si="60"/>
        <v/>
      </c>
      <c r="AL78">
        <f>IFERROR(ROUND(L78*(G78/$AU78)/VLOOKUP(F78,商品!$A$4:$B$60,2,FALSE),0),"")</f>
        <v>86</v>
      </c>
      <c r="AM78" t="str">
        <f>IFERROR(ROUND(L78*(I78/$AU78)/VLOOKUP(H78,商品!$A$4:$B$60,2,FALSE),0),"")</f>
        <v/>
      </c>
      <c r="AN78">
        <f>IFERROR(ROUND(L78*(J78/$AU78)/VLOOKUP("运力",商品!$A$4:$B$60,2,FALSE),0),0)</f>
        <v>43</v>
      </c>
      <c r="AO78">
        <f>IFERROR(ROUND(L78*(K78/$AU78)/VLOOKUP("交易",商品!$A$4:$B$60,2,FALSE),0),0)</f>
        <v>22</v>
      </c>
      <c r="AP78">
        <f>IFERROR(ROUND(S78*(N78/$AV78)/VLOOKUP(M78,职业!$A$4:$G$16,4,FALSE),0),"")</f>
        <v>3771</v>
      </c>
      <c r="AQ78">
        <f>IFERROR(ROUND(S78*(P78/$AV78)/VLOOKUP(O78,职业!$A$4:$G$16,4,FALSE),0),"")</f>
        <v>251</v>
      </c>
      <c r="AR78" t="str">
        <f>IFERROR(ROUND(S78*(R78/$AV78)/VLOOKUP(Q78,职业!$A$4:$G$16,4,FALSE),0),"")</f>
        <v/>
      </c>
      <c r="AS78">
        <f>IFERROR(ROUND(X78*(U78/$AW78)/VLOOKUP(T78,商品!$A$4:$B$60,2,FALSE),0),"")</f>
        <v>104</v>
      </c>
      <c r="AT78" t="str">
        <f>IFERROR(ROUND(X78*(W78/$AW78)/VLOOKUP(V78,商品!$A$4:$B$60,2,FALSE),0),"")</f>
        <v/>
      </c>
      <c r="AU78">
        <f t="shared" si="61"/>
        <v>55</v>
      </c>
      <c r="AV78">
        <f t="shared" si="62"/>
        <v>120</v>
      </c>
      <c r="AW78">
        <f t="shared" si="63"/>
        <v>1</v>
      </c>
    </row>
    <row r="79" spans="1:49" ht="19.95" customHeight="1" x14ac:dyDescent="0.25">
      <c r="A79" s="16" t="s">
        <v>192</v>
      </c>
      <c r="C79" s="16">
        <v>1</v>
      </c>
      <c r="D79" s="23" t="s">
        <v>171</v>
      </c>
      <c r="E79" s="23" t="s">
        <v>193</v>
      </c>
      <c r="L79" s="16">
        <f>IFERROR(VLOOKUP($D79&amp;$C79,生产方式定位!$A$2:$E$38,2,FALSE)+VLOOKUP($E79&amp;$C79,生产方式定位!$F$3:$J$38,2,FALSE),0)</f>
        <v>300</v>
      </c>
      <c r="S79" s="16">
        <f>IFERROR(VLOOKUP($D79&amp;$C79,生产方式定位!$A$2:$E$38,3,FALSE)+VLOOKUP($E79&amp;$C79,生产方式定位!$F$3:$J$38,3,FALSE),0)</f>
        <v>100</v>
      </c>
      <c r="X79" s="16">
        <f>IFERROR(VLOOKUP($D79&amp;$C79,生产方式定位!$A$2:$E$38,5,FALSE)+VLOOKUP($E79&amp;$C79,生产方式定位!$F$3:$J$38,5,FALSE),"错误")</f>
        <v>520</v>
      </c>
      <c r="Y79" s="26" t="str">
        <f t="shared" si="48"/>
        <v/>
      </c>
      <c r="Z79" s="36" t="str">
        <f t="shared" si="49"/>
        <v/>
      </c>
      <c r="AA79" s="36" t="str">
        <f t="shared" si="50"/>
        <v/>
      </c>
      <c r="AB79" s="27" t="str">
        <f t="shared" si="51"/>
        <v>73%</v>
      </c>
      <c r="AC79" s="2">
        <f t="shared" si="52"/>
        <v>120</v>
      </c>
      <c r="AD79" s="38">
        <f t="shared" si="53"/>
        <v>1</v>
      </c>
      <c r="AE79" t="str">
        <f t="shared" si="54"/>
        <v/>
      </c>
      <c r="AF79" t="str">
        <f t="shared" si="55"/>
        <v/>
      </c>
      <c r="AG79" t="str">
        <f t="shared" si="56"/>
        <v/>
      </c>
      <c r="AH79" t="str">
        <f t="shared" si="57"/>
        <v/>
      </c>
      <c r="AI79" t="str">
        <f t="shared" si="58"/>
        <v/>
      </c>
      <c r="AJ79" t="str">
        <f t="shared" si="59"/>
        <v/>
      </c>
      <c r="AK79" t="str">
        <f t="shared" si="60"/>
        <v/>
      </c>
      <c r="AL79" t="str">
        <f>IFERROR(ROUND(L79*(G79/$AU79)/VLOOKUP(F79,商品!$A$4:$B$60,2,FALSE),0),"")</f>
        <v/>
      </c>
      <c r="AM79" t="str">
        <f>IFERROR(ROUND(L79*(I79/$AU79)/VLOOKUP(H79,商品!$A$4:$B$60,2,FALSE),0),"")</f>
        <v/>
      </c>
      <c r="AN79">
        <f>IFERROR(ROUND(L79*(J79/$AU79)/VLOOKUP("运力",商品!$A$4:$B$60,2,FALSE),0),0)</f>
        <v>0</v>
      </c>
      <c r="AO79">
        <f>IFERROR(ROUND(L79*(K79/$AU79)/VLOOKUP("交易",商品!$A$4:$B$60,2,FALSE),0),0)</f>
        <v>0</v>
      </c>
      <c r="AP79" t="str">
        <f>IFERROR(ROUND(S79*(N79/$AV79)/VLOOKUP(M79,职业!$A$4:$G$16,4,FALSE),0),"")</f>
        <v/>
      </c>
      <c r="AQ79" t="str">
        <f>IFERROR(ROUND(S79*(P79/$AV79)/VLOOKUP(O79,职业!$A$4:$G$16,4,FALSE),0),"")</f>
        <v/>
      </c>
      <c r="AR79" t="str">
        <f>IFERROR(ROUND(S79*(R79/$AV79)/VLOOKUP(Q79,职业!$A$4:$G$16,4,FALSE),0),"")</f>
        <v/>
      </c>
      <c r="AS79" t="str">
        <f>IFERROR(ROUND(X79*(U79/$AW79)/VLOOKUP(T79,商品!$A$4:$B$60,2,FALSE),0),"")</f>
        <v/>
      </c>
      <c r="AT79" t="str">
        <f>IFERROR(ROUND(X79*(W79/$AW79)/VLOOKUP(V79,商品!$A$4:$B$60,2,FALSE),0),"")</f>
        <v/>
      </c>
      <c r="AU79">
        <f t="shared" si="61"/>
        <v>0</v>
      </c>
      <c r="AV79">
        <f t="shared" si="62"/>
        <v>0</v>
      </c>
      <c r="AW79">
        <f t="shared" si="63"/>
        <v>0</v>
      </c>
    </row>
    <row r="80" spans="1:49" ht="19.95" customHeight="1" x14ac:dyDescent="0.25">
      <c r="A80" s="16" t="s">
        <v>192</v>
      </c>
      <c r="C80" s="16">
        <v>2</v>
      </c>
      <c r="D80" s="23" t="s">
        <v>171</v>
      </c>
      <c r="E80" s="23" t="s">
        <v>193</v>
      </c>
      <c r="F80" s="2" t="s">
        <v>26</v>
      </c>
      <c r="G80" s="2">
        <v>40</v>
      </c>
      <c r="J80" s="24">
        <v>10</v>
      </c>
      <c r="K80" s="25">
        <v>5</v>
      </c>
      <c r="L80" s="16">
        <f>IFERROR(VLOOKUP($D80&amp;$C80,生产方式定位!$A$2:$E$38,2,FALSE)+VLOOKUP($E80&amp;$C80,生产方式定位!$F$3:$J$38,2,FALSE),0)</f>
        <v>1000</v>
      </c>
      <c r="M80" s="2" t="s">
        <v>73</v>
      </c>
      <c r="N80" s="2">
        <v>5</v>
      </c>
      <c r="S80" s="16">
        <f>IFERROR(VLOOKUP($D80&amp;$C80,生产方式定位!$A$2:$E$38,3,FALSE)+VLOOKUP($E80&amp;$C80,生产方式定位!$F$3:$J$38,3,FALSE),0)</f>
        <v>5</v>
      </c>
      <c r="T80" s="2" t="s">
        <v>30</v>
      </c>
      <c r="U80" s="2">
        <v>1</v>
      </c>
      <c r="X80" s="16">
        <f>IFERROR(VLOOKUP($D80&amp;$C80,生产方式定位!$A$2:$E$38,5,FALSE)+VLOOKUP($E80&amp;$C80,生产方式定位!$F$3:$J$38,5,FALSE),"错误")</f>
        <v>1337</v>
      </c>
      <c r="Y80" s="26" t="str">
        <f t="shared" si="48"/>
        <v>衣物*24,运力*18,交易*9</v>
      </c>
      <c r="Z80" s="36" t="str">
        <f t="shared" si="49"/>
        <v>工程师*75</v>
      </c>
      <c r="AA80" s="36" t="str">
        <f t="shared" si="50"/>
        <v>奢侈服装*27</v>
      </c>
      <c r="AB80" s="27" t="str">
        <f t="shared" si="51"/>
        <v>34%</v>
      </c>
      <c r="AC80" s="2">
        <f t="shared" si="52"/>
        <v>332</v>
      </c>
      <c r="AD80" s="38">
        <f t="shared" si="53"/>
        <v>2</v>
      </c>
      <c r="AE80" t="str">
        <f t="shared" si="54"/>
        <v>衣物*24</v>
      </c>
      <c r="AF80" t="str">
        <f t="shared" si="55"/>
        <v/>
      </c>
      <c r="AG80" t="str">
        <f t="shared" si="56"/>
        <v>工程师*75</v>
      </c>
      <c r="AH80" t="str">
        <f t="shared" si="57"/>
        <v/>
      </c>
      <c r="AI80" t="str">
        <f t="shared" si="58"/>
        <v/>
      </c>
      <c r="AJ80" t="str">
        <f t="shared" si="59"/>
        <v>奢侈服装*27</v>
      </c>
      <c r="AK80" t="str">
        <f t="shared" si="60"/>
        <v/>
      </c>
      <c r="AL80">
        <f>IFERROR(ROUND(L80*(G80/$AU80)/VLOOKUP(F80,商品!$A$4:$B$60,2,FALSE),0),"")</f>
        <v>24</v>
      </c>
      <c r="AM80" t="str">
        <f>IFERROR(ROUND(L80*(I80/$AU80)/VLOOKUP(H80,商品!$A$4:$B$60,2,FALSE),0),"")</f>
        <v/>
      </c>
      <c r="AN80">
        <f>IFERROR(ROUND(L80*(J80/$AU80)/VLOOKUP("运力",商品!$A$4:$B$60,2,FALSE),0),0)</f>
        <v>18</v>
      </c>
      <c r="AO80">
        <f>IFERROR(ROUND(L80*(K80/$AU80)/VLOOKUP("交易",商品!$A$4:$B$60,2,FALSE),0),0)</f>
        <v>9</v>
      </c>
      <c r="AP80">
        <f>IFERROR(ROUND(S80*(N80/$AV80)/VLOOKUP(M80,职业!$A$4:$G$16,4,FALSE),0),"")</f>
        <v>75</v>
      </c>
      <c r="AQ80" t="str">
        <f>IFERROR(ROUND(S80*(P80/$AV80)/VLOOKUP(O80,职业!$A$4:$G$16,4,FALSE),0),"")</f>
        <v/>
      </c>
      <c r="AR80" t="str">
        <f>IFERROR(ROUND(S80*(R80/$AV80)/VLOOKUP(Q80,职业!$A$4:$G$16,4,FALSE),0),"")</f>
        <v/>
      </c>
      <c r="AS80">
        <f>IFERROR(ROUND(X80*(U80/$AW80)/VLOOKUP(T80,商品!$A$4:$B$60,2,FALSE),0),"")</f>
        <v>27</v>
      </c>
      <c r="AT80" t="str">
        <f>IFERROR(ROUND(X80*(W80/$AW80)/VLOOKUP(V80,商品!$A$4:$B$60,2,FALSE),0),"")</f>
        <v/>
      </c>
      <c r="AU80">
        <f t="shared" si="61"/>
        <v>55</v>
      </c>
      <c r="AV80">
        <f t="shared" si="62"/>
        <v>5</v>
      </c>
      <c r="AW80">
        <f t="shared" si="63"/>
        <v>1</v>
      </c>
    </row>
    <row r="81" spans="1:49" ht="19.95" customHeight="1" x14ac:dyDescent="0.25">
      <c r="A81" s="16" t="s">
        <v>192</v>
      </c>
      <c r="C81" s="16">
        <v>3</v>
      </c>
      <c r="D81" s="23" t="s">
        <v>171</v>
      </c>
      <c r="E81" s="23" t="s">
        <v>193</v>
      </c>
      <c r="F81" s="2" t="s">
        <v>26</v>
      </c>
      <c r="G81" s="2">
        <v>40</v>
      </c>
      <c r="H81" s="2" t="s">
        <v>13</v>
      </c>
      <c r="I81" s="2">
        <v>20</v>
      </c>
      <c r="J81" s="24">
        <v>10</v>
      </c>
      <c r="K81" s="25">
        <v>5</v>
      </c>
      <c r="L81" s="16">
        <f>IFERROR(VLOOKUP($D81&amp;$C81,生产方式定位!$A$2:$E$38,2,FALSE)+VLOOKUP($E81&amp;$C81,生产方式定位!$F$3:$J$38,2,FALSE),0)</f>
        <v>1400</v>
      </c>
      <c r="M81" s="2" t="s">
        <v>73</v>
      </c>
      <c r="N81" s="2">
        <v>10</v>
      </c>
      <c r="S81" s="16">
        <f>IFERROR(VLOOKUP($D81&amp;$C81,生产方式定位!$A$2:$E$38,3,FALSE)+VLOOKUP($E81&amp;$C81,生产方式定位!$F$3:$J$38,3,FALSE),0)</f>
        <v>10</v>
      </c>
      <c r="T81" s="2" t="s">
        <v>30</v>
      </c>
      <c r="U81" s="2">
        <v>1</v>
      </c>
      <c r="X81" s="16">
        <f>IFERROR(VLOOKUP($D81&amp;$C81,生产方式定位!$A$2:$E$38,5,FALSE)+VLOOKUP($E81&amp;$C81,生产方式定位!$F$3:$J$38,5,FALSE),"错误")</f>
        <v>1874</v>
      </c>
      <c r="Y81" s="26" t="str">
        <f t="shared" si="48"/>
        <v>衣物*25,染料*19,运力*19,交易*9</v>
      </c>
      <c r="Z81" s="36" t="str">
        <f t="shared" si="49"/>
        <v>工程师*151</v>
      </c>
      <c r="AA81" s="36" t="str">
        <f t="shared" si="50"/>
        <v>奢侈服装*37</v>
      </c>
      <c r="AB81" s="27" t="str">
        <f t="shared" si="51"/>
        <v>34%</v>
      </c>
      <c r="AC81" s="2">
        <f t="shared" si="52"/>
        <v>464</v>
      </c>
      <c r="AD81" s="38">
        <f t="shared" si="53"/>
        <v>3</v>
      </c>
      <c r="AE81" t="str">
        <f t="shared" si="54"/>
        <v>衣物*25</v>
      </c>
      <c r="AF81" t="str">
        <f t="shared" si="55"/>
        <v>染料*19</v>
      </c>
      <c r="AG81" t="str">
        <f t="shared" si="56"/>
        <v>工程师*151</v>
      </c>
      <c r="AH81" t="str">
        <f t="shared" si="57"/>
        <v/>
      </c>
      <c r="AI81" t="str">
        <f t="shared" si="58"/>
        <v/>
      </c>
      <c r="AJ81" t="str">
        <f t="shared" si="59"/>
        <v>奢侈服装*37</v>
      </c>
      <c r="AK81" t="str">
        <f t="shared" si="60"/>
        <v/>
      </c>
      <c r="AL81">
        <f>IFERROR(ROUND(L81*(G81/$AU81)/VLOOKUP(F81,商品!$A$4:$B$60,2,FALSE),0),"")</f>
        <v>25</v>
      </c>
      <c r="AM81">
        <f>IFERROR(ROUND(L81*(I81/$AU81)/VLOOKUP(H81,商品!$A$4:$B$60,2,FALSE),0),"")</f>
        <v>19</v>
      </c>
      <c r="AN81">
        <f>IFERROR(ROUND(L81*(J81/$AU81)/VLOOKUP("运力",商品!$A$4:$B$60,2,FALSE),0),0)</f>
        <v>19</v>
      </c>
      <c r="AO81">
        <f>IFERROR(ROUND(L81*(K81/$AU81)/VLOOKUP("交易",商品!$A$4:$B$60,2,FALSE),0),0)</f>
        <v>9</v>
      </c>
      <c r="AP81">
        <f>IFERROR(ROUND(S81*(N81/$AV81)/VLOOKUP(M81,职业!$A$4:$G$16,4,FALSE),0),"")</f>
        <v>151</v>
      </c>
      <c r="AQ81" t="str">
        <f>IFERROR(ROUND(S81*(P81/$AV81)/VLOOKUP(O81,职业!$A$4:$G$16,4,FALSE),0),"")</f>
        <v/>
      </c>
      <c r="AR81" t="str">
        <f>IFERROR(ROUND(S81*(R81/$AV81)/VLOOKUP(Q81,职业!$A$4:$G$16,4,FALSE),0),"")</f>
        <v/>
      </c>
      <c r="AS81">
        <f>IFERROR(ROUND(X81*(U81/$AW81)/VLOOKUP(T81,商品!$A$4:$B$60,2,FALSE),0),"")</f>
        <v>37</v>
      </c>
      <c r="AT81" t="str">
        <f>IFERROR(ROUND(X81*(W81/$AW81)/VLOOKUP(V81,商品!$A$4:$B$60,2,FALSE),0),"")</f>
        <v/>
      </c>
      <c r="AU81">
        <f t="shared" si="61"/>
        <v>75</v>
      </c>
      <c r="AV81">
        <f t="shared" si="62"/>
        <v>10</v>
      </c>
      <c r="AW81">
        <f t="shared" si="63"/>
        <v>1</v>
      </c>
    </row>
    <row r="82" spans="1:49" ht="19.95" customHeight="1" x14ac:dyDescent="0.25">
      <c r="A82" s="16" t="s">
        <v>192</v>
      </c>
      <c r="C82" s="16">
        <v>4</v>
      </c>
      <c r="D82" s="23" t="s">
        <v>171</v>
      </c>
      <c r="E82" s="23" t="s">
        <v>193</v>
      </c>
      <c r="F82" s="2" t="s">
        <v>26</v>
      </c>
      <c r="G82" s="2">
        <v>40</v>
      </c>
      <c r="H82" s="2" t="s">
        <v>13</v>
      </c>
      <c r="I82" s="2">
        <v>20</v>
      </c>
      <c r="J82" s="24">
        <v>10</v>
      </c>
      <c r="K82" s="25">
        <v>5</v>
      </c>
      <c r="L82" s="16">
        <f>IFERROR(VLOOKUP($D82&amp;$C82,生产方式定位!$A$2:$E$38,2,FALSE)+VLOOKUP($E82&amp;$C82,生产方式定位!$F$3:$J$38,2,FALSE),0)</f>
        <v>1800</v>
      </c>
      <c r="M82" s="2" t="s">
        <v>73</v>
      </c>
      <c r="N82" s="2">
        <v>15</v>
      </c>
      <c r="S82" s="16">
        <f>IFERROR(VLOOKUP($D82&amp;$C82,生产方式定位!$A$2:$E$38,3,FALSE)+VLOOKUP($E82&amp;$C82,生产方式定位!$F$3:$J$38,3,FALSE),0)</f>
        <v>15</v>
      </c>
      <c r="T82" s="2" t="s">
        <v>30</v>
      </c>
      <c r="U82" s="2">
        <v>1</v>
      </c>
      <c r="X82" s="16">
        <f>IFERROR(VLOOKUP($D82&amp;$C82,生产方式定位!$A$2:$E$38,5,FALSE)+VLOOKUP($E82&amp;$C82,生产方式定位!$F$3:$J$38,5,FALSE),"错误")</f>
        <v>2411</v>
      </c>
      <c r="Y82" s="26" t="str">
        <f t="shared" si="48"/>
        <v>衣物*32,染料*24,运力*24,交易*12</v>
      </c>
      <c r="Z82" s="36" t="str">
        <f t="shared" si="49"/>
        <v>工程师*226</v>
      </c>
      <c r="AA82" s="36" t="str">
        <f t="shared" si="50"/>
        <v>奢侈服装*48</v>
      </c>
      <c r="AB82" s="27" t="str">
        <f t="shared" si="51"/>
        <v>34%</v>
      </c>
      <c r="AC82" s="2">
        <f t="shared" si="52"/>
        <v>596</v>
      </c>
      <c r="AD82" s="38">
        <f t="shared" si="53"/>
        <v>4</v>
      </c>
      <c r="AE82" t="str">
        <f t="shared" si="54"/>
        <v>衣物*32</v>
      </c>
      <c r="AF82" t="str">
        <f t="shared" si="55"/>
        <v>染料*24</v>
      </c>
      <c r="AG82" t="str">
        <f t="shared" si="56"/>
        <v>工程师*226</v>
      </c>
      <c r="AH82" t="str">
        <f t="shared" si="57"/>
        <v/>
      </c>
      <c r="AI82" t="str">
        <f t="shared" si="58"/>
        <v/>
      </c>
      <c r="AJ82" t="str">
        <f t="shared" si="59"/>
        <v>奢侈服装*48</v>
      </c>
      <c r="AK82" t="str">
        <f t="shared" si="60"/>
        <v/>
      </c>
      <c r="AL82">
        <f>IFERROR(ROUND(L82*(G82/$AU82)/VLOOKUP(F82,商品!$A$4:$B$60,2,FALSE),0),"")</f>
        <v>32</v>
      </c>
      <c r="AM82">
        <f>IFERROR(ROUND(L82*(I82/$AU82)/VLOOKUP(H82,商品!$A$4:$B$60,2,FALSE),0),"")</f>
        <v>24</v>
      </c>
      <c r="AN82">
        <f>IFERROR(ROUND(L82*(J82/$AU82)/VLOOKUP("运力",商品!$A$4:$B$60,2,FALSE),0),0)</f>
        <v>24</v>
      </c>
      <c r="AO82">
        <f>IFERROR(ROUND(L82*(K82/$AU82)/VLOOKUP("交易",商品!$A$4:$B$60,2,FALSE),0),0)</f>
        <v>12</v>
      </c>
      <c r="AP82">
        <f>IFERROR(ROUND(S82*(N82/$AV82)/VLOOKUP(M82,职业!$A$4:$G$16,4,FALSE),0),"")</f>
        <v>226</v>
      </c>
      <c r="AQ82" t="str">
        <f>IFERROR(ROUND(S82*(P82/$AV82)/VLOOKUP(O82,职业!$A$4:$G$16,4,FALSE),0),"")</f>
        <v/>
      </c>
      <c r="AR82" t="str">
        <f>IFERROR(ROUND(S82*(R82/$AV82)/VLOOKUP(Q82,职业!$A$4:$G$16,4,FALSE),0),"")</f>
        <v/>
      </c>
      <c r="AS82">
        <f>IFERROR(ROUND(X82*(U82/$AW82)/VLOOKUP(T82,商品!$A$4:$B$60,2,FALSE),0),"")</f>
        <v>48</v>
      </c>
      <c r="AT82" t="str">
        <f>IFERROR(ROUND(X82*(W82/$AW82)/VLOOKUP(V82,商品!$A$4:$B$60,2,FALSE),0),"")</f>
        <v/>
      </c>
      <c r="AU82">
        <f t="shared" si="61"/>
        <v>75</v>
      </c>
      <c r="AV82">
        <f t="shared" si="62"/>
        <v>15</v>
      </c>
      <c r="AW82">
        <f t="shared" si="63"/>
        <v>1</v>
      </c>
    </row>
    <row r="83" spans="1:49" ht="19.95" customHeight="1" x14ac:dyDescent="0.25">
      <c r="A83" s="16" t="s">
        <v>192</v>
      </c>
      <c r="C83" s="16">
        <v>5</v>
      </c>
      <c r="D83" s="23" t="s">
        <v>171</v>
      </c>
      <c r="E83" s="23" t="s">
        <v>193</v>
      </c>
      <c r="F83" s="2" t="s">
        <v>26</v>
      </c>
      <c r="G83" s="2">
        <v>40</v>
      </c>
      <c r="H83" s="2" t="s">
        <v>13</v>
      </c>
      <c r="I83" s="2">
        <v>20</v>
      </c>
      <c r="J83" s="24">
        <v>10</v>
      </c>
      <c r="K83" s="25">
        <v>5</v>
      </c>
      <c r="L83" s="16">
        <f>IFERROR(VLOOKUP($D83&amp;$C83,生产方式定位!$A$2:$E$38,2,FALSE)+VLOOKUP($E83&amp;$C83,生产方式定位!$F$3:$J$38,2,FALSE),0)</f>
        <v>2200</v>
      </c>
      <c r="M83" s="2" t="s">
        <v>73</v>
      </c>
      <c r="N83" s="2">
        <v>20</v>
      </c>
      <c r="S83" s="16">
        <f>IFERROR(VLOOKUP($D83&amp;$C83,生产方式定位!$A$2:$E$38,3,FALSE)+VLOOKUP($E83&amp;$C83,生产方式定位!$F$3:$J$38,3,FALSE),0)</f>
        <v>20</v>
      </c>
      <c r="T83" s="2" t="s">
        <v>30</v>
      </c>
      <c r="U83" s="2">
        <v>1</v>
      </c>
      <c r="X83" s="16">
        <f>IFERROR(VLOOKUP($D83&amp;$C83,生产方式定位!$A$2:$E$38,5,FALSE)+VLOOKUP($E83&amp;$C83,生产方式定位!$F$3:$J$38,5,FALSE),"错误")</f>
        <v>2948</v>
      </c>
      <c r="Y83" s="26" t="str">
        <f t="shared" si="48"/>
        <v>衣物*39,染料*29,运力*29,交易*15</v>
      </c>
      <c r="Z83" s="36" t="str">
        <f t="shared" si="49"/>
        <v>工程师*302</v>
      </c>
      <c r="AA83" s="36" t="str">
        <f t="shared" si="50"/>
        <v>奢侈服装*59</v>
      </c>
      <c r="AB83" s="27" t="str">
        <f t="shared" si="51"/>
        <v>34%</v>
      </c>
      <c r="AC83" s="2">
        <f t="shared" si="52"/>
        <v>728</v>
      </c>
      <c r="AD83" s="38">
        <f t="shared" si="53"/>
        <v>5</v>
      </c>
      <c r="AE83" t="str">
        <f t="shared" si="54"/>
        <v>衣物*39</v>
      </c>
      <c r="AF83" t="str">
        <f t="shared" si="55"/>
        <v>染料*29</v>
      </c>
      <c r="AG83" t="str">
        <f t="shared" si="56"/>
        <v>工程师*302</v>
      </c>
      <c r="AH83" t="str">
        <f t="shared" si="57"/>
        <v/>
      </c>
      <c r="AI83" t="str">
        <f t="shared" si="58"/>
        <v/>
      </c>
      <c r="AJ83" t="str">
        <f t="shared" si="59"/>
        <v>奢侈服装*59</v>
      </c>
      <c r="AK83" t="str">
        <f t="shared" si="60"/>
        <v/>
      </c>
      <c r="AL83">
        <f>IFERROR(ROUND(L83*(G83/$AU83)/VLOOKUP(F83,商品!$A$4:$B$60,2,FALSE),0),"")</f>
        <v>39</v>
      </c>
      <c r="AM83">
        <f>IFERROR(ROUND(L83*(I83/$AU83)/VLOOKUP(H83,商品!$A$4:$B$60,2,FALSE),0),"")</f>
        <v>29</v>
      </c>
      <c r="AN83">
        <f>IFERROR(ROUND(L83*(J83/$AU83)/VLOOKUP("运力",商品!$A$4:$B$60,2,FALSE),0),0)</f>
        <v>29</v>
      </c>
      <c r="AO83">
        <f>IFERROR(ROUND(L83*(K83/$AU83)/VLOOKUP("交易",商品!$A$4:$B$60,2,FALSE),0),0)</f>
        <v>15</v>
      </c>
      <c r="AP83">
        <f>IFERROR(ROUND(S83*(N83/$AV83)/VLOOKUP(M83,职业!$A$4:$G$16,4,FALSE),0),"")</f>
        <v>302</v>
      </c>
      <c r="AQ83" t="str">
        <f>IFERROR(ROUND(S83*(P83/$AV83)/VLOOKUP(O83,职业!$A$4:$G$16,4,FALSE),0),"")</f>
        <v/>
      </c>
      <c r="AR83" t="str">
        <f>IFERROR(ROUND(S83*(R83/$AV83)/VLOOKUP(Q83,职业!$A$4:$G$16,4,FALSE),0),"")</f>
        <v/>
      </c>
      <c r="AS83">
        <f>IFERROR(ROUND(X83*(U83/$AW83)/VLOOKUP(T83,商品!$A$4:$B$60,2,FALSE),0),"")</f>
        <v>59</v>
      </c>
      <c r="AT83" t="str">
        <f>IFERROR(ROUND(X83*(W83/$AW83)/VLOOKUP(V83,商品!$A$4:$B$60,2,FALSE),0),"")</f>
        <v/>
      </c>
      <c r="AU83">
        <f t="shared" si="61"/>
        <v>75</v>
      </c>
      <c r="AV83">
        <f t="shared" si="62"/>
        <v>20</v>
      </c>
      <c r="AW83">
        <f t="shared" si="63"/>
        <v>1</v>
      </c>
    </row>
    <row r="84" spans="1:49" ht="19.95" customHeight="1" x14ac:dyDescent="0.25">
      <c r="A84" s="15" t="s">
        <v>508</v>
      </c>
      <c r="C84" s="15">
        <v>1</v>
      </c>
      <c r="D84" s="23" t="s">
        <v>174</v>
      </c>
      <c r="E84" s="23" t="s">
        <v>175</v>
      </c>
      <c r="L84" s="15">
        <f>IFERROR(VLOOKUP($D84&amp;$C84,生产方式定位!$A$2:$E$38,2,FALSE)+VLOOKUP($E84&amp;$C84,生产方式定位!$F$3:$J$38,2,FALSE),0)</f>
        <v>0</v>
      </c>
      <c r="S84" s="15">
        <f>IFERROR(VLOOKUP($D84&amp;$C84,生产方式定位!$A$2:$E$38,3,FALSE)+VLOOKUP($E84&amp;$C84,生产方式定位!$F$3:$J$38,3,FALSE),0)</f>
        <v>0</v>
      </c>
      <c r="X84" s="15">
        <f>IFERROR(VLOOKUP($D84&amp;$C84,生产方式定位!$A$2:$E$38,5,FALSE)+VLOOKUP($E84&amp;$C84,生产方式定位!$F$3:$J$38,5,FALSE),"错误")</f>
        <v>0</v>
      </c>
      <c r="Y84" s="26" t="str">
        <f t="shared" si="48"/>
        <v/>
      </c>
      <c r="Z84" s="36" t="str">
        <f t="shared" si="49"/>
        <v/>
      </c>
      <c r="AA84" s="36" t="str">
        <f t="shared" si="50"/>
        <v/>
      </c>
      <c r="AB84" s="27" t="str">
        <f t="shared" si="51"/>
        <v/>
      </c>
      <c r="AC84" s="2" t="str">
        <f t="shared" si="52"/>
        <v/>
      </c>
      <c r="AD84" s="37">
        <f t="shared" si="53"/>
        <v>1</v>
      </c>
      <c r="AE84" t="str">
        <f t="shared" si="54"/>
        <v/>
      </c>
      <c r="AF84" t="str">
        <f t="shared" si="55"/>
        <v/>
      </c>
      <c r="AG84" t="str">
        <f t="shared" si="56"/>
        <v/>
      </c>
      <c r="AH84" t="str">
        <f t="shared" si="57"/>
        <v/>
      </c>
      <c r="AI84" t="str">
        <f t="shared" si="58"/>
        <v/>
      </c>
      <c r="AJ84" t="str">
        <f t="shared" si="59"/>
        <v/>
      </c>
      <c r="AK84" t="str">
        <f t="shared" si="60"/>
        <v/>
      </c>
      <c r="AL84" t="str">
        <f>IFERROR(ROUND(L84*(G84/$AU84)/VLOOKUP(F84,商品!$A$4:$B$60,2,FALSE),0),"")</f>
        <v/>
      </c>
      <c r="AM84" t="str">
        <f>IFERROR(ROUND(L84*(I84/$AU84)/VLOOKUP(H84,商品!$A$4:$B$60,2,FALSE),0),"")</f>
        <v/>
      </c>
      <c r="AN84">
        <f>IFERROR(ROUND(L84*(J84/$AU84)/VLOOKUP("运力",商品!$A$4:$B$60,2,FALSE),0),0)</f>
        <v>0</v>
      </c>
      <c r="AO84">
        <f>IFERROR(ROUND(L84*(K84/$AU84)/VLOOKUP("交易",商品!$A$4:$B$60,2,FALSE),0),0)</f>
        <v>0</v>
      </c>
      <c r="AP84" t="str">
        <f>IFERROR(ROUND(S84*(N84/$AV84)/VLOOKUP(M84,职业!$A$4:$G$16,4,FALSE),0),"")</f>
        <v/>
      </c>
      <c r="AQ84" t="str">
        <f>IFERROR(ROUND(S84*(P84/$AV84)/VLOOKUP(O84,职业!$A$4:$G$16,4,FALSE),0),"")</f>
        <v/>
      </c>
      <c r="AR84" t="str">
        <f>IFERROR(ROUND(S84*(R84/$AV84)/VLOOKUP(Q84,职业!$A$4:$G$16,4,FALSE),0),"")</f>
        <v/>
      </c>
      <c r="AS84" t="str">
        <f>IFERROR(ROUND(X84*(U84/$AW84)/VLOOKUP(T84,商品!$A$4:$B$60,2,FALSE),0),"")</f>
        <v/>
      </c>
      <c r="AT84" t="str">
        <f>IFERROR(ROUND(X84*(W84/$AW84)/VLOOKUP(V84,商品!$A$4:$B$60,2,FALSE),0),"")</f>
        <v/>
      </c>
      <c r="AU84">
        <f t="shared" si="61"/>
        <v>0</v>
      </c>
      <c r="AV84">
        <f t="shared" si="62"/>
        <v>0</v>
      </c>
      <c r="AW84">
        <f t="shared" si="63"/>
        <v>0</v>
      </c>
    </row>
    <row r="85" spans="1:49" ht="19.95" customHeight="1" x14ac:dyDescent="0.25">
      <c r="A85" s="15" t="s">
        <v>508</v>
      </c>
      <c r="C85" s="15">
        <v>2</v>
      </c>
      <c r="D85" s="23" t="s">
        <v>174</v>
      </c>
      <c r="E85" s="23" t="s">
        <v>175</v>
      </c>
      <c r="F85" s="2" t="s">
        <v>41</v>
      </c>
      <c r="G85" s="2">
        <v>10</v>
      </c>
      <c r="L85" s="15">
        <f>IFERROR(VLOOKUP($D85&amp;$C85,生产方式定位!$A$2:$E$38,2,FALSE)+VLOOKUP($E85&amp;$C85,生产方式定位!$F$3:$J$38,2,FALSE),0)</f>
        <v>50</v>
      </c>
      <c r="M85" s="2" t="s">
        <v>80</v>
      </c>
      <c r="N85" s="2">
        <v>-20</v>
      </c>
      <c r="O85" s="2" t="s">
        <v>73</v>
      </c>
      <c r="P85" s="2">
        <v>5</v>
      </c>
      <c r="S85" s="15">
        <f>IFERROR(VLOOKUP($D85&amp;$C85,生产方式定位!$A$2:$E$38,3,FALSE)+VLOOKUP($E85&amp;$C85,生产方式定位!$F$3:$J$38,3,FALSE),0)</f>
        <v>10</v>
      </c>
      <c r="T85" s="2" t="s">
        <v>26</v>
      </c>
      <c r="U85" s="2">
        <v>1</v>
      </c>
      <c r="X85" s="15">
        <f>IFERROR(VLOOKUP($D85&amp;$C85,生产方式定位!$A$2:$E$38,5,FALSE)+VLOOKUP($E85&amp;$C85,生产方式定位!$F$3:$J$38,5,FALSE),"错误")</f>
        <v>0</v>
      </c>
      <c r="Y85" s="26" t="str">
        <f t="shared" si="48"/>
        <v>工具*1</v>
      </c>
      <c r="Z85" s="36" t="str">
        <f t="shared" si="49"/>
        <v>劳工*-362,工程师*30</v>
      </c>
      <c r="AA85" s="36" t="str">
        <f t="shared" si="50"/>
        <v>衣物*0</v>
      </c>
      <c r="AB85" s="27" t="str">
        <f t="shared" si="51"/>
        <v>-100%</v>
      </c>
      <c r="AC85" s="2">
        <f t="shared" si="52"/>
        <v>-60</v>
      </c>
      <c r="AD85" s="37">
        <f t="shared" si="53"/>
        <v>2</v>
      </c>
      <c r="AE85" t="str">
        <f t="shared" si="54"/>
        <v>工具*1</v>
      </c>
      <c r="AF85" t="str">
        <f t="shared" si="55"/>
        <v/>
      </c>
      <c r="AG85" t="str">
        <f t="shared" si="56"/>
        <v>劳工*-362</v>
      </c>
      <c r="AH85" t="str">
        <f t="shared" si="57"/>
        <v>工程师*30</v>
      </c>
      <c r="AI85" t="str">
        <f t="shared" si="58"/>
        <v/>
      </c>
      <c r="AJ85" t="str">
        <f t="shared" si="59"/>
        <v>衣物*0</v>
      </c>
      <c r="AK85" t="str">
        <f t="shared" si="60"/>
        <v/>
      </c>
      <c r="AL85">
        <f>IFERROR(ROUND(L85*(G85/$AU85)/VLOOKUP(F85,商品!$A$4:$B$60,2,FALSE),0),"")</f>
        <v>1</v>
      </c>
      <c r="AM85" t="str">
        <f>IFERROR(ROUND(L85*(I85/$AU85)/VLOOKUP(H85,商品!$A$4:$B$60,2,FALSE),0),"")</f>
        <v/>
      </c>
      <c r="AN85">
        <f>IFERROR(ROUND(L85*(J85/$AU85)/VLOOKUP("运力",商品!$A$4:$B$60,2,FALSE),0),0)</f>
        <v>0</v>
      </c>
      <c r="AO85">
        <f>IFERROR(ROUND(L85*(K85/$AU85)/VLOOKUP("交易",商品!$A$4:$B$60,2,FALSE),0),0)</f>
        <v>0</v>
      </c>
      <c r="AP85">
        <f>IFERROR(ROUND(S85*(N85/$AV85)/VLOOKUP(M85,职业!$A$4:$G$16,4,FALSE),0),"")</f>
        <v>-362</v>
      </c>
      <c r="AQ85">
        <f>IFERROR(ROUND(S85*(P85/$AV85)/VLOOKUP(O85,职业!$A$4:$G$16,4,FALSE),0),"")</f>
        <v>30</v>
      </c>
      <c r="AR85" t="str">
        <f>IFERROR(ROUND(S85*(R85/$AV85)/VLOOKUP(Q85,职业!$A$4:$G$16,4,FALSE),0),"")</f>
        <v/>
      </c>
      <c r="AS85">
        <f>IFERROR(ROUND(X85*(U85/$AW85)/VLOOKUP(T85,商品!$A$4:$B$60,2,FALSE),0),"")</f>
        <v>0</v>
      </c>
      <c r="AT85" t="str">
        <f>IFERROR(ROUND(X85*(W85/$AW85)/VLOOKUP(V85,商品!$A$4:$B$60,2,FALSE),0),"")</f>
        <v/>
      </c>
      <c r="AU85">
        <f t="shared" si="61"/>
        <v>10</v>
      </c>
      <c r="AV85">
        <f t="shared" si="62"/>
        <v>25</v>
      </c>
      <c r="AW85">
        <f t="shared" si="63"/>
        <v>1</v>
      </c>
    </row>
    <row r="86" spans="1:49" ht="19.95" customHeight="1" x14ac:dyDescent="0.25">
      <c r="A86" s="15" t="s">
        <v>508</v>
      </c>
      <c r="C86" s="15">
        <v>3</v>
      </c>
      <c r="D86" s="23" t="s">
        <v>174</v>
      </c>
      <c r="E86" s="23" t="s">
        <v>175</v>
      </c>
      <c r="F86" s="2" t="s">
        <v>41</v>
      </c>
      <c r="G86" s="2">
        <v>10</v>
      </c>
      <c r="L86" s="15">
        <f>IFERROR(VLOOKUP($D86&amp;$C86,生产方式定位!$A$2:$E$38,2,FALSE)+VLOOKUP($E86&amp;$C86,生产方式定位!$F$3:$J$38,2,FALSE),0)</f>
        <v>100</v>
      </c>
      <c r="M86" s="2" t="s">
        <v>80</v>
      </c>
      <c r="N86" s="2">
        <v>-20</v>
      </c>
      <c r="O86" s="2" t="s">
        <v>73</v>
      </c>
      <c r="P86" s="2">
        <v>7</v>
      </c>
      <c r="S86" s="15">
        <f>IFERROR(VLOOKUP($D86&amp;$C86,生产方式定位!$A$2:$E$38,3,FALSE)+VLOOKUP($E86&amp;$C86,生产方式定位!$F$3:$J$38,3,FALSE),0)</f>
        <v>20</v>
      </c>
      <c r="T86" s="2" t="s">
        <v>26</v>
      </c>
      <c r="U86" s="2">
        <v>1</v>
      </c>
      <c r="X86" s="15">
        <f>IFERROR(VLOOKUP($D86&amp;$C86,生产方式定位!$A$2:$E$38,5,FALSE)+VLOOKUP($E86&amp;$C86,生产方式定位!$F$3:$J$38,5,FALSE),"错误")</f>
        <v>0</v>
      </c>
      <c r="Y86" s="26" t="str">
        <f t="shared" si="48"/>
        <v>工具*3</v>
      </c>
      <c r="Z86" s="36" t="str">
        <f t="shared" si="49"/>
        <v>劳工*-670,工程师*78</v>
      </c>
      <c r="AA86" s="36" t="str">
        <f t="shared" si="50"/>
        <v>衣物*0</v>
      </c>
      <c r="AB86" s="27" t="str">
        <f t="shared" si="51"/>
        <v>-100%</v>
      </c>
      <c r="AC86" s="2">
        <f t="shared" si="52"/>
        <v>-120</v>
      </c>
      <c r="AD86" s="37">
        <f t="shared" si="53"/>
        <v>3</v>
      </c>
      <c r="AE86" t="str">
        <f t="shared" si="54"/>
        <v>工具*3</v>
      </c>
      <c r="AF86" t="str">
        <f t="shared" si="55"/>
        <v/>
      </c>
      <c r="AG86" t="str">
        <f t="shared" si="56"/>
        <v>劳工*-670</v>
      </c>
      <c r="AH86" t="str">
        <f t="shared" si="57"/>
        <v>工程师*78</v>
      </c>
      <c r="AI86" t="str">
        <f t="shared" si="58"/>
        <v/>
      </c>
      <c r="AJ86" t="str">
        <f t="shared" si="59"/>
        <v>衣物*0</v>
      </c>
      <c r="AK86" t="str">
        <f t="shared" si="60"/>
        <v/>
      </c>
      <c r="AL86">
        <f>IFERROR(ROUND(L86*(G86/$AU86)/VLOOKUP(F86,商品!$A$4:$B$60,2,FALSE),0),"")</f>
        <v>3</v>
      </c>
      <c r="AM86" t="str">
        <f>IFERROR(ROUND(L86*(I86/$AU86)/VLOOKUP(H86,商品!$A$4:$B$60,2,FALSE),0),"")</f>
        <v/>
      </c>
      <c r="AN86">
        <f>IFERROR(ROUND(L86*(J86/$AU86)/VLOOKUP("运力",商品!$A$4:$B$60,2,FALSE),0),0)</f>
        <v>0</v>
      </c>
      <c r="AO86">
        <f>IFERROR(ROUND(L86*(K86/$AU86)/VLOOKUP("交易",商品!$A$4:$B$60,2,FALSE),0),0)</f>
        <v>0</v>
      </c>
      <c r="AP86">
        <f>IFERROR(ROUND(S86*(N86/$AV86)/VLOOKUP(M86,职业!$A$4:$G$16,4,FALSE),0),"")</f>
        <v>-670</v>
      </c>
      <c r="AQ86">
        <f>IFERROR(ROUND(S86*(P86/$AV86)/VLOOKUP(O86,职业!$A$4:$G$16,4,FALSE),0),"")</f>
        <v>78</v>
      </c>
      <c r="AR86" t="str">
        <f>IFERROR(ROUND(S86*(R86/$AV86)/VLOOKUP(Q86,职业!$A$4:$G$16,4,FALSE),0),"")</f>
        <v/>
      </c>
      <c r="AS86">
        <f>IFERROR(ROUND(X86*(U86/$AW86)/VLOOKUP(T86,商品!$A$4:$B$60,2,FALSE),0),"")</f>
        <v>0</v>
      </c>
      <c r="AT86" t="str">
        <f>IFERROR(ROUND(X86*(W86/$AW86)/VLOOKUP(V86,商品!$A$4:$B$60,2,FALSE),0),"")</f>
        <v/>
      </c>
      <c r="AU86">
        <f t="shared" si="61"/>
        <v>10</v>
      </c>
      <c r="AV86">
        <f t="shared" si="62"/>
        <v>27</v>
      </c>
      <c r="AW86">
        <f t="shared" si="63"/>
        <v>1</v>
      </c>
    </row>
    <row r="87" spans="1:49" ht="19.95" customHeight="1" x14ac:dyDescent="0.25">
      <c r="A87" s="15" t="s">
        <v>508</v>
      </c>
      <c r="C87" s="15">
        <v>4</v>
      </c>
      <c r="D87" s="23" t="s">
        <v>174</v>
      </c>
      <c r="E87" s="23" t="s">
        <v>175</v>
      </c>
      <c r="F87" s="2" t="s">
        <v>45</v>
      </c>
      <c r="G87" s="2">
        <v>5</v>
      </c>
      <c r="H87" s="2" t="s">
        <v>19</v>
      </c>
      <c r="I87" s="2">
        <v>10</v>
      </c>
      <c r="L87" s="15">
        <f>IFERROR(VLOOKUP($D87&amp;$C87,生产方式定位!$A$2:$E$38,2,FALSE)+VLOOKUP($E87&amp;$C87,生产方式定位!$F$3:$J$38,2,FALSE),0)</f>
        <v>150</v>
      </c>
      <c r="M87" s="2" t="s">
        <v>80</v>
      </c>
      <c r="N87" s="2">
        <v>-20</v>
      </c>
      <c r="O87" s="2" t="s">
        <v>73</v>
      </c>
      <c r="P87" s="2">
        <v>9</v>
      </c>
      <c r="S87" s="15">
        <f>IFERROR(VLOOKUP($D87&amp;$C87,生产方式定位!$A$2:$E$38,3,FALSE)+VLOOKUP($E87&amp;$C87,生产方式定位!$F$3:$J$38,3,FALSE),0)</f>
        <v>30</v>
      </c>
      <c r="T87" s="2" t="s">
        <v>26</v>
      </c>
      <c r="U87" s="2">
        <v>1</v>
      </c>
      <c r="X87" s="15">
        <f>IFERROR(VLOOKUP($D87&amp;$C87,生产方式定位!$A$2:$E$38,5,FALSE)+VLOOKUP($E87&amp;$C87,生产方式定位!$F$3:$J$38,5,FALSE),"错误")</f>
        <v>0</v>
      </c>
      <c r="Y87" s="26" t="str">
        <f t="shared" si="48"/>
        <v>科学引擎*1,煤*3</v>
      </c>
      <c r="Z87" s="36" t="str">
        <f t="shared" si="49"/>
        <v>劳工*-936,工程师*140</v>
      </c>
      <c r="AA87" s="36" t="str">
        <f t="shared" si="50"/>
        <v>衣物*0</v>
      </c>
      <c r="AB87" s="27" t="str">
        <f t="shared" si="51"/>
        <v>-100%</v>
      </c>
      <c r="AC87" s="2">
        <f t="shared" si="52"/>
        <v>-180</v>
      </c>
      <c r="AD87" s="37">
        <f t="shared" si="53"/>
        <v>4</v>
      </c>
      <c r="AE87" t="str">
        <f t="shared" si="54"/>
        <v>科学引擎*1</v>
      </c>
      <c r="AF87" t="str">
        <f t="shared" si="55"/>
        <v>煤*3</v>
      </c>
      <c r="AG87" t="str">
        <f t="shared" si="56"/>
        <v>劳工*-936</v>
      </c>
      <c r="AH87" t="str">
        <f t="shared" si="57"/>
        <v>工程师*140</v>
      </c>
      <c r="AI87" t="str">
        <f t="shared" si="58"/>
        <v/>
      </c>
      <c r="AJ87" t="str">
        <f t="shared" si="59"/>
        <v>衣物*0</v>
      </c>
      <c r="AK87" t="str">
        <f t="shared" si="60"/>
        <v/>
      </c>
      <c r="AL87">
        <f>IFERROR(ROUND(L87*(G87/$AU87)/VLOOKUP(F87,商品!$A$4:$B$60,2,FALSE),0),"")</f>
        <v>1</v>
      </c>
      <c r="AM87">
        <f>IFERROR(ROUND(L87*(I87/$AU87)/VLOOKUP(H87,商品!$A$4:$B$60,2,FALSE),0),"")</f>
        <v>3</v>
      </c>
      <c r="AN87">
        <f>IFERROR(ROUND(L87*(J87/$AU87)/VLOOKUP("运力",商品!$A$4:$B$60,2,FALSE),0),0)</f>
        <v>0</v>
      </c>
      <c r="AO87">
        <f>IFERROR(ROUND(L87*(K87/$AU87)/VLOOKUP("交易",商品!$A$4:$B$60,2,FALSE),0),0)</f>
        <v>0</v>
      </c>
      <c r="AP87">
        <f>IFERROR(ROUND(S87*(N87/$AV87)/VLOOKUP(M87,职业!$A$4:$G$16,4,FALSE),0),"")</f>
        <v>-936</v>
      </c>
      <c r="AQ87">
        <f>IFERROR(ROUND(S87*(P87/$AV87)/VLOOKUP(O87,职业!$A$4:$G$16,4,FALSE),0),"")</f>
        <v>140</v>
      </c>
      <c r="AR87" t="str">
        <f>IFERROR(ROUND(S87*(R87/$AV87)/VLOOKUP(Q87,职业!$A$4:$G$16,4,FALSE),0),"")</f>
        <v/>
      </c>
      <c r="AS87">
        <f>IFERROR(ROUND(X87*(U87/$AW87)/VLOOKUP(T87,商品!$A$4:$B$60,2,FALSE),0),"")</f>
        <v>0</v>
      </c>
      <c r="AT87" t="str">
        <f>IFERROR(ROUND(X87*(W87/$AW87)/VLOOKUP(V87,商品!$A$4:$B$60,2,FALSE),0),"")</f>
        <v/>
      </c>
      <c r="AU87">
        <f t="shared" si="61"/>
        <v>15</v>
      </c>
      <c r="AV87">
        <f t="shared" si="62"/>
        <v>29</v>
      </c>
      <c r="AW87">
        <f t="shared" si="63"/>
        <v>1</v>
      </c>
    </row>
    <row r="88" spans="1:49" ht="19.95" customHeight="1" x14ac:dyDescent="0.25">
      <c r="A88" s="15" t="s">
        <v>508</v>
      </c>
      <c r="C88" s="15">
        <v>5</v>
      </c>
      <c r="D88" s="23" t="s">
        <v>174</v>
      </c>
      <c r="E88" s="23" t="s">
        <v>175</v>
      </c>
      <c r="F88" s="2" t="s">
        <v>46</v>
      </c>
      <c r="G88" s="2">
        <v>5</v>
      </c>
      <c r="H88" s="2" t="s">
        <v>19</v>
      </c>
      <c r="I88" s="2">
        <v>10</v>
      </c>
      <c r="L88" s="15">
        <f>IFERROR(VLOOKUP($D88&amp;$C88,生产方式定位!$A$2:$E$38,2,FALSE)+VLOOKUP($E88&amp;$C88,生产方式定位!$F$3:$J$38,2,FALSE),0)</f>
        <v>200</v>
      </c>
      <c r="M88" s="2" t="s">
        <v>80</v>
      </c>
      <c r="N88" s="2">
        <v>-20</v>
      </c>
      <c r="O88" s="2" t="s">
        <v>73</v>
      </c>
      <c r="P88" s="2">
        <v>11</v>
      </c>
      <c r="S88" s="15">
        <f>IFERROR(VLOOKUP($D88&amp;$C88,生产方式定位!$A$2:$E$38,3,FALSE)+VLOOKUP($E88&amp;$C88,生产方式定位!$F$3:$J$38,3,FALSE),0)</f>
        <v>40</v>
      </c>
      <c r="T88" s="2" t="s">
        <v>26</v>
      </c>
      <c r="U88" s="2">
        <v>1</v>
      </c>
      <c r="X88" s="15">
        <f>IFERROR(VLOOKUP($D88&amp;$C88,生产方式定位!$A$2:$E$38,5,FALSE)+VLOOKUP($E88&amp;$C88,生产方式定位!$F$3:$J$38,5,FALSE),"错误")</f>
        <v>0</v>
      </c>
      <c r="Y88" s="26" t="str">
        <f t="shared" si="48"/>
        <v>魔导引擎*1,煤*4</v>
      </c>
      <c r="Z88" s="36" t="str">
        <f t="shared" si="49"/>
        <v>劳工*-1168,工程师*214</v>
      </c>
      <c r="AA88" s="36" t="str">
        <f t="shared" si="50"/>
        <v>衣物*0</v>
      </c>
      <c r="AB88" s="27" t="str">
        <f t="shared" si="51"/>
        <v>-100%</v>
      </c>
      <c r="AC88" s="2">
        <f t="shared" si="52"/>
        <v>-240</v>
      </c>
      <c r="AD88" s="37">
        <f t="shared" si="53"/>
        <v>5</v>
      </c>
      <c r="AE88" t="str">
        <f t="shared" si="54"/>
        <v>魔导引擎*1</v>
      </c>
      <c r="AF88" t="str">
        <f t="shared" si="55"/>
        <v>煤*4</v>
      </c>
      <c r="AG88" t="str">
        <f t="shared" si="56"/>
        <v>劳工*-1168</v>
      </c>
      <c r="AH88" t="str">
        <f t="shared" si="57"/>
        <v>工程师*214</v>
      </c>
      <c r="AI88" t="str">
        <f t="shared" si="58"/>
        <v/>
      </c>
      <c r="AJ88" t="str">
        <f t="shared" si="59"/>
        <v>衣物*0</v>
      </c>
      <c r="AK88" t="str">
        <f t="shared" si="60"/>
        <v/>
      </c>
      <c r="AL88">
        <f>IFERROR(ROUND(L88*(G88/$AU88)/VLOOKUP(F88,商品!$A$4:$B$60,2,FALSE),0),"")</f>
        <v>1</v>
      </c>
      <c r="AM88">
        <f>IFERROR(ROUND(L88*(I88/$AU88)/VLOOKUP(H88,商品!$A$4:$B$60,2,FALSE),0),"")</f>
        <v>4</v>
      </c>
      <c r="AN88">
        <f>IFERROR(ROUND(L88*(J88/$AU88)/VLOOKUP("运力",商品!$A$4:$B$60,2,FALSE),0),0)</f>
        <v>0</v>
      </c>
      <c r="AO88">
        <f>IFERROR(ROUND(L88*(K88/$AU88)/VLOOKUP("交易",商品!$A$4:$B$60,2,FALSE),0),0)</f>
        <v>0</v>
      </c>
      <c r="AP88">
        <f>IFERROR(ROUND(S88*(N88/$AV88)/VLOOKUP(M88,职业!$A$4:$G$16,4,FALSE),0),"")</f>
        <v>-1168</v>
      </c>
      <c r="AQ88">
        <f>IFERROR(ROUND(S88*(P88/$AV88)/VLOOKUP(O88,职业!$A$4:$G$16,4,FALSE),0),"")</f>
        <v>214</v>
      </c>
      <c r="AR88" t="str">
        <f>IFERROR(ROUND(S88*(R88/$AV88)/VLOOKUP(Q88,职业!$A$4:$G$16,4,FALSE),0),"")</f>
        <v/>
      </c>
      <c r="AS88">
        <f>IFERROR(ROUND(X88*(U88/$AW88)/VLOOKUP(T88,商品!$A$4:$B$60,2,FALSE),0),"")</f>
        <v>0</v>
      </c>
      <c r="AT88" t="str">
        <f>IFERROR(ROUND(X88*(W88/$AW88)/VLOOKUP(V88,商品!$A$4:$B$60,2,FALSE),0),"")</f>
        <v/>
      </c>
      <c r="AU88">
        <f t="shared" si="61"/>
        <v>15</v>
      </c>
      <c r="AV88">
        <f t="shared" si="62"/>
        <v>31</v>
      </c>
      <c r="AW88">
        <f t="shared" si="63"/>
        <v>1</v>
      </c>
    </row>
    <row r="89" spans="1:49" ht="19.95" customHeight="1" x14ac:dyDescent="0.25">
      <c r="A89" s="16" t="s">
        <v>508</v>
      </c>
      <c r="C89" s="16">
        <v>1</v>
      </c>
      <c r="D89" s="23" t="s">
        <v>174</v>
      </c>
      <c r="E89" s="23" t="s">
        <v>177</v>
      </c>
      <c r="L89" s="16">
        <f>IFERROR(VLOOKUP($D89&amp;$C89,生产方式定位!$A$2:$E$38,2,FALSE)+VLOOKUP($E89&amp;$C89,生产方式定位!$F$3:$J$38,2,FALSE),0)</f>
        <v>0</v>
      </c>
      <c r="S89" s="16">
        <f>IFERROR(VLOOKUP($D89&amp;$C89,生产方式定位!$A$2:$E$38,3,FALSE)+VLOOKUP($E89&amp;$C89,生产方式定位!$F$3:$J$38,3,FALSE),0)</f>
        <v>0</v>
      </c>
      <c r="X89" s="16">
        <f>IFERROR(VLOOKUP($D89&amp;$C89,生产方式定位!$A$2:$E$38,5,FALSE)+VLOOKUP($E89&amp;$C89,生产方式定位!$F$3:$J$38,5,FALSE),"错误")</f>
        <v>0</v>
      </c>
      <c r="Y89" s="26" t="str">
        <f t="shared" si="48"/>
        <v/>
      </c>
      <c r="Z89" s="36" t="str">
        <f t="shared" si="49"/>
        <v/>
      </c>
      <c r="AA89" s="36" t="str">
        <f t="shared" si="50"/>
        <v/>
      </c>
      <c r="AB89" s="27" t="str">
        <f t="shared" si="51"/>
        <v/>
      </c>
      <c r="AC89" s="2" t="str">
        <f t="shared" si="52"/>
        <v/>
      </c>
      <c r="AD89" s="38">
        <f t="shared" si="53"/>
        <v>1</v>
      </c>
      <c r="AE89" t="str">
        <f t="shared" si="54"/>
        <v/>
      </c>
      <c r="AF89" t="str">
        <f t="shared" si="55"/>
        <v/>
      </c>
      <c r="AG89" t="str">
        <f t="shared" si="56"/>
        <v/>
      </c>
      <c r="AH89" t="str">
        <f t="shared" si="57"/>
        <v/>
      </c>
      <c r="AI89" t="str">
        <f t="shared" si="58"/>
        <v/>
      </c>
      <c r="AJ89" t="str">
        <f t="shared" si="59"/>
        <v/>
      </c>
      <c r="AK89" t="str">
        <f t="shared" si="60"/>
        <v/>
      </c>
      <c r="AL89" t="str">
        <f>IFERROR(ROUND(L89*(G89/$AU89)/VLOOKUP(F89,商品!$A$4:$B$60,2,FALSE),0),"")</f>
        <v/>
      </c>
      <c r="AM89" t="str">
        <f>IFERROR(ROUND(L89*(I89/$AU89)/VLOOKUP(H89,商品!$A$4:$B$60,2,FALSE),0),"")</f>
        <v/>
      </c>
      <c r="AN89">
        <f>IFERROR(ROUND(L89*(J89/$AU89)/VLOOKUP("运力",商品!$A$4:$B$60,2,FALSE),0),0)</f>
        <v>0</v>
      </c>
      <c r="AO89">
        <f>IFERROR(ROUND(L89*(K89/$AU89)/VLOOKUP("交易",商品!$A$4:$B$60,2,FALSE),0),0)</f>
        <v>0</v>
      </c>
      <c r="AP89" t="str">
        <f>IFERROR(ROUND(S89*(N89/$AV89)/VLOOKUP(M89,职业!$A$4:$G$16,4,FALSE),0),"")</f>
        <v/>
      </c>
      <c r="AQ89" t="str">
        <f>IFERROR(ROUND(S89*(P89/$AV89)/VLOOKUP(O89,职业!$A$4:$G$16,4,FALSE),0),"")</f>
        <v/>
      </c>
      <c r="AR89" t="str">
        <f>IFERROR(ROUND(S89*(R89/$AV89)/VLOOKUP(Q89,职业!$A$4:$G$16,4,FALSE),0),"")</f>
        <v/>
      </c>
      <c r="AS89" t="str">
        <f>IFERROR(ROUND(X89*(U89/$AW89)/VLOOKUP(T89,商品!$A$4:$B$60,2,FALSE),0),"")</f>
        <v/>
      </c>
      <c r="AT89" t="str">
        <f>IFERROR(ROUND(X89*(W89/$AW89)/VLOOKUP(V89,商品!$A$4:$B$60,2,FALSE),0),"")</f>
        <v/>
      </c>
      <c r="AU89">
        <f t="shared" si="61"/>
        <v>0</v>
      </c>
      <c r="AV89">
        <f t="shared" si="62"/>
        <v>0</v>
      </c>
      <c r="AW89">
        <f t="shared" si="63"/>
        <v>0</v>
      </c>
    </row>
    <row r="90" spans="1:49" ht="19.95" customHeight="1" x14ac:dyDescent="0.25">
      <c r="A90" s="16" t="s">
        <v>508</v>
      </c>
      <c r="C90" s="16">
        <v>2</v>
      </c>
      <c r="D90" s="23" t="s">
        <v>174</v>
      </c>
      <c r="E90" s="23" t="s">
        <v>177</v>
      </c>
      <c r="F90" s="2" t="s">
        <v>42</v>
      </c>
      <c r="G90" s="2">
        <v>5</v>
      </c>
      <c r="H90" s="2" t="s">
        <v>20</v>
      </c>
      <c r="I90" s="2">
        <v>10</v>
      </c>
      <c r="L90" s="16">
        <f>IFERROR(VLOOKUP($D90&amp;$C90,生产方式定位!$A$2:$E$38,2,FALSE)+VLOOKUP($E90&amp;$C90,生产方式定位!$F$3:$J$38,2,FALSE),0)</f>
        <v>105</v>
      </c>
      <c r="M90" s="2" t="s">
        <v>80</v>
      </c>
      <c r="N90" s="2">
        <v>-20</v>
      </c>
      <c r="O90" s="2" t="s">
        <v>74</v>
      </c>
      <c r="P90" s="2">
        <v>5</v>
      </c>
      <c r="S90" s="16">
        <f>IFERROR(VLOOKUP($D90&amp;$C90,生产方式定位!$A$2:$E$38,3,FALSE)+VLOOKUP($E90&amp;$C90,生产方式定位!$F$3:$J$38,3,FALSE),0)</f>
        <v>15</v>
      </c>
      <c r="T90" s="2" t="s">
        <v>26</v>
      </c>
      <c r="U90" s="2">
        <v>1</v>
      </c>
      <c r="X90" s="16">
        <f>IFERROR(VLOOKUP($D90&amp;$C90,生产方式定位!$A$2:$E$38,5,FALSE)+VLOOKUP($E90&amp;$C90,生产方式定位!$F$3:$J$38,5,FALSE),"错误")</f>
        <v>0</v>
      </c>
      <c r="Y90" s="26" t="str">
        <f t="shared" si="48"/>
        <v>魔偶*1,灵能水晶*2</v>
      </c>
      <c r="Z90" s="36" t="str">
        <f t="shared" si="49"/>
        <v>劳工*-543,法士*34</v>
      </c>
      <c r="AA90" s="36" t="str">
        <f t="shared" si="50"/>
        <v>衣物*0</v>
      </c>
      <c r="AB90" s="27" t="str">
        <f t="shared" si="51"/>
        <v>-100%</v>
      </c>
      <c r="AC90" s="2">
        <f t="shared" si="52"/>
        <v>-120</v>
      </c>
      <c r="AD90" s="38">
        <f t="shared" si="53"/>
        <v>2</v>
      </c>
      <c r="AE90" t="str">
        <f t="shared" si="54"/>
        <v>魔偶*1</v>
      </c>
      <c r="AF90" t="str">
        <f t="shared" si="55"/>
        <v>灵能水晶*2</v>
      </c>
      <c r="AG90" t="str">
        <f t="shared" si="56"/>
        <v>劳工*-543</v>
      </c>
      <c r="AH90" t="str">
        <f t="shared" si="57"/>
        <v>法士*34</v>
      </c>
      <c r="AI90" t="str">
        <f t="shared" si="58"/>
        <v/>
      </c>
      <c r="AJ90" t="str">
        <f t="shared" si="59"/>
        <v>衣物*0</v>
      </c>
      <c r="AK90" t="str">
        <f t="shared" si="60"/>
        <v/>
      </c>
      <c r="AL90">
        <f>IFERROR(ROUND(L90*(G90/$AU90)/VLOOKUP(F90,商品!$A$4:$B$60,2,FALSE),0),"")</f>
        <v>1</v>
      </c>
      <c r="AM90">
        <f>IFERROR(ROUND(L90*(I90/$AU90)/VLOOKUP(H90,商品!$A$4:$B$60,2,FALSE),0),"")</f>
        <v>2</v>
      </c>
      <c r="AN90">
        <f>IFERROR(ROUND(L90*(J90/$AU90)/VLOOKUP("运力",商品!$A$4:$B$60,2,FALSE),0),0)</f>
        <v>0</v>
      </c>
      <c r="AO90">
        <f>IFERROR(ROUND(L90*(K90/$AU90)/VLOOKUP("交易",商品!$A$4:$B$60,2,FALSE),0),0)</f>
        <v>0</v>
      </c>
      <c r="AP90">
        <f>IFERROR(ROUND(S90*(N90/$AV90)/VLOOKUP(M90,职业!$A$4:$G$16,4,FALSE),0),"")</f>
        <v>-543</v>
      </c>
      <c r="AQ90">
        <f>IFERROR(ROUND(S90*(P90/$AV90)/VLOOKUP(O90,职业!$A$4:$G$16,4,FALSE),0),"")</f>
        <v>34</v>
      </c>
      <c r="AR90" t="str">
        <f>IFERROR(ROUND(S90*(R90/$AV90)/VLOOKUP(Q90,职业!$A$4:$G$16,4,FALSE),0),"")</f>
        <v/>
      </c>
      <c r="AS90">
        <f>IFERROR(ROUND(X90*(U90/$AW90)/VLOOKUP(T90,商品!$A$4:$B$60,2,FALSE),0),"")</f>
        <v>0</v>
      </c>
      <c r="AT90" t="str">
        <f>IFERROR(ROUND(X90*(W90/$AW90)/VLOOKUP(V90,商品!$A$4:$B$60,2,FALSE),0),"")</f>
        <v/>
      </c>
      <c r="AU90">
        <f t="shared" si="61"/>
        <v>15</v>
      </c>
      <c r="AV90">
        <f t="shared" si="62"/>
        <v>25</v>
      </c>
      <c r="AW90">
        <f t="shared" si="63"/>
        <v>1</v>
      </c>
    </row>
    <row r="91" spans="1:49" ht="19.95" customHeight="1" x14ac:dyDescent="0.25">
      <c r="A91" s="16" t="s">
        <v>508</v>
      </c>
      <c r="C91" s="16">
        <v>3</v>
      </c>
      <c r="D91" s="23" t="s">
        <v>174</v>
      </c>
      <c r="E91" s="23" t="s">
        <v>177</v>
      </c>
      <c r="F91" s="2" t="s">
        <v>42</v>
      </c>
      <c r="G91" s="2">
        <v>5</v>
      </c>
      <c r="H91" s="2" t="s">
        <v>20</v>
      </c>
      <c r="I91" s="2">
        <v>10</v>
      </c>
      <c r="L91" s="16">
        <f>IFERROR(VLOOKUP($D91&amp;$C91,生产方式定位!$A$2:$E$38,2,FALSE)+VLOOKUP($E91&amp;$C91,生产方式定位!$F$3:$J$38,2,FALSE),0)</f>
        <v>210</v>
      </c>
      <c r="M91" s="2" t="s">
        <v>80</v>
      </c>
      <c r="N91" s="2">
        <v>-20</v>
      </c>
      <c r="O91" s="2" t="s">
        <v>74</v>
      </c>
      <c r="P91" s="2">
        <v>7</v>
      </c>
      <c r="S91" s="16">
        <f>IFERROR(VLOOKUP($D91&amp;$C91,生产方式定位!$A$2:$E$38,3,FALSE)+VLOOKUP($E91&amp;$C91,生产方式定位!$F$3:$J$38,3,FALSE),0)</f>
        <v>30</v>
      </c>
      <c r="T91" s="2" t="s">
        <v>26</v>
      </c>
      <c r="U91" s="2">
        <v>1</v>
      </c>
      <c r="X91" s="16">
        <f>IFERROR(VLOOKUP($D91&amp;$C91,生产方式定位!$A$2:$E$38,5,FALSE)+VLOOKUP($E91&amp;$C91,生产方式定位!$F$3:$J$38,5,FALSE),"错误")</f>
        <v>0</v>
      </c>
      <c r="Y91" s="26" t="str">
        <f t="shared" si="48"/>
        <v>魔偶*2,灵能水晶*5</v>
      </c>
      <c r="Z91" s="36" t="str">
        <f t="shared" si="49"/>
        <v>劳工*-1006,法士*88</v>
      </c>
      <c r="AA91" s="36" t="str">
        <f t="shared" si="50"/>
        <v>衣物*0</v>
      </c>
      <c r="AB91" s="27" t="str">
        <f t="shared" si="51"/>
        <v>-100%</v>
      </c>
      <c r="AC91" s="2">
        <f t="shared" si="52"/>
        <v>-240</v>
      </c>
      <c r="AD91" s="38">
        <f t="shared" si="53"/>
        <v>3</v>
      </c>
      <c r="AE91" t="str">
        <f t="shared" si="54"/>
        <v>魔偶*2</v>
      </c>
      <c r="AF91" t="str">
        <f t="shared" si="55"/>
        <v>灵能水晶*5</v>
      </c>
      <c r="AG91" t="str">
        <f t="shared" si="56"/>
        <v>劳工*-1006</v>
      </c>
      <c r="AH91" t="str">
        <f t="shared" si="57"/>
        <v>法士*88</v>
      </c>
      <c r="AI91" t="str">
        <f t="shared" si="58"/>
        <v/>
      </c>
      <c r="AJ91" t="str">
        <f t="shared" si="59"/>
        <v>衣物*0</v>
      </c>
      <c r="AK91" t="str">
        <f t="shared" si="60"/>
        <v/>
      </c>
      <c r="AL91">
        <f>IFERROR(ROUND(L91*(G91/$AU91)/VLOOKUP(F91,商品!$A$4:$B$60,2,FALSE),0),"")</f>
        <v>2</v>
      </c>
      <c r="AM91">
        <f>IFERROR(ROUND(L91*(I91/$AU91)/VLOOKUP(H91,商品!$A$4:$B$60,2,FALSE),0),"")</f>
        <v>5</v>
      </c>
      <c r="AN91">
        <f>IFERROR(ROUND(L91*(J91/$AU91)/VLOOKUP("运力",商品!$A$4:$B$60,2,FALSE),0),0)</f>
        <v>0</v>
      </c>
      <c r="AO91">
        <f>IFERROR(ROUND(L91*(K91/$AU91)/VLOOKUP("交易",商品!$A$4:$B$60,2,FALSE),0),0)</f>
        <v>0</v>
      </c>
      <c r="AP91">
        <f>IFERROR(ROUND(S91*(N91/$AV91)/VLOOKUP(M91,职业!$A$4:$G$16,4,FALSE),0),"")</f>
        <v>-1006</v>
      </c>
      <c r="AQ91">
        <f>IFERROR(ROUND(S91*(P91/$AV91)/VLOOKUP(O91,职业!$A$4:$G$16,4,FALSE),0),"")</f>
        <v>88</v>
      </c>
      <c r="AR91" t="str">
        <f>IFERROR(ROUND(S91*(R91/$AV91)/VLOOKUP(Q91,职业!$A$4:$G$16,4,FALSE),0),"")</f>
        <v/>
      </c>
      <c r="AS91">
        <f>IFERROR(ROUND(X91*(U91/$AW91)/VLOOKUP(T91,商品!$A$4:$B$60,2,FALSE),0),"")</f>
        <v>0</v>
      </c>
      <c r="AT91" t="str">
        <f>IFERROR(ROUND(X91*(W91/$AW91)/VLOOKUP(V91,商品!$A$4:$B$60,2,FALSE),0),"")</f>
        <v/>
      </c>
      <c r="AU91">
        <f t="shared" si="61"/>
        <v>15</v>
      </c>
      <c r="AV91">
        <f t="shared" si="62"/>
        <v>27</v>
      </c>
      <c r="AW91">
        <f t="shared" si="63"/>
        <v>1</v>
      </c>
    </row>
    <row r="92" spans="1:49" ht="19.95" customHeight="1" x14ac:dyDescent="0.25">
      <c r="A92" s="16" t="s">
        <v>508</v>
      </c>
      <c r="C92" s="16">
        <v>4</v>
      </c>
      <c r="D92" s="23" t="s">
        <v>174</v>
      </c>
      <c r="E92" s="23" t="s">
        <v>177</v>
      </c>
      <c r="F92" s="2" t="s">
        <v>42</v>
      </c>
      <c r="G92" s="2">
        <v>5</v>
      </c>
      <c r="H92" s="2" t="s">
        <v>20</v>
      </c>
      <c r="I92" s="2">
        <v>10</v>
      </c>
      <c r="L92" s="16">
        <f>IFERROR(VLOOKUP($D92&amp;$C92,生产方式定位!$A$2:$E$38,2,FALSE)+VLOOKUP($E92&amp;$C92,生产方式定位!$F$3:$J$38,2,FALSE),0)</f>
        <v>315</v>
      </c>
      <c r="M92" s="2" t="s">
        <v>80</v>
      </c>
      <c r="N92" s="2">
        <v>-20</v>
      </c>
      <c r="O92" s="2" t="s">
        <v>74</v>
      </c>
      <c r="P92" s="2">
        <v>9</v>
      </c>
      <c r="S92" s="16">
        <f>IFERROR(VLOOKUP($D92&amp;$C92,生产方式定位!$A$2:$E$38,3,FALSE)+VLOOKUP($E92&amp;$C92,生产方式定位!$F$3:$J$38,3,FALSE),0)</f>
        <v>45</v>
      </c>
      <c r="T92" s="2" t="s">
        <v>26</v>
      </c>
      <c r="U92" s="2">
        <v>1</v>
      </c>
      <c r="X92" s="16">
        <f>IFERROR(VLOOKUP($D92&amp;$C92,生产方式定位!$A$2:$E$38,5,FALSE)+VLOOKUP($E92&amp;$C92,生产方式定位!$F$3:$J$38,5,FALSE),"错误")</f>
        <v>0</v>
      </c>
      <c r="Y92" s="26" t="str">
        <f t="shared" si="48"/>
        <v>魔偶*3,灵能水晶*7</v>
      </c>
      <c r="Z92" s="36" t="str">
        <f t="shared" si="49"/>
        <v>劳工*-1404,法士*158</v>
      </c>
      <c r="AA92" s="36" t="str">
        <f t="shared" si="50"/>
        <v>衣物*0</v>
      </c>
      <c r="AB92" s="27" t="str">
        <f t="shared" si="51"/>
        <v>-100%</v>
      </c>
      <c r="AC92" s="2">
        <f t="shared" si="52"/>
        <v>-360</v>
      </c>
      <c r="AD92" s="38">
        <f t="shared" si="53"/>
        <v>4</v>
      </c>
      <c r="AE92" t="str">
        <f t="shared" si="54"/>
        <v>魔偶*3</v>
      </c>
      <c r="AF92" t="str">
        <f t="shared" si="55"/>
        <v>灵能水晶*7</v>
      </c>
      <c r="AG92" t="str">
        <f t="shared" si="56"/>
        <v>劳工*-1404</v>
      </c>
      <c r="AH92" t="str">
        <f t="shared" si="57"/>
        <v>法士*158</v>
      </c>
      <c r="AI92" t="str">
        <f t="shared" si="58"/>
        <v/>
      </c>
      <c r="AJ92" t="str">
        <f t="shared" si="59"/>
        <v>衣物*0</v>
      </c>
      <c r="AK92" t="str">
        <f t="shared" si="60"/>
        <v/>
      </c>
      <c r="AL92">
        <f>IFERROR(ROUND(L92*(G92/$AU92)/VLOOKUP(F92,商品!$A$4:$B$60,2,FALSE),0),"")</f>
        <v>3</v>
      </c>
      <c r="AM92">
        <f>IFERROR(ROUND(L92*(I92/$AU92)/VLOOKUP(H92,商品!$A$4:$B$60,2,FALSE),0),"")</f>
        <v>7</v>
      </c>
      <c r="AN92">
        <f>IFERROR(ROUND(L92*(J92/$AU92)/VLOOKUP("运力",商品!$A$4:$B$60,2,FALSE),0),0)</f>
        <v>0</v>
      </c>
      <c r="AO92">
        <f>IFERROR(ROUND(L92*(K92/$AU92)/VLOOKUP("交易",商品!$A$4:$B$60,2,FALSE),0),0)</f>
        <v>0</v>
      </c>
      <c r="AP92">
        <f>IFERROR(ROUND(S92*(N92/$AV92)/VLOOKUP(M92,职业!$A$4:$G$16,4,FALSE),0),"")</f>
        <v>-1404</v>
      </c>
      <c r="AQ92">
        <f>IFERROR(ROUND(S92*(P92/$AV92)/VLOOKUP(O92,职业!$A$4:$G$16,4,FALSE),0),"")</f>
        <v>158</v>
      </c>
      <c r="AR92" t="str">
        <f>IFERROR(ROUND(S92*(R92/$AV92)/VLOOKUP(Q92,职业!$A$4:$G$16,4,FALSE),0),"")</f>
        <v/>
      </c>
      <c r="AS92">
        <f>IFERROR(ROUND(X92*(U92/$AW92)/VLOOKUP(T92,商品!$A$4:$B$60,2,FALSE),0),"")</f>
        <v>0</v>
      </c>
      <c r="AT92" t="str">
        <f>IFERROR(ROUND(X92*(W92/$AW92)/VLOOKUP(V92,商品!$A$4:$B$60,2,FALSE),0),"")</f>
        <v/>
      </c>
      <c r="AU92">
        <f t="shared" si="61"/>
        <v>15</v>
      </c>
      <c r="AV92">
        <f t="shared" si="62"/>
        <v>29</v>
      </c>
      <c r="AW92">
        <f t="shared" si="63"/>
        <v>1</v>
      </c>
    </row>
    <row r="93" spans="1:49" ht="19.95" customHeight="1" x14ac:dyDescent="0.25">
      <c r="A93" s="16" t="s">
        <v>508</v>
      </c>
      <c r="C93" s="16">
        <v>5</v>
      </c>
      <c r="D93" s="23" t="s">
        <v>174</v>
      </c>
      <c r="E93" s="23" t="s">
        <v>177</v>
      </c>
      <c r="F93" s="2" t="s">
        <v>42</v>
      </c>
      <c r="G93" s="2">
        <v>5</v>
      </c>
      <c r="H93" s="2" t="s">
        <v>20</v>
      </c>
      <c r="I93" s="2">
        <v>10</v>
      </c>
      <c r="L93" s="16">
        <f>IFERROR(VLOOKUP($D93&amp;$C93,生产方式定位!$A$2:$E$38,2,FALSE)+VLOOKUP($E93&amp;$C93,生产方式定位!$F$3:$J$38,2,FALSE),0)</f>
        <v>420</v>
      </c>
      <c r="M93" s="2" t="s">
        <v>80</v>
      </c>
      <c r="N93" s="2">
        <v>-20</v>
      </c>
      <c r="O93" s="2" t="s">
        <v>74</v>
      </c>
      <c r="P93" s="2">
        <v>11</v>
      </c>
      <c r="S93" s="16">
        <f>IFERROR(VLOOKUP($D93&amp;$C93,生产方式定位!$A$2:$E$38,3,FALSE)+VLOOKUP($E93&amp;$C93,生产方式定位!$F$3:$J$38,3,FALSE),0)</f>
        <v>60</v>
      </c>
      <c r="T93" s="2" t="s">
        <v>26</v>
      </c>
      <c r="U93" s="2">
        <v>1</v>
      </c>
      <c r="X93" s="16">
        <f>IFERROR(VLOOKUP($D93&amp;$C93,生产方式定位!$A$2:$E$38,5,FALSE)+VLOOKUP($E93&amp;$C93,生产方式定位!$F$3:$J$38,5,FALSE),"错误")</f>
        <v>0</v>
      </c>
      <c r="Y93" s="26" t="str">
        <f t="shared" si="48"/>
        <v>魔偶*4,灵能水晶*9</v>
      </c>
      <c r="Z93" s="36" t="str">
        <f t="shared" si="49"/>
        <v>劳工*-1752,法士*241</v>
      </c>
      <c r="AA93" s="36" t="str">
        <f t="shared" si="50"/>
        <v>衣物*0</v>
      </c>
      <c r="AB93" s="27" t="str">
        <f t="shared" si="51"/>
        <v>-100%</v>
      </c>
      <c r="AC93" s="2">
        <f t="shared" si="52"/>
        <v>-480</v>
      </c>
      <c r="AD93" s="38">
        <f t="shared" si="53"/>
        <v>5</v>
      </c>
      <c r="AE93" t="str">
        <f t="shared" si="54"/>
        <v>魔偶*4</v>
      </c>
      <c r="AF93" t="str">
        <f t="shared" si="55"/>
        <v>灵能水晶*9</v>
      </c>
      <c r="AG93" t="str">
        <f t="shared" si="56"/>
        <v>劳工*-1752</v>
      </c>
      <c r="AH93" t="str">
        <f t="shared" si="57"/>
        <v>法士*241</v>
      </c>
      <c r="AI93" t="str">
        <f t="shared" si="58"/>
        <v/>
      </c>
      <c r="AJ93" t="str">
        <f t="shared" si="59"/>
        <v>衣物*0</v>
      </c>
      <c r="AK93" t="str">
        <f t="shared" si="60"/>
        <v/>
      </c>
      <c r="AL93">
        <f>IFERROR(ROUND(L93*(G93/$AU93)/VLOOKUP(F93,商品!$A$4:$B$60,2,FALSE),0),"")</f>
        <v>4</v>
      </c>
      <c r="AM93">
        <f>IFERROR(ROUND(L93*(I93/$AU93)/VLOOKUP(H93,商品!$A$4:$B$60,2,FALSE),0),"")</f>
        <v>9</v>
      </c>
      <c r="AN93">
        <f>IFERROR(ROUND(L93*(J93/$AU93)/VLOOKUP("运力",商品!$A$4:$B$60,2,FALSE),0),0)</f>
        <v>0</v>
      </c>
      <c r="AO93">
        <f>IFERROR(ROUND(L93*(K93/$AU93)/VLOOKUP("交易",商品!$A$4:$B$60,2,FALSE),0),0)</f>
        <v>0</v>
      </c>
      <c r="AP93">
        <f>IFERROR(ROUND(S93*(N93/$AV93)/VLOOKUP(M93,职业!$A$4:$G$16,4,FALSE),0),"")</f>
        <v>-1752</v>
      </c>
      <c r="AQ93">
        <f>IFERROR(ROUND(S93*(P93/$AV93)/VLOOKUP(O93,职业!$A$4:$G$16,4,FALSE),0),"")</f>
        <v>241</v>
      </c>
      <c r="AR93" t="str">
        <f>IFERROR(ROUND(S93*(R93/$AV93)/VLOOKUP(Q93,职业!$A$4:$G$16,4,FALSE),0),"")</f>
        <v/>
      </c>
      <c r="AS93">
        <f>IFERROR(ROUND(X93*(U93/$AW93)/VLOOKUP(T93,商品!$A$4:$B$60,2,FALSE),0),"")</f>
        <v>0</v>
      </c>
      <c r="AT93" t="str">
        <f>IFERROR(ROUND(X93*(W93/$AW93)/VLOOKUP(V93,商品!$A$4:$B$60,2,FALSE),0),"")</f>
        <v/>
      </c>
      <c r="AU93">
        <f t="shared" si="61"/>
        <v>15</v>
      </c>
      <c r="AV93">
        <f t="shared" si="62"/>
        <v>31</v>
      </c>
      <c r="AW93">
        <f t="shared" si="63"/>
        <v>1</v>
      </c>
    </row>
    <row r="94" spans="1:49" ht="19.95" customHeight="1" x14ac:dyDescent="0.25">
      <c r="A94" s="15" t="s">
        <v>196</v>
      </c>
      <c r="C94" s="15">
        <v>1</v>
      </c>
      <c r="D94" s="23" t="s">
        <v>174</v>
      </c>
      <c r="E94" s="23" t="s">
        <v>179</v>
      </c>
      <c r="L94" s="15">
        <f>IFERROR(VLOOKUP($D94&amp;$C94,生产方式定位!$A$2:$E$38,2,FALSE)+VLOOKUP($E94&amp;$C94,生产方式定位!$F$3:$J$38,2,FALSE),0)</f>
        <v>0</v>
      </c>
      <c r="S94" s="15">
        <f>IFERROR(VLOOKUP($D94&amp;$C94,生产方式定位!$A$2:$E$38,3,FALSE)+VLOOKUP($E94&amp;$C94,生产方式定位!$F$3:$J$38,3,FALSE),0)</f>
        <v>100</v>
      </c>
      <c r="X94" s="15">
        <f>IFERROR(VLOOKUP($D94&amp;$C94,生产方式定位!$A$2:$E$38,5,FALSE)+VLOOKUP($E94&amp;$C94,生产方式定位!$F$3:$J$38,5,FALSE),"错误")</f>
        <v>100</v>
      </c>
      <c r="Y94" s="26" t="str">
        <f t="shared" si="48"/>
        <v/>
      </c>
      <c r="Z94" s="36" t="str">
        <f t="shared" si="49"/>
        <v/>
      </c>
      <c r="AA94" s="36" t="str">
        <f t="shared" si="50"/>
        <v/>
      </c>
      <c r="AB94" s="27" t="str">
        <f t="shared" si="51"/>
        <v/>
      </c>
      <c r="AC94" s="2" t="str">
        <f t="shared" si="52"/>
        <v/>
      </c>
      <c r="AD94" s="37">
        <f t="shared" si="53"/>
        <v>1</v>
      </c>
      <c r="AE94" t="str">
        <f t="shared" si="54"/>
        <v/>
      </c>
      <c r="AF94" t="str">
        <f t="shared" si="55"/>
        <v/>
      </c>
      <c r="AG94" t="str">
        <f t="shared" si="56"/>
        <v/>
      </c>
      <c r="AH94" t="str">
        <f t="shared" si="57"/>
        <v/>
      </c>
      <c r="AI94" t="str">
        <f t="shared" si="58"/>
        <v/>
      </c>
      <c r="AJ94" t="str">
        <f t="shared" si="59"/>
        <v/>
      </c>
      <c r="AK94" t="str">
        <f t="shared" si="60"/>
        <v/>
      </c>
      <c r="AL94" t="str">
        <f>IFERROR(ROUND(L94*(G94/$AU94)/VLOOKUP(F94,商品!$A$4:$B$60,2,FALSE),0),"")</f>
        <v/>
      </c>
      <c r="AM94" t="str">
        <f>IFERROR(ROUND(L94*(I94/$AU94)/VLOOKUP(H94,商品!$A$4:$B$60,2,FALSE),0),"")</f>
        <v/>
      </c>
      <c r="AN94">
        <f>IFERROR(ROUND(L94*(J94/$AU94)/VLOOKUP("运力",商品!$A$4:$B$60,2,FALSE),0),0)</f>
        <v>0</v>
      </c>
      <c r="AO94">
        <f>IFERROR(ROUND(L94*(K94/$AU94)/VLOOKUP("交易",商品!$A$4:$B$60,2,FALSE),0),0)</f>
        <v>0</v>
      </c>
      <c r="AP94" t="str">
        <f>IFERROR(ROUND(S94*(N94/$AV94)/VLOOKUP(M94,职业!$A$4:$G$16,4,FALSE),0),"")</f>
        <v/>
      </c>
      <c r="AQ94" t="str">
        <f>IFERROR(ROUND(S94*(P94/$AV94)/VLOOKUP(O94,职业!$A$4:$G$16,4,FALSE),0),"")</f>
        <v/>
      </c>
      <c r="AR94" t="str">
        <f>IFERROR(ROUND(S94*(R94/$AV94)/VLOOKUP(Q94,职业!$A$4:$G$16,4,FALSE),0),"")</f>
        <v/>
      </c>
      <c r="AS94" t="str">
        <f>IFERROR(ROUND(X94*(U94/$AW94)/VLOOKUP(T94,商品!$A$4:$B$60,2,FALSE),0),"")</f>
        <v/>
      </c>
      <c r="AT94" t="str">
        <f>IFERROR(ROUND(X94*(W94/$AW94)/VLOOKUP(V94,商品!$A$4:$B$60,2,FALSE),0),"")</f>
        <v/>
      </c>
      <c r="AU94">
        <f t="shared" si="61"/>
        <v>0</v>
      </c>
      <c r="AV94">
        <f t="shared" si="62"/>
        <v>0</v>
      </c>
      <c r="AW94">
        <f t="shared" si="63"/>
        <v>0</v>
      </c>
    </row>
    <row r="95" spans="1:49" ht="19.95" customHeight="1" x14ac:dyDescent="0.25">
      <c r="A95" s="15" t="s">
        <v>196</v>
      </c>
      <c r="C95" s="15">
        <v>2</v>
      </c>
      <c r="D95" s="23" t="s">
        <v>174</v>
      </c>
      <c r="E95" s="23" t="s">
        <v>179</v>
      </c>
      <c r="L95" s="15">
        <f>IFERROR(VLOOKUP($D95&amp;$C95,生产方式定位!$A$2:$E$38,2,FALSE)+VLOOKUP($E95&amp;$C95,生产方式定位!$F$3:$J$38,2,FALSE),0)</f>
        <v>0</v>
      </c>
      <c r="S95" s="15">
        <f>IFERROR(VLOOKUP($D95&amp;$C95,生产方式定位!$A$2:$E$38,3,FALSE)+VLOOKUP($E95&amp;$C95,生产方式定位!$F$3:$J$38,3,FALSE),0)</f>
        <v>100</v>
      </c>
      <c r="X95" s="15">
        <f>IFERROR(VLOOKUP($D95&amp;$C95,生产方式定位!$A$2:$E$38,5,FALSE)+VLOOKUP($E95&amp;$C95,生产方式定位!$F$3:$J$38,5,FALSE),"错误")</f>
        <v>100</v>
      </c>
      <c r="Y95" s="26" t="str">
        <f t="shared" si="48"/>
        <v/>
      </c>
      <c r="Z95" s="36" t="str">
        <f t="shared" si="49"/>
        <v/>
      </c>
      <c r="AA95" s="36" t="str">
        <f t="shared" si="50"/>
        <v/>
      </c>
      <c r="AB95" s="27" t="str">
        <f t="shared" si="51"/>
        <v/>
      </c>
      <c r="AC95" s="2" t="str">
        <f t="shared" si="52"/>
        <v/>
      </c>
      <c r="AD95" s="37">
        <f t="shared" si="53"/>
        <v>2</v>
      </c>
      <c r="AE95" t="str">
        <f t="shared" si="54"/>
        <v/>
      </c>
      <c r="AF95" t="str">
        <f t="shared" si="55"/>
        <v/>
      </c>
      <c r="AG95" t="str">
        <f t="shared" si="56"/>
        <v/>
      </c>
      <c r="AH95" t="str">
        <f t="shared" si="57"/>
        <v/>
      </c>
      <c r="AI95" t="str">
        <f t="shared" si="58"/>
        <v/>
      </c>
      <c r="AJ95" t="str">
        <f t="shared" si="59"/>
        <v/>
      </c>
      <c r="AK95" t="str">
        <f t="shared" si="60"/>
        <v/>
      </c>
      <c r="AL95" t="str">
        <f>IFERROR(ROUND(L95*(G95/$AU95)/VLOOKUP(F95,商品!$A$4:$B$60,2,FALSE),0),"")</f>
        <v/>
      </c>
      <c r="AM95" t="str">
        <f>IFERROR(ROUND(L95*(I95/$AU95)/VLOOKUP(H95,商品!$A$4:$B$60,2,FALSE),0),"")</f>
        <v/>
      </c>
      <c r="AN95">
        <f>IFERROR(ROUND(L95*(J95/$AU95)/VLOOKUP("运力",商品!$A$4:$B$60,2,FALSE),0),0)</f>
        <v>0</v>
      </c>
      <c r="AO95">
        <f>IFERROR(ROUND(L95*(K95/$AU95)/VLOOKUP("交易",商品!$A$4:$B$60,2,FALSE),0),0)</f>
        <v>0</v>
      </c>
      <c r="AP95" t="str">
        <f>IFERROR(ROUND(S95*(N95/$AV95)/VLOOKUP(M95,职业!$A$4:$G$16,4,FALSE),0),"")</f>
        <v/>
      </c>
      <c r="AQ95" t="str">
        <f>IFERROR(ROUND(S95*(P95/$AV95)/VLOOKUP(O95,职业!$A$4:$G$16,4,FALSE),0),"")</f>
        <v/>
      </c>
      <c r="AR95" t="str">
        <f>IFERROR(ROUND(S95*(R95/$AV95)/VLOOKUP(Q95,职业!$A$4:$G$16,4,FALSE),0),"")</f>
        <v/>
      </c>
      <c r="AS95" t="str">
        <f>IFERROR(ROUND(X95*(U95/$AW95)/VLOOKUP(T95,商品!$A$4:$B$60,2,FALSE),0),"")</f>
        <v/>
      </c>
      <c r="AT95" t="str">
        <f>IFERROR(ROUND(X95*(W95/$AW95)/VLOOKUP(V95,商品!$A$4:$B$60,2,FALSE),0),"")</f>
        <v/>
      </c>
      <c r="AU95">
        <f t="shared" si="61"/>
        <v>0</v>
      </c>
      <c r="AV95">
        <f t="shared" si="62"/>
        <v>0</v>
      </c>
      <c r="AW95">
        <f t="shared" si="63"/>
        <v>0</v>
      </c>
    </row>
    <row r="96" spans="1:49" ht="19.95" customHeight="1" x14ac:dyDescent="0.25">
      <c r="A96" s="15" t="s">
        <v>196</v>
      </c>
      <c r="C96" s="15">
        <v>3</v>
      </c>
      <c r="D96" s="23" t="s">
        <v>174</v>
      </c>
      <c r="E96" s="23" t="s">
        <v>179</v>
      </c>
      <c r="L96" s="15">
        <f>IFERROR(VLOOKUP($D96&amp;$C96,生产方式定位!$A$2:$E$38,2,FALSE)+VLOOKUP($E96&amp;$C96,生产方式定位!$F$3:$J$38,2,FALSE),0)</f>
        <v>0</v>
      </c>
      <c r="S96" s="15">
        <f>IFERROR(VLOOKUP($D96&amp;$C96,生产方式定位!$A$2:$E$38,3,FALSE)+VLOOKUP($E96&amp;$C96,生产方式定位!$F$3:$J$38,3,FALSE),0)</f>
        <v>100</v>
      </c>
      <c r="X96" s="15">
        <f>IFERROR(VLOOKUP($D96&amp;$C96,生产方式定位!$A$2:$E$38,5,FALSE)+VLOOKUP($E96&amp;$C96,生产方式定位!$F$3:$J$38,5,FALSE),"错误")</f>
        <v>100</v>
      </c>
      <c r="Y96" s="26" t="str">
        <f t="shared" si="48"/>
        <v/>
      </c>
      <c r="Z96" s="36" t="str">
        <f t="shared" si="49"/>
        <v/>
      </c>
      <c r="AA96" s="36" t="str">
        <f t="shared" si="50"/>
        <v/>
      </c>
      <c r="AB96" s="27" t="str">
        <f t="shared" si="51"/>
        <v/>
      </c>
      <c r="AC96" s="2" t="str">
        <f t="shared" si="52"/>
        <v/>
      </c>
      <c r="AD96" s="37">
        <f t="shared" si="53"/>
        <v>3</v>
      </c>
      <c r="AE96" t="str">
        <f t="shared" si="54"/>
        <v/>
      </c>
      <c r="AF96" t="str">
        <f t="shared" si="55"/>
        <v/>
      </c>
      <c r="AG96" t="str">
        <f t="shared" si="56"/>
        <v/>
      </c>
      <c r="AH96" t="str">
        <f t="shared" si="57"/>
        <v/>
      </c>
      <c r="AI96" t="str">
        <f t="shared" si="58"/>
        <v/>
      </c>
      <c r="AJ96" t="str">
        <f t="shared" si="59"/>
        <v/>
      </c>
      <c r="AK96" t="str">
        <f t="shared" si="60"/>
        <v/>
      </c>
      <c r="AL96" t="str">
        <f>IFERROR(ROUND(L96*(G96/$AU96)/VLOOKUP(F96,商品!$A$4:$B$60,2,FALSE),0),"")</f>
        <v/>
      </c>
      <c r="AM96" t="str">
        <f>IFERROR(ROUND(L96*(I96/$AU96)/VLOOKUP(H96,商品!$A$4:$B$60,2,FALSE),0),"")</f>
        <v/>
      </c>
      <c r="AN96">
        <f>IFERROR(ROUND(L96*(J96/$AU96)/VLOOKUP("运力",商品!$A$4:$B$60,2,FALSE),0),0)</f>
        <v>0</v>
      </c>
      <c r="AO96">
        <f>IFERROR(ROUND(L96*(K96/$AU96)/VLOOKUP("交易",商品!$A$4:$B$60,2,FALSE),0),0)</f>
        <v>0</v>
      </c>
      <c r="AP96" t="str">
        <f>IFERROR(ROUND(S96*(N96/$AV96)/VLOOKUP(M96,职业!$A$4:$G$16,4,FALSE),0),"")</f>
        <v/>
      </c>
      <c r="AQ96" t="str">
        <f>IFERROR(ROUND(S96*(P96/$AV96)/VLOOKUP(O96,职业!$A$4:$G$16,4,FALSE),0),"")</f>
        <v/>
      </c>
      <c r="AR96" t="str">
        <f>IFERROR(ROUND(S96*(R96/$AV96)/VLOOKUP(Q96,职业!$A$4:$G$16,4,FALSE),0),"")</f>
        <v/>
      </c>
      <c r="AS96" t="str">
        <f>IFERROR(ROUND(X96*(U96/$AW96)/VLOOKUP(T96,商品!$A$4:$B$60,2,FALSE),0),"")</f>
        <v/>
      </c>
      <c r="AT96" t="str">
        <f>IFERROR(ROUND(X96*(W96/$AW96)/VLOOKUP(V96,商品!$A$4:$B$60,2,FALSE),0),"")</f>
        <v/>
      </c>
      <c r="AU96">
        <f t="shared" si="61"/>
        <v>0</v>
      </c>
      <c r="AV96">
        <f t="shared" si="62"/>
        <v>0</v>
      </c>
      <c r="AW96">
        <f t="shared" si="63"/>
        <v>0</v>
      </c>
    </row>
    <row r="97" spans="1:49" ht="19.95" customHeight="1" x14ac:dyDescent="0.25">
      <c r="A97" s="15" t="s">
        <v>196</v>
      </c>
      <c r="C97" s="15">
        <v>4</v>
      </c>
      <c r="D97" s="23" t="s">
        <v>174</v>
      </c>
      <c r="E97" s="23" t="s">
        <v>179</v>
      </c>
      <c r="L97" s="15">
        <f>IFERROR(VLOOKUP($D97&amp;$C97,生产方式定位!$A$2:$E$38,2,FALSE)+VLOOKUP($E97&amp;$C97,生产方式定位!$F$3:$J$38,2,FALSE),0)</f>
        <v>0</v>
      </c>
      <c r="S97" s="15">
        <f>IFERROR(VLOOKUP($D97&amp;$C97,生产方式定位!$A$2:$E$38,3,FALSE)+VLOOKUP($E97&amp;$C97,生产方式定位!$F$3:$J$38,3,FALSE),0)</f>
        <v>100</v>
      </c>
      <c r="X97" s="15">
        <f>IFERROR(VLOOKUP($D97&amp;$C97,生产方式定位!$A$2:$E$38,5,FALSE)+VLOOKUP($E97&amp;$C97,生产方式定位!$F$3:$J$38,5,FALSE),"错误")</f>
        <v>100</v>
      </c>
      <c r="Y97" s="26" t="str">
        <f t="shared" si="48"/>
        <v/>
      </c>
      <c r="Z97" s="36" t="str">
        <f t="shared" si="49"/>
        <v/>
      </c>
      <c r="AA97" s="36" t="str">
        <f t="shared" si="50"/>
        <v/>
      </c>
      <c r="AB97" s="27" t="str">
        <f t="shared" si="51"/>
        <v/>
      </c>
      <c r="AC97" s="2" t="str">
        <f t="shared" si="52"/>
        <v/>
      </c>
      <c r="AD97" s="37">
        <f t="shared" si="53"/>
        <v>4</v>
      </c>
      <c r="AE97" t="str">
        <f t="shared" si="54"/>
        <v/>
      </c>
      <c r="AF97" t="str">
        <f t="shared" si="55"/>
        <v/>
      </c>
      <c r="AG97" t="str">
        <f t="shared" si="56"/>
        <v/>
      </c>
      <c r="AH97" t="str">
        <f t="shared" si="57"/>
        <v/>
      </c>
      <c r="AI97" t="str">
        <f t="shared" si="58"/>
        <v/>
      </c>
      <c r="AJ97" t="str">
        <f t="shared" si="59"/>
        <v/>
      </c>
      <c r="AK97" t="str">
        <f t="shared" si="60"/>
        <v/>
      </c>
      <c r="AL97" t="str">
        <f>IFERROR(ROUND(L97*(G97/$AU97)/VLOOKUP(F97,商品!$A$4:$B$60,2,FALSE),0),"")</f>
        <v/>
      </c>
      <c r="AM97" t="str">
        <f>IFERROR(ROUND(L97*(I97/$AU97)/VLOOKUP(H97,商品!$A$4:$B$60,2,FALSE),0),"")</f>
        <v/>
      </c>
      <c r="AN97">
        <f>IFERROR(ROUND(L97*(J97/$AU97)/VLOOKUP("运力",商品!$A$4:$B$60,2,FALSE),0),0)</f>
        <v>0</v>
      </c>
      <c r="AO97">
        <f>IFERROR(ROUND(L97*(K97/$AU97)/VLOOKUP("交易",商品!$A$4:$B$60,2,FALSE),0),0)</f>
        <v>0</v>
      </c>
      <c r="AP97" t="str">
        <f>IFERROR(ROUND(S97*(N97/$AV97)/VLOOKUP(M97,职业!$A$4:$G$16,4,FALSE),0),"")</f>
        <v/>
      </c>
      <c r="AQ97" t="str">
        <f>IFERROR(ROUND(S97*(P97/$AV97)/VLOOKUP(O97,职业!$A$4:$G$16,4,FALSE),0),"")</f>
        <v/>
      </c>
      <c r="AR97" t="str">
        <f>IFERROR(ROUND(S97*(R97/$AV97)/VLOOKUP(Q97,职业!$A$4:$G$16,4,FALSE),0),"")</f>
        <v/>
      </c>
      <c r="AS97" t="str">
        <f>IFERROR(ROUND(X97*(U97/$AW97)/VLOOKUP(T97,商品!$A$4:$B$60,2,FALSE),0),"")</f>
        <v/>
      </c>
      <c r="AT97" t="str">
        <f>IFERROR(ROUND(X97*(W97/$AW97)/VLOOKUP(V97,商品!$A$4:$B$60,2,FALSE),0),"")</f>
        <v/>
      </c>
      <c r="AU97">
        <f t="shared" si="61"/>
        <v>0</v>
      </c>
      <c r="AV97">
        <f t="shared" si="62"/>
        <v>0</v>
      </c>
      <c r="AW97">
        <f t="shared" si="63"/>
        <v>0</v>
      </c>
    </row>
    <row r="98" spans="1:49" ht="19.95" customHeight="1" x14ac:dyDescent="0.25">
      <c r="A98" s="15" t="s">
        <v>196</v>
      </c>
      <c r="C98" s="15">
        <v>5</v>
      </c>
      <c r="D98" s="23" t="s">
        <v>174</v>
      </c>
      <c r="E98" s="23" t="s">
        <v>179</v>
      </c>
      <c r="L98" s="15">
        <f>IFERROR(VLOOKUP($D98&amp;$C98,生产方式定位!$A$2:$E$38,2,FALSE)+VLOOKUP($E98&amp;$C98,生产方式定位!$F$3:$J$38,2,FALSE),0)</f>
        <v>0</v>
      </c>
      <c r="S98" s="15">
        <f>IFERROR(VLOOKUP($D98&amp;$C98,生产方式定位!$A$2:$E$38,3,FALSE)+VLOOKUP($E98&amp;$C98,生产方式定位!$F$3:$J$38,3,FALSE),0)</f>
        <v>100</v>
      </c>
      <c r="X98" s="15">
        <f>IFERROR(VLOOKUP($D98&amp;$C98,生产方式定位!$A$2:$E$38,5,FALSE)+VLOOKUP($E98&amp;$C98,生产方式定位!$F$3:$J$38,5,FALSE),"错误")</f>
        <v>100</v>
      </c>
      <c r="Y98" s="26" t="str">
        <f t="shared" si="48"/>
        <v/>
      </c>
      <c r="Z98" s="36" t="str">
        <f t="shared" si="49"/>
        <v/>
      </c>
      <c r="AA98" s="36" t="str">
        <f t="shared" si="50"/>
        <v/>
      </c>
      <c r="AB98" s="27" t="str">
        <f t="shared" si="51"/>
        <v/>
      </c>
      <c r="AC98" s="2" t="str">
        <f t="shared" si="52"/>
        <v/>
      </c>
      <c r="AD98" s="37">
        <f t="shared" si="53"/>
        <v>5</v>
      </c>
      <c r="AE98" t="str">
        <f t="shared" si="54"/>
        <v/>
      </c>
      <c r="AF98" t="str">
        <f t="shared" si="55"/>
        <v/>
      </c>
      <c r="AG98" t="str">
        <f t="shared" si="56"/>
        <v/>
      </c>
      <c r="AH98" t="str">
        <f t="shared" si="57"/>
        <v/>
      </c>
      <c r="AI98" t="str">
        <f t="shared" si="58"/>
        <v/>
      </c>
      <c r="AJ98" t="str">
        <f t="shared" si="59"/>
        <v/>
      </c>
      <c r="AK98" t="str">
        <f t="shared" si="60"/>
        <v/>
      </c>
      <c r="AL98" t="str">
        <f>IFERROR(ROUND(L98*(G98/$AU98)/VLOOKUP(F98,商品!$A$4:$B$60,2,FALSE),0),"")</f>
        <v/>
      </c>
      <c r="AM98" t="str">
        <f>IFERROR(ROUND(L98*(I98/$AU98)/VLOOKUP(H98,商品!$A$4:$B$60,2,FALSE),0),"")</f>
        <v/>
      </c>
      <c r="AN98">
        <f>IFERROR(ROUND(L98*(J98/$AU98)/VLOOKUP("运力",商品!$A$4:$B$60,2,FALSE),0),0)</f>
        <v>0</v>
      </c>
      <c r="AO98">
        <f>IFERROR(ROUND(L98*(K98/$AU98)/VLOOKUP("交易",商品!$A$4:$B$60,2,FALSE),0),0)</f>
        <v>0</v>
      </c>
      <c r="AP98" t="str">
        <f>IFERROR(ROUND(S98*(N98/$AV98)/VLOOKUP(M98,职业!$A$4:$G$16,4,FALSE),0),"")</f>
        <v/>
      </c>
      <c r="AQ98" t="str">
        <f>IFERROR(ROUND(S98*(P98/$AV98)/VLOOKUP(O98,职业!$A$4:$G$16,4,FALSE),0),"")</f>
        <v/>
      </c>
      <c r="AR98" t="str">
        <f>IFERROR(ROUND(S98*(R98/$AV98)/VLOOKUP(Q98,职业!$A$4:$G$16,4,FALSE),0),"")</f>
        <v/>
      </c>
      <c r="AS98" t="str">
        <f>IFERROR(ROUND(X98*(U98/$AW98)/VLOOKUP(T98,商品!$A$4:$B$60,2,FALSE),0),"")</f>
        <v/>
      </c>
      <c r="AT98" t="str">
        <f>IFERROR(ROUND(X98*(W98/$AW98)/VLOOKUP(V98,商品!$A$4:$B$60,2,FALSE),0),"")</f>
        <v/>
      </c>
      <c r="AU98">
        <f t="shared" si="61"/>
        <v>0</v>
      </c>
      <c r="AV98">
        <f t="shared" si="62"/>
        <v>0</v>
      </c>
      <c r="AW98">
        <f t="shared" si="63"/>
        <v>0</v>
      </c>
    </row>
    <row r="99" spans="1:49" ht="19.95" customHeight="1" x14ac:dyDescent="0.25">
      <c r="A99" s="15" t="s">
        <v>196</v>
      </c>
      <c r="C99" s="15">
        <v>6</v>
      </c>
      <c r="D99" s="23" t="s">
        <v>174</v>
      </c>
      <c r="E99" s="23" t="s">
        <v>179</v>
      </c>
      <c r="L99" s="15">
        <f>IFERROR(VLOOKUP($D99&amp;$C99,生产方式定位!$A$2:$E$38,2,FALSE)+VLOOKUP($E99&amp;$C99,生产方式定位!$F$3:$J$38,2,FALSE),0)</f>
        <v>0</v>
      </c>
      <c r="S99" s="15">
        <f>IFERROR(VLOOKUP($D99&amp;$C99,生产方式定位!$A$2:$E$38,3,FALSE)+VLOOKUP($E99&amp;$C99,生产方式定位!$F$3:$J$38,3,FALSE),0)</f>
        <v>100</v>
      </c>
      <c r="X99" s="15">
        <f>IFERROR(VLOOKUP($D99&amp;$C99,生产方式定位!$A$2:$E$38,5,FALSE)+VLOOKUP($E99&amp;$C99,生产方式定位!$F$3:$J$38,5,FALSE),"错误")</f>
        <v>100</v>
      </c>
      <c r="Y99" s="26" t="str">
        <f t="shared" si="48"/>
        <v/>
      </c>
      <c r="Z99" s="36" t="str">
        <f t="shared" si="49"/>
        <v/>
      </c>
      <c r="AA99" s="36" t="str">
        <f t="shared" si="50"/>
        <v/>
      </c>
      <c r="AB99" s="27" t="str">
        <f t="shared" si="51"/>
        <v/>
      </c>
      <c r="AC99" s="2" t="str">
        <f t="shared" si="52"/>
        <v/>
      </c>
      <c r="AD99" s="38">
        <f t="shared" si="53"/>
        <v>6</v>
      </c>
      <c r="AE99" t="str">
        <f t="shared" si="54"/>
        <v/>
      </c>
      <c r="AF99" t="str">
        <f t="shared" si="55"/>
        <v/>
      </c>
      <c r="AG99" t="str">
        <f t="shared" si="56"/>
        <v/>
      </c>
      <c r="AH99" t="str">
        <f t="shared" si="57"/>
        <v/>
      </c>
      <c r="AI99" t="str">
        <f t="shared" si="58"/>
        <v/>
      </c>
      <c r="AJ99" t="str">
        <f t="shared" si="59"/>
        <v/>
      </c>
      <c r="AK99" t="str">
        <f t="shared" si="60"/>
        <v/>
      </c>
      <c r="AL99" t="str">
        <f>IFERROR(ROUND(L99*(G99/$AU99)/VLOOKUP(F99,商品!$A$4:$B$60,2,FALSE),0),"")</f>
        <v/>
      </c>
      <c r="AM99" t="str">
        <f>IFERROR(ROUND(L99*(I99/$AU99)/VLOOKUP(H99,商品!$A$4:$B$60,2,FALSE),0),"")</f>
        <v/>
      </c>
      <c r="AN99">
        <f>IFERROR(ROUND(L99*(J99/$AU99)/VLOOKUP("运力",商品!$A$4:$B$60,2,FALSE),0),0)</f>
        <v>0</v>
      </c>
      <c r="AO99">
        <f>IFERROR(ROUND(L99*(K99/$AU99)/VLOOKUP("交易",商品!$A$4:$B$60,2,FALSE),0),0)</f>
        <v>0</v>
      </c>
      <c r="AP99" t="str">
        <f>IFERROR(ROUND(S99*(N99/$AV99)/VLOOKUP(M99,职业!$A$4:$G$16,4,FALSE),0),"")</f>
        <v/>
      </c>
      <c r="AQ99" t="str">
        <f>IFERROR(ROUND(S99*(P99/$AV99)/VLOOKUP(O99,职业!$A$4:$G$16,4,FALSE),0),"")</f>
        <v/>
      </c>
      <c r="AR99" t="str">
        <f>IFERROR(ROUND(S99*(R99/$AV99)/VLOOKUP(Q99,职业!$A$4:$G$16,4,FALSE),0),"")</f>
        <v/>
      </c>
      <c r="AS99" t="str">
        <f>IFERROR(ROUND(X99*(U99/$AW99)/VLOOKUP(T99,商品!$A$4:$B$60,2,FALSE),0),"")</f>
        <v/>
      </c>
      <c r="AT99" t="str">
        <f>IFERROR(ROUND(X99*(W99/$AW99)/VLOOKUP(V99,商品!$A$4:$B$60,2,FALSE),0),"")</f>
        <v/>
      </c>
      <c r="AU99">
        <f t="shared" si="61"/>
        <v>0</v>
      </c>
      <c r="AV99">
        <f t="shared" si="62"/>
        <v>0</v>
      </c>
      <c r="AW99">
        <f t="shared" si="63"/>
        <v>0</v>
      </c>
    </row>
    <row r="100" spans="1:49" ht="19.95" customHeight="1" x14ac:dyDescent="0.25">
      <c r="A100" s="15" t="s">
        <v>196</v>
      </c>
      <c r="C100" s="15">
        <v>7</v>
      </c>
      <c r="D100" s="23" t="s">
        <v>174</v>
      </c>
      <c r="E100" s="23" t="s">
        <v>179</v>
      </c>
      <c r="L100" s="15">
        <f>IFERROR(VLOOKUP($D100&amp;$C100,生产方式定位!$A$2:$E$38,2,FALSE)+VLOOKUP($E100&amp;$C100,生产方式定位!$F$3:$J$38,2,FALSE),0)</f>
        <v>0</v>
      </c>
      <c r="S100" s="15">
        <f>IFERROR(VLOOKUP($D100&amp;$C100,生产方式定位!$A$2:$E$38,3,FALSE)+VLOOKUP($E100&amp;$C100,生产方式定位!$F$3:$J$38,3,FALSE),0)</f>
        <v>100</v>
      </c>
      <c r="X100" s="15">
        <f>IFERROR(VLOOKUP($D100&amp;$C100,生产方式定位!$A$2:$E$38,5,FALSE)+VLOOKUP($E100&amp;$C100,生产方式定位!$F$3:$J$38,5,FALSE),"错误")</f>
        <v>100</v>
      </c>
      <c r="Y100" s="26" t="str">
        <f t="shared" si="48"/>
        <v/>
      </c>
      <c r="Z100" s="36" t="str">
        <f t="shared" si="49"/>
        <v/>
      </c>
      <c r="AA100" s="36" t="str">
        <f t="shared" si="50"/>
        <v/>
      </c>
      <c r="AB100" s="27" t="str">
        <f t="shared" si="51"/>
        <v/>
      </c>
      <c r="AC100" s="2" t="str">
        <f t="shared" si="52"/>
        <v/>
      </c>
      <c r="AD100" s="38">
        <f t="shared" si="53"/>
        <v>7</v>
      </c>
      <c r="AE100" t="str">
        <f t="shared" si="54"/>
        <v/>
      </c>
      <c r="AF100" t="str">
        <f t="shared" si="55"/>
        <v/>
      </c>
      <c r="AG100" t="str">
        <f t="shared" si="56"/>
        <v/>
      </c>
      <c r="AH100" t="str">
        <f t="shared" si="57"/>
        <v/>
      </c>
      <c r="AI100" t="str">
        <f t="shared" si="58"/>
        <v/>
      </c>
      <c r="AJ100" t="str">
        <f t="shared" si="59"/>
        <v/>
      </c>
      <c r="AK100" t="str">
        <f t="shared" si="60"/>
        <v/>
      </c>
      <c r="AL100" t="str">
        <f>IFERROR(ROUND(L100*(G100/$AU100)/VLOOKUP(F100,商品!$A$4:$B$60,2,FALSE),0),"")</f>
        <v/>
      </c>
      <c r="AM100" t="str">
        <f>IFERROR(ROUND(L100*(I100/$AU100)/VLOOKUP(H100,商品!$A$4:$B$60,2,FALSE),0),"")</f>
        <v/>
      </c>
      <c r="AN100">
        <f>IFERROR(ROUND(L100*(J100/$AU100)/VLOOKUP("运力",商品!$A$4:$B$60,2,FALSE),0),0)</f>
        <v>0</v>
      </c>
      <c r="AO100">
        <f>IFERROR(ROUND(L100*(K100/$AU100)/VLOOKUP("交易",商品!$A$4:$B$60,2,FALSE),0),0)</f>
        <v>0</v>
      </c>
      <c r="AP100" t="str">
        <f>IFERROR(ROUND(S100*(N100/$AV100)/VLOOKUP(M100,职业!$A$4:$G$16,4,FALSE),0),"")</f>
        <v/>
      </c>
      <c r="AQ100" t="str">
        <f>IFERROR(ROUND(S100*(P100/$AV100)/VLOOKUP(O100,职业!$A$4:$G$16,4,FALSE),0),"")</f>
        <v/>
      </c>
      <c r="AR100" t="str">
        <f>IFERROR(ROUND(S100*(R100/$AV100)/VLOOKUP(Q100,职业!$A$4:$G$16,4,FALSE),0),"")</f>
        <v/>
      </c>
      <c r="AS100" t="str">
        <f>IFERROR(ROUND(X100*(U100/$AW100)/VLOOKUP(T100,商品!$A$4:$B$60,2,FALSE),0),"")</f>
        <v/>
      </c>
      <c r="AT100" t="str">
        <f>IFERROR(ROUND(X100*(W100/$AW100)/VLOOKUP(V100,商品!$A$4:$B$60,2,FALSE),0),"")</f>
        <v/>
      </c>
      <c r="AU100">
        <f t="shared" si="61"/>
        <v>0</v>
      </c>
      <c r="AV100">
        <f t="shared" si="62"/>
        <v>0</v>
      </c>
      <c r="AW100">
        <f t="shared" si="63"/>
        <v>0</v>
      </c>
    </row>
    <row r="101" spans="1:49" ht="19.95" customHeight="1" x14ac:dyDescent="0.25">
      <c r="A101" s="15" t="s">
        <v>196</v>
      </c>
      <c r="C101" s="15">
        <v>8</v>
      </c>
      <c r="D101" s="23" t="s">
        <v>174</v>
      </c>
      <c r="E101" s="23" t="s">
        <v>179</v>
      </c>
      <c r="L101" s="15">
        <f>IFERROR(VLOOKUP($D101&amp;$C101,生产方式定位!$A$2:$E$38,2,FALSE)+VLOOKUP($E101&amp;$C101,生产方式定位!$F$3:$J$38,2,FALSE),0)</f>
        <v>0</v>
      </c>
      <c r="S101" s="15">
        <f>IFERROR(VLOOKUP($D101&amp;$C101,生产方式定位!$A$2:$E$38,3,FALSE)+VLOOKUP($E101&amp;$C101,生产方式定位!$F$3:$J$38,3,FALSE),0)</f>
        <v>100</v>
      </c>
      <c r="X101" s="15">
        <f>IFERROR(VLOOKUP($D101&amp;$C101,生产方式定位!$A$2:$E$38,5,FALSE)+VLOOKUP($E101&amp;$C101,生产方式定位!$F$3:$J$38,5,FALSE),"错误")</f>
        <v>100</v>
      </c>
      <c r="Y101" s="26" t="str">
        <f t="shared" si="48"/>
        <v/>
      </c>
      <c r="Z101" s="36" t="str">
        <f t="shared" si="49"/>
        <v/>
      </c>
      <c r="AA101" s="36" t="str">
        <f t="shared" si="50"/>
        <v/>
      </c>
      <c r="AB101" s="27" t="str">
        <f t="shared" si="51"/>
        <v/>
      </c>
      <c r="AC101" s="2" t="str">
        <f t="shared" si="52"/>
        <v/>
      </c>
      <c r="AD101" s="38">
        <f t="shared" si="53"/>
        <v>8</v>
      </c>
      <c r="AE101" t="str">
        <f t="shared" si="54"/>
        <v/>
      </c>
      <c r="AF101" t="str">
        <f t="shared" si="55"/>
        <v/>
      </c>
      <c r="AG101" t="str">
        <f t="shared" si="56"/>
        <v/>
      </c>
      <c r="AH101" t="str">
        <f t="shared" si="57"/>
        <v/>
      </c>
      <c r="AI101" t="str">
        <f t="shared" si="58"/>
        <v/>
      </c>
      <c r="AJ101" t="str">
        <f t="shared" si="59"/>
        <v/>
      </c>
      <c r="AK101" t="str">
        <f t="shared" si="60"/>
        <v/>
      </c>
      <c r="AL101" t="str">
        <f>IFERROR(ROUND(L101*(G101/$AU101)/VLOOKUP(F101,商品!$A$4:$B$60,2,FALSE),0),"")</f>
        <v/>
      </c>
      <c r="AM101" t="str">
        <f>IFERROR(ROUND(L101*(I101/$AU101)/VLOOKUP(H101,商品!$A$4:$B$60,2,FALSE),0),"")</f>
        <v/>
      </c>
      <c r="AN101">
        <f>IFERROR(ROUND(L101*(J101/$AU101)/VLOOKUP("运力",商品!$A$4:$B$60,2,FALSE),0),0)</f>
        <v>0</v>
      </c>
      <c r="AO101">
        <f>IFERROR(ROUND(L101*(K101/$AU101)/VLOOKUP("交易",商品!$A$4:$B$60,2,FALSE),0),0)</f>
        <v>0</v>
      </c>
      <c r="AP101" t="str">
        <f>IFERROR(ROUND(S101*(N101/$AV101)/VLOOKUP(M101,职业!$A$4:$G$16,4,FALSE),0),"")</f>
        <v/>
      </c>
      <c r="AQ101" t="str">
        <f>IFERROR(ROUND(S101*(P101/$AV101)/VLOOKUP(O101,职业!$A$4:$G$16,4,FALSE),0),"")</f>
        <v/>
      </c>
      <c r="AR101" t="str">
        <f>IFERROR(ROUND(S101*(R101/$AV101)/VLOOKUP(Q101,职业!$A$4:$G$16,4,FALSE),0),"")</f>
        <v/>
      </c>
      <c r="AS101" t="str">
        <f>IFERROR(ROUND(X101*(U101/$AW101)/VLOOKUP(T101,商品!$A$4:$B$60,2,FALSE),0),"")</f>
        <v/>
      </c>
      <c r="AT101" t="str">
        <f>IFERROR(ROUND(X101*(W101/$AW101)/VLOOKUP(V101,商品!$A$4:$B$60,2,FALSE),0),"")</f>
        <v/>
      </c>
      <c r="AU101">
        <f t="shared" si="61"/>
        <v>0</v>
      </c>
      <c r="AV101">
        <f t="shared" si="62"/>
        <v>0</v>
      </c>
      <c r="AW101">
        <f t="shared" si="63"/>
        <v>0</v>
      </c>
    </row>
    <row r="102" spans="1:49" ht="19.95" customHeight="1" x14ac:dyDescent="0.25">
      <c r="A102" s="16" t="s">
        <v>198</v>
      </c>
      <c r="C102" s="16">
        <v>1</v>
      </c>
      <c r="D102" s="23" t="s">
        <v>171</v>
      </c>
      <c r="E102" s="23" t="s">
        <v>172</v>
      </c>
      <c r="F102" s="2" t="s">
        <v>11</v>
      </c>
      <c r="G102" s="2">
        <v>30</v>
      </c>
      <c r="J102" s="24">
        <v>10</v>
      </c>
      <c r="K102" s="25">
        <v>5</v>
      </c>
      <c r="L102" s="16">
        <f>IFERROR(VLOOKUP($D102&amp;$C102,生产方式定位!$A$2:$E$38,2,FALSE)+VLOOKUP($E102&amp;$C102,生产方式定位!$F$3:$J$38,2,FALSE),0)</f>
        <v>300</v>
      </c>
      <c r="M102" s="2" t="s">
        <v>80</v>
      </c>
      <c r="N102" s="2">
        <v>100</v>
      </c>
      <c r="S102" s="16">
        <f>IFERROR(VLOOKUP($D102&amp;$C102,生产方式定位!$A$2:$E$38,3,FALSE)+VLOOKUP($E102&amp;$C102,生产方式定位!$F$3:$J$38,3,FALSE),0)</f>
        <v>100</v>
      </c>
      <c r="T102" s="2" t="s">
        <v>27</v>
      </c>
      <c r="U102" s="2">
        <v>1</v>
      </c>
      <c r="X102" s="16">
        <f>IFERROR(VLOOKUP($D102&amp;$C102,生产方式定位!$A$2:$E$38,5,FALSE)+VLOOKUP($E102&amp;$C102,生产方式定位!$F$3:$J$38,5,FALSE),"错误")</f>
        <v>520</v>
      </c>
      <c r="Y102" s="26" t="str">
        <f t="shared" si="48"/>
        <v>木材*10,运力*7,交易*3</v>
      </c>
      <c r="Z102" s="36" t="str">
        <f t="shared" si="49"/>
        <v>劳工*4525</v>
      </c>
      <c r="AA102" s="36" t="str">
        <f t="shared" si="50"/>
        <v>家具*17</v>
      </c>
      <c r="AB102" s="27" t="str">
        <f t="shared" si="51"/>
        <v>73%</v>
      </c>
      <c r="AC102" s="2">
        <f t="shared" si="52"/>
        <v>120</v>
      </c>
      <c r="AD102" s="38">
        <f t="shared" si="53"/>
        <v>1</v>
      </c>
      <c r="AE102" t="str">
        <f t="shared" si="54"/>
        <v>木材*10</v>
      </c>
      <c r="AF102" t="str">
        <f t="shared" si="55"/>
        <v/>
      </c>
      <c r="AG102" t="str">
        <f t="shared" si="56"/>
        <v>劳工*4525</v>
      </c>
      <c r="AH102" t="str">
        <f t="shared" si="57"/>
        <v/>
      </c>
      <c r="AI102" t="str">
        <f t="shared" si="58"/>
        <v/>
      </c>
      <c r="AJ102" t="str">
        <f t="shared" si="59"/>
        <v>家具*17</v>
      </c>
      <c r="AK102" t="str">
        <f t="shared" si="60"/>
        <v/>
      </c>
      <c r="AL102">
        <f>IFERROR(ROUND(L102*(G102/$AU102)/VLOOKUP(F102,商品!$A$4:$B$60,2,FALSE),0),"")</f>
        <v>10</v>
      </c>
      <c r="AM102" t="str">
        <f>IFERROR(ROUND(L102*(I102/$AU102)/VLOOKUP(H102,商品!$A$4:$B$60,2,FALSE),0),"")</f>
        <v/>
      </c>
      <c r="AN102">
        <f>IFERROR(ROUND(L102*(J102/$AU102)/VLOOKUP("运力",商品!$A$4:$B$60,2,FALSE),0),0)</f>
        <v>7</v>
      </c>
      <c r="AO102">
        <f>IFERROR(ROUND(L102*(K102/$AU102)/VLOOKUP("交易",商品!$A$4:$B$60,2,FALSE),0),0)</f>
        <v>3</v>
      </c>
      <c r="AP102">
        <f>IFERROR(ROUND(S102*(N102/$AV102)/VLOOKUP(M102,职业!$A$4:$G$16,4,FALSE),0),"")</f>
        <v>4525</v>
      </c>
      <c r="AQ102" t="str">
        <f>IFERROR(ROUND(S102*(P102/$AV102)/VLOOKUP(O102,职业!$A$4:$G$16,4,FALSE),0),"")</f>
        <v/>
      </c>
      <c r="AR102" t="str">
        <f>IFERROR(ROUND(S102*(R102/$AV102)/VLOOKUP(Q102,职业!$A$4:$G$16,4,FALSE),0),"")</f>
        <v/>
      </c>
      <c r="AS102">
        <f>IFERROR(ROUND(X102*(U102/$AW102)/VLOOKUP(T102,商品!$A$4:$B$60,2,FALSE),0),"")</f>
        <v>17</v>
      </c>
      <c r="AT102" t="str">
        <f>IFERROR(ROUND(X102*(W102/$AW102)/VLOOKUP(V102,商品!$A$4:$B$60,2,FALSE),0),"")</f>
        <v/>
      </c>
      <c r="AU102">
        <f t="shared" si="61"/>
        <v>45</v>
      </c>
      <c r="AV102">
        <f t="shared" si="62"/>
        <v>100</v>
      </c>
      <c r="AW102">
        <f t="shared" si="63"/>
        <v>1</v>
      </c>
    </row>
    <row r="103" spans="1:49" ht="19.95" customHeight="1" x14ac:dyDescent="0.25">
      <c r="A103" s="16" t="s">
        <v>198</v>
      </c>
      <c r="C103" s="16">
        <v>2</v>
      </c>
      <c r="D103" s="23" t="s">
        <v>171</v>
      </c>
      <c r="E103" s="23" t="s">
        <v>172</v>
      </c>
      <c r="F103" s="2" t="s">
        <v>11</v>
      </c>
      <c r="G103" s="2">
        <v>30</v>
      </c>
      <c r="J103" s="24">
        <v>10</v>
      </c>
      <c r="K103" s="25">
        <v>5</v>
      </c>
      <c r="L103" s="16">
        <f>IFERROR(VLOOKUP($D103&amp;$C103,生产方式定位!$A$2:$E$38,2,FALSE)+VLOOKUP($E103&amp;$C103,生产方式定位!$F$3:$J$38,2,FALSE),0)</f>
        <v>1100</v>
      </c>
      <c r="M103" s="2" t="s">
        <v>80</v>
      </c>
      <c r="N103" s="2">
        <v>100</v>
      </c>
      <c r="O103" s="2" t="s">
        <v>73</v>
      </c>
      <c r="P103" s="2">
        <v>5</v>
      </c>
      <c r="S103" s="16">
        <f>IFERROR(VLOOKUP($D103&amp;$C103,生产方式定位!$A$2:$E$38,3,FALSE)+VLOOKUP($E103&amp;$C103,生产方式定位!$F$3:$J$38,3,FALSE),0)</f>
        <v>100</v>
      </c>
      <c r="T103" s="2" t="s">
        <v>27</v>
      </c>
      <c r="U103" s="2">
        <v>1</v>
      </c>
      <c r="X103" s="16">
        <f>IFERROR(VLOOKUP($D103&amp;$C103,生产方式定位!$A$2:$E$38,5,FALSE)+VLOOKUP($E103&amp;$C103,生产方式定位!$F$3:$J$38,5,FALSE),"错误")</f>
        <v>1510</v>
      </c>
      <c r="Y103" s="26" t="str">
        <f t="shared" si="48"/>
        <v>木材*37,运力*24,交易*12</v>
      </c>
      <c r="Z103" s="36" t="str">
        <f t="shared" si="49"/>
        <v>劳工*4309,工程师*72</v>
      </c>
      <c r="AA103" s="36" t="str">
        <f t="shared" si="50"/>
        <v>家具*50</v>
      </c>
      <c r="AB103" s="27" t="str">
        <f t="shared" si="51"/>
        <v>37%</v>
      </c>
      <c r="AC103" s="2">
        <f t="shared" si="52"/>
        <v>310</v>
      </c>
      <c r="AD103" s="38">
        <f t="shared" si="53"/>
        <v>2</v>
      </c>
      <c r="AE103" t="str">
        <f t="shared" si="54"/>
        <v>木材*37</v>
      </c>
      <c r="AF103" t="str">
        <f t="shared" si="55"/>
        <v/>
      </c>
      <c r="AG103" t="str">
        <f t="shared" si="56"/>
        <v>劳工*4309</v>
      </c>
      <c r="AH103" t="str">
        <f t="shared" si="57"/>
        <v>工程师*72</v>
      </c>
      <c r="AI103" t="str">
        <f t="shared" si="58"/>
        <v/>
      </c>
      <c r="AJ103" t="str">
        <f t="shared" si="59"/>
        <v>家具*50</v>
      </c>
      <c r="AK103" t="str">
        <f t="shared" si="60"/>
        <v/>
      </c>
      <c r="AL103">
        <f>IFERROR(ROUND(L103*(G103/$AU103)/VLOOKUP(F103,商品!$A$4:$B$60,2,FALSE),0),"")</f>
        <v>37</v>
      </c>
      <c r="AM103" t="str">
        <f>IFERROR(ROUND(L103*(I103/$AU103)/VLOOKUP(H103,商品!$A$4:$B$60,2,FALSE),0),"")</f>
        <v/>
      </c>
      <c r="AN103">
        <f>IFERROR(ROUND(L103*(J103/$AU103)/VLOOKUP("运力",商品!$A$4:$B$60,2,FALSE),0),0)</f>
        <v>24</v>
      </c>
      <c r="AO103">
        <f>IFERROR(ROUND(L103*(K103/$AU103)/VLOOKUP("交易",商品!$A$4:$B$60,2,FALSE),0),0)</f>
        <v>12</v>
      </c>
      <c r="AP103">
        <f>IFERROR(ROUND(S103*(N103/$AV103)/VLOOKUP(M103,职业!$A$4:$G$16,4,FALSE),0),"")</f>
        <v>4309</v>
      </c>
      <c r="AQ103">
        <f>IFERROR(ROUND(S103*(P103/$AV103)/VLOOKUP(O103,职业!$A$4:$G$16,4,FALSE),0),"")</f>
        <v>72</v>
      </c>
      <c r="AR103" t="str">
        <f>IFERROR(ROUND(S103*(R103/$AV103)/VLOOKUP(Q103,职业!$A$4:$G$16,4,FALSE),0),"")</f>
        <v/>
      </c>
      <c r="AS103">
        <f>IFERROR(ROUND(X103*(U103/$AW103)/VLOOKUP(T103,商品!$A$4:$B$60,2,FALSE),0),"")</f>
        <v>50</v>
      </c>
      <c r="AT103" t="str">
        <f>IFERROR(ROUND(X103*(W103/$AW103)/VLOOKUP(V103,商品!$A$4:$B$60,2,FALSE),0),"")</f>
        <v/>
      </c>
      <c r="AU103">
        <f t="shared" si="61"/>
        <v>45</v>
      </c>
      <c r="AV103">
        <f t="shared" si="62"/>
        <v>105</v>
      </c>
      <c r="AW103">
        <f t="shared" si="63"/>
        <v>1</v>
      </c>
    </row>
    <row r="104" spans="1:49" ht="19.95" customHeight="1" x14ac:dyDescent="0.25">
      <c r="A104" s="16" t="s">
        <v>198</v>
      </c>
      <c r="C104" s="16">
        <v>3</v>
      </c>
      <c r="D104" s="23" t="s">
        <v>171</v>
      </c>
      <c r="E104" s="23" t="s">
        <v>172</v>
      </c>
      <c r="F104" s="2" t="s">
        <v>11</v>
      </c>
      <c r="G104" s="2">
        <v>30</v>
      </c>
      <c r="J104" s="24">
        <v>10</v>
      </c>
      <c r="K104" s="25">
        <v>5</v>
      </c>
      <c r="L104" s="16">
        <f>IFERROR(VLOOKUP($D104&amp;$C104,生产方式定位!$A$2:$E$38,2,FALSE)+VLOOKUP($E104&amp;$C104,生产方式定位!$F$3:$J$38,2,FALSE),0)</f>
        <v>1525</v>
      </c>
      <c r="M104" s="2" t="s">
        <v>80</v>
      </c>
      <c r="N104" s="2">
        <v>100</v>
      </c>
      <c r="O104" s="2" t="s">
        <v>73</v>
      </c>
      <c r="P104" s="2">
        <v>10</v>
      </c>
      <c r="S104" s="16">
        <f>IFERROR(VLOOKUP($D104&amp;$C104,生产方式定位!$A$2:$E$38,3,FALSE)+VLOOKUP($E104&amp;$C104,生产方式定位!$F$3:$J$38,3,FALSE),0)</f>
        <v>100</v>
      </c>
      <c r="T104" s="2" t="s">
        <v>27</v>
      </c>
      <c r="U104" s="2">
        <v>1</v>
      </c>
      <c r="X104" s="16">
        <f>IFERROR(VLOOKUP($D104&amp;$C104,生产方式定位!$A$2:$E$38,5,FALSE)+VLOOKUP($E104&amp;$C104,生产方式定位!$F$3:$J$38,5,FALSE),"错误")</f>
        <v>2050</v>
      </c>
      <c r="Y104" s="26" t="str">
        <f t="shared" si="48"/>
        <v>木材*51,运力*34,交易*17</v>
      </c>
      <c r="Z104" s="36" t="str">
        <f t="shared" si="49"/>
        <v>劳工*4114,工程师*137</v>
      </c>
      <c r="AA104" s="36" t="str">
        <f t="shared" si="50"/>
        <v>家具*68</v>
      </c>
      <c r="AB104" s="27" t="str">
        <f t="shared" si="51"/>
        <v>34%</v>
      </c>
      <c r="AC104" s="2">
        <f t="shared" si="52"/>
        <v>425</v>
      </c>
      <c r="AD104" s="37">
        <f t="shared" si="53"/>
        <v>3</v>
      </c>
      <c r="AE104" t="str">
        <f t="shared" si="54"/>
        <v>木材*51</v>
      </c>
      <c r="AF104" t="str">
        <f t="shared" si="55"/>
        <v/>
      </c>
      <c r="AG104" t="str">
        <f t="shared" si="56"/>
        <v>劳工*4114</v>
      </c>
      <c r="AH104" t="str">
        <f t="shared" si="57"/>
        <v>工程师*137</v>
      </c>
      <c r="AI104" t="str">
        <f t="shared" si="58"/>
        <v/>
      </c>
      <c r="AJ104" t="str">
        <f t="shared" si="59"/>
        <v>家具*68</v>
      </c>
      <c r="AK104" t="str">
        <f t="shared" si="60"/>
        <v/>
      </c>
      <c r="AL104">
        <f>IFERROR(ROUND(L104*(G104/$AU104)/VLOOKUP(F104,商品!$A$4:$B$60,2,FALSE),0),"")</f>
        <v>51</v>
      </c>
      <c r="AM104" t="str">
        <f>IFERROR(ROUND(L104*(I104/$AU104)/VLOOKUP(H104,商品!$A$4:$B$60,2,FALSE),0),"")</f>
        <v/>
      </c>
      <c r="AN104">
        <f>IFERROR(ROUND(L104*(J104/$AU104)/VLOOKUP("运力",商品!$A$4:$B$60,2,FALSE),0),0)</f>
        <v>34</v>
      </c>
      <c r="AO104">
        <f>IFERROR(ROUND(L104*(K104/$AU104)/VLOOKUP("交易",商品!$A$4:$B$60,2,FALSE),0),0)</f>
        <v>17</v>
      </c>
      <c r="AP104">
        <f>IFERROR(ROUND(S104*(N104/$AV104)/VLOOKUP(M104,职业!$A$4:$G$16,4,FALSE),0),"")</f>
        <v>4114</v>
      </c>
      <c r="AQ104">
        <f>IFERROR(ROUND(S104*(P104/$AV104)/VLOOKUP(O104,职业!$A$4:$G$16,4,FALSE),0),"")</f>
        <v>137</v>
      </c>
      <c r="AR104" t="str">
        <f>IFERROR(ROUND(S104*(R104/$AV104)/VLOOKUP(Q104,职业!$A$4:$G$16,4,FALSE),0),"")</f>
        <v/>
      </c>
      <c r="AS104">
        <f>IFERROR(ROUND(X104*(U104/$AW104)/VLOOKUP(T104,商品!$A$4:$B$60,2,FALSE),0),"")</f>
        <v>68</v>
      </c>
      <c r="AT104" t="str">
        <f>IFERROR(ROUND(X104*(W104/$AW104)/VLOOKUP(V104,商品!$A$4:$B$60,2,FALSE),0),"")</f>
        <v/>
      </c>
      <c r="AU104">
        <f t="shared" si="61"/>
        <v>45</v>
      </c>
      <c r="AV104">
        <f t="shared" si="62"/>
        <v>110</v>
      </c>
      <c r="AW104">
        <f t="shared" si="63"/>
        <v>1</v>
      </c>
    </row>
    <row r="105" spans="1:49" ht="19.95" customHeight="1" x14ac:dyDescent="0.25">
      <c r="A105" s="16" t="s">
        <v>198</v>
      </c>
      <c r="C105" s="16">
        <v>4</v>
      </c>
      <c r="D105" s="23" t="s">
        <v>171</v>
      </c>
      <c r="E105" s="23" t="s">
        <v>172</v>
      </c>
      <c r="F105" s="2" t="s">
        <v>11</v>
      </c>
      <c r="G105" s="2">
        <v>30</v>
      </c>
      <c r="J105" s="24">
        <v>10</v>
      </c>
      <c r="K105" s="25">
        <v>5</v>
      </c>
      <c r="L105" s="16">
        <f>IFERROR(VLOOKUP($D105&amp;$C105,生产方式定位!$A$2:$E$38,2,FALSE)+VLOOKUP($E105&amp;$C105,生产方式定位!$F$3:$J$38,2,FALSE),0)</f>
        <v>1950</v>
      </c>
      <c r="M105" s="2" t="s">
        <v>80</v>
      </c>
      <c r="N105" s="2">
        <v>100</v>
      </c>
      <c r="O105" s="2" t="s">
        <v>73</v>
      </c>
      <c r="P105" s="2">
        <v>15</v>
      </c>
      <c r="S105" s="16">
        <f>IFERROR(VLOOKUP($D105&amp;$C105,生产方式定位!$A$2:$E$38,3,FALSE)+VLOOKUP($E105&amp;$C105,生产方式定位!$F$3:$J$38,3,FALSE),0)</f>
        <v>100</v>
      </c>
      <c r="T105" s="2" t="s">
        <v>27</v>
      </c>
      <c r="U105" s="2">
        <v>1</v>
      </c>
      <c r="X105" s="16">
        <f>IFERROR(VLOOKUP($D105&amp;$C105,生产方式定位!$A$2:$E$38,5,FALSE)+VLOOKUP($E105&amp;$C105,生产方式定位!$F$3:$J$38,5,FALSE),"错误")</f>
        <v>2590</v>
      </c>
      <c r="Y105" s="26" t="str">
        <f t="shared" si="48"/>
        <v>木材*65,运力*43,交易*22</v>
      </c>
      <c r="Z105" s="36" t="str">
        <f t="shared" si="49"/>
        <v>劳工*3935,工程师*197</v>
      </c>
      <c r="AA105" s="36" t="str">
        <f t="shared" si="50"/>
        <v>家具*86</v>
      </c>
      <c r="AB105" s="27" t="str">
        <f t="shared" si="51"/>
        <v>33%</v>
      </c>
      <c r="AC105" s="2">
        <f t="shared" si="52"/>
        <v>540</v>
      </c>
      <c r="AD105" s="37">
        <f t="shared" si="53"/>
        <v>4</v>
      </c>
      <c r="AE105" t="str">
        <f t="shared" si="54"/>
        <v>木材*65</v>
      </c>
      <c r="AF105" t="str">
        <f t="shared" si="55"/>
        <v/>
      </c>
      <c r="AG105" t="str">
        <f t="shared" si="56"/>
        <v>劳工*3935</v>
      </c>
      <c r="AH105" t="str">
        <f t="shared" si="57"/>
        <v>工程师*197</v>
      </c>
      <c r="AI105" t="str">
        <f t="shared" si="58"/>
        <v/>
      </c>
      <c r="AJ105" t="str">
        <f t="shared" si="59"/>
        <v>家具*86</v>
      </c>
      <c r="AK105" t="str">
        <f t="shared" si="60"/>
        <v/>
      </c>
      <c r="AL105">
        <f>IFERROR(ROUND(L105*(G105/$AU105)/VLOOKUP(F105,商品!$A$4:$B$60,2,FALSE),0),"")</f>
        <v>65</v>
      </c>
      <c r="AM105" t="str">
        <f>IFERROR(ROUND(L105*(I105/$AU105)/VLOOKUP(H105,商品!$A$4:$B$60,2,FALSE),0),"")</f>
        <v/>
      </c>
      <c r="AN105">
        <f>IFERROR(ROUND(L105*(J105/$AU105)/VLOOKUP("运力",商品!$A$4:$B$60,2,FALSE),0),0)</f>
        <v>43</v>
      </c>
      <c r="AO105">
        <f>IFERROR(ROUND(L105*(K105/$AU105)/VLOOKUP("交易",商品!$A$4:$B$60,2,FALSE),0),0)</f>
        <v>22</v>
      </c>
      <c r="AP105">
        <f>IFERROR(ROUND(S105*(N105/$AV105)/VLOOKUP(M105,职业!$A$4:$G$16,4,FALSE),0),"")</f>
        <v>3935</v>
      </c>
      <c r="AQ105">
        <f>IFERROR(ROUND(S105*(P105/$AV105)/VLOOKUP(O105,职业!$A$4:$G$16,4,FALSE),0),"")</f>
        <v>197</v>
      </c>
      <c r="AR105" t="str">
        <f>IFERROR(ROUND(S105*(R105/$AV105)/VLOOKUP(Q105,职业!$A$4:$G$16,4,FALSE),0),"")</f>
        <v/>
      </c>
      <c r="AS105">
        <f>IFERROR(ROUND(X105*(U105/$AW105)/VLOOKUP(T105,商品!$A$4:$B$60,2,FALSE),0),"")</f>
        <v>86</v>
      </c>
      <c r="AT105" t="str">
        <f>IFERROR(ROUND(X105*(W105/$AW105)/VLOOKUP(V105,商品!$A$4:$B$60,2,FALSE),0),"")</f>
        <v/>
      </c>
      <c r="AU105">
        <f t="shared" si="61"/>
        <v>45</v>
      </c>
      <c r="AV105">
        <f t="shared" si="62"/>
        <v>115</v>
      </c>
      <c r="AW105">
        <f t="shared" si="63"/>
        <v>1</v>
      </c>
    </row>
    <row r="106" spans="1:49" ht="19.95" customHeight="1" x14ac:dyDescent="0.25">
      <c r="A106" s="16" t="s">
        <v>198</v>
      </c>
      <c r="C106" s="16">
        <v>5</v>
      </c>
      <c r="D106" s="23" t="s">
        <v>171</v>
      </c>
      <c r="E106" s="23" t="s">
        <v>172</v>
      </c>
      <c r="F106" s="2" t="s">
        <v>11</v>
      </c>
      <c r="G106" s="2">
        <v>30</v>
      </c>
      <c r="J106" s="24">
        <v>10</v>
      </c>
      <c r="K106" s="25">
        <v>5</v>
      </c>
      <c r="L106" s="16">
        <f>IFERROR(VLOOKUP($D106&amp;$C106,生产方式定位!$A$2:$E$38,2,FALSE)+VLOOKUP($E106&amp;$C106,生产方式定位!$F$3:$J$38,2,FALSE),0)</f>
        <v>2375</v>
      </c>
      <c r="M106" s="2" t="s">
        <v>80</v>
      </c>
      <c r="N106" s="2">
        <v>100</v>
      </c>
      <c r="O106" s="2" t="s">
        <v>73</v>
      </c>
      <c r="P106" s="2">
        <v>20</v>
      </c>
      <c r="S106" s="16">
        <f>IFERROR(VLOOKUP($D106&amp;$C106,生产方式定位!$A$2:$E$38,3,FALSE)+VLOOKUP($E106&amp;$C106,生产方式定位!$F$3:$J$38,3,FALSE),0)</f>
        <v>100</v>
      </c>
      <c r="T106" s="2" t="s">
        <v>27</v>
      </c>
      <c r="U106" s="2">
        <v>1</v>
      </c>
      <c r="X106" s="16">
        <f>IFERROR(VLOOKUP($D106&amp;$C106,生产方式定位!$A$2:$E$38,5,FALSE)+VLOOKUP($E106&amp;$C106,生产方式定位!$F$3:$J$38,5,FALSE),"错误")</f>
        <v>3130</v>
      </c>
      <c r="Y106" s="26" t="str">
        <f t="shared" si="48"/>
        <v>木材*79,运力*53,交易*26</v>
      </c>
      <c r="Z106" s="36" t="str">
        <f t="shared" si="49"/>
        <v>劳工*3771,工程师*251</v>
      </c>
      <c r="AA106" s="36" t="str">
        <f t="shared" si="50"/>
        <v>家具*104</v>
      </c>
      <c r="AB106" s="27" t="str">
        <f t="shared" si="51"/>
        <v>32%</v>
      </c>
      <c r="AC106" s="2">
        <f t="shared" si="52"/>
        <v>655</v>
      </c>
      <c r="AD106" s="37">
        <f t="shared" si="53"/>
        <v>5</v>
      </c>
      <c r="AE106" t="str">
        <f t="shared" si="54"/>
        <v>木材*79</v>
      </c>
      <c r="AF106" t="str">
        <f t="shared" si="55"/>
        <v/>
      </c>
      <c r="AG106" t="str">
        <f t="shared" si="56"/>
        <v>劳工*3771</v>
      </c>
      <c r="AH106" t="str">
        <f t="shared" si="57"/>
        <v>工程师*251</v>
      </c>
      <c r="AI106" t="str">
        <f t="shared" si="58"/>
        <v/>
      </c>
      <c r="AJ106" t="str">
        <f t="shared" si="59"/>
        <v>家具*104</v>
      </c>
      <c r="AK106" t="str">
        <f t="shared" si="60"/>
        <v/>
      </c>
      <c r="AL106">
        <f>IFERROR(ROUND(L106*(G106/$AU106)/VLOOKUP(F106,商品!$A$4:$B$60,2,FALSE),0),"")</f>
        <v>79</v>
      </c>
      <c r="AM106" t="str">
        <f>IFERROR(ROUND(L106*(I106/$AU106)/VLOOKUP(H106,商品!$A$4:$B$60,2,FALSE),0),"")</f>
        <v/>
      </c>
      <c r="AN106">
        <f>IFERROR(ROUND(L106*(J106/$AU106)/VLOOKUP("运力",商品!$A$4:$B$60,2,FALSE),0),0)</f>
        <v>53</v>
      </c>
      <c r="AO106">
        <f>IFERROR(ROUND(L106*(K106/$AU106)/VLOOKUP("交易",商品!$A$4:$B$60,2,FALSE),0),0)</f>
        <v>26</v>
      </c>
      <c r="AP106">
        <f>IFERROR(ROUND(S106*(N106/$AV106)/VLOOKUP(M106,职业!$A$4:$G$16,4,FALSE),0),"")</f>
        <v>3771</v>
      </c>
      <c r="AQ106">
        <f>IFERROR(ROUND(S106*(P106/$AV106)/VLOOKUP(O106,职业!$A$4:$G$16,4,FALSE),0),"")</f>
        <v>251</v>
      </c>
      <c r="AR106" t="str">
        <f>IFERROR(ROUND(S106*(R106/$AV106)/VLOOKUP(Q106,职业!$A$4:$G$16,4,FALSE),0),"")</f>
        <v/>
      </c>
      <c r="AS106">
        <f>IFERROR(ROUND(X106*(U106/$AW106)/VLOOKUP(T106,商品!$A$4:$B$60,2,FALSE),0),"")</f>
        <v>104</v>
      </c>
      <c r="AT106" t="str">
        <f>IFERROR(ROUND(X106*(W106/$AW106)/VLOOKUP(V106,商品!$A$4:$B$60,2,FALSE),0),"")</f>
        <v/>
      </c>
      <c r="AU106">
        <f t="shared" si="61"/>
        <v>45</v>
      </c>
      <c r="AV106">
        <f t="shared" si="62"/>
        <v>120</v>
      </c>
      <c r="AW106">
        <f t="shared" si="63"/>
        <v>1</v>
      </c>
    </row>
    <row r="107" spans="1:49" ht="19.95" customHeight="1" x14ac:dyDescent="0.25">
      <c r="A107" s="15" t="s">
        <v>199</v>
      </c>
      <c r="C107" s="15">
        <v>1</v>
      </c>
      <c r="D107" s="23" t="s">
        <v>171</v>
      </c>
      <c r="E107" s="23" t="s">
        <v>193</v>
      </c>
      <c r="L107" s="15">
        <f>IFERROR(VLOOKUP($D107&amp;$C107,生产方式定位!$A$2:$E$38,2,FALSE)+VLOOKUP($E107&amp;$C107,生产方式定位!$F$3:$J$38,2,FALSE),0)</f>
        <v>300</v>
      </c>
      <c r="S107" s="15">
        <f>IFERROR(VLOOKUP($D107&amp;$C107,生产方式定位!$A$2:$E$38,3,FALSE)+VLOOKUP($E107&amp;$C107,生产方式定位!$F$3:$J$38,3,FALSE),0)</f>
        <v>100</v>
      </c>
      <c r="X107" s="15">
        <f>IFERROR(VLOOKUP($D107&amp;$C107,生产方式定位!$A$2:$E$38,5,FALSE)+VLOOKUP($E107&amp;$C107,生产方式定位!$F$3:$J$38,5,FALSE),"错误")</f>
        <v>520</v>
      </c>
      <c r="Y107" s="26" t="str">
        <f t="shared" si="48"/>
        <v/>
      </c>
      <c r="Z107" s="36" t="str">
        <f t="shared" si="49"/>
        <v/>
      </c>
      <c r="AA107" s="36" t="str">
        <f t="shared" si="50"/>
        <v/>
      </c>
      <c r="AB107" s="27" t="str">
        <f t="shared" si="51"/>
        <v>73%</v>
      </c>
      <c r="AC107" s="2">
        <f t="shared" si="52"/>
        <v>120</v>
      </c>
      <c r="AD107" s="37">
        <f t="shared" si="53"/>
        <v>1</v>
      </c>
      <c r="AE107" t="str">
        <f t="shared" si="54"/>
        <v/>
      </c>
      <c r="AF107" t="str">
        <f t="shared" si="55"/>
        <v/>
      </c>
      <c r="AG107" t="str">
        <f t="shared" si="56"/>
        <v/>
      </c>
      <c r="AH107" t="str">
        <f t="shared" si="57"/>
        <v/>
      </c>
      <c r="AI107" t="str">
        <f t="shared" si="58"/>
        <v/>
      </c>
      <c r="AJ107" t="str">
        <f t="shared" si="59"/>
        <v/>
      </c>
      <c r="AK107" t="str">
        <f t="shared" si="60"/>
        <v/>
      </c>
      <c r="AL107" t="str">
        <f>IFERROR(ROUND(L107*(G107/$AU107)/VLOOKUP(F107,商品!$A$4:$B$60,2,FALSE),0),"")</f>
        <v/>
      </c>
      <c r="AM107" t="str">
        <f>IFERROR(ROUND(L107*(I107/$AU107)/VLOOKUP(H107,商品!$A$4:$B$60,2,FALSE),0),"")</f>
        <v/>
      </c>
      <c r="AN107">
        <f>IFERROR(ROUND(L107*(J107/$AU107)/VLOOKUP("运力",商品!$A$4:$B$60,2,FALSE),0),0)</f>
        <v>0</v>
      </c>
      <c r="AO107">
        <f>IFERROR(ROUND(L107*(K107/$AU107)/VLOOKUP("交易",商品!$A$4:$B$60,2,FALSE),0),0)</f>
        <v>0</v>
      </c>
      <c r="AP107" t="str">
        <f>IFERROR(ROUND(S107*(N107/$AV107)/VLOOKUP(M107,职业!$A$4:$G$16,4,FALSE),0),"")</f>
        <v/>
      </c>
      <c r="AQ107" t="str">
        <f>IFERROR(ROUND(S107*(P107/$AV107)/VLOOKUP(O107,职业!$A$4:$G$16,4,FALSE),0),"")</f>
        <v/>
      </c>
      <c r="AR107" t="str">
        <f>IFERROR(ROUND(S107*(R107/$AV107)/VLOOKUP(Q107,职业!$A$4:$G$16,4,FALSE),0),"")</f>
        <v/>
      </c>
      <c r="AS107" t="str">
        <f>IFERROR(ROUND(X107*(U107/$AW107)/VLOOKUP(T107,商品!$A$4:$B$60,2,FALSE),0),"")</f>
        <v/>
      </c>
      <c r="AT107" t="str">
        <f>IFERROR(ROUND(X107*(W107/$AW107)/VLOOKUP(V107,商品!$A$4:$B$60,2,FALSE),0),"")</f>
        <v/>
      </c>
      <c r="AU107">
        <f t="shared" si="61"/>
        <v>0</v>
      </c>
      <c r="AV107">
        <f t="shared" si="62"/>
        <v>0</v>
      </c>
      <c r="AW107">
        <f t="shared" si="63"/>
        <v>0</v>
      </c>
    </row>
    <row r="108" spans="1:49" ht="19.95" customHeight="1" x14ac:dyDescent="0.25">
      <c r="A108" s="15" t="s">
        <v>199</v>
      </c>
      <c r="C108" s="15">
        <v>2</v>
      </c>
      <c r="D108" s="23" t="s">
        <v>171</v>
      </c>
      <c r="E108" s="23" t="s">
        <v>193</v>
      </c>
      <c r="H108" s="2" t="s">
        <v>14</v>
      </c>
      <c r="I108" s="2">
        <v>30</v>
      </c>
      <c r="J108" s="24">
        <v>5</v>
      </c>
      <c r="K108" s="25">
        <v>10</v>
      </c>
      <c r="L108" s="15">
        <f>IFERROR(VLOOKUP($D108&amp;$C108,生产方式定位!$A$2:$E$38,2,FALSE)+VLOOKUP($E108&amp;$C108,生产方式定位!$F$3:$J$38,2,FALSE),0)</f>
        <v>1000</v>
      </c>
      <c r="M108" s="2" t="s">
        <v>73</v>
      </c>
      <c r="N108" s="2">
        <v>5</v>
      </c>
      <c r="S108" s="15">
        <f>IFERROR(VLOOKUP($D108&amp;$C108,生产方式定位!$A$2:$E$38,3,FALSE)+VLOOKUP($E108&amp;$C108,生产方式定位!$F$3:$J$38,3,FALSE),0)</f>
        <v>5</v>
      </c>
      <c r="T108" s="2" t="s">
        <v>31</v>
      </c>
      <c r="U108" s="2">
        <v>1</v>
      </c>
      <c r="X108" s="15">
        <f>IFERROR(VLOOKUP($D108&amp;$C108,生产方式定位!$A$2:$E$38,5,FALSE)+VLOOKUP($E108&amp;$C108,生产方式定位!$F$3:$J$38,5,FALSE),"错误")</f>
        <v>1337</v>
      </c>
      <c r="Y108" s="26" t="str">
        <f t="shared" si="48"/>
        <v>,硬木*17,运力*11,交易*22</v>
      </c>
      <c r="Z108" s="36" t="str">
        <f t="shared" si="49"/>
        <v>工程师*75</v>
      </c>
      <c r="AA108" s="36" t="str">
        <f t="shared" si="50"/>
        <v>奢侈家具*27</v>
      </c>
      <c r="AB108" s="27" t="str">
        <f t="shared" si="51"/>
        <v>34%</v>
      </c>
      <c r="AC108" s="2">
        <f t="shared" si="52"/>
        <v>332</v>
      </c>
      <c r="AD108" s="37">
        <f t="shared" si="53"/>
        <v>2</v>
      </c>
      <c r="AE108" t="str">
        <f t="shared" si="54"/>
        <v/>
      </c>
      <c r="AF108" t="str">
        <f t="shared" si="55"/>
        <v>硬木*17</v>
      </c>
      <c r="AG108" t="str">
        <f t="shared" si="56"/>
        <v>工程师*75</v>
      </c>
      <c r="AH108" t="str">
        <f t="shared" si="57"/>
        <v/>
      </c>
      <c r="AI108" t="str">
        <f t="shared" si="58"/>
        <v/>
      </c>
      <c r="AJ108" t="str">
        <f t="shared" si="59"/>
        <v>奢侈家具*27</v>
      </c>
      <c r="AK108" t="str">
        <f t="shared" si="60"/>
        <v/>
      </c>
      <c r="AL108" t="str">
        <f>IFERROR(ROUND(L108*(G108/$AU108)/VLOOKUP(F108,商品!$A$4:$B$60,2,FALSE),0),"")</f>
        <v/>
      </c>
      <c r="AM108">
        <f>IFERROR(ROUND(L108*(I108/$AU108)/VLOOKUP(H108,商品!$A$4:$B$60,2,FALSE),0),"")</f>
        <v>17</v>
      </c>
      <c r="AN108">
        <f>IFERROR(ROUND(L108*(J108/$AU108)/VLOOKUP("运力",商品!$A$4:$B$60,2,FALSE),0),0)</f>
        <v>11</v>
      </c>
      <c r="AO108">
        <f>IFERROR(ROUND(L108*(K108/$AU108)/VLOOKUP("交易",商品!$A$4:$B$60,2,FALSE),0),0)</f>
        <v>22</v>
      </c>
      <c r="AP108">
        <f>IFERROR(ROUND(S108*(N108/$AV108)/VLOOKUP(M108,职业!$A$4:$G$16,4,FALSE),0),"")</f>
        <v>75</v>
      </c>
      <c r="AQ108" t="str">
        <f>IFERROR(ROUND(S108*(P108/$AV108)/VLOOKUP(O108,职业!$A$4:$G$16,4,FALSE),0),"")</f>
        <v/>
      </c>
      <c r="AR108" t="str">
        <f>IFERROR(ROUND(S108*(R108/$AV108)/VLOOKUP(Q108,职业!$A$4:$G$16,4,FALSE),0),"")</f>
        <v/>
      </c>
      <c r="AS108">
        <f>IFERROR(ROUND(X108*(U108/$AW108)/VLOOKUP(T108,商品!$A$4:$B$60,2,FALSE),0),"")</f>
        <v>27</v>
      </c>
      <c r="AT108" t="str">
        <f>IFERROR(ROUND(X108*(W108/$AW108)/VLOOKUP(V108,商品!$A$4:$B$60,2,FALSE),0),"")</f>
        <v/>
      </c>
      <c r="AU108">
        <f t="shared" si="61"/>
        <v>45</v>
      </c>
      <c r="AV108">
        <f t="shared" si="62"/>
        <v>5</v>
      </c>
      <c r="AW108">
        <f t="shared" si="63"/>
        <v>1</v>
      </c>
    </row>
    <row r="109" spans="1:49" ht="19.95" customHeight="1" x14ac:dyDescent="0.25">
      <c r="A109" s="15" t="s">
        <v>199</v>
      </c>
      <c r="C109" s="15">
        <v>3</v>
      </c>
      <c r="D109" s="23" t="s">
        <v>171</v>
      </c>
      <c r="E109" s="23" t="s">
        <v>193</v>
      </c>
      <c r="H109" s="2" t="s">
        <v>14</v>
      </c>
      <c r="I109" s="2">
        <v>30</v>
      </c>
      <c r="J109" s="24">
        <v>5</v>
      </c>
      <c r="K109" s="25">
        <v>10</v>
      </c>
      <c r="L109" s="15">
        <f>IFERROR(VLOOKUP($D109&amp;$C109,生产方式定位!$A$2:$E$38,2,FALSE)+VLOOKUP($E109&amp;$C109,生产方式定位!$F$3:$J$38,2,FALSE),0)</f>
        <v>1400</v>
      </c>
      <c r="M109" s="2" t="s">
        <v>73</v>
      </c>
      <c r="N109" s="2">
        <v>10</v>
      </c>
      <c r="S109" s="15">
        <f>IFERROR(VLOOKUP($D109&amp;$C109,生产方式定位!$A$2:$E$38,3,FALSE)+VLOOKUP($E109&amp;$C109,生产方式定位!$F$3:$J$38,3,FALSE),0)</f>
        <v>10</v>
      </c>
      <c r="T109" s="2" t="s">
        <v>31</v>
      </c>
      <c r="U109" s="2">
        <v>1</v>
      </c>
      <c r="X109" s="15">
        <f>IFERROR(VLOOKUP($D109&amp;$C109,生产方式定位!$A$2:$E$38,5,FALSE)+VLOOKUP($E109&amp;$C109,生产方式定位!$F$3:$J$38,5,FALSE),"错误")</f>
        <v>1874</v>
      </c>
      <c r="Y109" s="26" t="str">
        <f t="shared" si="48"/>
        <v>,硬木*23,运力*16,交易*31</v>
      </c>
      <c r="Z109" s="36" t="str">
        <f t="shared" si="49"/>
        <v>工程师*151</v>
      </c>
      <c r="AA109" s="36" t="str">
        <f t="shared" si="50"/>
        <v>奢侈家具*37</v>
      </c>
      <c r="AB109" s="27" t="str">
        <f t="shared" si="51"/>
        <v>34%</v>
      </c>
      <c r="AC109" s="2">
        <f t="shared" si="52"/>
        <v>464</v>
      </c>
      <c r="AD109" s="37">
        <f t="shared" si="53"/>
        <v>3</v>
      </c>
      <c r="AE109" t="str">
        <f t="shared" si="54"/>
        <v/>
      </c>
      <c r="AF109" t="str">
        <f t="shared" si="55"/>
        <v>硬木*23</v>
      </c>
      <c r="AG109" t="str">
        <f t="shared" si="56"/>
        <v>工程师*151</v>
      </c>
      <c r="AH109" t="str">
        <f t="shared" si="57"/>
        <v/>
      </c>
      <c r="AI109" t="str">
        <f t="shared" si="58"/>
        <v/>
      </c>
      <c r="AJ109" t="str">
        <f t="shared" si="59"/>
        <v>奢侈家具*37</v>
      </c>
      <c r="AK109" t="str">
        <f t="shared" si="60"/>
        <v/>
      </c>
      <c r="AL109" t="str">
        <f>IFERROR(ROUND(L109*(G109/$AU109)/VLOOKUP(F109,商品!$A$4:$B$60,2,FALSE),0),"")</f>
        <v/>
      </c>
      <c r="AM109">
        <f>IFERROR(ROUND(L109*(I109/$AU109)/VLOOKUP(H109,商品!$A$4:$B$60,2,FALSE),0),"")</f>
        <v>23</v>
      </c>
      <c r="AN109">
        <f>IFERROR(ROUND(L109*(J109/$AU109)/VLOOKUP("运力",商品!$A$4:$B$60,2,FALSE),0),0)</f>
        <v>16</v>
      </c>
      <c r="AO109">
        <f>IFERROR(ROUND(L109*(K109/$AU109)/VLOOKUP("交易",商品!$A$4:$B$60,2,FALSE),0),0)</f>
        <v>31</v>
      </c>
      <c r="AP109">
        <f>IFERROR(ROUND(S109*(N109/$AV109)/VLOOKUP(M109,职业!$A$4:$G$16,4,FALSE),0),"")</f>
        <v>151</v>
      </c>
      <c r="AQ109" t="str">
        <f>IFERROR(ROUND(S109*(P109/$AV109)/VLOOKUP(O109,职业!$A$4:$G$16,4,FALSE),0),"")</f>
        <v/>
      </c>
      <c r="AR109" t="str">
        <f>IFERROR(ROUND(S109*(R109/$AV109)/VLOOKUP(Q109,职业!$A$4:$G$16,4,FALSE),0),"")</f>
        <v/>
      </c>
      <c r="AS109">
        <f>IFERROR(ROUND(X109*(U109/$AW109)/VLOOKUP(T109,商品!$A$4:$B$60,2,FALSE),0),"")</f>
        <v>37</v>
      </c>
      <c r="AT109" t="str">
        <f>IFERROR(ROUND(X109*(W109/$AW109)/VLOOKUP(V109,商品!$A$4:$B$60,2,FALSE),0),"")</f>
        <v/>
      </c>
      <c r="AU109">
        <f t="shared" si="61"/>
        <v>45</v>
      </c>
      <c r="AV109">
        <f t="shared" si="62"/>
        <v>10</v>
      </c>
      <c r="AW109">
        <f t="shared" si="63"/>
        <v>1</v>
      </c>
    </row>
    <row r="110" spans="1:49" ht="19.95" customHeight="1" x14ac:dyDescent="0.25">
      <c r="A110" s="15" t="s">
        <v>199</v>
      </c>
      <c r="C110" s="15">
        <v>4</v>
      </c>
      <c r="D110" s="23" t="s">
        <v>171</v>
      </c>
      <c r="E110" s="23" t="s">
        <v>193</v>
      </c>
      <c r="H110" s="2" t="s">
        <v>14</v>
      </c>
      <c r="I110" s="2">
        <v>30</v>
      </c>
      <c r="J110" s="24">
        <v>5</v>
      </c>
      <c r="K110" s="25">
        <v>10</v>
      </c>
      <c r="L110" s="15">
        <f>IFERROR(VLOOKUP($D110&amp;$C110,生产方式定位!$A$2:$E$38,2,FALSE)+VLOOKUP($E110&amp;$C110,生产方式定位!$F$3:$J$38,2,FALSE),0)</f>
        <v>1800</v>
      </c>
      <c r="M110" s="2" t="s">
        <v>73</v>
      </c>
      <c r="N110" s="2">
        <v>15</v>
      </c>
      <c r="S110" s="15">
        <f>IFERROR(VLOOKUP($D110&amp;$C110,生产方式定位!$A$2:$E$38,3,FALSE)+VLOOKUP($E110&amp;$C110,生产方式定位!$F$3:$J$38,3,FALSE),0)</f>
        <v>15</v>
      </c>
      <c r="T110" s="2" t="s">
        <v>31</v>
      </c>
      <c r="U110" s="2">
        <v>1</v>
      </c>
      <c r="X110" s="15">
        <f>IFERROR(VLOOKUP($D110&amp;$C110,生产方式定位!$A$2:$E$38,5,FALSE)+VLOOKUP($E110&amp;$C110,生产方式定位!$F$3:$J$38,5,FALSE),"错误")</f>
        <v>2411</v>
      </c>
      <c r="Y110" s="26" t="str">
        <f t="shared" si="48"/>
        <v>,硬木*30,运力*20,交易*40</v>
      </c>
      <c r="Z110" s="36" t="str">
        <f t="shared" si="49"/>
        <v>工程师*226</v>
      </c>
      <c r="AA110" s="36" t="str">
        <f t="shared" si="50"/>
        <v>奢侈家具*48</v>
      </c>
      <c r="AB110" s="27" t="str">
        <f t="shared" si="51"/>
        <v>34%</v>
      </c>
      <c r="AC110" s="2">
        <f t="shared" si="52"/>
        <v>596</v>
      </c>
      <c r="AD110" s="37">
        <f t="shared" si="53"/>
        <v>4</v>
      </c>
      <c r="AE110" t="str">
        <f t="shared" si="54"/>
        <v/>
      </c>
      <c r="AF110" t="str">
        <f t="shared" si="55"/>
        <v>硬木*30</v>
      </c>
      <c r="AG110" t="str">
        <f t="shared" si="56"/>
        <v>工程师*226</v>
      </c>
      <c r="AH110" t="str">
        <f t="shared" si="57"/>
        <v/>
      </c>
      <c r="AI110" t="str">
        <f t="shared" si="58"/>
        <v/>
      </c>
      <c r="AJ110" t="str">
        <f t="shared" si="59"/>
        <v>奢侈家具*48</v>
      </c>
      <c r="AK110" t="str">
        <f t="shared" si="60"/>
        <v/>
      </c>
      <c r="AL110" t="str">
        <f>IFERROR(ROUND(L110*(G110/$AU110)/VLOOKUP(F110,商品!$A$4:$B$60,2,FALSE),0),"")</f>
        <v/>
      </c>
      <c r="AM110">
        <f>IFERROR(ROUND(L110*(I110/$AU110)/VLOOKUP(H110,商品!$A$4:$B$60,2,FALSE),0),"")</f>
        <v>30</v>
      </c>
      <c r="AN110">
        <f>IFERROR(ROUND(L110*(J110/$AU110)/VLOOKUP("运力",商品!$A$4:$B$60,2,FALSE),0),0)</f>
        <v>20</v>
      </c>
      <c r="AO110">
        <f>IFERROR(ROUND(L110*(K110/$AU110)/VLOOKUP("交易",商品!$A$4:$B$60,2,FALSE),0),0)</f>
        <v>40</v>
      </c>
      <c r="AP110">
        <f>IFERROR(ROUND(S110*(N110/$AV110)/VLOOKUP(M110,职业!$A$4:$G$16,4,FALSE),0),"")</f>
        <v>226</v>
      </c>
      <c r="AQ110" t="str">
        <f>IFERROR(ROUND(S110*(P110/$AV110)/VLOOKUP(O110,职业!$A$4:$G$16,4,FALSE),0),"")</f>
        <v/>
      </c>
      <c r="AR110" t="str">
        <f>IFERROR(ROUND(S110*(R110/$AV110)/VLOOKUP(Q110,职业!$A$4:$G$16,4,FALSE),0),"")</f>
        <v/>
      </c>
      <c r="AS110">
        <f>IFERROR(ROUND(X110*(U110/$AW110)/VLOOKUP(T110,商品!$A$4:$B$60,2,FALSE),0),"")</f>
        <v>48</v>
      </c>
      <c r="AT110" t="str">
        <f>IFERROR(ROUND(X110*(W110/$AW110)/VLOOKUP(V110,商品!$A$4:$B$60,2,FALSE),0),"")</f>
        <v/>
      </c>
      <c r="AU110">
        <f t="shared" si="61"/>
        <v>45</v>
      </c>
      <c r="AV110">
        <f t="shared" si="62"/>
        <v>15</v>
      </c>
      <c r="AW110">
        <f t="shared" si="63"/>
        <v>1</v>
      </c>
    </row>
    <row r="111" spans="1:49" ht="19.95" customHeight="1" x14ac:dyDescent="0.25">
      <c r="A111" s="15" t="s">
        <v>199</v>
      </c>
      <c r="C111" s="15">
        <v>5</v>
      </c>
      <c r="D111" s="23" t="s">
        <v>171</v>
      </c>
      <c r="E111" s="23" t="s">
        <v>193</v>
      </c>
      <c r="H111" s="2" t="s">
        <v>14</v>
      </c>
      <c r="I111" s="2">
        <v>30</v>
      </c>
      <c r="J111" s="24">
        <v>5</v>
      </c>
      <c r="K111" s="25">
        <v>10</v>
      </c>
      <c r="L111" s="15">
        <f>IFERROR(VLOOKUP($D111&amp;$C111,生产方式定位!$A$2:$E$38,2,FALSE)+VLOOKUP($E111&amp;$C111,生产方式定位!$F$3:$J$38,2,FALSE),0)</f>
        <v>2200</v>
      </c>
      <c r="M111" s="2" t="s">
        <v>73</v>
      </c>
      <c r="N111" s="2">
        <v>20</v>
      </c>
      <c r="S111" s="15">
        <f>IFERROR(VLOOKUP($D111&amp;$C111,生产方式定位!$A$2:$E$38,3,FALSE)+VLOOKUP($E111&amp;$C111,生产方式定位!$F$3:$J$38,3,FALSE),0)</f>
        <v>20</v>
      </c>
      <c r="T111" s="2" t="s">
        <v>31</v>
      </c>
      <c r="U111" s="2">
        <v>1</v>
      </c>
      <c r="X111" s="15">
        <f>IFERROR(VLOOKUP($D111&amp;$C111,生产方式定位!$A$2:$E$38,5,FALSE)+VLOOKUP($E111&amp;$C111,生产方式定位!$F$3:$J$38,5,FALSE),"错误")</f>
        <v>2948</v>
      </c>
      <c r="Y111" s="26" t="str">
        <f t="shared" si="48"/>
        <v>,硬木*37,运力*24,交易*49</v>
      </c>
      <c r="Z111" s="36" t="str">
        <f t="shared" si="49"/>
        <v>工程师*302</v>
      </c>
      <c r="AA111" s="36" t="str">
        <f t="shared" si="50"/>
        <v>奢侈家具*59</v>
      </c>
      <c r="AB111" s="27" t="str">
        <f t="shared" si="51"/>
        <v>34%</v>
      </c>
      <c r="AC111" s="2">
        <f t="shared" si="52"/>
        <v>728</v>
      </c>
      <c r="AD111" s="37">
        <f t="shared" si="53"/>
        <v>5</v>
      </c>
      <c r="AE111" t="str">
        <f t="shared" si="54"/>
        <v/>
      </c>
      <c r="AF111" t="str">
        <f t="shared" si="55"/>
        <v>硬木*37</v>
      </c>
      <c r="AG111" t="str">
        <f t="shared" si="56"/>
        <v>工程师*302</v>
      </c>
      <c r="AH111" t="str">
        <f t="shared" si="57"/>
        <v/>
      </c>
      <c r="AI111" t="str">
        <f t="shared" si="58"/>
        <v/>
      </c>
      <c r="AJ111" t="str">
        <f t="shared" si="59"/>
        <v>奢侈家具*59</v>
      </c>
      <c r="AK111" t="str">
        <f t="shared" si="60"/>
        <v/>
      </c>
      <c r="AL111" t="str">
        <f>IFERROR(ROUND(L111*(G111/$AU111)/VLOOKUP(F111,商品!$A$4:$B$60,2,FALSE),0),"")</f>
        <v/>
      </c>
      <c r="AM111">
        <f>IFERROR(ROUND(L111*(I111/$AU111)/VLOOKUP(H111,商品!$A$4:$B$60,2,FALSE),0),"")</f>
        <v>37</v>
      </c>
      <c r="AN111">
        <f>IFERROR(ROUND(L111*(J111/$AU111)/VLOOKUP("运力",商品!$A$4:$B$60,2,FALSE),0),0)</f>
        <v>24</v>
      </c>
      <c r="AO111">
        <f>IFERROR(ROUND(L111*(K111/$AU111)/VLOOKUP("交易",商品!$A$4:$B$60,2,FALSE),0),0)</f>
        <v>49</v>
      </c>
      <c r="AP111">
        <f>IFERROR(ROUND(S111*(N111/$AV111)/VLOOKUP(M111,职业!$A$4:$G$16,4,FALSE),0),"")</f>
        <v>302</v>
      </c>
      <c r="AQ111" t="str">
        <f>IFERROR(ROUND(S111*(P111/$AV111)/VLOOKUP(O111,职业!$A$4:$G$16,4,FALSE),0),"")</f>
        <v/>
      </c>
      <c r="AR111" t="str">
        <f>IFERROR(ROUND(S111*(R111/$AV111)/VLOOKUP(Q111,职业!$A$4:$G$16,4,FALSE),0),"")</f>
        <v/>
      </c>
      <c r="AS111">
        <f>IFERROR(ROUND(X111*(U111/$AW111)/VLOOKUP(T111,商品!$A$4:$B$60,2,FALSE),0),"")</f>
        <v>59</v>
      </c>
      <c r="AT111" t="str">
        <f>IFERROR(ROUND(X111*(W111/$AW111)/VLOOKUP(V111,商品!$A$4:$B$60,2,FALSE),0),"")</f>
        <v/>
      </c>
      <c r="AU111">
        <f t="shared" si="61"/>
        <v>45</v>
      </c>
      <c r="AV111">
        <f t="shared" si="62"/>
        <v>20</v>
      </c>
      <c r="AW111">
        <f t="shared" si="63"/>
        <v>1</v>
      </c>
    </row>
    <row r="112" spans="1:49" ht="19.95" customHeight="1" x14ac:dyDescent="0.25">
      <c r="A112" s="16" t="s">
        <v>509</v>
      </c>
      <c r="C112" s="16">
        <v>1</v>
      </c>
      <c r="D112" s="23" t="s">
        <v>174</v>
      </c>
      <c r="E112" s="23" t="s">
        <v>175</v>
      </c>
      <c r="L112" s="16">
        <f>IFERROR(VLOOKUP($D112&amp;$C112,生产方式定位!$A$2:$E$38,2,FALSE)+VLOOKUP($E112&amp;$C112,生产方式定位!$F$3:$J$38,2,FALSE),0)</f>
        <v>0</v>
      </c>
      <c r="S112" s="16">
        <f>IFERROR(VLOOKUP($D112&amp;$C112,生产方式定位!$A$2:$E$38,3,FALSE)+VLOOKUP($E112&amp;$C112,生产方式定位!$F$3:$J$38,3,FALSE),0)</f>
        <v>0</v>
      </c>
      <c r="X112" s="16">
        <f>IFERROR(VLOOKUP($D112&amp;$C112,生产方式定位!$A$2:$E$38,5,FALSE)+VLOOKUP($E112&amp;$C112,生产方式定位!$F$3:$J$38,5,FALSE),"错误")</f>
        <v>0</v>
      </c>
      <c r="Y112" s="26" t="str">
        <f t="shared" si="48"/>
        <v/>
      </c>
      <c r="Z112" s="36" t="str">
        <f t="shared" si="49"/>
        <v/>
      </c>
      <c r="AA112" s="36" t="str">
        <f t="shared" si="50"/>
        <v/>
      </c>
      <c r="AB112" s="27" t="str">
        <f t="shared" si="51"/>
        <v/>
      </c>
      <c r="AC112" s="2" t="str">
        <f t="shared" si="52"/>
        <v/>
      </c>
      <c r="AD112" s="38">
        <f t="shared" si="53"/>
        <v>1</v>
      </c>
      <c r="AE112" t="str">
        <f t="shared" si="54"/>
        <v/>
      </c>
      <c r="AF112" t="str">
        <f t="shared" si="55"/>
        <v/>
      </c>
      <c r="AG112" t="str">
        <f t="shared" si="56"/>
        <v/>
      </c>
      <c r="AH112" t="str">
        <f t="shared" si="57"/>
        <v/>
      </c>
      <c r="AI112" t="str">
        <f t="shared" si="58"/>
        <v/>
      </c>
      <c r="AJ112" t="str">
        <f t="shared" si="59"/>
        <v/>
      </c>
      <c r="AK112" t="str">
        <f t="shared" si="60"/>
        <v/>
      </c>
      <c r="AL112" t="str">
        <f>IFERROR(ROUND(L112*(G112/$AU112)/VLOOKUP(F112,商品!$A$4:$B$60,2,FALSE),0),"")</f>
        <v/>
      </c>
      <c r="AM112" t="str">
        <f>IFERROR(ROUND(L112*(I112/$AU112)/VLOOKUP(H112,商品!$A$4:$B$60,2,FALSE),0),"")</f>
        <v/>
      </c>
      <c r="AN112">
        <f>IFERROR(ROUND(L112*(J112/$AU112)/VLOOKUP("运力",商品!$A$4:$B$60,2,FALSE),0),0)</f>
        <v>0</v>
      </c>
      <c r="AO112">
        <f>IFERROR(ROUND(L112*(K112/$AU112)/VLOOKUP("交易",商品!$A$4:$B$60,2,FALSE),0),0)</f>
        <v>0</v>
      </c>
      <c r="AP112" t="str">
        <f>IFERROR(ROUND(S112*(N112/$AV112)/VLOOKUP(M112,职业!$A$4:$G$16,4,FALSE),0),"")</f>
        <v/>
      </c>
      <c r="AQ112" t="str">
        <f>IFERROR(ROUND(S112*(P112/$AV112)/VLOOKUP(O112,职业!$A$4:$G$16,4,FALSE),0),"")</f>
        <v/>
      </c>
      <c r="AR112" t="str">
        <f>IFERROR(ROUND(S112*(R112/$AV112)/VLOOKUP(Q112,职业!$A$4:$G$16,4,FALSE),0),"")</f>
        <v/>
      </c>
      <c r="AS112" t="str">
        <f>IFERROR(ROUND(X112*(U112/$AW112)/VLOOKUP(T112,商品!$A$4:$B$60,2,FALSE),0),"")</f>
        <v/>
      </c>
      <c r="AT112" t="str">
        <f>IFERROR(ROUND(X112*(W112/$AW112)/VLOOKUP(V112,商品!$A$4:$B$60,2,FALSE),0),"")</f>
        <v/>
      </c>
      <c r="AU112">
        <f t="shared" si="61"/>
        <v>0</v>
      </c>
      <c r="AV112">
        <f t="shared" si="62"/>
        <v>0</v>
      </c>
      <c r="AW112">
        <f t="shared" si="63"/>
        <v>0</v>
      </c>
    </row>
    <row r="113" spans="1:49" ht="19.95" customHeight="1" x14ac:dyDescent="0.25">
      <c r="A113" s="16" t="s">
        <v>509</v>
      </c>
      <c r="C113" s="16">
        <v>2</v>
      </c>
      <c r="D113" s="23" t="s">
        <v>174</v>
      </c>
      <c r="E113" s="23" t="s">
        <v>175</v>
      </c>
      <c r="F113" s="2" t="s">
        <v>41</v>
      </c>
      <c r="G113" s="2">
        <v>10</v>
      </c>
      <c r="L113" s="16">
        <f>IFERROR(VLOOKUP($D113&amp;$C113,生产方式定位!$A$2:$E$38,2,FALSE)+VLOOKUP($E113&amp;$C113,生产方式定位!$F$3:$J$38,2,FALSE),0)</f>
        <v>50</v>
      </c>
      <c r="M113" s="2" t="s">
        <v>80</v>
      </c>
      <c r="N113" s="2">
        <v>-20</v>
      </c>
      <c r="O113" s="2" t="s">
        <v>73</v>
      </c>
      <c r="P113" s="2">
        <v>5</v>
      </c>
      <c r="S113" s="16">
        <f>IFERROR(VLOOKUP($D113&amp;$C113,生产方式定位!$A$2:$E$38,3,FALSE)+VLOOKUP($E113&amp;$C113,生产方式定位!$F$3:$J$38,3,FALSE),0)</f>
        <v>10</v>
      </c>
      <c r="T113" s="2" t="s">
        <v>27</v>
      </c>
      <c r="U113" s="2">
        <v>1</v>
      </c>
      <c r="X113" s="16">
        <f>IFERROR(VLOOKUP($D113&amp;$C113,生产方式定位!$A$2:$E$38,5,FALSE)+VLOOKUP($E113&amp;$C113,生产方式定位!$F$3:$J$38,5,FALSE),"错误")</f>
        <v>0</v>
      </c>
      <c r="Y113" s="26" t="str">
        <f t="shared" si="48"/>
        <v>工具*1</v>
      </c>
      <c r="Z113" s="36" t="str">
        <f t="shared" si="49"/>
        <v>劳工*-362,工程师*30</v>
      </c>
      <c r="AA113" s="36" t="str">
        <f t="shared" si="50"/>
        <v>家具*0</v>
      </c>
      <c r="AB113" s="27" t="str">
        <f t="shared" si="51"/>
        <v>-100%</v>
      </c>
      <c r="AC113" s="2">
        <f t="shared" si="52"/>
        <v>-60</v>
      </c>
      <c r="AD113" s="38">
        <f t="shared" si="53"/>
        <v>2</v>
      </c>
      <c r="AE113" t="str">
        <f t="shared" si="54"/>
        <v>工具*1</v>
      </c>
      <c r="AF113" t="str">
        <f t="shared" si="55"/>
        <v/>
      </c>
      <c r="AG113" t="str">
        <f t="shared" si="56"/>
        <v>劳工*-362</v>
      </c>
      <c r="AH113" t="str">
        <f t="shared" si="57"/>
        <v>工程师*30</v>
      </c>
      <c r="AI113" t="str">
        <f t="shared" si="58"/>
        <v/>
      </c>
      <c r="AJ113" t="str">
        <f t="shared" si="59"/>
        <v>家具*0</v>
      </c>
      <c r="AK113" t="str">
        <f t="shared" si="60"/>
        <v/>
      </c>
      <c r="AL113">
        <f>IFERROR(ROUND(L113*(G113/$AU113)/VLOOKUP(F113,商品!$A$4:$B$60,2,FALSE),0),"")</f>
        <v>1</v>
      </c>
      <c r="AM113" t="str">
        <f>IFERROR(ROUND(L113*(I113/$AU113)/VLOOKUP(H113,商品!$A$4:$B$60,2,FALSE),0),"")</f>
        <v/>
      </c>
      <c r="AN113">
        <f>IFERROR(ROUND(L113*(J113/$AU113)/VLOOKUP("运力",商品!$A$4:$B$60,2,FALSE),0),0)</f>
        <v>0</v>
      </c>
      <c r="AO113">
        <f>IFERROR(ROUND(L113*(K113/$AU113)/VLOOKUP("交易",商品!$A$4:$B$60,2,FALSE),0),0)</f>
        <v>0</v>
      </c>
      <c r="AP113">
        <f>IFERROR(ROUND(S113*(N113/$AV113)/VLOOKUP(M113,职业!$A$4:$G$16,4,FALSE),0),"")</f>
        <v>-362</v>
      </c>
      <c r="AQ113">
        <f>IFERROR(ROUND(S113*(P113/$AV113)/VLOOKUP(O113,职业!$A$4:$G$16,4,FALSE),0),"")</f>
        <v>30</v>
      </c>
      <c r="AR113" t="str">
        <f>IFERROR(ROUND(S113*(R113/$AV113)/VLOOKUP(Q113,职业!$A$4:$G$16,4,FALSE),0),"")</f>
        <v/>
      </c>
      <c r="AS113">
        <f>IFERROR(ROUND(X113*(U113/$AW113)/VLOOKUP(T113,商品!$A$4:$B$60,2,FALSE),0),"")</f>
        <v>0</v>
      </c>
      <c r="AT113" t="str">
        <f>IFERROR(ROUND(X113*(W113/$AW113)/VLOOKUP(V113,商品!$A$4:$B$60,2,FALSE),0),"")</f>
        <v/>
      </c>
      <c r="AU113">
        <f t="shared" si="61"/>
        <v>10</v>
      </c>
      <c r="AV113">
        <f t="shared" si="62"/>
        <v>25</v>
      </c>
      <c r="AW113">
        <f t="shared" si="63"/>
        <v>1</v>
      </c>
    </row>
    <row r="114" spans="1:49" ht="19.95" customHeight="1" x14ac:dyDescent="0.25">
      <c r="A114" s="16" t="s">
        <v>509</v>
      </c>
      <c r="C114" s="16">
        <v>3</v>
      </c>
      <c r="D114" s="23" t="s">
        <v>174</v>
      </c>
      <c r="E114" s="23" t="s">
        <v>175</v>
      </c>
      <c r="F114" s="2" t="s">
        <v>41</v>
      </c>
      <c r="G114" s="2">
        <v>10</v>
      </c>
      <c r="L114" s="16">
        <f>IFERROR(VLOOKUP($D114&amp;$C114,生产方式定位!$A$2:$E$38,2,FALSE)+VLOOKUP($E114&amp;$C114,生产方式定位!$F$3:$J$38,2,FALSE),0)</f>
        <v>100</v>
      </c>
      <c r="M114" s="2" t="s">
        <v>80</v>
      </c>
      <c r="N114" s="2">
        <v>-20</v>
      </c>
      <c r="O114" s="2" t="s">
        <v>73</v>
      </c>
      <c r="P114" s="2">
        <v>7</v>
      </c>
      <c r="S114" s="16">
        <f>IFERROR(VLOOKUP($D114&amp;$C114,生产方式定位!$A$2:$E$38,3,FALSE)+VLOOKUP($E114&amp;$C114,生产方式定位!$F$3:$J$38,3,FALSE),0)</f>
        <v>20</v>
      </c>
      <c r="T114" s="2" t="s">
        <v>27</v>
      </c>
      <c r="U114" s="2">
        <v>1</v>
      </c>
      <c r="X114" s="16">
        <f>IFERROR(VLOOKUP($D114&amp;$C114,生产方式定位!$A$2:$E$38,5,FALSE)+VLOOKUP($E114&amp;$C114,生产方式定位!$F$3:$J$38,5,FALSE),"错误")</f>
        <v>0</v>
      </c>
      <c r="Y114" s="26" t="str">
        <f t="shared" si="48"/>
        <v>工具*3</v>
      </c>
      <c r="Z114" s="36" t="str">
        <f t="shared" si="49"/>
        <v>劳工*-670,工程师*78</v>
      </c>
      <c r="AA114" s="36" t="str">
        <f t="shared" si="50"/>
        <v>家具*0</v>
      </c>
      <c r="AB114" s="27" t="str">
        <f t="shared" si="51"/>
        <v>-100%</v>
      </c>
      <c r="AC114" s="2">
        <f t="shared" si="52"/>
        <v>-120</v>
      </c>
      <c r="AD114" s="38">
        <f t="shared" si="53"/>
        <v>3</v>
      </c>
      <c r="AE114" t="str">
        <f t="shared" si="54"/>
        <v>工具*3</v>
      </c>
      <c r="AF114" t="str">
        <f t="shared" si="55"/>
        <v/>
      </c>
      <c r="AG114" t="str">
        <f t="shared" si="56"/>
        <v>劳工*-670</v>
      </c>
      <c r="AH114" t="str">
        <f t="shared" si="57"/>
        <v>工程师*78</v>
      </c>
      <c r="AI114" t="str">
        <f t="shared" si="58"/>
        <v/>
      </c>
      <c r="AJ114" t="str">
        <f t="shared" si="59"/>
        <v>家具*0</v>
      </c>
      <c r="AK114" t="str">
        <f t="shared" si="60"/>
        <v/>
      </c>
      <c r="AL114">
        <f>IFERROR(ROUND(L114*(G114/$AU114)/VLOOKUP(F114,商品!$A$4:$B$60,2,FALSE),0),"")</f>
        <v>3</v>
      </c>
      <c r="AM114" t="str">
        <f>IFERROR(ROUND(L114*(I114/$AU114)/VLOOKUP(H114,商品!$A$4:$B$60,2,FALSE),0),"")</f>
        <v/>
      </c>
      <c r="AN114">
        <f>IFERROR(ROUND(L114*(J114/$AU114)/VLOOKUP("运力",商品!$A$4:$B$60,2,FALSE),0),0)</f>
        <v>0</v>
      </c>
      <c r="AO114">
        <f>IFERROR(ROUND(L114*(K114/$AU114)/VLOOKUP("交易",商品!$A$4:$B$60,2,FALSE),0),0)</f>
        <v>0</v>
      </c>
      <c r="AP114">
        <f>IFERROR(ROUND(S114*(N114/$AV114)/VLOOKUP(M114,职业!$A$4:$G$16,4,FALSE),0),"")</f>
        <v>-670</v>
      </c>
      <c r="AQ114">
        <f>IFERROR(ROUND(S114*(P114/$AV114)/VLOOKUP(O114,职业!$A$4:$G$16,4,FALSE),0),"")</f>
        <v>78</v>
      </c>
      <c r="AR114" t="str">
        <f>IFERROR(ROUND(S114*(R114/$AV114)/VLOOKUP(Q114,职业!$A$4:$G$16,4,FALSE),0),"")</f>
        <v/>
      </c>
      <c r="AS114">
        <f>IFERROR(ROUND(X114*(U114/$AW114)/VLOOKUP(T114,商品!$A$4:$B$60,2,FALSE),0),"")</f>
        <v>0</v>
      </c>
      <c r="AT114" t="str">
        <f>IFERROR(ROUND(X114*(W114/$AW114)/VLOOKUP(V114,商品!$A$4:$B$60,2,FALSE),0),"")</f>
        <v/>
      </c>
      <c r="AU114">
        <f t="shared" si="61"/>
        <v>10</v>
      </c>
      <c r="AV114">
        <f t="shared" si="62"/>
        <v>27</v>
      </c>
      <c r="AW114">
        <f t="shared" si="63"/>
        <v>1</v>
      </c>
    </row>
    <row r="115" spans="1:49" ht="19.95" customHeight="1" x14ac:dyDescent="0.25">
      <c r="A115" s="16" t="s">
        <v>509</v>
      </c>
      <c r="C115" s="16">
        <v>4</v>
      </c>
      <c r="D115" s="23" t="s">
        <v>174</v>
      </c>
      <c r="E115" s="23" t="s">
        <v>175</v>
      </c>
      <c r="F115" s="2" t="s">
        <v>45</v>
      </c>
      <c r="G115" s="2">
        <v>5</v>
      </c>
      <c r="H115" s="2" t="s">
        <v>19</v>
      </c>
      <c r="I115" s="2">
        <v>10</v>
      </c>
      <c r="L115" s="16">
        <f>IFERROR(VLOOKUP($D115&amp;$C115,生产方式定位!$A$2:$E$38,2,FALSE)+VLOOKUP($E115&amp;$C115,生产方式定位!$F$3:$J$38,2,FALSE),0)</f>
        <v>150</v>
      </c>
      <c r="M115" s="2" t="s">
        <v>80</v>
      </c>
      <c r="N115" s="2">
        <v>-20</v>
      </c>
      <c r="O115" s="2" t="s">
        <v>73</v>
      </c>
      <c r="P115" s="2">
        <v>9</v>
      </c>
      <c r="S115" s="16">
        <f>IFERROR(VLOOKUP($D115&amp;$C115,生产方式定位!$A$2:$E$38,3,FALSE)+VLOOKUP($E115&amp;$C115,生产方式定位!$F$3:$J$38,3,FALSE),0)</f>
        <v>30</v>
      </c>
      <c r="T115" s="2" t="s">
        <v>27</v>
      </c>
      <c r="U115" s="2">
        <v>1</v>
      </c>
      <c r="X115" s="16">
        <f>IFERROR(VLOOKUP($D115&amp;$C115,生产方式定位!$A$2:$E$38,5,FALSE)+VLOOKUP($E115&amp;$C115,生产方式定位!$F$3:$J$38,5,FALSE),"错误")</f>
        <v>0</v>
      </c>
      <c r="Y115" s="26" t="str">
        <f t="shared" si="48"/>
        <v>科学引擎*1,煤*3</v>
      </c>
      <c r="Z115" s="36" t="str">
        <f t="shared" si="49"/>
        <v>劳工*-936,工程师*140</v>
      </c>
      <c r="AA115" s="36" t="str">
        <f t="shared" si="50"/>
        <v>家具*0</v>
      </c>
      <c r="AB115" s="27" t="str">
        <f t="shared" si="51"/>
        <v>-100%</v>
      </c>
      <c r="AC115" s="2">
        <f t="shared" si="52"/>
        <v>-180</v>
      </c>
      <c r="AD115" s="38">
        <f t="shared" si="53"/>
        <v>4</v>
      </c>
      <c r="AE115" t="str">
        <f t="shared" si="54"/>
        <v>科学引擎*1</v>
      </c>
      <c r="AF115" t="str">
        <f t="shared" si="55"/>
        <v>煤*3</v>
      </c>
      <c r="AG115" t="str">
        <f t="shared" si="56"/>
        <v>劳工*-936</v>
      </c>
      <c r="AH115" t="str">
        <f t="shared" si="57"/>
        <v>工程师*140</v>
      </c>
      <c r="AI115" t="str">
        <f t="shared" si="58"/>
        <v/>
      </c>
      <c r="AJ115" t="str">
        <f t="shared" si="59"/>
        <v>家具*0</v>
      </c>
      <c r="AK115" t="str">
        <f t="shared" si="60"/>
        <v/>
      </c>
      <c r="AL115">
        <f>IFERROR(ROUND(L115*(G115/$AU115)/VLOOKUP(F115,商品!$A$4:$B$60,2,FALSE),0),"")</f>
        <v>1</v>
      </c>
      <c r="AM115">
        <f>IFERROR(ROUND(L115*(I115/$AU115)/VLOOKUP(H115,商品!$A$4:$B$60,2,FALSE),0),"")</f>
        <v>3</v>
      </c>
      <c r="AN115">
        <f>IFERROR(ROUND(L115*(J115/$AU115)/VLOOKUP("运力",商品!$A$4:$B$60,2,FALSE),0),0)</f>
        <v>0</v>
      </c>
      <c r="AO115">
        <f>IFERROR(ROUND(L115*(K115/$AU115)/VLOOKUP("交易",商品!$A$4:$B$60,2,FALSE),0),0)</f>
        <v>0</v>
      </c>
      <c r="AP115">
        <f>IFERROR(ROUND(S115*(N115/$AV115)/VLOOKUP(M115,职业!$A$4:$G$16,4,FALSE),0),"")</f>
        <v>-936</v>
      </c>
      <c r="AQ115">
        <f>IFERROR(ROUND(S115*(P115/$AV115)/VLOOKUP(O115,职业!$A$4:$G$16,4,FALSE),0),"")</f>
        <v>140</v>
      </c>
      <c r="AR115" t="str">
        <f>IFERROR(ROUND(S115*(R115/$AV115)/VLOOKUP(Q115,职业!$A$4:$G$16,4,FALSE),0),"")</f>
        <v/>
      </c>
      <c r="AS115">
        <f>IFERROR(ROUND(X115*(U115/$AW115)/VLOOKUP(T115,商品!$A$4:$B$60,2,FALSE),0),"")</f>
        <v>0</v>
      </c>
      <c r="AT115" t="str">
        <f>IFERROR(ROUND(X115*(W115/$AW115)/VLOOKUP(V115,商品!$A$4:$B$60,2,FALSE),0),"")</f>
        <v/>
      </c>
      <c r="AU115">
        <f t="shared" si="61"/>
        <v>15</v>
      </c>
      <c r="AV115">
        <f t="shared" si="62"/>
        <v>29</v>
      </c>
      <c r="AW115">
        <f t="shared" si="63"/>
        <v>1</v>
      </c>
    </row>
    <row r="116" spans="1:49" ht="19.95" customHeight="1" x14ac:dyDescent="0.25">
      <c r="A116" s="16" t="s">
        <v>509</v>
      </c>
      <c r="C116" s="16">
        <v>5</v>
      </c>
      <c r="D116" s="23" t="s">
        <v>174</v>
      </c>
      <c r="E116" s="23" t="s">
        <v>175</v>
      </c>
      <c r="F116" s="2" t="s">
        <v>46</v>
      </c>
      <c r="G116" s="2">
        <v>5</v>
      </c>
      <c r="H116" s="2" t="s">
        <v>19</v>
      </c>
      <c r="I116" s="2">
        <v>10</v>
      </c>
      <c r="L116" s="16">
        <f>IFERROR(VLOOKUP($D116&amp;$C116,生产方式定位!$A$2:$E$38,2,FALSE)+VLOOKUP($E116&amp;$C116,生产方式定位!$F$3:$J$38,2,FALSE),0)</f>
        <v>200</v>
      </c>
      <c r="M116" s="2" t="s">
        <v>80</v>
      </c>
      <c r="N116" s="2">
        <v>-20</v>
      </c>
      <c r="O116" s="2" t="s">
        <v>73</v>
      </c>
      <c r="P116" s="2">
        <v>11</v>
      </c>
      <c r="S116" s="16">
        <f>IFERROR(VLOOKUP($D116&amp;$C116,生产方式定位!$A$2:$E$38,3,FALSE)+VLOOKUP($E116&amp;$C116,生产方式定位!$F$3:$J$38,3,FALSE),0)</f>
        <v>40</v>
      </c>
      <c r="T116" s="2" t="s">
        <v>27</v>
      </c>
      <c r="U116" s="2">
        <v>1</v>
      </c>
      <c r="X116" s="16">
        <f>IFERROR(VLOOKUP($D116&amp;$C116,生产方式定位!$A$2:$E$38,5,FALSE)+VLOOKUP($E116&amp;$C116,生产方式定位!$F$3:$J$38,5,FALSE),"错误")</f>
        <v>0</v>
      </c>
      <c r="Y116" s="26" t="str">
        <f t="shared" si="48"/>
        <v>魔导引擎*1,煤*4</v>
      </c>
      <c r="Z116" s="36" t="str">
        <f t="shared" si="49"/>
        <v>劳工*-1168,工程师*214</v>
      </c>
      <c r="AA116" s="36" t="str">
        <f t="shared" si="50"/>
        <v>家具*0</v>
      </c>
      <c r="AB116" s="27" t="str">
        <f t="shared" si="51"/>
        <v>-100%</v>
      </c>
      <c r="AC116" s="2">
        <f t="shared" si="52"/>
        <v>-240</v>
      </c>
      <c r="AD116" s="38">
        <f t="shared" si="53"/>
        <v>5</v>
      </c>
      <c r="AE116" t="str">
        <f t="shared" si="54"/>
        <v>魔导引擎*1</v>
      </c>
      <c r="AF116" t="str">
        <f t="shared" si="55"/>
        <v>煤*4</v>
      </c>
      <c r="AG116" t="str">
        <f t="shared" si="56"/>
        <v>劳工*-1168</v>
      </c>
      <c r="AH116" t="str">
        <f t="shared" si="57"/>
        <v>工程师*214</v>
      </c>
      <c r="AI116" t="str">
        <f t="shared" si="58"/>
        <v/>
      </c>
      <c r="AJ116" t="str">
        <f t="shared" si="59"/>
        <v>家具*0</v>
      </c>
      <c r="AK116" t="str">
        <f t="shared" si="60"/>
        <v/>
      </c>
      <c r="AL116">
        <f>IFERROR(ROUND(L116*(G116/$AU116)/VLOOKUP(F116,商品!$A$4:$B$60,2,FALSE),0),"")</f>
        <v>1</v>
      </c>
      <c r="AM116">
        <f>IFERROR(ROUND(L116*(I116/$AU116)/VLOOKUP(H116,商品!$A$4:$B$60,2,FALSE),0),"")</f>
        <v>4</v>
      </c>
      <c r="AN116">
        <f>IFERROR(ROUND(L116*(J116/$AU116)/VLOOKUP("运力",商品!$A$4:$B$60,2,FALSE),0),0)</f>
        <v>0</v>
      </c>
      <c r="AO116">
        <f>IFERROR(ROUND(L116*(K116/$AU116)/VLOOKUP("交易",商品!$A$4:$B$60,2,FALSE),0),0)</f>
        <v>0</v>
      </c>
      <c r="AP116">
        <f>IFERROR(ROUND(S116*(N116/$AV116)/VLOOKUP(M116,职业!$A$4:$G$16,4,FALSE),0),"")</f>
        <v>-1168</v>
      </c>
      <c r="AQ116">
        <f>IFERROR(ROUND(S116*(P116/$AV116)/VLOOKUP(O116,职业!$A$4:$G$16,4,FALSE),0),"")</f>
        <v>214</v>
      </c>
      <c r="AR116" t="str">
        <f>IFERROR(ROUND(S116*(R116/$AV116)/VLOOKUP(Q116,职业!$A$4:$G$16,4,FALSE),0),"")</f>
        <v/>
      </c>
      <c r="AS116">
        <f>IFERROR(ROUND(X116*(U116/$AW116)/VLOOKUP(T116,商品!$A$4:$B$60,2,FALSE),0),"")</f>
        <v>0</v>
      </c>
      <c r="AT116" t="str">
        <f>IFERROR(ROUND(X116*(W116/$AW116)/VLOOKUP(V116,商品!$A$4:$B$60,2,FALSE),0),"")</f>
        <v/>
      </c>
      <c r="AU116">
        <f t="shared" si="61"/>
        <v>15</v>
      </c>
      <c r="AV116">
        <f t="shared" si="62"/>
        <v>31</v>
      </c>
      <c r="AW116">
        <f t="shared" si="63"/>
        <v>1</v>
      </c>
    </row>
    <row r="117" spans="1:49" ht="19.95" customHeight="1" x14ac:dyDescent="0.25">
      <c r="A117" s="15" t="s">
        <v>509</v>
      </c>
      <c r="C117" s="15">
        <v>1</v>
      </c>
      <c r="D117" s="23" t="s">
        <v>174</v>
      </c>
      <c r="E117" s="23" t="s">
        <v>177</v>
      </c>
      <c r="L117" s="15">
        <f>IFERROR(VLOOKUP($D117&amp;$C117,生产方式定位!$A$2:$E$38,2,FALSE)+VLOOKUP($E117&amp;$C117,生产方式定位!$F$3:$J$38,2,FALSE),0)</f>
        <v>0</v>
      </c>
      <c r="S117" s="15">
        <f>IFERROR(VLOOKUP($D117&amp;$C117,生产方式定位!$A$2:$E$38,3,FALSE)+VLOOKUP($E117&amp;$C117,生产方式定位!$F$3:$J$38,3,FALSE),0)</f>
        <v>0</v>
      </c>
      <c r="X117" s="15">
        <f>IFERROR(VLOOKUP($D117&amp;$C117,生产方式定位!$A$2:$E$38,5,FALSE)+VLOOKUP($E117&amp;$C117,生产方式定位!$F$3:$J$38,5,FALSE),"错误")</f>
        <v>0</v>
      </c>
      <c r="Y117" s="26" t="str">
        <f t="shared" si="48"/>
        <v/>
      </c>
      <c r="Z117" s="36" t="str">
        <f t="shared" si="49"/>
        <v/>
      </c>
      <c r="AA117" s="36" t="str">
        <f t="shared" si="50"/>
        <v/>
      </c>
      <c r="AB117" s="27" t="str">
        <f t="shared" si="51"/>
        <v/>
      </c>
      <c r="AC117" s="2" t="str">
        <f t="shared" si="52"/>
        <v/>
      </c>
      <c r="AD117" s="37">
        <f t="shared" si="53"/>
        <v>1</v>
      </c>
      <c r="AE117" t="str">
        <f t="shared" si="54"/>
        <v/>
      </c>
      <c r="AF117" t="str">
        <f t="shared" si="55"/>
        <v/>
      </c>
      <c r="AG117" t="str">
        <f t="shared" si="56"/>
        <v/>
      </c>
      <c r="AH117" t="str">
        <f t="shared" si="57"/>
        <v/>
      </c>
      <c r="AI117" t="str">
        <f t="shared" si="58"/>
        <v/>
      </c>
      <c r="AJ117" t="str">
        <f t="shared" si="59"/>
        <v/>
      </c>
      <c r="AK117" t="str">
        <f t="shared" si="60"/>
        <v/>
      </c>
      <c r="AL117" t="str">
        <f>IFERROR(ROUND(L117*(G117/$AU117)/VLOOKUP(F117,商品!$A$4:$B$60,2,FALSE),0),"")</f>
        <v/>
      </c>
      <c r="AM117" t="str">
        <f>IFERROR(ROUND(L117*(I117/$AU117)/VLOOKUP(H117,商品!$A$4:$B$60,2,FALSE),0),"")</f>
        <v/>
      </c>
      <c r="AN117">
        <f>IFERROR(ROUND(L117*(J117/$AU117)/VLOOKUP("运力",商品!$A$4:$B$60,2,FALSE),0),0)</f>
        <v>0</v>
      </c>
      <c r="AO117">
        <f>IFERROR(ROUND(L117*(K117/$AU117)/VLOOKUP("交易",商品!$A$4:$B$60,2,FALSE),0),0)</f>
        <v>0</v>
      </c>
      <c r="AP117" t="str">
        <f>IFERROR(ROUND(S117*(N117/$AV117)/VLOOKUP(M117,职业!$A$4:$G$16,4,FALSE),0),"")</f>
        <v/>
      </c>
      <c r="AQ117" t="str">
        <f>IFERROR(ROUND(S117*(P117/$AV117)/VLOOKUP(O117,职业!$A$4:$G$16,4,FALSE),0),"")</f>
        <v/>
      </c>
      <c r="AR117" t="str">
        <f>IFERROR(ROUND(S117*(R117/$AV117)/VLOOKUP(Q117,职业!$A$4:$G$16,4,FALSE),0),"")</f>
        <v/>
      </c>
      <c r="AS117" t="str">
        <f>IFERROR(ROUND(X117*(U117/$AW117)/VLOOKUP(T117,商品!$A$4:$B$60,2,FALSE),0),"")</f>
        <v/>
      </c>
      <c r="AT117" t="str">
        <f>IFERROR(ROUND(X117*(W117/$AW117)/VLOOKUP(V117,商品!$A$4:$B$60,2,FALSE),0),"")</f>
        <v/>
      </c>
      <c r="AU117">
        <f t="shared" si="61"/>
        <v>0</v>
      </c>
      <c r="AV117">
        <f t="shared" si="62"/>
        <v>0</v>
      </c>
      <c r="AW117">
        <f t="shared" si="63"/>
        <v>0</v>
      </c>
    </row>
    <row r="118" spans="1:49" ht="19.95" customHeight="1" x14ac:dyDescent="0.25">
      <c r="A118" s="15" t="s">
        <v>509</v>
      </c>
      <c r="C118" s="15">
        <v>2</v>
      </c>
      <c r="D118" s="23" t="s">
        <v>174</v>
      </c>
      <c r="E118" s="23" t="s">
        <v>177</v>
      </c>
      <c r="F118" s="2" t="s">
        <v>42</v>
      </c>
      <c r="G118" s="2">
        <v>5</v>
      </c>
      <c r="H118" s="2" t="s">
        <v>20</v>
      </c>
      <c r="I118" s="2">
        <v>10</v>
      </c>
      <c r="L118" s="15">
        <f>IFERROR(VLOOKUP($D118&amp;$C118,生产方式定位!$A$2:$E$38,2,FALSE)+VLOOKUP($E118&amp;$C118,生产方式定位!$F$3:$J$38,2,FALSE),0)</f>
        <v>105</v>
      </c>
      <c r="M118" s="2" t="s">
        <v>80</v>
      </c>
      <c r="N118" s="2">
        <v>-20</v>
      </c>
      <c r="O118" s="2" t="s">
        <v>74</v>
      </c>
      <c r="P118" s="2">
        <v>5</v>
      </c>
      <c r="S118" s="15">
        <f>IFERROR(VLOOKUP($D118&amp;$C118,生产方式定位!$A$2:$E$38,3,FALSE)+VLOOKUP($E118&amp;$C118,生产方式定位!$F$3:$J$38,3,FALSE),0)</f>
        <v>15</v>
      </c>
      <c r="T118" s="2" t="s">
        <v>27</v>
      </c>
      <c r="U118" s="2">
        <v>1</v>
      </c>
      <c r="X118" s="15">
        <f>IFERROR(VLOOKUP($D118&amp;$C118,生产方式定位!$A$2:$E$38,5,FALSE)+VLOOKUP($E118&amp;$C118,生产方式定位!$F$3:$J$38,5,FALSE),"错误")</f>
        <v>0</v>
      </c>
      <c r="Y118" s="26" t="str">
        <f t="shared" si="48"/>
        <v>魔偶*1,灵能水晶*2</v>
      </c>
      <c r="Z118" s="36" t="str">
        <f t="shared" si="49"/>
        <v>劳工*-543,法士*34</v>
      </c>
      <c r="AA118" s="36" t="str">
        <f t="shared" si="50"/>
        <v>家具*0</v>
      </c>
      <c r="AB118" s="27" t="str">
        <f t="shared" si="51"/>
        <v>-100%</v>
      </c>
      <c r="AC118" s="2">
        <f t="shared" si="52"/>
        <v>-120</v>
      </c>
      <c r="AD118" s="37">
        <f t="shared" si="53"/>
        <v>2</v>
      </c>
      <c r="AE118" t="str">
        <f t="shared" si="54"/>
        <v>魔偶*1</v>
      </c>
      <c r="AF118" t="str">
        <f t="shared" si="55"/>
        <v>灵能水晶*2</v>
      </c>
      <c r="AG118" t="str">
        <f t="shared" si="56"/>
        <v>劳工*-543</v>
      </c>
      <c r="AH118" t="str">
        <f t="shared" si="57"/>
        <v>法士*34</v>
      </c>
      <c r="AI118" t="str">
        <f t="shared" si="58"/>
        <v/>
      </c>
      <c r="AJ118" t="str">
        <f t="shared" si="59"/>
        <v>家具*0</v>
      </c>
      <c r="AK118" t="str">
        <f t="shared" si="60"/>
        <v/>
      </c>
      <c r="AL118">
        <f>IFERROR(ROUND(L118*(G118/$AU118)/VLOOKUP(F118,商品!$A$4:$B$60,2,FALSE),0),"")</f>
        <v>1</v>
      </c>
      <c r="AM118">
        <f>IFERROR(ROUND(L118*(I118/$AU118)/VLOOKUP(H118,商品!$A$4:$B$60,2,FALSE),0),"")</f>
        <v>2</v>
      </c>
      <c r="AN118">
        <f>IFERROR(ROUND(L118*(J118/$AU118)/VLOOKUP("运力",商品!$A$4:$B$60,2,FALSE),0),0)</f>
        <v>0</v>
      </c>
      <c r="AO118">
        <f>IFERROR(ROUND(L118*(K118/$AU118)/VLOOKUP("交易",商品!$A$4:$B$60,2,FALSE),0),0)</f>
        <v>0</v>
      </c>
      <c r="AP118">
        <f>IFERROR(ROUND(S118*(N118/$AV118)/VLOOKUP(M118,职业!$A$4:$G$16,4,FALSE),0),"")</f>
        <v>-543</v>
      </c>
      <c r="AQ118">
        <f>IFERROR(ROUND(S118*(P118/$AV118)/VLOOKUP(O118,职业!$A$4:$G$16,4,FALSE),0),"")</f>
        <v>34</v>
      </c>
      <c r="AR118" t="str">
        <f>IFERROR(ROUND(S118*(R118/$AV118)/VLOOKUP(Q118,职业!$A$4:$G$16,4,FALSE),0),"")</f>
        <v/>
      </c>
      <c r="AS118">
        <f>IFERROR(ROUND(X118*(U118/$AW118)/VLOOKUP(T118,商品!$A$4:$B$60,2,FALSE),0),"")</f>
        <v>0</v>
      </c>
      <c r="AT118" t="str">
        <f>IFERROR(ROUND(X118*(W118/$AW118)/VLOOKUP(V118,商品!$A$4:$B$60,2,FALSE),0),"")</f>
        <v/>
      </c>
      <c r="AU118">
        <f t="shared" si="61"/>
        <v>15</v>
      </c>
      <c r="AV118">
        <f t="shared" si="62"/>
        <v>25</v>
      </c>
      <c r="AW118">
        <f t="shared" si="63"/>
        <v>1</v>
      </c>
    </row>
    <row r="119" spans="1:49" ht="19.95" customHeight="1" x14ac:dyDescent="0.25">
      <c r="A119" s="15" t="s">
        <v>509</v>
      </c>
      <c r="C119" s="15">
        <v>3</v>
      </c>
      <c r="D119" s="23" t="s">
        <v>174</v>
      </c>
      <c r="E119" s="23" t="s">
        <v>177</v>
      </c>
      <c r="F119" s="2" t="s">
        <v>42</v>
      </c>
      <c r="G119" s="2">
        <v>5</v>
      </c>
      <c r="H119" s="2" t="s">
        <v>20</v>
      </c>
      <c r="I119" s="2">
        <v>10</v>
      </c>
      <c r="L119" s="15">
        <f>IFERROR(VLOOKUP($D119&amp;$C119,生产方式定位!$A$2:$E$38,2,FALSE)+VLOOKUP($E119&amp;$C119,生产方式定位!$F$3:$J$38,2,FALSE),0)</f>
        <v>210</v>
      </c>
      <c r="M119" s="2" t="s">
        <v>80</v>
      </c>
      <c r="N119" s="2">
        <v>-20</v>
      </c>
      <c r="O119" s="2" t="s">
        <v>74</v>
      </c>
      <c r="P119" s="2">
        <v>7</v>
      </c>
      <c r="S119" s="15">
        <f>IFERROR(VLOOKUP($D119&amp;$C119,生产方式定位!$A$2:$E$38,3,FALSE)+VLOOKUP($E119&amp;$C119,生产方式定位!$F$3:$J$38,3,FALSE),0)</f>
        <v>30</v>
      </c>
      <c r="T119" s="2" t="s">
        <v>27</v>
      </c>
      <c r="U119" s="2">
        <v>1</v>
      </c>
      <c r="X119" s="15">
        <f>IFERROR(VLOOKUP($D119&amp;$C119,生产方式定位!$A$2:$E$38,5,FALSE)+VLOOKUP($E119&amp;$C119,生产方式定位!$F$3:$J$38,5,FALSE),"错误")</f>
        <v>0</v>
      </c>
      <c r="Y119" s="26" t="str">
        <f t="shared" si="48"/>
        <v>魔偶*2,灵能水晶*5</v>
      </c>
      <c r="Z119" s="36" t="str">
        <f t="shared" si="49"/>
        <v>劳工*-1006,法士*88</v>
      </c>
      <c r="AA119" s="36" t="str">
        <f t="shared" si="50"/>
        <v>家具*0</v>
      </c>
      <c r="AB119" s="27" t="str">
        <f t="shared" si="51"/>
        <v>-100%</v>
      </c>
      <c r="AC119" s="2">
        <f t="shared" si="52"/>
        <v>-240</v>
      </c>
      <c r="AD119" s="37">
        <f t="shared" si="53"/>
        <v>3</v>
      </c>
      <c r="AE119" t="str">
        <f t="shared" si="54"/>
        <v>魔偶*2</v>
      </c>
      <c r="AF119" t="str">
        <f t="shared" si="55"/>
        <v>灵能水晶*5</v>
      </c>
      <c r="AG119" t="str">
        <f t="shared" si="56"/>
        <v>劳工*-1006</v>
      </c>
      <c r="AH119" t="str">
        <f t="shared" si="57"/>
        <v>法士*88</v>
      </c>
      <c r="AI119" t="str">
        <f t="shared" si="58"/>
        <v/>
      </c>
      <c r="AJ119" t="str">
        <f t="shared" si="59"/>
        <v>家具*0</v>
      </c>
      <c r="AK119" t="str">
        <f t="shared" si="60"/>
        <v/>
      </c>
      <c r="AL119">
        <f>IFERROR(ROUND(L119*(G119/$AU119)/VLOOKUP(F119,商品!$A$4:$B$60,2,FALSE),0),"")</f>
        <v>2</v>
      </c>
      <c r="AM119">
        <f>IFERROR(ROUND(L119*(I119/$AU119)/VLOOKUP(H119,商品!$A$4:$B$60,2,FALSE),0),"")</f>
        <v>5</v>
      </c>
      <c r="AN119">
        <f>IFERROR(ROUND(L119*(J119/$AU119)/VLOOKUP("运力",商品!$A$4:$B$60,2,FALSE),0),0)</f>
        <v>0</v>
      </c>
      <c r="AO119">
        <f>IFERROR(ROUND(L119*(K119/$AU119)/VLOOKUP("交易",商品!$A$4:$B$60,2,FALSE),0),0)</f>
        <v>0</v>
      </c>
      <c r="AP119">
        <f>IFERROR(ROUND(S119*(N119/$AV119)/VLOOKUP(M119,职业!$A$4:$G$16,4,FALSE),0),"")</f>
        <v>-1006</v>
      </c>
      <c r="AQ119">
        <f>IFERROR(ROUND(S119*(P119/$AV119)/VLOOKUP(O119,职业!$A$4:$G$16,4,FALSE),0),"")</f>
        <v>88</v>
      </c>
      <c r="AR119" t="str">
        <f>IFERROR(ROUND(S119*(R119/$AV119)/VLOOKUP(Q119,职业!$A$4:$G$16,4,FALSE),0),"")</f>
        <v/>
      </c>
      <c r="AS119">
        <f>IFERROR(ROUND(X119*(U119/$AW119)/VLOOKUP(T119,商品!$A$4:$B$60,2,FALSE),0),"")</f>
        <v>0</v>
      </c>
      <c r="AT119" t="str">
        <f>IFERROR(ROUND(X119*(W119/$AW119)/VLOOKUP(V119,商品!$A$4:$B$60,2,FALSE),0),"")</f>
        <v/>
      </c>
      <c r="AU119">
        <f t="shared" si="61"/>
        <v>15</v>
      </c>
      <c r="AV119">
        <f t="shared" si="62"/>
        <v>27</v>
      </c>
      <c r="AW119">
        <f t="shared" si="63"/>
        <v>1</v>
      </c>
    </row>
    <row r="120" spans="1:49" ht="19.95" customHeight="1" x14ac:dyDescent="0.25">
      <c r="A120" s="15" t="s">
        <v>509</v>
      </c>
      <c r="C120" s="15">
        <v>4</v>
      </c>
      <c r="D120" s="23" t="s">
        <v>174</v>
      </c>
      <c r="E120" s="23" t="s">
        <v>177</v>
      </c>
      <c r="F120" s="2" t="s">
        <v>42</v>
      </c>
      <c r="G120" s="2">
        <v>5</v>
      </c>
      <c r="H120" s="2" t="s">
        <v>20</v>
      </c>
      <c r="I120" s="2">
        <v>10</v>
      </c>
      <c r="L120" s="15">
        <f>IFERROR(VLOOKUP($D120&amp;$C120,生产方式定位!$A$2:$E$38,2,FALSE)+VLOOKUP($E120&amp;$C120,生产方式定位!$F$3:$J$38,2,FALSE),0)</f>
        <v>315</v>
      </c>
      <c r="M120" s="2" t="s">
        <v>80</v>
      </c>
      <c r="N120" s="2">
        <v>-20</v>
      </c>
      <c r="O120" s="2" t="s">
        <v>74</v>
      </c>
      <c r="P120" s="2">
        <v>9</v>
      </c>
      <c r="S120" s="15">
        <f>IFERROR(VLOOKUP($D120&amp;$C120,生产方式定位!$A$2:$E$38,3,FALSE)+VLOOKUP($E120&amp;$C120,生产方式定位!$F$3:$J$38,3,FALSE),0)</f>
        <v>45</v>
      </c>
      <c r="T120" s="2" t="s">
        <v>27</v>
      </c>
      <c r="U120" s="2">
        <v>1</v>
      </c>
      <c r="X120" s="15">
        <f>IFERROR(VLOOKUP($D120&amp;$C120,生产方式定位!$A$2:$E$38,5,FALSE)+VLOOKUP($E120&amp;$C120,生产方式定位!$F$3:$J$38,5,FALSE),"错误")</f>
        <v>0</v>
      </c>
      <c r="Y120" s="26" t="str">
        <f t="shared" si="48"/>
        <v>魔偶*3,灵能水晶*7</v>
      </c>
      <c r="Z120" s="36" t="str">
        <f t="shared" si="49"/>
        <v>劳工*-1404,法士*158</v>
      </c>
      <c r="AA120" s="36" t="str">
        <f t="shared" si="50"/>
        <v>家具*0</v>
      </c>
      <c r="AB120" s="27" t="str">
        <f t="shared" si="51"/>
        <v>-100%</v>
      </c>
      <c r="AC120" s="2">
        <f t="shared" si="52"/>
        <v>-360</v>
      </c>
      <c r="AD120" s="37">
        <f t="shared" si="53"/>
        <v>4</v>
      </c>
      <c r="AE120" t="str">
        <f t="shared" si="54"/>
        <v>魔偶*3</v>
      </c>
      <c r="AF120" t="str">
        <f t="shared" si="55"/>
        <v>灵能水晶*7</v>
      </c>
      <c r="AG120" t="str">
        <f t="shared" si="56"/>
        <v>劳工*-1404</v>
      </c>
      <c r="AH120" t="str">
        <f t="shared" si="57"/>
        <v>法士*158</v>
      </c>
      <c r="AI120" t="str">
        <f t="shared" si="58"/>
        <v/>
      </c>
      <c r="AJ120" t="str">
        <f t="shared" si="59"/>
        <v>家具*0</v>
      </c>
      <c r="AK120" t="str">
        <f t="shared" si="60"/>
        <v/>
      </c>
      <c r="AL120">
        <f>IFERROR(ROUND(L120*(G120/$AU120)/VLOOKUP(F120,商品!$A$4:$B$60,2,FALSE),0),"")</f>
        <v>3</v>
      </c>
      <c r="AM120">
        <f>IFERROR(ROUND(L120*(I120/$AU120)/VLOOKUP(H120,商品!$A$4:$B$60,2,FALSE),0),"")</f>
        <v>7</v>
      </c>
      <c r="AN120">
        <f>IFERROR(ROUND(L120*(J120/$AU120)/VLOOKUP("运力",商品!$A$4:$B$60,2,FALSE),0),0)</f>
        <v>0</v>
      </c>
      <c r="AO120">
        <f>IFERROR(ROUND(L120*(K120/$AU120)/VLOOKUP("交易",商品!$A$4:$B$60,2,FALSE),0),0)</f>
        <v>0</v>
      </c>
      <c r="AP120">
        <f>IFERROR(ROUND(S120*(N120/$AV120)/VLOOKUP(M120,职业!$A$4:$G$16,4,FALSE),0),"")</f>
        <v>-1404</v>
      </c>
      <c r="AQ120">
        <f>IFERROR(ROUND(S120*(P120/$AV120)/VLOOKUP(O120,职业!$A$4:$G$16,4,FALSE),0),"")</f>
        <v>158</v>
      </c>
      <c r="AR120" t="str">
        <f>IFERROR(ROUND(S120*(R120/$AV120)/VLOOKUP(Q120,职业!$A$4:$G$16,4,FALSE),0),"")</f>
        <v/>
      </c>
      <c r="AS120">
        <f>IFERROR(ROUND(X120*(U120/$AW120)/VLOOKUP(T120,商品!$A$4:$B$60,2,FALSE),0),"")</f>
        <v>0</v>
      </c>
      <c r="AT120" t="str">
        <f>IFERROR(ROUND(X120*(W120/$AW120)/VLOOKUP(V120,商品!$A$4:$B$60,2,FALSE),0),"")</f>
        <v/>
      </c>
      <c r="AU120">
        <f t="shared" si="61"/>
        <v>15</v>
      </c>
      <c r="AV120">
        <f t="shared" si="62"/>
        <v>29</v>
      </c>
      <c r="AW120">
        <f t="shared" si="63"/>
        <v>1</v>
      </c>
    </row>
    <row r="121" spans="1:49" ht="19.95" customHeight="1" x14ac:dyDescent="0.25">
      <c r="A121" s="15" t="s">
        <v>509</v>
      </c>
      <c r="C121" s="15">
        <v>5</v>
      </c>
      <c r="D121" s="23" t="s">
        <v>174</v>
      </c>
      <c r="E121" s="23" t="s">
        <v>177</v>
      </c>
      <c r="F121" s="2" t="s">
        <v>42</v>
      </c>
      <c r="G121" s="2">
        <v>5</v>
      </c>
      <c r="H121" s="2" t="s">
        <v>20</v>
      </c>
      <c r="I121" s="2">
        <v>10</v>
      </c>
      <c r="L121" s="15">
        <f>IFERROR(VLOOKUP($D121&amp;$C121,生产方式定位!$A$2:$E$38,2,FALSE)+VLOOKUP($E121&amp;$C121,生产方式定位!$F$3:$J$38,2,FALSE),0)</f>
        <v>420</v>
      </c>
      <c r="M121" s="2" t="s">
        <v>80</v>
      </c>
      <c r="N121" s="2">
        <v>-20</v>
      </c>
      <c r="O121" s="2" t="s">
        <v>74</v>
      </c>
      <c r="P121" s="2">
        <v>11</v>
      </c>
      <c r="S121" s="15">
        <f>IFERROR(VLOOKUP($D121&amp;$C121,生产方式定位!$A$2:$E$38,3,FALSE)+VLOOKUP($E121&amp;$C121,生产方式定位!$F$3:$J$38,3,FALSE),0)</f>
        <v>60</v>
      </c>
      <c r="T121" s="2" t="s">
        <v>27</v>
      </c>
      <c r="U121" s="2">
        <v>1</v>
      </c>
      <c r="X121" s="15">
        <f>IFERROR(VLOOKUP($D121&amp;$C121,生产方式定位!$A$2:$E$38,5,FALSE)+VLOOKUP($E121&amp;$C121,生产方式定位!$F$3:$J$38,5,FALSE),"错误")</f>
        <v>0</v>
      </c>
      <c r="Y121" s="26" t="str">
        <f t="shared" si="48"/>
        <v>魔偶*4,灵能水晶*9</v>
      </c>
      <c r="Z121" s="36" t="str">
        <f t="shared" si="49"/>
        <v>劳工*-1752,法士*241</v>
      </c>
      <c r="AA121" s="36" t="str">
        <f t="shared" si="50"/>
        <v>家具*0</v>
      </c>
      <c r="AB121" s="27" t="str">
        <f t="shared" si="51"/>
        <v>-100%</v>
      </c>
      <c r="AC121" s="2">
        <f t="shared" si="52"/>
        <v>-480</v>
      </c>
      <c r="AD121" s="37">
        <f t="shared" si="53"/>
        <v>5</v>
      </c>
      <c r="AE121" t="str">
        <f t="shared" si="54"/>
        <v>魔偶*4</v>
      </c>
      <c r="AF121" t="str">
        <f t="shared" si="55"/>
        <v>灵能水晶*9</v>
      </c>
      <c r="AG121" t="str">
        <f t="shared" si="56"/>
        <v>劳工*-1752</v>
      </c>
      <c r="AH121" t="str">
        <f t="shared" si="57"/>
        <v>法士*241</v>
      </c>
      <c r="AI121" t="str">
        <f t="shared" si="58"/>
        <v/>
      </c>
      <c r="AJ121" t="str">
        <f t="shared" si="59"/>
        <v>家具*0</v>
      </c>
      <c r="AK121" t="str">
        <f t="shared" si="60"/>
        <v/>
      </c>
      <c r="AL121">
        <f>IFERROR(ROUND(L121*(G121/$AU121)/VLOOKUP(F121,商品!$A$4:$B$60,2,FALSE),0),"")</f>
        <v>4</v>
      </c>
      <c r="AM121">
        <f>IFERROR(ROUND(L121*(I121/$AU121)/VLOOKUP(H121,商品!$A$4:$B$60,2,FALSE),0),"")</f>
        <v>9</v>
      </c>
      <c r="AN121">
        <f>IFERROR(ROUND(L121*(J121/$AU121)/VLOOKUP("运力",商品!$A$4:$B$60,2,FALSE),0),0)</f>
        <v>0</v>
      </c>
      <c r="AO121">
        <f>IFERROR(ROUND(L121*(K121/$AU121)/VLOOKUP("交易",商品!$A$4:$B$60,2,FALSE),0),0)</f>
        <v>0</v>
      </c>
      <c r="AP121">
        <f>IFERROR(ROUND(S121*(N121/$AV121)/VLOOKUP(M121,职业!$A$4:$G$16,4,FALSE),0),"")</f>
        <v>-1752</v>
      </c>
      <c r="AQ121">
        <f>IFERROR(ROUND(S121*(P121/$AV121)/VLOOKUP(O121,职业!$A$4:$G$16,4,FALSE),0),"")</f>
        <v>241</v>
      </c>
      <c r="AR121" t="str">
        <f>IFERROR(ROUND(S121*(R121/$AV121)/VLOOKUP(Q121,职业!$A$4:$G$16,4,FALSE),0),"")</f>
        <v/>
      </c>
      <c r="AS121">
        <f>IFERROR(ROUND(X121*(U121/$AW121)/VLOOKUP(T121,商品!$A$4:$B$60,2,FALSE),0),"")</f>
        <v>0</v>
      </c>
      <c r="AT121" t="str">
        <f>IFERROR(ROUND(X121*(W121/$AW121)/VLOOKUP(V121,商品!$A$4:$B$60,2,FALSE),0),"")</f>
        <v/>
      </c>
      <c r="AU121">
        <f t="shared" si="61"/>
        <v>15</v>
      </c>
      <c r="AV121">
        <f t="shared" si="62"/>
        <v>31</v>
      </c>
      <c r="AW121">
        <f t="shared" si="63"/>
        <v>1</v>
      </c>
    </row>
    <row r="122" spans="1:49" ht="19.95" customHeight="1" x14ac:dyDescent="0.25">
      <c r="A122" s="16" t="s">
        <v>202</v>
      </c>
      <c r="C122" s="16">
        <v>1</v>
      </c>
      <c r="D122" s="23" t="s">
        <v>174</v>
      </c>
      <c r="E122" s="23" t="s">
        <v>179</v>
      </c>
      <c r="L122" s="16">
        <f>IFERROR(VLOOKUP($D122&amp;$C122,生产方式定位!$A$2:$E$38,2,FALSE)+VLOOKUP($E122&amp;$C122,生产方式定位!$F$3:$J$38,2,FALSE),0)</f>
        <v>0</v>
      </c>
      <c r="S122" s="16">
        <f>IFERROR(VLOOKUP($D122&amp;$C122,生产方式定位!$A$2:$E$38,3,FALSE)+VLOOKUP($E122&amp;$C122,生产方式定位!$F$3:$J$38,3,FALSE),0)</f>
        <v>100</v>
      </c>
      <c r="X122" s="16">
        <f>IFERROR(VLOOKUP($D122&amp;$C122,生产方式定位!$A$2:$E$38,5,FALSE)+VLOOKUP($E122&amp;$C122,生产方式定位!$F$3:$J$38,5,FALSE),"错误")</f>
        <v>100</v>
      </c>
      <c r="Y122" s="26" t="str">
        <f t="shared" si="48"/>
        <v/>
      </c>
      <c r="Z122" s="36" t="str">
        <f t="shared" si="49"/>
        <v/>
      </c>
      <c r="AA122" s="36" t="str">
        <f t="shared" si="50"/>
        <v/>
      </c>
      <c r="AB122" s="27" t="str">
        <f t="shared" si="51"/>
        <v/>
      </c>
      <c r="AC122" s="2" t="str">
        <f t="shared" si="52"/>
        <v/>
      </c>
      <c r="AD122" s="38">
        <f t="shared" si="53"/>
        <v>1</v>
      </c>
      <c r="AE122" t="str">
        <f t="shared" si="54"/>
        <v/>
      </c>
      <c r="AF122" t="str">
        <f t="shared" si="55"/>
        <v/>
      </c>
      <c r="AG122" t="str">
        <f t="shared" si="56"/>
        <v/>
      </c>
      <c r="AH122" t="str">
        <f t="shared" si="57"/>
        <v/>
      </c>
      <c r="AI122" t="str">
        <f t="shared" si="58"/>
        <v/>
      </c>
      <c r="AJ122" t="str">
        <f t="shared" si="59"/>
        <v/>
      </c>
      <c r="AK122" t="str">
        <f t="shared" si="60"/>
        <v/>
      </c>
      <c r="AL122" t="str">
        <f>IFERROR(ROUND(L122*(G122/$AU122)/VLOOKUP(F122,商品!$A$4:$B$60,2,FALSE),0),"")</f>
        <v/>
      </c>
      <c r="AM122" t="str">
        <f>IFERROR(ROUND(L122*(I122/$AU122)/VLOOKUP(H122,商品!$A$4:$B$60,2,FALSE),0),"")</f>
        <v/>
      </c>
      <c r="AN122">
        <f>IFERROR(ROUND(L122*(J122/$AU122)/VLOOKUP("运力",商品!$A$4:$B$60,2,FALSE),0),0)</f>
        <v>0</v>
      </c>
      <c r="AO122">
        <f>IFERROR(ROUND(L122*(K122/$AU122)/VLOOKUP("交易",商品!$A$4:$B$60,2,FALSE),0),0)</f>
        <v>0</v>
      </c>
      <c r="AP122" t="str">
        <f>IFERROR(ROUND(S122*(N122/$AV122)/VLOOKUP(M122,职业!$A$4:$G$16,4,FALSE),0),"")</f>
        <v/>
      </c>
      <c r="AQ122" t="str">
        <f>IFERROR(ROUND(S122*(P122/$AV122)/VLOOKUP(O122,职业!$A$4:$G$16,4,FALSE),0),"")</f>
        <v/>
      </c>
      <c r="AR122" t="str">
        <f>IFERROR(ROUND(S122*(R122/$AV122)/VLOOKUP(Q122,职业!$A$4:$G$16,4,FALSE),0),"")</f>
        <v/>
      </c>
      <c r="AS122" t="str">
        <f>IFERROR(ROUND(X122*(U122/$AW122)/VLOOKUP(T122,商品!$A$4:$B$60,2,FALSE),0),"")</f>
        <v/>
      </c>
      <c r="AT122" t="str">
        <f>IFERROR(ROUND(X122*(W122/$AW122)/VLOOKUP(V122,商品!$A$4:$B$60,2,FALSE),0),"")</f>
        <v/>
      </c>
      <c r="AU122">
        <f t="shared" si="61"/>
        <v>0</v>
      </c>
      <c r="AV122">
        <f t="shared" si="62"/>
        <v>0</v>
      </c>
      <c r="AW122">
        <f t="shared" si="63"/>
        <v>0</v>
      </c>
    </row>
    <row r="123" spans="1:49" ht="19.95" customHeight="1" x14ac:dyDescent="0.25">
      <c r="A123" s="16" t="s">
        <v>202</v>
      </c>
      <c r="C123" s="16">
        <v>2</v>
      </c>
      <c r="D123" s="23" t="s">
        <v>174</v>
      </c>
      <c r="E123" s="23" t="s">
        <v>179</v>
      </c>
      <c r="L123" s="16">
        <f>IFERROR(VLOOKUP($D123&amp;$C123,生产方式定位!$A$2:$E$38,2,FALSE)+VLOOKUP($E123&amp;$C123,生产方式定位!$F$3:$J$38,2,FALSE),0)</f>
        <v>0</v>
      </c>
      <c r="S123" s="16">
        <f>IFERROR(VLOOKUP($D123&amp;$C123,生产方式定位!$A$2:$E$38,3,FALSE)+VLOOKUP($E123&amp;$C123,生产方式定位!$F$3:$J$38,3,FALSE),0)</f>
        <v>100</v>
      </c>
      <c r="X123" s="16">
        <f>IFERROR(VLOOKUP($D123&amp;$C123,生产方式定位!$A$2:$E$38,5,FALSE)+VLOOKUP($E123&amp;$C123,生产方式定位!$F$3:$J$38,5,FALSE),"错误")</f>
        <v>100</v>
      </c>
      <c r="Y123" s="26" t="str">
        <f t="shared" si="48"/>
        <v/>
      </c>
      <c r="Z123" s="36" t="str">
        <f t="shared" si="49"/>
        <v/>
      </c>
      <c r="AA123" s="36" t="str">
        <f t="shared" si="50"/>
        <v/>
      </c>
      <c r="AB123" s="27" t="str">
        <f t="shared" si="51"/>
        <v/>
      </c>
      <c r="AC123" s="2" t="str">
        <f t="shared" si="52"/>
        <v/>
      </c>
      <c r="AD123" s="38">
        <f t="shared" si="53"/>
        <v>2</v>
      </c>
      <c r="AE123" t="str">
        <f t="shared" si="54"/>
        <v/>
      </c>
      <c r="AF123" t="str">
        <f t="shared" si="55"/>
        <v/>
      </c>
      <c r="AG123" t="str">
        <f t="shared" si="56"/>
        <v/>
      </c>
      <c r="AH123" t="str">
        <f t="shared" si="57"/>
        <v/>
      </c>
      <c r="AI123" t="str">
        <f t="shared" si="58"/>
        <v/>
      </c>
      <c r="AJ123" t="str">
        <f t="shared" si="59"/>
        <v/>
      </c>
      <c r="AK123" t="str">
        <f t="shared" si="60"/>
        <v/>
      </c>
      <c r="AL123" t="str">
        <f>IFERROR(ROUND(L123*(G123/$AU123)/VLOOKUP(F123,商品!$A$4:$B$60,2,FALSE),0),"")</f>
        <v/>
      </c>
      <c r="AM123" t="str">
        <f>IFERROR(ROUND(L123*(I123/$AU123)/VLOOKUP(H123,商品!$A$4:$B$60,2,FALSE),0),"")</f>
        <v/>
      </c>
      <c r="AN123">
        <f>IFERROR(ROUND(L123*(J123/$AU123)/VLOOKUP("运力",商品!$A$4:$B$60,2,FALSE),0),0)</f>
        <v>0</v>
      </c>
      <c r="AO123">
        <f>IFERROR(ROUND(L123*(K123/$AU123)/VLOOKUP("交易",商品!$A$4:$B$60,2,FALSE),0),0)</f>
        <v>0</v>
      </c>
      <c r="AP123" t="str">
        <f>IFERROR(ROUND(S123*(N123/$AV123)/VLOOKUP(M123,职业!$A$4:$G$16,4,FALSE),0),"")</f>
        <v/>
      </c>
      <c r="AQ123" t="str">
        <f>IFERROR(ROUND(S123*(P123/$AV123)/VLOOKUP(O123,职业!$A$4:$G$16,4,FALSE),0),"")</f>
        <v/>
      </c>
      <c r="AR123" t="str">
        <f>IFERROR(ROUND(S123*(R123/$AV123)/VLOOKUP(Q123,职业!$A$4:$G$16,4,FALSE),0),"")</f>
        <v/>
      </c>
      <c r="AS123" t="str">
        <f>IFERROR(ROUND(X123*(U123/$AW123)/VLOOKUP(T123,商品!$A$4:$B$60,2,FALSE),0),"")</f>
        <v/>
      </c>
      <c r="AT123" t="str">
        <f>IFERROR(ROUND(X123*(W123/$AW123)/VLOOKUP(V123,商品!$A$4:$B$60,2,FALSE),0),"")</f>
        <v/>
      </c>
      <c r="AU123">
        <f t="shared" si="61"/>
        <v>0</v>
      </c>
      <c r="AV123">
        <f t="shared" si="62"/>
        <v>0</v>
      </c>
      <c r="AW123">
        <f t="shared" si="63"/>
        <v>0</v>
      </c>
    </row>
    <row r="124" spans="1:49" ht="19.95" customHeight="1" x14ac:dyDescent="0.25">
      <c r="A124" s="16" t="s">
        <v>202</v>
      </c>
      <c r="C124" s="16">
        <v>3</v>
      </c>
      <c r="D124" s="23" t="s">
        <v>174</v>
      </c>
      <c r="E124" s="23" t="s">
        <v>179</v>
      </c>
      <c r="L124" s="16">
        <f>IFERROR(VLOOKUP($D124&amp;$C124,生产方式定位!$A$2:$E$38,2,FALSE)+VLOOKUP($E124&amp;$C124,生产方式定位!$F$3:$J$38,2,FALSE),0)</f>
        <v>0</v>
      </c>
      <c r="S124" s="16">
        <f>IFERROR(VLOOKUP($D124&amp;$C124,生产方式定位!$A$2:$E$38,3,FALSE)+VLOOKUP($E124&amp;$C124,生产方式定位!$F$3:$J$38,3,FALSE),0)</f>
        <v>100</v>
      </c>
      <c r="X124" s="16">
        <f>IFERROR(VLOOKUP($D124&amp;$C124,生产方式定位!$A$2:$E$38,5,FALSE)+VLOOKUP($E124&amp;$C124,生产方式定位!$F$3:$J$38,5,FALSE),"错误")</f>
        <v>100</v>
      </c>
      <c r="Y124" s="26" t="str">
        <f t="shared" si="48"/>
        <v/>
      </c>
      <c r="Z124" s="36" t="str">
        <f t="shared" si="49"/>
        <v/>
      </c>
      <c r="AA124" s="36" t="str">
        <f t="shared" si="50"/>
        <v/>
      </c>
      <c r="AB124" s="27" t="str">
        <f t="shared" si="51"/>
        <v/>
      </c>
      <c r="AC124" s="2" t="str">
        <f t="shared" si="52"/>
        <v/>
      </c>
      <c r="AD124" s="38">
        <f t="shared" si="53"/>
        <v>3</v>
      </c>
      <c r="AE124" t="str">
        <f t="shared" si="54"/>
        <v/>
      </c>
      <c r="AF124" t="str">
        <f t="shared" si="55"/>
        <v/>
      </c>
      <c r="AG124" t="str">
        <f t="shared" si="56"/>
        <v/>
      </c>
      <c r="AH124" t="str">
        <f t="shared" si="57"/>
        <v/>
      </c>
      <c r="AI124" t="str">
        <f t="shared" si="58"/>
        <v/>
      </c>
      <c r="AJ124" t="str">
        <f t="shared" si="59"/>
        <v/>
      </c>
      <c r="AK124" t="str">
        <f t="shared" si="60"/>
        <v/>
      </c>
      <c r="AL124" t="str">
        <f>IFERROR(ROUND(L124*(G124/$AU124)/VLOOKUP(F124,商品!$A$4:$B$60,2,FALSE),0),"")</f>
        <v/>
      </c>
      <c r="AM124" t="str">
        <f>IFERROR(ROUND(L124*(I124/$AU124)/VLOOKUP(H124,商品!$A$4:$B$60,2,FALSE),0),"")</f>
        <v/>
      </c>
      <c r="AN124">
        <f>IFERROR(ROUND(L124*(J124/$AU124)/VLOOKUP("运力",商品!$A$4:$B$60,2,FALSE),0),0)</f>
        <v>0</v>
      </c>
      <c r="AO124">
        <f>IFERROR(ROUND(L124*(K124/$AU124)/VLOOKUP("交易",商品!$A$4:$B$60,2,FALSE),0),0)</f>
        <v>0</v>
      </c>
      <c r="AP124" t="str">
        <f>IFERROR(ROUND(S124*(N124/$AV124)/VLOOKUP(M124,职业!$A$4:$G$16,4,FALSE),0),"")</f>
        <v/>
      </c>
      <c r="AQ124" t="str">
        <f>IFERROR(ROUND(S124*(P124/$AV124)/VLOOKUP(O124,职业!$A$4:$G$16,4,FALSE),0),"")</f>
        <v/>
      </c>
      <c r="AR124" t="str">
        <f>IFERROR(ROUND(S124*(R124/$AV124)/VLOOKUP(Q124,职业!$A$4:$G$16,4,FALSE),0),"")</f>
        <v/>
      </c>
      <c r="AS124" t="str">
        <f>IFERROR(ROUND(X124*(U124/$AW124)/VLOOKUP(T124,商品!$A$4:$B$60,2,FALSE),0),"")</f>
        <v/>
      </c>
      <c r="AT124" t="str">
        <f>IFERROR(ROUND(X124*(W124/$AW124)/VLOOKUP(V124,商品!$A$4:$B$60,2,FALSE),0),"")</f>
        <v/>
      </c>
      <c r="AU124">
        <f t="shared" si="61"/>
        <v>0</v>
      </c>
      <c r="AV124">
        <f t="shared" si="62"/>
        <v>0</v>
      </c>
      <c r="AW124">
        <f t="shared" si="63"/>
        <v>0</v>
      </c>
    </row>
    <row r="125" spans="1:49" ht="19.95" customHeight="1" x14ac:dyDescent="0.25">
      <c r="A125" s="16" t="s">
        <v>202</v>
      </c>
      <c r="C125" s="16">
        <v>4</v>
      </c>
      <c r="D125" s="23" t="s">
        <v>174</v>
      </c>
      <c r="E125" s="23" t="s">
        <v>179</v>
      </c>
      <c r="L125" s="16">
        <f>IFERROR(VLOOKUP($D125&amp;$C125,生产方式定位!$A$2:$E$38,2,FALSE)+VLOOKUP($E125&amp;$C125,生产方式定位!$F$3:$J$38,2,FALSE),0)</f>
        <v>0</v>
      </c>
      <c r="S125" s="16">
        <f>IFERROR(VLOOKUP($D125&amp;$C125,生产方式定位!$A$2:$E$38,3,FALSE)+VLOOKUP($E125&amp;$C125,生产方式定位!$F$3:$J$38,3,FALSE),0)</f>
        <v>100</v>
      </c>
      <c r="X125" s="16">
        <f>IFERROR(VLOOKUP($D125&amp;$C125,生产方式定位!$A$2:$E$38,5,FALSE)+VLOOKUP($E125&amp;$C125,生产方式定位!$F$3:$J$38,5,FALSE),"错误")</f>
        <v>100</v>
      </c>
      <c r="Y125" s="26" t="str">
        <f t="shared" si="48"/>
        <v/>
      </c>
      <c r="Z125" s="36" t="str">
        <f t="shared" si="49"/>
        <v/>
      </c>
      <c r="AA125" s="36" t="str">
        <f t="shared" si="50"/>
        <v/>
      </c>
      <c r="AB125" s="27" t="str">
        <f t="shared" si="51"/>
        <v/>
      </c>
      <c r="AC125" s="2" t="str">
        <f t="shared" si="52"/>
        <v/>
      </c>
      <c r="AD125" s="38">
        <f t="shared" si="53"/>
        <v>4</v>
      </c>
      <c r="AE125" t="str">
        <f t="shared" si="54"/>
        <v/>
      </c>
      <c r="AF125" t="str">
        <f t="shared" si="55"/>
        <v/>
      </c>
      <c r="AG125" t="str">
        <f t="shared" si="56"/>
        <v/>
      </c>
      <c r="AH125" t="str">
        <f t="shared" si="57"/>
        <v/>
      </c>
      <c r="AI125" t="str">
        <f t="shared" si="58"/>
        <v/>
      </c>
      <c r="AJ125" t="str">
        <f t="shared" si="59"/>
        <v/>
      </c>
      <c r="AK125" t="str">
        <f t="shared" si="60"/>
        <v/>
      </c>
      <c r="AL125" t="str">
        <f>IFERROR(ROUND(L125*(G125/$AU125)/VLOOKUP(F125,商品!$A$4:$B$60,2,FALSE),0),"")</f>
        <v/>
      </c>
      <c r="AM125" t="str">
        <f>IFERROR(ROUND(L125*(I125/$AU125)/VLOOKUP(H125,商品!$A$4:$B$60,2,FALSE),0),"")</f>
        <v/>
      </c>
      <c r="AN125">
        <f>IFERROR(ROUND(L125*(J125/$AU125)/VLOOKUP("运力",商品!$A$4:$B$60,2,FALSE),0),0)</f>
        <v>0</v>
      </c>
      <c r="AO125">
        <f>IFERROR(ROUND(L125*(K125/$AU125)/VLOOKUP("交易",商品!$A$4:$B$60,2,FALSE),0),0)</f>
        <v>0</v>
      </c>
      <c r="AP125" t="str">
        <f>IFERROR(ROUND(S125*(N125/$AV125)/VLOOKUP(M125,职业!$A$4:$G$16,4,FALSE),0),"")</f>
        <v/>
      </c>
      <c r="AQ125" t="str">
        <f>IFERROR(ROUND(S125*(P125/$AV125)/VLOOKUP(O125,职业!$A$4:$G$16,4,FALSE),0),"")</f>
        <v/>
      </c>
      <c r="AR125" t="str">
        <f>IFERROR(ROUND(S125*(R125/$AV125)/VLOOKUP(Q125,职业!$A$4:$G$16,4,FALSE),0),"")</f>
        <v/>
      </c>
      <c r="AS125" t="str">
        <f>IFERROR(ROUND(X125*(U125/$AW125)/VLOOKUP(T125,商品!$A$4:$B$60,2,FALSE),0),"")</f>
        <v/>
      </c>
      <c r="AT125" t="str">
        <f>IFERROR(ROUND(X125*(W125/$AW125)/VLOOKUP(V125,商品!$A$4:$B$60,2,FALSE),0),"")</f>
        <v/>
      </c>
      <c r="AU125">
        <f t="shared" si="61"/>
        <v>0</v>
      </c>
      <c r="AV125">
        <f t="shared" si="62"/>
        <v>0</v>
      </c>
      <c r="AW125">
        <f t="shared" si="63"/>
        <v>0</v>
      </c>
    </row>
    <row r="126" spans="1:49" ht="19.95" customHeight="1" x14ac:dyDescent="0.25">
      <c r="A126" s="16" t="s">
        <v>202</v>
      </c>
      <c r="C126" s="16">
        <v>5</v>
      </c>
      <c r="D126" s="23" t="s">
        <v>174</v>
      </c>
      <c r="E126" s="23" t="s">
        <v>179</v>
      </c>
      <c r="L126" s="16">
        <f>IFERROR(VLOOKUP($D126&amp;$C126,生产方式定位!$A$2:$E$38,2,FALSE)+VLOOKUP($E126&amp;$C126,生产方式定位!$F$3:$J$38,2,FALSE),0)</f>
        <v>0</v>
      </c>
      <c r="S126" s="16">
        <f>IFERROR(VLOOKUP($D126&amp;$C126,生产方式定位!$A$2:$E$38,3,FALSE)+VLOOKUP($E126&amp;$C126,生产方式定位!$F$3:$J$38,3,FALSE),0)</f>
        <v>100</v>
      </c>
      <c r="X126" s="16">
        <f>IFERROR(VLOOKUP($D126&amp;$C126,生产方式定位!$A$2:$E$38,5,FALSE)+VLOOKUP($E126&amp;$C126,生产方式定位!$F$3:$J$38,5,FALSE),"错误")</f>
        <v>100</v>
      </c>
      <c r="Y126" s="26" t="str">
        <f t="shared" si="48"/>
        <v/>
      </c>
      <c r="Z126" s="36" t="str">
        <f t="shared" si="49"/>
        <v/>
      </c>
      <c r="AA126" s="36" t="str">
        <f t="shared" si="50"/>
        <v/>
      </c>
      <c r="AB126" s="27" t="str">
        <f t="shared" si="51"/>
        <v/>
      </c>
      <c r="AC126" s="2" t="str">
        <f t="shared" si="52"/>
        <v/>
      </c>
      <c r="AD126" s="38">
        <f t="shared" si="53"/>
        <v>5</v>
      </c>
      <c r="AE126" t="str">
        <f t="shared" si="54"/>
        <v/>
      </c>
      <c r="AF126" t="str">
        <f t="shared" si="55"/>
        <v/>
      </c>
      <c r="AG126" t="str">
        <f t="shared" si="56"/>
        <v/>
      </c>
      <c r="AH126" t="str">
        <f t="shared" si="57"/>
        <v/>
      </c>
      <c r="AI126" t="str">
        <f t="shared" si="58"/>
        <v/>
      </c>
      <c r="AJ126" t="str">
        <f t="shared" si="59"/>
        <v/>
      </c>
      <c r="AK126" t="str">
        <f t="shared" si="60"/>
        <v/>
      </c>
      <c r="AL126" t="str">
        <f>IFERROR(ROUND(L126*(G126/$AU126)/VLOOKUP(F126,商品!$A$4:$B$60,2,FALSE),0),"")</f>
        <v/>
      </c>
      <c r="AM126" t="str">
        <f>IFERROR(ROUND(L126*(I126/$AU126)/VLOOKUP(H126,商品!$A$4:$B$60,2,FALSE),0),"")</f>
        <v/>
      </c>
      <c r="AN126">
        <f>IFERROR(ROUND(L126*(J126/$AU126)/VLOOKUP("运力",商品!$A$4:$B$60,2,FALSE),0),0)</f>
        <v>0</v>
      </c>
      <c r="AO126">
        <f>IFERROR(ROUND(L126*(K126/$AU126)/VLOOKUP("交易",商品!$A$4:$B$60,2,FALSE),0),0)</f>
        <v>0</v>
      </c>
      <c r="AP126" t="str">
        <f>IFERROR(ROUND(S126*(N126/$AV126)/VLOOKUP(M126,职业!$A$4:$G$16,4,FALSE),0),"")</f>
        <v/>
      </c>
      <c r="AQ126" t="str">
        <f>IFERROR(ROUND(S126*(P126/$AV126)/VLOOKUP(O126,职业!$A$4:$G$16,4,FALSE),0),"")</f>
        <v/>
      </c>
      <c r="AR126" t="str">
        <f>IFERROR(ROUND(S126*(R126/$AV126)/VLOOKUP(Q126,职业!$A$4:$G$16,4,FALSE),0),"")</f>
        <v/>
      </c>
      <c r="AS126" t="str">
        <f>IFERROR(ROUND(X126*(U126/$AW126)/VLOOKUP(T126,商品!$A$4:$B$60,2,FALSE),0),"")</f>
        <v/>
      </c>
      <c r="AT126" t="str">
        <f>IFERROR(ROUND(X126*(W126/$AW126)/VLOOKUP(V126,商品!$A$4:$B$60,2,FALSE),0),"")</f>
        <v/>
      </c>
      <c r="AU126">
        <f t="shared" si="61"/>
        <v>0</v>
      </c>
      <c r="AV126">
        <f t="shared" si="62"/>
        <v>0</v>
      </c>
      <c r="AW126">
        <f t="shared" si="63"/>
        <v>0</v>
      </c>
    </row>
    <row r="127" spans="1:49" ht="19.95" customHeight="1" x14ac:dyDescent="0.25">
      <c r="A127" s="16" t="s">
        <v>202</v>
      </c>
      <c r="C127" s="16">
        <v>6</v>
      </c>
      <c r="D127" s="23" t="s">
        <v>174</v>
      </c>
      <c r="E127" s="23" t="s">
        <v>179</v>
      </c>
      <c r="L127" s="16">
        <f>IFERROR(VLOOKUP($D127&amp;$C127,生产方式定位!$A$2:$E$38,2,FALSE)+VLOOKUP($E127&amp;$C127,生产方式定位!$F$3:$J$38,2,FALSE),0)</f>
        <v>0</v>
      </c>
      <c r="S127" s="16">
        <f>IFERROR(VLOOKUP($D127&amp;$C127,生产方式定位!$A$2:$E$38,3,FALSE)+VLOOKUP($E127&amp;$C127,生产方式定位!$F$3:$J$38,3,FALSE),0)</f>
        <v>100</v>
      </c>
      <c r="X127" s="16">
        <f>IFERROR(VLOOKUP($D127&amp;$C127,生产方式定位!$A$2:$E$38,5,FALSE)+VLOOKUP($E127&amp;$C127,生产方式定位!$F$3:$J$38,5,FALSE),"错误")</f>
        <v>100</v>
      </c>
      <c r="Y127" s="26" t="str">
        <f t="shared" si="48"/>
        <v/>
      </c>
      <c r="Z127" s="36" t="str">
        <f t="shared" si="49"/>
        <v/>
      </c>
      <c r="AA127" s="36" t="str">
        <f t="shared" si="50"/>
        <v/>
      </c>
      <c r="AB127" s="27" t="str">
        <f t="shared" si="51"/>
        <v/>
      </c>
      <c r="AC127" s="2" t="str">
        <f t="shared" si="52"/>
        <v/>
      </c>
      <c r="AD127" s="37">
        <f t="shared" si="53"/>
        <v>6</v>
      </c>
      <c r="AE127" t="str">
        <f t="shared" si="54"/>
        <v/>
      </c>
      <c r="AF127" t="str">
        <f t="shared" si="55"/>
        <v/>
      </c>
      <c r="AG127" t="str">
        <f t="shared" si="56"/>
        <v/>
      </c>
      <c r="AH127" t="str">
        <f t="shared" si="57"/>
        <v/>
      </c>
      <c r="AI127" t="str">
        <f t="shared" si="58"/>
        <v/>
      </c>
      <c r="AJ127" t="str">
        <f t="shared" si="59"/>
        <v/>
      </c>
      <c r="AK127" t="str">
        <f t="shared" si="60"/>
        <v/>
      </c>
      <c r="AL127" t="str">
        <f>IFERROR(ROUND(L127*(G127/$AU127)/VLOOKUP(F127,商品!$A$4:$B$60,2,FALSE),0),"")</f>
        <v/>
      </c>
      <c r="AM127" t="str">
        <f>IFERROR(ROUND(L127*(I127/$AU127)/VLOOKUP(H127,商品!$A$4:$B$60,2,FALSE),0),"")</f>
        <v/>
      </c>
      <c r="AN127">
        <f>IFERROR(ROUND(L127*(J127/$AU127)/VLOOKUP("运力",商品!$A$4:$B$60,2,FALSE),0),0)</f>
        <v>0</v>
      </c>
      <c r="AO127">
        <f>IFERROR(ROUND(L127*(K127/$AU127)/VLOOKUP("交易",商品!$A$4:$B$60,2,FALSE),0),0)</f>
        <v>0</v>
      </c>
      <c r="AP127" t="str">
        <f>IFERROR(ROUND(S127*(N127/$AV127)/VLOOKUP(M127,职业!$A$4:$G$16,4,FALSE),0),"")</f>
        <v/>
      </c>
      <c r="AQ127" t="str">
        <f>IFERROR(ROUND(S127*(P127/$AV127)/VLOOKUP(O127,职业!$A$4:$G$16,4,FALSE),0),"")</f>
        <v/>
      </c>
      <c r="AR127" t="str">
        <f>IFERROR(ROUND(S127*(R127/$AV127)/VLOOKUP(Q127,职业!$A$4:$G$16,4,FALSE),0),"")</f>
        <v/>
      </c>
      <c r="AS127" t="str">
        <f>IFERROR(ROUND(X127*(U127/$AW127)/VLOOKUP(T127,商品!$A$4:$B$60,2,FALSE),0),"")</f>
        <v/>
      </c>
      <c r="AT127" t="str">
        <f>IFERROR(ROUND(X127*(W127/$AW127)/VLOOKUP(V127,商品!$A$4:$B$60,2,FALSE),0),"")</f>
        <v/>
      </c>
      <c r="AU127">
        <f t="shared" si="61"/>
        <v>0</v>
      </c>
      <c r="AV127">
        <f t="shared" si="62"/>
        <v>0</v>
      </c>
      <c r="AW127">
        <f t="shared" si="63"/>
        <v>0</v>
      </c>
    </row>
    <row r="128" spans="1:49" ht="19.95" customHeight="1" x14ac:dyDescent="0.25">
      <c r="A128" s="16" t="s">
        <v>202</v>
      </c>
      <c r="C128" s="16">
        <v>7</v>
      </c>
      <c r="D128" s="23" t="s">
        <v>174</v>
      </c>
      <c r="E128" s="23" t="s">
        <v>179</v>
      </c>
      <c r="L128" s="16">
        <f>IFERROR(VLOOKUP($D128&amp;$C128,生产方式定位!$A$2:$E$38,2,FALSE)+VLOOKUP($E128&amp;$C128,生产方式定位!$F$3:$J$38,2,FALSE),0)</f>
        <v>0</v>
      </c>
      <c r="S128" s="16">
        <f>IFERROR(VLOOKUP($D128&amp;$C128,生产方式定位!$A$2:$E$38,3,FALSE)+VLOOKUP($E128&amp;$C128,生产方式定位!$F$3:$J$38,3,FALSE),0)</f>
        <v>100</v>
      </c>
      <c r="X128" s="16">
        <f>IFERROR(VLOOKUP($D128&amp;$C128,生产方式定位!$A$2:$E$38,5,FALSE)+VLOOKUP($E128&amp;$C128,生产方式定位!$F$3:$J$38,5,FALSE),"错误")</f>
        <v>100</v>
      </c>
      <c r="Y128" s="26" t="str">
        <f t="shared" si="48"/>
        <v/>
      </c>
      <c r="Z128" s="36" t="str">
        <f t="shared" si="49"/>
        <v/>
      </c>
      <c r="AA128" s="36" t="str">
        <f t="shared" si="50"/>
        <v/>
      </c>
      <c r="AB128" s="27" t="str">
        <f t="shared" si="51"/>
        <v/>
      </c>
      <c r="AC128" s="2" t="str">
        <f t="shared" si="52"/>
        <v/>
      </c>
      <c r="AD128" s="37">
        <f t="shared" si="53"/>
        <v>7</v>
      </c>
      <c r="AE128" t="str">
        <f t="shared" si="54"/>
        <v/>
      </c>
      <c r="AF128" t="str">
        <f t="shared" si="55"/>
        <v/>
      </c>
      <c r="AG128" t="str">
        <f t="shared" si="56"/>
        <v/>
      </c>
      <c r="AH128" t="str">
        <f t="shared" si="57"/>
        <v/>
      </c>
      <c r="AI128" t="str">
        <f t="shared" si="58"/>
        <v/>
      </c>
      <c r="AJ128" t="str">
        <f t="shared" si="59"/>
        <v/>
      </c>
      <c r="AK128" t="str">
        <f t="shared" si="60"/>
        <v/>
      </c>
      <c r="AL128" t="str">
        <f>IFERROR(ROUND(L128*(G128/$AU128)/VLOOKUP(F128,商品!$A$4:$B$60,2,FALSE),0),"")</f>
        <v/>
      </c>
      <c r="AM128" t="str">
        <f>IFERROR(ROUND(L128*(I128/$AU128)/VLOOKUP(H128,商品!$A$4:$B$60,2,FALSE),0),"")</f>
        <v/>
      </c>
      <c r="AN128">
        <f>IFERROR(ROUND(L128*(J128/$AU128)/VLOOKUP("运力",商品!$A$4:$B$60,2,FALSE),0),0)</f>
        <v>0</v>
      </c>
      <c r="AO128">
        <f>IFERROR(ROUND(L128*(K128/$AU128)/VLOOKUP("交易",商品!$A$4:$B$60,2,FALSE),0),0)</f>
        <v>0</v>
      </c>
      <c r="AP128" t="str">
        <f>IFERROR(ROUND(S128*(N128/$AV128)/VLOOKUP(M128,职业!$A$4:$G$16,4,FALSE),0),"")</f>
        <v/>
      </c>
      <c r="AQ128" t="str">
        <f>IFERROR(ROUND(S128*(P128/$AV128)/VLOOKUP(O128,职业!$A$4:$G$16,4,FALSE),0),"")</f>
        <v/>
      </c>
      <c r="AR128" t="str">
        <f>IFERROR(ROUND(S128*(R128/$AV128)/VLOOKUP(Q128,职业!$A$4:$G$16,4,FALSE),0),"")</f>
        <v/>
      </c>
      <c r="AS128" t="str">
        <f>IFERROR(ROUND(X128*(U128/$AW128)/VLOOKUP(T128,商品!$A$4:$B$60,2,FALSE),0),"")</f>
        <v/>
      </c>
      <c r="AT128" t="str">
        <f>IFERROR(ROUND(X128*(W128/$AW128)/VLOOKUP(V128,商品!$A$4:$B$60,2,FALSE),0),"")</f>
        <v/>
      </c>
      <c r="AU128">
        <f t="shared" si="61"/>
        <v>0</v>
      </c>
      <c r="AV128">
        <f t="shared" si="62"/>
        <v>0</v>
      </c>
      <c r="AW128">
        <f t="shared" si="63"/>
        <v>0</v>
      </c>
    </row>
    <row r="129" spans="1:49" ht="19.95" customHeight="1" x14ac:dyDescent="0.25">
      <c r="A129" s="16" t="s">
        <v>202</v>
      </c>
      <c r="C129" s="16">
        <v>8</v>
      </c>
      <c r="D129" s="23" t="s">
        <v>174</v>
      </c>
      <c r="E129" s="23" t="s">
        <v>179</v>
      </c>
      <c r="L129" s="16">
        <f>IFERROR(VLOOKUP($D129&amp;$C129,生产方式定位!$A$2:$E$38,2,FALSE)+VLOOKUP($E129&amp;$C129,生产方式定位!$F$3:$J$38,2,FALSE),0)</f>
        <v>0</v>
      </c>
      <c r="S129" s="16">
        <f>IFERROR(VLOOKUP($D129&amp;$C129,生产方式定位!$A$2:$E$38,3,FALSE)+VLOOKUP($E129&amp;$C129,生产方式定位!$F$3:$J$38,3,FALSE),0)</f>
        <v>100</v>
      </c>
      <c r="X129" s="16">
        <f>IFERROR(VLOOKUP($D129&amp;$C129,生产方式定位!$A$2:$E$38,5,FALSE)+VLOOKUP($E129&amp;$C129,生产方式定位!$F$3:$J$38,5,FALSE),"错误")</f>
        <v>100</v>
      </c>
      <c r="Y129" s="26" t="str">
        <f t="shared" si="48"/>
        <v/>
      </c>
      <c r="Z129" s="36" t="str">
        <f t="shared" si="49"/>
        <v/>
      </c>
      <c r="AA129" s="36" t="str">
        <f t="shared" si="50"/>
        <v/>
      </c>
      <c r="AB129" s="27" t="str">
        <f t="shared" si="51"/>
        <v/>
      </c>
      <c r="AC129" s="2" t="str">
        <f t="shared" si="52"/>
        <v/>
      </c>
      <c r="AD129" s="37">
        <f t="shared" si="53"/>
        <v>8</v>
      </c>
      <c r="AE129" t="str">
        <f t="shared" si="54"/>
        <v/>
      </c>
      <c r="AF129" t="str">
        <f t="shared" si="55"/>
        <v/>
      </c>
      <c r="AG129" t="str">
        <f t="shared" si="56"/>
        <v/>
      </c>
      <c r="AH129" t="str">
        <f t="shared" si="57"/>
        <v/>
      </c>
      <c r="AI129" t="str">
        <f t="shared" si="58"/>
        <v/>
      </c>
      <c r="AJ129" t="str">
        <f t="shared" si="59"/>
        <v/>
      </c>
      <c r="AK129" t="str">
        <f t="shared" si="60"/>
        <v/>
      </c>
      <c r="AL129" t="str">
        <f>IFERROR(ROUND(L129*(G129/$AU129)/VLOOKUP(F129,商品!$A$4:$B$60,2,FALSE),0),"")</f>
        <v/>
      </c>
      <c r="AM129" t="str">
        <f>IFERROR(ROUND(L129*(I129/$AU129)/VLOOKUP(H129,商品!$A$4:$B$60,2,FALSE),0),"")</f>
        <v/>
      </c>
      <c r="AN129">
        <f>IFERROR(ROUND(L129*(J129/$AU129)/VLOOKUP("运力",商品!$A$4:$B$60,2,FALSE),0),0)</f>
        <v>0</v>
      </c>
      <c r="AO129">
        <f>IFERROR(ROUND(L129*(K129/$AU129)/VLOOKUP("交易",商品!$A$4:$B$60,2,FALSE),0),0)</f>
        <v>0</v>
      </c>
      <c r="AP129" t="str">
        <f>IFERROR(ROUND(S129*(N129/$AV129)/VLOOKUP(M129,职业!$A$4:$G$16,4,FALSE),0),"")</f>
        <v/>
      </c>
      <c r="AQ129" t="str">
        <f>IFERROR(ROUND(S129*(P129/$AV129)/VLOOKUP(O129,职业!$A$4:$G$16,4,FALSE),0),"")</f>
        <v/>
      </c>
      <c r="AR129" t="str">
        <f>IFERROR(ROUND(S129*(R129/$AV129)/VLOOKUP(Q129,职业!$A$4:$G$16,4,FALSE),0),"")</f>
        <v/>
      </c>
      <c r="AS129" t="str">
        <f>IFERROR(ROUND(X129*(U129/$AW129)/VLOOKUP(T129,商品!$A$4:$B$60,2,FALSE),0),"")</f>
        <v/>
      </c>
      <c r="AT129" t="str">
        <f>IFERROR(ROUND(X129*(W129/$AW129)/VLOOKUP(V129,商品!$A$4:$B$60,2,FALSE),0),"")</f>
        <v/>
      </c>
      <c r="AU129">
        <f t="shared" si="61"/>
        <v>0</v>
      </c>
      <c r="AV129">
        <f t="shared" si="62"/>
        <v>0</v>
      </c>
      <c r="AW129">
        <f t="shared" si="63"/>
        <v>0</v>
      </c>
    </row>
    <row r="130" spans="1:49" ht="19.95" customHeight="1" x14ac:dyDescent="0.25">
      <c r="A130" s="15" t="s">
        <v>204</v>
      </c>
      <c r="C130" s="15">
        <v>1</v>
      </c>
      <c r="D130" s="23" t="s">
        <v>171</v>
      </c>
      <c r="E130" s="23" t="s">
        <v>172</v>
      </c>
      <c r="F130" s="2" t="s">
        <v>17</v>
      </c>
      <c r="G130" s="2">
        <v>30</v>
      </c>
      <c r="J130" s="24">
        <v>10</v>
      </c>
      <c r="K130" s="25">
        <v>5</v>
      </c>
      <c r="L130" s="15">
        <f>IFERROR(VLOOKUP($D130&amp;$C130,生产方式定位!$A$2:$E$38,2,FALSE)+VLOOKUP($E130&amp;$C130,生产方式定位!$F$3:$J$38,2,FALSE),0)</f>
        <v>300</v>
      </c>
      <c r="M130" s="2" t="s">
        <v>80</v>
      </c>
      <c r="N130" s="2">
        <v>100</v>
      </c>
      <c r="S130" s="15">
        <f>IFERROR(VLOOKUP($D130&amp;$C130,生产方式定位!$A$2:$E$38,3,FALSE)+VLOOKUP($E130&amp;$C130,生产方式定位!$F$3:$J$38,3,FALSE),0)</f>
        <v>100</v>
      </c>
      <c r="T130" s="2" t="s">
        <v>25</v>
      </c>
      <c r="U130" s="2">
        <v>1</v>
      </c>
      <c r="X130" s="15">
        <f>IFERROR(VLOOKUP($D130&amp;$C130,生产方式定位!$A$2:$E$38,5,FALSE)+VLOOKUP($E130&amp;$C130,生产方式定位!$F$3:$J$38,5,FALSE),"错误")</f>
        <v>520</v>
      </c>
      <c r="Y130" s="26" t="str">
        <f t="shared" si="48"/>
        <v>铅*3,运力*7,交易*3</v>
      </c>
      <c r="Z130" s="36" t="str">
        <f t="shared" si="49"/>
        <v>劳工*4525</v>
      </c>
      <c r="AA130" s="36" t="str">
        <f t="shared" si="50"/>
        <v>玻璃*17</v>
      </c>
      <c r="AB130" s="27" t="str">
        <f t="shared" si="51"/>
        <v>73%</v>
      </c>
      <c r="AC130" s="2">
        <f t="shared" si="52"/>
        <v>120</v>
      </c>
      <c r="AD130" s="37">
        <f t="shared" si="53"/>
        <v>1</v>
      </c>
      <c r="AE130" t="str">
        <f t="shared" si="54"/>
        <v>铅*3</v>
      </c>
      <c r="AF130" t="str">
        <f t="shared" si="55"/>
        <v/>
      </c>
      <c r="AG130" t="str">
        <f t="shared" si="56"/>
        <v>劳工*4525</v>
      </c>
      <c r="AH130" t="str">
        <f t="shared" si="57"/>
        <v/>
      </c>
      <c r="AI130" t="str">
        <f t="shared" si="58"/>
        <v/>
      </c>
      <c r="AJ130" t="str">
        <f t="shared" si="59"/>
        <v>玻璃*17</v>
      </c>
      <c r="AK130" t="str">
        <f t="shared" si="60"/>
        <v/>
      </c>
      <c r="AL130">
        <f>IFERROR(ROUND(L130*(G130/$AU130)/VLOOKUP(F130,商品!$A$4:$B$60,2,FALSE),0),"")</f>
        <v>3</v>
      </c>
      <c r="AM130" t="str">
        <f>IFERROR(ROUND(L130*(I130/$AU130)/VLOOKUP(H130,商品!$A$4:$B$60,2,FALSE),0),"")</f>
        <v/>
      </c>
      <c r="AN130">
        <f>IFERROR(ROUND(L130*(J130/$AU130)/VLOOKUP("运力",商品!$A$4:$B$60,2,FALSE),0),0)</f>
        <v>7</v>
      </c>
      <c r="AO130">
        <f>IFERROR(ROUND(L130*(K130/$AU130)/VLOOKUP("交易",商品!$A$4:$B$60,2,FALSE),0),0)</f>
        <v>3</v>
      </c>
      <c r="AP130">
        <f>IFERROR(ROUND(S130*(N130/$AV130)/VLOOKUP(M130,职业!$A$4:$G$16,4,FALSE),0),"")</f>
        <v>4525</v>
      </c>
      <c r="AQ130" t="str">
        <f>IFERROR(ROUND(S130*(P130/$AV130)/VLOOKUP(O130,职业!$A$4:$G$16,4,FALSE),0),"")</f>
        <v/>
      </c>
      <c r="AR130" t="str">
        <f>IFERROR(ROUND(S130*(R130/$AV130)/VLOOKUP(Q130,职业!$A$4:$G$16,4,FALSE),0),"")</f>
        <v/>
      </c>
      <c r="AS130">
        <f>IFERROR(ROUND(X130*(U130/$AW130)/VLOOKUP(T130,商品!$A$4:$B$60,2,FALSE),0),"")</f>
        <v>17</v>
      </c>
      <c r="AT130" t="str">
        <f>IFERROR(ROUND(X130*(W130/$AW130)/VLOOKUP(V130,商品!$A$4:$B$60,2,FALSE),0),"")</f>
        <v/>
      </c>
      <c r="AU130">
        <f t="shared" si="61"/>
        <v>45</v>
      </c>
      <c r="AV130">
        <f t="shared" si="62"/>
        <v>100</v>
      </c>
      <c r="AW130">
        <f t="shared" si="63"/>
        <v>1</v>
      </c>
    </row>
    <row r="131" spans="1:49" ht="19.95" customHeight="1" x14ac:dyDescent="0.25">
      <c r="A131" s="15" t="s">
        <v>204</v>
      </c>
      <c r="C131" s="15">
        <v>2</v>
      </c>
      <c r="D131" s="23" t="s">
        <v>171</v>
      </c>
      <c r="E131" s="23" t="s">
        <v>172</v>
      </c>
      <c r="F131" s="2" t="s">
        <v>17</v>
      </c>
      <c r="G131" s="2">
        <v>30</v>
      </c>
      <c r="J131" s="24">
        <v>10</v>
      </c>
      <c r="K131" s="25">
        <v>5</v>
      </c>
      <c r="L131" s="15">
        <f>IFERROR(VLOOKUP($D131&amp;$C131,生产方式定位!$A$2:$E$38,2,FALSE)+VLOOKUP($E131&amp;$C131,生产方式定位!$F$3:$J$38,2,FALSE),0)</f>
        <v>1100</v>
      </c>
      <c r="M131" s="2" t="s">
        <v>80</v>
      </c>
      <c r="N131" s="2">
        <v>100</v>
      </c>
      <c r="O131" s="2" t="s">
        <v>73</v>
      </c>
      <c r="P131" s="2">
        <v>5</v>
      </c>
      <c r="S131" s="15">
        <f>IFERROR(VLOOKUP($D131&amp;$C131,生产方式定位!$A$2:$E$38,3,FALSE)+VLOOKUP($E131&amp;$C131,生产方式定位!$F$3:$J$38,3,FALSE),0)</f>
        <v>100</v>
      </c>
      <c r="T131" s="2" t="s">
        <v>25</v>
      </c>
      <c r="U131" s="2">
        <v>1</v>
      </c>
      <c r="X131" s="15">
        <f>IFERROR(VLOOKUP($D131&amp;$C131,生产方式定位!$A$2:$E$38,5,FALSE)+VLOOKUP($E131&amp;$C131,生产方式定位!$F$3:$J$38,5,FALSE),"错误")</f>
        <v>1510</v>
      </c>
      <c r="Y131" s="26" t="str">
        <f t="shared" si="48"/>
        <v>铅*12,运力*24,交易*12</v>
      </c>
      <c r="Z131" s="36" t="str">
        <f t="shared" si="49"/>
        <v>劳工*4309,工程师*72</v>
      </c>
      <c r="AA131" s="36" t="str">
        <f t="shared" si="50"/>
        <v>玻璃*50</v>
      </c>
      <c r="AB131" s="27" t="str">
        <f t="shared" si="51"/>
        <v>37%</v>
      </c>
      <c r="AC131" s="2">
        <f t="shared" si="52"/>
        <v>310</v>
      </c>
      <c r="AD131" s="37">
        <f t="shared" si="53"/>
        <v>2</v>
      </c>
      <c r="AE131" t="str">
        <f t="shared" si="54"/>
        <v>铅*12</v>
      </c>
      <c r="AF131" t="str">
        <f t="shared" si="55"/>
        <v/>
      </c>
      <c r="AG131" t="str">
        <f t="shared" si="56"/>
        <v>劳工*4309</v>
      </c>
      <c r="AH131" t="str">
        <f t="shared" si="57"/>
        <v>工程师*72</v>
      </c>
      <c r="AI131" t="str">
        <f t="shared" si="58"/>
        <v/>
      </c>
      <c r="AJ131" t="str">
        <f t="shared" si="59"/>
        <v>玻璃*50</v>
      </c>
      <c r="AK131" t="str">
        <f t="shared" si="60"/>
        <v/>
      </c>
      <c r="AL131">
        <f>IFERROR(ROUND(L131*(G131/$AU131)/VLOOKUP(F131,商品!$A$4:$B$60,2,FALSE),0),"")</f>
        <v>12</v>
      </c>
      <c r="AM131" t="str">
        <f>IFERROR(ROUND(L131*(I131/$AU131)/VLOOKUP(H131,商品!$A$4:$B$60,2,FALSE),0),"")</f>
        <v/>
      </c>
      <c r="AN131">
        <f>IFERROR(ROUND(L131*(J131/$AU131)/VLOOKUP("运力",商品!$A$4:$B$60,2,FALSE),0),0)</f>
        <v>24</v>
      </c>
      <c r="AO131">
        <f>IFERROR(ROUND(L131*(K131/$AU131)/VLOOKUP("交易",商品!$A$4:$B$60,2,FALSE),0),0)</f>
        <v>12</v>
      </c>
      <c r="AP131">
        <f>IFERROR(ROUND(S131*(N131/$AV131)/VLOOKUP(M131,职业!$A$4:$G$16,4,FALSE),0),"")</f>
        <v>4309</v>
      </c>
      <c r="AQ131">
        <f>IFERROR(ROUND(S131*(P131/$AV131)/VLOOKUP(O131,职业!$A$4:$G$16,4,FALSE),0),"")</f>
        <v>72</v>
      </c>
      <c r="AR131" t="str">
        <f>IFERROR(ROUND(S131*(R131/$AV131)/VLOOKUP(Q131,职业!$A$4:$G$16,4,FALSE),0),"")</f>
        <v/>
      </c>
      <c r="AS131">
        <f>IFERROR(ROUND(X131*(U131/$AW131)/VLOOKUP(T131,商品!$A$4:$B$60,2,FALSE),0),"")</f>
        <v>50</v>
      </c>
      <c r="AT131" t="str">
        <f>IFERROR(ROUND(X131*(W131/$AW131)/VLOOKUP(V131,商品!$A$4:$B$60,2,FALSE),0),"")</f>
        <v/>
      </c>
      <c r="AU131">
        <f t="shared" si="61"/>
        <v>45</v>
      </c>
      <c r="AV131">
        <f t="shared" si="62"/>
        <v>105</v>
      </c>
      <c r="AW131">
        <f t="shared" si="63"/>
        <v>1</v>
      </c>
    </row>
    <row r="132" spans="1:49" ht="19.95" customHeight="1" x14ac:dyDescent="0.25">
      <c r="A132" s="15" t="s">
        <v>204</v>
      </c>
      <c r="C132" s="15">
        <v>3</v>
      </c>
      <c r="D132" s="23" t="s">
        <v>171</v>
      </c>
      <c r="E132" s="23" t="s">
        <v>172</v>
      </c>
      <c r="F132" s="2" t="s">
        <v>17</v>
      </c>
      <c r="G132" s="2">
        <v>30</v>
      </c>
      <c r="J132" s="24">
        <v>10</v>
      </c>
      <c r="K132" s="25">
        <v>5</v>
      </c>
      <c r="L132" s="15">
        <f>IFERROR(VLOOKUP($D132&amp;$C132,生产方式定位!$A$2:$E$38,2,FALSE)+VLOOKUP($E132&amp;$C132,生产方式定位!$F$3:$J$38,2,FALSE),0)</f>
        <v>1525</v>
      </c>
      <c r="M132" s="2" t="s">
        <v>80</v>
      </c>
      <c r="N132" s="2">
        <v>100</v>
      </c>
      <c r="O132" s="2" t="s">
        <v>73</v>
      </c>
      <c r="P132" s="2">
        <v>10</v>
      </c>
      <c r="S132" s="15">
        <f>IFERROR(VLOOKUP($D132&amp;$C132,生产方式定位!$A$2:$E$38,3,FALSE)+VLOOKUP($E132&amp;$C132,生产方式定位!$F$3:$J$38,3,FALSE),0)</f>
        <v>100</v>
      </c>
      <c r="T132" s="2" t="s">
        <v>25</v>
      </c>
      <c r="U132" s="2">
        <v>1</v>
      </c>
      <c r="X132" s="15">
        <f>IFERROR(VLOOKUP($D132&amp;$C132,生产方式定位!$A$2:$E$38,5,FALSE)+VLOOKUP($E132&amp;$C132,生产方式定位!$F$3:$J$38,5,FALSE),"错误")</f>
        <v>2050</v>
      </c>
      <c r="Y132" s="26" t="str">
        <f t="shared" si="48"/>
        <v>铅*17,运力*34,交易*17</v>
      </c>
      <c r="Z132" s="36" t="str">
        <f t="shared" si="49"/>
        <v>劳工*4114,工程师*137</v>
      </c>
      <c r="AA132" s="36" t="str">
        <f t="shared" si="50"/>
        <v>玻璃*68</v>
      </c>
      <c r="AB132" s="27" t="str">
        <f t="shared" si="51"/>
        <v>34%</v>
      </c>
      <c r="AC132" s="2">
        <f t="shared" si="52"/>
        <v>425</v>
      </c>
      <c r="AD132" s="38">
        <f t="shared" si="53"/>
        <v>3</v>
      </c>
      <c r="AE132" t="str">
        <f t="shared" si="54"/>
        <v>铅*17</v>
      </c>
      <c r="AF132" t="str">
        <f t="shared" si="55"/>
        <v/>
      </c>
      <c r="AG132" t="str">
        <f t="shared" si="56"/>
        <v>劳工*4114</v>
      </c>
      <c r="AH132" t="str">
        <f t="shared" si="57"/>
        <v>工程师*137</v>
      </c>
      <c r="AI132" t="str">
        <f t="shared" si="58"/>
        <v/>
      </c>
      <c r="AJ132" t="str">
        <f t="shared" si="59"/>
        <v>玻璃*68</v>
      </c>
      <c r="AK132" t="str">
        <f t="shared" si="60"/>
        <v/>
      </c>
      <c r="AL132">
        <f>IFERROR(ROUND(L132*(G132/$AU132)/VLOOKUP(F132,商品!$A$4:$B$60,2,FALSE),0),"")</f>
        <v>17</v>
      </c>
      <c r="AM132" t="str">
        <f>IFERROR(ROUND(L132*(I132/$AU132)/VLOOKUP(H132,商品!$A$4:$B$60,2,FALSE),0),"")</f>
        <v/>
      </c>
      <c r="AN132">
        <f>IFERROR(ROUND(L132*(J132/$AU132)/VLOOKUP("运力",商品!$A$4:$B$60,2,FALSE),0),0)</f>
        <v>34</v>
      </c>
      <c r="AO132">
        <f>IFERROR(ROUND(L132*(K132/$AU132)/VLOOKUP("交易",商品!$A$4:$B$60,2,FALSE),0),0)</f>
        <v>17</v>
      </c>
      <c r="AP132">
        <f>IFERROR(ROUND(S132*(N132/$AV132)/VLOOKUP(M132,职业!$A$4:$G$16,4,FALSE),0),"")</f>
        <v>4114</v>
      </c>
      <c r="AQ132">
        <f>IFERROR(ROUND(S132*(P132/$AV132)/VLOOKUP(O132,职业!$A$4:$G$16,4,FALSE),0),"")</f>
        <v>137</v>
      </c>
      <c r="AR132" t="str">
        <f>IFERROR(ROUND(S132*(R132/$AV132)/VLOOKUP(Q132,职业!$A$4:$G$16,4,FALSE),0),"")</f>
        <v/>
      </c>
      <c r="AS132">
        <f>IFERROR(ROUND(X132*(U132/$AW132)/VLOOKUP(T132,商品!$A$4:$B$60,2,FALSE),0),"")</f>
        <v>68</v>
      </c>
      <c r="AT132" t="str">
        <f>IFERROR(ROUND(X132*(W132/$AW132)/VLOOKUP(V132,商品!$A$4:$B$60,2,FALSE),0),"")</f>
        <v/>
      </c>
      <c r="AU132">
        <f t="shared" si="61"/>
        <v>45</v>
      </c>
      <c r="AV132">
        <f t="shared" si="62"/>
        <v>110</v>
      </c>
      <c r="AW132">
        <f t="shared" si="63"/>
        <v>1</v>
      </c>
    </row>
    <row r="133" spans="1:49" ht="19.95" customHeight="1" x14ac:dyDescent="0.25">
      <c r="A133" s="15" t="s">
        <v>204</v>
      </c>
      <c r="C133" s="15">
        <v>4</v>
      </c>
      <c r="D133" s="23" t="s">
        <v>171</v>
      </c>
      <c r="E133" s="23" t="s">
        <v>172</v>
      </c>
      <c r="F133" s="2" t="s">
        <v>17</v>
      </c>
      <c r="G133" s="2">
        <v>30</v>
      </c>
      <c r="J133" s="24">
        <v>10</v>
      </c>
      <c r="K133" s="25">
        <v>5</v>
      </c>
      <c r="L133" s="15">
        <f>IFERROR(VLOOKUP($D133&amp;$C133,生产方式定位!$A$2:$E$38,2,FALSE)+VLOOKUP($E133&amp;$C133,生产方式定位!$F$3:$J$38,2,FALSE),0)</f>
        <v>1950</v>
      </c>
      <c r="M133" s="2" t="s">
        <v>80</v>
      </c>
      <c r="N133" s="2">
        <v>100</v>
      </c>
      <c r="O133" s="2" t="s">
        <v>73</v>
      </c>
      <c r="P133" s="2">
        <v>15</v>
      </c>
      <c r="S133" s="15">
        <f>IFERROR(VLOOKUP($D133&amp;$C133,生产方式定位!$A$2:$E$38,3,FALSE)+VLOOKUP($E133&amp;$C133,生产方式定位!$F$3:$J$38,3,FALSE),0)</f>
        <v>100</v>
      </c>
      <c r="T133" s="2" t="s">
        <v>25</v>
      </c>
      <c r="U133" s="2">
        <v>1</v>
      </c>
      <c r="X133" s="15">
        <f>IFERROR(VLOOKUP($D133&amp;$C133,生产方式定位!$A$2:$E$38,5,FALSE)+VLOOKUP($E133&amp;$C133,生产方式定位!$F$3:$J$38,5,FALSE),"错误")</f>
        <v>2590</v>
      </c>
      <c r="Y133" s="26" t="str">
        <f t="shared" ref="Y133:Y196" si="64">IF(AE133="","",AE133)&amp;IF(AF133="","",","&amp;AF133)&amp;IF(AN133=0,"",",运力*"&amp;AN133)&amp;IF(AO133=0,"",",交易*"&amp;AO133)</f>
        <v>铅*22,运力*43,交易*22</v>
      </c>
      <c r="Z133" s="36" t="str">
        <f t="shared" ref="Z133:Z196" si="65">IF(AG133="","",AG133)&amp;IF(AH133="","",","&amp;AH133)&amp;IF(AI133="","",","&amp;AI133)</f>
        <v>劳工*3935,工程师*197</v>
      </c>
      <c r="AA133" s="36" t="str">
        <f t="shared" ref="AA133:AA196" si="66">IF(AJ133="","",AJ133)&amp;IF(AK133="","",","&amp;AK133)</f>
        <v>玻璃*86</v>
      </c>
      <c r="AB133" s="27" t="str">
        <f t="shared" ref="AB133:AB196" si="67">IFERROR(ROUND(((X133/L133)-1)*100,0)&amp;"%","")</f>
        <v>33%</v>
      </c>
      <c r="AC133" s="2">
        <f t="shared" ref="AC133:AC196" si="68">IF(X133-S133-L133=0,"",X133-S133-L133)</f>
        <v>540</v>
      </c>
      <c r="AD133" s="38">
        <f t="shared" ref="AD133:AD196" si="69">C133</f>
        <v>4</v>
      </c>
      <c r="AE133" t="str">
        <f t="shared" ref="AE133:AE196" si="70">IF(AL133="","",F133&amp;"*"&amp;AL133)</f>
        <v>铅*22</v>
      </c>
      <c r="AF133" t="str">
        <f t="shared" ref="AF133:AF196" si="71">IF(AM133="","",H133&amp;"*"&amp;AM133)</f>
        <v/>
      </c>
      <c r="AG133" t="str">
        <f t="shared" ref="AG133:AG196" si="72">IF(AP133="","",M133&amp;"*"&amp;AP133)</f>
        <v>劳工*3935</v>
      </c>
      <c r="AH133" t="str">
        <f t="shared" ref="AH133:AH196" si="73">IF(AQ133="","",O133&amp;"*"&amp;AQ133)</f>
        <v>工程师*197</v>
      </c>
      <c r="AI133" t="str">
        <f t="shared" ref="AI133:AI196" si="74">IF(AR133="","",Q133&amp;"*"&amp;AR133)</f>
        <v/>
      </c>
      <c r="AJ133" t="str">
        <f t="shared" ref="AJ133:AJ196" si="75">IF(AS133="","",T133&amp;"*"&amp;AS133)</f>
        <v>玻璃*86</v>
      </c>
      <c r="AK133" t="str">
        <f t="shared" ref="AK133:AK196" si="76">IF(AT133="","",V133&amp;"*"&amp;AT133)</f>
        <v/>
      </c>
      <c r="AL133">
        <f>IFERROR(ROUND(L133*(G133/$AU133)/VLOOKUP(F133,商品!$A$4:$B$60,2,FALSE),0),"")</f>
        <v>22</v>
      </c>
      <c r="AM133" t="str">
        <f>IFERROR(ROUND(L133*(I133/$AU133)/VLOOKUP(H133,商品!$A$4:$B$60,2,FALSE),0),"")</f>
        <v/>
      </c>
      <c r="AN133">
        <f>IFERROR(ROUND(L133*(J133/$AU133)/VLOOKUP("运力",商品!$A$4:$B$60,2,FALSE),0),0)</f>
        <v>43</v>
      </c>
      <c r="AO133">
        <f>IFERROR(ROUND(L133*(K133/$AU133)/VLOOKUP("交易",商品!$A$4:$B$60,2,FALSE),0),0)</f>
        <v>22</v>
      </c>
      <c r="AP133">
        <f>IFERROR(ROUND(S133*(N133/$AV133)/VLOOKUP(M133,职业!$A$4:$G$16,4,FALSE),0),"")</f>
        <v>3935</v>
      </c>
      <c r="AQ133">
        <f>IFERROR(ROUND(S133*(P133/$AV133)/VLOOKUP(O133,职业!$A$4:$G$16,4,FALSE),0),"")</f>
        <v>197</v>
      </c>
      <c r="AR133" t="str">
        <f>IFERROR(ROUND(S133*(R133/$AV133)/VLOOKUP(Q133,职业!$A$4:$G$16,4,FALSE),0),"")</f>
        <v/>
      </c>
      <c r="AS133">
        <f>IFERROR(ROUND(X133*(U133/$AW133)/VLOOKUP(T133,商品!$A$4:$B$60,2,FALSE),0),"")</f>
        <v>86</v>
      </c>
      <c r="AT133" t="str">
        <f>IFERROR(ROUND(X133*(W133/$AW133)/VLOOKUP(V133,商品!$A$4:$B$60,2,FALSE),0),"")</f>
        <v/>
      </c>
      <c r="AU133">
        <f t="shared" ref="AU133:AU196" si="77">G133+I133+J133+K133</f>
        <v>45</v>
      </c>
      <c r="AV133">
        <f t="shared" ref="AV133:AV196" si="78">ABS(N133)+ABS(P133)+ABS(R133)</f>
        <v>115</v>
      </c>
      <c r="AW133">
        <f t="shared" ref="AW133:AW196" si="79">U133+W133</f>
        <v>1</v>
      </c>
    </row>
    <row r="134" spans="1:49" ht="19.95" customHeight="1" x14ac:dyDescent="0.25">
      <c r="A134" s="15" t="s">
        <v>204</v>
      </c>
      <c r="C134" s="15">
        <v>5</v>
      </c>
      <c r="D134" s="23" t="s">
        <v>171</v>
      </c>
      <c r="E134" s="23" t="s">
        <v>172</v>
      </c>
      <c r="F134" s="2" t="s">
        <v>17</v>
      </c>
      <c r="G134" s="2">
        <v>30</v>
      </c>
      <c r="J134" s="24">
        <v>10</v>
      </c>
      <c r="K134" s="25">
        <v>5</v>
      </c>
      <c r="L134" s="15">
        <f>IFERROR(VLOOKUP($D134&amp;$C134,生产方式定位!$A$2:$E$38,2,FALSE)+VLOOKUP($E134&amp;$C134,生产方式定位!$F$3:$J$38,2,FALSE),0)</f>
        <v>2375</v>
      </c>
      <c r="M134" s="2" t="s">
        <v>80</v>
      </c>
      <c r="N134" s="2">
        <v>100</v>
      </c>
      <c r="O134" s="2" t="s">
        <v>73</v>
      </c>
      <c r="P134" s="2">
        <v>20</v>
      </c>
      <c r="S134" s="15">
        <f>IFERROR(VLOOKUP($D134&amp;$C134,生产方式定位!$A$2:$E$38,3,FALSE)+VLOOKUP($E134&amp;$C134,生产方式定位!$F$3:$J$38,3,FALSE),0)</f>
        <v>100</v>
      </c>
      <c r="T134" s="2" t="s">
        <v>25</v>
      </c>
      <c r="U134" s="2">
        <v>1</v>
      </c>
      <c r="X134" s="15">
        <f>IFERROR(VLOOKUP($D134&amp;$C134,生产方式定位!$A$2:$E$38,5,FALSE)+VLOOKUP($E134&amp;$C134,生产方式定位!$F$3:$J$38,5,FALSE),"错误")</f>
        <v>3130</v>
      </c>
      <c r="Y134" s="26" t="str">
        <f t="shared" si="64"/>
        <v>铅*26,运力*53,交易*26</v>
      </c>
      <c r="Z134" s="36" t="str">
        <f t="shared" si="65"/>
        <v>劳工*3771,工程师*251</v>
      </c>
      <c r="AA134" s="36" t="str">
        <f t="shared" si="66"/>
        <v>玻璃*104</v>
      </c>
      <c r="AB134" s="27" t="str">
        <f t="shared" si="67"/>
        <v>32%</v>
      </c>
      <c r="AC134" s="2">
        <f t="shared" si="68"/>
        <v>655</v>
      </c>
      <c r="AD134" s="38">
        <f t="shared" si="69"/>
        <v>5</v>
      </c>
      <c r="AE134" t="str">
        <f t="shared" si="70"/>
        <v>铅*26</v>
      </c>
      <c r="AF134" t="str">
        <f t="shared" si="71"/>
        <v/>
      </c>
      <c r="AG134" t="str">
        <f t="shared" si="72"/>
        <v>劳工*3771</v>
      </c>
      <c r="AH134" t="str">
        <f t="shared" si="73"/>
        <v>工程师*251</v>
      </c>
      <c r="AI134" t="str">
        <f t="shared" si="74"/>
        <v/>
      </c>
      <c r="AJ134" t="str">
        <f t="shared" si="75"/>
        <v>玻璃*104</v>
      </c>
      <c r="AK134" t="str">
        <f t="shared" si="76"/>
        <v/>
      </c>
      <c r="AL134">
        <f>IFERROR(ROUND(L134*(G134/$AU134)/VLOOKUP(F134,商品!$A$4:$B$60,2,FALSE),0),"")</f>
        <v>26</v>
      </c>
      <c r="AM134" t="str">
        <f>IFERROR(ROUND(L134*(I134/$AU134)/VLOOKUP(H134,商品!$A$4:$B$60,2,FALSE),0),"")</f>
        <v/>
      </c>
      <c r="AN134">
        <f>IFERROR(ROUND(L134*(J134/$AU134)/VLOOKUP("运力",商品!$A$4:$B$60,2,FALSE),0),0)</f>
        <v>53</v>
      </c>
      <c r="AO134">
        <f>IFERROR(ROUND(L134*(K134/$AU134)/VLOOKUP("交易",商品!$A$4:$B$60,2,FALSE),0),0)</f>
        <v>26</v>
      </c>
      <c r="AP134">
        <f>IFERROR(ROUND(S134*(N134/$AV134)/VLOOKUP(M134,职业!$A$4:$G$16,4,FALSE),0),"")</f>
        <v>3771</v>
      </c>
      <c r="AQ134">
        <f>IFERROR(ROUND(S134*(P134/$AV134)/VLOOKUP(O134,职业!$A$4:$G$16,4,FALSE),0),"")</f>
        <v>251</v>
      </c>
      <c r="AR134" t="str">
        <f>IFERROR(ROUND(S134*(R134/$AV134)/VLOOKUP(Q134,职业!$A$4:$G$16,4,FALSE),0),"")</f>
        <v/>
      </c>
      <c r="AS134">
        <f>IFERROR(ROUND(X134*(U134/$AW134)/VLOOKUP(T134,商品!$A$4:$B$60,2,FALSE),0),"")</f>
        <v>104</v>
      </c>
      <c r="AT134" t="str">
        <f>IFERROR(ROUND(X134*(W134/$AW134)/VLOOKUP(V134,商品!$A$4:$B$60,2,FALSE),0),"")</f>
        <v/>
      </c>
      <c r="AU134">
        <f t="shared" si="77"/>
        <v>45</v>
      </c>
      <c r="AV134">
        <f t="shared" si="78"/>
        <v>120</v>
      </c>
      <c r="AW134">
        <f t="shared" si="79"/>
        <v>1</v>
      </c>
    </row>
    <row r="135" spans="1:49" ht="19.95" customHeight="1" x14ac:dyDescent="0.25">
      <c r="A135" s="16" t="s">
        <v>205</v>
      </c>
      <c r="C135" s="16">
        <v>1</v>
      </c>
      <c r="D135" s="23" t="s">
        <v>171</v>
      </c>
      <c r="E135" s="23" t="s">
        <v>193</v>
      </c>
      <c r="L135" s="16">
        <f>IFERROR(VLOOKUP($D135&amp;$C135,生产方式定位!$A$2:$E$38,2,FALSE)+VLOOKUP($E135&amp;$C135,生产方式定位!$F$3:$J$38,2,FALSE),0)</f>
        <v>300</v>
      </c>
      <c r="S135" s="16">
        <f>IFERROR(VLOOKUP($D135&amp;$C135,生产方式定位!$A$2:$E$38,3,FALSE)+VLOOKUP($E135&amp;$C135,生产方式定位!$F$3:$J$38,3,FALSE),0)</f>
        <v>100</v>
      </c>
      <c r="X135" s="16">
        <f>IFERROR(VLOOKUP($D135&amp;$C135,生产方式定位!$A$2:$E$38,5,FALSE)+VLOOKUP($E135&amp;$C135,生产方式定位!$F$3:$J$38,5,FALSE),"错误")</f>
        <v>520</v>
      </c>
      <c r="Y135" s="26" t="str">
        <f t="shared" si="64"/>
        <v/>
      </c>
      <c r="Z135" s="36" t="str">
        <f t="shared" si="65"/>
        <v/>
      </c>
      <c r="AA135" s="36" t="str">
        <f t="shared" si="66"/>
        <v/>
      </c>
      <c r="AB135" s="27" t="str">
        <f t="shared" si="67"/>
        <v>73%</v>
      </c>
      <c r="AC135" s="2">
        <f t="shared" si="68"/>
        <v>120</v>
      </c>
      <c r="AD135" s="38">
        <f t="shared" si="69"/>
        <v>1</v>
      </c>
      <c r="AE135" t="str">
        <f t="shared" si="70"/>
        <v/>
      </c>
      <c r="AF135" t="str">
        <f t="shared" si="71"/>
        <v/>
      </c>
      <c r="AG135" t="str">
        <f t="shared" si="72"/>
        <v/>
      </c>
      <c r="AH135" t="str">
        <f t="shared" si="73"/>
        <v/>
      </c>
      <c r="AI135" t="str">
        <f t="shared" si="74"/>
        <v/>
      </c>
      <c r="AJ135" t="str">
        <f t="shared" si="75"/>
        <v/>
      </c>
      <c r="AK135" t="str">
        <f t="shared" si="76"/>
        <v/>
      </c>
      <c r="AL135" t="str">
        <f>IFERROR(ROUND(L135*(G135/$AU135)/VLOOKUP(F135,商品!$A$4:$B$60,2,FALSE),0),"")</f>
        <v/>
      </c>
      <c r="AM135" t="str">
        <f>IFERROR(ROUND(L135*(I135/$AU135)/VLOOKUP(H135,商品!$A$4:$B$60,2,FALSE),0),"")</f>
        <v/>
      </c>
      <c r="AN135">
        <f>IFERROR(ROUND(L135*(J135/$AU135)/VLOOKUP("运力",商品!$A$4:$B$60,2,FALSE),0),0)</f>
        <v>0</v>
      </c>
      <c r="AO135">
        <f>IFERROR(ROUND(L135*(K135/$AU135)/VLOOKUP("交易",商品!$A$4:$B$60,2,FALSE),0),0)</f>
        <v>0</v>
      </c>
      <c r="AP135" t="str">
        <f>IFERROR(ROUND(S135*(N135/$AV135)/VLOOKUP(M135,职业!$A$4:$G$16,4,FALSE),0),"")</f>
        <v/>
      </c>
      <c r="AQ135" t="str">
        <f>IFERROR(ROUND(S135*(P135/$AV135)/VLOOKUP(O135,职业!$A$4:$G$16,4,FALSE),0),"")</f>
        <v/>
      </c>
      <c r="AR135" t="str">
        <f>IFERROR(ROUND(S135*(R135/$AV135)/VLOOKUP(Q135,职业!$A$4:$G$16,4,FALSE),0),"")</f>
        <v/>
      </c>
      <c r="AS135" t="str">
        <f>IFERROR(ROUND(X135*(U135/$AW135)/VLOOKUP(T135,商品!$A$4:$B$60,2,FALSE),0),"")</f>
        <v/>
      </c>
      <c r="AT135" t="str">
        <f>IFERROR(ROUND(X135*(W135/$AW135)/VLOOKUP(V135,商品!$A$4:$B$60,2,FALSE),0),"")</f>
        <v/>
      </c>
      <c r="AU135">
        <f t="shared" si="77"/>
        <v>0</v>
      </c>
      <c r="AV135">
        <f t="shared" si="78"/>
        <v>0</v>
      </c>
      <c r="AW135">
        <f t="shared" si="79"/>
        <v>0</v>
      </c>
    </row>
    <row r="136" spans="1:49" ht="19.95" customHeight="1" x14ac:dyDescent="0.25">
      <c r="A136" s="16" t="s">
        <v>205</v>
      </c>
      <c r="C136" s="16">
        <v>2</v>
      </c>
      <c r="D136" s="23" t="s">
        <v>171</v>
      </c>
      <c r="E136" s="23" t="s">
        <v>193</v>
      </c>
      <c r="F136" s="2" t="s">
        <v>25</v>
      </c>
      <c r="G136" s="2">
        <v>10</v>
      </c>
      <c r="H136" s="2" t="s">
        <v>13</v>
      </c>
      <c r="I136" s="2">
        <v>20</v>
      </c>
      <c r="J136" s="24">
        <v>5</v>
      </c>
      <c r="K136" s="25">
        <v>10</v>
      </c>
      <c r="L136" s="16">
        <f>IFERROR(VLOOKUP($D136&amp;$C136,生产方式定位!$A$2:$E$38,2,FALSE)+VLOOKUP($E136&amp;$C136,生产方式定位!$F$3:$J$38,2,FALSE),0)</f>
        <v>1000</v>
      </c>
      <c r="M136" s="2" t="s">
        <v>73</v>
      </c>
      <c r="N136" s="2">
        <v>5</v>
      </c>
      <c r="S136" s="16">
        <f>IFERROR(VLOOKUP($D136&amp;$C136,生产方式定位!$A$2:$E$38,3,FALSE)+VLOOKUP($E136&amp;$C136,生产方式定位!$F$3:$J$38,3,FALSE),0)</f>
        <v>5</v>
      </c>
      <c r="T136" s="2" t="s">
        <v>29</v>
      </c>
      <c r="U136" s="2">
        <v>1</v>
      </c>
      <c r="X136" s="16">
        <f>IFERROR(VLOOKUP($D136&amp;$C136,生产方式定位!$A$2:$E$38,5,FALSE)+VLOOKUP($E136&amp;$C136,生产方式定位!$F$3:$J$38,5,FALSE),"错误")</f>
        <v>1337</v>
      </c>
      <c r="Y136" s="26" t="str">
        <f t="shared" si="64"/>
        <v>玻璃*7,染料*22,运力*11,交易*22</v>
      </c>
      <c r="Z136" s="36" t="str">
        <f t="shared" si="65"/>
        <v>工程师*75</v>
      </c>
      <c r="AA136" s="36" t="str">
        <f t="shared" si="66"/>
        <v>瓷器*27</v>
      </c>
      <c r="AB136" s="27" t="str">
        <f t="shared" si="67"/>
        <v>34%</v>
      </c>
      <c r="AC136" s="2">
        <f t="shared" si="68"/>
        <v>332</v>
      </c>
      <c r="AD136" s="38">
        <f t="shared" si="69"/>
        <v>2</v>
      </c>
      <c r="AE136" t="str">
        <f t="shared" si="70"/>
        <v>玻璃*7</v>
      </c>
      <c r="AF136" t="str">
        <f t="shared" si="71"/>
        <v>染料*22</v>
      </c>
      <c r="AG136" t="str">
        <f t="shared" si="72"/>
        <v>工程师*75</v>
      </c>
      <c r="AH136" t="str">
        <f t="shared" si="73"/>
        <v/>
      </c>
      <c r="AI136" t="str">
        <f t="shared" si="74"/>
        <v/>
      </c>
      <c r="AJ136" t="str">
        <f t="shared" si="75"/>
        <v>瓷器*27</v>
      </c>
      <c r="AK136" t="str">
        <f t="shared" si="76"/>
        <v/>
      </c>
      <c r="AL136">
        <f>IFERROR(ROUND(L136*(G136/$AU136)/VLOOKUP(F136,商品!$A$4:$B$60,2,FALSE),0),"")</f>
        <v>7</v>
      </c>
      <c r="AM136">
        <f>IFERROR(ROUND(L136*(I136/$AU136)/VLOOKUP(H136,商品!$A$4:$B$60,2,FALSE),0),"")</f>
        <v>22</v>
      </c>
      <c r="AN136">
        <f>IFERROR(ROUND(L136*(J136/$AU136)/VLOOKUP("运力",商品!$A$4:$B$60,2,FALSE),0),0)</f>
        <v>11</v>
      </c>
      <c r="AO136">
        <f>IFERROR(ROUND(L136*(K136/$AU136)/VLOOKUP("交易",商品!$A$4:$B$60,2,FALSE),0),0)</f>
        <v>22</v>
      </c>
      <c r="AP136">
        <f>IFERROR(ROUND(S136*(N136/$AV136)/VLOOKUP(M136,职业!$A$4:$G$16,4,FALSE),0),"")</f>
        <v>75</v>
      </c>
      <c r="AQ136" t="str">
        <f>IFERROR(ROUND(S136*(P136/$AV136)/VLOOKUP(O136,职业!$A$4:$G$16,4,FALSE),0),"")</f>
        <v/>
      </c>
      <c r="AR136" t="str">
        <f>IFERROR(ROUND(S136*(R136/$AV136)/VLOOKUP(Q136,职业!$A$4:$G$16,4,FALSE),0),"")</f>
        <v/>
      </c>
      <c r="AS136">
        <f>IFERROR(ROUND(X136*(U136/$AW136)/VLOOKUP(T136,商品!$A$4:$B$60,2,FALSE),0),"")</f>
        <v>27</v>
      </c>
      <c r="AT136" t="str">
        <f>IFERROR(ROUND(X136*(W136/$AW136)/VLOOKUP(V136,商品!$A$4:$B$60,2,FALSE),0),"")</f>
        <v/>
      </c>
      <c r="AU136">
        <f t="shared" si="77"/>
        <v>45</v>
      </c>
      <c r="AV136">
        <f t="shared" si="78"/>
        <v>5</v>
      </c>
      <c r="AW136">
        <f t="shared" si="79"/>
        <v>1</v>
      </c>
    </row>
    <row r="137" spans="1:49" ht="19.95" customHeight="1" x14ac:dyDescent="0.25">
      <c r="A137" s="16" t="s">
        <v>205</v>
      </c>
      <c r="C137" s="16">
        <v>3</v>
      </c>
      <c r="D137" s="23" t="s">
        <v>171</v>
      </c>
      <c r="E137" s="23" t="s">
        <v>193</v>
      </c>
      <c r="F137" s="2" t="s">
        <v>25</v>
      </c>
      <c r="G137" s="2">
        <v>10</v>
      </c>
      <c r="H137" s="2" t="s">
        <v>13</v>
      </c>
      <c r="I137" s="2">
        <v>20</v>
      </c>
      <c r="J137" s="24">
        <v>5</v>
      </c>
      <c r="K137" s="25">
        <v>10</v>
      </c>
      <c r="L137" s="16">
        <f>IFERROR(VLOOKUP($D137&amp;$C137,生产方式定位!$A$2:$E$38,2,FALSE)+VLOOKUP($E137&amp;$C137,生产方式定位!$F$3:$J$38,2,FALSE),0)</f>
        <v>1400</v>
      </c>
      <c r="M137" s="2" t="s">
        <v>73</v>
      </c>
      <c r="N137" s="2">
        <v>10</v>
      </c>
      <c r="S137" s="16">
        <f>IFERROR(VLOOKUP($D137&amp;$C137,生产方式定位!$A$2:$E$38,3,FALSE)+VLOOKUP($E137&amp;$C137,生产方式定位!$F$3:$J$38,3,FALSE),0)</f>
        <v>10</v>
      </c>
      <c r="T137" s="2" t="s">
        <v>29</v>
      </c>
      <c r="U137" s="2">
        <v>1</v>
      </c>
      <c r="X137" s="16">
        <f>IFERROR(VLOOKUP($D137&amp;$C137,生产方式定位!$A$2:$E$38,5,FALSE)+VLOOKUP($E137&amp;$C137,生产方式定位!$F$3:$J$38,5,FALSE),"错误")</f>
        <v>1874</v>
      </c>
      <c r="Y137" s="26" t="str">
        <f t="shared" si="64"/>
        <v>玻璃*10,染料*31,运力*16,交易*31</v>
      </c>
      <c r="Z137" s="36" t="str">
        <f t="shared" si="65"/>
        <v>工程师*151</v>
      </c>
      <c r="AA137" s="36" t="str">
        <f t="shared" si="66"/>
        <v>瓷器*37</v>
      </c>
      <c r="AB137" s="27" t="str">
        <f t="shared" si="67"/>
        <v>34%</v>
      </c>
      <c r="AC137" s="2">
        <f t="shared" si="68"/>
        <v>464</v>
      </c>
      <c r="AD137" s="38">
        <f t="shared" si="69"/>
        <v>3</v>
      </c>
      <c r="AE137" t="str">
        <f t="shared" si="70"/>
        <v>玻璃*10</v>
      </c>
      <c r="AF137" t="str">
        <f t="shared" si="71"/>
        <v>染料*31</v>
      </c>
      <c r="AG137" t="str">
        <f t="shared" si="72"/>
        <v>工程师*151</v>
      </c>
      <c r="AH137" t="str">
        <f t="shared" si="73"/>
        <v/>
      </c>
      <c r="AI137" t="str">
        <f t="shared" si="74"/>
        <v/>
      </c>
      <c r="AJ137" t="str">
        <f t="shared" si="75"/>
        <v>瓷器*37</v>
      </c>
      <c r="AK137" t="str">
        <f t="shared" si="76"/>
        <v/>
      </c>
      <c r="AL137">
        <f>IFERROR(ROUND(L137*(G137/$AU137)/VLOOKUP(F137,商品!$A$4:$B$60,2,FALSE),0),"")</f>
        <v>10</v>
      </c>
      <c r="AM137">
        <f>IFERROR(ROUND(L137*(I137/$AU137)/VLOOKUP(H137,商品!$A$4:$B$60,2,FALSE),0),"")</f>
        <v>31</v>
      </c>
      <c r="AN137">
        <f>IFERROR(ROUND(L137*(J137/$AU137)/VLOOKUP("运力",商品!$A$4:$B$60,2,FALSE),0),0)</f>
        <v>16</v>
      </c>
      <c r="AO137">
        <f>IFERROR(ROUND(L137*(K137/$AU137)/VLOOKUP("交易",商品!$A$4:$B$60,2,FALSE),0),0)</f>
        <v>31</v>
      </c>
      <c r="AP137">
        <f>IFERROR(ROUND(S137*(N137/$AV137)/VLOOKUP(M137,职业!$A$4:$G$16,4,FALSE),0),"")</f>
        <v>151</v>
      </c>
      <c r="AQ137" t="str">
        <f>IFERROR(ROUND(S137*(P137/$AV137)/VLOOKUP(O137,职业!$A$4:$G$16,4,FALSE),0),"")</f>
        <v/>
      </c>
      <c r="AR137" t="str">
        <f>IFERROR(ROUND(S137*(R137/$AV137)/VLOOKUP(Q137,职业!$A$4:$G$16,4,FALSE),0),"")</f>
        <v/>
      </c>
      <c r="AS137">
        <f>IFERROR(ROUND(X137*(U137/$AW137)/VLOOKUP(T137,商品!$A$4:$B$60,2,FALSE),0),"")</f>
        <v>37</v>
      </c>
      <c r="AT137" t="str">
        <f>IFERROR(ROUND(X137*(W137/$AW137)/VLOOKUP(V137,商品!$A$4:$B$60,2,FALSE),0),"")</f>
        <v/>
      </c>
      <c r="AU137">
        <f t="shared" si="77"/>
        <v>45</v>
      </c>
      <c r="AV137">
        <f t="shared" si="78"/>
        <v>10</v>
      </c>
      <c r="AW137">
        <f t="shared" si="79"/>
        <v>1</v>
      </c>
    </row>
    <row r="138" spans="1:49" ht="19.95" customHeight="1" x14ac:dyDescent="0.25">
      <c r="A138" s="16" t="s">
        <v>205</v>
      </c>
      <c r="C138" s="16">
        <v>4</v>
      </c>
      <c r="D138" s="23" t="s">
        <v>171</v>
      </c>
      <c r="E138" s="23" t="s">
        <v>193</v>
      </c>
      <c r="F138" s="2" t="s">
        <v>25</v>
      </c>
      <c r="G138" s="2">
        <v>10</v>
      </c>
      <c r="H138" s="2" t="s">
        <v>13</v>
      </c>
      <c r="I138" s="2">
        <v>20</v>
      </c>
      <c r="J138" s="24">
        <v>5</v>
      </c>
      <c r="K138" s="25">
        <v>10</v>
      </c>
      <c r="L138" s="16">
        <f>IFERROR(VLOOKUP($D138&amp;$C138,生产方式定位!$A$2:$E$38,2,FALSE)+VLOOKUP($E138&amp;$C138,生产方式定位!$F$3:$J$38,2,FALSE),0)</f>
        <v>1800</v>
      </c>
      <c r="M138" s="2" t="s">
        <v>73</v>
      </c>
      <c r="N138" s="2">
        <v>15</v>
      </c>
      <c r="S138" s="16">
        <f>IFERROR(VLOOKUP($D138&amp;$C138,生产方式定位!$A$2:$E$38,3,FALSE)+VLOOKUP($E138&amp;$C138,生产方式定位!$F$3:$J$38,3,FALSE),0)</f>
        <v>15</v>
      </c>
      <c r="T138" s="2" t="s">
        <v>29</v>
      </c>
      <c r="U138" s="2">
        <v>1</v>
      </c>
      <c r="X138" s="16">
        <f>IFERROR(VLOOKUP($D138&amp;$C138,生产方式定位!$A$2:$E$38,5,FALSE)+VLOOKUP($E138&amp;$C138,生产方式定位!$F$3:$J$38,5,FALSE),"错误")</f>
        <v>2411</v>
      </c>
      <c r="Y138" s="26" t="str">
        <f t="shared" si="64"/>
        <v>玻璃*13,染料*40,运力*20,交易*40</v>
      </c>
      <c r="Z138" s="36" t="str">
        <f t="shared" si="65"/>
        <v>工程师*226</v>
      </c>
      <c r="AA138" s="36" t="str">
        <f t="shared" si="66"/>
        <v>瓷器*48</v>
      </c>
      <c r="AB138" s="27" t="str">
        <f t="shared" si="67"/>
        <v>34%</v>
      </c>
      <c r="AC138" s="2">
        <f t="shared" si="68"/>
        <v>596</v>
      </c>
      <c r="AD138" s="38">
        <f t="shared" si="69"/>
        <v>4</v>
      </c>
      <c r="AE138" t="str">
        <f t="shared" si="70"/>
        <v>玻璃*13</v>
      </c>
      <c r="AF138" t="str">
        <f t="shared" si="71"/>
        <v>染料*40</v>
      </c>
      <c r="AG138" t="str">
        <f t="shared" si="72"/>
        <v>工程师*226</v>
      </c>
      <c r="AH138" t="str">
        <f t="shared" si="73"/>
        <v/>
      </c>
      <c r="AI138" t="str">
        <f t="shared" si="74"/>
        <v/>
      </c>
      <c r="AJ138" t="str">
        <f t="shared" si="75"/>
        <v>瓷器*48</v>
      </c>
      <c r="AK138" t="str">
        <f t="shared" si="76"/>
        <v/>
      </c>
      <c r="AL138">
        <f>IFERROR(ROUND(L138*(G138/$AU138)/VLOOKUP(F138,商品!$A$4:$B$60,2,FALSE),0),"")</f>
        <v>13</v>
      </c>
      <c r="AM138">
        <f>IFERROR(ROUND(L138*(I138/$AU138)/VLOOKUP(H138,商品!$A$4:$B$60,2,FALSE),0),"")</f>
        <v>40</v>
      </c>
      <c r="AN138">
        <f>IFERROR(ROUND(L138*(J138/$AU138)/VLOOKUP("运力",商品!$A$4:$B$60,2,FALSE),0),0)</f>
        <v>20</v>
      </c>
      <c r="AO138">
        <f>IFERROR(ROUND(L138*(K138/$AU138)/VLOOKUP("交易",商品!$A$4:$B$60,2,FALSE),0),0)</f>
        <v>40</v>
      </c>
      <c r="AP138">
        <f>IFERROR(ROUND(S138*(N138/$AV138)/VLOOKUP(M138,职业!$A$4:$G$16,4,FALSE),0),"")</f>
        <v>226</v>
      </c>
      <c r="AQ138" t="str">
        <f>IFERROR(ROUND(S138*(P138/$AV138)/VLOOKUP(O138,职业!$A$4:$G$16,4,FALSE),0),"")</f>
        <v/>
      </c>
      <c r="AR138" t="str">
        <f>IFERROR(ROUND(S138*(R138/$AV138)/VLOOKUP(Q138,职业!$A$4:$G$16,4,FALSE),0),"")</f>
        <v/>
      </c>
      <c r="AS138">
        <f>IFERROR(ROUND(X138*(U138/$AW138)/VLOOKUP(T138,商品!$A$4:$B$60,2,FALSE),0),"")</f>
        <v>48</v>
      </c>
      <c r="AT138" t="str">
        <f>IFERROR(ROUND(X138*(W138/$AW138)/VLOOKUP(V138,商品!$A$4:$B$60,2,FALSE),0),"")</f>
        <v/>
      </c>
      <c r="AU138">
        <f t="shared" si="77"/>
        <v>45</v>
      </c>
      <c r="AV138">
        <f t="shared" si="78"/>
        <v>15</v>
      </c>
      <c r="AW138">
        <f t="shared" si="79"/>
        <v>1</v>
      </c>
    </row>
    <row r="139" spans="1:49" ht="19.95" customHeight="1" x14ac:dyDescent="0.25">
      <c r="A139" s="16" t="s">
        <v>205</v>
      </c>
      <c r="C139" s="16">
        <v>5</v>
      </c>
      <c r="D139" s="23" t="s">
        <v>171</v>
      </c>
      <c r="E139" s="23" t="s">
        <v>193</v>
      </c>
      <c r="F139" s="2" t="s">
        <v>25</v>
      </c>
      <c r="G139" s="2">
        <v>10</v>
      </c>
      <c r="H139" s="2" t="s">
        <v>13</v>
      </c>
      <c r="I139" s="2">
        <v>20</v>
      </c>
      <c r="J139" s="24">
        <v>5</v>
      </c>
      <c r="K139" s="25">
        <v>10</v>
      </c>
      <c r="L139" s="16">
        <f>IFERROR(VLOOKUP($D139&amp;$C139,生产方式定位!$A$2:$E$38,2,FALSE)+VLOOKUP($E139&amp;$C139,生产方式定位!$F$3:$J$38,2,FALSE),0)</f>
        <v>2200</v>
      </c>
      <c r="M139" s="2" t="s">
        <v>73</v>
      </c>
      <c r="N139" s="2">
        <v>20</v>
      </c>
      <c r="S139" s="16">
        <f>IFERROR(VLOOKUP($D139&amp;$C139,生产方式定位!$A$2:$E$38,3,FALSE)+VLOOKUP($E139&amp;$C139,生产方式定位!$F$3:$J$38,3,FALSE),0)</f>
        <v>20</v>
      </c>
      <c r="T139" s="2" t="s">
        <v>29</v>
      </c>
      <c r="U139" s="2">
        <v>1</v>
      </c>
      <c r="X139" s="16">
        <f>IFERROR(VLOOKUP($D139&amp;$C139,生产方式定位!$A$2:$E$38,5,FALSE)+VLOOKUP($E139&amp;$C139,生产方式定位!$F$3:$J$38,5,FALSE),"错误")</f>
        <v>2948</v>
      </c>
      <c r="Y139" s="26" t="str">
        <f t="shared" si="64"/>
        <v>玻璃*16,染料*49,运力*24,交易*49</v>
      </c>
      <c r="Z139" s="36" t="str">
        <f t="shared" si="65"/>
        <v>工程师*302</v>
      </c>
      <c r="AA139" s="36" t="str">
        <f t="shared" si="66"/>
        <v>瓷器*59</v>
      </c>
      <c r="AB139" s="27" t="str">
        <f t="shared" si="67"/>
        <v>34%</v>
      </c>
      <c r="AC139" s="2">
        <f t="shared" si="68"/>
        <v>728</v>
      </c>
      <c r="AD139" s="38">
        <f t="shared" si="69"/>
        <v>5</v>
      </c>
      <c r="AE139" t="str">
        <f t="shared" si="70"/>
        <v>玻璃*16</v>
      </c>
      <c r="AF139" t="str">
        <f t="shared" si="71"/>
        <v>染料*49</v>
      </c>
      <c r="AG139" t="str">
        <f t="shared" si="72"/>
        <v>工程师*302</v>
      </c>
      <c r="AH139" t="str">
        <f t="shared" si="73"/>
        <v/>
      </c>
      <c r="AI139" t="str">
        <f t="shared" si="74"/>
        <v/>
      </c>
      <c r="AJ139" t="str">
        <f t="shared" si="75"/>
        <v>瓷器*59</v>
      </c>
      <c r="AK139" t="str">
        <f t="shared" si="76"/>
        <v/>
      </c>
      <c r="AL139">
        <f>IFERROR(ROUND(L139*(G139/$AU139)/VLOOKUP(F139,商品!$A$4:$B$60,2,FALSE),0),"")</f>
        <v>16</v>
      </c>
      <c r="AM139">
        <f>IFERROR(ROUND(L139*(I139/$AU139)/VLOOKUP(H139,商品!$A$4:$B$60,2,FALSE),0),"")</f>
        <v>49</v>
      </c>
      <c r="AN139">
        <f>IFERROR(ROUND(L139*(J139/$AU139)/VLOOKUP("运力",商品!$A$4:$B$60,2,FALSE),0),0)</f>
        <v>24</v>
      </c>
      <c r="AO139">
        <f>IFERROR(ROUND(L139*(K139/$AU139)/VLOOKUP("交易",商品!$A$4:$B$60,2,FALSE),0),0)</f>
        <v>49</v>
      </c>
      <c r="AP139">
        <f>IFERROR(ROUND(S139*(N139/$AV139)/VLOOKUP(M139,职业!$A$4:$G$16,4,FALSE),0),"")</f>
        <v>302</v>
      </c>
      <c r="AQ139" t="str">
        <f>IFERROR(ROUND(S139*(P139/$AV139)/VLOOKUP(O139,职业!$A$4:$G$16,4,FALSE),0),"")</f>
        <v/>
      </c>
      <c r="AR139" t="str">
        <f>IFERROR(ROUND(S139*(R139/$AV139)/VLOOKUP(Q139,职业!$A$4:$G$16,4,FALSE),0),"")</f>
        <v/>
      </c>
      <c r="AS139">
        <f>IFERROR(ROUND(X139*(U139/$AW139)/VLOOKUP(T139,商品!$A$4:$B$60,2,FALSE),0),"")</f>
        <v>59</v>
      </c>
      <c r="AT139" t="str">
        <f>IFERROR(ROUND(X139*(W139/$AW139)/VLOOKUP(V139,商品!$A$4:$B$60,2,FALSE),0),"")</f>
        <v/>
      </c>
      <c r="AU139">
        <f t="shared" si="77"/>
        <v>45</v>
      </c>
      <c r="AV139">
        <f t="shared" si="78"/>
        <v>20</v>
      </c>
      <c r="AW139">
        <f t="shared" si="79"/>
        <v>1</v>
      </c>
    </row>
    <row r="140" spans="1:49" ht="19.95" customHeight="1" x14ac:dyDescent="0.25">
      <c r="A140" s="15" t="s">
        <v>510</v>
      </c>
      <c r="C140" s="15">
        <v>1</v>
      </c>
      <c r="D140" s="23" t="s">
        <v>174</v>
      </c>
      <c r="E140" s="23" t="s">
        <v>175</v>
      </c>
      <c r="L140" s="15">
        <f>IFERROR(VLOOKUP($D140&amp;$C140,生产方式定位!$A$2:$E$38,2,FALSE)+VLOOKUP($E140&amp;$C140,生产方式定位!$F$3:$J$38,2,FALSE),0)</f>
        <v>0</v>
      </c>
      <c r="S140" s="15">
        <f>IFERROR(VLOOKUP($D140&amp;$C140,生产方式定位!$A$2:$E$38,3,FALSE)+VLOOKUP($E140&amp;$C140,生产方式定位!$F$3:$J$38,3,FALSE),0)</f>
        <v>0</v>
      </c>
      <c r="X140" s="15">
        <f>IFERROR(VLOOKUP($D140&amp;$C140,生产方式定位!$A$2:$E$38,5,FALSE)+VLOOKUP($E140&amp;$C140,生产方式定位!$F$3:$J$38,5,FALSE),"错误")</f>
        <v>0</v>
      </c>
      <c r="Y140" s="26" t="str">
        <f t="shared" si="64"/>
        <v/>
      </c>
      <c r="Z140" s="36" t="str">
        <f t="shared" si="65"/>
        <v/>
      </c>
      <c r="AA140" s="36" t="str">
        <f t="shared" si="66"/>
        <v/>
      </c>
      <c r="AB140" s="27" t="str">
        <f t="shared" si="67"/>
        <v/>
      </c>
      <c r="AC140" s="2" t="str">
        <f t="shared" si="68"/>
        <v/>
      </c>
      <c r="AD140" s="37">
        <f t="shared" si="69"/>
        <v>1</v>
      </c>
      <c r="AE140" t="str">
        <f t="shared" si="70"/>
        <v/>
      </c>
      <c r="AF140" t="str">
        <f t="shared" si="71"/>
        <v/>
      </c>
      <c r="AG140" t="str">
        <f t="shared" si="72"/>
        <v/>
      </c>
      <c r="AH140" t="str">
        <f t="shared" si="73"/>
        <v/>
      </c>
      <c r="AI140" t="str">
        <f t="shared" si="74"/>
        <v/>
      </c>
      <c r="AJ140" t="str">
        <f t="shared" si="75"/>
        <v/>
      </c>
      <c r="AK140" t="str">
        <f t="shared" si="76"/>
        <v/>
      </c>
      <c r="AL140" t="str">
        <f>IFERROR(ROUND(L140*(G140/$AU140)/VLOOKUP(F140,商品!$A$4:$B$60,2,FALSE),0),"")</f>
        <v/>
      </c>
      <c r="AM140" t="str">
        <f>IFERROR(ROUND(L140*(I140/$AU140)/VLOOKUP(H140,商品!$A$4:$B$60,2,FALSE),0),"")</f>
        <v/>
      </c>
      <c r="AN140">
        <f>IFERROR(ROUND(L140*(J140/$AU140)/VLOOKUP("运力",商品!$A$4:$B$60,2,FALSE),0),0)</f>
        <v>0</v>
      </c>
      <c r="AO140">
        <f>IFERROR(ROUND(L140*(K140/$AU140)/VLOOKUP("交易",商品!$A$4:$B$60,2,FALSE),0),0)</f>
        <v>0</v>
      </c>
      <c r="AP140" t="str">
        <f>IFERROR(ROUND(S140*(N140/$AV140)/VLOOKUP(M140,职业!$A$4:$G$16,4,FALSE),0),"")</f>
        <v/>
      </c>
      <c r="AQ140" t="str">
        <f>IFERROR(ROUND(S140*(P140/$AV140)/VLOOKUP(O140,职业!$A$4:$G$16,4,FALSE),0),"")</f>
        <v/>
      </c>
      <c r="AR140" t="str">
        <f>IFERROR(ROUND(S140*(R140/$AV140)/VLOOKUP(Q140,职业!$A$4:$G$16,4,FALSE),0),"")</f>
        <v/>
      </c>
      <c r="AS140" t="str">
        <f>IFERROR(ROUND(X140*(U140/$AW140)/VLOOKUP(T140,商品!$A$4:$B$60,2,FALSE),0),"")</f>
        <v/>
      </c>
      <c r="AT140" t="str">
        <f>IFERROR(ROUND(X140*(W140/$AW140)/VLOOKUP(V140,商品!$A$4:$B$60,2,FALSE),0),"")</f>
        <v/>
      </c>
      <c r="AU140">
        <f t="shared" si="77"/>
        <v>0</v>
      </c>
      <c r="AV140">
        <f t="shared" si="78"/>
        <v>0</v>
      </c>
      <c r="AW140">
        <f t="shared" si="79"/>
        <v>0</v>
      </c>
    </row>
    <row r="141" spans="1:49" ht="19.95" customHeight="1" x14ac:dyDescent="0.25">
      <c r="A141" s="15" t="s">
        <v>510</v>
      </c>
      <c r="C141" s="15">
        <v>2</v>
      </c>
      <c r="D141" s="23" t="s">
        <v>174</v>
      </c>
      <c r="E141" s="23" t="s">
        <v>175</v>
      </c>
      <c r="F141" s="2" t="s">
        <v>41</v>
      </c>
      <c r="G141" s="2">
        <v>10</v>
      </c>
      <c r="L141" s="15">
        <f>IFERROR(VLOOKUP($D141&amp;$C141,生产方式定位!$A$2:$E$38,2,FALSE)+VLOOKUP($E141&amp;$C141,生产方式定位!$F$3:$J$38,2,FALSE),0)</f>
        <v>50</v>
      </c>
      <c r="M141" s="2" t="s">
        <v>80</v>
      </c>
      <c r="N141" s="2">
        <v>-20</v>
      </c>
      <c r="O141" s="2" t="s">
        <v>73</v>
      </c>
      <c r="P141" s="2">
        <v>5</v>
      </c>
      <c r="S141" s="15">
        <f>IFERROR(VLOOKUP($D141&amp;$C141,生产方式定位!$A$2:$E$38,3,FALSE)+VLOOKUP($E141&amp;$C141,生产方式定位!$F$3:$J$38,3,FALSE),0)</f>
        <v>10</v>
      </c>
      <c r="T141" s="2" t="s">
        <v>25</v>
      </c>
      <c r="U141" s="2">
        <v>1</v>
      </c>
      <c r="X141" s="15">
        <f>IFERROR(VLOOKUP($D141&amp;$C141,生产方式定位!$A$2:$E$38,5,FALSE)+VLOOKUP($E141&amp;$C141,生产方式定位!$F$3:$J$38,5,FALSE),"错误")</f>
        <v>0</v>
      </c>
      <c r="Y141" s="26" t="str">
        <f t="shared" si="64"/>
        <v>工具*1</v>
      </c>
      <c r="Z141" s="36" t="str">
        <f t="shared" si="65"/>
        <v>劳工*-362,工程师*30</v>
      </c>
      <c r="AA141" s="36" t="str">
        <f t="shared" si="66"/>
        <v>玻璃*0</v>
      </c>
      <c r="AB141" s="27" t="str">
        <f t="shared" si="67"/>
        <v>-100%</v>
      </c>
      <c r="AC141" s="2">
        <f t="shared" si="68"/>
        <v>-60</v>
      </c>
      <c r="AD141" s="37">
        <f t="shared" si="69"/>
        <v>2</v>
      </c>
      <c r="AE141" t="str">
        <f t="shared" si="70"/>
        <v>工具*1</v>
      </c>
      <c r="AF141" t="str">
        <f t="shared" si="71"/>
        <v/>
      </c>
      <c r="AG141" t="str">
        <f t="shared" si="72"/>
        <v>劳工*-362</v>
      </c>
      <c r="AH141" t="str">
        <f t="shared" si="73"/>
        <v>工程师*30</v>
      </c>
      <c r="AI141" t="str">
        <f t="shared" si="74"/>
        <v/>
      </c>
      <c r="AJ141" t="str">
        <f t="shared" si="75"/>
        <v>玻璃*0</v>
      </c>
      <c r="AK141" t="str">
        <f t="shared" si="76"/>
        <v/>
      </c>
      <c r="AL141">
        <f>IFERROR(ROUND(L141*(G141/$AU141)/VLOOKUP(F141,商品!$A$4:$B$60,2,FALSE),0),"")</f>
        <v>1</v>
      </c>
      <c r="AM141" t="str">
        <f>IFERROR(ROUND(L141*(I141/$AU141)/VLOOKUP(H141,商品!$A$4:$B$60,2,FALSE),0),"")</f>
        <v/>
      </c>
      <c r="AN141">
        <f>IFERROR(ROUND(L141*(J141/$AU141)/VLOOKUP("运力",商品!$A$4:$B$60,2,FALSE),0),0)</f>
        <v>0</v>
      </c>
      <c r="AO141">
        <f>IFERROR(ROUND(L141*(K141/$AU141)/VLOOKUP("交易",商品!$A$4:$B$60,2,FALSE),0),0)</f>
        <v>0</v>
      </c>
      <c r="AP141">
        <f>IFERROR(ROUND(S141*(N141/$AV141)/VLOOKUP(M141,职业!$A$4:$G$16,4,FALSE),0),"")</f>
        <v>-362</v>
      </c>
      <c r="AQ141">
        <f>IFERROR(ROUND(S141*(P141/$AV141)/VLOOKUP(O141,职业!$A$4:$G$16,4,FALSE),0),"")</f>
        <v>30</v>
      </c>
      <c r="AR141" t="str">
        <f>IFERROR(ROUND(S141*(R141/$AV141)/VLOOKUP(Q141,职业!$A$4:$G$16,4,FALSE),0),"")</f>
        <v/>
      </c>
      <c r="AS141">
        <f>IFERROR(ROUND(X141*(U141/$AW141)/VLOOKUP(T141,商品!$A$4:$B$60,2,FALSE),0),"")</f>
        <v>0</v>
      </c>
      <c r="AT141" t="str">
        <f>IFERROR(ROUND(X141*(W141/$AW141)/VLOOKUP(V141,商品!$A$4:$B$60,2,FALSE),0),"")</f>
        <v/>
      </c>
      <c r="AU141">
        <f t="shared" si="77"/>
        <v>10</v>
      </c>
      <c r="AV141">
        <f t="shared" si="78"/>
        <v>25</v>
      </c>
      <c r="AW141">
        <f t="shared" si="79"/>
        <v>1</v>
      </c>
    </row>
    <row r="142" spans="1:49" ht="19.95" customHeight="1" x14ac:dyDescent="0.25">
      <c r="A142" s="15" t="s">
        <v>510</v>
      </c>
      <c r="C142" s="15">
        <v>3</v>
      </c>
      <c r="D142" s="23" t="s">
        <v>174</v>
      </c>
      <c r="E142" s="23" t="s">
        <v>175</v>
      </c>
      <c r="F142" s="2" t="s">
        <v>41</v>
      </c>
      <c r="G142" s="2">
        <v>10</v>
      </c>
      <c r="L142" s="15">
        <f>IFERROR(VLOOKUP($D142&amp;$C142,生产方式定位!$A$2:$E$38,2,FALSE)+VLOOKUP($E142&amp;$C142,生产方式定位!$F$3:$J$38,2,FALSE),0)</f>
        <v>100</v>
      </c>
      <c r="M142" s="2" t="s">
        <v>80</v>
      </c>
      <c r="N142" s="2">
        <v>-20</v>
      </c>
      <c r="O142" s="2" t="s">
        <v>73</v>
      </c>
      <c r="P142" s="2">
        <v>7</v>
      </c>
      <c r="S142" s="15">
        <f>IFERROR(VLOOKUP($D142&amp;$C142,生产方式定位!$A$2:$E$38,3,FALSE)+VLOOKUP($E142&amp;$C142,生产方式定位!$F$3:$J$38,3,FALSE),0)</f>
        <v>20</v>
      </c>
      <c r="T142" s="2" t="s">
        <v>25</v>
      </c>
      <c r="U142" s="2">
        <v>1</v>
      </c>
      <c r="X142" s="15">
        <f>IFERROR(VLOOKUP($D142&amp;$C142,生产方式定位!$A$2:$E$38,5,FALSE)+VLOOKUP($E142&amp;$C142,生产方式定位!$F$3:$J$38,5,FALSE),"错误")</f>
        <v>0</v>
      </c>
      <c r="Y142" s="26" t="str">
        <f t="shared" si="64"/>
        <v>工具*3</v>
      </c>
      <c r="Z142" s="36" t="str">
        <f t="shared" si="65"/>
        <v>劳工*-670,工程师*78</v>
      </c>
      <c r="AA142" s="36" t="str">
        <f t="shared" si="66"/>
        <v>玻璃*0</v>
      </c>
      <c r="AB142" s="27" t="str">
        <f t="shared" si="67"/>
        <v>-100%</v>
      </c>
      <c r="AC142" s="2">
        <f t="shared" si="68"/>
        <v>-120</v>
      </c>
      <c r="AD142" s="37">
        <f t="shared" si="69"/>
        <v>3</v>
      </c>
      <c r="AE142" t="str">
        <f t="shared" si="70"/>
        <v>工具*3</v>
      </c>
      <c r="AF142" t="str">
        <f t="shared" si="71"/>
        <v/>
      </c>
      <c r="AG142" t="str">
        <f t="shared" si="72"/>
        <v>劳工*-670</v>
      </c>
      <c r="AH142" t="str">
        <f t="shared" si="73"/>
        <v>工程师*78</v>
      </c>
      <c r="AI142" t="str">
        <f t="shared" si="74"/>
        <v/>
      </c>
      <c r="AJ142" t="str">
        <f t="shared" si="75"/>
        <v>玻璃*0</v>
      </c>
      <c r="AK142" t="str">
        <f t="shared" si="76"/>
        <v/>
      </c>
      <c r="AL142">
        <f>IFERROR(ROUND(L142*(G142/$AU142)/VLOOKUP(F142,商品!$A$4:$B$60,2,FALSE),0),"")</f>
        <v>3</v>
      </c>
      <c r="AM142" t="str">
        <f>IFERROR(ROUND(L142*(I142/$AU142)/VLOOKUP(H142,商品!$A$4:$B$60,2,FALSE),0),"")</f>
        <v/>
      </c>
      <c r="AN142">
        <f>IFERROR(ROUND(L142*(J142/$AU142)/VLOOKUP("运力",商品!$A$4:$B$60,2,FALSE),0),0)</f>
        <v>0</v>
      </c>
      <c r="AO142">
        <f>IFERROR(ROUND(L142*(K142/$AU142)/VLOOKUP("交易",商品!$A$4:$B$60,2,FALSE),0),0)</f>
        <v>0</v>
      </c>
      <c r="AP142">
        <f>IFERROR(ROUND(S142*(N142/$AV142)/VLOOKUP(M142,职业!$A$4:$G$16,4,FALSE),0),"")</f>
        <v>-670</v>
      </c>
      <c r="AQ142">
        <f>IFERROR(ROUND(S142*(P142/$AV142)/VLOOKUP(O142,职业!$A$4:$G$16,4,FALSE),0),"")</f>
        <v>78</v>
      </c>
      <c r="AR142" t="str">
        <f>IFERROR(ROUND(S142*(R142/$AV142)/VLOOKUP(Q142,职业!$A$4:$G$16,4,FALSE),0),"")</f>
        <v/>
      </c>
      <c r="AS142">
        <f>IFERROR(ROUND(X142*(U142/$AW142)/VLOOKUP(T142,商品!$A$4:$B$60,2,FALSE),0),"")</f>
        <v>0</v>
      </c>
      <c r="AT142" t="str">
        <f>IFERROR(ROUND(X142*(W142/$AW142)/VLOOKUP(V142,商品!$A$4:$B$60,2,FALSE),0),"")</f>
        <v/>
      </c>
      <c r="AU142">
        <f t="shared" si="77"/>
        <v>10</v>
      </c>
      <c r="AV142">
        <f t="shared" si="78"/>
        <v>27</v>
      </c>
      <c r="AW142">
        <f t="shared" si="79"/>
        <v>1</v>
      </c>
    </row>
    <row r="143" spans="1:49" ht="19.95" customHeight="1" x14ac:dyDescent="0.25">
      <c r="A143" s="15" t="s">
        <v>510</v>
      </c>
      <c r="C143" s="15">
        <v>4</v>
      </c>
      <c r="D143" s="23" t="s">
        <v>174</v>
      </c>
      <c r="E143" s="23" t="s">
        <v>175</v>
      </c>
      <c r="F143" s="2" t="s">
        <v>45</v>
      </c>
      <c r="G143" s="2">
        <v>5</v>
      </c>
      <c r="H143" s="2" t="s">
        <v>19</v>
      </c>
      <c r="I143" s="2">
        <v>10</v>
      </c>
      <c r="L143" s="15">
        <f>IFERROR(VLOOKUP($D143&amp;$C143,生产方式定位!$A$2:$E$38,2,FALSE)+VLOOKUP($E143&amp;$C143,生产方式定位!$F$3:$J$38,2,FALSE),0)</f>
        <v>150</v>
      </c>
      <c r="M143" s="2" t="s">
        <v>80</v>
      </c>
      <c r="N143" s="2">
        <v>-20</v>
      </c>
      <c r="O143" s="2" t="s">
        <v>73</v>
      </c>
      <c r="P143" s="2">
        <v>9</v>
      </c>
      <c r="S143" s="15">
        <f>IFERROR(VLOOKUP($D143&amp;$C143,生产方式定位!$A$2:$E$38,3,FALSE)+VLOOKUP($E143&amp;$C143,生产方式定位!$F$3:$J$38,3,FALSE),0)</f>
        <v>30</v>
      </c>
      <c r="T143" s="2" t="s">
        <v>25</v>
      </c>
      <c r="U143" s="2">
        <v>1</v>
      </c>
      <c r="X143" s="15">
        <f>IFERROR(VLOOKUP($D143&amp;$C143,生产方式定位!$A$2:$E$38,5,FALSE)+VLOOKUP($E143&amp;$C143,生产方式定位!$F$3:$J$38,5,FALSE),"错误")</f>
        <v>0</v>
      </c>
      <c r="Y143" s="26" t="str">
        <f t="shared" si="64"/>
        <v>科学引擎*1,煤*3</v>
      </c>
      <c r="Z143" s="36" t="str">
        <f t="shared" si="65"/>
        <v>劳工*-936,工程师*140</v>
      </c>
      <c r="AA143" s="36" t="str">
        <f t="shared" si="66"/>
        <v>玻璃*0</v>
      </c>
      <c r="AB143" s="27" t="str">
        <f t="shared" si="67"/>
        <v>-100%</v>
      </c>
      <c r="AC143" s="2">
        <f t="shared" si="68"/>
        <v>-180</v>
      </c>
      <c r="AD143" s="37">
        <f t="shared" si="69"/>
        <v>4</v>
      </c>
      <c r="AE143" t="str">
        <f t="shared" si="70"/>
        <v>科学引擎*1</v>
      </c>
      <c r="AF143" t="str">
        <f t="shared" si="71"/>
        <v>煤*3</v>
      </c>
      <c r="AG143" t="str">
        <f t="shared" si="72"/>
        <v>劳工*-936</v>
      </c>
      <c r="AH143" t="str">
        <f t="shared" si="73"/>
        <v>工程师*140</v>
      </c>
      <c r="AI143" t="str">
        <f t="shared" si="74"/>
        <v/>
      </c>
      <c r="AJ143" t="str">
        <f t="shared" si="75"/>
        <v>玻璃*0</v>
      </c>
      <c r="AK143" t="str">
        <f t="shared" si="76"/>
        <v/>
      </c>
      <c r="AL143">
        <f>IFERROR(ROUND(L143*(G143/$AU143)/VLOOKUP(F143,商品!$A$4:$B$60,2,FALSE),0),"")</f>
        <v>1</v>
      </c>
      <c r="AM143">
        <f>IFERROR(ROUND(L143*(I143/$AU143)/VLOOKUP(H143,商品!$A$4:$B$60,2,FALSE),0),"")</f>
        <v>3</v>
      </c>
      <c r="AN143">
        <f>IFERROR(ROUND(L143*(J143/$AU143)/VLOOKUP("运力",商品!$A$4:$B$60,2,FALSE),0),0)</f>
        <v>0</v>
      </c>
      <c r="AO143">
        <f>IFERROR(ROUND(L143*(K143/$AU143)/VLOOKUP("交易",商品!$A$4:$B$60,2,FALSE),0),0)</f>
        <v>0</v>
      </c>
      <c r="AP143">
        <f>IFERROR(ROUND(S143*(N143/$AV143)/VLOOKUP(M143,职业!$A$4:$G$16,4,FALSE),0),"")</f>
        <v>-936</v>
      </c>
      <c r="AQ143">
        <f>IFERROR(ROUND(S143*(P143/$AV143)/VLOOKUP(O143,职业!$A$4:$G$16,4,FALSE),0),"")</f>
        <v>140</v>
      </c>
      <c r="AR143" t="str">
        <f>IFERROR(ROUND(S143*(R143/$AV143)/VLOOKUP(Q143,职业!$A$4:$G$16,4,FALSE),0),"")</f>
        <v/>
      </c>
      <c r="AS143">
        <f>IFERROR(ROUND(X143*(U143/$AW143)/VLOOKUP(T143,商品!$A$4:$B$60,2,FALSE),0),"")</f>
        <v>0</v>
      </c>
      <c r="AT143" t="str">
        <f>IFERROR(ROUND(X143*(W143/$AW143)/VLOOKUP(V143,商品!$A$4:$B$60,2,FALSE),0),"")</f>
        <v/>
      </c>
      <c r="AU143">
        <f t="shared" si="77"/>
        <v>15</v>
      </c>
      <c r="AV143">
        <f t="shared" si="78"/>
        <v>29</v>
      </c>
      <c r="AW143">
        <f t="shared" si="79"/>
        <v>1</v>
      </c>
    </row>
    <row r="144" spans="1:49" ht="19.95" customHeight="1" x14ac:dyDescent="0.25">
      <c r="A144" s="15" t="s">
        <v>510</v>
      </c>
      <c r="C144" s="15">
        <v>5</v>
      </c>
      <c r="D144" s="23" t="s">
        <v>174</v>
      </c>
      <c r="E144" s="23" t="s">
        <v>175</v>
      </c>
      <c r="F144" s="2" t="s">
        <v>46</v>
      </c>
      <c r="G144" s="2">
        <v>5</v>
      </c>
      <c r="H144" s="2" t="s">
        <v>19</v>
      </c>
      <c r="I144" s="2">
        <v>10</v>
      </c>
      <c r="L144" s="15">
        <f>IFERROR(VLOOKUP($D144&amp;$C144,生产方式定位!$A$2:$E$38,2,FALSE)+VLOOKUP($E144&amp;$C144,生产方式定位!$F$3:$J$38,2,FALSE),0)</f>
        <v>200</v>
      </c>
      <c r="M144" s="2" t="s">
        <v>80</v>
      </c>
      <c r="N144" s="2">
        <v>-20</v>
      </c>
      <c r="O144" s="2" t="s">
        <v>73</v>
      </c>
      <c r="P144" s="2">
        <v>11</v>
      </c>
      <c r="S144" s="15">
        <f>IFERROR(VLOOKUP($D144&amp;$C144,生产方式定位!$A$2:$E$38,3,FALSE)+VLOOKUP($E144&amp;$C144,生产方式定位!$F$3:$J$38,3,FALSE),0)</f>
        <v>40</v>
      </c>
      <c r="T144" s="2" t="s">
        <v>25</v>
      </c>
      <c r="U144" s="2">
        <v>1</v>
      </c>
      <c r="X144" s="15">
        <f>IFERROR(VLOOKUP($D144&amp;$C144,生产方式定位!$A$2:$E$38,5,FALSE)+VLOOKUP($E144&amp;$C144,生产方式定位!$F$3:$J$38,5,FALSE),"错误")</f>
        <v>0</v>
      </c>
      <c r="Y144" s="26" t="str">
        <f t="shared" si="64"/>
        <v>魔导引擎*1,煤*4</v>
      </c>
      <c r="Z144" s="36" t="str">
        <f t="shared" si="65"/>
        <v>劳工*-1168,工程师*214</v>
      </c>
      <c r="AA144" s="36" t="str">
        <f t="shared" si="66"/>
        <v>玻璃*0</v>
      </c>
      <c r="AB144" s="27" t="str">
        <f t="shared" si="67"/>
        <v>-100%</v>
      </c>
      <c r="AC144" s="2">
        <f t="shared" si="68"/>
        <v>-240</v>
      </c>
      <c r="AD144" s="37">
        <f t="shared" si="69"/>
        <v>5</v>
      </c>
      <c r="AE144" t="str">
        <f t="shared" si="70"/>
        <v>魔导引擎*1</v>
      </c>
      <c r="AF144" t="str">
        <f t="shared" si="71"/>
        <v>煤*4</v>
      </c>
      <c r="AG144" t="str">
        <f t="shared" si="72"/>
        <v>劳工*-1168</v>
      </c>
      <c r="AH144" t="str">
        <f t="shared" si="73"/>
        <v>工程师*214</v>
      </c>
      <c r="AI144" t="str">
        <f t="shared" si="74"/>
        <v/>
      </c>
      <c r="AJ144" t="str">
        <f t="shared" si="75"/>
        <v>玻璃*0</v>
      </c>
      <c r="AK144" t="str">
        <f t="shared" si="76"/>
        <v/>
      </c>
      <c r="AL144">
        <f>IFERROR(ROUND(L144*(G144/$AU144)/VLOOKUP(F144,商品!$A$4:$B$60,2,FALSE),0),"")</f>
        <v>1</v>
      </c>
      <c r="AM144">
        <f>IFERROR(ROUND(L144*(I144/$AU144)/VLOOKUP(H144,商品!$A$4:$B$60,2,FALSE),0),"")</f>
        <v>4</v>
      </c>
      <c r="AN144">
        <f>IFERROR(ROUND(L144*(J144/$AU144)/VLOOKUP("运力",商品!$A$4:$B$60,2,FALSE),0),0)</f>
        <v>0</v>
      </c>
      <c r="AO144">
        <f>IFERROR(ROUND(L144*(K144/$AU144)/VLOOKUP("交易",商品!$A$4:$B$60,2,FALSE),0),0)</f>
        <v>0</v>
      </c>
      <c r="AP144">
        <f>IFERROR(ROUND(S144*(N144/$AV144)/VLOOKUP(M144,职业!$A$4:$G$16,4,FALSE),0),"")</f>
        <v>-1168</v>
      </c>
      <c r="AQ144">
        <f>IFERROR(ROUND(S144*(P144/$AV144)/VLOOKUP(O144,职业!$A$4:$G$16,4,FALSE),0),"")</f>
        <v>214</v>
      </c>
      <c r="AR144" t="str">
        <f>IFERROR(ROUND(S144*(R144/$AV144)/VLOOKUP(Q144,职业!$A$4:$G$16,4,FALSE),0),"")</f>
        <v/>
      </c>
      <c r="AS144">
        <f>IFERROR(ROUND(X144*(U144/$AW144)/VLOOKUP(T144,商品!$A$4:$B$60,2,FALSE),0),"")</f>
        <v>0</v>
      </c>
      <c r="AT144" t="str">
        <f>IFERROR(ROUND(X144*(W144/$AW144)/VLOOKUP(V144,商品!$A$4:$B$60,2,FALSE),0),"")</f>
        <v/>
      </c>
      <c r="AU144">
        <f t="shared" si="77"/>
        <v>15</v>
      </c>
      <c r="AV144">
        <f t="shared" si="78"/>
        <v>31</v>
      </c>
      <c r="AW144">
        <f t="shared" si="79"/>
        <v>1</v>
      </c>
    </row>
    <row r="145" spans="1:49" ht="19.95" customHeight="1" x14ac:dyDescent="0.25">
      <c r="A145" s="16" t="s">
        <v>510</v>
      </c>
      <c r="C145" s="16">
        <v>1</v>
      </c>
      <c r="D145" s="23" t="s">
        <v>174</v>
      </c>
      <c r="E145" s="23" t="s">
        <v>177</v>
      </c>
      <c r="L145" s="16">
        <f>IFERROR(VLOOKUP($D145&amp;$C145,生产方式定位!$A$2:$E$38,2,FALSE)+VLOOKUP($E145&amp;$C145,生产方式定位!$F$3:$J$38,2,FALSE),0)</f>
        <v>0</v>
      </c>
      <c r="S145" s="16">
        <f>IFERROR(VLOOKUP($D145&amp;$C145,生产方式定位!$A$2:$E$38,3,FALSE)+VLOOKUP($E145&amp;$C145,生产方式定位!$F$3:$J$38,3,FALSE),0)</f>
        <v>0</v>
      </c>
      <c r="X145" s="16">
        <f>IFERROR(VLOOKUP($D145&amp;$C145,生产方式定位!$A$2:$E$38,5,FALSE)+VLOOKUP($E145&amp;$C145,生产方式定位!$F$3:$J$38,5,FALSE),"错误")</f>
        <v>0</v>
      </c>
      <c r="Y145" s="26" t="str">
        <f t="shared" si="64"/>
        <v/>
      </c>
      <c r="Z145" s="36" t="str">
        <f t="shared" si="65"/>
        <v/>
      </c>
      <c r="AA145" s="36" t="str">
        <f t="shared" si="66"/>
        <v/>
      </c>
      <c r="AB145" s="27" t="str">
        <f t="shared" si="67"/>
        <v/>
      </c>
      <c r="AC145" s="2" t="str">
        <f t="shared" si="68"/>
        <v/>
      </c>
      <c r="AD145" s="38">
        <f t="shared" si="69"/>
        <v>1</v>
      </c>
      <c r="AE145" t="str">
        <f t="shared" si="70"/>
        <v/>
      </c>
      <c r="AF145" t="str">
        <f t="shared" si="71"/>
        <v/>
      </c>
      <c r="AG145" t="str">
        <f t="shared" si="72"/>
        <v/>
      </c>
      <c r="AH145" t="str">
        <f t="shared" si="73"/>
        <v/>
      </c>
      <c r="AI145" t="str">
        <f t="shared" si="74"/>
        <v/>
      </c>
      <c r="AJ145" t="str">
        <f t="shared" si="75"/>
        <v/>
      </c>
      <c r="AK145" t="str">
        <f t="shared" si="76"/>
        <v/>
      </c>
      <c r="AL145" t="str">
        <f>IFERROR(ROUND(L145*(G145/$AU145)/VLOOKUP(F145,商品!$A$4:$B$60,2,FALSE),0),"")</f>
        <v/>
      </c>
      <c r="AM145" t="str">
        <f>IFERROR(ROUND(L145*(I145/$AU145)/VLOOKUP(H145,商品!$A$4:$B$60,2,FALSE),0),"")</f>
        <v/>
      </c>
      <c r="AN145">
        <f>IFERROR(ROUND(L145*(J145/$AU145)/VLOOKUP("运力",商品!$A$4:$B$60,2,FALSE),0),0)</f>
        <v>0</v>
      </c>
      <c r="AO145">
        <f>IFERROR(ROUND(L145*(K145/$AU145)/VLOOKUP("交易",商品!$A$4:$B$60,2,FALSE),0),0)</f>
        <v>0</v>
      </c>
      <c r="AP145" t="str">
        <f>IFERROR(ROUND(S145*(N145/$AV145)/VLOOKUP(M145,职业!$A$4:$G$16,4,FALSE),0),"")</f>
        <v/>
      </c>
      <c r="AQ145" t="str">
        <f>IFERROR(ROUND(S145*(P145/$AV145)/VLOOKUP(O145,职业!$A$4:$G$16,4,FALSE),0),"")</f>
        <v/>
      </c>
      <c r="AR145" t="str">
        <f>IFERROR(ROUND(S145*(R145/$AV145)/VLOOKUP(Q145,职业!$A$4:$G$16,4,FALSE),0),"")</f>
        <v/>
      </c>
      <c r="AS145" t="str">
        <f>IFERROR(ROUND(X145*(U145/$AW145)/VLOOKUP(T145,商品!$A$4:$B$60,2,FALSE),0),"")</f>
        <v/>
      </c>
      <c r="AT145" t="str">
        <f>IFERROR(ROUND(X145*(W145/$AW145)/VLOOKUP(V145,商品!$A$4:$B$60,2,FALSE),0),"")</f>
        <v/>
      </c>
      <c r="AU145">
        <f t="shared" si="77"/>
        <v>0</v>
      </c>
      <c r="AV145">
        <f t="shared" si="78"/>
        <v>0</v>
      </c>
      <c r="AW145">
        <f t="shared" si="79"/>
        <v>0</v>
      </c>
    </row>
    <row r="146" spans="1:49" ht="19.95" customHeight="1" x14ac:dyDescent="0.25">
      <c r="A146" s="16" t="s">
        <v>510</v>
      </c>
      <c r="C146" s="16">
        <v>2</v>
      </c>
      <c r="D146" s="23" t="s">
        <v>174</v>
      </c>
      <c r="E146" s="23" t="s">
        <v>177</v>
      </c>
      <c r="F146" s="2" t="s">
        <v>42</v>
      </c>
      <c r="G146" s="2">
        <v>5</v>
      </c>
      <c r="H146" s="2" t="s">
        <v>20</v>
      </c>
      <c r="I146" s="2">
        <v>10</v>
      </c>
      <c r="L146" s="16">
        <f>IFERROR(VLOOKUP($D146&amp;$C146,生产方式定位!$A$2:$E$38,2,FALSE)+VLOOKUP($E146&amp;$C146,生产方式定位!$F$3:$J$38,2,FALSE),0)</f>
        <v>105</v>
      </c>
      <c r="M146" s="2" t="s">
        <v>80</v>
      </c>
      <c r="N146" s="2">
        <v>-20</v>
      </c>
      <c r="O146" s="2" t="s">
        <v>74</v>
      </c>
      <c r="P146" s="2">
        <v>5</v>
      </c>
      <c r="S146" s="16">
        <f>IFERROR(VLOOKUP($D146&amp;$C146,生产方式定位!$A$2:$E$38,3,FALSE)+VLOOKUP($E146&amp;$C146,生产方式定位!$F$3:$J$38,3,FALSE),0)</f>
        <v>15</v>
      </c>
      <c r="T146" s="2" t="s">
        <v>25</v>
      </c>
      <c r="U146" s="2">
        <v>1</v>
      </c>
      <c r="X146" s="16">
        <f>IFERROR(VLOOKUP($D146&amp;$C146,生产方式定位!$A$2:$E$38,5,FALSE)+VLOOKUP($E146&amp;$C146,生产方式定位!$F$3:$J$38,5,FALSE),"错误")</f>
        <v>0</v>
      </c>
      <c r="Y146" s="26" t="str">
        <f t="shared" si="64"/>
        <v>魔偶*1,灵能水晶*2</v>
      </c>
      <c r="Z146" s="36" t="str">
        <f t="shared" si="65"/>
        <v>劳工*-543,法士*34</v>
      </c>
      <c r="AA146" s="36" t="str">
        <f t="shared" si="66"/>
        <v>玻璃*0</v>
      </c>
      <c r="AB146" s="27" t="str">
        <f t="shared" si="67"/>
        <v>-100%</v>
      </c>
      <c r="AC146" s="2">
        <f t="shared" si="68"/>
        <v>-120</v>
      </c>
      <c r="AD146" s="38">
        <f t="shared" si="69"/>
        <v>2</v>
      </c>
      <c r="AE146" t="str">
        <f t="shared" si="70"/>
        <v>魔偶*1</v>
      </c>
      <c r="AF146" t="str">
        <f t="shared" si="71"/>
        <v>灵能水晶*2</v>
      </c>
      <c r="AG146" t="str">
        <f t="shared" si="72"/>
        <v>劳工*-543</v>
      </c>
      <c r="AH146" t="str">
        <f t="shared" si="73"/>
        <v>法士*34</v>
      </c>
      <c r="AI146" t="str">
        <f t="shared" si="74"/>
        <v/>
      </c>
      <c r="AJ146" t="str">
        <f t="shared" si="75"/>
        <v>玻璃*0</v>
      </c>
      <c r="AK146" t="str">
        <f t="shared" si="76"/>
        <v/>
      </c>
      <c r="AL146">
        <f>IFERROR(ROUND(L146*(G146/$AU146)/VLOOKUP(F146,商品!$A$4:$B$60,2,FALSE),0),"")</f>
        <v>1</v>
      </c>
      <c r="AM146">
        <f>IFERROR(ROUND(L146*(I146/$AU146)/VLOOKUP(H146,商品!$A$4:$B$60,2,FALSE),0),"")</f>
        <v>2</v>
      </c>
      <c r="AN146">
        <f>IFERROR(ROUND(L146*(J146/$AU146)/VLOOKUP("运力",商品!$A$4:$B$60,2,FALSE),0),0)</f>
        <v>0</v>
      </c>
      <c r="AO146">
        <f>IFERROR(ROUND(L146*(K146/$AU146)/VLOOKUP("交易",商品!$A$4:$B$60,2,FALSE),0),0)</f>
        <v>0</v>
      </c>
      <c r="AP146">
        <f>IFERROR(ROUND(S146*(N146/$AV146)/VLOOKUP(M146,职业!$A$4:$G$16,4,FALSE),0),"")</f>
        <v>-543</v>
      </c>
      <c r="AQ146">
        <f>IFERROR(ROUND(S146*(P146/$AV146)/VLOOKUP(O146,职业!$A$4:$G$16,4,FALSE),0),"")</f>
        <v>34</v>
      </c>
      <c r="AR146" t="str">
        <f>IFERROR(ROUND(S146*(R146/$AV146)/VLOOKUP(Q146,职业!$A$4:$G$16,4,FALSE),0),"")</f>
        <v/>
      </c>
      <c r="AS146">
        <f>IFERROR(ROUND(X146*(U146/$AW146)/VLOOKUP(T146,商品!$A$4:$B$60,2,FALSE),0),"")</f>
        <v>0</v>
      </c>
      <c r="AT146" t="str">
        <f>IFERROR(ROUND(X146*(W146/$AW146)/VLOOKUP(V146,商品!$A$4:$B$60,2,FALSE),0),"")</f>
        <v/>
      </c>
      <c r="AU146">
        <f t="shared" si="77"/>
        <v>15</v>
      </c>
      <c r="AV146">
        <f t="shared" si="78"/>
        <v>25</v>
      </c>
      <c r="AW146">
        <f t="shared" si="79"/>
        <v>1</v>
      </c>
    </row>
    <row r="147" spans="1:49" ht="19.95" customHeight="1" x14ac:dyDescent="0.25">
      <c r="A147" s="16" t="s">
        <v>510</v>
      </c>
      <c r="C147" s="16">
        <v>3</v>
      </c>
      <c r="D147" s="23" t="s">
        <v>174</v>
      </c>
      <c r="E147" s="23" t="s">
        <v>177</v>
      </c>
      <c r="F147" s="2" t="s">
        <v>42</v>
      </c>
      <c r="G147" s="2">
        <v>5</v>
      </c>
      <c r="H147" s="2" t="s">
        <v>20</v>
      </c>
      <c r="I147" s="2">
        <v>10</v>
      </c>
      <c r="L147" s="16">
        <f>IFERROR(VLOOKUP($D147&amp;$C147,生产方式定位!$A$2:$E$38,2,FALSE)+VLOOKUP($E147&amp;$C147,生产方式定位!$F$3:$J$38,2,FALSE),0)</f>
        <v>210</v>
      </c>
      <c r="M147" s="2" t="s">
        <v>80</v>
      </c>
      <c r="N147" s="2">
        <v>-20</v>
      </c>
      <c r="O147" s="2" t="s">
        <v>74</v>
      </c>
      <c r="P147" s="2">
        <v>7</v>
      </c>
      <c r="S147" s="16">
        <f>IFERROR(VLOOKUP($D147&amp;$C147,生产方式定位!$A$2:$E$38,3,FALSE)+VLOOKUP($E147&amp;$C147,生产方式定位!$F$3:$J$38,3,FALSE),0)</f>
        <v>30</v>
      </c>
      <c r="T147" s="2" t="s">
        <v>25</v>
      </c>
      <c r="U147" s="2">
        <v>1</v>
      </c>
      <c r="X147" s="16">
        <f>IFERROR(VLOOKUP($D147&amp;$C147,生产方式定位!$A$2:$E$38,5,FALSE)+VLOOKUP($E147&amp;$C147,生产方式定位!$F$3:$J$38,5,FALSE),"错误")</f>
        <v>0</v>
      </c>
      <c r="Y147" s="26" t="str">
        <f t="shared" si="64"/>
        <v>魔偶*2,灵能水晶*5</v>
      </c>
      <c r="Z147" s="36" t="str">
        <f t="shared" si="65"/>
        <v>劳工*-1006,法士*88</v>
      </c>
      <c r="AA147" s="36" t="str">
        <f t="shared" si="66"/>
        <v>玻璃*0</v>
      </c>
      <c r="AB147" s="27" t="str">
        <f t="shared" si="67"/>
        <v>-100%</v>
      </c>
      <c r="AC147" s="2">
        <f t="shared" si="68"/>
        <v>-240</v>
      </c>
      <c r="AD147" s="38">
        <f t="shared" si="69"/>
        <v>3</v>
      </c>
      <c r="AE147" t="str">
        <f t="shared" si="70"/>
        <v>魔偶*2</v>
      </c>
      <c r="AF147" t="str">
        <f t="shared" si="71"/>
        <v>灵能水晶*5</v>
      </c>
      <c r="AG147" t="str">
        <f t="shared" si="72"/>
        <v>劳工*-1006</v>
      </c>
      <c r="AH147" t="str">
        <f t="shared" si="73"/>
        <v>法士*88</v>
      </c>
      <c r="AI147" t="str">
        <f t="shared" si="74"/>
        <v/>
      </c>
      <c r="AJ147" t="str">
        <f t="shared" si="75"/>
        <v>玻璃*0</v>
      </c>
      <c r="AK147" t="str">
        <f t="shared" si="76"/>
        <v/>
      </c>
      <c r="AL147">
        <f>IFERROR(ROUND(L147*(G147/$AU147)/VLOOKUP(F147,商品!$A$4:$B$60,2,FALSE),0),"")</f>
        <v>2</v>
      </c>
      <c r="AM147">
        <f>IFERROR(ROUND(L147*(I147/$AU147)/VLOOKUP(H147,商品!$A$4:$B$60,2,FALSE),0),"")</f>
        <v>5</v>
      </c>
      <c r="AN147">
        <f>IFERROR(ROUND(L147*(J147/$AU147)/VLOOKUP("运力",商品!$A$4:$B$60,2,FALSE),0),0)</f>
        <v>0</v>
      </c>
      <c r="AO147">
        <f>IFERROR(ROUND(L147*(K147/$AU147)/VLOOKUP("交易",商品!$A$4:$B$60,2,FALSE),0),0)</f>
        <v>0</v>
      </c>
      <c r="AP147">
        <f>IFERROR(ROUND(S147*(N147/$AV147)/VLOOKUP(M147,职业!$A$4:$G$16,4,FALSE),0),"")</f>
        <v>-1006</v>
      </c>
      <c r="AQ147">
        <f>IFERROR(ROUND(S147*(P147/$AV147)/VLOOKUP(O147,职业!$A$4:$G$16,4,FALSE),0),"")</f>
        <v>88</v>
      </c>
      <c r="AR147" t="str">
        <f>IFERROR(ROUND(S147*(R147/$AV147)/VLOOKUP(Q147,职业!$A$4:$G$16,4,FALSE),0),"")</f>
        <v/>
      </c>
      <c r="AS147">
        <f>IFERROR(ROUND(X147*(U147/$AW147)/VLOOKUP(T147,商品!$A$4:$B$60,2,FALSE),0),"")</f>
        <v>0</v>
      </c>
      <c r="AT147" t="str">
        <f>IFERROR(ROUND(X147*(W147/$AW147)/VLOOKUP(V147,商品!$A$4:$B$60,2,FALSE),0),"")</f>
        <v/>
      </c>
      <c r="AU147">
        <f t="shared" si="77"/>
        <v>15</v>
      </c>
      <c r="AV147">
        <f t="shared" si="78"/>
        <v>27</v>
      </c>
      <c r="AW147">
        <f t="shared" si="79"/>
        <v>1</v>
      </c>
    </row>
    <row r="148" spans="1:49" ht="19.95" customHeight="1" x14ac:dyDescent="0.25">
      <c r="A148" s="16" t="s">
        <v>510</v>
      </c>
      <c r="C148" s="16">
        <v>4</v>
      </c>
      <c r="D148" s="23" t="s">
        <v>174</v>
      </c>
      <c r="E148" s="23" t="s">
        <v>177</v>
      </c>
      <c r="F148" s="2" t="s">
        <v>42</v>
      </c>
      <c r="G148" s="2">
        <v>5</v>
      </c>
      <c r="H148" s="2" t="s">
        <v>20</v>
      </c>
      <c r="I148" s="2">
        <v>10</v>
      </c>
      <c r="L148" s="16">
        <f>IFERROR(VLOOKUP($D148&amp;$C148,生产方式定位!$A$2:$E$38,2,FALSE)+VLOOKUP($E148&amp;$C148,生产方式定位!$F$3:$J$38,2,FALSE),0)</f>
        <v>315</v>
      </c>
      <c r="M148" s="2" t="s">
        <v>80</v>
      </c>
      <c r="N148" s="2">
        <v>-20</v>
      </c>
      <c r="O148" s="2" t="s">
        <v>74</v>
      </c>
      <c r="P148" s="2">
        <v>9</v>
      </c>
      <c r="S148" s="16">
        <f>IFERROR(VLOOKUP($D148&amp;$C148,生产方式定位!$A$2:$E$38,3,FALSE)+VLOOKUP($E148&amp;$C148,生产方式定位!$F$3:$J$38,3,FALSE),0)</f>
        <v>45</v>
      </c>
      <c r="T148" s="2" t="s">
        <v>25</v>
      </c>
      <c r="U148" s="2">
        <v>1</v>
      </c>
      <c r="X148" s="16">
        <f>IFERROR(VLOOKUP($D148&amp;$C148,生产方式定位!$A$2:$E$38,5,FALSE)+VLOOKUP($E148&amp;$C148,生产方式定位!$F$3:$J$38,5,FALSE),"错误")</f>
        <v>0</v>
      </c>
      <c r="Y148" s="26" t="str">
        <f t="shared" si="64"/>
        <v>魔偶*3,灵能水晶*7</v>
      </c>
      <c r="Z148" s="36" t="str">
        <f t="shared" si="65"/>
        <v>劳工*-1404,法士*158</v>
      </c>
      <c r="AA148" s="36" t="str">
        <f t="shared" si="66"/>
        <v>玻璃*0</v>
      </c>
      <c r="AB148" s="27" t="str">
        <f t="shared" si="67"/>
        <v>-100%</v>
      </c>
      <c r="AC148" s="2">
        <f t="shared" si="68"/>
        <v>-360</v>
      </c>
      <c r="AD148" s="38">
        <f t="shared" si="69"/>
        <v>4</v>
      </c>
      <c r="AE148" t="str">
        <f t="shared" si="70"/>
        <v>魔偶*3</v>
      </c>
      <c r="AF148" t="str">
        <f t="shared" si="71"/>
        <v>灵能水晶*7</v>
      </c>
      <c r="AG148" t="str">
        <f t="shared" si="72"/>
        <v>劳工*-1404</v>
      </c>
      <c r="AH148" t="str">
        <f t="shared" si="73"/>
        <v>法士*158</v>
      </c>
      <c r="AI148" t="str">
        <f t="shared" si="74"/>
        <v/>
      </c>
      <c r="AJ148" t="str">
        <f t="shared" si="75"/>
        <v>玻璃*0</v>
      </c>
      <c r="AK148" t="str">
        <f t="shared" si="76"/>
        <v/>
      </c>
      <c r="AL148">
        <f>IFERROR(ROUND(L148*(G148/$AU148)/VLOOKUP(F148,商品!$A$4:$B$60,2,FALSE),0),"")</f>
        <v>3</v>
      </c>
      <c r="AM148">
        <f>IFERROR(ROUND(L148*(I148/$AU148)/VLOOKUP(H148,商品!$A$4:$B$60,2,FALSE),0),"")</f>
        <v>7</v>
      </c>
      <c r="AN148">
        <f>IFERROR(ROUND(L148*(J148/$AU148)/VLOOKUP("运力",商品!$A$4:$B$60,2,FALSE),0),0)</f>
        <v>0</v>
      </c>
      <c r="AO148">
        <f>IFERROR(ROUND(L148*(K148/$AU148)/VLOOKUP("交易",商品!$A$4:$B$60,2,FALSE),0),0)</f>
        <v>0</v>
      </c>
      <c r="AP148">
        <f>IFERROR(ROUND(S148*(N148/$AV148)/VLOOKUP(M148,职业!$A$4:$G$16,4,FALSE),0),"")</f>
        <v>-1404</v>
      </c>
      <c r="AQ148">
        <f>IFERROR(ROUND(S148*(P148/$AV148)/VLOOKUP(O148,职业!$A$4:$G$16,4,FALSE),0),"")</f>
        <v>158</v>
      </c>
      <c r="AR148" t="str">
        <f>IFERROR(ROUND(S148*(R148/$AV148)/VLOOKUP(Q148,职业!$A$4:$G$16,4,FALSE),0),"")</f>
        <v/>
      </c>
      <c r="AS148">
        <f>IFERROR(ROUND(X148*(U148/$AW148)/VLOOKUP(T148,商品!$A$4:$B$60,2,FALSE),0),"")</f>
        <v>0</v>
      </c>
      <c r="AT148" t="str">
        <f>IFERROR(ROUND(X148*(W148/$AW148)/VLOOKUP(V148,商品!$A$4:$B$60,2,FALSE),0),"")</f>
        <v/>
      </c>
      <c r="AU148">
        <f t="shared" si="77"/>
        <v>15</v>
      </c>
      <c r="AV148">
        <f t="shared" si="78"/>
        <v>29</v>
      </c>
      <c r="AW148">
        <f t="shared" si="79"/>
        <v>1</v>
      </c>
    </row>
    <row r="149" spans="1:49" ht="19.95" customHeight="1" x14ac:dyDescent="0.25">
      <c r="A149" s="16" t="s">
        <v>510</v>
      </c>
      <c r="C149" s="16">
        <v>5</v>
      </c>
      <c r="D149" s="23" t="s">
        <v>174</v>
      </c>
      <c r="E149" s="23" t="s">
        <v>177</v>
      </c>
      <c r="F149" s="2" t="s">
        <v>42</v>
      </c>
      <c r="G149" s="2">
        <v>5</v>
      </c>
      <c r="H149" s="2" t="s">
        <v>20</v>
      </c>
      <c r="I149" s="2">
        <v>10</v>
      </c>
      <c r="L149" s="16">
        <f>IFERROR(VLOOKUP($D149&amp;$C149,生产方式定位!$A$2:$E$38,2,FALSE)+VLOOKUP($E149&amp;$C149,生产方式定位!$F$3:$J$38,2,FALSE),0)</f>
        <v>420</v>
      </c>
      <c r="M149" s="2" t="s">
        <v>80</v>
      </c>
      <c r="N149" s="2">
        <v>-20</v>
      </c>
      <c r="O149" s="2" t="s">
        <v>74</v>
      </c>
      <c r="P149" s="2">
        <v>11</v>
      </c>
      <c r="S149" s="16">
        <f>IFERROR(VLOOKUP($D149&amp;$C149,生产方式定位!$A$2:$E$38,3,FALSE)+VLOOKUP($E149&amp;$C149,生产方式定位!$F$3:$J$38,3,FALSE),0)</f>
        <v>60</v>
      </c>
      <c r="T149" s="2" t="s">
        <v>25</v>
      </c>
      <c r="U149" s="2">
        <v>1</v>
      </c>
      <c r="X149" s="16">
        <f>IFERROR(VLOOKUP($D149&amp;$C149,生产方式定位!$A$2:$E$38,5,FALSE)+VLOOKUP($E149&amp;$C149,生产方式定位!$F$3:$J$38,5,FALSE),"错误")</f>
        <v>0</v>
      </c>
      <c r="Y149" s="26" t="str">
        <f t="shared" si="64"/>
        <v>魔偶*4,灵能水晶*9</v>
      </c>
      <c r="Z149" s="36" t="str">
        <f t="shared" si="65"/>
        <v>劳工*-1752,法士*241</v>
      </c>
      <c r="AA149" s="36" t="str">
        <f t="shared" si="66"/>
        <v>玻璃*0</v>
      </c>
      <c r="AB149" s="27" t="str">
        <f t="shared" si="67"/>
        <v>-100%</v>
      </c>
      <c r="AC149" s="2">
        <f t="shared" si="68"/>
        <v>-480</v>
      </c>
      <c r="AD149" s="38">
        <f t="shared" si="69"/>
        <v>5</v>
      </c>
      <c r="AE149" t="str">
        <f t="shared" si="70"/>
        <v>魔偶*4</v>
      </c>
      <c r="AF149" t="str">
        <f t="shared" si="71"/>
        <v>灵能水晶*9</v>
      </c>
      <c r="AG149" t="str">
        <f t="shared" si="72"/>
        <v>劳工*-1752</v>
      </c>
      <c r="AH149" t="str">
        <f t="shared" si="73"/>
        <v>法士*241</v>
      </c>
      <c r="AI149" t="str">
        <f t="shared" si="74"/>
        <v/>
      </c>
      <c r="AJ149" t="str">
        <f t="shared" si="75"/>
        <v>玻璃*0</v>
      </c>
      <c r="AK149" t="str">
        <f t="shared" si="76"/>
        <v/>
      </c>
      <c r="AL149">
        <f>IFERROR(ROUND(L149*(G149/$AU149)/VLOOKUP(F149,商品!$A$4:$B$60,2,FALSE),0),"")</f>
        <v>4</v>
      </c>
      <c r="AM149">
        <f>IFERROR(ROUND(L149*(I149/$AU149)/VLOOKUP(H149,商品!$A$4:$B$60,2,FALSE),0),"")</f>
        <v>9</v>
      </c>
      <c r="AN149">
        <f>IFERROR(ROUND(L149*(J149/$AU149)/VLOOKUP("运力",商品!$A$4:$B$60,2,FALSE),0),0)</f>
        <v>0</v>
      </c>
      <c r="AO149">
        <f>IFERROR(ROUND(L149*(K149/$AU149)/VLOOKUP("交易",商品!$A$4:$B$60,2,FALSE),0),0)</f>
        <v>0</v>
      </c>
      <c r="AP149">
        <f>IFERROR(ROUND(S149*(N149/$AV149)/VLOOKUP(M149,职业!$A$4:$G$16,4,FALSE),0),"")</f>
        <v>-1752</v>
      </c>
      <c r="AQ149">
        <f>IFERROR(ROUND(S149*(P149/$AV149)/VLOOKUP(O149,职业!$A$4:$G$16,4,FALSE),0),"")</f>
        <v>241</v>
      </c>
      <c r="AR149" t="str">
        <f>IFERROR(ROUND(S149*(R149/$AV149)/VLOOKUP(Q149,职业!$A$4:$G$16,4,FALSE),0),"")</f>
        <v/>
      </c>
      <c r="AS149">
        <f>IFERROR(ROUND(X149*(U149/$AW149)/VLOOKUP(T149,商品!$A$4:$B$60,2,FALSE),0),"")</f>
        <v>0</v>
      </c>
      <c r="AT149" t="str">
        <f>IFERROR(ROUND(X149*(W149/$AW149)/VLOOKUP(V149,商品!$A$4:$B$60,2,FALSE),0),"")</f>
        <v/>
      </c>
      <c r="AU149">
        <f t="shared" si="77"/>
        <v>15</v>
      </c>
      <c r="AV149">
        <f t="shared" si="78"/>
        <v>31</v>
      </c>
      <c r="AW149">
        <f t="shared" si="79"/>
        <v>1</v>
      </c>
    </row>
    <row r="150" spans="1:49" ht="19.95" customHeight="1" x14ac:dyDescent="0.25">
      <c r="A150" s="15" t="s">
        <v>208</v>
      </c>
      <c r="C150" s="15">
        <v>1</v>
      </c>
      <c r="D150" s="23" t="s">
        <v>174</v>
      </c>
      <c r="E150" s="23" t="s">
        <v>179</v>
      </c>
      <c r="L150" s="15">
        <f>IFERROR(VLOOKUP($D150&amp;$C150,生产方式定位!$A$2:$E$38,2,FALSE)+VLOOKUP($E150&amp;$C150,生产方式定位!$F$3:$J$38,2,FALSE),0)</f>
        <v>0</v>
      </c>
      <c r="S150" s="15">
        <f>IFERROR(VLOOKUP($D150&amp;$C150,生产方式定位!$A$2:$E$38,3,FALSE)+VLOOKUP($E150&amp;$C150,生产方式定位!$F$3:$J$38,3,FALSE),0)</f>
        <v>100</v>
      </c>
      <c r="X150" s="15">
        <f>IFERROR(VLOOKUP($D150&amp;$C150,生产方式定位!$A$2:$E$38,5,FALSE)+VLOOKUP($E150&amp;$C150,生产方式定位!$F$3:$J$38,5,FALSE),"错误")</f>
        <v>100</v>
      </c>
      <c r="Y150" s="26" t="str">
        <f t="shared" si="64"/>
        <v/>
      </c>
      <c r="Z150" s="36" t="str">
        <f t="shared" si="65"/>
        <v/>
      </c>
      <c r="AA150" s="36" t="str">
        <f t="shared" si="66"/>
        <v/>
      </c>
      <c r="AB150" s="27" t="str">
        <f t="shared" si="67"/>
        <v/>
      </c>
      <c r="AC150" s="2" t="str">
        <f t="shared" si="68"/>
        <v/>
      </c>
      <c r="AD150" s="37">
        <f t="shared" si="69"/>
        <v>1</v>
      </c>
      <c r="AE150" t="str">
        <f t="shared" si="70"/>
        <v/>
      </c>
      <c r="AF150" t="str">
        <f t="shared" si="71"/>
        <v/>
      </c>
      <c r="AG150" t="str">
        <f t="shared" si="72"/>
        <v/>
      </c>
      <c r="AH150" t="str">
        <f t="shared" si="73"/>
        <v/>
      </c>
      <c r="AI150" t="str">
        <f t="shared" si="74"/>
        <v/>
      </c>
      <c r="AJ150" t="str">
        <f t="shared" si="75"/>
        <v/>
      </c>
      <c r="AK150" t="str">
        <f t="shared" si="76"/>
        <v/>
      </c>
      <c r="AL150" t="str">
        <f>IFERROR(ROUND(L150*(G150/$AU150)/VLOOKUP(F150,商品!$A$4:$B$60,2,FALSE),0),"")</f>
        <v/>
      </c>
      <c r="AM150" t="str">
        <f>IFERROR(ROUND(L150*(I150/$AU150)/VLOOKUP(H150,商品!$A$4:$B$60,2,FALSE),0),"")</f>
        <v/>
      </c>
      <c r="AN150">
        <f>IFERROR(ROUND(L150*(J150/$AU150)/VLOOKUP("运力",商品!$A$4:$B$60,2,FALSE),0),0)</f>
        <v>0</v>
      </c>
      <c r="AO150">
        <f>IFERROR(ROUND(L150*(K150/$AU150)/VLOOKUP("交易",商品!$A$4:$B$60,2,FALSE),0),0)</f>
        <v>0</v>
      </c>
      <c r="AP150" t="str">
        <f>IFERROR(ROUND(S150*(N150/$AV150)/VLOOKUP(M150,职业!$A$4:$G$16,4,FALSE),0),"")</f>
        <v/>
      </c>
      <c r="AQ150" t="str">
        <f>IFERROR(ROUND(S150*(P150/$AV150)/VLOOKUP(O150,职业!$A$4:$G$16,4,FALSE),0),"")</f>
        <v/>
      </c>
      <c r="AR150" t="str">
        <f>IFERROR(ROUND(S150*(R150/$AV150)/VLOOKUP(Q150,职业!$A$4:$G$16,4,FALSE),0),"")</f>
        <v/>
      </c>
      <c r="AS150" t="str">
        <f>IFERROR(ROUND(X150*(U150/$AW150)/VLOOKUP(T150,商品!$A$4:$B$60,2,FALSE),0),"")</f>
        <v/>
      </c>
      <c r="AT150" t="str">
        <f>IFERROR(ROUND(X150*(W150/$AW150)/VLOOKUP(V150,商品!$A$4:$B$60,2,FALSE),0),"")</f>
        <v/>
      </c>
      <c r="AU150">
        <f t="shared" si="77"/>
        <v>0</v>
      </c>
      <c r="AV150">
        <f t="shared" si="78"/>
        <v>0</v>
      </c>
      <c r="AW150">
        <f t="shared" si="79"/>
        <v>0</v>
      </c>
    </row>
    <row r="151" spans="1:49" ht="19.95" customHeight="1" x14ac:dyDescent="0.25">
      <c r="A151" s="15" t="s">
        <v>208</v>
      </c>
      <c r="C151" s="15">
        <v>2</v>
      </c>
      <c r="D151" s="23" t="s">
        <v>174</v>
      </c>
      <c r="E151" s="23" t="s">
        <v>179</v>
      </c>
      <c r="L151" s="15">
        <f>IFERROR(VLOOKUP($D151&amp;$C151,生产方式定位!$A$2:$E$38,2,FALSE)+VLOOKUP($E151&amp;$C151,生产方式定位!$F$3:$J$38,2,FALSE),0)</f>
        <v>0</v>
      </c>
      <c r="S151" s="15">
        <f>IFERROR(VLOOKUP($D151&amp;$C151,生产方式定位!$A$2:$E$38,3,FALSE)+VLOOKUP($E151&amp;$C151,生产方式定位!$F$3:$J$38,3,FALSE),0)</f>
        <v>100</v>
      </c>
      <c r="X151" s="15">
        <f>IFERROR(VLOOKUP($D151&amp;$C151,生产方式定位!$A$2:$E$38,5,FALSE)+VLOOKUP($E151&amp;$C151,生产方式定位!$F$3:$J$38,5,FALSE),"错误")</f>
        <v>100</v>
      </c>
      <c r="Y151" s="26" t="str">
        <f t="shared" si="64"/>
        <v/>
      </c>
      <c r="Z151" s="36" t="str">
        <f t="shared" si="65"/>
        <v/>
      </c>
      <c r="AA151" s="36" t="str">
        <f t="shared" si="66"/>
        <v/>
      </c>
      <c r="AB151" s="27" t="str">
        <f t="shared" si="67"/>
        <v/>
      </c>
      <c r="AC151" s="2" t="str">
        <f t="shared" si="68"/>
        <v/>
      </c>
      <c r="AD151" s="37">
        <f t="shared" si="69"/>
        <v>2</v>
      </c>
      <c r="AE151" t="str">
        <f t="shared" si="70"/>
        <v/>
      </c>
      <c r="AF151" t="str">
        <f t="shared" si="71"/>
        <v/>
      </c>
      <c r="AG151" t="str">
        <f t="shared" si="72"/>
        <v/>
      </c>
      <c r="AH151" t="str">
        <f t="shared" si="73"/>
        <v/>
      </c>
      <c r="AI151" t="str">
        <f t="shared" si="74"/>
        <v/>
      </c>
      <c r="AJ151" t="str">
        <f t="shared" si="75"/>
        <v/>
      </c>
      <c r="AK151" t="str">
        <f t="shared" si="76"/>
        <v/>
      </c>
      <c r="AL151" t="str">
        <f>IFERROR(ROUND(L151*(G151/$AU151)/VLOOKUP(F151,商品!$A$4:$B$60,2,FALSE),0),"")</f>
        <v/>
      </c>
      <c r="AM151" t="str">
        <f>IFERROR(ROUND(L151*(I151/$AU151)/VLOOKUP(H151,商品!$A$4:$B$60,2,FALSE),0),"")</f>
        <v/>
      </c>
      <c r="AN151">
        <f>IFERROR(ROUND(L151*(J151/$AU151)/VLOOKUP("运力",商品!$A$4:$B$60,2,FALSE),0),0)</f>
        <v>0</v>
      </c>
      <c r="AO151">
        <f>IFERROR(ROUND(L151*(K151/$AU151)/VLOOKUP("交易",商品!$A$4:$B$60,2,FALSE),0),0)</f>
        <v>0</v>
      </c>
      <c r="AP151" t="str">
        <f>IFERROR(ROUND(S151*(N151/$AV151)/VLOOKUP(M151,职业!$A$4:$G$16,4,FALSE),0),"")</f>
        <v/>
      </c>
      <c r="AQ151" t="str">
        <f>IFERROR(ROUND(S151*(P151/$AV151)/VLOOKUP(O151,职业!$A$4:$G$16,4,FALSE),0),"")</f>
        <v/>
      </c>
      <c r="AR151" t="str">
        <f>IFERROR(ROUND(S151*(R151/$AV151)/VLOOKUP(Q151,职业!$A$4:$G$16,4,FALSE),0),"")</f>
        <v/>
      </c>
      <c r="AS151" t="str">
        <f>IFERROR(ROUND(X151*(U151/$AW151)/VLOOKUP(T151,商品!$A$4:$B$60,2,FALSE),0),"")</f>
        <v/>
      </c>
      <c r="AT151" t="str">
        <f>IFERROR(ROUND(X151*(W151/$AW151)/VLOOKUP(V151,商品!$A$4:$B$60,2,FALSE),0),"")</f>
        <v/>
      </c>
      <c r="AU151">
        <f t="shared" si="77"/>
        <v>0</v>
      </c>
      <c r="AV151">
        <f t="shared" si="78"/>
        <v>0</v>
      </c>
      <c r="AW151">
        <f t="shared" si="79"/>
        <v>0</v>
      </c>
    </row>
    <row r="152" spans="1:49" ht="19.95" customHeight="1" x14ac:dyDescent="0.25">
      <c r="A152" s="15" t="s">
        <v>208</v>
      </c>
      <c r="C152" s="15">
        <v>3</v>
      </c>
      <c r="D152" s="23" t="s">
        <v>174</v>
      </c>
      <c r="E152" s="23" t="s">
        <v>179</v>
      </c>
      <c r="L152" s="15">
        <f>IFERROR(VLOOKUP($D152&amp;$C152,生产方式定位!$A$2:$E$38,2,FALSE)+VLOOKUP($E152&amp;$C152,生产方式定位!$F$3:$J$38,2,FALSE),0)</f>
        <v>0</v>
      </c>
      <c r="S152" s="15">
        <f>IFERROR(VLOOKUP($D152&amp;$C152,生产方式定位!$A$2:$E$38,3,FALSE)+VLOOKUP($E152&amp;$C152,生产方式定位!$F$3:$J$38,3,FALSE),0)</f>
        <v>100</v>
      </c>
      <c r="X152" s="15">
        <f>IFERROR(VLOOKUP($D152&amp;$C152,生产方式定位!$A$2:$E$38,5,FALSE)+VLOOKUP($E152&amp;$C152,生产方式定位!$F$3:$J$38,5,FALSE),"错误")</f>
        <v>100</v>
      </c>
      <c r="Y152" s="26" t="str">
        <f t="shared" si="64"/>
        <v/>
      </c>
      <c r="Z152" s="36" t="str">
        <f t="shared" si="65"/>
        <v/>
      </c>
      <c r="AA152" s="36" t="str">
        <f t="shared" si="66"/>
        <v/>
      </c>
      <c r="AB152" s="27" t="str">
        <f t="shared" si="67"/>
        <v/>
      </c>
      <c r="AC152" s="2" t="str">
        <f t="shared" si="68"/>
        <v/>
      </c>
      <c r="AD152" s="37">
        <f t="shared" si="69"/>
        <v>3</v>
      </c>
      <c r="AE152" t="str">
        <f t="shared" si="70"/>
        <v/>
      </c>
      <c r="AF152" t="str">
        <f t="shared" si="71"/>
        <v/>
      </c>
      <c r="AG152" t="str">
        <f t="shared" si="72"/>
        <v/>
      </c>
      <c r="AH152" t="str">
        <f t="shared" si="73"/>
        <v/>
      </c>
      <c r="AI152" t="str">
        <f t="shared" si="74"/>
        <v/>
      </c>
      <c r="AJ152" t="str">
        <f t="shared" si="75"/>
        <v/>
      </c>
      <c r="AK152" t="str">
        <f t="shared" si="76"/>
        <v/>
      </c>
      <c r="AL152" t="str">
        <f>IFERROR(ROUND(L152*(G152/$AU152)/VLOOKUP(F152,商品!$A$4:$B$60,2,FALSE),0),"")</f>
        <v/>
      </c>
      <c r="AM152" t="str">
        <f>IFERROR(ROUND(L152*(I152/$AU152)/VLOOKUP(H152,商品!$A$4:$B$60,2,FALSE),0),"")</f>
        <v/>
      </c>
      <c r="AN152">
        <f>IFERROR(ROUND(L152*(J152/$AU152)/VLOOKUP("运力",商品!$A$4:$B$60,2,FALSE),0),0)</f>
        <v>0</v>
      </c>
      <c r="AO152">
        <f>IFERROR(ROUND(L152*(K152/$AU152)/VLOOKUP("交易",商品!$A$4:$B$60,2,FALSE),0),0)</f>
        <v>0</v>
      </c>
      <c r="AP152" t="str">
        <f>IFERROR(ROUND(S152*(N152/$AV152)/VLOOKUP(M152,职业!$A$4:$G$16,4,FALSE),0),"")</f>
        <v/>
      </c>
      <c r="AQ152" t="str">
        <f>IFERROR(ROUND(S152*(P152/$AV152)/VLOOKUP(O152,职业!$A$4:$G$16,4,FALSE),0),"")</f>
        <v/>
      </c>
      <c r="AR152" t="str">
        <f>IFERROR(ROUND(S152*(R152/$AV152)/VLOOKUP(Q152,职业!$A$4:$G$16,4,FALSE),0),"")</f>
        <v/>
      </c>
      <c r="AS152" t="str">
        <f>IFERROR(ROUND(X152*(U152/$AW152)/VLOOKUP(T152,商品!$A$4:$B$60,2,FALSE),0),"")</f>
        <v/>
      </c>
      <c r="AT152" t="str">
        <f>IFERROR(ROUND(X152*(W152/$AW152)/VLOOKUP(V152,商品!$A$4:$B$60,2,FALSE),0),"")</f>
        <v/>
      </c>
      <c r="AU152">
        <f t="shared" si="77"/>
        <v>0</v>
      </c>
      <c r="AV152">
        <f t="shared" si="78"/>
        <v>0</v>
      </c>
      <c r="AW152">
        <f t="shared" si="79"/>
        <v>0</v>
      </c>
    </row>
    <row r="153" spans="1:49" ht="19.95" customHeight="1" x14ac:dyDescent="0.25">
      <c r="A153" s="15" t="s">
        <v>208</v>
      </c>
      <c r="C153" s="15">
        <v>4</v>
      </c>
      <c r="D153" s="23" t="s">
        <v>174</v>
      </c>
      <c r="E153" s="23" t="s">
        <v>179</v>
      </c>
      <c r="L153" s="15">
        <f>IFERROR(VLOOKUP($D153&amp;$C153,生产方式定位!$A$2:$E$38,2,FALSE)+VLOOKUP($E153&amp;$C153,生产方式定位!$F$3:$J$38,2,FALSE),0)</f>
        <v>0</v>
      </c>
      <c r="S153" s="15">
        <f>IFERROR(VLOOKUP($D153&amp;$C153,生产方式定位!$A$2:$E$38,3,FALSE)+VLOOKUP($E153&amp;$C153,生产方式定位!$F$3:$J$38,3,FALSE),0)</f>
        <v>100</v>
      </c>
      <c r="X153" s="15">
        <f>IFERROR(VLOOKUP($D153&amp;$C153,生产方式定位!$A$2:$E$38,5,FALSE)+VLOOKUP($E153&amp;$C153,生产方式定位!$F$3:$J$38,5,FALSE),"错误")</f>
        <v>100</v>
      </c>
      <c r="Y153" s="26" t="str">
        <f t="shared" si="64"/>
        <v/>
      </c>
      <c r="Z153" s="36" t="str">
        <f t="shared" si="65"/>
        <v/>
      </c>
      <c r="AA153" s="36" t="str">
        <f t="shared" si="66"/>
        <v/>
      </c>
      <c r="AB153" s="27" t="str">
        <f t="shared" si="67"/>
        <v/>
      </c>
      <c r="AC153" s="2" t="str">
        <f t="shared" si="68"/>
        <v/>
      </c>
      <c r="AD153" s="37">
        <f t="shared" si="69"/>
        <v>4</v>
      </c>
      <c r="AE153" t="str">
        <f t="shared" si="70"/>
        <v/>
      </c>
      <c r="AF153" t="str">
        <f t="shared" si="71"/>
        <v/>
      </c>
      <c r="AG153" t="str">
        <f t="shared" si="72"/>
        <v/>
      </c>
      <c r="AH153" t="str">
        <f t="shared" si="73"/>
        <v/>
      </c>
      <c r="AI153" t="str">
        <f t="shared" si="74"/>
        <v/>
      </c>
      <c r="AJ153" t="str">
        <f t="shared" si="75"/>
        <v/>
      </c>
      <c r="AK153" t="str">
        <f t="shared" si="76"/>
        <v/>
      </c>
      <c r="AL153" t="str">
        <f>IFERROR(ROUND(L153*(G153/$AU153)/VLOOKUP(F153,商品!$A$4:$B$60,2,FALSE),0),"")</f>
        <v/>
      </c>
      <c r="AM153" t="str">
        <f>IFERROR(ROUND(L153*(I153/$AU153)/VLOOKUP(H153,商品!$A$4:$B$60,2,FALSE),0),"")</f>
        <v/>
      </c>
      <c r="AN153">
        <f>IFERROR(ROUND(L153*(J153/$AU153)/VLOOKUP("运力",商品!$A$4:$B$60,2,FALSE),0),0)</f>
        <v>0</v>
      </c>
      <c r="AO153">
        <f>IFERROR(ROUND(L153*(K153/$AU153)/VLOOKUP("交易",商品!$A$4:$B$60,2,FALSE),0),0)</f>
        <v>0</v>
      </c>
      <c r="AP153" t="str">
        <f>IFERROR(ROUND(S153*(N153/$AV153)/VLOOKUP(M153,职业!$A$4:$G$16,4,FALSE),0),"")</f>
        <v/>
      </c>
      <c r="AQ153" t="str">
        <f>IFERROR(ROUND(S153*(P153/$AV153)/VLOOKUP(O153,职业!$A$4:$G$16,4,FALSE),0),"")</f>
        <v/>
      </c>
      <c r="AR153" t="str">
        <f>IFERROR(ROUND(S153*(R153/$AV153)/VLOOKUP(Q153,职业!$A$4:$G$16,4,FALSE),0),"")</f>
        <v/>
      </c>
      <c r="AS153" t="str">
        <f>IFERROR(ROUND(X153*(U153/$AW153)/VLOOKUP(T153,商品!$A$4:$B$60,2,FALSE),0),"")</f>
        <v/>
      </c>
      <c r="AT153" t="str">
        <f>IFERROR(ROUND(X153*(W153/$AW153)/VLOOKUP(V153,商品!$A$4:$B$60,2,FALSE),0),"")</f>
        <v/>
      </c>
      <c r="AU153">
        <f t="shared" si="77"/>
        <v>0</v>
      </c>
      <c r="AV153">
        <f t="shared" si="78"/>
        <v>0</v>
      </c>
      <c r="AW153">
        <f t="shared" si="79"/>
        <v>0</v>
      </c>
    </row>
    <row r="154" spans="1:49" ht="19.95" customHeight="1" x14ac:dyDescent="0.25">
      <c r="A154" s="15" t="s">
        <v>208</v>
      </c>
      <c r="C154" s="15">
        <v>5</v>
      </c>
      <c r="D154" s="23" t="s">
        <v>174</v>
      </c>
      <c r="E154" s="23" t="s">
        <v>179</v>
      </c>
      <c r="L154" s="15">
        <f>IFERROR(VLOOKUP($D154&amp;$C154,生产方式定位!$A$2:$E$38,2,FALSE)+VLOOKUP($E154&amp;$C154,生产方式定位!$F$3:$J$38,2,FALSE),0)</f>
        <v>0</v>
      </c>
      <c r="S154" s="15">
        <f>IFERROR(VLOOKUP($D154&amp;$C154,生产方式定位!$A$2:$E$38,3,FALSE)+VLOOKUP($E154&amp;$C154,生产方式定位!$F$3:$J$38,3,FALSE),0)</f>
        <v>100</v>
      </c>
      <c r="X154" s="15">
        <f>IFERROR(VLOOKUP($D154&amp;$C154,生产方式定位!$A$2:$E$38,5,FALSE)+VLOOKUP($E154&amp;$C154,生产方式定位!$F$3:$J$38,5,FALSE),"错误")</f>
        <v>100</v>
      </c>
      <c r="Y154" s="26" t="str">
        <f t="shared" si="64"/>
        <v/>
      </c>
      <c r="Z154" s="36" t="str">
        <f t="shared" si="65"/>
        <v/>
      </c>
      <c r="AA154" s="36" t="str">
        <f t="shared" si="66"/>
        <v/>
      </c>
      <c r="AB154" s="27" t="str">
        <f t="shared" si="67"/>
        <v/>
      </c>
      <c r="AC154" s="2" t="str">
        <f t="shared" si="68"/>
        <v/>
      </c>
      <c r="AD154" s="37">
        <f t="shared" si="69"/>
        <v>5</v>
      </c>
      <c r="AE154" t="str">
        <f t="shared" si="70"/>
        <v/>
      </c>
      <c r="AF154" t="str">
        <f t="shared" si="71"/>
        <v/>
      </c>
      <c r="AG154" t="str">
        <f t="shared" si="72"/>
        <v/>
      </c>
      <c r="AH154" t="str">
        <f t="shared" si="73"/>
        <v/>
      </c>
      <c r="AI154" t="str">
        <f t="shared" si="74"/>
        <v/>
      </c>
      <c r="AJ154" t="str">
        <f t="shared" si="75"/>
        <v/>
      </c>
      <c r="AK154" t="str">
        <f t="shared" si="76"/>
        <v/>
      </c>
      <c r="AL154" t="str">
        <f>IFERROR(ROUND(L154*(G154/$AU154)/VLOOKUP(F154,商品!$A$4:$B$60,2,FALSE),0),"")</f>
        <v/>
      </c>
      <c r="AM154" t="str">
        <f>IFERROR(ROUND(L154*(I154/$AU154)/VLOOKUP(H154,商品!$A$4:$B$60,2,FALSE),0),"")</f>
        <v/>
      </c>
      <c r="AN154">
        <f>IFERROR(ROUND(L154*(J154/$AU154)/VLOOKUP("运力",商品!$A$4:$B$60,2,FALSE),0),0)</f>
        <v>0</v>
      </c>
      <c r="AO154">
        <f>IFERROR(ROUND(L154*(K154/$AU154)/VLOOKUP("交易",商品!$A$4:$B$60,2,FALSE),0),0)</f>
        <v>0</v>
      </c>
      <c r="AP154" t="str">
        <f>IFERROR(ROUND(S154*(N154/$AV154)/VLOOKUP(M154,职业!$A$4:$G$16,4,FALSE),0),"")</f>
        <v/>
      </c>
      <c r="AQ154" t="str">
        <f>IFERROR(ROUND(S154*(P154/$AV154)/VLOOKUP(O154,职业!$A$4:$G$16,4,FALSE),0),"")</f>
        <v/>
      </c>
      <c r="AR154" t="str">
        <f>IFERROR(ROUND(S154*(R154/$AV154)/VLOOKUP(Q154,职业!$A$4:$G$16,4,FALSE),0),"")</f>
        <v/>
      </c>
      <c r="AS154" t="str">
        <f>IFERROR(ROUND(X154*(U154/$AW154)/VLOOKUP(T154,商品!$A$4:$B$60,2,FALSE),0),"")</f>
        <v/>
      </c>
      <c r="AT154" t="str">
        <f>IFERROR(ROUND(X154*(W154/$AW154)/VLOOKUP(V154,商品!$A$4:$B$60,2,FALSE),0),"")</f>
        <v/>
      </c>
      <c r="AU154">
        <f t="shared" si="77"/>
        <v>0</v>
      </c>
      <c r="AV154">
        <f t="shared" si="78"/>
        <v>0</v>
      </c>
      <c r="AW154">
        <f t="shared" si="79"/>
        <v>0</v>
      </c>
    </row>
    <row r="155" spans="1:49" ht="19.95" customHeight="1" x14ac:dyDescent="0.25">
      <c r="A155" s="15" t="s">
        <v>208</v>
      </c>
      <c r="C155" s="15">
        <v>6</v>
      </c>
      <c r="D155" s="23" t="s">
        <v>174</v>
      </c>
      <c r="E155" s="23" t="s">
        <v>179</v>
      </c>
      <c r="L155" s="15">
        <f>IFERROR(VLOOKUP($D155&amp;$C155,生产方式定位!$A$2:$E$38,2,FALSE)+VLOOKUP($E155&amp;$C155,生产方式定位!$F$3:$J$38,2,FALSE),0)</f>
        <v>0</v>
      </c>
      <c r="S155" s="15">
        <f>IFERROR(VLOOKUP($D155&amp;$C155,生产方式定位!$A$2:$E$38,3,FALSE)+VLOOKUP($E155&amp;$C155,生产方式定位!$F$3:$J$38,3,FALSE),0)</f>
        <v>100</v>
      </c>
      <c r="X155" s="15">
        <f>IFERROR(VLOOKUP($D155&amp;$C155,生产方式定位!$A$2:$E$38,5,FALSE)+VLOOKUP($E155&amp;$C155,生产方式定位!$F$3:$J$38,5,FALSE),"错误")</f>
        <v>100</v>
      </c>
      <c r="Y155" s="26" t="str">
        <f t="shared" si="64"/>
        <v/>
      </c>
      <c r="Z155" s="36" t="str">
        <f t="shared" si="65"/>
        <v/>
      </c>
      <c r="AA155" s="36" t="str">
        <f t="shared" si="66"/>
        <v/>
      </c>
      <c r="AB155" s="27" t="str">
        <f t="shared" si="67"/>
        <v/>
      </c>
      <c r="AC155" s="2" t="str">
        <f t="shared" si="68"/>
        <v/>
      </c>
      <c r="AD155" s="38">
        <f t="shared" si="69"/>
        <v>6</v>
      </c>
      <c r="AE155" t="str">
        <f t="shared" si="70"/>
        <v/>
      </c>
      <c r="AF155" t="str">
        <f t="shared" si="71"/>
        <v/>
      </c>
      <c r="AG155" t="str">
        <f t="shared" si="72"/>
        <v/>
      </c>
      <c r="AH155" t="str">
        <f t="shared" si="73"/>
        <v/>
      </c>
      <c r="AI155" t="str">
        <f t="shared" si="74"/>
        <v/>
      </c>
      <c r="AJ155" t="str">
        <f t="shared" si="75"/>
        <v/>
      </c>
      <c r="AK155" t="str">
        <f t="shared" si="76"/>
        <v/>
      </c>
      <c r="AL155" t="str">
        <f>IFERROR(ROUND(L155*(G155/$AU155)/VLOOKUP(F155,商品!$A$4:$B$60,2,FALSE),0),"")</f>
        <v/>
      </c>
      <c r="AM155" t="str">
        <f>IFERROR(ROUND(L155*(I155/$AU155)/VLOOKUP(H155,商品!$A$4:$B$60,2,FALSE),0),"")</f>
        <v/>
      </c>
      <c r="AN155">
        <f>IFERROR(ROUND(L155*(J155/$AU155)/VLOOKUP("运力",商品!$A$4:$B$60,2,FALSE),0),0)</f>
        <v>0</v>
      </c>
      <c r="AO155">
        <f>IFERROR(ROUND(L155*(K155/$AU155)/VLOOKUP("交易",商品!$A$4:$B$60,2,FALSE),0),0)</f>
        <v>0</v>
      </c>
      <c r="AP155" t="str">
        <f>IFERROR(ROUND(S155*(N155/$AV155)/VLOOKUP(M155,职业!$A$4:$G$16,4,FALSE),0),"")</f>
        <v/>
      </c>
      <c r="AQ155" t="str">
        <f>IFERROR(ROUND(S155*(P155/$AV155)/VLOOKUP(O155,职业!$A$4:$G$16,4,FALSE),0),"")</f>
        <v/>
      </c>
      <c r="AR155" t="str">
        <f>IFERROR(ROUND(S155*(R155/$AV155)/VLOOKUP(Q155,职业!$A$4:$G$16,4,FALSE),0),"")</f>
        <v/>
      </c>
      <c r="AS155" t="str">
        <f>IFERROR(ROUND(X155*(U155/$AW155)/VLOOKUP(T155,商品!$A$4:$B$60,2,FALSE),0),"")</f>
        <v/>
      </c>
      <c r="AT155" t="str">
        <f>IFERROR(ROUND(X155*(W155/$AW155)/VLOOKUP(V155,商品!$A$4:$B$60,2,FALSE),0),"")</f>
        <v/>
      </c>
      <c r="AU155">
        <f t="shared" si="77"/>
        <v>0</v>
      </c>
      <c r="AV155">
        <f t="shared" si="78"/>
        <v>0</v>
      </c>
      <c r="AW155">
        <f t="shared" si="79"/>
        <v>0</v>
      </c>
    </row>
    <row r="156" spans="1:49" ht="19.95" customHeight="1" x14ac:dyDescent="0.25">
      <c r="A156" s="15" t="s">
        <v>208</v>
      </c>
      <c r="C156" s="15">
        <v>7</v>
      </c>
      <c r="D156" s="23" t="s">
        <v>174</v>
      </c>
      <c r="E156" s="23" t="s">
        <v>179</v>
      </c>
      <c r="L156" s="15">
        <f>IFERROR(VLOOKUP($D156&amp;$C156,生产方式定位!$A$2:$E$38,2,FALSE)+VLOOKUP($E156&amp;$C156,生产方式定位!$F$3:$J$38,2,FALSE),0)</f>
        <v>0</v>
      </c>
      <c r="S156" s="15">
        <f>IFERROR(VLOOKUP($D156&amp;$C156,生产方式定位!$A$2:$E$38,3,FALSE)+VLOOKUP($E156&amp;$C156,生产方式定位!$F$3:$J$38,3,FALSE),0)</f>
        <v>100</v>
      </c>
      <c r="X156" s="15">
        <f>IFERROR(VLOOKUP($D156&amp;$C156,生产方式定位!$A$2:$E$38,5,FALSE)+VLOOKUP($E156&amp;$C156,生产方式定位!$F$3:$J$38,5,FALSE),"错误")</f>
        <v>100</v>
      </c>
      <c r="Y156" s="26" t="str">
        <f t="shared" si="64"/>
        <v/>
      </c>
      <c r="Z156" s="36" t="str">
        <f t="shared" si="65"/>
        <v/>
      </c>
      <c r="AA156" s="36" t="str">
        <f t="shared" si="66"/>
        <v/>
      </c>
      <c r="AB156" s="27" t="str">
        <f t="shared" si="67"/>
        <v/>
      </c>
      <c r="AC156" s="2" t="str">
        <f t="shared" si="68"/>
        <v/>
      </c>
      <c r="AD156" s="38">
        <f t="shared" si="69"/>
        <v>7</v>
      </c>
      <c r="AE156" t="str">
        <f t="shared" si="70"/>
        <v/>
      </c>
      <c r="AF156" t="str">
        <f t="shared" si="71"/>
        <v/>
      </c>
      <c r="AG156" t="str">
        <f t="shared" si="72"/>
        <v/>
      </c>
      <c r="AH156" t="str">
        <f t="shared" si="73"/>
        <v/>
      </c>
      <c r="AI156" t="str">
        <f t="shared" si="74"/>
        <v/>
      </c>
      <c r="AJ156" t="str">
        <f t="shared" si="75"/>
        <v/>
      </c>
      <c r="AK156" t="str">
        <f t="shared" si="76"/>
        <v/>
      </c>
      <c r="AL156" t="str">
        <f>IFERROR(ROUND(L156*(G156/$AU156)/VLOOKUP(F156,商品!$A$4:$B$60,2,FALSE),0),"")</f>
        <v/>
      </c>
      <c r="AM156" t="str">
        <f>IFERROR(ROUND(L156*(I156/$AU156)/VLOOKUP(H156,商品!$A$4:$B$60,2,FALSE),0),"")</f>
        <v/>
      </c>
      <c r="AN156">
        <f>IFERROR(ROUND(L156*(J156/$AU156)/VLOOKUP("运力",商品!$A$4:$B$60,2,FALSE),0),0)</f>
        <v>0</v>
      </c>
      <c r="AO156">
        <f>IFERROR(ROUND(L156*(K156/$AU156)/VLOOKUP("交易",商品!$A$4:$B$60,2,FALSE),0),0)</f>
        <v>0</v>
      </c>
      <c r="AP156" t="str">
        <f>IFERROR(ROUND(S156*(N156/$AV156)/VLOOKUP(M156,职业!$A$4:$G$16,4,FALSE),0),"")</f>
        <v/>
      </c>
      <c r="AQ156" t="str">
        <f>IFERROR(ROUND(S156*(P156/$AV156)/VLOOKUP(O156,职业!$A$4:$G$16,4,FALSE),0),"")</f>
        <v/>
      </c>
      <c r="AR156" t="str">
        <f>IFERROR(ROUND(S156*(R156/$AV156)/VLOOKUP(Q156,职业!$A$4:$G$16,4,FALSE),0),"")</f>
        <v/>
      </c>
      <c r="AS156" t="str">
        <f>IFERROR(ROUND(X156*(U156/$AW156)/VLOOKUP(T156,商品!$A$4:$B$60,2,FALSE),0),"")</f>
        <v/>
      </c>
      <c r="AT156" t="str">
        <f>IFERROR(ROUND(X156*(W156/$AW156)/VLOOKUP(V156,商品!$A$4:$B$60,2,FALSE),0),"")</f>
        <v/>
      </c>
      <c r="AU156">
        <f t="shared" si="77"/>
        <v>0</v>
      </c>
      <c r="AV156">
        <f t="shared" si="78"/>
        <v>0</v>
      </c>
      <c r="AW156">
        <f t="shared" si="79"/>
        <v>0</v>
      </c>
    </row>
    <row r="157" spans="1:49" ht="19.95" customHeight="1" x14ac:dyDescent="0.25">
      <c r="A157" s="15" t="s">
        <v>208</v>
      </c>
      <c r="C157" s="15">
        <v>8</v>
      </c>
      <c r="D157" s="23" t="s">
        <v>174</v>
      </c>
      <c r="E157" s="23" t="s">
        <v>179</v>
      </c>
      <c r="L157" s="15">
        <f>IFERROR(VLOOKUP($D157&amp;$C157,生产方式定位!$A$2:$E$38,2,FALSE)+VLOOKUP($E157&amp;$C157,生产方式定位!$F$3:$J$38,2,FALSE),0)</f>
        <v>0</v>
      </c>
      <c r="S157" s="15">
        <f>IFERROR(VLOOKUP($D157&amp;$C157,生产方式定位!$A$2:$E$38,3,FALSE)+VLOOKUP($E157&amp;$C157,生产方式定位!$F$3:$J$38,3,FALSE),0)</f>
        <v>100</v>
      </c>
      <c r="X157" s="15">
        <f>IFERROR(VLOOKUP($D157&amp;$C157,生产方式定位!$A$2:$E$38,5,FALSE)+VLOOKUP($E157&amp;$C157,生产方式定位!$F$3:$J$38,5,FALSE),"错误")</f>
        <v>100</v>
      </c>
      <c r="Y157" s="26" t="str">
        <f t="shared" si="64"/>
        <v/>
      </c>
      <c r="Z157" s="36" t="str">
        <f t="shared" si="65"/>
        <v/>
      </c>
      <c r="AA157" s="36" t="str">
        <f t="shared" si="66"/>
        <v/>
      </c>
      <c r="AB157" s="27" t="str">
        <f t="shared" si="67"/>
        <v/>
      </c>
      <c r="AC157" s="2" t="str">
        <f t="shared" si="68"/>
        <v/>
      </c>
      <c r="AD157" s="38">
        <f t="shared" si="69"/>
        <v>8</v>
      </c>
      <c r="AE157" t="str">
        <f t="shared" si="70"/>
        <v/>
      </c>
      <c r="AF157" t="str">
        <f t="shared" si="71"/>
        <v/>
      </c>
      <c r="AG157" t="str">
        <f t="shared" si="72"/>
        <v/>
      </c>
      <c r="AH157" t="str">
        <f t="shared" si="73"/>
        <v/>
      </c>
      <c r="AI157" t="str">
        <f t="shared" si="74"/>
        <v/>
      </c>
      <c r="AJ157" t="str">
        <f t="shared" si="75"/>
        <v/>
      </c>
      <c r="AK157" t="str">
        <f t="shared" si="76"/>
        <v/>
      </c>
      <c r="AL157" t="str">
        <f>IFERROR(ROUND(L157*(G157/$AU157)/VLOOKUP(F157,商品!$A$4:$B$60,2,FALSE),0),"")</f>
        <v/>
      </c>
      <c r="AM157" t="str">
        <f>IFERROR(ROUND(L157*(I157/$AU157)/VLOOKUP(H157,商品!$A$4:$B$60,2,FALSE),0),"")</f>
        <v/>
      </c>
      <c r="AN157">
        <f>IFERROR(ROUND(L157*(J157/$AU157)/VLOOKUP("运力",商品!$A$4:$B$60,2,FALSE),0),0)</f>
        <v>0</v>
      </c>
      <c r="AO157">
        <f>IFERROR(ROUND(L157*(K157/$AU157)/VLOOKUP("交易",商品!$A$4:$B$60,2,FALSE),0),0)</f>
        <v>0</v>
      </c>
      <c r="AP157" t="str">
        <f>IFERROR(ROUND(S157*(N157/$AV157)/VLOOKUP(M157,职业!$A$4:$G$16,4,FALSE),0),"")</f>
        <v/>
      </c>
      <c r="AQ157" t="str">
        <f>IFERROR(ROUND(S157*(P157/$AV157)/VLOOKUP(O157,职业!$A$4:$G$16,4,FALSE),0),"")</f>
        <v/>
      </c>
      <c r="AR157" t="str">
        <f>IFERROR(ROUND(S157*(R157/$AV157)/VLOOKUP(Q157,职业!$A$4:$G$16,4,FALSE),0),"")</f>
        <v/>
      </c>
      <c r="AS157" t="str">
        <f>IFERROR(ROUND(X157*(U157/$AW157)/VLOOKUP(T157,商品!$A$4:$B$60,2,FALSE),0),"")</f>
        <v/>
      </c>
      <c r="AT157" t="str">
        <f>IFERROR(ROUND(X157*(W157/$AW157)/VLOOKUP(V157,商品!$A$4:$B$60,2,FALSE),0),"")</f>
        <v/>
      </c>
      <c r="AU157">
        <f t="shared" si="77"/>
        <v>0</v>
      </c>
      <c r="AV157">
        <f t="shared" si="78"/>
        <v>0</v>
      </c>
      <c r="AW157">
        <f t="shared" si="79"/>
        <v>0</v>
      </c>
    </row>
    <row r="158" spans="1:49" ht="19.95" customHeight="1" x14ac:dyDescent="0.25">
      <c r="A158" s="16" t="s">
        <v>210</v>
      </c>
      <c r="C158" s="16">
        <v>1</v>
      </c>
      <c r="D158" s="23" t="s">
        <v>171</v>
      </c>
      <c r="E158" s="23" t="s">
        <v>172</v>
      </c>
      <c r="F158" s="2" t="s">
        <v>18</v>
      </c>
      <c r="G158" s="2">
        <v>30</v>
      </c>
      <c r="J158" s="24">
        <v>5</v>
      </c>
      <c r="K158" s="25">
        <v>3</v>
      </c>
      <c r="L158" s="16">
        <f>IFERROR(VLOOKUP($D158&amp;$C158,生产方式定位!$A$2:$E$38,2,FALSE)+VLOOKUP($E158&amp;$C158,生产方式定位!$F$3:$J$38,2,FALSE),0)</f>
        <v>300</v>
      </c>
      <c r="M158" s="2" t="s">
        <v>80</v>
      </c>
      <c r="N158" s="2">
        <v>100</v>
      </c>
      <c r="S158" s="16">
        <f>IFERROR(VLOOKUP($D158&amp;$C158,生产方式定位!$A$2:$E$38,3,FALSE)+VLOOKUP($E158&amp;$C158,生产方式定位!$F$3:$J$38,3,FALSE),0)</f>
        <v>100</v>
      </c>
      <c r="T158" s="2" t="s">
        <v>38</v>
      </c>
      <c r="U158" s="2">
        <v>1</v>
      </c>
      <c r="X158" s="16">
        <f>IFERROR(VLOOKUP($D158&amp;$C158,生产方式定位!$A$2:$E$38,5,FALSE)+VLOOKUP($E158&amp;$C158,生产方式定位!$F$3:$J$38,5,FALSE),"错误")</f>
        <v>520</v>
      </c>
      <c r="Y158" s="26" t="str">
        <f t="shared" si="64"/>
        <v>硫*4,运力*4,交易*2</v>
      </c>
      <c r="Z158" s="36" t="str">
        <f t="shared" si="65"/>
        <v>劳工*4525</v>
      </c>
      <c r="AA158" s="36" t="str">
        <f t="shared" si="66"/>
        <v>肥料*9</v>
      </c>
      <c r="AB158" s="27" t="str">
        <f t="shared" si="67"/>
        <v>73%</v>
      </c>
      <c r="AC158" s="2">
        <f t="shared" si="68"/>
        <v>120</v>
      </c>
      <c r="AD158" s="38">
        <f t="shared" si="69"/>
        <v>1</v>
      </c>
      <c r="AE158" t="str">
        <f t="shared" si="70"/>
        <v>硫*4</v>
      </c>
      <c r="AF158" t="str">
        <f t="shared" si="71"/>
        <v/>
      </c>
      <c r="AG158" t="str">
        <f t="shared" si="72"/>
        <v>劳工*4525</v>
      </c>
      <c r="AH158" t="str">
        <f t="shared" si="73"/>
        <v/>
      </c>
      <c r="AI158" t="str">
        <f t="shared" si="74"/>
        <v/>
      </c>
      <c r="AJ158" t="str">
        <f t="shared" si="75"/>
        <v>肥料*9</v>
      </c>
      <c r="AK158" t="str">
        <f t="shared" si="76"/>
        <v/>
      </c>
      <c r="AL158">
        <f>IFERROR(ROUND(L158*(G158/$AU158)/VLOOKUP(F158,商品!$A$4:$B$60,2,FALSE),0),"")</f>
        <v>4</v>
      </c>
      <c r="AM158" t="str">
        <f>IFERROR(ROUND(L158*(I158/$AU158)/VLOOKUP(H158,商品!$A$4:$B$60,2,FALSE),0),"")</f>
        <v/>
      </c>
      <c r="AN158">
        <f>IFERROR(ROUND(L158*(J158/$AU158)/VLOOKUP("运力",商品!$A$4:$B$60,2,FALSE),0),0)</f>
        <v>4</v>
      </c>
      <c r="AO158">
        <f>IFERROR(ROUND(L158*(K158/$AU158)/VLOOKUP("交易",商品!$A$4:$B$60,2,FALSE),0),0)</f>
        <v>2</v>
      </c>
      <c r="AP158">
        <f>IFERROR(ROUND(S158*(N158/$AV158)/VLOOKUP(M158,职业!$A$4:$G$16,4,FALSE),0),"")</f>
        <v>4525</v>
      </c>
      <c r="AQ158" t="str">
        <f>IFERROR(ROUND(S158*(P158/$AV158)/VLOOKUP(O158,职业!$A$4:$G$16,4,FALSE),0),"")</f>
        <v/>
      </c>
      <c r="AR158" t="str">
        <f>IFERROR(ROUND(S158*(R158/$AV158)/VLOOKUP(Q158,职业!$A$4:$G$16,4,FALSE),0),"")</f>
        <v/>
      </c>
      <c r="AS158">
        <f>IFERROR(ROUND(X158*(U158/$AW158)/VLOOKUP(T158,商品!$A$4:$B$60,2,FALSE),0),"")</f>
        <v>9</v>
      </c>
      <c r="AT158" t="str">
        <f>IFERROR(ROUND(X158*(W158/$AW158)/VLOOKUP(V158,商品!$A$4:$B$60,2,FALSE),0),"")</f>
        <v/>
      </c>
      <c r="AU158">
        <f t="shared" si="77"/>
        <v>38</v>
      </c>
      <c r="AV158">
        <f t="shared" si="78"/>
        <v>100</v>
      </c>
      <c r="AW158">
        <f t="shared" si="79"/>
        <v>1</v>
      </c>
    </row>
    <row r="159" spans="1:49" ht="19.95" customHeight="1" x14ac:dyDescent="0.25">
      <c r="A159" s="16" t="s">
        <v>210</v>
      </c>
      <c r="C159" s="16">
        <v>2</v>
      </c>
      <c r="D159" s="23" t="s">
        <v>171</v>
      </c>
      <c r="E159" s="23" t="s">
        <v>172</v>
      </c>
      <c r="F159" s="2" t="s">
        <v>18</v>
      </c>
      <c r="G159" s="2">
        <v>30</v>
      </c>
      <c r="J159" s="24">
        <v>5</v>
      </c>
      <c r="K159" s="25">
        <v>3</v>
      </c>
      <c r="L159" s="16">
        <f>IFERROR(VLOOKUP($D159&amp;$C159,生产方式定位!$A$2:$E$38,2,FALSE)+VLOOKUP($E159&amp;$C159,生产方式定位!$F$3:$J$38,2,FALSE),0)</f>
        <v>1100</v>
      </c>
      <c r="M159" s="2" t="s">
        <v>80</v>
      </c>
      <c r="N159" s="2">
        <v>100</v>
      </c>
      <c r="O159" s="2" t="s">
        <v>73</v>
      </c>
      <c r="P159" s="2">
        <v>5</v>
      </c>
      <c r="S159" s="16">
        <f>IFERROR(VLOOKUP($D159&amp;$C159,生产方式定位!$A$2:$E$38,3,FALSE)+VLOOKUP($E159&amp;$C159,生产方式定位!$F$3:$J$38,3,FALSE),0)</f>
        <v>100</v>
      </c>
      <c r="T159" s="2" t="s">
        <v>38</v>
      </c>
      <c r="U159" s="2">
        <v>1</v>
      </c>
      <c r="X159" s="16">
        <f>IFERROR(VLOOKUP($D159&amp;$C159,生产方式定位!$A$2:$E$38,5,FALSE)+VLOOKUP($E159&amp;$C159,生产方式定位!$F$3:$J$38,5,FALSE),"错误")</f>
        <v>1510</v>
      </c>
      <c r="Y159" s="26" t="str">
        <f t="shared" si="64"/>
        <v>硫*14,运力*14,交易*9</v>
      </c>
      <c r="Z159" s="36" t="str">
        <f t="shared" si="65"/>
        <v>劳工*4309,工程师*72</v>
      </c>
      <c r="AA159" s="36" t="str">
        <f t="shared" si="66"/>
        <v>肥料*25</v>
      </c>
      <c r="AB159" s="27" t="str">
        <f t="shared" si="67"/>
        <v>37%</v>
      </c>
      <c r="AC159" s="2">
        <f t="shared" si="68"/>
        <v>310</v>
      </c>
      <c r="AD159" s="38">
        <f t="shared" si="69"/>
        <v>2</v>
      </c>
      <c r="AE159" t="str">
        <f t="shared" si="70"/>
        <v>硫*14</v>
      </c>
      <c r="AF159" t="str">
        <f t="shared" si="71"/>
        <v/>
      </c>
      <c r="AG159" t="str">
        <f t="shared" si="72"/>
        <v>劳工*4309</v>
      </c>
      <c r="AH159" t="str">
        <f t="shared" si="73"/>
        <v>工程师*72</v>
      </c>
      <c r="AI159" t="str">
        <f t="shared" si="74"/>
        <v/>
      </c>
      <c r="AJ159" t="str">
        <f t="shared" si="75"/>
        <v>肥料*25</v>
      </c>
      <c r="AK159" t="str">
        <f t="shared" si="76"/>
        <v/>
      </c>
      <c r="AL159">
        <f>IFERROR(ROUND(L159*(G159/$AU159)/VLOOKUP(F159,商品!$A$4:$B$60,2,FALSE),0),"")</f>
        <v>14</v>
      </c>
      <c r="AM159" t="str">
        <f>IFERROR(ROUND(L159*(I159/$AU159)/VLOOKUP(H159,商品!$A$4:$B$60,2,FALSE),0),"")</f>
        <v/>
      </c>
      <c r="AN159">
        <f>IFERROR(ROUND(L159*(J159/$AU159)/VLOOKUP("运力",商品!$A$4:$B$60,2,FALSE),0),0)</f>
        <v>14</v>
      </c>
      <c r="AO159">
        <f>IFERROR(ROUND(L159*(K159/$AU159)/VLOOKUP("交易",商品!$A$4:$B$60,2,FALSE),0),0)</f>
        <v>9</v>
      </c>
      <c r="AP159">
        <f>IFERROR(ROUND(S159*(N159/$AV159)/VLOOKUP(M159,职业!$A$4:$G$16,4,FALSE),0),"")</f>
        <v>4309</v>
      </c>
      <c r="AQ159">
        <f>IFERROR(ROUND(S159*(P159/$AV159)/VLOOKUP(O159,职业!$A$4:$G$16,4,FALSE),0),"")</f>
        <v>72</v>
      </c>
      <c r="AR159" t="str">
        <f>IFERROR(ROUND(S159*(R159/$AV159)/VLOOKUP(Q159,职业!$A$4:$G$16,4,FALSE),0),"")</f>
        <v/>
      </c>
      <c r="AS159">
        <f>IFERROR(ROUND(X159*(U159/$AW159)/VLOOKUP(T159,商品!$A$4:$B$60,2,FALSE),0),"")</f>
        <v>25</v>
      </c>
      <c r="AT159" t="str">
        <f>IFERROR(ROUND(X159*(W159/$AW159)/VLOOKUP(V159,商品!$A$4:$B$60,2,FALSE),0),"")</f>
        <v/>
      </c>
      <c r="AU159">
        <f t="shared" si="77"/>
        <v>38</v>
      </c>
      <c r="AV159">
        <f t="shared" si="78"/>
        <v>105</v>
      </c>
      <c r="AW159">
        <f t="shared" si="79"/>
        <v>1</v>
      </c>
    </row>
    <row r="160" spans="1:49" ht="19.95" customHeight="1" x14ac:dyDescent="0.25">
      <c r="A160" s="16" t="s">
        <v>210</v>
      </c>
      <c r="C160" s="16">
        <v>3</v>
      </c>
      <c r="D160" s="23" t="s">
        <v>171</v>
      </c>
      <c r="E160" s="23" t="s">
        <v>172</v>
      </c>
      <c r="F160" s="2" t="s">
        <v>18</v>
      </c>
      <c r="G160" s="2">
        <v>30</v>
      </c>
      <c r="J160" s="24">
        <v>5</v>
      </c>
      <c r="K160" s="25">
        <v>3</v>
      </c>
      <c r="L160" s="16">
        <f>IFERROR(VLOOKUP($D160&amp;$C160,生产方式定位!$A$2:$E$38,2,FALSE)+VLOOKUP($E160&amp;$C160,生产方式定位!$F$3:$J$38,2,FALSE),0)</f>
        <v>1525</v>
      </c>
      <c r="M160" s="2" t="s">
        <v>80</v>
      </c>
      <c r="N160" s="2">
        <v>100</v>
      </c>
      <c r="O160" s="2" t="s">
        <v>73</v>
      </c>
      <c r="P160" s="2">
        <v>10</v>
      </c>
      <c r="S160" s="16">
        <f>IFERROR(VLOOKUP($D160&amp;$C160,生产方式定位!$A$2:$E$38,3,FALSE)+VLOOKUP($E160&amp;$C160,生产方式定位!$F$3:$J$38,3,FALSE),0)</f>
        <v>100</v>
      </c>
      <c r="T160" s="2" t="s">
        <v>38</v>
      </c>
      <c r="U160" s="2">
        <v>1</v>
      </c>
      <c r="X160" s="16">
        <f>IFERROR(VLOOKUP($D160&amp;$C160,生产方式定位!$A$2:$E$38,5,FALSE)+VLOOKUP($E160&amp;$C160,生产方式定位!$F$3:$J$38,5,FALSE),"错误")</f>
        <v>2050</v>
      </c>
      <c r="Y160" s="26" t="str">
        <f t="shared" si="64"/>
        <v>硫*20,运力*20,交易*12</v>
      </c>
      <c r="Z160" s="36" t="str">
        <f t="shared" si="65"/>
        <v>劳工*4114,工程师*137</v>
      </c>
      <c r="AA160" s="36" t="str">
        <f t="shared" si="66"/>
        <v>肥料*34</v>
      </c>
      <c r="AB160" s="27" t="str">
        <f t="shared" si="67"/>
        <v>34%</v>
      </c>
      <c r="AC160" s="2">
        <f t="shared" si="68"/>
        <v>425</v>
      </c>
      <c r="AD160" s="37">
        <f t="shared" si="69"/>
        <v>3</v>
      </c>
      <c r="AE160" t="str">
        <f t="shared" si="70"/>
        <v>硫*20</v>
      </c>
      <c r="AF160" t="str">
        <f t="shared" si="71"/>
        <v/>
      </c>
      <c r="AG160" t="str">
        <f t="shared" si="72"/>
        <v>劳工*4114</v>
      </c>
      <c r="AH160" t="str">
        <f t="shared" si="73"/>
        <v>工程师*137</v>
      </c>
      <c r="AI160" t="str">
        <f t="shared" si="74"/>
        <v/>
      </c>
      <c r="AJ160" t="str">
        <f t="shared" si="75"/>
        <v>肥料*34</v>
      </c>
      <c r="AK160" t="str">
        <f t="shared" si="76"/>
        <v/>
      </c>
      <c r="AL160">
        <f>IFERROR(ROUND(L160*(G160/$AU160)/VLOOKUP(F160,商品!$A$4:$B$60,2,FALSE),0),"")</f>
        <v>20</v>
      </c>
      <c r="AM160" t="str">
        <f>IFERROR(ROUND(L160*(I160/$AU160)/VLOOKUP(H160,商品!$A$4:$B$60,2,FALSE),0),"")</f>
        <v/>
      </c>
      <c r="AN160">
        <f>IFERROR(ROUND(L160*(J160/$AU160)/VLOOKUP("运力",商品!$A$4:$B$60,2,FALSE),0),0)</f>
        <v>20</v>
      </c>
      <c r="AO160">
        <f>IFERROR(ROUND(L160*(K160/$AU160)/VLOOKUP("交易",商品!$A$4:$B$60,2,FALSE),0),0)</f>
        <v>12</v>
      </c>
      <c r="AP160">
        <f>IFERROR(ROUND(S160*(N160/$AV160)/VLOOKUP(M160,职业!$A$4:$G$16,4,FALSE),0),"")</f>
        <v>4114</v>
      </c>
      <c r="AQ160">
        <f>IFERROR(ROUND(S160*(P160/$AV160)/VLOOKUP(O160,职业!$A$4:$G$16,4,FALSE),0),"")</f>
        <v>137</v>
      </c>
      <c r="AR160" t="str">
        <f>IFERROR(ROUND(S160*(R160/$AV160)/VLOOKUP(Q160,职业!$A$4:$G$16,4,FALSE),0),"")</f>
        <v/>
      </c>
      <c r="AS160">
        <f>IFERROR(ROUND(X160*(U160/$AW160)/VLOOKUP(T160,商品!$A$4:$B$60,2,FALSE),0),"")</f>
        <v>34</v>
      </c>
      <c r="AT160" t="str">
        <f>IFERROR(ROUND(X160*(W160/$AW160)/VLOOKUP(V160,商品!$A$4:$B$60,2,FALSE),0),"")</f>
        <v/>
      </c>
      <c r="AU160">
        <f t="shared" si="77"/>
        <v>38</v>
      </c>
      <c r="AV160">
        <f t="shared" si="78"/>
        <v>110</v>
      </c>
      <c r="AW160">
        <f t="shared" si="79"/>
        <v>1</v>
      </c>
    </row>
    <row r="161" spans="1:49" ht="19.95" customHeight="1" x14ac:dyDescent="0.25">
      <c r="A161" s="16" t="s">
        <v>210</v>
      </c>
      <c r="C161" s="16">
        <v>4</v>
      </c>
      <c r="D161" s="23" t="s">
        <v>171</v>
      </c>
      <c r="E161" s="23" t="s">
        <v>172</v>
      </c>
      <c r="F161" s="2" t="s">
        <v>18</v>
      </c>
      <c r="G161" s="2">
        <v>30</v>
      </c>
      <c r="J161" s="24">
        <v>5</v>
      </c>
      <c r="K161" s="25">
        <v>3</v>
      </c>
      <c r="L161" s="16">
        <f>IFERROR(VLOOKUP($D161&amp;$C161,生产方式定位!$A$2:$E$38,2,FALSE)+VLOOKUP($E161&amp;$C161,生产方式定位!$F$3:$J$38,2,FALSE),0)</f>
        <v>1950</v>
      </c>
      <c r="M161" s="2" t="s">
        <v>80</v>
      </c>
      <c r="N161" s="2">
        <v>100</v>
      </c>
      <c r="O161" s="2" t="s">
        <v>73</v>
      </c>
      <c r="P161" s="2">
        <v>15</v>
      </c>
      <c r="S161" s="16">
        <f>IFERROR(VLOOKUP($D161&amp;$C161,生产方式定位!$A$2:$E$38,3,FALSE)+VLOOKUP($E161&amp;$C161,生产方式定位!$F$3:$J$38,3,FALSE),0)</f>
        <v>100</v>
      </c>
      <c r="T161" s="2" t="s">
        <v>38</v>
      </c>
      <c r="U161" s="2">
        <v>1</v>
      </c>
      <c r="X161" s="16">
        <f>IFERROR(VLOOKUP($D161&amp;$C161,生产方式定位!$A$2:$E$38,5,FALSE)+VLOOKUP($E161&amp;$C161,生产方式定位!$F$3:$J$38,5,FALSE),"错误")</f>
        <v>2590</v>
      </c>
      <c r="Y161" s="26" t="str">
        <f t="shared" si="64"/>
        <v>硫*26,运力*26,交易*15</v>
      </c>
      <c r="Z161" s="36" t="str">
        <f t="shared" si="65"/>
        <v>劳工*3935,工程师*197</v>
      </c>
      <c r="AA161" s="36" t="str">
        <f t="shared" si="66"/>
        <v>肥料*43</v>
      </c>
      <c r="AB161" s="27" t="str">
        <f t="shared" si="67"/>
        <v>33%</v>
      </c>
      <c r="AC161" s="2">
        <f t="shared" si="68"/>
        <v>540</v>
      </c>
      <c r="AD161" s="37">
        <f t="shared" si="69"/>
        <v>4</v>
      </c>
      <c r="AE161" t="str">
        <f t="shared" si="70"/>
        <v>硫*26</v>
      </c>
      <c r="AF161" t="str">
        <f t="shared" si="71"/>
        <v/>
      </c>
      <c r="AG161" t="str">
        <f t="shared" si="72"/>
        <v>劳工*3935</v>
      </c>
      <c r="AH161" t="str">
        <f t="shared" si="73"/>
        <v>工程师*197</v>
      </c>
      <c r="AI161" t="str">
        <f t="shared" si="74"/>
        <v/>
      </c>
      <c r="AJ161" t="str">
        <f t="shared" si="75"/>
        <v>肥料*43</v>
      </c>
      <c r="AK161" t="str">
        <f t="shared" si="76"/>
        <v/>
      </c>
      <c r="AL161">
        <f>IFERROR(ROUND(L161*(G161/$AU161)/VLOOKUP(F161,商品!$A$4:$B$60,2,FALSE),0),"")</f>
        <v>26</v>
      </c>
      <c r="AM161" t="str">
        <f>IFERROR(ROUND(L161*(I161/$AU161)/VLOOKUP(H161,商品!$A$4:$B$60,2,FALSE),0),"")</f>
        <v/>
      </c>
      <c r="AN161">
        <f>IFERROR(ROUND(L161*(J161/$AU161)/VLOOKUP("运力",商品!$A$4:$B$60,2,FALSE),0),0)</f>
        <v>26</v>
      </c>
      <c r="AO161">
        <f>IFERROR(ROUND(L161*(K161/$AU161)/VLOOKUP("交易",商品!$A$4:$B$60,2,FALSE),0),0)</f>
        <v>15</v>
      </c>
      <c r="AP161">
        <f>IFERROR(ROUND(S161*(N161/$AV161)/VLOOKUP(M161,职业!$A$4:$G$16,4,FALSE),0),"")</f>
        <v>3935</v>
      </c>
      <c r="AQ161">
        <f>IFERROR(ROUND(S161*(P161/$AV161)/VLOOKUP(O161,职业!$A$4:$G$16,4,FALSE),0),"")</f>
        <v>197</v>
      </c>
      <c r="AR161" t="str">
        <f>IFERROR(ROUND(S161*(R161/$AV161)/VLOOKUP(Q161,职业!$A$4:$G$16,4,FALSE),0),"")</f>
        <v/>
      </c>
      <c r="AS161">
        <f>IFERROR(ROUND(X161*(U161/$AW161)/VLOOKUP(T161,商品!$A$4:$B$60,2,FALSE),0),"")</f>
        <v>43</v>
      </c>
      <c r="AT161" t="str">
        <f>IFERROR(ROUND(X161*(W161/$AW161)/VLOOKUP(V161,商品!$A$4:$B$60,2,FALSE),0),"")</f>
        <v/>
      </c>
      <c r="AU161">
        <f t="shared" si="77"/>
        <v>38</v>
      </c>
      <c r="AV161">
        <f t="shared" si="78"/>
        <v>115</v>
      </c>
      <c r="AW161">
        <f t="shared" si="79"/>
        <v>1</v>
      </c>
    </row>
    <row r="162" spans="1:49" ht="19.95" customHeight="1" x14ac:dyDescent="0.25">
      <c r="A162" s="16" t="s">
        <v>210</v>
      </c>
      <c r="C162" s="16">
        <v>5</v>
      </c>
      <c r="D162" s="23" t="s">
        <v>171</v>
      </c>
      <c r="E162" s="23" t="s">
        <v>172</v>
      </c>
      <c r="F162" s="2" t="s">
        <v>18</v>
      </c>
      <c r="G162" s="2">
        <v>30</v>
      </c>
      <c r="J162" s="24">
        <v>5</v>
      </c>
      <c r="K162" s="25">
        <v>3</v>
      </c>
      <c r="L162" s="16">
        <f>IFERROR(VLOOKUP($D162&amp;$C162,生产方式定位!$A$2:$E$38,2,FALSE)+VLOOKUP($E162&amp;$C162,生产方式定位!$F$3:$J$38,2,FALSE),0)</f>
        <v>2375</v>
      </c>
      <c r="M162" s="2" t="s">
        <v>80</v>
      </c>
      <c r="N162" s="2">
        <v>100</v>
      </c>
      <c r="O162" s="2" t="s">
        <v>73</v>
      </c>
      <c r="P162" s="2">
        <v>20</v>
      </c>
      <c r="S162" s="16">
        <f>IFERROR(VLOOKUP($D162&amp;$C162,生产方式定位!$A$2:$E$38,3,FALSE)+VLOOKUP($E162&amp;$C162,生产方式定位!$F$3:$J$38,3,FALSE),0)</f>
        <v>100</v>
      </c>
      <c r="T162" s="2" t="s">
        <v>38</v>
      </c>
      <c r="U162" s="2">
        <v>1</v>
      </c>
      <c r="X162" s="16">
        <f>IFERROR(VLOOKUP($D162&amp;$C162,生产方式定位!$A$2:$E$38,5,FALSE)+VLOOKUP($E162&amp;$C162,生产方式定位!$F$3:$J$38,5,FALSE),"错误")</f>
        <v>3130</v>
      </c>
      <c r="Y162" s="26" t="str">
        <f t="shared" si="64"/>
        <v>硫*31,运力*31,交易*19</v>
      </c>
      <c r="Z162" s="36" t="str">
        <f t="shared" si="65"/>
        <v>劳工*3771,工程师*251</v>
      </c>
      <c r="AA162" s="36" t="str">
        <f t="shared" si="66"/>
        <v>肥料*52</v>
      </c>
      <c r="AB162" s="27" t="str">
        <f t="shared" si="67"/>
        <v>32%</v>
      </c>
      <c r="AC162" s="2">
        <f t="shared" si="68"/>
        <v>655</v>
      </c>
      <c r="AD162" s="37">
        <f t="shared" si="69"/>
        <v>5</v>
      </c>
      <c r="AE162" t="str">
        <f t="shared" si="70"/>
        <v>硫*31</v>
      </c>
      <c r="AF162" t="str">
        <f t="shared" si="71"/>
        <v/>
      </c>
      <c r="AG162" t="str">
        <f t="shared" si="72"/>
        <v>劳工*3771</v>
      </c>
      <c r="AH162" t="str">
        <f t="shared" si="73"/>
        <v>工程师*251</v>
      </c>
      <c r="AI162" t="str">
        <f t="shared" si="74"/>
        <v/>
      </c>
      <c r="AJ162" t="str">
        <f t="shared" si="75"/>
        <v>肥料*52</v>
      </c>
      <c r="AK162" t="str">
        <f t="shared" si="76"/>
        <v/>
      </c>
      <c r="AL162">
        <f>IFERROR(ROUND(L162*(G162/$AU162)/VLOOKUP(F162,商品!$A$4:$B$60,2,FALSE),0),"")</f>
        <v>31</v>
      </c>
      <c r="AM162" t="str">
        <f>IFERROR(ROUND(L162*(I162/$AU162)/VLOOKUP(H162,商品!$A$4:$B$60,2,FALSE),0),"")</f>
        <v/>
      </c>
      <c r="AN162">
        <f>IFERROR(ROUND(L162*(J162/$AU162)/VLOOKUP("运力",商品!$A$4:$B$60,2,FALSE),0),0)</f>
        <v>31</v>
      </c>
      <c r="AO162">
        <f>IFERROR(ROUND(L162*(K162/$AU162)/VLOOKUP("交易",商品!$A$4:$B$60,2,FALSE),0),0)</f>
        <v>19</v>
      </c>
      <c r="AP162">
        <f>IFERROR(ROUND(S162*(N162/$AV162)/VLOOKUP(M162,职业!$A$4:$G$16,4,FALSE),0),"")</f>
        <v>3771</v>
      </c>
      <c r="AQ162">
        <f>IFERROR(ROUND(S162*(P162/$AV162)/VLOOKUP(O162,职业!$A$4:$G$16,4,FALSE),0),"")</f>
        <v>251</v>
      </c>
      <c r="AR162" t="str">
        <f>IFERROR(ROUND(S162*(R162/$AV162)/VLOOKUP(Q162,职业!$A$4:$G$16,4,FALSE),0),"")</f>
        <v/>
      </c>
      <c r="AS162">
        <f>IFERROR(ROUND(X162*(U162/$AW162)/VLOOKUP(T162,商品!$A$4:$B$60,2,FALSE),0),"")</f>
        <v>52</v>
      </c>
      <c r="AT162" t="str">
        <f>IFERROR(ROUND(X162*(W162/$AW162)/VLOOKUP(V162,商品!$A$4:$B$60,2,FALSE),0),"")</f>
        <v/>
      </c>
      <c r="AU162">
        <f t="shared" si="77"/>
        <v>38</v>
      </c>
      <c r="AV162">
        <f t="shared" si="78"/>
        <v>120</v>
      </c>
      <c r="AW162">
        <f t="shared" si="79"/>
        <v>1</v>
      </c>
    </row>
    <row r="163" spans="1:49" ht="19.95" customHeight="1" x14ac:dyDescent="0.25">
      <c r="A163" s="15" t="s">
        <v>211</v>
      </c>
      <c r="C163" s="15">
        <v>1</v>
      </c>
      <c r="D163" s="23" t="s">
        <v>171</v>
      </c>
      <c r="E163" s="23" t="s">
        <v>193</v>
      </c>
      <c r="J163" s="24">
        <v>5</v>
      </c>
      <c r="K163" s="25">
        <v>3</v>
      </c>
      <c r="L163" s="15">
        <f>IFERROR(VLOOKUP($D163&amp;$C163,生产方式定位!$A$2:$E$38,2,FALSE)+VLOOKUP($E163&amp;$C163,生产方式定位!$F$3:$J$38,2,FALSE),0)</f>
        <v>300</v>
      </c>
      <c r="S163" s="15">
        <f>IFERROR(VLOOKUP($D163&amp;$C163,生产方式定位!$A$2:$E$38,3,FALSE)+VLOOKUP($E163&amp;$C163,生产方式定位!$F$3:$J$38,3,FALSE),0)</f>
        <v>100</v>
      </c>
      <c r="X163" s="15">
        <f>IFERROR(VLOOKUP($D163&amp;$C163,生产方式定位!$A$2:$E$38,5,FALSE)+VLOOKUP($E163&amp;$C163,生产方式定位!$F$3:$J$38,5,FALSE),"错误")</f>
        <v>520</v>
      </c>
      <c r="Y163" s="26" t="str">
        <f t="shared" si="64"/>
        <v>,运力*19,交易*11</v>
      </c>
      <c r="Z163" s="36" t="str">
        <f t="shared" si="65"/>
        <v/>
      </c>
      <c r="AA163" s="36" t="str">
        <f t="shared" si="66"/>
        <v/>
      </c>
      <c r="AB163" s="27" t="str">
        <f t="shared" si="67"/>
        <v>73%</v>
      </c>
      <c r="AC163" s="2">
        <f t="shared" si="68"/>
        <v>120</v>
      </c>
      <c r="AD163" s="37">
        <f t="shared" si="69"/>
        <v>1</v>
      </c>
      <c r="AE163" t="str">
        <f t="shared" si="70"/>
        <v/>
      </c>
      <c r="AF163" t="str">
        <f t="shared" si="71"/>
        <v/>
      </c>
      <c r="AG163" t="str">
        <f t="shared" si="72"/>
        <v/>
      </c>
      <c r="AH163" t="str">
        <f t="shared" si="73"/>
        <v/>
      </c>
      <c r="AI163" t="str">
        <f t="shared" si="74"/>
        <v/>
      </c>
      <c r="AJ163" t="str">
        <f t="shared" si="75"/>
        <v/>
      </c>
      <c r="AK163" t="str">
        <f t="shared" si="76"/>
        <v/>
      </c>
      <c r="AL163" t="str">
        <f>IFERROR(ROUND(L163*(G163/$AU163)/VLOOKUP(F163,商品!$A$4:$B$60,2,FALSE),0),"")</f>
        <v/>
      </c>
      <c r="AM163" t="str">
        <f>IFERROR(ROUND(L163*(I163/$AU163)/VLOOKUP(H163,商品!$A$4:$B$60,2,FALSE),0),"")</f>
        <v/>
      </c>
      <c r="AN163">
        <f>IFERROR(ROUND(L163*(J163/$AU163)/VLOOKUP("运力",商品!$A$4:$B$60,2,FALSE),0),0)</f>
        <v>19</v>
      </c>
      <c r="AO163">
        <f>IFERROR(ROUND(L163*(K163/$AU163)/VLOOKUP("交易",商品!$A$4:$B$60,2,FALSE),0),0)</f>
        <v>11</v>
      </c>
      <c r="AP163" t="str">
        <f>IFERROR(ROUND(S163*(N163/$AV163)/VLOOKUP(M163,职业!$A$4:$G$16,4,FALSE),0),"")</f>
        <v/>
      </c>
      <c r="AQ163" t="str">
        <f>IFERROR(ROUND(S163*(P163/$AV163)/VLOOKUP(O163,职业!$A$4:$G$16,4,FALSE),0),"")</f>
        <v/>
      </c>
      <c r="AR163" t="str">
        <f>IFERROR(ROUND(S163*(R163/$AV163)/VLOOKUP(Q163,职业!$A$4:$G$16,4,FALSE),0),"")</f>
        <v/>
      </c>
      <c r="AS163" t="str">
        <f>IFERROR(ROUND(X163*(U163/$AW163)/VLOOKUP(T163,商品!$A$4:$B$60,2,FALSE),0),"")</f>
        <v/>
      </c>
      <c r="AT163" t="str">
        <f>IFERROR(ROUND(X163*(W163/$AW163)/VLOOKUP(V163,商品!$A$4:$B$60,2,FALSE),0),"")</f>
        <v/>
      </c>
      <c r="AU163">
        <f t="shared" si="77"/>
        <v>8</v>
      </c>
      <c r="AV163">
        <f t="shared" si="78"/>
        <v>0</v>
      </c>
      <c r="AW163">
        <f t="shared" si="79"/>
        <v>0</v>
      </c>
    </row>
    <row r="164" spans="1:49" ht="19.95" customHeight="1" x14ac:dyDescent="0.25">
      <c r="A164" s="15" t="s">
        <v>211</v>
      </c>
      <c r="C164" s="15">
        <v>2</v>
      </c>
      <c r="D164" s="23" t="s">
        <v>171</v>
      </c>
      <c r="E164" s="23" t="s">
        <v>193</v>
      </c>
      <c r="H164" s="2" t="s">
        <v>18</v>
      </c>
      <c r="I164" s="2">
        <v>30</v>
      </c>
      <c r="J164" s="24">
        <v>5</v>
      </c>
      <c r="K164" s="25">
        <v>3</v>
      </c>
      <c r="L164" s="15">
        <f>IFERROR(VLOOKUP($D164&amp;$C164,生产方式定位!$A$2:$E$38,2,FALSE)+VLOOKUP($E164&amp;$C164,生产方式定位!$F$3:$J$38,2,FALSE),0)</f>
        <v>1000</v>
      </c>
      <c r="M164" s="2" t="s">
        <v>73</v>
      </c>
      <c r="N164" s="2">
        <v>5</v>
      </c>
      <c r="S164" s="15">
        <f>IFERROR(VLOOKUP($D164&amp;$C164,生产方式定位!$A$2:$E$38,3,FALSE)+VLOOKUP($E164&amp;$C164,生产方式定位!$F$3:$J$38,3,FALSE),0)</f>
        <v>5</v>
      </c>
      <c r="T164" s="2" t="s">
        <v>44</v>
      </c>
      <c r="U164" s="2">
        <v>1</v>
      </c>
      <c r="X164" s="15">
        <f>IFERROR(VLOOKUP($D164&amp;$C164,生产方式定位!$A$2:$E$38,5,FALSE)+VLOOKUP($E164&amp;$C164,生产方式定位!$F$3:$J$38,5,FALSE),"错误")</f>
        <v>1337</v>
      </c>
      <c r="Y164" s="26" t="str">
        <f t="shared" si="64"/>
        <v>,硫*13,运力*13,交易*8</v>
      </c>
      <c r="Z164" s="36" t="str">
        <f t="shared" si="65"/>
        <v>工程师*75</v>
      </c>
      <c r="AA164" s="36" t="str">
        <f t="shared" si="66"/>
        <v>炸药*22</v>
      </c>
      <c r="AB164" s="27" t="str">
        <f t="shared" si="67"/>
        <v>34%</v>
      </c>
      <c r="AC164" s="2">
        <f t="shared" si="68"/>
        <v>332</v>
      </c>
      <c r="AD164" s="37">
        <f t="shared" si="69"/>
        <v>2</v>
      </c>
      <c r="AE164" t="str">
        <f t="shared" si="70"/>
        <v/>
      </c>
      <c r="AF164" t="str">
        <f t="shared" si="71"/>
        <v>硫*13</v>
      </c>
      <c r="AG164" t="str">
        <f t="shared" si="72"/>
        <v>工程师*75</v>
      </c>
      <c r="AH164" t="str">
        <f t="shared" si="73"/>
        <v/>
      </c>
      <c r="AI164" t="str">
        <f t="shared" si="74"/>
        <v/>
      </c>
      <c r="AJ164" t="str">
        <f t="shared" si="75"/>
        <v>炸药*22</v>
      </c>
      <c r="AK164" t="str">
        <f t="shared" si="76"/>
        <v/>
      </c>
      <c r="AL164" t="str">
        <f>IFERROR(ROUND(L164*(G164/$AU164)/VLOOKUP(F164,商品!$A$4:$B$60,2,FALSE),0),"")</f>
        <v/>
      </c>
      <c r="AM164">
        <f>IFERROR(ROUND(L164*(I164/$AU164)/VLOOKUP(H164,商品!$A$4:$B$60,2,FALSE),0),"")</f>
        <v>13</v>
      </c>
      <c r="AN164">
        <f>IFERROR(ROUND(L164*(J164/$AU164)/VLOOKUP("运力",商品!$A$4:$B$60,2,FALSE),0),0)</f>
        <v>13</v>
      </c>
      <c r="AO164">
        <f>IFERROR(ROUND(L164*(K164/$AU164)/VLOOKUP("交易",商品!$A$4:$B$60,2,FALSE),0),0)</f>
        <v>8</v>
      </c>
      <c r="AP164">
        <f>IFERROR(ROUND(S164*(N164/$AV164)/VLOOKUP(M164,职业!$A$4:$G$16,4,FALSE),0),"")</f>
        <v>75</v>
      </c>
      <c r="AQ164" t="str">
        <f>IFERROR(ROUND(S164*(P164/$AV164)/VLOOKUP(O164,职业!$A$4:$G$16,4,FALSE),0),"")</f>
        <v/>
      </c>
      <c r="AR164" t="str">
        <f>IFERROR(ROUND(S164*(R164/$AV164)/VLOOKUP(Q164,职业!$A$4:$G$16,4,FALSE),0),"")</f>
        <v/>
      </c>
      <c r="AS164">
        <f>IFERROR(ROUND(X164*(U164/$AW164)/VLOOKUP(T164,商品!$A$4:$B$60,2,FALSE),0),"")</f>
        <v>22</v>
      </c>
      <c r="AT164" t="str">
        <f>IFERROR(ROUND(X164*(W164/$AW164)/VLOOKUP(V164,商品!$A$4:$B$60,2,FALSE),0),"")</f>
        <v/>
      </c>
      <c r="AU164">
        <f t="shared" si="77"/>
        <v>38</v>
      </c>
      <c r="AV164">
        <f t="shared" si="78"/>
        <v>5</v>
      </c>
      <c r="AW164">
        <f t="shared" si="79"/>
        <v>1</v>
      </c>
    </row>
    <row r="165" spans="1:49" ht="19.95" customHeight="1" x14ac:dyDescent="0.25">
      <c r="A165" s="15" t="s">
        <v>211</v>
      </c>
      <c r="C165" s="15">
        <v>3</v>
      </c>
      <c r="D165" s="23" t="s">
        <v>171</v>
      </c>
      <c r="E165" s="23" t="s">
        <v>193</v>
      </c>
      <c r="H165" s="2" t="s">
        <v>18</v>
      </c>
      <c r="I165" s="2">
        <v>30</v>
      </c>
      <c r="J165" s="24">
        <v>5</v>
      </c>
      <c r="K165" s="25">
        <v>3</v>
      </c>
      <c r="L165" s="15">
        <f>IFERROR(VLOOKUP($D165&amp;$C165,生产方式定位!$A$2:$E$38,2,FALSE)+VLOOKUP($E165&amp;$C165,生产方式定位!$F$3:$J$38,2,FALSE),0)</f>
        <v>1400</v>
      </c>
      <c r="M165" s="2" t="s">
        <v>73</v>
      </c>
      <c r="N165" s="2">
        <v>10</v>
      </c>
      <c r="S165" s="15">
        <f>IFERROR(VLOOKUP($D165&amp;$C165,生产方式定位!$A$2:$E$38,3,FALSE)+VLOOKUP($E165&amp;$C165,生产方式定位!$F$3:$J$38,3,FALSE),0)</f>
        <v>10</v>
      </c>
      <c r="T165" s="2" t="s">
        <v>44</v>
      </c>
      <c r="U165" s="2">
        <v>1</v>
      </c>
      <c r="X165" s="15">
        <f>IFERROR(VLOOKUP($D165&amp;$C165,生产方式定位!$A$2:$E$38,5,FALSE)+VLOOKUP($E165&amp;$C165,生产方式定位!$F$3:$J$38,5,FALSE),"错误")</f>
        <v>1874</v>
      </c>
      <c r="Y165" s="26" t="str">
        <f t="shared" si="64"/>
        <v>,硫*18,运力*18,交易*11</v>
      </c>
      <c r="Z165" s="36" t="str">
        <f t="shared" si="65"/>
        <v>工程师*151</v>
      </c>
      <c r="AA165" s="36" t="str">
        <f t="shared" si="66"/>
        <v>炸药*31</v>
      </c>
      <c r="AB165" s="27" t="str">
        <f t="shared" si="67"/>
        <v>34%</v>
      </c>
      <c r="AC165" s="2">
        <f t="shared" si="68"/>
        <v>464</v>
      </c>
      <c r="AD165" s="37">
        <f t="shared" si="69"/>
        <v>3</v>
      </c>
      <c r="AE165" t="str">
        <f t="shared" si="70"/>
        <v/>
      </c>
      <c r="AF165" t="str">
        <f t="shared" si="71"/>
        <v>硫*18</v>
      </c>
      <c r="AG165" t="str">
        <f t="shared" si="72"/>
        <v>工程师*151</v>
      </c>
      <c r="AH165" t="str">
        <f t="shared" si="73"/>
        <v/>
      </c>
      <c r="AI165" t="str">
        <f t="shared" si="74"/>
        <v/>
      </c>
      <c r="AJ165" t="str">
        <f t="shared" si="75"/>
        <v>炸药*31</v>
      </c>
      <c r="AK165" t="str">
        <f t="shared" si="76"/>
        <v/>
      </c>
      <c r="AL165" t="str">
        <f>IFERROR(ROUND(L165*(G165/$AU165)/VLOOKUP(F165,商品!$A$4:$B$60,2,FALSE),0),"")</f>
        <v/>
      </c>
      <c r="AM165">
        <f>IFERROR(ROUND(L165*(I165/$AU165)/VLOOKUP(H165,商品!$A$4:$B$60,2,FALSE),0),"")</f>
        <v>18</v>
      </c>
      <c r="AN165">
        <f>IFERROR(ROUND(L165*(J165/$AU165)/VLOOKUP("运力",商品!$A$4:$B$60,2,FALSE),0),0)</f>
        <v>18</v>
      </c>
      <c r="AO165">
        <f>IFERROR(ROUND(L165*(K165/$AU165)/VLOOKUP("交易",商品!$A$4:$B$60,2,FALSE),0),0)</f>
        <v>11</v>
      </c>
      <c r="AP165">
        <f>IFERROR(ROUND(S165*(N165/$AV165)/VLOOKUP(M165,职业!$A$4:$G$16,4,FALSE),0),"")</f>
        <v>151</v>
      </c>
      <c r="AQ165" t="str">
        <f>IFERROR(ROUND(S165*(P165/$AV165)/VLOOKUP(O165,职业!$A$4:$G$16,4,FALSE),0),"")</f>
        <v/>
      </c>
      <c r="AR165" t="str">
        <f>IFERROR(ROUND(S165*(R165/$AV165)/VLOOKUP(Q165,职业!$A$4:$G$16,4,FALSE),0),"")</f>
        <v/>
      </c>
      <c r="AS165">
        <f>IFERROR(ROUND(X165*(U165/$AW165)/VLOOKUP(T165,商品!$A$4:$B$60,2,FALSE),0),"")</f>
        <v>31</v>
      </c>
      <c r="AT165" t="str">
        <f>IFERROR(ROUND(X165*(W165/$AW165)/VLOOKUP(V165,商品!$A$4:$B$60,2,FALSE),0),"")</f>
        <v/>
      </c>
      <c r="AU165">
        <f t="shared" si="77"/>
        <v>38</v>
      </c>
      <c r="AV165">
        <f t="shared" si="78"/>
        <v>10</v>
      </c>
      <c r="AW165">
        <f t="shared" si="79"/>
        <v>1</v>
      </c>
    </row>
    <row r="166" spans="1:49" ht="19.95" customHeight="1" x14ac:dyDescent="0.25">
      <c r="A166" s="15" t="s">
        <v>211</v>
      </c>
      <c r="C166" s="15">
        <v>4</v>
      </c>
      <c r="D166" s="23" t="s">
        <v>171</v>
      </c>
      <c r="E166" s="23" t="s">
        <v>193</v>
      </c>
      <c r="H166" s="2" t="s">
        <v>18</v>
      </c>
      <c r="I166" s="2">
        <v>30</v>
      </c>
      <c r="J166" s="24">
        <v>5</v>
      </c>
      <c r="K166" s="25">
        <v>3</v>
      </c>
      <c r="L166" s="15">
        <f>IFERROR(VLOOKUP($D166&amp;$C166,生产方式定位!$A$2:$E$38,2,FALSE)+VLOOKUP($E166&amp;$C166,生产方式定位!$F$3:$J$38,2,FALSE),0)</f>
        <v>1800</v>
      </c>
      <c r="M166" s="2" t="s">
        <v>73</v>
      </c>
      <c r="N166" s="2">
        <v>15</v>
      </c>
      <c r="S166" s="15">
        <f>IFERROR(VLOOKUP($D166&amp;$C166,生产方式定位!$A$2:$E$38,3,FALSE)+VLOOKUP($E166&amp;$C166,生产方式定位!$F$3:$J$38,3,FALSE),0)</f>
        <v>15</v>
      </c>
      <c r="T166" s="2" t="s">
        <v>44</v>
      </c>
      <c r="U166" s="2">
        <v>1</v>
      </c>
      <c r="X166" s="15">
        <f>IFERROR(VLOOKUP($D166&amp;$C166,生产方式定位!$A$2:$E$38,5,FALSE)+VLOOKUP($E166&amp;$C166,生产方式定位!$F$3:$J$38,5,FALSE),"错误")</f>
        <v>2411</v>
      </c>
      <c r="Y166" s="26" t="str">
        <f t="shared" si="64"/>
        <v>,硫*24,运力*24,交易*14</v>
      </c>
      <c r="Z166" s="36" t="str">
        <f t="shared" si="65"/>
        <v>工程师*226</v>
      </c>
      <c r="AA166" s="36" t="str">
        <f t="shared" si="66"/>
        <v>炸药*40</v>
      </c>
      <c r="AB166" s="27" t="str">
        <f t="shared" si="67"/>
        <v>34%</v>
      </c>
      <c r="AC166" s="2">
        <f t="shared" si="68"/>
        <v>596</v>
      </c>
      <c r="AD166" s="37">
        <f t="shared" si="69"/>
        <v>4</v>
      </c>
      <c r="AE166" t="str">
        <f t="shared" si="70"/>
        <v/>
      </c>
      <c r="AF166" t="str">
        <f t="shared" si="71"/>
        <v>硫*24</v>
      </c>
      <c r="AG166" t="str">
        <f t="shared" si="72"/>
        <v>工程师*226</v>
      </c>
      <c r="AH166" t="str">
        <f t="shared" si="73"/>
        <v/>
      </c>
      <c r="AI166" t="str">
        <f t="shared" si="74"/>
        <v/>
      </c>
      <c r="AJ166" t="str">
        <f t="shared" si="75"/>
        <v>炸药*40</v>
      </c>
      <c r="AK166" t="str">
        <f t="shared" si="76"/>
        <v/>
      </c>
      <c r="AL166" t="str">
        <f>IFERROR(ROUND(L166*(G166/$AU166)/VLOOKUP(F166,商品!$A$4:$B$60,2,FALSE),0),"")</f>
        <v/>
      </c>
      <c r="AM166">
        <f>IFERROR(ROUND(L166*(I166/$AU166)/VLOOKUP(H166,商品!$A$4:$B$60,2,FALSE),0),"")</f>
        <v>24</v>
      </c>
      <c r="AN166">
        <f>IFERROR(ROUND(L166*(J166/$AU166)/VLOOKUP("运力",商品!$A$4:$B$60,2,FALSE),0),0)</f>
        <v>24</v>
      </c>
      <c r="AO166">
        <f>IFERROR(ROUND(L166*(K166/$AU166)/VLOOKUP("交易",商品!$A$4:$B$60,2,FALSE),0),0)</f>
        <v>14</v>
      </c>
      <c r="AP166">
        <f>IFERROR(ROUND(S166*(N166/$AV166)/VLOOKUP(M166,职业!$A$4:$G$16,4,FALSE),0),"")</f>
        <v>226</v>
      </c>
      <c r="AQ166" t="str">
        <f>IFERROR(ROUND(S166*(P166/$AV166)/VLOOKUP(O166,职业!$A$4:$G$16,4,FALSE),0),"")</f>
        <v/>
      </c>
      <c r="AR166" t="str">
        <f>IFERROR(ROUND(S166*(R166/$AV166)/VLOOKUP(Q166,职业!$A$4:$G$16,4,FALSE),0),"")</f>
        <v/>
      </c>
      <c r="AS166">
        <f>IFERROR(ROUND(X166*(U166/$AW166)/VLOOKUP(T166,商品!$A$4:$B$60,2,FALSE),0),"")</f>
        <v>40</v>
      </c>
      <c r="AT166" t="str">
        <f>IFERROR(ROUND(X166*(W166/$AW166)/VLOOKUP(V166,商品!$A$4:$B$60,2,FALSE),0),"")</f>
        <v/>
      </c>
      <c r="AU166">
        <f t="shared" si="77"/>
        <v>38</v>
      </c>
      <c r="AV166">
        <f t="shared" si="78"/>
        <v>15</v>
      </c>
      <c r="AW166">
        <f t="shared" si="79"/>
        <v>1</v>
      </c>
    </row>
    <row r="167" spans="1:49" ht="19.95" customHeight="1" x14ac:dyDescent="0.25">
      <c r="A167" s="15" t="s">
        <v>211</v>
      </c>
      <c r="C167" s="15">
        <v>5</v>
      </c>
      <c r="D167" s="23" t="s">
        <v>171</v>
      </c>
      <c r="E167" s="23" t="s">
        <v>193</v>
      </c>
      <c r="H167" s="2" t="s">
        <v>18</v>
      </c>
      <c r="I167" s="2">
        <v>30</v>
      </c>
      <c r="J167" s="24">
        <v>5</v>
      </c>
      <c r="K167" s="25">
        <v>3</v>
      </c>
      <c r="L167" s="15">
        <f>IFERROR(VLOOKUP($D167&amp;$C167,生产方式定位!$A$2:$E$38,2,FALSE)+VLOOKUP($E167&amp;$C167,生产方式定位!$F$3:$J$38,2,FALSE),0)</f>
        <v>2200</v>
      </c>
      <c r="M167" s="2" t="s">
        <v>73</v>
      </c>
      <c r="N167" s="2">
        <v>20</v>
      </c>
      <c r="S167" s="15">
        <f>IFERROR(VLOOKUP($D167&amp;$C167,生产方式定位!$A$2:$E$38,3,FALSE)+VLOOKUP($E167&amp;$C167,生产方式定位!$F$3:$J$38,3,FALSE),0)</f>
        <v>20</v>
      </c>
      <c r="T167" s="2" t="s">
        <v>44</v>
      </c>
      <c r="U167" s="2">
        <v>1</v>
      </c>
      <c r="X167" s="15">
        <f>IFERROR(VLOOKUP($D167&amp;$C167,生产方式定位!$A$2:$E$38,5,FALSE)+VLOOKUP($E167&amp;$C167,生产方式定位!$F$3:$J$38,5,FALSE),"错误")</f>
        <v>2948</v>
      </c>
      <c r="Y167" s="26" t="str">
        <f t="shared" si="64"/>
        <v>,硫*29,运力*29,交易*17</v>
      </c>
      <c r="Z167" s="36" t="str">
        <f t="shared" si="65"/>
        <v>工程师*302</v>
      </c>
      <c r="AA167" s="36" t="str">
        <f t="shared" si="66"/>
        <v>炸药*49</v>
      </c>
      <c r="AB167" s="27" t="str">
        <f t="shared" si="67"/>
        <v>34%</v>
      </c>
      <c r="AC167" s="2">
        <f t="shared" si="68"/>
        <v>728</v>
      </c>
      <c r="AD167" s="37">
        <f t="shared" si="69"/>
        <v>5</v>
      </c>
      <c r="AE167" t="str">
        <f t="shared" si="70"/>
        <v/>
      </c>
      <c r="AF167" t="str">
        <f t="shared" si="71"/>
        <v>硫*29</v>
      </c>
      <c r="AG167" t="str">
        <f t="shared" si="72"/>
        <v>工程师*302</v>
      </c>
      <c r="AH167" t="str">
        <f t="shared" si="73"/>
        <v/>
      </c>
      <c r="AI167" t="str">
        <f t="shared" si="74"/>
        <v/>
      </c>
      <c r="AJ167" t="str">
        <f t="shared" si="75"/>
        <v>炸药*49</v>
      </c>
      <c r="AK167" t="str">
        <f t="shared" si="76"/>
        <v/>
      </c>
      <c r="AL167" t="str">
        <f>IFERROR(ROUND(L167*(G167/$AU167)/VLOOKUP(F167,商品!$A$4:$B$60,2,FALSE),0),"")</f>
        <v/>
      </c>
      <c r="AM167">
        <f>IFERROR(ROUND(L167*(I167/$AU167)/VLOOKUP(H167,商品!$A$4:$B$60,2,FALSE),0),"")</f>
        <v>29</v>
      </c>
      <c r="AN167">
        <f>IFERROR(ROUND(L167*(J167/$AU167)/VLOOKUP("运力",商品!$A$4:$B$60,2,FALSE),0),0)</f>
        <v>29</v>
      </c>
      <c r="AO167">
        <f>IFERROR(ROUND(L167*(K167/$AU167)/VLOOKUP("交易",商品!$A$4:$B$60,2,FALSE),0),0)</f>
        <v>17</v>
      </c>
      <c r="AP167">
        <f>IFERROR(ROUND(S167*(N167/$AV167)/VLOOKUP(M167,职业!$A$4:$G$16,4,FALSE),0),"")</f>
        <v>302</v>
      </c>
      <c r="AQ167" t="str">
        <f>IFERROR(ROUND(S167*(P167/$AV167)/VLOOKUP(O167,职业!$A$4:$G$16,4,FALSE),0),"")</f>
        <v/>
      </c>
      <c r="AR167" t="str">
        <f>IFERROR(ROUND(S167*(R167/$AV167)/VLOOKUP(Q167,职业!$A$4:$G$16,4,FALSE),0),"")</f>
        <v/>
      </c>
      <c r="AS167">
        <f>IFERROR(ROUND(X167*(U167/$AW167)/VLOOKUP(T167,商品!$A$4:$B$60,2,FALSE),0),"")</f>
        <v>49</v>
      </c>
      <c r="AT167" t="str">
        <f>IFERROR(ROUND(X167*(W167/$AW167)/VLOOKUP(V167,商品!$A$4:$B$60,2,FALSE),0),"")</f>
        <v/>
      </c>
      <c r="AU167">
        <f t="shared" si="77"/>
        <v>38</v>
      </c>
      <c r="AV167">
        <f t="shared" si="78"/>
        <v>20</v>
      </c>
      <c r="AW167">
        <f t="shared" si="79"/>
        <v>1</v>
      </c>
    </row>
    <row r="168" spans="1:49" ht="19.95" customHeight="1" x14ac:dyDescent="0.25">
      <c r="A168" s="16" t="s">
        <v>511</v>
      </c>
      <c r="C168" s="16">
        <v>1</v>
      </c>
      <c r="D168" s="23" t="s">
        <v>174</v>
      </c>
      <c r="E168" s="23" t="s">
        <v>175</v>
      </c>
      <c r="L168" s="16">
        <f>IFERROR(VLOOKUP($D168&amp;$C168,生产方式定位!$A$2:$E$38,2,FALSE)+VLOOKUP($E168&amp;$C168,生产方式定位!$F$3:$J$38,2,FALSE),0)</f>
        <v>0</v>
      </c>
      <c r="S168" s="16">
        <f>IFERROR(VLOOKUP($D168&amp;$C168,生产方式定位!$A$2:$E$38,3,FALSE)+VLOOKUP($E168&amp;$C168,生产方式定位!$F$3:$J$38,3,FALSE),0)</f>
        <v>0</v>
      </c>
      <c r="X168" s="16">
        <f>IFERROR(VLOOKUP($D168&amp;$C168,生产方式定位!$A$2:$E$38,5,FALSE)+VLOOKUP($E168&amp;$C168,生产方式定位!$F$3:$J$38,5,FALSE),"错误")</f>
        <v>0</v>
      </c>
      <c r="Y168" s="26" t="str">
        <f t="shared" si="64"/>
        <v/>
      </c>
      <c r="Z168" s="36" t="str">
        <f t="shared" si="65"/>
        <v/>
      </c>
      <c r="AA168" s="36" t="str">
        <f t="shared" si="66"/>
        <v/>
      </c>
      <c r="AB168" s="27" t="str">
        <f t="shared" si="67"/>
        <v/>
      </c>
      <c r="AC168" s="2" t="str">
        <f t="shared" si="68"/>
        <v/>
      </c>
      <c r="AD168" s="38">
        <f t="shared" si="69"/>
        <v>1</v>
      </c>
      <c r="AE168" t="str">
        <f t="shared" si="70"/>
        <v/>
      </c>
      <c r="AF168" t="str">
        <f t="shared" si="71"/>
        <v/>
      </c>
      <c r="AG168" t="str">
        <f t="shared" si="72"/>
        <v/>
      </c>
      <c r="AH168" t="str">
        <f t="shared" si="73"/>
        <v/>
      </c>
      <c r="AI168" t="str">
        <f t="shared" si="74"/>
        <v/>
      </c>
      <c r="AJ168" t="str">
        <f t="shared" si="75"/>
        <v/>
      </c>
      <c r="AK168" t="str">
        <f t="shared" si="76"/>
        <v/>
      </c>
      <c r="AL168" t="str">
        <f>IFERROR(ROUND(L168*(G168/$AU168)/VLOOKUP(F168,商品!$A$4:$B$60,2,FALSE),0),"")</f>
        <v/>
      </c>
      <c r="AM168" t="str">
        <f>IFERROR(ROUND(L168*(I168/$AU168)/VLOOKUP(H168,商品!$A$4:$B$60,2,FALSE),0),"")</f>
        <v/>
      </c>
      <c r="AN168">
        <f>IFERROR(ROUND(L168*(J168/$AU168)/VLOOKUP("运力",商品!$A$4:$B$60,2,FALSE),0),0)</f>
        <v>0</v>
      </c>
      <c r="AO168">
        <f>IFERROR(ROUND(L168*(K168/$AU168)/VLOOKUP("交易",商品!$A$4:$B$60,2,FALSE),0),0)</f>
        <v>0</v>
      </c>
      <c r="AP168" t="str">
        <f>IFERROR(ROUND(S168*(N168/$AV168)/VLOOKUP(M168,职业!$A$4:$G$16,4,FALSE),0),"")</f>
        <v/>
      </c>
      <c r="AQ168" t="str">
        <f>IFERROR(ROUND(S168*(P168/$AV168)/VLOOKUP(O168,职业!$A$4:$G$16,4,FALSE),0),"")</f>
        <v/>
      </c>
      <c r="AR168" t="str">
        <f>IFERROR(ROUND(S168*(R168/$AV168)/VLOOKUP(Q168,职业!$A$4:$G$16,4,FALSE),0),"")</f>
        <v/>
      </c>
      <c r="AS168" t="str">
        <f>IFERROR(ROUND(X168*(U168/$AW168)/VLOOKUP(T168,商品!$A$4:$B$60,2,FALSE),0),"")</f>
        <v/>
      </c>
      <c r="AT168" t="str">
        <f>IFERROR(ROUND(X168*(W168/$AW168)/VLOOKUP(V168,商品!$A$4:$B$60,2,FALSE),0),"")</f>
        <v/>
      </c>
      <c r="AU168">
        <f t="shared" si="77"/>
        <v>0</v>
      </c>
      <c r="AV168">
        <f t="shared" si="78"/>
        <v>0</v>
      </c>
      <c r="AW168">
        <f t="shared" si="79"/>
        <v>0</v>
      </c>
    </row>
    <row r="169" spans="1:49" ht="19.95" customHeight="1" x14ac:dyDescent="0.25">
      <c r="A169" s="16" t="s">
        <v>511</v>
      </c>
      <c r="C169" s="16">
        <v>2</v>
      </c>
      <c r="D169" s="23" t="s">
        <v>174</v>
      </c>
      <c r="E169" s="23" t="s">
        <v>175</v>
      </c>
      <c r="F169" s="2" t="s">
        <v>41</v>
      </c>
      <c r="G169" s="2">
        <v>10</v>
      </c>
      <c r="L169" s="16">
        <f>IFERROR(VLOOKUP($D169&amp;$C169,生产方式定位!$A$2:$E$38,2,FALSE)+VLOOKUP($E169&amp;$C169,生产方式定位!$F$3:$J$38,2,FALSE),0)</f>
        <v>50</v>
      </c>
      <c r="M169" s="2" t="s">
        <v>80</v>
      </c>
      <c r="N169" s="2">
        <v>-20</v>
      </c>
      <c r="O169" s="2" t="s">
        <v>73</v>
      </c>
      <c r="P169" s="2">
        <v>5</v>
      </c>
      <c r="S169" s="16">
        <f>IFERROR(VLOOKUP($D169&amp;$C169,生产方式定位!$A$2:$E$38,3,FALSE)+VLOOKUP($E169&amp;$C169,生产方式定位!$F$3:$J$38,3,FALSE),0)</f>
        <v>10</v>
      </c>
      <c r="T169" s="2" t="s">
        <v>38</v>
      </c>
      <c r="U169" s="2">
        <v>1</v>
      </c>
      <c r="V169" s="2" t="s">
        <v>44</v>
      </c>
      <c r="W169" s="2">
        <v>2</v>
      </c>
      <c r="X169" s="16">
        <f>IFERROR(VLOOKUP($D169&amp;$C169,生产方式定位!$A$2:$E$38,5,FALSE)+VLOOKUP($E169&amp;$C169,生产方式定位!$F$3:$J$38,5,FALSE),"错误")</f>
        <v>0</v>
      </c>
      <c r="Y169" s="26" t="str">
        <f t="shared" si="64"/>
        <v>工具*1</v>
      </c>
      <c r="Z169" s="36" t="str">
        <f t="shared" si="65"/>
        <v>劳工*-362,工程师*30</v>
      </c>
      <c r="AA169" s="36" t="str">
        <f t="shared" si="66"/>
        <v>肥料*0,炸药*0</v>
      </c>
      <c r="AB169" s="27" t="str">
        <f t="shared" si="67"/>
        <v>-100%</v>
      </c>
      <c r="AC169" s="2">
        <f t="shared" si="68"/>
        <v>-60</v>
      </c>
      <c r="AD169" s="38">
        <f t="shared" si="69"/>
        <v>2</v>
      </c>
      <c r="AE169" t="str">
        <f t="shared" si="70"/>
        <v>工具*1</v>
      </c>
      <c r="AF169" t="str">
        <f t="shared" si="71"/>
        <v/>
      </c>
      <c r="AG169" t="str">
        <f t="shared" si="72"/>
        <v>劳工*-362</v>
      </c>
      <c r="AH169" t="str">
        <f t="shared" si="73"/>
        <v>工程师*30</v>
      </c>
      <c r="AI169" t="str">
        <f t="shared" si="74"/>
        <v/>
      </c>
      <c r="AJ169" t="str">
        <f t="shared" si="75"/>
        <v>肥料*0</v>
      </c>
      <c r="AK169" t="str">
        <f t="shared" si="76"/>
        <v>炸药*0</v>
      </c>
      <c r="AL169">
        <f>IFERROR(ROUND(L169*(G169/$AU169)/VLOOKUP(F169,商品!$A$4:$B$60,2,FALSE),0),"")</f>
        <v>1</v>
      </c>
      <c r="AM169" t="str">
        <f>IFERROR(ROUND(L169*(I169/$AU169)/VLOOKUP(H169,商品!$A$4:$B$60,2,FALSE),0),"")</f>
        <v/>
      </c>
      <c r="AN169">
        <f>IFERROR(ROUND(L169*(J169/$AU169)/VLOOKUP("运力",商品!$A$4:$B$60,2,FALSE),0),0)</f>
        <v>0</v>
      </c>
      <c r="AO169">
        <f>IFERROR(ROUND(L169*(K169/$AU169)/VLOOKUP("交易",商品!$A$4:$B$60,2,FALSE),0),0)</f>
        <v>0</v>
      </c>
      <c r="AP169">
        <f>IFERROR(ROUND(S169*(N169/$AV169)/VLOOKUP(M169,职业!$A$4:$G$16,4,FALSE),0),"")</f>
        <v>-362</v>
      </c>
      <c r="AQ169">
        <f>IFERROR(ROUND(S169*(P169/$AV169)/VLOOKUP(O169,职业!$A$4:$G$16,4,FALSE),0),"")</f>
        <v>30</v>
      </c>
      <c r="AR169" t="str">
        <f>IFERROR(ROUND(S169*(R169/$AV169)/VLOOKUP(Q169,职业!$A$4:$G$16,4,FALSE),0),"")</f>
        <v/>
      </c>
      <c r="AS169">
        <f>IFERROR(ROUND(X169*(U169/$AW169)/VLOOKUP(T169,商品!$A$4:$B$60,2,FALSE),0),"")</f>
        <v>0</v>
      </c>
      <c r="AT169">
        <f>IFERROR(ROUND(X169*(W169/$AW169)/VLOOKUP(V169,商品!$A$4:$B$60,2,FALSE),0),"")</f>
        <v>0</v>
      </c>
      <c r="AU169">
        <f t="shared" si="77"/>
        <v>10</v>
      </c>
      <c r="AV169">
        <f t="shared" si="78"/>
        <v>25</v>
      </c>
      <c r="AW169">
        <f t="shared" si="79"/>
        <v>3</v>
      </c>
    </row>
    <row r="170" spans="1:49" ht="19.95" customHeight="1" x14ac:dyDescent="0.25">
      <c r="A170" s="16" t="s">
        <v>511</v>
      </c>
      <c r="C170" s="16">
        <v>3</v>
      </c>
      <c r="D170" s="23" t="s">
        <v>174</v>
      </c>
      <c r="E170" s="23" t="s">
        <v>175</v>
      </c>
      <c r="F170" s="2" t="s">
        <v>41</v>
      </c>
      <c r="G170" s="2">
        <v>10</v>
      </c>
      <c r="L170" s="16">
        <f>IFERROR(VLOOKUP($D170&amp;$C170,生产方式定位!$A$2:$E$38,2,FALSE)+VLOOKUP($E170&amp;$C170,生产方式定位!$F$3:$J$38,2,FALSE),0)</f>
        <v>100</v>
      </c>
      <c r="M170" s="2" t="s">
        <v>80</v>
      </c>
      <c r="N170" s="2">
        <v>-20</v>
      </c>
      <c r="O170" s="2" t="s">
        <v>73</v>
      </c>
      <c r="P170" s="2">
        <v>7</v>
      </c>
      <c r="S170" s="16">
        <f>IFERROR(VLOOKUP($D170&amp;$C170,生产方式定位!$A$2:$E$38,3,FALSE)+VLOOKUP($E170&amp;$C170,生产方式定位!$F$3:$J$38,3,FALSE),0)</f>
        <v>20</v>
      </c>
      <c r="T170" s="2" t="s">
        <v>38</v>
      </c>
      <c r="U170" s="2">
        <v>1</v>
      </c>
      <c r="V170" s="2" t="s">
        <v>44</v>
      </c>
      <c r="W170" s="2">
        <v>2</v>
      </c>
      <c r="X170" s="16">
        <f>IFERROR(VLOOKUP($D170&amp;$C170,生产方式定位!$A$2:$E$38,5,FALSE)+VLOOKUP($E170&amp;$C170,生产方式定位!$F$3:$J$38,5,FALSE),"错误")</f>
        <v>0</v>
      </c>
      <c r="Y170" s="26" t="str">
        <f t="shared" si="64"/>
        <v>工具*3</v>
      </c>
      <c r="Z170" s="36" t="str">
        <f t="shared" si="65"/>
        <v>劳工*-670,工程师*78</v>
      </c>
      <c r="AA170" s="36" t="str">
        <f t="shared" si="66"/>
        <v>肥料*0,炸药*0</v>
      </c>
      <c r="AB170" s="27" t="str">
        <f t="shared" si="67"/>
        <v>-100%</v>
      </c>
      <c r="AC170" s="2">
        <f t="shared" si="68"/>
        <v>-120</v>
      </c>
      <c r="AD170" s="38">
        <f t="shared" si="69"/>
        <v>3</v>
      </c>
      <c r="AE170" t="str">
        <f t="shared" si="70"/>
        <v>工具*3</v>
      </c>
      <c r="AF170" t="str">
        <f t="shared" si="71"/>
        <v/>
      </c>
      <c r="AG170" t="str">
        <f t="shared" si="72"/>
        <v>劳工*-670</v>
      </c>
      <c r="AH170" t="str">
        <f t="shared" si="73"/>
        <v>工程师*78</v>
      </c>
      <c r="AI170" t="str">
        <f t="shared" si="74"/>
        <v/>
      </c>
      <c r="AJ170" t="str">
        <f t="shared" si="75"/>
        <v>肥料*0</v>
      </c>
      <c r="AK170" t="str">
        <f t="shared" si="76"/>
        <v>炸药*0</v>
      </c>
      <c r="AL170">
        <f>IFERROR(ROUND(L170*(G170/$AU170)/VLOOKUP(F170,商品!$A$4:$B$60,2,FALSE),0),"")</f>
        <v>3</v>
      </c>
      <c r="AM170" t="str">
        <f>IFERROR(ROUND(L170*(I170/$AU170)/VLOOKUP(H170,商品!$A$4:$B$60,2,FALSE),0),"")</f>
        <v/>
      </c>
      <c r="AN170">
        <f>IFERROR(ROUND(L170*(J170/$AU170)/VLOOKUP("运力",商品!$A$4:$B$60,2,FALSE),0),0)</f>
        <v>0</v>
      </c>
      <c r="AO170">
        <f>IFERROR(ROUND(L170*(K170/$AU170)/VLOOKUP("交易",商品!$A$4:$B$60,2,FALSE),0),0)</f>
        <v>0</v>
      </c>
      <c r="AP170">
        <f>IFERROR(ROUND(S170*(N170/$AV170)/VLOOKUP(M170,职业!$A$4:$G$16,4,FALSE),0),"")</f>
        <v>-670</v>
      </c>
      <c r="AQ170">
        <f>IFERROR(ROUND(S170*(P170/$AV170)/VLOOKUP(O170,职业!$A$4:$G$16,4,FALSE),0),"")</f>
        <v>78</v>
      </c>
      <c r="AR170" t="str">
        <f>IFERROR(ROUND(S170*(R170/$AV170)/VLOOKUP(Q170,职业!$A$4:$G$16,4,FALSE),0),"")</f>
        <v/>
      </c>
      <c r="AS170">
        <f>IFERROR(ROUND(X170*(U170/$AW170)/VLOOKUP(T170,商品!$A$4:$B$60,2,FALSE),0),"")</f>
        <v>0</v>
      </c>
      <c r="AT170">
        <f>IFERROR(ROUND(X170*(W170/$AW170)/VLOOKUP(V170,商品!$A$4:$B$60,2,FALSE),0),"")</f>
        <v>0</v>
      </c>
      <c r="AU170">
        <f t="shared" si="77"/>
        <v>10</v>
      </c>
      <c r="AV170">
        <f t="shared" si="78"/>
        <v>27</v>
      </c>
      <c r="AW170">
        <f t="shared" si="79"/>
        <v>3</v>
      </c>
    </row>
    <row r="171" spans="1:49" ht="19.95" customHeight="1" x14ac:dyDescent="0.25">
      <c r="A171" s="16" t="s">
        <v>511</v>
      </c>
      <c r="C171" s="16">
        <v>4</v>
      </c>
      <c r="D171" s="23" t="s">
        <v>174</v>
      </c>
      <c r="E171" s="23" t="s">
        <v>175</v>
      </c>
      <c r="F171" s="2" t="s">
        <v>45</v>
      </c>
      <c r="G171" s="2">
        <v>5</v>
      </c>
      <c r="H171" s="2" t="s">
        <v>19</v>
      </c>
      <c r="I171" s="2">
        <v>10</v>
      </c>
      <c r="L171" s="16">
        <f>IFERROR(VLOOKUP($D171&amp;$C171,生产方式定位!$A$2:$E$38,2,FALSE)+VLOOKUP($E171&amp;$C171,生产方式定位!$F$3:$J$38,2,FALSE),0)</f>
        <v>150</v>
      </c>
      <c r="M171" s="2" t="s">
        <v>80</v>
      </c>
      <c r="N171" s="2">
        <v>-20</v>
      </c>
      <c r="O171" s="2" t="s">
        <v>73</v>
      </c>
      <c r="P171" s="2">
        <v>9</v>
      </c>
      <c r="S171" s="16">
        <f>IFERROR(VLOOKUP($D171&amp;$C171,生产方式定位!$A$2:$E$38,3,FALSE)+VLOOKUP($E171&amp;$C171,生产方式定位!$F$3:$J$38,3,FALSE),0)</f>
        <v>30</v>
      </c>
      <c r="T171" s="2" t="s">
        <v>38</v>
      </c>
      <c r="U171" s="2">
        <v>1</v>
      </c>
      <c r="V171" s="2" t="s">
        <v>44</v>
      </c>
      <c r="W171" s="2">
        <v>2</v>
      </c>
      <c r="X171" s="16">
        <f>IFERROR(VLOOKUP($D171&amp;$C171,生产方式定位!$A$2:$E$38,5,FALSE)+VLOOKUP($E171&amp;$C171,生产方式定位!$F$3:$J$38,5,FALSE),"错误")</f>
        <v>0</v>
      </c>
      <c r="Y171" s="26" t="str">
        <f t="shared" si="64"/>
        <v>科学引擎*1,煤*3</v>
      </c>
      <c r="Z171" s="36" t="str">
        <f t="shared" si="65"/>
        <v>劳工*-936,工程师*140</v>
      </c>
      <c r="AA171" s="36" t="str">
        <f t="shared" si="66"/>
        <v>肥料*0,炸药*0</v>
      </c>
      <c r="AB171" s="27" t="str">
        <f t="shared" si="67"/>
        <v>-100%</v>
      </c>
      <c r="AC171" s="2">
        <f t="shared" si="68"/>
        <v>-180</v>
      </c>
      <c r="AD171" s="38">
        <f t="shared" si="69"/>
        <v>4</v>
      </c>
      <c r="AE171" t="str">
        <f t="shared" si="70"/>
        <v>科学引擎*1</v>
      </c>
      <c r="AF171" t="str">
        <f t="shared" si="71"/>
        <v>煤*3</v>
      </c>
      <c r="AG171" t="str">
        <f t="shared" si="72"/>
        <v>劳工*-936</v>
      </c>
      <c r="AH171" t="str">
        <f t="shared" si="73"/>
        <v>工程师*140</v>
      </c>
      <c r="AI171" t="str">
        <f t="shared" si="74"/>
        <v/>
      </c>
      <c r="AJ171" t="str">
        <f t="shared" si="75"/>
        <v>肥料*0</v>
      </c>
      <c r="AK171" t="str">
        <f t="shared" si="76"/>
        <v>炸药*0</v>
      </c>
      <c r="AL171">
        <f>IFERROR(ROUND(L171*(G171/$AU171)/VLOOKUP(F171,商品!$A$4:$B$60,2,FALSE),0),"")</f>
        <v>1</v>
      </c>
      <c r="AM171">
        <f>IFERROR(ROUND(L171*(I171/$AU171)/VLOOKUP(H171,商品!$A$4:$B$60,2,FALSE),0),"")</f>
        <v>3</v>
      </c>
      <c r="AN171">
        <f>IFERROR(ROUND(L171*(J171/$AU171)/VLOOKUP("运力",商品!$A$4:$B$60,2,FALSE),0),0)</f>
        <v>0</v>
      </c>
      <c r="AO171">
        <f>IFERROR(ROUND(L171*(K171/$AU171)/VLOOKUP("交易",商品!$A$4:$B$60,2,FALSE),0),0)</f>
        <v>0</v>
      </c>
      <c r="AP171">
        <f>IFERROR(ROUND(S171*(N171/$AV171)/VLOOKUP(M171,职业!$A$4:$G$16,4,FALSE),0),"")</f>
        <v>-936</v>
      </c>
      <c r="AQ171">
        <f>IFERROR(ROUND(S171*(P171/$AV171)/VLOOKUP(O171,职业!$A$4:$G$16,4,FALSE),0),"")</f>
        <v>140</v>
      </c>
      <c r="AR171" t="str">
        <f>IFERROR(ROUND(S171*(R171/$AV171)/VLOOKUP(Q171,职业!$A$4:$G$16,4,FALSE),0),"")</f>
        <v/>
      </c>
      <c r="AS171">
        <f>IFERROR(ROUND(X171*(U171/$AW171)/VLOOKUP(T171,商品!$A$4:$B$60,2,FALSE),0),"")</f>
        <v>0</v>
      </c>
      <c r="AT171">
        <f>IFERROR(ROUND(X171*(W171/$AW171)/VLOOKUP(V171,商品!$A$4:$B$60,2,FALSE),0),"")</f>
        <v>0</v>
      </c>
      <c r="AU171">
        <f t="shared" si="77"/>
        <v>15</v>
      </c>
      <c r="AV171">
        <f t="shared" si="78"/>
        <v>29</v>
      </c>
      <c r="AW171">
        <f t="shared" si="79"/>
        <v>3</v>
      </c>
    </row>
    <row r="172" spans="1:49" ht="19.95" customHeight="1" x14ac:dyDescent="0.25">
      <c r="A172" s="16" t="s">
        <v>511</v>
      </c>
      <c r="C172" s="16">
        <v>5</v>
      </c>
      <c r="D172" s="23" t="s">
        <v>174</v>
      </c>
      <c r="E172" s="23" t="s">
        <v>175</v>
      </c>
      <c r="F172" s="2" t="s">
        <v>46</v>
      </c>
      <c r="G172" s="2">
        <v>5</v>
      </c>
      <c r="H172" s="2" t="s">
        <v>19</v>
      </c>
      <c r="I172" s="2">
        <v>10</v>
      </c>
      <c r="L172" s="16">
        <f>IFERROR(VLOOKUP($D172&amp;$C172,生产方式定位!$A$2:$E$38,2,FALSE)+VLOOKUP($E172&amp;$C172,生产方式定位!$F$3:$J$38,2,FALSE),0)</f>
        <v>200</v>
      </c>
      <c r="M172" s="2" t="s">
        <v>80</v>
      </c>
      <c r="N172" s="2">
        <v>-20</v>
      </c>
      <c r="O172" s="2" t="s">
        <v>73</v>
      </c>
      <c r="P172" s="2">
        <v>11</v>
      </c>
      <c r="S172" s="16">
        <f>IFERROR(VLOOKUP($D172&amp;$C172,生产方式定位!$A$2:$E$38,3,FALSE)+VLOOKUP($E172&amp;$C172,生产方式定位!$F$3:$J$38,3,FALSE),0)</f>
        <v>40</v>
      </c>
      <c r="T172" s="2" t="s">
        <v>38</v>
      </c>
      <c r="U172" s="2">
        <v>1</v>
      </c>
      <c r="V172" s="2" t="s">
        <v>44</v>
      </c>
      <c r="W172" s="2">
        <v>2</v>
      </c>
      <c r="X172" s="16">
        <f>IFERROR(VLOOKUP($D172&amp;$C172,生产方式定位!$A$2:$E$38,5,FALSE)+VLOOKUP($E172&amp;$C172,生产方式定位!$F$3:$J$38,5,FALSE),"错误")</f>
        <v>0</v>
      </c>
      <c r="Y172" s="26" t="str">
        <f t="shared" si="64"/>
        <v>魔导引擎*1,煤*4</v>
      </c>
      <c r="Z172" s="36" t="str">
        <f t="shared" si="65"/>
        <v>劳工*-1168,工程师*214</v>
      </c>
      <c r="AA172" s="36" t="str">
        <f t="shared" si="66"/>
        <v>肥料*0,炸药*0</v>
      </c>
      <c r="AB172" s="27" t="str">
        <f t="shared" si="67"/>
        <v>-100%</v>
      </c>
      <c r="AC172" s="2">
        <f t="shared" si="68"/>
        <v>-240</v>
      </c>
      <c r="AD172" s="38">
        <f t="shared" si="69"/>
        <v>5</v>
      </c>
      <c r="AE172" t="str">
        <f t="shared" si="70"/>
        <v>魔导引擎*1</v>
      </c>
      <c r="AF172" t="str">
        <f t="shared" si="71"/>
        <v>煤*4</v>
      </c>
      <c r="AG172" t="str">
        <f t="shared" si="72"/>
        <v>劳工*-1168</v>
      </c>
      <c r="AH172" t="str">
        <f t="shared" si="73"/>
        <v>工程师*214</v>
      </c>
      <c r="AI172" t="str">
        <f t="shared" si="74"/>
        <v/>
      </c>
      <c r="AJ172" t="str">
        <f t="shared" si="75"/>
        <v>肥料*0</v>
      </c>
      <c r="AK172" t="str">
        <f t="shared" si="76"/>
        <v>炸药*0</v>
      </c>
      <c r="AL172">
        <f>IFERROR(ROUND(L172*(G172/$AU172)/VLOOKUP(F172,商品!$A$4:$B$60,2,FALSE),0),"")</f>
        <v>1</v>
      </c>
      <c r="AM172">
        <f>IFERROR(ROUND(L172*(I172/$AU172)/VLOOKUP(H172,商品!$A$4:$B$60,2,FALSE),0),"")</f>
        <v>4</v>
      </c>
      <c r="AN172">
        <f>IFERROR(ROUND(L172*(J172/$AU172)/VLOOKUP("运力",商品!$A$4:$B$60,2,FALSE),0),0)</f>
        <v>0</v>
      </c>
      <c r="AO172">
        <f>IFERROR(ROUND(L172*(K172/$AU172)/VLOOKUP("交易",商品!$A$4:$B$60,2,FALSE),0),0)</f>
        <v>0</v>
      </c>
      <c r="AP172">
        <f>IFERROR(ROUND(S172*(N172/$AV172)/VLOOKUP(M172,职业!$A$4:$G$16,4,FALSE),0),"")</f>
        <v>-1168</v>
      </c>
      <c r="AQ172">
        <f>IFERROR(ROUND(S172*(P172/$AV172)/VLOOKUP(O172,职业!$A$4:$G$16,4,FALSE),0),"")</f>
        <v>214</v>
      </c>
      <c r="AR172" t="str">
        <f>IFERROR(ROUND(S172*(R172/$AV172)/VLOOKUP(Q172,职业!$A$4:$G$16,4,FALSE),0),"")</f>
        <v/>
      </c>
      <c r="AS172">
        <f>IFERROR(ROUND(X172*(U172/$AW172)/VLOOKUP(T172,商品!$A$4:$B$60,2,FALSE),0),"")</f>
        <v>0</v>
      </c>
      <c r="AT172">
        <f>IFERROR(ROUND(X172*(W172/$AW172)/VLOOKUP(V172,商品!$A$4:$B$60,2,FALSE),0),"")</f>
        <v>0</v>
      </c>
      <c r="AU172">
        <f t="shared" si="77"/>
        <v>15</v>
      </c>
      <c r="AV172">
        <f t="shared" si="78"/>
        <v>31</v>
      </c>
      <c r="AW172">
        <f t="shared" si="79"/>
        <v>3</v>
      </c>
    </row>
    <row r="173" spans="1:49" ht="19.95" customHeight="1" x14ac:dyDescent="0.25">
      <c r="A173" s="15" t="s">
        <v>511</v>
      </c>
      <c r="C173" s="15">
        <v>1</v>
      </c>
      <c r="D173" s="23" t="s">
        <v>174</v>
      </c>
      <c r="E173" s="23" t="s">
        <v>177</v>
      </c>
      <c r="L173" s="15">
        <f>IFERROR(VLOOKUP($D173&amp;$C173,生产方式定位!$A$2:$E$38,2,FALSE)+VLOOKUP($E173&amp;$C173,生产方式定位!$F$3:$J$38,2,FALSE),0)</f>
        <v>0</v>
      </c>
      <c r="S173" s="15">
        <f>IFERROR(VLOOKUP($D173&amp;$C173,生产方式定位!$A$2:$E$38,3,FALSE)+VLOOKUP($E173&amp;$C173,生产方式定位!$F$3:$J$38,3,FALSE),0)</f>
        <v>0</v>
      </c>
      <c r="X173" s="15">
        <f>IFERROR(VLOOKUP($D173&amp;$C173,生产方式定位!$A$2:$E$38,5,FALSE)+VLOOKUP($E173&amp;$C173,生产方式定位!$F$3:$J$38,5,FALSE),"错误")</f>
        <v>0</v>
      </c>
      <c r="Y173" s="26" t="str">
        <f t="shared" si="64"/>
        <v/>
      </c>
      <c r="Z173" s="36" t="str">
        <f t="shared" si="65"/>
        <v/>
      </c>
      <c r="AA173" s="36" t="str">
        <f t="shared" si="66"/>
        <v/>
      </c>
      <c r="AB173" s="27" t="str">
        <f t="shared" si="67"/>
        <v/>
      </c>
      <c r="AC173" s="2" t="str">
        <f t="shared" si="68"/>
        <v/>
      </c>
      <c r="AD173" s="37">
        <f t="shared" si="69"/>
        <v>1</v>
      </c>
      <c r="AE173" t="str">
        <f t="shared" si="70"/>
        <v/>
      </c>
      <c r="AF173" t="str">
        <f t="shared" si="71"/>
        <v/>
      </c>
      <c r="AG173" t="str">
        <f t="shared" si="72"/>
        <v/>
      </c>
      <c r="AH173" t="str">
        <f t="shared" si="73"/>
        <v/>
      </c>
      <c r="AI173" t="str">
        <f t="shared" si="74"/>
        <v/>
      </c>
      <c r="AJ173" t="str">
        <f t="shared" si="75"/>
        <v/>
      </c>
      <c r="AK173" t="str">
        <f t="shared" si="76"/>
        <v/>
      </c>
      <c r="AL173" t="str">
        <f>IFERROR(ROUND(L173*(G173/$AU173)/VLOOKUP(F173,商品!$A$4:$B$60,2,FALSE),0),"")</f>
        <v/>
      </c>
      <c r="AM173" t="str">
        <f>IFERROR(ROUND(L173*(I173/$AU173)/VLOOKUP(H173,商品!$A$4:$B$60,2,FALSE),0),"")</f>
        <v/>
      </c>
      <c r="AN173">
        <f>IFERROR(ROUND(L173*(J173/$AU173)/VLOOKUP("运力",商品!$A$4:$B$60,2,FALSE),0),0)</f>
        <v>0</v>
      </c>
      <c r="AO173">
        <f>IFERROR(ROUND(L173*(K173/$AU173)/VLOOKUP("交易",商品!$A$4:$B$60,2,FALSE),0),0)</f>
        <v>0</v>
      </c>
      <c r="AP173" t="str">
        <f>IFERROR(ROUND(S173*(N173/$AV173)/VLOOKUP(M173,职业!$A$4:$G$16,4,FALSE),0),"")</f>
        <v/>
      </c>
      <c r="AQ173" t="str">
        <f>IFERROR(ROUND(S173*(P173/$AV173)/VLOOKUP(O173,职业!$A$4:$G$16,4,FALSE),0),"")</f>
        <v/>
      </c>
      <c r="AR173" t="str">
        <f>IFERROR(ROUND(S173*(R173/$AV173)/VLOOKUP(Q173,职业!$A$4:$G$16,4,FALSE),0),"")</f>
        <v/>
      </c>
      <c r="AS173" t="str">
        <f>IFERROR(ROUND(X173*(U173/$AW173)/VLOOKUP(T173,商品!$A$4:$B$60,2,FALSE),0),"")</f>
        <v/>
      </c>
      <c r="AT173" t="str">
        <f>IFERROR(ROUND(X173*(W173/$AW173)/VLOOKUP(V173,商品!$A$4:$B$60,2,FALSE),0),"")</f>
        <v/>
      </c>
      <c r="AU173">
        <f t="shared" si="77"/>
        <v>0</v>
      </c>
      <c r="AV173">
        <f t="shared" si="78"/>
        <v>0</v>
      </c>
      <c r="AW173">
        <f t="shared" si="79"/>
        <v>0</v>
      </c>
    </row>
    <row r="174" spans="1:49" ht="19.95" customHeight="1" x14ac:dyDescent="0.25">
      <c r="A174" s="15" t="s">
        <v>511</v>
      </c>
      <c r="C174" s="15">
        <v>2</v>
      </c>
      <c r="D174" s="23" t="s">
        <v>174</v>
      </c>
      <c r="E174" s="23" t="s">
        <v>177</v>
      </c>
      <c r="F174" s="2" t="s">
        <v>42</v>
      </c>
      <c r="G174" s="2">
        <v>5</v>
      </c>
      <c r="H174" s="2" t="s">
        <v>20</v>
      </c>
      <c r="I174" s="2">
        <v>10</v>
      </c>
      <c r="L174" s="15">
        <f>IFERROR(VLOOKUP($D174&amp;$C174,生产方式定位!$A$2:$E$38,2,FALSE)+VLOOKUP($E174&amp;$C174,生产方式定位!$F$3:$J$38,2,FALSE),0)</f>
        <v>105</v>
      </c>
      <c r="M174" s="2" t="s">
        <v>80</v>
      </c>
      <c r="N174" s="2">
        <v>-20</v>
      </c>
      <c r="O174" s="2" t="s">
        <v>74</v>
      </c>
      <c r="P174" s="2">
        <v>5</v>
      </c>
      <c r="S174" s="15">
        <f>IFERROR(VLOOKUP($D174&amp;$C174,生产方式定位!$A$2:$E$38,3,FALSE)+VLOOKUP($E174&amp;$C174,生产方式定位!$F$3:$J$38,3,FALSE),0)</f>
        <v>15</v>
      </c>
      <c r="T174" s="2" t="s">
        <v>38</v>
      </c>
      <c r="U174" s="2">
        <v>2</v>
      </c>
      <c r="V174" s="2" t="s">
        <v>44</v>
      </c>
      <c r="W174" s="2">
        <v>1</v>
      </c>
      <c r="X174" s="15">
        <f>IFERROR(VLOOKUP($D174&amp;$C174,生产方式定位!$A$2:$E$38,5,FALSE)+VLOOKUP($E174&amp;$C174,生产方式定位!$F$3:$J$38,5,FALSE),"错误")</f>
        <v>0</v>
      </c>
      <c r="Y174" s="26" t="str">
        <f t="shared" si="64"/>
        <v>魔偶*1,灵能水晶*2</v>
      </c>
      <c r="Z174" s="36" t="str">
        <f t="shared" si="65"/>
        <v>劳工*-543,法士*34</v>
      </c>
      <c r="AA174" s="36" t="str">
        <f t="shared" si="66"/>
        <v>肥料*0,炸药*0</v>
      </c>
      <c r="AB174" s="27" t="str">
        <f t="shared" si="67"/>
        <v>-100%</v>
      </c>
      <c r="AC174" s="2">
        <f t="shared" si="68"/>
        <v>-120</v>
      </c>
      <c r="AD174" s="37">
        <f t="shared" si="69"/>
        <v>2</v>
      </c>
      <c r="AE174" t="str">
        <f t="shared" si="70"/>
        <v>魔偶*1</v>
      </c>
      <c r="AF174" t="str">
        <f t="shared" si="71"/>
        <v>灵能水晶*2</v>
      </c>
      <c r="AG174" t="str">
        <f t="shared" si="72"/>
        <v>劳工*-543</v>
      </c>
      <c r="AH174" t="str">
        <f t="shared" si="73"/>
        <v>法士*34</v>
      </c>
      <c r="AI174" t="str">
        <f t="shared" si="74"/>
        <v/>
      </c>
      <c r="AJ174" t="str">
        <f t="shared" si="75"/>
        <v>肥料*0</v>
      </c>
      <c r="AK174" t="str">
        <f t="shared" si="76"/>
        <v>炸药*0</v>
      </c>
      <c r="AL174">
        <f>IFERROR(ROUND(L174*(G174/$AU174)/VLOOKUP(F174,商品!$A$4:$B$60,2,FALSE),0),"")</f>
        <v>1</v>
      </c>
      <c r="AM174">
        <f>IFERROR(ROUND(L174*(I174/$AU174)/VLOOKUP(H174,商品!$A$4:$B$60,2,FALSE),0),"")</f>
        <v>2</v>
      </c>
      <c r="AN174">
        <f>IFERROR(ROUND(L174*(J174/$AU174)/VLOOKUP("运力",商品!$A$4:$B$60,2,FALSE),0),0)</f>
        <v>0</v>
      </c>
      <c r="AO174">
        <f>IFERROR(ROUND(L174*(K174/$AU174)/VLOOKUP("交易",商品!$A$4:$B$60,2,FALSE),0),0)</f>
        <v>0</v>
      </c>
      <c r="AP174">
        <f>IFERROR(ROUND(S174*(N174/$AV174)/VLOOKUP(M174,职业!$A$4:$G$16,4,FALSE),0),"")</f>
        <v>-543</v>
      </c>
      <c r="AQ174">
        <f>IFERROR(ROUND(S174*(P174/$AV174)/VLOOKUP(O174,职业!$A$4:$G$16,4,FALSE),0),"")</f>
        <v>34</v>
      </c>
      <c r="AR174" t="str">
        <f>IFERROR(ROUND(S174*(R174/$AV174)/VLOOKUP(Q174,职业!$A$4:$G$16,4,FALSE),0),"")</f>
        <v/>
      </c>
      <c r="AS174">
        <f>IFERROR(ROUND(X174*(U174/$AW174)/VLOOKUP(T174,商品!$A$4:$B$60,2,FALSE),0),"")</f>
        <v>0</v>
      </c>
      <c r="AT174">
        <f>IFERROR(ROUND(X174*(W174/$AW174)/VLOOKUP(V174,商品!$A$4:$B$60,2,FALSE),0),"")</f>
        <v>0</v>
      </c>
      <c r="AU174">
        <f t="shared" si="77"/>
        <v>15</v>
      </c>
      <c r="AV174">
        <f t="shared" si="78"/>
        <v>25</v>
      </c>
      <c r="AW174">
        <f t="shared" si="79"/>
        <v>3</v>
      </c>
    </row>
    <row r="175" spans="1:49" ht="19.95" customHeight="1" x14ac:dyDescent="0.25">
      <c r="A175" s="15" t="s">
        <v>511</v>
      </c>
      <c r="C175" s="15">
        <v>3</v>
      </c>
      <c r="D175" s="23" t="s">
        <v>174</v>
      </c>
      <c r="E175" s="23" t="s">
        <v>177</v>
      </c>
      <c r="F175" s="2" t="s">
        <v>42</v>
      </c>
      <c r="G175" s="2">
        <v>5</v>
      </c>
      <c r="H175" s="2" t="s">
        <v>20</v>
      </c>
      <c r="I175" s="2">
        <v>10</v>
      </c>
      <c r="L175" s="15">
        <f>IFERROR(VLOOKUP($D175&amp;$C175,生产方式定位!$A$2:$E$38,2,FALSE)+VLOOKUP($E175&amp;$C175,生产方式定位!$F$3:$J$38,2,FALSE),0)</f>
        <v>210</v>
      </c>
      <c r="M175" s="2" t="s">
        <v>80</v>
      </c>
      <c r="N175" s="2">
        <v>-20</v>
      </c>
      <c r="O175" s="2" t="s">
        <v>74</v>
      </c>
      <c r="P175" s="2">
        <v>7</v>
      </c>
      <c r="S175" s="15">
        <f>IFERROR(VLOOKUP($D175&amp;$C175,生产方式定位!$A$2:$E$38,3,FALSE)+VLOOKUP($E175&amp;$C175,生产方式定位!$F$3:$J$38,3,FALSE),0)</f>
        <v>30</v>
      </c>
      <c r="T175" s="2" t="s">
        <v>38</v>
      </c>
      <c r="U175" s="2">
        <v>2</v>
      </c>
      <c r="V175" s="2" t="s">
        <v>44</v>
      </c>
      <c r="W175" s="2">
        <v>1</v>
      </c>
      <c r="X175" s="15">
        <f>IFERROR(VLOOKUP($D175&amp;$C175,生产方式定位!$A$2:$E$38,5,FALSE)+VLOOKUP($E175&amp;$C175,生产方式定位!$F$3:$J$38,5,FALSE),"错误")</f>
        <v>0</v>
      </c>
      <c r="Y175" s="26" t="str">
        <f t="shared" si="64"/>
        <v>魔偶*2,灵能水晶*5</v>
      </c>
      <c r="Z175" s="36" t="str">
        <f t="shared" si="65"/>
        <v>劳工*-1006,法士*88</v>
      </c>
      <c r="AA175" s="36" t="str">
        <f t="shared" si="66"/>
        <v>肥料*0,炸药*0</v>
      </c>
      <c r="AB175" s="27" t="str">
        <f t="shared" si="67"/>
        <v>-100%</v>
      </c>
      <c r="AC175" s="2">
        <f t="shared" si="68"/>
        <v>-240</v>
      </c>
      <c r="AD175" s="37">
        <f t="shared" si="69"/>
        <v>3</v>
      </c>
      <c r="AE175" t="str">
        <f t="shared" si="70"/>
        <v>魔偶*2</v>
      </c>
      <c r="AF175" t="str">
        <f t="shared" si="71"/>
        <v>灵能水晶*5</v>
      </c>
      <c r="AG175" t="str">
        <f t="shared" si="72"/>
        <v>劳工*-1006</v>
      </c>
      <c r="AH175" t="str">
        <f t="shared" si="73"/>
        <v>法士*88</v>
      </c>
      <c r="AI175" t="str">
        <f t="shared" si="74"/>
        <v/>
      </c>
      <c r="AJ175" t="str">
        <f t="shared" si="75"/>
        <v>肥料*0</v>
      </c>
      <c r="AK175" t="str">
        <f t="shared" si="76"/>
        <v>炸药*0</v>
      </c>
      <c r="AL175">
        <f>IFERROR(ROUND(L175*(G175/$AU175)/VLOOKUP(F175,商品!$A$4:$B$60,2,FALSE),0),"")</f>
        <v>2</v>
      </c>
      <c r="AM175">
        <f>IFERROR(ROUND(L175*(I175/$AU175)/VLOOKUP(H175,商品!$A$4:$B$60,2,FALSE),0),"")</f>
        <v>5</v>
      </c>
      <c r="AN175">
        <f>IFERROR(ROUND(L175*(J175/$AU175)/VLOOKUP("运力",商品!$A$4:$B$60,2,FALSE),0),0)</f>
        <v>0</v>
      </c>
      <c r="AO175">
        <f>IFERROR(ROUND(L175*(K175/$AU175)/VLOOKUP("交易",商品!$A$4:$B$60,2,FALSE),0),0)</f>
        <v>0</v>
      </c>
      <c r="AP175">
        <f>IFERROR(ROUND(S175*(N175/$AV175)/VLOOKUP(M175,职业!$A$4:$G$16,4,FALSE),0),"")</f>
        <v>-1006</v>
      </c>
      <c r="AQ175">
        <f>IFERROR(ROUND(S175*(P175/$AV175)/VLOOKUP(O175,职业!$A$4:$G$16,4,FALSE),0),"")</f>
        <v>88</v>
      </c>
      <c r="AR175" t="str">
        <f>IFERROR(ROUND(S175*(R175/$AV175)/VLOOKUP(Q175,职业!$A$4:$G$16,4,FALSE),0),"")</f>
        <v/>
      </c>
      <c r="AS175">
        <f>IFERROR(ROUND(X175*(U175/$AW175)/VLOOKUP(T175,商品!$A$4:$B$60,2,FALSE),0),"")</f>
        <v>0</v>
      </c>
      <c r="AT175">
        <f>IFERROR(ROUND(X175*(W175/$AW175)/VLOOKUP(V175,商品!$A$4:$B$60,2,FALSE),0),"")</f>
        <v>0</v>
      </c>
      <c r="AU175">
        <f t="shared" si="77"/>
        <v>15</v>
      </c>
      <c r="AV175">
        <f t="shared" si="78"/>
        <v>27</v>
      </c>
      <c r="AW175">
        <f t="shared" si="79"/>
        <v>3</v>
      </c>
    </row>
    <row r="176" spans="1:49" ht="19.95" customHeight="1" x14ac:dyDescent="0.25">
      <c r="A176" s="15" t="s">
        <v>511</v>
      </c>
      <c r="C176" s="15">
        <v>4</v>
      </c>
      <c r="D176" s="23" t="s">
        <v>174</v>
      </c>
      <c r="E176" s="23" t="s">
        <v>177</v>
      </c>
      <c r="F176" s="2" t="s">
        <v>42</v>
      </c>
      <c r="G176" s="2">
        <v>5</v>
      </c>
      <c r="H176" s="2" t="s">
        <v>20</v>
      </c>
      <c r="I176" s="2">
        <v>10</v>
      </c>
      <c r="L176" s="15">
        <f>IFERROR(VLOOKUP($D176&amp;$C176,生产方式定位!$A$2:$E$38,2,FALSE)+VLOOKUP($E176&amp;$C176,生产方式定位!$F$3:$J$38,2,FALSE),0)</f>
        <v>315</v>
      </c>
      <c r="M176" s="2" t="s">
        <v>80</v>
      </c>
      <c r="N176" s="2">
        <v>-20</v>
      </c>
      <c r="O176" s="2" t="s">
        <v>74</v>
      </c>
      <c r="P176" s="2">
        <v>9</v>
      </c>
      <c r="S176" s="15">
        <f>IFERROR(VLOOKUP($D176&amp;$C176,生产方式定位!$A$2:$E$38,3,FALSE)+VLOOKUP($E176&amp;$C176,生产方式定位!$F$3:$J$38,3,FALSE),0)</f>
        <v>45</v>
      </c>
      <c r="T176" s="2" t="s">
        <v>38</v>
      </c>
      <c r="U176" s="2">
        <v>2</v>
      </c>
      <c r="V176" s="2" t="s">
        <v>44</v>
      </c>
      <c r="W176" s="2">
        <v>1</v>
      </c>
      <c r="X176" s="15">
        <f>IFERROR(VLOOKUP($D176&amp;$C176,生产方式定位!$A$2:$E$38,5,FALSE)+VLOOKUP($E176&amp;$C176,生产方式定位!$F$3:$J$38,5,FALSE),"错误")</f>
        <v>0</v>
      </c>
      <c r="Y176" s="26" t="str">
        <f t="shared" si="64"/>
        <v>魔偶*3,灵能水晶*7</v>
      </c>
      <c r="Z176" s="36" t="str">
        <f t="shared" si="65"/>
        <v>劳工*-1404,法士*158</v>
      </c>
      <c r="AA176" s="36" t="str">
        <f t="shared" si="66"/>
        <v>肥料*0,炸药*0</v>
      </c>
      <c r="AB176" s="27" t="str">
        <f t="shared" si="67"/>
        <v>-100%</v>
      </c>
      <c r="AC176" s="2">
        <f t="shared" si="68"/>
        <v>-360</v>
      </c>
      <c r="AD176" s="37">
        <f t="shared" si="69"/>
        <v>4</v>
      </c>
      <c r="AE176" t="str">
        <f t="shared" si="70"/>
        <v>魔偶*3</v>
      </c>
      <c r="AF176" t="str">
        <f t="shared" si="71"/>
        <v>灵能水晶*7</v>
      </c>
      <c r="AG176" t="str">
        <f t="shared" si="72"/>
        <v>劳工*-1404</v>
      </c>
      <c r="AH176" t="str">
        <f t="shared" si="73"/>
        <v>法士*158</v>
      </c>
      <c r="AI176" t="str">
        <f t="shared" si="74"/>
        <v/>
      </c>
      <c r="AJ176" t="str">
        <f t="shared" si="75"/>
        <v>肥料*0</v>
      </c>
      <c r="AK176" t="str">
        <f t="shared" si="76"/>
        <v>炸药*0</v>
      </c>
      <c r="AL176">
        <f>IFERROR(ROUND(L176*(G176/$AU176)/VLOOKUP(F176,商品!$A$4:$B$60,2,FALSE),0),"")</f>
        <v>3</v>
      </c>
      <c r="AM176">
        <f>IFERROR(ROUND(L176*(I176/$AU176)/VLOOKUP(H176,商品!$A$4:$B$60,2,FALSE),0),"")</f>
        <v>7</v>
      </c>
      <c r="AN176">
        <f>IFERROR(ROUND(L176*(J176/$AU176)/VLOOKUP("运力",商品!$A$4:$B$60,2,FALSE),0),0)</f>
        <v>0</v>
      </c>
      <c r="AO176">
        <f>IFERROR(ROUND(L176*(K176/$AU176)/VLOOKUP("交易",商品!$A$4:$B$60,2,FALSE),0),0)</f>
        <v>0</v>
      </c>
      <c r="AP176">
        <f>IFERROR(ROUND(S176*(N176/$AV176)/VLOOKUP(M176,职业!$A$4:$G$16,4,FALSE),0),"")</f>
        <v>-1404</v>
      </c>
      <c r="AQ176">
        <f>IFERROR(ROUND(S176*(P176/$AV176)/VLOOKUP(O176,职业!$A$4:$G$16,4,FALSE),0),"")</f>
        <v>158</v>
      </c>
      <c r="AR176" t="str">
        <f>IFERROR(ROUND(S176*(R176/$AV176)/VLOOKUP(Q176,职业!$A$4:$G$16,4,FALSE),0),"")</f>
        <v/>
      </c>
      <c r="AS176">
        <f>IFERROR(ROUND(X176*(U176/$AW176)/VLOOKUP(T176,商品!$A$4:$B$60,2,FALSE),0),"")</f>
        <v>0</v>
      </c>
      <c r="AT176">
        <f>IFERROR(ROUND(X176*(W176/$AW176)/VLOOKUP(V176,商品!$A$4:$B$60,2,FALSE),0),"")</f>
        <v>0</v>
      </c>
      <c r="AU176">
        <f t="shared" si="77"/>
        <v>15</v>
      </c>
      <c r="AV176">
        <f t="shared" si="78"/>
        <v>29</v>
      </c>
      <c r="AW176">
        <f t="shared" si="79"/>
        <v>3</v>
      </c>
    </row>
    <row r="177" spans="1:49" ht="19.95" customHeight="1" x14ac:dyDescent="0.25">
      <c r="A177" s="15" t="s">
        <v>511</v>
      </c>
      <c r="C177" s="15">
        <v>5</v>
      </c>
      <c r="D177" s="23" t="s">
        <v>174</v>
      </c>
      <c r="E177" s="23" t="s">
        <v>177</v>
      </c>
      <c r="F177" s="2" t="s">
        <v>42</v>
      </c>
      <c r="G177" s="2">
        <v>5</v>
      </c>
      <c r="H177" s="2" t="s">
        <v>20</v>
      </c>
      <c r="I177" s="2">
        <v>10</v>
      </c>
      <c r="L177" s="15">
        <f>IFERROR(VLOOKUP($D177&amp;$C177,生产方式定位!$A$2:$E$38,2,FALSE)+VLOOKUP($E177&amp;$C177,生产方式定位!$F$3:$J$38,2,FALSE),0)</f>
        <v>420</v>
      </c>
      <c r="M177" s="2" t="s">
        <v>80</v>
      </c>
      <c r="N177" s="2">
        <v>-20</v>
      </c>
      <c r="O177" s="2" t="s">
        <v>74</v>
      </c>
      <c r="P177" s="2">
        <v>11</v>
      </c>
      <c r="S177" s="15">
        <f>IFERROR(VLOOKUP($D177&amp;$C177,生产方式定位!$A$2:$E$38,3,FALSE)+VLOOKUP($E177&amp;$C177,生产方式定位!$F$3:$J$38,3,FALSE),0)</f>
        <v>60</v>
      </c>
      <c r="T177" s="2" t="s">
        <v>38</v>
      </c>
      <c r="U177" s="2">
        <v>2</v>
      </c>
      <c r="V177" s="2" t="s">
        <v>44</v>
      </c>
      <c r="W177" s="2">
        <v>1</v>
      </c>
      <c r="X177" s="15">
        <f>IFERROR(VLOOKUP($D177&amp;$C177,生产方式定位!$A$2:$E$38,5,FALSE)+VLOOKUP($E177&amp;$C177,生产方式定位!$F$3:$J$38,5,FALSE),"错误")</f>
        <v>0</v>
      </c>
      <c r="Y177" s="26" t="str">
        <f t="shared" si="64"/>
        <v>魔偶*4,灵能水晶*9</v>
      </c>
      <c r="Z177" s="36" t="str">
        <f t="shared" si="65"/>
        <v>劳工*-1752,法士*241</v>
      </c>
      <c r="AA177" s="36" t="str">
        <f t="shared" si="66"/>
        <v>肥料*0,炸药*0</v>
      </c>
      <c r="AB177" s="27" t="str">
        <f t="shared" si="67"/>
        <v>-100%</v>
      </c>
      <c r="AC177" s="2">
        <f t="shared" si="68"/>
        <v>-480</v>
      </c>
      <c r="AD177" s="37">
        <f t="shared" si="69"/>
        <v>5</v>
      </c>
      <c r="AE177" t="str">
        <f t="shared" si="70"/>
        <v>魔偶*4</v>
      </c>
      <c r="AF177" t="str">
        <f t="shared" si="71"/>
        <v>灵能水晶*9</v>
      </c>
      <c r="AG177" t="str">
        <f t="shared" si="72"/>
        <v>劳工*-1752</v>
      </c>
      <c r="AH177" t="str">
        <f t="shared" si="73"/>
        <v>法士*241</v>
      </c>
      <c r="AI177" t="str">
        <f t="shared" si="74"/>
        <v/>
      </c>
      <c r="AJ177" t="str">
        <f t="shared" si="75"/>
        <v>肥料*0</v>
      </c>
      <c r="AK177" t="str">
        <f t="shared" si="76"/>
        <v>炸药*0</v>
      </c>
      <c r="AL177">
        <f>IFERROR(ROUND(L177*(G177/$AU177)/VLOOKUP(F177,商品!$A$4:$B$60,2,FALSE),0),"")</f>
        <v>4</v>
      </c>
      <c r="AM177">
        <f>IFERROR(ROUND(L177*(I177/$AU177)/VLOOKUP(H177,商品!$A$4:$B$60,2,FALSE),0),"")</f>
        <v>9</v>
      </c>
      <c r="AN177">
        <f>IFERROR(ROUND(L177*(J177/$AU177)/VLOOKUP("运力",商品!$A$4:$B$60,2,FALSE),0),0)</f>
        <v>0</v>
      </c>
      <c r="AO177">
        <f>IFERROR(ROUND(L177*(K177/$AU177)/VLOOKUP("交易",商品!$A$4:$B$60,2,FALSE),0),0)</f>
        <v>0</v>
      </c>
      <c r="AP177">
        <f>IFERROR(ROUND(S177*(N177/$AV177)/VLOOKUP(M177,职业!$A$4:$G$16,4,FALSE),0),"")</f>
        <v>-1752</v>
      </c>
      <c r="AQ177">
        <f>IFERROR(ROUND(S177*(P177/$AV177)/VLOOKUP(O177,职业!$A$4:$G$16,4,FALSE),0),"")</f>
        <v>241</v>
      </c>
      <c r="AR177" t="str">
        <f>IFERROR(ROUND(S177*(R177/$AV177)/VLOOKUP(Q177,职业!$A$4:$G$16,4,FALSE),0),"")</f>
        <v/>
      </c>
      <c r="AS177">
        <f>IFERROR(ROUND(X177*(U177/$AW177)/VLOOKUP(T177,商品!$A$4:$B$60,2,FALSE),0),"")</f>
        <v>0</v>
      </c>
      <c r="AT177">
        <f>IFERROR(ROUND(X177*(W177/$AW177)/VLOOKUP(V177,商品!$A$4:$B$60,2,FALSE),0),"")</f>
        <v>0</v>
      </c>
      <c r="AU177">
        <f t="shared" si="77"/>
        <v>15</v>
      </c>
      <c r="AV177">
        <f t="shared" si="78"/>
        <v>31</v>
      </c>
      <c r="AW177">
        <f t="shared" si="79"/>
        <v>3</v>
      </c>
    </row>
    <row r="178" spans="1:49" ht="19.95" customHeight="1" x14ac:dyDescent="0.25">
      <c r="A178" s="16" t="s">
        <v>214</v>
      </c>
      <c r="C178" s="16">
        <v>1</v>
      </c>
      <c r="D178" s="23" t="s">
        <v>174</v>
      </c>
      <c r="E178" s="23" t="s">
        <v>179</v>
      </c>
      <c r="L178" s="16">
        <f>IFERROR(VLOOKUP($D178&amp;$C178,生产方式定位!$A$2:$E$38,2,FALSE)+VLOOKUP($E178&amp;$C178,生产方式定位!$F$3:$J$38,2,FALSE),0)</f>
        <v>0</v>
      </c>
      <c r="S178" s="16">
        <f>IFERROR(VLOOKUP($D178&amp;$C178,生产方式定位!$A$2:$E$38,3,FALSE)+VLOOKUP($E178&amp;$C178,生产方式定位!$F$3:$J$38,3,FALSE),0)</f>
        <v>100</v>
      </c>
      <c r="X178" s="16">
        <f>IFERROR(VLOOKUP($D178&amp;$C178,生产方式定位!$A$2:$E$38,5,FALSE)+VLOOKUP($E178&amp;$C178,生产方式定位!$F$3:$J$38,5,FALSE),"错误")</f>
        <v>100</v>
      </c>
      <c r="Y178" s="26" t="str">
        <f t="shared" si="64"/>
        <v/>
      </c>
      <c r="Z178" s="36" t="str">
        <f t="shared" si="65"/>
        <v/>
      </c>
      <c r="AA178" s="36" t="str">
        <f t="shared" si="66"/>
        <v/>
      </c>
      <c r="AB178" s="27" t="str">
        <f t="shared" si="67"/>
        <v/>
      </c>
      <c r="AC178" s="2" t="str">
        <f t="shared" si="68"/>
        <v/>
      </c>
      <c r="AD178" s="38">
        <f t="shared" si="69"/>
        <v>1</v>
      </c>
      <c r="AE178" t="str">
        <f t="shared" si="70"/>
        <v/>
      </c>
      <c r="AF178" t="str">
        <f t="shared" si="71"/>
        <v/>
      </c>
      <c r="AG178" t="str">
        <f t="shared" si="72"/>
        <v/>
      </c>
      <c r="AH178" t="str">
        <f t="shared" si="73"/>
        <v/>
      </c>
      <c r="AI178" t="str">
        <f t="shared" si="74"/>
        <v/>
      </c>
      <c r="AJ178" t="str">
        <f t="shared" si="75"/>
        <v/>
      </c>
      <c r="AK178" t="str">
        <f t="shared" si="76"/>
        <v/>
      </c>
      <c r="AL178" t="str">
        <f>IFERROR(ROUND(L178*(G178/$AU178)/VLOOKUP(F178,商品!$A$4:$B$60,2,FALSE),0),"")</f>
        <v/>
      </c>
      <c r="AM178" t="str">
        <f>IFERROR(ROUND(L178*(I178/$AU178)/VLOOKUP(H178,商品!$A$4:$B$60,2,FALSE),0),"")</f>
        <v/>
      </c>
      <c r="AN178">
        <f>IFERROR(ROUND(L178*(J178/$AU178)/VLOOKUP("运力",商品!$A$4:$B$60,2,FALSE),0),0)</f>
        <v>0</v>
      </c>
      <c r="AO178">
        <f>IFERROR(ROUND(L178*(K178/$AU178)/VLOOKUP("交易",商品!$A$4:$B$60,2,FALSE),0),0)</f>
        <v>0</v>
      </c>
      <c r="AP178" t="str">
        <f>IFERROR(ROUND(S178*(N178/$AV178)/VLOOKUP(M178,职业!$A$4:$G$16,4,FALSE),0),"")</f>
        <v/>
      </c>
      <c r="AQ178" t="str">
        <f>IFERROR(ROUND(S178*(P178/$AV178)/VLOOKUP(O178,职业!$A$4:$G$16,4,FALSE),0),"")</f>
        <v/>
      </c>
      <c r="AR178" t="str">
        <f>IFERROR(ROUND(S178*(R178/$AV178)/VLOOKUP(Q178,职业!$A$4:$G$16,4,FALSE),0),"")</f>
        <v/>
      </c>
      <c r="AS178" t="str">
        <f>IFERROR(ROUND(X178*(U178/$AW178)/VLOOKUP(T178,商品!$A$4:$B$60,2,FALSE),0),"")</f>
        <v/>
      </c>
      <c r="AT178" t="str">
        <f>IFERROR(ROUND(X178*(W178/$AW178)/VLOOKUP(V178,商品!$A$4:$B$60,2,FALSE),0),"")</f>
        <v/>
      </c>
      <c r="AU178">
        <f t="shared" si="77"/>
        <v>0</v>
      </c>
      <c r="AV178">
        <f t="shared" si="78"/>
        <v>0</v>
      </c>
      <c r="AW178">
        <f t="shared" si="79"/>
        <v>0</v>
      </c>
    </row>
    <row r="179" spans="1:49" ht="19.95" customHeight="1" x14ac:dyDescent="0.25">
      <c r="A179" s="16" t="s">
        <v>214</v>
      </c>
      <c r="C179" s="16">
        <v>2</v>
      </c>
      <c r="D179" s="23" t="s">
        <v>174</v>
      </c>
      <c r="E179" s="23" t="s">
        <v>179</v>
      </c>
      <c r="L179" s="16">
        <f>IFERROR(VLOOKUP($D179&amp;$C179,生产方式定位!$A$2:$E$38,2,FALSE)+VLOOKUP($E179&amp;$C179,生产方式定位!$F$3:$J$38,2,FALSE),0)</f>
        <v>0</v>
      </c>
      <c r="S179" s="16">
        <f>IFERROR(VLOOKUP($D179&amp;$C179,生产方式定位!$A$2:$E$38,3,FALSE)+VLOOKUP($E179&amp;$C179,生产方式定位!$F$3:$J$38,3,FALSE),0)</f>
        <v>100</v>
      </c>
      <c r="X179" s="16">
        <f>IFERROR(VLOOKUP($D179&amp;$C179,生产方式定位!$A$2:$E$38,5,FALSE)+VLOOKUP($E179&amp;$C179,生产方式定位!$F$3:$J$38,5,FALSE),"错误")</f>
        <v>100</v>
      </c>
      <c r="Y179" s="26" t="str">
        <f t="shared" si="64"/>
        <v/>
      </c>
      <c r="Z179" s="36" t="str">
        <f t="shared" si="65"/>
        <v/>
      </c>
      <c r="AA179" s="36" t="str">
        <f t="shared" si="66"/>
        <v/>
      </c>
      <c r="AB179" s="27" t="str">
        <f t="shared" si="67"/>
        <v/>
      </c>
      <c r="AC179" s="2" t="str">
        <f t="shared" si="68"/>
        <v/>
      </c>
      <c r="AD179" s="38">
        <f t="shared" si="69"/>
        <v>2</v>
      </c>
      <c r="AE179" t="str">
        <f t="shared" si="70"/>
        <v/>
      </c>
      <c r="AF179" t="str">
        <f t="shared" si="71"/>
        <v/>
      </c>
      <c r="AG179" t="str">
        <f t="shared" si="72"/>
        <v/>
      </c>
      <c r="AH179" t="str">
        <f t="shared" si="73"/>
        <v/>
      </c>
      <c r="AI179" t="str">
        <f t="shared" si="74"/>
        <v/>
      </c>
      <c r="AJ179" t="str">
        <f t="shared" si="75"/>
        <v/>
      </c>
      <c r="AK179" t="str">
        <f t="shared" si="76"/>
        <v/>
      </c>
      <c r="AL179" t="str">
        <f>IFERROR(ROUND(L179*(G179/$AU179)/VLOOKUP(F179,商品!$A$4:$B$60,2,FALSE),0),"")</f>
        <v/>
      </c>
      <c r="AM179" t="str">
        <f>IFERROR(ROUND(L179*(I179/$AU179)/VLOOKUP(H179,商品!$A$4:$B$60,2,FALSE),0),"")</f>
        <v/>
      </c>
      <c r="AN179">
        <f>IFERROR(ROUND(L179*(J179/$AU179)/VLOOKUP("运力",商品!$A$4:$B$60,2,FALSE),0),0)</f>
        <v>0</v>
      </c>
      <c r="AO179">
        <f>IFERROR(ROUND(L179*(K179/$AU179)/VLOOKUP("交易",商品!$A$4:$B$60,2,FALSE),0),0)</f>
        <v>0</v>
      </c>
      <c r="AP179" t="str">
        <f>IFERROR(ROUND(S179*(N179/$AV179)/VLOOKUP(M179,职业!$A$4:$G$16,4,FALSE),0),"")</f>
        <v/>
      </c>
      <c r="AQ179" t="str">
        <f>IFERROR(ROUND(S179*(P179/$AV179)/VLOOKUP(O179,职业!$A$4:$G$16,4,FALSE),0),"")</f>
        <v/>
      </c>
      <c r="AR179" t="str">
        <f>IFERROR(ROUND(S179*(R179/$AV179)/VLOOKUP(Q179,职业!$A$4:$G$16,4,FALSE),0),"")</f>
        <v/>
      </c>
      <c r="AS179" t="str">
        <f>IFERROR(ROUND(X179*(U179/$AW179)/VLOOKUP(T179,商品!$A$4:$B$60,2,FALSE),0),"")</f>
        <v/>
      </c>
      <c r="AT179" t="str">
        <f>IFERROR(ROUND(X179*(W179/$AW179)/VLOOKUP(V179,商品!$A$4:$B$60,2,FALSE),0),"")</f>
        <v/>
      </c>
      <c r="AU179">
        <f t="shared" si="77"/>
        <v>0</v>
      </c>
      <c r="AV179">
        <f t="shared" si="78"/>
        <v>0</v>
      </c>
      <c r="AW179">
        <f t="shared" si="79"/>
        <v>0</v>
      </c>
    </row>
    <row r="180" spans="1:49" ht="19.95" customHeight="1" x14ac:dyDescent="0.25">
      <c r="A180" s="16" t="s">
        <v>214</v>
      </c>
      <c r="C180" s="16">
        <v>3</v>
      </c>
      <c r="D180" s="23" t="s">
        <v>174</v>
      </c>
      <c r="E180" s="23" t="s">
        <v>179</v>
      </c>
      <c r="L180" s="16">
        <f>IFERROR(VLOOKUP($D180&amp;$C180,生产方式定位!$A$2:$E$38,2,FALSE)+VLOOKUP($E180&amp;$C180,生产方式定位!$F$3:$J$38,2,FALSE),0)</f>
        <v>0</v>
      </c>
      <c r="S180" s="16">
        <f>IFERROR(VLOOKUP($D180&amp;$C180,生产方式定位!$A$2:$E$38,3,FALSE)+VLOOKUP($E180&amp;$C180,生产方式定位!$F$3:$J$38,3,FALSE),0)</f>
        <v>100</v>
      </c>
      <c r="X180" s="16">
        <f>IFERROR(VLOOKUP($D180&amp;$C180,生产方式定位!$A$2:$E$38,5,FALSE)+VLOOKUP($E180&amp;$C180,生产方式定位!$F$3:$J$38,5,FALSE),"错误")</f>
        <v>100</v>
      </c>
      <c r="Y180" s="26" t="str">
        <f t="shared" si="64"/>
        <v/>
      </c>
      <c r="Z180" s="36" t="str">
        <f t="shared" si="65"/>
        <v/>
      </c>
      <c r="AA180" s="36" t="str">
        <f t="shared" si="66"/>
        <v/>
      </c>
      <c r="AB180" s="27" t="str">
        <f t="shared" si="67"/>
        <v/>
      </c>
      <c r="AC180" s="2" t="str">
        <f t="shared" si="68"/>
        <v/>
      </c>
      <c r="AD180" s="38">
        <f t="shared" si="69"/>
        <v>3</v>
      </c>
      <c r="AE180" t="str">
        <f t="shared" si="70"/>
        <v/>
      </c>
      <c r="AF180" t="str">
        <f t="shared" si="71"/>
        <v/>
      </c>
      <c r="AG180" t="str">
        <f t="shared" si="72"/>
        <v/>
      </c>
      <c r="AH180" t="str">
        <f t="shared" si="73"/>
        <v/>
      </c>
      <c r="AI180" t="str">
        <f t="shared" si="74"/>
        <v/>
      </c>
      <c r="AJ180" t="str">
        <f t="shared" si="75"/>
        <v/>
      </c>
      <c r="AK180" t="str">
        <f t="shared" si="76"/>
        <v/>
      </c>
      <c r="AL180" t="str">
        <f>IFERROR(ROUND(L180*(G180/$AU180)/VLOOKUP(F180,商品!$A$4:$B$60,2,FALSE),0),"")</f>
        <v/>
      </c>
      <c r="AM180" t="str">
        <f>IFERROR(ROUND(L180*(I180/$AU180)/VLOOKUP(H180,商品!$A$4:$B$60,2,FALSE),0),"")</f>
        <v/>
      </c>
      <c r="AN180">
        <f>IFERROR(ROUND(L180*(J180/$AU180)/VLOOKUP("运力",商品!$A$4:$B$60,2,FALSE),0),0)</f>
        <v>0</v>
      </c>
      <c r="AO180">
        <f>IFERROR(ROUND(L180*(K180/$AU180)/VLOOKUP("交易",商品!$A$4:$B$60,2,FALSE),0),0)</f>
        <v>0</v>
      </c>
      <c r="AP180" t="str">
        <f>IFERROR(ROUND(S180*(N180/$AV180)/VLOOKUP(M180,职业!$A$4:$G$16,4,FALSE),0),"")</f>
        <v/>
      </c>
      <c r="AQ180" t="str">
        <f>IFERROR(ROUND(S180*(P180/$AV180)/VLOOKUP(O180,职业!$A$4:$G$16,4,FALSE),0),"")</f>
        <v/>
      </c>
      <c r="AR180" t="str">
        <f>IFERROR(ROUND(S180*(R180/$AV180)/VLOOKUP(Q180,职业!$A$4:$G$16,4,FALSE),0),"")</f>
        <v/>
      </c>
      <c r="AS180" t="str">
        <f>IFERROR(ROUND(X180*(U180/$AW180)/VLOOKUP(T180,商品!$A$4:$B$60,2,FALSE),0),"")</f>
        <v/>
      </c>
      <c r="AT180" t="str">
        <f>IFERROR(ROUND(X180*(W180/$AW180)/VLOOKUP(V180,商品!$A$4:$B$60,2,FALSE),0),"")</f>
        <v/>
      </c>
      <c r="AU180">
        <f t="shared" si="77"/>
        <v>0</v>
      </c>
      <c r="AV180">
        <f t="shared" si="78"/>
        <v>0</v>
      </c>
      <c r="AW180">
        <f t="shared" si="79"/>
        <v>0</v>
      </c>
    </row>
    <row r="181" spans="1:49" ht="19.95" customHeight="1" x14ac:dyDescent="0.25">
      <c r="A181" s="16" t="s">
        <v>214</v>
      </c>
      <c r="C181" s="16">
        <v>4</v>
      </c>
      <c r="D181" s="23" t="s">
        <v>174</v>
      </c>
      <c r="E181" s="23" t="s">
        <v>179</v>
      </c>
      <c r="L181" s="16">
        <f>IFERROR(VLOOKUP($D181&amp;$C181,生产方式定位!$A$2:$E$38,2,FALSE)+VLOOKUP($E181&amp;$C181,生产方式定位!$F$3:$J$38,2,FALSE),0)</f>
        <v>0</v>
      </c>
      <c r="S181" s="16">
        <f>IFERROR(VLOOKUP($D181&amp;$C181,生产方式定位!$A$2:$E$38,3,FALSE)+VLOOKUP($E181&amp;$C181,生产方式定位!$F$3:$J$38,3,FALSE),0)</f>
        <v>100</v>
      </c>
      <c r="X181" s="16">
        <f>IFERROR(VLOOKUP($D181&amp;$C181,生产方式定位!$A$2:$E$38,5,FALSE)+VLOOKUP($E181&amp;$C181,生产方式定位!$F$3:$J$38,5,FALSE),"错误")</f>
        <v>100</v>
      </c>
      <c r="Y181" s="26" t="str">
        <f t="shared" si="64"/>
        <v/>
      </c>
      <c r="Z181" s="36" t="str">
        <f t="shared" si="65"/>
        <v/>
      </c>
      <c r="AA181" s="36" t="str">
        <f t="shared" si="66"/>
        <v/>
      </c>
      <c r="AB181" s="27" t="str">
        <f t="shared" si="67"/>
        <v/>
      </c>
      <c r="AC181" s="2" t="str">
        <f t="shared" si="68"/>
        <v/>
      </c>
      <c r="AD181" s="38">
        <f t="shared" si="69"/>
        <v>4</v>
      </c>
      <c r="AE181" t="str">
        <f t="shared" si="70"/>
        <v/>
      </c>
      <c r="AF181" t="str">
        <f t="shared" si="71"/>
        <v/>
      </c>
      <c r="AG181" t="str">
        <f t="shared" si="72"/>
        <v/>
      </c>
      <c r="AH181" t="str">
        <f t="shared" si="73"/>
        <v/>
      </c>
      <c r="AI181" t="str">
        <f t="shared" si="74"/>
        <v/>
      </c>
      <c r="AJ181" t="str">
        <f t="shared" si="75"/>
        <v/>
      </c>
      <c r="AK181" t="str">
        <f t="shared" si="76"/>
        <v/>
      </c>
      <c r="AL181" t="str">
        <f>IFERROR(ROUND(L181*(G181/$AU181)/VLOOKUP(F181,商品!$A$4:$B$60,2,FALSE),0),"")</f>
        <v/>
      </c>
      <c r="AM181" t="str">
        <f>IFERROR(ROUND(L181*(I181/$AU181)/VLOOKUP(H181,商品!$A$4:$B$60,2,FALSE),0),"")</f>
        <v/>
      </c>
      <c r="AN181">
        <f>IFERROR(ROUND(L181*(J181/$AU181)/VLOOKUP("运力",商品!$A$4:$B$60,2,FALSE),0),0)</f>
        <v>0</v>
      </c>
      <c r="AO181">
        <f>IFERROR(ROUND(L181*(K181/$AU181)/VLOOKUP("交易",商品!$A$4:$B$60,2,FALSE),0),0)</f>
        <v>0</v>
      </c>
      <c r="AP181" t="str">
        <f>IFERROR(ROUND(S181*(N181/$AV181)/VLOOKUP(M181,职业!$A$4:$G$16,4,FALSE),0),"")</f>
        <v/>
      </c>
      <c r="AQ181" t="str">
        <f>IFERROR(ROUND(S181*(P181/$AV181)/VLOOKUP(O181,职业!$A$4:$G$16,4,FALSE),0),"")</f>
        <v/>
      </c>
      <c r="AR181" t="str">
        <f>IFERROR(ROUND(S181*(R181/$AV181)/VLOOKUP(Q181,职业!$A$4:$G$16,4,FALSE),0),"")</f>
        <v/>
      </c>
      <c r="AS181" t="str">
        <f>IFERROR(ROUND(X181*(U181/$AW181)/VLOOKUP(T181,商品!$A$4:$B$60,2,FALSE),0),"")</f>
        <v/>
      </c>
      <c r="AT181" t="str">
        <f>IFERROR(ROUND(X181*(W181/$AW181)/VLOOKUP(V181,商品!$A$4:$B$60,2,FALSE),0),"")</f>
        <v/>
      </c>
      <c r="AU181">
        <f t="shared" si="77"/>
        <v>0</v>
      </c>
      <c r="AV181">
        <f t="shared" si="78"/>
        <v>0</v>
      </c>
      <c r="AW181">
        <f t="shared" si="79"/>
        <v>0</v>
      </c>
    </row>
    <row r="182" spans="1:49" ht="19.95" customHeight="1" x14ac:dyDescent="0.25">
      <c r="A182" s="16" t="s">
        <v>214</v>
      </c>
      <c r="C182" s="16">
        <v>5</v>
      </c>
      <c r="D182" s="23" t="s">
        <v>174</v>
      </c>
      <c r="E182" s="23" t="s">
        <v>179</v>
      </c>
      <c r="L182" s="16">
        <f>IFERROR(VLOOKUP($D182&amp;$C182,生产方式定位!$A$2:$E$38,2,FALSE)+VLOOKUP($E182&amp;$C182,生产方式定位!$F$3:$J$38,2,FALSE),0)</f>
        <v>0</v>
      </c>
      <c r="S182" s="16">
        <f>IFERROR(VLOOKUP($D182&amp;$C182,生产方式定位!$A$2:$E$38,3,FALSE)+VLOOKUP($E182&amp;$C182,生产方式定位!$F$3:$J$38,3,FALSE),0)</f>
        <v>100</v>
      </c>
      <c r="X182" s="16">
        <f>IFERROR(VLOOKUP($D182&amp;$C182,生产方式定位!$A$2:$E$38,5,FALSE)+VLOOKUP($E182&amp;$C182,生产方式定位!$F$3:$J$38,5,FALSE),"错误")</f>
        <v>100</v>
      </c>
      <c r="Y182" s="26" t="str">
        <f t="shared" si="64"/>
        <v/>
      </c>
      <c r="Z182" s="36" t="str">
        <f t="shared" si="65"/>
        <v/>
      </c>
      <c r="AA182" s="36" t="str">
        <f t="shared" si="66"/>
        <v/>
      </c>
      <c r="AB182" s="27" t="str">
        <f t="shared" si="67"/>
        <v/>
      </c>
      <c r="AC182" s="2" t="str">
        <f t="shared" si="68"/>
        <v/>
      </c>
      <c r="AD182" s="38">
        <f t="shared" si="69"/>
        <v>5</v>
      </c>
      <c r="AE182" t="str">
        <f t="shared" si="70"/>
        <v/>
      </c>
      <c r="AF182" t="str">
        <f t="shared" si="71"/>
        <v/>
      </c>
      <c r="AG182" t="str">
        <f t="shared" si="72"/>
        <v/>
      </c>
      <c r="AH182" t="str">
        <f t="shared" si="73"/>
        <v/>
      </c>
      <c r="AI182" t="str">
        <f t="shared" si="74"/>
        <v/>
      </c>
      <c r="AJ182" t="str">
        <f t="shared" si="75"/>
        <v/>
      </c>
      <c r="AK182" t="str">
        <f t="shared" si="76"/>
        <v/>
      </c>
      <c r="AL182" t="str">
        <f>IFERROR(ROUND(L182*(G182/$AU182)/VLOOKUP(F182,商品!$A$4:$B$60,2,FALSE),0),"")</f>
        <v/>
      </c>
      <c r="AM182" t="str">
        <f>IFERROR(ROUND(L182*(I182/$AU182)/VLOOKUP(H182,商品!$A$4:$B$60,2,FALSE),0),"")</f>
        <v/>
      </c>
      <c r="AN182">
        <f>IFERROR(ROUND(L182*(J182/$AU182)/VLOOKUP("运力",商品!$A$4:$B$60,2,FALSE),0),0)</f>
        <v>0</v>
      </c>
      <c r="AO182">
        <f>IFERROR(ROUND(L182*(K182/$AU182)/VLOOKUP("交易",商品!$A$4:$B$60,2,FALSE),0),0)</f>
        <v>0</v>
      </c>
      <c r="AP182" t="str">
        <f>IFERROR(ROUND(S182*(N182/$AV182)/VLOOKUP(M182,职业!$A$4:$G$16,4,FALSE),0),"")</f>
        <v/>
      </c>
      <c r="AQ182" t="str">
        <f>IFERROR(ROUND(S182*(P182/$AV182)/VLOOKUP(O182,职业!$A$4:$G$16,4,FALSE),0),"")</f>
        <v/>
      </c>
      <c r="AR182" t="str">
        <f>IFERROR(ROUND(S182*(R182/$AV182)/VLOOKUP(Q182,职业!$A$4:$G$16,4,FALSE),0),"")</f>
        <v/>
      </c>
      <c r="AS182" t="str">
        <f>IFERROR(ROUND(X182*(U182/$AW182)/VLOOKUP(T182,商品!$A$4:$B$60,2,FALSE),0),"")</f>
        <v/>
      </c>
      <c r="AT182" t="str">
        <f>IFERROR(ROUND(X182*(W182/$AW182)/VLOOKUP(V182,商品!$A$4:$B$60,2,FALSE),0),"")</f>
        <v/>
      </c>
      <c r="AU182">
        <f t="shared" si="77"/>
        <v>0</v>
      </c>
      <c r="AV182">
        <f t="shared" si="78"/>
        <v>0</v>
      </c>
      <c r="AW182">
        <f t="shared" si="79"/>
        <v>0</v>
      </c>
    </row>
    <row r="183" spans="1:49" ht="19.95" customHeight="1" x14ac:dyDescent="0.25">
      <c r="A183" s="16" t="s">
        <v>214</v>
      </c>
      <c r="C183" s="16">
        <v>6</v>
      </c>
      <c r="D183" s="23" t="s">
        <v>174</v>
      </c>
      <c r="E183" s="23" t="s">
        <v>179</v>
      </c>
      <c r="L183" s="16">
        <f>IFERROR(VLOOKUP($D183&amp;$C183,生产方式定位!$A$2:$E$38,2,FALSE)+VLOOKUP($E183&amp;$C183,生产方式定位!$F$3:$J$38,2,FALSE),0)</f>
        <v>0</v>
      </c>
      <c r="S183" s="16">
        <f>IFERROR(VLOOKUP($D183&amp;$C183,生产方式定位!$A$2:$E$38,3,FALSE)+VLOOKUP($E183&amp;$C183,生产方式定位!$F$3:$J$38,3,FALSE),0)</f>
        <v>100</v>
      </c>
      <c r="X183" s="16">
        <f>IFERROR(VLOOKUP($D183&amp;$C183,生产方式定位!$A$2:$E$38,5,FALSE)+VLOOKUP($E183&amp;$C183,生产方式定位!$F$3:$J$38,5,FALSE),"错误")</f>
        <v>100</v>
      </c>
      <c r="Y183" s="26" t="str">
        <f t="shared" si="64"/>
        <v/>
      </c>
      <c r="Z183" s="36" t="str">
        <f t="shared" si="65"/>
        <v/>
      </c>
      <c r="AA183" s="36" t="str">
        <f t="shared" si="66"/>
        <v/>
      </c>
      <c r="AB183" s="27" t="str">
        <f t="shared" si="67"/>
        <v/>
      </c>
      <c r="AC183" s="2" t="str">
        <f t="shared" si="68"/>
        <v/>
      </c>
      <c r="AD183" s="37">
        <f t="shared" si="69"/>
        <v>6</v>
      </c>
      <c r="AE183" t="str">
        <f t="shared" si="70"/>
        <v/>
      </c>
      <c r="AF183" t="str">
        <f t="shared" si="71"/>
        <v/>
      </c>
      <c r="AG183" t="str">
        <f t="shared" si="72"/>
        <v/>
      </c>
      <c r="AH183" t="str">
        <f t="shared" si="73"/>
        <v/>
      </c>
      <c r="AI183" t="str">
        <f t="shared" si="74"/>
        <v/>
      </c>
      <c r="AJ183" t="str">
        <f t="shared" si="75"/>
        <v/>
      </c>
      <c r="AK183" t="str">
        <f t="shared" si="76"/>
        <v/>
      </c>
      <c r="AL183" t="str">
        <f>IFERROR(ROUND(L183*(G183/$AU183)/VLOOKUP(F183,商品!$A$4:$B$60,2,FALSE),0),"")</f>
        <v/>
      </c>
      <c r="AM183" t="str">
        <f>IFERROR(ROUND(L183*(I183/$AU183)/VLOOKUP(H183,商品!$A$4:$B$60,2,FALSE),0),"")</f>
        <v/>
      </c>
      <c r="AN183">
        <f>IFERROR(ROUND(L183*(J183/$AU183)/VLOOKUP("运力",商品!$A$4:$B$60,2,FALSE),0),0)</f>
        <v>0</v>
      </c>
      <c r="AO183">
        <f>IFERROR(ROUND(L183*(K183/$AU183)/VLOOKUP("交易",商品!$A$4:$B$60,2,FALSE),0),0)</f>
        <v>0</v>
      </c>
      <c r="AP183" t="str">
        <f>IFERROR(ROUND(S183*(N183/$AV183)/VLOOKUP(M183,职业!$A$4:$G$16,4,FALSE),0),"")</f>
        <v/>
      </c>
      <c r="AQ183" t="str">
        <f>IFERROR(ROUND(S183*(P183/$AV183)/VLOOKUP(O183,职业!$A$4:$G$16,4,FALSE),0),"")</f>
        <v/>
      </c>
      <c r="AR183" t="str">
        <f>IFERROR(ROUND(S183*(R183/$AV183)/VLOOKUP(Q183,职业!$A$4:$G$16,4,FALSE),0),"")</f>
        <v/>
      </c>
      <c r="AS183" t="str">
        <f>IFERROR(ROUND(X183*(U183/$AW183)/VLOOKUP(T183,商品!$A$4:$B$60,2,FALSE),0),"")</f>
        <v/>
      </c>
      <c r="AT183" t="str">
        <f>IFERROR(ROUND(X183*(W183/$AW183)/VLOOKUP(V183,商品!$A$4:$B$60,2,FALSE),0),"")</f>
        <v/>
      </c>
      <c r="AU183">
        <f t="shared" si="77"/>
        <v>0</v>
      </c>
      <c r="AV183">
        <f t="shared" si="78"/>
        <v>0</v>
      </c>
      <c r="AW183">
        <f t="shared" si="79"/>
        <v>0</v>
      </c>
    </row>
    <row r="184" spans="1:49" ht="19.95" customHeight="1" x14ac:dyDescent="0.25">
      <c r="A184" s="16" t="s">
        <v>214</v>
      </c>
      <c r="C184" s="16">
        <v>7</v>
      </c>
      <c r="D184" s="23" t="s">
        <v>174</v>
      </c>
      <c r="E184" s="23" t="s">
        <v>179</v>
      </c>
      <c r="L184" s="16">
        <f>IFERROR(VLOOKUP($D184&amp;$C184,生产方式定位!$A$2:$E$38,2,FALSE)+VLOOKUP($E184&amp;$C184,生产方式定位!$F$3:$J$38,2,FALSE),0)</f>
        <v>0</v>
      </c>
      <c r="S184" s="16">
        <f>IFERROR(VLOOKUP($D184&amp;$C184,生产方式定位!$A$2:$E$38,3,FALSE)+VLOOKUP($E184&amp;$C184,生产方式定位!$F$3:$J$38,3,FALSE),0)</f>
        <v>100</v>
      </c>
      <c r="X184" s="16">
        <f>IFERROR(VLOOKUP($D184&amp;$C184,生产方式定位!$A$2:$E$38,5,FALSE)+VLOOKUP($E184&amp;$C184,生产方式定位!$F$3:$J$38,5,FALSE),"错误")</f>
        <v>100</v>
      </c>
      <c r="Y184" s="26" t="str">
        <f t="shared" si="64"/>
        <v/>
      </c>
      <c r="Z184" s="36" t="str">
        <f t="shared" si="65"/>
        <v/>
      </c>
      <c r="AA184" s="36" t="str">
        <f t="shared" si="66"/>
        <v/>
      </c>
      <c r="AB184" s="27" t="str">
        <f t="shared" si="67"/>
        <v/>
      </c>
      <c r="AC184" s="2" t="str">
        <f t="shared" si="68"/>
        <v/>
      </c>
      <c r="AD184" s="37">
        <f t="shared" si="69"/>
        <v>7</v>
      </c>
      <c r="AE184" t="str">
        <f t="shared" si="70"/>
        <v/>
      </c>
      <c r="AF184" t="str">
        <f t="shared" si="71"/>
        <v/>
      </c>
      <c r="AG184" t="str">
        <f t="shared" si="72"/>
        <v/>
      </c>
      <c r="AH184" t="str">
        <f t="shared" si="73"/>
        <v/>
      </c>
      <c r="AI184" t="str">
        <f t="shared" si="74"/>
        <v/>
      </c>
      <c r="AJ184" t="str">
        <f t="shared" si="75"/>
        <v/>
      </c>
      <c r="AK184" t="str">
        <f t="shared" si="76"/>
        <v/>
      </c>
      <c r="AL184" t="str">
        <f>IFERROR(ROUND(L184*(G184/$AU184)/VLOOKUP(F184,商品!$A$4:$B$60,2,FALSE),0),"")</f>
        <v/>
      </c>
      <c r="AM184" t="str">
        <f>IFERROR(ROUND(L184*(I184/$AU184)/VLOOKUP(H184,商品!$A$4:$B$60,2,FALSE),0),"")</f>
        <v/>
      </c>
      <c r="AN184">
        <f>IFERROR(ROUND(L184*(J184/$AU184)/VLOOKUP("运力",商品!$A$4:$B$60,2,FALSE),0),0)</f>
        <v>0</v>
      </c>
      <c r="AO184">
        <f>IFERROR(ROUND(L184*(K184/$AU184)/VLOOKUP("交易",商品!$A$4:$B$60,2,FALSE),0),0)</f>
        <v>0</v>
      </c>
      <c r="AP184" t="str">
        <f>IFERROR(ROUND(S184*(N184/$AV184)/VLOOKUP(M184,职业!$A$4:$G$16,4,FALSE),0),"")</f>
        <v/>
      </c>
      <c r="AQ184" t="str">
        <f>IFERROR(ROUND(S184*(P184/$AV184)/VLOOKUP(O184,职业!$A$4:$G$16,4,FALSE),0),"")</f>
        <v/>
      </c>
      <c r="AR184" t="str">
        <f>IFERROR(ROUND(S184*(R184/$AV184)/VLOOKUP(Q184,职业!$A$4:$G$16,4,FALSE),0),"")</f>
        <v/>
      </c>
      <c r="AS184" t="str">
        <f>IFERROR(ROUND(X184*(U184/$AW184)/VLOOKUP(T184,商品!$A$4:$B$60,2,FALSE),0),"")</f>
        <v/>
      </c>
      <c r="AT184" t="str">
        <f>IFERROR(ROUND(X184*(W184/$AW184)/VLOOKUP(V184,商品!$A$4:$B$60,2,FALSE),0),"")</f>
        <v/>
      </c>
      <c r="AU184">
        <f t="shared" si="77"/>
        <v>0</v>
      </c>
      <c r="AV184">
        <f t="shared" si="78"/>
        <v>0</v>
      </c>
      <c r="AW184">
        <f t="shared" si="79"/>
        <v>0</v>
      </c>
    </row>
    <row r="185" spans="1:49" ht="19.95" customHeight="1" x14ac:dyDescent="0.25">
      <c r="A185" s="16" t="s">
        <v>214</v>
      </c>
      <c r="C185" s="16">
        <v>8</v>
      </c>
      <c r="D185" s="23" t="s">
        <v>174</v>
      </c>
      <c r="E185" s="23" t="s">
        <v>179</v>
      </c>
      <c r="L185" s="16">
        <f>IFERROR(VLOOKUP($D185&amp;$C185,生产方式定位!$A$2:$E$38,2,FALSE)+VLOOKUP($E185&amp;$C185,生产方式定位!$F$3:$J$38,2,FALSE),0)</f>
        <v>0</v>
      </c>
      <c r="S185" s="16">
        <f>IFERROR(VLOOKUP($D185&amp;$C185,生产方式定位!$A$2:$E$38,3,FALSE)+VLOOKUP($E185&amp;$C185,生产方式定位!$F$3:$J$38,3,FALSE),0)</f>
        <v>100</v>
      </c>
      <c r="X185" s="16">
        <f>IFERROR(VLOOKUP($D185&amp;$C185,生产方式定位!$A$2:$E$38,5,FALSE)+VLOOKUP($E185&amp;$C185,生产方式定位!$F$3:$J$38,5,FALSE),"错误")</f>
        <v>100</v>
      </c>
      <c r="Y185" s="26" t="str">
        <f t="shared" si="64"/>
        <v/>
      </c>
      <c r="Z185" s="36" t="str">
        <f t="shared" si="65"/>
        <v/>
      </c>
      <c r="AA185" s="36" t="str">
        <f t="shared" si="66"/>
        <v/>
      </c>
      <c r="AB185" s="27" t="str">
        <f t="shared" si="67"/>
        <v/>
      </c>
      <c r="AC185" s="2" t="str">
        <f t="shared" si="68"/>
        <v/>
      </c>
      <c r="AD185" s="37">
        <f t="shared" si="69"/>
        <v>8</v>
      </c>
      <c r="AE185" t="str">
        <f t="shared" si="70"/>
        <v/>
      </c>
      <c r="AF185" t="str">
        <f t="shared" si="71"/>
        <v/>
      </c>
      <c r="AG185" t="str">
        <f t="shared" si="72"/>
        <v/>
      </c>
      <c r="AH185" t="str">
        <f t="shared" si="73"/>
        <v/>
      </c>
      <c r="AI185" t="str">
        <f t="shared" si="74"/>
        <v/>
      </c>
      <c r="AJ185" t="str">
        <f t="shared" si="75"/>
        <v/>
      </c>
      <c r="AK185" t="str">
        <f t="shared" si="76"/>
        <v/>
      </c>
      <c r="AL185" t="str">
        <f>IFERROR(ROUND(L185*(G185/$AU185)/VLOOKUP(F185,商品!$A$4:$B$60,2,FALSE),0),"")</f>
        <v/>
      </c>
      <c r="AM185" t="str">
        <f>IFERROR(ROUND(L185*(I185/$AU185)/VLOOKUP(H185,商品!$A$4:$B$60,2,FALSE),0),"")</f>
        <v/>
      </c>
      <c r="AN185">
        <f>IFERROR(ROUND(L185*(J185/$AU185)/VLOOKUP("运力",商品!$A$4:$B$60,2,FALSE),0),0)</f>
        <v>0</v>
      </c>
      <c r="AO185">
        <f>IFERROR(ROUND(L185*(K185/$AU185)/VLOOKUP("交易",商品!$A$4:$B$60,2,FALSE),0),0)</f>
        <v>0</v>
      </c>
      <c r="AP185" t="str">
        <f>IFERROR(ROUND(S185*(N185/$AV185)/VLOOKUP(M185,职业!$A$4:$G$16,4,FALSE),0),"")</f>
        <v/>
      </c>
      <c r="AQ185" t="str">
        <f>IFERROR(ROUND(S185*(P185/$AV185)/VLOOKUP(O185,职业!$A$4:$G$16,4,FALSE),0),"")</f>
        <v/>
      </c>
      <c r="AR185" t="str">
        <f>IFERROR(ROUND(S185*(R185/$AV185)/VLOOKUP(Q185,职业!$A$4:$G$16,4,FALSE),0),"")</f>
        <v/>
      </c>
      <c r="AS185" t="str">
        <f>IFERROR(ROUND(X185*(U185/$AW185)/VLOOKUP(T185,商品!$A$4:$B$60,2,FALSE),0),"")</f>
        <v/>
      </c>
      <c r="AT185" t="str">
        <f>IFERROR(ROUND(X185*(W185/$AW185)/VLOOKUP(V185,商品!$A$4:$B$60,2,FALSE),0),"")</f>
        <v/>
      </c>
      <c r="AU185">
        <f t="shared" si="77"/>
        <v>0</v>
      </c>
      <c r="AV185">
        <f t="shared" si="78"/>
        <v>0</v>
      </c>
      <c r="AW185">
        <f t="shared" si="79"/>
        <v>0</v>
      </c>
    </row>
    <row r="186" spans="1:49" ht="19.95" customHeight="1" x14ac:dyDescent="0.25">
      <c r="A186" s="15" t="s">
        <v>216</v>
      </c>
      <c r="C186" s="15">
        <v>1</v>
      </c>
      <c r="D186" s="23" t="s">
        <v>171</v>
      </c>
      <c r="E186" s="23" t="s">
        <v>172</v>
      </c>
      <c r="F186" s="2" t="s">
        <v>11</v>
      </c>
      <c r="G186" s="2">
        <v>5</v>
      </c>
      <c r="L186" s="15">
        <f>IFERROR(VLOOKUP($D186&amp;$C186,生产方式定位!$A$2:$E$38,2,FALSE)+VLOOKUP($E186&amp;$C186,生产方式定位!$F$3:$J$38,2,FALSE),0)</f>
        <v>300</v>
      </c>
      <c r="M186" s="2" t="s">
        <v>80</v>
      </c>
      <c r="N186" s="2">
        <v>100</v>
      </c>
      <c r="S186" s="15">
        <f>IFERROR(VLOOKUP($D186&amp;$C186,生产方式定位!$A$2:$E$38,3,FALSE)+VLOOKUP($E186&amp;$C186,生产方式定位!$F$3:$J$38,3,FALSE),0)</f>
        <v>100</v>
      </c>
      <c r="T186" s="2" t="s">
        <v>41</v>
      </c>
      <c r="U186" s="2">
        <v>1</v>
      </c>
      <c r="X186" s="15">
        <f>IFERROR(VLOOKUP($D186&amp;$C186,生产方式定位!$A$2:$E$38,5,FALSE)+VLOOKUP($E186&amp;$C186,生产方式定位!$F$3:$J$38,5,FALSE),"错误")</f>
        <v>520</v>
      </c>
      <c r="Y186" s="26" t="str">
        <f t="shared" si="64"/>
        <v>木材*15</v>
      </c>
      <c r="Z186" s="36" t="str">
        <f t="shared" si="65"/>
        <v>劳工*4525</v>
      </c>
      <c r="AA186" s="36" t="str">
        <f t="shared" si="66"/>
        <v>工具*13</v>
      </c>
      <c r="AB186" s="27" t="str">
        <f t="shared" si="67"/>
        <v>73%</v>
      </c>
      <c r="AC186" s="2">
        <f t="shared" si="68"/>
        <v>120</v>
      </c>
      <c r="AD186" s="37">
        <f t="shared" si="69"/>
        <v>1</v>
      </c>
      <c r="AE186" t="str">
        <f t="shared" si="70"/>
        <v>木材*15</v>
      </c>
      <c r="AF186" t="str">
        <f t="shared" si="71"/>
        <v/>
      </c>
      <c r="AG186" t="str">
        <f t="shared" si="72"/>
        <v>劳工*4525</v>
      </c>
      <c r="AH186" t="str">
        <f t="shared" si="73"/>
        <v/>
      </c>
      <c r="AI186" t="str">
        <f t="shared" si="74"/>
        <v/>
      </c>
      <c r="AJ186" t="str">
        <f t="shared" si="75"/>
        <v>工具*13</v>
      </c>
      <c r="AK186" t="str">
        <f t="shared" si="76"/>
        <v/>
      </c>
      <c r="AL186">
        <f>IFERROR(ROUND(L186*(G186/$AU186)/VLOOKUP(F186,商品!$A$4:$B$60,2,FALSE),0),"")</f>
        <v>15</v>
      </c>
      <c r="AM186" t="str">
        <f>IFERROR(ROUND(L186*(I186/$AU186)/VLOOKUP(H186,商品!$A$4:$B$60,2,FALSE),0),"")</f>
        <v/>
      </c>
      <c r="AN186">
        <f>IFERROR(ROUND(L186*(J186/$AU186)/VLOOKUP("运力",商品!$A$4:$B$60,2,FALSE),0),0)</f>
        <v>0</v>
      </c>
      <c r="AO186">
        <f>IFERROR(ROUND(L186*(K186/$AU186)/VLOOKUP("交易",商品!$A$4:$B$60,2,FALSE),0),0)</f>
        <v>0</v>
      </c>
      <c r="AP186">
        <f>IFERROR(ROUND(S186*(N186/$AV186)/VLOOKUP(M186,职业!$A$4:$G$16,4,FALSE),0),"")</f>
        <v>4525</v>
      </c>
      <c r="AQ186" t="str">
        <f>IFERROR(ROUND(S186*(P186/$AV186)/VLOOKUP(O186,职业!$A$4:$G$16,4,FALSE),0),"")</f>
        <v/>
      </c>
      <c r="AR186" t="str">
        <f>IFERROR(ROUND(S186*(R186/$AV186)/VLOOKUP(Q186,职业!$A$4:$G$16,4,FALSE),0),"")</f>
        <v/>
      </c>
      <c r="AS186">
        <f>IFERROR(ROUND(X186*(U186/$AW186)/VLOOKUP(T186,商品!$A$4:$B$60,2,FALSE),0),"")</f>
        <v>13</v>
      </c>
      <c r="AT186" t="str">
        <f>IFERROR(ROUND(X186*(W186/$AW186)/VLOOKUP(V186,商品!$A$4:$B$60,2,FALSE),0),"")</f>
        <v/>
      </c>
      <c r="AU186">
        <f t="shared" si="77"/>
        <v>5</v>
      </c>
      <c r="AV186">
        <f t="shared" si="78"/>
        <v>100</v>
      </c>
      <c r="AW186">
        <f t="shared" si="79"/>
        <v>1</v>
      </c>
    </row>
    <row r="187" spans="1:49" ht="19.95" customHeight="1" x14ac:dyDescent="0.25">
      <c r="A187" s="15" t="s">
        <v>216</v>
      </c>
      <c r="C187" s="15">
        <v>2</v>
      </c>
      <c r="D187" s="23" t="s">
        <v>171</v>
      </c>
      <c r="E187" s="23" t="s">
        <v>172</v>
      </c>
      <c r="F187" s="2" t="s">
        <v>11</v>
      </c>
      <c r="G187" s="2">
        <v>5</v>
      </c>
      <c r="H187" s="2" t="s">
        <v>16</v>
      </c>
      <c r="I187" s="2">
        <v>5</v>
      </c>
      <c r="L187" s="15">
        <f>IFERROR(VLOOKUP($D187&amp;$C187,生产方式定位!$A$2:$E$38,2,FALSE)+VLOOKUP($E187&amp;$C187,生产方式定位!$F$3:$J$38,2,FALSE),0)</f>
        <v>1100</v>
      </c>
      <c r="M187" s="2" t="s">
        <v>80</v>
      </c>
      <c r="N187" s="2">
        <v>100</v>
      </c>
      <c r="O187" s="2" t="s">
        <v>73</v>
      </c>
      <c r="P187" s="2">
        <v>5</v>
      </c>
      <c r="S187" s="15">
        <f>IFERROR(VLOOKUP($D187&amp;$C187,生产方式定位!$A$2:$E$38,3,FALSE)+VLOOKUP($E187&amp;$C187,生产方式定位!$F$3:$J$38,3,FALSE),0)</f>
        <v>100</v>
      </c>
      <c r="T187" s="2" t="s">
        <v>41</v>
      </c>
      <c r="U187" s="2">
        <v>1</v>
      </c>
      <c r="X187" s="15">
        <f>IFERROR(VLOOKUP($D187&amp;$C187,生产方式定位!$A$2:$E$38,5,FALSE)+VLOOKUP($E187&amp;$C187,生产方式定位!$F$3:$J$38,5,FALSE),"错误")</f>
        <v>1510</v>
      </c>
      <c r="Y187" s="26" t="str">
        <f t="shared" si="64"/>
        <v>木材*28,铁*14</v>
      </c>
      <c r="Z187" s="36" t="str">
        <f t="shared" si="65"/>
        <v>劳工*4309,工程师*72</v>
      </c>
      <c r="AA187" s="36" t="str">
        <f t="shared" si="66"/>
        <v>工具*38</v>
      </c>
      <c r="AB187" s="27" t="str">
        <f t="shared" si="67"/>
        <v>37%</v>
      </c>
      <c r="AC187" s="2">
        <f t="shared" si="68"/>
        <v>310</v>
      </c>
      <c r="AD187" s="37">
        <f t="shared" si="69"/>
        <v>2</v>
      </c>
      <c r="AE187" t="str">
        <f t="shared" si="70"/>
        <v>木材*28</v>
      </c>
      <c r="AF187" t="str">
        <f t="shared" si="71"/>
        <v>铁*14</v>
      </c>
      <c r="AG187" t="str">
        <f t="shared" si="72"/>
        <v>劳工*4309</v>
      </c>
      <c r="AH187" t="str">
        <f t="shared" si="73"/>
        <v>工程师*72</v>
      </c>
      <c r="AI187" t="str">
        <f t="shared" si="74"/>
        <v/>
      </c>
      <c r="AJ187" t="str">
        <f t="shared" si="75"/>
        <v>工具*38</v>
      </c>
      <c r="AK187" t="str">
        <f t="shared" si="76"/>
        <v/>
      </c>
      <c r="AL187">
        <f>IFERROR(ROUND(L187*(G187/$AU187)/VLOOKUP(F187,商品!$A$4:$B$60,2,FALSE),0),"")</f>
        <v>28</v>
      </c>
      <c r="AM187">
        <f>IFERROR(ROUND(L187*(I187/$AU187)/VLOOKUP(H187,商品!$A$4:$B$60,2,FALSE),0),"")</f>
        <v>14</v>
      </c>
      <c r="AN187">
        <f>IFERROR(ROUND(L187*(J187/$AU187)/VLOOKUP("运力",商品!$A$4:$B$60,2,FALSE),0),0)</f>
        <v>0</v>
      </c>
      <c r="AO187">
        <f>IFERROR(ROUND(L187*(K187/$AU187)/VLOOKUP("交易",商品!$A$4:$B$60,2,FALSE),0),0)</f>
        <v>0</v>
      </c>
      <c r="AP187">
        <f>IFERROR(ROUND(S187*(N187/$AV187)/VLOOKUP(M187,职业!$A$4:$G$16,4,FALSE),0),"")</f>
        <v>4309</v>
      </c>
      <c r="AQ187">
        <f>IFERROR(ROUND(S187*(P187/$AV187)/VLOOKUP(O187,职业!$A$4:$G$16,4,FALSE),0),"")</f>
        <v>72</v>
      </c>
      <c r="AR187" t="str">
        <f>IFERROR(ROUND(S187*(R187/$AV187)/VLOOKUP(Q187,职业!$A$4:$G$16,4,FALSE),0),"")</f>
        <v/>
      </c>
      <c r="AS187">
        <f>IFERROR(ROUND(X187*(U187/$AW187)/VLOOKUP(T187,商品!$A$4:$B$60,2,FALSE),0),"")</f>
        <v>38</v>
      </c>
      <c r="AT187" t="str">
        <f>IFERROR(ROUND(X187*(W187/$AW187)/VLOOKUP(V187,商品!$A$4:$B$60,2,FALSE),0),"")</f>
        <v/>
      </c>
      <c r="AU187">
        <f t="shared" si="77"/>
        <v>10</v>
      </c>
      <c r="AV187">
        <f t="shared" si="78"/>
        <v>105</v>
      </c>
      <c r="AW187">
        <f t="shared" si="79"/>
        <v>1</v>
      </c>
    </row>
    <row r="188" spans="1:49" ht="19.95" customHeight="1" x14ac:dyDescent="0.25">
      <c r="A188" s="15" t="s">
        <v>216</v>
      </c>
      <c r="C188" s="15">
        <v>3</v>
      </c>
      <c r="D188" s="23" t="s">
        <v>171</v>
      </c>
      <c r="E188" s="23" t="s">
        <v>172</v>
      </c>
      <c r="F188" s="2" t="s">
        <v>16</v>
      </c>
      <c r="G188" s="2">
        <v>5</v>
      </c>
      <c r="L188" s="15">
        <f>IFERROR(VLOOKUP($D188&amp;$C188,生产方式定位!$A$2:$E$38,2,FALSE)+VLOOKUP($E188&amp;$C188,生产方式定位!$F$3:$J$38,2,FALSE),0)</f>
        <v>1525</v>
      </c>
      <c r="M188" s="2" t="s">
        <v>80</v>
      </c>
      <c r="N188" s="2">
        <v>100</v>
      </c>
      <c r="O188" s="2" t="s">
        <v>73</v>
      </c>
      <c r="P188" s="2">
        <v>10</v>
      </c>
      <c r="S188" s="15">
        <f>IFERROR(VLOOKUP($D188&amp;$C188,生产方式定位!$A$2:$E$38,3,FALSE)+VLOOKUP($E188&amp;$C188,生产方式定位!$F$3:$J$38,3,FALSE),0)</f>
        <v>100</v>
      </c>
      <c r="T188" s="2" t="s">
        <v>41</v>
      </c>
      <c r="U188" s="2">
        <v>1</v>
      </c>
      <c r="X188" s="15">
        <f>IFERROR(VLOOKUP($D188&amp;$C188,生产方式定位!$A$2:$E$38,5,FALSE)+VLOOKUP($E188&amp;$C188,生产方式定位!$F$3:$J$38,5,FALSE),"错误")</f>
        <v>2050</v>
      </c>
      <c r="Y188" s="26" t="str">
        <f t="shared" si="64"/>
        <v>铁*38</v>
      </c>
      <c r="Z188" s="36" t="str">
        <f t="shared" si="65"/>
        <v>劳工*4114,工程师*137</v>
      </c>
      <c r="AA188" s="36" t="str">
        <f t="shared" si="66"/>
        <v>工具*51</v>
      </c>
      <c r="AB188" s="27" t="str">
        <f t="shared" si="67"/>
        <v>34%</v>
      </c>
      <c r="AC188" s="2">
        <f t="shared" si="68"/>
        <v>425</v>
      </c>
      <c r="AD188" s="38">
        <f t="shared" si="69"/>
        <v>3</v>
      </c>
      <c r="AE188" t="str">
        <f t="shared" si="70"/>
        <v>铁*38</v>
      </c>
      <c r="AF188" t="str">
        <f t="shared" si="71"/>
        <v/>
      </c>
      <c r="AG188" t="str">
        <f t="shared" si="72"/>
        <v>劳工*4114</v>
      </c>
      <c r="AH188" t="str">
        <f t="shared" si="73"/>
        <v>工程师*137</v>
      </c>
      <c r="AI188" t="str">
        <f t="shared" si="74"/>
        <v/>
      </c>
      <c r="AJ188" t="str">
        <f t="shared" si="75"/>
        <v>工具*51</v>
      </c>
      <c r="AK188" t="str">
        <f t="shared" si="76"/>
        <v/>
      </c>
      <c r="AL188">
        <f>IFERROR(ROUND(L188*(G188/$AU188)/VLOOKUP(F188,商品!$A$4:$B$60,2,FALSE),0),"")</f>
        <v>38</v>
      </c>
      <c r="AM188" t="str">
        <f>IFERROR(ROUND(L188*(I188/$AU188)/VLOOKUP(H188,商品!$A$4:$B$60,2,FALSE),0),"")</f>
        <v/>
      </c>
      <c r="AN188">
        <f>IFERROR(ROUND(L188*(J188/$AU188)/VLOOKUP("运力",商品!$A$4:$B$60,2,FALSE),0),0)</f>
        <v>0</v>
      </c>
      <c r="AO188">
        <f>IFERROR(ROUND(L188*(K188/$AU188)/VLOOKUP("交易",商品!$A$4:$B$60,2,FALSE),0),0)</f>
        <v>0</v>
      </c>
      <c r="AP188">
        <f>IFERROR(ROUND(S188*(N188/$AV188)/VLOOKUP(M188,职业!$A$4:$G$16,4,FALSE),0),"")</f>
        <v>4114</v>
      </c>
      <c r="AQ188">
        <f>IFERROR(ROUND(S188*(P188/$AV188)/VLOOKUP(O188,职业!$A$4:$G$16,4,FALSE),0),"")</f>
        <v>137</v>
      </c>
      <c r="AR188" t="str">
        <f>IFERROR(ROUND(S188*(R188/$AV188)/VLOOKUP(Q188,职业!$A$4:$G$16,4,FALSE),0),"")</f>
        <v/>
      </c>
      <c r="AS188">
        <f>IFERROR(ROUND(X188*(U188/$AW188)/VLOOKUP(T188,商品!$A$4:$B$60,2,FALSE),0),"")</f>
        <v>51</v>
      </c>
      <c r="AT188" t="str">
        <f>IFERROR(ROUND(X188*(W188/$AW188)/VLOOKUP(V188,商品!$A$4:$B$60,2,FALSE),0),"")</f>
        <v/>
      </c>
      <c r="AU188">
        <f t="shared" si="77"/>
        <v>5</v>
      </c>
      <c r="AV188">
        <f t="shared" si="78"/>
        <v>110</v>
      </c>
      <c r="AW188">
        <f t="shared" si="79"/>
        <v>1</v>
      </c>
    </row>
    <row r="189" spans="1:49" ht="19.95" customHeight="1" x14ac:dyDescent="0.25">
      <c r="A189" s="15" t="s">
        <v>216</v>
      </c>
      <c r="C189" s="15">
        <v>4</v>
      </c>
      <c r="D189" s="23" t="s">
        <v>171</v>
      </c>
      <c r="E189" s="23" t="s">
        <v>172</v>
      </c>
      <c r="F189" s="2" t="s">
        <v>39</v>
      </c>
      <c r="G189" s="2">
        <v>5</v>
      </c>
      <c r="L189" s="15">
        <f>IFERROR(VLOOKUP($D189&amp;$C189,生产方式定位!$A$2:$E$38,2,FALSE)+VLOOKUP($E189&amp;$C189,生产方式定位!$F$3:$J$38,2,FALSE),0)</f>
        <v>1950</v>
      </c>
      <c r="M189" s="2" t="s">
        <v>80</v>
      </c>
      <c r="N189" s="2">
        <v>100</v>
      </c>
      <c r="O189" s="2" t="s">
        <v>73</v>
      </c>
      <c r="P189" s="2">
        <v>15</v>
      </c>
      <c r="S189" s="15">
        <f>IFERROR(VLOOKUP($D189&amp;$C189,生产方式定位!$A$2:$E$38,3,FALSE)+VLOOKUP($E189&amp;$C189,生产方式定位!$F$3:$J$38,3,FALSE),0)</f>
        <v>100</v>
      </c>
      <c r="T189" s="2" t="s">
        <v>41</v>
      </c>
      <c r="U189" s="2">
        <v>1</v>
      </c>
      <c r="X189" s="15">
        <f>IFERROR(VLOOKUP($D189&amp;$C189,生产方式定位!$A$2:$E$38,5,FALSE)+VLOOKUP($E189&amp;$C189,生产方式定位!$F$3:$J$38,5,FALSE),"错误")</f>
        <v>2590</v>
      </c>
      <c r="Y189" s="26" t="str">
        <f t="shared" si="64"/>
        <v>钢铁*33</v>
      </c>
      <c r="Z189" s="36" t="str">
        <f t="shared" si="65"/>
        <v>劳工*3935,工程师*197</v>
      </c>
      <c r="AA189" s="36" t="str">
        <f t="shared" si="66"/>
        <v>工具*65</v>
      </c>
      <c r="AB189" s="27" t="str">
        <f t="shared" si="67"/>
        <v>33%</v>
      </c>
      <c r="AC189" s="2">
        <f t="shared" si="68"/>
        <v>540</v>
      </c>
      <c r="AD189" s="38">
        <f t="shared" si="69"/>
        <v>4</v>
      </c>
      <c r="AE189" t="str">
        <f t="shared" si="70"/>
        <v>钢铁*33</v>
      </c>
      <c r="AF189" t="str">
        <f t="shared" si="71"/>
        <v/>
      </c>
      <c r="AG189" t="str">
        <f t="shared" si="72"/>
        <v>劳工*3935</v>
      </c>
      <c r="AH189" t="str">
        <f t="shared" si="73"/>
        <v>工程师*197</v>
      </c>
      <c r="AI189" t="str">
        <f t="shared" si="74"/>
        <v/>
      </c>
      <c r="AJ189" t="str">
        <f t="shared" si="75"/>
        <v>工具*65</v>
      </c>
      <c r="AK189" t="str">
        <f t="shared" si="76"/>
        <v/>
      </c>
      <c r="AL189">
        <f>IFERROR(ROUND(L189*(G189/$AU189)/VLOOKUP(F189,商品!$A$4:$B$60,2,FALSE),0),"")</f>
        <v>33</v>
      </c>
      <c r="AM189" t="str">
        <f>IFERROR(ROUND(L189*(I189/$AU189)/VLOOKUP(H189,商品!$A$4:$B$60,2,FALSE),0),"")</f>
        <v/>
      </c>
      <c r="AN189">
        <f>IFERROR(ROUND(L189*(J189/$AU189)/VLOOKUP("运力",商品!$A$4:$B$60,2,FALSE),0),0)</f>
        <v>0</v>
      </c>
      <c r="AO189">
        <f>IFERROR(ROUND(L189*(K189/$AU189)/VLOOKUP("交易",商品!$A$4:$B$60,2,FALSE),0),0)</f>
        <v>0</v>
      </c>
      <c r="AP189">
        <f>IFERROR(ROUND(S189*(N189/$AV189)/VLOOKUP(M189,职业!$A$4:$G$16,4,FALSE),0),"")</f>
        <v>3935</v>
      </c>
      <c r="AQ189">
        <f>IFERROR(ROUND(S189*(P189/$AV189)/VLOOKUP(O189,职业!$A$4:$G$16,4,FALSE),0),"")</f>
        <v>197</v>
      </c>
      <c r="AR189" t="str">
        <f>IFERROR(ROUND(S189*(R189/$AV189)/VLOOKUP(Q189,职业!$A$4:$G$16,4,FALSE),0),"")</f>
        <v/>
      </c>
      <c r="AS189">
        <f>IFERROR(ROUND(X189*(U189/$AW189)/VLOOKUP(T189,商品!$A$4:$B$60,2,FALSE),0),"")</f>
        <v>65</v>
      </c>
      <c r="AT189" t="str">
        <f>IFERROR(ROUND(X189*(W189/$AW189)/VLOOKUP(V189,商品!$A$4:$B$60,2,FALSE),0),"")</f>
        <v/>
      </c>
      <c r="AU189">
        <f t="shared" si="77"/>
        <v>5</v>
      </c>
      <c r="AV189">
        <f t="shared" si="78"/>
        <v>115</v>
      </c>
      <c r="AW189">
        <f t="shared" si="79"/>
        <v>1</v>
      </c>
    </row>
    <row r="190" spans="1:49" ht="19.95" customHeight="1" x14ac:dyDescent="0.25">
      <c r="A190" s="15" t="s">
        <v>216</v>
      </c>
      <c r="C190" s="15">
        <v>5</v>
      </c>
      <c r="D190" s="23" t="s">
        <v>171</v>
      </c>
      <c r="E190" s="23" t="s">
        <v>172</v>
      </c>
      <c r="F190" s="2" t="s">
        <v>39</v>
      </c>
      <c r="G190" s="2">
        <v>5</v>
      </c>
      <c r="L190" s="15">
        <f>IFERROR(VLOOKUP($D190&amp;$C190,生产方式定位!$A$2:$E$38,2,FALSE)+VLOOKUP($E190&amp;$C190,生产方式定位!$F$3:$J$38,2,FALSE),0)</f>
        <v>2375</v>
      </c>
      <c r="M190" s="2" t="s">
        <v>80</v>
      </c>
      <c r="N190" s="2">
        <v>100</v>
      </c>
      <c r="O190" s="2" t="s">
        <v>73</v>
      </c>
      <c r="P190" s="2">
        <v>20</v>
      </c>
      <c r="S190" s="15">
        <f>IFERROR(VLOOKUP($D190&amp;$C190,生产方式定位!$A$2:$E$38,3,FALSE)+VLOOKUP($E190&amp;$C190,生产方式定位!$F$3:$J$38,3,FALSE),0)</f>
        <v>100</v>
      </c>
      <c r="T190" s="2" t="s">
        <v>41</v>
      </c>
      <c r="U190" s="2">
        <v>1</v>
      </c>
      <c r="X190" s="15">
        <f>IFERROR(VLOOKUP($D190&amp;$C190,生产方式定位!$A$2:$E$38,5,FALSE)+VLOOKUP($E190&amp;$C190,生产方式定位!$F$3:$J$38,5,FALSE),"错误")</f>
        <v>3130</v>
      </c>
      <c r="Y190" s="26" t="str">
        <f t="shared" si="64"/>
        <v>钢铁*40</v>
      </c>
      <c r="Z190" s="36" t="str">
        <f t="shared" si="65"/>
        <v>劳工*3771,工程师*251</v>
      </c>
      <c r="AA190" s="36" t="str">
        <f t="shared" si="66"/>
        <v>工具*78</v>
      </c>
      <c r="AB190" s="27" t="str">
        <f t="shared" si="67"/>
        <v>32%</v>
      </c>
      <c r="AC190" s="2">
        <f t="shared" si="68"/>
        <v>655</v>
      </c>
      <c r="AD190" s="38">
        <f t="shared" si="69"/>
        <v>5</v>
      </c>
      <c r="AE190" t="str">
        <f t="shared" si="70"/>
        <v>钢铁*40</v>
      </c>
      <c r="AF190" t="str">
        <f t="shared" si="71"/>
        <v/>
      </c>
      <c r="AG190" t="str">
        <f t="shared" si="72"/>
        <v>劳工*3771</v>
      </c>
      <c r="AH190" t="str">
        <f t="shared" si="73"/>
        <v>工程师*251</v>
      </c>
      <c r="AI190" t="str">
        <f t="shared" si="74"/>
        <v/>
      </c>
      <c r="AJ190" t="str">
        <f t="shared" si="75"/>
        <v>工具*78</v>
      </c>
      <c r="AK190" t="str">
        <f t="shared" si="76"/>
        <v/>
      </c>
      <c r="AL190">
        <f>IFERROR(ROUND(L190*(G190/$AU190)/VLOOKUP(F190,商品!$A$4:$B$60,2,FALSE),0),"")</f>
        <v>40</v>
      </c>
      <c r="AM190" t="str">
        <f>IFERROR(ROUND(L190*(I190/$AU190)/VLOOKUP(H190,商品!$A$4:$B$60,2,FALSE),0),"")</f>
        <v/>
      </c>
      <c r="AN190">
        <f>IFERROR(ROUND(L190*(J190/$AU190)/VLOOKUP("运力",商品!$A$4:$B$60,2,FALSE),0),0)</f>
        <v>0</v>
      </c>
      <c r="AO190">
        <f>IFERROR(ROUND(L190*(K190/$AU190)/VLOOKUP("交易",商品!$A$4:$B$60,2,FALSE),0),0)</f>
        <v>0</v>
      </c>
      <c r="AP190">
        <f>IFERROR(ROUND(S190*(N190/$AV190)/VLOOKUP(M190,职业!$A$4:$G$16,4,FALSE),0),"")</f>
        <v>3771</v>
      </c>
      <c r="AQ190">
        <f>IFERROR(ROUND(S190*(P190/$AV190)/VLOOKUP(O190,职业!$A$4:$G$16,4,FALSE),0),"")</f>
        <v>251</v>
      </c>
      <c r="AR190" t="str">
        <f>IFERROR(ROUND(S190*(R190/$AV190)/VLOOKUP(Q190,职业!$A$4:$G$16,4,FALSE),0),"")</f>
        <v/>
      </c>
      <c r="AS190">
        <f>IFERROR(ROUND(X190*(U190/$AW190)/VLOOKUP(T190,商品!$A$4:$B$60,2,FALSE),0),"")</f>
        <v>78</v>
      </c>
      <c r="AT190" t="str">
        <f>IFERROR(ROUND(X190*(W190/$AW190)/VLOOKUP(V190,商品!$A$4:$B$60,2,FALSE),0),"")</f>
        <v/>
      </c>
      <c r="AU190">
        <f t="shared" si="77"/>
        <v>5</v>
      </c>
      <c r="AV190">
        <f t="shared" si="78"/>
        <v>120</v>
      </c>
      <c r="AW190">
        <f t="shared" si="79"/>
        <v>1</v>
      </c>
    </row>
    <row r="191" spans="1:49" ht="19.95" customHeight="1" x14ac:dyDescent="0.25">
      <c r="A191" s="16" t="s">
        <v>512</v>
      </c>
      <c r="C191" s="16">
        <v>1</v>
      </c>
      <c r="D191" s="23" t="s">
        <v>174</v>
      </c>
      <c r="E191" s="23" t="s">
        <v>175</v>
      </c>
      <c r="L191" s="16">
        <f>IFERROR(VLOOKUP($D191&amp;$C191,生产方式定位!$A$2:$E$38,2,FALSE)+VLOOKUP($E191&amp;$C191,生产方式定位!$F$3:$J$38,2,FALSE),0)</f>
        <v>0</v>
      </c>
      <c r="S191" s="16">
        <f>IFERROR(VLOOKUP($D191&amp;$C191,生产方式定位!$A$2:$E$38,3,FALSE)+VLOOKUP($E191&amp;$C191,生产方式定位!$F$3:$J$38,3,FALSE),0)</f>
        <v>0</v>
      </c>
      <c r="X191" s="16">
        <f>IFERROR(VLOOKUP($D191&amp;$C191,生产方式定位!$A$2:$E$38,5,FALSE)+VLOOKUP($E191&amp;$C191,生产方式定位!$F$3:$J$38,5,FALSE),"错误")</f>
        <v>0</v>
      </c>
      <c r="Y191" s="26" t="str">
        <f t="shared" si="64"/>
        <v/>
      </c>
      <c r="Z191" s="36" t="str">
        <f t="shared" si="65"/>
        <v/>
      </c>
      <c r="AA191" s="36" t="str">
        <f t="shared" si="66"/>
        <v/>
      </c>
      <c r="AB191" s="27" t="str">
        <f t="shared" si="67"/>
        <v/>
      </c>
      <c r="AC191" s="2" t="str">
        <f t="shared" si="68"/>
        <v/>
      </c>
      <c r="AD191" s="38">
        <f t="shared" si="69"/>
        <v>1</v>
      </c>
      <c r="AE191" t="str">
        <f t="shared" si="70"/>
        <v/>
      </c>
      <c r="AF191" t="str">
        <f t="shared" si="71"/>
        <v/>
      </c>
      <c r="AG191" t="str">
        <f t="shared" si="72"/>
        <v/>
      </c>
      <c r="AH191" t="str">
        <f t="shared" si="73"/>
        <v/>
      </c>
      <c r="AI191" t="str">
        <f t="shared" si="74"/>
        <v/>
      </c>
      <c r="AJ191" t="str">
        <f t="shared" si="75"/>
        <v/>
      </c>
      <c r="AK191" t="str">
        <f t="shared" si="76"/>
        <v/>
      </c>
      <c r="AL191" t="str">
        <f>IFERROR(ROUND(L191*(G191/$AU191)/VLOOKUP(F191,商品!$A$4:$B$60,2,FALSE),0),"")</f>
        <v/>
      </c>
      <c r="AM191" t="str">
        <f>IFERROR(ROUND(L191*(I191/$AU191)/VLOOKUP(H191,商品!$A$4:$B$60,2,FALSE),0),"")</f>
        <v/>
      </c>
      <c r="AN191">
        <f>IFERROR(ROUND(L191*(J191/$AU191)/VLOOKUP("运力",商品!$A$4:$B$60,2,FALSE),0),0)</f>
        <v>0</v>
      </c>
      <c r="AO191">
        <f>IFERROR(ROUND(L191*(K191/$AU191)/VLOOKUP("交易",商品!$A$4:$B$60,2,FALSE),0),0)</f>
        <v>0</v>
      </c>
      <c r="AP191" t="str">
        <f>IFERROR(ROUND(S191*(N191/$AV191)/VLOOKUP(M191,职业!$A$4:$G$16,4,FALSE),0),"")</f>
        <v/>
      </c>
      <c r="AQ191" t="str">
        <f>IFERROR(ROUND(S191*(P191/$AV191)/VLOOKUP(O191,职业!$A$4:$G$16,4,FALSE),0),"")</f>
        <v/>
      </c>
      <c r="AR191" t="str">
        <f>IFERROR(ROUND(S191*(R191/$AV191)/VLOOKUP(Q191,职业!$A$4:$G$16,4,FALSE),0),"")</f>
        <v/>
      </c>
      <c r="AS191" t="str">
        <f>IFERROR(ROUND(X191*(U191/$AW191)/VLOOKUP(T191,商品!$A$4:$B$60,2,FALSE),0),"")</f>
        <v/>
      </c>
      <c r="AT191" t="str">
        <f>IFERROR(ROUND(X191*(W191/$AW191)/VLOOKUP(V191,商品!$A$4:$B$60,2,FALSE),0),"")</f>
        <v/>
      </c>
      <c r="AU191">
        <f t="shared" si="77"/>
        <v>0</v>
      </c>
      <c r="AV191">
        <f t="shared" si="78"/>
        <v>0</v>
      </c>
      <c r="AW191">
        <f t="shared" si="79"/>
        <v>0</v>
      </c>
    </row>
    <row r="192" spans="1:49" ht="19.95" customHeight="1" x14ac:dyDescent="0.25">
      <c r="A192" s="16" t="s">
        <v>512</v>
      </c>
      <c r="C192" s="16">
        <v>2</v>
      </c>
      <c r="D192" s="23" t="s">
        <v>174</v>
      </c>
      <c r="E192" s="23" t="s">
        <v>175</v>
      </c>
      <c r="F192" s="2" t="s">
        <v>41</v>
      </c>
      <c r="G192" s="2">
        <v>10</v>
      </c>
      <c r="L192" s="16">
        <f>IFERROR(VLOOKUP($D192&amp;$C192,生产方式定位!$A$2:$E$38,2,FALSE)+VLOOKUP($E192&amp;$C192,生产方式定位!$F$3:$J$38,2,FALSE),0)</f>
        <v>50</v>
      </c>
      <c r="M192" s="2" t="s">
        <v>80</v>
      </c>
      <c r="N192" s="2">
        <v>-20</v>
      </c>
      <c r="O192" s="2" t="s">
        <v>73</v>
      </c>
      <c r="P192" s="2">
        <v>5</v>
      </c>
      <c r="S192" s="16">
        <f>IFERROR(VLOOKUP($D192&amp;$C192,生产方式定位!$A$2:$E$38,3,FALSE)+VLOOKUP($E192&amp;$C192,生产方式定位!$F$3:$J$38,3,FALSE),0)</f>
        <v>10</v>
      </c>
      <c r="T192" s="2" t="s">
        <v>41</v>
      </c>
      <c r="U192" s="2">
        <v>1</v>
      </c>
      <c r="X192" s="16">
        <f>IFERROR(VLOOKUP($D192&amp;$C192,生产方式定位!$A$2:$E$38,5,FALSE)+VLOOKUP($E192&amp;$C192,生产方式定位!$F$3:$J$38,5,FALSE),"错误")</f>
        <v>0</v>
      </c>
      <c r="Y192" s="26" t="str">
        <f t="shared" si="64"/>
        <v>工具*1</v>
      </c>
      <c r="Z192" s="36" t="str">
        <f t="shared" si="65"/>
        <v>劳工*-362,工程师*30</v>
      </c>
      <c r="AA192" s="36" t="str">
        <f t="shared" si="66"/>
        <v>工具*0</v>
      </c>
      <c r="AB192" s="27" t="str">
        <f t="shared" si="67"/>
        <v>-100%</v>
      </c>
      <c r="AC192" s="2">
        <f t="shared" si="68"/>
        <v>-60</v>
      </c>
      <c r="AD192" s="38">
        <f t="shared" si="69"/>
        <v>2</v>
      </c>
      <c r="AE192" t="str">
        <f t="shared" si="70"/>
        <v>工具*1</v>
      </c>
      <c r="AF192" t="str">
        <f t="shared" si="71"/>
        <v/>
      </c>
      <c r="AG192" t="str">
        <f t="shared" si="72"/>
        <v>劳工*-362</v>
      </c>
      <c r="AH192" t="str">
        <f t="shared" si="73"/>
        <v>工程师*30</v>
      </c>
      <c r="AI192" t="str">
        <f t="shared" si="74"/>
        <v/>
      </c>
      <c r="AJ192" t="str">
        <f t="shared" si="75"/>
        <v>工具*0</v>
      </c>
      <c r="AK192" t="str">
        <f t="shared" si="76"/>
        <v/>
      </c>
      <c r="AL192">
        <f>IFERROR(ROUND(L192*(G192/$AU192)/VLOOKUP(F192,商品!$A$4:$B$60,2,FALSE),0),"")</f>
        <v>1</v>
      </c>
      <c r="AM192" t="str">
        <f>IFERROR(ROUND(L192*(I192/$AU192)/VLOOKUP(H192,商品!$A$4:$B$60,2,FALSE),0),"")</f>
        <v/>
      </c>
      <c r="AN192">
        <f>IFERROR(ROUND(L192*(J192/$AU192)/VLOOKUP("运力",商品!$A$4:$B$60,2,FALSE),0),0)</f>
        <v>0</v>
      </c>
      <c r="AO192">
        <f>IFERROR(ROUND(L192*(K192/$AU192)/VLOOKUP("交易",商品!$A$4:$B$60,2,FALSE),0),0)</f>
        <v>0</v>
      </c>
      <c r="AP192">
        <f>IFERROR(ROUND(S192*(N192/$AV192)/VLOOKUP(M192,职业!$A$4:$G$16,4,FALSE),0),"")</f>
        <v>-362</v>
      </c>
      <c r="AQ192">
        <f>IFERROR(ROUND(S192*(P192/$AV192)/VLOOKUP(O192,职业!$A$4:$G$16,4,FALSE),0),"")</f>
        <v>30</v>
      </c>
      <c r="AR192" t="str">
        <f>IFERROR(ROUND(S192*(R192/$AV192)/VLOOKUP(Q192,职业!$A$4:$G$16,4,FALSE),0),"")</f>
        <v/>
      </c>
      <c r="AS192">
        <f>IFERROR(ROUND(X192*(U192/$AW192)/VLOOKUP(T192,商品!$A$4:$B$60,2,FALSE),0),"")</f>
        <v>0</v>
      </c>
      <c r="AT192" t="str">
        <f>IFERROR(ROUND(X192*(W192/$AW192)/VLOOKUP(V192,商品!$A$4:$B$60,2,FALSE),0),"")</f>
        <v/>
      </c>
      <c r="AU192">
        <f t="shared" si="77"/>
        <v>10</v>
      </c>
      <c r="AV192">
        <f t="shared" si="78"/>
        <v>25</v>
      </c>
      <c r="AW192">
        <f t="shared" si="79"/>
        <v>1</v>
      </c>
    </row>
    <row r="193" spans="1:49" ht="19.95" customHeight="1" x14ac:dyDescent="0.25">
      <c r="A193" s="16" t="s">
        <v>512</v>
      </c>
      <c r="C193" s="16">
        <v>3</v>
      </c>
      <c r="D193" s="23" t="s">
        <v>174</v>
      </c>
      <c r="E193" s="23" t="s">
        <v>175</v>
      </c>
      <c r="F193" s="2" t="s">
        <v>41</v>
      </c>
      <c r="G193" s="2">
        <v>10</v>
      </c>
      <c r="L193" s="16">
        <f>IFERROR(VLOOKUP($D193&amp;$C193,生产方式定位!$A$2:$E$38,2,FALSE)+VLOOKUP($E193&amp;$C193,生产方式定位!$F$3:$J$38,2,FALSE),0)</f>
        <v>100</v>
      </c>
      <c r="M193" s="2" t="s">
        <v>80</v>
      </c>
      <c r="N193" s="2">
        <v>-20</v>
      </c>
      <c r="O193" s="2" t="s">
        <v>73</v>
      </c>
      <c r="P193" s="2">
        <v>7</v>
      </c>
      <c r="S193" s="16">
        <f>IFERROR(VLOOKUP($D193&amp;$C193,生产方式定位!$A$2:$E$38,3,FALSE)+VLOOKUP($E193&amp;$C193,生产方式定位!$F$3:$J$38,3,FALSE),0)</f>
        <v>20</v>
      </c>
      <c r="T193" s="2" t="s">
        <v>41</v>
      </c>
      <c r="U193" s="2">
        <v>1</v>
      </c>
      <c r="X193" s="16">
        <f>IFERROR(VLOOKUP($D193&amp;$C193,生产方式定位!$A$2:$E$38,5,FALSE)+VLOOKUP($E193&amp;$C193,生产方式定位!$F$3:$J$38,5,FALSE),"错误")</f>
        <v>0</v>
      </c>
      <c r="Y193" s="26" t="str">
        <f t="shared" si="64"/>
        <v>工具*3</v>
      </c>
      <c r="Z193" s="36" t="str">
        <f t="shared" si="65"/>
        <v>劳工*-670,工程师*78</v>
      </c>
      <c r="AA193" s="36" t="str">
        <f t="shared" si="66"/>
        <v>工具*0</v>
      </c>
      <c r="AB193" s="27" t="str">
        <f t="shared" si="67"/>
        <v>-100%</v>
      </c>
      <c r="AC193" s="2">
        <f t="shared" si="68"/>
        <v>-120</v>
      </c>
      <c r="AD193" s="38">
        <f t="shared" si="69"/>
        <v>3</v>
      </c>
      <c r="AE193" t="str">
        <f t="shared" si="70"/>
        <v>工具*3</v>
      </c>
      <c r="AF193" t="str">
        <f t="shared" si="71"/>
        <v/>
      </c>
      <c r="AG193" t="str">
        <f t="shared" si="72"/>
        <v>劳工*-670</v>
      </c>
      <c r="AH193" t="str">
        <f t="shared" si="73"/>
        <v>工程师*78</v>
      </c>
      <c r="AI193" t="str">
        <f t="shared" si="74"/>
        <v/>
      </c>
      <c r="AJ193" t="str">
        <f t="shared" si="75"/>
        <v>工具*0</v>
      </c>
      <c r="AK193" t="str">
        <f t="shared" si="76"/>
        <v/>
      </c>
      <c r="AL193">
        <f>IFERROR(ROUND(L193*(G193/$AU193)/VLOOKUP(F193,商品!$A$4:$B$60,2,FALSE),0),"")</f>
        <v>3</v>
      </c>
      <c r="AM193" t="str">
        <f>IFERROR(ROUND(L193*(I193/$AU193)/VLOOKUP(H193,商品!$A$4:$B$60,2,FALSE),0),"")</f>
        <v/>
      </c>
      <c r="AN193">
        <f>IFERROR(ROUND(L193*(J193/$AU193)/VLOOKUP("运力",商品!$A$4:$B$60,2,FALSE),0),0)</f>
        <v>0</v>
      </c>
      <c r="AO193">
        <f>IFERROR(ROUND(L193*(K193/$AU193)/VLOOKUP("交易",商品!$A$4:$B$60,2,FALSE),0),0)</f>
        <v>0</v>
      </c>
      <c r="AP193">
        <f>IFERROR(ROUND(S193*(N193/$AV193)/VLOOKUP(M193,职业!$A$4:$G$16,4,FALSE),0),"")</f>
        <v>-670</v>
      </c>
      <c r="AQ193">
        <f>IFERROR(ROUND(S193*(P193/$AV193)/VLOOKUP(O193,职业!$A$4:$G$16,4,FALSE),0),"")</f>
        <v>78</v>
      </c>
      <c r="AR193" t="str">
        <f>IFERROR(ROUND(S193*(R193/$AV193)/VLOOKUP(Q193,职业!$A$4:$G$16,4,FALSE),0),"")</f>
        <v/>
      </c>
      <c r="AS193">
        <f>IFERROR(ROUND(X193*(U193/$AW193)/VLOOKUP(T193,商品!$A$4:$B$60,2,FALSE),0),"")</f>
        <v>0</v>
      </c>
      <c r="AT193" t="str">
        <f>IFERROR(ROUND(X193*(W193/$AW193)/VLOOKUP(V193,商品!$A$4:$B$60,2,FALSE),0),"")</f>
        <v/>
      </c>
      <c r="AU193">
        <f t="shared" si="77"/>
        <v>10</v>
      </c>
      <c r="AV193">
        <f t="shared" si="78"/>
        <v>27</v>
      </c>
      <c r="AW193">
        <f t="shared" si="79"/>
        <v>1</v>
      </c>
    </row>
    <row r="194" spans="1:49" ht="19.95" customHeight="1" x14ac:dyDescent="0.25">
      <c r="A194" s="16" t="s">
        <v>512</v>
      </c>
      <c r="C194" s="16">
        <v>4</v>
      </c>
      <c r="D194" s="23" t="s">
        <v>174</v>
      </c>
      <c r="E194" s="23" t="s">
        <v>175</v>
      </c>
      <c r="F194" s="2" t="s">
        <v>45</v>
      </c>
      <c r="G194" s="2">
        <v>5</v>
      </c>
      <c r="H194" s="2" t="s">
        <v>19</v>
      </c>
      <c r="I194" s="2">
        <v>10</v>
      </c>
      <c r="L194" s="16">
        <f>IFERROR(VLOOKUP($D194&amp;$C194,生产方式定位!$A$2:$E$38,2,FALSE)+VLOOKUP($E194&amp;$C194,生产方式定位!$F$3:$J$38,2,FALSE),0)</f>
        <v>150</v>
      </c>
      <c r="M194" s="2" t="s">
        <v>80</v>
      </c>
      <c r="N194" s="2">
        <v>-20</v>
      </c>
      <c r="O194" s="2" t="s">
        <v>73</v>
      </c>
      <c r="P194" s="2">
        <v>9</v>
      </c>
      <c r="S194" s="16">
        <f>IFERROR(VLOOKUP($D194&amp;$C194,生产方式定位!$A$2:$E$38,3,FALSE)+VLOOKUP($E194&amp;$C194,生产方式定位!$F$3:$J$38,3,FALSE),0)</f>
        <v>30</v>
      </c>
      <c r="T194" s="2" t="s">
        <v>41</v>
      </c>
      <c r="U194" s="2">
        <v>1</v>
      </c>
      <c r="X194" s="16">
        <f>IFERROR(VLOOKUP($D194&amp;$C194,生产方式定位!$A$2:$E$38,5,FALSE)+VLOOKUP($E194&amp;$C194,生产方式定位!$F$3:$J$38,5,FALSE),"错误")</f>
        <v>0</v>
      </c>
      <c r="Y194" s="26" t="str">
        <f t="shared" si="64"/>
        <v>科学引擎*1,煤*3</v>
      </c>
      <c r="Z194" s="36" t="str">
        <f t="shared" si="65"/>
        <v>劳工*-936,工程师*140</v>
      </c>
      <c r="AA194" s="36" t="str">
        <f t="shared" si="66"/>
        <v>工具*0</v>
      </c>
      <c r="AB194" s="27" t="str">
        <f t="shared" si="67"/>
        <v>-100%</v>
      </c>
      <c r="AC194" s="2">
        <f t="shared" si="68"/>
        <v>-180</v>
      </c>
      <c r="AD194" s="38">
        <f t="shared" si="69"/>
        <v>4</v>
      </c>
      <c r="AE194" t="str">
        <f t="shared" si="70"/>
        <v>科学引擎*1</v>
      </c>
      <c r="AF194" t="str">
        <f t="shared" si="71"/>
        <v>煤*3</v>
      </c>
      <c r="AG194" t="str">
        <f t="shared" si="72"/>
        <v>劳工*-936</v>
      </c>
      <c r="AH194" t="str">
        <f t="shared" si="73"/>
        <v>工程师*140</v>
      </c>
      <c r="AI194" t="str">
        <f t="shared" si="74"/>
        <v/>
      </c>
      <c r="AJ194" t="str">
        <f t="shared" si="75"/>
        <v>工具*0</v>
      </c>
      <c r="AK194" t="str">
        <f t="shared" si="76"/>
        <v/>
      </c>
      <c r="AL194">
        <f>IFERROR(ROUND(L194*(G194/$AU194)/VLOOKUP(F194,商品!$A$4:$B$60,2,FALSE),0),"")</f>
        <v>1</v>
      </c>
      <c r="AM194">
        <f>IFERROR(ROUND(L194*(I194/$AU194)/VLOOKUP(H194,商品!$A$4:$B$60,2,FALSE),0),"")</f>
        <v>3</v>
      </c>
      <c r="AN194">
        <f>IFERROR(ROUND(L194*(J194/$AU194)/VLOOKUP("运力",商品!$A$4:$B$60,2,FALSE),0),0)</f>
        <v>0</v>
      </c>
      <c r="AO194">
        <f>IFERROR(ROUND(L194*(K194/$AU194)/VLOOKUP("交易",商品!$A$4:$B$60,2,FALSE),0),0)</f>
        <v>0</v>
      </c>
      <c r="AP194">
        <f>IFERROR(ROUND(S194*(N194/$AV194)/VLOOKUP(M194,职业!$A$4:$G$16,4,FALSE),0),"")</f>
        <v>-936</v>
      </c>
      <c r="AQ194">
        <f>IFERROR(ROUND(S194*(P194/$AV194)/VLOOKUP(O194,职业!$A$4:$G$16,4,FALSE),0),"")</f>
        <v>140</v>
      </c>
      <c r="AR194" t="str">
        <f>IFERROR(ROUND(S194*(R194/$AV194)/VLOOKUP(Q194,职业!$A$4:$G$16,4,FALSE),0),"")</f>
        <v/>
      </c>
      <c r="AS194">
        <f>IFERROR(ROUND(X194*(U194/$AW194)/VLOOKUP(T194,商品!$A$4:$B$60,2,FALSE),0),"")</f>
        <v>0</v>
      </c>
      <c r="AT194" t="str">
        <f>IFERROR(ROUND(X194*(W194/$AW194)/VLOOKUP(V194,商品!$A$4:$B$60,2,FALSE),0),"")</f>
        <v/>
      </c>
      <c r="AU194">
        <f t="shared" si="77"/>
        <v>15</v>
      </c>
      <c r="AV194">
        <f t="shared" si="78"/>
        <v>29</v>
      </c>
      <c r="AW194">
        <f t="shared" si="79"/>
        <v>1</v>
      </c>
    </row>
    <row r="195" spans="1:49" ht="19.95" customHeight="1" x14ac:dyDescent="0.25">
      <c r="A195" s="16" t="s">
        <v>512</v>
      </c>
      <c r="C195" s="16">
        <v>5</v>
      </c>
      <c r="D195" s="23" t="s">
        <v>174</v>
      </c>
      <c r="E195" s="23" t="s">
        <v>175</v>
      </c>
      <c r="F195" s="2" t="s">
        <v>46</v>
      </c>
      <c r="G195" s="2">
        <v>5</v>
      </c>
      <c r="H195" s="2" t="s">
        <v>19</v>
      </c>
      <c r="I195" s="2">
        <v>10</v>
      </c>
      <c r="L195" s="16">
        <f>IFERROR(VLOOKUP($D195&amp;$C195,生产方式定位!$A$2:$E$38,2,FALSE)+VLOOKUP($E195&amp;$C195,生产方式定位!$F$3:$J$38,2,FALSE),0)</f>
        <v>200</v>
      </c>
      <c r="M195" s="2" t="s">
        <v>80</v>
      </c>
      <c r="N195" s="2">
        <v>-20</v>
      </c>
      <c r="O195" s="2" t="s">
        <v>73</v>
      </c>
      <c r="P195" s="2">
        <v>11</v>
      </c>
      <c r="S195" s="16">
        <f>IFERROR(VLOOKUP($D195&amp;$C195,生产方式定位!$A$2:$E$38,3,FALSE)+VLOOKUP($E195&amp;$C195,生产方式定位!$F$3:$J$38,3,FALSE),0)</f>
        <v>40</v>
      </c>
      <c r="T195" s="2" t="s">
        <v>41</v>
      </c>
      <c r="U195" s="2">
        <v>1</v>
      </c>
      <c r="X195" s="16">
        <f>IFERROR(VLOOKUP($D195&amp;$C195,生产方式定位!$A$2:$E$38,5,FALSE)+VLOOKUP($E195&amp;$C195,生产方式定位!$F$3:$J$38,5,FALSE),"错误")</f>
        <v>0</v>
      </c>
      <c r="Y195" s="26" t="str">
        <f t="shared" si="64"/>
        <v>魔导引擎*1,煤*4</v>
      </c>
      <c r="Z195" s="36" t="str">
        <f t="shared" si="65"/>
        <v>劳工*-1168,工程师*214</v>
      </c>
      <c r="AA195" s="36" t="str">
        <f t="shared" si="66"/>
        <v>工具*0</v>
      </c>
      <c r="AB195" s="27" t="str">
        <f t="shared" si="67"/>
        <v>-100%</v>
      </c>
      <c r="AC195" s="2">
        <f t="shared" si="68"/>
        <v>-240</v>
      </c>
      <c r="AD195" s="38">
        <f t="shared" si="69"/>
        <v>5</v>
      </c>
      <c r="AE195" t="str">
        <f t="shared" si="70"/>
        <v>魔导引擎*1</v>
      </c>
      <c r="AF195" t="str">
        <f t="shared" si="71"/>
        <v>煤*4</v>
      </c>
      <c r="AG195" t="str">
        <f t="shared" si="72"/>
        <v>劳工*-1168</v>
      </c>
      <c r="AH195" t="str">
        <f t="shared" si="73"/>
        <v>工程师*214</v>
      </c>
      <c r="AI195" t="str">
        <f t="shared" si="74"/>
        <v/>
      </c>
      <c r="AJ195" t="str">
        <f t="shared" si="75"/>
        <v>工具*0</v>
      </c>
      <c r="AK195" t="str">
        <f t="shared" si="76"/>
        <v/>
      </c>
      <c r="AL195">
        <f>IFERROR(ROUND(L195*(G195/$AU195)/VLOOKUP(F195,商品!$A$4:$B$60,2,FALSE),0),"")</f>
        <v>1</v>
      </c>
      <c r="AM195">
        <f>IFERROR(ROUND(L195*(I195/$AU195)/VLOOKUP(H195,商品!$A$4:$B$60,2,FALSE),0),"")</f>
        <v>4</v>
      </c>
      <c r="AN195">
        <f>IFERROR(ROUND(L195*(J195/$AU195)/VLOOKUP("运力",商品!$A$4:$B$60,2,FALSE),0),0)</f>
        <v>0</v>
      </c>
      <c r="AO195">
        <f>IFERROR(ROUND(L195*(K195/$AU195)/VLOOKUP("交易",商品!$A$4:$B$60,2,FALSE),0),0)</f>
        <v>0</v>
      </c>
      <c r="AP195">
        <f>IFERROR(ROUND(S195*(N195/$AV195)/VLOOKUP(M195,职业!$A$4:$G$16,4,FALSE),0),"")</f>
        <v>-1168</v>
      </c>
      <c r="AQ195">
        <f>IFERROR(ROUND(S195*(P195/$AV195)/VLOOKUP(O195,职业!$A$4:$G$16,4,FALSE),0),"")</f>
        <v>214</v>
      </c>
      <c r="AR195" t="str">
        <f>IFERROR(ROUND(S195*(R195/$AV195)/VLOOKUP(Q195,职业!$A$4:$G$16,4,FALSE),0),"")</f>
        <v/>
      </c>
      <c r="AS195">
        <f>IFERROR(ROUND(X195*(U195/$AW195)/VLOOKUP(T195,商品!$A$4:$B$60,2,FALSE),0),"")</f>
        <v>0</v>
      </c>
      <c r="AT195" t="str">
        <f>IFERROR(ROUND(X195*(W195/$AW195)/VLOOKUP(V195,商品!$A$4:$B$60,2,FALSE),0),"")</f>
        <v/>
      </c>
      <c r="AU195">
        <f t="shared" si="77"/>
        <v>15</v>
      </c>
      <c r="AV195">
        <f t="shared" si="78"/>
        <v>31</v>
      </c>
      <c r="AW195">
        <f t="shared" si="79"/>
        <v>1</v>
      </c>
    </row>
    <row r="196" spans="1:49" ht="19.95" customHeight="1" x14ac:dyDescent="0.25">
      <c r="A196" s="15" t="s">
        <v>512</v>
      </c>
      <c r="C196" s="15">
        <v>1</v>
      </c>
      <c r="D196" s="23" t="s">
        <v>174</v>
      </c>
      <c r="E196" s="23" t="s">
        <v>177</v>
      </c>
      <c r="L196" s="15">
        <f>IFERROR(VLOOKUP($D196&amp;$C196,生产方式定位!$A$2:$E$38,2,FALSE)+VLOOKUP($E196&amp;$C196,生产方式定位!$F$3:$J$38,2,FALSE),0)</f>
        <v>0</v>
      </c>
      <c r="S196" s="15">
        <f>IFERROR(VLOOKUP($D196&amp;$C196,生产方式定位!$A$2:$E$38,3,FALSE)+VLOOKUP($E196&amp;$C196,生产方式定位!$F$3:$J$38,3,FALSE),0)</f>
        <v>0</v>
      </c>
      <c r="X196" s="15">
        <f>IFERROR(VLOOKUP($D196&amp;$C196,生产方式定位!$A$2:$E$38,5,FALSE)+VLOOKUP($E196&amp;$C196,生产方式定位!$F$3:$J$38,5,FALSE),"错误")</f>
        <v>0</v>
      </c>
      <c r="Y196" s="26" t="str">
        <f t="shared" si="64"/>
        <v/>
      </c>
      <c r="Z196" s="36" t="str">
        <f t="shared" si="65"/>
        <v/>
      </c>
      <c r="AA196" s="36" t="str">
        <f t="shared" si="66"/>
        <v/>
      </c>
      <c r="AB196" s="27" t="str">
        <f t="shared" si="67"/>
        <v/>
      </c>
      <c r="AC196" s="2" t="str">
        <f t="shared" si="68"/>
        <v/>
      </c>
      <c r="AD196" s="37">
        <f t="shared" si="69"/>
        <v>1</v>
      </c>
      <c r="AE196" t="str">
        <f t="shared" si="70"/>
        <v/>
      </c>
      <c r="AF196" t="str">
        <f t="shared" si="71"/>
        <v/>
      </c>
      <c r="AG196" t="str">
        <f t="shared" si="72"/>
        <v/>
      </c>
      <c r="AH196" t="str">
        <f t="shared" si="73"/>
        <v/>
      </c>
      <c r="AI196" t="str">
        <f t="shared" si="74"/>
        <v/>
      </c>
      <c r="AJ196" t="str">
        <f t="shared" si="75"/>
        <v/>
      </c>
      <c r="AK196" t="str">
        <f t="shared" si="76"/>
        <v/>
      </c>
      <c r="AL196" t="str">
        <f>IFERROR(ROUND(L196*(G196/$AU196)/VLOOKUP(F196,商品!$A$4:$B$60,2,FALSE),0),"")</f>
        <v/>
      </c>
      <c r="AM196" t="str">
        <f>IFERROR(ROUND(L196*(I196/$AU196)/VLOOKUP(H196,商品!$A$4:$B$60,2,FALSE),0),"")</f>
        <v/>
      </c>
      <c r="AN196">
        <f>IFERROR(ROUND(L196*(J196/$AU196)/VLOOKUP("运力",商品!$A$4:$B$60,2,FALSE),0),0)</f>
        <v>0</v>
      </c>
      <c r="AO196">
        <f>IFERROR(ROUND(L196*(K196/$AU196)/VLOOKUP("交易",商品!$A$4:$B$60,2,FALSE),0),0)</f>
        <v>0</v>
      </c>
      <c r="AP196" t="str">
        <f>IFERROR(ROUND(S196*(N196/$AV196)/VLOOKUP(M196,职业!$A$4:$G$16,4,FALSE),0),"")</f>
        <v/>
      </c>
      <c r="AQ196" t="str">
        <f>IFERROR(ROUND(S196*(P196/$AV196)/VLOOKUP(O196,职业!$A$4:$G$16,4,FALSE),0),"")</f>
        <v/>
      </c>
      <c r="AR196" t="str">
        <f>IFERROR(ROUND(S196*(R196/$AV196)/VLOOKUP(Q196,职业!$A$4:$G$16,4,FALSE),0),"")</f>
        <v/>
      </c>
      <c r="AS196" t="str">
        <f>IFERROR(ROUND(X196*(U196/$AW196)/VLOOKUP(T196,商品!$A$4:$B$60,2,FALSE),0),"")</f>
        <v/>
      </c>
      <c r="AT196" t="str">
        <f>IFERROR(ROUND(X196*(W196/$AW196)/VLOOKUP(V196,商品!$A$4:$B$60,2,FALSE),0),"")</f>
        <v/>
      </c>
      <c r="AU196">
        <f t="shared" si="77"/>
        <v>0</v>
      </c>
      <c r="AV196">
        <f t="shared" si="78"/>
        <v>0</v>
      </c>
      <c r="AW196">
        <f t="shared" si="79"/>
        <v>0</v>
      </c>
    </row>
    <row r="197" spans="1:49" ht="19.95" customHeight="1" x14ac:dyDescent="0.25">
      <c r="A197" s="15" t="s">
        <v>512</v>
      </c>
      <c r="C197" s="15">
        <v>2</v>
      </c>
      <c r="D197" s="23" t="s">
        <v>174</v>
      </c>
      <c r="E197" s="23" t="s">
        <v>177</v>
      </c>
      <c r="F197" s="2" t="s">
        <v>42</v>
      </c>
      <c r="G197" s="2">
        <v>5</v>
      </c>
      <c r="H197" s="2" t="s">
        <v>20</v>
      </c>
      <c r="I197" s="2">
        <v>10</v>
      </c>
      <c r="L197" s="15">
        <f>IFERROR(VLOOKUP($D197&amp;$C197,生产方式定位!$A$2:$E$38,2,FALSE)+VLOOKUP($E197&amp;$C197,生产方式定位!$F$3:$J$38,2,FALSE),0)</f>
        <v>105</v>
      </c>
      <c r="M197" s="2" t="s">
        <v>80</v>
      </c>
      <c r="N197" s="2">
        <v>-20</v>
      </c>
      <c r="O197" s="2" t="s">
        <v>74</v>
      </c>
      <c r="P197" s="2">
        <v>5</v>
      </c>
      <c r="S197" s="15">
        <f>IFERROR(VLOOKUP($D197&amp;$C197,生产方式定位!$A$2:$E$38,3,FALSE)+VLOOKUP($E197&amp;$C197,生产方式定位!$F$3:$J$38,3,FALSE),0)</f>
        <v>15</v>
      </c>
      <c r="T197" s="2" t="s">
        <v>41</v>
      </c>
      <c r="U197" s="2">
        <v>1</v>
      </c>
      <c r="X197" s="15">
        <f>IFERROR(VLOOKUP($D197&amp;$C197,生产方式定位!$A$2:$E$38,5,FALSE)+VLOOKUP($E197&amp;$C197,生产方式定位!$F$3:$J$38,5,FALSE),"错误")</f>
        <v>0</v>
      </c>
      <c r="Y197" s="26" t="str">
        <f t="shared" ref="Y197:Y260" si="80">IF(AE197="","",AE197)&amp;IF(AF197="","",","&amp;AF197)&amp;IF(AN197=0,"",",运力*"&amp;AN197)&amp;IF(AO197=0,"",",交易*"&amp;AO197)</f>
        <v>魔偶*1,灵能水晶*2</v>
      </c>
      <c r="Z197" s="36" t="str">
        <f t="shared" ref="Z197:Z260" si="81">IF(AG197="","",AG197)&amp;IF(AH197="","",","&amp;AH197)&amp;IF(AI197="","",","&amp;AI197)</f>
        <v>劳工*-543,法士*34</v>
      </c>
      <c r="AA197" s="36" t="str">
        <f t="shared" ref="AA197:AA260" si="82">IF(AJ197="","",AJ197)&amp;IF(AK197="","",","&amp;AK197)</f>
        <v>工具*0</v>
      </c>
      <c r="AB197" s="27" t="str">
        <f t="shared" ref="AB197:AB260" si="83">IFERROR(ROUND(((X197/L197)-1)*100,0)&amp;"%","")</f>
        <v>-100%</v>
      </c>
      <c r="AC197" s="2">
        <f t="shared" ref="AC197:AC260" si="84">IF(X197-S197-L197=0,"",X197-S197-L197)</f>
        <v>-120</v>
      </c>
      <c r="AD197" s="37">
        <f t="shared" ref="AD197:AD260" si="85">C197</f>
        <v>2</v>
      </c>
      <c r="AE197" t="str">
        <f t="shared" ref="AE197:AE260" si="86">IF(AL197="","",F197&amp;"*"&amp;AL197)</f>
        <v>魔偶*1</v>
      </c>
      <c r="AF197" t="str">
        <f t="shared" ref="AF197:AF260" si="87">IF(AM197="","",H197&amp;"*"&amp;AM197)</f>
        <v>灵能水晶*2</v>
      </c>
      <c r="AG197" t="str">
        <f t="shared" ref="AG197:AG260" si="88">IF(AP197="","",M197&amp;"*"&amp;AP197)</f>
        <v>劳工*-543</v>
      </c>
      <c r="AH197" t="str">
        <f t="shared" ref="AH197:AH260" si="89">IF(AQ197="","",O197&amp;"*"&amp;AQ197)</f>
        <v>法士*34</v>
      </c>
      <c r="AI197" t="str">
        <f t="shared" ref="AI197:AI260" si="90">IF(AR197="","",Q197&amp;"*"&amp;AR197)</f>
        <v/>
      </c>
      <c r="AJ197" t="str">
        <f t="shared" ref="AJ197:AJ260" si="91">IF(AS197="","",T197&amp;"*"&amp;AS197)</f>
        <v>工具*0</v>
      </c>
      <c r="AK197" t="str">
        <f t="shared" ref="AK197:AK260" si="92">IF(AT197="","",V197&amp;"*"&amp;AT197)</f>
        <v/>
      </c>
      <c r="AL197">
        <f>IFERROR(ROUND(L197*(G197/$AU197)/VLOOKUP(F197,商品!$A$4:$B$60,2,FALSE),0),"")</f>
        <v>1</v>
      </c>
      <c r="AM197">
        <f>IFERROR(ROUND(L197*(I197/$AU197)/VLOOKUP(H197,商品!$A$4:$B$60,2,FALSE),0),"")</f>
        <v>2</v>
      </c>
      <c r="AN197">
        <f>IFERROR(ROUND(L197*(J197/$AU197)/VLOOKUP("运力",商品!$A$4:$B$60,2,FALSE),0),0)</f>
        <v>0</v>
      </c>
      <c r="AO197">
        <f>IFERROR(ROUND(L197*(K197/$AU197)/VLOOKUP("交易",商品!$A$4:$B$60,2,FALSE),0),0)</f>
        <v>0</v>
      </c>
      <c r="AP197">
        <f>IFERROR(ROUND(S197*(N197/$AV197)/VLOOKUP(M197,职业!$A$4:$G$16,4,FALSE),0),"")</f>
        <v>-543</v>
      </c>
      <c r="AQ197">
        <f>IFERROR(ROUND(S197*(P197/$AV197)/VLOOKUP(O197,职业!$A$4:$G$16,4,FALSE),0),"")</f>
        <v>34</v>
      </c>
      <c r="AR197" t="str">
        <f>IFERROR(ROUND(S197*(R197/$AV197)/VLOOKUP(Q197,职业!$A$4:$G$16,4,FALSE),0),"")</f>
        <v/>
      </c>
      <c r="AS197">
        <f>IFERROR(ROUND(X197*(U197/$AW197)/VLOOKUP(T197,商品!$A$4:$B$60,2,FALSE),0),"")</f>
        <v>0</v>
      </c>
      <c r="AT197" t="str">
        <f>IFERROR(ROUND(X197*(W197/$AW197)/VLOOKUP(V197,商品!$A$4:$B$60,2,FALSE),0),"")</f>
        <v/>
      </c>
      <c r="AU197">
        <f t="shared" ref="AU197:AU260" si="93">G197+I197+J197+K197</f>
        <v>15</v>
      </c>
      <c r="AV197">
        <f t="shared" ref="AV197:AV260" si="94">ABS(N197)+ABS(P197)+ABS(R197)</f>
        <v>25</v>
      </c>
      <c r="AW197">
        <f t="shared" ref="AW197:AW260" si="95">U197+W197</f>
        <v>1</v>
      </c>
    </row>
    <row r="198" spans="1:49" ht="19.95" customHeight="1" x14ac:dyDescent="0.25">
      <c r="A198" s="15" t="s">
        <v>512</v>
      </c>
      <c r="C198" s="15">
        <v>3</v>
      </c>
      <c r="D198" s="23" t="s">
        <v>174</v>
      </c>
      <c r="E198" s="23" t="s">
        <v>177</v>
      </c>
      <c r="F198" s="2" t="s">
        <v>42</v>
      </c>
      <c r="G198" s="2">
        <v>5</v>
      </c>
      <c r="H198" s="2" t="s">
        <v>20</v>
      </c>
      <c r="I198" s="2">
        <v>10</v>
      </c>
      <c r="L198" s="15">
        <f>IFERROR(VLOOKUP($D198&amp;$C198,生产方式定位!$A$2:$E$38,2,FALSE)+VLOOKUP($E198&amp;$C198,生产方式定位!$F$3:$J$38,2,FALSE),0)</f>
        <v>210</v>
      </c>
      <c r="M198" s="2" t="s">
        <v>80</v>
      </c>
      <c r="N198" s="2">
        <v>-20</v>
      </c>
      <c r="O198" s="2" t="s">
        <v>74</v>
      </c>
      <c r="P198" s="2">
        <v>7</v>
      </c>
      <c r="S198" s="15">
        <f>IFERROR(VLOOKUP($D198&amp;$C198,生产方式定位!$A$2:$E$38,3,FALSE)+VLOOKUP($E198&amp;$C198,生产方式定位!$F$3:$J$38,3,FALSE),0)</f>
        <v>30</v>
      </c>
      <c r="T198" s="2" t="s">
        <v>41</v>
      </c>
      <c r="U198" s="2">
        <v>1</v>
      </c>
      <c r="X198" s="15">
        <f>IFERROR(VLOOKUP($D198&amp;$C198,生产方式定位!$A$2:$E$38,5,FALSE)+VLOOKUP($E198&amp;$C198,生产方式定位!$F$3:$J$38,5,FALSE),"错误")</f>
        <v>0</v>
      </c>
      <c r="Y198" s="26" t="str">
        <f t="shared" si="80"/>
        <v>魔偶*2,灵能水晶*5</v>
      </c>
      <c r="Z198" s="36" t="str">
        <f t="shared" si="81"/>
        <v>劳工*-1006,法士*88</v>
      </c>
      <c r="AA198" s="36" t="str">
        <f t="shared" si="82"/>
        <v>工具*0</v>
      </c>
      <c r="AB198" s="27" t="str">
        <f t="shared" si="83"/>
        <v>-100%</v>
      </c>
      <c r="AC198" s="2">
        <f t="shared" si="84"/>
        <v>-240</v>
      </c>
      <c r="AD198" s="37">
        <f t="shared" si="85"/>
        <v>3</v>
      </c>
      <c r="AE198" t="str">
        <f t="shared" si="86"/>
        <v>魔偶*2</v>
      </c>
      <c r="AF198" t="str">
        <f t="shared" si="87"/>
        <v>灵能水晶*5</v>
      </c>
      <c r="AG198" t="str">
        <f t="shared" si="88"/>
        <v>劳工*-1006</v>
      </c>
      <c r="AH198" t="str">
        <f t="shared" si="89"/>
        <v>法士*88</v>
      </c>
      <c r="AI198" t="str">
        <f t="shared" si="90"/>
        <v/>
      </c>
      <c r="AJ198" t="str">
        <f t="shared" si="91"/>
        <v>工具*0</v>
      </c>
      <c r="AK198" t="str">
        <f t="shared" si="92"/>
        <v/>
      </c>
      <c r="AL198">
        <f>IFERROR(ROUND(L198*(G198/$AU198)/VLOOKUP(F198,商品!$A$4:$B$60,2,FALSE),0),"")</f>
        <v>2</v>
      </c>
      <c r="AM198">
        <f>IFERROR(ROUND(L198*(I198/$AU198)/VLOOKUP(H198,商品!$A$4:$B$60,2,FALSE),0),"")</f>
        <v>5</v>
      </c>
      <c r="AN198">
        <f>IFERROR(ROUND(L198*(J198/$AU198)/VLOOKUP("运力",商品!$A$4:$B$60,2,FALSE),0),0)</f>
        <v>0</v>
      </c>
      <c r="AO198">
        <f>IFERROR(ROUND(L198*(K198/$AU198)/VLOOKUP("交易",商品!$A$4:$B$60,2,FALSE),0),0)</f>
        <v>0</v>
      </c>
      <c r="AP198">
        <f>IFERROR(ROUND(S198*(N198/$AV198)/VLOOKUP(M198,职业!$A$4:$G$16,4,FALSE),0),"")</f>
        <v>-1006</v>
      </c>
      <c r="AQ198">
        <f>IFERROR(ROUND(S198*(P198/$AV198)/VLOOKUP(O198,职业!$A$4:$G$16,4,FALSE),0),"")</f>
        <v>88</v>
      </c>
      <c r="AR198" t="str">
        <f>IFERROR(ROUND(S198*(R198/$AV198)/VLOOKUP(Q198,职业!$A$4:$G$16,4,FALSE),0),"")</f>
        <v/>
      </c>
      <c r="AS198">
        <f>IFERROR(ROUND(X198*(U198/$AW198)/VLOOKUP(T198,商品!$A$4:$B$60,2,FALSE),0),"")</f>
        <v>0</v>
      </c>
      <c r="AT198" t="str">
        <f>IFERROR(ROUND(X198*(W198/$AW198)/VLOOKUP(V198,商品!$A$4:$B$60,2,FALSE),0),"")</f>
        <v/>
      </c>
      <c r="AU198">
        <f t="shared" si="93"/>
        <v>15</v>
      </c>
      <c r="AV198">
        <f t="shared" si="94"/>
        <v>27</v>
      </c>
      <c r="AW198">
        <f t="shared" si="95"/>
        <v>1</v>
      </c>
    </row>
    <row r="199" spans="1:49" ht="19.95" customHeight="1" x14ac:dyDescent="0.25">
      <c r="A199" s="15" t="s">
        <v>512</v>
      </c>
      <c r="C199" s="15">
        <v>4</v>
      </c>
      <c r="D199" s="23" t="s">
        <v>174</v>
      </c>
      <c r="E199" s="23" t="s">
        <v>177</v>
      </c>
      <c r="F199" s="2" t="s">
        <v>42</v>
      </c>
      <c r="G199" s="2">
        <v>5</v>
      </c>
      <c r="H199" s="2" t="s">
        <v>20</v>
      </c>
      <c r="I199" s="2">
        <v>10</v>
      </c>
      <c r="L199" s="15">
        <f>IFERROR(VLOOKUP($D199&amp;$C199,生产方式定位!$A$2:$E$38,2,FALSE)+VLOOKUP($E199&amp;$C199,生产方式定位!$F$3:$J$38,2,FALSE),0)</f>
        <v>315</v>
      </c>
      <c r="M199" s="2" t="s">
        <v>80</v>
      </c>
      <c r="N199" s="2">
        <v>-20</v>
      </c>
      <c r="O199" s="2" t="s">
        <v>74</v>
      </c>
      <c r="P199" s="2">
        <v>9</v>
      </c>
      <c r="S199" s="15">
        <f>IFERROR(VLOOKUP($D199&amp;$C199,生产方式定位!$A$2:$E$38,3,FALSE)+VLOOKUP($E199&amp;$C199,生产方式定位!$F$3:$J$38,3,FALSE),0)</f>
        <v>45</v>
      </c>
      <c r="T199" s="2" t="s">
        <v>41</v>
      </c>
      <c r="U199" s="2">
        <v>1</v>
      </c>
      <c r="X199" s="15">
        <f>IFERROR(VLOOKUP($D199&amp;$C199,生产方式定位!$A$2:$E$38,5,FALSE)+VLOOKUP($E199&amp;$C199,生产方式定位!$F$3:$J$38,5,FALSE),"错误")</f>
        <v>0</v>
      </c>
      <c r="Y199" s="26" t="str">
        <f t="shared" si="80"/>
        <v>魔偶*3,灵能水晶*7</v>
      </c>
      <c r="Z199" s="36" t="str">
        <f t="shared" si="81"/>
        <v>劳工*-1404,法士*158</v>
      </c>
      <c r="AA199" s="36" t="str">
        <f t="shared" si="82"/>
        <v>工具*0</v>
      </c>
      <c r="AB199" s="27" t="str">
        <f t="shared" si="83"/>
        <v>-100%</v>
      </c>
      <c r="AC199" s="2">
        <f t="shared" si="84"/>
        <v>-360</v>
      </c>
      <c r="AD199" s="37">
        <f t="shared" si="85"/>
        <v>4</v>
      </c>
      <c r="AE199" t="str">
        <f t="shared" si="86"/>
        <v>魔偶*3</v>
      </c>
      <c r="AF199" t="str">
        <f t="shared" si="87"/>
        <v>灵能水晶*7</v>
      </c>
      <c r="AG199" t="str">
        <f t="shared" si="88"/>
        <v>劳工*-1404</v>
      </c>
      <c r="AH199" t="str">
        <f t="shared" si="89"/>
        <v>法士*158</v>
      </c>
      <c r="AI199" t="str">
        <f t="shared" si="90"/>
        <v/>
      </c>
      <c r="AJ199" t="str">
        <f t="shared" si="91"/>
        <v>工具*0</v>
      </c>
      <c r="AK199" t="str">
        <f t="shared" si="92"/>
        <v/>
      </c>
      <c r="AL199">
        <f>IFERROR(ROUND(L199*(G199/$AU199)/VLOOKUP(F199,商品!$A$4:$B$60,2,FALSE),0),"")</f>
        <v>3</v>
      </c>
      <c r="AM199">
        <f>IFERROR(ROUND(L199*(I199/$AU199)/VLOOKUP(H199,商品!$A$4:$B$60,2,FALSE),0),"")</f>
        <v>7</v>
      </c>
      <c r="AN199">
        <f>IFERROR(ROUND(L199*(J199/$AU199)/VLOOKUP("运力",商品!$A$4:$B$60,2,FALSE),0),0)</f>
        <v>0</v>
      </c>
      <c r="AO199">
        <f>IFERROR(ROUND(L199*(K199/$AU199)/VLOOKUP("交易",商品!$A$4:$B$60,2,FALSE),0),0)</f>
        <v>0</v>
      </c>
      <c r="AP199">
        <f>IFERROR(ROUND(S199*(N199/$AV199)/VLOOKUP(M199,职业!$A$4:$G$16,4,FALSE),0),"")</f>
        <v>-1404</v>
      </c>
      <c r="AQ199">
        <f>IFERROR(ROUND(S199*(P199/$AV199)/VLOOKUP(O199,职业!$A$4:$G$16,4,FALSE),0),"")</f>
        <v>158</v>
      </c>
      <c r="AR199" t="str">
        <f>IFERROR(ROUND(S199*(R199/$AV199)/VLOOKUP(Q199,职业!$A$4:$G$16,4,FALSE),0),"")</f>
        <v/>
      </c>
      <c r="AS199">
        <f>IFERROR(ROUND(X199*(U199/$AW199)/VLOOKUP(T199,商品!$A$4:$B$60,2,FALSE),0),"")</f>
        <v>0</v>
      </c>
      <c r="AT199" t="str">
        <f>IFERROR(ROUND(X199*(W199/$AW199)/VLOOKUP(V199,商品!$A$4:$B$60,2,FALSE),0),"")</f>
        <v/>
      </c>
      <c r="AU199">
        <f t="shared" si="93"/>
        <v>15</v>
      </c>
      <c r="AV199">
        <f t="shared" si="94"/>
        <v>29</v>
      </c>
      <c r="AW199">
        <f t="shared" si="95"/>
        <v>1</v>
      </c>
    </row>
    <row r="200" spans="1:49" ht="19.95" customHeight="1" x14ac:dyDescent="0.25">
      <c r="A200" s="15" t="s">
        <v>512</v>
      </c>
      <c r="C200" s="15">
        <v>5</v>
      </c>
      <c r="D200" s="23" t="s">
        <v>174</v>
      </c>
      <c r="E200" s="23" t="s">
        <v>177</v>
      </c>
      <c r="F200" s="2" t="s">
        <v>42</v>
      </c>
      <c r="G200" s="2">
        <v>5</v>
      </c>
      <c r="H200" s="2" t="s">
        <v>20</v>
      </c>
      <c r="I200" s="2">
        <v>10</v>
      </c>
      <c r="L200" s="15">
        <f>IFERROR(VLOOKUP($D200&amp;$C200,生产方式定位!$A$2:$E$38,2,FALSE)+VLOOKUP($E200&amp;$C200,生产方式定位!$F$3:$J$38,2,FALSE),0)</f>
        <v>420</v>
      </c>
      <c r="M200" s="2" t="s">
        <v>80</v>
      </c>
      <c r="N200" s="2">
        <v>-20</v>
      </c>
      <c r="O200" s="2" t="s">
        <v>74</v>
      </c>
      <c r="P200" s="2">
        <v>11</v>
      </c>
      <c r="S200" s="15">
        <f>IFERROR(VLOOKUP($D200&amp;$C200,生产方式定位!$A$2:$E$38,3,FALSE)+VLOOKUP($E200&amp;$C200,生产方式定位!$F$3:$J$38,3,FALSE),0)</f>
        <v>60</v>
      </c>
      <c r="T200" s="2" t="s">
        <v>41</v>
      </c>
      <c r="U200" s="2">
        <v>1</v>
      </c>
      <c r="X200" s="15">
        <f>IFERROR(VLOOKUP($D200&amp;$C200,生产方式定位!$A$2:$E$38,5,FALSE)+VLOOKUP($E200&amp;$C200,生产方式定位!$F$3:$J$38,5,FALSE),"错误")</f>
        <v>0</v>
      </c>
      <c r="Y200" s="26" t="str">
        <f t="shared" si="80"/>
        <v>魔偶*4,灵能水晶*9</v>
      </c>
      <c r="Z200" s="36" t="str">
        <f t="shared" si="81"/>
        <v>劳工*-1752,法士*241</v>
      </c>
      <c r="AA200" s="36" t="str">
        <f t="shared" si="82"/>
        <v>工具*0</v>
      </c>
      <c r="AB200" s="27" t="str">
        <f t="shared" si="83"/>
        <v>-100%</v>
      </c>
      <c r="AC200" s="2">
        <f t="shared" si="84"/>
        <v>-480</v>
      </c>
      <c r="AD200" s="37">
        <f t="shared" si="85"/>
        <v>5</v>
      </c>
      <c r="AE200" t="str">
        <f t="shared" si="86"/>
        <v>魔偶*4</v>
      </c>
      <c r="AF200" t="str">
        <f t="shared" si="87"/>
        <v>灵能水晶*9</v>
      </c>
      <c r="AG200" t="str">
        <f t="shared" si="88"/>
        <v>劳工*-1752</v>
      </c>
      <c r="AH200" t="str">
        <f t="shared" si="89"/>
        <v>法士*241</v>
      </c>
      <c r="AI200" t="str">
        <f t="shared" si="90"/>
        <v/>
      </c>
      <c r="AJ200" t="str">
        <f t="shared" si="91"/>
        <v>工具*0</v>
      </c>
      <c r="AK200" t="str">
        <f t="shared" si="92"/>
        <v/>
      </c>
      <c r="AL200">
        <f>IFERROR(ROUND(L200*(G200/$AU200)/VLOOKUP(F200,商品!$A$4:$B$60,2,FALSE),0),"")</f>
        <v>4</v>
      </c>
      <c r="AM200">
        <f>IFERROR(ROUND(L200*(I200/$AU200)/VLOOKUP(H200,商品!$A$4:$B$60,2,FALSE),0),"")</f>
        <v>9</v>
      </c>
      <c r="AN200">
        <f>IFERROR(ROUND(L200*(J200/$AU200)/VLOOKUP("运力",商品!$A$4:$B$60,2,FALSE),0),0)</f>
        <v>0</v>
      </c>
      <c r="AO200">
        <f>IFERROR(ROUND(L200*(K200/$AU200)/VLOOKUP("交易",商品!$A$4:$B$60,2,FALSE),0),0)</f>
        <v>0</v>
      </c>
      <c r="AP200">
        <f>IFERROR(ROUND(S200*(N200/$AV200)/VLOOKUP(M200,职业!$A$4:$G$16,4,FALSE),0),"")</f>
        <v>-1752</v>
      </c>
      <c r="AQ200">
        <f>IFERROR(ROUND(S200*(P200/$AV200)/VLOOKUP(O200,职业!$A$4:$G$16,4,FALSE),0),"")</f>
        <v>241</v>
      </c>
      <c r="AR200" t="str">
        <f>IFERROR(ROUND(S200*(R200/$AV200)/VLOOKUP(Q200,职业!$A$4:$G$16,4,FALSE),0),"")</f>
        <v/>
      </c>
      <c r="AS200">
        <f>IFERROR(ROUND(X200*(U200/$AW200)/VLOOKUP(T200,商品!$A$4:$B$60,2,FALSE),0),"")</f>
        <v>0</v>
      </c>
      <c r="AT200" t="str">
        <f>IFERROR(ROUND(X200*(W200/$AW200)/VLOOKUP(V200,商品!$A$4:$B$60,2,FALSE),0),"")</f>
        <v/>
      </c>
      <c r="AU200">
        <f t="shared" si="93"/>
        <v>15</v>
      </c>
      <c r="AV200">
        <f t="shared" si="94"/>
        <v>31</v>
      </c>
      <c r="AW200">
        <f t="shared" si="95"/>
        <v>1</v>
      </c>
    </row>
    <row r="201" spans="1:49" ht="19.95" customHeight="1" x14ac:dyDescent="0.25">
      <c r="A201" s="16" t="s">
        <v>219</v>
      </c>
      <c r="C201" s="16">
        <v>1</v>
      </c>
      <c r="D201" s="23" t="s">
        <v>174</v>
      </c>
      <c r="E201" s="23" t="s">
        <v>179</v>
      </c>
      <c r="L201" s="16">
        <f>IFERROR(VLOOKUP($D201&amp;$C201,生产方式定位!$A$2:$E$38,2,FALSE)+VLOOKUP($E201&amp;$C201,生产方式定位!$F$3:$J$38,2,FALSE),0)</f>
        <v>0</v>
      </c>
      <c r="S201" s="16">
        <f>IFERROR(VLOOKUP($D201&amp;$C201,生产方式定位!$A$2:$E$38,3,FALSE)+VLOOKUP($E201&amp;$C201,生产方式定位!$F$3:$J$38,3,FALSE),0)</f>
        <v>100</v>
      </c>
      <c r="X201" s="16">
        <f>IFERROR(VLOOKUP($D201&amp;$C201,生产方式定位!$A$2:$E$38,5,FALSE)+VLOOKUP($E201&amp;$C201,生产方式定位!$F$3:$J$38,5,FALSE),"错误")</f>
        <v>100</v>
      </c>
      <c r="Y201" s="26" t="str">
        <f t="shared" si="80"/>
        <v/>
      </c>
      <c r="Z201" s="36" t="str">
        <f t="shared" si="81"/>
        <v/>
      </c>
      <c r="AA201" s="36" t="str">
        <f t="shared" si="82"/>
        <v/>
      </c>
      <c r="AB201" s="27" t="str">
        <f t="shared" si="83"/>
        <v/>
      </c>
      <c r="AC201" s="2" t="str">
        <f t="shared" si="84"/>
        <v/>
      </c>
      <c r="AD201" s="38">
        <f t="shared" si="85"/>
        <v>1</v>
      </c>
      <c r="AE201" t="str">
        <f t="shared" si="86"/>
        <v/>
      </c>
      <c r="AF201" t="str">
        <f t="shared" si="87"/>
        <v/>
      </c>
      <c r="AG201" t="str">
        <f t="shared" si="88"/>
        <v/>
      </c>
      <c r="AH201" t="str">
        <f t="shared" si="89"/>
        <v/>
      </c>
      <c r="AI201" t="str">
        <f t="shared" si="90"/>
        <v/>
      </c>
      <c r="AJ201" t="str">
        <f t="shared" si="91"/>
        <v/>
      </c>
      <c r="AK201" t="str">
        <f t="shared" si="92"/>
        <v/>
      </c>
      <c r="AL201" t="str">
        <f>IFERROR(ROUND(L201*(G201/$AU201)/VLOOKUP(F201,商品!$A$4:$B$60,2,FALSE),0),"")</f>
        <v/>
      </c>
      <c r="AM201" t="str">
        <f>IFERROR(ROUND(L201*(I201/$AU201)/VLOOKUP(H201,商品!$A$4:$B$60,2,FALSE),0),"")</f>
        <v/>
      </c>
      <c r="AN201">
        <f>IFERROR(ROUND(L201*(J201/$AU201)/VLOOKUP("运力",商品!$A$4:$B$60,2,FALSE),0),0)</f>
        <v>0</v>
      </c>
      <c r="AO201">
        <f>IFERROR(ROUND(L201*(K201/$AU201)/VLOOKUP("交易",商品!$A$4:$B$60,2,FALSE),0),0)</f>
        <v>0</v>
      </c>
      <c r="AP201" t="str">
        <f>IFERROR(ROUND(S201*(N201/$AV201)/VLOOKUP(M201,职业!$A$4:$G$16,4,FALSE),0),"")</f>
        <v/>
      </c>
      <c r="AQ201" t="str">
        <f>IFERROR(ROUND(S201*(P201/$AV201)/VLOOKUP(O201,职业!$A$4:$G$16,4,FALSE),0),"")</f>
        <v/>
      </c>
      <c r="AR201" t="str">
        <f>IFERROR(ROUND(S201*(R201/$AV201)/VLOOKUP(Q201,职业!$A$4:$G$16,4,FALSE),0),"")</f>
        <v/>
      </c>
      <c r="AS201" t="str">
        <f>IFERROR(ROUND(X201*(U201/$AW201)/VLOOKUP(T201,商品!$A$4:$B$60,2,FALSE),0),"")</f>
        <v/>
      </c>
      <c r="AT201" t="str">
        <f>IFERROR(ROUND(X201*(W201/$AW201)/VLOOKUP(V201,商品!$A$4:$B$60,2,FALSE),0),"")</f>
        <v/>
      </c>
      <c r="AU201">
        <f t="shared" si="93"/>
        <v>0</v>
      </c>
      <c r="AV201">
        <f t="shared" si="94"/>
        <v>0</v>
      </c>
      <c r="AW201">
        <f t="shared" si="95"/>
        <v>0</v>
      </c>
    </row>
    <row r="202" spans="1:49" ht="19.95" customHeight="1" x14ac:dyDescent="0.25">
      <c r="A202" s="16" t="s">
        <v>219</v>
      </c>
      <c r="C202" s="16">
        <v>2</v>
      </c>
      <c r="D202" s="23" t="s">
        <v>174</v>
      </c>
      <c r="E202" s="23" t="s">
        <v>179</v>
      </c>
      <c r="L202" s="16">
        <f>IFERROR(VLOOKUP($D202&amp;$C202,生产方式定位!$A$2:$E$38,2,FALSE)+VLOOKUP($E202&amp;$C202,生产方式定位!$F$3:$J$38,2,FALSE),0)</f>
        <v>0</v>
      </c>
      <c r="S202" s="16">
        <f>IFERROR(VLOOKUP($D202&amp;$C202,生产方式定位!$A$2:$E$38,3,FALSE)+VLOOKUP($E202&amp;$C202,生产方式定位!$F$3:$J$38,3,FALSE),0)</f>
        <v>100</v>
      </c>
      <c r="X202" s="16">
        <f>IFERROR(VLOOKUP($D202&amp;$C202,生产方式定位!$A$2:$E$38,5,FALSE)+VLOOKUP($E202&amp;$C202,生产方式定位!$F$3:$J$38,5,FALSE),"错误")</f>
        <v>100</v>
      </c>
      <c r="Y202" s="26" t="str">
        <f t="shared" si="80"/>
        <v/>
      </c>
      <c r="Z202" s="36" t="str">
        <f t="shared" si="81"/>
        <v/>
      </c>
      <c r="AA202" s="36" t="str">
        <f t="shared" si="82"/>
        <v/>
      </c>
      <c r="AB202" s="27" t="str">
        <f t="shared" si="83"/>
        <v/>
      </c>
      <c r="AC202" s="2" t="str">
        <f t="shared" si="84"/>
        <v/>
      </c>
      <c r="AD202" s="38">
        <f t="shared" si="85"/>
        <v>2</v>
      </c>
      <c r="AE202" t="str">
        <f t="shared" si="86"/>
        <v/>
      </c>
      <c r="AF202" t="str">
        <f t="shared" si="87"/>
        <v/>
      </c>
      <c r="AG202" t="str">
        <f t="shared" si="88"/>
        <v/>
      </c>
      <c r="AH202" t="str">
        <f t="shared" si="89"/>
        <v/>
      </c>
      <c r="AI202" t="str">
        <f t="shared" si="90"/>
        <v/>
      </c>
      <c r="AJ202" t="str">
        <f t="shared" si="91"/>
        <v/>
      </c>
      <c r="AK202" t="str">
        <f t="shared" si="92"/>
        <v/>
      </c>
      <c r="AL202" t="str">
        <f>IFERROR(ROUND(L202*(G202/$AU202)/VLOOKUP(F202,商品!$A$4:$B$60,2,FALSE),0),"")</f>
        <v/>
      </c>
      <c r="AM202" t="str">
        <f>IFERROR(ROUND(L202*(I202/$AU202)/VLOOKUP(H202,商品!$A$4:$B$60,2,FALSE),0),"")</f>
        <v/>
      </c>
      <c r="AN202">
        <f>IFERROR(ROUND(L202*(J202/$AU202)/VLOOKUP("运力",商品!$A$4:$B$60,2,FALSE),0),0)</f>
        <v>0</v>
      </c>
      <c r="AO202">
        <f>IFERROR(ROUND(L202*(K202/$AU202)/VLOOKUP("交易",商品!$A$4:$B$60,2,FALSE),0),0)</f>
        <v>0</v>
      </c>
      <c r="AP202" t="str">
        <f>IFERROR(ROUND(S202*(N202/$AV202)/VLOOKUP(M202,职业!$A$4:$G$16,4,FALSE),0),"")</f>
        <v/>
      </c>
      <c r="AQ202" t="str">
        <f>IFERROR(ROUND(S202*(P202/$AV202)/VLOOKUP(O202,职业!$A$4:$G$16,4,FALSE),0),"")</f>
        <v/>
      </c>
      <c r="AR202" t="str">
        <f>IFERROR(ROUND(S202*(R202/$AV202)/VLOOKUP(Q202,职业!$A$4:$G$16,4,FALSE),0),"")</f>
        <v/>
      </c>
      <c r="AS202" t="str">
        <f>IFERROR(ROUND(X202*(U202/$AW202)/VLOOKUP(T202,商品!$A$4:$B$60,2,FALSE),0),"")</f>
        <v/>
      </c>
      <c r="AT202" t="str">
        <f>IFERROR(ROUND(X202*(W202/$AW202)/VLOOKUP(V202,商品!$A$4:$B$60,2,FALSE),0),"")</f>
        <v/>
      </c>
      <c r="AU202">
        <f t="shared" si="93"/>
        <v>0</v>
      </c>
      <c r="AV202">
        <f t="shared" si="94"/>
        <v>0</v>
      </c>
      <c r="AW202">
        <f t="shared" si="95"/>
        <v>0</v>
      </c>
    </row>
    <row r="203" spans="1:49" ht="19.95" customHeight="1" x14ac:dyDescent="0.25">
      <c r="A203" s="16" t="s">
        <v>219</v>
      </c>
      <c r="C203" s="16">
        <v>3</v>
      </c>
      <c r="D203" s="23" t="s">
        <v>174</v>
      </c>
      <c r="E203" s="23" t="s">
        <v>179</v>
      </c>
      <c r="L203" s="16">
        <f>IFERROR(VLOOKUP($D203&amp;$C203,生产方式定位!$A$2:$E$38,2,FALSE)+VLOOKUP($E203&amp;$C203,生产方式定位!$F$3:$J$38,2,FALSE),0)</f>
        <v>0</v>
      </c>
      <c r="S203" s="16">
        <f>IFERROR(VLOOKUP($D203&amp;$C203,生产方式定位!$A$2:$E$38,3,FALSE)+VLOOKUP($E203&amp;$C203,生产方式定位!$F$3:$J$38,3,FALSE),0)</f>
        <v>100</v>
      </c>
      <c r="X203" s="16">
        <f>IFERROR(VLOOKUP($D203&amp;$C203,生产方式定位!$A$2:$E$38,5,FALSE)+VLOOKUP($E203&amp;$C203,生产方式定位!$F$3:$J$38,5,FALSE),"错误")</f>
        <v>100</v>
      </c>
      <c r="Y203" s="26" t="str">
        <f t="shared" si="80"/>
        <v/>
      </c>
      <c r="Z203" s="36" t="str">
        <f t="shared" si="81"/>
        <v/>
      </c>
      <c r="AA203" s="36" t="str">
        <f t="shared" si="82"/>
        <v/>
      </c>
      <c r="AB203" s="27" t="str">
        <f t="shared" si="83"/>
        <v/>
      </c>
      <c r="AC203" s="2" t="str">
        <f t="shared" si="84"/>
        <v/>
      </c>
      <c r="AD203" s="38">
        <f t="shared" si="85"/>
        <v>3</v>
      </c>
      <c r="AE203" t="str">
        <f t="shared" si="86"/>
        <v/>
      </c>
      <c r="AF203" t="str">
        <f t="shared" si="87"/>
        <v/>
      </c>
      <c r="AG203" t="str">
        <f t="shared" si="88"/>
        <v/>
      </c>
      <c r="AH203" t="str">
        <f t="shared" si="89"/>
        <v/>
      </c>
      <c r="AI203" t="str">
        <f t="shared" si="90"/>
        <v/>
      </c>
      <c r="AJ203" t="str">
        <f t="shared" si="91"/>
        <v/>
      </c>
      <c r="AK203" t="str">
        <f t="shared" si="92"/>
        <v/>
      </c>
      <c r="AL203" t="str">
        <f>IFERROR(ROUND(L203*(G203/$AU203)/VLOOKUP(F203,商品!$A$4:$B$60,2,FALSE),0),"")</f>
        <v/>
      </c>
      <c r="AM203" t="str">
        <f>IFERROR(ROUND(L203*(I203/$AU203)/VLOOKUP(H203,商品!$A$4:$B$60,2,FALSE),0),"")</f>
        <v/>
      </c>
      <c r="AN203">
        <f>IFERROR(ROUND(L203*(J203/$AU203)/VLOOKUP("运力",商品!$A$4:$B$60,2,FALSE),0),0)</f>
        <v>0</v>
      </c>
      <c r="AO203">
        <f>IFERROR(ROUND(L203*(K203/$AU203)/VLOOKUP("交易",商品!$A$4:$B$60,2,FALSE),0),0)</f>
        <v>0</v>
      </c>
      <c r="AP203" t="str">
        <f>IFERROR(ROUND(S203*(N203/$AV203)/VLOOKUP(M203,职业!$A$4:$G$16,4,FALSE),0),"")</f>
        <v/>
      </c>
      <c r="AQ203" t="str">
        <f>IFERROR(ROUND(S203*(P203/$AV203)/VLOOKUP(O203,职业!$A$4:$G$16,4,FALSE),0),"")</f>
        <v/>
      </c>
      <c r="AR203" t="str">
        <f>IFERROR(ROUND(S203*(R203/$AV203)/VLOOKUP(Q203,职业!$A$4:$G$16,4,FALSE),0),"")</f>
        <v/>
      </c>
      <c r="AS203" t="str">
        <f>IFERROR(ROUND(X203*(U203/$AW203)/VLOOKUP(T203,商品!$A$4:$B$60,2,FALSE),0),"")</f>
        <v/>
      </c>
      <c r="AT203" t="str">
        <f>IFERROR(ROUND(X203*(W203/$AW203)/VLOOKUP(V203,商品!$A$4:$B$60,2,FALSE),0),"")</f>
        <v/>
      </c>
      <c r="AU203">
        <f t="shared" si="93"/>
        <v>0</v>
      </c>
      <c r="AV203">
        <f t="shared" si="94"/>
        <v>0</v>
      </c>
      <c r="AW203">
        <f t="shared" si="95"/>
        <v>0</v>
      </c>
    </row>
    <row r="204" spans="1:49" ht="19.95" customHeight="1" x14ac:dyDescent="0.25">
      <c r="A204" s="16" t="s">
        <v>219</v>
      </c>
      <c r="C204" s="16">
        <v>4</v>
      </c>
      <c r="D204" s="23" t="s">
        <v>174</v>
      </c>
      <c r="E204" s="23" t="s">
        <v>179</v>
      </c>
      <c r="L204" s="16">
        <f>IFERROR(VLOOKUP($D204&amp;$C204,生产方式定位!$A$2:$E$38,2,FALSE)+VLOOKUP($E204&amp;$C204,生产方式定位!$F$3:$J$38,2,FALSE),0)</f>
        <v>0</v>
      </c>
      <c r="S204" s="16">
        <f>IFERROR(VLOOKUP($D204&amp;$C204,生产方式定位!$A$2:$E$38,3,FALSE)+VLOOKUP($E204&amp;$C204,生产方式定位!$F$3:$J$38,3,FALSE),0)</f>
        <v>100</v>
      </c>
      <c r="X204" s="16">
        <f>IFERROR(VLOOKUP($D204&amp;$C204,生产方式定位!$A$2:$E$38,5,FALSE)+VLOOKUP($E204&amp;$C204,生产方式定位!$F$3:$J$38,5,FALSE),"错误")</f>
        <v>100</v>
      </c>
      <c r="Y204" s="26" t="str">
        <f t="shared" si="80"/>
        <v/>
      </c>
      <c r="Z204" s="36" t="str">
        <f t="shared" si="81"/>
        <v/>
      </c>
      <c r="AA204" s="36" t="str">
        <f t="shared" si="82"/>
        <v/>
      </c>
      <c r="AB204" s="27" t="str">
        <f t="shared" si="83"/>
        <v/>
      </c>
      <c r="AC204" s="2" t="str">
        <f t="shared" si="84"/>
        <v/>
      </c>
      <c r="AD204" s="38">
        <f t="shared" si="85"/>
        <v>4</v>
      </c>
      <c r="AE204" t="str">
        <f t="shared" si="86"/>
        <v/>
      </c>
      <c r="AF204" t="str">
        <f t="shared" si="87"/>
        <v/>
      </c>
      <c r="AG204" t="str">
        <f t="shared" si="88"/>
        <v/>
      </c>
      <c r="AH204" t="str">
        <f t="shared" si="89"/>
        <v/>
      </c>
      <c r="AI204" t="str">
        <f t="shared" si="90"/>
        <v/>
      </c>
      <c r="AJ204" t="str">
        <f t="shared" si="91"/>
        <v/>
      </c>
      <c r="AK204" t="str">
        <f t="shared" si="92"/>
        <v/>
      </c>
      <c r="AL204" t="str">
        <f>IFERROR(ROUND(L204*(G204/$AU204)/VLOOKUP(F204,商品!$A$4:$B$60,2,FALSE),0),"")</f>
        <v/>
      </c>
      <c r="AM204" t="str">
        <f>IFERROR(ROUND(L204*(I204/$AU204)/VLOOKUP(H204,商品!$A$4:$B$60,2,FALSE),0),"")</f>
        <v/>
      </c>
      <c r="AN204">
        <f>IFERROR(ROUND(L204*(J204/$AU204)/VLOOKUP("运力",商品!$A$4:$B$60,2,FALSE),0),0)</f>
        <v>0</v>
      </c>
      <c r="AO204">
        <f>IFERROR(ROUND(L204*(K204/$AU204)/VLOOKUP("交易",商品!$A$4:$B$60,2,FALSE),0),0)</f>
        <v>0</v>
      </c>
      <c r="AP204" t="str">
        <f>IFERROR(ROUND(S204*(N204/$AV204)/VLOOKUP(M204,职业!$A$4:$G$16,4,FALSE),0),"")</f>
        <v/>
      </c>
      <c r="AQ204" t="str">
        <f>IFERROR(ROUND(S204*(P204/$AV204)/VLOOKUP(O204,职业!$A$4:$G$16,4,FALSE),0),"")</f>
        <v/>
      </c>
      <c r="AR204" t="str">
        <f>IFERROR(ROUND(S204*(R204/$AV204)/VLOOKUP(Q204,职业!$A$4:$G$16,4,FALSE),0),"")</f>
        <v/>
      </c>
      <c r="AS204" t="str">
        <f>IFERROR(ROUND(X204*(U204/$AW204)/VLOOKUP(T204,商品!$A$4:$B$60,2,FALSE),0),"")</f>
        <v/>
      </c>
      <c r="AT204" t="str">
        <f>IFERROR(ROUND(X204*(W204/$AW204)/VLOOKUP(V204,商品!$A$4:$B$60,2,FALSE),0),"")</f>
        <v/>
      </c>
      <c r="AU204">
        <f t="shared" si="93"/>
        <v>0</v>
      </c>
      <c r="AV204">
        <f t="shared" si="94"/>
        <v>0</v>
      </c>
      <c r="AW204">
        <f t="shared" si="95"/>
        <v>0</v>
      </c>
    </row>
    <row r="205" spans="1:49" ht="19.95" customHeight="1" x14ac:dyDescent="0.25">
      <c r="A205" s="16" t="s">
        <v>219</v>
      </c>
      <c r="C205" s="16">
        <v>5</v>
      </c>
      <c r="D205" s="23" t="s">
        <v>174</v>
      </c>
      <c r="E205" s="23" t="s">
        <v>179</v>
      </c>
      <c r="L205" s="16">
        <f>IFERROR(VLOOKUP($D205&amp;$C205,生产方式定位!$A$2:$E$38,2,FALSE)+VLOOKUP($E205&amp;$C205,生产方式定位!$F$3:$J$38,2,FALSE),0)</f>
        <v>0</v>
      </c>
      <c r="S205" s="16">
        <f>IFERROR(VLOOKUP($D205&amp;$C205,生产方式定位!$A$2:$E$38,3,FALSE)+VLOOKUP($E205&amp;$C205,生产方式定位!$F$3:$J$38,3,FALSE),0)</f>
        <v>100</v>
      </c>
      <c r="X205" s="16">
        <f>IFERROR(VLOOKUP($D205&amp;$C205,生产方式定位!$A$2:$E$38,5,FALSE)+VLOOKUP($E205&amp;$C205,生产方式定位!$F$3:$J$38,5,FALSE),"错误")</f>
        <v>100</v>
      </c>
      <c r="Y205" s="26" t="str">
        <f t="shared" si="80"/>
        <v/>
      </c>
      <c r="Z205" s="36" t="str">
        <f t="shared" si="81"/>
        <v/>
      </c>
      <c r="AA205" s="36" t="str">
        <f t="shared" si="82"/>
        <v/>
      </c>
      <c r="AB205" s="27" t="str">
        <f t="shared" si="83"/>
        <v/>
      </c>
      <c r="AC205" s="2" t="str">
        <f t="shared" si="84"/>
        <v/>
      </c>
      <c r="AD205" s="38">
        <f t="shared" si="85"/>
        <v>5</v>
      </c>
      <c r="AE205" t="str">
        <f t="shared" si="86"/>
        <v/>
      </c>
      <c r="AF205" t="str">
        <f t="shared" si="87"/>
        <v/>
      </c>
      <c r="AG205" t="str">
        <f t="shared" si="88"/>
        <v/>
      </c>
      <c r="AH205" t="str">
        <f t="shared" si="89"/>
        <v/>
      </c>
      <c r="AI205" t="str">
        <f t="shared" si="90"/>
        <v/>
      </c>
      <c r="AJ205" t="str">
        <f t="shared" si="91"/>
        <v/>
      </c>
      <c r="AK205" t="str">
        <f t="shared" si="92"/>
        <v/>
      </c>
      <c r="AL205" t="str">
        <f>IFERROR(ROUND(L205*(G205/$AU205)/VLOOKUP(F205,商品!$A$4:$B$60,2,FALSE),0),"")</f>
        <v/>
      </c>
      <c r="AM205" t="str">
        <f>IFERROR(ROUND(L205*(I205/$AU205)/VLOOKUP(H205,商品!$A$4:$B$60,2,FALSE),0),"")</f>
        <v/>
      </c>
      <c r="AN205">
        <f>IFERROR(ROUND(L205*(J205/$AU205)/VLOOKUP("运力",商品!$A$4:$B$60,2,FALSE),0),0)</f>
        <v>0</v>
      </c>
      <c r="AO205">
        <f>IFERROR(ROUND(L205*(K205/$AU205)/VLOOKUP("交易",商品!$A$4:$B$60,2,FALSE),0),0)</f>
        <v>0</v>
      </c>
      <c r="AP205" t="str">
        <f>IFERROR(ROUND(S205*(N205/$AV205)/VLOOKUP(M205,职业!$A$4:$G$16,4,FALSE),0),"")</f>
        <v/>
      </c>
      <c r="AQ205" t="str">
        <f>IFERROR(ROUND(S205*(P205/$AV205)/VLOOKUP(O205,职业!$A$4:$G$16,4,FALSE),0),"")</f>
        <v/>
      </c>
      <c r="AR205" t="str">
        <f>IFERROR(ROUND(S205*(R205/$AV205)/VLOOKUP(Q205,职业!$A$4:$G$16,4,FALSE),0),"")</f>
        <v/>
      </c>
      <c r="AS205" t="str">
        <f>IFERROR(ROUND(X205*(U205/$AW205)/VLOOKUP(T205,商品!$A$4:$B$60,2,FALSE),0),"")</f>
        <v/>
      </c>
      <c r="AT205" t="str">
        <f>IFERROR(ROUND(X205*(W205/$AW205)/VLOOKUP(V205,商品!$A$4:$B$60,2,FALSE),0),"")</f>
        <v/>
      </c>
      <c r="AU205">
        <f t="shared" si="93"/>
        <v>0</v>
      </c>
      <c r="AV205">
        <f t="shared" si="94"/>
        <v>0</v>
      </c>
      <c r="AW205">
        <f t="shared" si="95"/>
        <v>0</v>
      </c>
    </row>
    <row r="206" spans="1:49" ht="19.95" customHeight="1" x14ac:dyDescent="0.25">
      <c r="A206" s="16" t="s">
        <v>219</v>
      </c>
      <c r="C206" s="16">
        <v>6</v>
      </c>
      <c r="D206" s="23" t="s">
        <v>174</v>
      </c>
      <c r="E206" s="23" t="s">
        <v>179</v>
      </c>
      <c r="L206" s="16">
        <f>IFERROR(VLOOKUP($D206&amp;$C206,生产方式定位!$A$2:$E$38,2,FALSE)+VLOOKUP($E206&amp;$C206,生产方式定位!$F$3:$J$38,2,FALSE),0)</f>
        <v>0</v>
      </c>
      <c r="S206" s="16">
        <f>IFERROR(VLOOKUP($D206&amp;$C206,生产方式定位!$A$2:$E$38,3,FALSE)+VLOOKUP($E206&amp;$C206,生产方式定位!$F$3:$J$38,3,FALSE),0)</f>
        <v>100</v>
      </c>
      <c r="X206" s="16">
        <f>IFERROR(VLOOKUP($D206&amp;$C206,生产方式定位!$A$2:$E$38,5,FALSE)+VLOOKUP($E206&amp;$C206,生产方式定位!$F$3:$J$38,5,FALSE),"错误")</f>
        <v>100</v>
      </c>
      <c r="Y206" s="26" t="str">
        <f t="shared" si="80"/>
        <v/>
      </c>
      <c r="Z206" s="36" t="str">
        <f t="shared" si="81"/>
        <v/>
      </c>
      <c r="AA206" s="36" t="str">
        <f t="shared" si="82"/>
        <v/>
      </c>
      <c r="AB206" s="27" t="str">
        <f t="shared" si="83"/>
        <v/>
      </c>
      <c r="AC206" s="2" t="str">
        <f t="shared" si="84"/>
        <v/>
      </c>
      <c r="AD206" s="37">
        <f t="shared" si="85"/>
        <v>6</v>
      </c>
      <c r="AE206" t="str">
        <f t="shared" si="86"/>
        <v/>
      </c>
      <c r="AF206" t="str">
        <f t="shared" si="87"/>
        <v/>
      </c>
      <c r="AG206" t="str">
        <f t="shared" si="88"/>
        <v/>
      </c>
      <c r="AH206" t="str">
        <f t="shared" si="89"/>
        <v/>
      </c>
      <c r="AI206" t="str">
        <f t="shared" si="90"/>
        <v/>
      </c>
      <c r="AJ206" t="str">
        <f t="shared" si="91"/>
        <v/>
      </c>
      <c r="AK206" t="str">
        <f t="shared" si="92"/>
        <v/>
      </c>
      <c r="AL206" t="str">
        <f>IFERROR(ROUND(L206*(G206/$AU206)/VLOOKUP(F206,商品!$A$4:$B$60,2,FALSE),0),"")</f>
        <v/>
      </c>
      <c r="AM206" t="str">
        <f>IFERROR(ROUND(L206*(I206/$AU206)/VLOOKUP(H206,商品!$A$4:$B$60,2,FALSE),0),"")</f>
        <v/>
      </c>
      <c r="AN206">
        <f>IFERROR(ROUND(L206*(J206/$AU206)/VLOOKUP("运力",商品!$A$4:$B$60,2,FALSE),0),0)</f>
        <v>0</v>
      </c>
      <c r="AO206">
        <f>IFERROR(ROUND(L206*(K206/$AU206)/VLOOKUP("交易",商品!$A$4:$B$60,2,FALSE),0),0)</f>
        <v>0</v>
      </c>
      <c r="AP206" t="str">
        <f>IFERROR(ROUND(S206*(N206/$AV206)/VLOOKUP(M206,职业!$A$4:$G$16,4,FALSE),0),"")</f>
        <v/>
      </c>
      <c r="AQ206" t="str">
        <f>IFERROR(ROUND(S206*(P206/$AV206)/VLOOKUP(O206,职业!$A$4:$G$16,4,FALSE),0),"")</f>
        <v/>
      </c>
      <c r="AR206" t="str">
        <f>IFERROR(ROUND(S206*(R206/$AV206)/VLOOKUP(Q206,职业!$A$4:$G$16,4,FALSE),0),"")</f>
        <v/>
      </c>
      <c r="AS206" t="str">
        <f>IFERROR(ROUND(X206*(U206/$AW206)/VLOOKUP(T206,商品!$A$4:$B$60,2,FALSE),0),"")</f>
        <v/>
      </c>
      <c r="AT206" t="str">
        <f>IFERROR(ROUND(X206*(W206/$AW206)/VLOOKUP(V206,商品!$A$4:$B$60,2,FALSE),0),"")</f>
        <v/>
      </c>
      <c r="AU206">
        <f t="shared" si="93"/>
        <v>0</v>
      </c>
      <c r="AV206">
        <f t="shared" si="94"/>
        <v>0</v>
      </c>
      <c r="AW206">
        <f t="shared" si="95"/>
        <v>0</v>
      </c>
    </row>
    <row r="207" spans="1:49" ht="19.95" customHeight="1" x14ac:dyDescent="0.25">
      <c r="A207" s="16" t="s">
        <v>219</v>
      </c>
      <c r="C207" s="16">
        <v>7</v>
      </c>
      <c r="D207" s="23" t="s">
        <v>174</v>
      </c>
      <c r="E207" s="23" t="s">
        <v>179</v>
      </c>
      <c r="L207" s="16">
        <f>IFERROR(VLOOKUP($D207&amp;$C207,生产方式定位!$A$2:$E$38,2,FALSE)+VLOOKUP($E207&amp;$C207,生产方式定位!$F$3:$J$38,2,FALSE),0)</f>
        <v>0</v>
      </c>
      <c r="S207" s="16">
        <f>IFERROR(VLOOKUP($D207&amp;$C207,生产方式定位!$A$2:$E$38,3,FALSE)+VLOOKUP($E207&amp;$C207,生产方式定位!$F$3:$J$38,3,FALSE),0)</f>
        <v>100</v>
      </c>
      <c r="X207" s="16">
        <f>IFERROR(VLOOKUP($D207&amp;$C207,生产方式定位!$A$2:$E$38,5,FALSE)+VLOOKUP($E207&amp;$C207,生产方式定位!$F$3:$J$38,5,FALSE),"错误")</f>
        <v>100</v>
      </c>
      <c r="Y207" s="26" t="str">
        <f t="shared" si="80"/>
        <v/>
      </c>
      <c r="Z207" s="36" t="str">
        <f t="shared" si="81"/>
        <v/>
      </c>
      <c r="AA207" s="36" t="str">
        <f t="shared" si="82"/>
        <v/>
      </c>
      <c r="AB207" s="27" t="str">
        <f t="shared" si="83"/>
        <v/>
      </c>
      <c r="AC207" s="2" t="str">
        <f t="shared" si="84"/>
        <v/>
      </c>
      <c r="AD207" s="37">
        <f t="shared" si="85"/>
        <v>7</v>
      </c>
      <c r="AE207" t="str">
        <f t="shared" si="86"/>
        <v/>
      </c>
      <c r="AF207" t="str">
        <f t="shared" si="87"/>
        <v/>
      </c>
      <c r="AG207" t="str">
        <f t="shared" si="88"/>
        <v/>
      </c>
      <c r="AH207" t="str">
        <f t="shared" si="89"/>
        <v/>
      </c>
      <c r="AI207" t="str">
        <f t="shared" si="90"/>
        <v/>
      </c>
      <c r="AJ207" t="str">
        <f t="shared" si="91"/>
        <v/>
      </c>
      <c r="AK207" t="str">
        <f t="shared" si="92"/>
        <v/>
      </c>
      <c r="AL207" t="str">
        <f>IFERROR(ROUND(L207*(G207/$AU207)/VLOOKUP(F207,商品!$A$4:$B$60,2,FALSE),0),"")</f>
        <v/>
      </c>
      <c r="AM207" t="str">
        <f>IFERROR(ROUND(L207*(I207/$AU207)/VLOOKUP(H207,商品!$A$4:$B$60,2,FALSE),0),"")</f>
        <v/>
      </c>
      <c r="AN207">
        <f>IFERROR(ROUND(L207*(J207/$AU207)/VLOOKUP("运力",商品!$A$4:$B$60,2,FALSE),0),0)</f>
        <v>0</v>
      </c>
      <c r="AO207">
        <f>IFERROR(ROUND(L207*(K207/$AU207)/VLOOKUP("交易",商品!$A$4:$B$60,2,FALSE),0),0)</f>
        <v>0</v>
      </c>
      <c r="AP207" t="str">
        <f>IFERROR(ROUND(S207*(N207/$AV207)/VLOOKUP(M207,职业!$A$4:$G$16,4,FALSE),0),"")</f>
        <v/>
      </c>
      <c r="AQ207" t="str">
        <f>IFERROR(ROUND(S207*(P207/$AV207)/VLOOKUP(O207,职业!$A$4:$G$16,4,FALSE),0),"")</f>
        <v/>
      </c>
      <c r="AR207" t="str">
        <f>IFERROR(ROUND(S207*(R207/$AV207)/VLOOKUP(Q207,职业!$A$4:$G$16,4,FALSE),0),"")</f>
        <v/>
      </c>
      <c r="AS207" t="str">
        <f>IFERROR(ROUND(X207*(U207/$AW207)/VLOOKUP(T207,商品!$A$4:$B$60,2,FALSE),0),"")</f>
        <v/>
      </c>
      <c r="AT207" t="str">
        <f>IFERROR(ROUND(X207*(W207/$AW207)/VLOOKUP(V207,商品!$A$4:$B$60,2,FALSE),0),"")</f>
        <v/>
      </c>
      <c r="AU207">
        <f t="shared" si="93"/>
        <v>0</v>
      </c>
      <c r="AV207">
        <f t="shared" si="94"/>
        <v>0</v>
      </c>
      <c r="AW207">
        <f t="shared" si="95"/>
        <v>0</v>
      </c>
    </row>
    <row r="208" spans="1:49" ht="19.95" customHeight="1" x14ac:dyDescent="0.25">
      <c r="A208" s="16" t="s">
        <v>219</v>
      </c>
      <c r="C208" s="16">
        <v>8</v>
      </c>
      <c r="D208" s="23" t="s">
        <v>174</v>
      </c>
      <c r="E208" s="23" t="s">
        <v>179</v>
      </c>
      <c r="L208" s="16">
        <f>IFERROR(VLOOKUP($D208&amp;$C208,生产方式定位!$A$2:$E$38,2,FALSE)+VLOOKUP($E208&amp;$C208,生产方式定位!$F$3:$J$38,2,FALSE),0)</f>
        <v>0</v>
      </c>
      <c r="S208" s="16">
        <f>IFERROR(VLOOKUP($D208&amp;$C208,生产方式定位!$A$2:$E$38,3,FALSE)+VLOOKUP($E208&amp;$C208,生产方式定位!$F$3:$J$38,3,FALSE),0)</f>
        <v>100</v>
      </c>
      <c r="X208" s="16">
        <f>IFERROR(VLOOKUP($D208&amp;$C208,生产方式定位!$A$2:$E$38,5,FALSE)+VLOOKUP($E208&amp;$C208,生产方式定位!$F$3:$J$38,5,FALSE),"错误")</f>
        <v>100</v>
      </c>
      <c r="Y208" s="26" t="str">
        <f t="shared" si="80"/>
        <v/>
      </c>
      <c r="Z208" s="36" t="str">
        <f t="shared" si="81"/>
        <v/>
      </c>
      <c r="AA208" s="36" t="str">
        <f t="shared" si="82"/>
        <v/>
      </c>
      <c r="AB208" s="27" t="str">
        <f t="shared" si="83"/>
        <v/>
      </c>
      <c r="AC208" s="2" t="str">
        <f t="shared" si="84"/>
        <v/>
      </c>
      <c r="AD208" s="37">
        <f t="shared" si="85"/>
        <v>8</v>
      </c>
      <c r="AE208" t="str">
        <f t="shared" si="86"/>
        <v/>
      </c>
      <c r="AF208" t="str">
        <f t="shared" si="87"/>
        <v/>
      </c>
      <c r="AG208" t="str">
        <f t="shared" si="88"/>
        <v/>
      </c>
      <c r="AH208" t="str">
        <f t="shared" si="89"/>
        <v/>
      </c>
      <c r="AI208" t="str">
        <f t="shared" si="90"/>
        <v/>
      </c>
      <c r="AJ208" t="str">
        <f t="shared" si="91"/>
        <v/>
      </c>
      <c r="AK208" t="str">
        <f t="shared" si="92"/>
        <v/>
      </c>
      <c r="AL208" t="str">
        <f>IFERROR(ROUND(L208*(G208/$AU208)/VLOOKUP(F208,商品!$A$4:$B$60,2,FALSE),0),"")</f>
        <v/>
      </c>
      <c r="AM208" t="str">
        <f>IFERROR(ROUND(L208*(I208/$AU208)/VLOOKUP(H208,商品!$A$4:$B$60,2,FALSE),0),"")</f>
        <v/>
      </c>
      <c r="AN208">
        <f>IFERROR(ROUND(L208*(J208/$AU208)/VLOOKUP("运力",商品!$A$4:$B$60,2,FALSE),0),0)</f>
        <v>0</v>
      </c>
      <c r="AO208">
        <f>IFERROR(ROUND(L208*(K208/$AU208)/VLOOKUP("交易",商品!$A$4:$B$60,2,FALSE),0),0)</f>
        <v>0</v>
      </c>
      <c r="AP208" t="str">
        <f>IFERROR(ROUND(S208*(N208/$AV208)/VLOOKUP(M208,职业!$A$4:$G$16,4,FALSE),0),"")</f>
        <v/>
      </c>
      <c r="AQ208" t="str">
        <f>IFERROR(ROUND(S208*(P208/$AV208)/VLOOKUP(O208,职业!$A$4:$G$16,4,FALSE),0),"")</f>
        <v/>
      </c>
      <c r="AR208" t="str">
        <f>IFERROR(ROUND(S208*(R208/$AV208)/VLOOKUP(Q208,职业!$A$4:$G$16,4,FALSE),0),"")</f>
        <v/>
      </c>
      <c r="AS208" t="str">
        <f>IFERROR(ROUND(X208*(U208/$AW208)/VLOOKUP(T208,商品!$A$4:$B$60,2,FALSE),0),"")</f>
        <v/>
      </c>
      <c r="AT208" t="str">
        <f>IFERROR(ROUND(X208*(W208/$AW208)/VLOOKUP(V208,商品!$A$4:$B$60,2,FALSE),0),"")</f>
        <v/>
      </c>
      <c r="AU208">
        <f t="shared" si="93"/>
        <v>0</v>
      </c>
      <c r="AV208">
        <f t="shared" si="94"/>
        <v>0</v>
      </c>
      <c r="AW208">
        <f t="shared" si="95"/>
        <v>0</v>
      </c>
    </row>
    <row r="209" spans="1:49" ht="19.95" customHeight="1" x14ac:dyDescent="0.25">
      <c r="A209" s="15" t="s">
        <v>221</v>
      </c>
      <c r="C209" s="15">
        <v>1</v>
      </c>
      <c r="D209" s="23" t="s">
        <v>222</v>
      </c>
      <c r="E209" s="23" t="s">
        <v>172</v>
      </c>
      <c r="F209" s="2" t="s">
        <v>11</v>
      </c>
      <c r="G209" s="2">
        <v>5</v>
      </c>
      <c r="H209" s="2" t="s">
        <v>22</v>
      </c>
      <c r="I209" s="2">
        <v>10</v>
      </c>
      <c r="J209" s="24">
        <v>3</v>
      </c>
      <c r="K209" s="25">
        <v>1</v>
      </c>
      <c r="L209" s="15">
        <f>IFERROR(VLOOKUP($D209&amp;$C209,生产方式定位!$A$2:$E$38,2,FALSE)+VLOOKUP($E209&amp;$C209,生产方式定位!$F$3:$J$38,2,FALSE),0)</f>
        <v>1000</v>
      </c>
      <c r="M209" s="2" t="s">
        <v>80</v>
      </c>
      <c r="N209" s="2">
        <v>120</v>
      </c>
      <c r="O209" s="2" t="s">
        <v>74</v>
      </c>
      <c r="P209" s="2">
        <v>20</v>
      </c>
      <c r="S209" s="15">
        <f>IFERROR(VLOOKUP($D209&amp;$C209,生产方式定位!$A$2:$E$38,3,FALSE)+VLOOKUP($E209&amp;$C209,生产方式定位!$F$3:$J$38,3,FALSE),0)</f>
        <v>100</v>
      </c>
      <c r="T209" s="2" t="s">
        <v>42</v>
      </c>
      <c r="U209" s="2">
        <v>1</v>
      </c>
      <c r="X209" s="15">
        <f>IFERROR(VLOOKUP($D209&amp;$C209,生产方式定位!$A$2:$E$38,5,FALSE)+VLOOKUP($E209&amp;$C209,生产方式定位!$F$3:$J$38,5,FALSE),"错误")</f>
        <v>1760</v>
      </c>
      <c r="Y209" s="26" t="str">
        <f t="shared" si="80"/>
        <v>木材*13,泽洛*11,运力*16,交易*5</v>
      </c>
      <c r="Z209" s="36" t="str">
        <f t="shared" si="81"/>
        <v>劳工*3878,法士*162</v>
      </c>
      <c r="AA209" s="36" t="str">
        <f t="shared" si="82"/>
        <v>魔偶*44</v>
      </c>
      <c r="AB209" s="27" t="str">
        <f t="shared" si="83"/>
        <v>76%</v>
      </c>
      <c r="AC209" s="2">
        <f t="shared" si="84"/>
        <v>660</v>
      </c>
      <c r="AD209" s="37">
        <f t="shared" si="85"/>
        <v>1</v>
      </c>
      <c r="AE209" t="str">
        <f t="shared" si="86"/>
        <v>木材*13</v>
      </c>
      <c r="AF209" t="str">
        <f t="shared" si="87"/>
        <v>泽洛*11</v>
      </c>
      <c r="AG209" t="str">
        <f t="shared" si="88"/>
        <v>劳工*3878</v>
      </c>
      <c r="AH209" t="str">
        <f t="shared" si="89"/>
        <v>法士*162</v>
      </c>
      <c r="AI209" t="str">
        <f t="shared" si="90"/>
        <v/>
      </c>
      <c r="AJ209" t="str">
        <f t="shared" si="91"/>
        <v>魔偶*44</v>
      </c>
      <c r="AK209" t="str">
        <f t="shared" si="92"/>
        <v/>
      </c>
      <c r="AL209">
        <f>IFERROR(ROUND(L209*(G209/$AU209)/VLOOKUP(F209,商品!$A$4:$B$60,2,FALSE),0),"")</f>
        <v>13</v>
      </c>
      <c r="AM209">
        <f>IFERROR(ROUND(L209*(I209/$AU209)/VLOOKUP(H209,商品!$A$4:$B$60,2,FALSE),0),"")</f>
        <v>11</v>
      </c>
      <c r="AN209">
        <f>IFERROR(ROUND(L209*(J209/$AU209)/VLOOKUP("运力",商品!$A$4:$B$60,2,FALSE),0),0)</f>
        <v>16</v>
      </c>
      <c r="AO209">
        <f>IFERROR(ROUND(L209*(K209/$AU209)/VLOOKUP("交易",商品!$A$4:$B$60,2,FALSE),0),0)</f>
        <v>5</v>
      </c>
      <c r="AP209">
        <f>IFERROR(ROUND(S209*(N209/$AV209)/VLOOKUP(M209,职业!$A$4:$G$16,4,FALSE),0),"")</f>
        <v>3878</v>
      </c>
      <c r="AQ209">
        <f>IFERROR(ROUND(S209*(P209/$AV209)/VLOOKUP(O209,职业!$A$4:$G$16,4,FALSE),0),"")</f>
        <v>162</v>
      </c>
      <c r="AR209" t="str">
        <f>IFERROR(ROUND(S209*(R209/$AV209)/VLOOKUP(Q209,职业!$A$4:$G$16,4,FALSE),0),"")</f>
        <v/>
      </c>
      <c r="AS209">
        <f>IFERROR(ROUND(X209*(U209/$AW209)/VLOOKUP(T209,商品!$A$4:$B$60,2,FALSE),0),"")</f>
        <v>44</v>
      </c>
      <c r="AT209" t="str">
        <f>IFERROR(ROUND(X209*(W209/$AW209)/VLOOKUP(V209,商品!$A$4:$B$60,2,FALSE),0),"")</f>
        <v/>
      </c>
      <c r="AU209">
        <f t="shared" si="93"/>
        <v>19</v>
      </c>
      <c r="AV209">
        <f t="shared" si="94"/>
        <v>140</v>
      </c>
      <c r="AW209">
        <f t="shared" si="95"/>
        <v>1</v>
      </c>
    </row>
    <row r="210" spans="1:49" ht="19.95" customHeight="1" x14ac:dyDescent="0.25">
      <c r="A210" s="15" t="s">
        <v>221</v>
      </c>
      <c r="C210" s="15">
        <v>2</v>
      </c>
      <c r="D210" s="23" t="s">
        <v>222</v>
      </c>
      <c r="E210" s="23" t="s">
        <v>172</v>
      </c>
      <c r="F210" s="2" t="s">
        <v>14</v>
      </c>
      <c r="G210" s="2">
        <v>5</v>
      </c>
      <c r="H210" s="2" t="s">
        <v>22</v>
      </c>
      <c r="I210" s="2">
        <v>10</v>
      </c>
      <c r="J210" s="24">
        <v>3</v>
      </c>
      <c r="K210" s="25">
        <v>1</v>
      </c>
      <c r="L210" s="15">
        <f>IFERROR(VLOOKUP($D210&amp;$C210,生产方式定位!$A$2:$E$38,2,FALSE)+VLOOKUP($E210&amp;$C210,生产方式定位!$F$3:$J$38,2,FALSE),0)</f>
        <v>1600</v>
      </c>
      <c r="M210" s="2" t="s">
        <v>80</v>
      </c>
      <c r="N210" s="2">
        <v>120</v>
      </c>
      <c r="O210" s="2" t="s">
        <v>74</v>
      </c>
      <c r="P210" s="2">
        <v>30</v>
      </c>
      <c r="S210" s="15">
        <f>IFERROR(VLOOKUP($D210&amp;$C210,生产方式定位!$A$2:$E$38,3,FALSE)+VLOOKUP($E210&amp;$C210,生产方式定位!$F$3:$J$38,3,FALSE),0)</f>
        <v>100</v>
      </c>
      <c r="T210" s="2" t="s">
        <v>42</v>
      </c>
      <c r="U210" s="2">
        <v>1</v>
      </c>
      <c r="X210" s="15">
        <f>IFERROR(VLOOKUP($D210&amp;$C210,生产方式定位!$A$2:$E$38,5,FALSE)+VLOOKUP($E210&amp;$C210,生产方式定位!$F$3:$J$38,5,FALSE),"错误")</f>
        <v>2520</v>
      </c>
      <c r="Y210" s="26" t="str">
        <f t="shared" si="80"/>
        <v>硬木*11,泽洛*17,运力*25,交易*8</v>
      </c>
      <c r="Z210" s="36" t="str">
        <f t="shared" si="81"/>
        <v>劳工*3620,法士*226</v>
      </c>
      <c r="AA210" s="36" t="str">
        <f t="shared" si="82"/>
        <v>魔偶*63</v>
      </c>
      <c r="AB210" s="27" t="str">
        <f t="shared" si="83"/>
        <v>58%</v>
      </c>
      <c r="AC210" s="2">
        <f t="shared" si="84"/>
        <v>820</v>
      </c>
      <c r="AD210" s="37">
        <f t="shared" si="85"/>
        <v>2</v>
      </c>
      <c r="AE210" t="str">
        <f t="shared" si="86"/>
        <v>硬木*11</v>
      </c>
      <c r="AF210" t="str">
        <f t="shared" si="87"/>
        <v>泽洛*17</v>
      </c>
      <c r="AG210" t="str">
        <f t="shared" si="88"/>
        <v>劳工*3620</v>
      </c>
      <c r="AH210" t="str">
        <f t="shared" si="89"/>
        <v>法士*226</v>
      </c>
      <c r="AI210" t="str">
        <f t="shared" si="90"/>
        <v/>
      </c>
      <c r="AJ210" t="str">
        <f t="shared" si="91"/>
        <v>魔偶*63</v>
      </c>
      <c r="AK210" t="str">
        <f t="shared" si="92"/>
        <v/>
      </c>
      <c r="AL210">
        <f>IFERROR(ROUND(L210*(G210/$AU210)/VLOOKUP(F210,商品!$A$4:$B$60,2,FALSE),0),"")</f>
        <v>11</v>
      </c>
      <c r="AM210">
        <f>IFERROR(ROUND(L210*(I210/$AU210)/VLOOKUP(H210,商品!$A$4:$B$60,2,FALSE),0),"")</f>
        <v>17</v>
      </c>
      <c r="AN210">
        <f>IFERROR(ROUND(L210*(J210/$AU210)/VLOOKUP("运力",商品!$A$4:$B$60,2,FALSE),0),0)</f>
        <v>25</v>
      </c>
      <c r="AO210">
        <f>IFERROR(ROUND(L210*(K210/$AU210)/VLOOKUP("交易",商品!$A$4:$B$60,2,FALSE),0),0)</f>
        <v>8</v>
      </c>
      <c r="AP210">
        <f>IFERROR(ROUND(S210*(N210/$AV210)/VLOOKUP(M210,职业!$A$4:$G$16,4,FALSE),0),"")</f>
        <v>3620</v>
      </c>
      <c r="AQ210">
        <f>IFERROR(ROUND(S210*(P210/$AV210)/VLOOKUP(O210,职业!$A$4:$G$16,4,FALSE),0),"")</f>
        <v>226</v>
      </c>
      <c r="AR210" t="str">
        <f>IFERROR(ROUND(S210*(R210/$AV210)/VLOOKUP(Q210,职业!$A$4:$G$16,4,FALSE),0),"")</f>
        <v/>
      </c>
      <c r="AS210">
        <f>IFERROR(ROUND(X210*(U210/$AW210)/VLOOKUP(T210,商品!$A$4:$B$60,2,FALSE),0),"")</f>
        <v>63</v>
      </c>
      <c r="AT210" t="str">
        <f>IFERROR(ROUND(X210*(W210/$AW210)/VLOOKUP(V210,商品!$A$4:$B$60,2,FALSE),0),"")</f>
        <v/>
      </c>
      <c r="AU210">
        <f t="shared" si="93"/>
        <v>19</v>
      </c>
      <c r="AV210">
        <f t="shared" si="94"/>
        <v>150</v>
      </c>
      <c r="AW210">
        <f t="shared" si="95"/>
        <v>1</v>
      </c>
    </row>
    <row r="211" spans="1:49" ht="19.95" customHeight="1" x14ac:dyDescent="0.25">
      <c r="A211" s="15" t="s">
        <v>221</v>
      </c>
      <c r="C211" s="15">
        <v>3</v>
      </c>
      <c r="D211" s="23" t="s">
        <v>222</v>
      </c>
      <c r="E211" s="23" t="s">
        <v>172</v>
      </c>
      <c r="F211" s="2" t="s">
        <v>16</v>
      </c>
      <c r="G211" s="2">
        <v>5</v>
      </c>
      <c r="H211" s="2" t="s">
        <v>22</v>
      </c>
      <c r="I211" s="2">
        <v>10</v>
      </c>
      <c r="J211" s="24">
        <v>3</v>
      </c>
      <c r="K211" s="25">
        <v>1</v>
      </c>
      <c r="L211" s="15">
        <f>IFERROR(VLOOKUP($D211&amp;$C211,生产方式定位!$A$2:$E$38,2,FALSE)+VLOOKUP($E211&amp;$C211,生产方式定位!$F$3:$J$38,2,FALSE),0)</f>
        <v>1825</v>
      </c>
      <c r="M211" s="2" t="s">
        <v>80</v>
      </c>
      <c r="N211" s="2">
        <v>120</v>
      </c>
      <c r="O211" s="2" t="s">
        <v>74</v>
      </c>
      <c r="P211" s="2">
        <v>40</v>
      </c>
      <c r="S211" s="15">
        <f>IFERROR(VLOOKUP($D211&amp;$C211,生产方式定位!$A$2:$E$38,3,FALSE)+VLOOKUP($E211&amp;$C211,生产方式定位!$F$3:$J$38,3,FALSE),0)</f>
        <v>100</v>
      </c>
      <c r="T211" s="2" t="s">
        <v>42</v>
      </c>
      <c r="U211" s="2">
        <v>1</v>
      </c>
      <c r="X211" s="15">
        <f>IFERROR(VLOOKUP($D211&amp;$C211,生产方式定位!$A$2:$E$38,5,FALSE)+VLOOKUP($E211&amp;$C211,生产方式定位!$F$3:$J$38,5,FALSE),"错误")</f>
        <v>2830</v>
      </c>
      <c r="Y211" s="26" t="str">
        <f t="shared" si="80"/>
        <v>铁*12,泽洛*19,运力*29,交易*10</v>
      </c>
      <c r="Z211" s="36" t="str">
        <f t="shared" si="81"/>
        <v>劳工*3394,法士*283</v>
      </c>
      <c r="AA211" s="36" t="str">
        <f t="shared" si="82"/>
        <v>魔偶*71</v>
      </c>
      <c r="AB211" s="27" t="str">
        <f t="shared" si="83"/>
        <v>55%</v>
      </c>
      <c r="AC211" s="2">
        <f t="shared" si="84"/>
        <v>905</v>
      </c>
      <c r="AD211" s="38">
        <f t="shared" si="85"/>
        <v>3</v>
      </c>
      <c r="AE211" t="str">
        <f t="shared" si="86"/>
        <v>铁*12</v>
      </c>
      <c r="AF211" t="str">
        <f t="shared" si="87"/>
        <v>泽洛*19</v>
      </c>
      <c r="AG211" t="str">
        <f t="shared" si="88"/>
        <v>劳工*3394</v>
      </c>
      <c r="AH211" t="str">
        <f t="shared" si="89"/>
        <v>法士*283</v>
      </c>
      <c r="AI211" t="str">
        <f t="shared" si="90"/>
        <v/>
      </c>
      <c r="AJ211" t="str">
        <f t="shared" si="91"/>
        <v>魔偶*71</v>
      </c>
      <c r="AK211" t="str">
        <f t="shared" si="92"/>
        <v/>
      </c>
      <c r="AL211">
        <f>IFERROR(ROUND(L211*(G211/$AU211)/VLOOKUP(F211,商品!$A$4:$B$60,2,FALSE),0),"")</f>
        <v>12</v>
      </c>
      <c r="AM211">
        <f>IFERROR(ROUND(L211*(I211/$AU211)/VLOOKUP(H211,商品!$A$4:$B$60,2,FALSE),0),"")</f>
        <v>19</v>
      </c>
      <c r="AN211">
        <f>IFERROR(ROUND(L211*(J211/$AU211)/VLOOKUP("运力",商品!$A$4:$B$60,2,FALSE),0),0)</f>
        <v>29</v>
      </c>
      <c r="AO211">
        <f>IFERROR(ROUND(L211*(K211/$AU211)/VLOOKUP("交易",商品!$A$4:$B$60,2,FALSE),0),0)</f>
        <v>10</v>
      </c>
      <c r="AP211">
        <f>IFERROR(ROUND(S211*(N211/$AV211)/VLOOKUP(M211,职业!$A$4:$G$16,4,FALSE),0),"")</f>
        <v>3394</v>
      </c>
      <c r="AQ211">
        <f>IFERROR(ROUND(S211*(P211/$AV211)/VLOOKUP(O211,职业!$A$4:$G$16,4,FALSE),0),"")</f>
        <v>283</v>
      </c>
      <c r="AR211" t="str">
        <f>IFERROR(ROUND(S211*(R211/$AV211)/VLOOKUP(Q211,职业!$A$4:$G$16,4,FALSE),0),"")</f>
        <v/>
      </c>
      <c r="AS211">
        <f>IFERROR(ROUND(X211*(U211/$AW211)/VLOOKUP(T211,商品!$A$4:$B$60,2,FALSE),0),"")</f>
        <v>71</v>
      </c>
      <c r="AT211" t="str">
        <f>IFERROR(ROUND(X211*(W211/$AW211)/VLOOKUP(V211,商品!$A$4:$B$60,2,FALSE),0),"")</f>
        <v/>
      </c>
      <c r="AU211">
        <f t="shared" si="93"/>
        <v>19</v>
      </c>
      <c r="AV211">
        <f t="shared" si="94"/>
        <v>160</v>
      </c>
      <c r="AW211">
        <f t="shared" si="95"/>
        <v>1</v>
      </c>
    </row>
    <row r="212" spans="1:49" ht="19.95" customHeight="1" x14ac:dyDescent="0.25">
      <c r="A212" s="15" t="s">
        <v>221</v>
      </c>
      <c r="C212" s="15">
        <v>4</v>
      </c>
      <c r="D212" s="23" t="s">
        <v>222</v>
      </c>
      <c r="E212" s="23" t="s">
        <v>172</v>
      </c>
      <c r="F212" s="2" t="s">
        <v>39</v>
      </c>
      <c r="G212" s="2">
        <v>5</v>
      </c>
      <c r="H212" s="2" t="s">
        <v>22</v>
      </c>
      <c r="I212" s="2">
        <v>10</v>
      </c>
      <c r="J212" s="24">
        <v>3</v>
      </c>
      <c r="K212" s="25">
        <v>1</v>
      </c>
      <c r="L212" s="15">
        <f>IFERROR(VLOOKUP($D212&amp;$C212,生产方式定位!$A$2:$E$38,2,FALSE)+VLOOKUP($E212&amp;$C212,生产方式定位!$F$3:$J$38,2,FALSE),0)</f>
        <v>2050</v>
      </c>
      <c r="M212" s="2" t="s">
        <v>80</v>
      </c>
      <c r="N212" s="2">
        <v>120</v>
      </c>
      <c r="O212" s="2" t="s">
        <v>74</v>
      </c>
      <c r="P212" s="2">
        <v>50</v>
      </c>
      <c r="S212" s="15">
        <f>IFERROR(VLOOKUP($D212&amp;$C212,生产方式定位!$A$2:$E$38,3,FALSE)+VLOOKUP($E212&amp;$C212,生产方式定位!$F$3:$J$38,3,FALSE),0)</f>
        <v>100</v>
      </c>
      <c r="T212" s="2" t="s">
        <v>42</v>
      </c>
      <c r="U212" s="2">
        <v>1</v>
      </c>
      <c r="X212" s="15">
        <f>IFERROR(VLOOKUP($D212&amp;$C212,生产方式定位!$A$2:$E$38,5,FALSE)+VLOOKUP($E212&amp;$C212,生产方式定位!$F$3:$J$38,5,FALSE),"错误")</f>
        <v>3140</v>
      </c>
      <c r="Y212" s="26" t="str">
        <f t="shared" si="80"/>
        <v>钢铁*9,泽洛*22,运力*32,交易*11</v>
      </c>
      <c r="Z212" s="36" t="str">
        <f t="shared" si="81"/>
        <v>劳工*3194,法士*333</v>
      </c>
      <c r="AA212" s="36" t="str">
        <f t="shared" si="82"/>
        <v>魔偶*79</v>
      </c>
      <c r="AB212" s="27" t="str">
        <f t="shared" si="83"/>
        <v>53%</v>
      </c>
      <c r="AC212" s="2">
        <f t="shared" si="84"/>
        <v>990</v>
      </c>
      <c r="AD212" s="38">
        <f t="shared" si="85"/>
        <v>4</v>
      </c>
      <c r="AE212" t="str">
        <f t="shared" si="86"/>
        <v>钢铁*9</v>
      </c>
      <c r="AF212" t="str">
        <f t="shared" si="87"/>
        <v>泽洛*22</v>
      </c>
      <c r="AG212" t="str">
        <f t="shared" si="88"/>
        <v>劳工*3194</v>
      </c>
      <c r="AH212" t="str">
        <f t="shared" si="89"/>
        <v>法士*333</v>
      </c>
      <c r="AI212" t="str">
        <f t="shared" si="90"/>
        <v/>
      </c>
      <c r="AJ212" t="str">
        <f t="shared" si="91"/>
        <v>魔偶*79</v>
      </c>
      <c r="AK212" t="str">
        <f t="shared" si="92"/>
        <v/>
      </c>
      <c r="AL212">
        <f>IFERROR(ROUND(L212*(G212/$AU212)/VLOOKUP(F212,商品!$A$4:$B$60,2,FALSE),0),"")</f>
        <v>9</v>
      </c>
      <c r="AM212">
        <f>IFERROR(ROUND(L212*(I212/$AU212)/VLOOKUP(H212,商品!$A$4:$B$60,2,FALSE),0),"")</f>
        <v>22</v>
      </c>
      <c r="AN212">
        <f>IFERROR(ROUND(L212*(J212/$AU212)/VLOOKUP("运力",商品!$A$4:$B$60,2,FALSE),0),0)</f>
        <v>32</v>
      </c>
      <c r="AO212">
        <f>IFERROR(ROUND(L212*(K212/$AU212)/VLOOKUP("交易",商品!$A$4:$B$60,2,FALSE),0),0)</f>
        <v>11</v>
      </c>
      <c r="AP212">
        <f>IFERROR(ROUND(S212*(N212/$AV212)/VLOOKUP(M212,职业!$A$4:$G$16,4,FALSE),0),"")</f>
        <v>3194</v>
      </c>
      <c r="AQ212">
        <f>IFERROR(ROUND(S212*(P212/$AV212)/VLOOKUP(O212,职业!$A$4:$G$16,4,FALSE),0),"")</f>
        <v>333</v>
      </c>
      <c r="AR212" t="str">
        <f>IFERROR(ROUND(S212*(R212/$AV212)/VLOOKUP(Q212,职业!$A$4:$G$16,4,FALSE),0),"")</f>
        <v/>
      </c>
      <c r="AS212">
        <f>IFERROR(ROUND(X212*(U212/$AW212)/VLOOKUP(T212,商品!$A$4:$B$60,2,FALSE),0),"")</f>
        <v>79</v>
      </c>
      <c r="AT212" t="str">
        <f>IFERROR(ROUND(X212*(W212/$AW212)/VLOOKUP(V212,商品!$A$4:$B$60,2,FALSE),0),"")</f>
        <v/>
      </c>
      <c r="AU212">
        <f t="shared" si="93"/>
        <v>19</v>
      </c>
      <c r="AV212">
        <f t="shared" si="94"/>
        <v>170</v>
      </c>
      <c r="AW212">
        <f t="shared" si="95"/>
        <v>1</v>
      </c>
    </row>
    <row r="213" spans="1:49" ht="19.95" customHeight="1" x14ac:dyDescent="0.25">
      <c r="A213" s="15" t="s">
        <v>221</v>
      </c>
      <c r="C213" s="15">
        <v>5</v>
      </c>
      <c r="D213" s="23" t="s">
        <v>222</v>
      </c>
      <c r="E213" s="23" t="s">
        <v>172</v>
      </c>
      <c r="F213" s="2" t="s">
        <v>40</v>
      </c>
      <c r="G213" s="2">
        <v>5</v>
      </c>
      <c r="H213" s="2" t="s">
        <v>22</v>
      </c>
      <c r="I213" s="2">
        <v>10</v>
      </c>
      <c r="J213" s="24">
        <v>3</v>
      </c>
      <c r="K213" s="25">
        <v>1</v>
      </c>
      <c r="L213" s="15">
        <f>IFERROR(VLOOKUP($D213&amp;$C213,生产方式定位!$A$2:$E$38,2,FALSE)+VLOOKUP($E213&amp;$C213,生产方式定位!$F$3:$J$38,2,FALSE),0)</f>
        <v>2275</v>
      </c>
      <c r="M213" s="2" t="s">
        <v>80</v>
      </c>
      <c r="N213" s="2">
        <v>120</v>
      </c>
      <c r="O213" s="2" t="s">
        <v>74</v>
      </c>
      <c r="P213" s="2">
        <v>60</v>
      </c>
      <c r="Q213" s="2" t="s">
        <v>73</v>
      </c>
      <c r="R213" s="2">
        <v>25</v>
      </c>
      <c r="S213" s="15">
        <f>IFERROR(VLOOKUP($D213&amp;$C213,生产方式定位!$A$2:$E$38,3,FALSE)+VLOOKUP($E213&amp;$C213,生产方式定位!$F$3:$J$38,3,FALSE),0)</f>
        <v>100</v>
      </c>
      <c r="T213" s="2" t="s">
        <v>42</v>
      </c>
      <c r="U213" s="2">
        <v>1</v>
      </c>
      <c r="X213" s="15">
        <f>IFERROR(VLOOKUP($D213&amp;$C213,生产方式定位!$A$2:$E$38,5,FALSE)+VLOOKUP($E213&amp;$C213,生产方式定位!$F$3:$J$38,5,FALSE),"错误")</f>
        <v>3450</v>
      </c>
      <c r="Y213" s="26" t="str">
        <f t="shared" si="80"/>
        <v>秘银*7,泽洛*24,运力*36,交易*12</v>
      </c>
      <c r="Z213" s="36" t="str">
        <f t="shared" si="81"/>
        <v>劳工*2649,法士*331,工程师*184</v>
      </c>
      <c r="AA213" s="36" t="str">
        <f t="shared" si="82"/>
        <v>魔偶*86</v>
      </c>
      <c r="AB213" s="27" t="str">
        <f t="shared" si="83"/>
        <v>52%</v>
      </c>
      <c r="AC213" s="2">
        <f t="shared" si="84"/>
        <v>1075</v>
      </c>
      <c r="AD213" s="38">
        <f t="shared" si="85"/>
        <v>5</v>
      </c>
      <c r="AE213" t="str">
        <f t="shared" si="86"/>
        <v>秘银*7</v>
      </c>
      <c r="AF213" t="str">
        <f t="shared" si="87"/>
        <v>泽洛*24</v>
      </c>
      <c r="AG213" t="str">
        <f t="shared" si="88"/>
        <v>劳工*2649</v>
      </c>
      <c r="AH213" t="str">
        <f t="shared" si="89"/>
        <v>法士*331</v>
      </c>
      <c r="AI213" t="str">
        <f t="shared" si="90"/>
        <v>工程师*184</v>
      </c>
      <c r="AJ213" t="str">
        <f t="shared" si="91"/>
        <v>魔偶*86</v>
      </c>
      <c r="AK213" t="str">
        <f t="shared" si="92"/>
        <v/>
      </c>
      <c r="AL213">
        <f>IFERROR(ROUND(L213*(G213/$AU213)/VLOOKUP(F213,商品!$A$4:$B$60,2,FALSE),0),"")</f>
        <v>7</v>
      </c>
      <c r="AM213">
        <f>IFERROR(ROUND(L213*(I213/$AU213)/VLOOKUP(H213,商品!$A$4:$B$60,2,FALSE),0),"")</f>
        <v>24</v>
      </c>
      <c r="AN213">
        <f>IFERROR(ROUND(L213*(J213/$AU213)/VLOOKUP("运力",商品!$A$4:$B$60,2,FALSE),0),0)</f>
        <v>36</v>
      </c>
      <c r="AO213">
        <f>IFERROR(ROUND(L213*(K213/$AU213)/VLOOKUP("交易",商品!$A$4:$B$60,2,FALSE),0),0)</f>
        <v>12</v>
      </c>
      <c r="AP213">
        <f>IFERROR(ROUND(S213*(N213/$AV213)/VLOOKUP(M213,职业!$A$4:$G$16,4,FALSE),0),"")</f>
        <v>2649</v>
      </c>
      <c r="AQ213">
        <f>IFERROR(ROUND(S213*(P213/$AV213)/VLOOKUP(O213,职业!$A$4:$G$16,4,FALSE),0),"")</f>
        <v>331</v>
      </c>
      <c r="AR213">
        <f>IFERROR(ROUND(S213*(R213/$AV213)/VLOOKUP(Q213,职业!$A$4:$G$16,4,FALSE),0),"")</f>
        <v>184</v>
      </c>
      <c r="AS213">
        <f>IFERROR(ROUND(X213*(U213/$AW213)/VLOOKUP(T213,商品!$A$4:$B$60,2,FALSE),0),"")</f>
        <v>86</v>
      </c>
      <c r="AT213" t="str">
        <f>IFERROR(ROUND(X213*(W213/$AW213)/VLOOKUP(V213,商品!$A$4:$B$60,2,FALSE),0),"")</f>
        <v/>
      </c>
      <c r="AU213">
        <f t="shared" si="93"/>
        <v>19</v>
      </c>
      <c r="AV213">
        <f t="shared" si="94"/>
        <v>205</v>
      </c>
      <c r="AW213">
        <f t="shared" si="95"/>
        <v>1</v>
      </c>
    </row>
    <row r="214" spans="1:49" ht="19.95" customHeight="1" x14ac:dyDescent="0.25">
      <c r="A214" s="16" t="s">
        <v>513</v>
      </c>
      <c r="C214" s="16">
        <v>1</v>
      </c>
      <c r="D214" s="23" t="s">
        <v>174</v>
      </c>
      <c r="E214" s="23" t="s">
        <v>175</v>
      </c>
      <c r="L214" s="16">
        <f>IFERROR(VLOOKUP($D214&amp;$C214,生产方式定位!$A$2:$E$38,2,FALSE)+VLOOKUP($E214&amp;$C214,生产方式定位!$F$3:$J$38,2,FALSE),0)</f>
        <v>0</v>
      </c>
      <c r="S214" s="16">
        <f>IFERROR(VLOOKUP($D214&amp;$C214,生产方式定位!$A$2:$E$38,3,FALSE)+VLOOKUP($E214&amp;$C214,生产方式定位!$F$3:$J$38,3,FALSE),0)</f>
        <v>0</v>
      </c>
      <c r="X214" s="16">
        <f>IFERROR(VLOOKUP($D214&amp;$C214,生产方式定位!$A$2:$E$38,5,FALSE)+VLOOKUP($E214&amp;$C214,生产方式定位!$F$3:$J$38,5,FALSE),"错误")</f>
        <v>0</v>
      </c>
      <c r="Y214" s="26" t="str">
        <f t="shared" si="80"/>
        <v/>
      </c>
      <c r="Z214" s="36" t="str">
        <f t="shared" si="81"/>
        <v/>
      </c>
      <c r="AA214" s="36" t="str">
        <f t="shared" si="82"/>
        <v/>
      </c>
      <c r="AB214" s="27" t="str">
        <f t="shared" si="83"/>
        <v/>
      </c>
      <c r="AC214" s="2" t="str">
        <f t="shared" si="84"/>
        <v/>
      </c>
      <c r="AD214" s="38">
        <f t="shared" si="85"/>
        <v>1</v>
      </c>
      <c r="AE214" t="str">
        <f t="shared" si="86"/>
        <v/>
      </c>
      <c r="AF214" t="str">
        <f t="shared" si="87"/>
        <v/>
      </c>
      <c r="AG214" t="str">
        <f t="shared" si="88"/>
        <v/>
      </c>
      <c r="AH214" t="str">
        <f t="shared" si="89"/>
        <v/>
      </c>
      <c r="AI214" t="str">
        <f t="shared" si="90"/>
        <v/>
      </c>
      <c r="AJ214" t="str">
        <f t="shared" si="91"/>
        <v/>
      </c>
      <c r="AK214" t="str">
        <f t="shared" si="92"/>
        <v/>
      </c>
      <c r="AL214" t="str">
        <f>IFERROR(ROUND(L214*(G214/$AU214)/VLOOKUP(F214,商品!$A$4:$B$60,2,FALSE),0),"")</f>
        <v/>
      </c>
      <c r="AM214" t="str">
        <f>IFERROR(ROUND(L214*(I214/$AU214)/VLOOKUP(H214,商品!$A$4:$B$60,2,FALSE),0),"")</f>
        <v/>
      </c>
      <c r="AN214">
        <f>IFERROR(ROUND(L214*(J214/$AU214)/VLOOKUP("运力",商品!$A$4:$B$60,2,FALSE),0),0)</f>
        <v>0</v>
      </c>
      <c r="AO214">
        <f>IFERROR(ROUND(L214*(K214/$AU214)/VLOOKUP("交易",商品!$A$4:$B$60,2,FALSE),0),0)</f>
        <v>0</v>
      </c>
      <c r="AP214" t="str">
        <f>IFERROR(ROUND(S214*(N214/$AV214)/VLOOKUP(M214,职业!$A$4:$G$16,4,FALSE),0),"")</f>
        <v/>
      </c>
      <c r="AQ214" t="str">
        <f>IFERROR(ROUND(S214*(P214/$AV214)/VLOOKUP(O214,职业!$A$4:$G$16,4,FALSE),0),"")</f>
        <v/>
      </c>
      <c r="AR214" t="str">
        <f>IFERROR(ROUND(S214*(R214/$AV214)/VLOOKUP(Q214,职业!$A$4:$G$16,4,FALSE),0),"")</f>
        <v/>
      </c>
      <c r="AS214" t="str">
        <f>IFERROR(ROUND(X214*(U214/$AW214)/VLOOKUP(T214,商品!$A$4:$B$60,2,FALSE),0),"")</f>
        <v/>
      </c>
      <c r="AT214" t="str">
        <f>IFERROR(ROUND(X214*(W214/$AW214)/VLOOKUP(V214,商品!$A$4:$B$60,2,FALSE),0),"")</f>
        <v/>
      </c>
      <c r="AU214">
        <f t="shared" si="93"/>
        <v>0</v>
      </c>
      <c r="AV214">
        <f t="shared" si="94"/>
        <v>0</v>
      </c>
      <c r="AW214">
        <f t="shared" si="95"/>
        <v>0</v>
      </c>
    </row>
    <row r="215" spans="1:49" ht="19.95" customHeight="1" x14ac:dyDescent="0.25">
      <c r="A215" s="16" t="s">
        <v>513</v>
      </c>
      <c r="C215" s="16">
        <v>2</v>
      </c>
      <c r="D215" s="23" t="s">
        <v>174</v>
      </c>
      <c r="E215" s="23" t="s">
        <v>175</v>
      </c>
      <c r="F215" s="2" t="s">
        <v>41</v>
      </c>
      <c r="G215" s="2">
        <v>10</v>
      </c>
      <c r="L215" s="16">
        <f>IFERROR(VLOOKUP($D215&amp;$C215,生产方式定位!$A$2:$E$38,2,FALSE)+VLOOKUP($E215&amp;$C215,生产方式定位!$F$3:$J$38,2,FALSE),0)</f>
        <v>50</v>
      </c>
      <c r="M215" s="2" t="s">
        <v>80</v>
      </c>
      <c r="N215" s="2">
        <v>-20</v>
      </c>
      <c r="O215" s="2" t="s">
        <v>73</v>
      </c>
      <c r="P215" s="2">
        <v>5</v>
      </c>
      <c r="Q215" s="2" t="s">
        <v>74</v>
      </c>
      <c r="R215" s="2">
        <v>-10</v>
      </c>
      <c r="S215" s="16">
        <f>IFERROR(VLOOKUP($D215&amp;$C215,生产方式定位!$A$2:$E$38,3,FALSE)+VLOOKUP($E215&amp;$C215,生产方式定位!$F$3:$J$38,3,FALSE),0)</f>
        <v>10</v>
      </c>
      <c r="T215" s="2" t="s">
        <v>42</v>
      </c>
      <c r="U215" s="2">
        <v>1</v>
      </c>
      <c r="X215" s="16">
        <f>IFERROR(VLOOKUP($D215&amp;$C215,生产方式定位!$A$2:$E$38,5,FALSE)+VLOOKUP($E215&amp;$C215,生产方式定位!$F$3:$J$38,5,FALSE),"错误")</f>
        <v>0</v>
      </c>
      <c r="Y215" s="26" t="str">
        <f t="shared" si="80"/>
        <v>工具*1</v>
      </c>
      <c r="Z215" s="36" t="str">
        <f t="shared" si="81"/>
        <v>劳工*-259,工程师*22,法士*-32</v>
      </c>
      <c r="AA215" s="36" t="str">
        <f t="shared" si="82"/>
        <v>魔偶*0</v>
      </c>
      <c r="AB215" s="27" t="str">
        <f t="shared" si="83"/>
        <v>-100%</v>
      </c>
      <c r="AC215" s="2">
        <f t="shared" si="84"/>
        <v>-60</v>
      </c>
      <c r="AD215" s="38">
        <f t="shared" si="85"/>
        <v>2</v>
      </c>
      <c r="AE215" t="str">
        <f t="shared" si="86"/>
        <v>工具*1</v>
      </c>
      <c r="AF215" t="str">
        <f t="shared" si="87"/>
        <v/>
      </c>
      <c r="AG215" t="str">
        <f t="shared" si="88"/>
        <v>劳工*-259</v>
      </c>
      <c r="AH215" t="str">
        <f t="shared" si="89"/>
        <v>工程师*22</v>
      </c>
      <c r="AI215" t="str">
        <f t="shared" si="90"/>
        <v>法士*-32</v>
      </c>
      <c r="AJ215" t="str">
        <f t="shared" si="91"/>
        <v>魔偶*0</v>
      </c>
      <c r="AK215" t="str">
        <f t="shared" si="92"/>
        <v/>
      </c>
      <c r="AL215">
        <f>IFERROR(ROUND(L215*(G215/$AU215)/VLOOKUP(F215,商品!$A$4:$B$60,2,FALSE),0),"")</f>
        <v>1</v>
      </c>
      <c r="AM215" t="str">
        <f>IFERROR(ROUND(L215*(I215/$AU215)/VLOOKUP(H215,商品!$A$4:$B$60,2,FALSE),0),"")</f>
        <v/>
      </c>
      <c r="AN215">
        <f>IFERROR(ROUND(L215*(J215/$AU215)/VLOOKUP("运力",商品!$A$4:$B$60,2,FALSE),0),0)</f>
        <v>0</v>
      </c>
      <c r="AO215">
        <f>IFERROR(ROUND(L215*(K215/$AU215)/VLOOKUP("交易",商品!$A$4:$B$60,2,FALSE),0),0)</f>
        <v>0</v>
      </c>
      <c r="AP215">
        <f>IFERROR(ROUND(S215*(N215/$AV215)/VLOOKUP(M215,职业!$A$4:$G$16,4,FALSE),0),"")</f>
        <v>-259</v>
      </c>
      <c r="AQ215">
        <f>IFERROR(ROUND(S215*(P215/$AV215)/VLOOKUP(O215,职业!$A$4:$G$16,4,FALSE),0),"")</f>
        <v>22</v>
      </c>
      <c r="AR215">
        <f>IFERROR(ROUND(S215*(R215/$AV215)/VLOOKUP(Q215,职业!$A$4:$G$16,4,FALSE),0),"")</f>
        <v>-32</v>
      </c>
      <c r="AS215">
        <f>IFERROR(ROUND(X215*(U215/$AW215)/VLOOKUP(T215,商品!$A$4:$B$60,2,FALSE),0),"")</f>
        <v>0</v>
      </c>
      <c r="AT215" t="str">
        <f>IFERROR(ROUND(X215*(W215/$AW215)/VLOOKUP(V215,商品!$A$4:$B$60,2,FALSE),0),"")</f>
        <v/>
      </c>
      <c r="AU215">
        <f t="shared" si="93"/>
        <v>10</v>
      </c>
      <c r="AV215">
        <f t="shared" si="94"/>
        <v>35</v>
      </c>
      <c r="AW215">
        <f t="shared" si="95"/>
        <v>1</v>
      </c>
    </row>
    <row r="216" spans="1:49" ht="19.95" customHeight="1" x14ac:dyDescent="0.25">
      <c r="A216" s="16" t="s">
        <v>513</v>
      </c>
      <c r="C216" s="16">
        <v>3</v>
      </c>
      <c r="D216" s="23" t="s">
        <v>174</v>
      </c>
      <c r="E216" s="23" t="s">
        <v>175</v>
      </c>
      <c r="F216" s="2" t="s">
        <v>41</v>
      </c>
      <c r="G216" s="2">
        <v>10</v>
      </c>
      <c r="L216" s="16">
        <f>IFERROR(VLOOKUP($D216&amp;$C216,生产方式定位!$A$2:$E$38,2,FALSE)+VLOOKUP($E216&amp;$C216,生产方式定位!$F$3:$J$38,2,FALSE),0)</f>
        <v>100</v>
      </c>
      <c r="M216" s="2" t="s">
        <v>80</v>
      </c>
      <c r="N216" s="2">
        <v>-20</v>
      </c>
      <c r="O216" s="2" t="s">
        <v>73</v>
      </c>
      <c r="P216" s="2">
        <v>5</v>
      </c>
      <c r="Q216" s="2" t="s">
        <v>74</v>
      </c>
      <c r="R216" s="2">
        <v>-10</v>
      </c>
      <c r="S216" s="16">
        <f>IFERROR(VLOOKUP($D216&amp;$C216,生产方式定位!$A$2:$E$38,3,FALSE)+VLOOKUP($E216&amp;$C216,生产方式定位!$F$3:$J$38,3,FALSE),0)</f>
        <v>20</v>
      </c>
      <c r="T216" s="2" t="s">
        <v>42</v>
      </c>
      <c r="U216" s="2">
        <v>1</v>
      </c>
      <c r="X216" s="16">
        <f>IFERROR(VLOOKUP($D216&amp;$C216,生产方式定位!$A$2:$E$38,5,FALSE)+VLOOKUP($E216&amp;$C216,生产方式定位!$F$3:$J$38,5,FALSE),"错误")</f>
        <v>0</v>
      </c>
      <c r="Y216" s="26" t="str">
        <f t="shared" si="80"/>
        <v>工具*3</v>
      </c>
      <c r="Z216" s="36" t="str">
        <f t="shared" si="81"/>
        <v>劳工*-517,工程师*43,法士*-65</v>
      </c>
      <c r="AA216" s="36" t="str">
        <f t="shared" si="82"/>
        <v>魔偶*0</v>
      </c>
      <c r="AB216" s="27" t="str">
        <f t="shared" si="83"/>
        <v>-100%</v>
      </c>
      <c r="AC216" s="2">
        <f t="shared" si="84"/>
        <v>-120</v>
      </c>
      <c r="AD216" s="38">
        <f t="shared" si="85"/>
        <v>3</v>
      </c>
      <c r="AE216" t="str">
        <f t="shared" si="86"/>
        <v>工具*3</v>
      </c>
      <c r="AF216" t="str">
        <f t="shared" si="87"/>
        <v/>
      </c>
      <c r="AG216" t="str">
        <f t="shared" si="88"/>
        <v>劳工*-517</v>
      </c>
      <c r="AH216" t="str">
        <f t="shared" si="89"/>
        <v>工程师*43</v>
      </c>
      <c r="AI216" t="str">
        <f t="shared" si="90"/>
        <v>法士*-65</v>
      </c>
      <c r="AJ216" t="str">
        <f t="shared" si="91"/>
        <v>魔偶*0</v>
      </c>
      <c r="AK216" t="str">
        <f t="shared" si="92"/>
        <v/>
      </c>
      <c r="AL216">
        <f>IFERROR(ROUND(L216*(G216/$AU216)/VLOOKUP(F216,商品!$A$4:$B$60,2,FALSE),0),"")</f>
        <v>3</v>
      </c>
      <c r="AM216" t="str">
        <f>IFERROR(ROUND(L216*(I216/$AU216)/VLOOKUP(H216,商品!$A$4:$B$60,2,FALSE),0),"")</f>
        <v/>
      </c>
      <c r="AN216">
        <f>IFERROR(ROUND(L216*(J216/$AU216)/VLOOKUP("运力",商品!$A$4:$B$60,2,FALSE),0),0)</f>
        <v>0</v>
      </c>
      <c r="AO216">
        <f>IFERROR(ROUND(L216*(K216/$AU216)/VLOOKUP("交易",商品!$A$4:$B$60,2,FALSE),0),0)</f>
        <v>0</v>
      </c>
      <c r="AP216">
        <f>IFERROR(ROUND(S216*(N216/$AV216)/VLOOKUP(M216,职业!$A$4:$G$16,4,FALSE),0),"")</f>
        <v>-517</v>
      </c>
      <c r="AQ216">
        <f>IFERROR(ROUND(S216*(P216/$AV216)/VLOOKUP(O216,职业!$A$4:$G$16,4,FALSE),0),"")</f>
        <v>43</v>
      </c>
      <c r="AR216">
        <f>IFERROR(ROUND(S216*(R216/$AV216)/VLOOKUP(Q216,职业!$A$4:$G$16,4,FALSE),0),"")</f>
        <v>-65</v>
      </c>
      <c r="AS216">
        <f>IFERROR(ROUND(X216*(U216/$AW216)/VLOOKUP(T216,商品!$A$4:$B$60,2,FALSE),0),"")</f>
        <v>0</v>
      </c>
      <c r="AT216" t="str">
        <f>IFERROR(ROUND(X216*(W216/$AW216)/VLOOKUP(V216,商品!$A$4:$B$60,2,FALSE),0),"")</f>
        <v/>
      </c>
      <c r="AU216">
        <f t="shared" si="93"/>
        <v>10</v>
      </c>
      <c r="AV216">
        <f t="shared" si="94"/>
        <v>35</v>
      </c>
      <c r="AW216">
        <f t="shared" si="95"/>
        <v>1</v>
      </c>
    </row>
    <row r="217" spans="1:49" ht="19.95" customHeight="1" x14ac:dyDescent="0.25">
      <c r="A217" s="16" t="s">
        <v>513</v>
      </c>
      <c r="C217" s="16">
        <v>4</v>
      </c>
      <c r="D217" s="23" t="s">
        <v>174</v>
      </c>
      <c r="E217" s="23" t="s">
        <v>175</v>
      </c>
      <c r="F217" s="2" t="s">
        <v>45</v>
      </c>
      <c r="G217" s="2">
        <v>5</v>
      </c>
      <c r="H217" s="2" t="s">
        <v>19</v>
      </c>
      <c r="I217" s="2">
        <v>10</v>
      </c>
      <c r="L217" s="16">
        <f>IFERROR(VLOOKUP($D217&amp;$C217,生产方式定位!$A$2:$E$38,2,FALSE)+VLOOKUP($E217&amp;$C217,生产方式定位!$F$3:$J$38,2,FALSE),0)</f>
        <v>150</v>
      </c>
      <c r="M217" s="2" t="s">
        <v>80</v>
      </c>
      <c r="N217" s="2">
        <v>-20</v>
      </c>
      <c r="O217" s="2" t="s">
        <v>73</v>
      </c>
      <c r="P217" s="2">
        <v>5</v>
      </c>
      <c r="Q217" s="2" t="s">
        <v>74</v>
      </c>
      <c r="R217" s="2">
        <v>-10</v>
      </c>
      <c r="S217" s="16">
        <f>IFERROR(VLOOKUP($D217&amp;$C217,生产方式定位!$A$2:$E$38,3,FALSE)+VLOOKUP($E217&amp;$C217,生产方式定位!$F$3:$J$38,3,FALSE),0)</f>
        <v>30</v>
      </c>
      <c r="T217" s="2" t="s">
        <v>42</v>
      </c>
      <c r="U217" s="2">
        <v>1</v>
      </c>
      <c r="X217" s="16">
        <f>IFERROR(VLOOKUP($D217&amp;$C217,生产方式定位!$A$2:$E$38,5,FALSE)+VLOOKUP($E217&amp;$C217,生产方式定位!$F$3:$J$38,5,FALSE),"错误")</f>
        <v>0</v>
      </c>
      <c r="Y217" s="26" t="str">
        <f t="shared" si="80"/>
        <v>科学引擎*1,煤*3</v>
      </c>
      <c r="Z217" s="36" t="str">
        <f t="shared" si="81"/>
        <v>劳工*-776,工程师*65,法士*-97</v>
      </c>
      <c r="AA217" s="36" t="str">
        <f t="shared" si="82"/>
        <v>魔偶*0</v>
      </c>
      <c r="AB217" s="27" t="str">
        <f t="shared" si="83"/>
        <v>-100%</v>
      </c>
      <c r="AC217" s="2">
        <f t="shared" si="84"/>
        <v>-180</v>
      </c>
      <c r="AD217" s="38">
        <f t="shared" si="85"/>
        <v>4</v>
      </c>
      <c r="AE217" t="str">
        <f t="shared" si="86"/>
        <v>科学引擎*1</v>
      </c>
      <c r="AF217" t="str">
        <f t="shared" si="87"/>
        <v>煤*3</v>
      </c>
      <c r="AG217" t="str">
        <f t="shared" si="88"/>
        <v>劳工*-776</v>
      </c>
      <c r="AH217" t="str">
        <f t="shared" si="89"/>
        <v>工程师*65</v>
      </c>
      <c r="AI217" t="str">
        <f t="shared" si="90"/>
        <v>法士*-97</v>
      </c>
      <c r="AJ217" t="str">
        <f t="shared" si="91"/>
        <v>魔偶*0</v>
      </c>
      <c r="AK217" t="str">
        <f t="shared" si="92"/>
        <v/>
      </c>
      <c r="AL217">
        <f>IFERROR(ROUND(L217*(G217/$AU217)/VLOOKUP(F217,商品!$A$4:$B$60,2,FALSE),0),"")</f>
        <v>1</v>
      </c>
      <c r="AM217">
        <f>IFERROR(ROUND(L217*(I217/$AU217)/VLOOKUP(H217,商品!$A$4:$B$60,2,FALSE),0),"")</f>
        <v>3</v>
      </c>
      <c r="AN217">
        <f>IFERROR(ROUND(L217*(J217/$AU217)/VLOOKUP("运力",商品!$A$4:$B$60,2,FALSE),0),0)</f>
        <v>0</v>
      </c>
      <c r="AO217">
        <f>IFERROR(ROUND(L217*(K217/$AU217)/VLOOKUP("交易",商品!$A$4:$B$60,2,FALSE),0),0)</f>
        <v>0</v>
      </c>
      <c r="AP217">
        <f>IFERROR(ROUND(S217*(N217/$AV217)/VLOOKUP(M217,职业!$A$4:$G$16,4,FALSE),0),"")</f>
        <v>-776</v>
      </c>
      <c r="AQ217">
        <f>IFERROR(ROUND(S217*(P217/$AV217)/VLOOKUP(O217,职业!$A$4:$G$16,4,FALSE),0),"")</f>
        <v>65</v>
      </c>
      <c r="AR217">
        <f>IFERROR(ROUND(S217*(R217/$AV217)/VLOOKUP(Q217,职业!$A$4:$G$16,4,FALSE),0),"")</f>
        <v>-97</v>
      </c>
      <c r="AS217">
        <f>IFERROR(ROUND(X217*(U217/$AW217)/VLOOKUP(T217,商品!$A$4:$B$60,2,FALSE),0),"")</f>
        <v>0</v>
      </c>
      <c r="AT217" t="str">
        <f>IFERROR(ROUND(X217*(W217/$AW217)/VLOOKUP(V217,商品!$A$4:$B$60,2,FALSE),0),"")</f>
        <v/>
      </c>
      <c r="AU217">
        <f t="shared" si="93"/>
        <v>15</v>
      </c>
      <c r="AV217">
        <f t="shared" si="94"/>
        <v>35</v>
      </c>
      <c r="AW217">
        <f t="shared" si="95"/>
        <v>1</v>
      </c>
    </row>
    <row r="218" spans="1:49" ht="19.95" customHeight="1" x14ac:dyDescent="0.25">
      <c r="A218" s="16" t="s">
        <v>513</v>
      </c>
      <c r="C218" s="16">
        <v>5</v>
      </c>
      <c r="D218" s="23" t="s">
        <v>174</v>
      </c>
      <c r="E218" s="23" t="s">
        <v>175</v>
      </c>
      <c r="F218" s="2" t="s">
        <v>46</v>
      </c>
      <c r="G218" s="2">
        <v>5</v>
      </c>
      <c r="H218" s="2" t="s">
        <v>19</v>
      </c>
      <c r="I218" s="2">
        <v>10</v>
      </c>
      <c r="L218" s="16">
        <f>IFERROR(VLOOKUP($D218&amp;$C218,生产方式定位!$A$2:$E$38,2,FALSE)+VLOOKUP($E218&amp;$C218,生产方式定位!$F$3:$J$38,2,FALSE),0)</f>
        <v>200</v>
      </c>
      <c r="M218" s="2" t="s">
        <v>80</v>
      </c>
      <c r="N218" s="2">
        <v>-20</v>
      </c>
      <c r="O218" s="2" t="s">
        <v>73</v>
      </c>
      <c r="P218" s="2">
        <v>5</v>
      </c>
      <c r="Q218" s="2" t="s">
        <v>74</v>
      </c>
      <c r="R218" s="2">
        <v>-10</v>
      </c>
      <c r="S218" s="16">
        <f>IFERROR(VLOOKUP($D218&amp;$C218,生产方式定位!$A$2:$E$38,3,FALSE)+VLOOKUP($E218&amp;$C218,生产方式定位!$F$3:$J$38,3,FALSE),0)</f>
        <v>40</v>
      </c>
      <c r="T218" s="2" t="s">
        <v>42</v>
      </c>
      <c r="U218" s="2">
        <v>1</v>
      </c>
      <c r="X218" s="16">
        <f>IFERROR(VLOOKUP($D218&amp;$C218,生产方式定位!$A$2:$E$38,5,FALSE)+VLOOKUP($E218&amp;$C218,生产方式定位!$F$3:$J$38,5,FALSE),"错误")</f>
        <v>0</v>
      </c>
      <c r="Y218" s="26" t="str">
        <f t="shared" si="80"/>
        <v>魔导引擎*1,煤*4</v>
      </c>
      <c r="Z218" s="36" t="str">
        <f t="shared" si="81"/>
        <v>劳工*-1034,工程师*86,法士*-129</v>
      </c>
      <c r="AA218" s="36" t="str">
        <f t="shared" si="82"/>
        <v>魔偶*0</v>
      </c>
      <c r="AB218" s="27" t="str">
        <f t="shared" si="83"/>
        <v>-100%</v>
      </c>
      <c r="AC218" s="2">
        <f t="shared" si="84"/>
        <v>-240</v>
      </c>
      <c r="AD218" s="38">
        <f t="shared" si="85"/>
        <v>5</v>
      </c>
      <c r="AE218" t="str">
        <f t="shared" si="86"/>
        <v>魔导引擎*1</v>
      </c>
      <c r="AF218" t="str">
        <f t="shared" si="87"/>
        <v>煤*4</v>
      </c>
      <c r="AG218" t="str">
        <f t="shared" si="88"/>
        <v>劳工*-1034</v>
      </c>
      <c r="AH218" t="str">
        <f t="shared" si="89"/>
        <v>工程师*86</v>
      </c>
      <c r="AI218" t="str">
        <f t="shared" si="90"/>
        <v>法士*-129</v>
      </c>
      <c r="AJ218" t="str">
        <f t="shared" si="91"/>
        <v>魔偶*0</v>
      </c>
      <c r="AK218" t="str">
        <f t="shared" si="92"/>
        <v/>
      </c>
      <c r="AL218">
        <f>IFERROR(ROUND(L218*(G218/$AU218)/VLOOKUP(F218,商品!$A$4:$B$60,2,FALSE),0),"")</f>
        <v>1</v>
      </c>
      <c r="AM218">
        <f>IFERROR(ROUND(L218*(I218/$AU218)/VLOOKUP(H218,商品!$A$4:$B$60,2,FALSE),0),"")</f>
        <v>4</v>
      </c>
      <c r="AN218">
        <f>IFERROR(ROUND(L218*(J218/$AU218)/VLOOKUP("运力",商品!$A$4:$B$60,2,FALSE),0),0)</f>
        <v>0</v>
      </c>
      <c r="AO218">
        <f>IFERROR(ROUND(L218*(K218/$AU218)/VLOOKUP("交易",商品!$A$4:$B$60,2,FALSE),0),0)</f>
        <v>0</v>
      </c>
      <c r="AP218">
        <f>IFERROR(ROUND(S218*(N218/$AV218)/VLOOKUP(M218,职业!$A$4:$G$16,4,FALSE),0),"")</f>
        <v>-1034</v>
      </c>
      <c r="AQ218">
        <f>IFERROR(ROUND(S218*(P218/$AV218)/VLOOKUP(O218,职业!$A$4:$G$16,4,FALSE),0),"")</f>
        <v>86</v>
      </c>
      <c r="AR218">
        <f>IFERROR(ROUND(S218*(R218/$AV218)/VLOOKUP(Q218,职业!$A$4:$G$16,4,FALSE),0),"")</f>
        <v>-129</v>
      </c>
      <c r="AS218">
        <f>IFERROR(ROUND(X218*(U218/$AW218)/VLOOKUP(T218,商品!$A$4:$B$60,2,FALSE),0),"")</f>
        <v>0</v>
      </c>
      <c r="AT218" t="str">
        <f>IFERROR(ROUND(X218*(W218/$AW218)/VLOOKUP(V218,商品!$A$4:$B$60,2,FALSE),0),"")</f>
        <v/>
      </c>
      <c r="AU218">
        <f t="shared" si="93"/>
        <v>15</v>
      </c>
      <c r="AV218">
        <f t="shared" si="94"/>
        <v>35</v>
      </c>
      <c r="AW218">
        <f t="shared" si="95"/>
        <v>1</v>
      </c>
    </row>
    <row r="219" spans="1:49" ht="19.95" customHeight="1" x14ac:dyDescent="0.25">
      <c r="A219" s="15" t="s">
        <v>513</v>
      </c>
      <c r="C219" s="15">
        <v>1</v>
      </c>
      <c r="D219" s="23" t="s">
        <v>174</v>
      </c>
      <c r="E219" s="23" t="s">
        <v>177</v>
      </c>
      <c r="L219" s="15">
        <f>IFERROR(VLOOKUP($D219&amp;$C219,生产方式定位!$A$2:$E$38,2,FALSE)+VLOOKUP($E219&amp;$C219,生产方式定位!$F$3:$J$38,2,FALSE),0)</f>
        <v>0</v>
      </c>
      <c r="S219" s="15">
        <f>IFERROR(VLOOKUP($D219&amp;$C219,生产方式定位!$A$2:$E$38,3,FALSE)+VLOOKUP($E219&amp;$C219,生产方式定位!$F$3:$J$38,3,FALSE),0)</f>
        <v>0</v>
      </c>
      <c r="X219" s="15">
        <f>IFERROR(VLOOKUP($D219&amp;$C219,生产方式定位!$A$2:$E$38,5,FALSE)+VLOOKUP($E219&amp;$C219,生产方式定位!$F$3:$J$38,5,FALSE),"错误")</f>
        <v>0</v>
      </c>
      <c r="Y219" s="26" t="str">
        <f t="shared" si="80"/>
        <v/>
      </c>
      <c r="Z219" s="36" t="str">
        <f t="shared" si="81"/>
        <v/>
      </c>
      <c r="AA219" s="36" t="str">
        <f t="shared" si="82"/>
        <v/>
      </c>
      <c r="AB219" s="27" t="str">
        <f t="shared" si="83"/>
        <v/>
      </c>
      <c r="AC219" s="2" t="str">
        <f t="shared" si="84"/>
        <v/>
      </c>
      <c r="AD219" s="37">
        <f t="shared" si="85"/>
        <v>1</v>
      </c>
      <c r="AE219" t="str">
        <f t="shared" si="86"/>
        <v/>
      </c>
      <c r="AF219" t="str">
        <f t="shared" si="87"/>
        <v/>
      </c>
      <c r="AG219" t="str">
        <f t="shared" si="88"/>
        <v/>
      </c>
      <c r="AH219" t="str">
        <f t="shared" si="89"/>
        <v/>
      </c>
      <c r="AI219" t="str">
        <f t="shared" si="90"/>
        <v/>
      </c>
      <c r="AJ219" t="str">
        <f t="shared" si="91"/>
        <v/>
      </c>
      <c r="AK219" t="str">
        <f t="shared" si="92"/>
        <v/>
      </c>
      <c r="AL219" t="str">
        <f>IFERROR(ROUND(L219*(G219/$AU219)/VLOOKUP(F219,商品!$A$4:$B$60,2,FALSE),0),"")</f>
        <v/>
      </c>
      <c r="AM219" t="str">
        <f>IFERROR(ROUND(L219*(I219/$AU219)/VLOOKUP(H219,商品!$A$4:$B$60,2,FALSE),0),"")</f>
        <v/>
      </c>
      <c r="AN219">
        <f>IFERROR(ROUND(L219*(J219/$AU219)/VLOOKUP("运力",商品!$A$4:$B$60,2,FALSE),0),0)</f>
        <v>0</v>
      </c>
      <c r="AO219">
        <f>IFERROR(ROUND(L219*(K219/$AU219)/VLOOKUP("交易",商品!$A$4:$B$60,2,FALSE),0),0)</f>
        <v>0</v>
      </c>
      <c r="AP219" t="str">
        <f>IFERROR(ROUND(S219*(N219/$AV219)/VLOOKUP(M219,职业!$A$4:$G$16,4,FALSE),0),"")</f>
        <v/>
      </c>
      <c r="AQ219" t="str">
        <f>IFERROR(ROUND(S219*(P219/$AV219)/VLOOKUP(O219,职业!$A$4:$G$16,4,FALSE),0),"")</f>
        <v/>
      </c>
      <c r="AR219" t="str">
        <f>IFERROR(ROUND(S219*(R219/$AV219)/VLOOKUP(Q219,职业!$A$4:$G$16,4,FALSE),0),"")</f>
        <v/>
      </c>
      <c r="AS219" t="str">
        <f>IFERROR(ROUND(X219*(U219/$AW219)/VLOOKUP(T219,商品!$A$4:$B$60,2,FALSE),0),"")</f>
        <v/>
      </c>
      <c r="AT219" t="str">
        <f>IFERROR(ROUND(X219*(W219/$AW219)/VLOOKUP(V219,商品!$A$4:$B$60,2,FALSE),0),"")</f>
        <v/>
      </c>
      <c r="AU219">
        <f t="shared" si="93"/>
        <v>0</v>
      </c>
      <c r="AV219">
        <f t="shared" si="94"/>
        <v>0</v>
      </c>
      <c r="AW219">
        <f t="shared" si="95"/>
        <v>0</v>
      </c>
    </row>
    <row r="220" spans="1:49" ht="19.95" customHeight="1" x14ac:dyDescent="0.25">
      <c r="A220" s="15" t="s">
        <v>513</v>
      </c>
      <c r="C220" s="15">
        <v>2</v>
      </c>
      <c r="D220" s="23" t="s">
        <v>174</v>
      </c>
      <c r="E220" s="23" t="s">
        <v>177</v>
      </c>
      <c r="F220" s="2" t="s">
        <v>42</v>
      </c>
      <c r="G220" s="2">
        <v>5</v>
      </c>
      <c r="H220" s="2" t="s">
        <v>20</v>
      </c>
      <c r="I220" s="2">
        <v>10</v>
      </c>
      <c r="L220" s="15">
        <f>IFERROR(VLOOKUP($D220&amp;$C220,生产方式定位!$A$2:$E$38,2,FALSE)+VLOOKUP($E220&amp;$C220,生产方式定位!$F$3:$J$38,2,FALSE),0)</f>
        <v>105</v>
      </c>
      <c r="M220" s="2" t="s">
        <v>80</v>
      </c>
      <c r="N220" s="2">
        <v>-20</v>
      </c>
      <c r="O220" s="2" t="s">
        <v>74</v>
      </c>
      <c r="P220" s="2">
        <v>9</v>
      </c>
      <c r="S220" s="15">
        <f>IFERROR(VLOOKUP($D220&amp;$C220,生产方式定位!$A$2:$E$38,3,FALSE)+VLOOKUP($E220&amp;$C220,生产方式定位!$F$3:$J$38,3,FALSE),0)</f>
        <v>15</v>
      </c>
      <c r="T220" s="2" t="s">
        <v>42</v>
      </c>
      <c r="U220" s="2">
        <v>1</v>
      </c>
      <c r="X220" s="15">
        <f>IFERROR(VLOOKUP($D220&amp;$C220,生产方式定位!$A$2:$E$38,5,FALSE)+VLOOKUP($E220&amp;$C220,生产方式定位!$F$3:$J$38,5,FALSE),"错误")</f>
        <v>0</v>
      </c>
      <c r="Y220" s="26" t="str">
        <f t="shared" si="80"/>
        <v>魔偶*1,灵能水晶*2</v>
      </c>
      <c r="Z220" s="36" t="str">
        <f t="shared" si="81"/>
        <v>劳工*-468,法士*53</v>
      </c>
      <c r="AA220" s="36" t="str">
        <f t="shared" si="82"/>
        <v>魔偶*0</v>
      </c>
      <c r="AB220" s="27" t="str">
        <f t="shared" si="83"/>
        <v>-100%</v>
      </c>
      <c r="AC220" s="2">
        <f t="shared" si="84"/>
        <v>-120</v>
      </c>
      <c r="AD220" s="37">
        <f t="shared" si="85"/>
        <v>2</v>
      </c>
      <c r="AE220" t="str">
        <f t="shared" si="86"/>
        <v>魔偶*1</v>
      </c>
      <c r="AF220" t="str">
        <f t="shared" si="87"/>
        <v>灵能水晶*2</v>
      </c>
      <c r="AG220" t="str">
        <f t="shared" si="88"/>
        <v>劳工*-468</v>
      </c>
      <c r="AH220" t="str">
        <f t="shared" si="89"/>
        <v>法士*53</v>
      </c>
      <c r="AI220" t="str">
        <f t="shared" si="90"/>
        <v/>
      </c>
      <c r="AJ220" t="str">
        <f t="shared" si="91"/>
        <v>魔偶*0</v>
      </c>
      <c r="AK220" t="str">
        <f t="shared" si="92"/>
        <v/>
      </c>
      <c r="AL220">
        <f>IFERROR(ROUND(L220*(G220/$AU220)/VLOOKUP(F220,商品!$A$4:$B$60,2,FALSE),0),"")</f>
        <v>1</v>
      </c>
      <c r="AM220">
        <f>IFERROR(ROUND(L220*(I220/$AU220)/VLOOKUP(H220,商品!$A$4:$B$60,2,FALSE),0),"")</f>
        <v>2</v>
      </c>
      <c r="AN220">
        <f>IFERROR(ROUND(L220*(J220/$AU220)/VLOOKUP("运力",商品!$A$4:$B$60,2,FALSE),0),0)</f>
        <v>0</v>
      </c>
      <c r="AO220">
        <f>IFERROR(ROUND(L220*(K220/$AU220)/VLOOKUP("交易",商品!$A$4:$B$60,2,FALSE),0),0)</f>
        <v>0</v>
      </c>
      <c r="AP220">
        <f>IFERROR(ROUND(S220*(N220/$AV220)/VLOOKUP(M220,职业!$A$4:$G$16,4,FALSE),0),"")</f>
        <v>-468</v>
      </c>
      <c r="AQ220">
        <f>IFERROR(ROUND(S220*(P220/$AV220)/VLOOKUP(O220,职业!$A$4:$G$16,4,FALSE),0),"")</f>
        <v>53</v>
      </c>
      <c r="AR220" t="str">
        <f>IFERROR(ROUND(S220*(R220/$AV220)/VLOOKUP(Q220,职业!$A$4:$G$16,4,FALSE),0),"")</f>
        <v/>
      </c>
      <c r="AS220">
        <f>IFERROR(ROUND(X220*(U220/$AW220)/VLOOKUP(T220,商品!$A$4:$B$60,2,FALSE),0),"")</f>
        <v>0</v>
      </c>
      <c r="AT220" t="str">
        <f>IFERROR(ROUND(X220*(W220/$AW220)/VLOOKUP(V220,商品!$A$4:$B$60,2,FALSE),0),"")</f>
        <v/>
      </c>
      <c r="AU220">
        <f t="shared" si="93"/>
        <v>15</v>
      </c>
      <c r="AV220">
        <f t="shared" si="94"/>
        <v>29</v>
      </c>
      <c r="AW220">
        <f t="shared" si="95"/>
        <v>1</v>
      </c>
    </row>
    <row r="221" spans="1:49" ht="19.95" customHeight="1" x14ac:dyDescent="0.25">
      <c r="A221" s="15" t="s">
        <v>513</v>
      </c>
      <c r="C221" s="15">
        <v>3</v>
      </c>
      <c r="D221" s="23" t="s">
        <v>174</v>
      </c>
      <c r="E221" s="23" t="s">
        <v>177</v>
      </c>
      <c r="F221" s="2" t="s">
        <v>42</v>
      </c>
      <c r="G221" s="2">
        <v>5</v>
      </c>
      <c r="H221" s="2" t="s">
        <v>20</v>
      </c>
      <c r="I221" s="2">
        <v>10</v>
      </c>
      <c r="L221" s="15">
        <f>IFERROR(VLOOKUP($D221&amp;$C221,生产方式定位!$A$2:$E$38,2,FALSE)+VLOOKUP($E221&amp;$C221,生产方式定位!$F$3:$J$38,2,FALSE),0)</f>
        <v>210</v>
      </c>
      <c r="M221" s="2" t="s">
        <v>80</v>
      </c>
      <c r="N221" s="2">
        <v>-20</v>
      </c>
      <c r="O221" s="2" t="s">
        <v>74</v>
      </c>
      <c r="P221" s="2">
        <v>9</v>
      </c>
      <c r="S221" s="15">
        <f>IFERROR(VLOOKUP($D221&amp;$C221,生产方式定位!$A$2:$E$38,3,FALSE)+VLOOKUP($E221&amp;$C221,生产方式定位!$F$3:$J$38,3,FALSE),0)</f>
        <v>30</v>
      </c>
      <c r="T221" s="2" t="s">
        <v>42</v>
      </c>
      <c r="U221" s="2">
        <v>1</v>
      </c>
      <c r="X221" s="15">
        <f>IFERROR(VLOOKUP($D221&amp;$C221,生产方式定位!$A$2:$E$38,5,FALSE)+VLOOKUP($E221&amp;$C221,生产方式定位!$F$3:$J$38,5,FALSE),"错误")</f>
        <v>0</v>
      </c>
      <c r="Y221" s="26" t="str">
        <f t="shared" si="80"/>
        <v>魔偶*2,灵能水晶*5</v>
      </c>
      <c r="Z221" s="36" t="str">
        <f t="shared" si="81"/>
        <v>劳工*-936,法士*105</v>
      </c>
      <c r="AA221" s="36" t="str">
        <f t="shared" si="82"/>
        <v>魔偶*0</v>
      </c>
      <c r="AB221" s="27" t="str">
        <f t="shared" si="83"/>
        <v>-100%</v>
      </c>
      <c r="AC221" s="2">
        <f t="shared" si="84"/>
        <v>-240</v>
      </c>
      <c r="AD221" s="37">
        <f t="shared" si="85"/>
        <v>3</v>
      </c>
      <c r="AE221" t="str">
        <f t="shared" si="86"/>
        <v>魔偶*2</v>
      </c>
      <c r="AF221" t="str">
        <f t="shared" si="87"/>
        <v>灵能水晶*5</v>
      </c>
      <c r="AG221" t="str">
        <f t="shared" si="88"/>
        <v>劳工*-936</v>
      </c>
      <c r="AH221" t="str">
        <f t="shared" si="89"/>
        <v>法士*105</v>
      </c>
      <c r="AI221" t="str">
        <f t="shared" si="90"/>
        <v/>
      </c>
      <c r="AJ221" t="str">
        <f t="shared" si="91"/>
        <v>魔偶*0</v>
      </c>
      <c r="AK221" t="str">
        <f t="shared" si="92"/>
        <v/>
      </c>
      <c r="AL221">
        <f>IFERROR(ROUND(L221*(G221/$AU221)/VLOOKUP(F221,商品!$A$4:$B$60,2,FALSE),0),"")</f>
        <v>2</v>
      </c>
      <c r="AM221">
        <f>IFERROR(ROUND(L221*(I221/$AU221)/VLOOKUP(H221,商品!$A$4:$B$60,2,FALSE),0),"")</f>
        <v>5</v>
      </c>
      <c r="AN221">
        <f>IFERROR(ROUND(L221*(J221/$AU221)/VLOOKUP("运力",商品!$A$4:$B$60,2,FALSE),0),0)</f>
        <v>0</v>
      </c>
      <c r="AO221">
        <f>IFERROR(ROUND(L221*(K221/$AU221)/VLOOKUP("交易",商品!$A$4:$B$60,2,FALSE),0),0)</f>
        <v>0</v>
      </c>
      <c r="AP221">
        <f>IFERROR(ROUND(S221*(N221/$AV221)/VLOOKUP(M221,职业!$A$4:$G$16,4,FALSE),0),"")</f>
        <v>-936</v>
      </c>
      <c r="AQ221">
        <f>IFERROR(ROUND(S221*(P221/$AV221)/VLOOKUP(O221,职业!$A$4:$G$16,4,FALSE),0),"")</f>
        <v>105</v>
      </c>
      <c r="AR221" t="str">
        <f>IFERROR(ROUND(S221*(R221/$AV221)/VLOOKUP(Q221,职业!$A$4:$G$16,4,FALSE),0),"")</f>
        <v/>
      </c>
      <c r="AS221">
        <f>IFERROR(ROUND(X221*(U221/$AW221)/VLOOKUP(T221,商品!$A$4:$B$60,2,FALSE),0),"")</f>
        <v>0</v>
      </c>
      <c r="AT221" t="str">
        <f>IFERROR(ROUND(X221*(W221/$AW221)/VLOOKUP(V221,商品!$A$4:$B$60,2,FALSE),0),"")</f>
        <v/>
      </c>
      <c r="AU221">
        <f t="shared" si="93"/>
        <v>15</v>
      </c>
      <c r="AV221">
        <f t="shared" si="94"/>
        <v>29</v>
      </c>
      <c r="AW221">
        <f t="shared" si="95"/>
        <v>1</v>
      </c>
    </row>
    <row r="222" spans="1:49" ht="19.95" customHeight="1" x14ac:dyDescent="0.25">
      <c r="A222" s="15" t="s">
        <v>513</v>
      </c>
      <c r="C222" s="15">
        <v>4</v>
      </c>
      <c r="D222" s="23" t="s">
        <v>174</v>
      </c>
      <c r="E222" s="23" t="s">
        <v>177</v>
      </c>
      <c r="F222" s="2" t="s">
        <v>42</v>
      </c>
      <c r="G222" s="2">
        <v>5</v>
      </c>
      <c r="H222" s="2" t="s">
        <v>20</v>
      </c>
      <c r="I222" s="2">
        <v>10</v>
      </c>
      <c r="L222" s="15">
        <f>IFERROR(VLOOKUP($D222&amp;$C222,生产方式定位!$A$2:$E$38,2,FALSE)+VLOOKUP($E222&amp;$C222,生产方式定位!$F$3:$J$38,2,FALSE),0)</f>
        <v>315</v>
      </c>
      <c r="M222" s="2" t="s">
        <v>80</v>
      </c>
      <c r="N222" s="2">
        <v>-20</v>
      </c>
      <c r="O222" s="2" t="s">
        <v>74</v>
      </c>
      <c r="P222" s="2">
        <v>8</v>
      </c>
      <c r="S222" s="15">
        <f>IFERROR(VLOOKUP($D222&amp;$C222,生产方式定位!$A$2:$E$38,3,FALSE)+VLOOKUP($E222&amp;$C222,生产方式定位!$F$3:$J$38,3,FALSE),0)</f>
        <v>45</v>
      </c>
      <c r="T222" s="2" t="s">
        <v>42</v>
      </c>
      <c r="U222" s="2">
        <v>1</v>
      </c>
      <c r="X222" s="15">
        <f>IFERROR(VLOOKUP($D222&amp;$C222,生产方式定位!$A$2:$E$38,5,FALSE)+VLOOKUP($E222&amp;$C222,生产方式定位!$F$3:$J$38,5,FALSE),"错误")</f>
        <v>0</v>
      </c>
      <c r="Y222" s="26" t="str">
        <f t="shared" si="80"/>
        <v>魔偶*3,灵能水晶*7</v>
      </c>
      <c r="Z222" s="36" t="str">
        <f t="shared" si="81"/>
        <v>劳工*-1454,法士*145</v>
      </c>
      <c r="AA222" s="36" t="str">
        <f t="shared" si="82"/>
        <v>魔偶*0</v>
      </c>
      <c r="AB222" s="27" t="str">
        <f t="shared" si="83"/>
        <v>-100%</v>
      </c>
      <c r="AC222" s="2">
        <f t="shared" si="84"/>
        <v>-360</v>
      </c>
      <c r="AD222" s="37">
        <f t="shared" si="85"/>
        <v>4</v>
      </c>
      <c r="AE222" t="str">
        <f t="shared" si="86"/>
        <v>魔偶*3</v>
      </c>
      <c r="AF222" t="str">
        <f t="shared" si="87"/>
        <v>灵能水晶*7</v>
      </c>
      <c r="AG222" t="str">
        <f t="shared" si="88"/>
        <v>劳工*-1454</v>
      </c>
      <c r="AH222" t="str">
        <f t="shared" si="89"/>
        <v>法士*145</v>
      </c>
      <c r="AI222" t="str">
        <f t="shared" si="90"/>
        <v/>
      </c>
      <c r="AJ222" t="str">
        <f t="shared" si="91"/>
        <v>魔偶*0</v>
      </c>
      <c r="AK222" t="str">
        <f t="shared" si="92"/>
        <v/>
      </c>
      <c r="AL222">
        <f>IFERROR(ROUND(L222*(G222/$AU222)/VLOOKUP(F222,商品!$A$4:$B$60,2,FALSE),0),"")</f>
        <v>3</v>
      </c>
      <c r="AM222">
        <f>IFERROR(ROUND(L222*(I222/$AU222)/VLOOKUP(H222,商品!$A$4:$B$60,2,FALSE),0),"")</f>
        <v>7</v>
      </c>
      <c r="AN222">
        <f>IFERROR(ROUND(L222*(J222/$AU222)/VLOOKUP("运力",商品!$A$4:$B$60,2,FALSE),0),0)</f>
        <v>0</v>
      </c>
      <c r="AO222">
        <f>IFERROR(ROUND(L222*(K222/$AU222)/VLOOKUP("交易",商品!$A$4:$B$60,2,FALSE),0),0)</f>
        <v>0</v>
      </c>
      <c r="AP222">
        <f>IFERROR(ROUND(S222*(N222/$AV222)/VLOOKUP(M222,职业!$A$4:$G$16,4,FALSE),0),"")</f>
        <v>-1454</v>
      </c>
      <c r="AQ222">
        <f>IFERROR(ROUND(S222*(P222/$AV222)/VLOOKUP(O222,职业!$A$4:$G$16,4,FALSE),0),"")</f>
        <v>145</v>
      </c>
      <c r="AR222" t="str">
        <f>IFERROR(ROUND(S222*(R222/$AV222)/VLOOKUP(Q222,职业!$A$4:$G$16,4,FALSE),0),"")</f>
        <v/>
      </c>
      <c r="AS222">
        <f>IFERROR(ROUND(X222*(U222/$AW222)/VLOOKUP(T222,商品!$A$4:$B$60,2,FALSE),0),"")</f>
        <v>0</v>
      </c>
      <c r="AT222" t="str">
        <f>IFERROR(ROUND(X222*(W222/$AW222)/VLOOKUP(V222,商品!$A$4:$B$60,2,FALSE),0),"")</f>
        <v/>
      </c>
      <c r="AU222">
        <f t="shared" si="93"/>
        <v>15</v>
      </c>
      <c r="AV222">
        <f t="shared" si="94"/>
        <v>28</v>
      </c>
      <c r="AW222">
        <f t="shared" si="95"/>
        <v>1</v>
      </c>
    </row>
    <row r="223" spans="1:49" ht="19.95" customHeight="1" x14ac:dyDescent="0.25">
      <c r="A223" s="15" t="s">
        <v>513</v>
      </c>
      <c r="C223" s="15">
        <v>5</v>
      </c>
      <c r="D223" s="23" t="s">
        <v>174</v>
      </c>
      <c r="E223" s="23" t="s">
        <v>177</v>
      </c>
      <c r="F223" s="2" t="s">
        <v>42</v>
      </c>
      <c r="G223" s="2">
        <v>5</v>
      </c>
      <c r="H223" s="2" t="s">
        <v>20</v>
      </c>
      <c r="I223" s="2">
        <v>10</v>
      </c>
      <c r="L223" s="15">
        <f>IFERROR(VLOOKUP($D223&amp;$C223,生产方式定位!$A$2:$E$38,2,FALSE)+VLOOKUP($E223&amp;$C223,生产方式定位!$F$3:$J$38,2,FALSE),0)</f>
        <v>420</v>
      </c>
      <c r="M223" s="2" t="s">
        <v>80</v>
      </c>
      <c r="N223" s="2">
        <v>-20</v>
      </c>
      <c r="O223" s="2" t="s">
        <v>74</v>
      </c>
      <c r="P223" s="2">
        <v>9</v>
      </c>
      <c r="S223" s="15">
        <f>IFERROR(VLOOKUP($D223&amp;$C223,生产方式定位!$A$2:$E$38,3,FALSE)+VLOOKUP($E223&amp;$C223,生产方式定位!$F$3:$J$38,3,FALSE),0)</f>
        <v>60</v>
      </c>
      <c r="T223" s="2" t="s">
        <v>42</v>
      </c>
      <c r="U223" s="2">
        <v>1</v>
      </c>
      <c r="X223" s="15">
        <f>IFERROR(VLOOKUP($D223&amp;$C223,生产方式定位!$A$2:$E$38,5,FALSE)+VLOOKUP($E223&amp;$C223,生产方式定位!$F$3:$J$38,5,FALSE),"错误")</f>
        <v>0</v>
      </c>
      <c r="Y223" s="26" t="str">
        <f t="shared" si="80"/>
        <v>魔偶*4,灵能水晶*9</v>
      </c>
      <c r="Z223" s="36" t="str">
        <f t="shared" si="81"/>
        <v>劳工*-1872,法士*211</v>
      </c>
      <c r="AA223" s="36" t="str">
        <f t="shared" si="82"/>
        <v>魔偶*0</v>
      </c>
      <c r="AB223" s="27" t="str">
        <f t="shared" si="83"/>
        <v>-100%</v>
      </c>
      <c r="AC223" s="2">
        <f t="shared" si="84"/>
        <v>-480</v>
      </c>
      <c r="AD223" s="37">
        <f t="shared" si="85"/>
        <v>5</v>
      </c>
      <c r="AE223" t="str">
        <f t="shared" si="86"/>
        <v>魔偶*4</v>
      </c>
      <c r="AF223" t="str">
        <f t="shared" si="87"/>
        <v>灵能水晶*9</v>
      </c>
      <c r="AG223" t="str">
        <f t="shared" si="88"/>
        <v>劳工*-1872</v>
      </c>
      <c r="AH223" t="str">
        <f t="shared" si="89"/>
        <v>法士*211</v>
      </c>
      <c r="AI223" t="str">
        <f t="shared" si="90"/>
        <v/>
      </c>
      <c r="AJ223" t="str">
        <f t="shared" si="91"/>
        <v>魔偶*0</v>
      </c>
      <c r="AK223" t="str">
        <f t="shared" si="92"/>
        <v/>
      </c>
      <c r="AL223">
        <f>IFERROR(ROUND(L223*(G223/$AU223)/VLOOKUP(F223,商品!$A$4:$B$60,2,FALSE),0),"")</f>
        <v>4</v>
      </c>
      <c r="AM223">
        <f>IFERROR(ROUND(L223*(I223/$AU223)/VLOOKUP(H223,商品!$A$4:$B$60,2,FALSE),0),"")</f>
        <v>9</v>
      </c>
      <c r="AN223">
        <f>IFERROR(ROUND(L223*(J223/$AU223)/VLOOKUP("运力",商品!$A$4:$B$60,2,FALSE),0),0)</f>
        <v>0</v>
      </c>
      <c r="AO223">
        <f>IFERROR(ROUND(L223*(K223/$AU223)/VLOOKUP("交易",商品!$A$4:$B$60,2,FALSE),0),0)</f>
        <v>0</v>
      </c>
      <c r="AP223">
        <f>IFERROR(ROUND(S223*(N223/$AV223)/VLOOKUP(M223,职业!$A$4:$G$16,4,FALSE),0),"")</f>
        <v>-1872</v>
      </c>
      <c r="AQ223">
        <f>IFERROR(ROUND(S223*(P223/$AV223)/VLOOKUP(O223,职业!$A$4:$G$16,4,FALSE),0),"")</f>
        <v>211</v>
      </c>
      <c r="AR223" t="str">
        <f>IFERROR(ROUND(S223*(R223/$AV223)/VLOOKUP(Q223,职业!$A$4:$G$16,4,FALSE),0),"")</f>
        <v/>
      </c>
      <c r="AS223">
        <f>IFERROR(ROUND(X223*(U223/$AW223)/VLOOKUP(T223,商品!$A$4:$B$60,2,FALSE),0),"")</f>
        <v>0</v>
      </c>
      <c r="AT223" t="str">
        <f>IFERROR(ROUND(X223*(W223/$AW223)/VLOOKUP(V223,商品!$A$4:$B$60,2,FALSE),0),"")</f>
        <v/>
      </c>
      <c r="AU223">
        <f t="shared" si="93"/>
        <v>15</v>
      </c>
      <c r="AV223">
        <f t="shared" si="94"/>
        <v>29</v>
      </c>
      <c r="AW223">
        <f t="shared" si="95"/>
        <v>1</v>
      </c>
    </row>
    <row r="224" spans="1:49" ht="19.95" customHeight="1" x14ac:dyDescent="0.25">
      <c r="A224" s="16" t="s">
        <v>225</v>
      </c>
      <c r="C224" s="16">
        <v>1</v>
      </c>
      <c r="D224" s="23" t="s">
        <v>174</v>
      </c>
      <c r="E224" s="23" t="s">
        <v>179</v>
      </c>
      <c r="L224" s="16">
        <f>IFERROR(VLOOKUP($D224&amp;$C224,生产方式定位!$A$2:$E$38,2,FALSE)+VLOOKUP($E224&amp;$C224,生产方式定位!$F$3:$J$38,2,FALSE),0)</f>
        <v>0</v>
      </c>
      <c r="S224" s="16">
        <f>IFERROR(VLOOKUP($D224&amp;$C224,生产方式定位!$A$2:$E$38,3,FALSE)+VLOOKUP($E224&amp;$C224,生产方式定位!$F$3:$J$38,3,FALSE),0)</f>
        <v>100</v>
      </c>
      <c r="X224" s="16">
        <f>IFERROR(VLOOKUP($D224&amp;$C224,生产方式定位!$A$2:$E$38,5,FALSE)+VLOOKUP($E224&amp;$C224,生产方式定位!$F$3:$J$38,5,FALSE),"错误")</f>
        <v>100</v>
      </c>
      <c r="Y224" s="26" t="str">
        <f t="shared" si="80"/>
        <v/>
      </c>
      <c r="Z224" s="36" t="str">
        <f t="shared" si="81"/>
        <v/>
      </c>
      <c r="AA224" s="36" t="str">
        <f t="shared" si="82"/>
        <v/>
      </c>
      <c r="AB224" s="27" t="str">
        <f t="shared" si="83"/>
        <v/>
      </c>
      <c r="AC224" s="2" t="str">
        <f t="shared" si="84"/>
        <v/>
      </c>
      <c r="AD224" s="38">
        <f t="shared" si="85"/>
        <v>1</v>
      </c>
      <c r="AE224" t="str">
        <f t="shared" si="86"/>
        <v/>
      </c>
      <c r="AF224" t="str">
        <f t="shared" si="87"/>
        <v/>
      </c>
      <c r="AG224" t="str">
        <f t="shared" si="88"/>
        <v/>
      </c>
      <c r="AH224" t="str">
        <f t="shared" si="89"/>
        <v/>
      </c>
      <c r="AI224" t="str">
        <f t="shared" si="90"/>
        <v/>
      </c>
      <c r="AJ224" t="str">
        <f t="shared" si="91"/>
        <v/>
      </c>
      <c r="AK224" t="str">
        <f t="shared" si="92"/>
        <v/>
      </c>
      <c r="AL224" t="str">
        <f>IFERROR(ROUND(L224*(G224/$AU224)/VLOOKUP(F224,商品!$A$4:$B$60,2,FALSE),0),"")</f>
        <v/>
      </c>
      <c r="AM224" t="str">
        <f>IFERROR(ROUND(L224*(I224/$AU224)/VLOOKUP(H224,商品!$A$4:$B$60,2,FALSE),0),"")</f>
        <v/>
      </c>
      <c r="AN224">
        <f>IFERROR(ROUND(L224*(J224/$AU224)/VLOOKUP("运力",商品!$A$4:$B$60,2,FALSE),0),0)</f>
        <v>0</v>
      </c>
      <c r="AO224">
        <f>IFERROR(ROUND(L224*(K224/$AU224)/VLOOKUP("交易",商品!$A$4:$B$60,2,FALSE),0),0)</f>
        <v>0</v>
      </c>
      <c r="AP224" t="str">
        <f>IFERROR(ROUND(S224*(N224/$AV224)/VLOOKUP(M224,职业!$A$4:$G$16,4,FALSE),0),"")</f>
        <v/>
      </c>
      <c r="AQ224" t="str">
        <f>IFERROR(ROUND(S224*(P224/$AV224)/VLOOKUP(O224,职业!$A$4:$G$16,4,FALSE),0),"")</f>
        <v/>
      </c>
      <c r="AR224" t="str">
        <f>IFERROR(ROUND(S224*(R224/$AV224)/VLOOKUP(Q224,职业!$A$4:$G$16,4,FALSE),0),"")</f>
        <v/>
      </c>
      <c r="AS224" t="str">
        <f>IFERROR(ROUND(X224*(U224/$AW224)/VLOOKUP(T224,商品!$A$4:$B$60,2,FALSE),0),"")</f>
        <v/>
      </c>
      <c r="AT224" t="str">
        <f>IFERROR(ROUND(X224*(W224/$AW224)/VLOOKUP(V224,商品!$A$4:$B$60,2,FALSE),0),"")</f>
        <v/>
      </c>
      <c r="AU224">
        <f t="shared" si="93"/>
        <v>0</v>
      </c>
      <c r="AV224">
        <f t="shared" si="94"/>
        <v>0</v>
      </c>
      <c r="AW224">
        <f t="shared" si="95"/>
        <v>0</v>
      </c>
    </row>
    <row r="225" spans="1:49" ht="19.95" customHeight="1" x14ac:dyDescent="0.25">
      <c r="A225" s="16" t="s">
        <v>225</v>
      </c>
      <c r="C225" s="16">
        <v>2</v>
      </c>
      <c r="D225" s="23" t="s">
        <v>174</v>
      </c>
      <c r="E225" s="23" t="s">
        <v>179</v>
      </c>
      <c r="L225" s="16">
        <f>IFERROR(VLOOKUP($D225&amp;$C225,生产方式定位!$A$2:$E$38,2,FALSE)+VLOOKUP($E225&amp;$C225,生产方式定位!$F$3:$J$38,2,FALSE),0)</f>
        <v>0</v>
      </c>
      <c r="S225" s="16">
        <f>IFERROR(VLOOKUP($D225&amp;$C225,生产方式定位!$A$2:$E$38,3,FALSE)+VLOOKUP($E225&amp;$C225,生产方式定位!$F$3:$J$38,3,FALSE),0)</f>
        <v>100</v>
      </c>
      <c r="X225" s="16">
        <f>IFERROR(VLOOKUP($D225&amp;$C225,生产方式定位!$A$2:$E$38,5,FALSE)+VLOOKUP($E225&amp;$C225,生产方式定位!$F$3:$J$38,5,FALSE),"错误")</f>
        <v>100</v>
      </c>
      <c r="Y225" s="26" t="str">
        <f t="shared" si="80"/>
        <v/>
      </c>
      <c r="Z225" s="36" t="str">
        <f t="shared" si="81"/>
        <v/>
      </c>
      <c r="AA225" s="36" t="str">
        <f t="shared" si="82"/>
        <v/>
      </c>
      <c r="AB225" s="27" t="str">
        <f t="shared" si="83"/>
        <v/>
      </c>
      <c r="AC225" s="2" t="str">
        <f t="shared" si="84"/>
        <v/>
      </c>
      <c r="AD225" s="38">
        <f t="shared" si="85"/>
        <v>2</v>
      </c>
      <c r="AE225" t="str">
        <f t="shared" si="86"/>
        <v/>
      </c>
      <c r="AF225" t="str">
        <f t="shared" si="87"/>
        <v/>
      </c>
      <c r="AG225" t="str">
        <f t="shared" si="88"/>
        <v/>
      </c>
      <c r="AH225" t="str">
        <f t="shared" si="89"/>
        <v/>
      </c>
      <c r="AI225" t="str">
        <f t="shared" si="90"/>
        <v/>
      </c>
      <c r="AJ225" t="str">
        <f t="shared" si="91"/>
        <v/>
      </c>
      <c r="AK225" t="str">
        <f t="shared" si="92"/>
        <v/>
      </c>
      <c r="AL225" t="str">
        <f>IFERROR(ROUND(L225*(G225/$AU225)/VLOOKUP(F225,商品!$A$4:$B$60,2,FALSE),0),"")</f>
        <v/>
      </c>
      <c r="AM225" t="str">
        <f>IFERROR(ROUND(L225*(I225/$AU225)/VLOOKUP(H225,商品!$A$4:$B$60,2,FALSE),0),"")</f>
        <v/>
      </c>
      <c r="AN225">
        <f>IFERROR(ROUND(L225*(J225/$AU225)/VLOOKUP("运力",商品!$A$4:$B$60,2,FALSE),0),0)</f>
        <v>0</v>
      </c>
      <c r="AO225">
        <f>IFERROR(ROUND(L225*(K225/$AU225)/VLOOKUP("交易",商品!$A$4:$B$60,2,FALSE),0),0)</f>
        <v>0</v>
      </c>
      <c r="AP225" t="str">
        <f>IFERROR(ROUND(S225*(N225/$AV225)/VLOOKUP(M225,职业!$A$4:$G$16,4,FALSE),0),"")</f>
        <v/>
      </c>
      <c r="AQ225" t="str">
        <f>IFERROR(ROUND(S225*(P225/$AV225)/VLOOKUP(O225,职业!$A$4:$G$16,4,FALSE),0),"")</f>
        <v/>
      </c>
      <c r="AR225" t="str">
        <f>IFERROR(ROUND(S225*(R225/$AV225)/VLOOKUP(Q225,职业!$A$4:$G$16,4,FALSE),0),"")</f>
        <v/>
      </c>
      <c r="AS225" t="str">
        <f>IFERROR(ROUND(X225*(U225/$AW225)/VLOOKUP(T225,商品!$A$4:$B$60,2,FALSE),0),"")</f>
        <v/>
      </c>
      <c r="AT225" t="str">
        <f>IFERROR(ROUND(X225*(W225/$AW225)/VLOOKUP(V225,商品!$A$4:$B$60,2,FALSE),0),"")</f>
        <v/>
      </c>
      <c r="AU225">
        <f t="shared" si="93"/>
        <v>0</v>
      </c>
      <c r="AV225">
        <f t="shared" si="94"/>
        <v>0</v>
      </c>
      <c r="AW225">
        <f t="shared" si="95"/>
        <v>0</v>
      </c>
    </row>
    <row r="226" spans="1:49" ht="19.95" customHeight="1" x14ac:dyDescent="0.25">
      <c r="A226" s="16" t="s">
        <v>225</v>
      </c>
      <c r="C226" s="16">
        <v>3</v>
      </c>
      <c r="D226" s="23" t="s">
        <v>174</v>
      </c>
      <c r="E226" s="23" t="s">
        <v>179</v>
      </c>
      <c r="L226" s="16">
        <f>IFERROR(VLOOKUP($D226&amp;$C226,生产方式定位!$A$2:$E$38,2,FALSE)+VLOOKUP($E226&amp;$C226,生产方式定位!$F$3:$J$38,2,FALSE),0)</f>
        <v>0</v>
      </c>
      <c r="S226" s="16">
        <f>IFERROR(VLOOKUP($D226&amp;$C226,生产方式定位!$A$2:$E$38,3,FALSE)+VLOOKUP($E226&amp;$C226,生产方式定位!$F$3:$J$38,3,FALSE),0)</f>
        <v>100</v>
      </c>
      <c r="X226" s="16">
        <f>IFERROR(VLOOKUP($D226&amp;$C226,生产方式定位!$A$2:$E$38,5,FALSE)+VLOOKUP($E226&amp;$C226,生产方式定位!$F$3:$J$38,5,FALSE),"错误")</f>
        <v>100</v>
      </c>
      <c r="Y226" s="26" t="str">
        <f t="shared" si="80"/>
        <v/>
      </c>
      <c r="Z226" s="36" t="str">
        <f t="shared" si="81"/>
        <v/>
      </c>
      <c r="AA226" s="36" t="str">
        <f t="shared" si="82"/>
        <v/>
      </c>
      <c r="AB226" s="27" t="str">
        <f t="shared" si="83"/>
        <v/>
      </c>
      <c r="AC226" s="2" t="str">
        <f t="shared" si="84"/>
        <v/>
      </c>
      <c r="AD226" s="38">
        <f t="shared" si="85"/>
        <v>3</v>
      </c>
      <c r="AE226" t="str">
        <f t="shared" si="86"/>
        <v/>
      </c>
      <c r="AF226" t="str">
        <f t="shared" si="87"/>
        <v/>
      </c>
      <c r="AG226" t="str">
        <f t="shared" si="88"/>
        <v/>
      </c>
      <c r="AH226" t="str">
        <f t="shared" si="89"/>
        <v/>
      </c>
      <c r="AI226" t="str">
        <f t="shared" si="90"/>
        <v/>
      </c>
      <c r="AJ226" t="str">
        <f t="shared" si="91"/>
        <v/>
      </c>
      <c r="AK226" t="str">
        <f t="shared" si="92"/>
        <v/>
      </c>
      <c r="AL226" t="str">
        <f>IFERROR(ROUND(L226*(G226/$AU226)/VLOOKUP(F226,商品!$A$4:$B$60,2,FALSE),0),"")</f>
        <v/>
      </c>
      <c r="AM226" t="str">
        <f>IFERROR(ROUND(L226*(I226/$AU226)/VLOOKUP(H226,商品!$A$4:$B$60,2,FALSE),0),"")</f>
        <v/>
      </c>
      <c r="AN226">
        <f>IFERROR(ROUND(L226*(J226/$AU226)/VLOOKUP("运力",商品!$A$4:$B$60,2,FALSE),0),0)</f>
        <v>0</v>
      </c>
      <c r="AO226">
        <f>IFERROR(ROUND(L226*(K226/$AU226)/VLOOKUP("交易",商品!$A$4:$B$60,2,FALSE),0),0)</f>
        <v>0</v>
      </c>
      <c r="AP226" t="str">
        <f>IFERROR(ROUND(S226*(N226/$AV226)/VLOOKUP(M226,职业!$A$4:$G$16,4,FALSE),0),"")</f>
        <v/>
      </c>
      <c r="AQ226" t="str">
        <f>IFERROR(ROUND(S226*(P226/$AV226)/VLOOKUP(O226,职业!$A$4:$G$16,4,FALSE),0),"")</f>
        <v/>
      </c>
      <c r="AR226" t="str">
        <f>IFERROR(ROUND(S226*(R226/$AV226)/VLOOKUP(Q226,职业!$A$4:$G$16,4,FALSE),0),"")</f>
        <v/>
      </c>
      <c r="AS226" t="str">
        <f>IFERROR(ROUND(X226*(U226/$AW226)/VLOOKUP(T226,商品!$A$4:$B$60,2,FALSE),0),"")</f>
        <v/>
      </c>
      <c r="AT226" t="str">
        <f>IFERROR(ROUND(X226*(W226/$AW226)/VLOOKUP(V226,商品!$A$4:$B$60,2,FALSE),0),"")</f>
        <v/>
      </c>
      <c r="AU226">
        <f t="shared" si="93"/>
        <v>0</v>
      </c>
      <c r="AV226">
        <f t="shared" si="94"/>
        <v>0</v>
      </c>
      <c r="AW226">
        <f t="shared" si="95"/>
        <v>0</v>
      </c>
    </row>
    <row r="227" spans="1:49" ht="19.95" customHeight="1" x14ac:dyDescent="0.25">
      <c r="A227" s="16" t="s">
        <v>225</v>
      </c>
      <c r="C227" s="16">
        <v>4</v>
      </c>
      <c r="D227" s="23" t="s">
        <v>174</v>
      </c>
      <c r="E227" s="23" t="s">
        <v>179</v>
      </c>
      <c r="L227" s="16">
        <f>IFERROR(VLOOKUP($D227&amp;$C227,生产方式定位!$A$2:$E$38,2,FALSE)+VLOOKUP($E227&amp;$C227,生产方式定位!$F$3:$J$38,2,FALSE),0)</f>
        <v>0</v>
      </c>
      <c r="S227" s="16">
        <f>IFERROR(VLOOKUP($D227&amp;$C227,生产方式定位!$A$2:$E$38,3,FALSE)+VLOOKUP($E227&amp;$C227,生产方式定位!$F$3:$J$38,3,FALSE),0)</f>
        <v>100</v>
      </c>
      <c r="X227" s="16">
        <f>IFERROR(VLOOKUP($D227&amp;$C227,生产方式定位!$A$2:$E$38,5,FALSE)+VLOOKUP($E227&amp;$C227,生产方式定位!$F$3:$J$38,5,FALSE),"错误")</f>
        <v>100</v>
      </c>
      <c r="Y227" s="26" t="str">
        <f t="shared" si="80"/>
        <v/>
      </c>
      <c r="Z227" s="36" t="str">
        <f t="shared" si="81"/>
        <v/>
      </c>
      <c r="AA227" s="36" t="str">
        <f t="shared" si="82"/>
        <v/>
      </c>
      <c r="AB227" s="27" t="str">
        <f t="shared" si="83"/>
        <v/>
      </c>
      <c r="AC227" s="2" t="str">
        <f t="shared" si="84"/>
        <v/>
      </c>
      <c r="AD227" s="38">
        <f t="shared" si="85"/>
        <v>4</v>
      </c>
      <c r="AE227" t="str">
        <f t="shared" si="86"/>
        <v/>
      </c>
      <c r="AF227" t="str">
        <f t="shared" si="87"/>
        <v/>
      </c>
      <c r="AG227" t="str">
        <f t="shared" si="88"/>
        <v/>
      </c>
      <c r="AH227" t="str">
        <f t="shared" si="89"/>
        <v/>
      </c>
      <c r="AI227" t="str">
        <f t="shared" si="90"/>
        <v/>
      </c>
      <c r="AJ227" t="str">
        <f t="shared" si="91"/>
        <v/>
      </c>
      <c r="AK227" t="str">
        <f t="shared" si="92"/>
        <v/>
      </c>
      <c r="AL227" t="str">
        <f>IFERROR(ROUND(L227*(G227/$AU227)/VLOOKUP(F227,商品!$A$4:$B$60,2,FALSE),0),"")</f>
        <v/>
      </c>
      <c r="AM227" t="str">
        <f>IFERROR(ROUND(L227*(I227/$AU227)/VLOOKUP(H227,商品!$A$4:$B$60,2,FALSE),0),"")</f>
        <v/>
      </c>
      <c r="AN227">
        <f>IFERROR(ROUND(L227*(J227/$AU227)/VLOOKUP("运力",商品!$A$4:$B$60,2,FALSE),0),0)</f>
        <v>0</v>
      </c>
      <c r="AO227">
        <f>IFERROR(ROUND(L227*(K227/$AU227)/VLOOKUP("交易",商品!$A$4:$B$60,2,FALSE),0),0)</f>
        <v>0</v>
      </c>
      <c r="AP227" t="str">
        <f>IFERROR(ROUND(S227*(N227/$AV227)/VLOOKUP(M227,职业!$A$4:$G$16,4,FALSE),0),"")</f>
        <v/>
      </c>
      <c r="AQ227" t="str">
        <f>IFERROR(ROUND(S227*(P227/$AV227)/VLOOKUP(O227,职业!$A$4:$G$16,4,FALSE),0),"")</f>
        <v/>
      </c>
      <c r="AR227" t="str">
        <f>IFERROR(ROUND(S227*(R227/$AV227)/VLOOKUP(Q227,职业!$A$4:$G$16,4,FALSE),0),"")</f>
        <v/>
      </c>
      <c r="AS227" t="str">
        <f>IFERROR(ROUND(X227*(U227/$AW227)/VLOOKUP(T227,商品!$A$4:$B$60,2,FALSE),0),"")</f>
        <v/>
      </c>
      <c r="AT227" t="str">
        <f>IFERROR(ROUND(X227*(W227/$AW227)/VLOOKUP(V227,商品!$A$4:$B$60,2,FALSE),0),"")</f>
        <v/>
      </c>
      <c r="AU227">
        <f t="shared" si="93"/>
        <v>0</v>
      </c>
      <c r="AV227">
        <f t="shared" si="94"/>
        <v>0</v>
      </c>
      <c r="AW227">
        <f t="shared" si="95"/>
        <v>0</v>
      </c>
    </row>
    <row r="228" spans="1:49" ht="19.95" customHeight="1" x14ac:dyDescent="0.25">
      <c r="A228" s="16" t="s">
        <v>225</v>
      </c>
      <c r="C228" s="16">
        <v>5</v>
      </c>
      <c r="D228" s="23" t="s">
        <v>174</v>
      </c>
      <c r="E228" s="23" t="s">
        <v>179</v>
      </c>
      <c r="L228" s="16">
        <f>IFERROR(VLOOKUP($D228&amp;$C228,生产方式定位!$A$2:$E$38,2,FALSE)+VLOOKUP($E228&amp;$C228,生产方式定位!$F$3:$J$38,2,FALSE),0)</f>
        <v>0</v>
      </c>
      <c r="S228" s="16">
        <f>IFERROR(VLOOKUP($D228&amp;$C228,生产方式定位!$A$2:$E$38,3,FALSE)+VLOOKUP($E228&amp;$C228,生产方式定位!$F$3:$J$38,3,FALSE),0)</f>
        <v>100</v>
      </c>
      <c r="X228" s="16">
        <f>IFERROR(VLOOKUP($D228&amp;$C228,生产方式定位!$A$2:$E$38,5,FALSE)+VLOOKUP($E228&amp;$C228,生产方式定位!$F$3:$J$38,5,FALSE),"错误")</f>
        <v>100</v>
      </c>
      <c r="Y228" s="26" t="str">
        <f t="shared" si="80"/>
        <v/>
      </c>
      <c r="Z228" s="36" t="str">
        <f t="shared" si="81"/>
        <v/>
      </c>
      <c r="AA228" s="36" t="str">
        <f t="shared" si="82"/>
        <v/>
      </c>
      <c r="AB228" s="27" t="str">
        <f t="shared" si="83"/>
        <v/>
      </c>
      <c r="AC228" s="2" t="str">
        <f t="shared" si="84"/>
        <v/>
      </c>
      <c r="AD228" s="38">
        <f t="shared" si="85"/>
        <v>5</v>
      </c>
      <c r="AE228" t="str">
        <f t="shared" si="86"/>
        <v/>
      </c>
      <c r="AF228" t="str">
        <f t="shared" si="87"/>
        <v/>
      </c>
      <c r="AG228" t="str">
        <f t="shared" si="88"/>
        <v/>
      </c>
      <c r="AH228" t="str">
        <f t="shared" si="89"/>
        <v/>
      </c>
      <c r="AI228" t="str">
        <f t="shared" si="90"/>
        <v/>
      </c>
      <c r="AJ228" t="str">
        <f t="shared" si="91"/>
        <v/>
      </c>
      <c r="AK228" t="str">
        <f t="shared" si="92"/>
        <v/>
      </c>
      <c r="AL228" t="str">
        <f>IFERROR(ROUND(L228*(G228/$AU228)/VLOOKUP(F228,商品!$A$4:$B$60,2,FALSE),0),"")</f>
        <v/>
      </c>
      <c r="AM228" t="str">
        <f>IFERROR(ROUND(L228*(I228/$AU228)/VLOOKUP(H228,商品!$A$4:$B$60,2,FALSE),0),"")</f>
        <v/>
      </c>
      <c r="AN228">
        <f>IFERROR(ROUND(L228*(J228/$AU228)/VLOOKUP("运力",商品!$A$4:$B$60,2,FALSE),0),0)</f>
        <v>0</v>
      </c>
      <c r="AO228">
        <f>IFERROR(ROUND(L228*(K228/$AU228)/VLOOKUP("交易",商品!$A$4:$B$60,2,FALSE),0),0)</f>
        <v>0</v>
      </c>
      <c r="AP228" t="str">
        <f>IFERROR(ROUND(S228*(N228/$AV228)/VLOOKUP(M228,职业!$A$4:$G$16,4,FALSE),0),"")</f>
        <v/>
      </c>
      <c r="AQ228" t="str">
        <f>IFERROR(ROUND(S228*(P228/$AV228)/VLOOKUP(O228,职业!$A$4:$G$16,4,FALSE),0),"")</f>
        <v/>
      </c>
      <c r="AR228" t="str">
        <f>IFERROR(ROUND(S228*(R228/$AV228)/VLOOKUP(Q228,职业!$A$4:$G$16,4,FALSE),0),"")</f>
        <v/>
      </c>
      <c r="AS228" t="str">
        <f>IFERROR(ROUND(X228*(U228/$AW228)/VLOOKUP(T228,商品!$A$4:$B$60,2,FALSE),0),"")</f>
        <v/>
      </c>
      <c r="AT228" t="str">
        <f>IFERROR(ROUND(X228*(W228/$AW228)/VLOOKUP(V228,商品!$A$4:$B$60,2,FALSE),0),"")</f>
        <v/>
      </c>
      <c r="AU228">
        <f t="shared" si="93"/>
        <v>0</v>
      </c>
      <c r="AV228">
        <f t="shared" si="94"/>
        <v>0</v>
      </c>
      <c r="AW228">
        <f t="shared" si="95"/>
        <v>0</v>
      </c>
    </row>
    <row r="229" spans="1:49" ht="19.95" customHeight="1" x14ac:dyDescent="0.25">
      <c r="A229" s="16" t="s">
        <v>225</v>
      </c>
      <c r="C229" s="16">
        <v>6</v>
      </c>
      <c r="D229" s="23" t="s">
        <v>174</v>
      </c>
      <c r="E229" s="23" t="s">
        <v>179</v>
      </c>
      <c r="L229" s="16">
        <f>IFERROR(VLOOKUP($D229&amp;$C229,生产方式定位!$A$2:$E$38,2,FALSE)+VLOOKUP($E229&amp;$C229,生产方式定位!$F$3:$J$38,2,FALSE),0)</f>
        <v>0</v>
      </c>
      <c r="S229" s="16">
        <f>IFERROR(VLOOKUP($D229&amp;$C229,生产方式定位!$A$2:$E$38,3,FALSE)+VLOOKUP($E229&amp;$C229,生产方式定位!$F$3:$J$38,3,FALSE),0)</f>
        <v>100</v>
      </c>
      <c r="X229" s="16">
        <f>IFERROR(VLOOKUP($D229&amp;$C229,生产方式定位!$A$2:$E$38,5,FALSE)+VLOOKUP($E229&amp;$C229,生产方式定位!$F$3:$J$38,5,FALSE),"错误")</f>
        <v>100</v>
      </c>
      <c r="Y229" s="26" t="str">
        <f t="shared" si="80"/>
        <v/>
      </c>
      <c r="Z229" s="36" t="str">
        <f t="shared" si="81"/>
        <v/>
      </c>
      <c r="AA229" s="36" t="str">
        <f t="shared" si="82"/>
        <v/>
      </c>
      <c r="AB229" s="27" t="str">
        <f t="shared" si="83"/>
        <v/>
      </c>
      <c r="AC229" s="2" t="str">
        <f t="shared" si="84"/>
        <v/>
      </c>
      <c r="AD229" s="37">
        <f t="shared" si="85"/>
        <v>6</v>
      </c>
      <c r="AE229" t="str">
        <f t="shared" si="86"/>
        <v/>
      </c>
      <c r="AF229" t="str">
        <f t="shared" si="87"/>
        <v/>
      </c>
      <c r="AG229" t="str">
        <f t="shared" si="88"/>
        <v/>
      </c>
      <c r="AH229" t="str">
        <f t="shared" si="89"/>
        <v/>
      </c>
      <c r="AI229" t="str">
        <f t="shared" si="90"/>
        <v/>
      </c>
      <c r="AJ229" t="str">
        <f t="shared" si="91"/>
        <v/>
      </c>
      <c r="AK229" t="str">
        <f t="shared" si="92"/>
        <v/>
      </c>
      <c r="AL229" t="str">
        <f>IFERROR(ROUND(L229*(G229/$AU229)/VLOOKUP(F229,商品!$A$4:$B$60,2,FALSE),0),"")</f>
        <v/>
      </c>
      <c r="AM229" t="str">
        <f>IFERROR(ROUND(L229*(I229/$AU229)/VLOOKUP(H229,商品!$A$4:$B$60,2,FALSE),0),"")</f>
        <v/>
      </c>
      <c r="AN229">
        <f>IFERROR(ROUND(L229*(J229/$AU229)/VLOOKUP("运力",商品!$A$4:$B$60,2,FALSE),0),0)</f>
        <v>0</v>
      </c>
      <c r="AO229">
        <f>IFERROR(ROUND(L229*(K229/$AU229)/VLOOKUP("交易",商品!$A$4:$B$60,2,FALSE),0),0)</f>
        <v>0</v>
      </c>
      <c r="AP229" t="str">
        <f>IFERROR(ROUND(S229*(N229/$AV229)/VLOOKUP(M229,职业!$A$4:$G$16,4,FALSE),0),"")</f>
        <v/>
      </c>
      <c r="AQ229" t="str">
        <f>IFERROR(ROUND(S229*(P229/$AV229)/VLOOKUP(O229,职业!$A$4:$G$16,4,FALSE),0),"")</f>
        <v/>
      </c>
      <c r="AR229" t="str">
        <f>IFERROR(ROUND(S229*(R229/$AV229)/VLOOKUP(Q229,职业!$A$4:$G$16,4,FALSE),0),"")</f>
        <v/>
      </c>
      <c r="AS229" t="str">
        <f>IFERROR(ROUND(X229*(U229/$AW229)/VLOOKUP(T229,商品!$A$4:$B$60,2,FALSE),0),"")</f>
        <v/>
      </c>
      <c r="AT229" t="str">
        <f>IFERROR(ROUND(X229*(W229/$AW229)/VLOOKUP(V229,商品!$A$4:$B$60,2,FALSE),0),"")</f>
        <v/>
      </c>
      <c r="AU229">
        <f t="shared" si="93"/>
        <v>0</v>
      </c>
      <c r="AV229">
        <f t="shared" si="94"/>
        <v>0</v>
      </c>
      <c r="AW229">
        <f t="shared" si="95"/>
        <v>0</v>
      </c>
    </row>
    <row r="230" spans="1:49" ht="19.95" customHeight="1" x14ac:dyDescent="0.25">
      <c r="A230" s="16" t="s">
        <v>225</v>
      </c>
      <c r="C230" s="16">
        <v>7</v>
      </c>
      <c r="D230" s="23" t="s">
        <v>174</v>
      </c>
      <c r="E230" s="23" t="s">
        <v>179</v>
      </c>
      <c r="L230" s="16">
        <f>IFERROR(VLOOKUP($D230&amp;$C230,生产方式定位!$A$2:$E$38,2,FALSE)+VLOOKUP($E230&amp;$C230,生产方式定位!$F$3:$J$38,2,FALSE),0)</f>
        <v>0</v>
      </c>
      <c r="S230" s="16">
        <f>IFERROR(VLOOKUP($D230&amp;$C230,生产方式定位!$A$2:$E$38,3,FALSE)+VLOOKUP($E230&amp;$C230,生产方式定位!$F$3:$J$38,3,FALSE),0)</f>
        <v>100</v>
      </c>
      <c r="X230" s="16">
        <f>IFERROR(VLOOKUP($D230&amp;$C230,生产方式定位!$A$2:$E$38,5,FALSE)+VLOOKUP($E230&amp;$C230,生产方式定位!$F$3:$J$38,5,FALSE),"错误")</f>
        <v>100</v>
      </c>
      <c r="Y230" s="26" t="str">
        <f t="shared" si="80"/>
        <v/>
      </c>
      <c r="Z230" s="36" t="str">
        <f t="shared" si="81"/>
        <v/>
      </c>
      <c r="AA230" s="36" t="str">
        <f t="shared" si="82"/>
        <v/>
      </c>
      <c r="AB230" s="27" t="str">
        <f t="shared" si="83"/>
        <v/>
      </c>
      <c r="AC230" s="2" t="str">
        <f t="shared" si="84"/>
        <v/>
      </c>
      <c r="AD230" s="37">
        <f t="shared" si="85"/>
        <v>7</v>
      </c>
      <c r="AE230" t="str">
        <f t="shared" si="86"/>
        <v/>
      </c>
      <c r="AF230" t="str">
        <f t="shared" si="87"/>
        <v/>
      </c>
      <c r="AG230" t="str">
        <f t="shared" si="88"/>
        <v/>
      </c>
      <c r="AH230" t="str">
        <f t="shared" si="89"/>
        <v/>
      </c>
      <c r="AI230" t="str">
        <f t="shared" si="90"/>
        <v/>
      </c>
      <c r="AJ230" t="str">
        <f t="shared" si="91"/>
        <v/>
      </c>
      <c r="AK230" t="str">
        <f t="shared" si="92"/>
        <v/>
      </c>
      <c r="AL230" t="str">
        <f>IFERROR(ROUND(L230*(G230/$AU230)/VLOOKUP(F230,商品!$A$4:$B$60,2,FALSE),0),"")</f>
        <v/>
      </c>
      <c r="AM230" t="str">
        <f>IFERROR(ROUND(L230*(I230/$AU230)/VLOOKUP(H230,商品!$A$4:$B$60,2,FALSE),0),"")</f>
        <v/>
      </c>
      <c r="AN230">
        <f>IFERROR(ROUND(L230*(J230/$AU230)/VLOOKUP("运力",商品!$A$4:$B$60,2,FALSE),0),0)</f>
        <v>0</v>
      </c>
      <c r="AO230">
        <f>IFERROR(ROUND(L230*(K230/$AU230)/VLOOKUP("交易",商品!$A$4:$B$60,2,FALSE),0),0)</f>
        <v>0</v>
      </c>
      <c r="AP230" t="str">
        <f>IFERROR(ROUND(S230*(N230/$AV230)/VLOOKUP(M230,职业!$A$4:$G$16,4,FALSE),0),"")</f>
        <v/>
      </c>
      <c r="AQ230" t="str">
        <f>IFERROR(ROUND(S230*(P230/$AV230)/VLOOKUP(O230,职业!$A$4:$G$16,4,FALSE),0),"")</f>
        <v/>
      </c>
      <c r="AR230" t="str">
        <f>IFERROR(ROUND(S230*(R230/$AV230)/VLOOKUP(Q230,职业!$A$4:$G$16,4,FALSE),0),"")</f>
        <v/>
      </c>
      <c r="AS230" t="str">
        <f>IFERROR(ROUND(X230*(U230/$AW230)/VLOOKUP(T230,商品!$A$4:$B$60,2,FALSE),0),"")</f>
        <v/>
      </c>
      <c r="AT230" t="str">
        <f>IFERROR(ROUND(X230*(W230/$AW230)/VLOOKUP(V230,商品!$A$4:$B$60,2,FALSE),0),"")</f>
        <v/>
      </c>
      <c r="AU230">
        <f t="shared" si="93"/>
        <v>0</v>
      </c>
      <c r="AV230">
        <f t="shared" si="94"/>
        <v>0</v>
      </c>
      <c r="AW230">
        <f t="shared" si="95"/>
        <v>0</v>
      </c>
    </row>
    <row r="231" spans="1:49" ht="19.95" customHeight="1" x14ac:dyDescent="0.25">
      <c r="A231" s="16" t="s">
        <v>225</v>
      </c>
      <c r="C231" s="16">
        <v>8</v>
      </c>
      <c r="D231" s="23" t="s">
        <v>174</v>
      </c>
      <c r="E231" s="23" t="s">
        <v>179</v>
      </c>
      <c r="L231" s="16">
        <f>IFERROR(VLOOKUP($D231&amp;$C231,生产方式定位!$A$2:$E$38,2,FALSE)+VLOOKUP($E231&amp;$C231,生产方式定位!$F$3:$J$38,2,FALSE),0)</f>
        <v>0</v>
      </c>
      <c r="S231" s="16">
        <f>IFERROR(VLOOKUP($D231&amp;$C231,生产方式定位!$A$2:$E$38,3,FALSE)+VLOOKUP($E231&amp;$C231,生产方式定位!$F$3:$J$38,3,FALSE),0)</f>
        <v>100</v>
      </c>
      <c r="X231" s="16">
        <f>IFERROR(VLOOKUP($D231&amp;$C231,生产方式定位!$A$2:$E$38,5,FALSE)+VLOOKUP($E231&amp;$C231,生产方式定位!$F$3:$J$38,5,FALSE),"错误")</f>
        <v>100</v>
      </c>
      <c r="Y231" s="26" t="str">
        <f t="shared" si="80"/>
        <v/>
      </c>
      <c r="Z231" s="36" t="str">
        <f t="shared" si="81"/>
        <v/>
      </c>
      <c r="AA231" s="36" t="str">
        <f t="shared" si="82"/>
        <v/>
      </c>
      <c r="AB231" s="27" t="str">
        <f t="shared" si="83"/>
        <v/>
      </c>
      <c r="AC231" s="2" t="str">
        <f t="shared" si="84"/>
        <v/>
      </c>
      <c r="AD231" s="37">
        <f t="shared" si="85"/>
        <v>8</v>
      </c>
      <c r="AE231" t="str">
        <f t="shared" si="86"/>
        <v/>
      </c>
      <c r="AF231" t="str">
        <f t="shared" si="87"/>
        <v/>
      </c>
      <c r="AG231" t="str">
        <f t="shared" si="88"/>
        <v/>
      </c>
      <c r="AH231" t="str">
        <f t="shared" si="89"/>
        <v/>
      </c>
      <c r="AI231" t="str">
        <f t="shared" si="90"/>
        <v/>
      </c>
      <c r="AJ231" t="str">
        <f t="shared" si="91"/>
        <v/>
      </c>
      <c r="AK231" t="str">
        <f t="shared" si="92"/>
        <v/>
      </c>
      <c r="AL231" t="str">
        <f>IFERROR(ROUND(L231*(G231/$AU231)/VLOOKUP(F231,商品!$A$4:$B$60,2,FALSE),0),"")</f>
        <v/>
      </c>
      <c r="AM231" t="str">
        <f>IFERROR(ROUND(L231*(I231/$AU231)/VLOOKUP(H231,商品!$A$4:$B$60,2,FALSE),0),"")</f>
        <v/>
      </c>
      <c r="AN231">
        <f>IFERROR(ROUND(L231*(J231/$AU231)/VLOOKUP("运力",商品!$A$4:$B$60,2,FALSE),0),0)</f>
        <v>0</v>
      </c>
      <c r="AO231">
        <f>IFERROR(ROUND(L231*(K231/$AU231)/VLOOKUP("交易",商品!$A$4:$B$60,2,FALSE),0),0)</f>
        <v>0</v>
      </c>
      <c r="AP231" t="str">
        <f>IFERROR(ROUND(S231*(N231/$AV231)/VLOOKUP(M231,职业!$A$4:$G$16,4,FALSE),0),"")</f>
        <v/>
      </c>
      <c r="AQ231" t="str">
        <f>IFERROR(ROUND(S231*(P231/$AV231)/VLOOKUP(O231,职业!$A$4:$G$16,4,FALSE),0),"")</f>
        <v/>
      </c>
      <c r="AR231" t="str">
        <f>IFERROR(ROUND(S231*(R231/$AV231)/VLOOKUP(Q231,职业!$A$4:$G$16,4,FALSE),0),"")</f>
        <v/>
      </c>
      <c r="AS231" t="str">
        <f>IFERROR(ROUND(X231*(U231/$AW231)/VLOOKUP(T231,商品!$A$4:$B$60,2,FALSE),0),"")</f>
        <v/>
      </c>
      <c r="AT231" t="str">
        <f>IFERROR(ROUND(X231*(W231/$AW231)/VLOOKUP(V231,商品!$A$4:$B$60,2,FALSE),0),"")</f>
        <v/>
      </c>
      <c r="AU231">
        <f t="shared" si="93"/>
        <v>0</v>
      </c>
      <c r="AV231">
        <f t="shared" si="94"/>
        <v>0</v>
      </c>
      <c r="AW231">
        <f t="shared" si="95"/>
        <v>0</v>
      </c>
    </row>
    <row r="232" spans="1:49" ht="19.95" customHeight="1" x14ac:dyDescent="0.25">
      <c r="A232" s="15" t="s">
        <v>227</v>
      </c>
      <c r="C232" s="15">
        <v>1</v>
      </c>
      <c r="D232" s="23" t="s">
        <v>222</v>
      </c>
      <c r="E232" s="23" t="s">
        <v>172</v>
      </c>
      <c r="F232" s="2" t="s">
        <v>39</v>
      </c>
      <c r="G232" s="2">
        <v>30</v>
      </c>
      <c r="H232" s="2" t="s">
        <v>11</v>
      </c>
      <c r="I232" s="2">
        <v>5</v>
      </c>
      <c r="J232" s="24">
        <v>10</v>
      </c>
      <c r="K232" s="25">
        <v>5</v>
      </c>
      <c r="L232" s="15">
        <f>IFERROR(VLOOKUP($D232&amp;$C232,生产方式定位!$A$2:$E$38,2,FALSE)+VLOOKUP($E232&amp;$C232,生产方式定位!$F$3:$J$38,2,FALSE),0)</f>
        <v>1000</v>
      </c>
      <c r="M232" s="2" t="s">
        <v>80</v>
      </c>
      <c r="N232" s="2">
        <v>120</v>
      </c>
      <c r="O232" s="2" t="s">
        <v>73</v>
      </c>
      <c r="P232" s="2">
        <v>20</v>
      </c>
      <c r="S232" s="15">
        <f>IFERROR(VLOOKUP($D232&amp;$C232,生产方式定位!$A$2:$E$38,3,FALSE)+VLOOKUP($E232&amp;$C232,生产方式定位!$F$3:$J$38,3,FALSE),0)</f>
        <v>100</v>
      </c>
      <c r="T232" s="2" t="s">
        <v>47</v>
      </c>
      <c r="U232" s="2">
        <v>1</v>
      </c>
      <c r="X232" s="15">
        <f>IFERROR(VLOOKUP($D232&amp;$C232,生产方式定位!$A$2:$E$38,5,FALSE)+VLOOKUP($E232&amp;$C232,生产方式定位!$F$3:$J$38,5,FALSE),"错误")</f>
        <v>1760</v>
      </c>
      <c r="Y232" s="26" t="str">
        <f t="shared" si="80"/>
        <v>钢铁*10,木材*5,运力*20,交易*10</v>
      </c>
      <c r="Z232" s="36" t="str">
        <f t="shared" si="81"/>
        <v>劳工*3878,工程师*215</v>
      </c>
      <c r="AA232" s="36" t="str">
        <f t="shared" si="82"/>
        <v>轻武器*29</v>
      </c>
      <c r="AB232" s="27" t="str">
        <f t="shared" si="83"/>
        <v>76%</v>
      </c>
      <c r="AC232" s="2">
        <f t="shared" si="84"/>
        <v>660</v>
      </c>
      <c r="AD232" s="37">
        <f t="shared" si="85"/>
        <v>1</v>
      </c>
      <c r="AE232" t="str">
        <f t="shared" si="86"/>
        <v>钢铁*10</v>
      </c>
      <c r="AF232" t="str">
        <f t="shared" si="87"/>
        <v>木材*5</v>
      </c>
      <c r="AG232" t="str">
        <f t="shared" si="88"/>
        <v>劳工*3878</v>
      </c>
      <c r="AH232" t="str">
        <f t="shared" si="89"/>
        <v>工程师*215</v>
      </c>
      <c r="AI232" t="str">
        <f t="shared" si="90"/>
        <v/>
      </c>
      <c r="AJ232" t="str">
        <f t="shared" si="91"/>
        <v>轻武器*29</v>
      </c>
      <c r="AK232" t="str">
        <f t="shared" si="92"/>
        <v/>
      </c>
      <c r="AL232">
        <f>IFERROR(ROUND(L232*(G232/$AU232)/VLOOKUP(F232,商品!$A$4:$B$60,2,FALSE),0),"")</f>
        <v>10</v>
      </c>
      <c r="AM232">
        <f>IFERROR(ROUND(L232*(I232/$AU232)/VLOOKUP(H232,商品!$A$4:$B$60,2,FALSE),0),"")</f>
        <v>5</v>
      </c>
      <c r="AN232">
        <f>IFERROR(ROUND(L232*(J232/$AU232)/VLOOKUP("运力",商品!$A$4:$B$60,2,FALSE),0),0)</f>
        <v>20</v>
      </c>
      <c r="AO232">
        <f>IFERROR(ROUND(L232*(K232/$AU232)/VLOOKUP("交易",商品!$A$4:$B$60,2,FALSE),0),0)</f>
        <v>10</v>
      </c>
      <c r="AP232">
        <f>IFERROR(ROUND(S232*(N232/$AV232)/VLOOKUP(M232,职业!$A$4:$G$16,4,FALSE),0),"")</f>
        <v>3878</v>
      </c>
      <c r="AQ232">
        <f>IFERROR(ROUND(S232*(P232/$AV232)/VLOOKUP(O232,职业!$A$4:$G$16,4,FALSE),0),"")</f>
        <v>215</v>
      </c>
      <c r="AR232" t="str">
        <f>IFERROR(ROUND(S232*(R232/$AV232)/VLOOKUP(Q232,职业!$A$4:$G$16,4,FALSE),0),"")</f>
        <v/>
      </c>
      <c r="AS232">
        <f>IFERROR(ROUND(X232*(U232/$AW232)/VLOOKUP(T232,商品!$A$4:$B$60,2,FALSE),0),"")</f>
        <v>29</v>
      </c>
      <c r="AT232" t="str">
        <f>IFERROR(ROUND(X232*(W232/$AW232)/VLOOKUP(V232,商品!$A$4:$B$60,2,FALSE),0),"")</f>
        <v/>
      </c>
      <c r="AU232">
        <f t="shared" si="93"/>
        <v>50</v>
      </c>
      <c r="AV232">
        <f t="shared" si="94"/>
        <v>140</v>
      </c>
      <c r="AW232">
        <f t="shared" si="95"/>
        <v>1</v>
      </c>
    </row>
    <row r="233" spans="1:49" ht="19.95" customHeight="1" x14ac:dyDescent="0.25">
      <c r="A233" s="15" t="s">
        <v>227</v>
      </c>
      <c r="C233" s="15">
        <v>2</v>
      </c>
      <c r="D233" s="23" t="s">
        <v>222</v>
      </c>
      <c r="E233" s="23" t="s">
        <v>172</v>
      </c>
      <c r="F233" s="2" t="s">
        <v>39</v>
      </c>
      <c r="G233" s="2">
        <v>30</v>
      </c>
      <c r="H233" s="2" t="s">
        <v>11</v>
      </c>
      <c r="I233" s="2">
        <v>5</v>
      </c>
      <c r="J233" s="24">
        <v>10</v>
      </c>
      <c r="K233" s="25">
        <v>5</v>
      </c>
      <c r="L233" s="15">
        <f>IFERROR(VLOOKUP($D233&amp;$C233,生产方式定位!$A$2:$E$38,2,FALSE)+VLOOKUP($E233&amp;$C233,生产方式定位!$F$3:$J$38,2,FALSE),0)</f>
        <v>1600</v>
      </c>
      <c r="M233" s="2" t="s">
        <v>80</v>
      </c>
      <c r="N233" s="2">
        <v>120</v>
      </c>
      <c r="O233" s="2" t="s">
        <v>73</v>
      </c>
      <c r="P233" s="2">
        <v>30</v>
      </c>
      <c r="S233" s="15">
        <f>IFERROR(VLOOKUP($D233&amp;$C233,生产方式定位!$A$2:$E$38,3,FALSE)+VLOOKUP($E233&amp;$C233,生产方式定位!$F$3:$J$38,3,FALSE),0)</f>
        <v>100</v>
      </c>
      <c r="T233" s="2" t="s">
        <v>47</v>
      </c>
      <c r="U233" s="2">
        <v>1</v>
      </c>
      <c r="X233" s="15">
        <f>IFERROR(VLOOKUP($D233&amp;$C233,生产方式定位!$A$2:$E$38,5,FALSE)+VLOOKUP($E233&amp;$C233,生产方式定位!$F$3:$J$38,5,FALSE),"错误")</f>
        <v>2520</v>
      </c>
      <c r="Y233" s="26" t="str">
        <f t="shared" si="80"/>
        <v>钢铁*16,木材*8,运力*32,交易*16</v>
      </c>
      <c r="Z233" s="36" t="str">
        <f t="shared" si="81"/>
        <v>劳工*3620,工程师*302</v>
      </c>
      <c r="AA233" s="36" t="str">
        <f t="shared" si="82"/>
        <v>轻武器*42</v>
      </c>
      <c r="AB233" s="27" t="str">
        <f t="shared" si="83"/>
        <v>58%</v>
      </c>
      <c r="AC233" s="2">
        <f t="shared" si="84"/>
        <v>820</v>
      </c>
      <c r="AD233" s="37">
        <f t="shared" si="85"/>
        <v>2</v>
      </c>
      <c r="AE233" t="str">
        <f t="shared" si="86"/>
        <v>钢铁*16</v>
      </c>
      <c r="AF233" t="str">
        <f t="shared" si="87"/>
        <v>木材*8</v>
      </c>
      <c r="AG233" t="str">
        <f t="shared" si="88"/>
        <v>劳工*3620</v>
      </c>
      <c r="AH233" t="str">
        <f t="shared" si="89"/>
        <v>工程师*302</v>
      </c>
      <c r="AI233" t="str">
        <f t="shared" si="90"/>
        <v/>
      </c>
      <c r="AJ233" t="str">
        <f t="shared" si="91"/>
        <v>轻武器*42</v>
      </c>
      <c r="AK233" t="str">
        <f t="shared" si="92"/>
        <v/>
      </c>
      <c r="AL233">
        <f>IFERROR(ROUND(L233*(G233/$AU233)/VLOOKUP(F233,商品!$A$4:$B$60,2,FALSE),0),"")</f>
        <v>16</v>
      </c>
      <c r="AM233">
        <f>IFERROR(ROUND(L233*(I233/$AU233)/VLOOKUP(H233,商品!$A$4:$B$60,2,FALSE),0),"")</f>
        <v>8</v>
      </c>
      <c r="AN233">
        <f>IFERROR(ROUND(L233*(J233/$AU233)/VLOOKUP("运力",商品!$A$4:$B$60,2,FALSE),0),0)</f>
        <v>32</v>
      </c>
      <c r="AO233">
        <f>IFERROR(ROUND(L233*(K233/$AU233)/VLOOKUP("交易",商品!$A$4:$B$60,2,FALSE),0),0)</f>
        <v>16</v>
      </c>
      <c r="AP233">
        <f>IFERROR(ROUND(S233*(N233/$AV233)/VLOOKUP(M233,职业!$A$4:$G$16,4,FALSE),0),"")</f>
        <v>3620</v>
      </c>
      <c r="AQ233">
        <f>IFERROR(ROUND(S233*(P233/$AV233)/VLOOKUP(O233,职业!$A$4:$G$16,4,FALSE),0),"")</f>
        <v>302</v>
      </c>
      <c r="AR233" t="str">
        <f>IFERROR(ROUND(S233*(R233/$AV233)/VLOOKUP(Q233,职业!$A$4:$G$16,4,FALSE),0),"")</f>
        <v/>
      </c>
      <c r="AS233">
        <f>IFERROR(ROUND(X233*(U233/$AW233)/VLOOKUP(T233,商品!$A$4:$B$60,2,FALSE),0),"")</f>
        <v>42</v>
      </c>
      <c r="AT233" t="str">
        <f>IFERROR(ROUND(X233*(W233/$AW233)/VLOOKUP(V233,商品!$A$4:$B$60,2,FALSE),0),"")</f>
        <v/>
      </c>
      <c r="AU233">
        <f t="shared" si="93"/>
        <v>50</v>
      </c>
      <c r="AV233">
        <f t="shared" si="94"/>
        <v>150</v>
      </c>
      <c r="AW233">
        <f t="shared" si="95"/>
        <v>1</v>
      </c>
    </row>
    <row r="234" spans="1:49" ht="19.95" customHeight="1" x14ac:dyDescent="0.25">
      <c r="A234" s="15" t="s">
        <v>227</v>
      </c>
      <c r="C234" s="15">
        <v>3</v>
      </c>
      <c r="D234" s="23" t="s">
        <v>222</v>
      </c>
      <c r="E234" s="23" t="s">
        <v>172</v>
      </c>
      <c r="F234" s="2" t="s">
        <v>39</v>
      </c>
      <c r="G234" s="2">
        <v>30</v>
      </c>
      <c r="H234" s="2" t="s">
        <v>11</v>
      </c>
      <c r="I234" s="2">
        <v>5</v>
      </c>
      <c r="J234" s="24">
        <v>10</v>
      </c>
      <c r="K234" s="25">
        <v>5</v>
      </c>
      <c r="L234" s="15">
        <f>IFERROR(VLOOKUP($D234&amp;$C234,生产方式定位!$A$2:$E$38,2,FALSE)+VLOOKUP($E234&amp;$C234,生产方式定位!$F$3:$J$38,2,FALSE),0)</f>
        <v>1825</v>
      </c>
      <c r="M234" s="2" t="s">
        <v>80</v>
      </c>
      <c r="N234" s="2">
        <v>120</v>
      </c>
      <c r="O234" s="2" t="s">
        <v>73</v>
      </c>
      <c r="P234" s="2">
        <v>40</v>
      </c>
      <c r="S234" s="15">
        <f>IFERROR(VLOOKUP($D234&amp;$C234,生产方式定位!$A$2:$E$38,3,FALSE)+VLOOKUP($E234&amp;$C234,生产方式定位!$F$3:$J$38,3,FALSE),0)</f>
        <v>100</v>
      </c>
      <c r="T234" s="2" t="s">
        <v>47</v>
      </c>
      <c r="U234" s="2">
        <v>1</v>
      </c>
      <c r="X234" s="15">
        <f>IFERROR(VLOOKUP($D234&amp;$C234,生产方式定位!$A$2:$E$38,5,FALSE)+VLOOKUP($E234&amp;$C234,生产方式定位!$F$3:$J$38,5,FALSE),"错误")</f>
        <v>2830</v>
      </c>
      <c r="Y234" s="26" t="str">
        <f t="shared" si="80"/>
        <v>钢铁*18,木材*9,运力*37,交易*18</v>
      </c>
      <c r="Z234" s="36" t="str">
        <f t="shared" si="81"/>
        <v>劳工*3394,工程师*377</v>
      </c>
      <c r="AA234" s="36" t="str">
        <f t="shared" si="82"/>
        <v>轻武器*47</v>
      </c>
      <c r="AB234" s="27" t="str">
        <f t="shared" si="83"/>
        <v>55%</v>
      </c>
      <c r="AC234" s="2">
        <f t="shared" si="84"/>
        <v>905</v>
      </c>
      <c r="AD234" s="38">
        <f t="shared" si="85"/>
        <v>3</v>
      </c>
      <c r="AE234" t="str">
        <f t="shared" si="86"/>
        <v>钢铁*18</v>
      </c>
      <c r="AF234" t="str">
        <f t="shared" si="87"/>
        <v>木材*9</v>
      </c>
      <c r="AG234" t="str">
        <f t="shared" si="88"/>
        <v>劳工*3394</v>
      </c>
      <c r="AH234" t="str">
        <f t="shared" si="89"/>
        <v>工程师*377</v>
      </c>
      <c r="AI234" t="str">
        <f t="shared" si="90"/>
        <v/>
      </c>
      <c r="AJ234" t="str">
        <f t="shared" si="91"/>
        <v>轻武器*47</v>
      </c>
      <c r="AK234" t="str">
        <f t="shared" si="92"/>
        <v/>
      </c>
      <c r="AL234">
        <f>IFERROR(ROUND(L234*(G234/$AU234)/VLOOKUP(F234,商品!$A$4:$B$60,2,FALSE),0),"")</f>
        <v>18</v>
      </c>
      <c r="AM234">
        <f>IFERROR(ROUND(L234*(I234/$AU234)/VLOOKUP(H234,商品!$A$4:$B$60,2,FALSE),0),"")</f>
        <v>9</v>
      </c>
      <c r="AN234">
        <f>IFERROR(ROUND(L234*(J234/$AU234)/VLOOKUP("运力",商品!$A$4:$B$60,2,FALSE),0),0)</f>
        <v>37</v>
      </c>
      <c r="AO234">
        <f>IFERROR(ROUND(L234*(K234/$AU234)/VLOOKUP("交易",商品!$A$4:$B$60,2,FALSE),0),0)</f>
        <v>18</v>
      </c>
      <c r="AP234">
        <f>IFERROR(ROUND(S234*(N234/$AV234)/VLOOKUP(M234,职业!$A$4:$G$16,4,FALSE),0),"")</f>
        <v>3394</v>
      </c>
      <c r="AQ234">
        <f>IFERROR(ROUND(S234*(P234/$AV234)/VLOOKUP(O234,职业!$A$4:$G$16,4,FALSE),0),"")</f>
        <v>377</v>
      </c>
      <c r="AR234" t="str">
        <f>IFERROR(ROUND(S234*(R234/$AV234)/VLOOKUP(Q234,职业!$A$4:$G$16,4,FALSE),0),"")</f>
        <v/>
      </c>
      <c r="AS234">
        <f>IFERROR(ROUND(X234*(U234/$AW234)/VLOOKUP(T234,商品!$A$4:$B$60,2,FALSE),0),"")</f>
        <v>47</v>
      </c>
      <c r="AT234" t="str">
        <f>IFERROR(ROUND(X234*(W234/$AW234)/VLOOKUP(V234,商品!$A$4:$B$60,2,FALSE),0),"")</f>
        <v/>
      </c>
      <c r="AU234">
        <f t="shared" si="93"/>
        <v>50</v>
      </c>
      <c r="AV234">
        <f t="shared" si="94"/>
        <v>160</v>
      </c>
      <c r="AW234">
        <f t="shared" si="95"/>
        <v>1</v>
      </c>
    </row>
    <row r="235" spans="1:49" ht="19.95" customHeight="1" x14ac:dyDescent="0.25">
      <c r="A235" s="15" t="s">
        <v>227</v>
      </c>
      <c r="C235" s="15">
        <v>4</v>
      </c>
      <c r="D235" s="23" t="s">
        <v>222</v>
      </c>
      <c r="E235" s="23" t="s">
        <v>172</v>
      </c>
      <c r="F235" s="2" t="s">
        <v>39</v>
      </c>
      <c r="G235" s="2">
        <v>30</v>
      </c>
      <c r="H235" s="2" t="s">
        <v>11</v>
      </c>
      <c r="I235" s="2">
        <v>5</v>
      </c>
      <c r="J235" s="24">
        <v>10</v>
      </c>
      <c r="K235" s="25">
        <v>5</v>
      </c>
      <c r="L235" s="15">
        <f>IFERROR(VLOOKUP($D235&amp;$C235,生产方式定位!$A$2:$E$38,2,FALSE)+VLOOKUP($E235&amp;$C235,生产方式定位!$F$3:$J$38,2,FALSE),0)</f>
        <v>2050</v>
      </c>
      <c r="M235" s="2" t="s">
        <v>80</v>
      </c>
      <c r="N235" s="2">
        <v>100</v>
      </c>
      <c r="O235" s="2" t="s">
        <v>73</v>
      </c>
      <c r="P235" s="2">
        <v>50</v>
      </c>
      <c r="S235" s="15">
        <f>IFERROR(VLOOKUP($D235&amp;$C235,生产方式定位!$A$2:$E$38,3,FALSE)+VLOOKUP($E235&amp;$C235,生产方式定位!$F$3:$J$38,3,FALSE),0)</f>
        <v>100</v>
      </c>
      <c r="T235" s="2" t="s">
        <v>47</v>
      </c>
      <c r="U235" s="2">
        <v>1</v>
      </c>
      <c r="X235" s="15">
        <f>IFERROR(VLOOKUP($D235&amp;$C235,生产方式定位!$A$2:$E$38,5,FALSE)+VLOOKUP($E235&amp;$C235,生产方式定位!$F$3:$J$38,5,FALSE),"错误")</f>
        <v>3140</v>
      </c>
      <c r="Y235" s="26" t="str">
        <f t="shared" si="80"/>
        <v>钢铁*21,木材*10,运力*41,交易*21</v>
      </c>
      <c r="Z235" s="36" t="str">
        <f t="shared" si="81"/>
        <v>劳工*3017,工程师*503</v>
      </c>
      <c r="AA235" s="36" t="str">
        <f t="shared" si="82"/>
        <v>轻武器*52</v>
      </c>
      <c r="AB235" s="27" t="str">
        <f t="shared" si="83"/>
        <v>53%</v>
      </c>
      <c r="AC235" s="2">
        <f t="shared" si="84"/>
        <v>990</v>
      </c>
      <c r="AD235" s="38">
        <f t="shared" si="85"/>
        <v>4</v>
      </c>
      <c r="AE235" t="str">
        <f t="shared" si="86"/>
        <v>钢铁*21</v>
      </c>
      <c r="AF235" t="str">
        <f t="shared" si="87"/>
        <v>木材*10</v>
      </c>
      <c r="AG235" t="str">
        <f t="shared" si="88"/>
        <v>劳工*3017</v>
      </c>
      <c r="AH235" t="str">
        <f t="shared" si="89"/>
        <v>工程师*503</v>
      </c>
      <c r="AI235" t="str">
        <f t="shared" si="90"/>
        <v/>
      </c>
      <c r="AJ235" t="str">
        <f t="shared" si="91"/>
        <v>轻武器*52</v>
      </c>
      <c r="AK235" t="str">
        <f t="shared" si="92"/>
        <v/>
      </c>
      <c r="AL235">
        <f>IFERROR(ROUND(L235*(G235/$AU235)/VLOOKUP(F235,商品!$A$4:$B$60,2,FALSE),0),"")</f>
        <v>21</v>
      </c>
      <c r="AM235">
        <f>IFERROR(ROUND(L235*(I235/$AU235)/VLOOKUP(H235,商品!$A$4:$B$60,2,FALSE),0),"")</f>
        <v>10</v>
      </c>
      <c r="AN235">
        <f>IFERROR(ROUND(L235*(J235/$AU235)/VLOOKUP("运力",商品!$A$4:$B$60,2,FALSE),0),0)</f>
        <v>41</v>
      </c>
      <c r="AO235">
        <f>IFERROR(ROUND(L235*(K235/$AU235)/VLOOKUP("交易",商品!$A$4:$B$60,2,FALSE),0),0)</f>
        <v>21</v>
      </c>
      <c r="AP235">
        <f>IFERROR(ROUND(S235*(N235/$AV235)/VLOOKUP(M235,职业!$A$4:$G$16,4,FALSE),0),"")</f>
        <v>3017</v>
      </c>
      <c r="AQ235">
        <f>IFERROR(ROUND(S235*(P235/$AV235)/VLOOKUP(O235,职业!$A$4:$G$16,4,FALSE),0),"")</f>
        <v>503</v>
      </c>
      <c r="AR235" t="str">
        <f>IFERROR(ROUND(S235*(R235/$AV235)/VLOOKUP(Q235,职业!$A$4:$G$16,4,FALSE),0),"")</f>
        <v/>
      </c>
      <c r="AS235">
        <f>IFERROR(ROUND(X235*(U235/$AW235)/VLOOKUP(T235,商品!$A$4:$B$60,2,FALSE),0),"")</f>
        <v>52</v>
      </c>
      <c r="AT235" t="str">
        <f>IFERROR(ROUND(X235*(W235/$AW235)/VLOOKUP(V235,商品!$A$4:$B$60,2,FALSE),0),"")</f>
        <v/>
      </c>
      <c r="AU235">
        <f t="shared" si="93"/>
        <v>50</v>
      </c>
      <c r="AV235">
        <f t="shared" si="94"/>
        <v>150</v>
      </c>
      <c r="AW235">
        <f t="shared" si="95"/>
        <v>1</v>
      </c>
    </row>
    <row r="236" spans="1:49" ht="19.95" customHeight="1" x14ac:dyDescent="0.25">
      <c r="A236" s="15" t="s">
        <v>227</v>
      </c>
      <c r="C236" s="15">
        <v>5</v>
      </c>
      <c r="D236" s="23" t="s">
        <v>222</v>
      </c>
      <c r="E236" s="23" t="s">
        <v>172</v>
      </c>
      <c r="F236" s="2" t="s">
        <v>39</v>
      </c>
      <c r="G236" s="2">
        <v>30</v>
      </c>
      <c r="H236" s="2" t="s">
        <v>11</v>
      </c>
      <c r="I236" s="2">
        <v>5</v>
      </c>
      <c r="J236" s="24">
        <v>10</v>
      </c>
      <c r="K236" s="25">
        <v>5</v>
      </c>
      <c r="L236" s="15">
        <f>IFERROR(VLOOKUP($D236&amp;$C236,生产方式定位!$A$2:$E$38,2,FALSE)+VLOOKUP($E236&amp;$C236,生产方式定位!$F$3:$J$38,2,FALSE),0)</f>
        <v>2275</v>
      </c>
      <c r="M236" s="2" t="s">
        <v>80</v>
      </c>
      <c r="N236" s="2">
        <v>120</v>
      </c>
      <c r="O236" s="2" t="s">
        <v>73</v>
      </c>
      <c r="P236" s="2">
        <v>60</v>
      </c>
      <c r="S236" s="15">
        <f>IFERROR(VLOOKUP($D236&amp;$C236,生产方式定位!$A$2:$E$38,3,FALSE)+VLOOKUP($E236&amp;$C236,生产方式定位!$F$3:$J$38,3,FALSE),0)</f>
        <v>100</v>
      </c>
      <c r="T236" s="2" t="s">
        <v>47</v>
      </c>
      <c r="U236" s="2">
        <v>1</v>
      </c>
      <c r="X236" s="15">
        <f>IFERROR(VLOOKUP($D236&amp;$C236,生产方式定位!$A$2:$E$38,5,FALSE)+VLOOKUP($E236&amp;$C236,生产方式定位!$F$3:$J$38,5,FALSE),"错误")</f>
        <v>3450</v>
      </c>
      <c r="Y236" s="26" t="str">
        <f t="shared" si="80"/>
        <v>钢铁*23,木材*11,运力*46,交易*23</v>
      </c>
      <c r="Z236" s="36" t="str">
        <f t="shared" si="81"/>
        <v>劳工*3017,工程师*503</v>
      </c>
      <c r="AA236" s="36" t="str">
        <f t="shared" si="82"/>
        <v>轻武器*58</v>
      </c>
      <c r="AB236" s="27" t="str">
        <f t="shared" si="83"/>
        <v>52%</v>
      </c>
      <c r="AC236" s="2">
        <f t="shared" si="84"/>
        <v>1075</v>
      </c>
      <c r="AD236" s="38">
        <f t="shared" si="85"/>
        <v>5</v>
      </c>
      <c r="AE236" t="str">
        <f t="shared" si="86"/>
        <v>钢铁*23</v>
      </c>
      <c r="AF236" t="str">
        <f t="shared" si="87"/>
        <v>木材*11</v>
      </c>
      <c r="AG236" t="str">
        <f t="shared" si="88"/>
        <v>劳工*3017</v>
      </c>
      <c r="AH236" t="str">
        <f t="shared" si="89"/>
        <v>工程师*503</v>
      </c>
      <c r="AI236" t="str">
        <f t="shared" si="90"/>
        <v/>
      </c>
      <c r="AJ236" t="str">
        <f t="shared" si="91"/>
        <v>轻武器*58</v>
      </c>
      <c r="AK236" t="str">
        <f t="shared" si="92"/>
        <v/>
      </c>
      <c r="AL236">
        <f>IFERROR(ROUND(L236*(G236/$AU236)/VLOOKUP(F236,商品!$A$4:$B$60,2,FALSE),0),"")</f>
        <v>23</v>
      </c>
      <c r="AM236">
        <f>IFERROR(ROUND(L236*(I236/$AU236)/VLOOKUP(H236,商品!$A$4:$B$60,2,FALSE),0),"")</f>
        <v>11</v>
      </c>
      <c r="AN236">
        <f>IFERROR(ROUND(L236*(J236/$AU236)/VLOOKUP("运力",商品!$A$4:$B$60,2,FALSE),0),0)</f>
        <v>46</v>
      </c>
      <c r="AO236">
        <f>IFERROR(ROUND(L236*(K236/$AU236)/VLOOKUP("交易",商品!$A$4:$B$60,2,FALSE),0),0)</f>
        <v>23</v>
      </c>
      <c r="AP236">
        <f>IFERROR(ROUND(S236*(N236/$AV236)/VLOOKUP(M236,职业!$A$4:$G$16,4,FALSE),0),"")</f>
        <v>3017</v>
      </c>
      <c r="AQ236">
        <f>IFERROR(ROUND(S236*(P236/$AV236)/VLOOKUP(O236,职业!$A$4:$G$16,4,FALSE),0),"")</f>
        <v>503</v>
      </c>
      <c r="AR236" t="str">
        <f>IFERROR(ROUND(S236*(R236/$AV236)/VLOOKUP(Q236,职业!$A$4:$G$16,4,FALSE),0),"")</f>
        <v/>
      </c>
      <c r="AS236">
        <f>IFERROR(ROUND(X236*(U236/$AW236)/VLOOKUP(T236,商品!$A$4:$B$60,2,FALSE),0),"")</f>
        <v>58</v>
      </c>
      <c r="AT236" t="str">
        <f>IFERROR(ROUND(X236*(W236/$AW236)/VLOOKUP(V236,商品!$A$4:$B$60,2,FALSE),0),"")</f>
        <v/>
      </c>
      <c r="AU236">
        <f t="shared" si="93"/>
        <v>50</v>
      </c>
      <c r="AV236">
        <f t="shared" si="94"/>
        <v>180</v>
      </c>
      <c r="AW236">
        <f t="shared" si="95"/>
        <v>1</v>
      </c>
    </row>
    <row r="237" spans="1:49" ht="19.95" customHeight="1" x14ac:dyDescent="0.25">
      <c r="A237" s="16" t="s">
        <v>228</v>
      </c>
      <c r="C237" s="16">
        <v>1</v>
      </c>
      <c r="D237" s="23" t="s">
        <v>222</v>
      </c>
      <c r="E237" s="23" t="s">
        <v>193</v>
      </c>
      <c r="L237" s="16">
        <f>IFERROR(VLOOKUP($D237&amp;$C237,生产方式定位!$A$2:$E$38,2,FALSE)+VLOOKUP($E237&amp;$C237,生产方式定位!$F$3:$J$38,2,FALSE),0)</f>
        <v>1000</v>
      </c>
      <c r="S237" s="16">
        <f>IFERROR(VLOOKUP($D237&amp;$C237,生产方式定位!$A$2:$E$38,3,FALSE)+VLOOKUP($E237&amp;$C237,生产方式定位!$F$3:$J$38,3,FALSE),0)</f>
        <v>100</v>
      </c>
      <c r="T237" s="2" t="s">
        <v>49</v>
      </c>
      <c r="U237" s="2">
        <v>1</v>
      </c>
      <c r="X237" s="16">
        <f>IFERROR(VLOOKUP($D237&amp;$C237,生产方式定位!$A$2:$E$38,5,FALSE)+VLOOKUP($E237&amp;$C237,生产方式定位!$F$3:$J$38,5,FALSE),"错误")</f>
        <v>1760</v>
      </c>
      <c r="Y237" s="26" t="str">
        <f t="shared" si="80"/>
        <v/>
      </c>
      <c r="Z237" s="36" t="str">
        <f t="shared" si="81"/>
        <v/>
      </c>
      <c r="AA237" s="36" t="str">
        <f t="shared" si="82"/>
        <v>火炮*22</v>
      </c>
      <c r="AB237" s="27" t="str">
        <f t="shared" si="83"/>
        <v>76%</v>
      </c>
      <c r="AC237" s="2">
        <f t="shared" si="84"/>
        <v>660</v>
      </c>
      <c r="AD237" s="38">
        <f t="shared" si="85"/>
        <v>1</v>
      </c>
      <c r="AE237" t="str">
        <f t="shared" si="86"/>
        <v/>
      </c>
      <c r="AF237" t="str">
        <f t="shared" si="87"/>
        <v/>
      </c>
      <c r="AG237" t="str">
        <f t="shared" si="88"/>
        <v/>
      </c>
      <c r="AH237" t="str">
        <f t="shared" si="89"/>
        <v/>
      </c>
      <c r="AI237" t="str">
        <f t="shared" si="90"/>
        <v/>
      </c>
      <c r="AJ237" t="str">
        <f t="shared" si="91"/>
        <v>火炮*22</v>
      </c>
      <c r="AK237" t="str">
        <f t="shared" si="92"/>
        <v/>
      </c>
      <c r="AL237" t="str">
        <f>IFERROR(ROUND(L237*(G237/$AU237)/VLOOKUP(F237,商品!$A$4:$B$60,2,FALSE),0),"")</f>
        <v/>
      </c>
      <c r="AM237" t="str">
        <f>IFERROR(ROUND(L237*(I237/$AU237)/VLOOKUP(H237,商品!$A$4:$B$60,2,FALSE),0),"")</f>
        <v/>
      </c>
      <c r="AN237">
        <f>IFERROR(ROUND(L237*(J237/$AU237)/VLOOKUP("运力",商品!$A$4:$B$60,2,FALSE),0),0)</f>
        <v>0</v>
      </c>
      <c r="AO237">
        <f>IFERROR(ROUND(L237*(K237/$AU237)/VLOOKUP("交易",商品!$A$4:$B$60,2,FALSE),0),0)</f>
        <v>0</v>
      </c>
      <c r="AP237" t="str">
        <f>IFERROR(ROUND(S237*(N237/$AV237)/VLOOKUP(M237,职业!$A$4:$G$16,4,FALSE),0),"")</f>
        <v/>
      </c>
      <c r="AQ237" t="str">
        <f>IFERROR(ROUND(S237*(P237/$AV237)/VLOOKUP(O237,职业!$A$4:$G$16,4,FALSE),0),"")</f>
        <v/>
      </c>
      <c r="AR237" t="str">
        <f>IFERROR(ROUND(S237*(R237/$AV237)/VLOOKUP(Q237,职业!$A$4:$G$16,4,FALSE),0),"")</f>
        <v/>
      </c>
      <c r="AS237">
        <f>IFERROR(ROUND(X237*(U237/$AW237)/VLOOKUP(T237,商品!$A$4:$B$60,2,FALSE),0),"")</f>
        <v>22</v>
      </c>
      <c r="AT237" t="str">
        <f>IFERROR(ROUND(X237*(W237/$AW237)/VLOOKUP(V237,商品!$A$4:$B$60,2,FALSE),0),"")</f>
        <v/>
      </c>
      <c r="AU237">
        <f t="shared" si="93"/>
        <v>0</v>
      </c>
      <c r="AV237">
        <f t="shared" si="94"/>
        <v>0</v>
      </c>
      <c r="AW237">
        <f t="shared" si="95"/>
        <v>1</v>
      </c>
    </row>
    <row r="238" spans="1:49" ht="19.95" customHeight="1" x14ac:dyDescent="0.25">
      <c r="A238" s="16" t="s">
        <v>228</v>
      </c>
      <c r="C238" s="16">
        <v>2</v>
      </c>
      <c r="D238" s="23" t="s">
        <v>222</v>
      </c>
      <c r="E238" s="23" t="s">
        <v>193</v>
      </c>
      <c r="F238" s="2" t="s">
        <v>39</v>
      </c>
      <c r="G238" s="2">
        <v>30</v>
      </c>
      <c r="H238" s="2" t="s">
        <v>11</v>
      </c>
      <c r="I238" s="2">
        <v>5</v>
      </c>
      <c r="J238" s="24">
        <v>10</v>
      </c>
      <c r="K238" s="25">
        <v>5</v>
      </c>
      <c r="L238" s="16">
        <f>IFERROR(VLOOKUP($D238&amp;$C238,生产方式定位!$A$2:$E$38,2,FALSE)+VLOOKUP($E238&amp;$C238,生产方式定位!$F$3:$J$38,2,FALSE),0)</f>
        <v>1500</v>
      </c>
      <c r="O238" s="2" t="s">
        <v>73</v>
      </c>
      <c r="P238" s="2">
        <v>30</v>
      </c>
      <c r="S238" s="16">
        <f>IFERROR(VLOOKUP($D238&amp;$C238,生产方式定位!$A$2:$E$38,3,FALSE)+VLOOKUP($E238&amp;$C238,生产方式定位!$F$3:$J$38,3,FALSE),0)</f>
        <v>5</v>
      </c>
      <c r="T238" s="2" t="s">
        <v>49</v>
      </c>
      <c r="U238" s="2">
        <v>1</v>
      </c>
      <c r="X238" s="16">
        <f>IFERROR(VLOOKUP($D238&amp;$C238,生产方式定位!$A$2:$E$38,5,FALSE)+VLOOKUP($E238&amp;$C238,生产方式定位!$F$3:$J$38,5,FALSE),"错误")</f>
        <v>2347</v>
      </c>
      <c r="Y238" s="26" t="str">
        <f t="shared" si="80"/>
        <v>钢铁*15,木材*8,运力*30,交易*15</v>
      </c>
      <c r="Z238" s="36" t="str">
        <f t="shared" si="81"/>
        <v>,工程师*75</v>
      </c>
      <c r="AA238" s="36" t="str">
        <f t="shared" si="82"/>
        <v>火炮*29</v>
      </c>
      <c r="AB238" s="27" t="str">
        <f t="shared" si="83"/>
        <v>56%</v>
      </c>
      <c r="AC238" s="2">
        <f t="shared" si="84"/>
        <v>842</v>
      </c>
      <c r="AD238" s="38">
        <f t="shared" si="85"/>
        <v>2</v>
      </c>
      <c r="AE238" t="str">
        <f t="shared" si="86"/>
        <v>钢铁*15</v>
      </c>
      <c r="AF238" t="str">
        <f t="shared" si="87"/>
        <v>木材*8</v>
      </c>
      <c r="AG238" t="str">
        <f t="shared" si="88"/>
        <v/>
      </c>
      <c r="AH238" t="str">
        <f t="shared" si="89"/>
        <v>工程师*75</v>
      </c>
      <c r="AI238" t="str">
        <f t="shared" si="90"/>
        <v/>
      </c>
      <c r="AJ238" t="str">
        <f t="shared" si="91"/>
        <v>火炮*29</v>
      </c>
      <c r="AK238" t="str">
        <f t="shared" si="92"/>
        <v/>
      </c>
      <c r="AL238">
        <f>IFERROR(ROUND(L238*(G238/$AU238)/VLOOKUP(F238,商品!$A$4:$B$60,2,FALSE),0),"")</f>
        <v>15</v>
      </c>
      <c r="AM238">
        <f>IFERROR(ROUND(L238*(I238/$AU238)/VLOOKUP(H238,商品!$A$4:$B$60,2,FALSE),0),"")</f>
        <v>8</v>
      </c>
      <c r="AN238">
        <f>IFERROR(ROUND(L238*(J238/$AU238)/VLOOKUP("运力",商品!$A$4:$B$60,2,FALSE),0),0)</f>
        <v>30</v>
      </c>
      <c r="AO238">
        <f>IFERROR(ROUND(L238*(K238/$AU238)/VLOOKUP("交易",商品!$A$4:$B$60,2,FALSE),0),0)</f>
        <v>15</v>
      </c>
      <c r="AP238" t="str">
        <f>IFERROR(ROUND(S238*(N238/$AV238)/VLOOKUP(M238,职业!$A$4:$G$16,4,FALSE),0),"")</f>
        <v/>
      </c>
      <c r="AQ238">
        <f>IFERROR(ROUND(S238*(P238/$AV238)/VLOOKUP(O238,职业!$A$4:$G$16,4,FALSE),0),"")</f>
        <v>75</v>
      </c>
      <c r="AR238" t="str">
        <f>IFERROR(ROUND(S238*(R238/$AV238)/VLOOKUP(Q238,职业!$A$4:$G$16,4,FALSE),0),"")</f>
        <v/>
      </c>
      <c r="AS238">
        <f>IFERROR(ROUND(X238*(U238/$AW238)/VLOOKUP(T238,商品!$A$4:$B$60,2,FALSE),0),"")</f>
        <v>29</v>
      </c>
      <c r="AT238" t="str">
        <f>IFERROR(ROUND(X238*(W238/$AW238)/VLOOKUP(V238,商品!$A$4:$B$60,2,FALSE),0),"")</f>
        <v/>
      </c>
      <c r="AU238">
        <f t="shared" si="93"/>
        <v>50</v>
      </c>
      <c r="AV238">
        <f t="shared" si="94"/>
        <v>30</v>
      </c>
      <c r="AW238">
        <f t="shared" si="95"/>
        <v>1</v>
      </c>
    </row>
    <row r="239" spans="1:49" ht="19.95" customHeight="1" x14ac:dyDescent="0.25">
      <c r="A239" s="16" t="s">
        <v>228</v>
      </c>
      <c r="C239" s="16">
        <v>3</v>
      </c>
      <c r="D239" s="23" t="s">
        <v>222</v>
      </c>
      <c r="E239" s="23" t="s">
        <v>193</v>
      </c>
      <c r="F239" s="2" t="s">
        <v>39</v>
      </c>
      <c r="G239" s="2">
        <v>30</v>
      </c>
      <c r="H239" s="2" t="s">
        <v>11</v>
      </c>
      <c r="I239" s="2">
        <v>5</v>
      </c>
      <c r="J239" s="24">
        <v>10</v>
      </c>
      <c r="K239" s="25">
        <v>5</v>
      </c>
      <c r="L239" s="16">
        <f>IFERROR(VLOOKUP($D239&amp;$C239,生产方式定位!$A$2:$E$38,2,FALSE)+VLOOKUP($E239&amp;$C239,生产方式定位!$F$3:$J$38,2,FALSE),0)</f>
        <v>1700</v>
      </c>
      <c r="O239" s="2" t="s">
        <v>73</v>
      </c>
      <c r="P239" s="2">
        <v>30</v>
      </c>
      <c r="S239" s="16">
        <f>IFERROR(VLOOKUP($D239&amp;$C239,生产方式定位!$A$2:$E$38,3,FALSE)+VLOOKUP($E239&amp;$C239,生产方式定位!$F$3:$J$38,3,FALSE),0)</f>
        <v>10</v>
      </c>
      <c r="T239" s="2" t="s">
        <v>49</v>
      </c>
      <c r="U239" s="2">
        <v>1</v>
      </c>
      <c r="X239" s="16">
        <f>IFERROR(VLOOKUP($D239&amp;$C239,生产方式定位!$A$2:$E$38,5,FALSE)+VLOOKUP($E239&amp;$C239,生产方式定位!$F$3:$J$38,5,FALSE),"错误")</f>
        <v>2654</v>
      </c>
      <c r="Y239" s="26" t="str">
        <f t="shared" si="80"/>
        <v>钢铁*17,木材*9,运力*34,交易*17</v>
      </c>
      <c r="Z239" s="36" t="str">
        <f t="shared" si="81"/>
        <v>,工程师*151</v>
      </c>
      <c r="AA239" s="36" t="str">
        <f t="shared" si="82"/>
        <v>火炮*33</v>
      </c>
      <c r="AB239" s="27" t="str">
        <f t="shared" si="83"/>
        <v>56%</v>
      </c>
      <c r="AC239" s="2">
        <f t="shared" si="84"/>
        <v>944</v>
      </c>
      <c r="AD239" s="38">
        <f t="shared" si="85"/>
        <v>3</v>
      </c>
      <c r="AE239" t="str">
        <f t="shared" si="86"/>
        <v>钢铁*17</v>
      </c>
      <c r="AF239" t="str">
        <f t="shared" si="87"/>
        <v>木材*9</v>
      </c>
      <c r="AG239" t="str">
        <f t="shared" si="88"/>
        <v/>
      </c>
      <c r="AH239" t="str">
        <f t="shared" si="89"/>
        <v>工程师*151</v>
      </c>
      <c r="AI239" t="str">
        <f t="shared" si="90"/>
        <v/>
      </c>
      <c r="AJ239" t="str">
        <f t="shared" si="91"/>
        <v>火炮*33</v>
      </c>
      <c r="AK239" t="str">
        <f t="shared" si="92"/>
        <v/>
      </c>
      <c r="AL239">
        <f>IFERROR(ROUND(L239*(G239/$AU239)/VLOOKUP(F239,商品!$A$4:$B$60,2,FALSE),0),"")</f>
        <v>17</v>
      </c>
      <c r="AM239">
        <f>IFERROR(ROUND(L239*(I239/$AU239)/VLOOKUP(H239,商品!$A$4:$B$60,2,FALSE),0),"")</f>
        <v>9</v>
      </c>
      <c r="AN239">
        <f>IFERROR(ROUND(L239*(J239/$AU239)/VLOOKUP("运力",商品!$A$4:$B$60,2,FALSE),0),0)</f>
        <v>34</v>
      </c>
      <c r="AO239">
        <f>IFERROR(ROUND(L239*(K239/$AU239)/VLOOKUP("交易",商品!$A$4:$B$60,2,FALSE),0),0)</f>
        <v>17</v>
      </c>
      <c r="AP239" t="str">
        <f>IFERROR(ROUND(S239*(N239/$AV239)/VLOOKUP(M239,职业!$A$4:$G$16,4,FALSE),0),"")</f>
        <v/>
      </c>
      <c r="AQ239">
        <f>IFERROR(ROUND(S239*(P239/$AV239)/VLOOKUP(O239,职业!$A$4:$G$16,4,FALSE),0),"")</f>
        <v>151</v>
      </c>
      <c r="AR239" t="str">
        <f>IFERROR(ROUND(S239*(R239/$AV239)/VLOOKUP(Q239,职业!$A$4:$G$16,4,FALSE),0),"")</f>
        <v/>
      </c>
      <c r="AS239">
        <f>IFERROR(ROUND(X239*(U239/$AW239)/VLOOKUP(T239,商品!$A$4:$B$60,2,FALSE),0),"")</f>
        <v>33</v>
      </c>
      <c r="AT239" t="str">
        <f>IFERROR(ROUND(X239*(W239/$AW239)/VLOOKUP(V239,商品!$A$4:$B$60,2,FALSE),0),"")</f>
        <v/>
      </c>
      <c r="AU239">
        <f t="shared" si="93"/>
        <v>50</v>
      </c>
      <c r="AV239">
        <f t="shared" si="94"/>
        <v>30</v>
      </c>
      <c r="AW239">
        <f t="shared" si="95"/>
        <v>1</v>
      </c>
    </row>
    <row r="240" spans="1:49" ht="19.95" customHeight="1" x14ac:dyDescent="0.25">
      <c r="A240" s="16" t="s">
        <v>228</v>
      </c>
      <c r="C240" s="16">
        <v>4</v>
      </c>
      <c r="D240" s="23" t="s">
        <v>222</v>
      </c>
      <c r="E240" s="23" t="s">
        <v>193</v>
      </c>
      <c r="F240" s="2" t="s">
        <v>39</v>
      </c>
      <c r="G240" s="2">
        <v>30</v>
      </c>
      <c r="H240" s="2" t="s">
        <v>11</v>
      </c>
      <c r="I240" s="2">
        <v>5</v>
      </c>
      <c r="J240" s="24">
        <v>10</v>
      </c>
      <c r="K240" s="25">
        <v>5</v>
      </c>
      <c r="L240" s="16">
        <f>IFERROR(VLOOKUP($D240&amp;$C240,生产方式定位!$A$2:$E$38,2,FALSE)+VLOOKUP($E240&amp;$C240,生产方式定位!$F$3:$J$38,2,FALSE),0)</f>
        <v>1900</v>
      </c>
      <c r="O240" s="2" t="s">
        <v>73</v>
      </c>
      <c r="P240" s="2">
        <v>30</v>
      </c>
      <c r="S240" s="16">
        <f>IFERROR(VLOOKUP($D240&amp;$C240,生产方式定位!$A$2:$E$38,3,FALSE)+VLOOKUP($E240&amp;$C240,生产方式定位!$F$3:$J$38,3,FALSE),0)</f>
        <v>15</v>
      </c>
      <c r="T240" s="2" t="s">
        <v>49</v>
      </c>
      <c r="U240" s="2">
        <v>1</v>
      </c>
      <c r="X240" s="16">
        <f>IFERROR(VLOOKUP($D240&amp;$C240,生产方式定位!$A$2:$E$38,5,FALSE)+VLOOKUP($E240&amp;$C240,生产方式定位!$F$3:$J$38,5,FALSE),"错误")</f>
        <v>2961</v>
      </c>
      <c r="Y240" s="26" t="str">
        <f t="shared" si="80"/>
        <v>钢铁*19,木材*10,运力*38,交易*19</v>
      </c>
      <c r="Z240" s="36" t="str">
        <f t="shared" si="81"/>
        <v>,工程师*226</v>
      </c>
      <c r="AA240" s="36" t="str">
        <f t="shared" si="82"/>
        <v>火炮*37</v>
      </c>
      <c r="AB240" s="27" t="str">
        <f t="shared" si="83"/>
        <v>56%</v>
      </c>
      <c r="AC240" s="2">
        <f t="shared" si="84"/>
        <v>1046</v>
      </c>
      <c r="AD240" s="38">
        <f t="shared" si="85"/>
        <v>4</v>
      </c>
      <c r="AE240" t="str">
        <f t="shared" si="86"/>
        <v>钢铁*19</v>
      </c>
      <c r="AF240" t="str">
        <f t="shared" si="87"/>
        <v>木材*10</v>
      </c>
      <c r="AG240" t="str">
        <f t="shared" si="88"/>
        <v/>
      </c>
      <c r="AH240" t="str">
        <f t="shared" si="89"/>
        <v>工程师*226</v>
      </c>
      <c r="AI240" t="str">
        <f t="shared" si="90"/>
        <v/>
      </c>
      <c r="AJ240" t="str">
        <f t="shared" si="91"/>
        <v>火炮*37</v>
      </c>
      <c r="AK240" t="str">
        <f t="shared" si="92"/>
        <v/>
      </c>
      <c r="AL240">
        <f>IFERROR(ROUND(L240*(G240/$AU240)/VLOOKUP(F240,商品!$A$4:$B$60,2,FALSE),0),"")</f>
        <v>19</v>
      </c>
      <c r="AM240">
        <f>IFERROR(ROUND(L240*(I240/$AU240)/VLOOKUP(H240,商品!$A$4:$B$60,2,FALSE),0),"")</f>
        <v>10</v>
      </c>
      <c r="AN240">
        <f>IFERROR(ROUND(L240*(J240/$AU240)/VLOOKUP("运力",商品!$A$4:$B$60,2,FALSE),0),0)</f>
        <v>38</v>
      </c>
      <c r="AO240">
        <f>IFERROR(ROUND(L240*(K240/$AU240)/VLOOKUP("交易",商品!$A$4:$B$60,2,FALSE),0),0)</f>
        <v>19</v>
      </c>
      <c r="AP240" t="str">
        <f>IFERROR(ROUND(S240*(N240/$AV240)/VLOOKUP(M240,职业!$A$4:$G$16,4,FALSE),0),"")</f>
        <v/>
      </c>
      <c r="AQ240">
        <f>IFERROR(ROUND(S240*(P240/$AV240)/VLOOKUP(O240,职业!$A$4:$G$16,4,FALSE),0),"")</f>
        <v>226</v>
      </c>
      <c r="AR240" t="str">
        <f>IFERROR(ROUND(S240*(R240/$AV240)/VLOOKUP(Q240,职业!$A$4:$G$16,4,FALSE),0),"")</f>
        <v/>
      </c>
      <c r="AS240">
        <f>IFERROR(ROUND(X240*(U240/$AW240)/VLOOKUP(T240,商品!$A$4:$B$60,2,FALSE),0),"")</f>
        <v>37</v>
      </c>
      <c r="AT240" t="str">
        <f>IFERROR(ROUND(X240*(W240/$AW240)/VLOOKUP(V240,商品!$A$4:$B$60,2,FALSE),0),"")</f>
        <v/>
      </c>
      <c r="AU240">
        <f t="shared" si="93"/>
        <v>50</v>
      </c>
      <c r="AV240">
        <f t="shared" si="94"/>
        <v>30</v>
      </c>
      <c r="AW240">
        <f t="shared" si="95"/>
        <v>1</v>
      </c>
    </row>
    <row r="241" spans="1:49" ht="19.95" customHeight="1" x14ac:dyDescent="0.25">
      <c r="A241" s="16" t="s">
        <v>228</v>
      </c>
      <c r="C241" s="16">
        <v>5</v>
      </c>
      <c r="D241" s="23" t="s">
        <v>222</v>
      </c>
      <c r="E241" s="23" t="s">
        <v>193</v>
      </c>
      <c r="F241" s="2" t="s">
        <v>39</v>
      </c>
      <c r="G241" s="2">
        <v>30</v>
      </c>
      <c r="H241" s="2" t="s">
        <v>11</v>
      </c>
      <c r="I241" s="2">
        <v>5</v>
      </c>
      <c r="J241" s="24">
        <v>10</v>
      </c>
      <c r="K241" s="25">
        <v>5</v>
      </c>
      <c r="L241" s="16">
        <f>IFERROR(VLOOKUP($D241&amp;$C241,生产方式定位!$A$2:$E$38,2,FALSE)+VLOOKUP($E241&amp;$C241,生产方式定位!$F$3:$J$38,2,FALSE),0)</f>
        <v>2100</v>
      </c>
      <c r="O241" s="2" t="s">
        <v>73</v>
      </c>
      <c r="P241" s="2">
        <v>30</v>
      </c>
      <c r="S241" s="16">
        <f>IFERROR(VLOOKUP($D241&amp;$C241,生产方式定位!$A$2:$E$38,3,FALSE)+VLOOKUP($E241&amp;$C241,生产方式定位!$F$3:$J$38,3,FALSE),0)</f>
        <v>20</v>
      </c>
      <c r="T241" s="2" t="s">
        <v>49</v>
      </c>
      <c r="U241" s="2">
        <v>1</v>
      </c>
      <c r="X241" s="16">
        <f>IFERROR(VLOOKUP($D241&amp;$C241,生产方式定位!$A$2:$E$38,5,FALSE)+VLOOKUP($E241&amp;$C241,生产方式定位!$F$3:$J$38,5,FALSE),"错误")</f>
        <v>3268</v>
      </c>
      <c r="Y241" s="26" t="str">
        <f t="shared" si="80"/>
        <v>钢铁*21,木材*11,运力*42,交易*21</v>
      </c>
      <c r="Z241" s="36" t="str">
        <f t="shared" si="81"/>
        <v>,工程师*302</v>
      </c>
      <c r="AA241" s="36" t="str">
        <f t="shared" si="82"/>
        <v>火炮*41</v>
      </c>
      <c r="AB241" s="27" t="str">
        <f t="shared" si="83"/>
        <v>56%</v>
      </c>
      <c r="AC241" s="2">
        <f t="shared" si="84"/>
        <v>1148</v>
      </c>
      <c r="AD241" s="38">
        <f t="shared" si="85"/>
        <v>5</v>
      </c>
      <c r="AE241" t="str">
        <f t="shared" si="86"/>
        <v>钢铁*21</v>
      </c>
      <c r="AF241" t="str">
        <f t="shared" si="87"/>
        <v>木材*11</v>
      </c>
      <c r="AG241" t="str">
        <f t="shared" si="88"/>
        <v/>
      </c>
      <c r="AH241" t="str">
        <f t="shared" si="89"/>
        <v>工程师*302</v>
      </c>
      <c r="AI241" t="str">
        <f t="shared" si="90"/>
        <v/>
      </c>
      <c r="AJ241" t="str">
        <f t="shared" si="91"/>
        <v>火炮*41</v>
      </c>
      <c r="AK241" t="str">
        <f t="shared" si="92"/>
        <v/>
      </c>
      <c r="AL241">
        <f>IFERROR(ROUND(L241*(G241/$AU241)/VLOOKUP(F241,商品!$A$4:$B$60,2,FALSE),0),"")</f>
        <v>21</v>
      </c>
      <c r="AM241">
        <f>IFERROR(ROUND(L241*(I241/$AU241)/VLOOKUP(H241,商品!$A$4:$B$60,2,FALSE),0),"")</f>
        <v>11</v>
      </c>
      <c r="AN241">
        <f>IFERROR(ROUND(L241*(J241/$AU241)/VLOOKUP("运力",商品!$A$4:$B$60,2,FALSE),0),0)</f>
        <v>42</v>
      </c>
      <c r="AO241">
        <f>IFERROR(ROUND(L241*(K241/$AU241)/VLOOKUP("交易",商品!$A$4:$B$60,2,FALSE),0),0)</f>
        <v>21</v>
      </c>
      <c r="AP241" t="str">
        <f>IFERROR(ROUND(S241*(N241/$AV241)/VLOOKUP(M241,职业!$A$4:$G$16,4,FALSE),0),"")</f>
        <v/>
      </c>
      <c r="AQ241">
        <f>IFERROR(ROUND(S241*(P241/$AV241)/VLOOKUP(O241,职业!$A$4:$G$16,4,FALSE),0),"")</f>
        <v>302</v>
      </c>
      <c r="AR241" t="str">
        <f>IFERROR(ROUND(S241*(R241/$AV241)/VLOOKUP(Q241,职业!$A$4:$G$16,4,FALSE),0),"")</f>
        <v/>
      </c>
      <c r="AS241">
        <f>IFERROR(ROUND(X241*(U241/$AW241)/VLOOKUP(T241,商品!$A$4:$B$60,2,FALSE),0),"")</f>
        <v>41</v>
      </c>
      <c r="AT241" t="str">
        <f>IFERROR(ROUND(X241*(W241/$AW241)/VLOOKUP(V241,商品!$A$4:$B$60,2,FALSE),0),"")</f>
        <v/>
      </c>
      <c r="AU241">
        <f t="shared" si="93"/>
        <v>50</v>
      </c>
      <c r="AV241">
        <f t="shared" si="94"/>
        <v>30</v>
      </c>
      <c r="AW241">
        <f t="shared" si="95"/>
        <v>1</v>
      </c>
    </row>
    <row r="242" spans="1:49" ht="19.95" customHeight="1" x14ac:dyDescent="0.25">
      <c r="A242" s="15" t="s">
        <v>514</v>
      </c>
      <c r="C242" s="15">
        <v>1</v>
      </c>
      <c r="D242" s="23" t="s">
        <v>174</v>
      </c>
      <c r="E242" s="23" t="s">
        <v>175</v>
      </c>
      <c r="L242" s="15">
        <f>IFERROR(VLOOKUP($D242&amp;$C242,生产方式定位!$A$2:$E$38,2,FALSE)+VLOOKUP($E242&amp;$C242,生产方式定位!$F$3:$J$38,2,FALSE),0)</f>
        <v>0</v>
      </c>
      <c r="S242" s="15">
        <f>IFERROR(VLOOKUP($D242&amp;$C242,生产方式定位!$A$2:$E$38,3,FALSE)+VLOOKUP($E242&amp;$C242,生产方式定位!$F$3:$J$38,3,FALSE),0)</f>
        <v>0</v>
      </c>
      <c r="X242" s="15">
        <f>IFERROR(VLOOKUP($D242&amp;$C242,生产方式定位!$A$2:$E$38,5,FALSE)+VLOOKUP($E242&amp;$C242,生产方式定位!$F$3:$J$38,5,FALSE),"错误")</f>
        <v>0</v>
      </c>
      <c r="Y242" s="26" t="str">
        <f t="shared" si="80"/>
        <v/>
      </c>
      <c r="Z242" s="36" t="str">
        <f t="shared" si="81"/>
        <v/>
      </c>
      <c r="AA242" s="36" t="str">
        <f t="shared" si="82"/>
        <v/>
      </c>
      <c r="AB242" s="27" t="str">
        <f t="shared" si="83"/>
        <v/>
      </c>
      <c r="AC242" s="2" t="str">
        <f t="shared" si="84"/>
        <v/>
      </c>
      <c r="AD242" s="37">
        <f t="shared" si="85"/>
        <v>1</v>
      </c>
      <c r="AE242" t="str">
        <f t="shared" si="86"/>
        <v/>
      </c>
      <c r="AF242" t="str">
        <f t="shared" si="87"/>
        <v/>
      </c>
      <c r="AG242" t="str">
        <f t="shared" si="88"/>
        <v/>
      </c>
      <c r="AH242" t="str">
        <f t="shared" si="89"/>
        <v/>
      </c>
      <c r="AI242" t="str">
        <f t="shared" si="90"/>
        <v/>
      </c>
      <c r="AJ242" t="str">
        <f t="shared" si="91"/>
        <v/>
      </c>
      <c r="AK242" t="str">
        <f t="shared" si="92"/>
        <v/>
      </c>
      <c r="AL242" t="str">
        <f>IFERROR(ROUND(L242*(G242/$AU242)/VLOOKUP(F242,商品!$A$4:$B$60,2,FALSE),0),"")</f>
        <v/>
      </c>
      <c r="AM242" t="str">
        <f>IFERROR(ROUND(L242*(I242/$AU242)/VLOOKUP(H242,商品!$A$4:$B$60,2,FALSE),0),"")</f>
        <v/>
      </c>
      <c r="AN242">
        <f>IFERROR(ROUND(L242*(J242/$AU242)/VLOOKUP("运力",商品!$A$4:$B$60,2,FALSE),0),0)</f>
        <v>0</v>
      </c>
      <c r="AO242">
        <f>IFERROR(ROUND(L242*(K242/$AU242)/VLOOKUP("交易",商品!$A$4:$B$60,2,FALSE),0),0)</f>
        <v>0</v>
      </c>
      <c r="AP242" t="str">
        <f>IFERROR(ROUND(S242*(N242/$AV242)/VLOOKUP(M242,职业!$A$4:$G$16,4,FALSE),0),"")</f>
        <v/>
      </c>
      <c r="AQ242" t="str">
        <f>IFERROR(ROUND(S242*(P242/$AV242)/VLOOKUP(O242,职业!$A$4:$G$16,4,FALSE),0),"")</f>
        <v/>
      </c>
      <c r="AR242" t="str">
        <f>IFERROR(ROUND(S242*(R242/$AV242)/VLOOKUP(Q242,职业!$A$4:$G$16,4,FALSE),0),"")</f>
        <v/>
      </c>
      <c r="AS242" t="str">
        <f>IFERROR(ROUND(X242*(U242/$AW242)/VLOOKUP(T242,商品!$A$4:$B$60,2,FALSE),0),"")</f>
        <v/>
      </c>
      <c r="AT242" t="str">
        <f>IFERROR(ROUND(X242*(W242/$AW242)/VLOOKUP(V242,商品!$A$4:$B$60,2,FALSE),0),"")</f>
        <v/>
      </c>
      <c r="AU242">
        <f t="shared" si="93"/>
        <v>0</v>
      </c>
      <c r="AV242">
        <f t="shared" si="94"/>
        <v>0</v>
      </c>
      <c r="AW242">
        <f t="shared" si="95"/>
        <v>0</v>
      </c>
    </row>
    <row r="243" spans="1:49" ht="19.95" customHeight="1" x14ac:dyDescent="0.25">
      <c r="A243" s="15" t="s">
        <v>514</v>
      </c>
      <c r="C243" s="15">
        <v>2</v>
      </c>
      <c r="D243" s="23" t="s">
        <v>174</v>
      </c>
      <c r="E243" s="23" t="s">
        <v>175</v>
      </c>
      <c r="F243" s="2" t="s">
        <v>41</v>
      </c>
      <c r="G243" s="2">
        <v>10</v>
      </c>
      <c r="L243" s="15">
        <f>IFERROR(VLOOKUP($D243&amp;$C243,生产方式定位!$A$2:$E$38,2,FALSE)+VLOOKUP($E243&amp;$C243,生产方式定位!$F$3:$J$38,2,FALSE),0)</f>
        <v>50</v>
      </c>
      <c r="M243" s="2" t="s">
        <v>80</v>
      </c>
      <c r="N243" s="2">
        <v>-20</v>
      </c>
      <c r="O243" s="2" t="s">
        <v>73</v>
      </c>
      <c r="P243" s="2">
        <v>5</v>
      </c>
      <c r="S243" s="15">
        <f>IFERROR(VLOOKUP($D243&amp;$C243,生产方式定位!$A$2:$E$38,3,FALSE)+VLOOKUP($E243&amp;$C243,生产方式定位!$F$3:$J$38,3,FALSE),0)</f>
        <v>10</v>
      </c>
      <c r="X243" s="15">
        <f>IFERROR(VLOOKUP($D243&amp;$C243,生产方式定位!$A$2:$E$38,5,FALSE)+VLOOKUP($E243&amp;$C243,生产方式定位!$F$3:$J$38,5,FALSE),"错误")</f>
        <v>0</v>
      </c>
      <c r="Y243" s="26" t="str">
        <f t="shared" si="80"/>
        <v>工具*1</v>
      </c>
      <c r="Z243" s="36" t="str">
        <f t="shared" si="81"/>
        <v>劳工*-362,工程师*30</v>
      </c>
      <c r="AA243" s="36" t="str">
        <f t="shared" si="82"/>
        <v/>
      </c>
      <c r="AB243" s="27" t="str">
        <f t="shared" si="83"/>
        <v>-100%</v>
      </c>
      <c r="AC243" s="2">
        <f t="shared" si="84"/>
        <v>-60</v>
      </c>
      <c r="AD243" s="37">
        <f t="shared" si="85"/>
        <v>2</v>
      </c>
      <c r="AE243" t="str">
        <f t="shared" si="86"/>
        <v>工具*1</v>
      </c>
      <c r="AF243" t="str">
        <f t="shared" si="87"/>
        <v/>
      </c>
      <c r="AG243" t="str">
        <f t="shared" si="88"/>
        <v>劳工*-362</v>
      </c>
      <c r="AH243" t="str">
        <f t="shared" si="89"/>
        <v>工程师*30</v>
      </c>
      <c r="AI243" t="str">
        <f t="shared" si="90"/>
        <v/>
      </c>
      <c r="AJ243" t="str">
        <f t="shared" si="91"/>
        <v/>
      </c>
      <c r="AK243" t="str">
        <f t="shared" si="92"/>
        <v/>
      </c>
      <c r="AL243">
        <f>IFERROR(ROUND(L243*(G243/$AU243)/VLOOKUP(F243,商品!$A$4:$B$60,2,FALSE),0),"")</f>
        <v>1</v>
      </c>
      <c r="AM243" t="str">
        <f>IFERROR(ROUND(L243*(I243/$AU243)/VLOOKUP(H243,商品!$A$4:$B$60,2,FALSE),0),"")</f>
        <v/>
      </c>
      <c r="AN243">
        <f>IFERROR(ROUND(L243*(J243/$AU243)/VLOOKUP("运力",商品!$A$4:$B$60,2,FALSE),0),0)</f>
        <v>0</v>
      </c>
      <c r="AO243">
        <f>IFERROR(ROUND(L243*(K243/$AU243)/VLOOKUP("交易",商品!$A$4:$B$60,2,FALSE),0),0)</f>
        <v>0</v>
      </c>
      <c r="AP243">
        <f>IFERROR(ROUND(S243*(N243/$AV243)/VLOOKUP(M243,职业!$A$4:$G$16,4,FALSE),0),"")</f>
        <v>-362</v>
      </c>
      <c r="AQ243">
        <f>IFERROR(ROUND(S243*(P243/$AV243)/VLOOKUP(O243,职业!$A$4:$G$16,4,FALSE),0),"")</f>
        <v>30</v>
      </c>
      <c r="AR243" t="str">
        <f>IFERROR(ROUND(S243*(R243/$AV243)/VLOOKUP(Q243,职业!$A$4:$G$16,4,FALSE),0),"")</f>
        <v/>
      </c>
      <c r="AS243" t="str">
        <f>IFERROR(ROUND(X243*(U243/$AW243)/VLOOKUP(T243,商品!$A$4:$B$60,2,FALSE),0),"")</f>
        <v/>
      </c>
      <c r="AT243" t="str">
        <f>IFERROR(ROUND(X243*(W243/$AW243)/VLOOKUP(V243,商品!$A$4:$B$60,2,FALSE),0),"")</f>
        <v/>
      </c>
      <c r="AU243">
        <f t="shared" si="93"/>
        <v>10</v>
      </c>
      <c r="AV243">
        <f t="shared" si="94"/>
        <v>25</v>
      </c>
      <c r="AW243">
        <f t="shared" si="95"/>
        <v>0</v>
      </c>
    </row>
    <row r="244" spans="1:49" ht="19.95" customHeight="1" x14ac:dyDescent="0.25">
      <c r="A244" s="15" t="s">
        <v>514</v>
      </c>
      <c r="C244" s="15">
        <v>3</v>
      </c>
      <c r="D244" s="23" t="s">
        <v>174</v>
      </c>
      <c r="E244" s="23" t="s">
        <v>175</v>
      </c>
      <c r="F244" s="2" t="s">
        <v>41</v>
      </c>
      <c r="G244" s="2">
        <v>10</v>
      </c>
      <c r="L244" s="15">
        <f>IFERROR(VLOOKUP($D244&amp;$C244,生产方式定位!$A$2:$E$38,2,FALSE)+VLOOKUP($E244&amp;$C244,生产方式定位!$F$3:$J$38,2,FALSE),0)</f>
        <v>100</v>
      </c>
      <c r="M244" s="2" t="s">
        <v>80</v>
      </c>
      <c r="N244" s="2">
        <v>-20</v>
      </c>
      <c r="O244" s="2" t="s">
        <v>73</v>
      </c>
      <c r="P244" s="2">
        <v>5</v>
      </c>
      <c r="S244" s="15">
        <f>IFERROR(VLOOKUP($D244&amp;$C244,生产方式定位!$A$2:$E$38,3,FALSE)+VLOOKUP($E244&amp;$C244,生产方式定位!$F$3:$J$38,3,FALSE),0)</f>
        <v>20</v>
      </c>
      <c r="X244" s="15">
        <f>IFERROR(VLOOKUP($D244&amp;$C244,生产方式定位!$A$2:$E$38,5,FALSE)+VLOOKUP($E244&amp;$C244,生产方式定位!$F$3:$J$38,5,FALSE),"错误")</f>
        <v>0</v>
      </c>
      <c r="Y244" s="26" t="str">
        <f t="shared" si="80"/>
        <v>工具*3</v>
      </c>
      <c r="Z244" s="36" t="str">
        <f t="shared" si="81"/>
        <v>劳工*-724,工程师*60</v>
      </c>
      <c r="AA244" s="36" t="str">
        <f t="shared" si="82"/>
        <v/>
      </c>
      <c r="AB244" s="27" t="str">
        <f t="shared" si="83"/>
        <v>-100%</v>
      </c>
      <c r="AC244" s="2">
        <f t="shared" si="84"/>
        <v>-120</v>
      </c>
      <c r="AD244" s="37">
        <f t="shared" si="85"/>
        <v>3</v>
      </c>
      <c r="AE244" t="str">
        <f t="shared" si="86"/>
        <v>工具*3</v>
      </c>
      <c r="AF244" t="str">
        <f t="shared" si="87"/>
        <v/>
      </c>
      <c r="AG244" t="str">
        <f t="shared" si="88"/>
        <v>劳工*-724</v>
      </c>
      <c r="AH244" t="str">
        <f t="shared" si="89"/>
        <v>工程师*60</v>
      </c>
      <c r="AI244" t="str">
        <f t="shared" si="90"/>
        <v/>
      </c>
      <c r="AJ244" t="str">
        <f t="shared" si="91"/>
        <v/>
      </c>
      <c r="AK244" t="str">
        <f t="shared" si="92"/>
        <v/>
      </c>
      <c r="AL244">
        <f>IFERROR(ROUND(L244*(G244/$AU244)/VLOOKUP(F244,商品!$A$4:$B$60,2,FALSE),0),"")</f>
        <v>3</v>
      </c>
      <c r="AM244" t="str">
        <f>IFERROR(ROUND(L244*(I244/$AU244)/VLOOKUP(H244,商品!$A$4:$B$60,2,FALSE),0),"")</f>
        <v/>
      </c>
      <c r="AN244">
        <f>IFERROR(ROUND(L244*(J244/$AU244)/VLOOKUP("运力",商品!$A$4:$B$60,2,FALSE),0),0)</f>
        <v>0</v>
      </c>
      <c r="AO244">
        <f>IFERROR(ROUND(L244*(K244/$AU244)/VLOOKUP("交易",商品!$A$4:$B$60,2,FALSE),0),0)</f>
        <v>0</v>
      </c>
      <c r="AP244">
        <f>IFERROR(ROUND(S244*(N244/$AV244)/VLOOKUP(M244,职业!$A$4:$G$16,4,FALSE),0),"")</f>
        <v>-724</v>
      </c>
      <c r="AQ244">
        <f>IFERROR(ROUND(S244*(P244/$AV244)/VLOOKUP(O244,职业!$A$4:$G$16,4,FALSE),0),"")</f>
        <v>60</v>
      </c>
      <c r="AR244" t="str">
        <f>IFERROR(ROUND(S244*(R244/$AV244)/VLOOKUP(Q244,职业!$A$4:$G$16,4,FALSE),0),"")</f>
        <v/>
      </c>
      <c r="AS244" t="str">
        <f>IFERROR(ROUND(X244*(U244/$AW244)/VLOOKUP(T244,商品!$A$4:$B$60,2,FALSE),0),"")</f>
        <v/>
      </c>
      <c r="AT244" t="str">
        <f>IFERROR(ROUND(X244*(W244/$AW244)/VLOOKUP(V244,商品!$A$4:$B$60,2,FALSE),0),"")</f>
        <v/>
      </c>
      <c r="AU244">
        <f t="shared" si="93"/>
        <v>10</v>
      </c>
      <c r="AV244">
        <f t="shared" si="94"/>
        <v>25</v>
      </c>
      <c r="AW244">
        <f t="shared" si="95"/>
        <v>0</v>
      </c>
    </row>
    <row r="245" spans="1:49" ht="19.95" customHeight="1" x14ac:dyDescent="0.25">
      <c r="A245" s="15" t="s">
        <v>514</v>
      </c>
      <c r="C245" s="15">
        <v>4</v>
      </c>
      <c r="D245" s="23" t="s">
        <v>174</v>
      </c>
      <c r="E245" s="23" t="s">
        <v>175</v>
      </c>
      <c r="F245" s="2" t="s">
        <v>45</v>
      </c>
      <c r="G245" s="2">
        <v>5</v>
      </c>
      <c r="H245" s="2" t="s">
        <v>19</v>
      </c>
      <c r="I245" s="2">
        <v>10</v>
      </c>
      <c r="L245" s="15">
        <f>IFERROR(VLOOKUP($D245&amp;$C245,生产方式定位!$A$2:$E$38,2,FALSE)+VLOOKUP($E245&amp;$C245,生产方式定位!$F$3:$J$38,2,FALSE),0)</f>
        <v>150</v>
      </c>
      <c r="M245" s="2" t="s">
        <v>80</v>
      </c>
      <c r="N245" s="2">
        <v>-20</v>
      </c>
      <c r="O245" s="2" t="s">
        <v>73</v>
      </c>
      <c r="P245" s="2">
        <v>5</v>
      </c>
      <c r="S245" s="15">
        <f>IFERROR(VLOOKUP($D245&amp;$C245,生产方式定位!$A$2:$E$38,3,FALSE)+VLOOKUP($E245&amp;$C245,生产方式定位!$F$3:$J$38,3,FALSE),0)</f>
        <v>30</v>
      </c>
      <c r="X245" s="15">
        <f>IFERROR(VLOOKUP($D245&amp;$C245,生产方式定位!$A$2:$E$38,5,FALSE)+VLOOKUP($E245&amp;$C245,生产方式定位!$F$3:$J$38,5,FALSE),"错误")</f>
        <v>0</v>
      </c>
      <c r="Y245" s="26" t="str">
        <f t="shared" si="80"/>
        <v>科学引擎*1,煤*3</v>
      </c>
      <c r="Z245" s="36" t="str">
        <f t="shared" si="81"/>
        <v>劳工*-1086,工程师*90</v>
      </c>
      <c r="AA245" s="36" t="str">
        <f t="shared" si="82"/>
        <v/>
      </c>
      <c r="AB245" s="27" t="str">
        <f t="shared" si="83"/>
        <v>-100%</v>
      </c>
      <c r="AC245" s="2">
        <f t="shared" si="84"/>
        <v>-180</v>
      </c>
      <c r="AD245" s="37">
        <f t="shared" si="85"/>
        <v>4</v>
      </c>
      <c r="AE245" t="str">
        <f t="shared" si="86"/>
        <v>科学引擎*1</v>
      </c>
      <c r="AF245" t="str">
        <f t="shared" si="87"/>
        <v>煤*3</v>
      </c>
      <c r="AG245" t="str">
        <f t="shared" si="88"/>
        <v>劳工*-1086</v>
      </c>
      <c r="AH245" t="str">
        <f t="shared" si="89"/>
        <v>工程师*90</v>
      </c>
      <c r="AI245" t="str">
        <f t="shared" si="90"/>
        <v/>
      </c>
      <c r="AJ245" t="str">
        <f t="shared" si="91"/>
        <v/>
      </c>
      <c r="AK245" t="str">
        <f t="shared" si="92"/>
        <v/>
      </c>
      <c r="AL245">
        <f>IFERROR(ROUND(L245*(G245/$AU245)/VLOOKUP(F245,商品!$A$4:$B$60,2,FALSE),0),"")</f>
        <v>1</v>
      </c>
      <c r="AM245">
        <f>IFERROR(ROUND(L245*(I245/$AU245)/VLOOKUP(H245,商品!$A$4:$B$60,2,FALSE),0),"")</f>
        <v>3</v>
      </c>
      <c r="AN245">
        <f>IFERROR(ROUND(L245*(J245/$AU245)/VLOOKUP("运力",商品!$A$4:$B$60,2,FALSE),0),0)</f>
        <v>0</v>
      </c>
      <c r="AO245">
        <f>IFERROR(ROUND(L245*(K245/$AU245)/VLOOKUP("交易",商品!$A$4:$B$60,2,FALSE),0),0)</f>
        <v>0</v>
      </c>
      <c r="AP245">
        <f>IFERROR(ROUND(S245*(N245/$AV245)/VLOOKUP(M245,职业!$A$4:$G$16,4,FALSE),0),"")</f>
        <v>-1086</v>
      </c>
      <c r="AQ245">
        <f>IFERROR(ROUND(S245*(P245/$AV245)/VLOOKUP(O245,职业!$A$4:$G$16,4,FALSE),0),"")</f>
        <v>90</v>
      </c>
      <c r="AR245" t="str">
        <f>IFERROR(ROUND(S245*(R245/$AV245)/VLOOKUP(Q245,职业!$A$4:$G$16,4,FALSE),0),"")</f>
        <v/>
      </c>
      <c r="AS245" t="str">
        <f>IFERROR(ROUND(X245*(U245/$AW245)/VLOOKUP(T245,商品!$A$4:$B$60,2,FALSE),0),"")</f>
        <v/>
      </c>
      <c r="AT245" t="str">
        <f>IFERROR(ROUND(X245*(W245/$AW245)/VLOOKUP(V245,商品!$A$4:$B$60,2,FALSE),0),"")</f>
        <v/>
      </c>
      <c r="AU245">
        <f t="shared" si="93"/>
        <v>15</v>
      </c>
      <c r="AV245">
        <f t="shared" si="94"/>
        <v>25</v>
      </c>
      <c r="AW245">
        <f t="shared" si="95"/>
        <v>0</v>
      </c>
    </row>
    <row r="246" spans="1:49" ht="19.95" customHeight="1" x14ac:dyDescent="0.25">
      <c r="A246" s="15" t="s">
        <v>514</v>
      </c>
      <c r="C246" s="15">
        <v>5</v>
      </c>
      <c r="D246" s="23" t="s">
        <v>174</v>
      </c>
      <c r="E246" s="23" t="s">
        <v>175</v>
      </c>
      <c r="F246" s="2" t="s">
        <v>46</v>
      </c>
      <c r="G246" s="2">
        <v>5</v>
      </c>
      <c r="H246" s="2" t="s">
        <v>19</v>
      </c>
      <c r="I246" s="2">
        <v>10</v>
      </c>
      <c r="L246" s="15">
        <f>IFERROR(VLOOKUP($D246&amp;$C246,生产方式定位!$A$2:$E$38,2,FALSE)+VLOOKUP($E246&amp;$C246,生产方式定位!$F$3:$J$38,2,FALSE),0)</f>
        <v>200</v>
      </c>
      <c r="M246" s="2" t="s">
        <v>80</v>
      </c>
      <c r="N246" s="2">
        <v>-20</v>
      </c>
      <c r="O246" s="2" t="s">
        <v>73</v>
      </c>
      <c r="P246" s="2">
        <v>5</v>
      </c>
      <c r="S246" s="15">
        <f>IFERROR(VLOOKUP($D246&amp;$C246,生产方式定位!$A$2:$E$38,3,FALSE)+VLOOKUP($E246&amp;$C246,生产方式定位!$F$3:$J$38,3,FALSE),0)</f>
        <v>40</v>
      </c>
      <c r="X246" s="15">
        <f>IFERROR(VLOOKUP($D246&amp;$C246,生产方式定位!$A$2:$E$38,5,FALSE)+VLOOKUP($E246&amp;$C246,生产方式定位!$F$3:$J$38,5,FALSE),"错误")</f>
        <v>0</v>
      </c>
      <c r="Y246" s="26" t="str">
        <f t="shared" si="80"/>
        <v>魔导引擎*1,煤*4</v>
      </c>
      <c r="Z246" s="36" t="str">
        <f t="shared" si="81"/>
        <v>劳工*-1448,工程师*121</v>
      </c>
      <c r="AA246" s="36" t="str">
        <f t="shared" si="82"/>
        <v/>
      </c>
      <c r="AB246" s="27" t="str">
        <f t="shared" si="83"/>
        <v>-100%</v>
      </c>
      <c r="AC246" s="2">
        <f t="shared" si="84"/>
        <v>-240</v>
      </c>
      <c r="AD246" s="37">
        <f t="shared" si="85"/>
        <v>5</v>
      </c>
      <c r="AE246" t="str">
        <f t="shared" si="86"/>
        <v>魔导引擎*1</v>
      </c>
      <c r="AF246" t="str">
        <f t="shared" si="87"/>
        <v>煤*4</v>
      </c>
      <c r="AG246" t="str">
        <f t="shared" si="88"/>
        <v>劳工*-1448</v>
      </c>
      <c r="AH246" t="str">
        <f t="shared" si="89"/>
        <v>工程师*121</v>
      </c>
      <c r="AI246" t="str">
        <f t="shared" si="90"/>
        <v/>
      </c>
      <c r="AJ246" t="str">
        <f t="shared" si="91"/>
        <v/>
      </c>
      <c r="AK246" t="str">
        <f t="shared" si="92"/>
        <v/>
      </c>
      <c r="AL246">
        <f>IFERROR(ROUND(L246*(G246/$AU246)/VLOOKUP(F246,商品!$A$4:$B$60,2,FALSE),0),"")</f>
        <v>1</v>
      </c>
      <c r="AM246">
        <f>IFERROR(ROUND(L246*(I246/$AU246)/VLOOKUP(H246,商品!$A$4:$B$60,2,FALSE),0),"")</f>
        <v>4</v>
      </c>
      <c r="AN246">
        <f>IFERROR(ROUND(L246*(J246/$AU246)/VLOOKUP("运力",商品!$A$4:$B$60,2,FALSE),0),0)</f>
        <v>0</v>
      </c>
      <c r="AO246">
        <f>IFERROR(ROUND(L246*(K246/$AU246)/VLOOKUP("交易",商品!$A$4:$B$60,2,FALSE),0),0)</f>
        <v>0</v>
      </c>
      <c r="AP246">
        <f>IFERROR(ROUND(S246*(N246/$AV246)/VLOOKUP(M246,职业!$A$4:$G$16,4,FALSE),0),"")</f>
        <v>-1448</v>
      </c>
      <c r="AQ246">
        <f>IFERROR(ROUND(S246*(P246/$AV246)/VLOOKUP(O246,职业!$A$4:$G$16,4,FALSE),0),"")</f>
        <v>121</v>
      </c>
      <c r="AR246" t="str">
        <f>IFERROR(ROUND(S246*(R246/$AV246)/VLOOKUP(Q246,职业!$A$4:$G$16,4,FALSE),0),"")</f>
        <v/>
      </c>
      <c r="AS246" t="str">
        <f>IFERROR(ROUND(X246*(U246/$AW246)/VLOOKUP(T246,商品!$A$4:$B$60,2,FALSE),0),"")</f>
        <v/>
      </c>
      <c r="AT246" t="str">
        <f>IFERROR(ROUND(X246*(W246/$AW246)/VLOOKUP(V246,商品!$A$4:$B$60,2,FALSE),0),"")</f>
        <v/>
      </c>
      <c r="AU246">
        <f t="shared" si="93"/>
        <v>15</v>
      </c>
      <c r="AV246">
        <f t="shared" si="94"/>
        <v>25</v>
      </c>
      <c r="AW246">
        <f t="shared" si="95"/>
        <v>0</v>
      </c>
    </row>
    <row r="247" spans="1:49" ht="19.95" customHeight="1" x14ac:dyDescent="0.25">
      <c r="A247" s="16" t="s">
        <v>514</v>
      </c>
      <c r="C247" s="16">
        <v>1</v>
      </c>
      <c r="D247" s="23" t="s">
        <v>174</v>
      </c>
      <c r="E247" s="23" t="s">
        <v>177</v>
      </c>
      <c r="L247" s="16">
        <f>IFERROR(VLOOKUP($D247&amp;$C247,生产方式定位!$A$2:$E$38,2,FALSE)+VLOOKUP($E247&amp;$C247,生产方式定位!$F$3:$J$38,2,FALSE),0)</f>
        <v>0</v>
      </c>
      <c r="S247" s="16">
        <f>IFERROR(VLOOKUP($D247&amp;$C247,生产方式定位!$A$2:$E$38,3,FALSE)+VLOOKUP($E247&amp;$C247,生产方式定位!$F$3:$J$38,3,FALSE),0)</f>
        <v>0</v>
      </c>
      <c r="X247" s="16">
        <f>IFERROR(VLOOKUP($D247&amp;$C247,生产方式定位!$A$2:$E$38,5,FALSE)+VLOOKUP($E247&amp;$C247,生产方式定位!$F$3:$J$38,5,FALSE),"错误")</f>
        <v>0</v>
      </c>
      <c r="Y247" s="26" t="str">
        <f t="shared" si="80"/>
        <v/>
      </c>
      <c r="Z247" s="36" t="str">
        <f t="shared" si="81"/>
        <v/>
      </c>
      <c r="AA247" s="36" t="str">
        <f t="shared" si="82"/>
        <v/>
      </c>
      <c r="AB247" s="27" t="str">
        <f t="shared" si="83"/>
        <v/>
      </c>
      <c r="AC247" s="2" t="str">
        <f t="shared" si="84"/>
        <v/>
      </c>
      <c r="AD247" s="38">
        <f t="shared" si="85"/>
        <v>1</v>
      </c>
      <c r="AE247" t="str">
        <f t="shared" si="86"/>
        <v/>
      </c>
      <c r="AF247" t="str">
        <f t="shared" si="87"/>
        <v/>
      </c>
      <c r="AG247" t="str">
        <f t="shared" si="88"/>
        <v/>
      </c>
      <c r="AH247" t="str">
        <f t="shared" si="89"/>
        <v/>
      </c>
      <c r="AI247" t="str">
        <f t="shared" si="90"/>
        <v/>
      </c>
      <c r="AJ247" t="str">
        <f t="shared" si="91"/>
        <v/>
      </c>
      <c r="AK247" t="str">
        <f t="shared" si="92"/>
        <v/>
      </c>
      <c r="AL247" t="str">
        <f>IFERROR(ROUND(L247*(G247/$AU247)/VLOOKUP(F247,商品!$A$4:$B$60,2,FALSE),0),"")</f>
        <v/>
      </c>
      <c r="AM247" t="str">
        <f>IFERROR(ROUND(L247*(I247/$AU247)/VLOOKUP(H247,商品!$A$4:$B$60,2,FALSE),0),"")</f>
        <v/>
      </c>
      <c r="AN247">
        <f>IFERROR(ROUND(L247*(J247/$AU247)/VLOOKUP("运力",商品!$A$4:$B$60,2,FALSE),0),0)</f>
        <v>0</v>
      </c>
      <c r="AO247">
        <f>IFERROR(ROUND(L247*(K247/$AU247)/VLOOKUP("交易",商品!$A$4:$B$60,2,FALSE),0),0)</f>
        <v>0</v>
      </c>
      <c r="AP247" t="str">
        <f>IFERROR(ROUND(S247*(N247/$AV247)/VLOOKUP(M247,职业!$A$4:$G$16,4,FALSE),0),"")</f>
        <v/>
      </c>
      <c r="AQ247" t="str">
        <f>IFERROR(ROUND(S247*(P247/$AV247)/VLOOKUP(O247,职业!$A$4:$G$16,4,FALSE),0),"")</f>
        <v/>
      </c>
      <c r="AR247" t="str">
        <f>IFERROR(ROUND(S247*(R247/$AV247)/VLOOKUP(Q247,职业!$A$4:$G$16,4,FALSE),0),"")</f>
        <v/>
      </c>
      <c r="AS247" t="str">
        <f>IFERROR(ROUND(X247*(U247/$AW247)/VLOOKUP(T247,商品!$A$4:$B$60,2,FALSE),0),"")</f>
        <v/>
      </c>
      <c r="AT247" t="str">
        <f>IFERROR(ROUND(X247*(W247/$AW247)/VLOOKUP(V247,商品!$A$4:$B$60,2,FALSE),0),"")</f>
        <v/>
      </c>
      <c r="AU247">
        <f t="shared" si="93"/>
        <v>0</v>
      </c>
      <c r="AV247">
        <f t="shared" si="94"/>
        <v>0</v>
      </c>
      <c r="AW247">
        <f t="shared" si="95"/>
        <v>0</v>
      </c>
    </row>
    <row r="248" spans="1:49" ht="19.95" customHeight="1" x14ac:dyDescent="0.25">
      <c r="A248" s="16" t="s">
        <v>514</v>
      </c>
      <c r="C248" s="16">
        <v>2</v>
      </c>
      <c r="D248" s="23" t="s">
        <v>174</v>
      </c>
      <c r="E248" s="23" t="s">
        <v>177</v>
      </c>
      <c r="F248" s="2" t="s">
        <v>42</v>
      </c>
      <c r="G248" s="2">
        <v>5</v>
      </c>
      <c r="H248" s="2" t="s">
        <v>20</v>
      </c>
      <c r="I248" s="2">
        <v>10</v>
      </c>
      <c r="L248" s="16">
        <f>IFERROR(VLOOKUP($D248&amp;$C248,生产方式定位!$A$2:$E$38,2,FALSE)+VLOOKUP($E248&amp;$C248,生产方式定位!$F$3:$J$38,2,FALSE),0)</f>
        <v>105</v>
      </c>
      <c r="M248" s="2" t="s">
        <v>80</v>
      </c>
      <c r="N248" s="2">
        <v>-20</v>
      </c>
      <c r="O248" s="2" t="s">
        <v>74</v>
      </c>
      <c r="P248" s="2">
        <v>9</v>
      </c>
      <c r="Q248" s="2" t="s">
        <v>73</v>
      </c>
      <c r="R248" s="2">
        <v>-5</v>
      </c>
      <c r="S248" s="16">
        <f>IFERROR(VLOOKUP($D248&amp;$C248,生产方式定位!$A$2:$E$38,3,FALSE)+VLOOKUP($E248&amp;$C248,生产方式定位!$F$3:$J$38,3,FALSE),0)</f>
        <v>15</v>
      </c>
      <c r="X248" s="16">
        <f>IFERROR(VLOOKUP($D248&amp;$C248,生产方式定位!$A$2:$E$38,5,FALSE)+VLOOKUP($E248&amp;$C248,生产方式定位!$F$3:$J$38,5,FALSE),"错误")</f>
        <v>0</v>
      </c>
      <c r="Y248" s="26" t="str">
        <f t="shared" si="80"/>
        <v>魔偶*1,灵能水晶*2</v>
      </c>
      <c r="Z248" s="36" t="str">
        <f t="shared" si="81"/>
        <v>劳工*-399,法士*45,工程师*-33</v>
      </c>
      <c r="AA248" s="36" t="str">
        <f t="shared" si="82"/>
        <v/>
      </c>
      <c r="AB248" s="27" t="str">
        <f t="shared" si="83"/>
        <v>-100%</v>
      </c>
      <c r="AC248" s="2">
        <f t="shared" si="84"/>
        <v>-120</v>
      </c>
      <c r="AD248" s="38">
        <f t="shared" si="85"/>
        <v>2</v>
      </c>
      <c r="AE248" t="str">
        <f t="shared" si="86"/>
        <v>魔偶*1</v>
      </c>
      <c r="AF248" t="str">
        <f t="shared" si="87"/>
        <v>灵能水晶*2</v>
      </c>
      <c r="AG248" t="str">
        <f t="shared" si="88"/>
        <v>劳工*-399</v>
      </c>
      <c r="AH248" t="str">
        <f t="shared" si="89"/>
        <v>法士*45</v>
      </c>
      <c r="AI248" t="str">
        <f t="shared" si="90"/>
        <v>工程师*-33</v>
      </c>
      <c r="AJ248" t="str">
        <f t="shared" si="91"/>
        <v/>
      </c>
      <c r="AK248" t="str">
        <f t="shared" si="92"/>
        <v/>
      </c>
      <c r="AL248">
        <f>IFERROR(ROUND(L248*(G248/$AU248)/VLOOKUP(F248,商品!$A$4:$B$60,2,FALSE),0),"")</f>
        <v>1</v>
      </c>
      <c r="AM248">
        <f>IFERROR(ROUND(L248*(I248/$AU248)/VLOOKUP(H248,商品!$A$4:$B$60,2,FALSE),0),"")</f>
        <v>2</v>
      </c>
      <c r="AN248">
        <f>IFERROR(ROUND(L248*(J248/$AU248)/VLOOKUP("运力",商品!$A$4:$B$60,2,FALSE),0),0)</f>
        <v>0</v>
      </c>
      <c r="AO248">
        <f>IFERROR(ROUND(L248*(K248/$AU248)/VLOOKUP("交易",商品!$A$4:$B$60,2,FALSE),0),0)</f>
        <v>0</v>
      </c>
      <c r="AP248">
        <f>IFERROR(ROUND(S248*(N248/$AV248)/VLOOKUP(M248,职业!$A$4:$G$16,4,FALSE),0),"")</f>
        <v>-399</v>
      </c>
      <c r="AQ248">
        <f>IFERROR(ROUND(S248*(P248/$AV248)/VLOOKUP(O248,职业!$A$4:$G$16,4,FALSE),0),"")</f>
        <v>45</v>
      </c>
      <c r="AR248">
        <f>IFERROR(ROUND(S248*(R248/$AV248)/VLOOKUP(Q248,职业!$A$4:$G$16,4,FALSE),0),"")</f>
        <v>-33</v>
      </c>
      <c r="AS248" t="str">
        <f>IFERROR(ROUND(X248*(U248/$AW248)/VLOOKUP(T248,商品!$A$4:$B$60,2,FALSE),0),"")</f>
        <v/>
      </c>
      <c r="AT248" t="str">
        <f>IFERROR(ROUND(X248*(W248/$AW248)/VLOOKUP(V248,商品!$A$4:$B$60,2,FALSE),0),"")</f>
        <v/>
      </c>
      <c r="AU248">
        <f t="shared" si="93"/>
        <v>15</v>
      </c>
      <c r="AV248">
        <f t="shared" si="94"/>
        <v>34</v>
      </c>
      <c r="AW248">
        <f t="shared" si="95"/>
        <v>0</v>
      </c>
    </row>
    <row r="249" spans="1:49" ht="19.95" customHeight="1" x14ac:dyDescent="0.25">
      <c r="A249" s="16" t="s">
        <v>514</v>
      </c>
      <c r="C249" s="16">
        <v>3</v>
      </c>
      <c r="D249" s="23" t="s">
        <v>174</v>
      </c>
      <c r="E249" s="23" t="s">
        <v>177</v>
      </c>
      <c r="F249" s="2" t="s">
        <v>42</v>
      </c>
      <c r="G249" s="2">
        <v>5</v>
      </c>
      <c r="H249" s="2" t="s">
        <v>20</v>
      </c>
      <c r="I249" s="2">
        <v>10</v>
      </c>
      <c r="L249" s="16">
        <f>IFERROR(VLOOKUP($D249&amp;$C249,生产方式定位!$A$2:$E$38,2,FALSE)+VLOOKUP($E249&amp;$C249,生产方式定位!$F$3:$J$38,2,FALSE),0)</f>
        <v>210</v>
      </c>
      <c r="M249" s="2" t="s">
        <v>80</v>
      </c>
      <c r="N249" s="2">
        <v>-20</v>
      </c>
      <c r="O249" s="2" t="s">
        <v>74</v>
      </c>
      <c r="P249" s="2">
        <v>9</v>
      </c>
      <c r="Q249" s="2" t="s">
        <v>73</v>
      </c>
      <c r="R249" s="2">
        <v>-5</v>
      </c>
      <c r="S249" s="16">
        <f>IFERROR(VLOOKUP($D249&amp;$C249,生产方式定位!$A$2:$E$38,3,FALSE)+VLOOKUP($E249&amp;$C249,生产方式定位!$F$3:$J$38,3,FALSE),0)</f>
        <v>30</v>
      </c>
      <c r="X249" s="16">
        <f>IFERROR(VLOOKUP($D249&amp;$C249,生产方式定位!$A$2:$E$38,5,FALSE)+VLOOKUP($E249&amp;$C249,生产方式定位!$F$3:$J$38,5,FALSE),"错误")</f>
        <v>0</v>
      </c>
      <c r="Y249" s="26" t="str">
        <f t="shared" si="80"/>
        <v>魔偶*2,灵能水晶*5</v>
      </c>
      <c r="Z249" s="36" t="str">
        <f t="shared" si="81"/>
        <v>劳工*-799,法士*90,工程师*-67</v>
      </c>
      <c r="AA249" s="36" t="str">
        <f t="shared" si="82"/>
        <v/>
      </c>
      <c r="AB249" s="27" t="str">
        <f t="shared" si="83"/>
        <v>-100%</v>
      </c>
      <c r="AC249" s="2">
        <f t="shared" si="84"/>
        <v>-240</v>
      </c>
      <c r="AD249" s="38">
        <f t="shared" si="85"/>
        <v>3</v>
      </c>
      <c r="AE249" t="str">
        <f t="shared" si="86"/>
        <v>魔偶*2</v>
      </c>
      <c r="AF249" t="str">
        <f t="shared" si="87"/>
        <v>灵能水晶*5</v>
      </c>
      <c r="AG249" t="str">
        <f t="shared" si="88"/>
        <v>劳工*-799</v>
      </c>
      <c r="AH249" t="str">
        <f t="shared" si="89"/>
        <v>法士*90</v>
      </c>
      <c r="AI249" t="str">
        <f t="shared" si="90"/>
        <v>工程师*-67</v>
      </c>
      <c r="AJ249" t="str">
        <f t="shared" si="91"/>
        <v/>
      </c>
      <c r="AK249" t="str">
        <f t="shared" si="92"/>
        <v/>
      </c>
      <c r="AL249">
        <f>IFERROR(ROUND(L249*(G249/$AU249)/VLOOKUP(F249,商品!$A$4:$B$60,2,FALSE),0),"")</f>
        <v>2</v>
      </c>
      <c r="AM249">
        <f>IFERROR(ROUND(L249*(I249/$AU249)/VLOOKUP(H249,商品!$A$4:$B$60,2,FALSE),0),"")</f>
        <v>5</v>
      </c>
      <c r="AN249">
        <f>IFERROR(ROUND(L249*(J249/$AU249)/VLOOKUP("运力",商品!$A$4:$B$60,2,FALSE),0),0)</f>
        <v>0</v>
      </c>
      <c r="AO249">
        <f>IFERROR(ROUND(L249*(K249/$AU249)/VLOOKUP("交易",商品!$A$4:$B$60,2,FALSE),0),0)</f>
        <v>0</v>
      </c>
      <c r="AP249">
        <f>IFERROR(ROUND(S249*(N249/$AV249)/VLOOKUP(M249,职业!$A$4:$G$16,4,FALSE),0),"")</f>
        <v>-799</v>
      </c>
      <c r="AQ249">
        <f>IFERROR(ROUND(S249*(P249/$AV249)/VLOOKUP(O249,职业!$A$4:$G$16,4,FALSE),0),"")</f>
        <v>90</v>
      </c>
      <c r="AR249">
        <f>IFERROR(ROUND(S249*(R249/$AV249)/VLOOKUP(Q249,职业!$A$4:$G$16,4,FALSE),0),"")</f>
        <v>-67</v>
      </c>
      <c r="AS249" t="str">
        <f>IFERROR(ROUND(X249*(U249/$AW249)/VLOOKUP(T249,商品!$A$4:$B$60,2,FALSE),0),"")</f>
        <v/>
      </c>
      <c r="AT249" t="str">
        <f>IFERROR(ROUND(X249*(W249/$AW249)/VLOOKUP(V249,商品!$A$4:$B$60,2,FALSE),0),"")</f>
        <v/>
      </c>
      <c r="AU249">
        <f t="shared" si="93"/>
        <v>15</v>
      </c>
      <c r="AV249">
        <f t="shared" si="94"/>
        <v>34</v>
      </c>
      <c r="AW249">
        <f t="shared" si="95"/>
        <v>0</v>
      </c>
    </row>
    <row r="250" spans="1:49" ht="19.95" customHeight="1" x14ac:dyDescent="0.25">
      <c r="A250" s="16" t="s">
        <v>514</v>
      </c>
      <c r="C250" s="16">
        <v>4</v>
      </c>
      <c r="D250" s="23" t="s">
        <v>174</v>
      </c>
      <c r="E250" s="23" t="s">
        <v>177</v>
      </c>
      <c r="F250" s="2" t="s">
        <v>42</v>
      </c>
      <c r="G250" s="2">
        <v>5</v>
      </c>
      <c r="H250" s="2" t="s">
        <v>20</v>
      </c>
      <c r="I250" s="2">
        <v>10</v>
      </c>
      <c r="L250" s="16">
        <f>IFERROR(VLOOKUP($D250&amp;$C250,生产方式定位!$A$2:$E$38,2,FALSE)+VLOOKUP($E250&amp;$C250,生产方式定位!$F$3:$J$38,2,FALSE),0)</f>
        <v>315</v>
      </c>
      <c r="M250" s="2" t="s">
        <v>80</v>
      </c>
      <c r="N250" s="2">
        <v>-20</v>
      </c>
      <c r="O250" s="2" t="s">
        <v>74</v>
      </c>
      <c r="P250" s="2">
        <v>8</v>
      </c>
      <c r="Q250" s="2" t="s">
        <v>73</v>
      </c>
      <c r="R250" s="2">
        <v>-5</v>
      </c>
      <c r="S250" s="16">
        <f>IFERROR(VLOOKUP($D250&amp;$C250,生产方式定位!$A$2:$E$38,3,FALSE)+VLOOKUP($E250&amp;$C250,生产方式定位!$F$3:$J$38,3,FALSE),0)</f>
        <v>45</v>
      </c>
      <c r="X250" s="16">
        <f>IFERROR(VLOOKUP($D250&amp;$C250,生产方式定位!$A$2:$E$38,5,FALSE)+VLOOKUP($E250&amp;$C250,生产方式定位!$F$3:$J$38,5,FALSE),"错误")</f>
        <v>0</v>
      </c>
      <c r="Y250" s="26" t="str">
        <f t="shared" si="80"/>
        <v>魔偶*3,灵能水晶*7</v>
      </c>
      <c r="Z250" s="36" t="str">
        <f t="shared" si="81"/>
        <v>劳工*-1234,法士*123,工程师*-103</v>
      </c>
      <c r="AA250" s="36" t="str">
        <f t="shared" si="82"/>
        <v/>
      </c>
      <c r="AB250" s="27" t="str">
        <f t="shared" si="83"/>
        <v>-100%</v>
      </c>
      <c r="AC250" s="2">
        <f t="shared" si="84"/>
        <v>-360</v>
      </c>
      <c r="AD250" s="38">
        <f t="shared" si="85"/>
        <v>4</v>
      </c>
      <c r="AE250" t="str">
        <f t="shared" si="86"/>
        <v>魔偶*3</v>
      </c>
      <c r="AF250" t="str">
        <f t="shared" si="87"/>
        <v>灵能水晶*7</v>
      </c>
      <c r="AG250" t="str">
        <f t="shared" si="88"/>
        <v>劳工*-1234</v>
      </c>
      <c r="AH250" t="str">
        <f t="shared" si="89"/>
        <v>法士*123</v>
      </c>
      <c r="AI250" t="str">
        <f t="shared" si="90"/>
        <v>工程师*-103</v>
      </c>
      <c r="AJ250" t="str">
        <f t="shared" si="91"/>
        <v/>
      </c>
      <c r="AK250" t="str">
        <f t="shared" si="92"/>
        <v/>
      </c>
      <c r="AL250">
        <f>IFERROR(ROUND(L250*(G250/$AU250)/VLOOKUP(F250,商品!$A$4:$B$60,2,FALSE),0),"")</f>
        <v>3</v>
      </c>
      <c r="AM250">
        <f>IFERROR(ROUND(L250*(I250/$AU250)/VLOOKUP(H250,商品!$A$4:$B$60,2,FALSE),0),"")</f>
        <v>7</v>
      </c>
      <c r="AN250">
        <f>IFERROR(ROUND(L250*(J250/$AU250)/VLOOKUP("运力",商品!$A$4:$B$60,2,FALSE),0),0)</f>
        <v>0</v>
      </c>
      <c r="AO250">
        <f>IFERROR(ROUND(L250*(K250/$AU250)/VLOOKUP("交易",商品!$A$4:$B$60,2,FALSE),0),0)</f>
        <v>0</v>
      </c>
      <c r="AP250">
        <f>IFERROR(ROUND(S250*(N250/$AV250)/VLOOKUP(M250,职业!$A$4:$G$16,4,FALSE),0),"")</f>
        <v>-1234</v>
      </c>
      <c r="AQ250">
        <f>IFERROR(ROUND(S250*(P250/$AV250)/VLOOKUP(O250,职业!$A$4:$G$16,4,FALSE),0),"")</f>
        <v>123</v>
      </c>
      <c r="AR250">
        <f>IFERROR(ROUND(S250*(R250/$AV250)/VLOOKUP(Q250,职业!$A$4:$G$16,4,FALSE),0),"")</f>
        <v>-103</v>
      </c>
      <c r="AS250" t="str">
        <f>IFERROR(ROUND(X250*(U250/$AW250)/VLOOKUP(T250,商品!$A$4:$B$60,2,FALSE),0),"")</f>
        <v/>
      </c>
      <c r="AT250" t="str">
        <f>IFERROR(ROUND(X250*(W250/$AW250)/VLOOKUP(V250,商品!$A$4:$B$60,2,FALSE),0),"")</f>
        <v/>
      </c>
      <c r="AU250">
        <f t="shared" si="93"/>
        <v>15</v>
      </c>
      <c r="AV250">
        <f t="shared" si="94"/>
        <v>33</v>
      </c>
      <c r="AW250">
        <f t="shared" si="95"/>
        <v>0</v>
      </c>
    </row>
    <row r="251" spans="1:49" ht="19.95" customHeight="1" x14ac:dyDescent="0.25">
      <c r="A251" s="16" t="s">
        <v>514</v>
      </c>
      <c r="C251" s="16">
        <v>5</v>
      </c>
      <c r="D251" s="23" t="s">
        <v>174</v>
      </c>
      <c r="E251" s="23" t="s">
        <v>177</v>
      </c>
      <c r="F251" s="2" t="s">
        <v>42</v>
      </c>
      <c r="G251" s="2">
        <v>5</v>
      </c>
      <c r="H251" s="2" t="s">
        <v>20</v>
      </c>
      <c r="I251" s="2">
        <v>10</v>
      </c>
      <c r="L251" s="16">
        <f>IFERROR(VLOOKUP($D251&amp;$C251,生产方式定位!$A$2:$E$38,2,FALSE)+VLOOKUP($E251&amp;$C251,生产方式定位!$F$3:$J$38,2,FALSE),0)</f>
        <v>420</v>
      </c>
      <c r="M251" s="2" t="s">
        <v>80</v>
      </c>
      <c r="N251" s="2">
        <v>-20</v>
      </c>
      <c r="O251" s="2" t="s">
        <v>74</v>
      </c>
      <c r="P251" s="2">
        <v>9</v>
      </c>
      <c r="Q251" s="2" t="s">
        <v>73</v>
      </c>
      <c r="R251" s="2">
        <v>-5</v>
      </c>
      <c r="S251" s="16">
        <f>IFERROR(VLOOKUP($D251&amp;$C251,生产方式定位!$A$2:$E$38,3,FALSE)+VLOOKUP($E251&amp;$C251,生产方式定位!$F$3:$J$38,3,FALSE),0)</f>
        <v>60</v>
      </c>
      <c r="X251" s="16">
        <f>IFERROR(VLOOKUP($D251&amp;$C251,生产方式定位!$A$2:$E$38,5,FALSE)+VLOOKUP($E251&amp;$C251,生产方式定位!$F$3:$J$38,5,FALSE),"错误")</f>
        <v>0</v>
      </c>
      <c r="Y251" s="26" t="str">
        <f t="shared" si="80"/>
        <v>魔偶*4,灵能水晶*9</v>
      </c>
      <c r="Z251" s="36" t="str">
        <f t="shared" si="81"/>
        <v>劳工*-1597,法士*180,工程师*-133</v>
      </c>
      <c r="AA251" s="36" t="str">
        <f t="shared" si="82"/>
        <v/>
      </c>
      <c r="AB251" s="27" t="str">
        <f t="shared" si="83"/>
        <v>-100%</v>
      </c>
      <c r="AC251" s="2">
        <f t="shared" si="84"/>
        <v>-480</v>
      </c>
      <c r="AD251" s="38">
        <f t="shared" si="85"/>
        <v>5</v>
      </c>
      <c r="AE251" t="str">
        <f t="shared" si="86"/>
        <v>魔偶*4</v>
      </c>
      <c r="AF251" t="str">
        <f t="shared" si="87"/>
        <v>灵能水晶*9</v>
      </c>
      <c r="AG251" t="str">
        <f t="shared" si="88"/>
        <v>劳工*-1597</v>
      </c>
      <c r="AH251" t="str">
        <f t="shared" si="89"/>
        <v>法士*180</v>
      </c>
      <c r="AI251" t="str">
        <f t="shared" si="90"/>
        <v>工程师*-133</v>
      </c>
      <c r="AJ251" t="str">
        <f t="shared" si="91"/>
        <v/>
      </c>
      <c r="AK251" t="str">
        <f t="shared" si="92"/>
        <v/>
      </c>
      <c r="AL251">
        <f>IFERROR(ROUND(L251*(G251/$AU251)/VLOOKUP(F251,商品!$A$4:$B$60,2,FALSE),0),"")</f>
        <v>4</v>
      </c>
      <c r="AM251">
        <f>IFERROR(ROUND(L251*(I251/$AU251)/VLOOKUP(H251,商品!$A$4:$B$60,2,FALSE),0),"")</f>
        <v>9</v>
      </c>
      <c r="AN251">
        <f>IFERROR(ROUND(L251*(J251/$AU251)/VLOOKUP("运力",商品!$A$4:$B$60,2,FALSE),0),0)</f>
        <v>0</v>
      </c>
      <c r="AO251">
        <f>IFERROR(ROUND(L251*(K251/$AU251)/VLOOKUP("交易",商品!$A$4:$B$60,2,FALSE),0),0)</f>
        <v>0</v>
      </c>
      <c r="AP251">
        <f>IFERROR(ROUND(S251*(N251/$AV251)/VLOOKUP(M251,职业!$A$4:$G$16,4,FALSE),0),"")</f>
        <v>-1597</v>
      </c>
      <c r="AQ251">
        <f>IFERROR(ROUND(S251*(P251/$AV251)/VLOOKUP(O251,职业!$A$4:$G$16,4,FALSE),0),"")</f>
        <v>180</v>
      </c>
      <c r="AR251">
        <f>IFERROR(ROUND(S251*(R251/$AV251)/VLOOKUP(Q251,职业!$A$4:$G$16,4,FALSE),0),"")</f>
        <v>-133</v>
      </c>
      <c r="AS251" t="str">
        <f>IFERROR(ROUND(X251*(U251/$AW251)/VLOOKUP(T251,商品!$A$4:$B$60,2,FALSE),0),"")</f>
        <v/>
      </c>
      <c r="AT251" t="str">
        <f>IFERROR(ROUND(X251*(W251/$AW251)/VLOOKUP(V251,商品!$A$4:$B$60,2,FALSE),0),"")</f>
        <v/>
      </c>
      <c r="AU251">
        <f t="shared" si="93"/>
        <v>15</v>
      </c>
      <c r="AV251">
        <f t="shared" si="94"/>
        <v>34</v>
      </c>
      <c r="AW251">
        <f t="shared" si="95"/>
        <v>0</v>
      </c>
    </row>
    <row r="252" spans="1:49" ht="19.95" customHeight="1" x14ac:dyDescent="0.25">
      <c r="A252" s="15" t="s">
        <v>231</v>
      </c>
      <c r="C252" s="15">
        <v>1</v>
      </c>
      <c r="D252" s="23" t="s">
        <v>174</v>
      </c>
      <c r="E252" s="23" t="s">
        <v>179</v>
      </c>
      <c r="L252" s="15">
        <f>IFERROR(VLOOKUP($D252&amp;$C252,生产方式定位!$A$2:$E$38,2,FALSE)+VLOOKUP($E252&amp;$C252,生产方式定位!$F$3:$J$38,2,FALSE),0)</f>
        <v>0</v>
      </c>
      <c r="S252" s="15">
        <f>IFERROR(VLOOKUP($D252&amp;$C252,生产方式定位!$A$2:$E$38,3,FALSE)+VLOOKUP($E252&amp;$C252,生产方式定位!$F$3:$J$38,3,FALSE),0)</f>
        <v>100</v>
      </c>
      <c r="X252" s="15">
        <f>IFERROR(VLOOKUP($D252&amp;$C252,生产方式定位!$A$2:$E$38,5,FALSE)+VLOOKUP($E252&amp;$C252,生产方式定位!$F$3:$J$38,5,FALSE),"错误")</f>
        <v>100</v>
      </c>
      <c r="Y252" s="26" t="str">
        <f t="shared" si="80"/>
        <v/>
      </c>
      <c r="Z252" s="36" t="str">
        <f t="shared" si="81"/>
        <v/>
      </c>
      <c r="AA252" s="36" t="str">
        <f t="shared" si="82"/>
        <v/>
      </c>
      <c r="AB252" s="27" t="str">
        <f t="shared" si="83"/>
        <v/>
      </c>
      <c r="AC252" s="2" t="str">
        <f t="shared" si="84"/>
        <v/>
      </c>
      <c r="AD252" s="37">
        <f t="shared" si="85"/>
        <v>1</v>
      </c>
      <c r="AE252" t="str">
        <f t="shared" si="86"/>
        <v/>
      </c>
      <c r="AF252" t="str">
        <f t="shared" si="87"/>
        <v/>
      </c>
      <c r="AG252" t="str">
        <f t="shared" si="88"/>
        <v/>
      </c>
      <c r="AH252" t="str">
        <f t="shared" si="89"/>
        <v/>
      </c>
      <c r="AI252" t="str">
        <f t="shared" si="90"/>
        <v/>
      </c>
      <c r="AJ252" t="str">
        <f t="shared" si="91"/>
        <v/>
      </c>
      <c r="AK252" t="str">
        <f t="shared" si="92"/>
        <v/>
      </c>
      <c r="AL252" t="str">
        <f>IFERROR(ROUND(L252*(G252/$AU252)/VLOOKUP(F252,商品!$A$4:$B$60,2,FALSE),0),"")</f>
        <v/>
      </c>
      <c r="AM252" t="str">
        <f>IFERROR(ROUND(L252*(I252/$AU252)/VLOOKUP(H252,商品!$A$4:$B$60,2,FALSE),0),"")</f>
        <v/>
      </c>
      <c r="AN252">
        <f>IFERROR(ROUND(L252*(J252/$AU252)/VLOOKUP("运力",商品!$A$4:$B$60,2,FALSE),0),0)</f>
        <v>0</v>
      </c>
      <c r="AO252">
        <f>IFERROR(ROUND(L252*(K252/$AU252)/VLOOKUP("交易",商品!$A$4:$B$60,2,FALSE),0),0)</f>
        <v>0</v>
      </c>
      <c r="AP252" t="str">
        <f>IFERROR(ROUND(S252*(N252/$AV252)/VLOOKUP(M252,职业!$A$4:$G$16,4,FALSE),0),"")</f>
        <v/>
      </c>
      <c r="AQ252" t="str">
        <f>IFERROR(ROUND(S252*(P252/$AV252)/VLOOKUP(O252,职业!$A$4:$G$16,4,FALSE),0),"")</f>
        <v/>
      </c>
      <c r="AR252" t="str">
        <f>IFERROR(ROUND(S252*(R252/$AV252)/VLOOKUP(Q252,职业!$A$4:$G$16,4,FALSE),0),"")</f>
        <v/>
      </c>
      <c r="AS252" t="str">
        <f>IFERROR(ROUND(X252*(U252/$AW252)/VLOOKUP(T252,商品!$A$4:$B$60,2,FALSE),0),"")</f>
        <v/>
      </c>
      <c r="AT252" t="str">
        <f>IFERROR(ROUND(X252*(W252/$AW252)/VLOOKUP(V252,商品!$A$4:$B$60,2,FALSE),0),"")</f>
        <v/>
      </c>
      <c r="AU252">
        <f t="shared" si="93"/>
        <v>0</v>
      </c>
      <c r="AV252">
        <f t="shared" si="94"/>
        <v>0</v>
      </c>
      <c r="AW252">
        <f t="shared" si="95"/>
        <v>0</v>
      </c>
    </row>
    <row r="253" spans="1:49" ht="19.95" customHeight="1" x14ac:dyDescent="0.25">
      <c r="A253" s="15" t="s">
        <v>231</v>
      </c>
      <c r="C253" s="15">
        <v>2</v>
      </c>
      <c r="D253" s="23" t="s">
        <v>174</v>
      </c>
      <c r="E253" s="23" t="s">
        <v>179</v>
      </c>
      <c r="L253" s="15">
        <f>IFERROR(VLOOKUP($D253&amp;$C253,生产方式定位!$A$2:$E$38,2,FALSE)+VLOOKUP($E253&amp;$C253,生产方式定位!$F$3:$J$38,2,FALSE),0)</f>
        <v>0</v>
      </c>
      <c r="S253" s="15">
        <f>IFERROR(VLOOKUP($D253&amp;$C253,生产方式定位!$A$2:$E$38,3,FALSE)+VLOOKUP($E253&amp;$C253,生产方式定位!$F$3:$J$38,3,FALSE),0)</f>
        <v>100</v>
      </c>
      <c r="X253" s="15">
        <f>IFERROR(VLOOKUP($D253&amp;$C253,生产方式定位!$A$2:$E$38,5,FALSE)+VLOOKUP($E253&amp;$C253,生产方式定位!$F$3:$J$38,5,FALSE),"错误")</f>
        <v>100</v>
      </c>
      <c r="Y253" s="26" t="str">
        <f t="shared" si="80"/>
        <v/>
      </c>
      <c r="Z253" s="36" t="str">
        <f t="shared" si="81"/>
        <v/>
      </c>
      <c r="AA253" s="36" t="str">
        <f t="shared" si="82"/>
        <v/>
      </c>
      <c r="AB253" s="27" t="str">
        <f t="shared" si="83"/>
        <v/>
      </c>
      <c r="AC253" s="2" t="str">
        <f t="shared" si="84"/>
        <v/>
      </c>
      <c r="AD253" s="37">
        <f t="shared" si="85"/>
        <v>2</v>
      </c>
      <c r="AE253" t="str">
        <f t="shared" si="86"/>
        <v/>
      </c>
      <c r="AF253" t="str">
        <f t="shared" si="87"/>
        <v/>
      </c>
      <c r="AG253" t="str">
        <f t="shared" si="88"/>
        <v/>
      </c>
      <c r="AH253" t="str">
        <f t="shared" si="89"/>
        <v/>
      </c>
      <c r="AI253" t="str">
        <f t="shared" si="90"/>
        <v/>
      </c>
      <c r="AJ253" t="str">
        <f t="shared" si="91"/>
        <v/>
      </c>
      <c r="AK253" t="str">
        <f t="shared" si="92"/>
        <v/>
      </c>
      <c r="AL253" t="str">
        <f>IFERROR(ROUND(L253*(G253/$AU253)/VLOOKUP(F253,商品!$A$4:$B$60,2,FALSE),0),"")</f>
        <v/>
      </c>
      <c r="AM253" t="str">
        <f>IFERROR(ROUND(L253*(I253/$AU253)/VLOOKUP(H253,商品!$A$4:$B$60,2,FALSE),0),"")</f>
        <v/>
      </c>
      <c r="AN253">
        <f>IFERROR(ROUND(L253*(J253/$AU253)/VLOOKUP("运力",商品!$A$4:$B$60,2,FALSE),0),0)</f>
        <v>0</v>
      </c>
      <c r="AO253">
        <f>IFERROR(ROUND(L253*(K253/$AU253)/VLOOKUP("交易",商品!$A$4:$B$60,2,FALSE),0),0)</f>
        <v>0</v>
      </c>
      <c r="AP253" t="str">
        <f>IFERROR(ROUND(S253*(N253/$AV253)/VLOOKUP(M253,职业!$A$4:$G$16,4,FALSE),0),"")</f>
        <v/>
      </c>
      <c r="AQ253" t="str">
        <f>IFERROR(ROUND(S253*(P253/$AV253)/VLOOKUP(O253,职业!$A$4:$G$16,4,FALSE),0),"")</f>
        <v/>
      </c>
      <c r="AR253" t="str">
        <f>IFERROR(ROUND(S253*(R253/$AV253)/VLOOKUP(Q253,职业!$A$4:$G$16,4,FALSE),0),"")</f>
        <v/>
      </c>
      <c r="AS253" t="str">
        <f>IFERROR(ROUND(X253*(U253/$AW253)/VLOOKUP(T253,商品!$A$4:$B$60,2,FALSE),0),"")</f>
        <v/>
      </c>
      <c r="AT253" t="str">
        <f>IFERROR(ROUND(X253*(W253/$AW253)/VLOOKUP(V253,商品!$A$4:$B$60,2,FALSE),0),"")</f>
        <v/>
      </c>
      <c r="AU253">
        <f t="shared" si="93"/>
        <v>0</v>
      </c>
      <c r="AV253">
        <f t="shared" si="94"/>
        <v>0</v>
      </c>
      <c r="AW253">
        <f t="shared" si="95"/>
        <v>0</v>
      </c>
    </row>
    <row r="254" spans="1:49" ht="19.95" customHeight="1" x14ac:dyDescent="0.25">
      <c r="A254" s="15" t="s">
        <v>231</v>
      </c>
      <c r="C254" s="15">
        <v>3</v>
      </c>
      <c r="D254" s="23" t="s">
        <v>174</v>
      </c>
      <c r="E254" s="23" t="s">
        <v>179</v>
      </c>
      <c r="L254" s="15">
        <f>IFERROR(VLOOKUP($D254&amp;$C254,生产方式定位!$A$2:$E$38,2,FALSE)+VLOOKUP($E254&amp;$C254,生产方式定位!$F$3:$J$38,2,FALSE),0)</f>
        <v>0</v>
      </c>
      <c r="S254" s="15">
        <f>IFERROR(VLOOKUP($D254&amp;$C254,生产方式定位!$A$2:$E$38,3,FALSE)+VLOOKUP($E254&amp;$C254,生产方式定位!$F$3:$J$38,3,FALSE),0)</f>
        <v>100</v>
      </c>
      <c r="X254" s="15">
        <f>IFERROR(VLOOKUP($D254&amp;$C254,生产方式定位!$A$2:$E$38,5,FALSE)+VLOOKUP($E254&amp;$C254,生产方式定位!$F$3:$J$38,5,FALSE),"错误")</f>
        <v>100</v>
      </c>
      <c r="Y254" s="26" t="str">
        <f t="shared" si="80"/>
        <v/>
      </c>
      <c r="Z254" s="36" t="str">
        <f t="shared" si="81"/>
        <v/>
      </c>
      <c r="AA254" s="36" t="str">
        <f t="shared" si="82"/>
        <v/>
      </c>
      <c r="AB254" s="27" t="str">
        <f t="shared" si="83"/>
        <v/>
      </c>
      <c r="AC254" s="2" t="str">
        <f t="shared" si="84"/>
        <v/>
      </c>
      <c r="AD254" s="37">
        <f t="shared" si="85"/>
        <v>3</v>
      </c>
      <c r="AE254" t="str">
        <f t="shared" si="86"/>
        <v/>
      </c>
      <c r="AF254" t="str">
        <f t="shared" si="87"/>
        <v/>
      </c>
      <c r="AG254" t="str">
        <f t="shared" si="88"/>
        <v/>
      </c>
      <c r="AH254" t="str">
        <f t="shared" si="89"/>
        <v/>
      </c>
      <c r="AI254" t="str">
        <f t="shared" si="90"/>
        <v/>
      </c>
      <c r="AJ254" t="str">
        <f t="shared" si="91"/>
        <v/>
      </c>
      <c r="AK254" t="str">
        <f t="shared" si="92"/>
        <v/>
      </c>
      <c r="AL254" t="str">
        <f>IFERROR(ROUND(L254*(G254/$AU254)/VLOOKUP(F254,商品!$A$4:$B$60,2,FALSE),0),"")</f>
        <v/>
      </c>
      <c r="AM254" t="str">
        <f>IFERROR(ROUND(L254*(I254/$AU254)/VLOOKUP(H254,商品!$A$4:$B$60,2,FALSE),0),"")</f>
        <v/>
      </c>
      <c r="AN254">
        <f>IFERROR(ROUND(L254*(J254/$AU254)/VLOOKUP("运力",商品!$A$4:$B$60,2,FALSE),0),0)</f>
        <v>0</v>
      </c>
      <c r="AO254">
        <f>IFERROR(ROUND(L254*(K254/$AU254)/VLOOKUP("交易",商品!$A$4:$B$60,2,FALSE),0),0)</f>
        <v>0</v>
      </c>
      <c r="AP254" t="str">
        <f>IFERROR(ROUND(S254*(N254/$AV254)/VLOOKUP(M254,职业!$A$4:$G$16,4,FALSE),0),"")</f>
        <v/>
      </c>
      <c r="AQ254" t="str">
        <f>IFERROR(ROUND(S254*(P254/$AV254)/VLOOKUP(O254,职业!$A$4:$G$16,4,FALSE),0),"")</f>
        <v/>
      </c>
      <c r="AR254" t="str">
        <f>IFERROR(ROUND(S254*(R254/$AV254)/VLOOKUP(Q254,职业!$A$4:$G$16,4,FALSE),0),"")</f>
        <v/>
      </c>
      <c r="AS254" t="str">
        <f>IFERROR(ROUND(X254*(U254/$AW254)/VLOOKUP(T254,商品!$A$4:$B$60,2,FALSE),0),"")</f>
        <v/>
      </c>
      <c r="AT254" t="str">
        <f>IFERROR(ROUND(X254*(W254/$AW254)/VLOOKUP(V254,商品!$A$4:$B$60,2,FALSE),0),"")</f>
        <v/>
      </c>
      <c r="AU254">
        <f t="shared" si="93"/>
        <v>0</v>
      </c>
      <c r="AV254">
        <f t="shared" si="94"/>
        <v>0</v>
      </c>
      <c r="AW254">
        <f t="shared" si="95"/>
        <v>0</v>
      </c>
    </row>
    <row r="255" spans="1:49" ht="19.95" customHeight="1" x14ac:dyDescent="0.25">
      <c r="A255" s="15" t="s">
        <v>231</v>
      </c>
      <c r="C255" s="15">
        <v>4</v>
      </c>
      <c r="D255" s="23" t="s">
        <v>174</v>
      </c>
      <c r="E255" s="23" t="s">
        <v>179</v>
      </c>
      <c r="L255" s="15">
        <f>IFERROR(VLOOKUP($D255&amp;$C255,生产方式定位!$A$2:$E$38,2,FALSE)+VLOOKUP($E255&amp;$C255,生产方式定位!$F$3:$J$38,2,FALSE),0)</f>
        <v>0</v>
      </c>
      <c r="S255" s="15">
        <f>IFERROR(VLOOKUP($D255&amp;$C255,生产方式定位!$A$2:$E$38,3,FALSE)+VLOOKUP($E255&amp;$C255,生产方式定位!$F$3:$J$38,3,FALSE),0)</f>
        <v>100</v>
      </c>
      <c r="X255" s="15">
        <f>IFERROR(VLOOKUP($D255&amp;$C255,生产方式定位!$A$2:$E$38,5,FALSE)+VLOOKUP($E255&amp;$C255,生产方式定位!$F$3:$J$38,5,FALSE),"错误")</f>
        <v>100</v>
      </c>
      <c r="Y255" s="26" t="str">
        <f t="shared" si="80"/>
        <v/>
      </c>
      <c r="Z255" s="36" t="str">
        <f t="shared" si="81"/>
        <v/>
      </c>
      <c r="AA255" s="36" t="str">
        <f t="shared" si="82"/>
        <v/>
      </c>
      <c r="AB255" s="27" t="str">
        <f t="shared" si="83"/>
        <v/>
      </c>
      <c r="AC255" s="2" t="str">
        <f t="shared" si="84"/>
        <v/>
      </c>
      <c r="AD255" s="37">
        <f t="shared" si="85"/>
        <v>4</v>
      </c>
      <c r="AE255" t="str">
        <f t="shared" si="86"/>
        <v/>
      </c>
      <c r="AF255" t="str">
        <f t="shared" si="87"/>
        <v/>
      </c>
      <c r="AG255" t="str">
        <f t="shared" si="88"/>
        <v/>
      </c>
      <c r="AH255" t="str">
        <f t="shared" si="89"/>
        <v/>
      </c>
      <c r="AI255" t="str">
        <f t="shared" si="90"/>
        <v/>
      </c>
      <c r="AJ255" t="str">
        <f t="shared" si="91"/>
        <v/>
      </c>
      <c r="AK255" t="str">
        <f t="shared" si="92"/>
        <v/>
      </c>
      <c r="AL255" t="str">
        <f>IFERROR(ROUND(L255*(G255/$AU255)/VLOOKUP(F255,商品!$A$4:$B$60,2,FALSE),0),"")</f>
        <v/>
      </c>
      <c r="AM255" t="str">
        <f>IFERROR(ROUND(L255*(I255/$AU255)/VLOOKUP(H255,商品!$A$4:$B$60,2,FALSE),0),"")</f>
        <v/>
      </c>
      <c r="AN255">
        <f>IFERROR(ROUND(L255*(J255/$AU255)/VLOOKUP("运力",商品!$A$4:$B$60,2,FALSE),0),0)</f>
        <v>0</v>
      </c>
      <c r="AO255">
        <f>IFERROR(ROUND(L255*(K255/$AU255)/VLOOKUP("交易",商品!$A$4:$B$60,2,FALSE),0),0)</f>
        <v>0</v>
      </c>
      <c r="AP255" t="str">
        <f>IFERROR(ROUND(S255*(N255/$AV255)/VLOOKUP(M255,职业!$A$4:$G$16,4,FALSE),0),"")</f>
        <v/>
      </c>
      <c r="AQ255" t="str">
        <f>IFERROR(ROUND(S255*(P255/$AV255)/VLOOKUP(O255,职业!$A$4:$G$16,4,FALSE),0),"")</f>
        <v/>
      </c>
      <c r="AR255" t="str">
        <f>IFERROR(ROUND(S255*(R255/$AV255)/VLOOKUP(Q255,职业!$A$4:$G$16,4,FALSE),0),"")</f>
        <v/>
      </c>
      <c r="AS255" t="str">
        <f>IFERROR(ROUND(X255*(U255/$AW255)/VLOOKUP(T255,商品!$A$4:$B$60,2,FALSE),0),"")</f>
        <v/>
      </c>
      <c r="AT255" t="str">
        <f>IFERROR(ROUND(X255*(W255/$AW255)/VLOOKUP(V255,商品!$A$4:$B$60,2,FALSE),0),"")</f>
        <v/>
      </c>
      <c r="AU255">
        <f t="shared" si="93"/>
        <v>0</v>
      </c>
      <c r="AV255">
        <f t="shared" si="94"/>
        <v>0</v>
      </c>
      <c r="AW255">
        <f t="shared" si="95"/>
        <v>0</v>
      </c>
    </row>
    <row r="256" spans="1:49" ht="19.95" customHeight="1" x14ac:dyDescent="0.25">
      <c r="A256" s="15" t="s">
        <v>231</v>
      </c>
      <c r="C256" s="15">
        <v>5</v>
      </c>
      <c r="D256" s="23" t="s">
        <v>174</v>
      </c>
      <c r="E256" s="23" t="s">
        <v>179</v>
      </c>
      <c r="L256" s="15">
        <f>IFERROR(VLOOKUP($D256&amp;$C256,生产方式定位!$A$2:$E$38,2,FALSE)+VLOOKUP($E256&amp;$C256,生产方式定位!$F$3:$J$38,2,FALSE),0)</f>
        <v>0</v>
      </c>
      <c r="S256" s="15">
        <f>IFERROR(VLOOKUP($D256&amp;$C256,生产方式定位!$A$2:$E$38,3,FALSE)+VLOOKUP($E256&amp;$C256,生产方式定位!$F$3:$J$38,3,FALSE),0)</f>
        <v>100</v>
      </c>
      <c r="X256" s="15">
        <f>IFERROR(VLOOKUP($D256&amp;$C256,生产方式定位!$A$2:$E$38,5,FALSE)+VLOOKUP($E256&amp;$C256,生产方式定位!$F$3:$J$38,5,FALSE),"错误")</f>
        <v>100</v>
      </c>
      <c r="Y256" s="26" t="str">
        <f t="shared" si="80"/>
        <v/>
      </c>
      <c r="Z256" s="36" t="str">
        <f t="shared" si="81"/>
        <v/>
      </c>
      <c r="AA256" s="36" t="str">
        <f t="shared" si="82"/>
        <v/>
      </c>
      <c r="AB256" s="27" t="str">
        <f t="shared" si="83"/>
        <v/>
      </c>
      <c r="AC256" s="2" t="str">
        <f t="shared" si="84"/>
        <v/>
      </c>
      <c r="AD256" s="37">
        <f t="shared" si="85"/>
        <v>5</v>
      </c>
      <c r="AE256" t="str">
        <f t="shared" si="86"/>
        <v/>
      </c>
      <c r="AF256" t="str">
        <f t="shared" si="87"/>
        <v/>
      </c>
      <c r="AG256" t="str">
        <f t="shared" si="88"/>
        <v/>
      </c>
      <c r="AH256" t="str">
        <f t="shared" si="89"/>
        <v/>
      </c>
      <c r="AI256" t="str">
        <f t="shared" si="90"/>
        <v/>
      </c>
      <c r="AJ256" t="str">
        <f t="shared" si="91"/>
        <v/>
      </c>
      <c r="AK256" t="str">
        <f t="shared" si="92"/>
        <v/>
      </c>
      <c r="AL256" t="str">
        <f>IFERROR(ROUND(L256*(G256/$AU256)/VLOOKUP(F256,商品!$A$4:$B$60,2,FALSE),0),"")</f>
        <v/>
      </c>
      <c r="AM256" t="str">
        <f>IFERROR(ROUND(L256*(I256/$AU256)/VLOOKUP(H256,商品!$A$4:$B$60,2,FALSE),0),"")</f>
        <v/>
      </c>
      <c r="AN256">
        <f>IFERROR(ROUND(L256*(J256/$AU256)/VLOOKUP("运力",商品!$A$4:$B$60,2,FALSE),0),0)</f>
        <v>0</v>
      </c>
      <c r="AO256">
        <f>IFERROR(ROUND(L256*(K256/$AU256)/VLOOKUP("交易",商品!$A$4:$B$60,2,FALSE),0),0)</f>
        <v>0</v>
      </c>
      <c r="AP256" t="str">
        <f>IFERROR(ROUND(S256*(N256/$AV256)/VLOOKUP(M256,职业!$A$4:$G$16,4,FALSE),0),"")</f>
        <v/>
      </c>
      <c r="AQ256" t="str">
        <f>IFERROR(ROUND(S256*(P256/$AV256)/VLOOKUP(O256,职业!$A$4:$G$16,4,FALSE),0),"")</f>
        <v/>
      </c>
      <c r="AR256" t="str">
        <f>IFERROR(ROUND(S256*(R256/$AV256)/VLOOKUP(Q256,职业!$A$4:$G$16,4,FALSE),0),"")</f>
        <v/>
      </c>
      <c r="AS256" t="str">
        <f>IFERROR(ROUND(X256*(U256/$AW256)/VLOOKUP(T256,商品!$A$4:$B$60,2,FALSE),0),"")</f>
        <v/>
      </c>
      <c r="AT256" t="str">
        <f>IFERROR(ROUND(X256*(W256/$AW256)/VLOOKUP(V256,商品!$A$4:$B$60,2,FALSE),0),"")</f>
        <v/>
      </c>
      <c r="AU256">
        <f t="shared" si="93"/>
        <v>0</v>
      </c>
      <c r="AV256">
        <f t="shared" si="94"/>
        <v>0</v>
      </c>
      <c r="AW256">
        <f t="shared" si="95"/>
        <v>0</v>
      </c>
    </row>
    <row r="257" spans="1:49" ht="19.95" customHeight="1" x14ac:dyDescent="0.25">
      <c r="A257" s="15" t="s">
        <v>231</v>
      </c>
      <c r="C257" s="15">
        <v>6</v>
      </c>
      <c r="D257" s="23" t="s">
        <v>174</v>
      </c>
      <c r="E257" s="23" t="s">
        <v>179</v>
      </c>
      <c r="L257" s="15">
        <f>IFERROR(VLOOKUP($D257&amp;$C257,生产方式定位!$A$2:$E$38,2,FALSE)+VLOOKUP($E257&amp;$C257,生产方式定位!$F$3:$J$38,2,FALSE),0)</f>
        <v>0</v>
      </c>
      <c r="S257" s="15">
        <f>IFERROR(VLOOKUP($D257&amp;$C257,生产方式定位!$A$2:$E$38,3,FALSE)+VLOOKUP($E257&amp;$C257,生产方式定位!$F$3:$J$38,3,FALSE),0)</f>
        <v>100</v>
      </c>
      <c r="X257" s="15">
        <f>IFERROR(VLOOKUP($D257&amp;$C257,生产方式定位!$A$2:$E$38,5,FALSE)+VLOOKUP($E257&amp;$C257,生产方式定位!$F$3:$J$38,5,FALSE),"错误")</f>
        <v>100</v>
      </c>
      <c r="Y257" s="26" t="str">
        <f t="shared" si="80"/>
        <v/>
      </c>
      <c r="Z257" s="36" t="str">
        <f t="shared" si="81"/>
        <v/>
      </c>
      <c r="AA257" s="36" t="str">
        <f t="shared" si="82"/>
        <v/>
      </c>
      <c r="AB257" s="27" t="str">
        <f t="shared" si="83"/>
        <v/>
      </c>
      <c r="AC257" s="2" t="str">
        <f t="shared" si="84"/>
        <v/>
      </c>
      <c r="AD257" s="38">
        <f t="shared" si="85"/>
        <v>6</v>
      </c>
      <c r="AE257" t="str">
        <f t="shared" si="86"/>
        <v/>
      </c>
      <c r="AF257" t="str">
        <f t="shared" si="87"/>
        <v/>
      </c>
      <c r="AG257" t="str">
        <f t="shared" si="88"/>
        <v/>
      </c>
      <c r="AH257" t="str">
        <f t="shared" si="89"/>
        <v/>
      </c>
      <c r="AI257" t="str">
        <f t="shared" si="90"/>
        <v/>
      </c>
      <c r="AJ257" t="str">
        <f t="shared" si="91"/>
        <v/>
      </c>
      <c r="AK257" t="str">
        <f t="shared" si="92"/>
        <v/>
      </c>
      <c r="AL257" t="str">
        <f>IFERROR(ROUND(L257*(G257/$AU257)/VLOOKUP(F257,商品!$A$4:$B$60,2,FALSE),0),"")</f>
        <v/>
      </c>
      <c r="AM257" t="str">
        <f>IFERROR(ROUND(L257*(I257/$AU257)/VLOOKUP(H257,商品!$A$4:$B$60,2,FALSE),0),"")</f>
        <v/>
      </c>
      <c r="AN257">
        <f>IFERROR(ROUND(L257*(J257/$AU257)/VLOOKUP("运力",商品!$A$4:$B$60,2,FALSE),0),0)</f>
        <v>0</v>
      </c>
      <c r="AO257">
        <f>IFERROR(ROUND(L257*(K257/$AU257)/VLOOKUP("交易",商品!$A$4:$B$60,2,FALSE),0),0)</f>
        <v>0</v>
      </c>
      <c r="AP257" t="str">
        <f>IFERROR(ROUND(S257*(N257/$AV257)/VLOOKUP(M257,职业!$A$4:$G$16,4,FALSE),0),"")</f>
        <v/>
      </c>
      <c r="AQ257" t="str">
        <f>IFERROR(ROUND(S257*(P257/$AV257)/VLOOKUP(O257,职业!$A$4:$G$16,4,FALSE),0),"")</f>
        <v/>
      </c>
      <c r="AR257" t="str">
        <f>IFERROR(ROUND(S257*(R257/$AV257)/VLOOKUP(Q257,职业!$A$4:$G$16,4,FALSE),0),"")</f>
        <v/>
      </c>
      <c r="AS257" t="str">
        <f>IFERROR(ROUND(X257*(U257/$AW257)/VLOOKUP(T257,商品!$A$4:$B$60,2,FALSE),0),"")</f>
        <v/>
      </c>
      <c r="AT257" t="str">
        <f>IFERROR(ROUND(X257*(W257/$AW257)/VLOOKUP(V257,商品!$A$4:$B$60,2,FALSE),0),"")</f>
        <v/>
      </c>
      <c r="AU257">
        <f t="shared" si="93"/>
        <v>0</v>
      </c>
      <c r="AV257">
        <f t="shared" si="94"/>
        <v>0</v>
      </c>
      <c r="AW257">
        <f t="shared" si="95"/>
        <v>0</v>
      </c>
    </row>
    <row r="258" spans="1:49" ht="19.95" customHeight="1" x14ac:dyDescent="0.25">
      <c r="A258" s="15" t="s">
        <v>231</v>
      </c>
      <c r="C258" s="15">
        <v>7</v>
      </c>
      <c r="D258" s="23" t="s">
        <v>174</v>
      </c>
      <c r="E258" s="23" t="s">
        <v>179</v>
      </c>
      <c r="L258" s="15">
        <f>IFERROR(VLOOKUP($D258&amp;$C258,生产方式定位!$A$2:$E$38,2,FALSE)+VLOOKUP($E258&amp;$C258,生产方式定位!$F$3:$J$38,2,FALSE),0)</f>
        <v>0</v>
      </c>
      <c r="S258" s="15">
        <f>IFERROR(VLOOKUP($D258&amp;$C258,生产方式定位!$A$2:$E$38,3,FALSE)+VLOOKUP($E258&amp;$C258,生产方式定位!$F$3:$J$38,3,FALSE),0)</f>
        <v>100</v>
      </c>
      <c r="X258" s="15">
        <f>IFERROR(VLOOKUP($D258&amp;$C258,生产方式定位!$A$2:$E$38,5,FALSE)+VLOOKUP($E258&amp;$C258,生产方式定位!$F$3:$J$38,5,FALSE),"错误")</f>
        <v>100</v>
      </c>
      <c r="Y258" s="26" t="str">
        <f t="shared" si="80"/>
        <v/>
      </c>
      <c r="Z258" s="36" t="str">
        <f t="shared" si="81"/>
        <v/>
      </c>
      <c r="AA258" s="36" t="str">
        <f t="shared" si="82"/>
        <v/>
      </c>
      <c r="AB258" s="27" t="str">
        <f t="shared" si="83"/>
        <v/>
      </c>
      <c r="AC258" s="2" t="str">
        <f t="shared" si="84"/>
        <v/>
      </c>
      <c r="AD258" s="38">
        <f t="shared" si="85"/>
        <v>7</v>
      </c>
      <c r="AE258" t="str">
        <f t="shared" si="86"/>
        <v/>
      </c>
      <c r="AF258" t="str">
        <f t="shared" si="87"/>
        <v/>
      </c>
      <c r="AG258" t="str">
        <f t="shared" si="88"/>
        <v/>
      </c>
      <c r="AH258" t="str">
        <f t="shared" si="89"/>
        <v/>
      </c>
      <c r="AI258" t="str">
        <f t="shared" si="90"/>
        <v/>
      </c>
      <c r="AJ258" t="str">
        <f t="shared" si="91"/>
        <v/>
      </c>
      <c r="AK258" t="str">
        <f t="shared" si="92"/>
        <v/>
      </c>
      <c r="AL258" t="str">
        <f>IFERROR(ROUND(L258*(G258/$AU258)/VLOOKUP(F258,商品!$A$4:$B$60,2,FALSE),0),"")</f>
        <v/>
      </c>
      <c r="AM258" t="str">
        <f>IFERROR(ROUND(L258*(I258/$AU258)/VLOOKUP(H258,商品!$A$4:$B$60,2,FALSE),0),"")</f>
        <v/>
      </c>
      <c r="AN258">
        <f>IFERROR(ROUND(L258*(J258/$AU258)/VLOOKUP("运力",商品!$A$4:$B$60,2,FALSE),0),0)</f>
        <v>0</v>
      </c>
      <c r="AO258">
        <f>IFERROR(ROUND(L258*(K258/$AU258)/VLOOKUP("交易",商品!$A$4:$B$60,2,FALSE),0),0)</f>
        <v>0</v>
      </c>
      <c r="AP258" t="str">
        <f>IFERROR(ROUND(S258*(N258/$AV258)/VLOOKUP(M258,职业!$A$4:$G$16,4,FALSE),0),"")</f>
        <v/>
      </c>
      <c r="AQ258" t="str">
        <f>IFERROR(ROUND(S258*(P258/$AV258)/VLOOKUP(O258,职业!$A$4:$G$16,4,FALSE),0),"")</f>
        <v/>
      </c>
      <c r="AR258" t="str">
        <f>IFERROR(ROUND(S258*(R258/$AV258)/VLOOKUP(Q258,职业!$A$4:$G$16,4,FALSE),0),"")</f>
        <v/>
      </c>
      <c r="AS258" t="str">
        <f>IFERROR(ROUND(X258*(U258/$AW258)/VLOOKUP(T258,商品!$A$4:$B$60,2,FALSE),0),"")</f>
        <v/>
      </c>
      <c r="AT258" t="str">
        <f>IFERROR(ROUND(X258*(W258/$AW258)/VLOOKUP(V258,商品!$A$4:$B$60,2,FALSE),0),"")</f>
        <v/>
      </c>
      <c r="AU258">
        <f t="shared" si="93"/>
        <v>0</v>
      </c>
      <c r="AV258">
        <f t="shared" si="94"/>
        <v>0</v>
      </c>
      <c r="AW258">
        <f t="shared" si="95"/>
        <v>0</v>
      </c>
    </row>
    <row r="259" spans="1:49" ht="19.95" customHeight="1" x14ac:dyDescent="0.25">
      <c r="A259" s="15" t="s">
        <v>231</v>
      </c>
      <c r="C259" s="15">
        <v>8</v>
      </c>
      <c r="D259" s="23" t="s">
        <v>174</v>
      </c>
      <c r="E259" s="23" t="s">
        <v>179</v>
      </c>
      <c r="L259" s="15">
        <f>IFERROR(VLOOKUP($D259&amp;$C259,生产方式定位!$A$2:$E$38,2,FALSE)+VLOOKUP($E259&amp;$C259,生产方式定位!$F$3:$J$38,2,FALSE),0)</f>
        <v>0</v>
      </c>
      <c r="S259" s="15">
        <f>IFERROR(VLOOKUP($D259&amp;$C259,生产方式定位!$A$2:$E$38,3,FALSE)+VLOOKUP($E259&amp;$C259,生产方式定位!$F$3:$J$38,3,FALSE),0)</f>
        <v>100</v>
      </c>
      <c r="X259" s="15">
        <f>IFERROR(VLOOKUP($D259&amp;$C259,生产方式定位!$A$2:$E$38,5,FALSE)+VLOOKUP($E259&amp;$C259,生产方式定位!$F$3:$J$38,5,FALSE),"错误")</f>
        <v>100</v>
      </c>
      <c r="Y259" s="26" t="str">
        <f t="shared" si="80"/>
        <v/>
      </c>
      <c r="Z259" s="36" t="str">
        <f t="shared" si="81"/>
        <v/>
      </c>
      <c r="AA259" s="36" t="str">
        <f t="shared" si="82"/>
        <v/>
      </c>
      <c r="AB259" s="27" t="str">
        <f t="shared" si="83"/>
        <v/>
      </c>
      <c r="AC259" s="2" t="str">
        <f t="shared" si="84"/>
        <v/>
      </c>
      <c r="AD259" s="38">
        <f t="shared" si="85"/>
        <v>8</v>
      </c>
      <c r="AE259" t="str">
        <f t="shared" si="86"/>
        <v/>
      </c>
      <c r="AF259" t="str">
        <f t="shared" si="87"/>
        <v/>
      </c>
      <c r="AG259" t="str">
        <f t="shared" si="88"/>
        <v/>
      </c>
      <c r="AH259" t="str">
        <f t="shared" si="89"/>
        <v/>
      </c>
      <c r="AI259" t="str">
        <f t="shared" si="90"/>
        <v/>
      </c>
      <c r="AJ259" t="str">
        <f t="shared" si="91"/>
        <v/>
      </c>
      <c r="AK259" t="str">
        <f t="shared" si="92"/>
        <v/>
      </c>
      <c r="AL259" t="str">
        <f>IFERROR(ROUND(L259*(G259/$AU259)/VLOOKUP(F259,商品!$A$4:$B$60,2,FALSE),0),"")</f>
        <v/>
      </c>
      <c r="AM259" t="str">
        <f>IFERROR(ROUND(L259*(I259/$AU259)/VLOOKUP(H259,商品!$A$4:$B$60,2,FALSE),0),"")</f>
        <v/>
      </c>
      <c r="AN259">
        <f>IFERROR(ROUND(L259*(J259/$AU259)/VLOOKUP("运力",商品!$A$4:$B$60,2,FALSE),0),0)</f>
        <v>0</v>
      </c>
      <c r="AO259">
        <f>IFERROR(ROUND(L259*(K259/$AU259)/VLOOKUP("交易",商品!$A$4:$B$60,2,FALSE),0),0)</f>
        <v>0</v>
      </c>
      <c r="AP259" t="str">
        <f>IFERROR(ROUND(S259*(N259/$AV259)/VLOOKUP(M259,职业!$A$4:$G$16,4,FALSE),0),"")</f>
        <v/>
      </c>
      <c r="AQ259" t="str">
        <f>IFERROR(ROUND(S259*(P259/$AV259)/VLOOKUP(O259,职业!$A$4:$G$16,4,FALSE),0),"")</f>
        <v/>
      </c>
      <c r="AR259" t="str">
        <f>IFERROR(ROUND(S259*(R259/$AV259)/VLOOKUP(Q259,职业!$A$4:$G$16,4,FALSE),0),"")</f>
        <v/>
      </c>
      <c r="AS259" t="str">
        <f>IFERROR(ROUND(X259*(U259/$AW259)/VLOOKUP(T259,商品!$A$4:$B$60,2,FALSE),0),"")</f>
        <v/>
      </c>
      <c r="AT259" t="str">
        <f>IFERROR(ROUND(X259*(W259/$AW259)/VLOOKUP(V259,商品!$A$4:$B$60,2,FALSE),0),"")</f>
        <v/>
      </c>
      <c r="AU259">
        <f t="shared" si="93"/>
        <v>0</v>
      </c>
      <c r="AV259">
        <f t="shared" si="94"/>
        <v>0</v>
      </c>
      <c r="AW259">
        <f t="shared" si="95"/>
        <v>0</v>
      </c>
    </row>
    <row r="260" spans="1:49" ht="19.95" customHeight="1" x14ac:dyDescent="0.25">
      <c r="A260" s="16" t="s">
        <v>233</v>
      </c>
      <c r="C260" s="16">
        <v>1</v>
      </c>
      <c r="D260" s="23" t="s">
        <v>222</v>
      </c>
      <c r="E260" s="23" t="s">
        <v>172</v>
      </c>
      <c r="F260" s="2" t="s">
        <v>14</v>
      </c>
      <c r="G260" s="2">
        <v>10</v>
      </c>
      <c r="H260" s="2" t="s">
        <v>22</v>
      </c>
      <c r="I260" s="2">
        <v>40</v>
      </c>
      <c r="J260" s="24">
        <v>5</v>
      </c>
      <c r="K260" s="25">
        <v>5</v>
      </c>
      <c r="L260" s="16">
        <f>IFERROR(VLOOKUP($D260&amp;$C260,生产方式定位!$A$2:$E$38,2,FALSE)+VLOOKUP($E260&amp;$C260,生产方式定位!$F$3:$J$38,2,FALSE),0)</f>
        <v>1000</v>
      </c>
      <c r="M260" s="2" t="s">
        <v>80</v>
      </c>
      <c r="N260" s="2">
        <v>120</v>
      </c>
      <c r="O260" s="2" t="s">
        <v>74</v>
      </c>
      <c r="P260" s="2">
        <v>20</v>
      </c>
      <c r="S260" s="16">
        <f>IFERROR(VLOOKUP($D260&amp;$C260,生产方式定位!$A$2:$E$38,3,FALSE)+VLOOKUP($E260&amp;$C260,生产方式定位!$F$3:$J$38,3,FALSE),0)</f>
        <v>100</v>
      </c>
      <c r="X260" s="16">
        <f>IFERROR(VLOOKUP($D260&amp;$C260,生产方式定位!$A$2:$E$38,5,FALSE)+VLOOKUP($E260&amp;$C260,生产方式定位!$F$3:$J$38,5,FALSE),"错误")</f>
        <v>1760</v>
      </c>
      <c r="Y260" s="26" t="str">
        <f t="shared" si="80"/>
        <v>硬木*4,泽洛*13,运力*8,交易*8</v>
      </c>
      <c r="Z260" s="36" t="str">
        <f t="shared" si="81"/>
        <v>劳工*3878,法士*162</v>
      </c>
      <c r="AA260" s="36" t="str">
        <f t="shared" si="82"/>
        <v/>
      </c>
      <c r="AB260" s="27" t="str">
        <f t="shared" si="83"/>
        <v>76%</v>
      </c>
      <c r="AC260" s="2">
        <f t="shared" si="84"/>
        <v>660</v>
      </c>
      <c r="AD260" s="38">
        <f t="shared" si="85"/>
        <v>1</v>
      </c>
      <c r="AE260" t="str">
        <f t="shared" si="86"/>
        <v>硬木*4</v>
      </c>
      <c r="AF260" t="str">
        <f t="shared" si="87"/>
        <v>泽洛*13</v>
      </c>
      <c r="AG260" t="str">
        <f t="shared" si="88"/>
        <v>劳工*3878</v>
      </c>
      <c r="AH260" t="str">
        <f t="shared" si="89"/>
        <v>法士*162</v>
      </c>
      <c r="AI260" t="str">
        <f t="shared" si="90"/>
        <v/>
      </c>
      <c r="AJ260" t="str">
        <f t="shared" si="91"/>
        <v/>
      </c>
      <c r="AK260" t="str">
        <f t="shared" si="92"/>
        <v/>
      </c>
      <c r="AL260">
        <f>IFERROR(ROUND(L260*(G260/$AU260)/VLOOKUP(F260,商品!$A$4:$B$60,2,FALSE),0),"")</f>
        <v>4</v>
      </c>
      <c r="AM260">
        <f>IFERROR(ROUND(L260*(I260/$AU260)/VLOOKUP(H260,商品!$A$4:$B$60,2,FALSE),0),"")</f>
        <v>13</v>
      </c>
      <c r="AN260">
        <f>IFERROR(ROUND(L260*(J260/$AU260)/VLOOKUP("运力",商品!$A$4:$B$60,2,FALSE),0),0)</f>
        <v>8</v>
      </c>
      <c r="AO260">
        <f>IFERROR(ROUND(L260*(K260/$AU260)/VLOOKUP("交易",商品!$A$4:$B$60,2,FALSE),0),0)</f>
        <v>8</v>
      </c>
      <c r="AP260">
        <f>IFERROR(ROUND(S260*(N260/$AV260)/VLOOKUP(M260,职业!$A$4:$G$16,4,FALSE),0),"")</f>
        <v>3878</v>
      </c>
      <c r="AQ260">
        <f>IFERROR(ROUND(S260*(P260/$AV260)/VLOOKUP(O260,职业!$A$4:$G$16,4,FALSE),0),"")</f>
        <v>162</v>
      </c>
      <c r="AR260" t="str">
        <f>IFERROR(ROUND(S260*(R260/$AV260)/VLOOKUP(Q260,职业!$A$4:$G$16,4,FALSE),0),"")</f>
        <v/>
      </c>
      <c r="AS260" t="str">
        <f>IFERROR(ROUND(X260*(U260/$AW260)/VLOOKUP(T260,商品!$A$4:$B$60,2,FALSE),0),"")</f>
        <v/>
      </c>
      <c r="AT260" t="str">
        <f>IFERROR(ROUND(X260*(W260/$AW260)/VLOOKUP(V260,商品!$A$4:$B$60,2,FALSE),0),"")</f>
        <v/>
      </c>
      <c r="AU260">
        <f t="shared" si="93"/>
        <v>60</v>
      </c>
      <c r="AV260">
        <f t="shared" si="94"/>
        <v>140</v>
      </c>
      <c r="AW260">
        <f t="shared" si="95"/>
        <v>0</v>
      </c>
    </row>
    <row r="261" spans="1:49" ht="19.95" customHeight="1" x14ac:dyDescent="0.25">
      <c r="A261" s="16" t="s">
        <v>233</v>
      </c>
      <c r="C261" s="16">
        <v>2</v>
      </c>
      <c r="D261" s="23" t="s">
        <v>222</v>
      </c>
      <c r="E261" s="23" t="s">
        <v>172</v>
      </c>
      <c r="F261" s="2" t="s">
        <v>39</v>
      </c>
      <c r="G261" s="2">
        <v>10</v>
      </c>
      <c r="H261" s="2" t="s">
        <v>22</v>
      </c>
      <c r="I261" s="2">
        <v>40</v>
      </c>
      <c r="J261" s="24">
        <v>5</v>
      </c>
      <c r="K261" s="25">
        <v>5</v>
      </c>
      <c r="L261" s="16">
        <f>IFERROR(VLOOKUP($D261&amp;$C261,生产方式定位!$A$2:$E$38,2,FALSE)+VLOOKUP($E261&amp;$C261,生产方式定位!$F$3:$J$38,2,FALSE),0)</f>
        <v>1600</v>
      </c>
      <c r="M261" s="2" t="s">
        <v>80</v>
      </c>
      <c r="N261" s="2">
        <v>120</v>
      </c>
      <c r="O261" s="2" t="s">
        <v>74</v>
      </c>
      <c r="P261" s="2">
        <v>30</v>
      </c>
      <c r="S261" s="16">
        <f>IFERROR(VLOOKUP($D261&amp;$C261,生产方式定位!$A$2:$E$38,3,FALSE)+VLOOKUP($E261&amp;$C261,生产方式定位!$F$3:$J$38,3,FALSE),0)</f>
        <v>100</v>
      </c>
      <c r="X261" s="16">
        <f>IFERROR(VLOOKUP($D261&amp;$C261,生产方式定位!$A$2:$E$38,5,FALSE)+VLOOKUP($E261&amp;$C261,生产方式定位!$F$3:$J$38,5,FALSE),"错误")</f>
        <v>2520</v>
      </c>
      <c r="Y261" s="26" t="str">
        <f t="shared" ref="Y261:Y324" si="96">IF(AE261="","",AE261)&amp;IF(AF261="","",","&amp;AF261)&amp;IF(AN261=0,"",",运力*"&amp;AN261)&amp;IF(AO261=0,"",",交易*"&amp;AO261)</f>
        <v>钢铁*4,泽洛*21,运力*13,交易*13</v>
      </c>
      <c r="Z261" s="36" t="str">
        <f t="shared" ref="Z261:Z324" si="97">IF(AG261="","",AG261)&amp;IF(AH261="","",","&amp;AH261)&amp;IF(AI261="","",","&amp;AI261)</f>
        <v>劳工*3620,法士*226</v>
      </c>
      <c r="AA261" s="36" t="str">
        <f t="shared" ref="AA261:AA324" si="98">IF(AJ261="","",AJ261)&amp;IF(AK261="","",","&amp;AK261)</f>
        <v/>
      </c>
      <c r="AB261" s="27" t="str">
        <f t="shared" ref="AB261:AB324" si="99">IFERROR(ROUND(((X261/L261)-1)*100,0)&amp;"%","")</f>
        <v>58%</v>
      </c>
      <c r="AC261" s="2">
        <f t="shared" ref="AC261:AC324" si="100">IF(X261-S261-L261=0,"",X261-S261-L261)</f>
        <v>820</v>
      </c>
      <c r="AD261" s="38">
        <f t="shared" ref="AD261:AD324" si="101">C261</f>
        <v>2</v>
      </c>
      <c r="AE261" t="str">
        <f t="shared" ref="AE261:AE324" si="102">IF(AL261="","",F261&amp;"*"&amp;AL261)</f>
        <v>钢铁*4</v>
      </c>
      <c r="AF261" t="str">
        <f t="shared" ref="AF261:AF324" si="103">IF(AM261="","",H261&amp;"*"&amp;AM261)</f>
        <v>泽洛*21</v>
      </c>
      <c r="AG261" t="str">
        <f t="shared" ref="AG261:AG324" si="104">IF(AP261="","",M261&amp;"*"&amp;AP261)</f>
        <v>劳工*3620</v>
      </c>
      <c r="AH261" t="str">
        <f t="shared" ref="AH261:AH324" si="105">IF(AQ261="","",O261&amp;"*"&amp;AQ261)</f>
        <v>法士*226</v>
      </c>
      <c r="AI261" t="str">
        <f t="shared" ref="AI261:AI324" si="106">IF(AR261="","",Q261&amp;"*"&amp;AR261)</f>
        <v/>
      </c>
      <c r="AJ261" t="str">
        <f t="shared" ref="AJ261:AJ324" si="107">IF(AS261="","",T261&amp;"*"&amp;AS261)</f>
        <v/>
      </c>
      <c r="AK261" t="str">
        <f t="shared" ref="AK261:AK324" si="108">IF(AT261="","",V261&amp;"*"&amp;AT261)</f>
        <v/>
      </c>
      <c r="AL261">
        <f>IFERROR(ROUND(L261*(G261/$AU261)/VLOOKUP(F261,商品!$A$4:$B$60,2,FALSE),0),"")</f>
        <v>4</v>
      </c>
      <c r="AM261">
        <f>IFERROR(ROUND(L261*(I261/$AU261)/VLOOKUP(H261,商品!$A$4:$B$60,2,FALSE),0),"")</f>
        <v>21</v>
      </c>
      <c r="AN261">
        <f>IFERROR(ROUND(L261*(J261/$AU261)/VLOOKUP("运力",商品!$A$4:$B$60,2,FALSE),0),0)</f>
        <v>13</v>
      </c>
      <c r="AO261">
        <f>IFERROR(ROUND(L261*(K261/$AU261)/VLOOKUP("交易",商品!$A$4:$B$60,2,FALSE),0),0)</f>
        <v>13</v>
      </c>
      <c r="AP261">
        <f>IFERROR(ROUND(S261*(N261/$AV261)/VLOOKUP(M261,职业!$A$4:$G$16,4,FALSE),0),"")</f>
        <v>3620</v>
      </c>
      <c r="AQ261">
        <f>IFERROR(ROUND(S261*(P261/$AV261)/VLOOKUP(O261,职业!$A$4:$G$16,4,FALSE),0),"")</f>
        <v>226</v>
      </c>
      <c r="AR261" t="str">
        <f>IFERROR(ROUND(S261*(R261/$AV261)/VLOOKUP(Q261,职业!$A$4:$G$16,4,FALSE),0),"")</f>
        <v/>
      </c>
      <c r="AS261" t="str">
        <f>IFERROR(ROUND(X261*(U261/$AW261)/VLOOKUP(T261,商品!$A$4:$B$60,2,FALSE),0),"")</f>
        <v/>
      </c>
      <c r="AT261" t="str">
        <f>IFERROR(ROUND(X261*(W261/$AW261)/VLOOKUP(V261,商品!$A$4:$B$60,2,FALSE),0),"")</f>
        <v/>
      </c>
      <c r="AU261">
        <f t="shared" ref="AU261:AU324" si="109">G261+I261+J261+K261</f>
        <v>60</v>
      </c>
      <c r="AV261">
        <f t="shared" ref="AV261:AV324" si="110">ABS(N261)+ABS(P261)+ABS(R261)</f>
        <v>150</v>
      </c>
      <c r="AW261">
        <f t="shared" ref="AW261:AW324" si="111">U261+W261</f>
        <v>0</v>
      </c>
    </row>
    <row r="262" spans="1:49" ht="19.95" customHeight="1" x14ac:dyDescent="0.25">
      <c r="A262" s="16" t="s">
        <v>233</v>
      </c>
      <c r="C262" s="16">
        <v>3</v>
      </c>
      <c r="D262" s="23" t="s">
        <v>222</v>
      </c>
      <c r="E262" s="23" t="s">
        <v>172</v>
      </c>
      <c r="F262" s="2" t="s">
        <v>39</v>
      </c>
      <c r="G262" s="2">
        <v>10</v>
      </c>
      <c r="H262" s="2" t="s">
        <v>22</v>
      </c>
      <c r="I262" s="2">
        <v>40</v>
      </c>
      <c r="J262" s="24">
        <v>5</v>
      </c>
      <c r="K262" s="25">
        <v>5</v>
      </c>
      <c r="L262" s="16">
        <f>IFERROR(VLOOKUP($D262&amp;$C262,生产方式定位!$A$2:$E$38,2,FALSE)+VLOOKUP($E262&amp;$C262,生产方式定位!$F$3:$J$38,2,FALSE),0)</f>
        <v>1825</v>
      </c>
      <c r="M262" s="2" t="s">
        <v>80</v>
      </c>
      <c r="N262" s="2">
        <v>120</v>
      </c>
      <c r="O262" s="2" t="s">
        <v>74</v>
      </c>
      <c r="P262" s="2">
        <v>40</v>
      </c>
      <c r="S262" s="16">
        <f>IFERROR(VLOOKUP($D262&amp;$C262,生产方式定位!$A$2:$E$38,3,FALSE)+VLOOKUP($E262&amp;$C262,生产方式定位!$F$3:$J$38,3,FALSE),0)</f>
        <v>100</v>
      </c>
      <c r="X262" s="16">
        <f>IFERROR(VLOOKUP($D262&amp;$C262,生产方式定位!$A$2:$E$38,5,FALSE)+VLOOKUP($E262&amp;$C262,生产方式定位!$F$3:$J$38,5,FALSE),"错误")</f>
        <v>2830</v>
      </c>
      <c r="Y262" s="26" t="str">
        <f t="shared" si="96"/>
        <v>钢铁*5,泽洛*24,运力*15,交易*15</v>
      </c>
      <c r="Z262" s="36" t="str">
        <f t="shared" si="97"/>
        <v>劳工*3394,法士*283</v>
      </c>
      <c r="AA262" s="36" t="str">
        <f t="shared" si="98"/>
        <v/>
      </c>
      <c r="AB262" s="27" t="str">
        <f t="shared" si="99"/>
        <v>55%</v>
      </c>
      <c r="AC262" s="2">
        <f t="shared" si="100"/>
        <v>905</v>
      </c>
      <c r="AD262" s="37">
        <f t="shared" si="101"/>
        <v>3</v>
      </c>
      <c r="AE262" t="str">
        <f t="shared" si="102"/>
        <v>钢铁*5</v>
      </c>
      <c r="AF262" t="str">
        <f t="shared" si="103"/>
        <v>泽洛*24</v>
      </c>
      <c r="AG262" t="str">
        <f t="shared" si="104"/>
        <v>劳工*3394</v>
      </c>
      <c r="AH262" t="str">
        <f t="shared" si="105"/>
        <v>法士*283</v>
      </c>
      <c r="AI262" t="str">
        <f t="shared" si="106"/>
        <v/>
      </c>
      <c r="AJ262" t="str">
        <f t="shared" si="107"/>
        <v/>
      </c>
      <c r="AK262" t="str">
        <f t="shared" si="108"/>
        <v/>
      </c>
      <c r="AL262">
        <f>IFERROR(ROUND(L262*(G262/$AU262)/VLOOKUP(F262,商品!$A$4:$B$60,2,FALSE),0),"")</f>
        <v>5</v>
      </c>
      <c r="AM262">
        <f>IFERROR(ROUND(L262*(I262/$AU262)/VLOOKUP(H262,商品!$A$4:$B$60,2,FALSE),0),"")</f>
        <v>24</v>
      </c>
      <c r="AN262">
        <f>IFERROR(ROUND(L262*(J262/$AU262)/VLOOKUP("运力",商品!$A$4:$B$60,2,FALSE),0),0)</f>
        <v>15</v>
      </c>
      <c r="AO262">
        <f>IFERROR(ROUND(L262*(K262/$AU262)/VLOOKUP("交易",商品!$A$4:$B$60,2,FALSE),0),0)</f>
        <v>15</v>
      </c>
      <c r="AP262">
        <f>IFERROR(ROUND(S262*(N262/$AV262)/VLOOKUP(M262,职业!$A$4:$G$16,4,FALSE),0),"")</f>
        <v>3394</v>
      </c>
      <c r="AQ262">
        <f>IFERROR(ROUND(S262*(P262/$AV262)/VLOOKUP(O262,职业!$A$4:$G$16,4,FALSE),0),"")</f>
        <v>283</v>
      </c>
      <c r="AR262" t="str">
        <f>IFERROR(ROUND(S262*(R262/$AV262)/VLOOKUP(Q262,职业!$A$4:$G$16,4,FALSE),0),"")</f>
        <v/>
      </c>
      <c r="AS262" t="str">
        <f>IFERROR(ROUND(X262*(U262/$AW262)/VLOOKUP(T262,商品!$A$4:$B$60,2,FALSE),0),"")</f>
        <v/>
      </c>
      <c r="AT262" t="str">
        <f>IFERROR(ROUND(X262*(W262/$AW262)/VLOOKUP(V262,商品!$A$4:$B$60,2,FALSE),0),"")</f>
        <v/>
      </c>
      <c r="AU262">
        <f t="shared" si="109"/>
        <v>60</v>
      </c>
      <c r="AV262">
        <f t="shared" si="110"/>
        <v>160</v>
      </c>
      <c r="AW262">
        <f t="shared" si="111"/>
        <v>0</v>
      </c>
    </row>
    <row r="263" spans="1:49" ht="19.95" customHeight="1" x14ac:dyDescent="0.25">
      <c r="A263" s="16" t="s">
        <v>233</v>
      </c>
      <c r="C263" s="16">
        <v>4</v>
      </c>
      <c r="D263" s="23" t="s">
        <v>222</v>
      </c>
      <c r="E263" s="23" t="s">
        <v>172</v>
      </c>
      <c r="F263" s="2" t="s">
        <v>40</v>
      </c>
      <c r="G263" s="2">
        <v>10</v>
      </c>
      <c r="H263" s="2" t="s">
        <v>22</v>
      </c>
      <c r="I263" s="2">
        <v>40</v>
      </c>
      <c r="J263" s="24">
        <v>5</v>
      </c>
      <c r="K263" s="25">
        <v>5</v>
      </c>
      <c r="L263" s="16">
        <f>IFERROR(VLOOKUP($D263&amp;$C263,生产方式定位!$A$2:$E$38,2,FALSE)+VLOOKUP($E263&amp;$C263,生产方式定位!$F$3:$J$38,2,FALSE),0)</f>
        <v>2050</v>
      </c>
      <c r="M263" s="2" t="s">
        <v>80</v>
      </c>
      <c r="N263" s="2">
        <v>120</v>
      </c>
      <c r="O263" s="2" t="s">
        <v>74</v>
      </c>
      <c r="P263" s="2">
        <v>50</v>
      </c>
      <c r="S263" s="16">
        <f>IFERROR(VLOOKUP($D263&amp;$C263,生产方式定位!$A$2:$E$38,3,FALSE)+VLOOKUP($E263&amp;$C263,生产方式定位!$F$3:$J$38,3,FALSE),0)</f>
        <v>100</v>
      </c>
      <c r="X263" s="16">
        <f>IFERROR(VLOOKUP($D263&amp;$C263,生产方式定位!$A$2:$E$38,5,FALSE)+VLOOKUP($E263&amp;$C263,生产方式定位!$F$3:$J$38,5,FALSE),"错误")</f>
        <v>3140</v>
      </c>
      <c r="Y263" s="26" t="str">
        <f t="shared" si="96"/>
        <v>秘银*4,泽洛*27,运力*17,交易*17</v>
      </c>
      <c r="Z263" s="36" t="str">
        <f t="shared" si="97"/>
        <v>劳工*3194,法士*333</v>
      </c>
      <c r="AA263" s="36" t="str">
        <f t="shared" si="98"/>
        <v/>
      </c>
      <c r="AB263" s="27" t="str">
        <f t="shared" si="99"/>
        <v>53%</v>
      </c>
      <c r="AC263" s="2">
        <f t="shared" si="100"/>
        <v>990</v>
      </c>
      <c r="AD263" s="37">
        <f t="shared" si="101"/>
        <v>4</v>
      </c>
      <c r="AE263" t="str">
        <f t="shared" si="102"/>
        <v>秘银*4</v>
      </c>
      <c r="AF263" t="str">
        <f t="shared" si="103"/>
        <v>泽洛*27</v>
      </c>
      <c r="AG263" t="str">
        <f t="shared" si="104"/>
        <v>劳工*3194</v>
      </c>
      <c r="AH263" t="str">
        <f t="shared" si="105"/>
        <v>法士*333</v>
      </c>
      <c r="AI263" t="str">
        <f t="shared" si="106"/>
        <v/>
      </c>
      <c r="AJ263" t="str">
        <f t="shared" si="107"/>
        <v/>
      </c>
      <c r="AK263" t="str">
        <f t="shared" si="108"/>
        <v/>
      </c>
      <c r="AL263">
        <f>IFERROR(ROUND(L263*(G263/$AU263)/VLOOKUP(F263,商品!$A$4:$B$60,2,FALSE),0),"")</f>
        <v>4</v>
      </c>
      <c r="AM263">
        <f>IFERROR(ROUND(L263*(I263/$AU263)/VLOOKUP(H263,商品!$A$4:$B$60,2,FALSE),0),"")</f>
        <v>27</v>
      </c>
      <c r="AN263">
        <f>IFERROR(ROUND(L263*(J263/$AU263)/VLOOKUP("运力",商品!$A$4:$B$60,2,FALSE),0),0)</f>
        <v>17</v>
      </c>
      <c r="AO263">
        <f>IFERROR(ROUND(L263*(K263/$AU263)/VLOOKUP("交易",商品!$A$4:$B$60,2,FALSE),0),0)</f>
        <v>17</v>
      </c>
      <c r="AP263">
        <f>IFERROR(ROUND(S263*(N263/$AV263)/VLOOKUP(M263,职业!$A$4:$G$16,4,FALSE),0),"")</f>
        <v>3194</v>
      </c>
      <c r="AQ263">
        <f>IFERROR(ROUND(S263*(P263/$AV263)/VLOOKUP(O263,职业!$A$4:$G$16,4,FALSE),0),"")</f>
        <v>333</v>
      </c>
      <c r="AR263" t="str">
        <f>IFERROR(ROUND(S263*(R263/$AV263)/VLOOKUP(Q263,职业!$A$4:$G$16,4,FALSE),0),"")</f>
        <v/>
      </c>
      <c r="AS263" t="str">
        <f>IFERROR(ROUND(X263*(U263/$AW263)/VLOOKUP(T263,商品!$A$4:$B$60,2,FALSE),0),"")</f>
        <v/>
      </c>
      <c r="AT263" t="str">
        <f>IFERROR(ROUND(X263*(W263/$AW263)/VLOOKUP(V263,商品!$A$4:$B$60,2,FALSE),0),"")</f>
        <v/>
      </c>
      <c r="AU263">
        <f t="shared" si="109"/>
        <v>60</v>
      </c>
      <c r="AV263">
        <f t="shared" si="110"/>
        <v>170</v>
      </c>
      <c r="AW263">
        <f t="shared" si="111"/>
        <v>0</v>
      </c>
    </row>
    <row r="264" spans="1:49" ht="19.95" customHeight="1" x14ac:dyDescent="0.25">
      <c r="A264" s="16" t="s">
        <v>233</v>
      </c>
      <c r="C264" s="16">
        <v>5</v>
      </c>
      <c r="D264" s="23" t="s">
        <v>222</v>
      </c>
      <c r="E264" s="23" t="s">
        <v>172</v>
      </c>
      <c r="F264" s="2" t="s">
        <v>40</v>
      </c>
      <c r="G264" s="2">
        <v>10</v>
      </c>
      <c r="H264" s="2" t="s">
        <v>22</v>
      </c>
      <c r="I264" s="2">
        <v>40</v>
      </c>
      <c r="J264" s="24">
        <v>5</v>
      </c>
      <c r="K264" s="25">
        <v>5</v>
      </c>
      <c r="L264" s="16">
        <f>IFERROR(VLOOKUP($D264&amp;$C264,生产方式定位!$A$2:$E$38,2,FALSE)+VLOOKUP($E264&amp;$C264,生产方式定位!$F$3:$J$38,2,FALSE),0)</f>
        <v>2275</v>
      </c>
      <c r="M264" s="2" t="s">
        <v>80</v>
      </c>
      <c r="N264" s="2">
        <v>120</v>
      </c>
      <c r="O264" s="2" t="s">
        <v>74</v>
      </c>
      <c r="P264" s="2">
        <v>60</v>
      </c>
      <c r="Q264" s="2" t="s">
        <v>73</v>
      </c>
      <c r="R264" s="2">
        <v>25</v>
      </c>
      <c r="S264" s="16">
        <f>IFERROR(VLOOKUP($D264&amp;$C264,生产方式定位!$A$2:$E$38,3,FALSE)+VLOOKUP($E264&amp;$C264,生产方式定位!$F$3:$J$38,3,FALSE),0)</f>
        <v>100</v>
      </c>
      <c r="X264" s="16">
        <f>IFERROR(VLOOKUP($D264&amp;$C264,生产方式定位!$A$2:$E$38,5,FALSE)+VLOOKUP($E264&amp;$C264,生产方式定位!$F$3:$J$38,5,FALSE),"错误")</f>
        <v>3450</v>
      </c>
      <c r="Y264" s="26" t="str">
        <f t="shared" si="96"/>
        <v>秘银*5,泽洛*30,运力*19,交易*19</v>
      </c>
      <c r="Z264" s="36" t="str">
        <f t="shared" si="97"/>
        <v>劳工*2649,法士*331,工程师*184</v>
      </c>
      <c r="AA264" s="36" t="str">
        <f t="shared" si="98"/>
        <v/>
      </c>
      <c r="AB264" s="27" t="str">
        <f t="shared" si="99"/>
        <v>52%</v>
      </c>
      <c r="AC264" s="2">
        <f t="shared" si="100"/>
        <v>1075</v>
      </c>
      <c r="AD264" s="37">
        <f t="shared" si="101"/>
        <v>5</v>
      </c>
      <c r="AE264" t="str">
        <f t="shared" si="102"/>
        <v>秘银*5</v>
      </c>
      <c r="AF264" t="str">
        <f t="shared" si="103"/>
        <v>泽洛*30</v>
      </c>
      <c r="AG264" t="str">
        <f t="shared" si="104"/>
        <v>劳工*2649</v>
      </c>
      <c r="AH264" t="str">
        <f t="shared" si="105"/>
        <v>法士*331</v>
      </c>
      <c r="AI264" t="str">
        <f t="shared" si="106"/>
        <v>工程师*184</v>
      </c>
      <c r="AJ264" t="str">
        <f t="shared" si="107"/>
        <v/>
      </c>
      <c r="AK264" t="str">
        <f t="shared" si="108"/>
        <v/>
      </c>
      <c r="AL264">
        <f>IFERROR(ROUND(L264*(G264/$AU264)/VLOOKUP(F264,商品!$A$4:$B$60,2,FALSE),0),"")</f>
        <v>5</v>
      </c>
      <c r="AM264">
        <f>IFERROR(ROUND(L264*(I264/$AU264)/VLOOKUP(H264,商品!$A$4:$B$60,2,FALSE),0),"")</f>
        <v>30</v>
      </c>
      <c r="AN264">
        <f>IFERROR(ROUND(L264*(J264/$AU264)/VLOOKUP("运力",商品!$A$4:$B$60,2,FALSE),0),0)</f>
        <v>19</v>
      </c>
      <c r="AO264">
        <f>IFERROR(ROUND(L264*(K264/$AU264)/VLOOKUP("交易",商品!$A$4:$B$60,2,FALSE),0),0)</f>
        <v>19</v>
      </c>
      <c r="AP264">
        <f>IFERROR(ROUND(S264*(N264/$AV264)/VLOOKUP(M264,职业!$A$4:$G$16,4,FALSE),0),"")</f>
        <v>2649</v>
      </c>
      <c r="AQ264">
        <f>IFERROR(ROUND(S264*(P264/$AV264)/VLOOKUP(O264,职业!$A$4:$G$16,4,FALSE),0),"")</f>
        <v>331</v>
      </c>
      <c r="AR264">
        <f>IFERROR(ROUND(S264*(R264/$AV264)/VLOOKUP(Q264,职业!$A$4:$G$16,4,FALSE),0),"")</f>
        <v>184</v>
      </c>
      <c r="AS264" t="str">
        <f>IFERROR(ROUND(X264*(U264/$AW264)/VLOOKUP(T264,商品!$A$4:$B$60,2,FALSE),0),"")</f>
        <v/>
      </c>
      <c r="AT264" t="str">
        <f>IFERROR(ROUND(X264*(W264/$AW264)/VLOOKUP(V264,商品!$A$4:$B$60,2,FALSE),0),"")</f>
        <v/>
      </c>
      <c r="AU264">
        <f t="shared" si="109"/>
        <v>60</v>
      </c>
      <c r="AV264">
        <f t="shared" si="110"/>
        <v>205</v>
      </c>
      <c r="AW264">
        <f t="shared" si="111"/>
        <v>0</v>
      </c>
    </row>
    <row r="265" spans="1:49" ht="19.95" customHeight="1" x14ac:dyDescent="0.25">
      <c r="A265" s="15" t="s">
        <v>234</v>
      </c>
      <c r="C265" s="15">
        <v>1</v>
      </c>
      <c r="D265" s="23" t="s">
        <v>222</v>
      </c>
      <c r="E265" s="23" t="s">
        <v>193</v>
      </c>
      <c r="F265" s="2" t="s">
        <v>14</v>
      </c>
      <c r="G265" s="2">
        <v>10</v>
      </c>
      <c r="H265" s="2" t="s">
        <v>22</v>
      </c>
      <c r="I265" s="2">
        <v>40</v>
      </c>
      <c r="J265" s="24">
        <v>5</v>
      </c>
      <c r="K265" s="25">
        <v>5</v>
      </c>
      <c r="L265" s="15">
        <f>IFERROR(VLOOKUP($D265&amp;$C265,生产方式定位!$A$2:$E$38,2,FALSE)+VLOOKUP($E265&amp;$C265,生产方式定位!$F$3:$J$38,2,FALSE),0)</f>
        <v>1000</v>
      </c>
      <c r="M265" s="2" t="s">
        <v>80</v>
      </c>
      <c r="N265" s="2">
        <v>120</v>
      </c>
      <c r="O265" s="2" t="s">
        <v>74</v>
      </c>
      <c r="P265" s="2">
        <v>20</v>
      </c>
      <c r="S265" s="15">
        <f>IFERROR(VLOOKUP($D265&amp;$C265,生产方式定位!$A$2:$E$38,3,FALSE)+VLOOKUP($E265&amp;$C265,生产方式定位!$F$3:$J$38,3,FALSE),0)</f>
        <v>100</v>
      </c>
      <c r="X265" s="15">
        <f>IFERROR(VLOOKUP($D265&amp;$C265,生产方式定位!$A$2:$E$38,5,FALSE)+VLOOKUP($E265&amp;$C265,生产方式定位!$F$3:$J$38,5,FALSE),"错误")</f>
        <v>1760</v>
      </c>
      <c r="Y265" s="26" t="str">
        <f t="shared" si="96"/>
        <v>硬木*4,泽洛*13,运力*8,交易*8</v>
      </c>
      <c r="Z265" s="36" t="str">
        <f t="shared" si="97"/>
        <v>劳工*3878,法士*162</v>
      </c>
      <c r="AA265" s="36" t="str">
        <f t="shared" si="98"/>
        <v/>
      </c>
      <c r="AB265" s="27" t="str">
        <f t="shared" si="99"/>
        <v>76%</v>
      </c>
      <c r="AC265" s="2">
        <f t="shared" si="100"/>
        <v>660</v>
      </c>
      <c r="AD265" s="37">
        <f t="shared" si="101"/>
        <v>1</v>
      </c>
      <c r="AE265" t="str">
        <f t="shared" si="102"/>
        <v>硬木*4</v>
      </c>
      <c r="AF265" t="str">
        <f t="shared" si="103"/>
        <v>泽洛*13</v>
      </c>
      <c r="AG265" t="str">
        <f t="shared" si="104"/>
        <v>劳工*3878</v>
      </c>
      <c r="AH265" t="str">
        <f t="shared" si="105"/>
        <v>法士*162</v>
      </c>
      <c r="AI265" t="str">
        <f t="shared" si="106"/>
        <v/>
      </c>
      <c r="AJ265" t="str">
        <f t="shared" si="107"/>
        <v/>
      </c>
      <c r="AK265" t="str">
        <f t="shared" si="108"/>
        <v/>
      </c>
      <c r="AL265">
        <f>IFERROR(ROUND(L265*(G265/$AU265)/VLOOKUP(F265,商品!$A$4:$B$60,2,FALSE),0),"")</f>
        <v>4</v>
      </c>
      <c r="AM265">
        <f>IFERROR(ROUND(L265*(I265/$AU265)/VLOOKUP(H265,商品!$A$4:$B$60,2,FALSE),0),"")</f>
        <v>13</v>
      </c>
      <c r="AN265">
        <f>IFERROR(ROUND(L265*(J265/$AU265)/VLOOKUP("运力",商品!$A$4:$B$60,2,FALSE),0),0)</f>
        <v>8</v>
      </c>
      <c r="AO265">
        <f>IFERROR(ROUND(L265*(K265/$AU265)/VLOOKUP("交易",商品!$A$4:$B$60,2,FALSE),0),0)</f>
        <v>8</v>
      </c>
      <c r="AP265">
        <f>IFERROR(ROUND(S265*(N265/$AV265)/VLOOKUP(M265,职业!$A$4:$G$16,4,FALSE),0),"")</f>
        <v>3878</v>
      </c>
      <c r="AQ265">
        <f>IFERROR(ROUND(S265*(P265/$AV265)/VLOOKUP(O265,职业!$A$4:$G$16,4,FALSE),0),"")</f>
        <v>162</v>
      </c>
      <c r="AR265" t="str">
        <f>IFERROR(ROUND(S265*(R265/$AV265)/VLOOKUP(Q265,职业!$A$4:$G$16,4,FALSE),0),"")</f>
        <v/>
      </c>
      <c r="AS265" t="str">
        <f>IFERROR(ROUND(X265*(U265/$AW265)/VLOOKUP(T265,商品!$A$4:$B$60,2,FALSE),0),"")</f>
        <v/>
      </c>
      <c r="AT265" t="str">
        <f>IFERROR(ROUND(X265*(W265/$AW265)/VLOOKUP(V265,商品!$A$4:$B$60,2,FALSE),0),"")</f>
        <v/>
      </c>
      <c r="AU265">
        <f t="shared" si="109"/>
        <v>60</v>
      </c>
      <c r="AV265">
        <f t="shared" si="110"/>
        <v>140</v>
      </c>
      <c r="AW265">
        <f t="shared" si="111"/>
        <v>0</v>
      </c>
    </row>
    <row r="266" spans="1:49" ht="19.95" customHeight="1" x14ac:dyDescent="0.25">
      <c r="A266" s="15" t="s">
        <v>234</v>
      </c>
      <c r="C266" s="15">
        <v>2</v>
      </c>
      <c r="D266" s="23" t="s">
        <v>222</v>
      </c>
      <c r="E266" s="23" t="s">
        <v>193</v>
      </c>
      <c r="F266" s="2" t="s">
        <v>39</v>
      </c>
      <c r="G266" s="2">
        <v>10</v>
      </c>
      <c r="H266" s="2" t="s">
        <v>22</v>
      </c>
      <c r="I266" s="2">
        <v>40</v>
      </c>
      <c r="J266" s="24">
        <v>5</v>
      </c>
      <c r="K266" s="25">
        <v>5</v>
      </c>
      <c r="L266" s="15">
        <f>IFERROR(VLOOKUP($D266&amp;$C266,生产方式定位!$A$2:$E$38,2,FALSE)+VLOOKUP($E266&amp;$C266,生产方式定位!$F$3:$J$38,2,FALSE),0)</f>
        <v>1500</v>
      </c>
      <c r="M266" s="2" t="s">
        <v>80</v>
      </c>
      <c r="N266" s="2">
        <v>120</v>
      </c>
      <c r="O266" s="2" t="s">
        <v>74</v>
      </c>
      <c r="P266" s="2">
        <v>30</v>
      </c>
      <c r="S266" s="15">
        <f>IFERROR(VLOOKUP($D266&amp;$C266,生产方式定位!$A$2:$E$38,3,FALSE)+VLOOKUP($E266&amp;$C266,生产方式定位!$F$3:$J$38,3,FALSE),0)</f>
        <v>5</v>
      </c>
      <c r="X266" s="15">
        <f>IFERROR(VLOOKUP($D266&amp;$C266,生产方式定位!$A$2:$E$38,5,FALSE)+VLOOKUP($E266&amp;$C266,生产方式定位!$F$3:$J$38,5,FALSE),"错误")</f>
        <v>2347</v>
      </c>
      <c r="Y266" s="26" t="str">
        <f t="shared" si="96"/>
        <v>钢铁*4,泽洛*20,运力*13,交易*13</v>
      </c>
      <c r="Z266" s="36" t="str">
        <f t="shared" si="97"/>
        <v>劳工*181,法士*11</v>
      </c>
      <c r="AA266" s="36" t="str">
        <f t="shared" si="98"/>
        <v/>
      </c>
      <c r="AB266" s="27" t="str">
        <f t="shared" si="99"/>
        <v>56%</v>
      </c>
      <c r="AC266" s="2">
        <f t="shared" si="100"/>
        <v>842</v>
      </c>
      <c r="AD266" s="37">
        <f t="shared" si="101"/>
        <v>2</v>
      </c>
      <c r="AE266" t="str">
        <f t="shared" si="102"/>
        <v>钢铁*4</v>
      </c>
      <c r="AF266" t="str">
        <f t="shared" si="103"/>
        <v>泽洛*20</v>
      </c>
      <c r="AG266" t="str">
        <f t="shared" si="104"/>
        <v>劳工*181</v>
      </c>
      <c r="AH266" t="str">
        <f t="shared" si="105"/>
        <v>法士*11</v>
      </c>
      <c r="AI266" t="str">
        <f t="shared" si="106"/>
        <v/>
      </c>
      <c r="AJ266" t="str">
        <f t="shared" si="107"/>
        <v/>
      </c>
      <c r="AK266" t="str">
        <f t="shared" si="108"/>
        <v/>
      </c>
      <c r="AL266">
        <f>IFERROR(ROUND(L266*(G266/$AU266)/VLOOKUP(F266,商品!$A$4:$B$60,2,FALSE),0),"")</f>
        <v>4</v>
      </c>
      <c r="AM266">
        <f>IFERROR(ROUND(L266*(I266/$AU266)/VLOOKUP(H266,商品!$A$4:$B$60,2,FALSE),0),"")</f>
        <v>20</v>
      </c>
      <c r="AN266">
        <f>IFERROR(ROUND(L266*(J266/$AU266)/VLOOKUP("运力",商品!$A$4:$B$60,2,FALSE),0),0)</f>
        <v>13</v>
      </c>
      <c r="AO266">
        <f>IFERROR(ROUND(L266*(K266/$AU266)/VLOOKUP("交易",商品!$A$4:$B$60,2,FALSE),0),0)</f>
        <v>13</v>
      </c>
      <c r="AP266">
        <f>IFERROR(ROUND(S266*(N266/$AV266)/VLOOKUP(M266,职业!$A$4:$G$16,4,FALSE),0),"")</f>
        <v>181</v>
      </c>
      <c r="AQ266">
        <f>IFERROR(ROUND(S266*(P266/$AV266)/VLOOKUP(O266,职业!$A$4:$G$16,4,FALSE),0),"")</f>
        <v>11</v>
      </c>
      <c r="AR266" t="str">
        <f>IFERROR(ROUND(S266*(R266/$AV266)/VLOOKUP(Q266,职业!$A$4:$G$16,4,FALSE),0),"")</f>
        <v/>
      </c>
      <c r="AS266" t="str">
        <f>IFERROR(ROUND(X266*(U266/$AW266)/VLOOKUP(T266,商品!$A$4:$B$60,2,FALSE),0),"")</f>
        <v/>
      </c>
      <c r="AT266" t="str">
        <f>IFERROR(ROUND(X266*(W266/$AW266)/VLOOKUP(V266,商品!$A$4:$B$60,2,FALSE),0),"")</f>
        <v/>
      </c>
      <c r="AU266">
        <f t="shared" si="109"/>
        <v>60</v>
      </c>
      <c r="AV266">
        <f t="shared" si="110"/>
        <v>150</v>
      </c>
      <c r="AW266">
        <f t="shared" si="111"/>
        <v>0</v>
      </c>
    </row>
    <row r="267" spans="1:49" ht="19.95" customHeight="1" x14ac:dyDescent="0.25">
      <c r="A267" s="15" t="s">
        <v>234</v>
      </c>
      <c r="C267" s="15">
        <v>3</v>
      </c>
      <c r="D267" s="23" t="s">
        <v>222</v>
      </c>
      <c r="E267" s="23" t="s">
        <v>193</v>
      </c>
      <c r="F267" s="2" t="s">
        <v>39</v>
      </c>
      <c r="G267" s="2">
        <v>10</v>
      </c>
      <c r="H267" s="2" t="s">
        <v>22</v>
      </c>
      <c r="I267" s="2">
        <v>40</v>
      </c>
      <c r="J267" s="24">
        <v>5</v>
      </c>
      <c r="K267" s="25">
        <v>5</v>
      </c>
      <c r="L267" s="15">
        <f>IFERROR(VLOOKUP($D267&amp;$C267,生产方式定位!$A$2:$E$38,2,FALSE)+VLOOKUP($E267&amp;$C267,生产方式定位!$F$3:$J$38,2,FALSE),0)</f>
        <v>1700</v>
      </c>
      <c r="M267" s="2" t="s">
        <v>80</v>
      </c>
      <c r="N267" s="2">
        <v>120</v>
      </c>
      <c r="O267" s="2" t="s">
        <v>74</v>
      </c>
      <c r="P267" s="2">
        <v>40</v>
      </c>
      <c r="Q267" s="2" t="s">
        <v>73</v>
      </c>
      <c r="R267" s="2">
        <v>10</v>
      </c>
      <c r="S267" s="15">
        <f>IFERROR(VLOOKUP($D267&amp;$C267,生产方式定位!$A$2:$E$38,3,FALSE)+VLOOKUP($E267&amp;$C267,生产方式定位!$F$3:$J$38,3,FALSE),0)</f>
        <v>10</v>
      </c>
      <c r="X267" s="15">
        <f>IFERROR(VLOOKUP($D267&amp;$C267,生产方式定位!$A$2:$E$38,5,FALSE)+VLOOKUP($E267&amp;$C267,生产方式定位!$F$3:$J$38,5,FALSE),"错误")</f>
        <v>2654</v>
      </c>
      <c r="Y267" s="26" t="str">
        <f t="shared" si="96"/>
        <v>钢铁*5,泽洛*23,运力*14,交易*14</v>
      </c>
      <c r="Z267" s="36" t="str">
        <f t="shared" si="97"/>
        <v>劳工*319,法士*27,工程师*9</v>
      </c>
      <c r="AA267" s="36" t="str">
        <f t="shared" si="98"/>
        <v/>
      </c>
      <c r="AB267" s="27" t="str">
        <f t="shared" si="99"/>
        <v>56%</v>
      </c>
      <c r="AC267" s="2">
        <f t="shared" si="100"/>
        <v>944</v>
      </c>
      <c r="AD267" s="37">
        <f t="shared" si="101"/>
        <v>3</v>
      </c>
      <c r="AE267" t="str">
        <f t="shared" si="102"/>
        <v>钢铁*5</v>
      </c>
      <c r="AF267" t="str">
        <f t="shared" si="103"/>
        <v>泽洛*23</v>
      </c>
      <c r="AG267" t="str">
        <f t="shared" si="104"/>
        <v>劳工*319</v>
      </c>
      <c r="AH267" t="str">
        <f t="shared" si="105"/>
        <v>法士*27</v>
      </c>
      <c r="AI267" t="str">
        <f t="shared" si="106"/>
        <v>工程师*9</v>
      </c>
      <c r="AJ267" t="str">
        <f t="shared" si="107"/>
        <v/>
      </c>
      <c r="AK267" t="str">
        <f t="shared" si="108"/>
        <v/>
      </c>
      <c r="AL267">
        <f>IFERROR(ROUND(L267*(G267/$AU267)/VLOOKUP(F267,商品!$A$4:$B$60,2,FALSE),0),"")</f>
        <v>5</v>
      </c>
      <c r="AM267">
        <f>IFERROR(ROUND(L267*(I267/$AU267)/VLOOKUP(H267,商品!$A$4:$B$60,2,FALSE),0),"")</f>
        <v>23</v>
      </c>
      <c r="AN267">
        <f>IFERROR(ROUND(L267*(J267/$AU267)/VLOOKUP("运力",商品!$A$4:$B$60,2,FALSE),0),0)</f>
        <v>14</v>
      </c>
      <c r="AO267">
        <f>IFERROR(ROUND(L267*(K267/$AU267)/VLOOKUP("交易",商品!$A$4:$B$60,2,FALSE),0),0)</f>
        <v>14</v>
      </c>
      <c r="AP267">
        <f>IFERROR(ROUND(S267*(N267/$AV267)/VLOOKUP(M267,职业!$A$4:$G$16,4,FALSE),0),"")</f>
        <v>319</v>
      </c>
      <c r="AQ267">
        <f>IFERROR(ROUND(S267*(P267/$AV267)/VLOOKUP(O267,职业!$A$4:$G$16,4,FALSE),0),"")</f>
        <v>27</v>
      </c>
      <c r="AR267">
        <f>IFERROR(ROUND(S267*(R267/$AV267)/VLOOKUP(Q267,职业!$A$4:$G$16,4,FALSE),0),"")</f>
        <v>9</v>
      </c>
      <c r="AS267" t="str">
        <f>IFERROR(ROUND(X267*(U267/$AW267)/VLOOKUP(T267,商品!$A$4:$B$60,2,FALSE),0),"")</f>
        <v/>
      </c>
      <c r="AT267" t="str">
        <f>IFERROR(ROUND(X267*(W267/$AW267)/VLOOKUP(V267,商品!$A$4:$B$60,2,FALSE),0),"")</f>
        <v/>
      </c>
      <c r="AU267">
        <f t="shared" si="109"/>
        <v>60</v>
      </c>
      <c r="AV267">
        <f t="shared" si="110"/>
        <v>170</v>
      </c>
      <c r="AW267">
        <f t="shared" si="111"/>
        <v>0</v>
      </c>
    </row>
    <row r="268" spans="1:49" ht="19.95" customHeight="1" x14ac:dyDescent="0.25">
      <c r="A268" s="15" t="s">
        <v>234</v>
      </c>
      <c r="C268" s="15">
        <v>4</v>
      </c>
      <c r="D268" s="23" t="s">
        <v>222</v>
      </c>
      <c r="E268" s="23" t="s">
        <v>193</v>
      </c>
      <c r="F268" s="2" t="s">
        <v>40</v>
      </c>
      <c r="G268" s="2">
        <v>10</v>
      </c>
      <c r="H268" s="2" t="s">
        <v>22</v>
      </c>
      <c r="I268" s="2">
        <v>40</v>
      </c>
      <c r="J268" s="24">
        <v>5</v>
      </c>
      <c r="K268" s="25">
        <v>5</v>
      </c>
      <c r="L268" s="15">
        <f>IFERROR(VLOOKUP($D268&amp;$C268,生产方式定位!$A$2:$E$38,2,FALSE)+VLOOKUP($E268&amp;$C268,生产方式定位!$F$3:$J$38,2,FALSE),0)</f>
        <v>1900</v>
      </c>
      <c r="M268" s="2" t="s">
        <v>80</v>
      </c>
      <c r="N268" s="2">
        <v>120</v>
      </c>
      <c r="O268" s="2" t="s">
        <v>74</v>
      </c>
      <c r="P268" s="2">
        <v>50</v>
      </c>
      <c r="Q268" s="2" t="s">
        <v>73</v>
      </c>
      <c r="R268" s="2">
        <v>15</v>
      </c>
      <c r="S268" s="15">
        <f>IFERROR(VLOOKUP($D268&amp;$C268,生产方式定位!$A$2:$E$38,3,FALSE)+VLOOKUP($E268&amp;$C268,生产方式定位!$F$3:$J$38,3,FALSE),0)</f>
        <v>15</v>
      </c>
      <c r="X268" s="15">
        <f>IFERROR(VLOOKUP($D268&amp;$C268,生产方式定位!$A$2:$E$38,5,FALSE)+VLOOKUP($E268&amp;$C268,生产方式定位!$F$3:$J$38,5,FALSE),"错误")</f>
        <v>2961</v>
      </c>
      <c r="Y268" s="26" t="str">
        <f t="shared" si="96"/>
        <v>秘银*4,泽洛*25,运力*16,交易*16</v>
      </c>
      <c r="Z268" s="36" t="str">
        <f t="shared" si="97"/>
        <v>劳工*440,法士*46,工程师*18</v>
      </c>
      <c r="AA268" s="36" t="str">
        <f t="shared" si="98"/>
        <v/>
      </c>
      <c r="AB268" s="27" t="str">
        <f t="shared" si="99"/>
        <v>56%</v>
      </c>
      <c r="AC268" s="2">
        <f t="shared" si="100"/>
        <v>1046</v>
      </c>
      <c r="AD268" s="37">
        <f t="shared" si="101"/>
        <v>4</v>
      </c>
      <c r="AE268" t="str">
        <f t="shared" si="102"/>
        <v>秘银*4</v>
      </c>
      <c r="AF268" t="str">
        <f t="shared" si="103"/>
        <v>泽洛*25</v>
      </c>
      <c r="AG268" t="str">
        <f t="shared" si="104"/>
        <v>劳工*440</v>
      </c>
      <c r="AH268" t="str">
        <f t="shared" si="105"/>
        <v>法士*46</v>
      </c>
      <c r="AI268" t="str">
        <f t="shared" si="106"/>
        <v>工程师*18</v>
      </c>
      <c r="AJ268" t="str">
        <f t="shared" si="107"/>
        <v/>
      </c>
      <c r="AK268" t="str">
        <f t="shared" si="108"/>
        <v/>
      </c>
      <c r="AL268">
        <f>IFERROR(ROUND(L268*(G268/$AU268)/VLOOKUP(F268,商品!$A$4:$B$60,2,FALSE),0),"")</f>
        <v>4</v>
      </c>
      <c r="AM268">
        <f>IFERROR(ROUND(L268*(I268/$AU268)/VLOOKUP(H268,商品!$A$4:$B$60,2,FALSE),0),"")</f>
        <v>25</v>
      </c>
      <c r="AN268">
        <f>IFERROR(ROUND(L268*(J268/$AU268)/VLOOKUP("运力",商品!$A$4:$B$60,2,FALSE),0),0)</f>
        <v>16</v>
      </c>
      <c r="AO268">
        <f>IFERROR(ROUND(L268*(K268/$AU268)/VLOOKUP("交易",商品!$A$4:$B$60,2,FALSE),0),0)</f>
        <v>16</v>
      </c>
      <c r="AP268">
        <f>IFERROR(ROUND(S268*(N268/$AV268)/VLOOKUP(M268,职业!$A$4:$G$16,4,FALSE),0),"")</f>
        <v>440</v>
      </c>
      <c r="AQ268">
        <f>IFERROR(ROUND(S268*(P268/$AV268)/VLOOKUP(O268,职业!$A$4:$G$16,4,FALSE),0),"")</f>
        <v>46</v>
      </c>
      <c r="AR268">
        <f>IFERROR(ROUND(S268*(R268/$AV268)/VLOOKUP(Q268,职业!$A$4:$G$16,4,FALSE),0),"")</f>
        <v>18</v>
      </c>
      <c r="AS268" t="str">
        <f>IFERROR(ROUND(X268*(U268/$AW268)/VLOOKUP(T268,商品!$A$4:$B$60,2,FALSE),0),"")</f>
        <v/>
      </c>
      <c r="AT268" t="str">
        <f>IFERROR(ROUND(X268*(W268/$AW268)/VLOOKUP(V268,商品!$A$4:$B$60,2,FALSE),0),"")</f>
        <v/>
      </c>
      <c r="AU268">
        <f t="shared" si="109"/>
        <v>60</v>
      </c>
      <c r="AV268">
        <f t="shared" si="110"/>
        <v>185</v>
      </c>
      <c r="AW268">
        <f t="shared" si="111"/>
        <v>0</v>
      </c>
    </row>
    <row r="269" spans="1:49" ht="19.95" customHeight="1" x14ac:dyDescent="0.25">
      <c r="A269" s="15" t="s">
        <v>234</v>
      </c>
      <c r="C269" s="15">
        <v>5</v>
      </c>
      <c r="D269" s="23" t="s">
        <v>222</v>
      </c>
      <c r="E269" s="23" t="s">
        <v>193</v>
      </c>
      <c r="F269" s="2" t="s">
        <v>40</v>
      </c>
      <c r="G269" s="2">
        <v>10</v>
      </c>
      <c r="H269" s="2" t="s">
        <v>22</v>
      </c>
      <c r="I269" s="2">
        <v>40</v>
      </c>
      <c r="J269" s="24">
        <v>5</v>
      </c>
      <c r="K269" s="25">
        <v>5</v>
      </c>
      <c r="L269" s="15">
        <f>IFERROR(VLOOKUP($D269&amp;$C269,生产方式定位!$A$2:$E$38,2,FALSE)+VLOOKUP($E269&amp;$C269,生产方式定位!$F$3:$J$38,2,FALSE),0)</f>
        <v>2100</v>
      </c>
      <c r="M269" s="2" t="s">
        <v>80</v>
      </c>
      <c r="N269" s="2">
        <v>120</v>
      </c>
      <c r="O269" s="2" t="s">
        <v>74</v>
      </c>
      <c r="P269" s="2">
        <v>60</v>
      </c>
      <c r="Q269" s="2" t="s">
        <v>73</v>
      </c>
      <c r="R269" s="2">
        <v>20</v>
      </c>
      <c r="S269" s="15">
        <f>IFERROR(VLOOKUP($D269&amp;$C269,生产方式定位!$A$2:$E$38,3,FALSE)+VLOOKUP($E269&amp;$C269,生产方式定位!$F$3:$J$38,3,FALSE),0)</f>
        <v>20</v>
      </c>
      <c r="X269" s="15">
        <f>IFERROR(VLOOKUP($D269&amp;$C269,生产方式定位!$A$2:$E$38,5,FALSE)+VLOOKUP($E269&amp;$C269,生产方式定位!$F$3:$J$38,5,FALSE),"错误")</f>
        <v>3268</v>
      </c>
      <c r="Y269" s="26" t="str">
        <f t="shared" si="96"/>
        <v>秘银*4,泽洛*28,运力*18,交易*18</v>
      </c>
      <c r="Z269" s="36" t="str">
        <f t="shared" si="97"/>
        <v>劳工*543,法士*68,工程师*30</v>
      </c>
      <c r="AA269" s="36" t="str">
        <f t="shared" si="98"/>
        <v/>
      </c>
      <c r="AB269" s="27" t="str">
        <f t="shared" si="99"/>
        <v>56%</v>
      </c>
      <c r="AC269" s="2">
        <f t="shared" si="100"/>
        <v>1148</v>
      </c>
      <c r="AD269" s="37">
        <f t="shared" si="101"/>
        <v>5</v>
      </c>
      <c r="AE269" t="str">
        <f t="shared" si="102"/>
        <v>秘银*4</v>
      </c>
      <c r="AF269" t="str">
        <f t="shared" si="103"/>
        <v>泽洛*28</v>
      </c>
      <c r="AG269" t="str">
        <f t="shared" si="104"/>
        <v>劳工*543</v>
      </c>
      <c r="AH269" t="str">
        <f t="shared" si="105"/>
        <v>法士*68</v>
      </c>
      <c r="AI269" t="str">
        <f t="shared" si="106"/>
        <v>工程师*30</v>
      </c>
      <c r="AJ269" t="str">
        <f t="shared" si="107"/>
        <v/>
      </c>
      <c r="AK269" t="str">
        <f t="shared" si="108"/>
        <v/>
      </c>
      <c r="AL269">
        <f>IFERROR(ROUND(L269*(G269/$AU269)/VLOOKUP(F269,商品!$A$4:$B$60,2,FALSE),0),"")</f>
        <v>4</v>
      </c>
      <c r="AM269">
        <f>IFERROR(ROUND(L269*(I269/$AU269)/VLOOKUP(H269,商品!$A$4:$B$60,2,FALSE),0),"")</f>
        <v>28</v>
      </c>
      <c r="AN269">
        <f>IFERROR(ROUND(L269*(J269/$AU269)/VLOOKUP("运力",商品!$A$4:$B$60,2,FALSE),0),0)</f>
        <v>18</v>
      </c>
      <c r="AO269">
        <f>IFERROR(ROUND(L269*(K269/$AU269)/VLOOKUP("交易",商品!$A$4:$B$60,2,FALSE),0),0)</f>
        <v>18</v>
      </c>
      <c r="AP269">
        <f>IFERROR(ROUND(S269*(N269/$AV269)/VLOOKUP(M269,职业!$A$4:$G$16,4,FALSE),0),"")</f>
        <v>543</v>
      </c>
      <c r="AQ269">
        <f>IFERROR(ROUND(S269*(P269/$AV269)/VLOOKUP(O269,职业!$A$4:$G$16,4,FALSE),0),"")</f>
        <v>68</v>
      </c>
      <c r="AR269">
        <f>IFERROR(ROUND(S269*(R269/$AV269)/VLOOKUP(Q269,职业!$A$4:$G$16,4,FALSE),0),"")</f>
        <v>30</v>
      </c>
      <c r="AS269" t="str">
        <f>IFERROR(ROUND(X269*(U269/$AW269)/VLOOKUP(T269,商品!$A$4:$B$60,2,FALSE),0),"")</f>
        <v/>
      </c>
      <c r="AT269" t="str">
        <f>IFERROR(ROUND(X269*(W269/$AW269)/VLOOKUP(V269,商品!$A$4:$B$60,2,FALSE),0),"")</f>
        <v/>
      </c>
      <c r="AU269">
        <f t="shared" si="109"/>
        <v>60</v>
      </c>
      <c r="AV269">
        <f t="shared" si="110"/>
        <v>200</v>
      </c>
      <c r="AW269">
        <f t="shared" si="111"/>
        <v>0</v>
      </c>
    </row>
    <row r="270" spans="1:49" ht="19.95" customHeight="1" x14ac:dyDescent="0.25">
      <c r="A270" s="16" t="s">
        <v>515</v>
      </c>
      <c r="C270" s="16">
        <v>1</v>
      </c>
      <c r="D270" s="23" t="s">
        <v>174</v>
      </c>
      <c r="E270" s="23" t="s">
        <v>175</v>
      </c>
      <c r="L270" s="16">
        <f>IFERROR(VLOOKUP($D270&amp;$C270,生产方式定位!$A$2:$E$38,2,FALSE)+VLOOKUP($E270&amp;$C270,生产方式定位!$F$3:$J$38,2,FALSE),0)</f>
        <v>0</v>
      </c>
      <c r="S270" s="16">
        <f>IFERROR(VLOOKUP($D270&amp;$C270,生产方式定位!$A$2:$E$38,3,FALSE)+VLOOKUP($E270&amp;$C270,生产方式定位!$F$3:$J$38,3,FALSE),0)</f>
        <v>0</v>
      </c>
      <c r="X270" s="16">
        <f>IFERROR(VLOOKUP($D270&amp;$C270,生产方式定位!$A$2:$E$38,5,FALSE)+VLOOKUP($E270&amp;$C270,生产方式定位!$F$3:$J$38,5,FALSE),"错误")</f>
        <v>0</v>
      </c>
      <c r="Y270" s="26" t="str">
        <f t="shared" si="96"/>
        <v/>
      </c>
      <c r="Z270" s="36" t="str">
        <f t="shared" si="97"/>
        <v/>
      </c>
      <c r="AA270" s="36" t="str">
        <f t="shared" si="98"/>
        <v/>
      </c>
      <c r="AB270" s="27" t="str">
        <f t="shared" si="99"/>
        <v/>
      </c>
      <c r="AC270" s="2" t="str">
        <f t="shared" si="100"/>
        <v/>
      </c>
      <c r="AD270" s="38">
        <f t="shared" si="101"/>
        <v>1</v>
      </c>
      <c r="AE270" t="str">
        <f t="shared" si="102"/>
        <v/>
      </c>
      <c r="AF270" t="str">
        <f t="shared" si="103"/>
        <v/>
      </c>
      <c r="AG270" t="str">
        <f t="shared" si="104"/>
        <v/>
      </c>
      <c r="AH270" t="str">
        <f t="shared" si="105"/>
        <v/>
      </c>
      <c r="AI270" t="str">
        <f t="shared" si="106"/>
        <v/>
      </c>
      <c r="AJ270" t="str">
        <f t="shared" si="107"/>
        <v/>
      </c>
      <c r="AK270" t="str">
        <f t="shared" si="108"/>
        <v/>
      </c>
      <c r="AL270" t="str">
        <f>IFERROR(ROUND(L270*(G270/$AU270)/VLOOKUP(F270,商品!$A$4:$B$60,2,FALSE),0),"")</f>
        <v/>
      </c>
      <c r="AM270" t="str">
        <f>IFERROR(ROUND(L270*(I270/$AU270)/VLOOKUP(H270,商品!$A$4:$B$60,2,FALSE),0),"")</f>
        <v/>
      </c>
      <c r="AN270">
        <f>IFERROR(ROUND(L270*(J270/$AU270)/VLOOKUP("运力",商品!$A$4:$B$60,2,FALSE),0),0)</f>
        <v>0</v>
      </c>
      <c r="AO270">
        <f>IFERROR(ROUND(L270*(K270/$AU270)/VLOOKUP("交易",商品!$A$4:$B$60,2,FALSE),0),0)</f>
        <v>0</v>
      </c>
      <c r="AP270" t="str">
        <f>IFERROR(ROUND(S270*(N270/$AV270)/VLOOKUP(M270,职业!$A$4:$G$16,4,FALSE),0),"")</f>
        <v/>
      </c>
      <c r="AQ270" t="str">
        <f>IFERROR(ROUND(S270*(P270/$AV270)/VLOOKUP(O270,职业!$A$4:$G$16,4,FALSE),0),"")</f>
        <v/>
      </c>
      <c r="AR270" t="str">
        <f>IFERROR(ROUND(S270*(R270/$AV270)/VLOOKUP(Q270,职业!$A$4:$G$16,4,FALSE),0),"")</f>
        <v/>
      </c>
      <c r="AS270" t="str">
        <f>IFERROR(ROUND(X270*(U270/$AW270)/VLOOKUP(T270,商品!$A$4:$B$60,2,FALSE),0),"")</f>
        <v/>
      </c>
      <c r="AT270" t="str">
        <f>IFERROR(ROUND(X270*(W270/$AW270)/VLOOKUP(V270,商品!$A$4:$B$60,2,FALSE),0),"")</f>
        <v/>
      </c>
      <c r="AU270">
        <f t="shared" si="109"/>
        <v>0</v>
      </c>
      <c r="AV270">
        <f t="shared" si="110"/>
        <v>0</v>
      </c>
      <c r="AW270">
        <f t="shared" si="111"/>
        <v>0</v>
      </c>
    </row>
    <row r="271" spans="1:49" ht="19.95" customHeight="1" x14ac:dyDescent="0.25">
      <c r="A271" s="16" t="s">
        <v>515</v>
      </c>
      <c r="C271" s="16">
        <v>2</v>
      </c>
      <c r="D271" s="23" t="s">
        <v>174</v>
      </c>
      <c r="E271" s="23" t="s">
        <v>175</v>
      </c>
      <c r="F271" s="2" t="s">
        <v>41</v>
      </c>
      <c r="G271" s="2">
        <v>10</v>
      </c>
      <c r="L271" s="16">
        <f>IFERROR(VLOOKUP($D271&amp;$C271,生产方式定位!$A$2:$E$38,2,FALSE)+VLOOKUP($E271&amp;$C271,生产方式定位!$F$3:$J$38,2,FALSE),0)</f>
        <v>50</v>
      </c>
      <c r="S271" s="16">
        <f>IFERROR(VLOOKUP($D271&amp;$C271,生产方式定位!$A$2:$E$38,3,FALSE)+VLOOKUP($E271&amp;$C271,生产方式定位!$F$3:$J$38,3,FALSE),0)</f>
        <v>10</v>
      </c>
      <c r="X271" s="16">
        <f>IFERROR(VLOOKUP($D271&amp;$C271,生产方式定位!$A$2:$E$38,5,FALSE)+VLOOKUP($E271&amp;$C271,生产方式定位!$F$3:$J$38,5,FALSE),"错误")</f>
        <v>0</v>
      </c>
      <c r="Y271" s="26" t="str">
        <f t="shared" si="96"/>
        <v>工具*1</v>
      </c>
      <c r="Z271" s="36" t="str">
        <f t="shared" si="97"/>
        <v/>
      </c>
      <c r="AA271" s="36" t="str">
        <f t="shared" si="98"/>
        <v/>
      </c>
      <c r="AB271" s="27" t="str">
        <f t="shared" si="99"/>
        <v>-100%</v>
      </c>
      <c r="AC271" s="2">
        <f t="shared" si="100"/>
        <v>-60</v>
      </c>
      <c r="AD271" s="38">
        <f t="shared" si="101"/>
        <v>2</v>
      </c>
      <c r="AE271" t="str">
        <f t="shared" si="102"/>
        <v>工具*1</v>
      </c>
      <c r="AF271" t="str">
        <f t="shared" si="103"/>
        <v/>
      </c>
      <c r="AG271" t="str">
        <f t="shared" si="104"/>
        <v/>
      </c>
      <c r="AH271" t="str">
        <f t="shared" si="105"/>
        <v/>
      </c>
      <c r="AI271" t="str">
        <f t="shared" si="106"/>
        <v/>
      </c>
      <c r="AJ271" t="str">
        <f t="shared" si="107"/>
        <v/>
      </c>
      <c r="AK271" t="str">
        <f t="shared" si="108"/>
        <v/>
      </c>
      <c r="AL271">
        <f>IFERROR(ROUND(L271*(G271/$AU271)/VLOOKUP(F271,商品!$A$4:$B$60,2,FALSE),0),"")</f>
        <v>1</v>
      </c>
      <c r="AM271" t="str">
        <f>IFERROR(ROUND(L271*(I271/$AU271)/VLOOKUP(H271,商品!$A$4:$B$60,2,FALSE),0),"")</f>
        <v/>
      </c>
      <c r="AN271">
        <f>IFERROR(ROUND(L271*(J271/$AU271)/VLOOKUP("运力",商品!$A$4:$B$60,2,FALSE),0),0)</f>
        <v>0</v>
      </c>
      <c r="AO271">
        <f>IFERROR(ROUND(L271*(K271/$AU271)/VLOOKUP("交易",商品!$A$4:$B$60,2,FALSE),0),0)</f>
        <v>0</v>
      </c>
      <c r="AP271" t="str">
        <f>IFERROR(ROUND(S271*(N271/$AV271)/VLOOKUP(M271,职业!$A$4:$G$16,4,FALSE),0),"")</f>
        <v/>
      </c>
      <c r="AQ271" t="str">
        <f>IFERROR(ROUND(S271*(P271/$AV271)/VLOOKUP(O271,职业!$A$4:$G$16,4,FALSE),0),"")</f>
        <v/>
      </c>
      <c r="AR271" t="str">
        <f>IFERROR(ROUND(S271*(R271/$AV271)/VLOOKUP(Q271,职业!$A$4:$G$16,4,FALSE),0),"")</f>
        <v/>
      </c>
      <c r="AS271" t="str">
        <f>IFERROR(ROUND(X271*(U271/$AW271)/VLOOKUP(T271,商品!$A$4:$B$60,2,FALSE),0),"")</f>
        <v/>
      </c>
      <c r="AT271" t="str">
        <f>IFERROR(ROUND(X271*(W271/$AW271)/VLOOKUP(V271,商品!$A$4:$B$60,2,FALSE),0),"")</f>
        <v/>
      </c>
      <c r="AU271">
        <f t="shared" si="109"/>
        <v>10</v>
      </c>
      <c r="AV271">
        <f t="shared" si="110"/>
        <v>0</v>
      </c>
      <c r="AW271">
        <f t="shared" si="111"/>
        <v>0</v>
      </c>
    </row>
    <row r="272" spans="1:49" ht="19.95" customHeight="1" x14ac:dyDescent="0.25">
      <c r="A272" s="16" t="s">
        <v>515</v>
      </c>
      <c r="C272" s="16">
        <v>3</v>
      </c>
      <c r="D272" s="23" t="s">
        <v>174</v>
      </c>
      <c r="E272" s="23" t="s">
        <v>175</v>
      </c>
      <c r="F272" s="2" t="s">
        <v>41</v>
      </c>
      <c r="G272" s="2">
        <v>10</v>
      </c>
      <c r="L272" s="16">
        <f>IFERROR(VLOOKUP($D272&amp;$C272,生产方式定位!$A$2:$E$38,2,FALSE)+VLOOKUP($E272&amp;$C272,生产方式定位!$F$3:$J$38,2,FALSE),0)</f>
        <v>100</v>
      </c>
      <c r="S272" s="16">
        <f>IFERROR(VLOOKUP($D272&amp;$C272,生产方式定位!$A$2:$E$38,3,FALSE)+VLOOKUP($E272&amp;$C272,生产方式定位!$F$3:$J$38,3,FALSE),0)</f>
        <v>20</v>
      </c>
      <c r="X272" s="16">
        <f>IFERROR(VLOOKUP($D272&amp;$C272,生产方式定位!$A$2:$E$38,5,FALSE)+VLOOKUP($E272&amp;$C272,生产方式定位!$F$3:$J$38,5,FALSE),"错误")</f>
        <v>0</v>
      </c>
      <c r="Y272" s="26" t="str">
        <f t="shared" si="96"/>
        <v>工具*3</v>
      </c>
      <c r="Z272" s="36" t="str">
        <f t="shared" si="97"/>
        <v/>
      </c>
      <c r="AA272" s="36" t="str">
        <f t="shared" si="98"/>
        <v/>
      </c>
      <c r="AB272" s="27" t="str">
        <f t="shared" si="99"/>
        <v>-100%</v>
      </c>
      <c r="AC272" s="2">
        <f t="shared" si="100"/>
        <v>-120</v>
      </c>
      <c r="AD272" s="38">
        <f t="shared" si="101"/>
        <v>3</v>
      </c>
      <c r="AE272" t="str">
        <f t="shared" si="102"/>
        <v>工具*3</v>
      </c>
      <c r="AF272" t="str">
        <f t="shared" si="103"/>
        <v/>
      </c>
      <c r="AG272" t="str">
        <f t="shared" si="104"/>
        <v/>
      </c>
      <c r="AH272" t="str">
        <f t="shared" si="105"/>
        <v/>
      </c>
      <c r="AI272" t="str">
        <f t="shared" si="106"/>
        <v/>
      </c>
      <c r="AJ272" t="str">
        <f t="shared" si="107"/>
        <v/>
      </c>
      <c r="AK272" t="str">
        <f t="shared" si="108"/>
        <v/>
      </c>
      <c r="AL272">
        <f>IFERROR(ROUND(L272*(G272/$AU272)/VLOOKUP(F272,商品!$A$4:$B$60,2,FALSE),0),"")</f>
        <v>3</v>
      </c>
      <c r="AM272" t="str">
        <f>IFERROR(ROUND(L272*(I272/$AU272)/VLOOKUP(H272,商品!$A$4:$B$60,2,FALSE),0),"")</f>
        <v/>
      </c>
      <c r="AN272">
        <f>IFERROR(ROUND(L272*(J272/$AU272)/VLOOKUP("运力",商品!$A$4:$B$60,2,FALSE),0),0)</f>
        <v>0</v>
      </c>
      <c r="AO272">
        <f>IFERROR(ROUND(L272*(K272/$AU272)/VLOOKUP("交易",商品!$A$4:$B$60,2,FALSE),0),0)</f>
        <v>0</v>
      </c>
      <c r="AP272" t="str">
        <f>IFERROR(ROUND(S272*(N272/$AV272)/VLOOKUP(M272,职业!$A$4:$G$16,4,FALSE),0),"")</f>
        <v/>
      </c>
      <c r="AQ272" t="str">
        <f>IFERROR(ROUND(S272*(P272/$AV272)/VLOOKUP(O272,职业!$A$4:$G$16,4,FALSE),0),"")</f>
        <v/>
      </c>
      <c r="AR272" t="str">
        <f>IFERROR(ROUND(S272*(R272/$AV272)/VLOOKUP(Q272,职业!$A$4:$G$16,4,FALSE),0),"")</f>
        <v/>
      </c>
      <c r="AS272" t="str">
        <f>IFERROR(ROUND(X272*(U272/$AW272)/VLOOKUP(T272,商品!$A$4:$B$60,2,FALSE),0),"")</f>
        <v/>
      </c>
      <c r="AT272" t="str">
        <f>IFERROR(ROUND(X272*(W272/$AW272)/VLOOKUP(V272,商品!$A$4:$B$60,2,FALSE),0),"")</f>
        <v/>
      </c>
      <c r="AU272">
        <f t="shared" si="109"/>
        <v>10</v>
      </c>
      <c r="AV272">
        <f t="shared" si="110"/>
        <v>0</v>
      </c>
      <c r="AW272">
        <f t="shared" si="111"/>
        <v>0</v>
      </c>
    </row>
    <row r="273" spans="1:49" ht="19.95" customHeight="1" x14ac:dyDescent="0.25">
      <c r="A273" s="16" t="s">
        <v>515</v>
      </c>
      <c r="C273" s="16">
        <v>4</v>
      </c>
      <c r="D273" s="23" t="s">
        <v>174</v>
      </c>
      <c r="E273" s="23" t="s">
        <v>175</v>
      </c>
      <c r="F273" s="2" t="s">
        <v>45</v>
      </c>
      <c r="G273" s="2">
        <v>5</v>
      </c>
      <c r="H273" s="2" t="s">
        <v>19</v>
      </c>
      <c r="I273" s="2">
        <v>10</v>
      </c>
      <c r="L273" s="16">
        <f>IFERROR(VLOOKUP($D273&amp;$C273,生产方式定位!$A$2:$E$38,2,FALSE)+VLOOKUP($E273&amp;$C273,生产方式定位!$F$3:$J$38,2,FALSE),0)</f>
        <v>150</v>
      </c>
      <c r="S273" s="16">
        <f>IFERROR(VLOOKUP($D273&amp;$C273,生产方式定位!$A$2:$E$38,3,FALSE)+VLOOKUP($E273&amp;$C273,生产方式定位!$F$3:$J$38,3,FALSE),0)</f>
        <v>30</v>
      </c>
      <c r="X273" s="16">
        <f>IFERROR(VLOOKUP($D273&amp;$C273,生产方式定位!$A$2:$E$38,5,FALSE)+VLOOKUP($E273&amp;$C273,生产方式定位!$F$3:$J$38,5,FALSE),"错误")</f>
        <v>0</v>
      </c>
      <c r="Y273" s="26" t="str">
        <f t="shared" si="96"/>
        <v>科学引擎*1,煤*3</v>
      </c>
      <c r="Z273" s="36" t="str">
        <f t="shared" si="97"/>
        <v/>
      </c>
      <c r="AA273" s="36" t="str">
        <f t="shared" si="98"/>
        <v/>
      </c>
      <c r="AB273" s="27" t="str">
        <f t="shared" si="99"/>
        <v>-100%</v>
      </c>
      <c r="AC273" s="2">
        <f t="shared" si="100"/>
        <v>-180</v>
      </c>
      <c r="AD273" s="38">
        <f t="shared" si="101"/>
        <v>4</v>
      </c>
      <c r="AE273" t="str">
        <f t="shared" si="102"/>
        <v>科学引擎*1</v>
      </c>
      <c r="AF273" t="str">
        <f t="shared" si="103"/>
        <v>煤*3</v>
      </c>
      <c r="AG273" t="str">
        <f t="shared" si="104"/>
        <v/>
      </c>
      <c r="AH273" t="str">
        <f t="shared" si="105"/>
        <v/>
      </c>
      <c r="AI273" t="str">
        <f t="shared" si="106"/>
        <v/>
      </c>
      <c r="AJ273" t="str">
        <f t="shared" si="107"/>
        <v/>
      </c>
      <c r="AK273" t="str">
        <f t="shared" si="108"/>
        <v/>
      </c>
      <c r="AL273">
        <f>IFERROR(ROUND(L273*(G273/$AU273)/VLOOKUP(F273,商品!$A$4:$B$60,2,FALSE),0),"")</f>
        <v>1</v>
      </c>
      <c r="AM273">
        <f>IFERROR(ROUND(L273*(I273/$AU273)/VLOOKUP(H273,商品!$A$4:$B$60,2,FALSE),0),"")</f>
        <v>3</v>
      </c>
      <c r="AN273">
        <f>IFERROR(ROUND(L273*(J273/$AU273)/VLOOKUP("运力",商品!$A$4:$B$60,2,FALSE),0),0)</f>
        <v>0</v>
      </c>
      <c r="AO273">
        <f>IFERROR(ROUND(L273*(K273/$AU273)/VLOOKUP("交易",商品!$A$4:$B$60,2,FALSE),0),0)</f>
        <v>0</v>
      </c>
      <c r="AP273" t="str">
        <f>IFERROR(ROUND(S273*(N273/$AV273)/VLOOKUP(M273,职业!$A$4:$G$16,4,FALSE),0),"")</f>
        <v/>
      </c>
      <c r="AQ273" t="str">
        <f>IFERROR(ROUND(S273*(P273/$AV273)/VLOOKUP(O273,职业!$A$4:$G$16,4,FALSE),0),"")</f>
        <v/>
      </c>
      <c r="AR273" t="str">
        <f>IFERROR(ROUND(S273*(R273/$AV273)/VLOOKUP(Q273,职业!$A$4:$G$16,4,FALSE),0),"")</f>
        <v/>
      </c>
      <c r="AS273" t="str">
        <f>IFERROR(ROUND(X273*(U273/$AW273)/VLOOKUP(T273,商品!$A$4:$B$60,2,FALSE),0),"")</f>
        <v/>
      </c>
      <c r="AT273" t="str">
        <f>IFERROR(ROUND(X273*(W273/$AW273)/VLOOKUP(V273,商品!$A$4:$B$60,2,FALSE),0),"")</f>
        <v/>
      </c>
      <c r="AU273">
        <f t="shared" si="109"/>
        <v>15</v>
      </c>
      <c r="AV273">
        <f t="shared" si="110"/>
        <v>0</v>
      </c>
      <c r="AW273">
        <f t="shared" si="111"/>
        <v>0</v>
      </c>
    </row>
    <row r="274" spans="1:49" ht="19.95" customHeight="1" x14ac:dyDescent="0.25">
      <c r="A274" s="16" t="s">
        <v>515</v>
      </c>
      <c r="C274" s="16">
        <v>5</v>
      </c>
      <c r="D274" s="23" t="s">
        <v>174</v>
      </c>
      <c r="E274" s="23" t="s">
        <v>175</v>
      </c>
      <c r="F274" s="2" t="s">
        <v>46</v>
      </c>
      <c r="G274" s="2">
        <v>5</v>
      </c>
      <c r="H274" s="2" t="s">
        <v>19</v>
      </c>
      <c r="I274" s="2">
        <v>10</v>
      </c>
      <c r="L274" s="16">
        <f>IFERROR(VLOOKUP($D274&amp;$C274,生产方式定位!$A$2:$E$38,2,FALSE)+VLOOKUP($E274&amp;$C274,生产方式定位!$F$3:$J$38,2,FALSE),0)</f>
        <v>200</v>
      </c>
      <c r="S274" s="16">
        <f>IFERROR(VLOOKUP($D274&amp;$C274,生产方式定位!$A$2:$E$38,3,FALSE)+VLOOKUP($E274&amp;$C274,生产方式定位!$F$3:$J$38,3,FALSE),0)</f>
        <v>40</v>
      </c>
      <c r="X274" s="16">
        <f>IFERROR(VLOOKUP($D274&amp;$C274,生产方式定位!$A$2:$E$38,5,FALSE)+VLOOKUP($E274&amp;$C274,生产方式定位!$F$3:$J$38,5,FALSE),"错误")</f>
        <v>0</v>
      </c>
      <c r="Y274" s="26" t="str">
        <f t="shared" si="96"/>
        <v>魔导引擎*1,煤*4</v>
      </c>
      <c r="Z274" s="36" t="str">
        <f t="shared" si="97"/>
        <v/>
      </c>
      <c r="AA274" s="36" t="str">
        <f t="shared" si="98"/>
        <v/>
      </c>
      <c r="AB274" s="27" t="str">
        <f t="shared" si="99"/>
        <v>-100%</v>
      </c>
      <c r="AC274" s="2">
        <f t="shared" si="100"/>
        <v>-240</v>
      </c>
      <c r="AD274" s="38">
        <f t="shared" si="101"/>
        <v>5</v>
      </c>
      <c r="AE274" t="str">
        <f t="shared" si="102"/>
        <v>魔导引擎*1</v>
      </c>
      <c r="AF274" t="str">
        <f t="shared" si="103"/>
        <v>煤*4</v>
      </c>
      <c r="AG274" t="str">
        <f t="shared" si="104"/>
        <v/>
      </c>
      <c r="AH274" t="str">
        <f t="shared" si="105"/>
        <v/>
      </c>
      <c r="AI274" t="str">
        <f t="shared" si="106"/>
        <v/>
      </c>
      <c r="AJ274" t="str">
        <f t="shared" si="107"/>
        <v/>
      </c>
      <c r="AK274" t="str">
        <f t="shared" si="108"/>
        <v/>
      </c>
      <c r="AL274">
        <f>IFERROR(ROUND(L274*(G274/$AU274)/VLOOKUP(F274,商品!$A$4:$B$60,2,FALSE),0),"")</f>
        <v>1</v>
      </c>
      <c r="AM274">
        <f>IFERROR(ROUND(L274*(I274/$AU274)/VLOOKUP(H274,商品!$A$4:$B$60,2,FALSE),0),"")</f>
        <v>4</v>
      </c>
      <c r="AN274">
        <f>IFERROR(ROUND(L274*(J274/$AU274)/VLOOKUP("运力",商品!$A$4:$B$60,2,FALSE),0),0)</f>
        <v>0</v>
      </c>
      <c r="AO274">
        <f>IFERROR(ROUND(L274*(K274/$AU274)/VLOOKUP("交易",商品!$A$4:$B$60,2,FALSE),0),0)</f>
        <v>0</v>
      </c>
      <c r="AP274" t="str">
        <f>IFERROR(ROUND(S274*(N274/$AV274)/VLOOKUP(M274,职业!$A$4:$G$16,4,FALSE),0),"")</f>
        <v/>
      </c>
      <c r="AQ274" t="str">
        <f>IFERROR(ROUND(S274*(P274/$AV274)/VLOOKUP(O274,职业!$A$4:$G$16,4,FALSE),0),"")</f>
        <v/>
      </c>
      <c r="AR274" t="str">
        <f>IFERROR(ROUND(S274*(R274/$AV274)/VLOOKUP(Q274,职业!$A$4:$G$16,4,FALSE),0),"")</f>
        <v/>
      </c>
      <c r="AS274" t="str">
        <f>IFERROR(ROUND(X274*(U274/$AW274)/VLOOKUP(T274,商品!$A$4:$B$60,2,FALSE),0),"")</f>
        <v/>
      </c>
      <c r="AT274" t="str">
        <f>IFERROR(ROUND(X274*(W274/$AW274)/VLOOKUP(V274,商品!$A$4:$B$60,2,FALSE),0),"")</f>
        <v/>
      </c>
      <c r="AU274">
        <f t="shared" si="109"/>
        <v>15</v>
      </c>
      <c r="AV274">
        <f t="shared" si="110"/>
        <v>0</v>
      </c>
      <c r="AW274">
        <f t="shared" si="111"/>
        <v>0</v>
      </c>
    </row>
    <row r="275" spans="1:49" ht="19.95" customHeight="1" x14ac:dyDescent="0.25">
      <c r="A275" s="15" t="s">
        <v>515</v>
      </c>
      <c r="C275" s="15">
        <v>1</v>
      </c>
      <c r="D275" s="23" t="s">
        <v>174</v>
      </c>
      <c r="E275" s="23" t="s">
        <v>177</v>
      </c>
      <c r="L275" s="15">
        <f>IFERROR(VLOOKUP($D275&amp;$C275,生产方式定位!$A$2:$E$38,2,FALSE)+VLOOKUP($E275&amp;$C275,生产方式定位!$F$3:$J$38,2,FALSE),0)</f>
        <v>0</v>
      </c>
      <c r="S275" s="15">
        <f>IFERROR(VLOOKUP($D275&amp;$C275,生产方式定位!$A$2:$E$38,3,FALSE)+VLOOKUP($E275&amp;$C275,生产方式定位!$F$3:$J$38,3,FALSE),0)</f>
        <v>0</v>
      </c>
      <c r="X275" s="15">
        <f>IFERROR(VLOOKUP($D275&amp;$C275,生产方式定位!$A$2:$E$38,5,FALSE)+VLOOKUP($E275&amp;$C275,生产方式定位!$F$3:$J$38,5,FALSE),"错误")</f>
        <v>0</v>
      </c>
      <c r="Y275" s="26" t="str">
        <f t="shared" si="96"/>
        <v/>
      </c>
      <c r="Z275" s="36" t="str">
        <f t="shared" si="97"/>
        <v/>
      </c>
      <c r="AA275" s="36" t="str">
        <f t="shared" si="98"/>
        <v/>
      </c>
      <c r="AB275" s="27" t="str">
        <f t="shared" si="99"/>
        <v/>
      </c>
      <c r="AC275" s="2" t="str">
        <f t="shared" si="100"/>
        <v/>
      </c>
      <c r="AD275" s="37">
        <f t="shared" si="101"/>
        <v>1</v>
      </c>
      <c r="AE275" t="str">
        <f t="shared" si="102"/>
        <v/>
      </c>
      <c r="AF275" t="str">
        <f t="shared" si="103"/>
        <v/>
      </c>
      <c r="AG275" t="str">
        <f t="shared" si="104"/>
        <v/>
      </c>
      <c r="AH275" t="str">
        <f t="shared" si="105"/>
        <v/>
      </c>
      <c r="AI275" t="str">
        <f t="shared" si="106"/>
        <v/>
      </c>
      <c r="AJ275" t="str">
        <f t="shared" si="107"/>
        <v/>
      </c>
      <c r="AK275" t="str">
        <f t="shared" si="108"/>
        <v/>
      </c>
      <c r="AL275" t="str">
        <f>IFERROR(ROUND(L275*(G275/$AU275)/VLOOKUP(F275,商品!$A$4:$B$60,2,FALSE),0),"")</f>
        <v/>
      </c>
      <c r="AM275" t="str">
        <f>IFERROR(ROUND(L275*(I275/$AU275)/VLOOKUP(H275,商品!$A$4:$B$60,2,FALSE),0),"")</f>
        <v/>
      </c>
      <c r="AN275">
        <f>IFERROR(ROUND(L275*(J275/$AU275)/VLOOKUP("运力",商品!$A$4:$B$60,2,FALSE),0),0)</f>
        <v>0</v>
      </c>
      <c r="AO275">
        <f>IFERROR(ROUND(L275*(K275/$AU275)/VLOOKUP("交易",商品!$A$4:$B$60,2,FALSE),0),0)</f>
        <v>0</v>
      </c>
      <c r="AP275" t="str">
        <f>IFERROR(ROUND(S275*(N275/$AV275)/VLOOKUP(M275,职业!$A$4:$G$16,4,FALSE),0),"")</f>
        <v/>
      </c>
      <c r="AQ275" t="str">
        <f>IFERROR(ROUND(S275*(P275/$AV275)/VLOOKUP(O275,职业!$A$4:$G$16,4,FALSE),0),"")</f>
        <v/>
      </c>
      <c r="AR275" t="str">
        <f>IFERROR(ROUND(S275*(R275/$AV275)/VLOOKUP(Q275,职业!$A$4:$G$16,4,FALSE),0),"")</f>
        <v/>
      </c>
      <c r="AS275" t="str">
        <f>IFERROR(ROUND(X275*(U275/$AW275)/VLOOKUP(T275,商品!$A$4:$B$60,2,FALSE),0),"")</f>
        <v/>
      </c>
      <c r="AT275" t="str">
        <f>IFERROR(ROUND(X275*(W275/$AW275)/VLOOKUP(V275,商品!$A$4:$B$60,2,FALSE),0),"")</f>
        <v/>
      </c>
      <c r="AU275">
        <f t="shared" si="109"/>
        <v>0</v>
      </c>
      <c r="AV275">
        <f t="shared" si="110"/>
        <v>0</v>
      </c>
      <c r="AW275">
        <f t="shared" si="111"/>
        <v>0</v>
      </c>
    </row>
    <row r="276" spans="1:49" ht="19.95" customHeight="1" x14ac:dyDescent="0.25">
      <c r="A276" s="15" t="s">
        <v>515</v>
      </c>
      <c r="C276" s="15">
        <v>2</v>
      </c>
      <c r="D276" s="23" t="s">
        <v>174</v>
      </c>
      <c r="E276" s="23" t="s">
        <v>177</v>
      </c>
      <c r="F276" s="2" t="s">
        <v>42</v>
      </c>
      <c r="G276" s="2">
        <v>5</v>
      </c>
      <c r="H276" s="2" t="s">
        <v>20</v>
      </c>
      <c r="I276" s="2">
        <v>10</v>
      </c>
      <c r="L276" s="15">
        <f>IFERROR(VLOOKUP($D276&amp;$C276,生产方式定位!$A$2:$E$38,2,FALSE)+VLOOKUP($E276&amp;$C276,生产方式定位!$F$3:$J$38,2,FALSE),0)</f>
        <v>105</v>
      </c>
      <c r="S276" s="15">
        <f>IFERROR(VLOOKUP($D276&amp;$C276,生产方式定位!$A$2:$E$38,3,FALSE)+VLOOKUP($E276&amp;$C276,生产方式定位!$F$3:$J$38,3,FALSE),0)</f>
        <v>15</v>
      </c>
      <c r="X276" s="15">
        <f>IFERROR(VLOOKUP($D276&amp;$C276,生产方式定位!$A$2:$E$38,5,FALSE)+VLOOKUP($E276&amp;$C276,生产方式定位!$F$3:$J$38,5,FALSE),"错误")</f>
        <v>0</v>
      </c>
      <c r="Y276" s="26" t="str">
        <f t="shared" si="96"/>
        <v>魔偶*1,灵能水晶*2</v>
      </c>
      <c r="Z276" s="36" t="str">
        <f t="shared" si="97"/>
        <v/>
      </c>
      <c r="AA276" s="36" t="str">
        <f t="shared" si="98"/>
        <v/>
      </c>
      <c r="AB276" s="27" t="str">
        <f t="shared" si="99"/>
        <v>-100%</v>
      </c>
      <c r="AC276" s="2">
        <f t="shared" si="100"/>
        <v>-120</v>
      </c>
      <c r="AD276" s="37">
        <f t="shared" si="101"/>
        <v>2</v>
      </c>
      <c r="AE276" t="str">
        <f t="shared" si="102"/>
        <v>魔偶*1</v>
      </c>
      <c r="AF276" t="str">
        <f t="shared" si="103"/>
        <v>灵能水晶*2</v>
      </c>
      <c r="AG276" t="str">
        <f t="shared" si="104"/>
        <v/>
      </c>
      <c r="AH276" t="str">
        <f t="shared" si="105"/>
        <v/>
      </c>
      <c r="AI276" t="str">
        <f t="shared" si="106"/>
        <v/>
      </c>
      <c r="AJ276" t="str">
        <f t="shared" si="107"/>
        <v/>
      </c>
      <c r="AK276" t="str">
        <f t="shared" si="108"/>
        <v/>
      </c>
      <c r="AL276">
        <f>IFERROR(ROUND(L276*(G276/$AU276)/VLOOKUP(F276,商品!$A$4:$B$60,2,FALSE),0),"")</f>
        <v>1</v>
      </c>
      <c r="AM276">
        <f>IFERROR(ROUND(L276*(I276/$AU276)/VLOOKUP(H276,商品!$A$4:$B$60,2,FALSE),0),"")</f>
        <v>2</v>
      </c>
      <c r="AN276">
        <f>IFERROR(ROUND(L276*(J276/$AU276)/VLOOKUP("运力",商品!$A$4:$B$60,2,FALSE),0),0)</f>
        <v>0</v>
      </c>
      <c r="AO276">
        <f>IFERROR(ROUND(L276*(K276/$AU276)/VLOOKUP("交易",商品!$A$4:$B$60,2,FALSE),0),0)</f>
        <v>0</v>
      </c>
      <c r="AP276" t="str">
        <f>IFERROR(ROUND(S276*(N276/$AV276)/VLOOKUP(M276,职业!$A$4:$G$16,4,FALSE),0),"")</f>
        <v/>
      </c>
      <c r="AQ276" t="str">
        <f>IFERROR(ROUND(S276*(P276/$AV276)/VLOOKUP(O276,职业!$A$4:$G$16,4,FALSE),0),"")</f>
        <v/>
      </c>
      <c r="AR276" t="str">
        <f>IFERROR(ROUND(S276*(R276/$AV276)/VLOOKUP(Q276,职业!$A$4:$G$16,4,FALSE),0),"")</f>
        <v/>
      </c>
      <c r="AS276" t="str">
        <f>IFERROR(ROUND(X276*(U276/$AW276)/VLOOKUP(T276,商品!$A$4:$B$60,2,FALSE),0),"")</f>
        <v/>
      </c>
      <c r="AT276" t="str">
        <f>IFERROR(ROUND(X276*(W276/$AW276)/VLOOKUP(V276,商品!$A$4:$B$60,2,FALSE),0),"")</f>
        <v/>
      </c>
      <c r="AU276">
        <f t="shared" si="109"/>
        <v>15</v>
      </c>
      <c r="AV276">
        <f t="shared" si="110"/>
        <v>0</v>
      </c>
      <c r="AW276">
        <f t="shared" si="111"/>
        <v>0</v>
      </c>
    </row>
    <row r="277" spans="1:49" ht="19.95" customHeight="1" x14ac:dyDescent="0.25">
      <c r="A277" s="15" t="s">
        <v>515</v>
      </c>
      <c r="C277" s="15">
        <v>3</v>
      </c>
      <c r="D277" s="23" t="s">
        <v>174</v>
      </c>
      <c r="E277" s="23" t="s">
        <v>177</v>
      </c>
      <c r="F277" s="2" t="s">
        <v>42</v>
      </c>
      <c r="G277" s="2">
        <v>5</v>
      </c>
      <c r="H277" s="2" t="s">
        <v>20</v>
      </c>
      <c r="I277" s="2">
        <v>10</v>
      </c>
      <c r="L277" s="15">
        <f>IFERROR(VLOOKUP($D277&amp;$C277,生产方式定位!$A$2:$E$38,2,FALSE)+VLOOKUP($E277&amp;$C277,生产方式定位!$F$3:$J$38,2,FALSE),0)</f>
        <v>210</v>
      </c>
      <c r="S277" s="15">
        <f>IFERROR(VLOOKUP($D277&amp;$C277,生产方式定位!$A$2:$E$38,3,FALSE)+VLOOKUP($E277&amp;$C277,生产方式定位!$F$3:$J$38,3,FALSE),0)</f>
        <v>30</v>
      </c>
      <c r="X277" s="15">
        <f>IFERROR(VLOOKUP($D277&amp;$C277,生产方式定位!$A$2:$E$38,5,FALSE)+VLOOKUP($E277&amp;$C277,生产方式定位!$F$3:$J$38,5,FALSE),"错误")</f>
        <v>0</v>
      </c>
      <c r="Y277" s="26" t="str">
        <f t="shared" si="96"/>
        <v>魔偶*2,灵能水晶*5</v>
      </c>
      <c r="Z277" s="36" t="str">
        <f t="shared" si="97"/>
        <v/>
      </c>
      <c r="AA277" s="36" t="str">
        <f t="shared" si="98"/>
        <v/>
      </c>
      <c r="AB277" s="27" t="str">
        <f t="shared" si="99"/>
        <v>-100%</v>
      </c>
      <c r="AC277" s="2">
        <f t="shared" si="100"/>
        <v>-240</v>
      </c>
      <c r="AD277" s="37">
        <f t="shared" si="101"/>
        <v>3</v>
      </c>
      <c r="AE277" t="str">
        <f t="shared" si="102"/>
        <v>魔偶*2</v>
      </c>
      <c r="AF277" t="str">
        <f t="shared" si="103"/>
        <v>灵能水晶*5</v>
      </c>
      <c r="AG277" t="str">
        <f t="shared" si="104"/>
        <v/>
      </c>
      <c r="AH277" t="str">
        <f t="shared" si="105"/>
        <v/>
      </c>
      <c r="AI277" t="str">
        <f t="shared" si="106"/>
        <v/>
      </c>
      <c r="AJ277" t="str">
        <f t="shared" si="107"/>
        <v/>
      </c>
      <c r="AK277" t="str">
        <f t="shared" si="108"/>
        <v/>
      </c>
      <c r="AL277">
        <f>IFERROR(ROUND(L277*(G277/$AU277)/VLOOKUP(F277,商品!$A$4:$B$60,2,FALSE),0),"")</f>
        <v>2</v>
      </c>
      <c r="AM277">
        <f>IFERROR(ROUND(L277*(I277/$AU277)/VLOOKUP(H277,商品!$A$4:$B$60,2,FALSE),0),"")</f>
        <v>5</v>
      </c>
      <c r="AN277">
        <f>IFERROR(ROUND(L277*(J277/$AU277)/VLOOKUP("运力",商品!$A$4:$B$60,2,FALSE),0),0)</f>
        <v>0</v>
      </c>
      <c r="AO277">
        <f>IFERROR(ROUND(L277*(K277/$AU277)/VLOOKUP("交易",商品!$A$4:$B$60,2,FALSE),0),0)</f>
        <v>0</v>
      </c>
      <c r="AP277" t="str">
        <f>IFERROR(ROUND(S277*(N277/$AV277)/VLOOKUP(M277,职业!$A$4:$G$16,4,FALSE),0),"")</f>
        <v/>
      </c>
      <c r="AQ277" t="str">
        <f>IFERROR(ROUND(S277*(P277/$AV277)/VLOOKUP(O277,职业!$A$4:$G$16,4,FALSE),0),"")</f>
        <v/>
      </c>
      <c r="AR277" t="str">
        <f>IFERROR(ROUND(S277*(R277/$AV277)/VLOOKUP(Q277,职业!$A$4:$G$16,4,FALSE),0),"")</f>
        <v/>
      </c>
      <c r="AS277" t="str">
        <f>IFERROR(ROUND(X277*(U277/$AW277)/VLOOKUP(T277,商品!$A$4:$B$60,2,FALSE),0),"")</f>
        <v/>
      </c>
      <c r="AT277" t="str">
        <f>IFERROR(ROUND(X277*(W277/$AW277)/VLOOKUP(V277,商品!$A$4:$B$60,2,FALSE),0),"")</f>
        <v/>
      </c>
      <c r="AU277">
        <f t="shared" si="109"/>
        <v>15</v>
      </c>
      <c r="AV277">
        <f t="shared" si="110"/>
        <v>0</v>
      </c>
      <c r="AW277">
        <f t="shared" si="111"/>
        <v>0</v>
      </c>
    </row>
    <row r="278" spans="1:49" ht="19.95" customHeight="1" x14ac:dyDescent="0.25">
      <c r="A278" s="15" t="s">
        <v>515</v>
      </c>
      <c r="C278" s="15">
        <v>4</v>
      </c>
      <c r="D278" s="23" t="s">
        <v>174</v>
      </c>
      <c r="E278" s="23" t="s">
        <v>177</v>
      </c>
      <c r="F278" s="2" t="s">
        <v>42</v>
      </c>
      <c r="G278" s="2">
        <v>5</v>
      </c>
      <c r="H278" s="2" t="s">
        <v>20</v>
      </c>
      <c r="I278" s="2">
        <v>10</v>
      </c>
      <c r="L278" s="15">
        <f>IFERROR(VLOOKUP($D278&amp;$C278,生产方式定位!$A$2:$E$38,2,FALSE)+VLOOKUP($E278&amp;$C278,生产方式定位!$F$3:$J$38,2,FALSE),0)</f>
        <v>315</v>
      </c>
      <c r="S278" s="15">
        <f>IFERROR(VLOOKUP($D278&amp;$C278,生产方式定位!$A$2:$E$38,3,FALSE)+VLOOKUP($E278&amp;$C278,生产方式定位!$F$3:$J$38,3,FALSE),0)</f>
        <v>45</v>
      </c>
      <c r="X278" s="15">
        <f>IFERROR(VLOOKUP($D278&amp;$C278,生产方式定位!$A$2:$E$38,5,FALSE)+VLOOKUP($E278&amp;$C278,生产方式定位!$F$3:$J$38,5,FALSE),"错误")</f>
        <v>0</v>
      </c>
      <c r="Y278" s="26" t="str">
        <f t="shared" si="96"/>
        <v>魔偶*3,灵能水晶*7</v>
      </c>
      <c r="Z278" s="36" t="str">
        <f t="shared" si="97"/>
        <v/>
      </c>
      <c r="AA278" s="36" t="str">
        <f t="shared" si="98"/>
        <v/>
      </c>
      <c r="AB278" s="27" t="str">
        <f t="shared" si="99"/>
        <v>-100%</v>
      </c>
      <c r="AC278" s="2">
        <f t="shared" si="100"/>
        <v>-360</v>
      </c>
      <c r="AD278" s="37">
        <f t="shared" si="101"/>
        <v>4</v>
      </c>
      <c r="AE278" t="str">
        <f t="shared" si="102"/>
        <v>魔偶*3</v>
      </c>
      <c r="AF278" t="str">
        <f t="shared" si="103"/>
        <v>灵能水晶*7</v>
      </c>
      <c r="AG278" t="str">
        <f t="shared" si="104"/>
        <v/>
      </c>
      <c r="AH278" t="str">
        <f t="shared" si="105"/>
        <v/>
      </c>
      <c r="AI278" t="str">
        <f t="shared" si="106"/>
        <v/>
      </c>
      <c r="AJ278" t="str">
        <f t="shared" si="107"/>
        <v/>
      </c>
      <c r="AK278" t="str">
        <f t="shared" si="108"/>
        <v/>
      </c>
      <c r="AL278">
        <f>IFERROR(ROUND(L278*(G278/$AU278)/VLOOKUP(F278,商品!$A$4:$B$60,2,FALSE),0),"")</f>
        <v>3</v>
      </c>
      <c r="AM278">
        <f>IFERROR(ROUND(L278*(I278/$AU278)/VLOOKUP(H278,商品!$A$4:$B$60,2,FALSE),0),"")</f>
        <v>7</v>
      </c>
      <c r="AN278">
        <f>IFERROR(ROUND(L278*(J278/$AU278)/VLOOKUP("运力",商品!$A$4:$B$60,2,FALSE),0),0)</f>
        <v>0</v>
      </c>
      <c r="AO278">
        <f>IFERROR(ROUND(L278*(K278/$AU278)/VLOOKUP("交易",商品!$A$4:$B$60,2,FALSE),0),0)</f>
        <v>0</v>
      </c>
      <c r="AP278" t="str">
        <f>IFERROR(ROUND(S278*(N278/$AV278)/VLOOKUP(M278,职业!$A$4:$G$16,4,FALSE),0),"")</f>
        <v/>
      </c>
      <c r="AQ278" t="str">
        <f>IFERROR(ROUND(S278*(P278/$AV278)/VLOOKUP(O278,职业!$A$4:$G$16,4,FALSE),0),"")</f>
        <v/>
      </c>
      <c r="AR278" t="str">
        <f>IFERROR(ROUND(S278*(R278/$AV278)/VLOOKUP(Q278,职业!$A$4:$G$16,4,FALSE),0),"")</f>
        <v/>
      </c>
      <c r="AS278" t="str">
        <f>IFERROR(ROUND(X278*(U278/$AW278)/VLOOKUP(T278,商品!$A$4:$B$60,2,FALSE),0),"")</f>
        <v/>
      </c>
      <c r="AT278" t="str">
        <f>IFERROR(ROUND(X278*(W278/$AW278)/VLOOKUP(V278,商品!$A$4:$B$60,2,FALSE),0),"")</f>
        <v/>
      </c>
      <c r="AU278">
        <f t="shared" si="109"/>
        <v>15</v>
      </c>
      <c r="AV278">
        <f t="shared" si="110"/>
        <v>0</v>
      </c>
      <c r="AW278">
        <f t="shared" si="111"/>
        <v>0</v>
      </c>
    </row>
    <row r="279" spans="1:49" ht="19.95" customHeight="1" x14ac:dyDescent="0.25">
      <c r="A279" s="15" t="s">
        <v>515</v>
      </c>
      <c r="C279" s="15">
        <v>5</v>
      </c>
      <c r="D279" s="23" t="s">
        <v>174</v>
      </c>
      <c r="E279" s="23" t="s">
        <v>177</v>
      </c>
      <c r="F279" s="2" t="s">
        <v>42</v>
      </c>
      <c r="G279" s="2">
        <v>5</v>
      </c>
      <c r="H279" s="2" t="s">
        <v>20</v>
      </c>
      <c r="I279" s="2">
        <v>10</v>
      </c>
      <c r="L279" s="15">
        <f>IFERROR(VLOOKUP($D279&amp;$C279,生产方式定位!$A$2:$E$38,2,FALSE)+VLOOKUP($E279&amp;$C279,生产方式定位!$F$3:$J$38,2,FALSE),0)</f>
        <v>420</v>
      </c>
      <c r="S279" s="15">
        <f>IFERROR(VLOOKUP($D279&amp;$C279,生产方式定位!$A$2:$E$38,3,FALSE)+VLOOKUP($E279&amp;$C279,生产方式定位!$F$3:$J$38,3,FALSE),0)</f>
        <v>60</v>
      </c>
      <c r="X279" s="15">
        <f>IFERROR(VLOOKUP($D279&amp;$C279,生产方式定位!$A$2:$E$38,5,FALSE)+VLOOKUP($E279&amp;$C279,生产方式定位!$F$3:$J$38,5,FALSE),"错误")</f>
        <v>0</v>
      </c>
      <c r="Y279" s="26" t="str">
        <f t="shared" si="96"/>
        <v>魔偶*4,灵能水晶*9</v>
      </c>
      <c r="Z279" s="36" t="str">
        <f t="shared" si="97"/>
        <v/>
      </c>
      <c r="AA279" s="36" t="str">
        <f t="shared" si="98"/>
        <v/>
      </c>
      <c r="AB279" s="27" t="str">
        <f t="shared" si="99"/>
        <v>-100%</v>
      </c>
      <c r="AC279" s="2">
        <f t="shared" si="100"/>
        <v>-480</v>
      </c>
      <c r="AD279" s="37">
        <f t="shared" si="101"/>
        <v>5</v>
      </c>
      <c r="AE279" t="str">
        <f t="shared" si="102"/>
        <v>魔偶*4</v>
      </c>
      <c r="AF279" t="str">
        <f t="shared" si="103"/>
        <v>灵能水晶*9</v>
      </c>
      <c r="AG279" t="str">
        <f t="shared" si="104"/>
        <v/>
      </c>
      <c r="AH279" t="str">
        <f t="shared" si="105"/>
        <v/>
      </c>
      <c r="AI279" t="str">
        <f t="shared" si="106"/>
        <v/>
      </c>
      <c r="AJ279" t="str">
        <f t="shared" si="107"/>
        <v/>
      </c>
      <c r="AK279" t="str">
        <f t="shared" si="108"/>
        <v/>
      </c>
      <c r="AL279">
        <f>IFERROR(ROUND(L279*(G279/$AU279)/VLOOKUP(F279,商品!$A$4:$B$60,2,FALSE),0),"")</f>
        <v>4</v>
      </c>
      <c r="AM279">
        <f>IFERROR(ROUND(L279*(I279/$AU279)/VLOOKUP(H279,商品!$A$4:$B$60,2,FALSE),0),"")</f>
        <v>9</v>
      </c>
      <c r="AN279">
        <f>IFERROR(ROUND(L279*(J279/$AU279)/VLOOKUP("运力",商品!$A$4:$B$60,2,FALSE),0),0)</f>
        <v>0</v>
      </c>
      <c r="AO279">
        <f>IFERROR(ROUND(L279*(K279/$AU279)/VLOOKUP("交易",商品!$A$4:$B$60,2,FALSE),0),0)</f>
        <v>0</v>
      </c>
      <c r="AP279" t="str">
        <f>IFERROR(ROUND(S279*(N279/$AV279)/VLOOKUP(M279,职业!$A$4:$G$16,4,FALSE),0),"")</f>
        <v/>
      </c>
      <c r="AQ279" t="str">
        <f>IFERROR(ROUND(S279*(P279/$AV279)/VLOOKUP(O279,职业!$A$4:$G$16,4,FALSE),0),"")</f>
        <v/>
      </c>
      <c r="AR279" t="str">
        <f>IFERROR(ROUND(S279*(R279/$AV279)/VLOOKUP(Q279,职业!$A$4:$G$16,4,FALSE),0),"")</f>
        <v/>
      </c>
      <c r="AS279" t="str">
        <f>IFERROR(ROUND(X279*(U279/$AW279)/VLOOKUP(T279,商品!$A$4:$B$60,2,FALSE),0),"")</f>
        <v/>
      </c>
      <c r="AT279" t="str">
        <f>IFERROR(ROUND(X279*(W279/$AW279)/VLOOKUP(V279,商品!$A$4:$B$60,2,FALSE),0),"")</f>
        <v/>
      </c>
      <c r="AU279">
        <f t="shared" si="109"/>
        <v>15</v>
      </c>
      <c r="AV279">
        <f t="shared" si="110"/>
        <v>0</v>
      </c>
      <c r="AW279">
        <f t="shared" si="111"/>
        <v>0</v>
      </c>
    </row>
    <row r="280" spans="1:49" ht="19.95" customHeight="1" x14ac:dyDescent="0.25">
      <c r="A280" s="16" t="s">
        <v>237</v>
      </c>
      <c r="C280" s="16">
        <v>1</v>
      </c>
      <c r="D280" s="23" t="s">
        <v>174</v>
      </c>
      <c r="E280" s="23" t="s">
        <v>179</v>
      </c>
      <c r="L280" s="16">
        <f>IFERROR(VLOOKUP($D280&amp;$C280,生产方式定位!$A$2:$E$38,2,FALSE)+VLOOKUP($E280&amp;$C280,生产方式定位!$F$3:$J$38,2,FALSE),0)</f>
        <v>0</v>
      </c>
      <c r="S280" s="16">
        <f>IFERROR(VLOOKUP($D280&amp;$C280,生产方式定位!$A$2:$E$38,3,FALSE)+VLOOKUP($E280&amp;$C280,生产方式定位!$F$3:$J$38,3,FALSE),0)</f>
        <v>100</v>
      </c>
      <c r="X280" s="16">
        <f>IFERROR(VLOOKUP($D280&amp;$C280,生产方式定位!$A$2:$E$38,5,FALSE)+VLOOKUP($E280&amp;$C280,生产方式定位!$F$3:$J$38,5,FALSE),"错误")</f>
        <v>100</v>
      </c>
      <c r="Y280" s="26" t="str">
        <f t="shared" si="96"/>
        <v/>
      </c>
      <c r="Z280" s="36" t="str">
        <f t="shared" si="97"/>
        <v/>
      </c>
      <c r="AA280" s="36" t="str">
        <f t="shared" si="98"/>
        <v/>
      </c>
      <c r="AB280" s="27" t="str">
        <f t="shared" si="99"/>
        <v/>
      </c>
      <c r="AC280" s="2" t="str">
        <f t="shared" si="100"/>
        <v/>
      </c>
      <c r="AD280" s="38">
        <f t="shared" si="101"/>
        <v>1</v>
      </c>
      <c r="AE280" t="str">
        <f t="shared" si="102"/>
        <v/>
      </c>
      <c r="AF280" t="str">
        <f t="shared" si="103"/>
        <v/>
      </c>
      <c r="AG280" t="str">
        <f t="shared" si="104"/>
        <v/>
      </c>
      <c r="AH280" t="str">
        <f t="shared" si="105"/>
        <v/>
      </c>
      <c r="AI280" t="str">
        <f t="shared" si="106"/>
        <v/>
      </c>
      <c r="AJ280" t="str">
        <f t="shared" si="107"/>
        <v/>
      </c>
      <c r="AK280" t="str">
        <f t="shared" si="108"/>
        <v/>
      </c>
      <c r="AL280" t="str">
        <f>IFERROR(ROUND(L280*(G280/$AU280)/VLOOKUP(F280,商品!$A$4:$B$60,2,FALSE),0),"")</f>
        <v/>
      </c>
      <c r="AM280" t="str">
        <f>IFERROR(ROUND(L280*(I280/$AU280)/VLOOKUP(H280,商品!$A$4:$B$60,2,FALSE),0),"")</f>
        <v/>
      </c>
      <c r="AN280">
        <f>IFERROR(ROUND(L280*(J280/$AU280)/VLOOKUP("运力",商品!$A$4:$B$60,2,FALSE),0),0)</f>
        <v>0</v>
      </c>
      <c r="AO280">
        <f>IFERROR(ROUND(L280*(K280/$AU280)/VLOOKUP("交易",商品!$A$4:$B$60,2,FALSE),0),0)</f>
        <v>0</v>
      </c>
      <c r="AP280" t="str">
        <f>IFERROR(ROUND(S280*(N280/$AV280)/VLOOKUP(M280,职业!$A$4:$G$16,4,FALSE),0),"")</f>
        <v/>
      </c>
      <c r="AQ280" t="str">
        <f>IFERROR(ROUND(S280*(P280/$AV280)/VLOOKUP(O280,职业!$A$4:$G$16,4,FALSE),0),"")</f>
        <v/>
      </c>
      <c r="AR280" t="str">
        <f>IFERROR(ROUND(S280*(R280/$AV280)/VLOOKUP(Q280,职业!$A$4:$G$16,4,FALSE),0),"")</f>
        <v/>
      </c>
      <c r="AS280" t="str">
        <f>IFERROR(ROUND(X280*(U280/$AW280)/VLOOKUP(T280,商品!$A$4:$B$60,2,FALSE),0),"")</f>
        <v/>
      </c>
      <c r="AT280" t="str">
        <f>IFERROR(ROUND(X280*(W280/$AW280)/VLOOKUP(V280,商品!$A$4:$B$60,2,FALSE),0),"")</f>
        <v/>
      </c>
      <c r="AU280">
        <f t="shared" si="109"/>
        <v>0</v>
      </c>
      <c r="AV280">
        <f t="shared" si="110"/>
        <v>0</v>
      </c>
      <c r="AW280">
        <f t="shared" si="111"/>
        <v>0</v>
      </c>
    </row>
    <row r="281" spans="1:49" ht="19.95" customHeight="1" x14ac:dyDescent="0.25">
      <c r="A281" s="16" t="s">
        <v>237</v>
      </c>
      <c r="C281" s="16">
        <v>2</v>
      </c>
      <c r="D281" s="23" t="s">
        <v>174</v>
      </c>
      <c r="E281" s="23" t="s">
        <v>179</v>
      </c>
      <c r="L281" s="16">
        <f>IFERROR(VLOOKUP($D281&amp;$C281,生产方式定位!$A$2:$E$38,2,FALSE)+VLOOKUP($E281&amp;$C281,生产方式定位!$F$3:$J$38,2,FALSE),0)</f>
        <v>0</v>
      </c>
      <c r="S281" s="16">
        <f>IFERROR(VLOOKUP($D281&amp;$C281,生产方式定位!$A$2:$E$38,3,FALSE)+VLOOKUP($E281&amp;$C281,生产方式定位!$F$3:$J$38,3,FALSE),0)</f>
        <v>100</v>
      </c>
      <c r="X281" s="16">
        <f>IFERROR(VLOOKUP($D281&amp;$C281,生产方式定位!$A$2:$E$38,5,FALSE)+VLOOKUP($E281&amp;$C281,生产方式定位!$F$3:$J$38,5,FALSE),"错误")</f>
        <v>100</v>
      </c>
      <c r="Y281" s="26" t="str">
        <f t="shared" si="96"/>
        <v/>
      </c>
      <c r="Z281" s="36" t="str">
        <f t="shared" si="97"/>
        <v/>
      </c>
      <c r="AA281" s="36" t="str">
        <f t="shared" si="98"/>
        <v/>
      </c>
      <c r="AB281" s="27" t="str">
        <f t="shared" si="99"/>
        <v/>
      </c>
      <c r="AC281" s="2" t="str">
        <f t="shared" si="100"/>
        <v/>
      </c>
      <c r="AD281" s="38">
        <f t="shared" si="101"/>
        <v>2</v>
      </c>
      <c r="AE281" t="str">
        <f t="shared" si="102"/>
        <v/>
      </c>
      <c r="AF281" t="str">
        <f t="shared" si="103"/>
        <v/>
      </c>
      <c r="AG281" t="str">
        <f t="shared" si="104"/>
        <v/>
      </c>
      <c r="AH281" t="str">
        <f t="shared" si="105"/>
        <v/>
      </c>
      <c r="AI281" t="str">
        <f t="shared" si="106"/>
        <v/>
      </c>
      <c r="AJ281" t="str">
        <f t="shared" si="107"/>
        <v/>
      </c>
      <c r="AK281" t="str">
        <f t="shared" si="108"/>
        <v/>
      </c>
      <c r="AL281" t="str">
        <f>IFERROR(ROUND(L281*(G281/$AU281)/VLOOKUP(F281,商品!$A$4:$B$60,2,FALSE),0),"")</f>
        <v/>
      </c>
      <c r="AM281" t="str">
        <f>IFERROR(ROUND(L281*(I281/$AU281)/VLOOKUP(H281,商品!$A$4:$B$60,2,FALSE),0),"")</f>
        <v/>
      </c>
      <c r="AN281">
        <f>IFERROR(ROUND(L281*(J281/$AU281)/VLOOKUP("运力",商品!$A$4:$B$60,2,FALSE),0),0)</f>
        <v>0</v>
      </c>
      <c r="AO281">
        <f>IFERROR(ROUND(L281*(K281/$AU281)/VLOOKUP("交易",商品!$A$4:$B$60,2,FALSE),0),0)</f>
        <v>0</v>
      </c>
      <c r="AP281" t="str">
        <f>IFERROR(ROUND(S281*(N281/$AV281)/VLOOKUP(M281,职业!$A$4:$G$16,4,FALSE),0),"")</f>
        <v/>
      </c>
      <c r="AQ281" t="str">
        <f>IFERROR(ROUND(S281*(P281/$AV281)/VLOOKUP(O281,职业!$A$4:$G$16,4,FALSE),0),"")</f>
        <v/>
      </c>
      <c r="AR281" t="str">
        <f>IFERROR(ROUND(S281*(R281/$AV281)/VLOOKUP(Q281,职业!$A$4:$G$16,4,FALSE),0),"")</f>
        <v/>
      </c>
      <c r="AS281" t="str">
        <f>IFERROR(ROUND(X281*(U281/$AW281)/VLOOKUP(T281,商品!$A$4:$B$60,2,FALSE),0),"")</f>
        <v/>
      </c>
      <c r="AT281" t="str">
        <f>IFERROR(ROUND(X281*(W281/$AW281)/VLOOKUP(V281,商品!$A$4:$B$60,2,FALSE),0),"")</f>
        <v/>
      </c>
      <c r="AU281">
        <f t="shared" si="109"/>
        <v>0</v>
      </c>
      <c r="AV281">
        <f t="shared" si="110"/>
        <v>0</v>
      </c>
      <c r="AW281">
        <f t="shared" si="111"/>
        <v>0</v>
      </c>
    </row>
    <row r="282" spans="1:49" ht="19.95" customHeight="1" x14ac:dyDescent="0.25">
      <c r="A282" s="16" t="s">
        <v>237</v>
      </c>
      <c r="C282" s="16">
        <v>3</v>
      </c>
      <c r="D282" s="23" t="s">
        <v>174</v>
      </c>
      <c r="E282" s="23" t="s">
        <v>179</v>
      </c>
      <c r="L282" s="16">
        <f>IFERROR(VLOOKUP($D282&amp;$C282,生产方式定位!$A$2:$E$38,2,FALSE)+VLOOKUP($E282&amp;$C282,生产方式定位!$F$3:$J$38,2,FALSE),0)</f>
        <v>0</v>
      </c>
      <c r="S282" s="16">
        <f>IFERROR(VLOOKUP($D282&amp;$C282,生产方式定位!$A$2:$E$38,3,FALSE)+VLOOKUP($E282&amp;$C282,生产方式定位!$F$3:$J$38,3,FALSE),0)</f>
        <v>100</v>
      </c>
      <c r="X282" s="16">
        <f>IFERROR(VLOOKUP($D282&amp;$C282,生产方式定位!$A$2:$E$38,5,FALSE)+VLOOKUP($E282&amp;$C282,生产方式定位!$F$3:$J$38,5,FALSE),"错误")</f>
        <v>100</v>
      </c>
      <c r="Y282" s="26" t="str">
        <f t="shared" si="96"/>
        <v/>
      </c>
      <c r="Z282" s="36" t="str">
        <f t="shared" si="97"/>
        <v/>
      </c>
      <c r="AA282" s="36" t="str">
        <f t="shared" si="98"/>
        <v/>
      </c>
      <c r="AB282" s="27" t="str">
        <f t="shared" si="99"/>
        <v/>
      </c>
      <c r="AC282" s="2" t="str">
        <f t="shared" si="100"/>
        <v/>
      </c>
      <c r="AD282" s="38">
        <f t="shared" si="101"/>
        <v>3</v>
      </c>
      <c r="AE282" t="str">
        <f t="shared" si="102"/>
        <v/>
      </c>
      <c r="AF282" t="str">
        <f t="shared" si="103"/>
        <v/>
      </c>
      <c r="AG282" t="str">
        <f t="shared" si="104"/>
        <v/>
      </c>
      <c r="AH282" t="str">
        <f t="shared" si="105"/>
        <v/>
      </c>
      <c r="AI282" t="str">
        <f t="shared" si="106"/>
        <v/>
      </c>
      <c r="AJ282" t="str">
        <f t="shared" si="107"/>
        <v/>
      </c>
      <c r="AK282" t="str">
        <f t="shared" si="108"/>
        <v/>
      </c>
      <c r="AL282" t="str">
        <f>IFERROR(ROUND(L282*(G282/$AU282)/VLOOKUP(F282,商品!$A$4:$B$60,2,FALSE),0),"")</f>
        <v/>
      </c>
      <c r="AM282" t="str">
        <f>IFERROR(ROUND(L282*(I282/$AU282)/VLOOKUP(H282,商品!$A$4:$B$60,2,FALSE),0),"")</f>
        <v/>
      </c>
      <c r="AN282">
        <f>IFERROR(ROUND(L282*(J282/$AU282)/VLOOKUP("运力",商品!$A$4:$B$60,2,FALSE),0),0)</f>
        <v>0</v>
      </c>
      <c r="AO282">
        <f>IFERROR(ROUND(L282*(K282/$AU282)/VLOOKUP("交易",商品!$A$4:$B$60,2,FALSE),0),0)</f>
        <v>0</v>
      </c>
      <c r="AP282" t="str">
        <f>IFERROR(ROUND(S282*(N282/$AV282)/VLOOKUP(M282,职业!$A$4:$G$16,4,FALSE),0),"")</f>
        <v/>
      </c>
      <c r="AQ282" t="str">
        <f>IFERROR(ROUND(S282*(P282/$AV282)/VLOOKUP(O282,职业!$A$4:$G$16,4,FALSE),0),"")</f>
        <v/>
      </c>
      <c r="AR282" t="str">
        <f>IFERROR(ROUND(S282*(R282/$AV282)/VLOOKUP(Q282,职业!$A$4:$G$16,4,FALSE),0),"")</f>
        <v/>
      </c>
      <c r="AS282" t="str">
        <f>IFERROR(ROUND(X282*(U282/$AW282)/VLOOKUP(T282,商品!$A$4:$B$60,2,FALSE),0),"")</f>
        <v/>
      </c>
      <c r="AT282" t="str">
        <f>IFERROR(ROUND(X282*(W282/$AW282)/VLOOKUP(V282,商品!$A$4:$B$60,2,FALSE),0),"")</f>
        <v/>
      </c>
      <c r="AU282">
        <f t="shared" si="109"/>
        <v>0</v>
      </c>
      <c r="AV282">
        <f t="shared" si="110"/>
        <v>0</v>
      </c>
      <c r="AW282">
        <f t="shared" si="111"/>
        <v>0</v>
      </c>
    </row>
    <row r="283" spans="1:49" ht="19.95" customHeight="1" x14ac:dyDescent="0.25">
      <c r="A283" s="16" t="s">
        <v>237</v>
      </c>
      <c r="C283" s="16">
        <v>4</v>
      </c>
      <c r="D283" s="23" t="s">
        <v>174</v>
      </c>
      <c r="E283" s="23" t="s">
        <v>179</v>
      </c>
      <c r="L283" s="16">
        <f>IFERROR(VLOOKUP($D283&amp;$C283,生产方式定位!$A$2:$E$38,2,FALSE)+VLOOKUP($E283&amp;$C283,生产方式定位!$F$3:$J$38,2,FALSE),0)</f>
        <v>0</v>
      </c>
      <c r="S283" s="16">
        <f>IFERROR(VLOOKUP($D283&amp;$C283,生产方式定位!$A$2:$E$38,3,FALSE)+VLOOKUP($E283&amp;$C283,生产方式定位!$F$3:$J$38,3,FALSE),0)</f>
        <v>100</v>
      </c>
      <c r="X283" s="16">
        <f>IFERROR(VLOOKUP($D283&amp;$C283,生产方式定位!$A$2:$E$38,5,FALSE)+VLOOKUP($E283&amp;$C283,生产方式定位!$F$3:$J$38,5,FALSE),"错误")</f>
        <v>100</v>
      </c>
      <c r="Y283" s="26" t="str">
        <f t="shared" si="96"/>
        <v/>
      </c>
      <c r="Z283" s="36" t="str">
        <f t="shared" si="97"/>
        <v/>
      </c>
      <c r="AA283" s="36" t="str">
        <f t="shared" si="98"/>
        <v/>
      </c>
      <c r="AB283" s="27" t="str">
        <f t="shared" si="99"/>
        <v/>
      </c>
      <c r="AC283" s="2" t="str">
        <f t="shared" si="100"/>
        <v/>
      </c>
      <c r="AD283" s="38">
        <f t="shared" si="101"/>
        <v>4</v>
      </c>
      <c r="AE283" t="str">
        <f t="shared" si="102"/>
        <v/>
      </c>
      <c r="AF283" t="str">
        <f t="shared" si="103"/>
        <v/>
      </c>
      <c r="AG283" t="str">
        <f t="shared" si="104"/>
        <v/>
      </c>
      <c r="AH283" t="str">
        <f t="shared" si="105"/>
        <v/>
      </c>
      <c r="AI283" t="str">
        <f t="shared" si="106"/>
        <v/>
      </c>
      <c r="AJ283" t="str">
        <f t="shared" si="107"/>
        <v/>
      </c>
      <c r="AK283" t="str">
        <f t="shared" si="108"/>
        <v/>
      </c>
      <c r="AL283" t="str">
        <f>IFERROR(ROUND(L283*(G283/$AU283)/VLOOKUP(F283,商品!$A$4:$B$60,2,FALSE),0),"")</f>
        <v/>
      </c>
      <c r="AM283" t="str">
        <f>IFERROR(ROUND(L283*(I283/$AU283)/VLOOKUP(H283,商品!$A$4:$B$60,2,FALSE),0),"")</f>
        <v/>
      </c>
      <c r="AN283">
        <f>IFERROR(ROUND(L283*(J283/$AU283)/VLOOKUP("运力",商品!$A$4:$B$60,2,FALSE),0),0)</f>
        <v>0</v>
      </c>
      <c r="AO283">
        <f>IFERROR(ROUND(L283*(K283/$AU283)/VLOOKUP("交易",商品!$A$4:$B$60,2,FALSE),0),0)</f>
        <v>0</v>
      </c>
      <c r="AP283" t="str">
        <f>IFERROR(ROUND(S283*(N283/$AV283)/VLOOKUP(M283,职业!$A$4:$G$16,4,FALSE),0),"")</f>
        <v/>
      </c>
      <c r="AQ283" t="str">
        <f>IFERROR(ROUND(S283*(P283/$AV283)/VLOOKUP(O283,职业!$A$4:$G$16,4,FALSE),0),"")</f>
        <v/>
      </c>
      <c r="AR283" t="str">
        <f>IFERROR(ROUND(S283*(R283/$AV283)/VLOOKUP(Q283,职业!$A$4:$G$16,4,FALSE),0),"")</f>
        <v/>
      </c>
      <c r="AS283" t="str">
        <f>IFERROR(ROUND(X283*(U283/$AW283)/VLOOKUP(T283,商品!$A$4:$B$60,2,FALSE),0),"")</f>
        <v/>
      </c>
      <c r="AT283" t="str">
        <f>IFERROR(ROUND(X283*(W283/$AW283)/VLOOKUP(V283,商品!$A$4:$B$60,2,FALSE),0),"")</f>
        <v/>
      </c>
      <c r="AU283">
        <f t="shared" si="109"/>
        <v>0</v>
      </c>
      <c r="AV283">
        <f t="shared" si="110"/>
        <v>0</v>
      </c>
      <c r="AW283">
        <f t="shared" si="111"/>
        <v>0</v>
      </c>
    </row>
    <row r="284" spans="1:49" ht="19.95" customHeight="1" x14ac:dyDescent="0.25">
      <c r="A284" s="16" t="s">
        <v>237</v>
      </c>
      <c r="C284" s="16">
        <v>5</v>
      </c>
      <c r="D284" s="23" t="s">
        <v>174</v>
      </c>
      <c r="E284" s="23" t="s">
        <v>179</v>
      </c>
      <c r="L284" s="16">
        <f>IFERROR(VLOOKUP($D284&amp;$C284,生产方式定位!$A$2:$E$38,2,FALSE)+VLOOKUP($E284&amp;$C284,生产方式定位!$F$3:$J$38,2,FALSE),0)</f>
        <v>0</v>
      </c>
      <c r="S284" s="16">
        <f>IFERROR(VLOOKUP($D284&amp;$C284,生产方式定位!$A$2:$E$38,3,FALSE)+VLOOKUP($E284&amp;$C284,生产方式定位!$F$3:$J$38,3,FALSE),0)</f>
        <v>100</v>
      </c>
      <c r="X284" s="16">
        <f>IFERROR(VLOOKUP($D284&amp;$C284,生产方式定位!$A$2:$E$38,5,FALSE)+VLOOKUP($E284&amp;$C284,生产方式定位!$F$3:$J$38,5,FALSE),"错误")</f>
        <v>100</v>
      </c>
      <c r="Y284" s="26" t="str">
        <f t="shared" si="96"/>
        <v/>
      </c>
      <c r="Z284" s="36" t="str">
        <f t="shared" si="97"/>
        <v/>
      </c>
      <c r="AA284" s="36" t="str">
        <f t="shared" si="98"/>
        <v/>
      </c>
      <c r="AB284" s="27" t="str">
        <f t="shared" si="99"/>
        <v/>
      </c>
      <c r="AC284" s="2" t="str">
        <f t="shared" si="100"/>
        <v/>
      </c>
      <c r="AD284" s="38">
        <f t="shared" si="101"/>
        <v>5</v>
      </c>
      <c r="AE284" t="str">
        <f t="shared" si="102"/>
        <v/>
      </c>
      <c r="AF284" t="str">
        <f t="shared" si="103"/>
        <v/>
      </c>
      <c r="AG284" t="str">
        <f t="shared" si="104"/>
        <v/>
      </c>
      <c r="AH284" t="str">
        <f t="shared" si="105"/>
        <v/>
      </c>
      <c r="AI284" t="str">
        <f t="shared" si="106"/>
        <v/>
      </c>
      <c r="AJ284" t="str">
        <f t="shared" si="107"/>
        <v/>
      </c>
      <c r="AK284" t="str">
        <f t="shared" si="108"/>
        <v/>
      </c>
      <c r="AL284" t="str">
        <f>IFERROR(ROUND(L284*(G284/$AU284)/VLOOKUP(F284,商品!$A$4:$B$60,2,FALSE),0),"")</f>
        <v/>
      </c>
      <c r="AM284" t="str">
        <f>IFERROR(ROUND(L284*(I284/$AU284)/VLOOKUP(H284,商品!$A$4:$B$60,2,FALSE),0),"")</f>
        <v/>
      </c>
      <c r="AN284">
        <f>IFERROR(ROUND(L284*(J284/$AU284)/VLOOKUP("运力",商品!$A$4:$B$60,2,FALSE),0),0)</f>
        <v>0</v>
      </c>
      <c r="AO284">
        <f>IFERROR(ROUND(L284*(K284/$AU284)/VLOOKUP("交易",商品!$A$4:$B$60,2,FALSE),0),0)</f>
        <v>0</v>
      </c>
      <c r="AP284" t="str">
        <f>IFERROR(ROUND(S284*(N284/$AV284)/VLOOKUP(M284,职业!$A$4:$G$16,4,FALSE),0),"")</f>
        <v/>
      </c>
      <c r="AQ284" t="str">
        <f>IFERROR(ROUND(S284*(P284/$AV284)/VLOOKUP(O284,职业!$A$4:$G$16,4,FALSE),0),"")</f>
        <v/>
      </c>
      <c r="AR284" t="str">
        <f>IFERROR(ROUND(S284*(R284/$AV284)/VLOOKUP(Q284,职业!$A$4:$G$16,4,FALSE),0),"")</f>
        <v/>
      </c>
      <c r="AS284" t="str">
        <f>IFERROR(ROUND(X284*(U284/$AW284)/VLOOKUP(T284,商品!$A$4:$B$60,2,FALSE),0),"")</f>
        <v/>
      </c>
      <c r="AT284" t="str">
        <f>IFERROR(ROUND(X284*(W284/$AW284)/VLOOKUP(V284,商品!$A$4:$B$60,2,FALSE),0),"")</f>
        <v/>
      </c>
      <c r="AU284">
        <f t="shared" si="109"/>
        <v>0</v>
      </c>
      <c r="AV284">
        <f t="shared" si="110"/>
        <v>0</v>
      </c>
      <c r="AW284">
        <f t="shared" si="111"/>
        <v>0</v>
      </c>
    </row>
    <row r="285" spans="1:49" ht="19.95" customHeight="1" x14ac:dyDescent="0.25">
      <c r="A285" s="16" t="s">
        <v>237</v>
      </c>
      <c r="C285" s="16">
        <v>6</v>
      </c>
      <c r="D285" s="23" t="s">
        <v>174</v>
      </c>
      <c r="E285" s="23" t="s">
        <v>179</v>
      </c>
      <c r="L285" s="16">
        <f>IFERROR(VLOOKUP($D285&amp;$C285,生产方式定位!$A$2:$E$38,2,FALSE)+VLOOKUP($E285&amp;$C285,生产方式定位!$F$3:$J$38,2,FALSE),0)</f>
        <v>0</v>
      </c>
      <c r="S285" s="16">
        <f>IFERROR(VLOOKUP($D285&amp;$C285,生产方式定位!$A$2:$E$38,3,FALSE)+VLOOKUP($E285&amp;$C285,生产方式定位!$F$3:$J$38,3,FALSE),0)</f>
        <v>100</v>
      </c>
      <c r="X285" s="16">
        <f>IFERROR(VLOOKUP($D285&amp;$C285,生产方式定位!$A$2:$E$38,5,FALSE)+VLOOKUP($E285&amp;$C285,生产方式定位!$F$3:$J$38,5,FALSE),"错误")</f>
        <v>100</v>
      </c>
      <c r="Y285" s="26" t="str">
        <f t="shared" si="96"/>
        <v/>
      </c>
      <c r="Z285" s="36" t="str">
        <f t="shared" si="97"/>
        <v/>
      </c>
      <c r="AA285" s="36" t="str">
        <f t="shared" si="98"/>
        <v/>
      </c>
      <c r="AB285" s="27" t="str">
        <f t="shared" si="99"/>
        <v/>
      </c>
      <c r="AC285" s="2" t="str">
        <f t="shared" si="100"/>
        <v/>
      </c>
      <c r="AD285" s="37">
        <f t="shared" si="101"/>
        <v>6</v>
      </c>
      <c r="AE285" t="str">
        <f t="shared" si="102"/>
        <v/>
      </c>
      <c r="AF285" t="str">
        <f t="shared" si="103"/>
        <v/>
      </c>
      <c r="AG285" t="str">
        <f t="shared" si="104"/>
        <v/>
      </c>
      <c r="AH285" t="str">
        <f t="shared" si="105"/>
        <v/>
      </c>
      <c r="AI285" t="str">
        <f t="shared" si="106"/>
        <v/>
      </c>
      <c r="AJ285" t="str">
        <f t="shared" si="107"/>
        <v/>
      </c>
      <c r="AK285" t="str">
        <f t="shared" si="108"/>
        <v/>
      </c>
      <c r="AL285" t="str">
        <f>IFERROR(ROUND(L285*(G285/$AU285)/VLOOKUP(F285,商品!$A$4:$B$60,2,FALSE),0),"")</f>
        <v/>
      </c>
      <c r="AM285" t="str">
        <f>IFERROR(ROUND(L285*(I285/$AU285)/VLOOKUP(H285,商品!$A$4:$B$60,2,FALSE),0),"")</f>
        <v/>
      </c>
      <c r="AN285">
        <f>IFERROR(ROUND(L285*(J285/$AU285)/VLOOKUP("运力",商品!$A$4:$B$60,2,FALSE),0),0)</f>
        <v>0</v>
      </c>
      <c r="AO285">
        <f>IFERROR(ROUND(L285*(K285/$AU285)/VLOOKUP("交易",商品!$A$4:$B$60,2,FALSE),0),0)</f>
        <v>0</v>
      </c>
      <c r="AP285" t="str">
        <f>IFERROR(ROUND(S285*(N285/$AV285)/VLOOKUP(M285,职业!$A$4:$G$16,4,FALSE),0),"")</f>
        <v/>
      </c>
      <c r="AQ285" t="str">
        <f>IFERROR(ROUND(S285*(P285/$AV285)/VLOOKUP(O285,职业!$A$4:$G$16,4,FALSE),0),"")</f>
        <v/>
      </c>
      <c r="AR285" t="str">
        <f>IFERROR(ROUND(S285*(R285/$AV285)/VLOOKUP(Q285,职业!$A$4:$G$16,4,FALSE),0),"")</f>
        <v/>
      </c>
      <c r="AS285" t="str">
        <f>IFERROR(ROUND(X285*(U285/$AW285)/VLOOKUP(T285,商品!$A$4:$B$60,2,FALSE),0),"")</f>
        <v/>
      </c>
      <c r="AT285" t="str">
        <f>IFERROR(ROUND(X285*(W285/$AW285)/VLOOKUP(V285,商品!$A$4:$B$60,2,FALSE),0),"")</f>
        <v/>
      </c>
      <c r="AU285">
        <f t="shared" si="109"/>
        <v>0</v>
      </c>
      <c r="AV285">
        <f t="shared" si="110"/>
        <v>0</v>
      </c>
      <c r="AW285">
        <f t="shared" si="111"/>
        <v>0</v>
      </c>
    </row>
    <row r="286" spans="1:49" ht="19.95" customHeight="1" x14ac:dyDescent="0.25">
      <c r="A286" s="16" t="s">
        <v>237</v>
      </c>
      <c r="C286" s="16">
        <v>7</v>
      </c>
      <c r="D286" s="23" t="s">
        <v>174</v>
      </c>
      <c r="E286" s="23" t="s">
        <v>179</v>
      </c>
      <c r="L286" s="16">
        <f>IFERROR(VLOOKUP($D286&amp;$C286,生产方式定位!$A$2:$E$38,2,FALSE)+VLOOKUP($E286&amp;$C286,生产方式定位!$F$3:$J$38,2,FALSE),0)</f>
        <v>0</v>
      </c>
      <c r="S286" s="16">
        <f>IFERROR(VLOOKUP($D286&amp;$C286,生产方式定位!$A$2:$E$38,3,FALSE)+VLOOKUP($E286&amp;$C286,生产方式定位!$F$3:$J$38,3,FALSE),0)</f>
        <v>100</v>
      </c>
      <c r="X286" s="16">
        <f>IFERROR(VLOOKUP($D286&amp;$C286,生产方式定位!$A$2:$E$38,5,FALSE)+VLOOKUP($E286&amp;$C286,生产方式定位!$F$3:$J$38,5,FALSE),"错误")</f>
        <v>100</v>
      </c>
      <c r="Y286" s="26" t="str">
        <f t="shared" si="96"/>
        <v/>
      </c>
      <c r="Z286" s="36" t="str">
        <f t="shared" si="97"/>
        <v/>
      </c>
      <c r="AA286" s="36" t="str">
        <f t="shared" si="98"/>
        <v/>
      </c>
      <c r="AB286" s="27" t="str">
        <f t="shared" si="99"/>
        <v/>
      </c>
      <c r="AC286" s="2" t="str">
        <f t="shared" si="100"/>
        <v/>
      </c>
      <c r="AD286" s="37">
        <f t="shared" si="101"/>
        <v>7</v>
      </c>
      <c r="AE286" t="str">
        <f t="shared" si="102"/>
        <v/>
      </c>
      <c r="AF286" t="str">
        <f t="shared" si="103"/>
        <v/>
      </c>
      <c r="AG286" t="str">
        <f t="shared" si="104"/>
        <v/>
      </c>
      <c r="AH286" t="str">
        <f t="shared" si="105"/>
        <v/>
      </c>
      <c r="AI286" t="str">
        <f t="shared" si="106"/>
        <v/>
      </c>
      <c r="AJ286" t="str">
        <f t="shared" si="107"/>
        <v/>
      </c>
      <c r="AK286" t="str">
        <f t="shared" si="108"/>
        <v/>
      </c>
      <c r="AL286" t="str">
        <f>IFERROR(ROUND(L286*(G286/$AU286)/VLOOKUP(F286,商品!$A$4:$B$60,2,FALSE),0),"")</f>
        <v/>
      </c>
      <c r="AM286" t="str">
        <f>IFERROR(ROUND(L286*(I286/$AU286)/VLOOKUP(H286,商品!$A$4:$B$60,2,FALSE),0),"")</f>
        <v/>
      </c>
      <c r="AN286">
        <f>IFERROR(ROUND(L286*(J286/$AU286)/VLOOKUP("运力",商品!$A$4:$B$60,2,FALSE),0),0)</f>
        <v>0</v>
      </c>
      <c r="AO286">
        <f>IFERROR(ROUND(L286*(K286/$AU286)/VLOOKUP("交易",商品!$A$4:$B$60,2,FALSE),0),0)</f>
        <v>0</v>
      </c>
      <c r="AP286" t="str">
        <f>IFERROR(ROUND(S286*(N286/$AV286)/VLOOKUP(M286,职业!$A$4:$G$16,4,FALSE),0),"")</f>
        <v/>
      </c>
      <c r="AQ286" t="str">
        <f>IFERROR(ROUND(S286*(P286/$AV286)/VLOOKUP(O286,职业!$A$4:$G$16,4,FALSE),0),"")</f>
        <v/>
      </c>
      <c r="AR286" t="str">
        <f>IFERROR(ROUND(S286*(R286/$AV286)/VLOOKUP(Q286,职业!$A$4:$G$16,4,FALSE),0),"")</f>
        <v/>
      </c>
      <c r="AS286" t="str">
        <f>IFERROR(ROUND(X286*(U286/$AW286)/VLOOKUP(T286,商品!$A$4:$B$60,2,FALSE),0),"")</f>
        <v/>
      </c>
      <c r="AT286" t="str">
        <f>IFERROR(ROUND(X286*(W286/$AW286)/VLOOKUP(V286,商品!$A$4:$B$60,2,FALSE),0),"")</f>
        <v/>
      </c>
      <c r="AU286">
        <f t="shared" si="109"/>
        <v>0</v>
      </c>
      <c r="AV286">
        <f t="shared" si="110"/>
        <v>0</v>
      </c>
      <c r="AW286">
        <f t="shared" si="111"/>
        <v>0</v>
      </c>
    </row>
    <row r="287" spans="1:49" ht="19.95" customHeight="1" x14ac:dyDescent="0.25">
      <c r="A287" s="16" t="s">
        <v>237</v>
      </c>
      <c r="C287" s="16">
        <v>8</v>
      </c>
      <c r="D287" s="23" t="s">
        <v>174</v>
      </c>
      <c r="E287" s="23" t="s">
        <v>179</v>
      </c>
      <c r="L287" s="16">
        <f>IFERROR(VLOOKUP($D287&amp;$C287,生产方式定位!$A$2:$E$38,2,FALSE)+VLOOKUP($E287&amp;$C287,生产方式定位!$F$3:$J$38,2,FALSE),0)</f>
        <v>0</v>
      </c>
      <c r="S287" s="16">
        <f>IFERROR(VLOOKUP($D287&amp;$C287,生产方式定位!$A$2:$E$38,3,FALSE)+VLOOKUP($E287&amp;$C287,生产方式定位!$F$3:$J$38,3,FALSE),0)</f>
        <v>100</v>
      </c>
      <c r="X287" s="16">
        <f>IFERROR(VLOOKUP($D287&amp;$C287,生产方式定位!$A$2:$E$38,5,FALSE)+VLOOKUP($E287&amp;$C287,生产方式定位!$F$3:$J$38,5,FALSE),"错误")</f>
        <v>100</v>
      </c>
      <c r="Y287" s="26" t="str">
        <f t="shared" si="96"/>
        <v/>
      </c>
      <c r="Z287" s="36" t="str">
        <f t="shared" si="97"/>
        <v/>
      </c>
      <c r="AA287" s="36" t="str">
        <f t="shared" si="98"/>
        <v/>
      </c>
      <c r="AB287" s="27" t="str">
        <f t="shared" si="99"/>
        <v/>
      </c>
      <c r="AC287" s="2" t="str">
        <f t="shared" si="100"/>
        <v/>
      </c>
      <c r="AD287" s="37">
        <f t="shared" si="101"/>
        <v>8</v>
      </c>
      <c r="AE287" t="str">
        <f t="shared" si="102"/>
        <v/>
      </c>
      <c r="AF287" t="str">
        <f t="shared" si="103"/>
        <v/>
      </c>
      <c r="AG287" t="str">
        <f t="shared" si="104"/>
        <v/>
      </c>
      <c r="AH287" t="str">
        <f t="shared" si="105"/>
        <v/>
      </c>
      <c r="AI287" t="str">
        <f t="shared" si="106"/>
        <v/>
      </c>
      <c r="AJ287" t="str">
        <f t="shared" si="107"/>
        <v/>
      </c>
      <c r="AK287" t="str">
        <f t="shared" si="108"/>
        <v/>
      </c>
      <c r="AL287" t="str">
        <f>IFERROR(ROUND(L287*(G287/$AU287)/VLOOKUP(F287,商品!$A$4:$B$60,2,FALSE),0),"")</f>
        <v/>
      </c>
      <c r="AM287" t="str">
        <f>IFERROR(ROUND(L287*(I287/$AU287)/VLOOKUP(H287,商品!$A$4:$B$60,2,FALSE),0),"")</f>
        <v/>
      </c>
      <c r="AN287">
        <f>IFERROR(ROUND(L287*(J287/$AU287)/VLOOKUP("运力",商品!$A$4:$B$60,2,FALSE),0),0)</f>
        <v>0</v>
      </c>
      <c r="AO287">
        <f>IFERROR(ROUND(L287*(K287/$AU287)/VLOOKUP("交易",商品!$A$4:$B$60,2,FALSE),0),0)</f>
        <v>0</v>
      </c>
      <c r="AP287" t="str">
        <f>IFERROR(ROUND(S287*(N287/$AV287)/VLOOKUP(M287,职业!$A$4:$G$16,4,FALSE),0),"")</f>
        <v/>
      </c>
      <c r="AQ287" t="str">
        <f>IFERROR(ROUND(S287*(P287/$AV287)/VLOOKUP(O287,职业!$A$4:$G$16,4,FALSE),0),"")</f>
        <v/>
      </c>
      <c r="AR287" t="str">
        <f>IFERROR(ROUND(S287*(R287/$AV287)/VLOOKUP(Q287,职业!$A$4:$G$16,4,FALSE),0),"")</f>
        <v/>
      </c>
      <c r="AS287" t="str">
        <f>IFERROR(ROUND(X287*(U287/$AW287)/VLOOKUP(T287,商品!$A$4:$B$60,2,FALSE),0),"")</f>
        <v/>
      </c>
      <c r="AT287" t="str">
        <f>IFERROR(ROUND(X287*(W287/$AW287)/VLOOKUP(V287,商品!$A$4:$B$60,2,FALSE),0),"")</f>
        <v/>
      </c>
      <c r="AU287">
        <f t="shared" si="109"/>
        <v>0</v>
      </c>
      <c r="AV287">
        <f t="shared" si="110"/>
        <v>0</v>
      </c>
      <c r="AW287">
        <f t="shared" si="111"/>
        <v>0</v>
      </c>
    </row>
    <row r="288" spans="1:49" ht="19.95" customHeight="1" x14ac:dyDescent="0.25">
      <c r="A288" s="15" t="s">
        <v>239</v>
      </c>
      <c r="C288" s="15">
        <v>1</v>
      </c>
      <c r="D288" s="23" t="s">
        <v>222</v>
      </c>
      <c r="E288" s="23" t="s">
        <v>172</v>
      </c>
      <c r="L288" s="15">
        <f>IFERROR(VLOOKUP($D288&amp;$C288,生产方式定位!$A$2:$E$38,2,FALSE)+VLOOKUP($E288&amp;$C288,生产方式定位!$F$3:$J$38,2,FALSE),0)</f>
        <v>1000</v>
      </c>
      <c r="S288" s="15">
        <f>IFERROR(VLOOKUP($D288&amp;$C288,生产方式定位!$A$2:$E$38,3,FALSE)+VLOOKUP($E288&amp;$C288,生产方式定位!$F$3:$J$38,3,FALSE),0)</f>
        <v>100</v>
      </c>
      <c r="X288" s="15">
        <f>IFERROR(VLOOKUP($D288&amp;$C288,生产方式定位!$A$2:$E$38,5,FALSE)+VLOOKUP($E288&amp;$C288,生产方式定位!$F$3:$J$38,5,FALSE),"错误")</f>
        <v>1760</v>
      </c>
      <c r="Y288" s="26" t="str">
        <f t="shared" si="96"/>
        <v/>
      </c>
      <c r="Z288" s="36" t="str">
        <f t="shared" si="97"/>
        <v/>
      </c>
      <c r="AA288" s="36" t="str">
        <f t="shared" si="98"/>
        <v/>
      </c>
      <c r="AB288" s="27" t="str">
        <f t="shared" si="99"/>
        <v>76%</v>
      </c>
      <c r="AC288" s="2">
        <f t="shared" si="100"/>
        <v>660</v>
      </c>
      <c r="AD288" s="37">
        <f t="shared" si="101"/>
        <v>1</v>
      </c>
      <c r="AE288" t="str">
        <f t="shared" si="102"/>
        <v/>
      </c>
      <c r="AF288" t="str">
        <f t="shared" si="103"/>
        <v/>
      </c>
      <c r="AG288" t="str">
        <f t="shared" si="104"/>
        <v/>
      </c>
      <c r="AH288" t="str">
        <f t="shared" si="105"/>
        <v/>
      </c>
      <c r="AI288" t="str">
        <f t="shared" si="106"/>
        <v/>
      </c>
      <c r="AJ288" t="str">
        <f t="shared" si="107"/>
        <v/>
      </c>
      <c r="AK288" t="str">
        <f t="shared" si="108"/>
        <v/>
      </c>
      <c r="AL288" t="str">
        <f>IFERROR(ROUND(L288*(G288/$AU288)/VLOOKUP(F288,商品!$A$4:$B$60,2,FALSE),0),"")</f>
        <v/>
      </c>
      <c r="AM288" t="str">
        <f>IFERROR(ROUND(L288*(I288/$AU288)/VLOOKUP(H288,商品!$A$4:$B$60,2,FALSE),0),"")</f>
        <v/>
      </c>
      <c r="AN288">
        <f>IFERROR(ROUND(L288*(J288/$AU288)/VLOOKUP("运力",商品!$A$4:$B$60,2,FALSE),0),0)</f>
        <v>0</v>
      </c>
      <c r="AO288">
        <f>IFERROR(ROUND(L288*(K288/$AU288)/VLOOKUP("交易",商品!$A$4:$B$60,2,FALSE),0),0)</f>
        <v>0</v>
      </c>
      <c r="AP288" t="str">
        <f>IFERROR(ROUND(S288*(N288/$AV288)/VLOOKUP(M288,职业!$A$4:$G$16,4,FALSE),0),"")</f>
        <v/>
      </c>
      <c r="AQ288" t="str">
        <f>IFERROR(ROUND(S288*(P288/$AV288)/VLOOKUP(O288,职业!$A$4:$G$16,4,FALSE),0),"")</f>
        <v/>
      </c>
      <c r="AR288" t="str">
        <f>IFERROR(ROUND(S288*(R288/$AV288)/VLOOKUP(Q288,职业!$A$4:$G$16,4,FALSE),0),"")</f>
        <v/>
      </c>
      <c r="AS288" t="str">
        <f>IFERROR(ROUND(X288*(U288/$AW288)/VLOOKUP(T288,商品!$A$4:$B$60,2,FALSE),0),"")</f>
        <v/>
      </c>
      <c r="AT288" t="str">
        <f>IFERROR(ROUND(X288*(W288/$AW288)/VLOOKUP(V288,商品!$A$4:$B$60,2,FALSE),0),"")</f>
        <v/>
      </c>
      <c r="AU288">
        <f t="shared" si="109"/>
        <v>0</v>
      </c>
      <c r="AV288">
        <f t="shared" si="110"/>
        <v>0</v>
      </c>
      <c r="AW288">
        <f t="shared" si="111"/>
        <v>0</v>
      </c>
    </row>
    <row r="289" spans="1:49" ht="19.95" customHeight="1" x14ac:dyDescent="0.25">
      <c r="A289" s="15" t="s">
        <v>239</v>
      </c>
      <c r="C289" s="15">
        <v>2</v>
      </c>
      <c r="D289" s="23" t="s">
        <v>222</v>
      </c>
      <c r="E289" s="23" t="s">
        <v>172</v>
      </c>
      <c r="L289" s="15">
        <f>IFERROR(VLOOKUP($D289&amp;$C289,生产方式定位!$A$2:$E$38,2,FALSE)+VLOOKUP($E289&amp;$C289,生产方式定位!$F$3:$J$38,2,FALSE),0)</f>
        <v>1600</v>
      </c>
      <c r="S289" s="15">
        <f>IFERROR(VLOOKUP($D289&amp;$C289,生产方式定位!$A$2:$E$38,3,FALSE)+VLOOKUP($E289&amp;$C289,生产方式定位!$F$3:$J$38,3,FALSE),0)</f>
        <v>100</v>
      </c>
      <c r="X289" s="15">
        <f>IFERROR(VLOOKUP($D289&amp;$C289,生产方式定位!$A$2:$E$38,5,FALSE)+VLOOKUP($E289&amp;$C289,生产方式定位!$F$3:$J$38,5,FALSE),"错误")</f>
        <v>2520</v>
      </c>
      <c r="Y289" s="26" t="str">
        <f t="shared" si="96"/>
        <v/>
      </c>
      <c r="Z289" s="36" t="str">
        <f t="shared" si="97"/>
        <v/>
      </c>
      <c r="AA289" s="36" t="str">
        <f t="shared" si="98"/>
        <v/>
      </c>
      <c r="AB289" s="27" t="str">
        <f t="shared" si="99"/>
        <v>58%</v>
      </c>
      <c r="AC289" s="2">
        <f t="shared" si="100"/>
        <v>820</v>
      </c>
      <c r="AD289" s="37">
        <f t="shared" si="101"/>
        <v>2</v>
      </c>
      <c r="AE289" t="str">
        <f t="shared" si="102"/>
        <v/>
      </c>
      <c r="AF289" t="str">
        <f t="shared" si="103"/>
        <v/>
      </c>
      <c r="AG289" t="str">
        <f t="shared" si="104"/>
        <v/>
      </c>
      <c r="AH289" t="str">
        <f t="shared" si="105"/>
        <v/>
      </c>
      <c r="AI289" t="str">
        <f t="shared" si="106"/>
        <v/>
      </c>
      <c r="AJ289" t="str">
        <f t="shared" si="107"/>
        <v/>
      </c>
      <c r="AK289" t="str">
        <f t="shared" si="108"/>
        <v/>
      </c>
      <c r="AL289" t="str">
        <f>IFERROR(ROUND(L289*(G289/$AU289)/VLOOKUP(F289,商品!$A$4:$B$60,2,FALSE),0),"")</f>
        <v/>
      </c>
      <c r="AM289" t="str">
        <f>IFERROR(ROUND(L289*(I289/$AU289)/VLOOKUP(H289,商品!$A$4:$B$60,2,FALSE),0),"")</f>
        <v/>
      </c>
      <c r="AN289">
        <f>IFERROR(ROUND(L289*(J289/$AU289)/VLOOKUP("运力",商品!$A$4:$B$60,2,FALSE),0),0)</f>
        <v>0</v>
      </c>
      <c r="AO289">
        <f>IFERROR(ROUND(L289*(K289/$AU289)/VLOOKUP("交易",商品!$A$4:$B$60,2,FALSE),0),0)</f>
        <v>0</v>
      </c>
      <c r="AP289" t="str">
        <f>IFERROR(ROUND(S289*(N289/$AV289)/VLOOKUP(M289,职业!$A$4:$G$16,4,FALSE),0),"")</f>
        <v/>
      </c>
      <c r="AQ289" t="str">
        <f>IFERROR(ROUND(S289*(P289/$AV289)/VLOOKUP(O289,职业!$A$4:$G$16,4,FALSE),0),"")</f>
        <v/>
      </c>
      <c r="AR289" t="str">
        <f>IFERROR(ROUND(S289*(R289/$AV289)/VLOOKUP(Q289,职业!$A$4:$G$16,4,FALSE),0),"")</f>
        <v/>
      </c>
      <c r="AS289" t="str">
        <f>IFERROR(ROUND(X289*(U289/$AW289)/VLOOKUP(T289,商品!$A$4:$B$60,2,FALSE),0),"")</f>
        <v/>
      </c>
      <c r="AT289" t="str">
        <f>IFERROR(ROUND(X289*(W289/$AW289)/VLOOKUP(V289,商品!$A$4:$B$60,2,FALSE),0),"")</f>
        <v/>
      </c>
      <c r="AU289">
        <f t="shared" si="109"/>
        <v>0</v>
      </c>
      <c r="AV289">
        <f t="shared" si="110"/>
        <v>0</v>
      </c>
      <c r="AW289">
        <f t="shared" si="111"/>
        <v>0</v>
      </c>
    </row>
    <row r="290" spans="1:49" ht="19.95" customHeight="1" x14ac:dyDescent="0.25">
      <c r="A290" s="15" t="s">
        <v>239</v>
      </c>
      <c r="C290" s="15">
        <v>3</v>
      </c>
      <c r="D290" s="23" t="s">
        <v>222</v>
      </c>
      <c r="E290" s="23" t="s">
        <v>172</v>
      </c>
      <c r="L290" s="15">
        <f>IFERROR(VLOOKUP($D290&amp;$C290,生产方式定位!$A$2:$E$38,2,FALSE)+VLOOKUP($E290&amp;$C290,生产方式定位!$F$3:$J$38,2,FALSE),0)</f>
        <v>1825</v>
      </c>
      <c r="S290" s="15">
        <f>IFERROR(VLOOKUP($D290&amp;$C290,生产方式定位!$A$2:$E$38,3,FALSE)+VLOOKUP($E290&amp;$C290,生产方式定位!$F$3:$J$38,3,FALSE),0)</f>
        <v>100</v>
      </c>
      <c r="X290" s="15">
        <f>IFERROR(VLOOKUP($D290&amp;$C290,生产方式定位!$A$2:$E$38,5,FALSE)+VLOOKUP($E290&amp;$C290,生产方式定位!$F$3:$J$38,5,FALSE),"错误")</f>
        <v>2830</v>
      </c>
      <c r="Y290" s="26" t="str">
        <f t="shared" si="96"/>
        <v/>
      </c>
      <c r="Z290" s="36" t="str">
        <f t="shared" si="97"/>
        <v/>
      </c>
      <c r="AA290" s="36" t="str">
        <f t="shared" si="98"/>
        <v/>
      </c>
      <c r="AB290" s="27" t="str">
        <f t="shared" si="99"/>
        <v>55%</v>
      </c>
      <c r="AC290" s="2">
        <f t="shared" si="100"/>
        <v>905</v>
      </c>
      <c r="AD290" s="38">
        <f t="shared" si="101"/>
        <v>3</v>
      </c>
      <c r="AE290" t="str">
        <f t="shared" si="102"/>
        <v/>
      </c>
      <c r="AF290" t="str">
        <f t="shared" si="103"/>
        <v/>
      </c>
      <c r="AG290" t="str">
        <f t="shared" si="104"/>
        <v/>
      </c>
      <c r="AH290" t="str">
        <f t="shared" si="105"/>
        <v/>
      </c>
      <c r="AI290" t="str">
        <f t="shared" si="106"/>
        <v/>
      </c>
      <c r="AJ290" t="str">
        <f t="shared" si="107"/>
        <v/>
      </c>
      <c r="AK290" t="str">
        <f t="shared" si="108"/>
        <v/>
      </c>
      <c r="AL290" t="str">
        <f>IFERROR(ROUND(L290*(G290/$AU290)/VLOOKUP(F290,商品!$A$4:$B$60,2,FALSE),0),"")</f>
        <v/>
      </c>
      <c r="AM290" t="str">
        <f>IFERROR(ROUND(L290*(I290/$AU290)/VLOOKUP(H290,商品!$A$4:$B$60,2,FALSE),0),"")</f>
        <v/>
      </c>
      <c r="AN290">
        <f>IFERROR(ROUND(L290*(J290/$AU290)/VLOOKUP("运力",商品!$A$4:$B$60,2,FALSE),0),0)</f>
        <v>0</v>
      </c>
      <c r="AO290">
        <f>IFERROR(ROUND(L290*(K290/$AU290)/VLOOKUP("交易",商品!$A$4:$B$60,2,FALSE),0),0)</f>
        <v>0</v>
      </c>
      <c r="AP290" t="str">
        <f>IFERROR(ROUND(S290*(N290/$AV290)/VLOOKUP(M290,职业!$A$4:$G$16,4,FALSE),0),"")</f>
        <v/>
      </c>
      <c r="AQ290" t="str">
        <f>IFERROR(ROUND(S290*(P290/$AV290)/VLOOKUP(O290,职业!$A$4:$G$16,4,FALSE),0),"")</f>
        <v/>
      </c>
      <c r="AR290" t="str">
        <f>IFERROR(ROUND(S290*(R290/$AV290)/VLOOKUP(Q290,职业!$A$4:$G$16,4,FALSE),0),"")</f>
        <v/>
      </c>
      <c r="AS290" t="str">
        <f>IFERROR(ROUND(X290*(U290/$AW290)/VLOOKUP(T290,商品!$A$4:$B$60,2,FALSE),0),"")</f>
        <v/>
      </c>
      <c r="AT290" t="str">
        <f>IFERROR(ROUND(X290*(W290/$AW290)/VLOOKUP(V290,商品!$A$4:$B$60,2,FALSE),0),"")</f>
        <v/>
      </c>
      <c r="AU290">
        <f t="shared" si="109"/>
        <v>0</v>
      </c>
      <c r="AV290">
        <f t="shared" si="110"/>
        <v>0</v>
      </c>
      <c r="AW290">
        <f t="shared" si="111"/>
        <v>0</v>
      </c>
    </row>
    <row r="291" spans="1:49" ht="19.95" customHeight="1" x14ac:dyDescent="0.25">
      <c r="A291" s="15" t="s">
        <v>239</v>
      </c>
      <c r="C291" s="15">
        <v>4</v>
      </c>
      <c r="D291" s="23" t="s">
        <v>222</v>
      </c>
      <c r="E291" s="23" t="s">
        <v>172</v>
      </c>
      <c r="L291" s="15">
        <f>IFERROR(VLOOKUP($D291&amp;$C291,生产方式定位!$A$2:$E$38,2,FALSE)+VLOOKUP($E291&amp;$C291,生产方式定位!$F$3:$J$38,2,FALSE),0)</f>
        <v>2050</v>
      </c>
      <c r="S291" s="15">
        <f>IFERROR(VLOOKUP($D291&amp;$C291,生产方式定位!$A$2:$E$38,3,FALSE)+VLOOKUP($E291&amp;$C291,生产方式定位!$F$3:$J$38,3,FALSE),0)</f>
        <v>100</v>
      </c>
      <c r="X291" s="15">
        <f>IFERROR(VLOOKUP($D291&amp;$C291,生产方式定位!$A$2:$E$38,5,FALSE)+VLOOKUP($E291&amp;$C291,生产方式定位!$F$3:$J$38,5,FALSE),"错误")</f>
        <v>3140</v>
      </c>
      <c r="Y291" s="26" t="str">
        <f t="shared" si="96"/>
        <v/>
      </c>
      <c r="Z291" s="36" t="str">
        <f t="shared" si="97"/>
        <v/>
      </c>
      <c r="AA291" s="36" t="str">
        <f t="shared" si="98"/>
        <v/>
      </c>
      <c r="AB291" s="27" t="str">
        <f t="shared" si="99"/>
        <v>53%</v>
      </c>
      <c r="AC291" s="2">
        <f t="shared" si="100"/>
        <v>990</v>
      </c>
      <c r="AD291" s="38">
        <f t="shared" si="101"/>
        <v>4</v>
      </c>
      <c r="AE291" t="str">
        <f t="shared" si="102"/>
        <v/>
      </c>
      <c r="AF291" t="str">
        <f t="shared" si="103"/>
        <v/>
      </c>
      <c r="AG291" t="str">
        <f t="shared" si="104"/>
        <v/>
      </c>
      <c r="AH291" t="str">
        <f t="shared" si="105"/>
        <v/>
      </c>
      <c r="AI291" t="str">
        <f t="shared" si="106"/>
        <v/>
      </c>
      <c r="AJ291" t="str">
        <f t="shared" si="107"/>
        <v/>
      </c>
      <c r="AK291" t="str">
        <f t="shared" si="108"/>
        <v/>
      </c>
      <c r="AL291" t="str">
        <f>IFERROR(ROUND(L291*(G291/$AU291)/VLOOKUP(F291,商品!$A$4:$B$60,2,FALSE),0),"")</f>
        <v/>
      </c>
      <c r="AM291" t="str">
        <f>IFERROR(ROUND(L291*(I291/$AU291)/VLOOKUP(H291,商品!$A$4:$B$60,2,FALSE),0),"")</f>
        <v/>
      </c>
      <c r="AN291">
        <f>IFERROR(ROUND(L291*(J291/$AU291)/VLOOKUP("运力",商品!$A$4:$B$60,2,FALSE),0),0)</f>
        <v>0</v>
      </c>
      <c r="AO291">
        <f>IFERROR(ROUND(L291*(K291/$AU291)/VLOOKUP("交易",商品!$A$4:$B$60,2,FALSE),0),0)</f>
        <v>0</v>
      </c>
      <c r="AP291" t="str">
        <f>IFERROR(ROUND(S291*(N291/$AV291)/VLOOKUP(M291,职业!$A$4:$G$16,4,FALSE),0),"")</f>
        <v/>
      </c>
      <c r="AQ291" t="str">
        <f>IFERROR(ROUND(S291*(P291/$AV291)/VLOOKUP(O291,职业!$A$4:$G$16,4,FALSE),0),"")</f>
        <v/>
      </c>
      <c r="AR291" t="str">
        <f>IFERROR(ROUND(S291*(R291/$AV291)/VLOOKUP(Q291,职业!$A$4:$G$16,4,FALSE),0),"")</f>
        <v/>
      </c>
      <c r="AS291" t="str">
        <f>IFERROR(ROUND(X291*(U291/$AW291)/VLOOKUP(T291,商品!$A$4:$B$60,2,FALSE),0),"")</f>
        <v/>
      </c>
      <c r="AT291" t="str">
        <f>IFERROR(ROUND(X291*(W291/$AW291)/VLOOKUP(V291,商品!$A$4:$B$60,2,FALSE),0),"")</f>
        <v/>
      </c>
      <c r="AU291">
        <f t="shared" si="109"/>
        <v>0</v>
      </c>
      <c r="AV291">
        <f t="shared" si="110"/>
        <v>0</v>
      </c>
      <c r="AW291">
        <f t="shared" si="111"/>
        <v>0</v>
      </c>
    </row>
    <row r="292" spans="1:49" ht="19.95" customHeight="1" x14ac:dyDescent="0.25">
      <c r="A292" s="15" t="s">
        <v>239</v>
      </c>
      <c r="C292" s="15">
        <v>5</v>
      </c>
      <c r="D292" s="23" t="s">
        <v>222</v>
      </c>
      <c r="E292" s="23" t="s">
        <v>172</v>
      </c>
      <c r="L292" s="15">
        <f>IFERROR(VLOOKUP($D292&amp;$C292,生产方式定位!$A$2:$E$38,2,FALSE)+VLOOKUP($E292&amp;$C292,生产方式定位!$F$3:$J$38,2,FALSE),0)</f>
        <v>2275</v>
      </c>
      <c r="S292" s="15">
        <f>IFERROR(VLOOKUP($D292&amp;$C292,生产方式定位!$A$2:$E$38,3,FALSE)+VLOOKUP($E292&amp;$C292,生产方式定位!$F$3:$J$38,3,FALSE),0)</f>
        <v>100</v>
      </c>
      <c r="X292" s="15">
        <f>IFERROR(VLOOKUP($D292&amp;$C292,生产方式定位!$A$2:$E$38,5,FALSE)+VLOOKUP($E292&amp;$C292,生产方式定位!$F$3:$J$38,5,FALSE),"错误")</f>
        <v>3450</v>
      </c>
      <c r="Y292" s="26" t="str">
        <f t="shared" si="96"/>
        <v/>
      </c>
      <c r="Z292" s="36" t="str">
        <f t="shared" si="97"/>
        <v/>
      </c>
      <c r="AA292" s="36" t="str">
        <f t="shared" si="98"/>
        <v/>
      </c>
      <c r="AB292" s="27" t="str">
        <f t="shared" si="99"/>
        <v>52%</v>
      </c>
      <c r="AC292" s="2">
        <f t="shared" si="100"/>
        <v>1075</v>
      </c>
      <c r="AD292" s="38">
        <f t="shared" si="101"/>
        <v>5</v>
      </c>
      <c r="AE292" t="str">
        <f t="shared" si="102"/>
        <v/>
      </c>
      <c r="AF292" t="str">
        <f t="shared" si="103"/>
        <v/>
      </c>
      <c r="AG292" t="str">
        <f t="shared" si="104"/>
        <v/>
      </c>
      <c r="AH292" t="str">
        <f t="shared" si="105"/>
        <v/>
      </c>
      <c r="AI292" t="str">
        <f t="shared" si="106"/>
        <v/>
      </c>
      <c r="AJ292" t="str">
        <f t="shared" si="107"/>
        <v/>
      </c>
      <c r="AK292" t="str">
        <f t="shared" si="108"/>
        <v/>
      </c>
      <c r="AL292" t="str">
        <f>IFERROR(ROUND(L292*(G292/$AU292)/VLOOKUP(F292,商品!$A$4:$B$60,2,FALSE),0),"")</f>
        <v/>
      </c>
      <c r="AM292" t="str">
        <f>IFERROR(ROUND(L292*(I292/$AU292)/VLOOKUP(H292,商品!$A$4:$B$60,2,FALSE),0),"")</f>
        <v/>
      </c>
      <c r="AN292">
        <f>IFERROR(ROUND(L292*(J292/$AU292)/VLOOKUP("运力",商品!$A$4:$B$60,2,FALSE),0),0)</f>
        <v>0</v>
      </c>
      <c r="AO292">
        <f>IFERROR(ROUND(L292*(K292/$AU292)/VLOOKUP("交易",商品!$A$4:$B$60,2,FALSE),0),0)</f>
        <v>0</v>
      </c>
      <c r="AP292" t="str">
        <f>IFERROR(ROUND(S292*(N292/$AV292)/VLOOKUP(M292,职业!$A$4:$G$16,4,FALSE),0),"")</f>
        <v/>
      </c>
      <c r="AQ292" t="str">
        <f>IFERROR(ROUND(S292*(P292/$AV292)/VLOOKUP(O292,职业!$A$4:$G$16,4,FALSE),0),"")</f>
        <v/>
      </c>
      <c r="AR292" t="str">
        <f>IFERROR(ROUND(S292*(R292/$AV292)/VLOOKUP(Q292,职业!$A$4:$G$16,4,FALSE),0),"")</f>
        <v/>
      </c>
      <c r="AS292" t="str">
        <f>IFERROR(ROUND(X292*(U292/$AW292)/VLOOKUP(T292,商品!$A$4:$B$60,2,FALSE),0),"")</f>
        <v/>
      </c>
      <c r="AT292" t="str">
        <f>IFERROR(ROUND(X292*(W292/$AW292)/VLOOKUP(V292,商品!$A$4:$B$60,2,FALSE),0),"")</f>
        <v/>
      </c>
      <c r="AU292">
        <f t="shared" si="109"/>
        <v>0</v>
      </c>
      <c r="AV292">
        <f t="shared" si="110"/>
        <v>0</v>
      </c>
      <c r="AW292">
        <f t="shared" si="111"/>
        <v>0</v>
      </c>
    </row>
    <row r="293" spans="1:49" ht="19.95" customHeight="1" x14ac:dyDescent="0.25">
      <c r="A293" s="16" t="s">
        <v>516</v>
      </c>
      <c r="C293" s="16">
        <v>1</v>
      </c>
      <c r="D293" s="23" t="s">
        <v>174</v>
      </c>
      <c r="E293" s="23" t="s">
        <v>175</v>
      </c>
      <c r="L293" s="16">
        <f>IFERROR(VLOOKUP($D293&amp;$C293,生产方式定位!$A$2:$E$38,2,FALSE)+VLOOKUP($E293&amp;$C293,生产方式定位!$F$3:$J$38,2,FALSE),0)</f>
        <v>0</v>
      </c>
      <c r="S293" s="16">
        <f>IFERROR(VLOOKUP($D293&amp;$C293,生产方式定位!$A$2:$E$38,3,FALSE)+VLOOKUP($E293&amp;$C293,生产方式定位!$F$3:$J$38,3,FALSE),0)</f>
        <v>0</v>
      </c>
      <c r="X293" s="16">
        <f>IFERROR(VLOOKUP($D293&amp;$C293,生产方式定位!$A$2:$E$38,5,FALSE)+VLOOKUP($E293&amp;$C293,生产方式定位!$F$3:$J$38,5,FALSE),"错误")</f>
        <v>0</v>
      </c>
      <c r="Y293" s="26" t="str">
        <f t="shared" si="96"/>
        <v/>
      </c>
      <c r="Z293" s="36" t="str">
        <f t="shared" si="97"/>
        <v/>
      </c>
      <c r="AA293" s="36" t="str">
        <f t="shared" si="98"/>
        <v/>
      </c>
      <c r="AB293" s="27" t="str">
        <f t="shared" si="99"/>
        <v/>
      </c>
      <c r="AC293" s="2" t="str">
        <f t="shared" si="100"/>
        <v/>
      </c>
      <c r="AD293" s="38">
        <f t="shared" si="101"/>
        <v>1</v>
      </c>
      <c r="AE293" t="str">
        <f t="shared" si="102"/>
        <v/>
      </c>
      <c r="AF293" t="str">
        <f t="shared" si="103"/>
        <v/>
      </c>
      <c r="AG293" t="str">
        <f t="shared" si="104"/>
        <v/>
      </c>
      <c r="AH293" t="str">
        <f t="shared" si="105"/>
        <v/>
      </c>
      <c r="AI293" t="str">
        <f t="shared" si="106"/>
        <v/>
      </c>
      <c r="AJ293" t="str">
        <f t="shared" si="107"/>
        <v/>
      </c>
      <c r="AK293" t="str">
        <f t="shared" si="108"/>
        <v/>
      </c>
      <c r="AL293" t="str">
        <f>IFERROR(ROUND(L293*(G293/$AU293)/VLOOKUP(F293,商品!$A$4:$B$60,2,FALSE),0),"")</f>
        <v/>
      </c>
      <c r="AM293" t="str">
        <f>IFERROR(ROUND(L293*(I293/$AU293)/VLOOKUP(H293,商品!$A$4:$B$60,2,FALSE),0),"")</f>
        <v/>
      </c>
      <c r="AN293">
        <f>IFERROR(ROUND(L293*(J293/$AU293)/VLOOKUP("运力",商品!$A$4:$B$60,2,FALSE),0),0)</f>
        <v>0</v>
      </c>
      <c r="AO293">
        <f>IFERROR(ROUND(L293*(K293/$AU293)/VLOOKUP("交易",商品!$A$4:$B$60,2,FALSE),0),0)</f>
        <v>0</v>
      </c>
      <c r="AP293" t="str">
        <f>IFERROR(ROUND(S293*(N293/$AV293)/VLOOKUP(M293,职业!$A$4:$G$16,4,FALSE),0),"")</f>
        <v/>
      </c>
      <c r="AQ293" t="str">
        <f>IFERROR(ROUND(S293*(P293/$AV293)/VLOOKUP(O293,职业!$A$4:$G$16,4,FALSE),0),"")</f>
        <v/>
      </c>
      <c r="AR293" t="str">
        <f>IFERROR(ROUND(S293*(R293/$AV293)/VLOOKUP(Q293,职业!$A$4:$G$16,4,FALSE),0),"")</f>
        <v/>
      </c>
      <c r="AS293" t="str">
        <f>IFERROR(ROUND(X293*(U293/$AW293)/VLOOKUP(T293,商品!$A$4:$B$60,2,FALSE),0),"")</f>
        <v/>
      </c>
      <c r="AT293" t="str">
        <f>IFERROR(ROUND(X293*(W293/$AW293)/VLOOKUP(V293,商品!$A$4:$B$60,2,FALSE),0),"")</f>
        <v/>
      </c>
      <c r="AU293">
        <f t="shared" si="109"/>
        <v>0</v>
      </c>
      <c r="AV293">
        <f t="shared" si="110"/>
        <v>0</v>
      </c>
      <c r="AW293">
        <f t="shared" si="111"/>
        <v>0</v>
      </c>
    </row>
    <row r="294" spans="1:49" ht="19.95" customHeight="1" x14ac:dyDescent="0.25">
      <c r="A294" s="16" t="s">
        <v>516</v>
      </c>
      <c r="C294" s="16">
        <v>2</v>
      </c>
      <c r="D294" s="23" t="s">
        <v>174</v>
      </c>
      <c r="E294" s="23" t="s">
        <v>175</v>
      </c>
      <c r="F294" s="2" t="s">
        <v>41</v>
      </c>
      <c r="G294" s="2">
        <v>10</v>
      </c>
      <c r="L294" s="16">
        <f>IFERROR(VLOOKUP($D294&amp;$C294,生产方式定位!$A$2:$E$38,2,FALSE)+VLOOKUP($E294&amp;$C294,生产方式定位!$F$3:$J$38,2,FALSE),0)</f>
        <v>50</v>
      </c>
      <c r="S294" s="16">
        <f>IFERROR(VLOOKUP($D294&amp;$C294,生产方式定位!$A$2:$E$38,3,FALSE)+VLOOKUP($E294&amp;$C294,生产方式定位!$F$3:$J$38,3,FALSE),0)</f>
        <v>10</v>
      </c>
      <c r="X294" s="16">
        <f>IFERROR(VLOOKUP($D294&amp;$C294,生产方式定位!$A$2:$E$38,5,FALSE)+VLOOKUP($E294&amp;$C294,生产方式定位!$F$3:$J$38,5,FALSE),"错误")</f>
        <v>0</v>
      </c>
      <c r="Y294" s="26" t="str">
        <f t="shared" si="96"/>
        <v>工具*1</v>
      </c>
      <c r="Z294" s="36" t="str">
        <f t="shared" si="97"/>
        <v/>
      </c>
      <c r="AA294" s="36" t="str">
        <f t="shared" si="98"/>
        <v/>
      </c>
      <c r="AB294" s="27" t="str">
        <f t="shared" si="99"/>
        <v>-100%</v>
      </c>
      <c r="AC294" s="2">
        <f t="shared" si="100"/>
        <v>-60</v>
      </c>
      <c r="AD294" s="38">
        <f t="shared" si="101"/>
        <v>2</v>
      </c>
      <c r="AE294" t="str">
        <f t="shared" si="102"/>
        <v>工具*1</v>
      </c>
      <c r="AF294" t="str">
        <f t="shared" si="103"/>
        <v/>
      </c>
      <c r="AG294" t="str">
        <f t="shared" si="104"/>
        <v/>
      </c>
      <c r="AH294" t="str">
        <f t="shared" si="105"/>
        <v/>
      </c>
      <c r="AI294" t="str">
        <f t="shared" si="106"/>
        <v/>
      </c>
      <c r="AJ294" t="str">
        <f t="shared" si="107"/>
        <v/>
      </c>
      <c r="AK294" t="str">
        <f t="shared" si="108"/>
        <v/>
      </c>
      <c r="AL294">
        <f>IFERROR(ROUND(L294*(G294/$AU294)/VLOOKUP(F294,商品!$A$4:$B$60,2,FALSE),0),"")</f>
        <v>1</v>
      </c>
      <c r="AM294" t="str">
        <f>IFERROR(ROUND(L294*(I294/$AU294)/VLOOKUP(H294,商品!$A$4:$B$60,2,FALSE),0),"")</f>
        <v/>
      </c>
      <c r="AN294">
        <f>IFERROR(ROUND(L294*(J294/$AU294)/VLOOKUP("运力",商品!$A$4:$B$60,2,FALSE),0),0)</f>
        <v>0</v>
      </c>
      <c r="AO294">
        <f>IFERROR(ROUND(L294*(K294/$AU294)/VLOOKUP("交易",商品!$A$4:$B$60,2,FALSE),0),0)</f>
        <v>0</v>
      </c>
      <c r="AP294" t="str">
        <f>IFERROR(ROUND(S294*(N294/$AV294)/VLOOKUP(M294,职业!$A$4:$G$16,4,FALSE),0),"")</f>
        <v/>
      </c>
      <c r="AQ294" t="str">
        <f>IFERROR(ROUND(S294*(P294/$AV294)/VLOOKUP(O294,职业!$A$4:$G$16,4,FALSE),0),"")</f>
        <v/>
      </c>
      <c r="AR294" t="str">
        <f>IFERROR(ROUND(S294*(R294/$AV294)/VLOOKUP(Q294,职业!$A$4:$G$16,4,FALSE),0),"")</f>
        <v/>
      </c>
      <c r="AS294" t="str">
        <f>IFERROR(ROUND(X294*(U294/$AW294)/VLOOKUP(T294,商品!$A$4:$B$60,2,FALSE),0),"")</f>
        <v/>
      </c>
      <c r="AT294" t="str">
        <f>IFERROR(ROUND(X294*(W294/$AW294)/VLOOKUP(V294,商品!$A$4:$B$60,2,FALSE),0),"")</f>
        <v/>
      </c>
      <c r="AU294">
        <f t="shared" si="109"/>
        <v>10</v>
      </c>
      <c r="AV294">
        <f t="shared" si="110"/>
        <v>0</v>
      </c>
      <c r="AW294">
        <f t="shared" si="111"/>
        <v>0</v>
      </c>
    </row>
    <row r="295" spans="1:49" ht="19.95" customHeight="1" x14ac:dyDescent="0.25">
      <c r="A295" s="16" t="s">
        <v>516</v>
      </c>
      <c r="C295" s="16">
        <v>3</v>
      </c>
      <c r="D295" s="23" t="s">
        <v>174</v>
      </c>
      <c r="E295" s="23" t="s">
        <v>175</v>
      </c>
      <c r="F295" s="2" t="s">
        <v>41</v>
      </c>
      <c r="G295" s="2">
        <v>10</v>
      </c>
      <c r="L295" s="16">
        <f>IFERROR(VLOOKUP($D295&amp;$C295,生产方式定位!$A$2:$E$38,2,FALSE)+VLOOKUP($E295&amp;$C295,生产方式定位!$F$3:$J$38,2,FALSE),0)</f>
        <v>100</v>
      </c>
      <c r="S295" s="16">
        <f>IFERROR(VLOOKUP($D295&amp;$C295,生产方式定位!$A$2:$E$38,3,FALSE)+VLOOKUP($E295&amp;$C295,生产方式定位!$F$3:$J$38,3,FALSE),0)</f>
        <v>20</v>
      </c>
      <c r="X295" s="16">
        <f>IFERROR(VLOOKUP($D295&amp;$C295,生产方式定位!$A$2:$E$38,5,FALSE)+VLOOKUP($E295&amp;$C295,生产方式定位!$F$3:$J$38,5,FALSE),"错误")</f>
        <v>0</v>
      </c>
      <c r="Y295" s="26" t="str">
        <f t="shared" si="96"/>
        <v>工具*3</v>
      </c>
      <c r="Z295" s="36" t="str">
        <f t="shared" si="97"/>
        <v/>
      </c>
      <c r="AA295" s="36" t="str">
        <f t="shared" si="98"/>
        <v/>
      </c>
      <c r="AB295" s="27" t="str">
        <f t="shared" si="99"/>
        <v>-100%</v>
      </c>
      <c r="AC295" s="2">
        <f t="shared" si="100"/>
        <v>-120</v>
      </c>
      <c r="AD295" s="38">
        <f t="shared" si="101"/>
        <v>3</v>
      </c>
      <c r="AE295" t="str">
        <f t="shared" si="102"/>
        <v>工具*3</v>
      </c>
      <c r="AF295" t="str">
        <f t="shared" si="103"/>
        <v/>
      </c>
      <c r="AG295" t="str">
        <f t="shared" si="104"/>
        <v/>
      </c>
      <c r="AH295" t="str">
        <f t="shared" si="105"/>
        <v/>
      </c>
      <c r="AI295" t="str">
        <f t="shared" si="106"/>
        <v/>
      </c>
      <c r="AJ295" t="str">
        <f t="shared" si="107"/>
        <v/>
      </c>
      <c r="AK295" t="str">
        <f t="shared" si="108"/>
        <v/>
      </c>
      <c r="AL295">
        <f>IFERROR(ROUND(L295*(G295/$AU295)/VLOOKUP(F295,商品!$A$4:$B$60,2,FALSE),0),"")</f>
        <v>3</v>
      </c>
      <c r="AM295" t="str">
        <f>IFERROR(ROUND(L295*(I295/$AU295)/VLOOKUP(H295,商品!$A$4:$B$60,2,FALSE),0),"")</f>
        <v/>
      </c>
      <c r="AN295">
        <f>IFERROR(ROUND(L295*(J295/$AU295)/VLOOKUP("运力",商品!$A$4:$B$60,2,FALSE),0),0)</f>
        <v>0</v>
      </c>
      <c r="AO295">
        <f>IFERROR(ROUND(L295*(K295/$AU295)/VLOOKUP("交易",商品!$A$4:$B$60,2,FALSE),0),0)</f>
        <v>0</v>
      </c>
      <c r="AP295" t="str">
        <f>IFERROR(ROUND(S295*(N295/$AV295)/VLOOKUP(M295,职业!$A$4:$G$16,4,FALSE),0),"")</f>
        <v/>
      </c>
      <c r="AQ295" t="str">
        <f>IFERROR(ROUND(S295*(P295/$AV295)/VLOOKUP(O295,职业!$A$4:$G$16,4,FALSE),0),"")</f>
        <v/>
      </c>
      <c r="AR295" t="str">
        <f>IFERROR(ROUND(S295*(R295/$AV295)/VLOOKUP(Q295,职业!$A$4:$G$16,4,FALSE),0),"")</f>
        <v/>
      </c>
      <c r="AS295" t="str">
        <f>IFERROR(ROUND(X295*(U295/$AW295)/VLOOKUP(T295,商品!$A$4:$B$60,2,FALSE),0),"")</f>
        <v/>
      </c>
      <c r="AT295" t="str">
        <f>IFERROR(ROUND(X295*(W295/$AW295)/VLOOKUP(V295,商品!$A$4:$B$60,2,FALSE),0),"")</f>
        <v/>
      </c>
      <c r="AU295">
        <f t="shared" si="109"/>
        <v>10</v>
      </c>
      <c r="AV295">
        <f t="shared" si="110"/>
        <v>0</v>
      </c>
      <c r="AW295">
        <f t="shared" si="111"/>
        <v>0</v>
      </c>
    </row>
    <row r="296" spans="1:49" ht="19.95" customHeight="1" x14ac:dyDescent="0.25">
      <c r="A296" s="16" t="s">
        <v>516</v>
      </c>
      <c r="C296" s="16">
        <v>4</v>
      </c>
      <c r="D296" s="23" t="s">
        <v>174</v>
      </c>
      <c r="E296" s="23" t="s">
        <v>175</v>
      </c>
      <c r="F296" s="2" t="s">
        <v>45</v>
      </c>
      <c r="G296" s="2">
        <v>5</v>
      </c>
      <c r="H296" s="2" t="s">
        <v>19</v>
      </c>
      <c r="I296" s="2">
        <v>10</v>
      </c>
      <c r="L296" s="16">
        <f>IFERROR(VLOOKUP($D296&amp;$C296,生产方式定位!$A$2:$E$38,2,FALSE)+VLOOKUP($E296&amp;$C296,生产方式定位!$F$3:$J$38,2,FALSE),0)</f>
        <v>150</v>
      </c>
      <c r="S296" s="16">
        <f>IFERROR(VLOOKUP($D296&amp;$C296,生产方式定位!$A$2:$E$38,3,FALSE)+VLOOKUP($E296&amp;$C296,生产方式定位!$F$3:$J$38,3,FALSE),0)</f>
        <v>30</v>
      </c>
      <c r="X296" s="16">
        <f>IFERROR(VLOOKUP($D296&amp;$C296,生产方式定位!$A$2:$E$38,5,FALSE)+VLOOKUP($E296&amp;$C296,生产方式定位!$F$3:$J$38,5,FALSE),"错误")</f>
        <v>0</v>
      </c>
      <c r="Y296" s="26" t="str">
        <f t="shared" si="96"/>
        <v>科学引擎*1,煤*3</v>
      </c>
      <c r="Z296" s="36" t="str">
        <f t="shared" si="97"/>
        <v/>
      </c>
      <c r="AA296" s="36" t="str">
        <f t="shared" si="98"/>
        <v/>
      </c>
      <c r="AB296" s="27" t="str">
        <f t="shared" si="99"/>
        <v>-100%</v>
      </c>
      <c r="AC296" s="2">
        <f t="shared" si="100"/>
        <v>-180</v>
      </c>
      <c r="AD296" s="38">
        <f t="shared" si="101"/>
        <v>4</v>
      </c>
      <c r="AE296" t="str">
        <f t="shared" si="102"/>
        <v>科学引擎*1</v>
      </c>
      <c r="AF296" t="str">
        <f t="shared" si="103"/>
        <v>煤*3</v>
      </c>
      <c r="AG296" t="str">
        <f t="shared" si="104"/>
        <v/>
      </c>
      <c r="AH296" t="str">
        <f t="shared" si="105"/>
        <v/>
      </c>
      <c r="AI296" t="str">
        <f t="shared" si="106"/>
        <v/>
      </c>
      <c r="AJ296" t="str">
        <f t="shared" si="107"/>
        <v/>
      </c>
      <c r="AK296" t="str">
        <f t="shared" si="108"/>
        <v/>
      </c>
      <c r="AL296">
        <f>IFERROR(ROUND(L296*(G296/$AU296)/VLOOKUP(F296,商品!$A$4:$B$60,2,FALSE),0),"")</f>
        <v>1</v>
      </c>
      <c r="AM296">
        <f>IFERROR(ROUND(L296*(I296/$AU296)/VLOOKUP(H296,商品!$A$4:$B$60,2,FALSE),0),"")</f>
        <v>3</v>
      </c>
      <c r="AN296">
        <f>IFERROR(ROUND(L296*(J296/$AU296)/VLOOKUP("运力",商品!$A$4:$B$60,2,FALSE),0),0)</f>
        <v>0</v>
      </c>
      <c r="AO296">
        <f>IFERROR(ROUND(L296*(K296/$AU296)/VLOOKUP("交易",商品!$A$4:$B$60,2,FALSE),0),0)</f>
        <v>0</v>
      </c>
      <c r="AP296" t="str">
        <f>IFERROR(ROUND(S296*(N296/$AV296)/VLOOKUP(M296,职业!$A$4:$G$16,4,FALSE),0),"")</f>
        <v/>
      </c>
      <c r="AQ296" t="str">
        <f>IFERROR(ROUND(S296*(P296/$AV296)/VLOOKUP(O296,职业!$A$4:$G$16,4,FALSE),0),"")</f>
        <v/>
      </c>
      <c r="AR296" t="str">
        <f>IFERROR(ROUND(S296*(R296/$AV296)/VLOOKUP(Q296,职业!$A$4:$G$16,4,FALSE),0),"")</f>
        <v/>
      </c>
      <c r="AS296" t="str">
        <f>IFERROR(ROUND(X296*(U296/$AW296)/VLOOKUP(T296,商品!$A$4:$B$60,2,FALSE),0),"")</f>
        <v/>
      </c>
      <c r="AT296" t="str">
        <f>IFERROR(ROUND(X296*(W296/$AW296)/VLOOKUP(V296,商品!$A$4:$B$60,2,FALSE),0),"")</f>
        <v/>
      </c>
      <c r="AU296">
        <f t="shared" si="109"/>
        <v>15</v>
      </c>
      <c r="AV296">
        <f t="shared" si="110"/>
        <v>0</v>
      </c>
      <c r="AW296">
        <f t="shared" si="111"/>
        <v>0</v>
      </c>
    </row>
    <row r="297" spans="1:49" ht="19.95" customHeight="1" x14ac:dyDescent="0.25">
      <c r="A297" s="16" t="s">
        <v>516</v>
      </c>
      <c r="C297" s="16">
        <v>5</v>
      </c>
      <c r="D297" s="23" t="s">
        <v>174</v>
      </c>
      <c r="E297" s="23" t="s">
        <v>175</v>
      </c>
      <c r="F297" s="2" t="s">
        <v>46</v>
      </c>
      <c r="G297" s="2">
        <v>5</v>
      </c>
      <c r="H297" s="2" t="s">
        <v>19</v>
      </c>
      <c r="I297" s="2">
        <v>10</v>
      </c>
      <c r="L297" s="16">
        <f>IFERROR(VLOOKUP($D297&amp;$C297,生产方式定位!$A$2:$E$38,2,FALSE)+VLOOKUP($E297&amp;$C297,生产方式定位!$F$3:$J$38,2,FALSE),0)</f>
        <v>200</v>
      </c>
      <c r="S297" s="16">
        <f>IFERROR(VLOOKUP($D297&amp;$C297,生产方式定位!$A$2:$E$38,3,FALSE)+VLOOKUP($E297&amp;$C297,生产方式定位!$F$3:$J$38,3,FALSE),0)</f>
        <v>40</v>
      </c>
      <c r="X297" s="16">
        <f>IFERROR(VLOOKUP($D297&amp;$C297,生产方式定位!$A$2:$E$38,5,FALSE)+VLOOKUP($E297&amp;$C297,生产方式定位!$F$3:$J$38,5,FALSE),"错误")</f>
        <v>0</v>
      </c>
      <c r="Y297" s="26" t="str">
        <f t="shared" si="96"/>
        <v>魔导引擎*1,煤*4</v>
      </c>
      <c r="Z297" s="36" t="str">
        <f t="shared" si="97"/>
        <v/>
      </c>
      <c r="AA297" s="36" t="str">
        <f t="shared" si="98"/>
        <v/>
      </c>
      <c r="AB297" s="27" t="str">
        <f t="shared" si="99"/>
        <v>-100%</v>
      </c>
      <c r="AC297" s="2">
        <f t="shared" si="100"/>
        <v>-240</v>
      </c>
      <c r="AD297" s="38">
        <f t="shared" si="101"/>
        <v>5</v>
      </c>
      <c r="AE297" t="str">
        <f t="shared" si="102"/>
        <v>魔导引擎*1</v>
      </c>
      <c r="AF297" t="str">
        <f t="shared" si="103"/>
        <v>煤*4</v>
      </c>
      <c r="AG297" t="str">
        <f t="shared" si="104"/>
        <v/>
      </c>
      <c r="AH297" t="str">
        <f t="shared" si="105"/>
        <v/>
      </c>
      <c r="AI297" t="str">
        <f t="shared" si="106"/>
        <v/>
      </c>
      <c r="AJ297" t="str">
        <f t="shared" si="107"/>
        <v/>
      </c>
      <c r="AK297" t="str">
        <f t="shared" si="108"/>
        <v/>
      </c>
      <c r="AL297">
        <f>IFERROR(ROUND(L297*(G297/$AU297)/VLOOKUP(F297,商品!$A$4:$B$60,2,FALSE),0),"")</f>
        <v>1</v>
      </c>
      <c r="AM297">
        <f>IFERROR(ROUND(L297*(I297/$AU297)/VLOOKUP(H297,商品!$A$4:$B$60,2,FALSE),0),"")</f>
        <v>4</v>
      </c>
      <c r="AN297">
        <f>IFERROR(ROUND(L297*(J297/$AU297)/VLOOKUP("运力",商品!$A$4:$B$60,2,FALSE),0),0)</f>
        <v>0</v>
      </c>
      <c r="AO297">
        <f>IFERROR(ROUND(L297*(K297/$AU297)/VLOOKUP("交易",商品!$A$4:$B$60,2,FALSE),0),0)</f>
        <v>0</v>
      </c>
      <c r="AP297" t="str">
        <f>IFERROR(ROUND(S297*(N297/$AV297)/VLOOKUP(M297,职业!$A$4:$G$16,4,FALSE),0),"")</f>
        <v/>
      </c>
      <c r="AQ297" t="str">
        <f>IFERROR(ROUND(S297*(P297/$AV297)/VLOOKUP(O297,职业!$A$4:$G$16,4,FALSE),0),"")</f>
        <v/>
      </c>
      <c r="AR297" t="str">
        <f>IFERROR(ROUND(S297*(R297/$AV297)/VLOOKUP(Q297,职业!$A$4:$G$16,4,FALSE),0),"")</f>
        <v/>
      </c>
      <c r="AS297" t="str">
        <f>IFERROR(ROUND(X297*(U297/$AW297)/VLOOKUP(T297,商品!$A$4:$B$60,2,FALSE),0),"")</f>
        <v/>
      </c>
      <c r="AT297" t="str">
        <f>IFERROR(ROUND(X297*(W297/$AW297)/VLOOKUP(V297,商品!$A$4:$B$60,2,FALSE),0),"")</f>
        <v/>
      </c>
      <c r="AU297">
        <f t="shared" si="109"/>
        <v>15</v>
      </c>
      <c r="AV297">
        <f t="shared" si="110"/>
        <v>0</v>
      </c>
      <c r="AW297">
        <f t="shared" si="111"/>
        <v>0</v>
      </c>
    </row>
    <row r="298" spans="1:49" ht="19.95" customHeight="1" x14ac:dyDescent="0.25">
      <c r="A298" s="15" t="s">
        <v>516</v>
      </c>
      <c r="C298" s="15">
        <v>1</v>
      </c>
      <c r="D298" s="23" t="s">
        <v>174</v>
      </c>
      <c r="E298" s="23" t="s">
        <v>177</v>
      </c>
      <c r="L298" s="15">
        <f>IFERROR(VLOOKUP($D298&amp;$C298,生产方式定位!$A$2:$E$38,2,FALSE)+VLOOKUP($E298&amp;$C298,生产方式定位!$F$3:$J$38,2,FALSE),0)</f>
        <v>0</v>
      </c>
      <c r="S298" s="15">
        <f>IFERROR(VLOOKUP($D298&amp;$C298,生产方式定位!$A$2:$E$38,3,FALSE)+VLOOKUP($E298&amp;$C298,生产方式定位!$F$3:$J$38,3,FALSE),0)</f>
        <v>0</v>
      </c>
      <c r="X298" s="15">
        <f>IFERROR(VLOOKUP($D298&amp;$C298,生产方式定位!$A$2:$E$38,5,FALSE)+VLOOKUP($E298&amp;$C298,生产方式定位!$F$3:$J$38,5,FALSE),"错误")</f>
        <v>0</v>
      </c>
      <c r="Y298" s="26" t="str">
        <f t="shared" si="96"/>
        <v/>
      </c>
      <c r="Z298" s="36" t="str">
        <f t="shared" si="97"/>
        <v/>
      </c>
      <c r="AA298" s="36" t="str">
        <f t="shared" si="98"/>
        <v/>
      </c>
      <c r="AB298" s="27" t="str">
        <f t="shared" si="99"/>
        <v/>
      </c>
      <c r="AC298" s="2" t="str">
        <f t="shared" si="100"/>
        <v/>
      </c>
      <c r="AD298" s="37">
        <f t="shared" si="101"/>
        <v>1</v>
      </c>
      <c r="AE298" t="str">
        <f t="shared" si="102"/>
        <v/>
      </c>
      <c r="AF298" t="str">
        <f t="shared" si="103"/>
        <v/>
      </c>
      <c r="AG298" t="str">
        <f t="shared" si="104"/>
        <v/>
      </c>
      <c r="AH298" t="str">
        <f t="shared" si="105"/>
        <v/>
      </c>
      <c r="AI298" t="str">
        <f t="shared" si="106"/>
        <v/>
      </c>
      <c r="AJ298" t="str">
        <f t="shared" si="107"/>
        <v/>
      </c>
      <c r="AK298" t="str">
        <f t="shared" si="108"/>
        <v/>
      </c>
      <c r="AL298" t="str">
        <f>IFERROR(ROUND(L298*(G298/$AU298)/VLOOKUP(F298,商品!$A$4:$B$60,2,FALSE),0),"")</f>
        <v/>
      </c>
      <c r="AM298" t="str">
        <f>IFERROR(ROUND(L298*(I298/$AU298)/VLOOKUP(H298,商品!$A$4:$B$60,2,FALSE),0),"")</f>
        <v/>
      </c>
      <c r="AN298">
        <f>IFERROR(ROUND(L298*(J298/$AU298)/VLOOKUP("运力",商品!$A$4:$B$60,2,FALSE),0),0)</f>
        <v>0</v>
      </c>
      <c r="AO298">
        <f>IFERROR(ROUND(L298*(K298/$AU298)/VLOOKUP("交易",商品!$A$4:$B$60,2,FALSE),0),0)</f>
        <v>0</v>
      </c>
      <c r="AP298" t="str">
        <f>IFERROR(ROUND(S298*(N298/$AV298)/VLOOKUP(M298,职业!$A$4:$G$16,4,FALSE),0),"")</f>
        <v/>
      </c>
      <c r="AQ298" t="str">
        <f>IFERROR(ROUND(S298*(P298/$AV298)/VLOOKUP(O298,职业!$A$4:$G$16,4,FALSE),0),"")</f>
        <v/>
      </c>
      <c r="AR298" t="str">
        <f>IFERROR(ROUND(S298*(R298/$AV298)/VLOOKUP(Q298,职业!$A$4:$G$16,4,FALSE),0),"")</f>
        <v/>
      </c>
      <c r="AS298" t="str">
        <f>IFERROR(ROUND(X298*(U298/$AW298)/VLOOKUP(T298,商品!$A$4:$B$60,2,FALSE),0),"")</f>
        <v/>
      </c>
      <c r="AT298" t="str">
        <f>IFERROR(ROUND(X298*(W298/$AW298)/VLOOKUP(V298,商品!$A$4:$B$60,2,FALSE),0),"")</f>
        <v/>
      </c>
      <c r="AU298">
        <f t="shared" si="109"/>
        <v>0</v>
      </c>
      <c r="AV298">
        <f t="shared" si="110"/>
        <v>0</v>
      </c>
      <c r="AW298">
        <f t="shared" si="111"/>
        <v>0</v>
      </c>
    </row>
    <row r="299" spans="1:49" ht="19.95" customHeight="1" x14ac:dyDescent="0.25">
      <c r="A299" s="15" t="s">
        <v>516</v>
      </c>
      <c r="C299" s="15">
        <v>2</v>
      </c>
      <c r="D299" s="23" t="s">
        <v>174</v>
      </c>
      <c r="E299" s="23" t="s">
        <v>177</v>
      </c>
      <c r="F299" s="2" t="s">
        <v>42</v>
      </c>
      <c r="G299" s="2">
        <v>5</v>
      </c>
      <c r="H299" s="2" t="s">
        <v>20</v>
      </c>
      <c r="I299" s="2">
        <v>10</v>
      </c>
      <c r="L299" s="15">
        <f>IFERROR(VLOOKUP($D299&amp;$C299,生产方式定位!$A$2:$E$38,2,FALSE)+VLOOKUP($E299&amp;$C299,生产方式定位!$F$3:$J$38,2,FALSE),0)</f>
        <v>105</v>
      </c>
      <c r="S299" s="15">
        <f>IFERROR(VLOOKUP($D299&amp;$C299,生产方式定位!$A$2:$E$38,3,FALSE)+VLOOKUP($E299&amp;$C299,生产方式定位!$F$3:$J$38,3,FALSE),0)</f>
        <v>15</v>
      </c>
      <c r="X299" s="15">
        <f>IFERROR(VLOOKUP($D299&amp;$C299,生产方式定位!$A$2:$E$38,5,FALSE)+VLOOKUP($E299&amp;$C299,生产方式定位!$F$3:$J$38,5,FALSE),"错误")</f>
        <v>0</v>
      </c>
      <c r="Y299" s="26" t="str">
        <f t="shared" si="96"/>
        <v>魔偶*1,灵能水晶*2</v>
      </c>
      <c r="Z299" s="36" t="str">
        <f t="shared" si="97"/>
        <v/>
      </c>
      <c r="AA299" s="36" t="str">
        <f t="shared" si="98"/>
        <v/>
      </c>
      <c r="AB299" s="27" t="str">
        <f t="shared" si="99"/>
        <v>-100%</v>
      </c>
      <c r="AC299" s="2">
        <f t="shared" si="100"/>
        <v>-120</v>
      </c>
      <c r="AD299" s="37">
        <f t="shared" si="101"/>
        <v>2</v>
      </c>
      <c r="AE299" t="str">
        <f t="shared" si="102"/>
        <v>魔偶*1</v>
      </c>
      <c r="AF299" t="str">
        <f t="shared" si="103"/>
        <v>灵能水晶*2</v>
      </c>
      <c r="AG299" t="str">
        <f t="shared" si="104"/>
        <v/>
      </c>
      <c r="AH299" t="str">
        <f t="shared" si="105"/>
        <v/>
      </c>
      <c r="AI299" t="str">
        <f t="shared" si="106"/>
        <v/>
      </c>
      <c r="AJ299" t="str">
        <f t="shared" si="107"/>
        <v/>
      </c>
      <c r="AK299" t="str">
        <f t="shared" si="108"/>
        <v/>
      </c>
      <c r="AL299">
        <f>IFERROR(ROUND(L299*(G299/$AU299)/VLOOKUP(F299,商品!$A$4:$B$60,2,FALSE),0),"")</f>
        <v>1</v>
      </c>
      <c r="AM299">
        <f>IFERROR(ROUND(L299*(I299/$AU299)/VLOOKUP(H299,商品!$A$4:$B$60,2,FALSE),0),"")</f>
        <v>2</v>
      </c>
      <c r="AN299">
        <f>IFERROR(ROUND(L299*(J299/$AU299)/VLOOKUP("运力",商品!$A$4:$B$60,2,FALSE),0),0)</f>
        <v>0</v>
      </c>
      <c r="AO299">
        <f>IFERROR(ROUND(L299*(K299/$AU299)/VLOOKUP("交易",商品!$A$4:$B$60,2,FALSE),0),0)</f>
        <v>0</v>
      </c>
      <c r="AP299" t="str">
        <f>IFERROR(ROUND(S299*(N299/$AV299)/VLOOKUP(M299,职业!$A$4:$G$16,4,FALSE),0),"")</f>
        <v/>
      </c>
      <c r="AQ299" t="str">
        <f>IFERROR(ROUND(S299*(P299/$AV299)/VLOOKUP(O299,职业!$A$4:$G$16,4,FALSE),0),"")</f>
        <v/>
      </c>
      <c r="AR299" t="str">
        <f>IFERROR(ROUND(S299*(R299/$AV299)/VLOOKUP(Q299,职业!$A$4:$G$16,4,FALSE),0),"")</f>
        <v/>
      </c>
      <c r="AS299" t="str">
        <f>IFERROR(ROUND(X299*(U299/$AW299)/VLOOKUP(T299,商品!$A$4:$B$60,2,FALSE),0),"")</f>
        <v/>
      </c>
      <c r="AT299" t="str">
        <f>IFERROR(ROUND(X299*(W299/$AW299)/VLOOKUP(V299,商品!$A$4:$B$60,2,FALSE),0),"")</f>
        <v/>
      </c>
      <c r="AU299">
        <f t="shared" si="109"/>
        <v>15</v>
      </c>
      <c r="AV299">
        <f t="shared" si="110"/>
        <v>0</v>
      </c>
      <c r="AW299">
        <f t="shared" si="111"/>
        <v>0</v>
      </c>
    </row>
    <row r="300" spans="1:49" ht="19.95" customHeight="1" x14ac:dyDescent="0.25">
      <c r="A300" s="15" t="s">
        <v>516</v>
      </c>
      <c r="C300" s="15">
        <v>3</v>
      </c>
      <c r="D300" s="23" t="s">
        <v>174</v>
      </c>
      <c r="E300" s="23" t="s">
        <v>177</v>
      </c>
      <c r="F300" s="2" t="s">
        <v>42</v>
      </c>
      <c r="G300" s="2">
        <v>5</v>
      </c>
      <c r="H300" s="2" t="s">
        <v>20</v>
      </c>
      <c r="I300" s="2">
        <v>10</v>
      </c>
      <c r="L300" s="15">
        <f>IFERROR(VLOOKUP($D300&amp;$C300,生产方式定位!$A$2:$E$38,2,FALSE)+VLOOKUP($E300&amp;$C300,生产方式定位!$F$3:$J$38,2,FALSE),0)</f>
        <v>210</v>
      </c>
      <c r="S300" s="15">
        <f>IFERROR(VLOOKUP($D300&amp;$C300,生产方式定位!$A$2:$E$38,3,FALSE)+VLOOKUP($E300&amp;$C300,生产方式定位!$F$3:$J$38,3,FALSE),0)</f>
        <v>30</v>
      </c>
      <c r="X300" s="15">
        <f>IFERROR(VLOOKUP($D300&amp;$C300,生产方式定位!$A$2:$E$38,5,FALSE)+VLOOKUP($E300&amp;$C300,生产方式定位!$F$3:$J$38,5,FALSE),"错误")</f>
        <v>0</v>
      </c>
      <c r="Y300" s="26" t="str">
        <f t="shared" si="96"/>
        <v>魔偶*2,灵能水晶*5</v>
      </c>
      <c r="Z300" s="36" t="str">
        <f t="shared" si="97"/>
        <v/>
      </c>
      <c r="AA300" s="36" t="str">
        <f t="shared" si="98"/>
        <v/>
      </c>
      <c r="AB300" s="27" t="str">
        <f t="shared" si="99"/>
        <v>-100%</v>
      </c>
      <c r="AC300" s="2">
        <f t="shared" si="100"/>
        <v>-240</v>
      </c>
      <c r="AD300" s="37">
        <f t="shared" si="101"/>
        <v>3</v>
      </c>
      <c r="AE300" t="str">
        <f t="shared" si="102"/>
        <v>魔偶*2</v>
      </c>
      <c r="AF300" t="str">
        <f t="shared" si="103"/>
        <v>灵能水晶*5</v>
      </c>
      <c r="AG300" t="str">
        <f t="shared" si="104"/>
        <v/>
      </c>
      <c r="AH300" t="str">
        <f t="shared" si="105"/>
        <v/>
      </c>
      <c r="AI300" t="str">
        <f t="shared" si="106"/>
        <v/>
      </c>
      <c r="AJ300" t="str">
        <f t="shared" si="107"/>
        <v/>
      </c>
      <c r="AK300" t="str">
        <f t="shared" si="108"/>
        <v/>
      </c>
      <c r="AL300">
        <f>IFERROR(ROUND(L300*(G300/$AU300)/VLOOKUP(F300,商品!$A$4:$B$60,2,FALSE),0),"")</f>
        <v>2</v>
      </c>
      <c r="AM300">
        <f>IFERROR(ROUND(L300*(I300/$AU300)/VLOOKUP(H300,商品!$A$4:$B$60,2,FALSE),0),"")</f>
        <v>5</v>
      </c>
      <c r="AN300">
        <f>IFERROR(ROUND(L300*(J300/$AU300)/VLOOKUP("运力",商品!$A$4:$B$60,2,FALSE),0),0)</f>
        <v>0</v>
      </c>
      <c r="AO300">
        <f>IFERROR(ROUND(L300*(K300/$AU300)/VLOOKUP("交易",商品!$A$4:$B$60,2,FALSE),0),0)</f>
        <v>0</v>
      </c>
      <c r="AP300" t="str">
        <f>IFERROR(ROUND(S300*(N300/$AV300)/VLOOKUP(M300,职业!$A$4:$G$16,4,FALSE),0),"")</f>
        <v/>
      </c>
      <c r="AQ300" t="str">
        <f>IFERROR(ROUND(S300*(P300/$AV300)/VLOOKUP(O300,职业!$A$4:$G$16,4,FALSE),0),"")</f>
        <v/>
      </c>
      <c r="AR300" t="str">
        <f>IFERROR(ROUND(S300*(R300/$AV300)/VLOOKUP(Q300,职业!$A$4:$G$16,4,FALSE),0),"")</f>
        <v/>
      </c>
      <c r="AS300" t="str">
        <f>IFERROR(ROUND(X300*(U300/$AW300)/VLOOKUP(T300,商品!$A$4:$B$60,2,FALSE),0),"")</f>
        <v/>
      </c>
      <c r="AT300" t="str">
        <f>IFERROR(ROUND(X300*(W300/$AW300)/VLOOKUP(V300,商品!$A$4:$B$60,2,FALSE),0),"")</f>
        <v/>
      </c>
      <c r="AU300">
        <f t="shared" si="109"/>
        <v>15</v>
      </c>
      <c r="AV300">
        <f t="shared" si="110"/>
        <v>0</v>
      </c>
      <c r="AW300">
        <f t="shared" si="111"/>
        <v>0</v>
      </c>
    </row>
    <row r="301" spans="1:49" ht="19.95" customHeight="1" x14ac:dyDescent="0.25">
      <c r="A301" s="15" t="s">
        <v>516</v>
      </c>
      <c r="C301" s="15">
        <v>4</v>
      </c>
      <c r="D301" s="23" t="s">
        <v>174</v>
      </c>
      <c r="E301" s="23" t="s">
        <v>177</v>
      </c>
      <c r="F301" s="2" t="s">
        <v>42</v>
      </c>
      <c r="G301" s="2">
        <v>5</v>
      </c>
      <c r="H301" s="2" t="s">
        <v>20</v>
      </c>
      <c r="I301" s="2">
        <v>10</v>
      </c>
      <c r="L301" s="15">
        <f>IFERROR(VLOOKUP($D301&amp;$C301,生产方式定位!$A$2:$E$38,2,FALSE)+VLOOKUP($E301&amp;$C301,生产方式定位!$F$3:$J$38,2,FALSE),0)</f>
        <v>315</v>
      </c>
      <c r="S301" s="15">
        <f>IFERROR(VLOOKUP($D301&amp;$C301,生产方式定位!$A$2:$E$38,3,FALSE)+VLOOKUP($E301&amp;$C301,生产方式定位!$F$3:$J$38,3,FALSE),0)</f>
        <v>45</v>
      </c>
      <c r="X301" s="15">
        <f>IFERROR(VLOOKUP($D301&amp;$C301,生产方式定位!$A$2:$E$38,5,FALSE)+VLOOKUP($E301&amp;$C301,生产方式定位!$F$3:$J$38,5,FALSE),"错误")</f>
        <v>0</v>
      </c>
      <c r="Y301" s="26" t="str">
        <f t="shared" si="96"/>
        <v>魔偶*3,灵能水晶*7</v>
      </c>
      <c r="Z301" s="36" t="str">
        <f t="shared" si="97"/>
        <v/>
      </c>
      <c r="AA301" s="36" t="str">
        <f t="shared" si="98"/>
        <v/>
      </c>
      <c r="AB301" s="27" t="str">
        <f t="shared" si="99"/>
        <v>-100%</v>
      </c>
      <c r="AC301" s="2">
        <f t="shared" si="100"/>
        <v>-360</v>
      </c>
      <c r="AD301" s="37">
        <f t="shared" si="101"/>
        <v>4</v>
      </c>
      <c r="AE301" t="str">
        <f t="shared" si="102"/>
        <v>魔偶*3</v>
      </c>
      <c r="AF301" t="str">
        <f t="shared" si="103"/>
        <v>灵能水晶*7</v>
      </c>
      <c r="AG301" t="str">
        <f t="shared" si="104"/>
        <v/>
      </c>
      <c r="AH301" t="str">
        <f t="shared" si="105"/>
        <v/>
      </c>
      <c r="AI301" t="str">
        <f t="shared" si="106"/>
        <v/>
      </c>
      <c r="AJ301" t="str">
        <f t="shared" si="107"/>
        <v/>
      </c>
      <c r="AK301" t="str">
        <f t="shared" si="108"/>
        <v/>
      </c>
      <c r="AL301">
        <f>IFERROR(ROUND(L301*(G301/$AU301)/VLOOKUP(F301,商品!$A$4:$B$60,2,FALSE),0),"")</f>
        <v>3</v>
      </c>
      <c r="AM301">
        <f>IFERROR(ROUND(L301*(I301/$AU301)/VLOOKUP(H301,商品!$A$4:$B$60,2,FALSE),0),"")</f>
        <v>7</v>
      </c>
      <c r="AN301">
        <f>IFERROR(ROUND(L301*(J301/$AU301)/VLOOKUP("运力",商品!$A$4:$B$60,2,FALSE),0),0)</f>
        <v>0</v>
      </c>
      <c r="AO301">
        <f>IFERROR(ROUND(L301*(K301/$AU301)/VLOOKUP("交易",商品!$A$4:$B$60,2,FALSE),0),0)</f>
        <v>0</v>
      </c>
      <c r="AP301" t="str">
        <f>IFERROR(ROUND(S301*(N301/$AV301)/VLOOKUP(M301,职业!$A$4:$G$16,4,FALSE),0),"")</f>
        <v/>
      </c>
      <c r="AQ301" t="str">
        <f>IFERROR(ROUND(S301*(P301/$AV301)/VLOOKUP(O301,职业!$A$4:$G$16,4,FALSE),0),"")</f>
        <v/>
      </c>
      <c r="AR301" t="str">
        <f>IFERROR(ROUND(S301*(R301/$AV301)/VLOOKUP(Q301,职业!$A$4:$G$16,4,FALSE),0),"")</f>
        <v/>
      </c>
      <c r="AS301" t="str">
        <f>IFERROR(ROUND(X301*(U301/$AW301)/VLOOKUP(T301,商品!$A$4:$B$60,2,FALSE),0),"")</f>
        <v/>
      </c>
      <c r="AT301" t="str">
        <f>IFERROR(ROUND(X301*(W301/$AW301)/VLOOKUP(V301,商品!$A$4:$B$60,2,FALSE),0),"")</f>
        <v/>
      </c>
      <c r="AU301">
        <f t="shared" si="109"/>
        <v>15</v>
      </c>
      <c r="AV301">
        <f t="shared" si="110"/>
        <v>0</v>
      </c>
      <c r="AW301">
        <f t="shared" si="111"/>
        <v>0</v>
      </c>
    </row>
    <row r="302" spans="1:49" ht="19.95" customHeight="1" x14ac:dyDescent="0.25">
      <c r="A302" s="15" t="s">
        <v>516</v>
      </c>
      <c r="C302" s="15">
        <v>5</v>
      </c>
      <c r="D302" s="23" t="s">
        <v>174</v>
      </c>
      <c r="E302" s="23" t="s">
        <v>177</v>
      </c>
      <c r="F302" s="2" t="s">
        <v>42</v>
      </c>
      <c r="G302" s="2">
        <v>5</v>
      </c>
      <c r="H302" s="2" t="s">
        <v>20</v>
      </c>
      <c r="I302" s="2">
        <v>10</v>
      </c>
      <c r="L302" s="15">
        <f>IFERROR(VLOOKUP($D302&amp;$C302,生产方式定位!$A$2:$E$38,2,FALSE)+VLOOKUP($E302&amp;$C302,生产方式定位!$F$3:$J$38,2,FALSE),0)</f>
        <v>420</v>
      </c>
      <c r="S302" s="15">
        <f>IFERROR(VLOOKUP($D302&amp;$C302,生产方式定位!$A$2:$E$38,3,FALSE)+VLOOKUP($E302&amp;$C302,生产方式定位!$F$3:$J$38,3,FALSE),0)</f>
        <v>60</v>
      </c>
      <c r="X302" s="15">
        <f>IFERROR(VLOOKUP($D302&amp;$C302,生产方式定位!$A$2:$E$38,5,FALSE)+VLOOKUP($E302&amp;$C302,生产方式定位!$F$3:$J$38,5,FALSE),"错误")</f>
        <v>0</v>
      </c>
      <c r="Y302" s="26" t="str">
        <f t="shared" si="96"/>
        <v>魔偶*4,灵能水晶*9</v>
      </c>
      <c r="Z302" s="36" t="str">
        <f t="shared" si="97"/>
        <v/>
      </c>
      <c r="AA302" s="36" t="str">
        <f t="shared" si="98"/>
        <v/>
      </c>
      <c r="AB302" s="27" t="str">
        <f t="shared" si="99"/>
        <v>-100%</v>
      </c>
      <c r="AC302" s="2">
        <f t="shared" si="100"/>
        <v>-480</v>
      </c>
      <c r="AD302" s="37">
        <f t="shared" si="101"/>
        <v>5</v>
      </c>
      <c r="AE302" t="str">
        <f t="shared" si="102"/>
        <v>魔偶*4</v>
      </c>
      <c r="AF302" t="str">
        <f t="shared" si="103"/>
        <v>灵能水晶*9</v>
      </c>
      <c r="AG302" t="str">
        <f t="shared" si="104"/>
        <v/>
      </c>
      <c r="AH302" t="str">
        <f t="shared" si="105"/>
        <v/>
      </c>
      <c r="AI302" t="str">
        <f t="shared" si="106"/>
        <v/>
      </c>
      <c r="AJ302" t="str">
        <f t="shared" si="107"/>
        <v/>
      </c>
      <c r="AK302" t="str">
        <f t="shared" si="108"/>
        <v/>
      </c>
      <c r="AL302">
        <f>IFERROR(ROUND(L302*(G302/$AU302)/VLOOKUP(F302,商品!$A$4:$B$60,2,FALSE),0),"")</f>
        <v>4</v>
      </c>
      <c r="AM302">
        <f>IFERROR(ROUND(L302*(I302/$AU302)/VLOOKUP(H302,商品!$A$4:$B$60,2,FALSE),0),"")</f>
        <v>9</v>
      </c>
      <c r="AN302">
        <f>IFERROR(ROUND(L302*(J302/$AU302)/VLOOKUP("运力",商品!$A$4:$B$60,2,FALSE),0),0)</f>
        <v>0</v>
      </c>
      <c r="AO302">
        <f>IFERROR(ROUND(L302*(K302/$AU302)/VLOOKUP("交易",商品!$A$4:$B$60,2,FALSE),0),0)</f>
        <v>0</v>
      </c>
      <c r="AP302" t="str">
        <f>IFERROR(ROUND(S302*(N302/$AV302)/VLOOKUP(M302,职业!$A$4:$G$16,4,FALSE),0),"")</f>
        <v/>
      </c>
      <c r="AQ302" t="str">
        <f>IFERROR(ROUND(S302*(P302/$AV302)/VLOOKUP(O302,职业!$A$4:$G$16,4,FALSE),0),"")</f>
        <v/>
      </c>
      <c r="AR302" t="str">
        <f>IFERROR(ROUND(S302*(R302/$AV302)/VLOOKUP(Q302,职业!$A$4:$G$16,4,FALSE),0),"")</f>
        <v/>
      </c>
      <c r="AS302" t="str">
        <f>IFERROR(ROUND(X302*(U302/$AW302)/VLOOKUP(T302,商品!$A$4:$B$60,2,FALSE),0),"")</f>
        <v/>
      </c>
      <c r="AT302" t="str">
        <f>IFERROR(ROUND(X302*(W302/$AW302)/VLOOKUP(V302,商品!$A$4:$B$60,2,FALSE),0),"")</f>
        <v/>
      </c>
      <c r="AU302">
        <f t="shared" si="109"/>
        <v>15</v>
      </c>
      <c r="AV302">
        <f t="shared" si="110"/>
        <v>0</v>
      </c>
      <c r="AW302">
        <f t="shared" si="111"/>
        <v>0</v>
      </c>
    </row>
    <row r="303" spans="1:49" ht="19.95" customHeight="1" x14ac:dyDescent="0.25">
      <c r="A303" s="16" t="s">
        <v>242</v>
      </c>
      <c r="C303" s="16">
        <v>1</v>
      </c>
      <c r="D303" s="23" t="s">
        <v>174</v>
      </c>
      <c r="E303" s="23" t="s">
        <v>179</v>
      </c>
      <c r="L303" s="16">
        <f>IFERROR(VLOOKUP($D303&amp;$C303,生产方式定位!$A$2:$E$38,2,FALSE)+VLOOKUP($E303&amp;$C303,生产方式定位!$F$3:$J$38,2,FALSE),0)</f>
        <v>0</v>
      </c>
      <c r="S303" s="16">
        <f>IFERROR(VLOOKUP($D303&amp;$C303,生产方式定位!$A$2:$E$38,3,FALSE)+VLOOKUP($E303&amp;$C303,生产方式定位!$F$3:$J$38,3,FALSE),0)</f>
        <v>100</v>
      </c>
      <c r="X303" s="16">
        <f>IFERROR(VLOOKUP($D303&amp;$C303,生产方式定位!$A$2:$E$38,5,FALSE)+VLOOKUP($E303&amp;$C303,生产方式定位!$F$3:$J$38,5,FALSE),"错误")</f>
        <v>100</v>
      </c>
      <c r="Y303" s="26" t="str">
        <f t="shared" si="96"/>
        <v/>
      </c>
      <c r="Z303" s="36" t="str">
        <f t="shared" si="97"/>
        <v/>
      </c>
      <c r="AA303" s="36" t="str">
        <f t="shared" si="98"/>
        <v/>
      </c>
      <c r="AB303" s="27" t="str">
        <f t="shared" si="99"/>
        <v/>
      </c>
      <c r="AC303" s="2" t="str">
        <f t="shared" si="100"/>
        <v/>
      </c>
      <c r="AD303" s="38">
        <f t="shared" si="101"/>
        <v>1</v>
      </c>
      <c r="AE303" t="str">
        <f t="shared" si="102"/>
        <v/>
      </c>
      <c r="AF303" t="str">
        <f t="shared" si="103"/>
        <v/>
      </c>
      <c r="AG303" t="str">
        <f t="shared" si="104"/>
        <v/>
      </c>
      <c r="AH303" t="str">
        <f t="shared" si="105"/>
        <v/>
      </c>
      <c r="AI303" t="str">
        <f t="shared" si="106"/>
        <v/>
      </c>
      <c r="AJ303" t="str">
        <f t="shared" si="107"/>
        <v/>
      </c>
      <c r="AK303" t="str">
        <f t="shared" si="108"/>
        <v/>
      </c>
      <c r="AL303" t="str">
        <f>IFERROR(ROUND(L303*(G303/$AU303)/VLOOKUP(F303,商品!$A$4:$B$60,2,FALSE),0),"")</f>
        <v/>
      </c>
      <c r="AM303" t="str">
        <f>IFERROR(ROUND(L303*(I303/$AU303)/VLOOKUP(H303,商品!$A$4:$B$60,2,FALSE),0),"")</f>
        <v/>
      </c>
      <c r="AN303">
        <f>IFERROR(ROUND(L303*(J303/$AU303)/VLOOKUP("运力",商品!$A$4:$B$60,2,FALSE),0),0)</f>
        <v>0</v>
      </c>
      <c r="AO303">
        <f>IFERROR(ROUND(L303*(K303/$AU303)/VLOOKUP("交易",商品!$A$4:$B$60,2,FALSE),0),0)</f>
        <v>0</v>
      </c>
      <c r="AP303" t="str">
        <f>IFERROR(ROUND(S303*(N303/$AV303)/VLOOKUP(M303,职业!$A$4:$G$16,4,FALSE),0),"")</f>
        <v/>
      </c>
      <c r="AQ303" t="str">
        <f>IFERROR(ROUND(S303*(P303/$AV303)/VLOOKUP(O303,职业!$A$4:$G$16,4,FALSE),0),"")</f>
        <v/>
      </c>
      <c r="AR303" t="str">
        <f>IFERROR(ROUND(S303*(R303/$AV303)/VLOOKUP(Q303,职业!$A$4:$G$16,4,FALSE),0),"")</f>
        <v/>
      </c>
      <c r="AS303" t="str">
        <f>IFERROR(ROUND(X303*(U303/$AW303)/VLOOKUP(T303,商品!$A$4:$B$60,2,FALSE),0),"")</f>
        <v/>
      </c>
      <c r="AT303" t="str">
        <f>IFERROR(ROUND(X303*(W303/$AW303)/VLOOKUP(V303,商品!$A$4:$B$60,2,FALSE),0),"")</f>
        <v/>
      </c>
      <c r="AU303">
        <f t="shared" si="109"/>
        <v>0</v>
      </c>
      <c r="AV303">
        <f t="shared" si="110"/>
        <v>0</v>
      </c>
      <c r="AW303">
        <f t="shared" si="111"/>
        <v>0</v>
      </c>
    </row>
    <row r="304" spans="1:49" ht="19.95" customHeight="1" x14ac:dyDescent="0.25">
      <c r="A304" s="16" t="s">
        <v>242</v>
      </c>
      <c r="C304" s="16">
        <v>2</v>
      </c>
      <c r="D304" s="23" t="s">
        <v>174</v>
      </c>
      <c r="E304" s="23" t="s">
        <v>179</v>
      </c>
      <c r="L304" s="16">
        <f>IFERROR(VLOOKUP($D304&amp;$C304,生产方式定位!$A$2:$E$38,2,FALSE)+VLOOKUP($E304&amp;$C304,生产方式定位!$F$3:$J$38,2,FALSE),0)</f>
        <v>0</v>
      </c>
      <c r="S304" s="16">
        <f>IFERROR(VLOOKUP($D304&amp;$C304,生产方式定位!$A$2:$E$38,3,FALSE)+VLOOKUP($E304&amp;$C304,生产方式定位!$F$3:$J$38,3,FALSE),0)</f>
        <v>100</v>
      </c>
      <c r="X304" s="16">
        <f>IFERROR(VLOOKUP($D304&amp;$C304,生产方式定位!$A$2:$E$38,5,FALSE)+VLOOKUP($E304&amp;$C304,生产方式定位!$F$3:$J$38,5,FALSE),"错误")</f>
        <v>100</v>
      </c>
      <c r="Y304" s="26" t="str">
        <f t="shared" si="96"/>
        <v/>
      </c>
      <c r="Z304" s="36" t="str">
        <f t="shared" si="97"/>
        <v/>
      </c>
      <c r="AA304" s="36" t="str">
        <f t="shared" si="98"/>
        <v/>
      </c>
      <c r="AB304" s="27" t="str">
        <f t="shared" si="99"/>
        <v/>
      </c>
      <c r="AC304" s="2" t="str">
        <f t="shared" si="100"/>
        <v/>
      </c>
      <c r="AD304" s="38">
        <f t="shared" si="101"/>
        <v>2</v>
      </c>
      <c r="AE304" t="str">
        <f t="shared" si="102"/>
        <v/>
      </c>
      <c r="AF304" t="str">
        <f t="shared" si="103"/>
        <v/>
      </c>
      <c r="AG304" t="str">
        <f t="shared" si="104"/>
        <v/>
      </c>
      <c r="AH304" t="str">
        <f t="shared" si="105"/>
        <v/>
      </c>
      <c r="AI304" t="str">
        <f t="shared" si="106"/>
        <v/>
      </c>
      <c r="AJ304" t="str">
        <f t="shared" si="107"/>
        <v/>
      </c>
      <c r="AK304" t="str">
        <f t="shared" si="108"/>
        <v/>
      </c>
      <c r="AL304" t="str">
        <f>IFERROR(ROUND(L304*(G304/$AU304)/VLOOKUP(F304,商品!$A$4:$B$60,2,FALSE),0),"")</f>
        <v/>
      </c>
      <c r="AM304" t="str">
        <f>IFERROR(ROUND(L304*(I304/$AU304)/VLOOKUP(H304,商品!$A$4:$B$60,2,FALSE),0),"")</f>
        <v/>
      </c>
      <c r="AN304">
        <f>IFERROR(ROUND(L304*(J304/$AU304)/VLOOKUP("运力",商品!$A$4:$B$60,2,FALSE),0),0)</f>
        <v>0</v>
      </c>
      <c r="AO304">
        <f>IFERROR(ROUND(L304*(K304/$AU304)/VLOOKUP("交易",商品!$A$4:$B$60,2,FALSE),0),0)</f>
        <v>0</v>
      </c>
      <c r="AP304" t="str">
        <f>IFERROR(ROUND(S304*(N304/$AV304)/VLOOKUP(M304,职业!$A$4:$G$16,4,FALSE),0),"")</f>
        <v/>
      </c>
      <c r="AQ304" t="str">
        <f>IFERROR(ROUND(S304*(P304/$AV304)/VLOOKUP(O304,职业!$A$4:$G$16,4,FALSE),0),"")</f>
        <v/>
      </c>
      <c r="AR304" t="str">
        <f>IFERROR(ROUND(S304*(R304/$AV304)/VLOOKUP(Q304,职业!$A$4:$G$16,4,FALSE),0),"")</f>
        <v/>
      </c>
      <c r="AS304" t="str">
        <f>IFERROR(ROUND(X304*(U304/$AW304)/VLOOKUP(T304,商品!$A$4:$B$60,2,FALSE),0),"")</f>
        <v/>
      </c>
      <c r="AT304" t="str">
        <f>IFERROR(ROUND(X304*(W304/$AW304)/VLOOKUP(V304,商品!$A$4:$B$60,2,FALSE),0),"")</f>
        <v/>
      </c>
      <c r="AU304">
        <f t="shared" si="109"/>
        <v>0</v>
      </c>
      <c r="AV304">
        <f t="shared" si="110"/>
        <v>0</v>
      </c>
      <c r="AW304">
        <f t="shared" si="111"/>
        <v>0</v>
      </c>
    </row>
    <row r="305" spans="1:49" ht="19.95" customHeight="1" x14ac:dyDescent="0.25">
      <c r="A305" s="16" t="s">
        <v>242</v>
      </c>
      <c r="C305" s="16">
        <v>3</v>
      </c>
      <c r="D305" s="23" t="s">
        <v>174</v>
      </c>
      <c r="E305" s="23" t="s">
        <v>179</v>
      </c>
      <c r="L305" s="16">
        <f>IFERROR(VLOOKUP($D305&amp;$C305,生产方式定位!$A$2:$E$38,2,FALSE)+VLOOKUP($E305&amp;$C305,生产方式定位!$F$3:$J$38,2,FALSE),0)</f>
        <v>0</v>
      </c>
      <c r="S305" s="16">
        <f>IFERROR(VLOOKUP($D305&amp;$C305,生产方式定位!$A$2:$E$38,3,FALSE)+VLOOKUP($E305&amp;$C305,生产方式定位!$F$3:$J$38,3,FALSE),0)</f>
        <v>100</v>
      </c>
      <c r="X305" s="16">
        <f>IFERROR(VLOOKUP($D305&amp;$C305,生产方式定位!$A$2:$E$38,5,FALSE)+VLOOKUP($E305&amp;$C305,生产方式定位!$F$3:$J$38,5,FALSE),"错误")</f>
        <v>100</v>
      </c>
      <c r="Y305" s="26" t="str">
        <f t="shared" si="96"/>
        <v/>
      </c>
      <c r="Z305" s="36" t="str">
        <f t="shared" si="97"/>
        <v/>
      </c>
      <c r="AA305" s="36" t="str">
        <f t="shared" si="98"/>
        <v/>
      </c>
      <c r="AB305" s="27" t="str">
        <f t="shared" si="99"/>
        <v/>
      </c>
      <c r="AC305" s="2" t="str">
        <f t="shared" si="100"/>
        <v/>
      </c>
      <c r="AD305" s="38">
        <f t="shared" si="101"/>
        <v>3</v>
      </c>
      <c r="AE305" t="str">
        <f t="shared" si="102"/>
        <v/>
      </c>
      <c r="AF305" t="str">
        <f t="shared" si="103"/>
        <v/>
      </c>
      <c r="AG305" t="str">
        <f t="shared" si="104"/>
        <v/>
      </c>
      <c r="AH305" t="str">
        <f t="shared" si="105"/>
        <v/>
      </c>
      <c r="AI305" t="str">
        <f t="shared" si="106"/>
        <v/>
      </c>
      <c r="AJ305" t="str">
        <f t="shared" si="107"/>
        <v/>
      </c>
      <c r="AK305" t="str">
        <f t="shared" si="108"/>
        <v/>
      </c>
      <c r="AL305" t="str">
        <f>IFERROR(ROUND(L305*(G305/$AU305)/VLOOKUP(F305,商品!$A$4:$B$60,2,FALSE),0),"")</f>
        <v/>
      </c>
      <c r="AM305" t="str">
        <f>IFERROR(ROUND(L305*(I305/$AU305)/VLOOKUP(H305,商品!$A$4:$B$60,2,FALSE),0),"")</f>
        <v/>
      </c>
      <c r="AN305">
        <f>IFERROR(ROUND(L305*(J305/$AU305)/VLOOKUP("运力",商品!$A$4:$B$60,2,FALSE),0),0)</f>
        <v>0</v>
      </c>
      <c r="AO305">
        <f>IFERROR(ROUND(L305*(K305/$AU305)/VLOOKUP("交易",商品!$A$4:$B$60,2,FALSE),0),0)</f>
        <v>0</v>
      </c>
      <c r="AP305" t="str">
        <f>IFERROR(ROUND(S305*(N305/$AV305)/VLOOKUP(M305,职业!$A$4:$G$16,4,FALSE),0),"")</f>
        <v/>
      </c>
      <c r="AQ305" t="str">
        <f>IFERROR(ROUND(S305*(P305/$AV305)/VLOOKUP(O305,职业!$A$4:$G$16,4,FALSE),0),"")</f>
        <v/>
      </c>
      <c r="AR305" t="str">
        <f>IFERROR(ROUND(S305*(R305/$AV305)/VLOOKUP(Q305,职业!$A$4:$G$16,4,FALSE),0),"")</f>
        <v/>
      </c>
      <c r="AS305" t="str">
        <f>IFERROR(ROUND(X305*(U305/$AW305)/VLOOKUP(T305,商品!$A$4:$B$60,2,FALSE),0),"")</f>
        <v/>
      </c>
      <c r="AT305" t="str">
        <f>IFERROR(ROUND(X305*(W305/$AW305)/VLOOKUP(V305,商品!$A$4:$B$60,2,FALSE),0),"")</f>
        <v/>
      </c>
      <c r="AU305">
        <f t="shared" si="109"/>
        <v>0</v>
      </c>
      <c r="AV305">
        <f t="shared" si="110"/>
        <v>0</v>
      </c>
      <c r="AW305">
        <f t="shared" si="111"/>
        <v>0</v>
      </c>
    </row>
    <row r="306" spans="1:49" ht="19.95" customHeight="1" x14ac:dyDescent="0.25">
      <c r="A306" s="16" t="s">
        <v>242</v>
      </c>
      <c r="C306" s="16">
        <v>4</v>
      </c>
      <c r="D306" s="23" t="s">
        <v>174</v>
      </c>
      <c r="E306" s="23" t="s">
        <v>179</v>
      </c>
      <c r="L306" s="16">
        <f>IFERROR(VLOOKUP($D306&amp;$C306,生产方式定位!$A$2:$E$38,2,FALSE)+VLOOKUP($E306&amp;$C306,生产方式定位!$F$3:$J$38,2,FALSE),0)</f>
        <v>0</v>
      </c>
      <c r="S306" s="16">
        <f>IFERROR(VLOOKUP($D306&amp;$C306,生产方式定位!$A$2:$E$38,3,FALSE)+VLOOKUP($E306&amp;$C306,生产方式定位!$F$3:$J$38,3,FALSE),0)</f>
        <v>100</v>
      </c>
      <c r="X306" s="16">
        <f>IFERROR(VLOOKUP($D306&amp;$C306,生产方式定位!$A$2:$E$38,5,FALSE)+VLOOKUP($E306&amp;$C306,生产方式定位!$F$3:$J$38,5,FALSE),"错误")</f>
        <v>100</v>
      </c>
      <c r="Y306" s="26" t="str">
        <f t="shared" si="96"/>
        <v/>
      </c>
      <c r="Z306" s="36" t="str">
        <f t="shared" si="97"/>
        <v/>
      </c>
      <c r="AA306" s="36" t="str">
        <f t="shared" si="98"/>
        <v/>
      </c>
      <c r="AB306" s="27" t="str">
        <f t="shared" si="99"/>
        <v/>
      </c>
      <c r="AC306" s="2" t="str">
        <f t="shared" si="100"/>
        <v/>
      </c>
      <c r="AD306" s="38">
        <f t="shared" si="101"/>
        <v>4</v>
      </c>
      <c r="AE306" t="str">
        <f t="shared" si="102"/>
        <v/>
      </c>
      <c r="AF306" t="str">
        <f t="shared" si="103"/>
        <v/>
      </c>
      <c r="AG306" t="str">
        <f t="shared" si="104"/>
        <v/>
      </c>
      <c r="AH306" t="str">
        <f t="shared" si="105"/>
        <v/>
      </c>
      <c r="AI306" t="str">
        <f t="shared" si="106"/>
        <v/>
      </c>
      <c r="AJ306" t="str">
        <f t="shared" si="107"/>
        <v/>
      </c>
      <c r="AK306" t="str">
        <f t="shared" si="108"/>
        <v/>
      </c>
      <c r="AL306" t="str">
        <f>IFERROR(ROUND(L306*(G306/$AU306)/VLOOKUP(F306,商品!$A$4:$B$60,2,FALSE),0),"")</f>
        <v/>
      </c>
      <c r="AM306" t="str">
        <f>IFERROR(ROUND(L306*(I306/$AU306)/VLOOKUP(H306,商品!$A$4:$B$60,2,FALSE),0),"")</f>
        <v/>
      </c>
      <c r="AN306">
        <f>IFERROR(ROUND(L306*(J306/$AU306)/VLOOKUP("运力",商品!$A$4:$B$60,2,FALSE),0),0)</f>
        <v>0</v>
      </c>
      <c r="AO306">
        <f>IFERROR(ROUND(L306*(K306/$AU306)/VLOOKUP("交易",商品!$A$4:$B$60,2,FALSE),0),0)</f>
        <v>0</v>
      </c>
      <c r="AP306" t="str">
        <f>IFERROR(ROUND(S306*(N306/$AV306)/VLOOKUP(M306,职业!$A$4:$G$16,4,FALSE),0),"")</f>
        <v/>
      </c>
      <c r="AQ306" t="str">
        <f>IFERROR(ROUND(S306*(P306/$AV306)/VLOOKUP(O306,职业!$A$4:$G$16,4,FALSE),0),"")</f>
        <v/>
      </c>
      <c r="AR306" t="str">
        <f>IFERROR(ROUND(S306*(R306/$AV306)/VLOOKUP(Q306,职业!$A$4:$G$16,4,FALSE),0),"")</f>
        <v/>
      </c>
      <c r="AS306" t="str">
        <f>IFERROR(ROUND(X306*(U306/$AW306)/VLOOKUP(T306,商品!$A$4:$B$60,2,FALSE),0),"")</f>
        <v/>
      </c>
      <c r="AT306" t="str">
        <f>IFERROR(ROUND(X306*(W306/$AW306)/VLOOKUP(V306,商品!$A$4:$B$60,2,FALSE),0),"")</f>
        <v/>
      </c>
      <c r="AU306">
        <f t="shared" si="109"/>
        <v>0</v>
      </c>
      <c r="AV306">
        <f t="shared" si="110"/>
        <v>0</v>
      </c>
      <c r="AW306">
        <f t="shared" si="111"/>
        <v>0</v>
      </c>
    </row>
    <row r="307" spans="1:49" ht="19.95" customHeight="1" x14ac:dyDescent="0.25">
      <c r="A307" s="16" t="s">
        <v>242</v>
      </c>
      <c r="C307" s="16">
        <v>5</v>
      </c>
      <c r="D307" s="23" t="s">
        <v>174</v>
      </c>
      <c r="E307" s="23" t="s">
        <v>179</v>
      </c>
      <c r="L307" s="16">
        <f>IFERROR(VLOOKUP($D307&amp;$C307,生产方式定位!$A$2:$E$38,2,FALSE)+VLOOKUP($E307&amp;$C307,生产方式定位!$F$3:$J$38,2,FALSE),0)</f>
        <v>0</v>
      </c>
      <c r="S307" s="16">
        <f>IFERROR(VLOOKUP($D307&amp;$C307,生产方式定位!$A$2:$E$38,3,FALSE)+VLOOKUP($E307&amp;$C307,生产方式定位!$F$3:$J$38,3,FALSE),0)</f>
        <v>100</v>
      </c>
      <c r="X307" s="16">
        <f>IFERROR(VLOOKUP($D307&amp;$C307,生产方式定位!$A$2:$E$38,5,FALSE)+VLOOKUP($E307&amp;$C307,生产方式定位!$F$3:$J$38,5,FALSE),"错误")</f>
        <v>100</v>
      </c>
      <c r="Y307" s="26" t="str">
        <f t="shared" si="96"/>
        <v/>
      </c>
      <c r="Z307" s="36" t="str">
        <f t="shared" si="97"/>
        <v/>
      </c>
      <c r="AA307" s="36" t="str">
        <f t="shared" si="98"/>
        <v/>
      </c>
      <c r="AB307" s="27" t="str">
        <f t="shared" si="99"/>
        <v/>
      </c>
      <c r="AC307" s="2" t="str">
        <f t="shared" si="100"/>
        <v/>
      </c>
      <c r="AD307" s="38">
        <f t="shared" si="101"/>
        <v>5</v>
      </c>
      <c r="AE307" t="str">
        <f t="shared" si="102"/>
        <v/>
      </c>
      <c r="AF307" t="str">
        <f t="shared" si="103"/>
        <v/>
      </c>
      <c r="AG307" t="str">
        <f t="shared" si="104"/>
        <v/>
      </c>
      <c r="AH307" t="str">
        <f t="shared" si="105"/>
        <v/>
      </c>
      <c r="AI307" t="str">
        <f t="shared" si="106"/>
        <v/>
      </c>
      <c r="AJ307" t="str">
        <f t="shared" si="107"/>
        <v/>
      </c>
      <c r="AK307" t="str">
        <f t="shared" si="108"/>
        <v/>
      </c>
      <c r="AL307" t="str">
        <f>IFERROR(ROUND(L307*(G307/$AU307)/VLOOKUP(F307,商品!$A$4:$B$60,2,FALSE),0),"")</f>
        <v/>
      </c>
      <c r="AM307" t="str">
        <f>IFERROR(ROUND(L307*(I307/$AU307)/VLOOKUP(H307,商品!$A$4:$B$60,2,FALSE),0),"")</f>
        <v/>
      </c>
      <c r="AN307">
        <f>IFERROR(ROUND(L307*(J307/$AU307)/VLOOKUP("运力",商品!$A$4:$B$60,2,FALSE),0),0)</f>
        <v>0</v>
      </c>
      <c r="AO307">
        <f>IFERROR(ROUND(L307*(K307/$AU307)/VLOOKUP("交易",商品!$A$4:$B$60,2,FALSE),0),0)</f>
        <v>0</v>
      </c>
      <c r="AP307" t="str">
        <f>IFERROR(ROUND(S307*(N307/$AV307)/VLOOKUP(M307,职业!$A$4:$G$16,4,FALSE),0),"")</f>
        <v/>
      </c>
      <c r="AQ307" t="str">
        <f>IFERROR(ROUND(S307*(P307/$AV307)/VLOOKUP(O307,职业!$A$4:$G$16,4,FALSE),0),"")</f>
        <v/>
      </c>
      <c r="AR307" t="str">
        <f>IFERROR(ROUND(S307*(R307/$AV307)/VLOOKUP(Q307,职业!$A$4:$G$16,4,FALSE),0),"")</f>
        <v/>
      </c>
      <c r="AS307" t="str">
        <f>IFERROR(ROUND(X307*(U307/$AW307)/VLOOKUP(T307,商品!$A$4:$B$60,2,FALSE),0),"")</f>
        <v/>
      </c>
      <c r="AT307" t="str">
        <f>IFERROR(ROUND(X307*(W307/$AW307)/VLOOKUP(V307,商品!$A$4:$B$60,2,FALSE),0),"")</f>
        <v/>
      </c>
      <c r="AU307">
        <f t="shared" si="109"/>
        <v>0</v>
      </c>
      <c r="AV307">
        <f t="shared" si="110"/>
        <v>0</v>
      </c>
      <c r="AW307">
        <f t="shared" si="111"/>
        <v>0</v>
      </c>
    </row>
    <row r="308" spans="1:49" ht="19.95" customHeight="1" x14ac:dyDescent="0.25">
      <c r="A308" s="16" t="s">
        <v>242</v>
      </c>
      <c r="C308" s="16">
        <v>6</v>
      </c>
      <c r="D308" s="23" t="s">
        <v>174</v>
      </c>
      <c r="E308" s="23" t="s">
        <v>179</v>
      </c>
      <c r="L308" s="16">
        <f>IFERROR(VLOOKUP($D308&amp;$C308,生产方式定位!$A$2:$E$38,2,FALSE)+VLOOKUP($E308&amp;$C308,生产方式定位!$F$3:$J$38,2,FALSE),0)</f>
        <v>0</v>
      </c>
      <c r="S308" s="16">
        <f>IFERROR(VLOOKUP($D308&amp;$C308,生产方式定位!$A$2:$E$38,3,FALSE)+VLOOKUP($E308&amp;$C308,生产方式定位!$F$3:$J$38,3,FALSE),0)</f>
        <v>100</v>
      </c>
      <c r="X308" s="16">
        <f>IFERROR(VLOOKUP($D308&amp;$C308,生产方式定位!$A$2:$E$38,5,FALSE)+VLOOKUP($E308&amp;$C308,生产方式定位!$F$3:$J$38,5,FALSE),"错误")</f>
        <v>100</v>
      </c>
      <c r="Y308" s="26" t="str">
        <f t="shared" si="96"/>
        <v/>
      </c>
      <c r="Z308" s="36" t="str">
        <f t="shared" si="97"/>
        <v/>
      </c>
      <c r="AA308" s="36" t="str">
        <f t="shared" si="98"/>
        <v/>
      </c>
      <c r="AB308" s="27" t="str">
        <f t="shared" si="99"/>
        <v/>
      </c>
      <c r="AC308" s="2" t="str">
        <f t="shared" si="100"/>
        <v/>
      </c>
      <c r="AD308" s="37">
        <f t="shared" si="101"/>
        <v>6</v>
      </c>
      <c r="AE308" t="str">
        <f t="shared" si="102"/>
        <v/>
      </c>
      <c r="AF308" t="str">
        <f t="shared" si="103"/>
        <v/>
      </c>
      <c r="AG308" t="str">
        <f t="shared" si="104"/>
        <v/>
      </c>
      <c r="AH308" t="str">
        <f t="shared" si="105"/>
        <v/>
      </c>
      <c r="AI308" t="str">
        <f t="shared" si="106"/>
        <v/>
      </c>
      <c r="AJ308" t="str">
        <f t="shared" si="107"/>
        <v/>
      </c>
      <c r="AK308" t="str">
        <f t="shared" si="108"/>
        <v/>
      </c>
      <c r="AL308" t="str">
        <f>IFERROR(ROUND(L308*(G308/$AU308)/VLOOKUP(F308,商品!$A$4:$B$60,2,FALSE),0),"")</f>
        <v/>
      </c>
      <c r="AM308" t="str">
        <f>IFERROR(ROUND(L308*(I308/$AU308)/VLOOKUP(H308,商品!$A$4:$B$60,2,FALSE),0),"")</f>
        <v/>
      </c>
      <c r="AN308">
        <f>IFERROR(ROUND(L308*(J308/$AU308)/VLOOKUP("运力",商品!$A$4:$B$60,2,FALSE),0),0)</f>
        <v>0</v>
      </c>
      <c r="AO308">
        <f>IFERROR(ROUND(L308*(K308/$AU308)/VLOOKUP("交易",商品!$A$4:$B$60,2,FALSE),0),0)</f>
        <v>0</v>
      </c>
      <c r="AP308" t="str">
        <f>IFERROR(ROUND(S308*(N308/$AV308)/VLOOKUP(M308,职业!$A$4:$G$16,4,FALSE),0),"")</f>
        <v/>
      </c>
      <c r="AQ308" t="str">
        <f>IFERROR(ROUND(S308*(P308/$AV308)/VLOOKUP(O308,职业!$A$4:$G$16,4,FALSE),0),"")</f>
        <v/>
      </c>
      <c r="AR308" t="str">
        <f>IFERROR(ROUND(S308*(R308/$AV308)/VLOOKUP(Q308,职业!$A$4:$G$16,4,FALSE),0),"")</f>
        <v/>
      </c>
      <c r="AS308" t="str">
        <f>IFERROR(ROUND(X308*(U308/$AW308)/VLOOKUP(T308,商品!$A$4:$B$60,2,FALSE),0),"")</f>
        <v/>
      </c>
      <c r="AT308" t="str">
        <f>IFERROR(ROUND(X308*(W308/$AW308)/VLOOKUP(V308,商品!$A$4:$B$60,2,FALSE),0),"")</f>
        <v/>
      </c>
      <c r="AU308">
        <f t="shared" si="109"/>
        <v>0</v>
      </c>
      <c r="AV308">
        <f t="shared" si="110"/>
        <v>0</v>
      </c>
      <c r="AW308">
        <f t="shared" si="111"/>
        <v>0</v>
      </c>
    </row>
    <row r="309" spans="1:49" ht="19.95" customHeight="1" x14ac:dyDescent="0.25">
      <c r="A309" s="16" t="s">
        <v>242</v>
      </c>
      <c r="C309" s="16">
        <v>7</v>
      </c>
      <c r="D309" s="23" t="s">
        <v>174</v>
      </c>
      <c r="E309" s="23" t="s">
        <v>179</v>
      </c>
      <c r="L309" s="16">
        <f>IFERROR(VLOOKUP($D309&amp;$C309,生产方式定位!$A$2:$E$38,2,FALSE)+VLOOKUP($E309&amp;$C309,生产方式定位!$F$3:$J$38,2,FALSE),0)</f>
        <v>0</v>
      </c>
      <c r="S309" s="16">
        <f>IFERROR(VLOOKUP($D309&amp;$C309,生产方式定位!$A$2:$E$38,3,FALSE)+VLOOKUP($E309&amp;$C309,生产方式定位!$F$3:$J$38,3,FALSE),0)</f>
        <v>100</v>
      </c>
      <c r="X309" s="16">
        <f>IFERROR(VLOOKUP($D309&amp;$C309,生产方式定位!$A$2:$E$38,5,FALSE)+VLOOKUP($E309&amp;$C309,生产方式定位!$F$3:$J$38,5,FALSE),"错误")</f>
        <v>100</v>
      </c>
      <c r="Y309" s="26" t="str">
        <f t="shared" si="96"/>
        <v/>
      </c>
      <c r="Z309" s="36" t="str">
        <f t="shared" si="97"/>
        <v/>
      </c>
      <c r="AA309" s="36" t="str">
        <f t="shared" si="98"/>
        <v/>
      </c>
      <c r="AB309" s="27" t="str">
        <f t="shared" si="99"/>
        <v/>
      </c>
      <c r="AC309" s="2" t="str">
        <f t="shared" si="100"/>
        <v/>
      </c>
      <c r="AD309" s="37">
        <f t="shared" si="101"/>
        <v>7</v>
      </c>
      <c r="AE309" t="str">
        <f t="shared" si="102"/>
        <v/>
      </c>
      <c r="AF309" t="str">
        <f t="shared" si="103"/>
        <v/>
      </c>
      <c r="AG309" t="str">
        <f t="shared" si="104"/>
        <v/>
      </c>
      <c r="AH309" t="str">
        <f t="shared" si="105"/>
        <v/>
      </c>
      <c r="AI309" t="str">
        <f t="shared" si="106"/>
        <v/>
      </c>
      <c r="AJ309" t="str">
        <f t="shared" si="107"/>
        <v/>
      </c>
      <c r="AK309" t="str">
        <f t="shared" si="108"/>
        <v/>
      </c>
      <c r="AL309" t="str">
        <f>IFERROR(ROUND(L309*(G309/$AU309)/VLOOKUP(F309,商品!$A$4:$B$60,2,FALSE),0),"")</f>
        <v/>
      </c>
      <c r="AM309" t="str">
        <f>IFERROR(ROUND(L309*(I309/$AU309)/VLOOKUP(H309,商品!$A$4:$B$60,2,FALSE),0),"")</f>
        <v/>
      </c>
      <c r="AN309">
        <f>IFERROR(ROUND(L309*(J309/$AU309)/VLOOKUP("运力",商品!$A$4:$B$60,2,FALSE),0),0)</f>
        <v>0</v>
      </c>
      <c r="AO309">
        <f>IFERROR(ROUND(L309*(K309/$AU309)/VLOOKUP("交易",商品!$A$4:$B$60,2,FALSE),0),0)</f>
        <v>0</v>
      </c>
      <c r="AP309" t="str">
        <f>IFERROR(ROUND(S309*(N309/$AV309)/VLOOKUP(M309,职业!$A$4:$G$16,4,FALSE),0),"")</f>
        <v/>
      </c>
      <c r="AQ309" t="str">
        <f>IFERROR(ROUND(S309*(P309/$AV309)/VLOOKUP(O309,职业!$A$4:$G$16,4,FALSE),0),"")</f>
        <v/>
      </c>
      <c r="AR309" t="str">
        <f>IFERROR(ROUND(S309*(R309/$AV309)/VLOOKUP(Q309,职业!$A$4:$G$16,4,FALSE),0),"")</f>
        <v/>
      </c>
      <c r="AS309" t="str">
        <f>IFERROR(ROUND(X309*(U309/$AW309)/VLOOKUP(T309,商品!$A$4:$B$60,2,FALSE),0),"")</f>
        <v/>
      </c>
      <c r="AT309" t="str">
        <f>IFERROR(ROUND(X309*(W309/$AW309)/VLOOKUP(V309,商品!$A$4:$B$60,2,FALSE),0),"")</f>
        <v/>
      </c>
      <c r="AU309">
        <f t="shared" si="109"/>
        <v>0</v>
      </c>
      <c r="AV309">
        <f t="shared" si="110"/>
        <v>0</v>
      </c>
      <c r="AW309">
        <f t="shared" si="111"/>
        <v>0</v>
      </c>
    </row>
    <row r="310" spans="1:49" ht="19.95" customHeight="1" x14ac:dyDescent="0.25">
      <c r="A310" s="16" t="s">
        <v>242</v>
      </c>
      <c r="C310" s="16">
        <v>8</v>
      </c>
      <c r="D310" s="23" t="s">
        <v>174</v>
      </c>
      <c r="E310" s="23" t="s">
        <v>179</v>
      </c>
      <c r="L310" s="16">
        <f>IFERROR(VLOOKUP($D310&amp;$C310,生产方式定位!$A$2:$E$38,2,FALSE)+VLOOKUP($E310&amp;$C310,生产方式定位!$F$3:$J$38,2,FALSE),0)</f>
        <v>0</v>
      </c>
      <c r="S310" s="16">
        <f>IFERROR(VLOOKUP($D310&amp;$C310,生产方式定位!$A$2:$E$38,3,FALSE)+VLOOKUP($E310&amp;$C310,生产方式定位!$F$3:$J$38,3,FALSE),0)</f>
        <v>100</v>
      </c>
      <c r="X310" s="16">
        <f>IFERROR(VLOOKUP($D310&amp;$C310,生产方式定位!$A$2:$E$38,5,FALSE)+VLOOKUP($E310&amp;$C310,生产方式定位!$F$3:$J$38,5,FALSE),"错误")</f>
        <v>100</v>
      </c>
      <c r="Y310" s="26" t="str">
        <f t="shared" si="96"/>
        <v/>
      </c>
      <c r="Z310" s="36" t="str">
        <f t="shared" si="97"/>
        <v/>
      </c>
      <c r="AA310" s="36" t="str">
        <f t="shared" si="98"/>
        <v/>
      </c>
      <c r="AB310" s="27" t="str">
        <f t="shared" si="99"/>
        <v/>
      </c>
      <c r="AC310" s="2" t="str">
        <f t="shared" si="100"/>
        <v/>
      </c>
      <c r="AD310" s="37">
        <f t="shared" si="101"/>
        <v>8</v>
      </c>
      <c r="AE310" t="str">
        <f t="shared" si="102"/>
        <v/>
      </c>
      <c r="AF310" t="str">
        <f t="shared" si="103"/>
        <v/>
      </c>
      <c r="AG310" t="str">
        <f t="shared" si="104"/>
        <v/>
      </c>
      <c r="AH310" t="str">
        <f t="shared" si="105"/>
        <v/>
      </c>
      <c r="AI310" t="str">
        <f t="shared" si="106"/>
        <v/>
      </c>
      <c r="AJ310" t="str">
        <f t="shared" si="107"/>
        <v/>
      </c>
      <c r="AK310" t="str">
        <f t="shared" si="108"/>
        <v/>
      </c>
      <c r="AL310" t="str">
        <f>IFERROR(ROUND(L310*(G310/$AU310)/VLOOKUP(F310,商品!$A$4:$B$60,2,FALSE),0),"")</f>
        <v/>
      </c>
      <c r="AM310" t="str">
        <f>IFERROR(ROUND(L310*(I310/$AU310)/VLOOKUP(H310,商品!$A$4:$B$60,2,FALSE),0),"")</f>
        <v/>
      </c>
      <c r="AN310">
        <f>IFERROR(ROUND(L310*(J310/$AU310)/VLOOKUP("运力",商品!$A$4:$B$60,2,FALSE),0),0)</f>
        <v>0</v>
      </c>
      <c r="AO310">
        <f>IFERROR(ROUND(L310*(K310/$AU310)/VLOOKUP("交易",商品!$A$4:$B$60,2,FALSE),0),0)</f>
        <v>0</v>
      </c>
      <c r="AP310" t="str">
        <f>IFERROR(ROUND(S310*(N310/$AV310)/VLOOKUP(M310,职业!$A$4:$G$16,4,FALSE),0),"")</f>
        <v/>
      </c>
      <c r="AQ310" t="str">
        <f>IFERROR(ROUND(S310*(P310/$AV310)/VLOOKUP(O310,职业!$A$4:$G$16,4,FALSE),0),"")</f>
        <v/>
      </c>
      <c r="AR310" t="str">
        <f>IFERROR(ROUND(S310*(R310/$AV310)/VLOOKUP(Q310,职业!$A$4:$G$16,4,FALSE),0),"")</f>
        <v/>
      </c>
      <c r="AS310" t="str">
        <f>IFERROR(ROUND(X310*(U310/$AW310)/VLOOKUP(T310,商品!$A$4:$B$60,2,FALSE),0),"")</f>
        <v/>
      </c>
      <c r="AT310" t="str">
        <f>IFERROR(ROUND(X310*(W310/$AW310)/VLOOKUP(V310,商品!$A$4:$B$60,2,FALSE),0),"")</f>
        <v/>
      </c>
      <c r="AU310">
        <f t="shared" si="109"/>
        <v>0</v>
      </c>
      <c r="AV310">
        <f t="shared" si="110"/>
        <v>0</v>
      </c>
      <c r="AW310">
        <f t="shared" si="111"/>
        <v>0</v>
      </c>
    </row>
    <row r="311" spans="1:49" ht="19.95" customHeight="1" x14ac:dyDescent="0.25">
      <c r="A311" s="15" t="s">
        <v>244</v>
      </c>
      <c r="C311" s="15">
        <v>1</v>
      </c>
      <c r="D311" s="23" t="s">
        <v>222</v>
      </c>
      <c r="E311" s="23" t="s">
        <v>172</v>
      </c>
      <c r="F311" s="2" t="s">
        <v>19</v>
      </c>
      <c r="G311" s="2">
        <v>10</v>
      </c>
      <c r="H311" s="2" t="s">
        <v>16</v>
      </c>
      <c r="I311" s="2">
        <v>5</v>
      </c>
      <c r="J311" s="24">
        <v>10</v>
      </c>
      <c r="K311" s="25">
        <v>5</v>
      </c>
      <c r="L311" s="15">
        <f>IFERROR(VLOOKUP($D311&amp;$C311,生产方式定位!$A$2:$E$38,2,FALSE)+VLOOKUP($E311&amp;$C311,生产方式定位!$F$3:$J$38,2,FALSE),0)</f>
        <v>1000</v>
      </c>
      <c r="M311" s="2" t="s">
        <v>80</v>
      </c>
      <c r="N311" s="2">
        <v>100</v>
      </c>
      <c r="O311" s="2" t="s">
        <v>73</v>
      </c>
      <c r="P311" s="2">
        <v>10</v>
      </c>
      <c r="S311" s="15">
        <f>IFERROR(VLOOKUP($D311&amp;$C311,生产方式定位!$A$2:$E$38,3,FALSE)+VLOOKUP($E311&amp;$C311,生产方式定位!$F$3:$J$38,3,FALSE),0)</f>
        <v>100</v>
      </c>
      <c r="X311" s="15">
        <f>IFERROR(VLOOKUP($D311&amp;$C311,生产方式定位!$A$2:$E$38,5,FALSE)+VLOOKUP($E311&amp;$C311,生产方式定位!$F$3:$J$38,5,FALSE),"错误")</f>
        <v>1760</v>
      </c>
      <c r="Y311" s="26" t="str">
        <f t="shared" si="96"/>
        <v>煤*11,铁*4,运力*33,交易*17</v>
      </c>
      <c r="Z311" s="36" t="str">
        <f t="shared" si="97"/>
        <v>劳工*4114,工程师*137</v>
      </c>
      <c r="AA311" s="36" t="str">
        <f t="shared" si="98"/>
        <v/>
      </c>
      <c r="AB311" s="27" t="str">
        <f t="shared" si="99"/>
        <v>76%</v>
      </c>
      <c r="AC311" s="2">
        <f t="shared" si="100"/>
        <v>660</v>
      </c>
      <c r="AD311" s="37">
        <f t="shared" si="101"/>
        <v>1</v>
      </c>
      <c r="AE311" t="str">
        <f t="shared" si="102"/>
        <v>煤*11</v>
      </c>
      <c r="AF311" t="str">
        <f t="shared" si="103"/>
        <v>铁*4</v>
      </c>
      <c r="AG311" t="str">
        <f t="shared" si="104"/>
        <v>劳工*4114</v>
      </c>
      <c r="AH311" t="str">
        <f t="shared" si="105"/>
        <v>工程师*137</v>
      </c>
      <c r="AI311" t="str">
        <f t="shared" si="106"/>
        <v/>
      </c>
      <c r="AJ311" t="str">
        <f t="shared" si="107"/>
        <v/>
      </c>
      <c r="AK311" t="str">
        <f t="shared" si="108"/>
        <v/>
      </c>
      <c r="AL311">
        <f>IFERROR(ROUND(L311*(G311/$AU311)/VLOOKUP(F311,商品!$A$4:$B$60,2,FALSE),0),"")</f>
        <v>11</v>
      </c>
      <c r="AM311">
        <f>IFERROR(ROUND(L311*(I311/$AU311)/VLOOKUP(H311,商品!$A$4:$B$60,2,FALSE),0),"")</f>
        <v>4</v>
      </c>
      <c r="AN311">
        <f>IFERROR(ROUND(L311*(J311/$AU311)/VLOOKUP("运力",商品!$A$4:$B$60,2,FALSE),0),0)</f>
        <v>33</v>
      </c>
      <c r="AO311">
        <f>IFERROR(ROUND(L311*(K311/$AU311)/VLOOKUP("交易",商品!$A$4:$B$60,2,FALSE),0),0)</f>
        <v>17</v>
      </c>
      <c r="AP311">
        <f>IFERROR(ROUND(S311*(N311/$AV311)/VLOOKUP(M311,职业!$A$4:$G$16,4,FALSE),0),"")</f>
        <v>4114</v>
      </c>
      <c r="AQ311">
        <f>IFERROR(ROUND(S311*(P311/$AV311)/VLOOKUP(O311,职业!$A$4:$G$16,4,FALSE),0),"")</f>
        <v>137</v>
      </c>
      <c r="AR311" t="str">
        <f>IFERROR(ROUND(S311*(R311/$AV311)/VLOOKUP(Q311,职业!$A$4:$G$16,4,FALSE),0),"")</f>
        <v/>
      </c>
      <c r="AS311" t="str">
        <f>IFERROR(ROUND(X311*(U311/$AW311)/VLOOKUP(T311,商品!$A$4:$B$60,2,FALSE),0),"")</f>
        <v/>
      </c>
      <c r="AT311" t="str">
        <f>IFERROR(ROUND(X311*(W311/$AW311)/VLOOKUP(V311,商品!$A$4:$B$60,2,FALSE),0),"")</f>
        <v/>
      </c>
      <c r="AU311">
        <f t="shared" si="109"/>
        <v>30</v>
      </c>
      <c r="AV311">
        <f t="shared" si="110"/>
        <v>110</v>
      </c>
      <c r="AW311">
        <f t="shared" si="111"/>
        <v>0</v>
      </c>
    </row>
    <row r="312" spans="1:49" ht="19.95" customHeight="1" x14ac:dyDescent="0.25">
      <c r="A312" s="15" t="s">
        <v>244</v>
      </c>
      <c r="C312" s="15">
        <v>2</v>
      </c>
      <c r="D312" s="23" t="s">
        <v>222</v>
      </c>
      <c r="E312" s="23" t="s">
        <v>172</v>
      </c>
      <c r="F312" s="2" t="s">
        <v>19</v>
      </c>
      <c r="G312" s="2">
        <v>10</v>
      </c>
      <c r="H312" s="2" t="s">
        <v>16</v>
      </c>
      <c r="I312" s="2">
        <v>5</v>
      </c>
      <c r="J312" s="24">
        <v>10</v>
      </c>
      <c r="K312" s="25">
        <v>5</v>
      </c>
      <c r="L312" s="15">
        <f>IFERROR(VLOOKUP($D312&amp;$C312,生产方式定位!$A$2:$E$38,2,FALSE)+VLOOKUP($E312&amp;$C312,生产方式定位!$F$3:$J$38,2,FALSE),0)</f>
        <v>1600</v>
      </c>
      <c r="M312" s="2" t="s">
        <v>80</v>
      </c>
      <c r="N312" s="2">
        <v>100</v>
      </c>
      <c r="O312" s="2" t="s">
        <v>73</v>
      </c>
      <c r="P312" s="2">
        <v>20</v>
      </c>
      <c r="S312" s="15">
        <f>IFERROR(VLOOKUP($D312&amp;$C312,生产方式定位!$A$2:$E$38,3,FALSE)+VLOOKUP($E312&amp;$C312,生产方式定位!$F$3:$J$38,3,FALSE),0)</f>
        <v>100</v>
      </c>
      <c r="X312" s="15">
        <f>IFERROR(VLOOKUP($D312&amp;$C312,生产方式定位!$A$2:$E$38,5,FALSE)+VLOOKUP($E312&amp;$C312,生产方式定位!$F$3:$J$38,5,FALSE),"错误")</f>
        <v>2520</v>
      </c>
      <c r="Y312" s="26" t="str">
        <f t="shared" si="96"/>
        <v>煤*18,铁*7,运力*53,交易*27</v>
      </c>
      <c r="Z312" s="36" t="str">
        <f t="shared" si="97"/>
        <v>劳工*3771,工程师*251</v>
      </c>
      <c r="AA312" s="36" t="str">
        <f t="shared" si="98"/>
        <v/>
      </c>
      <c r="AB312" s="27" t="str">
        <f t="shared" si="99"/>
        <v>58%</v>
      </c>
      <c r="AC312" s="2">
        <f t="shared" si="100"/>
        <v>820</v>
      </c>
      <c r="AD312" s="37">
        <f t="shared" si="101"/>
        <v>2</v>
      </c>
      <c r="AE312" t="str">
        <f t="shared" si="102"/>
        <v>煤*18</v>
      </c>
      <c r="AF312" t="str">
        <f t="shared" si="103"/>
        <v>铁*7</v>
      </c>
      <c r="AG312" t="str">
        <f t="shared" si="104"/>
        <v>劳工*3771</v>
      </c>
      <c r="AH312" t="str">
        <f t="shared" si="105"/>
        <v>工程师*251</v>
      </c>
      <c r="AI312" t="str">
        <f t="shared" si="106"/>
        <v/>
      </c>
      <c r="AJ312" t="str">
        <f t="shared" si="107"/>
        <v/>
      </c>
      <c r="AK312" t="str">
        <f t="shared" si="108"/>
        <v/>
      </c>
      <c r="AL312">
        <f>IFERROR(ROUND(L312*(G312/$AU312)/VLOOKUP(F312,商品!$A$4:$B$60,2,FALSE),0),"")</f>
        <v>18</v>
      </c>
      <c r="AM312">
        <f>IFERROR(ROUND(L312*(I312/$AU312)/VLOOKUP(H312,商品!$A$4:$B$60,2,FALSE),0),"")</f>
        <v>7</v>
      </c>
      <c r="AN312">
        <f>IFERROR(ROUND(L312*(J312/$AU312)/VLOOKUP("运力",商品!$A$4:$B$60,2,FALSE),0),0)</f>
        <v>53</v>
      </c>
      <c r="AO312">
        <f>IFERROR(ROUND(L312*(K312/$AU312)/VLOOKUP("交易",商品!$A$4:$B$60,2,FALSE),0),0)</f>
        <v>27</v>
      </c>
      <c r="AP312">
        <f>IFERROR(ROUND(S312*(N312/$AV312)/VLOOKUP(M312,职业!$A$4:$G$16,4,FALSE),0),"")</f>
        <v>3771</v>
      </c>
      <c r="AQ312">
        <f>IFERROR(ROUND(S312*(P312/$AV312)/VLOOKUP(O312,职业!$A$4:$G$16,4,FALSE),0),"")</f>
        <v>251</v>
      </c>
      <c r="AR312" t="str">
        <f>IFERROR(ROUND(S312*(R312/$AV312)/VLOOKUP(Q312,职业!$A$4:$G$16,4,FALSE),0),"")</f>
        <v/>
      </c>
      <c r="AS312" t="str">
        <f>IFERROR(ROUND(X312*(U312/$AW312)/VLOOKUP(T312,商品!$A$4:$B$60,2,FALSE),0),"")</f>
        <v/>
      </c>
      <c r="AT312" t="str">
        <f>IFERROR(ROUND(X312*(W312/$AW312)/VLOOKUP(V312,商品!$A$4:$B$60,2,FALSE),0),"")</f>
        <v/>
      </c>
      <c r="AU312">
        <f t="shared" si="109"/>
        <v>30</v>
      </c>
      <c r="AV312">
        <f t="shared" si="110"/>
        <v>120</v>
      </c>
      <c r="AW312">
        <f t="shared" si="111"/>
        <v>0</v>
      </c>
    </row>
    <row r="313" spans="1:49" ht="19.95" customHeight="1" x14ac:dyDescent="0.25">
      <c r="A313" s="15" t="s">
        <v>244</v>
      </c>
      <c r="C313" s="15">
        <v>3</v>
      </c>
      <c r="D313" s="23" t="s">
        <v>222</v>
      </c>
      <c r="E313" s="23" t="s">
        <v>172</v>
      </c>
      <c r="F313" s="2" t="s">
        <v>19</v>
      </c>
      <c r="G313" s="2">
        <v>10</v>
      </c>
      <c r="H313" s="2" t="s">
        <v>16</v>
      </c>
      <c r="I313" s="2">
        <v>5</v>
      </c>
      <c r="J313" s="24">
        <v>10</v>
      </c>
      <c r="K313" s="25">
        <v>5</v>
      </c>
      <c r="L313" s="15">
        <f>IFERROR(VLOOKUP($D313&amp;$C313,生产方式定位!$A$2:$E$38,2,FALSE)+VLOOKUP($E313&amp;$C313,生产方式定位!$F$3:$J$38,2,FALSE),0)</f>
        <v>1825</v>
      </c>
      <c r="M313" s="2" t="s">
        <v>80</v>
      </c>
      <c r="N313" s="2">
        <v>100</v>
      </c>
      <c r="O313" s="2" t="s">
        <v>73</v>
      </c>
      <c r="P313" s="2">
        <v>30</v>
      </c>
      <c r="S313" s="15">
        <f>IFERROR(VLOOKUP($D313&amp;$C313,生产方式定位!$A$2:$E$38,3,FALSE)+VLOOKUP($E313&amp;$C313,生产方式定位!$F$3:$J$38,3,FALSE),0)</f>
        <v>100</v>
      </c>
      <c r="X313" s="15">
        <f>IFERROR(VLOOKUP($D313&amp;$C313,生产方式定位!$A$2:$E$38,5,FALSE)+VLOOKUP($E313&amp;$C313,生产方式定位!$F$3:$J$38,5,FALSE),"错误")</f>
        <v>2830</v>
      </c>
      <c r="Y313" s="26" t="str">
        <f t="shared" si="96"/>
        <v>煤*20,铁*8,运力*61,交易*30</v>
      </c>
      <c r="Z313" s="36" t="str">
        <f t="shared" si="97"/>
        <v>劳工*3481,工程师*348</v>
      </c>
      <c r="AA313" s="36" t="str">
        <f t="shared" si="98"/>
        <v/>
      </c>
      <c r="AB313" s="27" t="str">
        <f t="shared" si="99"/>
        <v>55%</v>
      </c>
      <c r="AC313" s="2">
        <f t="shared" si="100"/>
        <v>905</v>
      </c>
      <c r="AD313" s="38">
        <f t="shared" si="101"/>
        <v>3</v>
      </c>
      <c r="AE313" t="str">
        <f t="shared" si="102"/>
        <v>煤*20</v>
      </c>
      <c r="AF313" t="str">
        <f t="shared" si="103"/>
        <v>铁*8</v>
      </c>
      <c r="AG313" t="str">
        <f t="shared" si="104"/>
        <v>劳工*3481</v>
      </c>
      <c r="AH313" t="str">
        <f t="shared" si="105"/>
        <v>工程师*348</v>
      </c>
      <c r="AI313" t="str">
        <f t="shared" si="106"/>
        <v/>
      </c>
      <c r="AJ313" t="str">
        <f t="shared" si="107"/>
        <v/>
      </c>
      <c r="AK313" t="str">
        <f t="shared" si="108"/>
        <v/>
      </c>
      <c r="AL313">
        <f>IFERROR(ROUND(L313*(G313/$AU313)/VLOOKUP(F313,商品!$A$4:$B$60,2,FALSE),0),"")</f>
        <v>20</v>
      </c>
      <c r="AM313">
        <f>IFERROR(ROUND(L313*(I313/$AU313)/VLOOKUP(H313,商品!$A$4:$B$60,2,FALSE),0),"")</f>
        <v>8</v>
      </c>
      <c r="AN313">
        <f>IFERROR(ROUND(L313*(J313/$AU313)/VLOOKUP("运力",商品!$A$4:$B$60,2,FALSE),0),0)</f>
        <v>61</v>
      </c>
      <c r="AO313">
        <f>IFERROR(ROUND(L313*(K313/$AU313)/VLOOKUP("交易",商品!$A$4:$B$60,2,FALSE),0),0)</f>
        <v>30</v>
      </c>
      <c r="AP313">
        <f>IFERROR(ROUND(S313*(N313/$AV313)/VLOOKUP(M313,职业!$A$4:$G$16,4,FALSE),0),"")</f>
        <v>3481</v>
      </c>
      <c r="AQ313">
        <f>IFERROR(ROUND(S313*(P313/$AV313)/VLOOKUP(O313,职业!$A$4:$G$16,4,FALSE),0),"")</f>
        <v>348</v>
      </c>
      <c r="AR313" t="str">
        <f>IFERROR(ROUND(S313*(R313/$AV313)/VLOOKUP(Q313,职业!$A$4:$G$16,4,FALSE),0),"")</f>
        <v/>
      </c>
      <c r="AS313" t="str">
        <f>IFERROR(ROUND(X313*(U313/$AW313)/VLOOKUP(T313,商品!$A$4:$B$60,2,FALSE),0),"")</f>
        <v/>
      </c>
      <c r="AT313" t="str">
        <f>IFERROR(ROUND(X313*(W313/$AW313)/VLOOKUP(V313,商品!$A$4:$B$60,2,FALSE),0),"")</f>
        <v/>
      </c>
      <c r="AU313">
        <f t="shared" si="109"/>
        <v>30</v>
      </c>
      <c r="AV313">
        <f t="shared" si="110"/>
        <v>130</v>
      </c>
      <c r="AW313">
        <f t="shared" si="111"/>
        <v>0</v>
      </c>
    </row>
    <row r="314" spans="1:49" ht="19.95" customHeight="1" x14ac:dyDescent="0.25">
      <c r="A314" s="15" t="s">
        <v>244</v>
      </c>
      <c r="C314" s="15">
        <v>4</v>
      </c>
      <c r="D314" s="23" t="s">
        <v>222</v>
      </c>
      <c r="E314" s="23" t="s">
        <v>172</v>
      </c>
      <c r="F314" s="2" t="s">
        <v>19</v>
      </c>
      <c r="G314" s="2">
        <v>10</v>
      </c>
      <c r="H314" s="2" t="s">
        <v>16</v>
      </c>
      <c r="I314" s="2">
        <v>5</v>
      </c>
      <c r="J314" s="24">
        <v>10</v>
      </c>
      <c r="K314" s="25">
        <v>5</v>
      </c>
      <c r="L314" s="15">
        <f>IFERROR(VLOOKUP($D314&amp;$C314,生产方式定位!$A$2:$E$38,2,FALSE)+VLOOKUP($E314&amp;$C314,生产方式定位!$F$3:$J$38,2,FALSE),0)</f>
        <v>2050</v>
      </c>
      <c r="M314" s="2" t="s">
        <v>80</v>
      </c>
      <c r="N314" s="2">
        <v>100</v>
      </c>
      <c r="O314" s="2" t="s">
        <v>73</v>
      </c>
      <c r="P314" s="2">
        <v>40</v>
      </c>
      <c r="S314" s="15">
        <f>IFERROR(VLOOKUP($D314&amp;$C314,生产方式定位!$A$2:$E$38,3,FALSE)+VLOOKUP($E314&amp;$C314,生产方式定位!$F$3:$J$38,3,FALSE),0)</f>
        <v>100</v>
      </c>
      <c r="X314" s="15">
        <f>IFERROR(VLOOKUP($D314&amp;$C314,生产方式定位!$A$2:$E$38,5,FALSE)+VLOOKUP($E314&amp;$C314,生产方式定位!$F$3:$J$38,5,FALSE),"错误")</f>
        <v>3140</v>
      </c>
      <c r="Y314" s="26" t="str">
        <f t="shared" si="96"/>
        <v>煤*23,铁*9,运力*68,交易*34</v>
      </c>
      <c r="Z314" s="36" t="str">
        <f t="shared" si="97"/>
        <v>劳工*3232,工程师*431</v>
      </c>
      <c r="AA314" s="36" t="str">
        <f t="shared" si="98"/>
        <v/>
      </c>
      <c r="AB314" s="27" t="str">
        <f t="shared" si="99"/>
        <v>53%</v>
      </c>
      <c r="AC314" s="2">
        <f t="shared" si="100"/>
        <v>990</v>
      </c>
      <c r="AD314" s="38">
        <f t="shared" si="101"/>
        <v>4</v>
      </c>
      <c r="AE314" t="str">
        <f t="shared" si="102"/>
        <v>煤*23</v>
      </c>
      <c r="AF314" t="str">
        <f t="shared" si="103"/>
        <v>铁*9</v>
      </c>
      <c r="AG314" t="str">
        <f t="shared" si="104"/>
        <v>劳工*3232</v>
      </c>
      <c r="AH314" t="str">
        <f t="shared" si="105"/>
        <v>工程师*431</v>
      </c>
      <c r="AI314" t="str">
        <f t="shared" si="106"/>
        <v/>
      </c>
      <c r="AJ314" t="str">
        <f t="shared" si="107"/>
        <v/>
      </c>
      <c r="AK314" t="str">
        <f t="shared" si="108"/>
        <v/>
      </c>
      <c r="AL314">
        <f>IFERROR(ROUND(L314*(G314/$AU314)/VLOOKUP(F314,商品!$A$4:$B$60,2,FALSE),0),"")</f>
        <v>23</v>
      </c>
      <c r="AM314">
        <f>IFERROR(ROUND(L314*(I314/$AU314)/VLOOKUP(H314,商品!$A$4:$B$60,2,FALSE),0),"")</f>
        <v>9</v>
      </c>
      <c r="AN314">
        <f>IFERROR(ROUND(L314*(J314/$AU314)/VLOOKUP("运力",商品!$A$4:$B$60,2,FALSE),0),0)</f>
        <v>68</v>
      </c>
      <c r="AO314">
        <f>IFERROR(ROUND(L314*(K314/$AU314)/VLOOKUP("交易",商品!$A$4:$B$60,2,FALSE),0),0)</f>
        <v>34</v>
      </c>
      <c r="AP314">
        <f>IFERROR(ROUND(S314*(N314/$AV314)/VLOOKUP(M314,职业!$A$4:$G$16,4,FALSE),0),"")</f>
        <v>3232</v>
      </c>
      <c r="AQ314">
        <f>IFERROR(ROUND(S314*(P314/$AV314)/VLOOKUP(O314,职业!$A$4:$G$16,4,FALSE),0),"")</f>
        <v>431</v>
      </c>
      <c r="AR314" t="str">
        <f>IFERROR(ROUND(S314*(R314/$AV314)/VLOOKUP(Q314,职业!$A$4:$G$16,4,FALSE),0),"")</f>
        <v/>
      </c>
      <c r="AS314" t="str">
        <f>IFERROR(ROUND(X314*(U314/$AW314)/VLOOKUP(T314,商品!$A$4:$B$60,2,FALSE),0),"")</f>
        <v/>
      </c>
      <c r="AT314" t="str">
        <f>IFERROR(ROUND(X314*(W314/$AW314)/VLOOKUP(V314,商品!$A$4:$B$60,2,FALSE),0),"")</f>
        <v/>
      </c>
      <c r="AU314">
        <f t="shared" si="109"/>
        <v>30</v>
      </c>
      <c r="AV314">
        <f t="shared" si="110"/>
        <v>140</v>
      </c>
      <c r="AW314">
        <f t="shared" si="111"/>
        <v>0</v>
      </c>
    </row>
    <row r="315" spans="1:49" ht="19.95" customHeight="1" x14ac:dyDescent="0.25">
      <c r="A315" s="15" t="s">
        <v>244</v>
      </c>
      <c r="C315" s="15">
        <v>5</v>
      </c>
      <c r="D315" s="23" t="s">
        <v>222</v>
      </c>
      <c r="E315" s="23" t="s">
        <v>172</v>
      </c>
      <c r="F315" s="2" t="s">
        <v>19</v>
      </c>
      <c r="G315" s="2">
        <v>10</v>
      </c>
      <c r="H315" s="2" t="s">
        <v>16</v>
      </c>
      <c r="I315" s="2">
        <v>5</v>
      </c>
      <c r="J315" s="24">
        <v>10</v>
      </c>
      <c r="K315" s="25">
        <v>5</v>
      </c>
      <c r="L315" s="15">
        <f>IFERROR(VLOOKUP($D315&amp;$C315,生产方式定位!$A$2:$E$38,2,FALSE)+VLOOKUP($E315&amp;$C315,生产方式定位!$F$3:$J$38,2,FALSE),0)</f>
        <v>2275</v>
      </c>
      <c r="M315" s="2" t="s">
        <v>80</v>
      </c>
      <c r="N315" s="2">
        <v>100</v>
      </c>
      <c r="O315" s="2" t="s">
        <v>73</v>
      </c>
      <c r="P315" s="2">
        <v>50</v>
      </c>
      <c r="S315" s="15">
        <f>IFERROR(VLOOKUP($D315&amp;$C315,生产方式定位!$A$2:$E$38,3,FALSE)+VLOOKUP($E315&amp;$C315,生产方式定位!$F$3:$J$38,3,FALSE),0)</f>
        <v>100</v>
      </c>
      <c r="X315" s="15">
        <f>IFERROR(VLOOKUP($D315&amp;$C315,生产方式定位!$A$2:$E$38,5,FALSE)+VLOOKUP($E315&amp;$C315,生产方式定位!$F$3:$J$38,5,FALSE),"错误")</f>
        <v>3450</v>
      </c>
      <c r="Y315" s="26" t="str">
        <f t="shared" si="96"/>
        <v>煤*25,铁*9,运力*76,交易*38</v>
      </c>
      <c r="Z315" s="36" t="str">
        <f t="shared" si="97"/>
        <v>劳工*3017,工程师*503</v>
      </c>
      <c r="AA315" s="36" t="str">
        <f t="shared" si="98"/>
        <v/>
      </c>
      <c r="AB315" s="27" t="str">
        <f t="shared" si="99"/>
        <v>52%</v>
      </c>
      <c r="AC315" s="2">
        <f t="shared" si="100"/>
        <v>1075</v>
      </c>
      <c r="AD315" s="38">
        <f t="shared" si="101"/>
        <v>5</v>
      </c>
      <c r="AE315" t="str">
        <f t="shared" si="102"/>
        <v>煤*25</v>
      </c>
      <c r="AF315" t="str">
        <f t="shared" si="103"/>
        <v>铁*9</v>
      </c>
      <c r="AG315" t="str">
        <f t="shared" si="104"/>
        <v>劳工*3017</v>
      </c>
      <c r="AH315" t="str">
        <f t="shared" si="105"/>
        <v>工程师*503</v>
      </c>
      <c r="AI315" t="str">
        <f t="shared" si="106"/>
        <v/>
      </c>
      <c r="AJ315" t="str">
        <f t="shared" si="107"/>
        <v/>
      </c>
      <c r="AK315" t="str">
        <f t="shared" si="108"/>
        <v/>
      </c>
      <c r="AL315">
        <f>IFERROR(ROUND(L315*(G315/$AU315)/VLOOKUP(F315,商品!$A$4:$B$60,2,FALSE),0),"")</f>
        <v>25</v>
      </c>
      <c r="AM315">
        <f>IFERROR(ROUND(L315*(I315/$AU315)/VLOOKUP(H315,商品!$A$4:$B$60,2,FALSE),0),"")</f>
        <v>9</v>
      </c>
      <c r="AN315">
        <f>IFERROR(ROUND(L315*(J315/$AU315)/VLOOKUP("运力",商品!$A$4:$B$60,2,FALSE),0),0)</f>
        <v>76</v>
      </c>
      <c r="AO315">
        <f>IFERROR(ROUND(L315*(K315/$AU315)/VLOOKUP("交易",商品!$A$4:$B$60,2,FALSE),0),0)</f>
        <v>38</v>
      </c>
      <c r="AP315">
        <f>IFERROR(ROUND(S315*(N315/$AV315)/VLOOKUP(M315,职业!$A$4:$G$16,4,FALSE),0),"")</f>
        <v>3017</v>
      </c>
      <c r="AQ315">
        <f>IFERROR(ROUND(S315*(P315/$AV315)/VLOOKUP(O315,职业!$A$4:$G$16,4,FALSE),0),"")</f>
        <v>503</v>
      </c>
      <c r="AR315" t="str">
        <f>IFERROR(ROUND(S315*(R315/$AV315)/VLOOKUP(Q315,职业!$A$4:$G$16,4,FALSE),0),"")</f>
        <v/>
      </c>
      <c r="AS315" t="str">
        <f>IFERROR(ROUND(X315*(U315/$AW315)/VLOOKUP(T315,商品!$A$4:$B$60,2,FALSE),0),"")</f>
        <v/>
      </c>
      <c r="AT315" t="str">
        <f>IFERROR(ROUND(X315*(W315/$AW315)/VLOOKUP(V315,商品!$A$4:$B$60,2,FALSE),0),"")</f>
        <v/>
      </c>
      <c r="AU315">
        <f t="shared" si="109"/>
        <v>30</v>
      </c>
      <c r="AV315">
        <f t="shared" si="110"/>
        <v>150</v>
      </c>
      <c r="AW315">
        <f t="shared" si="111"/>
        <v>0</v>
      </c>
    </row>
    <row r="316" spans="1:49" ht="19.95" customHeight="1" x14ac:dyDescent="0.25">
      <c r="A316" s="16" t="s">
        <v>517</v>
      </c>
      <c r="C316" s="16">
        <v>1</v>
      </c>
      <c r="D316" s="23" t="s">
        <v>174</v>
      </c>
      <c r="E316" s="23" t="s">
        <v>175</v>
      </c>
      <c r="L316" s="16">
        <f>IFERROR(VLOOKUP($D316&amp;$C316,生产方式定位!$A$2:$E$38,2,FALSE)+VLOOKUP($E316&amp;$C316,生产方式定位!$F$3:$J$38,2,FALSE),0)</f>
        <v>0</v>
      </c>
      <c r="M316" s="2" t="s">
        <v>80</v>
      </c>
      <c r="N316" s="2">
        <v>-20</v>
      </c>
      <c r="O316" s="2" t="s">
        <v>73</v>
      </c>
      <c r="P316" s="2">
        <v>5</v>
      </c>
      <c r="S316" s="16">
        <f>IFERROR(VLOOKUP($D316&amp;$C316,生产方式定位!$A$2:$E$38,3,FALSE)+VLOOKUP($E316&amp;$C316,生产方式定位!$F$3:$J$38,3,FALSE),0)</f>
        <v>0</v>
      </c>
      <c r="X316" s="16">
        <f>IFERROR(VLOOKUP($D316&amp;$C316,生产方式定位!$A$2:$E$38,5,FALSE)+VLOOKUP($E316&amp;$C316,生产方式定位!$F$3:$J$38,5,FALSE),"错误")</f>
        <v>0</v>
      </c>
      <c r="Y316" s="26" t="str">
        <f t="shared" si="96"/>
        <v/>
      </c>
      <c r="Z316" s="36" t="str">
        <f t="shared" si="97"/>
        <v>劳工*0,工程师*0</v>
      </c>
      <c r="AA316" s="36" t="str">
        <f t="shared" si="98"/>
        <v/>
      </c>
      <c r="AB316" s="27" t="str">
        <f t="shared" si="99"/>
        <v/>
      </c>
      <c r="AC316" s="2" t="str">
        <f t="shared" si="100"/>
        <v/>
      </c>
      <c r="AD316" s="38">
        <f t="shared" si="101"/>
        <v>1</v>
      </c>
      <c r="AE316" t="str">
        <f t="shared" si="102"/>
        <v/>
      </c>
      <c r="AF316" t="str">
        <f t="shared" si="103"/>
        <v/>
      </c>
      <c r="AG316" t="str">
        <f t="shared" si="104"/>
        <v>劳工*0</v>
      </c>
      <c r="AH316" t="str">
        <f t="shared" si="105"/>
        <v>工程师*0</v>
      </c>
      <c r="AI316" t="str">
        <f t="shared" si="106"/>
        <v/>
      </c>
      <c r="AJ316" t="str">
        <f t="shared" si="107"/>
        <v/>
      </c>
      <c r="AK316" t="str">
        <f t="shared" si="108"/>
        <v/>
      </c>
      <c r="AL316" t="str">
        <f>IFERROR(ROUND(L316*(G316/$AU316)/VLOOKUP(F316,商品!$A$4:$B$60,2,FALSE),0),"")</f>
        <v/>
      </c>
      <c r="AM316" t="str">
        <f>IFERROR(ROUND(L316*(I316/$AU316)/VLOOKUP(H316,商品!$A$4:$B$60,2,FALSE),0),"")</f>
        <v/>
      </c>
      <c r="AN316">
        <f>IFERROR(ROUND(L316*(J316/$AU316)/VLOOKUP("运力",商品!$A$4:$B$60,2,FALSE),0),0)</f>
        <v>0</v>
      </c>
      <c r="AO316">
        <f>IFERROR(ROUND(L316*(K316/$AU316)/VLOOKUP("交易",商品!$A$4:$B$60,2,FALSE),0),0)</f>
        <v>0</v>
      </c>
      <c r="AP316">
        <f>IFERROR(ROUND(S316*(N316/$AV316)/VLOOKUP(M316,职业!$A$4:$G$16,4,FALSE),0),"")</f>
        <v>0</v>
      </c>
      <c r="AQ316">
        <f>IFERROR(ROUND(S316*(P316/$AV316)/VLOOKUP(O316,职业!$A$4:$G$16,4,FALSE),0),"")</f>
        <v>0</v>
      </c>
      <c r="AR316" t="str">
        <f>IFERROR(ROUND(S316*(R316/$AV316)/VLOOKUP(Q316,职业!$A$4:$G$16,4,FALSE),0),"")</f>
        <v/>
      </c>
      <c r="AS316" t="str">
        <f>IFERROR(ROUND(X316*(U316/$AW316)/VLOOKUP(T316,商品!$A$4:$B$60,2,FALSE),0),"")</f>
        <v/>
      </c>
      <c r="AT316" t="str">
        <f>IFERROR(ROUND(X316*(W316/$AW316)/VLOOKUP(V316,商品!$A$4:$B$60,2,FALSE),0),"")</f>
        <v/>
      </c>
      <c r="AU316">
        <f t="shared" si="109"/>
        <v>0</v>
      </c>
      <c r="AV316">
        <f t="shared" si="110"/>
        <v>25</v>
      </c>
      <c r="AW316">
        <f t="shared" si="111"/>
        <v>0</v>
      </c>
    </row>
    <row r="317" spans="1:49" ht="19.95" customHeight="1" x14ac:dyDescent="0.25">
      <c r="A317" s="16" t="s">
        <v>517</v>
      </c>
      <c r="C317" s="16">
        <v>2</v>
      </c>
      <c r="D317" s="23" t="s">
        <v>174</v>
      </c>
      <c r="E317" s="23" t="s">
        <v>175</v>
      </c>
      <c r="F317" s="2" t="s">
        <v>41</v>
      </c>
      <c r="G317" s="2">
        <v>10</v>
      </c>
      <c r="L317" s="16">
        <f>IFERROR(VLOOKUP($D317&amp;$C317,生产方式定位!$A$2:$E$38,2,FALSE)+VLOOKUP($E317&amp;$C317,生产方式定位!$F$3:$J$38,2,FALSE),0)</f>
        <v>50</v>
      </c>
      <c r="M317" s="2" t="s">
        <v>80</v>
      </c>
      <c r="N317" s="2">
        <v>-20</v>
      </c>
      <c r="O317" s="2" t="s">
        <v>73</v>
      </c>
      <c r="P317" s="2">
        <v>5</v>
      </c>
      <c r="S317" s="16">
        <f>IFERROR(VLOOKUP($D317&amp;$C317,生产方式定位!$A$2:$E$38,3,FALSE)+VLOOKUP($E317&amp;$C317,生产方式定位!$F$3:$J$38,3,FALSE),0)</f>
        <v>10</v>
      </c>
      <c r="X317" s="16">
        <f>IFERROR(VLOOKUP($D317&amp;$C317,生产方式定位!$A$2:$E$38,5,FALSE)+VLOOKUP($E317&amp;$C317,生产方式定位!$F$3:$J$38,5,FALSE),"错误")</f>
        <v>0</v>
      </c>
      <c r="Y317" s="26" t="str">
        <f t="shared" si="96"/>
        <v>工具*1</v>
      </c>
      <c r="Z317" s="36" t="str">
        <f t="shared" si="97"/>
        <v>劳工*-362,工程师*30</v>
      </c>
      <c r="AA317" s="36" t="str">
        <f t="shared" si="98"/>
        <v/>
      </c>
      <c r="AB317" s="27" t="str">
        <f t="shared" si="99"/>
        <v>-100%</v>
      </c>
      <c r="AC317" s="2">
        <f t="shared" si="100"/>
        <v>-60</v>
      </c>
      <c r="AD317" s="38">
        <f t="shared" si="101"/>
        <v>2</v>
      </c>
      <c r="AE317" t="str">
        <f t="shared" si="102"/>
        <v>工具*1</v>
      </c>
      <c r="AF317" t="str">
        <f t="shared" si="103"/>
        <v/>
      </c>
      <c r="AG317" t="str">
        <f t="shared" si="104"/>
        <v>劳工*-362</v>
      </c>
      <c r="AH317" t="str">
        <f t="shared" si="105"/>
        <v>工程师*30</v>
      </c>
      <c r="AI317" t="str">
        <f t="shared" si="106"/>
        <v/>
      </c>
      <c r="AJ317" t="str">
        <f t="shared" si="107"/>
        <v/>
      </c>
      <c r="AK317" t="str">
        <f t="shared" si="108"/>
        <v/>
      </c>
      <c r="AL317">
        <f>IFERROR(ROUND(L317*(G317/$AU317)/VLOOKUP(F317,商品!$A$4:$B$60,2,FALSE),0),"")</f>
        <v>1</v>
      </c>
      <c r="AM317" t="str">
        <f>IFERROR(ROUND(L317*(I317/$AU317)/VLOOKUP(H317,商品!$A$4:$B$60,2,FALSE),0),"")</f>
        <v/>
      </c>
      <c r="AN317">
        <f>IFERROR(ROUND(L317*(J317/$AU317)/VLOOKUP("运力",商品!$A$4:$B$60,2,FALSE),0),0)</f>
        <v>0</v>
      </c>
      <c r="AO317">
        <f>IFERROR(ROUND(L317*(K317/$AU317)/VLOOKUP("交易",商品!$A$4:$B$60,2,FALSE),0),0)</f>
        <v>0</v>
      </c>
      <c r="AP317">
        <f>IFERROR(ROUND(S317*(N317/$AV317)/VLOOKUP(M317,职业!$A$4:$G$16,4,FALSE),0),"")</f>
        <v>-362</v>
      </c>
      <c r="AQ317">
        <f>IFERROR(ROUND(S317*(P317/$AV317)/VLOOKUP(O317,职业!$A$4:$G$16,4,FALSE),0),"")</f>
        <v>30</v>
      </c>
      <c r="AR317" t="str">
        <f>IFERROR(ROUND(S317*(R317/$AV317)/VLOOKUP(Q317,职业!$A$4:$G$16,4,FALSE),0),"")</f>
        <v/>
      </c>
      <c r="AS317" t="str">
        <f>IFERROR(ROUND(X317*(U317/$AW317)/VLOOKUP(T317,商品!$A$4:$B$60,2,FALSE),0),"")</f>
        <v/>
      </c>
      <c r="AT317" t="str">
        <f>IFERROR(ROUND(X317*(W317/$AW317)/VLOOKUP(V317,商品!$A$4:$B$60,2,FALSE),0),"")</f>
        <v/>
      </c>
      <c r="AU317">
        <f t="shared" si="109"/>
        <v>10</v>
      </c>
      <c r="AV317">
        <f t="shared" si="110"/>
        <v>25</v>
      </c>
      <c r="AW317">
        <f t="shared" si="111"/>
        <v>0</v>
      </c>
    </row>
    <row r="318" spans="1:49" ht="19.95" customHeight="1" x14ac:dyDescent="0.25">
      <c r="A318" s="16" t="s">
        <v>517</v>
      </c>
      <c r="C318" s="16">
        <v>3</v>
      </c>
      <c r="D318" s="23" t="s">
        <v>174</v>
      </c>
      <c r="E318" s="23" t="s">
        <v>175</v>
      </c>
      <c r="F318" s="2" t="s">
        <v>41</v>
      </c>
      <c r="G318" s="2">
        <v>10</v>
      </c>
      <c r="L318" s="16">
        <f>IFERROR(VLOOKUP($D318&amp;$C318,生产方式定位!$A$2:$E$38,2,FALSE)+VLOOKUP($E318&amp;$C318,生产方式定位!$F$3:$J$38,2,FALSE),0)</f>
        <v>100</v>
      </c>
      <c r="M318" s="2" t="s">
        <v>80</v>
      </c>
      <c r="N318" s="2">
        <v>-20</v>
      </c>
      <c r="O318" s="2" t="s">
        <v>73</v>
      </c>
      <c r="P318" s="2">
        <v>5</v>
      </c>
      <c r="S318" s="16">
        <f>IFERROR(VLOOKUP($D318&amp;$C318,生产方式定位!$A$2:$E$38,3,FALSE)+VLOOKUP($E318&amp;$C318,生产方式定位!$F$3:$J$38,3,FALSE),0)</f>
        <v>20</v>
      </c>
      <c r="X318" s="16">
        <f>IFERROR(VLOOKUP($D318&amp;$C318,生产方式定位!$A$2:$E$38,5,FALSE)+VLOOKUP($E318&amp;$C318,生产方式定位!$F$3:$J$38,5,FALSE),"错误")</f>
        <v>0</v>
      </c>
      <c r="Y318" s="26" t="str">
        <f t="shared" si="96"/>
        <v>工具*3</v>
      </c>
      <c r="Z318" s="36" t="str">
        <f t="shared" si="97"/>
        <v>劳工*-724,工程师*60</v>
      </c>
      <c r="AA318" s="36" t="str">
        <f t="shared" si="98"/>
        <v/>
      </c>
      <c r="AB318" s="27" t="str">
        <f t="shared" si="99"/>
        <v>-100%</v>
      </c>
      <c r="AC318" s="2">
        <f t="shared" si="100"/>
        <v>-120</v>
      </c>
      <c r="AD318" s="38">
        <f t="shared" si="101"/>
        <v>3</v>
      </c>
      <c r="AE318" t="str">
        <f t="shared" si="102"/>
        <v>工具*3</v>
      </c>
      <c r="AF318" t="str">
        <f t="shared" si="103"/>
        <v/>
      </c>
      <c r="AG318" t="str">
        <f t="shared" si="104"/>
        <v>劳工*-724</v>
      </c>
      <c r="AH318" t="str">
        <f t="shared" si="105"/>
        <v>工程师*60</v>
      </c>
      <c r="AI318" t="str">
        <f t="shared" si="106"/>
        <v/>
      </c>
      <c r="AJ318" t="str">
        <f t="shared" si="107"/>
        <v/>
      </c>
      <c r="AK318" t="str">
        <f t="shared" si="108"/>
        <v/>
      </c>
      <c r="AL318">
        <f>IFERROR(ROUND(L318*(G318/$AU318)/VLOOKUP(F318,商品!$A$4:$B$60,2,FALSE),0),"")</f>
        <v>3</v>
      </c>
      <c r="AM318" t="str">
        <f>IFERROR(ROUND(L318*(I318/$AU318)/VLOOKUP(H318,商品!$A$4:$B$60,2,FALSE),0),"")</f>
        <v/>
      </c>
      <c r="AN318">
        <f>IFERROR(ROUND(L318*(J318/$AU318)/VLOOKUP("运力",商品!$A$4:$B$60,2,FALSE),0),0)</f>
        <v>0</v>
      </c>
      <c r="AO318">
        <f>IFERROR(ROUND(L318*(K318/$AU318)/VLOOKUP("交易",商品!$A$4:$B$60,2,FALSE),0),0)</f>
        <v>0</v>
      </c>
      <c r="AP318">
        <f>IFERROR(ROUND(S318*(N318/$AV318)/VLOOKUP(M318,职业!$A$4:$G$16,4,FALSE),0),"")</f>
        <v>-724</v>
      </c>
      <c r="AQ318">
        <f>IFERROR(ROUND(S318*(P318/$AV318)/VLOOKUP(O318,职业!$A$4:$G$16,4,FALSE),0),"")</f>
        <v>60</v>
      </c>
      <c r="AR318" t="str">
        <f>IFERROR(ROUND(S318*(R318/$AV318)/VLOOKUP(Q318,职业!$A$4:$G$16,4,FALSE),0),"")</f>
        <v/>
      </c>
      <c r="AS318" t="str">
        <f>IFERROR(ROUND(X318*(U318/$AW318)/VLOOKUP(T318,商品!$A$4:$B$60,2,FALSE),0),"")</f>
        <v/>
      </c>
      <c r="AT318" t="str">
        <f>IFERROR(ROUND(X318*(W318/$AW318)/VLOOKUP(V318,商品!$A$4:$B$60,2,FALSE),0),"")</f>
        <v/>
      </c>
      <c r="AU318">
        <f t="shared" si="109"/>
        <v>10</v>
      </c>
      <c r="AV318">
        <f t="shared" si="110"/>
        <v>25</v>
      </c>
      <c r="AW318">
        <f t="shared" si="111"/>
        <v>0</v>
      </c>
    </row>
    <row r="319" spans="1:49" ht="19.95" customHeight="1" x14ac:dyDescent="0.25">
      <c r="A319" s="16" t="s">
        <v>517</v>
      </c>
      <c r="C319" s="16">
        <v>4</v>
      </c>
      <c r="D319" s="23" t="s">
        <v>174</v>
      </c>
      <c r="E319" s="23" t="s">
        <v>175</v>
      </c>
      <c r="F319" s="2" t="s">
        <v>45</v>
      </c>
      <c r="G319" s="2">
        <v>5</v>
      </c>
      <c r="H319" s="2" t="s">
        <v>19</v>
      </c>
      <c r="I319" s="2">
        <v>10</v>
      </c>
      <c r="L319" s="16">
        <f>IFERROR(VLOOKUP($D319&amp;$C319,生产方式定位!$A$2:$E$38,2,FALSE)+VLOOKUP($E319&amp;$C319,生产方式定位!$F$3:$J$38,2,FALSE),0)</f>
        <v>150</v>
      </c>
      <c r="M319" s="2" t="s">
        <v>80</v>
      </c>
      <c r="N319" s="2">
        <v>-20</v>
      </c>
      <c r="O319" s="2" t="s">
        <v>73</v>
      </c>
      <c r="P319" s="2">
        <v>5</v>
      </c>
      <c r="S319" s="16">
        <f>IFERROR(VLOOKUP($D319&amp;$C319,生产方式定位!$A$2:$E$38,3,FALSE)+VLOOKUP($E319&amp;$C319,生产方式定位!$F$3:$J$38,3,FALSE),0)</f>
        <v>30</v>
      </c>
      <c r="X319" s="16">
        <f>IFERROR(VLOOKUP($D319&amp;$C319,生产方式定位!$A$2:$E$38,5,FALSE)+VLOOKUP($E319&amp;$C319,生产方式定位!$F$3:$J$38,5,FALSE),"错误")</f>
        <v>0</v>
      </c>
      <c r="Y319" s="26" t="str">
        <f t="shared" si="96"/>
        <v>科学引擎*1,煤*3</v>
      </c>
      <c r="Z319" s="36" t="str">
        <f t="shared" si="97"/>
        <v>劳工*-1086,工程师*90</v>
      </c>
      <c r="AA319" s="36" t="str">
        <f t="shared" si="98"/>
        <v/>
      </c>
      <c r="AB319" s="27" t="str">
        <f t="shared" si="99"/>
        <v>-100%</v>
      </c>
      <c r="AC319" s="2">
        <f t="shared" si="100"/>
        <v>-180</v>
      </c>
      <c r="AD319" s="38">
        <f t="shared" si="101"/>
        <v>4</v>
      </c>
      <c r="AE319" t="str">
        <f t="shared" si="102"/>
        <v>科学引擎*1</v>
      </c>
      <c r="AF319" t="str">
        <f t="shared" si="103"/>
        <v>煤*3</v>
      </c>
      <c r="AG319" t="str">
        <f t="shared" si="104"/>
        <v>劳工*-1086</v>
      </c>
      <c r="AH319" t="str">
        <f t="shared" si="105"/>
        <v>工程师*90</v>
      </c>
      <c r="AI319" t="str">
        <f t="shared" si="106"/>
        <v/>
      </c>
      <c r="AJ319" t="str">
        <f t="shared" si="107"/>
        <v/>
      </c>
      <c r="AK319" t="str">
        <f t="shared" si="108"/>
        <v/>
      </c>
      <c r="AL319">
        <f>IFERROR(ROUND(L319*(G319/$AU319)/VLOOKUP(F319,商品!$A$4:$B$60,2,FALSE),0),"")</f>
        <v>1</v>
      </c>
      <c r="AM319">
        <f>IFERROR(ROUND(L319*(I319/$AU319)/VLOOKUP(H319,商品!$A$4:$B$60,2,FALSE),0),"")</f>
        <v>3</v>
      </c>
      <c r="AN319">
        <f>IFERROR(ROUND(L319*(J319/$AU319)/VLOOKUP("运力",商品!$A$4:$B$60,2,FALSE),0),0)</f>
        <v>0</v>
      </c>
      <c r="AO319">
        <f>IFERROR(ROUND(L319*(K319/$AU319)/VLOOKUP("交易",商品!$A$4:$B$60,2,FALSE),0),0)</f>
        <v>0</v>
      </c>
      <c r="AP319">
        <f>IFERROR(ROUND(S319*(N319/$AV319)/VLOOKUP(M319,职业!$A$4:$G$16,4,FALSE),0),"")</f>
        <v>-1086</v>
      </c>
      <c r="AQ319">
        <f>IFERROR(ROUND(S319*(P319/$AV319)/VLOOKUP(O319,职业!$A$4:$G$16,4,FALSE),0),"")</f>
        <v>90</v>
      </c>
      <c r="AR319" t="str">
        <f>IFERROR(ROUND(S319*(R319/$AV319)/VLOOKUP(Q319,职业!$A$4:$G$16,4,FALSE),0),"")</f>
        <v/>
      </c>
      <c r="AS319" t="str">
        <f>IFERROR(ROUND(X319*(U319/$AW319)/VLOOKUP(T319,商品!$A$4:$B$60,2,FALSE),0),"")</f>
        <v/>
      </c>
      <c r="AT319" t="str">
        <f>IFERROR(ROUND(X319*(W319/$AW319)/VLOOKUP(V319,商品!$A$4:$B$60,2,FALSE),0),"")</f>
        <v/>
      </c>
      <c r="AU319">
        <f t="shared" si="109"/>
        <v>15</v>
      </c>
      <c r="AV319">
        <f t="shared" si="110"/>
        <v>25</v>
      </c>
      <c r="AW319">
        <f t="shared" si="111"/>
        <v>0</v>
      </c>
    </row>
    <row r="320" spans="1:49" ht="19.95" customHeight="1" x14ac:dyDescent="0.25">
      <c r="A320" s="16" t="s">
        <v>517</v>
      </c>
      <c r="C320" s="16">
        <v>5</v>
      </c>
      <c r="D320" s="23" t="s">
        <v>174</v>
      </c>
      <c r="E320" s="23" t="s">
        <v>175</v>
      </c>
      <c r="F320" s="2" t="s">
        <v>46</v>
      </c>
      <c r="G320" s="2">
        <v>5</v>
      </c>
      <c r="H320" s="2" t="s">
        <v>19</v>
      </c>
      <c r="I320" s="2">
        <v>10</v>
      </c>
      <c r="L320" s="16">
        <f>IFERROR(VLOOKUP($D320&amp;$C320,生产方式定位!$A$2:$E$38,2,FALSE)+VLOOKUP($E320&amp;$C320,生产方式定位!$F$3:$J$38,2,FALSE),0)</f>
        <v>200</v>
      </c>
      <c r="M320" s="2" t="s">
        <v>80</v>
      </c>
      <c r="N320" s="2">
        <v>-20</v>
      </c>
      <c r="O320" s="2" t="s">
        <v>73</v>
      </c>
      <c r="P320" s="2">
        <v>5</v>
      </c>
      <c r="S320" s="16">
        <f>IFERROR(VLOOKUP($D320&amp;$C320,生产方式定位!$A$2:$E$38,3,FALSE)+VLOOKUP($E320&amp;$C320,生产方式定位!$F$3:$J$38,3,FALSE),0)</f>
        <v>40</v>
      </c>
      <c r="X320" s="16">
        <f>IFERROR(VLOOKUP($D320&amp;$C320,生产方式定位!$A$2:$E$38,5,FALSE)+VLOOKUP($E320&amp;$C320,生产方式定位!$F$3:$J$38,5,FALSE),"错误")</f>
        <v>0</v>
      </c>
      <c r="Y320" s="26" t="str">
        <f t="shared" si="96"/>
        <v>魔导引擎*1,煤*4</v>
      </c>
      <c r="Z320" s="36" t="str">
        <f t="shared" si="97"/>
        <v>劳工*-1448,工程师*121</v>
      </c>
      <c r="AA320" s="36" t="str">
        <f t="shared" si="98"/>
        <v/>
      </c>
      <c r="AB320" s="27" t="str">
        <f t="shared" si="99"/>
        <v>-100%</v>
      </c>
      <c r="AC320" s="2">
        <f t="shared" si="100"/>
        <v>-240</v>
      </c>
      <c r="AD320" s="38">
        <f t="shared" si="101"/>
        <v>5</v>
      </c>
      <c r="AE320" t="str">
        <f t="shared" si="102"/>
        <v>魔导引擎*1</v>
      </c>
      <c r="AF320" t="str">
        <f t="shared" si="103"/>
        <v>煤*4</v>
      </c>
      <c r="AG320" t="str">
        <f t="shared" si="104"/>
        <v>劳工*-1448</v>
      </c>
      <c r="AH320" t="str">
        <f t="shared" si="105"/>
        <v>工程师*121</v>
      </c>
      <c r="AI320" t="str">
        <f t="shared" si="106"/>
        <v/>
      </c>
      <c r="AJ320" t="str">
        <f t="shared" si="107"/>
        <v/>
      </c>
      <c r="AK320" t="str">
        <f t="shared" si="108"/>
        <v/>
      </c>
      <c r="AL320">
        <f>IFERROR(ROUND(L320*(G320/$AU320)/VLOOKUP(F320,商品!$A$4:$B$60,2,FALSE),0),"")</f>
        <v>1</v>
      </c>
      <c r="AM320">
        <f>IFERROR(ROUND(L320*(I320/$AU320)/VLOOKUP(H320,商品!$A$4:$B$60,2,FALSE),0),"")</f>
        <v>4</v>
      </c>
      <c r="AN320">
        <f>IFERROR(ROUND(L320*(J320/$AU320)/VLOOKUP("运力",商品!$A$4:$B$60,2,FALSE),0),0)</f>
        <v>0</v>
      </c>
      <c r="AO320">
        <f>IFERROR(ROUND(L320*(K320/$AU320)/VLOOKUP("交易",商品!$A$4:$B$60,2,FALSE),0),0)</f>
        <v>0</v>
      </c>
      <c r="AP320">
        <f>IFERROR(ROUND(S320*(N320/$AV320)/VLOOKUP(M320,职业!$A$4:$G$16,4,FALSE),0),"")</f>
        <v>-1448</v>
      </c>
      <c r="AQ320">
        <f>IFERROR(ROUND(S320*(P320/$AV320)/VLOOKUP(O320,职业!$A$4:$G$16,4,FALSE),0),"")</f>
        <v>121</v>
      </c>
      <c r="AR320" t="str">
        <f>IFERROR(ROUND(S320*(R320/$AV320)/VLOOKUP(Q320,职业!$A$4:$G$16,4,FALSE),0),"")</f>
        <v/>
      </c>
      <c r="AS320" t="str">
        <f>IFERROR(ROUND(X320*(U320/$AW320)/VLOOKUP(T320,商品!$A$4:$B$60,2,FALSE),0),"")</f>
        <v/>
      </c>
      <c r="AT320" t="str">
        <f>IFERROR(ROUND(X320*(W320/$AW320)/VLOOKUP(V320,商品!$A$4:$B$60,2,FALSE),0),"")</f>
        <v/>
      </c>
      <c r="AU320">
        <f t="shared" si="109"/>
        <v>15</v>
      </c>
      <c r="AV320">
        <f t="shared" si="110"/>
        <v>25</v>
      </c>
      <c r="AW320">
        <f t="shared" si="111"/>
        <v>0</v>
      </c>
    </row>
    <row r="321" spans="1:49" ht="19.95" customHeight="1" x14ac:dyDescent="0.25">
      <c r="A321" s="15" t="s">
        <v>517</v>
      </c>
      <c r="C321" s="15">
        <v>1</v>
      </c>
      <c r="D321" s="23" t="s">
        <v>174</v>
      </c>
      <c r="E321" s="23" t="s">
        <v>177</v>
      </c>
      <c r="L321" s="15">
        <f>IFERROR(VLOOKUP($D321&amp;$C321,生产方式定位!$A$2:$E$38,2,FALSE)+VLOOKUP($E321&amp;$C321,生产方式定位!$F$3:$J$38,2,FALSE),0)</f>
        <v>0</v>
      </c>
      <c r="M321" s="2" t="s">
        <v>80</v>
      </c>
      <c r="N321" s="2">
        <v>-20</v>
      </c>
      <c r="O321" s="2" t="s">
        <v>74</v>
      </c>
      <c r="P321" s="2">
        <v>5</v>
      </c>
      <c r="S321" s="15">
        <f>IFERROR(VLOOKUP($D321&amp;$C321,生产方式定位!$A$2:$E$38,3,FALSE)+VLOOKUP($E321&amp;$C321,生产方式定位!$F$3:$J$38,3,FALSE),0)</f>
        <v>0</v>
      </c>
      <c r="X321" s="15">
        <f>IFERROR(VLOOKUP($D321&amp;$C321,生产方式定位!$A$2:$E$38,5,FALSE)+VLOOKUP($E321&amp;$C321,生产方式定位!$F$3:$J$38,5,FALSE),"错误")</f>
        <v>0</v>
      </c>
      <c r="Y321" s="26" t="str">
        <f t="shared" si="96"/>
        <v/>
      </c>
      <c r="Z321" s="36" t="str">
        <f t="shared" si="97"/>
        <v>劳工*0,法士*0</v>
      </c>
      <c r="AA321" s="36" t="str">
        <f t="shared" si="98"/>
        <v/>
      </c>
      <c r="AB321" s="27" t="str">
        <f t="shared" si="99"/>
        <v/>
      </c>
      <c r="AC321" s="2" t="str">
        <f t="shared" si="100"/>
        <v/>
      </c>
      <c r="AD321" s="37">
        <f t="shared" si="101"/>
        <v>1</v>
      </c>
      <c r="AE321" t="str">
        <f t="shared" si="102"/>
        <v/>
      </c>
      <c r="AF321" t="str">
        <f t="shared" si="103"/>
        <v/>
      </c>
      <c r="AG321" t="str">
        <f t="shared" si="104"/>
        <v>劳工*0</v>
      </c>
      <c r="AH321" t="str">
        <f t="shared" si="105"/>
        <v>法士*0</v>
      </c>
      <c r="AI321" t="str">
        <f t="shared" si="106"/>
        <v/>
      </c>
      <c r="AJ321" t="str">
        <f t="shared" si="107"/>
        <v/>
      </c>
      <c r="AK321" t="str">
        <f t="shared" si="108"/>
        <v/>
      </c>
      <c r="AL321" t="str">
        <f>IFERROR(ROUND(L321*(G321/$AU321)/VLOOKUP(F321,商品!$A$4:$B$60,2,FALSE),0),"")</f>
        <v/>
      </c>
      <c r="AM321" t="str">
        <f>IFERROR(ROUND(L321*(I321/$AU321)/VLOOKUP(H321,商品!$A$4:$B$60,2,FALSE),0),"")</f>
        <v/>
      </c>
      <c r="AN321">
        <f>IFERROR(ROUND(L321*(J321/$AU321)/VLOOKUP("运力",商品!$A$4:$B$60,2,FALSE),0),0)</f>
        <v>0</v>
      </c>
      <c r="AO321">
        <f>IFERROR(ROUND(L321*(K321/$AU321)/VLOOKUP("交易",商品!$A$4:$B$60,2,FALSE),0),0)</f>
        <v>0</v>
      </c>
      <c r="AP321">
        <f>IFERROR(ROUND(S321*(N321/$AV321)/VLOOKUP(M321,职业!$A$4:$G$16,4,FALSE),0),"")</f>
        <v>0</v>
      </c>
      <c r="AQ321">
        <f>IFERROR(ROUND(S321*(P321/$AV321)/VLOOKUP(O321,职业!$A$4:$G$16,4,FALSE),0),"")</f>
        <v>0</v>
      </c>
      <c r="AR321" t="str">
        <f>IFERROR(ROUND(S321*(R321/$AV321)/VLOOKUP(Q321,职业!$A$4:$G$16,4,FALSE),0),"")</f>
        <v/>
      </c>
      <c r="AS321" t="str">
        <f>IFERROR(ROUND(X321*(U321/$AW321)/VLOOKUP(T321,商品!$A$4:$B$60,2,FALSE),0),"")</f>
        <v/>
      </c>
      <c r="AT321" t="str">
        <f>IFERROR(ROUND(X321*(W321/$AW321)/VLOOKUP(V321,商品!$A$4:$B$60,2,FALSE),0),"")</f>
        <v/>
      </c>
      <c r="AU321">
        <f t="shared" si="109"/>
        <v>0</v>
      </c>
      <c r="AV321">
        <f t="shared" si="110"/>
        <v>25</v>
      </c>
      <c r="AW321">
        <f t="shared" si="111"/>
        <v>0</v>
      </c>
    </row>
    <row r="322" spans="1:49" ht="19.95" customHeight="1" x14ac:dyDescent="0.25">
      <c r="A322" s="15" t="s">
        <v>517</v>
      </c>
      <c r="C322" s="15">
        <v>2</v>
      </c>
      <c r="D322" s="23" t="s">
        <v>174</v>
      </c>
      <c r="E322" s="23" t="s">
        <v>177</v>
      </c>
      <c r="F322" s="2" t="s">
        <v>42</v>
      </c>
      <c r="G322" s="2">
        <v>5</v>
      </c>
      <c r="H322" s="2" t="s">
        <v>20</v>
      </c>
      <c r="I322" s="2">
        <v>10</v>
      </c>
      <c r="L322" s="15">
        <f>IFERROR(VLOOKUP($D322&amp;$C322,生产方式定位!$A$2:$E$38,2,FALSE)+VLOOKUP($E322&amp;$C322,生产方式定位!$F$3:$J$38,2,FALSE),0)</f>
        <v>105</v>
      </c>
      <c r="M322" s="2" t="s">
        <v>80</v>
      </c>
      <c r="N322" s="2">
        <v>-20</v>
      </c>
      <c r="O322" s="2" t="s">
        <v>74</v>
      </c>
      <c r="P322" s="2">
        <v>5</v>
      </c>
      <c r="S322" s="15">
        <f>IFERROR(VLOOKUP($D322&amp;$C322,生产方式定位!$A$2:$E$38,3,FALSE)+VLOOKUP($E322&amp;$C322,生产方式定位!$F$3:$J$38,3,FALSE),0)</f>
        <v>15</v>
      </c>
      <c r="X322" s="15">
        <f>IFERROR(VLOOKUP($D322&amp;$C322,生产方式定位!$A$2:$E$38,5,FALSE)+VLOOKUP($E322&amp;$C322,生产方式定位!$F$3:$J$38,5,FALSE),"错误")</f>
        <v>0</v>
      </c>
      <c r="Y322" s="26" t="str">
        <f t="shared" si="96"/>
        <v>魔偶*1,灵能水晶*2</v>
      </c>
      <c r="Z322" s="36" t="str">
        <f t="shared" si="97"/>
        <v>劳工*-543,法士*34</v>
      </c>
      <c r="AA322" s="36" t="str">
        <f t="shared" si="98"/>
        <v/>
      </c>
      <c r="AB322" s="27" t="str">
        <f t="shared" si="99"/>
        <v>-100%</v>
      </c>
      <c r="AC322" s="2">
        <f t="shared" si="100"/>
        <v>-120</v>
      </c>
      <c r="AD322" s="37">
        <f t="shared" si="101"/>
        <v>2</v>
      </c>
      <c r="AE322" t="str">
        <f t="shared" si="102"/>
        <v>魔偶*1</v>
      </c>
      <c r="AF322" t="str">
        <f t="shared" si="103"/>
        <v>灵能水晶*2</v>
      </c>
      <c r="AG322" t="str">
        <f t="shared" si="104"/>
        <v>劳工*-543</v>
      </c>
      <c r="AH322" t="str">
        <f t="shared" si="105"/>
        <v>法士*34</v>
      </c>
      <c r="AI322" t="str">
        <f t="shared" si="106"/>
        <v/>
      </c>
      <c r="AJ322" t="str">
        <f t="shared" si="107"/>
        <v/>
      </c>
      <c r="AK322" t="str">
        <f t="shared" si="108"/>
        <v/>
      </c>
      <c r="AL322">
        <f>IFERROR(ROUND(L322*(G322/$AU322)/VLOOKUP(F322,商品!$A$4:$B$60,2,FALSE),0),"")</f>
        <v>1</v>
      </c>
      <c r="AM322">
        <f>IFERROR(ROUND(L322*(I322/$AU322)/VLOOKUP(H322,商品!$A$4:$B$60,2,FALSE),0),"")</f>
        <v>2</v>
      </c>
      <c r="AN322">
        <f>IFERROR(ROUND(L322*(J322/$AU322)/VLOOKUP("运力",商品!$A$4:$B$60,2,FALSE),0),0)</f>
        <v>0</v>
      </c>
      <c r="AO322">
        <f>IFERROR(ROUND(L322*(K322/$AU322)/VLOOKUP("交易",商品!$A$4:$B$60,2,FALSE),0),0)</f>
        <v>0</v>
      </c>
      <c r="AP322">
        <f>IFERROR(ROUND(S322*(N322/$AV322)/VLOOKUP(M322,职业!$A$4:$G$16,4,FALSE),0),"")</f>
        <v>-543</v>
      </c>
      <c r="AQ322">
        <f>IFERROR(ROUND(S322*(P322/$AV322)/VLOOKUP(O322,职业!$A$4:$G$16,4,FALSE),0),"")</f>
        <v>34</v>
      </c>
      <c r="AR322" t="str">
        <f>IFERROR(ROUND(S322*(R322/$AV322)/VLOOKUP(Q322,职业!$A$4:$G$16,4,FALSE),0),"")</f>
        <v/>
      </c>
      <c r="AS322" t="str">
        <f>IFERROR(ROUND(X322*(U322/$AW322)/VLOOKUP(T322,商品!$A$4:$B$60,2,FALSE),0),"")</f>
        <v/>
      </c>
      <c r="AT322" t="str">
        <f>IFERROR(ROUND(X322*(W322/$AW322)/VLOOKUP(V322,商品!$A$4:$B$60,2,FALSE),0),"")</f>
        <v/>
      </c>
      <c r="AU322">
        <f t="shared" si="109"/>
        <v>15</v>
      </c>
      <c r="AV322">
        <f t="shared" si="110"/>
        <v>25</v>
      </c>
      <c r="AW322">
        <f t="shared" si="111"/>
        <v>0</v>
      </c>
    </row>
    <row r="323" spans="1:49" ht="19.95" customHeight="1" x14ac:dyDescent="0.25">
      <c r="A323" s="15" t="s">
        <v>517</v>
      </c>
      <c r="C323" s="15">
        <v>3</v>
      </c>
      <c r="D323" s="23" t="s">
        <v>174</v>
      </c>
      <c r="E323" s="23" t="s">
        <v>177</v>
      </c>
      <c r="F323" s="2" t="s">
        <v>42</v>
      </c>
      <c r="G323" s="2">
        <v>5</v>
      </c>
      <c r="H323" s="2" t="s">
        <v>20</v>
      </c>
      <c r="I323" s="2">
        <v>10</v>
      </c>
      <c r="L323" s="15">
        <f>IFERROR(VLOOKUP($D323&amp;$C323,生产方式定位!$A$2:$E$38,2,FALSE)+VLOOKUP($E323&amp;$C323,生产方式定位!$F$3:$J$38,2,FALSE),0)</f>
        <v>210</v>
      </c>
      <c r="M323" s="2" t="s">
        <v>80</v>
      </c>
      <c r="N323" s="2">
        <v>-20</v>
      </c>
      <c r="O323" s="2" t="s">
        <v>74</v>
      </c>
      <c r="P323" s="2">
        <v>5</v>
      </c>
      <c r="S323" s="15">
        <f>IFERROR(VLOOKUP($D323&amp;$C323,生产方式定位!$A$2:$E$38,3,FALSE)+VLOOKUP($E323&amp;$C323,生产方式定位!$F$3:$J$38,3,FALSE),0)</f>
        <v>30</v>
      </c>
      <c r="X323" s="15">
        <f>IFERROR(VLOOKUP($D323&amp;$C323,生产方式定位!$A$2:$E$38,5,FALSE)+VLOOKUP($E323&amp;$C323,生产方式定位!$F$3:$J$38,5,FALSE),"错误")</f>
        <v>0</v>
      </c>
      <c r="Y323" s="26" t="str">
        <f t="shared" si="96"/>
        <v>魔偶*2,灵能水晶*5</v>
      </c>
      <c r="Z323" s="36" t="str">
        <f t="shared" si="97"/>
        <v>劳工*-1086,法士*68</v>
      </c>
      <c r="AA323" s="36" t="str">
        <f t="shared" si="98"/>
        <v/>
      </c>
      <c r="AB323" s="27" t="str">
        <f t="shared" si="99"/>
        <v>-100%</v>
      </c>
      <c r="AC323" s="2">
        <f t="shared" si="100"/>
        <v>-240</v>
      </c>
      <c r="AD323" s="37">
        <f t="shared" si="101"/>
        <v>3</v>
      </c>
      <c r="AE323" t="str">
        <f t="shared" si="102"/>
        <v>魔偶*2</v>
      </c>
      <c r="AF323" t="str">
        <f t="shared" si="103"/>
        <v>灵能水晶*5</v>
      </c>
      <c r="AG323" t="str">
        <f t="shared" si="104"/>
        <v>劳工*-1086</v>
      </c>
      <c r="AH323" t="str">
        <f t="shared" si="105"/>
        <v>法士*68</v>
      </c>
      <c r="AI323" t="str">
        <f t="shared" si="106"/>
        <v/>
      </c>
      <c r="AJ323" t="str">
        <f t="shared" si="107"/>
        <v/>
      </c>
      <c r="AK323" t="str">
        <f t="shared" si="108"/>
        <v/>
      </c>
      <c r="AL323">
        <f>IFERROR(ROUND(L323*(G323/$AU323)/VLOOKUP(F323,商品!$A$4:$B$60,2,FALSE),0),"")</f>
        <v>2</v>
      </c>
      <c r="AM323">
        <f>IFERROR(ROUND(L323*(I323/$AU323)/VLOOKUP(H323,商品!$A$4:$B$60,2,FALSE),0),"")</f>
        <v>5</v>
      </c>
      <c r="AN323">
        <f>IFERROR(ROUND(L323*(J323/$AU323)/VLOOKUP("运力",商品!$A$4:$B$60,2,FALSE),0),0)</f>
        <v>0</v>
      </c>
      <c r="AO323">
        <f>IFERROR(ROUND(L323*(K323/$AU323)/VLOOKUP("交易",商品!$A$4:$B$60,2,FALSE),0),0)</f>
        <v>0</v>
      </c>
      <c r="AP323">
        <f>IFERROR(ROUND(S323*(N323/$AV323)/VLOOKUP(M323,职业!$A$4:$G$16,4,FALSE),0),"")</f>
        <v>-1086</v>
      </c>
      <c r="AQ323">
        <f>IFERROR(ROUND(S323*(P323/$AV323)/VLOOKUP(O323,职业!$A$4:$G$16,4,FALSE),0),"")</f>
        <v>68</v>
      </c>
      <c r="AR323" t="str">
        <f>IFERROR(ROUND(S323*(R323/$AV323)/VLOOKUP(Q323,职业!$A$4:$G$16,4,FALSE),0),"")</f>
        <v/>
      </c>
      <c r="AS323" t="str">
        <f>IFERROR(ROUND(X323*(U323/$AW323)/VLOOKUP(T323,商品!$A$4:$B$60,2,FALSE),0),"")</f>
        <v/>
      </c>
      <c r="AT323" t="str">
        <f>IFERROR(ROUND(X323*(W323/$AW323)/VLOOKUP(V323,商品!$A$4:$B$60,2,FALSE),0),"")</f>
        <v/>
      </c>
      <c r="AU323">
        <f t="shared" si="109"/>
        <v>15</v>
      </c>
      <c r="AV323">
        <f t="shared" si="110"/>
        <v>25</v>
      </c>
      <c r="AW323">
        <f t="shared" si="111"/>
        <v>0</v>
      </c>
    </row>
    <row r="324" spans="1:49" ht="19.95" customHeight="1" x14ac:dyDescent="0.25">
      <c r="A324" s="15" t="s">
        <v>517</v>
      </c>
      <c r="C324" s="15">
        <v>4</v>
      </c>
      <c r="D324" s="23" t="s">
        <v>174</v>
      </c>
      <c r="E324" s="23" t="s">
        <v>177</v>
      </c>
      <c r="F324" s="2" t="s">
        <v>42</v>
      </c>
      <c r="G324" s="2">
        <v>5</v>
      </c>
      <c r="H324" s="2" t="s">
        <v>20</v>
      </c>
      <c r="I324" s="2">
        <v>10</v>
      </c>
      <c r="L324" s="15">
        <f>IFERROR(VLOOKUP($D324&amp;$C324,生产方式定位!$A$2:$E$38,2,FALSE)+VLOOKUP($E324&amp;$C324,生产方式定位!$F$3:$J$38,2,FALSE),0)</f>
        <v>315</v>
      </c>
      <c r="M324" s="2" t="s">
        <v>80</v>
      </c>
      <c r="N324" s="2">
        <v>-20</v>
      </c>
      <c r="O324" s="2" t="s">
        <v>74</v>
      </c>
      <c r="P324" s="2">
        <v>5</v>
      </c>
      <c r="S324" s="15">
        <f>IFERROR(VLOOKUP($D324&amp;$C324,生产方式定位!$A$2:$E$38,3,FALSE)+VLOOKUP($E324&amp;$C324,生产方式定位!$F$3:$J$38,3,FALSE),0)</f>
        <v>45</v>
      </c>
      <c r="X324" s="15">
        <f>IFERROR(VLOOKUP($D324&amp;$C324,生产方式定位!$A$2:$E$38,5,FALSE)+VLOOKUP($E324&amp;$C324,生产方式定位!$F$3:$J$38,5,FALSE),"错误")</f>
        <v>0</v>
      </c>
      <c r="Y324" s="26" t="str">
        <f t="shared" si="96"/>
        <v>魔偶*3,灵能水晶*7</v>
      </c>
      <c r="Z324" s="36" t="str">
        <f t="shared" si="97"/>
        <v>劳工*-1629,法士*102</v>
      </c>
      <c r="AA324" s="36" t="str">
        <f t="shared" si="98"/>
        <v/>
      </c>
      <c r="AB324" s="27" t="str">
        <f t="shared" si="99"/>
        <v>-100%</v>
      </c>
      <c r="AC324" s="2">
        <f t="shared" si="100"/>
        <v>-360</v>
      </c>
      <c r="AD324" s="37">
        <f t="shared" si="101"/>
        <v>4</v>
      </c>
      <c r="AE324" t="str">
        <f t="shared" si="102"/>
        <v>魔偶*3</v>
      </c>
      <c r="AF324" t="str">
        <f t="shared" si="103"/>
        <v>灵能水晶*7</v>
      </c>
      <c r="AG324" t="str">
        <f t="shared" si="104"/>
        <v>劳工*-1629</v>
      </c>
      <c r="AH324" t="str">
        <f t="shared" si="105"/>
        <v>法士*102</v>
      </c>
      <c r="AI324" t="str">
        <f t="shared" si="106"/>
        <v/>
      </c>
      <c r="AJ324" t="str">
        <f t="shared" si="107"/>
        <v/>
      </c>
      <c r="AK324" t="str">
        <f t="shared" si="108"/>
        <v/>
      </c>
      <c r="AL324">
        <f>IFERROR(ROUND(L324*(G324/$AU324)/VLOOKUP(F324,商品!$A$4:$B$60,2,FALSE),0),"")</f>
        <v>3</v>
      </c>
      <c r="AM324">
        <f>IFERROR(ROUND(L324*(I324/$AU324)/VLOOKUP(H324,商品!$A$4:$B$60,2,FALSE),0),"")</f>
        <v>7</v>
      </c>
      <c r="AN324">
        <f>IFERROR(ROUND(L324*(J324/$AU324)/VLOOKUP("运力",商品!$A$4:$B$60,2,FALSE),0),0)</f>
        <v>0</v>
      </c>
      <c r="AO324">
        <f>IFERROR(ROUND(L324*(K324/$AU324)/VLOOKUP("交易",商品!$A$4:$B$60,2,FALSE),0),0)</f>
        <v>0</v>
      </c>
      <c r="AP324">
        <f>IFERROR(ROUND(S324*(N324/$AV324)/VLOOKUP(M324,职业!$A$4:$G$16,4,FALSE),0),"")</f>
        <v>-1629</v>
      </c>
      <c r="AQ324">
        <f>IFERROR(ROUND(S324*(P324/$AV324)/VLOOKUP(O324,职业!$A$4:$G$16,4,FALSE),0),"")</f>
        <v>102</v>
      </c>
      <c r="AR324" t="str">
        <f>IFERROR(ROUND(S324*(R324/$AV324)/VLOOKUP(Q324,职业!$A$4:$G$16,4,FALSE),0),"")</f>
        <v/>
      </c>
      <c r="AS324" t="str">
        <f>IFERROR(ROUND(X324*(U324/$AW324)/VLOOKUP(T324,商品!$A$4:$B$60,2,FALSE),0),"")</f>
        <v/>
      </c>
      <c r="AT324" t="str">
        <f>IFERROR(ROUND(X324*(W324/$AW324)/VLOOKUP(V324,商品!$A$4:$B$60,2,FALSE),0),"")</f>
        <v/>
      </c>
      <c r="AU324">
        <f t="shared" si="109"/>
        <v>15</v>
      </c>
      <c r="AV324">
        <f t="shared" si="110"/>
        <v>25</v>
      </c>
      <c r="AW324">
        <f t="shared" si="111"/>
        <v>0</v>
      </c>
    </row>
    <row r="325" spans="1:49" ht="19.95" customHeight="1" x14ac:dyDescent="0.25">
      <c r="A325" s="15" t="s">
        <v>517</v>
      </c>
      <c r="C325" s="15">
        <v>5</v>
      </c>
      <c r="D325" s="23" t="s">
        <v>174</v>
      </c>
      <c r="E325" s="23" t="s">
        <v>177</v>
      </c>
      <c r="F325" s="2" t="s">
        <v>42</v>
      </c>
      <c r="G325" s="2">
        <v>5</v>
      </c>
      <c r="H325" s="2" t="s">
        <v>20</v>
      </c>
      <c r="I325" s="2">
        <v>10</v>
      </c>
      <c r="L325" s="15">
        <f>IFERROR(VLOOKUP($D325&amp;$C325,生产方式定位!$A$2:$E$38,2,FALSE)+VLOOKUP($E325&amp;$C325,生产方式定位!$F$3:$J$38,2,FALSE),0)</f>
        <v>420</v>
      </c>
      <c r="M325" s="2" t="s">
        <v>80</v>
      </c>
      <c r="N325" s="2">
        <v>-20</v>
      </c>
      <c r="O325" s="2" t="s">
        <v>74</v>
      </c>
      <c r="P325" s="2">
        <v>5</v>
      </c>
      <c r="S325" s="15">
        <f>IFERROR(VLOOKUP($D325&amp;$C325,生产方式定位!$A$2:$E$38,3,FALSE)+VLOOKUP($E325&amp;$C325,生产方式定位!$F$3:$J$38,3,FALSE),0)</f>
        <v>60</v>
      </c>
      <c r="X325" s="15">
        <f>IFERROR(VLOOKUP($D325&amp;$C325,生产方式定位!$A$2:$E$38,5,FALSE)+VLOOKUP($E325&amp;$C325,生产方式定位!$F$3:$J$38,5,FALSE),"错误")</f>
        <v>0</v>
      </c>
      <c r="Y325" s="26" t="str">
        <f t="shared" ref="Y325:Y388" si="112">IF(AE325="","",AE325)&amp;IF(AF325="","",","&amp;AF325)&amp;IF(AN325=0,"",",运力*"&amp;AN325)&amp;IF(AO325=0,"",",交易*"&amp;AO325)</f>
        <v>魔偶*4,灵能水晶*9</v>
      </c>
      <c r="Z325" s="36" t="str">
        <f t="shared" ref="Z325:Z388" si="113">IF(AG325="","",AG325)&amp;IF(AH325="","",","&amp;AH325)&amp;IF(AI325="","",","&amp;AI325)</f>
        <v>劳工*-2172,法士*136</v>
      </c>
      <c r="AA325" s="36" t="str">
        <f t="shared" ref="AA325:AA388" si="114">IF(AJ325="","",AJ325)&amp;IF(AK325="","",","&amp;AK325)</f>
        <v/>
      </c>
      <c r="AB325" s="27" t="str">
        <f t="shared" ref="AB325:AB388" si="115">IFERROR(ROUND(((X325/L325)-1)*100,0)&amp;"%","")</f>
        <v>-100%</v>
      </c>
      <c r="AC325" s="2">
        <f t="shared" ref="AC325:AC388" si="116">IF(X325-S325-L325=0,"",X325-S325-L325)</f>
        <v>-480</v>
      </c>
      <c r="AD325" s="37">
        <f t="shared" ref="AD325:AD388" si="117">C325</f>
        <v>5</v>
      </c>
      <c r="AE325" t="str">
        <f t="shared" ref="AE325:AE388" si="118">IF(AL325="","",F325&amp;"*"&amp;AL325)</f>
        <v>魔偶*4</v>
      </c>
      <c r="AF325" t="str">
        <f t="shared" ref="AF325:AF388" si="119">IF(AM325="","",H325&amp;"*"&amp;AM325)</f>
        <v>灵能水晶*9</v>
      </c>
      <c r="AG325" t="str">
        <f t="shared" ref="AG325:AG388" si="120">IF(AP325="","",M325&amp;"*"&amp;AP325)</f>
        <v>劳工*-2172</v>
      </c>
      <c r="AH325" t="str">
        <f t="shared" ref="AH325:AH388" si="121">IF(AQ325="","",O325&amp;"*"&amp;AQ325)</f>
        <v>法士*136</v>
      </c>
      <c r="AI325" t="str">
        <f t="shared" ref="AI325:AI388" si="122">IF(AR325="","",Q325&amp;"*"&amp;AR325)</f>
        <v/>
      </c>
      <c r="AJ325" t="str">
        <f t="shared" ref="AJ325:AJ388" si="123">IF(AS325="","",T325&amp;"*"&amp;AS325)</f>
        <v/>
      </c>
      <c r="AK325" t="str">
        <f t="shared" ref="AK325:AK388" si="124">IF(AT325="","",V325&amp;"*"&amp;AT325)</f>
        <v/>
      </c>
      <c r="AL325">
        <f>IFERROR(ROUND(L325*(G325/$AU325)/VLOOKUP(F325,商品!$A$4:$B$60,2,FALSE),0),"")</f>
        <v>4</v>
      </c>
      <c r="AM325">
        <f>IFERROR(ROUND(L325*(I325/$AU325)/VLOOKUP(H325,商品!$A$4:$B$60,2,FALSE),0),"")</f>
        <v>9</v>
      </c>
      <c r="AN325">
        <f>IFERROR(ROUND(L325*(J325/$AU325)/VLOOKUP("运力",商品!$A$4:$B$60,2,FALSE),0),0)</f>
        <v>0</v>
      </c>
      <c r="AO325">
        <f>IFERROR(ROUND(L325*(K325/$AU325)/VLOOKUP("交易",商品!$A$4:$B$60,2,FALSE),0),0)</f>
        <v>0</v>
      </c>
      <c r="AP325">
        <f>IFERROR(ROUND(S325*(N325/$AV325)/VLOOKUP(M325,职业!$A$4:$G$16,4,FALSE),0),"")</f>
        <v>-2172</v>
      </c>
      <c r="AQ325">
        <f>IFERROR(ROUND(S325*(P325/$AV325)/VLOOKUP(O325,职业!$A$4:$G$16,4,FALSE),0),"")</f>
        <v>136</v>
      </c>
      <c r="AR325" t="str">
        <f>IFERROR(ROUND(S325*(R325/$AV325)/VLOOKUP(Q325,职业!$A$4:$G$16,4,FALSE),0),"")</f>
        <v/>
      </c>
      <c r="AS325" t="str">
        <f>IFERROR(ROUND(X325*(U325/$AW325)/VLOOKUP(T325,商品!$A$4:$B$60,2,FALSE),0),"")</f>
        <v/>
      </c>
      <c r="AT325" t="str">
        <f>IFERROR(ROUND(X325*(W325/$AW325)/VLOOKUP(V325,商品!$A$4:$B$60,2,FALSE),0),"")</f>
        <v/>
      </c>
      <c r="AU325">
        <f t="shared" ref="AU325:AU388" si="125">G325+I325+J325+K325</f>
        <v>15</v>
      </c>
      <c r="AV325">
        <f t="shared" ref="AV325:AV388" si="126">ABS(N325)+ABS(P325)+ABS(R325)</f>
        <v>25</v>
      </c>
      <c r="AW325">
        <f t="shared" ref="AW325:AW388" si="127">U325+W325</f>
        <v>0</v>
      </c>
    </row>
    <row r="326" spans="1:49" ht="19.95" customHeight="1" x14ac:dyDescent="0.25">
      <c r="A326" s="16" t="s">
        <v>247</v>
      </c>
      <c r="C326" s="16">
        <v>1</v>
      </c>
      <c r="D326" s="23" t="s">
        <v>174</v>
      </c>
      <c r="E326" s="23" t="s">
        <v>179</v>
      </c>
      <c r="L326" s="16">
        <f>IFERROR(VLOOKUP($D326&amp;$C326,生产方式定位!$A$2:$E$38,2,FALSE)+VLOOKUP($E326&amp;$C326,生产方式定位!$F$3:$J$38,2,FALSE),0)</f>
        <v>0</v>
      </c>
      <c r="S326" s="16">
        <f>IFERROR(VLOOKUP($D326&amp;$C326,生产方式定位!$A$2:$E$38,3,FALSE)+VLOOKUP($E326&amp;$C326,生产方式定位!$F$3:$J$38,3,FALSE),0)</f>
        <v>100</v>
      </c>
      <c r="X326" s="16">
        <f>IFERROR(VLOOKUP($D326&amp;$C326,生产方式定位!$A$2:$E$38,5,FALSE)+VLOOKUP($E326&amp;$C326,生产方式定位!$F$3:$J$38,5,FALSE),"错误")</f>
        <v>100</v>
      </c>
      <c r="Y326" s="26" t="str">
        <f t="shared" si="112"/>
        <v/>
      </c>
      <c r="Z326" s="36" t="str">
        <f t="shared" si="113"/>
        <v/>
      </c>
      <c r="AA326" s="36" t="str">
        <f t="shared" si="114"/>
        <v/>
      </c>
      <c r="AB326" s="27" t="str">
        <f t="shared" si="115"/>
        <v/>
      </c>
      <c r="AC326" s="2" t="str">
        <f t="shared" si="116"/>
        <v/>
      </c>
      <c r="AD326" s="38">
        <f t="shared" si="117"/>
        <v>1</v>
      </c>
      <c r="AE326" t="str">
        <f t="shared" si="118"/>
        <v/>
      </c>
      <c r="AF326" t="str">
        <f t="shared" si="119"/>
        <v/>
      </c>
      <c r="AG326" t="str">
        <f t="shared" si="120"/>
        <v/>
      </c>
      <c r="AH326" t="str">
        <f t="shared" si="121"/>
        <v/>
      </c>
      <c r="AI326" t="str">
        <f t="shared" si="122"/>
        <v/>
      </c>
      <c r="AJ326" t="str">
        <f t="shared" si="123"/>
        <v/>
      </c>
      <c r="AK326" t="str">
        <f t="shared" si="124"/>
        <v/>
      </c>
      <c r="AL326" t="str">
        <f>IFERROR(ROUND(L326*(G326/$AU326)/VLOOKUP(F326,商品!$A$4:$B$60,2,FALSE),0),"")</f>
        <v/>
      </c>
      <c r="AM326" t="str">
        <f>IFERROR(ROUND(L326*(I326/$AU326)/VLOOKUP(H326,商品!$A$4:$B$60,2,FALSE),0),"")</f>
        <v/>
      </c>
      <c r="AN326">
        <f>IFERROR(ROUND(L326*(J326/$AU326)/VLOOKUP("运力",商品!$A$4:$B$60,2,FALSE),0),0)</f>
        <v>0</v>
      </c>
      <c r="AO326">
        <f>IFERROR(ROUND(L326*(K326/$AU326)/VLOOKUP("交易",商品!$A$4:$B$60,2,FALSE),0),0)</f>
        <v>0</v>
      </c>
      <c r="AP326" t="str">
        <f>IFERROR(ROUND(S326*(N326/$AV326)/VLOOKUP(M326,职业!$A$4:$G$16,4,FALSE),0),"")</f>
        <v/>
      </c>
      <c r="AQ326" t="str">
        <f>IFERROR(ROUND(S326*(P326/$AV326)/VLOOKUP(O326,职业!$A$4:$G$16,4,FALSE),0),"")</f>
        <v/>
      </c>
      <c r="AR326" t="str">
        <f>IFERROR(ROUND(S326*(R326/$AV326)/VLOOKUP(Q326,职业!$A$4:$G$16,4,FALSE),0),"")</f>
        <v/>
      </c>
      <c r="AS326" t="str">
        <f>IFERROR(ROUND(X326*(U326/$AW326)/VLOOKUP(T326,商品!$A$4:$B$60,2,FALSE),0),"")</f>
        <v/>
      </c>
      <c r="AT326" t="str">
        <f>IFERROR(ROUND(X326*(W326/$AW326)/VLOOKUP(V326,商品!$A$4:$B$60,2,FALSE),0),"")</f>
        <v/>
      </c>
      <c r="AU326">
        <f t="shared" si="125"/>
        <v>0</v>
      </c>
      <c r="AV326">
        <f t="shared" si="126"/>
        <v>0</v>
      </c>
      <c r="AW326">
        <f t="shared" si="127"/>
        <v>0</v>
      </c>
    </row>
    <row r="327" spans="1:49" ht="19.95" customHeight="1" x14ac:dyDescent="0.25">
      <c r="A327" s="16" t="s">
        <v>247</v>
      </c>
      <c r="C327" s="16">
        <v>2</v>
      </c>
      <c r="D327" s="23" t="s">
        <v>174</v>
      </c>
      <c r="E327" s="23" t="s">
        <v>179</v>
      </c>
      <c r="L327" s="16">
        <f>IFERROR(VLOOKUP($D327&amp;$C327,生产方式定位!$A$2:$E$38,2,FALSE)+VLOOKUP($E327&amp;$C327,生产方式定位!$F$3:$J$38,2,FALSE),0)</f>
        <v>0</v>
      </c>
      <c r="S327" s="16">
        <f>IFERROR(VLOOKUP($D327&amp;$C327,生产方式定位!$A$2:$E$38,3,FALSE)+VLOOKUP($E327&amp;$C327,生产方式定位!$F$3:$J$38,3,FALSE),0)</f>
        <v>100</v>
      </c>
      <c r="X327" s="16">
        <f>IFERROR(VLOOKUP($D327&amp;$C327,生产方式定位!$A$2:$E$38,5,FALSE)+VLOOKUP($E327&amp;$C327,生产方式定位!$F$3:$J$38,5,FALSE),"错误")</f>
        <v>100</v>
      </c>
      <c r="Y327" s="26" t="str">
        <f t="shared" si="112"/>
        <v/>
      </c>
      <c r="Z327" s="36" t="str">
        <f t="shared" si="113"/>
        <v/>
      </c>
      <c r="AA327" s="36" t="str">
        <f t="shared" si="114"/>
        <v/>
      </c>
      <c r="AB327" s="27" t="str">
        <f t="shared" si="115"/>
        <v/>
      </c>
      <c r="AC327" s="2" t="str">
        <f t="shared" si="116"/>
        <v/>
      </c>
      <c r="AD327" s="38">
        <f t="shared" si="117"/>
        <v>2</v>
      </c>
      <c r="AE327" t="str">
        <f t="shared" si="118"/>
        <v/>
      </c>
      <c r="AF327" t="str">
        <f t="shared" si="119"/>
        <v/>
      </c>
      <c r="AG327" t="str">
        <f t="shared" si="120"/>
        <v/>
      </c>
      <c r="AH327" t="str">
        <f t="shared" si="121"/>
        <v/>
      </c>
      <c r="AI327" t="str">
        <f t="shared" si="122"/>
        <v/>
      </c>
      <c r="AJ327" t="str">
        <f t="shared" si="123"/>
        <v/>
      </c>
      <c r="AK327" t="str">
        <f t="shared" si="124"/>
        <v/>
      </c>
      <c r="AL327" t="str">
        <f>IFERROR(ROUND(L327*(G327/$AU327)/VLOOKUP(F327,商品!$A$4:$B$60,2,FALSE),0),"")</f>
        <v/>
      </c>
      <c r="AM327" t="str">
        <f>IFERROR(ROUND(L327*(I327/$AU327)/VLOOKUP(H327,商品!$A$4:$B$60,2,FALSE),0),"")</f>
        <v/>
      </c>
      <c r="AN327">
        <f>IFERROR(ROUND(L327*(J327/$AU327)/VLOOKUP("运力",商品!$A$4:$B$60,2,FALSE),0),0)</f>
        <v>0</v>
      </c>
      <c r="AO327">
        <f>IFERROR(ROUND(L327*(K327/$AU327)/VLOOKUP("交易",商品!$A$4:$B$60,2,FALSE),0),0)</f>
        <v>0</v>
      </c>
      <c r="AP327" t="str">
        <f>IFERROR(ROUND(S327*(N327/$AV327)/VLOOKUP(M327,职业!$A$4:$G$16,4,FALSE),0),"")</f>
        <v/>
      </c>
      <c r="AQ327" t="str">
        <f>IFERROR(ROUND(S327*(P327/$AV327)/VLOOKUP(O327,职业!$A$4:$G$16,4,FALSE),0),"")</f>
        <v/>
      </c>
      <c r="AR327" t="str">
        <f>IFERROR(ROUND(S327*(R327/$AV327)/VLOOKUP(Q327,职业!$A$4:$G$16,4,FALSE),0),"")</f>
        <v/>
      </c>
      <c r="AS327" t="str">
        <f>IFERROR(ROUND(X327*(U327/$AW327)/VLOOKUP(T327,商品!$A$4:$B$60,2,FALSE),0),"")</f>
        <v/>
      </c>
      <c r="AT327" t="str">
        <f>IFERROR(ROUND(X327*(W327/$AW327)/VLOOKUP(V327,商品!$A$4:$B$60,2,FALSE),0),"")</f>
        <v/>
      </c>
      <c r="AU327">
        <f t="shared" si="125"/>
        <v>0</v>
      </c>
      <c r="AV327">
        <f t="shared" si="126"/>
        <v>0</v>
      </c>
      <c r="AW327">
        <f t="shared" si="127"/>
        <v>0</v>
      </c>
    </row>
    <row r="328" spans="1:49" ht="19.95" customHeight="1" x14ac:dyDescent="0.25">
      <c r="A328" s="16" t="s">
        <v>247</v>
      </c>
      <c r="C328" s="16">
        <v>3</v>
      </c>
      <c r="D328" s="23" t="s">
        <v>174</v>
      </c>
      <c r="E328" s="23" t="s">
        <v>179</v>
      </c>
      <c r="L328" s="16">
        <f>IFERROR(VLOOKUP($D328&amp;$C328,生产方式定位!$A$2:$E$38,2,FALSE)+VLOOKUP($E328&amp;$C328,生产方式定位!$F$3:$J$38,2,FALSE),0)</f>
        <v>0</v>
      </c>
      <c r="S328" s="16">
        <f>IFERROR(VLOOKUP($D328&amp;$C328,生产方式定位!$A$2:$E$38,3,FALSE)+VLOOKUP($E328&amp;$C328,生产方式定位!$F$3:$J$38,3,FALSE),0)</f>
        <v>100</v>
      </c>
      <c r="X328" s="16">
        <f>IFERROR(VLOOKUP($D328&amp;$C328,生产方式定位!$A$2:$E$38,5,FALSE)+VLOOKUP($E328&amp;$C328,生产方式定位!$F$3:$J$38,5,FALSE),"错误")</f>
        <v>100</v>
      </c>
      <c r="Y328" s="26" t="str">
        <f t="shared" si="112"/>
        <v/>
      </c>
      <c r="Z328" s="36" t="str">
        <f t="shared" si="113"/>
        <v/>
      </c>
      <c r="AA328" s="36" t="str">
        <f t="shared" si="114"/>
        <v/>
      </c>
      <c r="AB328" s="27" t="str">
        <f t="shared" si="115"/>
        <v/>
      </c>
      <c r="AC328" s="2" t="str">
        <f t="shared" si="116"/>
        <v/>
      </c>
      <c r="AD328" s="38">
        <f t="shared" si="117"/>
        <v>3</v>
      </c>
      <c r="AE328" t="str">
        <f t="shared" si="118"/>
        <v/>
      </c>
      <c r="AF328" t="str">
        <f t="shared" si="119"/>
        <v/>
      </c>
      <c r="AG328" t="str">
        <f t="shared" si="120"/>
        <v/>
      </c>
      <c r="AH328" t="str">
        <f t="shared" si="121"/>
        <v/>
      </c>
      <c r="AI328" t="str">
        <f t="shared" si="122"/>
        <v/>
      </c>
      <c r="AJ328" t="str">
        <f t="shared" si="123"/>
        <v/>
      </c>
      <c r="AK328" t="str">
        <f t="shared" si="124"/>
        <v/>
      </c>
      <c r="AL328" t="str">
        <f>IFERROR(ROUND(L328*(G328/$AU328)/VLOOKUP(F328,商品!$A$4:$B$60,2,FALSE),0),"")</f>
        <v/>
      </c>
      <c r="AM328" t="str">
        <f>IFERROR(ROUND(L328*(I328/$AU328)/VLOOKUP(H328,商品!$A$4:$B$60,2,FALSE),0),"")</f>
        <v/>
      </c>
      <c r="AN328">
        <f>IFERROR(ROUND(L328*(J328/$AU328)/VLOOKUP("运力",商品!$A$4:$B$60,2,FALSE),0),0)</f>
        <v>0</v>
      </c>
      <c r="AO328">
        <f>IFERROR(ROUND(L328*(K328/$AU328)/VLOOKUP("交易",商品!$A$4:$B$60,2,FALSE),0),0)</f>
        <v>0</v>
      </c>
      <c r="AP328" t="str">
        <f>IFERROR(ROUND(S328*(N328/$AV328)/VLOOKUP(M328,职业!$A$4:$G$16,4,FALSE),0),"")</f>
        <v/>
      </c>
      <c r="AQ328" t="str">
        <f>IFERROR(ROUND(S328*(P328/$AV328)/VLOOKUP(O328,职业!$A$4:$G$16,4,FALSE),0),"")</f>
        <v/>
      </c>
      <c r="AR328" t="str">
        <f>IFERROR(ROUND(S328*(R328/$AV328)/VLOOKUP(Q328,职业!$A$4:$G$16,4,FALSE),0),"")</f>
        <v/>
      </c>
      <c r="AS328" t="str">
        <f>IFERROR(ROUND(X328*(U328/$AW328)/VLOOKUP(T328,商品!$A$4:$B$60,2,FALSE),0),"")</f>
        <v/>
      </c>
      <c r="AT328" t="str">
        <f>IFERROR(ROUND(X328*(W328/$AW328)/VLOOKUP(V328,商品!$A$4:$B$60,2,FALSE),0),"")</f>
        <v/>
      </c>
      <c r="AU328">
        <f t="shared" si="125"/>
        <v>0</v>
      </c>
      <c r="AV328">
        <f t="shared" si="126"/>
        <v>0</v>
      </c>
      <c r="AW328">
        <f t="shared" si="127"/>
        <v>0</v>
      </c>
    </row>
    <row r="329" spans="1:49" ht="19.95" customHeight="1" x14ac:dyDescent="0.25">
      <c r="A329" s="16" t="s">
        <v>247</v>
      </c>
      <c r="C329" s="16">
        <v>4</v>
      </c>
      <c r="D329" s="23" t="s">
        <v>174</v>
      </c>
      <c r="E329" s="23" t="s">
        <v>179</v>
      </c>
      <c r="L329" s="16">
        <f>IFERROR(VLOOKUP($D329&amp;$C329,生产方式定位!$A$2:$E$38,2,FALSE)+VLOOKUP($E329&amp;$C329,生产方式定位!$F$3:$J$38,2,FALSE),0)</f>
        <v>0</v>
      </c>
      <c r="S329" s="16">
        <f>IFERROR(VLOOKUP($D329&amp;$C329,生产方式定位!$A$2:$E$38,3,FALSE)+VLOOKUP($E329&amp;$C329,生产方式定位!$F$3:$J$38,3,FALSE),0)</f>
        <v>100</v>
      </c>
      <c r="X329" s="16">
        <f>IFERROR(VLOOKUP($D329&amp;$C329,生产方式定位!$A$2:$E$38,5,FALSE)+VLOOKUP($E329&amp;$C329,生产方式定位!$F$3:$J$38,5,FALSE),"错误")</f>
        <v>100</v>
      </c>
      <c r="Y329" s="26" t="str">
        <f t="shared" si="112"/>
        <v/>
      </c>
      <c r="Z329" s="36" t="str">
        <f t="shared" si="113"/>
        <v/>
      </c>
      <c r="AA329" s="36" t="str">
        <f t="shared" si="114"/>
        <v/>
      </c>
      <c r="AB329" s="27" t="str">
        <f t="shared" si="115"/>
        <v/>
      </c>
      <c r="AC329" s="2" t="str">
        <f t="shared" si="116"/>
        <v/>
      </c>
      <c r="AD329" s="38">
        <f t="shared" si="117"/>
        <v>4</v>
      </c>
      <c r="AE329" t="str">
        <f t="shared" si="118"/>
        <v/>
      </c>
      <c r="AF329" t="str">
        <f t="shared" si="119"/>
        <v/>
      </c>
      <c r="AG329" t="str">
        <f t="shared" si="120"/>
        <v/>
      </c>
      <c r="AH329" t="str">
        <f t="shared" si="121"/>
        <v/>
      </c>
      <c r="AI329" t="str">
        <f t="shared" si="122"/>
        <v/>
      </c>
      <c r="AJ329" t="str">
        <f t="shared" si="123"/>
        <v/>
      </c>
      <c r="AK329" t="str">
        <f t="shared" si="124"/>
        <v/>
      </c>
      <c r="AL329" t="str">
        <f>IFERROR(ROUND(L329*(G329/$AU329)/VLOOKUP(F329,商品!$A$4:$B$60,2,FALSE),0),"")</f>
        <v/>
      </c>
      <c r="AM329" t="str">
        <f>IFERROR(ROUND(L329*(I329/$AU329)/VLOOKUP(H329,商品!$A$4:$B$60,2,FALSE),0),"")</f>
        <v/>
      </c>
      <c r="AN329">
        <f>IFERROR(ROUND(L329*(J329/$AU329)/VLOOKUP("运力",商品!$A$4:$B$60,2,FALSE),0),0)</f>
        <v>0</v>
      </c>
      <c r="AO329">
        <f>IFERROR(ROUND(L329*(K329/$AU329)/VLOOKUP("交易",商品!$A$4:$B$60,2,FALSE),0),0)</f>
        <v>0</v>
      </c>
      <c r="AP329" t="str">
        <f>IFERROR(ROUND(S329*(N329/$AV329)/VLOOKUP(M329,职业!$A$4:$G$16,4,FALSE),0),"")</f>
        <v/>
      </c>
      <c r="AQ329" t="str">
        <f>IFERROR(ROUND(S329*(P329/$AV329)/VLOOKUP(O329,职业!$A$4:$G$16,4,FALSE),0),"")</f>
        <v/>
      </c>
      <c r="AR329" t="str">
        <f>IFERROR(ROUND(S329*(R329/$AV329)/VLOOKUP(Q329,职业!$A$4:$G$16,4,FALSE),0),"")</f>
        <v/>
      </c>
      <c r="AS329" t="str">
        <f>IFERROR(ROUND(X329*(U329/$AW329)/VLOOKUP(T329,商品!$A$4:$B$60,2,FALSE),0),"")</f>
        <v/>
      </c>
      <c r="AT329" t="str">
        <f>IFERROR(ROUND(X329*(W329/$AW329)/VLOOKUP(V329,商品!$A$4:$B$60,2,FALSE),0),"")</f>
        <v/>
      </c>
      <c r="AU329">
        <f t="shared" si="125"/>
        <v>0</v>
      </c>
      <c r="AV329">
        <f t="shared" si="126"/>
        <v>0</v>
      </c>
      <c r="AW329">
        <f t="shared" si="127"/>
        <v>0</v>
      </c>
    </row>
    <row r="330" spans="1:49" ht="19.95" customHeight="1" x14ac:dyDescent="0.25">
      <c r="A330" s="16" t="s">
        <v>247</v>
      </c>
      <c r="C330" s="16">
        <v>5</v>
      </c>
      <c r="D330" s="23" t="s">
        <v>174</v>
      </c>
      <c r="E330" s="23" t="s">
        <v>179</v>
      </c>
      <c r="L330" s="16">
        <f>IFERROR(VLOOKUP($D330&amp;$C330,生产方式定位!$A$2:$E$38,2,FALSE)+VLOOKUP($E330&amp;$C330,生产方式定位!$F$3:$J$38,2,FALSE),0)</f>
        <v>0</v>
      </c>
      <c r="S330" s="16">
        <f>IFERROR(VLOOKUP($D330&amp;$C330,生产方式定位!$A$2:$E$38,3,FALSE)+VLOOKUP($E330&amp;$C330,生产方式定位!$F$3:$J$38,3,FALSE),0)</f>
        <v>100</v>
      </c>
      <c r="X330" s="16">
        <f>IFERROR(VLOOKUP($D330&amp;$C330,生产方式定位!$A$2:$E$38,5,FALSE)+VLOOKUP($E330&amp;$C330,生产方式定位!$F$3:$J$38,5,FALSE),"错误")</f>
        <v>100</v>
      </c>
      <c r="Y330" s="26" t="str">
        <f t="shared" si="112"/>
        <v/>
      </c>
      <c r="Z330" s="36" t="str">
        <f t="shared" si="113"/>
        <v/>
      </c>
      <c r="AA330" s="36" t="str">
        <f t="shared" si="114"/>
        <v/>
      </c>
      <c r="AB330" s="27" t="str">
        <f t="shared" si="115"/>
        <v/>
      </c>
      <c r="AC330" s="2" t="str">
        <f t="shared" si="116"/>
        <v/>
      </c>
      <c r="AD330" s="38">
        <f t="shared" si="117"/>
        <v>5</v>
      </c>
      <c r="AE330" t="str">
        <f t="shared" si="118"/>
        <v/>
      </c>
      <c r="AF330" t="str">
        <f t="shared" si="119"/>
        <v/>
      </c>
      <c r="AG330" t="str">
        <f t="shared" si="120"/>
        <v/>
      </c>
      <c r="AH330" t="str">
        <f t="shared" si="121"/>
        <v/>
      </c>
      <c r="AI330" t="str">
        <f t="shared" si="122"/>
        <v/>
      </c>
      <c r="AJ330" t="str">
        <f t="shared" si="123"/>
        <v/>
      </c>
      <c r="AK330" t="str">
        <f t="shared" si="124"/>
        <v/>
      </c>
      <c r="AL330" t="str">
        <f>IFERROR(ROUND(L330*(G330/$AU330)/VLOOKUP(F330,商品!$A$4:$B$60,2,FALSE),0),"")</f>
        <v/>
      </c>
      <c r="AM330" t="str">
        <f>IFERROR(ROUND(L330*(I330/$AU330)/VLOOKUP(H330,商品!$A$4:$B$60,2,FALSE),0),"")</f>
        <v/>
      </c>
      <c r="AN330">
        <f>IFERROR(ROUND(L330*(J330/$AU330)/VLOOKUP("运力",商品!$A$4:$B$60,2,FALSE),0),0)</f>
        <v>0</v>
      </c>
      <c r="AO330">
        <f>IFERROR(ROUND(L330*(K330/$AU330)/VLOOKUP("交易",商品!$A$4:$B$60,2,FALSE),0),0)</f>
        <v>0</v>
      </c>
      <c r="AP330" t="str">
        <f>IFERROR(ROUND(S330*(N330/$AV330)/VLOOKUP(M330,职业!$A$4:$G$16,4,FALSE),0),"")</f>
        <v/>
      </c>
      <c r="AQ330" t="str">
        <f>IFERROR(ROUND(S330*(P330/$AV330)/VLOOKUP(O330,职业!$A$4:$G$16,4,FALSE),0),"")</f>
        <v/>
      </c>
      <c r="AR330" t="str">
        <f>IFERROR(ROUND(S330*(R330/$AV330)/VLOOKUP(Q330,职业!$A$4:$G$16,4,FALSE),0),"")</f>
        <v/>
      </c>
      <c r="AS330" t="str">
        <f>IFERROR(ROUND(X330*(U330/$AW330)/VLOOKUP(T330,商品!$A$4:$B$60,2,FALSE),0),"")</f>
        <v/>
      </c>
      <c r="AT330" t="str">
        <f>IFERROR(ROUND(X330*(W330/$AW330)/VLOOKUP(V330,商品!$A$4:$B$60,2,FALSE),0),"")</f>
        <v/>
      </c>
      <c r="AU330">
        <f t="shared" si="125"/>
        <v>0</v>
      </c>
      <c r="AV330">
        <f t="shared" si="126"/>
        <v>0</v>
      </c>
      <c r="AW330">
        <f t="shared" si="127"/>
        <v>0</v>
      </c>
    </row>
    <row r="331" spans="1:49" ht="19.95" customHeight="1" x14ac:dyDescent="0.25">
      <c r="A331" s="16" t="s">
        <v>247</v>
      </c>
      <c r="C331" s="16">
        <v>6</v>
      </c>
      <c r="D331" s="23" t="s">
        <v>174</v>
      </c>
      <c r="E331" s="23" t="s">
        <v>179</v>
      </c>
      <c r="L331" s="16">
        <f>IFERROR(VLOOKUP($D331&amp;$C331,生产方式定位!$A$2:$E$38,2,FALSE)+VLOOKUP($E331&amp;$C331,生产方式定位!$F$3:$J$38,2,FALSE),0)</f>
        <v>0</v>
      </c>
      <c r="S331" s="16">
        <f>IFERROR(VLOOKUP($D331&amp;$C331,生产方式定位!$A$2:$E$38,3,FALSE)+VLOOKUP($E331&amp;$C331,生产方式定位!$F$3:$J$38,3,FALSE),0)</f>
        <v>100</v>
      </c>
      <c r="X331" s="16">
        <f>IFERROR(VLOOKUP($D331&amp;$C331,生产方式定位!$A$2:$E$38,5,FALSE)+VLOOKUP($E331&amp;$C331,生产方式定位!$F$3:$J$38,5,FALSE),"错误")</f>
        <v>100</v>
      </c>
      <c r="Y331" s="26" t="str">
        <f t="shared" si="112"/>
        <v/>
      </c>
      <c r="Z331" s="36" t="str">
        <f t="shared" si="113"/>
        <v/>
      </c>
      <c r="AA331" s="36" t="str">
        <f t="shared" si="114"/>
        <v/>
      </c>
      <c r="AB331" s="27" t="str">
        <f t="shared" si="115"/>
        <v/>
      </c>
      <c r="AC331" s="2" t="str">
        <f t="shared" si="116"/>
        <v/>
      </c>
      <c r="AD331" s="37">
        <f t="shared" si="117"/>
        <v>6</v>
      </c>
      <c r="AE331" t="str">
        <f t="shared" si="118"/>
        <v/>
      </c>
      <c r="AF331" t="str">
        <f t="shared" si="119"/>
        <v/>
      </c>
      <c r="AG331" t="str">
        <f t="shared" si="120"/>
        <v/>
      </c>
      <c r="AH331" t="str">
        <f t="shared" si="121"/>
        <v/>
      </c>
      <c r="AI331" t="str">
        <f t="shared" si="122"/>
        <v/>
      </c>
      <c r="AJ331" t="str">
        <f t="shared" si="123"/>
        <v/>
      </c>
      <c r="AK331" t="str">
        <f t="shared" si="124"/>
        <v/>
      </c>
      <c r="AL331" t="str">
        <f>IFERROR(ROUND(L331*(G331/$AU331)/VLOOKUP(F331,商品!$A$4:$B$60,2,FALSE),0),"")</f>
        <v/>
      </c>
      <c r="AM331" t="str">
        <f>IFERROR(ROUND(L331*(I331/$AU331)/VLOOKUP(H331,商品!$A$4:$B$60,2,FALSE),0),"")</f>
        <v/>
      </c>
      <c r="AN331">
        <f>IFERROR(ROUND(L331*(J331/$AU331)/VLOOKUP("运力",商品!$A$4:$B$60,2,FALSE),0),0)</f>
        <v>0</v>
      </c>
      <c r="AO331">
        <f>IFERROR(ROUND(L331*(K331/$AU331)/VLOOKUP("交易",商品!$A$4:$B$60,2,FALSE),0),0)</f>
        <v>0</v>
      </c>
      <c r="AP331" t="str">
        <f>IFERROR(ROUND(S331*(N331/$AV331)/VLOOKUP(M331,职业!$A$4:$G$16,4,FALSE),0),"")</f>
        <v/>
      </c>
      <c r="AQ331" t="str">
        <f>IFERROR(ROUND(S331*(P331/$AV331)/VLOOKUP(O331,职业!$A$4:$G$16,4,FALSE),0),"")</f>
        <v/>
      </c>
      <c r="AR331" t="str">
        <f>IFERROR(ROUND(S331*(R331/$AV331)/VLOOKUP(Q331,职业!$A$4:$G$16,4,FALSE),0),"")</f>
        <v/>
      </c>
      <c r="AS331" t="str">
        <f>IFERROR(ROUND(X331*(U331/$AW331)/VLOOKUP(T331,商品!$A$4:$B$60,2,FALSE),0),"")</f>
        <v/>
      </c>
      <c r="AT331" t="str">
        <f>IFERROR(ROUND(X331*(W331/$AW331)/VLOOKUP(V331,商品!$A$4:$B$60,2,FALSE),0),"")</f>
        <v/>
      </c>
      <c r="AU331">
        <f t="shared" si="125"/>
        <v>0</v>
      </c>
      <c r="AV331">
        <f t="shared" si="126"/>
        <v>0</v>
      </c>
      <c r="AW331">
        <f t="shared" si="127"/>
        <v>0</v>
      </c>
    </row>
    <row r="332" spans="1:49" ht="19.95" customHeight="1" x14ac:dyDescent="0.25">
      <c r="A332" s="16" t="s">
        <v>247</v>
      </c>
      <c r="C332" s="16">
        <v>7</v>
      </c>
      <c r="D332" s="23" t="s">
        <v>174</v>
      </c>
      <c r="E332" s="23" t="s">
        <v>179</v>
      </c>
      <c r="L332" s="16">
        <f>IFERROR(VLOOKUP($D332&amp;$C332,生产方式定位!$A$2:$E$38,2,FALSE)+VLOOKUP($E332&amp;$C332,生产方式定位!$F$3:$J$38,2,FALSE),0)</f>
        <v>0</v>
      </c>
      <c r="S332" s="16">
        <f>IFERROR(VLOOKUP($D332&amp;$C332,生产方式定位!$A$2:$E$38,3,FALSE)+VLOOKUP($E332&amp;$C332,生产方式定位!$F$3:$J$38,3,FALSE),0)</f>
        <v>100</v>
      </c>
      <c r="X332" s="16">
        <f>IFERROR(VLOOKUP($D332&amp;$C332,生产方式定位!$A$2:$E$38,5,FALSE)+VLOOKUP($E332&amp;$C332,生产方式定位!$F$3:$J$38,5,FALSE),"错误")</f>
        <v>100</v>
      </c>
      <c r="Y332" s="26" t="str">
        <f t="shared" si="112"/>
        <v/>
      </c>
      <c r="Z332" s="36" t="str">
        <f t="shared" si="113"/>
        <v/>
      </c>
      <c r="AA332" s="36" t="str">
        <f t="shared" si="114"/>
        <v/>
      </c>
      <c r="AB332" s="27" t="str">
        <f t="shared" si="115"/>
        <v/>
      </c>
      <c r="AC332" s="2" t="str">
        <f t="shared" si="116"/>
        <v/>
      </c>
      <c r="AD332" s="37">
        <f t="shared" si="117"/>
        <v>7</v>
      </c>
      <c r="AE332" t="str">
        <f t="shared" si="118"/>
        <v/>
      </c>
      <c r="AF332" t="str">
        <f t="shared" si="119"/>
        <v/>
      </c>
      <c r="AG332" t="str">
        <f t="shared" si="120"/>
        <v/>
      </c>
      <c r="AH332" t="str">
        <f t="shared" si="121"/>
        <v/>
      </c>
      <c r="AI332" t="str">
        <f t="shared" si="122"/>
        <v/>
      </c>
      <c r="AJ332" t="str">
        <f t="shared" si="123"/>
        <v/>
      </c>
      <c r="AK332" t="str">
        <f t="shared" si="124"/>
        <v/>
      </c>
      <c r="AL332" t="str">
        <f>IFERROR(ROUND(L332*(G332/$AU332)/VLOOKUP(F332,商品!$A$4:$B$60,2,FALSE),0),"")</f>
        <v/>
      </c>
      <c r="AM332" t="str">
        <f>IFERROR(ROUND(L332*(I332/$AU332)/VLOOKUP(H332,商品!$A$4:$B$60,2,FALSE),0),"")</f>
        <v/>
      </c>
      <c r="AN332">
        <f>IFERROR(ROUND(L332*(J332/$AU332)/VLOOKUP("运力",商品!$A$4:$B$60,2,FALSE),0),0)</f>
        <v>0</v>
      </c>
      <c r="AO332">
        <f>IFERROR(ROUND(L332*(K332/$AU332)/VLOOKUP("交易",商品!$A$4:$B$60,2,FALSE),0),0)</f>
        <v>0</v>
      </c>
      <c r="AP332" t="str">
        <f>IFERROR(ROUND(S332*(N332/$AV332)/VLOOKUP(M332,职业!$A$4:$G$16,4,FALSE),0),"")</f>
        <v/>
      </c>
      <c r="AQ332" t="str">
        <f>IFERROR(ROUND(S332*(P332/$AV332)/VLOOKUP(O332,职业!$A$4:$G$16,4,FALSE),0),"")</f>
        <v/>
      </c>
      <c r="AR332" t="str">
        <f>IFERROR(ROUND(S332*(R332/$AV332)/VLOOKUP(Q332,职业!$A$4:$G$16,4,FALSE),0),"")</f>
        <v/>
      </c>
      <c r="AS332" t="str">
        <f>IFERROR(ROUND(X332*(U332/$AW332)/VLOOKUP(T332,商品!$A$4:$B$60,2,FALSE),0),"")</f>
        <v/>
      </c>
      <c r="AT332" t="str">
        <f>IFERROR(ROUND(X332*(W332/$AW332)/VLOOKUP(V332,商品!$A$4:$B$60,2,FALSE),0),"")</f>
        <v/>
      </c>
      <c r="AU332">
        <f t="shared" si="125"/>
        <v>0</v>
      </c>
      <c r="AV332">
        <f t="shared" si="126"/>
        <v>0</v>
      </c>
      <c r="AW332">
        <f t="shared" si="127"/>
        <v>0</v>
      </c>
    </row>
    <row r="333" spans="1:49" ht="19.95" customHeight="1" x14ac:dyDescent="0.25">
      <c r="A333" s="16" t="s">
        <v>247</v>
      </c>
      <c r="C333" s="16">
        <v>8</v>
      </c>
      <c r="D333" s="23" t="s">
        <v>174</v>
      </c>
      <c r="E333" s="23" t="s">
        <v>179</v>
      </c>
      <c r="L333" s="16">
        <f>IFERROR(VLOOKUP($D333&amp;$C333,生产方式定位!$A$2:$E$38,2,FALSE)+VLOOKUP($E333&amp;$C333,生产方式定位!$F$3:$J$38,2,FALSE),0)</f>
        <v>0</v>
      </c>
      <c r="S333" s="16">
        <f>IFERROR(VLOOKUP($D333&amp;$C333,生产方式定位!$A$2:$E$38,3,FALSE)+VLOOKUP($E333&amp;$C333,生产方式定位!$F$3:$J$38,3,FALSE),0)</f>
        <v>100</v>
      </c>
      <c r="X333" s="16">
        <f>IFERROR(VLOOKUP($D333&amp;$C333,生产方式定位!$A$2:$E$38,5,FALSE)+VLOOKUP($E333&amp;$C333,生产方式定位!$F$3:$J$38,5,FALSE),"错误")</f>
        <v>100</v>
      </c>
      <c r="Y333" s="26" t="str">
        <f t="shared" si="112"/>
        <v/>
      </c>
      <c r="Z333" s="36" t="str">
        <f t="shared" si="113"/>
        <v/>
      </c>
      <c r="AA333" s="36" t="str">
        <f t="shared" si="114"/>
        <v/>
      </c>
      <c r="AB333" s="27" t="str">
        <f t="shared" si="115"/>
        <v/>
      </c>
      <c r="AC333" s="2" t="str">
        <f t="shared" si="116"/>
        <v/>
      </c>
      <c r="AD333" s="37">
        <f t="shared" si="117"/>
        <v>8</v>
      </c>
      <c r="AE333" t="str">
        <f t="shared" si="118"/>
        <v/>
      </c>
      <c r="AF333" t="str">
        <f t="shared" si="119"/>
        <v/>
      </c>
      <c r="AG333" t="str">
        <f t="shared" si="120"/>
        <v/>
      </c>
      <c r="AH333" t="str">
        <f t="shared" si="121"/>
        <v/>
      </c>
      <c r="AI333" t="str">
        <f t="shared" si="122"/>
        <v/>
      </c>
      <c r="AJ333" t="str">
        <f t="shared" si="123"/>
        <v/>
      </c>
      <c r="AK333" t="str">
        <f t="shared" si="124"/>
        <v/>
      </c>
      <c r="AL333" t="str">
        <f>IFERROR(ROUND(L333*(G333/$AU333)/VLOOKUP(F333,商品!$A$4:$B$60,2,FALSE),0),"")</f>
        <v/>
      </c>
      <c r="AM333" t="str">
        <f>IFERROR(ROUND(L333*(I333/$AU333)/VLOOKUP(H333,商品!$A$4:$B$60,2,FALSE),0),"")</f>
        <v/>
      </c>
      <c r="AN333">
        <f>IFERROR(ROUND(L333*(J333/$AU333)/VLOOKUP("运力",商品!$A$4:$B$60,2,FALSE),0),0)</f>
        <v>0</v>
      </c>
      <c r="AO333">
        <f>IFERROR(ROUND(L333*(K333/$AU333)/VLOOKUP("交易",商品!$A$4:$B$60,2,FALSE),0),0)</f>
        <v>0</v>
      </c>
      <c r="AP333" t="str">
        <f>IFERROR(ROUND(S333*(N333/$AV333)/VLOOKUP(M333,职业!$A$4:$G$16,4,FALSE),0),"")</f>
        <v/>
      </c>
      <c r="AQ333" t="str">
        <f>IFERROR(ROUND(S333*(P333/$AV333)/VLOOKUP(O333,职业!$A$4:$G$16,4,FALSE),0),"")</f>
        <v/>
      </c>
      <c r="AR333" t="str">
        <f>IFERROR(ROUND(S333*(R333/$AV333)/VLOOKUP(Q333,职业!$A$4:$G$16,4,FALSE),0),"")</f>
        <v/>
      </c>
      <c r="AS333" t="str">
        <f>IFERROR(ROUND(X333*(U333/$AW333)/VLOOKUP(T333,商品!$A$4:$B$60,2,FALSE),0),"")</f>
        <v/>
      </c>
      <c r="AT333" t="str">
        <f>IFERROR(ROUND(X333*(W333/$AW333)/VLOOKUP(V333,商品!$A$4:$B$60,2,FALSE),0),"")</f>
        <v/>
      </c>
      <c r="AU333">
        <f t="shared" si="125"/>
        <v>0</v>
      </c>
      <c r="AV333">
        <f t="shared" si="126"/>
        <v>0</v>
      </c>
      <c r="AW333">
        <f t="shared" si="127"/>
        <v>0</v>
      </c>
    </row>
    <row r="334" spans="1:49" ht="19.95" customHeight="1" x14ac:dyDescent="0.25">
      <c r="A334" s="15" t="s">
        <v>249</v>
      </c>
      <c r="C334" s="15">
        <v>1</v>
      </c>
      <c r="D334" s="23" t="s">
        <v>222</v>
      </c>
      <c r="E334" s="23" t="s">
        <v>172</v>
      </c>
      <c r="F334" s="2" t="s">
        <v>22</v>
      </c>
      <c r="G334" s="2">
        <v>15</v>
      </c>
      <c r="H334" s="2" t="s">
        <v>39</v>
      </c>
      <c r="I334" s="2">
        <v>10</v>
      </c>
      <c r="J334" s="24">
        <v>5</v>
      </c>
      <c r="K334" s="25">
        <v>3</v>
      </c>
      <c r="L334" s="15">
        <f>IFERROR(VLOOKUP($D334&amp;$C334,生产方式定位!$A$2:$E$38,2,FALSE)+VLOOKUP($E334&amp;$C334,生产方式定位!$F$3:$J$38,2,FALSE),0)</f>
        <v>1000</v>
      </c>
      <c r="S334" s="15">
        <f>IFERROR(VLOOKUP($D334&amp;$C334,生产方式定位!$A$2:$E$38,3,FALSE)+VLOOKUP($E334&amp;$C334,生产方式定位!$F$3:$J$38,3,FALSE),0)</f>
        <v>100</v>
      </c>
      <c r="T334" s="2" t="s">
        <v>40</v>
      </c>
      <c r="U334" s="2">
        <v>1</v>
      </c>
      <c r="X334" s="15">
        <f>IFERROR(VLOOKUP($D334&amp;$C334,生产方式定位!$A$2:$E$38,5,FALSE)+VLOOKUP($E334&amp;$C334,生产方式定位!$F$3:$J$38,5,FALSE),"错误")</f>
        <v>1760</v>
      </c>
      <c r="Y334" s="26" t="str">
        <f t="shared" si="112"/>
        <v>泽洛*9,钢铁*5,运力*15,交易*9</v>
      </c>
      <c r="Z334" s="36" t="str">
        <f t="shared" si="113"/>
        <v/>
      </c>
      <c r="AA334" s="36" t="str">
        <f t="shared" si="114"/>
        <v>秘银*22</v>
      </c>
      <c r="AB334" s="27" t="str">
        <f t="shared" si="115"/>
        <v>76%</v>
      </c>
      <c r="AC334" s="2">
        <f t="shared" si="116"/>
        <v>660</v>
      </c>
      <c r="AD334" s="37">
        <f t="shared" si="117"/>
        <v>1</v>
      </c>
      <c r="AE334" t="str">
        <f t="shared" si="118"/>
        <v>泽洛*9</v>
      </c>
      <c r="AF334" t="str">
        <f t="shared" si="119"/>
        <v>钢铁*5</v>
      </c>
      <c r="AG334" t="str">
        <f t="shared" si="120"/>
        <v/>
      </c>
      <c r="AH334" t="str">
        <f t="shared" si="121"/>
        <v/>
      </c>
      <c r="AI334" t="str">
        <f t="shared" si="122"/>
        <v/>
      </c>
      <c r="AJ334" t="str">
        <f t="shared" si="123"/>
        <v>秘银*22</v>
      </c>
      <c r="AK334" t="str">
        <f t="shared" si="124"/>
        <v/>
      </c>
      <c r="AL334">
        <f>IFERROR(ROUND(L334*(G334/$AU334)/VLOOKUP(F334,商品!$A$4:$B$60,2,FALSE),0),"")</f>
        <v>9</v>
      </c>
      <c r="AM334">
        <f>IFERROR(ROUND(L334*(I334/$AU334)/VLOOKUP(H334,商品!$A$4:$B$60,2,FALSE),0),"")</f>
        <v>5</v>
      </c>
      <c r="AN334">
        <f>IFERROR(ROUND(L334*(J334/$AU334)/VLOOKUP("运力",商品!$A$4:$B$60,2,FALSE),0),0)</f>
        <v>15</v>
      </c>
      <c r="AO334">
        <f>IFERROR(ROUND(L334*(K334/$AU334)/VLOOKUP("交易",商品!$A$4:$B$60,2,FALSE),0),0)</f>
        <v>9</v>
      </c>
      <c r="AP334" t="str">
        <f>IFERROR(ROUND(S334*(N334/$AV334)/VLOOKUP(M334,职业!$A$4:$G$16,4,FALSE),0),"")</f>
        <v/>
      </c>
      <c r="AQ334" t="str">
        <f>IFERROR(ROUND(S334*(P334/$AV334)/VLOOKUP(O334,职业!$A$4:$G$16,4,FALSE),0),"")</f>
        <v/>
      </c>
      <c r="AR334" t="str">
        <f>IFERROR(ROUND(S334*(R334/$AV334)/VLOOKUP(Q334,职业!$A$4:$G$16,4,FALSE),0),"")</f>
        <v/>
      </c>
      <c r="AS334">
        <f>IFERROR(ROUND(X334*(U334/$AW334)/VLOOKUP(T334,商品!$A$4:$B$60,2,FALSE),0),"")</f>
        <v>22</v>
      </c>
      <c r="AT334" t="str">
        <f>IFERROR(ROUND(X334*(W334/$AW334)/VLOOKUP(V334,商品!$A$4:$B$60,2,FALSE),0),"")</f>
        <v/>
      </c>
      <c r="AU334">
        <f t="shared" si="125"/>
        <v>33</v>
      </c>
      <c r="AV334">
        <f t="shared" si="126"/>
        <v>0</v>
      </c>
      <c r="AW334">
        <f t="shared" si="127"/>
        <v>1</v>
      </c>
    </row>
    <row r="335" spans="1:49" ht="19.95" customHeight="1" x14ac:dyDescent="0.25">
      <c r="A335" s="15" t="s">
        <v>249</v>
      </c>
      <c r="C335" s="15">
        <v>2</v>
      </c>
      <c r="D335" s="23" t="s">
        <v>222</v>
      </c>
      <c r="E335" s="23" t="s">
        <v>172</v>
      </c>
      <c r="F335" s="2" t="s">
        <v>22</v>
      </c>
      <c r="G335" s="2">
        <v>16</v>
      </c>
      <c r="H335" s="2" t="s">
        <v>39</v>
      </c>
      <c r="I335" s="2">
        <v>10</v>
      </c>
      <c r="J335" s="24">
        <v>5</v>
      </c>
      <c r="K335" s="25">
        <v>3</v>
      </c>
      <c r="L335" s="15">
        <f>IFERROR(VLOOKUP($D335&amp;$C335,生产方式定位!$A$2:$E$38,2,FALSE)+VLOOKUP($E335&amp;$C335,生产方式定位!$F$3:$J$38,2,FALSE),0)</f>
        <v>1600</v>
      </c>
      <c r="S335" s="15">
        <f>IFERROR(VLOOKUP($D335&amp;$C335,生产方式定位!$A$2:$E$38,3,FALSE)+VLOOKUP($E335&amp;$C335,生产方式定位!$F$3:$J$38,3,FALSE),0)</f>
        <v>100</v>
      </c>
      <c r="T335" s="2" t="s">
        <v>40</v>
      </c>
      <c r="U335" s="2">
        <v>1</v>
      </c>
      <c r="X335" s="15">
        <f>IFERROR(VLOOKUP($D335&amp;$C335,生产方式定位!$A$2:$E$38,5,FALSE)+VLOOKUP($E335&amp;$C335,生产方式定位!$F$3:$J$38,5,FALSE),"错误")</f>
        <v>2520</v>
      </c>
      <c r="Y335" s="26" t="str">
        <f t="shared" si="112"/>
        <v>泽洛*15,钢铁*8,运力*24,交易*14</v>
      </c>
      <c r="Z335" s="36" t="str">
        <f t="shared" si="113"/>
        <v/>
      </c>
      <c r="AA335" s="36" t="str">
        <f t="shared" si="114"/>
        <v>秘银*32</v>
      </c>
      <c r="AB335" s="27" t="str">
        <f t="shared" si="115"/>
        <v>58%</v>
      </c>
      <c r="AC335" s="2">
        <f t="shared" si="116"/>
        <v>820</v>
      </c>
      <c r="AD335" s="37">
        <f t="shared" si="117"/>
        <v>2</v>
      </c>
      <c r="AE335" t="str">
        <f t="shared" si="118"/>
        <v>泽洛*15</v>
      </c>
      <c r="AF335" t="str">
        <f t="shared" si="119"/>
        <v>钢铁*8</v>
      </c>
      <c r="AG335" t="str">
        <f t="shared" si="120"/>
        <v/>
      </c>
      <c r="AH335" t="str">
        <f t="shared" si="121"/>
        <v/>
      </c>
      <c r="AI335" t="str">
        <f t="shared" si="122"/>
        <v/>
      </c>
      <c r="AJ335" t="str">
        <f t="shared" si="123"/>
        <v>秘银*32</v>
      </c>
      <c r="AK335" t="str">
        <f t="shared" si="124"/>
        <v/>
      </c>
      <c r="AL335">
        <f>IFERROR(ROUND(L335*(G335/$AU335)/VLOOKUP(F335,商品!$A$4:$B$60,2,FALSE),0),"")</f>
        <v>15</v>
      </c>
      <c r="AM335">
        <f>IFERROR(ROUND(L335*(I335/$AU335)/VLOOKUP(H335,商品!$A$4:$B$60,2,FALSE),0),"")</f>
        <v>8</v>
      </c>
      <c r="AN335">
        <f>IFERROR(ROUND(L335*(J335/$AU335)/VLOOKUP("运力",商品!$A$4:$B$60,2,FALSE),0),0)</f>
        <v>24</v>
      </c>
      <c r="AO335">
        <f>IFERROR(ROUND(L335*(K335/$AU335)/VLOOKUP("交易",商品!$A$4:$B$60,2,FALSE),0),0)</f>
        <v>14</v>
      </c>
      <c r="AP335" t="str">
        <f>IFERROR(ROUND(S335*(N335/$AV335)/VLOOKUP(M335,职业!$A$4:$G$16,4,FALSE),0),"")</f>
        <v/>
      </c>
      <c r="AQ335" t="str">
        <f>IFERROR(ROUND(S335*(P335/$AV335)/VLOOKUP(O335,职业!$A$4:$G$16,4,FALSE),0),"")</f>
        <v/>
      </c>
      <c r="AR335" t="str">
        <f>IFERROR(ROUND(S335*(R335/$AV335)/VLOOKUP(Q335,职业!$A$4:$G$16,4,FALSE),0),"")</f>
        <v/>
      </c>
      <c r="AS335">
        <f>IFERROR(ROUND(X335*(U335/$AW335)/VLOOKUP(T335,商品!$A$4:$B$60,2,FALSE),0),"")</f>
        <v>32</v>
      </c>
      <c r="AT335" t="str">
        <f>IFERROR(ROUND(X335*(W335/$AW335)/VLOOKUP(V335,商品!$A$4:$B$60,2,FALSE),0),"")</f>
        <v/>
      </c>
      <c r="AU335">
        <f t="shared" si="125"/>
        <v>34</v>
      </c>
      <c r="AV335">
        <f t="shared" si="126"/>
        <v>0</v>
      </c>
      <c r="AW335">
        <f t="shared" si="127"/>
        <v>1</v>
      </c>
    </row>
    <row r="336" spans="1:49" ht="19.95" customHeight="1" x14ac:dyDescent="0.25">
      <c r="A336" s="15" t="s">
        <v>249</v>
      </c>
      <c r="C336" s="15">
        <v>3</v>
      </c>
      <c r="D336" s="23" t="s">
        <v>222</v>
      </c>
      <c r="E336" s="23" t="s">
        <v>172</v>
      </c>
      <c r="F336" s="2" t="s">
        <v>22</v>
      </c>
      <c r="G336" s="2">
        <v>17</v>
      </c>
      <c r="H336" s="2" t="s">
        <v>39</v>
      </c>
      <c r="I336" s="2">
        <v>10</v>
      </c>
      <c r="J336" s="24">
        <v>5</v>
      </c>
      <c r="K336" s="25">
        <v>3</v>
      </c>
      <c r="L336" s="15">
        <f>IFERROR(VLOOKUP($D336&amp;$C336,生产方式定位!$A$2:$E$38,2,FALSE)+VLOOKUP($E336&amp;$C336,生产方式定位!$F$3:$J$38,2,FALSE),0)</f>
        <v>1825</v>
      </c>
      <c r="S336" s="15">
        <f>IFERROR(VLOOKUP($D336&amp;$C336,生产方式定位!$A$2:$E$38,3,FALSE)+VLOOKUP($E336&amp;$C336,生产方式定位!$F$3:$J$38,3,FALSE),0)</f>
        <v>100</v>
      </c>
      <c r="T336" s="2" t="s">
        <v>40</v>
      </c>
      <c r="U336" s="2">
        <v>1</v>
      </c>
      <c r="X336" s="15">
        <f>IFERROR(VLOOKUP($D336&amp;$C336,生产方式定位!$A$2:$E$38,5,FALSE)+VLOOKUP($E336&amp;$C336,生产方式定位!$F$3:$J$38,5,FALSE),"错误")</f>
        <v>2830</v>
      </c>
      <c r="Y336" s="26" t="str">
        <f t="shared" si="112"/>
        <v>泽洛*18,钢铁*9,运力*26,交易*16</v>
      </c>
      <c r="Z336" s="36" t="str">
        <f t="shared" si="113"/>
        <v/>
      </c>
      <c r="AA336" s="36" t="str">
        <f t="shared" si="114"/>
        <v>秘银*35</v>
      </c>
      <c r="AB336" s="27" t="str">
        <f t="shared" si="115"/>
        <v>55%</v>
      </c>
      <c r="AC336" s="2">
        <f t="shared" si="116"/>
        <v>905</v>
      </c>
      <c r="AD336" s="38">
        <f t="shared" si="117"/>
        <v>3</v>
      </c>
      <c r="AE336" t="str">
        <f t="shared" si="118"/>
        <v>泽洛*18</v>
      </c>
      <c r="AF336" t="str">
        <f t="shared" si="119"/>
        <v>钢铁*9</v>
      </c>
      <c r="AG336" t="str">
        <f t="shared" si="120"/>
        <v/>
      </c>
      <c r="AH336" t="str">
        <f t="shared" si="121"/>
        <v/>
      </c>
      <c r="AI336" t="str">
        <f t="shared" si="122"/>
        <v/>
      </c>
      <c r="AJ336" t="str">
        <f t="shared" si="123"/>
        <v>秘银*35</v>
      </c>
      <c r="AK336" t="str">
        <f t="shared" si="124"/>
        <v/>
      </c>
      <c r="AL336">
        <f>IFERROR(ROUND(L336*(G336/$AU336)/VLOOKUP(F336,商品!$A$4:$B$60,2,FALSE),0),"")</f>
        <v>18</v>
      </c>
      <c r="AM336">
        <f>IFERROR(ROUND(L336*(I336/$AU336)/VLOOKUP(H336,商品!$A$4:$B$60,2,FALSE),0),"")</f>
        <v>9</v>
      </c>
      <c r="AN336">
        <f>IFERROR(ROUND(L336*(J336/$AU336)/VLOOKUP("运力",商品!$A$4:$B$60,2,FALSE),0),0)</f>
        <v>26</v>
      </c>
      <c r="AO336">
        <f>IFERROR(ROUND(L336*(K336/$AU336)/VLOOKUP("交易",商品!$A$4:$B$60,2,FALSE),0),0)</f>
        <v>16</v>
      </c>
      <c r="AP336" t="str">
        <f>IFERROR(ROUND(S336*(N336/$AV336)/VLOOKUP(M336,职业!$A$4:$G$16,4,FALSE),0),"")</f>
        <v/>
      </c>
      <c r="AQ336" t="str">
        <f>IFERROR(ROUND(S336*(P336/$AV336)/VLOOKUP(O336,职业!$A$4:$G$16,4,FALSE),0),"")</f>
        <v/>
      </c>
      <c r="AR336" t="str">
        <f>IFERROR(ROUND(S336*(R336/$AV336)/VLOOKUP(Q336,职业!$A$4:$G$16,4,FALSE),0),"")</f>
        <v/>
      </c>
      <c r="AS336">
        <f>IFERROR(ROUND(X336*(U336/$AW336)/VLOOKUP(T336,商品!$A$4:$B$60,2,FALSE),0),"")</f>
        <v>35</v>
      </c>
      <c r="AT336" t="str">
        <f>IFERROR(ROUND(X336*(W336/$AW336)/VLOOKUP(V336,商品!$A$4:$B$60,2,FALSE),0),"")</f>
        <v/>
      </c>
      <c r="AU336">
        <f t="shared" si="125"/>
        <v>35</v>
      </c>
      <c r="AV336">
        <f t="shared" si="126"/>
        <v>0</v>
      </c>
      <c r="AW336">
        <f t="shared" si="127"/>
        <v>1</v>
      </c>
    </row>
    <row r="337" spans="1:49" ht="19.95" customHeight="1" x14ac:dyDescent="0.25">
      <c r="A337" s="15" t="s">
        <v>249</v>
      </c>
      <c r="C337" s="15">
        <v>4</v>
      </c>
      <c r="D337" s="23" t="s">
        <v>222</v>
      </c>
      <c r="E337" s="23" t="s">
        <v>172</v>
      </c>
      <c r="F337" s="2" t="s">
        <v>22</v>
      </c>
      <c r="G337" s="2">
        <v>18</v>
      </c>
      <c r="H337" s="2" t="s">
        <v>39</v>
      </c>
      <c r="I337" s="2">
        <v>10</v>
      </c>
      <c r="J337" s="24">
        <v>5</v>
      </c>
      <c r="K337" s="25">
        <v>3</v>
      </c>
      <c r="L337" s="15">
        <f>IFERROR(VLOOKUP($D337&amp;$C337,生产方式定位!$A$2:$E$38,2,FALSE)+VLOOKUP($E337&amp;$C337,生产方式定位!$F$3:$J$38,2,FALSE),0)</f>
        <v>2050</v>
      </c>
      <c r="S337" s="15">
        <f>IFERROR(VLOOKUP($D337&amp;$C337,生产方式定位!$A$2:$E$38,3,FALSE)+VLOOKUP($E337&amp;$C337,生产方式定位!$F$3:$J$38,3,FALSE),0)</f>
        <v>100</v>
      </c>
      <c r="T337" s="2" t="s">
        <v>40</v>
      </c>
      <c r="U337" s="2">
        <v>1</v>
      </c>
      <c r="X337" s="15">
        <f>IFERROR(VLOOKUP($D337&amp;$C337,生产方式定位!$A$2:$E$38,5,FALSE)+VLOOKUP($E337&amp;$C337,生产方式定位!$F$3:$J$38,5,FALSE),"错误")</f>
        <v>3140</v>
      </c>
      <c r="Y337" s="26" t="str">
        <f t="shared" si="112"/>
        <v>泽洛*21,钢铁*9,运力*28,交易*17</v>
      </c>
      <c r="Z337" s="36" t="str">
        <f t="shared" si="113"/>
        <v/>
      </c>
      <c r="AA337" s="36" t="str">
        <f t="shared" si="114"/>
        <v>秘银*39</v>
      </c>
      <c r="AB337" s="27" t="str">
        <f t="shared" si="115"/>
        <v>53%</v>
      </c>
      <c r="AC337" s="2">
        <f t="shared" si="116"/>
        <v>990</v>
      </c>
      <c r="AD337" s="38">
        <f t="shared" si="117"/>
        <v>4</v>
      </c>
      <c r="AE337" t="str">
        <f t="shared" si="118"/>
        <v>泽洛*21</v>
      </c>
      <c r="AF337" t="str">
        <f t="shared" si="119"/>
        <v>钢铁*9</v>
      </c>
      <c r="AG337" t="str">
        <f t="shared" si="120"/>
        <v/>
      </c>
      <c r="AH337" t="str">
        <f t="shared" si="121"/>
        <v/>
      </c>
      <c r="AI337" t="str">
        <f t="shared" si="122"/>
        <v/>
      </c>
      <c r="AJ337" t="str">
        <f t="shared" si="123"/>
        <v>秘银*39</v>
      </c>
      <c r="AK337" t="str">
        <f t="shared" si="124"/>
        <v/>
      </c>
      <c r="AL337">
        <f>IFERROR(ROUND(L337*(G337/$AU337)/VLOOKUP(F337,商品!$A$4:$B$60,2,FALSE),0),"")</f>
        <v>21</v>
      </c>
      <c r="AM337">
        <f>IFERROR(ROUND(L337*(I337/$AU337)/VLOOKUP(H337,商品!$A$4:$B$60,2,FALSE),0),"")</f>
        <v>9</v>
      </c>
      <c r="AN337">
        <f>IFERROR(ROUND(L337*(J337/$AU337)/VLOOKUP("运力",商品!$A$4:$B$60,2,FALSE),0),0)</f>
        <v>28</v>
      </c>
      <c r="AO337">
        <f>IFERROR(ROUND(L337*(K337/$AU337)/VLOOKUP("交易",商品!$A$4:$B$60,2,FALSE),0),0)</f>
        <v>17</v>
      </c>
      <c r="AP337" t="str">
        <f>IFERROR(ROUND(S337*(N337/$AV337)/VLOOKUP(M337,职业!$A$4:$G$16,4,FALSE),0),"")</f>
        <v/>
      </c>
      <c r="AQ337" t="str">
        <f>IFERROR(ROUND(S337*(P337/$AV337)/VLOOKUP(O337,职业!$A$4:$G$16,4,FALSE),0),"")</f>
        <v/>
      </c>
      <c r="AR337" t="str">
        <f>IFERROR(ROUND(S337*(R337/$AV337)/VLOOKUP(Q337,职业!$A$4:$G$16,4,FALSE),0),"")</f>
        <v/>
      </c>
      <c r="AS337">
        <f>IFERROR(ROUND(X337*(U337/$AW337)/VLOOKUP(T337,商品!$A$4:$B$60,2,FALSE),0),"")</f>
        <v>39</v>
      </c>
      <c r="AT337" t="str">
        <f>IFERROR(ROUND(X337*(W337/$AW337)/VLOOKUP(V337,商品!$A$4:$B$60,2,FALSE),0),"")</f>
        <v/>
      </c>
      <c r="AU337">
        <f t="shared" si="125"/>
        <v>36</v>
      </c>
      <c r="AV337">
        <f t="shared" si="126"/>
        <v>0</v>
      </c>
      <c r="AW337">
        <f t="shared" si="127"/>
        <v>1</v>
      </c>
    </row>
    <row r="338" spans="1:49" ht="19.95" customHeight="1" x14ac:dyDescent="0.25">
      <c r="A338" s="15" t="s">
        <v>249</v>
      </c>
      <c r="C338" s="15">
        <v>5</v>
      </c>
      <c r="D338" s="23" t="s">
        <v>222</v>
      </c>
      <c r="E338" s="23" t="s">
        <v>172</v>
      </c>
      <c r="F338" s="2" t="s">
        <v>22</v>
      </c>
      <c r="G338" s="2">
        <v>19</v>
      </c>
      <c r="H338" s="2" t="s">
        <v>39</v>
      </c>
      <c r="I338" s="2">
        <v>10</v>
      </c>
      <c r="J338" s="24">
        <v>5</v>
      </c>
      <c r="K338" s="25">
        <v>3</v>
      </c>
      <c r="L338" s="15">
        <f>IFERROR(VLOOKUP($D338&amp;$C338,生产方式定位!$A$2:$E$38,2,FALSE)+VLOOKUP($E338&amp;$C338,生产方式定位!$F$3:$J$38,2,FALSE),0)</f>
        <v>2275</v>
      </c>
      <c r="S338" s="15">
        <f>IFERROR(VLOOKUP($D338&amp;$C338,生产方式定位!$A$2:$E$38,3,FALSE)+VLOOKUP($E338&amp;$C338,生产方式定位!$F$3:$J$38,3,FALSE),0)</f>
        <v>100</v>
      </c>
      <c r="T338" s="2" t="s">
        <v>40</v>
      </c>
      <c r="U338" s="2">
        <v>1</v>
      </c>
      <c r="X338" s="15">
        <f>IFERROR(VLOOKUP($D338&amp;$C338,生产方式定位!$A$2:$E$38,5,FALSE)+VLOOKUP($E338&amp;$C338,生产方式定位!$F$3:$J$38,5,FALSE),"错误")</f>
        <v>3450</v>
      </c>
      <c r="Y338" s="26" t="str">
        <f t="shared" si="112"/>
        <v>泽洛*23,钢铁*10,运力*31,交易*18</v>
      </c>
      <c r="Z338" s="36" t="str">
        <f t="shared" si="113"/>
        <v/>
      </c>
      <c r="AA338" s="36" t="str">
        <f t="shared" si="114"/>
        <v>秘银*43</v>
      </c>
      <c r="AB338" s="27" t="str">
        <f t="shared" si="115"/>
        <v>52%</v>
      </c>
      <c r="AC338" s="2">
        <f t="shared" si="116"/>
        <v>1075</v>
      </c>
      <c r="AD338" s="38">
        <f t="shared" si="117"/>
        <v>5</v>
      </c>
      <c r="AE338" t="str">
        <f t="shared" si="118"/>
        <v>泽洛*23</v>
      </c>
      <c r="AF338" t="str">
        <f t="shared" si="119"/>
        <v>钢铁*10</v>
      </c>
      <c r="AG338" t="str">
        <f t="shared" si="120"/>
        <v/>
      </c>
      <c r="AH338" t="str">
        <f t="shared" si="121"/>
        <v/>
      </c>
      <c r="AI338" t="str">
        <f t="shared" si="122"/>
        <v/>
      </c>
      <c r="AJ338" t="str">
        <f t="shared" si="123"/>
        <v>秘银*43</v>
      </c>
      <c r="AK338" t="str">
        <f t="shared" si="124"/>
        <v/>
      </c>
      <c r="AL338">
        <f>IFERROR(ROUND(L338*(G338/$AU338)/VLOOKUP(F338,商品!$A$4:$B$60,2,FALSE),0),"")</f>
        <v>23</v>
      </c>
      <c r="AM338">
        <f>IFERROR(ROUND(L338*(I338/$AU338)/VLOOKUP(H338,商品!$A$4:$B$60,2,FALSE),0),"")</f>
        <v>10</v>
      </c>
      <c r="AN338">
        <f>IFERROR(ROUND(L338*(J338/$AU338)/VLOOKUP("运力",商品!$A$4:$B$60,2,FALSE),0),0)</f>
        <v>31</v>
      </c>
      <c r="AO338">
        <f>IFERROR(ROUND(L338*(K338/$AU338)/VLOOKUP("交易",商品!$A$4:$B$60,2,FALSE),0),0)</f>
        <v>18</v>
      </c>
      <c r="AP338" t="str">
        <f>IFERROR(ROUND(S338*(N338/$AV338)/VLOOKUP(M338,职业!$A$4:$G$16,4,FALSE),0),"")</f>
        <v/>
      </c>
      <c r="AQ338" t="str">
        <f>IFERROR(ROUND(S338*(P338/$AV338)/VLOOKUP(O338,职业!$A$4:$G$16,4,FALSE),0),"")</f>
        <v/>
      </c>
      <c r="AR338" t="str">
        <f>IFERROR(ROUND(S338*(R338/$AV338)/VLOOKUP(Q338,职业!$A$4:$G$16,4,FALSE),0),"")</f>
        <v/>
      </c>
      <c r="AS338">
        <f>IFERROR(ROUND(X338*(U338/$AW338)/VLOOKUP(T338,商品!$A$4:$B$60,2,FALSE),0),"")</f>
        <v>43</v>
      </c>
      <c r="AT338" t="str">
        <f>IFERROR(ROUND(X338*(W338/$AW338)/VLOOKUP(V338,商品!$A$4:$B$60,2,FALSE),0),"")</f>
        <v/>
      </c>
      <c r="AU338">
        <f t="shared" si="125"/>
        <v>37</v>
      </c>
      <c r="AV338">
        <f t="shared" si="126"/>
        <v>0</v>
      </c>
      <c r="AW338">
        <f t="shared" si="127"/>
        <v>1</v>
      </c>
    </row>
    <row r="339" spans="1:49" ht="19.95" customHeight="1" x14ac:dyDescent="0.25">
      <c r="A339" s="16" t="s">
        <v>518</v>
      </c>
      <c r="C339" s="16">
        <v>1</v>
      </c>
      <c r="D339" s="23" t="s">
        <v>174</v>
      </c>
      <c r="E339" s="23" t="s">
        <v>175</v>
      </c>
      <c r="L339" s="16">
        <f>IFERROR(VLOOKUP($D339&amp;$C339,生产方式定位!$A$2:$E$38,2,FALSE)+VLOOKUP($E339&amp;$C339,生产方式定位!$F$3:$J$38,2,FALSE),0)</f>
        <v>0</v>
      </c>
      <c r="S339" s="16">
        <f>IFERROR(VLOOKUP($D339&amp;$C339,生产方式定位!$A$2:$E$38,3,FALSE)+VLOOKUP($E339&amp;$C339,生产方式定位!$F$3:$J$38,3,FALSE),0)</f>
        <v>0</v>
      </c>
      <c r="X339" s="16">
        <f>IFERROR(VLOOKUP($D339&amp;$C339,生产方式定位!$A$2:$E$38,5,FALSE)+VLOOKUP($E339&amp;$C339,生产方式定位!$F$3:$J$38,5,FALSE),"错误")</f>
        <v>0</v>
      </c>
      <c r="Y339" s="26" t="str">
        <f t="shared" si="112"/>
        <v/>
      </c>
      <c r="Z339" s="36" t="str">
        <f t="shared" si="113"/>
        <v/>
      </c>
      <c r="AA339" s="36" t="str">
        <f t="shared" si="114"/>
        <v/>
      </c>
      <c r="AB339" s="27" t="str">
        <f t="shared" si="115"/>
        <v/>
      </c>
      <c r="AC339" s="2" t="str">
        <f t="shared" si="116"/>
        <v/>
      </c>
      <c r="AD339" s="38">
        <f t="shared" si="117"/>
        <v>1</v>
      </c>
      <c r="AE339" t="str">
        <f t="shared" si="118"/>
        <v/>
      </c>
      <c r="AF339" t="str">
        <f t="shared" si="119"/>
        <v/>
      </c>
      <c r="AG339" t="str">
        <f t="shared" si="120"/>
        <v/>
      </c>
      <c r="AH339" t="str">
        <f t="shared" si="121"/>
        <v/>
      </c>
      <c r="AI339" t="str">
        <f t="shared" si="122"/>
        <v/>
      </c>
      <c r="AJ339" t="str">
        <f t="shared" si="123"/>
        <v/>
      </c>
      <c r="AK339" t="str">
        <f t="shared" si="124"/>
        <v/>
      </c>
      <c r="AL339" t="str">
        <f>IFERROR(ROUND(L339*(G339/$AU339)/VLOOKUP(F339,商品!$A$4:$B$60,2,FALSE),0),"")</f>
        <v/>
      </c>
      <c r="AM339" t="str">
        <f>IFERROR(ROUND(L339*(I339/$AU339)/VLOOKUP(H339,商品!$A$4:$B$60,2,FALSE),0),"")</f>
        <v/>
      </c>
      <c r="AN339">
        <f>IFERROR(ROUND(L339*(J339/$AU339)/VLOOKUP("运力",商品!$A$4:$B$60,2,FALSE),0),0)</f>
        <v>0</v>
      </c>
      <c r="AO339">
        <f>IFERROR(ROUND(L339*(K339/$AU339)/VLOOKUP("交易",商品!$A$4:$B$60,2,FALSE),0),0)</f>
        <v>0</v>
      </c>
      <c r="AP339" t="str">
        <f>IFERROR(ROUND(S339*(N339/$AV339)/VLOOKUP(M339,职业!$A$4:$G$16,4,FALSE),0),"")</f>
        <v/>
      </c>
      <c r="AQ339" t="str">
        <f>IFERROR(ROUND(S339*(P339/$AV339)/VLOOKUP(O339,职业!$A$4:$G$16,4,FALSE),0),"")</f>
        <v/>
      </c>
      <c r="AR339" t="str">
        <f>IFERROR(ROUND(S339*(R339/$AV339)/VLOOKUP(Q339,职业!$A$4:$G$16,4,FALSE),0),"")</f>
        <v/>
      </c>
      <c r="AS339" t="str">
        <f>IFERROR(ROUND(X339*(U339/$AW339)/VLOOKUP(T339,商品!$A$4:$B$60,2,FALSE),0),"")</f>
        <v/>
      </c>
      <c r="AT339" t="str">
        <f>IFERROR(ROUND(X339*(W339/$AW339)/VLOOKUP(V339,商品!$A$4:$B$60,2,FALSE),0),"")</f>
        <v/>
      </c>
      <c r="AU339">
        <f t="shared" si="125"/>
        <v>0</v>
      </c>
      <c r="AV339">
        <f t="shared" si="126"/>
        <v>0</v>
      </c>
      <c r="AW339">
        <f t="shared" si="127"/>
        <v>0</v>
      </c>
    </row>
    <row r="340" spans="1:49" ht="19.95" customHeight="1" x14ac:dyDescent="0.25">
      <c r="A340" s="16" t="s">
        <v>518</v>
      </c>
      <c r="C340" s="16">
        <v>2</v>
      </c>
      <c r="D340" s="23" t="s">
        <v>174</v>
      </c>
      <c r="E340" s="23" t="s">
        <v>175</v>
      </c>
      <c r="F340" s="2" t="s">
        <v>41</v>
      </c>
      <c r="G340" s="2">
        <v>10</v>
      </c>
      <c r="L340" s="16">
        <f>IFERROR(VLOOKUP($D340&amp;$C340,生产方式定位!$A$2:$E$38,2,FALSE)+VLOOKUP($E340&amp;$C340,生产方式定位!$F$3:$J$38,2,FALSE),0)</f>
        <v>50</v>
      </c>
      <c r="S340" s="16">
        <f>IFERROR(VLOOKUP($D340&amp;$C340,生产方式定位!$A$2:$E$38,3,FALSE)+VLOOKUP($E340&amp;$C340,生产方式定位!$F$3:$J$38,3,FALSE),0)</f>
        <v>10</v>
      </c>
      <c r="X340" s="16">
        <f>IFERROR(VLOOKUP($D340&amp;$C340,生产方式定位!$A$2:$E$38,5,FALSE)+VLOOKUP($E340&amp;$C340,生产方式定位!$F$3:$J$38,5,FALSE),"错误")</f>
        <v>0</v>
      </c>
      <c r="Y340" s="26" t="str">
        <f t="shared" si="112"/>
        <v>工具*1</v>
      </c>
      <c r="Z340" s="36" t="str">
        <f t="shared" si="113"/>
        <v/>
      </c>
      <c r="AA340" s="36" t="str">
        <f t="shared" si="114"/>
        <v/>
      </c>
      <c r="AB340" s="27" t="str">
        <f t="shared" si="115"/>
        <v>-100%</v>
      </c>
      <c r="AC340" s="2">
        <f t="shared" si="116"/>
        <v>-60</v>
      </c>
      <c r="AD340" s="38">
        <f t="shared" si="117"/>
        <v>2</v>
      </c>
      <c r="AE340" t="str">
        <f t="shared" si="118"/>
        <v>工具*1</v>
      </c>
      <c r="AF340" t="str">
        <f t="shared" si="119"/>
        <v/>
      </c>
      <c r="AG340" t="str">
        <f t="shared" si="120"/>
        <v/>
      </c>
      <c r="AH340" t="str">
        <f t="shared" si="121"/>
        <v/>
      </c>
      <c r="AI340" t="str">
        <f t="shared" si="122"/>
        <v/>
      </c>
      <c r="AJ340" t="str">
        <f t="shared" si="123"/>
        <v/>
      </c>
      <c r="AK340" t="str">
        <f t="shared" si="124"/>
        <v/>
      </c>
      <c r="AL340">
        <f>IFERROR(ROUND(L340*(G340/$AU340)/VLOOKUP(F340,商品!$A$4:$B$60,2,FALSE),0),"")</f>
        <v>1</v>
      </c>
      <c r="AM340" t="str">
        <f>IFERROR(ROUND(L340*(I340/$AU340)/VLOOKUP(H340,商品!$A$4:$B$60,2,FALSE),0),"")</f>
        <v/>
      </c>
      <c r="AN340">
        <f>IFERROR(ROUND(L340*(J340/$AU340)/VLOOKUP("运力",商品!$A$4:$B$60,2,FALSE),0),0)</f>
        <v>0</v>
      </c>
      <c r="AO340">
        <f>IFERROR(ROUND(L340*(K340/$AU340)/VLOOKUP("交易",商品!$A$4:$B$60,2,FALSE),0),0)</f>
        <v>0</v>
      </c>
      <c r="AP340" t="str">
        <f>IFERROR(ROUND(S340*(N340/$AV340)/VLOOKUP(M340,职业!$A$4:$G$16,4,FALSE),0),"")</f>
        <v/>
      </c>
      <c r="AQ340" t="str">
        <f>IFERROR(ROUND(S340*(P340/$AV340)/VLOOKUP(O340,职业!$A$4:$G$16,4,FALSE),0),"")</f>
        <v/>
      </c>
      <c r="AR340" t="str">
        <f>IFERROR(ROUND(S340*(R340/$AV340)/VLOOKUP(Q340,职业!$A$4:$G$16,4,FALSE),0),"")</f>
        <v/>
      </c>
      <c r="AS340" t="str">
        <f>IFERROR(ROUND(X340*(U340/$AW340)/VLOOKUP(T340,商品!$A$4:$B$60,2,FALSE),0),"")</f>
        <v/>
      </c>
      <c r="AT340" t="str">
        <f>IFERROR(ROUND(X340*(W340/$AW340)/VLOOKUP(V340,商品!$A$4:$B$60,2,FALSE),0),"")</f>
        <v/>
      </c>
      <c r="AU340">
        <f t="shared" si="125"/>
        <v>10</v>
      </c>
      <c r="AV340">
        <f t="shared" si="126"/>
        <v>0</v>
      </c>
      <c r="AW340">
        <f t="shared" si="127"/>
        <v>0</v>
      </c>
    </row>
    <row r="341" spans="1:49" ht="19.95" customHeight="1" x14ac:dyDescent="0.25">
      <c r="A341" s="16" t="s">
        <v>518</v>
      </c>
      <c r="C341" s="16">
        <v>3</v>
      </c>
      <c r="D341" s="23" t="s">
        <v>174</v>
      </c>
      <c r="E341" s="23" t="s">
        <v>175</v>
      </c>
      <c r="F341" s="2" t="s">
        <v>41</v>
      </c>
      <c r="G341" s="2">
        <v>10</v>
      </c>
      <c r="L341" s="16">
        <f>IFERROR(VLOOKUP($D341&amp;$C341,生产方式定位!$A$2:$E$38,2,FALSE)+VLOOKUP($E341&amp;$C341,生产方式定位!$F$3:$J$38,2,FALSE),0)</f>
        <v>100</v>
      </c>
      <c r="S341" s="16">
        <f>IFERROR(VLOOKUP($D341&amp;$C341,生产方式定位!$A$2:$E$38,3,FALSE)+VLOOKUP($E341&amp;$C341,生产方式定位!$F$3:$J$38,3,FALSE),0)</f>
        <v>20</v>
      </c>
      <c r="X341" s="16">
        <f>IFERROR(VLOOKUP($D341&amp;$C341,生产方式定位!$A$2:$E$38,5,FALSE)+VLOOKUP($E341&amp;$C341,生产方式定位!$F$3:$J$38,5,FALSE),"错误")</f>
        <v>0</v>
      </c>
      <c r="Y341" s="26" t="str">
        <f t="shared" si="112"/>
        <v>工具*3</v>
      </c>
      <c r="Z341" s="36" t="str">
        <f t="shared" si="113"/>
        <v/>
      </c>
      <c r="AA341" s="36" t="str">
        <f t="shared" si="114"/>
        <v/>
      </c>
      <c r="AB341" s="27" t="str">
        <f t="shared" si="115"/>
        <v>-100%</v>
      </c>
      <c r="AC341" s="2">
        <f t="shared" si="116"/>
        <v>-120</v>
      </c>
      <c r="AD341" s="38">
        <f t="shared" si="117"/>
        <v>3</v>
      </c>
      <c r="AE341" t="str">
        <f t="shared" si="118"/>
        <v>工具*3</v>
      </c>
      <c r="AF341" t="str">
        <f t="shared" si="119"/>
        <v/>
      </c>
      <c r="AG341" t="str">
        <f t="shared" si="120"/>
        <v/>
      </c>
      <c r="AH341" t="str">
        <f t="shared" si="121"/>
        <v/>
      </c>
      <c r="AI341" t="str">
        <f t="shared" si="122"/>
        <v/>
      </c>
      <c r="AJ341" t="str">
        <f t="shared" si="123"/>
        <v/>
      </c>
      <c r="AK341" t="str">
        <f t="shared" si="124"/>
        <v/>
      </c>
      <c r="AL341">
        <f>IFERROR(ROUND(L341*(G341/$AU341)/VLOOKUP(F341,商品!$A$4:$B$60,2,FALSE),0),"")</f>
        <v>3</v>
      </c>
      <c r="AM341" t="str">
        <f>IFERROR(ROUND(L341*(I341/$AU341)/VLOOKUP(H341,商品!$A$4:$B$60,2,FALSE),0),"")</f>
        <v/>
      </c>
      <c r="AN341">
        <f>IFERROR(ROUND(L341*(J341/$AU341)/VLOOKUP("运力",商品!$A$4:$B$60,2,FALSE),0),0)</f>
        <v>0</v>
      </c>
      <c r="AO341">
        <f>IFERROR(ROUND(L341*(K341/$AU341)/VLOOKUP("交易",商品!$A$4:$B$60,2,FALSE),0),0)</f>
        <v>0</v>
      </c>
      <c r="AP341" t="str">
        <f>IFERROR(ROUND(S341*(N341/$AV341)/VLOOKUP(M341,职业!$A$4:$G$16,4,FALSE),0),"")</f>
        <v/>
      </c>
      <c r="AQ341" t="str">
        <f>IFERROR(ROUND(S341*(P341/$AV341)/VLOOKUP(O341,职业!$A$4:$G$16,4,FALSE),0),"")</f>
        <v/>
      </c>
      <c r="AR341" t="str">
        <f>IFERROR(ROUND(S341*(R341/$AV341)/VLOOKUP(Q341,职业!$A$4:$G$16,4,FALSE),0),"")</f>
        <v/>
      </c>
      <c r="AS341" t="str">
        <f>IFERROR(ROUND(X341*(U341/$AW341)/VLOOKUP(T341,商品!$A$4:$B$60,2,FALSE),0),"")</f>
        <v/>
      </c>
      <c r="AT341" t="str">
        <f>IFERROR(ROUND(X341*(W341/$AW341)/VLOOKUP(V341,商品!$A$4:$B$60,2,FALSE),0),"")</f>
        <v/>
      </c>
      <c r="AU341">
        <f t="shared" si="125"/>
        <v>10</v>
      </c>
      <c r="AV341">
        <f t="shared" si="126"/>
        <v>0</v>
      </c>
      <c r="AW341">
        <f t="shared" si="127"/>
        <v>0</v>
      </c>
    </row>
    <row r="342" spans="1:49" ht="19.95" customHeight="1" x14ac:dyDescent="0.25">
      <c r="A342" s="16" t="s">
        <v>518</v>
      </c>
      <c r="C342" s="16">
        <v>4</v>
      </c>
      <c r="D342" s="23" t="s">
        <v>174</v>
      </c>
      <c r="E342" s="23" t="s">
        <v>175</v>
      </c>
      <c r="F342" s="2" t="s">
        <v>45</v>
      </c>
      <c r="G342" s="2">
        <v>5</v>
      </c>
      <c r="H342" s="2" t="s">
        <v>19</v>
      </c>
      <c r="I342" s="2">
        <v>10</v>
      </c>
      <c r="L342" s="16">
        <f>IFERROR(VLOOKUP($D342&amp;$C342,生产方式定位!$A$2:$E$38,2,FALSE)+VLOOKUP($E342&amp;$C342,生产方式定位!$F$3:$J$38,2,FALSE),0)</f>
        <v>150</v>
      </c>
      <c r="S342" s="16">
        <f>IFERROR(VLOOKUP($D342&amp;$C342,生产方式定位!$A$2:$E$38,3,FALSE)+VLOOKUP($E342&amp;$C342,生产方式定位!$F$3:$J$38,3,FALSE),0)</f>
        <v>30</v>
      </c>
      <c r="X342" s="16">
        <f>IFERROR(VLOOKUP($D342&amp;$C342,生产方式定位!$A$2:$E$38,5,FALSE)+VLOOKUP($E342&amp;$C342,生产方式定位!$F$3:$J$38,5,FALSE),"错误")</f>
        <v>0</v>
      </c>
      <c r="Y342" s="26" t="str">
        <f t="shared" si="112"/>
        <v>科学引擎*1,煤*3</v>
      </c>
      <c r="Z342" s="36" t="str">
        <f t="shared" si="113"/>
        <v/>
      </c>
      <c r="AA342" s="36" t="str">
        <f t="shared" si="114"/>
        <v/>
      </c>
      <c r="AB342" s="27" t="str">
        <f t="shared" si="115"/>
        <v>-100%</v>
      </c>
      <c r="AC342" s="2">
        <f t="shared" si="116"/>
        <v>-180</v>
      </c>
      <c r="AD342" s="38">
        <f t="shared" si="117"/>
        <v>4</v>
      </c>
      <c r="AE342" t="str">
        <f t="shared" si="118"/>
        <v>科学引擎*1</v>
      </c>
      <c r="AF342" t="str">
        <f t="shared" si="119"/>
        <v>煤*3</v>
      </c>
      <c r="AG342" t="str">
        <f t="shared" si="120"/>
        <v/>
      </c>
      <c r="AH342" t="str">
        <f t="shared" si="121"/>
        <v/>
      </c>
      <c r="AI342" t="str">
        <f t="shared" si="122"/>
        <v/>
      </c>
      <c r="AJ342" t="str">
        <f t="shared" si="123"/>
        <v/>
      </c>
      <c r="AK342" t="str">
        <f t="shared" si="124"/>
        <v/>
      </c>
      <c r="AL342">
        <f>IFERROR(ROUND(L342*(G342/$AU342)/VLOOKUP(F342,商品!$A$4:$B$60,2,FALSE),0),"")</f>
        <v>1</v>
      </c>
      <c r="AM342">
        <f>IFERROR(ROUND(L342*(I342/$AU342)/VLOOKUP(H342,商品!$A$4:$B$60,2,FALSE),0),"")</f>
        <v>3</v>
      </c>
      <c r="AN342">
        <f>IFERROR(ROUND(L342*(J342/$AU342)/VLOOKUP("运力",商品!$A$4:$B$60,2,FALSE),0),0)</f>
        <v>0</v>
      </c>
      <c r="AO342">
        <f>IFERROR(ROUND(L342*(K342/$AU342)/VLOOKUP("交易",商品!$A$4:$B$60,2,FALSE),0),0)</f>
        <v>0</v>
      </c>
      <c r="AP342" t="str">
        <f>IFERROR(ROUND(S342*(N342/$AV342)/VLOOKUP(M342,职业!$A$4:$G$16,4,FALSE),0),"")</f>
        <v/>
      </c>
      <c r="AQ342" t="str">
        <f>IFERROR(ROUND(S342*(P342/$AV342)/VLOOKUP(O342,职业!$A$4:$G$16,4,FALSE),0),"")</f>
        <v/>
      </c>
      <c r="AR342" t="str">
        <f>IFERROR(ROUND(S342*(R342/$AV342)/VLOOKUP(Q342,职业!$A$4:$G$16,4,FALSE),0),"")</f>
        <v/>
      </c>
      <c r="AS342" t="str">
        <f>IFERROR(ROUND(X342*(U342/$AW342)/VLOOKUP(T342,商品!$A$4:$B$60,2,FALSE),0),"")</f>
        <v/>
      </c>
      <c r="AT342" t="str">
        <f>IFERROR(ROUND(X342*(W342/$AW342)/VLOOKUP(V342,商品!$A$4:$B$60,2,FALSE),0),"")</f>
        <v/>
      </c>
      <c r="AU342">
        <f t="shared" si="125"/>
        <v>15</v>
      </c>
      <c r="AV342">
        <f t="shared" si="126"/>
        <v>0</v>
      </c>
      <c r="AW342">
        <f t="shared" si="127"/>
        <v>0</v>
      </c>
    </row>
    <row r="343" spans="1:49" ht="19.95" customHeight="1" x14ac:dyDescent="0.25">
      <c r="A343" s="16" t="s">
        <v>518</v>
      </c>
      <c r="C343" s="16">
        <v>5</v>
      </c>
      <c r="D343" s="23" t="s">
        <v>174</v>
      </c>
      <c r="E343" s="23" t="s">
        <v>175</v>
      </c>
      <c r="F343" s="2" t="s">
        <v>46</v>
      </c>
      <c r="G343" s="2">
        <v>5</v>
      </c>
      <c r="H343" s="2" t="s">
        <v>19</v>
      </c>
      <c r="I343" s="2">
        <v>10</v>
      </c>
      <c r="L343" s="16">
        <f>IFERROR(VLOOKUP($D343&amp;$C343,生产方式定位!$A$2:$E$38,2,FALSE)+VLOOKUP($E343&amp;$C343,生产方式定位!$F$3:$J$38,2,FALSE),0)</f>
        <v>200</v>
      </c>
      <c r="S343" s="16">
        <f>IFERROR(VLOOKUP($D343&amp;$C343,生产方式定位!$A$2:$E$38,3,FALSE)+VLOOKUP($E343&amp;$C343,生产方式定位!$F$3:$J$38,3,FALSE),0)</f>
        <v>40</v>
      </c>
      <c r="X343" s="16">
        <f>IFERROR(VLOOKUP($D343&amp;$C343,生产方式定位!$A$2:$E$38,5,FALSE)+VLOOKUP($E343&amp;$C343,生产方式定位!$F$3:$J$38,5,FALSE),"错误")</f>
        <v>0</v>
      </c>
      <c r="Y343" s="26" t="str">
        <f t="shared" si="112"/>
        <v>魔导引擎*1,煤*4</v>
      </c>
      <c r="Z343" s="36" t="str">
        <f t="shared" si="113"/>
        <v/>
      </c>
      <c r="AA343" s="36" t="str">
        <f t="shared" si="114"/>
        <v/>
      </c>
      <c r="AB343" s="27" t="str">
        <f t="shared" si="115"/>
        <v>-100%</v>
      </c>
      <c r="AC343" s="2">
        <f t="shared" si="116"/>
        <v>-240</v>
      </c>
      <c r="AD343" s="38">
        <f t="shared" si="117"/>
        <v>5</v>
      </c>
      <c r="AE343" t="str">
        <f t="shared" si="118"/>
        <v>魔导引擎*1</v>
      </c>
      <c r="AF343" t="str">
        <f t="shared" si="119"/>
        <v>煤*4</v>
      </c>
      <c r="AG343" t="str">
        <f t="shared" si="120"/>
        <v/>
      </c>
      <c r="AH343" t="str">
        <f t="shared" si="121"/>
        <v/>
      </c>
      <c r="AI343" t="str">
        <f t="shared" si="122"/>
        <v/>
      </c>
      <c r="AJ343" t="str">
        <f t="shared" si="123"/>
        <v/>
      </c>
      <c r="AK343" t="str">
        <f t="shared" si="124"/>
        <v/>
      </c>
      <c r="AL343">
        <f>IFERROR(ROUND(L343*(G343/$AU343)/VLOOKUP(F343,商品!$A$4:$B$60,2,FALSE),0),"")</f>
        <v>1</v>
      </c>
      <c r="AM343">
        <f>IFERROR(ROUND(L343*(I343/$AU343)/VLOOKUP(H343,商品!$A$4:$B$60,2,FALSE),0),"")</f>
        <v>4</v>
      </c>
      <c r="AN343">
        <f>IFERROR(ROUND(L343*(J343/$AU343)/VLOOKUP("运力",商品!$A$4:$B$60,2,FALSE),0),0)</f>
        <v>0</v>
      </c>
      <c r="AO343">
        <f>IFERROR(ROUND(L343*(K343/$AU343)/VLOOKUP("交易",商品!$A$4:$B$60,2,FALSE),0),0)</f>
        <v>0</v>
      </c>
      <c r="AP343" t="str">
        <f>IFERROR(ROUND(S343*(N343/$AV343)/VLOOKUP(M343,职业!$A$4:$G$16,4,FALSE),0),"")</f>
        <v/>
      </c>
      <c r="AQ343" t="str">
        <f>IFERROR(ROUND(S343*(P343/$AV343)/VLOOKUP(O343,职业!$A$4:$G$16,4,FALSE),0),"")</f>
        <v/>
      </c>
      <c r="AR343" t="str">
        <f>IFERROR(ROUND(S343*(R343/$AV343)/VLOOKUP(Q343,职业!$A$4:$G$16,4,FALSE),0),"")</f>
        <v/>
      </c>
      <c r="AS343" t="str">
        <f>IFERROR(ROUND(X343*(U343/$AW343)/VLOOKUP(T343,商品!$A$4:$B$60,2,FALSE),0),"")</f>
        <v/>
      </c>
      <c r="AT343" t="str">
        <f>IFERROR(ROUND(X343*(W343/$AW343)/VLOOKUP(V343,商品!$A$4:$B$60,2,FALSE),0),"")</f>
        <v/>
      </c>
      <c r="AU343">
        <f t="shared" si="125"/>
        <v>15</v>
      </c>
      <c r="AV343">
        <f t="shared" si="126"/>
        <v>0</v>
      </c>
      <c r="AW343">
        <f t="shared" si="127"/>
        <v>0</v>
      </c>
    </row>
    <row r="344" spans="1:49" ht="19.95" customHeight="1" x14ac:dyDescent="0.25">
      <c r="A344" s="15" t="s">
        <v>518</v>
      </c>
      <c r="C344" s="15">
        <v>1</v>
      </c>
      <c r="D344" s="23" t="s">
        <v>174</v>
      </c>
      <c r="E344" s="23" t="s">
        <v>177</v>
      </c>
      <c r="L344" s="15">
        <f>IFERROR(VLOOKUP($D344&amp;$C344,生产方式定位!$A$2:$E$38,2,FALSE)+VLOOKUP($E344&amp;$C344,生产方式定位!$F$3:$J$38,2,FALSE),0)</f>
        <v>0</v>
      </c>
      <c r="S344" s="15">
        <f>IFERROR(VLOOKUP($D344&amp;$C344,生产方式定位!$A$2:$E$38,3,FALSE)+VLOOKUP($E344&amp;$C344,生产方式定位!$F$3:$J$38,3,FALSE),0)</f>
        <v>0</v>
      </c>
      <c r="X344" s="15">
        <f>IFERROR(VLOOKUP($D344&amp;$C344,生产方式定位!$A$2:$E$38,5,FALSE)+VLOOKUP($E344&amp;$C344,生产方式定位!$F$3:$J$38,5,FALSE),"错误")</f>
        <v>0</v>
      </c>
      <c r="Y344" s="26" t="str">
        <f t="shared" si="112"/>
        <v/>
      </c>
      <c r="Z344" s="36" t="str">
        <f t="shared" si="113"/>
        <v/>
      </c>
      <c r="AA344" s="36" t="str">
        <f t="shared" si="114"/>
        <v/>
      </c>
      <c r="AB344" s="27" t="str">
        <f t="shared" si="115"/>
        <v/>
      </c>
      <c r="AC344" s="2" t="str">
        <f t="shared" si="116"/>
        <v/>
      </c>
      <c r="AD344" s="37">
        <f t="shared" si="117"/>
        <v>1</v>
      </c>
      <c r="AE344" t="str">
        <f t="shared" si="118"/>
        <v/>
      </c>
      <c r="AF344" t="str">
        <f t="shared" si="119"/>
        <v/>
      </c>
      <c r="AG344" t="str">
        <f t="shared" si="120"/>
        <v/>
      </c>
      <c r="AH344" t="str">
        <f t="shared" si="121"/>
        <v/>
      </c>
      <c r="AI344" t="str">
        <f t="shared" si="122"/>
        <v/>
      </c>
      <c r="AJ344" t="str">
        <f t="shared" si="123"/>
        <v/>
      </c>
      <c r="AK344" t="str">
        <f t="shared" si="124"/>
        <v/>
      </c>
      <c r="AL344" t="str">
        <f>IFERROR(ROUND(L344*(G344/$AU344)/VLOOKUP(F344,商品!$A$4:$B$60,2,FALSE),0),"")</f>
        <v/>
      </c>
      <c r="AM344" t="str">
        <f>IFERROR(ROUND(L344*(I344/$AU344)/VLOOKUP(H344,商品!$A$4:$B$60,2,FALSE),0),"")</f>
        <v/>
      </c>
      <c r="AN344">
        <f>IFERROR(ROUND(L344*(J344/$AU344)/VLOOKUP("运力",商品!$A$4:$B$60,2,FALSE),0),0)</f>
        <v>0</v>
      </c>
      <c r="AO344">
        <f>IFERROR(ROUND(L344*(K344/$AU344)/VLOOKUP("交易",商品!$A$4:$B$60,2,FALSE),0),0)</f>
        <v>0</v>
      </c>
      <c r="AP344" t="str">
        <f>IFERROR(ROUND(S344*(N344/$AV344)/VLOOKUP(M344,职业!$A$4:$G$16,4,FALSE),0),"")</f>
        <v/>
      </c>
      <c r="AQ344" t="str">
        <f>IFERROR(ROUND(S344*(P344/$AV344)/VLOOKUP(O344,职业!$A$4:$G$16,4,FALSE),0),"")</f>
        <v/>
      </c>
      <c r="AR344" t="str">
        <f>IFERROR(ROUND(S344*(R344/$AV344)/VLOOKUP(Q344,职业!$A$4:$G$16,4,FALSE),0),"")</f>
        <v/>
      </c>
      <c r="AS344" t="str">
        <f>IFERROR(ROUND(X344*(U344/$AW344)/VLOOKUP(T344,商品!$A$4:$B$60,2,FALSE),0),"")</f>
        <v/>
      </c>
      <c r="AT344" t="str">
        <f>IFERROR(ROUND(X344*(W344/$AW344)/VLOOKUP(V344,商品!$A$4:$B$60,2,FALSE),0),"")</f>
        <v/>
      </c>
      <c r="AU344">
        <f t="shared" si="125"/>
        <v>0</v>
      </c>
      <c r="AV344">
        <f t="shared" si="126"/>
        <v>0</v>
      </c>
      <c r="AW344">
        <f t="shared" si="127"/>
        <v>0</v>
      </c>
    </row>
    <row r="345" spans="1:49" ht="19.95" customHeight="1" x14ac:dyDescent="0.25">
      <c r="A345" s="15" t="s">
        <v>518</v>
      </c>
      <c r="C345" s="15">
        <v>2</v>
      </c>
      <c r="D345" s="23" t="s">
        <v>174</v>
      </c>
      <c r="E345" s="23" t="s">
        <v>177</v>
      </c>
      <c r="F345" s="2" t="s">
        <v>42</v>
      </c>
      <c r="G345" s="2">
        <v>5</v>
      </c>
      <c r="H345" s="2" t="s">
        <v>20</v>
      </c>
      <c r="I345" s="2">
        <v>10</v>
      </c>
      <c r="L345" s="15">
        <f>IFERROR(VLOOKUP($D345&amp;$C345,生产方式定位!$A$2:$E$38,2,FALSE)+VLOOKUP($E345&amp;$C345,生产方式定位!$F$3:$J$38,2,FALSE),0)</f>
        <v>105</v>
      </c>
      <c r="S345" s="15">
        <f>IFERROR(VLOOKUP($D345&amp;$C345,生产方式定位!$A$2:$E$38,3,FALSE)+VLOOKUP($E345&amp;$C345,生产方式定位!$F$3:$J$38,3,FALSE),0)</f>
        <v>15</v>
      </c>
      <c r="X345" s="15">
        <f>IFERROR(VLOOKUP($D345&amp;$C345,生产方式定位!$A$2:$E$38,5,FALSE)+VLOOKUP($E345&amp;$C345,生产方式定位!$F$3:$J$38,5,FALSE),"错误")</f>
        <v>0</v>
      </c>
      <c r="Y345" s="26" t="str">
        <f t="shared" si="112"/>
        <v>魔偶*1,灵能水晶*2</v>
      </c>
      <c r="Z345" s="36" t="str">
        <f t="shared" si="113"/>
        <v/>
      </c>
      <c r="AA345" s="36" t="str">
        <f t="shared" si="114"/>
        <v/>
      </c>
      <c r="AB345" s="27" t="str">
        <f t="shared" si="115"/>
        <v>-100%</v>
      </c>
      <c r="AC345" s="2">
        <f t="shared" si="116"/>
        <v>-120</v>
      </c>
      <c r="AD345" s="37">
        <f t="shared" si="117"/>
        <v>2</v>
      </c>
      <c r="AE345" t="str">
        <f t="shared" si="118"/>
        <v>魔偶*1</v>
      </c>
      <c r="AF345" t="str">
        <f t="shared" si="119"/>
        <v>灵能水晶*2</v>
      </c>
      <c r="AG345" t="str">
        <f t="shared" si="120"/>
        <v/>
      </c>
      <c r="AH345" t="str">
        <f t="shared" si="121"/>
        <v/>
      </c>
      <c r="AI345" t="str">
        <f t="shared" si="122"/>
        <v/>
      </c>
      <c r="AJ345" t="str">
        <f t="shared" si="123"/>
        <v/>
      </c>
      <c r="AK345" t="str">
        <f t="shared" si="124"/>
        <v/>
      </c>
      <c r="AL345">
        <f>IFERROR(ROUND(L345*(G345/$AU345)/VLOOKUP(F345,商品!$A$4:$B$60,2,FALSE),0),"")</f>
        <v>1</v>
      </c>
      <c r="AM345">
        <f>IFERROR(ROUND(L345*(I345/$AU345)/VLOOKUP(H345,商品!$A$4:$B$60,2,FALSE),0),"")</f>
        <v>2</v>
      </c>
      <c r="AN345">
        <f>IFERROR(ROUND(L345*(J345/$AU345)/VLOOKUP("运力",商品!$A$4:$B$60,2,FALSE),0),0)</f>
        <v>0</v>
      </c>
      <c r="AO345">
        <f>IFERROR(ROUND(L345*(K345/$AU345)/VLOOKUP("交易",商品!$A$4:$B$60,2,FALSE),0),0)</f>
        <v>0</v>
      </c>
      <c r="AP345" t="str">
        <f>IFERROR(ROUND(S345*(N345/$AV345)/VLOOKUP(M345,职业!$A$4:$G$16,4,FALSE),0),"")</f>
        <v/>
      </c>
      <c r="AQ345" t="str">
        <f>IFERROR(ROUND(S345*(P345/$AV345)/VLOOKUP(O345,职业!$A$4:$G$16,4,FALSE),0),"")</f>
        <v/>
      </c>
      <c r="AR345" t="str">
        <f>IFERROR(ROUND(S345*(R345/$AV345)/VLOOKUP(Q345,职业!$A$4:$G$16,4,FALSE),0),"")</f>
        <v/>
      </c>
      <c r="AS345" t="str">
        <f>IFERROR(ROUND(X345*(U345/$AW345)/VLOOKUP(T345,商品!$A$4:$B$60,2,FALSE),0),"")</f>
        <v/>
      </c>
      <c r="AT345" t="str">
        <f>IFERROR(ROUND(X345*(W345/$AW345)/VLOOKUP(V345,商品!$A$4:$B$60,2,FALSE),0),"")</f>
        <v/>
      </c>
      <c r="AU345">
        <f t="shared" si="125"/>
        <v>15</v>
      </c>
      <c r="AV345">
        <f t="shared" si="126"/>
        <v>0</v>
      </c>
      <c r="AW345">
        <f t="shared" si="127"/>
        <v>0</v>
      </c>
    </row>
    <row r="346" spans="1:49" ht="19.95" customHeight="1" x14ac:dyDescent="0.25">
      <c r="A346" s="15" t="s">
        <v>518</v>
      </c>
      <c r="C346" s="15">
        <v>3</v>
      </c>
      <c r="D346" s="23" t="s">
        <v>174</v>
      </c>
      <c r="E346" s="23" t="s">
        <v>177</v>
      </c>
      <c r="F346" s="2" t="s">
        <v>42</v>
      </c>
      <c r="G346" s="2">
        <v>5</v>
      </c>
      <c r="H346" s="2" t="s">
        <v>20</v>
      </c>
      <c r="I346" s="2">
        <v>10</v>
      </c>
      <c r="L346" s="15">
        <f>IFERROR(VLOOKUP($D346&amp;$C346,生产方式定位!$A$2:$E$38,2,FALSE)+VLOOKUP($E346&amp;$C346,生产方式定位!$F$3:$J$38,2,FALSE),0)</f>
        <v>210</v>
      </c>
      <c r="S346" s="15">
        <f>IFERROR(VLOOKUP($D346&amp;$C346,生产方式定位!$A$2:$E$38,3,FALSE)+VLOOKUP($E346&amp;$C346,生产方式定位!$F$3:$J$38,3,FALSE),0)</f>
        <v>30</v>
      </c>
      <c r="X346" s="15">
        <f>IFERROR(VLOOKUP($D346&amp;$C346,生产方式定位!$A$2:$E$38,5,FALSE)+VLOOKUP($E346&amp;$C346,生产方式定位!$F$3:$J$38,5,FALSE),"错误")</f>
        <v>0</v>
      </c>
      <c r="Y346" s="26" t="str">
        <f t="shared" si="112"/>
        <v>魔偶*2,灵能水晶*5</v>
      </c>
      <c r="Z346" s="36" t="str">
        <f t="shared" si="113"/>
        <v/>
      </c>
      <c r="AA346" s="36" t="str">
        <f t="shared" si="114"/>
        <v/>
      </c>
      <c r="AB346" s="27" t="str">
        <f t="shared" si="115"/>
        <v>-100%</v>
      </c>
      <c r="AC346" s="2">
        <f t="shared" si="116"/>
        <v>-240</v>
      </c>
      <c r="AD346" s="37">
        <f t="shared" si="117"/>
        <v>3</v>
      </c>
      <c r="AE346" t="str">
        <f t="shared" si="118"/>
        <v>魔偶*2</v>
      </c>
      <c r="AF346" t="str">
        <f t="shared" si="119"/>
        <v>灵能水晶*5</v>
      </c>
      <c r="AG346" t="str">
        <f t="shared" si="120"/>
        <v/>
      </c>
      <c r="AH346" t="str">
        <f t="shared" si="121"/>
        <v/>
      </c>
      <c r="AI346" t="str">
        <f t="shared" si="122"/>
        <v/>
      </c>
      <c r="AJ346" t="str">
        <f t="shared" si="123"/>
        <v/>
      </c>
      <c r="AK346" t="str">
        <f t="shared" si="124"/>
        <v/>
      </c>
      <c r="AL346">
        <f>IFERROR(ROUND(L346*(G346/$AU346)/VLOOKUP(F346,商品!$A$4:$B$60,2,FALSE),0),"")</f>
        <v>2</v>
      </c>
      <c r="AM346">
        <f>IFERROR(ROUND(L346*(I346/$AU346)/VLOOKUP(H346,商品!$A$4:$B$60,2,FALSE),0),"")</f>
        <v>5</v>
      </c>
      <c r="AN346">
        <f>IFERROR(ROUND(L346*(J346/$AU346)/VLOOKUP("运力",商品!$A$4:$B$60,2,FALSE),0),0)</f>
        <v>0</v>
      </c>
      <c r="AO346">
        <f>IFERROR(ROUND(L346*(K346/$AU346)/VLOOKUP("交易",商品!$A$4:$B$60,2,FALSE),0),0)</f>
        <v>0</v>
      </c>
      <c r="AP346" t="str">
        <f>IFERROR(ROUND(S346*(N346/$AV346)/VLOOKUP(M346,职业!$A$4:$G$16,4,FALSE),0),"")</f>
        <v/>
      </c>
      <c r="AQ346" t="str">
        <f>IFERROR(ROUND(S346*(P346/$AV346)/VLOOKUP(O346,职业!$A$4:$G$16,4,FALSE),0),"")</f>
        <v/>
      </c>
      <c r="AR346" t="str">
        <f>IFERROR(ROUND(S346*(R346/$AV346)/VLOOKUP(Q346,职业!$A$4:$G$16,4,FALSE),0),"")</f>
        <v/>
      </c>
      <c r="AS346" t="str">
        <f>IFERROR(ROUND(X346*(U346/$AW346)/VLOOKUP(T346,商品!$A$4:$B$60,2,FALSE),0),"")</f>
        <v/>
      </c>
      <c r="AT346" t="str">
        <f>IFERROR(ROUND(X346*(W346/$AW346)/VLOOKUP(V346,商品!$A$4:$B$60,2,FALSE),0),"")</f>
        <v/>
      </c>
      <c r="AU346">
        <f t="shared" si="125"/>
        <v>15</v>
      </c>
      <c r="AV346">
        <f t="shared" si="126"/>
        <v>0</v>
      </c>
      <c r="AW346">
        <f t="shared" si="127"/>
        <v>0</v>
      </c>
    </row>
    <row r="347" spans="1:49" ht="19.95" customHeight="1" x14ac:dyDescent="0.25">
      <c r="A347" s="15" t="s">
        <v>518</v>
      </c>
      <c r="C347" s="15">
        <v>4</v>
      </c>
      <c r="D347" s="23" t="s">
        <v>174</v>
      </c>
      <c r="E347" s="23" t="s">
        <v>177</v>
      </c>
      <c r="F347" s="2" t="s">
        <v>42</v>
      </c>
      <c r="G347" s="2">
        <v>5</v>
      </c>
      <c r="H347" s="2" t="s">
        <v>20</v>
      </c>
      <c r="I347" s="2">
        <v>10</v>
      </c>
      <c r="L347" s="15">
        <f>IFERROR(VLOOKUP($D347&amp;$C347,生产方式定位!$A$2:$E$38,2,FALSE)+VLOOKUP($E347&amp;$C347,生产方式定位!$F$3:$J$38,2,FALSE),0)</f>
        <v>315</v>
      </c>
      <c r="S347" s="15">
        <f>IFERROR(VLOOKUP($D347&amp;$C347,生产方式定位!$A$2:$E$38,3,FALSE)+VLOOKUP($E347&amp;$C347,生产方式定位!$F$3:$J$38,3,FALSE),0)</f>
        <v>45</v>
      </c>
      <c r="X347" s="15">
        <f>IFERROR(VLOOKUP($D347&amp;$C347,生产方式定位!$A$2:$E$38,5,FALSE)+VLOOKUP($E347&amp;$C347,生产方式定位!$F$3:$J$38,5,FALSE),"错误")</f>
        <v>0</v>
      </c>
      <c r="Y347" s="26" t="str">
        <f t="shared" si="112"/>
        <v>魔偶*3,灵能水晶*7</v>
      </c>
      <c r="Z347" s="36" t="str">
        <f t="shared" si="113"/>
        <v/>
      </c>
      <c r="AA347" s="36" t="str">
        <f t="shared" si="114"/>
        <v/>
      </c>
      <c r="AB347" s="27" t="str">
        <f t="shared" si="115"/>
        <v>-100%</v>
      </c>
      <c r="AC347" s="2">
        <f t="shared" si="116"/>
        <v>-360</v>
      </c>
      <c r="AD347" s="37">
        <f t="shared" si="117"/>
        <v>4</v>
      </c>
      <c r="AE347" t="str">
        <f t="shared" si="118"/>
        <v>魔偶*3</v>
      </c>
      <c r="AF347" t="str">
        <f t="shared" si="119"/>
        <v>灵能水晶*7</v>
      </c>
      <c r="AG347" t="str">
        <f t="shared" si="120"/>
        <v/>
      </c>
      <c r="AH347" t="str">
        <f t="shared" si="121"/>
        <v/>
      </c>
      <c r="AI347" t="str">
        <f t="shared" si="122"/>
        <v/>
      </c>
      <c r="AJ347" t="str">
        <f t="shared" si="123"/>
        <v/>
      </c>
      <c r="AK347" t="str">
        <f t="shared" si="124"/>
        <v/>
      </c>
      <c r="AL347">
        <f>IFERROR(ROUND(L347*(G347/$AU347)/VLOOKUP(F347,商品!$A$4:$B$60,2,FALSE),0),"")</f>
        <v>3</v>
      </c>
      <c r="AM347">
        <f>IFERROR(ROUND(L347*(I347/$AU347)/VLOOKUP(H347,商品!$A$4:$B$60,2,FALSE),0),"")</f>
        <v>7</v>
      </c>
      <c r="AN347">
        <f>IFERROR(ROUND(L347*(J347/$AU347)/VLOOKUP("运力",商品!$A$4:$B$60,2,FALSE),0),0)</f>
        <v>0</v>
      </c>
      <c r="AO347">
        <f>IFERROR(ROUND(L347*(K347/$AU347)/VLOOKUP("交易",商品!$A$4:$B$60,2,FALSE),0),0)</f>
        <v>0</v>
      </c>
      <c r="AP347" t="str">
        <f>IFERROR(ROUND(S347*(N347/$AV347)/VLOOKUP(M347,职业!$A$4:$G$16,4,FALSE),0),"")</f>
        <v/>
      </c>
      <c r="AQ347" t="str">
        <f>IFERROR(ROUND(S347*(P347/$AV347)/VLOOKUP(O347,职业!$A$4:$G$16,4,FALSE),0),"")</f>
        <v/>
      </c>
      <c r="AR347" t="str">
        <f>IFERROR(ROUND(S347*(R347/$AV347)/VLOOKUP(Q347,职业!$A$4:$G$16,4,FALSE),0),"")</f>
        <v/>
      </c>
      <c r="AS347" t="str">
        <f>IFERROR(ROUND(X347*(U347/$AW347)/VLOOKUP(T347,商品!$A$4:$B$60,2,FALSE),0),"")</f>
        <v/>
      </c>
      <c r="AT347" t="str">
        <f>IFERROR(ROUND(X347*(W347/$AW347)/VLOOKUP(V347,商品!$A$4:$B$60,2,FALSE),0),"")</f>
        <v/>
      </c>
      <c r="AU347">
        <f t="shared" si="125"/>
        <v>15</v>
      </c>
      <c r="AV347">
        <f t="shared" si="126"/>
        <v>0</v>
      </c>
      <c r="AW347">
        <f t="shared" si="127"/>
        <v>0</v>
      </c>
    </row>
    <row r="348" spans="1:49" ht="19.95" customHeight="1" x14ac:dyDescent="0.25">
      <c r="A348" s="15" t="s">
        <v>518</v>
      </c>
      <c r="C348" s="15">
        <v>5</v>
      </c>
      <c r="D348" s="23" t="s">
        <v>174</v>
      </c>
      <c r="E348" s="23" t="s">
        <v>177</v>
      </c>
      <c r="F348" s="2" t="s">
        <v>42</v>
      </c>
      <c r="G348" s="2">
        <v>5</v>
      </c>
      <c r="H348" s="2" t="s">
        <v>20</v>
      </c>
      <c r="I348" s="2">
        <v>10</v>
      </c>
      <c r="L348" s="15">
        <f>IFERROR(VLOOKUP($D348&amp;$C348,生产方式定位!$A$2:$E$38,2,FALSE)+VLOOKUP($E348&amp;$C348,生产方式定位!$F$3:$J$38,2,FALSE),0)</f>
        <v>420</v>
      </c>
      <c r="S348" s="15">
        <f>IFERROR(VLOOKUP($D348&amp;$C348,生产方式定位!$A$2:$E$38,3,FALSE)+VLOOKUP($E348&amp;$C348,生产方式定位!$F$3:$J$38,3,FALSE),0)</f>
        <v>60</v>
      </c>
      <c r="X348" s="15">
        <f>IFERROR(VLOOKUP($D348&amp;$C348,生产方式定位!$A$2:$E$38,5,FALSE)+VLOOKUP($E348&amp;$C348,生产方式定位!$F$3:$J$38,5,FALSE),"错误")</f>
        <v>0</v>
      </c>
      <c r="Y348" s="26" t="str">
        <f t="shared" si="112"/>
        <v>魔偶*4,灵能水晶*9</v>
      </c>
      <c r="Z348" s="36" t="str">
        <f t="shared" si="113"/>
        <v/>
      </c>
      <c r="AA348" s="36" t="str">
        <f t="shared" si="114"/>
        <v/>
      </c>
      <c r="AB348" s="27" t="str">
        <f t="shared" si="115"/>
        <v>-100%</v>
      </c>
      <c r="AC348" s="2">
        <f t="shared" si="116"/>
        <v>-480</v>
      </c>
      <c r="AD348" s="37">
        <f t="shared" si="117"/>
        <v>5</v>
      </c>
      <c r="AE348" t="str">
        <f t="shared" si="118"/>
        <v>魔偶*4</v>
      </c>
      <c r="AF348" t="str">
        <f t="shared" si="119"/>
        <v>灵能水晶*9</v>
      </c>
      <c r="AG348" t="str">
        <f t="shared" si="120"/>
        <v/>
      </c>
      <c r="AH348" t="str">
        <f t="shared" si="121"/>
        <v/>
      </c>
      <c r="AI348" t="str">
        <f t="shared" si="122"/>
        <v/>
      </c>
      <c r="AJ348" t="str">
        <f t="shared" si="123"/>
        <v/>
      </c>
      <c r="AK348" t="str">
        <f t="shared" si="124"/>
        <v/>
      </c>
      <c r="AL348">
        <f>IFERROR(ROUND(L348*(G348/$AU348)/VLOOKUP(F348,商品!$A$4:$B$60,2,FALSE),0),"")</f>
        <v>4</v>
      </c>
      <c r="AM348">
        <f>IFERROR(ROUND(L348*(I348/$AU348)/VLOOKUP(H348,商品!$A$4:$B$60,2,FALSE),0),"")</f>
        <v>9</v>
      </c>
      <c r="AN348">
        <f>IFERROR(ROUND(L348*(J348/$AU348)/VLOOKUP("运力",商品!$A$4:$B$60,2,FALSE),0),0)</f>
        <v>0</v>
      </c>
      <c r="AO348">
        <f>IFERROR(ROUND(L348*(K348/$AU348)/VLOOKUP("交易",商品!$A$4:$B$60,2,FALSE),0),0)</f>
        <v>0</v>
      </c>
      <c r="AP348" t="str">
        <f>IFERROR(ROUND(S348*(N348/$AV348)/VLOOKUP(M348,职业!$A$4:$G$16,4,FALSE),0),"")</f>
        <v/>
      </c>
      <c r="AQ348" t="str">
        <f>IFERROR(ROUND(S348*(P348/$AV348)/VLOOKUP(O348,职业!$A$4:$G$16,4,FALSE),0),"")</f>
        <v/>
      </c>
      <c r="AR348" t="str">
        <f>IFERROR(ROUND(S348*(R348/$AV348)/VLOOKUP(Q348,职业!$A$4:$G$16,4,FALSE),0),"")</f>
        <v/>
      </c>
      <c r="AS348" t="str">
        <f>IFERROR(ROUND(X348*(U348/$AW348)/VLOOKUP(T348,商品!$A$4:$B$60,2,FALSE),0),"")</f>
        <v/>
      </c>
      <c r="AT348" t="str">
        <f>IFERROR(ROUND(X348*(W348/$AW348)/VLOOKUP(V348,商品!$A$4:$B$60,2,FALSE),0),"")</f>
        <v/>
      </c>
      <c r="AU348">
        <f t="shared" si="125"/>
        <v>15</v>
      </c>
      <c r="AV348">
        <f t="shared" si="126"/>
        <v>0</v>
      </c>
      <c r="AW348">
        <f t="shared" si="127"/>
        <v>0</v>
      </c>
    </row>
    <row r="349" spans="1:49" ht="19.95" customHeight="1" x14ac:dyDescent="0.25">
      <c r="A349" s="16" t="s">
        <v>252</v>
      </c>
      <c r="C349" s="16">
        <v>1</v>
      </c>
      <c r="D349" s="23" t="s">
        <v>174</v>
      </c>
      <c r="E349" s="23" t="s">
        <v>179</v>
      </c>
      <c r="L349" s="16">
        <f>IFERROR(VLOOKUP($D349&amp;$C349,生产方式定位!$A$2:$E$38,2,FALSE)+VLOOKUP($E349&amp;$C349,生产方式定位!$F$3:$J$38,2,FALSE),0)</f>
        <v>0</v>
      </c>
      <c r="S349" s="16">
        <f>IFERROR(VLOOKUP($D349&amp;$C349,生产方式定位!$A$2:$E$38,3,FALSE)+VLOOKUP($E349&amp;$C349,生产方式定位!$F$3:$J$38,3,FALSE),0)</f>
        <v>100</v>
      </c>
      <c r="X349" s="16">
        <f>IFERROR(VLOOKUP($D349&amp;$C349,生产方式定位!$A$2:$E$38,5,FALSE)+VLOOKUP($E349&amp;$C349,生产方式定位!$F$3:$J$38,5,FALSE),"错误")</f>
        <v>100</v>
      </c>
      <c r="Y349" s="26" t="str">
        <f t="shared" si="112"/>
        <v/>
      </c>
      <c r="Z349" s="36" t="str">
        <f t="shared" si="113"/>
        <v/>
      </c>
      <c r="AA349" s="36" t="str">
        <f t="shared" si="114"/>
        <v/>
      </c>
      <c r="AB349" s="27" t="str">
        <f t="shared" si="115"/>
        <v/>
      </c>
      <c r="AC349" s="2" t="str">
        <f t="shared" si="116"/>
        <v/>
      </c>
      <c r="AD349" s="38">
        <f t="shared" si="117"/>
        <v>1</v>
      </c>
      <c r="AE349" t="str">
        <f t="shared" si="118"/>
        <v/>
      </c>
      <c r="AF349" t="str">
        <f t="shared" si="119"/>
        <v/>
      </c>
      <c r="AG349" t="str">
        <f t="shared" si="120"/>
        <v/>
      </c>
      <c r="AH349" t="str">
        <f t="shared" si="121"/>
        <v/>
      </c>
      <c r="AI349" t="str">
        <f t="shared" si="122"/>
        <v/>
      </c>
      <c r="AJ349" t="str">
        <f t="shared" si="123"/>
        <v/>
      </c>
      <c r="AK349" t="str">
        <f t="shared" si="124"/>
        <v/>
      </c>
      <c r="AL349" t="str">
        <f>IFERROR(ROUND(L349*(G349/$AU349)/VLOOKUP(F349,商品!$A$4:$B$60,2,FALSE),0),"")</f>
        <v/>
      </c>
      <c r="AM349" t="str">
        <f>IFERROR(ROUND(L349*(I349/$AU349)/VLOOKUP(H349,商品!$A$4:$B$60,2,FALSE),0),"")</f>
        <v/>
      </c>
      <c r="AN349">
        <f>IFERROR(ROUND(L349*(J349/$AU349)/VLOOKUP("运力",商品!$A$4:$B$60,2,FALSE),0),0)</f>
        <v>0</v>
      </c>
      <c r="AO349">
        <f>IFERROR(ROUND(L349*(K349/$AU349)/VLOOKUP("交易",商品!$A$4:$B$60,2,FALSE),0),0)</f>
        <v>0</v>
      </c>
      <c r="AP349" t="str">
        <f>IFERROR(ROUND(S349*(N349/$AV349)/VLOOKUP(M349,职业!$A$4:$G$16,4,FALSE),0),"")</f>
        <v/>
      </c>
      <c r="AQ349" t="str">
        <f>IFERROR(ROUND(S349*(P349/$AV349)/VLOOKUP(O349,职业!$A$4:$G$16,4,FALSE),0),"")</f>
        <v/>
      </c>
      <c r="AR349" t="str">
        <f>IFERROR(ROUND(S349*(R349/$AV349)/VLOOKUP(Q349,职业!$A$4:$G$16,4,FALSE),0),"")</f>
        <v/>
      </c>
      <c r="AS349" t="str">
        <f>IFERROR(ROUND(X349*(U349/$AW349)/VLOOKUP(T349,商品!$A$4:$B$60,2,FALSE),0),"")</f>
        <v/>
      </c>
      <c r="AT349" t="str">
        <f>IFERROR(ROUND(X349*(W349/$AW349)/VLOOKUP(V349,商品!$A$4:$B$60,2,FALSE),0),"")</f>
        <v/>
      </c>
      <c r="AU349">
        <f t="shared" si="125"/>
        <v>0</v>
      </c>
      <c r="AV349">
        <f t="shared" si="126"/>
        <v>0</v>
      </c>
      <c r="AW349">
        <f t="shared" si="127"/>
        <v>0</v>
      </c>
    </row>
    <row r="350" spans="1:49" ht="19.95" customHeight="1" x14ac:dyDescent="0.25">
      <c r="A350" s="16" t="s">
        <v>252</v>
      </c>
      <c r="C350" s="16">
        <v>2</v>
      </c>
      <c r="D350" s="23" t="s">
        <v>174</v>
      </c>
      <c r="E350" s="23" t="s">
        <v>179</v>
      </c>
      <c r="L350" s="16">
        <f>IFERROR(VLOOKUP($D350&amp;$C350,生产方式定位!$A$2:$E$38,2,FALSE)+VLOOKUP($E350&amp;$C350,生产方式定位!$F$3:$J$38,2,FALSE),0)</f>
        <v>0</v>
      </c>
      <c r="S350" s="16">
        <f>IFERROR(VLOOKUP($D350&amp;$C350,生产方式定位!$A$2:$E$38,3,FALSE)+VLOOKUP($E350&amp;$C350,生产方式定位!$F$3:$J$38,3,FALSE),0)</f>
        <v>100</v>
      </c>
      <c r="X350" s="16">
        <f>IFERROR(VLOOKUP($D350&amp;$C350,生产方式定位!$A$2:$E$38,5,FALSE)+VLOOKUP($E350&amp;$C350,生产方式定位!$F$3:$J$38,5,FALSE),"错误")</f>
        <v>100</v>
      </c>
      <c r="Y350" s="26" t="str">
        <f t="shared" si="112"/>
        <v/>
      </c>
      <c r="Z350" s="36" t="str">
        <f t="shared" si="113"/>
        <v/>
      </c>
      <c r="AA350" s="36" t="str">
        <f t="shared" si="114"/>
        <v/>
      </c>
      <c r="AB350" s="27" t="str">
        <f t="shared" si="115"/>
        <v/>
      </c>
      <c r="AC350" s="2" t="str">
        <f t="shared" si="116"/>
        <v/>
      </c>
      <c r="AD350" s="38">
        <f t="shared" si="117"/>
        <v>2</v>
      </c>
      <c r="AE350" t="str">
        <f t="shared" si="118"/>
        <v/>
      </c>
      <c r="AF350" t="str">
        <f t="shared" si="119"/>
        <v/>
      </c>
      <c r="AG350" t="str">
        <f t="shared" si="120"/>
        <v/>
      </c>
      <c r="AH350" t="str">
        <f t="shared" si="121"/>
        <v/>
      </c>
      <c r="AI350" t="str">
        <f t="shared" si="122"/>
        <v/>
      </c>
      <c r="AJ350" t="str">
        <f t="shared" si="123"/>
        <v/>
      </c>
      <c r="AK350" t="str">
        <f t="shared" si="124"/>
        <v/>
      </c>
      <c r="AL350" t="str">
        <f>IFERROR(ROUND(L350*(G350/$AU350)/VLOOKUP(F350,商品!$A$4:$B$60,2,FALSE),0),"")</f>
        <v/>
      </c>
      <c r="AM350" t="str">
        <f>IFERROR(ROUND(L350*(I350/$AU350)/VLOOKUP(H350,商品!$A$4:$B$60,2,FALSE),0),"")</f>
        <v/>
      </c>
      <c r="AN350">
        <f>IFERROR(ROUND(L350*(J350/$AU350)/VLOOKUP("运力",商品!$A$4:$B$60,2,FALSE),0),0)</f>
        <v>0</v>
      </c>
      <c r="AO350">
        <f>IFERROR(ROUND(L350*(K350/$AU350)/VLOOKUP("交易",商品!$A$4:$B$60,2,FALSE),0),0)</f>
        <v>0</v>
      </c>
      <c r="AP350" t="str">
        <f>IFERROR(ROUND(S350*(N350/$AV350)/VLOOKUP(M350,职业!$A$4:$G$16,4,FALSE),0),"")</f>
        <v/>
      </c>
      <c r="AQ350" t="str">
        <f>IFERROR(ROUND(S350*(P350/$AV350)/VLOOKUP(O350,职业!$A$4:$G$16,4,FALSE),0),"")</f>
        <v/>
      </c>
      <c r="AR350" t="str">
        <f>IFERROR(ROUND(S350*(R350/$AV350)/VLOOKUP(Q350,职业!$A$4:$G$16,4,FALSE),0),"")</f>
        <v/>
      </c>
      <c r="AS350" t="str">
        <f>IFERROR(ROUND(X350*(U350/$AW350)/VLOOKUP(T350,商品!$A$4:$B$60,2,FALSE),0),"")</f>
        <v/>
      </c>
      <c r="AT350" t="str">
        <f>IFERROR(ROUND(X350*(W350/$AW350)/VLOOKUP(V350,商品!$A$4:$B$60,2,FALSE),0),"")</f>
        <v/>
      </c>
      <c r="AU350">
        <f t="shared" si="125"/>
        <v>0</v>
      </c>
      <c r="AV350">
        <f t="shared" si="126"/>
        <v>0</v>
      </c>
      <c r="AW350">
        <f t="shared" si="127"/>
        <v>0</v>
      </c>
    </row>
    <row r="351" spans="1:49" ht="19.95" customHeight="1" x14ac:dyDescent="0.25">
      <c r="A351" s="16" t="s">
        <v>252</v>
      </c>
      <c r="C351" s="16">
        <v>3</v>
      </c>
      <c r="D351" s="23" t="s">
        <v>174</v>
      </c>
      <c r="E351" s="23" t="s">
        <v>179</v>
      </c>
      <c r="L351" s="16">
        <f>IFERROR(VLOOKUP($D351&amp;$C351,生产方式定位!$A$2:$E$38,2,FALSE)+VLOOKUP($E351&amp;$C351,生产方式定位!$F$3:$J$38,2,FALSE),0)</f>
        <v>0</v>
      </c>
      <c r="S351" s="16">
        <f>IFERROR(VLOOKUP($D351&amp;$C351,生产方式定位!$A$2:$E$38,3,FALSE)+VLOOKUP($E351&amp;$C351,生产方式定位!$F$3:$J$38,3,FALSE),0)</f>
        <v>100</v>
      </c>
      <c r="X351" s="16">
        <f>IFERROR(VLOOKUP($D351&amp;$C351,生产方式定位!$A$2:$E$38,5,FALSE)+VLOOKUP($E351&amp;$C351,生产方式定位!$F$3:$J$38,5,FALSE),"错误")</f>
        <v>100</v>
      </c>
      <c r="Y351" s="26" t="str">
        <f t="shared" si="112"/>
        <v/>
      </c>
      <c r="Z351" s="36" t="str">
        <f t="shared" si="113"/>
        <v/>
      </c>
      <c r="AA351" s="36" t="str">
        <f t="shared" si="114"/>
        <v/>
      </c>
      <c r="AB351" s="27" t="str">
        <f t="shared" si="115"/>
        <v/>
      </c>
      <c r="AC351" s="2" t="str">
        <f t="shared" si="116"/>
        <v/>
      </c>
      <c r="AD351" s="38">
        <f t="shared" si="117"/>
        <v>3</v>
      </c>
      <c r="AE351" t="str">
        <f t="shared" si="118"/>
        <v/>
      </c>
      <c r="AF351" t="str">
        <f t="shared" si="119"/>
        <v/>
      </c>
      <c r="AG351" t="str">
        <f t="shared" si="120"/>
        <v/>
      </c>
      <c r="AH351" t="str">
        <f t="shared" si="121"/>
        <v/>
      </c>
      <c r="AI351" t="str">
        <f t="shared" si="122"/>
        <v/>
      </c>
      <c r="AJ351" t="str">
        <f t="shared" si="123"/>
        <v/>
      </c>
      <c r="AK351" t="str">
        <f t="shared" si="124"/>
        <v/>
      </c>
      <c r="AL351" t="str">
        <f>IFERROR(ROUND(L351*(G351/$AU351)/VLOOKUP(F351,商品!$A$4:$B$60,2,FALSE),0),"")</f>
        <v/>
      </c>
      <c r="AM351" t="str">
        <f>IFERROR(ROUND(L351*(I351/$AU351)/VLOOKUP(H351,商品!$A$4:$B$60,2,FALSE),0),"")</f>
        <v/>
      </c>
      <c r="AN351">
        <f>IFERROR(ROUND(L351*(J351/$AU351)/VLOOKUP("运力",商品!$A$4:$B$60,2,FALSE),0),0)</f>
        <v>0</v>
      </c>
      <c r="AO351">
        <f>IFERROR(ROUND(L351*(K351/$AU351)/VLOOKUP("交易",商品!$A$4:$B$60,2,FALSE),0),0)</f>
        <v>0</v>
      </c>
      <c r="AP351" t="str">
        <f>IFERROR(ROUND(S351*(N351/$AV351)/VLOOKUP(M351,职业!$A$4:$G$16,4,FALSE),0),"")</f>
        <v/>
      </c>
      <c r="AQ351" t="str">
        <f>IFERROR(ROUND(S351*(P351/$AV351)/VLOOKUP(O351,职业!$A$4:$G$16,4,FALSE),0),"")</f>
        <v/>
      </c>
      <c r="AR351" t="str">
        <f>IFERROR(ROUND(S351*(R351/$AV351)/VLOOKUP(Q351,职业!$A$4:$G$16,4,FALSE),0),"")</f>
        <v/>
      </c>
      <c r="AS351" t="str">
        <f>IFERROR(ROUND(X351*(U351/$AW351)/VLOOKUP(T351,商品!$A$4:$B$60,2,FALSE),0),"")</f>
        <v/>
      </c>
      <c r="AT351" t="str">
        <f>IFERROR(ROUND(X351*(W351/$AW351)/VLOOKUP(V351,商品!$A$4:$B$60,2,FALSE),0),"")</f>
        <v/>
      </c>
      <c r="AU351">
        <f t="shared" si="125"/>
        <v>0</v>
      </c>
      <c r="AV351">
        <f t="shared" si="126"/>
        <v>0</v>
      </c>
      <c r="AW351">
        <f t="shared" si="127"/>
        <v>0</v>
      </c>
    </row>
    <row r="352" spans="1:49" ht="19.95" customHeight="1" x14ac:dyDescent="0.25">
      <c r="A352" s="16" t="s">
        <v>252</v>
      </c>
      <c r="C352" s="16">
        <v>4</v>
      </c>
      <c r="D352" s="23" t="s">
        <v>174</v>
      </c>
      <c r="E352" s="23" t="s">
        <v>179</v>
      </c>
      <c r="L352" s="16">
        <f>IFERROR(VLOOKUP($D352&amp;$C352,生产方式定位!$A$2:$E$38,2,FALSE)+VLOOKUP($E352&amp;$C352,生产方式定位!$F$3:$J$38,2,FALSE),0)</f>
        <v>0</v>
      </c>
      <c r="S352" s="16">
        <f>IFERROR(VLOOKUP($D352&amp;$C352,生产方式定位!$A$2:$E$38,3,FALSE)+VLOOKUP($E352&amp;$C352,生产方式定位!$F$3:$J$38,3,FALSE),0)</f>
        <v>100</v>
      </c>
      <c r="X352" s="16">
        <f>IFERROR(VLOOKUP($D352&amp;$C352,生产方式定位!$A$2:$E$38,5,FALSE)+VLOOKUP($E352&amp;$C352,生产方式定位!$F$3:$J$38,5,FALSE),"错误")</f>
        <v>100</v>
      </c>
      <c r="Y352" s="26" t="str">
        <f t="shared" si="112"/>
        <v/>
      </c>
      <c r="Z352" s="36" t="str">
        <f t="shared" si="113"/>
        <v/>
      </c>
      <c r="AA352" s="36" t="str">
        <f t="shared" si="114"/>
        <v/>
      </c>
      <c r="AB352" s="27" t="str">
        <f t="shared" si="115"/>
        <v/>
      </c>
      <c r="AC352" s="2" t="str">
        <f t="shared" si="116"/>
        <v/>
      </c>
      <c r="AD352" s="38">
        <f t="shared" si="117"/>
        <v>4</v>
      </c>
      <c r="AE352" t="str">
        <f t="shared" si="118"/>
        <v/>
      </c>
      <c r="AF352" t="str">
        <f t="shared" si="119"/>
        <v/>
      </c>
      <c r="AG352" t="str">
        <f t="shared" si="120"/>
        <v/>
      </c>
      <c r="AH352" t="str">
        <f t="shared" si="121"/>
        <v/>
      </c>
      <c r="AI352" t="str">
        <f t="shared" si="122"/>
        <v/>
      </c>
      <c r="AJ352" t="str">
        <f t="shared" si="123"/>
        <v/>
      </c>
      <c r="AK352" t="str">
        <f t="shared" si="124"/>
        <v/>
      </c>
      <c r="AL352" t="str">
        <f>IFERROR(ROUND(L352*(G352/$AU352)/VLOOKUP(F352,商品!$A$4:$B$60,2,FALSE),0),"")</f>
        <v/>
      </c>
      <c r="AM352" t="str">
        <f>IFERROR(ROUND(L352*(I352/$AU352)/VLOOKUP(H352,商品!$A$4:$B$60,2,FALSE),0),"")</f>
        <v/>
      </c>
      <c r="AN352">
        <f>IFERROR(ROUND(L352*(J352/$AU352)/VLOOKUP("运力",商品!$A$4:$B$60,2,FALSE),0),0)</f>
        <v>0</v>
      </c>
      <c r="AO352">
        <f>IFERROR(ROUND(L352*(K352/$AU352)/VLOOKUP("交易",商品!$A$4:$B$60,2,FALSE),0),0)</f>
        <v>0</v>
      </c>
      <c r="AP352" t="str">
        <f>IFERROR(ROUND(S352*(N352/$AV352)/VLOOKUP(M352,职业!$A$4:$G$16,4,FALSE),0),"")</f>
        <v/>
      </c>
      <c r="AQ352" t="str">
        <f>IFERROR(ROUND(S352*(P352/$AV352)/VLOOKUP(O352,职业!$A$4:$G$16,4,FALSE),0),"")</f>
        <v/>
      </c>
      <c r="AR352" t="str">
        <f>IFERROR(ROUND(S352*(R352/$AV352)/VLOOKUP(Q352,职业!$A$4:$G$16,4,FALSE),0),"")</f>
        <v/>
      </c>
      <c r="AS352" t="str">
        <f>IFERROR(ROUND(X352*(U352/$AW352)/VLOOKUP(T352,商品!$A$4:$B$60,2,FALSE),0),"")</f>
        <v/>
      </c>
      <c r="AT352" t="str">
        <f>IFERROR(ROUND(X352*(W352/$AW352)/VLOOKUP(V352,商品!$A$4:$B$60,2,FALSE),0),"")</f>
        <v/>
      </c>
      <c r="AU352">
        <f t="shared" si="125"/>
        <v>0</v>
      </c>
      <c r="AV352">
        <f t="shared" si="126"/>
        <v>0</v>
      </c>
      <c r="AW352">
        <f t="shared" si="127"/>
        <v>0</v>
      </c>
    </row>
    <row r="353" spans="1:49" ht="19.95" customHeight="1" x14ac:dyDescent="0.25">
      <c r="A353" s="16" t="s">
        <v>252</v>
      </c>
      <c r="C353" s="16">
        <v>5</v>
      </c>
      <c r="D353" s="23" t="s">
        <v>174</v>
      </c>
      <c r="E353" s="23" t="s">
        <v>179</v>
      </c>
      <c r="L353" s="16">
        <f>IFERROR(VLOOKUP($D353&amp;$C353,生产方式定位!$A$2:$E$38,2,FALSE)+VLOOKUP($E353&amp;$C353,生产方式定位!$F$3:$J$38,2,FALSE),0)</f>
        <v>0</v>
      </c>
      <c r="S353" s="16">
        <f>IFERROR(VLOOKUP($D353&amp;$C353,生产方式定位!$A$2:$E$38,3,FALSE)+VLOOKUP($E353&amp;$C353,生产方式定位!$F$3:$J$38,3,FALSE),0)</f>
        <v>100</v>
      </c>
      <c r="X353" s="16">
        <f>IFERROR(VLOOKUP($D353&amp;$C353,生产方式定位!$A$2:$E$38,5,FALSE)+VLOOKUP($E353&amp;$C353,生产方式定位!$F$3:$J$38,5,FALSE),"错误")</f>
        <v>100</v>
      </c>
      <c r="Y353" s="26" t="str">
        <f t="shared" si="112"/>
        <v/>
      </c>
      <c r="Z353" s="36" t="str">
        <f t="shared" si="113"/>
        <v/>
      </c>
      <c r="AA353" s="36" t="str">
        <f t="shared" si="114"/>
        <v/>
      </c>
      <c r="AB353" s="27" t="str">
        <f t="shared" si="115"/>
        <v/>
      </c>
      <c r="AC353" s="2" t="str">
        <f t="shared" si="116"/>
        <v/>
      </c>
      <c r="AD353" s="38">
        <f t="shared" si="117"/>
        <v>5</v>
      </c>
      <c r="AE353" t="str">
        <f t="shared" si="118"/>
        <v/>
      </c>
      <c r="AF353" t="str">
        <f t="shared" si="119"/>
        <v/>
      </c>
      <c r="AG353" t="str">
        <f t="shared" si="120"/>
        <v/>
      </c>
      <c r="AH353" t="str">
        <f t="shared" si="121"/>
        <v/>
      </c>
      <c r="AI353" t="str">
        <f t="shared" si="122"/>
        <v/>
      </c>
      <c r="AJ353" t="str">
        <f t="shared" si="123"/>
        <v/>
      </c>
      <c r="AK353" t="str">
        <f t="shared" si="124"/>
        <v/>
      </c>
      <c r="AL353" t="str">
        <f>IFERROR(ROUND(L353*(G353/$AU353)/VLOOKUP(F353,商品!$A$4:$B$60,2,FALSE),0),"")</f>
        <v/>
      </c>
      <c r="AM353" t="str">
        <f>IFERROR(ROUND(L353*(I353/$AU353)/VLOOKUP(H353,商品!$A$4:$B$60,2,FALSE),0),"")</f>
        <v/>
      </c>
      <c r="AN353">
        <f>IFERROR(ROUND(L353*(J353/$AU353)/VLOOKUP("运力",商品!$A$4:$B$60,2,FALSE),0),0)</f>
        <v>0</v>
      </c>
      <c r="AO353">
        <f>IFERROR(ROUND(L353*(K353/$AU353)/VLOOKUP("交易",商品!$A$4:$B$60,2,FALSE),0),0)</f>
        <v>0</v>
      </c>
      <c r="AP353" t="str">
        <f>IFERROR(ROUND(S353*(N353/$AV353)/VLOOKUP(M353,职业!$A$4:$G$16,4,FALSE),0),"")</f>
        <v/>
      </c>
      <c r="AQ353" t="str">
        <f>IFERROR(ROUND(S353*(P353/$AV353)/VLOOKUP(O353,职业!$A$4:$G$16,4,FALSE),0),"")</f>
        <v/>
      </c>
      <c r="AR353" t="str">
        <f>IFERROR(ROUND(S353*(R353/$AV353)/VLOOKUP(Q353,职业!$A$4:$G$16,4,FALSE),0),"")</f>
        <v/>
      </c>
      <c r="AS353" t="str">
        <f>IFERROR(ROUND(X353*(U353/$AW353)/VLOOKUP(T353,商品!$A$4:$B$60,2,FALSE),0),"")</f>
        <v/>
      </c>
      <c r="AT353" t="str">
        <f>IFERROR(ROUND(X353*(W353/$AW353)/VLOOKUP(V353,商品!$A$4:$B$60,2,FALSE),0),"")</f>
        <v/>
      </c>
      <c r="AU353">
        <f t="shared" si="125"/>
        <v>0</v>
      </c>
      <c r="AV353">
        <f t="shared" si="126"/>
        <v>0</v>
      </c>
      <c r="AW353">
        <f t="shared" si="127"/>
        <v>0</v>
      </c>
    </row>
    <row r="354" spans="1:49" ht="19.95" customHeight="1" x14ac:dyDescent="0.25">
      <c r="A354" s="16" t="s">
        <v>252</v>
      </c>
      <c r="C354" s="16">
        <v>6</v>
      </c>
      <c r="D354" s="23" t="s">
        <v>174</v>
      </c>
      <c r="E354" s="23" t="s">
        <v>179</v>
      </c>
      <c r="L354" s="16">
        <f>IFERROR(VLOOKUP($D354&amp;$C354,生产方式定位!$A$2:$E$38,2,FALSE)+VLOOKUP($E354&amp;$C354,生产方式定位!$F$3:$J$38,2,FALSE),0)</f>
        <v>0</v>
      </c>
      <c r="S354" s="16">
        <f>IFERROR(VLOOKUP($D354&amp;$C354,生产方式定位!$A$2:$E$38,3,FALSE)+VLOOKUP($E354&amp;$C354,生产方式定位!$F$3:$J$38,3,FALSE),0)</f>
        <v>100</v>
      </c>
      <c r="X354" s="16">
        <f>IFERROR(VLOOKUP($D354&amp;$C354,生产方式定位!$A$2:$E$38,5,FALSE)+VLOOKUP($E354&amp;$C354,生产方式定位!$F$3:$J$38,5,FALSE),"错误")</f>
        <v>100</v>
      </c>
      <c r="Y354" s="26" t="str">
        <f t="shared" si="112"/>
        <v/>
      </c>
      <c r="Z354" s="36" t="str">
        <f t="shared" si="113"/>
        <v/>
      </c>
      <c r="AA354" s="36" t="str">
        <f t="shared" si="114"/>
        <v/>
      </c>
      <c r="AB354" s="27" t="str">
        <f t="shared" si="115"/>
        <v/>
      </c>
      <c r="AC354" s="2" t="str">
        <f t="shared" si="116"/>
        <v/>
      </c>
      <c r="AD354" s="37">
        <f t="shared" si="117"/>
        <v>6</v>
      </c>
      <c r="AE354" t="str">
        <f t="shared" si="118"/>
        <v/>
      </c>
      <c r="AF354" t="str">
        <f t="shared" si="119"/>
        <v/>
      </c>
      <c r="AG354" t="str">
        <f t="shared" si="120"/>
        <v/>
      </c>
      <c r="AH354" t="str">
        <f t="shared" si="121"/>
        <v/>
      </c>
      <c r="AI354" t="str">
        <f t="shared" si="122"/>
        <v/>
      </c>
      <c r="AJ354" t="str">
        <f t="shared" si="123"/>
        <v/>
      </c>
      <c r="AK354" t="str">
        <f t="shared" si="124"/>
        <v/>
      </c>
      <c r="AL354" t="str">
        <f>IFERROR(ROUND(L354*(G354/$AU354)/VLOOKUP(F354,商品!$A$4:$B$60,2,FALSE),0),"")</f>
        <v/>
      </c>
      <c r="AM354" t="str">
        <f>IFERROR(ROUND(L354*(I354/$AU354)/VLOOKUP(H354,商品!$A$4:$B$60,2,FALSE),0),"")</f>
        <v/>
      </c>
      <c r="AN354">
        <f>IFERROR(ROUND(L354*(J354/$AU354)/VLOOKUP("运力",商品!$A$4:$B$60,2,FALSE),0),0)</f>
        <v>0</v>
      </c>
      <c r="AO354">
        <f>IFERROR(ROUND(L354*(K354/$AU354)/VLOOKUP("交易",商品!$A$4:$B$60,2,FALSE),0),0)</f>
        <v>0</v>
      </c>
      <c r="AP354" t="str">
        <f>IFERROR(ROUND(S354*(N354/$AV354)/VLOOKUP(M354,职业!$A$4:$G$16,4,FALSE),0),"")</f>
        <v/>
      </c>
      <c r="AQ354" t="str">
        <f>IFERROR(ROUND(S354*(P354/$AV354)/VLOOKUP(O354,职业!$A$4:$G$16,4,FALSE),0),"")</f>
        <v/>
      </c>
      <c r="AR354" t="str">
        <f>IFERROR(ROUND(S354*(R354/$AV354)/VLOOKUP(Q354,职业!$A$4:$G$16,4,FALSE),0),"")</f>
        <v/>
      </c>
      <c r="AS354" t="str">
        <f>IFERROR(ROUND(X354*(U354/$AW354)/VLOOKUP(T354,商品!$A$4:$B$60,2,FALSE),0),"")</f>
        <v/>
      </c>
      <c r="AT354" t="str">
        <f>IFERROR(ROUND(X354*(W354/$AW354)/VLOOKUP(V354,商品!$A$4:$B$60,2,FALSE),0),"")</f>
        <v/>
      </c>
      <c r="AU354">
        <f t="shared" si="125"/>
        <v>0</v>
      </c>
      <c r="AV354">
        <f t="shared" si="126"/>
        <v>0</v>
      </c>
      <c r="AW354">
        <f t="shared" si="127"/>
        <v>0</v>
      </c>
    </row>
    <row r="355" spans="1:49" ht="19.95" customHeight="1" x14ac:dyDescent="0.25">
      <c r="A355" s="16" t="s">
        <v>252</v>
      </c>
      <c r="C355" s="16">
        <v>7</v>
      </c>
      <c r="D355" s="23" t="s">
        <v>174</v>
      </c>
      <c r="E355" s="23" t="s">
        <v>179</v>
      </c>
      <c r="L355" s="16">
        <f>IFERROR(VLOOKUP($D355&amp;$C355,生产方式定位!$A$2:$E$38,2,FALSE)+VLOOKUP($E355&amp;$C355,生产方式定位!$F$3:$J$38,2,FALSE),0)</f>
        <v>0</v>
      </c>
      <c r="S355" s="16">
        <f>IFERROR(VLOOKUP($D355&amp;$C355,生产方式定位!$A$2:$E$38,3,FALSE)+VLOOKUP($E355&amp;$C355,生产方式定位!$F$3:$J$38,3,FALSE),0)</f>
        <v>100</v>
      </c>
      <c r="X355" s="16">
        <f>IFERROR(VLOOKUP($D355&amp;$C355,生产方式定位!$A$2:$E$38,5,FALSE)+VLOOKUP($E355&amp;$C355,生产方式定位!$F$3:$J$38,5,FALSE),"错误")</f>
        <v>100</v>
      </c>
      <c r="Y355" s="26" t="str">
        <f t="shared" si="112"/>
        <v/>
      </c>
      <c r="Z355" s="36" t="str">
        <f t="shared" si="113"/>
        <v/>
      </c>
      <c r="AA355" s="36" t="str">
        <f t="shared" si="114"/>
        <v/>
      </c>
      <c r="AB355" s="27" t="str">
        <f t="shared" si="115"/>
        <v/>
      </c>
      <c r="AC355" s="2" t="str">
        <f t="shared" si="116"/>
        <v/>
      </c>
      <c r="AD355" s="37">
        <f t="shared" si="117"/>
        <v>7</v>
      </c>
      <c r="AE355" t="str">
        <f t="shared" si="118"/>
        <v/>
      </c>
      <c r="AF355" t="str">
        <f t="shared" si="119"/>
        <v/>
      </c>
      <c r="AG355" t="str">
        <f t="shared" si="120"/>
        <v/>
      </c>
      <c r="AH355" t="str">
        <f t="shared" si="121"/>
        <v/>
      </c>
      <c r="AI355" t="str">
        <f t="shared" si="122"/>
        <v/>
      </c>
      <c r="AJ355" t="str">
        <f t="shared" si="123"/>
        <v/>
      </c>
      <c r="AK355" t="str">
        <f t="shared" si="124"/>
        <v/>
      </c>
      <c r="AL355" t="str">
        <f>IFERROR(ROUND(L355*(G355/$AU355)/VLOOKUP(F355,商品!$A$4:$B$60,2,FALSE),0),"")</f>
        <v/>
      </c>
      <c r="AM355" t="str">
        <f>IFERROR(ROUND(L355*(I355/$AU355)/VLOOKUP(H355,商品!$A$4:$B$60,2,FALSE),0),"")</f>
        <v/>
      </c>
      <c r="AN355">
        <f>IFERROR(ROUND(L355*(J355/$AU355)/VLOOKUP("运力",商品!$A$4:$B$60,2,FALSE),0),0)</f>
        <v>0</v>
      </c>
      <c r="AO355">
        <f>IFERROR(ROUND(L355*(K355/$AU355)/VLOOKUP("交易",商品!$A$4:$B$60,2,FALSE),0),0)</f>
        <v>0</v>
      </c>
      <c r="AP355" t="str">
        <f>IFERROR(ROUND(S355*(N355/$AV355)/VLOOKUP(M355,职业!$A$4:$G$16,4,FALSE),0),"")</f>
        <v/>
      </c>
      <c r="AQ355" t="str">
        <f>IFERROR(ROUND(S355*(P355/$AV355)/VLOOKUP(O355,职业!$A$4:$G$16,4,FALSE),0),"")</f>
        <v/>
      </c>
      <c r="AR355" t="str">
        <f>IFERROR(ROUND(S355*(R355/$AV355)/VLOOKUP(Q355,职业!$A$4:$G$16,4,FALSE),0),"")</f>
        <v/>
      </c>
      <c r="AS355" t="str">
        <f>IFERROR(ROUND(X355*(U355/$AW355)/VLOOKUP(T355,商品!$A$4:$B$60,2,FALSE),0),"")</f>
        <v/>
      </c>
      <c r="AT355" t="str">
        <f>IFERROR(ROUND(X355*(W355/$AW355)/VLOOKUP(V355,商品!$A$4:$B$60,2,FALSE),0),"")</f>
        <v/>
      </c>
      <c r="AU355">
        <f t="shared" si="125"/>
        <v>0</v>
      </c>
      <c r="AV355">
        <f t="shared" si="126"/>
        <v>0</v>
      </c>
      <c r="AW355">
        <f t="shared" si="127"/>
        <v>0</v>
      </c>
    </row>
    <row r="356" spans="1:49" ht="19.95" customHeight="1" x14ac:dyDescent="0.25">
      <c r="A356" s="16" t="s">
        <v>252</v>
      </c>
      <c r="C356" s="16">
        <v>8</v>
      </c>
      <c r="D356" s="23" t="s">
        <v>174</v>
      </c>
      <c r="E356" s="23" t="s">
        <v>179</v>
      </c>
      <c r="L356" s="16">
        <f>IFERROR(VLOOKUP($D356&amp;$C356,生产方式定位!$A$2:$E$38,2,FALSE)+VLOOKUP($E356&amp;$C356,生产方式定位!$F$3:$J$38,2,FALSE),0)</f>
        <v>0</v>
      </c>
      <c r="S356" s="16">
        <f>IFERROR(VLOOKUP($D356&amp;$C356,生产方式定位!$A$2:$E$38,3,FALSE)+VLOOKUP($E356&amp;$C356,生产方式定位!$F$3:$J$38,3,FALSE),0)</f>
        <v>100</v>
      </c>
      <c r="X356" s="16">
        <f>IFERROR(VLOOKUP($D356&amp;$C356,生产方式定位!$A$2:$E$38,5,FALSE)+VLOOKUP($E356&amp;$C356,生产方式定位!$F$3:$J$38,5,FALSE),"错误")</f>
        <v>100</v>
      </c>
      <c r="Y356" s="26" t="str">
        <f t="shared" si="112"/>
        <v/>
      </c>
      <c r="Z356" s="36" t="str">
        <f t="shared" si="113"/>
        <v/>
      </c>
      <c r="AA356" s="36" t="str">
        <f t="shared" si="114"/>
        <v/>
      </c>
      <c r="AB356" s="27" t="str">
        <f t="shared" si="115"/>
        <v/>
      </c>
      <c r="AC356" s="2" t="str">
        <f t="shared" si="116"/>
        <v/>
      </c>
      <c r="AD356" s="37">
        <f t="shared" si="117"/>
        <v>8</v>
      </c>
      <c r="AE356" t="str">
        <f t="shared" si="118"/>
        <v/>
      </c>
      <c r="AF356" t="str">
        <f t="shared" si="119"/>
        <v/>
      </c>
      <c r="AG356" t="str">
        <f t="shared" si="120"/>
        <v/>
      </c>
      <c r="AH356" t="str">
        <f t="shared" si="121"/>
        <v/>
      </c>
      <c r="AI356" t="str">
        <f t="shared" si="122"/>
        <v/>
      </c>
      <c r="AJ356" t="str">
        <f t="shared" si="123"/>
        <v/>
      </c>
      <c r="AK356" t="str">
        <f t="shared" si="124"/>
        <v/>
      </c>
      <c r="AL356" t="str">
        <f>IFERROR(ROUND(L356*(G356/$AU356)/VLOOKUP(F356,商品!$A$4:$B$60,2,FALSE),0),"")</f>
        <v/>
      </c>
      <c r="AM356" t="str">
        <f>IFERROR(ROUND(L356*(I356/$AU356)/VLOOKUP(H356,商品!$A$4:$B$60,2,FALSE),0),"")</f>
        <v/>
      </c>
      <c r="AN356">
        <f>IFERROR(ROUND(L356*(J356/$AU356)/VLOOKUP("运力",商品!$A$4:$B$60,2,FALSE),0),0)</f>
        <v>0</v>
      </c>
      <c r="AO356">
        <f>IFERROR(ROUND(L356*(K356/$AU356)/VLOOKUP("交易",商品!$A$4:$B$60,2,FALSE),0),0)</f>
        <v>0</v>
      </c>
      <c r="AP356" t="str">
        <f>IFERROR(ROUND(S356*(N356/$AV356)/VLOOKUP(M356,职业!$A$4:$G$16,4,FALSE),0),"")</f>
        <v/>
      </c>
      <c r="AQ356" t="str">
        <f>IFERROR(ROUND(S356*(P356/$AV356)/VLOOKUP(O356,职业!$A$4:$G$16,4,FALSE),0),"")</f>
        <v/>
      </c>
      <c r="AR356" t="str">
        <f>IFERROR(ROUND(S356*(R356/$AV356)/VLOOKUP(Q356,职业!$A$4:$G$16,4,FALSE),0),"")</f>
        <v/>
      </c>
      <c r="AS356" t="str">
        <f>IFERROR(ROUND(X356*(U356/$AW356)/VLOOKUP(T356,商品!$A$4:$B$60,2,FALSE),0),"")</f>
        <v/>
      </c>
      <c r="AT356" t="str">
        <f>IFERROR(ROUND(X356*(W356/$AW356)/VLOOKUP(V356,商品!$A$4:$B$60,2,FALSE),0),"")</f>
        <v/>
      </c>
      <c r="AU356">
        <f t="shared" si="125"/>
        <v>0</v>
      </c>
      <c r="AV356">
        <f t="shared" si="126"/>
        <v>0</v>
      </c>
      <c r="AW356">
        <f t="shared" si="127"/>
        <v>0</v>
      </c>
    </row>
    <row r="357" spans="1:49" ht="19.95" customHeight="1" x14ac:dyDescent="0.25">
      <c r="A357" s="15" t="s">
        <v>254</v>
      </c>
      <c r="C357" s="15">
        <v>1</v>
      </c>
      <c r="D357" s="23" t="s">
        <v>222</v>
      </c>
      <c r="E357" s="23" t="s">
        <v>172</v>
      </c>
      <c r="F357" s="2" t="s">
        <v>22</v>
      </c>
      <c r="G357" s="2">
        <v>85</v>
      </c>
      <c r="J357" s="24">
        <v>5</v>
      </c>
      <c r="K357" s="25">
        <v>10</v>
      </c>
      <c r="L357" s="15">
        <f>IFERROR(VLOOKUP($D357&amp;$C357,生产方式定位!$A$2:$E$38,2,FALSE)+VLOOKUP($E357&amp;$C357,生产方式定位!$F$3:$J$38,2,FALSE),0)</f>
        <v>1000</v>
      </c>
      <c r="S357" s="15">
        <f>IFERROR(VLOOKUP($D357&amp;$C357,生产方式定位!$A$2:$E$38,3,FALSE)+VLOOKUP($E357&amp;$C357,生产方式定位!$F$3:$J$38,3,FALSE),0)</f>
        <v>100</v>
      </c>
      <c r="T357" s="2" t="s">
        <v>20</v>
      </c>
      <c r="U357" s="2">
        <v>1</v>
      </c>
      <c r="X357" s="15">
        <f>IFERROR(VLOOKUP($D357&amp;$C357,生产方式定位!$A$2:$E$38,5,FALSE)+VLOOKUP($E357&amp;$C357,生产方式定位!$F$3:$J$38,5,FALSE),"错误")</f>
        <v>1760</v>
      </c>
      <c r="Y357" s="26" t="str">
        <f t="shared" si="112"/>
        <v>泽洛*17,运力*5,交易*10</v>
      </c>
      <c r="Z357" s="36" t="str">
        <f t="shared" si="113"/>
        <v/>
      </c>
      <c r="AA357" s="36" t="str">
        <f t="shared" si="114"/>
        <v>灵能水晶*59</v>
      </c>
      <c r="AB357" s="27" t="str">
        <f t="shared" si="115"/>
        <v>76%</v>
      </c>
      <c r="AC357" s="2">
        <f t="shared" si="116"/>
        <v>660</v>
      </c>
      <c r="AD357" s="37">
        <f t="shared" si="117"/>
        <v>1</v>
      </c>
      <c r="AE357" t="str">
        <f t="shared" si="118"/>
        <v>泽洛*17</v>
      </c>
      <c r="AF357" t="str">
        <f t="shared" si="119"/>
        <v/>
      </c>
      <c r="AG357" t="str">
        <f t="shared" si="120"/>
        <v/>
      </c>
      <c r="AH357" t="str">
        <f t="shared" si="121"/>
        <v/>
      </c>
      <c r="AI357" t="str">
        <f t="shared" si="122"/>
        <v/>
      </c>
      <c r="AJ357" t="str">
        <f t="shared" si="123"/>
        <v>灵能水晶*59</v>
      </c>
      <c r="AK357" t="str">
        <f t="shared" si="124"/>
        <v/>
      </c>
      <c r="AL357">
        <f>IFERROR(ROUND(L357*(G357/$AU357)/VLOOKUP(F357,商品!$A$4:$B$60,2,FALSE),0),"")</f>
        <v>17</v>
      </c>
      <c r="AM357" t="str">
        <f>IFERROR(ROUND(L357*(I357/$AU357)/VLOOKUP(H357,商品!$A$4:$B$60,2,FALSE),0),"")</f>
        <v/>
      </c>
      <c r="AN357">
        <f>IFERROR(ROUND(L357*(J357/$AU357)/VLOOKUP("运力",商品!$A$4:$B$60,2,FALSE),0),0)</f>
        <v>5</v>
      </c>
      <c r="AO357">
        <f>IFERROR(ROUND(L357*(K357/$AU357)/VLOOKUP("交易",商品!$A$4:$B$60,2,FALSE),0),0)</f>
        <v>10</v>
      </c>
      <c r="AP357" t="str">
        <f>IFERROR(ROUND(S357*(N357/$AV357)/VLOOKUP(M357,职业!$A$4:$G$16,4,FALSE),0),"")</f>
        <v/>
      </c>
      <c r="AQ357" t="str">
        <f>IFERROR(ROUND(S357*(P357/$AV357)/VLOOKUP(O357,职业!$A$4:$G$16,4,FALSE),0),"")</f>
        <v/>
      </c>
      <c r="AR357" t="str">
        <f>IFERROR(ROUND(S357*(R357/$AV357)/VLOOKUP(Q357,职业!$A$4:$G$16,4,FALSE),0),"")</f>
        <v/>
      </c>
      <c r="AS357">
        <f>IFERROR(ROUND(X357*(U357/$AW357)/VLOOKUP(T357,商品!$A$4:$B$60,2,FALSE),0),"")</f>
        <v>59</v>
      </c>
      <c r="AT357" t="str">
        <f>IFERROR(ROUND(X357*(W357/$AW357)/VLOOKUP(V357,商品!$A$4:$B$60,2,FALSE),0),"")</f>
        <v/>
      </c>
      <c r="AU357">
        <f t="shared" si="125"/>
        <v>100</v>
      </c>
      <c r="AV357">
        <f t="shared" si="126"/>
        <v>0</v>
      </c>
      <c r="AW357">
        <f t="shared" si="127"/>
        <v>1</v>
      </c>
    </row>
    <row r="358" spans="1:49" ht="19.95" customHeight="1" x14ac:dyDescent="0.25">
      <c r="A358" s="15" t="s">
        <v>254</v>
      </c>
      <c r="C358" s="15">
        <v>2</v>
      </c>
      <c r="D358" s="23" t="s">
        <v>222</v>
      </c>
      <c r="E358" s="23" t="s">
        <v>172</v>
      </c>
      <c r="F358" s="2" t="s">
        <v>22</v>
      </c>
      <c r="G358" s="2">
        <v>85</v>
      </c>
      <c r="J358" s="24">
        <v>5</v>
      </c>
      <c r="K358" s="25">
        <v>10</v>
      </c>
      <c r="L358" s="15">
        <f>IFERROR(VLOOKUP($D358&amp;$C358,生产方式定位!$A$2:$E$38,2,FALSE)+VLOOKUP($E358&amp;$C358,生产方式定位!$F$3:$J$38,2,FALSE),0)</f>
        <v>1600</v>
      </c>
      <c r="S358" s="15">
        <f>IFERROR(VLOOKUP($D358&amp;$C358,生产方式定位!$A$2:$E$38,3,FALSE)+VLOOKUP($E358&amp;$C358,生产方式定位!$F$3:$J$38,3,FALSE),0)</f>
        <v>100</v>
      </c>
      <c r="T358" s="2" t="s">
        <v>20</v>
      </c>
      <c r="U358" s="2">
        <v>1</v>
      </c>
      <c r="X358" s="15">
        <f>IFERROR(VLOOKUP($D358&amp;$C358,生产方式定位!$A$2:$E$38,5,FALSE)+VLOOKUP($E358&amp;$C358,生产方式定位!$F$3:$J$38,5,FALSE),"错误")</f>
        <v>2520</v>
      </c>
      <c r="Y358" s="26" t="str">
        <f t="shared" si="112"/>
        <v>泽洛*27,运力*8,交易*16</v>
      </c>
      <c r="Z358" s="36" t="str">
        <f t="shared" si="113"/>
        <v/>
      </c>
      <c r="AA358" s="36" t="str">
        <f t="shared" si="114"/>
        <v>灵能水晶*84</v>
      </c>
      <c r="AB358" s="27" t="str">
        <f t="shared" si="115"/>
        <v>58%</v>
      </c>
      <c r="AC358" s="2">
        <f t="shared" si="116"/>
        <v>820</v>
      </c>
      <c r="AD358" s="37">
        <f t="shared" si="117"/>
        <v>2</v>
      </c>
      <c r="AE358" t="str">
        <f t="shared" si="118"/>
        <v>泽洛*27</v>
      </c>
      <c r="AF358" t="str">
        <f t="shared" si="119"/>
        <v/>
      </c>
      <c r="AG358" t="str">
        <f t="shared" si="120"/>
        <v/>
      </c>
      <c r="AH358" t="str">
        <f t="shared" si="121"/>
        <v/>
      </c>
      <c r="AI358" t="str">
        <f t="shared" si="122"/>
        <v/>
      </c>
      <c r="AJ358" t="str">
        <f t="shared" si="123"/>
        <v>灵能水晶*84</v>
      </c>
      <c r="AK358" t="str">
        <f t="shared" si="124"/>
        <v/>
      </c>
      <c r="AL358">
        <f>IFERROR(ROUND(L358*(G358/$AU358)/VLOOKUP(F358,商品!$A$4:$B$60,2,FALSE),0),"")</f>
        <v>27</v>
      </c>
      <c r="AM358" t="str">
        <f>IFERROR(ROUND(L358*(I358/$AU358)/VLOOKUP(H358,商品!$A$4:$B$60,2,FALSE),0),"")</f>
        <v/>
      </c>
      <c r="AN358">
        <f>IFERROR(ROUND(L358*(J358/$AU358)/VLOOKUP("运力",商品!$A$4:$B$60,2,FALSE),0),0)</f>
        <v>8</v>
      </c>
      <c r="AO358">
        <f>IFERROR(ROUND(L358*(K358/$AU358)/VLOOKUP("交易",商品!$A$4:$B$60,2,FALSE),0),0)</f>
        <v>16</v>
      </c>
      <c r="AP358" t="str">
        <f>IFERROR(ROUND(S358*(N358/$AV358)/VLOOKUP(M358,职业!$A$4:$G$16,4,FALSE),0),"")</f>
        <v/>
      </c>
      <c r="AQ358" t="str">
        <f>IFERROR(ROUND(S358*(P358/$AV358)/VLOOKUP(O358,职业!$A$4:$G$16,4,FALSE),0),"")</f>
        <v/>
      </c>
      <c r="AR358" t="str">
        <f>IFERROR(ROUND(S358*(R358/$AV358)/VLOOKUP(Q358,职业!$A$4:$G$16,4,FALSE),0),"")</f>
        <v/>
      </c>
      <c r="AS358">
        <f>IFERROR(ROUND(X358*(U358/$AW358)/VLOOKUP(T358,商品!$A$4:$B$60,2,FALSE),0),"")</f>
        <v>84</v>
      </c>
      <c r="AT358" t="str">
        <f>IFERROR(ROUND(X358*(W358/$AW358)/VLOOKUP(V358,商品!$A$4:$B$60,2,FALSE),0),"")</f>
        <v/>
      </c>
      <c r="AU358">
        <f t="shared" si="125"/>
        <v>100</v>
      </c>
      <c r="AV358">
        <f t="shared" si="126"/>
        <v>0</v>
      </c>
      <c r="AW358">
        <f t="shared" si="127"/>
        <v>1</v>
      </c>
    </row>
    <row r="359" spans="1:49" ht="19.95" customHeight="1" x14ac:dyDescent="0.25">
      <c r="A359" s="15" t="s">
        <v>254</v>
      </c>
      <c r="C359" s="15">
        <v>3</v>
      </c>
      <c r="D359" s="23" t="s">
        <v>222</v>
      </c>
      <c r="E359" s="23" t="s">
        <v>172</v>
      </c>
      <c r="F359" s="2" t="s">
        <v>22</v>
      </c>
      <c r="G359" s="2">
        <v>85</v>
      </c>
      <c r="J359" s="24">
        <v>5</v>
      </c>
      <c r="K359" s="25">
        <v>10</v>
      </c>
      <c r="L359" s="15">
        <f>IFERROR(VLOOKUP($D359&amp;$C359,生产方式定位!$A$2:$E$38,2,FALSE)+VLOOKUP($E359&amp;$C359,生产方式定位!$F$3:$J$38,2,FALSE),0)</f>
        <v>1825</v>
      </c>
      <c r="S359" s="15">
        <f>IFERROR(VLOOKUP($D359&amp;$C359,生产方式定位!$A$2:$E$38,3,FALSE)+VLOOKUP($E359&amp;$C359,生产方式定位!$F$3:$J$38,3,FALSE),0)</f>
        <v>100</v>
      </c>
      <c r="T359" s="2" t="s">
        <v>20</v>
      </c>
      <c r="U359" s="2">
        <v>1</v>
      </c>
      <c r="X359" s="15">
        <f>IFERROR(VLOOKUP($D359&amp;$C359,生产方式定位!$A$2:$E$38,5,FALSE)+VLOOKUP($E359&amp;$C359,生产方式定位!$F$3:$J$38,5,FALSE),"错误")</f>
        <v>2830</v>
      </c>
      <c r="Y359" s="26" t="str">
        <f t="shared" si="112"/>
        <v>泽洛*31,运力*9,交易*18</v>
      </c>
      <c r="Z359" s="36" t="str">
        <f t="shared" si="113"/>
        <v/>
      </c>
      <c r="AA359" s="36" t="str">
        <f t="shared" si="114"/>
        <v>灵能水晶*94</v>
      </c>
      <c r="AB359" s="27" t="str">
        <f t="shared" si="115"/>
        <v>55%</v>
      </c>
      <c r="AC359" s="2">
        <f t="shared" si="116"/>
        <v>905</v>
      </c>
      <c r="AD359" s="38">
        <f t="shared" si="117"/>
        <v>3</v>
      </c>
      <c r="AE359" t="str">
        <f t="shared" si="118"/>
        <v>泽洛*31</v>
      </c>
      <c r="AF359" t="str">
        <f t="shared" si="119"/>
        <v/>
      </c>
      <c r="AG359" t="str">
        <f t="shared" si="120"/>
        <v/>
      </c>
      <c r="AH359" t="str">
        <f t="shared" si="121"/>
        <v/>
      </c>
      <c r="AI359" t="str">
        <f t="shared" si="122"/>
        <v/>
      </c>
      <c r="AJ359" t="str">
        <f t="shared" si="123"/>
        <v>灵能水晶*94</v>
      </c>
      <c r="AK359" t="str">
        <f t="shared" si="124"/>
        <v/>
      </c>
      <c r="AL359">
        <f>IFERROR(ROUND(L359*(G359/$AU359)/VLOOKUP(F359,商品!$A$4:$B$60,2,FALSE),0),"")</f>
        <v>31</v>
      </c>
      <c r="AM359" t="str">
        <f>IFERROR(ROUND(L359*(I359/$AU359)/VLOOKUP(H359,商品!$A$4:$B$60,2,FALSE),0),"")</f>
        <v/>
      </c>
      <c r="AN359">
        <f>IFERROR(ROUND(L359*(J359/$AU359)/VLOOKUP("运力",商品!$A$4:$B$60,2,FALSE),0),0)</f>
        <v>9</v>
      </c>
      <c r="AO359">
        <f>IFERROR(ROUND(L359*(K359/$AU359)/VLOOKUP("交易",商品!$A$4:$B$60,2,FALSE),0),0)</f>
        <v>18</v>
      </c>
      <c r="AP359" t="str">
        <f>IFERROR(ROUND(S359*(N359/$AV359)/VLOOKUP(M359,职业!$A$4:$G$16,4,FALSE),0),"")</f>
        <v/>
      </c>
      <c r="AQ359" t="str">
        <f>IFERROR(ROUND(S359*(P359/$AV359)/VLOOKUP(O359,职业!$A$4:$G$16,4,FALSE),0),"")</f>
        <v/>
      </c>
      <c r="AR359" t="str">
        <f>IFERROR(ROUND(S359*(R359/$AV359)/VLOOKUP(Q359,职业!$A$4:$G$16,4,FALSE),0),"")</f>
        <v/>
      </c>
      <c r="AS359">
        <f>IFERROR(ROUND(X359*(U359/$AW359)/VLOOKUP(T359,商品!$A$4:$B$60,2,FALSE),0),"")</f>
        <v>94</v>
      </c>
      <c r="AT359" t="str">
        <f>IFERROR(ROUND(X359*(W359/$AW359)/VLOOKUP(V359,商品!$A$4:$B$60,2,FALSE),0),"")</f>
        <v/>
      </c>
      <c r="AU359">
        <f t="shared" si="125"/>
        <v>100</v>
      </c>
      <c r="AV359">
        <f t="shared" si="126"/>
        <v>0</v>
      </c>
      <c r="AW359">
        <f t="shared" si="127"/>
        <v>1</v>
      </c>
    </row>
    <row r="360" spans="1:49" ht="19.95" customHeight="1" x14ac:dyDescent="0.25">
      <c r="A360" s="15" t="s">
        <v>254</v>
      </c>
      <c r="C360" s="15">
        <v>4</v>
      </c>
      <c r="D360" s="23" t="s">
        <v>222</v>
      </c>
      <c r="E360" s="23" t="s">
        <v>172</v>
      </c>
      <c r="F360" s="2" t="s">
        <v>22</v>
      </c>
      <c r="G360" s="2">
        <v>85</v>
      </c>
      <c r="J360" s="24">
        <v>5</v>
      </c>
      <c r="K360" s="25">
        <v>10</v>
      </c>
      <c r="L360" s="15">
        <f>IFERROR(VLOOKUP($D360&amp;$C360,生产方式定位!$A$2:$E$38,2,FALSE)+VLOOKUP($E360&amp;$C360,生产方式定位!$F$3:$J$38,2,FALSE),0)</f>
        <v>2050</v>
      </c>
      <c r="S360" s="15">
        <f>IFERROR(VLOOKUP($D360&amp;$C360,生产方式定位!$A$2:$E$38,3,FALSE)+VLOOKUP($E360&amp;$C360,生产方式定位!$F$3:$J$38,3,FALSE),0)</f>
        <v>100</v>
      </c>
      <c r="T360" s="2" t="s">
        <v>20</v>
      </c>
      <c r="U360" s="2">
        <v>1</v>
      </c>
      <c r="X360" s="15">
        <f>IFERROR(VLOOKUP($D360&amp;$C360,生产方式定位!$A$2:$E$38,5,FALSE)+VLOOKUP($E360&amp;$C360,生产方式定位!$F$3:$J$38,5,FALSE),"错误")</f>
        <v>3140</v>
      </c>
      <c r="Y360" s="26" t="str">
        <f t="shared" si="112"/>
        <v>泽洛*35,运力*10,交易*21</v>
      </c>
      <c r="Z360" s="36" t="str">
        <f t="shared" si="113"/>
        <v/>
      </c>
      <c r="AA360" s="36" t="str">
        <f t="shared" si="114"/>
        <v>灵能水晶*105</v>
      </c>
      <c r="AB360" s="27" t="str">
        <f t="shared" si="115"/>
        <v>53%</v>
      </c>
      <c r="AC360" s="2">
        <f t="shared" si="116"/>
        <v>990</v>
      </c>
      <c r="AD360" s="38">
        <f t="shared" si="117"/>
        <v>4</v>
      </c>
      <c r="AE360" t="str">
        <f t="shared" si="118"/>
        <v>泽洛*35</v>
      </c>
      <c r="AF360" t="str">
        <f t="shared" si="119"/>
        <v/>
      </c>
      <c r="AG360" t="str">
        <f t="shared" si="120"/>
        <v/>
      </c>
      <c r="AH360" t="str">
        <f t="shared" si="121"/>
        <v/>
      </c>
      <c r="AI360" t="str">
        <f t="shared" si="122"/>
        <v/>
      </c>
      <c r="AJ360" t="str">
        <f t="shared" si="123"/>
        <v>灵能水晶*105</v>
      </c>
      <c r="AK360" t="str">
        <f t="shared" si="124"/>
        <v/>
      </c>
      <c r="AL360">
        <f>IFERROR(ROUND(L360*(G360/$AU360)/VLOOKUP(F360,商品!$A$4:$B$60,2,FALSE),0),"")</f>
        <v>35</v>
      </c>
      <c r="AM360" t="str">
        <f>IFERROR(ROUND(L360*(I360/$AU360)/VLOOKUP(H360,商品!$A$4:$B$60,2,FALSE),0),"")</f>
        <v/>
      </c>
      <c r="AN360">
        <f>IFERROR(ROUND(L360*(J360/$AU360)/VLOOKUP("运力",商品!$A$4:$B$60,2,FALSE),0),0)</f>
        <v>10</v>
      </c>
      <c r="AO360">
        <f>IFERROR(ROUND(L360*(K360/$AU360)/VLOOKUP("交易",商品!$A$4:$B$60,2,FALSE),0),0)</f>
        <v>21</v>
      </c>
      <c r="AP360" t="str">
        <f>IFERROR(ROUND(S360*(N360/$AV360)/VLOOKUP(M360,职业!$A$4:$G$16,4,FALSE),0),"")</f>
        <v/>
      </c>
      <c r="AQ360" t="str">
        <f>IFERROR(ROUND(S360*(P360/$AV360)/VLOOKUP(O360,职业!$A$4:$G$16,4,FALSE),0),"")</f>
        <v/>
      </c>
      <c r="AR360" t="str">
        <f>IFERROR(ROUND(S360*(R360/$AV360)/VLOOKUP(Q360,职业!$A$4:$G$16,4,FALSE),0),"")</f>
        <v/>
      </c>
      <c r="AS360">
        <f>IFERROR(ROUND(X360*(U360/$AW360)/VLOOKUP(T360,商品!$A$4:$B$60,2,FALSE),0),"")</f>
        <v>105</v>
      </c>
      <c r="AT360" t="str">
        <f>IFERROR(ROUND(X360*(W360/$AW360)/VLOOKUP(V360,商品!$A$4:$B$60,2,FALSE),0),"")</f>
        <v/>
      </c>
      <c r="AU360">
        <f t="shared" si="125"/>
        <v>100</v>
      </c>
      <c r="AV360">
        <f t="shared" si="126"/>
        <v>0</v>
      </c>
      <c r="AW360">
        <f t="shared" si="127"/>
        <v>1</v>
      </c>
    </row>
    <row r="361" spans="1:49" ht="19.95" customHeight="1" x14ac:dyDescent="0.25">
      <c r="A361" s="15" t="s">
        <v>254</v>
      </c>
      <c r="C361" s="15">
        <v>5</v>
      </c>
      <c r="D361" s="23" t="s">
        <v>222</v>
      </c>
      <c r="E361" s="23" t="s">
        <v>172</v>
      </c>
      <c r="F361" s="2" t="s">
        <v>22</v>
      </c>
      <c r="G361" s="2">
        <v>85</v>
      </c>
      <c r="J361" s="24">
        <v>5</v>
      </c>
      <c r="K361" s="25">
        <v>10</v>
      </c>
      <c r="L361" s="15">
        <f>IFERROR(VLOOKUP($D361&amp;$C361,生产方式定位!$A$2:$E$38,2,FALSE)+VLOOKUP($E361&amp;$C361,生产方式定位!$F$3:$J$38,2,FALSE),0)</f>
        <v>2275</v>
      </c>
      <c r="S361" s="15">
        <f>IFERROR(VLOOKUP($D361&amp;$C361,生产方式定位!$A$2:$E$38,3,FALSE)+VLOOKUP($E361&amp;$C361,生产方式定位!$F$3:$J$38,3,FALSE),0)</f>
        <v>100</v>
      </c>
      <c r="T361" s="2" t="s">
        <v>20</v>
      </c>
      <c r="U361" s="2">
        <v>1</v>
      </c>
      <c r="X361" s="15">
        <f>IFERROR(VLOOKUP($D361&amp;$C361,生产方式定位!$A$2:$E$38,5,FALSE)+VLOOKUP($E361&amp;$C361,生产方式定位!$F$3:$J$38,5,FALSE),"错误")</f>
        <v>3450</v>
      </c>
      <c r="Y361" s="26" t="str">
        <f t="shared" si="112"/>
        <v>泽洛*39,运力*11,交易*23</v>
      </c>
      <c r="Z361" s="36" t="str">
        <f t="shared" si="113"/>
        <v/>
      </c>
      <c r="AA361" s="36" t="str">
        <f t="shared" si="114"/>
        <v>灵能水晶*115</v>
      </c>
      <c r="AB361" s="27" t="str">
        <f t="shared" si="115"/>
        <v>52%</v>
      </c>
      <c r="AC361" s="2">
        <f t="shared" si="116"/>
        <v>1075</v>
      </c>
      <c r="AD361" s="38">
        <f t="shared" si="117"/>
        <v>5</v>
      </c>
      <c r="AE361" t="str">
        <f t="shared" si="118"/>
        <v>泽洛*39</v>
      </c>
      <c r="AF361" t="str">
        <f t="shared" si="119"/>
        <v/>
      </c>
      <c r="AG361" t="str">
        <f t="shared" si="120"/>
        <v/>
      </c>
      <c r="AH361" t="str">
        <f t="shared" si="121"/>
        <v/>
      </c>
      <c r="AI361" t="str">
        <f t="shared" si="122"/>
        <v/>
      </c>
      <c r="AJ361" t="str">
        <f t="shared" si="123"/>
        <v>灵能水晶*115</v>
      </c>
      <c r="AK361" t="str">
        <f t="shared" si="124"/>
        <v/>
      </c>
      <c r="AL361">
        <f>IFERROR(ROUND(L361*(G361/$AU361)/VLOOKUP(F361,商品!$A$4:$B$60,2,FALSE),0),"")</f>
        <v>39</v>
      </c>
      <c r="AM361" t="str">
        <f>IFERROR(ROUND(L361*(I361/$AU361)/VLOOKUP(H361,商品!$A$4:$B$60,2,FALSE),0),"")</f>
        <v/>
      </c>
      <c r="AN361">
        <f>IFERROR(ROUND(L361*(J361/$AU361)/VLOOKUP("运力",商品!$A$4:$B$60,2,FALSE),0),0)</f>
        <v>11</v>
      </c>
      <c r="AO361">
        <f>IFERROR(ROUND(L361*(K361/$AU361)/VLOOKUP("交易",商品!$A$4:$B$60,2,FALSE),0),0)</f>
        <v>23</v>
      </c>
      <c r="AP361" t="str">
        <f>IFERROR(ROUND(S361*(N361/$AV361)/VLOOKUP(M361,职业!$A$4:$G$16,4,FALSE),0),"")</f>
        <v/>
      </c>
      <c r="AQ361" t="str">
        <f>IFERROR(ROUND(S361*(P361/$AV361)/VLOOKUP(O361,职业!$A$4:$G$16,4,FALSE),0),"")</f>
        <v/>
      </c>
      <c r="AR361" t="str">
        <f>IFERROR(ROUND(S361*(R361/$AV361)/VLOOKUP(Q361,职业!$A$4:$G$16,4,FALSE),0),"")</f>
        <v/>
      </c>
      <c r="AS361">
        <f>IFERROR(ROUND(X361*(U361/$AW361)/VLOOKUP(T361,商品!$A$4:$B$60,2,FALSE),0),"")</f>
        <v>115</v>
      </c>
      <c r="AT361" t="str">
        <f>IFERROR(ROUND(X361*(W361/$AW361)/VLOOKUP(V361,商品!$A$4:$B$60,2,FALSE),0),"")</f>
        <v/>
      </c>
      <c r="AU361">
        <f t="shared" si="125"/>
        <v>100</v>
      </c>
      <c r="AV361">
        <f t="shared" si="126"/>
        <v>0</v>
      </c>
      <c r="AW361">
        <f t="shared" si="127"/>
        <v>1</v>
      </c>
    </row>
    <row r="362" spans="1:49" ht="19.95" customHeight="1" x14ac:dyDescent="0.25">
      <c r="A362" s="16" t="s">
        <v>519</v>
      </c>
      <c r="C362" s="16">
        <v>1</v>
      </c>
      <c r="D362" s="23" t="s">
        <v>174</v>
      </c>
      <c r="E362" s="23" t="s">
        <v>175</v>
      </c>
      <c r="L362" s="16">
        <f>IFERROR(VLOOKUP($D362&amp;$C362,生产方式定位!$A$2:$E$38,2,FALSE)+VLOOKUP($E362&amp;$C362,生产方式定位!$F$3:$J$38,2,FALSE),0)</f>
        <v>0</v>
      </c>
      <c r="S362" s="16">
        <f>IFERROR(VLOOKUP($D362&amp;$C362,生产方式定位!$A$2:$E$38,3,FALSE)+VLOOKUP($E362&amp;$C362,生产方式定位!$F$3:$J$38,3,FALSE),0)</f>
        <v>0</v>
      </c>
      <c r="X362" s="16">
        <f>IFERROR(VLOOKUP($D362&amp;$C362,生产方式定位!$A$2:$E$38,5,FALSE)+VLOOKUP($E362&amp;$C362,生产方式定位!$F$3:$J$38,5,FALSE),"错误")</f>
        <v>0</v>
      </c>
      <c r="Y362" s="26" t="str">
        <f t="shared" si="112"/>
        <v/>
      </c>
      <c r="Z362" s="36" t="str">
        <f t="shared" si="113"/>
        <v/>
      </c>
      <c r="AA362" s="36" t="str">
        <f t="shared" si="114"/>
        <v/>
      </c>
      <c r="AB362" s="27" t="str">
        <f t="shared" si="115"/>
        <v/>
      </c>
      <c r="AC362" s="2" t="str">
        <f t="shared" si="116"/>
        <v/>
      </c>
      <c r="AD362" s="38">
        <f t="shared" si="117"/>
        <v>1</v>
      </c>
      <c r="AE362" t="str">
        <f t="shared" si="118"/>
        <v/>
      </c>
      <c r="AF362" t="str">
        <f t="shared" si="119"/>
        <v/>
      </c>
      <c r="AG362" t="str">
        <f t="shared" si="120"/>
        <v/>
      </c>
      <c r="AH362" t="str">
        <f t="shared" si="121"/>
        <v/>
      </c>
      <c r="AI362" t="str">
        <f t="shared" si="122"/>
        <v/>
      </c>
      <c r="AJ362" t="str">
        <f t="shared" si="123"/>
        <v/>
      </c>
      <c r="AK362" t="str">
        <f t="shared" si="124"/>
        <v/>
      </c>
      <c r="AL362" t="str">
        <f>IFERROR(ROUND(L362*(G362/$AU362)/VLOOKUP(F362,商品!$A$4:$B$60,2,FALSE),0),"")</f>
        <v/>
      </c>
      <c r="AM362" t="str">
        <f>IFERROR(ROUND(L362*(I362/$AU362)/VLOOKUP(H362,商品!$A$4:$B$60,2,FALSE),0),"")</f>
        <v/>
      </c>
      <c r="AN362">
        <f>IFERROR(ROUND(L362*(J362/$AU362)/VLOOKUP("运力",商品!$A$4:$B$60,2,FALSE),0),0)</f>
        <v>0</v>
      </c>
      <c r="AO362">
        <f>IFERROR(ROUND(L362*(K362/$AU362)/VLOOKUP("交易",商品!$A$4:$B$60,2,FALSE),0),0)</f>
        <v>0</v>
      </c>
      <c r="AP362" t="str">
        <f>IFERROR(ROUND(S362*(N362/$AV362)/VLOOKUP(M362,职业!$A$4:$G$16,4,FALSE),0),"")</f>
        <v/>
      </c>
      <c r="AQ362" t="str">
        <f>IFERROR(ROUND(S362*(P362/$AV362)/VLOOKUP(O362,职业!$A$4:$G$16,4,FALSE),0),"")</f>
        <v/>
      </c>
      <c r="AR362" t="str">
        <f>IFERROR(ROUND(S362*(R362/$AV362)/VLOOKUP(Q362,职业!$A$4:$G$16,4,FALSE),0),"")</f>
        <v/>
      </c>
      <c r="AS362" t="str">
        <f>IFERROR(ROUND(X362*(U362/$AW362)/VLOOKUP(T362,商品!$A$4:$B$60,2,FALSE),0),"")</f>
        <v/>
      </c>
      <c r="AT362" t="str">
        <f>IFERROR(ROUND(X362*(W362/$AW362)/VLOOKUP(V362,商品!$A$4:$B$60,2,FALSE),0),"")</f>
        <v/>
      </c>
      <c r="AU362">
        <f t="shared" si="125"/>
        <v>0</v>
      </c>
      <c r="AV362">
        <f t="shared" si="126"/>
        <v>0</v>
      </c>
      <c r="AW362">
        <f t="shared" si="127"/>
        <v>0</v>
      </c>
    </row>
    <row r="363" spans="1:49" ht="19.95" customHeight="1" x14ac:dyDescent="0.25">
      <c r="A363" s="16" t="s">
        <v>519</v>
      </c>
      <c r="C363" s="16">
        <v>2</v>
      </c>
      <c r="D363" s="23" t="s">
        <v>174</v>
      </c>
      <c r="E363" s="23" t="s">
        <v>175</v>
      </c>
      <c r="F363" s="2" t="s">
        <v>41</v>
      </c>
      <c r="G363" s="2">
        <v>10</v>
      </c>
      <c r="L363" s="16">
        <f>IFERROR(VLOOKUP($D363&amp;$C363,生产方式定位!$A$2:$E$38,2,FALSE)+VLOOKUP($E363&amp;$C363,生产方式定位!$F$3:$J$38,2,FALSE),0)</f>
        <v>50</v>
      </c>
      <c r="S363" s="16">
        <f>IFERROR(VLOOKUP($D363&amp;$C363,生产方式定位!$A$2:$E$38,3,FALSE)+VLOOKUP($E363&amp;$C363,生产方式定位!$F$3:$J$38,3,FALSE),0)</f>
        <v>10</v>
      </c>
      <c r="X363" s="16">
        <f>IFERROR(VLOOKUP($D363&amp;$C363,生产方式定位!$A$2:$E$38,5,FALSE)+VLOOKUP($E363&amp;$C363,生产方式定位!$F$3:$J$38,5,FALSE),"错误")</f>
        <v>0</v>
      </c>
      <c r="Y363" s="26" t="str">
        <f t="shared" si="112"/>
        <v>工具*1</v>
      </c>
      <c r="Z363" s="36" t="str">
        <f t="shared" si="113"/>
        <v/>
      </c>
      <c r="AA363" s="36" t="str">
        <f t="shared" si="114"/>
        <v/>
      </c>
      <c r="AB363" s="27" t="str">
        <f t="shared" si="115"/>
        <v>-100%</v>
      </c>
      <c r="AC363" s="2">
        <f t="shared" si="116"/>
        <v>-60</v>
      </c>
      <c r="AD363" s="38">
        <f t="shared" si="117"/>
        <v>2</v>
      </c>
      <c r="AE363" t="str">
        <f t="shared" si="118"/>
        <v>工具*1</v>
      </c>
      <c r="AF363" t="str">
        <f t="shared" si="119"/>
        <v/>
      </c>
      <c r="AG363" t="str">
        <f t="shared" si="120"/>
        <v/>
      </c>
      <c r="AH363" t="str">
        <f t="shared" si="121"/>
        <v/>
      </c>
      <c r="AI363" t="str">
        <f t="shared" si="122"/>
        <v/>
      </c>
      <c r="AJ363" t="str">
        <f t="shared" si="123"/>
        <v/>
      </c>
      <c r="AK363" t="str">
        <f t="shared" si="124"/>
        <v/>
      </c>
      <c r="AL363">
        <f>IFERROR(ROUND(L363*(G363/$AU363)/VLOOKUP(F363,商品!$A$4:$B$60,2,FALSE),0),"")</f>
        <v>1</v>
      </c>
      <c r="AM363" t="str">
        <f>IFERROR(ROUND(L363*(I363/$AU363)/VLOOKUP(H363,商品!$A$4:$B$60,2,FALSE),0),"")</f>
        <v/>
      </c>
      <c r="AN363">
        <f>IFERROR(ROUND(L363*(J363/$AU363)/VLOOKUP("运力",商品!$A$4:$B$60,2,FALSE),0),0)</f>
        <v>0</v>
      </c>
      <c r="AO363">
        <f>IFERROR(ROUND(L363*(K363/$AU363)/VLOOKUP("交易",商品!$A$4:$B$60,2,FALSE),0),0)</f>
        <v>0</v>
      </c>
      <c r="AP363" t="str">
        <f>IFERROR(ROUND(S363*(N363/$AV363)/VLOOKUP(M363,职业!$A$4:$G$16,4,FALSE),0),"")</f>
        <v/>
      </c>
      <c r="AQ363" t="str">
        <f>IFERROR(ROUND(S363*(P363/$AV363)/VLOOKUP(O363,职业!$A$4:$G$16,4,FALSE),0),"")</f>
        <v/>
      </c>
      <c r="AR363" t="str">
        <f>IFERROR(ROUND(S363*(R363/$AV363)/VLOOKUP(Q363,职业!$A$4:$G$16,4,FALSE),0),"")</f>
        <v/>
      </c>
      <c r="AS363" t="str">
        <f>IFERROR(ROUND(X363*(U363/$AW363)/VLOOKUP(T363,商品!$A$4:$B$60,2,FALSE),0),"")</f>
        <v/>
      </c>
      <c r="AT363" t="str">
        <f>IFERROR(ROUND(X363*(W363/$AW363)/VLOOKUP(V363,商品!$A$4:$B$60,2,FALSE),0),"")</f>
        <v/>
      </c>
      <c r="AU363">
        <f t="shared" si="125"/>
        <v>10</v>
      </c>
      <c r="AV363">
        <f t="shared" si="126"/>
        <v>0</v>
      </c>
      <c r="AW363">
        <f t="shared" si="127"/>
        <v>0</v>
      </c>
    </row>
    <row r="364" spans="1:49" ht="19.95" customHeight="1" x14ac:dyDescent="0.25">
      <c r="A364" s="16" t="s">
        <v>519</v>
      </c>
      <c r="C364" s="16">
        <v>3</v>
      </c>
      <c r="D364" s="23" t="s">
        <v>174</v>
      </c>
      <c r="E364" s="23" t="s">
        <v>175</v>
      </c>
      <c r="F364" s="2" t="s">
        <v>41</v>
      </c>
      <c r="G364" s="2">
        <v>10</v>
      </c>
      <c r="L364" s="16">
        <f>IFERROR(VLOOKUP($D364&amp;$C364,生产方式定位!$A$2:$E$38,2,FALSE)+VLOOKUP($E364&amp;$C364,生产方式定位!$F$3:$J$38,2,FALSE),0)</f>
        <v>100</v>
      </c>
      <c r="S364" s="16">
        <f>IFERROR(VLOOKUP($D364&amp;$C364,生产方式定位!$A$2:$E$38,3,FALSE)+VLOOKUP($E364&amp;$C364,生产方式定位!$F$3:$J$38,3,FALSE),0)</f>
        <v>20</v>
      </c>
      <c r="X364" s="16">
        <f>IFERROR(VLOOKUP($D364&amp;$C364,生产方式定位!$A$2:$E$38,5,FALSE)+VLOOKUP($E364&amp;$C364,生产方式定位!$F$3:$J$38,5,FALSE),"错误")</f>
        <v>0</v>
      </c>
      <c r="Y364" s="26" t="str">
        <f t="shared" si="112"/>
        <v>工具*3</v>
      </c>
      <c r="Z364" s="36" t="str">
        <f t="shared" si="113"/>
        <v/>
      </c>
      <c r="AA364" s="36" t="str">
        <f t="shared" si="114"/>
        <v/>
      </c>
      <c r="AB364" s="27" t="str">
        <f t="shared" si="115"/>
        <v>-100%</v>
      </c>
      <c r="AC364" s="2">
        <f t="shared" si="116"/>
        <v>-120</v>
      </c>
      <c r="AD364" s="38">
        <f t="shared" si="117"/>
        <v>3</v>
      </c>
      <c r="AE364" t="str">
        <f t="shared" si="118"/>
        <v>工具*3</v>
      </c>
      <c r="AF364" t="str">
        <f t="shared" si="119"/>
        <v/>
      </c>
      <c r="AG364" t="str">
        <f t="shared" si="120"/>
        <v/>
      </c>
      <c r="AH364" t="str">
        <f t="shared" si="121"/>
        <v/>
      </c>
      <c r="AI364" t="str">
        <f t="shared" si="122"/>
        <v/>
      </c>
      <c r="AJ364" t="str">
        <f t="shared" si="123"/>
        <v/>
      </c>
      <c r="AK364" t="str">
        <f t="shared" si="124"/>
        <v/>
      </c>
      <c r="AL364">
        <f>IFERROR(ROUND(L364*(G364/$AU364)/VLOOKUP(F364,商品!$A$4:$B$60,2,FALSE),0),"")</f>
        <v>3</v>
      </c>
      <c r="AM364" t="str">
        <f>IFERROR(ROUND(L364*(I364/$AU364)/VLOOKUP(H364,商品!$A$4:$B$60,2,FALSE),0),"")</f>
        <v/>
      </c>
      <c r="AN364">
        <f>IFERROR(ROUND(L364*(J364/$AU364)/VLOOKUP("运力",商品!$A$4:$B$60,2,FALSE),0),0)</f>
        <v>0</v>
      </c>
      <c r="AO364">
        <f>IFERROR(ROUND(L364*(K364/$AU364)/VLOOKUP("交易",商品!$A$4:$B$60,2,FALSE),0),0)</f>
        <v>0</v>
      </c>
      <c r="AP364" t="str">
        <f>IFERROR(ROUND(S364*(N364/$AV364)/VLOOKUP(M364,职业!$A$4:$G$16,4,FALSE),0),"")</f>
        <v/>
      </c>
      <c r="AQ364" t="str">
        <f>IFERROR(ROUND(S364*(P364/$AV364)/VLOOKUP(O364,职业!$A$4:$G$16,4,FALSE),0),"")</f>
        <v/>
      </c>
      <c r="AR364" t="str">
        <f>IFERROR(ROUND(S364*(R364/$AV364)/VLOOKUP(Q364,职业!$A$4:$G$16,4,FALSE),0),"")</f>
        <v/>
      </c>
      <c r="AS364" t="str">
        <f>IFERROR(ROUND(X364*(U364/$AW364)/VLOOKUP(T364,商品!$A$4:$B$60,2,FALSE),0),"")</f>
        <v/>
      </c>
      <c r="AT364" t="str">
        <f>IFERROR(ROUND(X364*(W364/$AW364)/VLOOKUP(V364,商品!$A$4:$B$60,2,FALSE),0),"")</f>
        <v/>
      </c>
      <c r="AU364">
        <f t="shared" si="125"/>
        <v>10</v>
      </c>
      <c r="AV364">
        <f t="shared" si="126"/>
        <v>0</v>
      </c>
      <c r="AW364">
        <f t="shared" si="127"/>
        <v>0</v>
      </c>
    </row>
    <row r="365" spans="1:49" ht="19.95" customHeight="1" x14ac:dyDescent="0.25">
      <c r="A365" s="16" t="s">
        <v>519</v>
      </c>
      <c r="C365" s="16">
        <v>4</v>
      </c>
      <c r="D365" s="23" t="s">
        <v>174</v>
      </c>
      <c r="E365" s="23" t="s">
        <v>175</v>
      </c>
      <c r="F365" s="2" t="s">
        <v>45</v>
      </c>
      <c r="G365" s="2">
        <v>5</v>
      </c>
      <c r="H365" s="2" t="s">
        <v>19</v>
      </c>
      <c r="I365" s="2">
        <v>10</v>
      </c>
      <c r="L365" s="16">
        <f>IFERROR(VLOOKUP($D365&amp;$C365,生产方式定位!$A$2:$E$38,2,FALSE)+VLOOKUP($E365&amp;$C365,生产方式定位!$F$3:$J$38,2,FALSE),0)</f>
        <v>150</v>
      </c>
      <c r="S365" s="16">
        <f>IFERROR(VLOOKUP($D365&amp;$C365,生产方式定位!$A$2:$E$38,3,FALSE)+VLOOKUP($E365&amp;$C365,生产方式定位!$F$3:$J$38,3,FALSE),0)</f>
        <v>30</v>
      </c>
      <c r="X365" s="16">
        <f>IFERROR(VLOOKUP($D365&amp;$C365,生产方式定位!$A$2:$E$38,5,FALSE)+VLOOKUP($E365&amp;$C365,生产方式定位!$F$3:$J$38,5,FALSE),"错误")</f>
        <v>0</v>
      </c>
      <c r="Y365" s="26" t="str">
        <f t="shared" si="112"/>
        <v>科学引擎*1,煤*3</v>
      </c>
      <c r="Z365" s="36" t="str">
        <f t="shared" si="113"/>
        <v/>
      </c>
      <c r="AA365" s="36" t="str">
        <f t="shared" si="114"/>
        <v/>
      </c>
      <c r="AB365" s="27" t="str">
        <f t="shared" si="115"/>
        <v>-100%</v>
      </c>
      <c r="AC365" s="2">
        <f t="shared" si="116"/>
        <v>-180</v>
      </c>
      <c r="AD365" s="38">
        <f t="shared" si="117"/>
        <v>4</v>
      </c>
      <c r="AE365" t="str">
        <f t="shared" si="118"/>
        <v>科学引擎*1</v>
      </c>
      <c r="AF365" t="str">
        <f t="shared" si="119"/>
        <v>煤*3</v>
      </c>
      <c r="AG365" t="str">
        <f t="shared" si="120"/>
        <v/>
      </c>
      <c r="AH365" t="str">
        <f t="shared" si="121"/>
        <v/>
      </c>
      <c r="AI365" t="str">
        <f t="shared" si="122"/>
        <v/>
      </c>
      <c r="AJ365" t="str">
        <f t="shared" si="123"/>
        <v/>
      </c>
      <c r="AK365" t="str">
        <f t="shared" si="124"/>
        <v/>
      </c>
      <c r="AL365">
        <f>IFERROR(ROUND(L365*(G365/$AU365)/VLOOKUP(F365,商品!$A$4:$B$60,2,FALSE),0),"")</f>
        <v>1</v>
      </c>
      <c r="AM365">
        <f>IFERROR(ROUND(L365*(I365/$AU365)/VLOOKUP(H365,商品!$A$4:$B$60,2,FALSE),0),"")</f>
        <v>3</v>
      </c>
      <c r="AN365">
        <f>IFERROR(ROUND(L365*(J365/$AU365)/VLOOKUP("运力",商品!$A$4:$B$60,2,FALSE),0),0)</f>
        <v>0</v>
      </c>
      <c r="AO365">
        <f>IFERROR(ROUND(L365*(K365/$AU365)/VLOOKUP("交易",商品!$A$4:$B$60,2,FALSE),0),0)</f>
        <v>0</v>
      </c>
      <c r="AP365" t="str">
        <f>IFERROR(ROUND(S365*(N365/$AV365)/VLOOKUP(M365,职业!$A$4:$G$16,4,FALSE),0),"")</f>
        <v/>
      </c>
      <c r="AQ365" t="str">
        <f>IFERROR(ROUND(S365*(P365/$AV365)/VLOOKUP(O365,职业!$A$4:$G$16,4,FALSE),0),"")</f>
        <v/>
      </c>
      <c r="AR365" t="str">
        <f>IFERROR(ROUND(S365*(R365/$AV365)/VLOOKUP(Q365,职业!$A$4:$G$16,4,FALSE),0),"")</f>
        <v/>
      </c>
      <c r="AS365" t="str">
        <f>IFERROR(ROUND(X365*(U365/$AW365)/VLOOKUP(T365,商品!$A$4:$B$60,2,FALSE),0),"")</f>
        <v/>
      </c>
      <c r="AT365" t="str">
        <f>IFERROR(ROUND(X365*(W365/$AW365)/VLOOKUP(V365,商品!$A$4:$B$60,2,FALSE),0),"")</f>
        <v/>
      </c>
      <c r="AU365">
        <f t="shared" si="125"/>
        <v>15</v>
      </c>
      <c r="AV365">
        <f t="shared" si="126"/>
        <v>0</v>
      </c>
      <c r="AW365">
        <f t="shared" si="127"/>
        <v>0</v>
      </c>
    </row>
    <row r="366" spans="1:49" ht="19.95" customHeight="1" x14ac:dyDescent="0.25">
      <c r="A366" s="16" t="s">
        <v>519</v>
      </c>
      <c r="C366" s="16">
        <v>5</v>
      </c>
      <c r="D366" s="23" t="s">
        <v>174</v>
      </c>
      <c r="E366" s="23" t="s">
        <v>175</v>
      </c>
      <c r="F366" s="2" t="s">
        <v>46</v>
      </c>
      <c r="G366" s="2">
        <v>5</v>
      </c>
      <c r="H366" s="2" t="s">
        <v>19</v>
      </c>
      <c r="I366" s="2">
        <v>10</v>
      </c>
      <c r="L366" s="16">
        <f>IFERROR(VLOOKUP($D366&amp;$C366,生产方式定位!$A$2:$E$38,2,FALSE)+VLOOKUP($E366&amp;$C366,生产方式定位!$F$3:$J$38,2,FALSE),0)</f>
        <v>200</v>
      </c>
      <c r="S366" s="16">
        <f>IFERROR(VLOOKUP($D366&amp;$C366,生产方式定位!$A$2:$E$38,3,FALSE)+VLOOKUP($E366&amp;$C366,生产方式定位!$F$3:$J$38,3,FALSE),0)</f>
        <v>40</v>
      </c>
      <c r="X366" s="16">
        <f>IFERROR(VLOOKUP($D366&amp;$C366,生产方式定位!$A$2:$E$38,5,FALSE)+VLOOKUP($E366&amp;$C366,生产方式定位!$F$3:$J$38,5,FALSE),"错误")</f>
        <v>0</v>
      </c>
      <c r="Y366" s="26" t="str">
        <f t="shared" si="112"/>
        <v>魔导引擎*1,煤*4</v>
      </c>
      <c r="Z366" s="36" t="str">
        <f t="shared" si="113"/>
        <v/>
      </c>
      <c r="AA366" s="36" t="str">
        <f t="shared" si="114"/>
        <v/>
      </c>
      <c r="AB366" s="27" t="str">
        <f t="shared" si="115"/>
        <v>-100%</v>
      </c>
      <c r="AC366" s="2">
        <f t="shared" si="116"/>
        <v>-240</v>
      </c>
      <c r="AD366" s="38">
        <f t="shared" si="117"/>
        <v>5</v>
      </c>
      <c r="AE366" t="str">
        <f t="shared" si="118"/>
        <v>魔导引擎*1</v>
      </c>
      <c r="AF366" t="str">
        <f t="shared" si="119"/>
        <v>煤*4</v>
      </c>
      <c r="AG366" t="str">
        <f t="shared" si="120"/>
        <v/>
      </c>
      <c r="AH366" t="str">
        <f t="shared" si="121"/>
        <v/>
      </c>
      <c r="AI366" t="str">
        <f t="shared" si="122"/>
        <v/>
      </c>
      <c r="AJ366" t="str">
        <f t="shared" si="123"/>
        <v/>
      </c>
      <c r="AK366" t="str">
        <f t="shared" si="124"/>
        <v/>
      </c>
      <c r="AL366">
        <f>IFERROR(ROUND(L366*(G366/$AU366)/VLOOKUP(F366,商品!$A$4:$B$60,2,FALSE),0),"")</f>
        <v>1</v>
      </c>
      <c r="AM366">
        <f>IFERROR(ROUND(L366*(I366/$AU366)/VLOOKUP(H366,商品!$A$4:$B$60,2,FALSE),0),"")</f>
        <v>4</v>
      </c>
      <c r="AN366">
        <f>IFERROR(ROUND(L366*(J366/$AU366)/VLOOKUP("运力",商品!$A$4:$B$60,2,FALSE),0),0)</f>
        <v>0</v>
      </c>
      <c r="AO366">
        <f>IFERROR(ROUND(L366*(K366/$AU366)/VLOOKUP("交易",商品!$A$4:$B$60,2,FALSE),0),0)</f>
        <v>0</v>
      </c>
      <c r="AP366" t="str">
        <f>IFERROR(ROUND(S366*(N366/$AV366)/VLOOKUP(M366,职业!$A$4:$G$16,4,FALSE),0),"")</f>
        <v/>
      </c>
      <c r="AQ366" t="str">
        <f>IFERROR(ROUND(S366*(P366/$AV366)/VLOOKUP(O366,职业!$A$4:$G$16,4,FALSE),0),"")</f>
        <v/>
      </c>
      <c r="AR366" t="str">
        <f>IFERROR(ROUND(S366*(R366/$AV366)/VLOOKUP(Q366,职业!$A$4:$G$16,4,FALSE),0),"")</f>
        <v/>
      </c>
      <c r="AS366" t="str">
        <f>IFERROR(ROUND(X366*(U366/$AW366)/VLOOKUP(T366,商品!$A$4:$B$60,2,FALSE),0),"")</f>
        <v/>
      </c>
      <c r="AT366" t="str">
        <f>IFERROR(ROUND(X366*(W366/$AW366)/VLOOKUP(V366,商品!$A$4:$B$60,2,FALSE),0),"")</f>
        <v/>
      </c>
      <c r="AU366">
        <f t="shared" si="125"/>
        <v>15</v>
      </c>
      <c r="AV366">
        <f t="shared" si="126"/>
        <v>0</v>
      </c>
      <c r="AW366">
        <f t="shared" si="127"/>
        <v>0</v>
      </c>
    </row>
    <row r="367" spans="1:49" ht="19.95" customHeight="1" x14ac:dyDescent="0.25">
      <c r="A367" s="15" t="s">
        <v>519</v>
      </c>
      <c r="C367" s="15">
        <v>1</v>
      </c>
      <c r="D367" s="23" t="s">
        <v>174</v>
      </c>
      <c r="E367" s="23" t="s">
        <v>177</v>
      </c>
      <c r="L367" s="15">
        <f>IFERROR(VLOOKUP($D367&amp;$C367,生产方式定位!$A$2:$E$38,2,FALSE)+VLOOKUP($E367&amp;$C367,生产方式定位!$F$3:$J$38,2,FALSE),0)</f>
        <v>0</v>
      </c>
      <c r="S367" s="15">
        <f>IFERROR(VLOOKUP($D367&amp;$C367,生产方式定位!$A$2:$E$38,3,FALSE)+VLOOKUP($E367&amp;$C367,生产方式定位!$F$3:$J$38,3,FALSE),0)</f>
        <v>0</v>
      </c>
      <c r="X367" s="15">
        <f>IFERROR(VLOOKUP($D367&amp;$C367,生产方式定位!$A$2:$E$38,5,FALSE)+VLOOKUP($E367&amp;$C367,生产方式定位!$F$3:$J$38,5,FALSE),"错误")</f>
        <v>0</v>
      </c>
      <c r="Y367" s="26" t="str">
        <f t="shared" si="112"/>
        <v/>
      </c>
      <c r="Z367" s="36" t="str">
        <f t="shared" si="113"/>
        <v/>
      </c>
      <c r="AA367" s="36" t="str">
        <f t="shared" si="114"/>
        <v/>
      </c>
      <c r="AB367" s="27" t="str">
        <f t="shared" si="115"/>
        <v/>
      </c>
      <c r="AC367" s="2" t="str">
        <f t="shared" si="116"/>
        <v/>
      </c>
      <c r="AD367" s="37">
        <f t="shared" si="117"/>
        <v>1</v>
      </c>
      <c r="AE367" t="str">
        <f t="shared" si="118"/>
        <v/>
      </c>
      <c r="AF367" t="str">
        <f t="shared" si="119"/>
        <v/>
      </c>
      <c r="AG367" t="str">
        <f t="shared" si="120"/>
        <v/>
      </c>
      <c r="AH367" t="str">
        <f t="shared" si="121"/>
        <v/>
      </c>
      <c r="AI367" t="str">
        <f t="shared" si="122"/>
        <v/>
      </c>
      <c r="AJ367" t="str">
        <f t="shared" si="123"/>
        <v/>
      </c>
      <c r="AK367" t="str">
        <f t="shared" si="124"/>
        <v/>
      </c>
      <c r="AL367" t="str">
        <f>IFERROR(ROUND(L367*(G367/$AU367)/VLOOKUP(F367,商品!$A$4:$B$60,2,FALSE),0),"")</f>
        <v/>
      </c>
      <c r="AM367" t="str">
        <f>IFERROR(ROUND(L367*(I367/$AU367)/VLOOKUP(H367,商品!$A$4:$B$60,2,FALSE),0),"")</f>
        <v/>
      </c>
      <c r="AN367">
        <f>IFERROR(ROUND(L367*(J367/$AU367)/VLOOKUP("运力",商品!$A$4:$B$60,2,FALSE),0),0)</f>
        <v>0</v>
      </c>
      <c r="AO367">
        <f>IFERROR(ROUND(L367*(K367/$AU367)/VLOOKUP("交易",商品!$A$4:$B$60,2,FALSE),0),0)</f>
        <v>0</v>
      </c>
      <c r="AP367" t="str">
        <f>IFERROR(ROUND(S367*(N367/$AV367)/VLOOKUP(M367,职业!$A$4:$G$16,4,FALSE),0),"")</f>
        <v/>
      </c>
      <c r="AQ367" t="str">
        <f>IFERROR(ROUND(S367*(P367/$AV367)/VLOOKUP(O367,职业!$A$4:$G$16,4,FALSE),0),"")</f>
        <v/>
      </c>
      <c r="AR367" t="str">
        <f>IFERROR(ROUND(S367*(R367/$AV367)/VLOOKUP(Q367,职业!$A$4:$G$16,4,FALSE),0),"")</f>
        <v/>
      </c>
      <c r="AS367" t="str">
        <f>IFERROR(ROUND(X367*(U367/$AW367)/VLOOKUP(T367,商品!$A$4:$B$60,2,FALSE),0),"")</f>
        <v/>
      </c>
      <c r="AT367" t="str">
        <f>IFERROR(ROUND(X367*(W367/$AW367)/VLOOKUP(V367,商品!$A$4:$B$60,2,FALSE),0),"")</f>
        <v/>
      </c>
      <c r="AU367">
        <f t="shared" si="125"/>
        <v>0</v>
      </c>
      <c r="AV367">
        <f t="shared" si="126"/>
        <v>0</v>
      </c>
      <c r="AW367">
        <f t="shared" si="127"/>
        <v>0</v>
      </c>
    </row>
    <row r="368" spans="1:49" ht="19.95" customHeight="1" x14ac:dyDescent="0.25">
      <c r="A368" s="15" t="s">
        <v>519</v>
      </c>
      <c r="C368" s="15">
        <v>2</v>
      </c>
      <c r="D368" s="23" t="s">
        <v>174</v>
      </c>
      <c r="E368" s="23" t="s">
        <v>177</v>
      </c>
      <c r="F368" s="2" t="s">
        <v>42</v>
      </c>
      <c r="G368" s="2">
        <v>5</v>
      </c>
      <c r="H368" s="2" t="s">
        <v>20</v>
      </c>
      <c r="I368" s="2">
        <v>10</v>
      </c>
      <c r="L368" s="15">
        <f>IFERROR(VLOOKUP($D368&amp;$C368,生产方式定位!$A$2:$E$38,2,FALSE)+VLOOKUP($E368&amp;$C368,生产方式定位!$F$3:$J$38,2,FALSE),0)</f>
        <v>105</v>
      </c>
      <c r="S368" s="15">
        <f>IFERROR(VLOOKUP($D368&amp;$C368,生产方式定位!$A$2:$E$38,3,FALSE)+VLOOKUP($E368&amp;$C368,生产方式定位!$F$3:$J$38,3,FALSE),0)</f>
        <v>15</v>
      </c>
      <c r="X368" s="15">
        <f>IFERROR(VLOOKUP($D368&amp;$C368,生产方式定位!$A$2:$E$38,5,FALSE)+VLOOKUP($E368&amp;$C368,生产方式定位!$F$3:$J$38,5,FALSE),"错误")</f>
        <v>0</v>
      </c>
      <c r="Y368" s="26" t="str">
        <f t="shared" si="112"/>
        <v>魔偶*1,灵能水晶*2</v>
      </c>
      <c r="Z368" s="36" t="str">
        <f t="shared" si="113"/>
        <v/>
      </c>
      <c r="AA368" s="36" t="str">
        <f t="shared" si="114"/>
        <v/>
      </c>
      <c r="AB368" s="27" t="str">
        <f t="shared" si="115"/>
        <v>-100%</v>
      </c>
      <c r="AC368" s="2">
        <f t="shared" si="116"/>
        <v>-120</v>
      </c>
      <c r="AD368" s="37">
        <f t="shared" si="117"/>
        <v>2</v>
      </c>
      <c r="AE368" t="str">
        <f t="shared" si="118"/>
        <v>魔偶*1</v>
      </c>
      <c r="AF368" t="str">
        <f t="shared" si="119"/>
        <v>灵能水晶*2</v>
      </c>
      <c r="AG368" t="str">
        <f t="shared" si="120"/>
        <v/>
      </c>
      <c r="AH368" t="str">
        <f t="shared" si="121"/>
        <v/>
      </c>
      <c r="AI368" t="str">
        <f t="shared" si="122"/>
        <v/>
      </c>
      <c r="AJ368" t="str">
        <f t="shared" si="123"/>
        <v/>
      </c>
      <c r="AK368" t="str">
        <f t="shared" si="124"/>
        <v/>
      </c>
      <c r="AL368">
        <f>IFERROR(ROUND(L368*(G368/$AU368)/VLOOKUP(F368,商品!$A$4:$B$60,2,FALSE),0),"")</f>
        <v>1</v>
      </c>
      <c r="AM368">
        <f>IFERROR(ROUND(L368*(I368/$AU368)/VLOOKUP(H368,商品!$A$4:$B$60,2,FALSE),0),"")</f>
        <v>2</v>
      </c>
      <c r="AN368">
        <f>IFERROR(ROUND(L368*(J368/$AU368)/VLOOKUP("运力",商品!$A$4:$B$60,2,FALSE),0),0)</f>
        <v>0</v>
      </c>
      <c r="AO368">
        <f>IFERROR(ROUND(L368*(K368/$AU368)/VLOOKUP("交易",商品!$A$4:$B$60,2,FALSE),0),0)</f>
        <v>0</v>
      </c>
      <c r="AP368" t="str">
        <f>IFERROR(ROUND(S368*(N368/$AV368)/VLOOKUP(M368,职业!$A$4:$G$16,4,FALSE),0),"")</f>
        <v/>
      </c>
      <c r="AQ368" t="str">
        <f>IFERROR(ROUND(S368*(P368/$AV368)/VLOOKUP(O368,职业!$A$4:$G$16,4,FALSE),0),"")</f>
        <v/>
      </c>
      <c r="AR368" t="str">
        <f>IFERROR(ROUND(S368*(R368/$AV368)/VLOOKUP(Q368,职业!$A$4:$G$16,4,FALSE),0),"")</f>
        <v/>
      </c>
      <c r="AS368" t="str">
        <f>IFERROR(ROUND(X368*(U368/$AW368)/VLOOKUP(T368,商品!$A$4:$B$60,2,FALSE),0),"")</f>
        <v/>
      </c>
      <c r="AT368" t="str">
        <f>IFERROR(ROUND(X368*(W368/$AW368)/VLOOKUP(V368,商品!$A$4:$B$60,2,FALSE),0),"")</f>
        <v/>
      </c>
      <c r="AU368">
        <f t="shared" si="125"/>
        <v>15</v>
      </c>
      <c r="AV368">
        <f t="shared" si="126"/>
        <v>0</v>
      </c>
      <c r="AW368">
        <f t="shared" si="127"/>
        <v>0</v>
      </c>
    </row>
    <row r="369" spans="1:49" ht="19.95" customHeight="1" x14ac:dyDescent="0.25">
      <c r="A369" s="15" t="s">
        <v>519</v>
      </c>
      <c r="C369" s="15">
        <v>3</v>
      </c>
      <c r="D369" s="23" t="s">
        <v>174</v>
      </c>
      <c r="E369" s="23" t="s">
        <v>177</v>
      </c>
      <c r="F369" s="2" t="s">
        <v>42</v>
      </c>
      <c r="G369" s="2">
        <v>5</v>
      </c>
      <c r="H369" s="2" t="s">
        <v>20</v>
      </c>
      <c r="I369" s="2">
        <v>10</v>
      </c>
      <c r="L369" s="15">
        <f>IFERROR(VLOOKUP($D369&amp;$C369,生产方式定位!$A$2:$E$38,2,FALSE)+VLOOKUP($E369&amp;$C369,生产方式定位!$F$3:$J$38,2,FALSE),0)</f>
        <v>210</v>
      </c>
      <c r="S369" s="15">
        <f>IFERROR(VLOOKUP($D369&amp;$C369,生产方式定位!$A$2:$E$38,3,FALSE)+VLOOKUP($E369&amp;$C369,生产方式定位!$F$3:$J$38,3,FALSE),0)</f>
        <v>30</v>
      </c>
      <c r="X369" s="15">
        <f>IFERROR(VLOOKUP($D369&amp;$C369,生产方式定位!$A$2:$E$38,5,FALSE)+VLOOKUP($E369&amp;$C369,生产方式定位!$F$3:$J$38,5,FALSE),"错误")</f>
        <v>0</v>
      </c>
      <c r="Y369" s="26" t="str">
        <f t="shared" si="112"/>
        <v>魔偶*2,灵能水晶*5</v>
      </c>
      <c r="Z369" s="36" t="str">
        <f t="shared" si="113"/>
        <v/>
      </c>
      <c r="AA369" s="36" t="str">
        <f t="shared" si="114"/>
        <v/>
      </c>
      <c r="AB369" s="27" t="str">
        <f t="shared" si="115"/>
        <v>-100%</v>
      </c>
      <c r="AC369" s="2">
        <f t="shared" si="116"/>
        <v>-240</v>
      </c>
      <c r="AD369" s="37">
        <f t="shared" si="117"/>
        <v>3</v>
      </c>
      <c r="AE369" t="str">
        <f t="shared" si="118"/>
        <v>魔偶*2</v>
      </c>
      <c r="AF369" t="str">
        <f t="shared" si="119"/>
        <v>灵能水晶*5</v>
      </c>
      <c r="AG369" t="str">
        <f t="shared" si="120"/>
        <v/>
      </c>
      <c r="AH369" t="str">
        <f t="shared" si="121"/>
        <v/>
      </c>
      <c r="AI369" t="str">
        <f t="shared" si="122"/>
        <v/>
      </c>
      <c r="AJ369" t="str">
        <f t="shared" si="123"/>
        <v/>
      </c>
      <c r="AK369" t="str">
        <f t="shared" si="124"/>
        <v/>
      </c>
      <c r="AL369">
        <f>IFERROR(ROUND(L369*(G369/$AU369)/VLOOKUP(F369,商品!$A$4:$B$60,2,FALSE),0),"")</f>
        <v>2</v>
      </c>
      <c r="AM369">
        <f>IFERROR(ROUND(L369*(I369/$AU369)/VLOOKUP(H369,商品!$A$4:$B$60,2,FALSE),0),"")</f>
        <v>5</v>
      </c>
      <c r="AN369">
        <f>IFERROR(ROUND(L369*(J369/$AU369)/VLOOKUP("运力",商品!$A$4:$B$60,2,FALSE),0),0)</f>
        <v>0</v>
      </c>
      <c r="AO369">
        <f>IFERROR(ROUND(L369*(K369/$AU369)/VLOOKUP("交易",商品!$A$4:$B$60,2,FALSE),0),0)</f>
        <v>0</v>
      </c>
      <c r="AP369" t="str">
        <f>IFERROR(ROUND(S369*(N369/$AV369)/VLOOKUP(M369,职业!$A$4:$G$16,4,FALSE),0),"")</f>
        <v/>
      </c>
      <c r="AQ369" t="str">
        <f>IFERROR(ROUND(S369*(P369/$AV369)/VLOOKUP(O369,职业!$A$4:$G$16,4,FALSE),0),"")</f>
        <v/>
      </c>
      <c r="AR369" t="str">
        <f>IFERROR(ROUND(S369*(R369/$AV369)/VLOOKUP(Q369,职业!$A$4:$G$16,4,FALSE),0),"")</f>
        <v/>
      </c>
      <c r="AS369" t="str">
        <f>IFERROR(ROUND(X369*(U369/$AW369)/VLOOKUP(T369,商品!$A$4:$B$60,2,FALSE),0),"")</f>
        <v/>
      </c>
      <c r="AT369" t="str">
        <f>IFERROR(ROUND(X369*(W369/$AW369)/VLOOKUP(V369,商品!$A$4:$B$60,2,FALSE),0),"")</f>
        <v/>
      </c>
      <c r="AU369">
        <f t="shared" si="125"/>
        <v>15</v>
      </c>
      <c r="AV369">
        <f t="shared" si="126"/>
        <v>0</v>
      </c>
      <c r="AW369">
        <f t="shared" si="127"/>
        <v>0</v>
      </c>
    </row>
    <row r="370" spans="1:49" ht="19.95" customHeight="1" x14ac:dyDescent="0.25">
      <c r="A370" s="15" t="s">
        <v>519</v>
      </c>
      <c r="C370" s="15">
        <v>4</v>
      </c>
      <c r="D370" s="23" t="s">
        <v>174</v>
      </c>
      <c r="E370" s="23" t="s">
        <v>177</v>
      </c>
      <c r="F370" s="2" t="s">
        <v>42</v>
      </c>
      <c r="G370" s="2">
        <v>5</v>
      </c>
      <c r="H370" s="2" t="s">
        <v>20</v>
      </c>
      <c r="I370" s="2">
        <v>10</v>
      </c>
      <c r="L370" s="15">
        <f>IFERROR(VLOOKUP($D370&amp;$C370,生产方式定位!$A$2:$E$38,2,FALSE)+VLOOKUP($E370&amp;$C370,生产方式定位!$F$3:$J$38,2,FALSE),0)</f>
        <v>315</v>
      </c>
      <c r="S370" s="15">
        <f>IFERROR(VLOOKUP($D370&amp;$C370,生产方式定位!$A$2:$E$38,3,FALSE)+VLOOKUP($E370&amp;$C370,生产方式定位!$F$3:$J$38,3,FALSE),0)</f>
        <v>45</v>
      </c>
      <c r="X370" s="15">
        <f>IFERROR(VLOOKUP($D370&amp;$C370,生产方式定位!$A$2:$E$38,5,FALSE)+VLOOKUP($E370&amp;$C370,生产方式定位!$F$3:$J$38,5,FALSE),"错误")</f>
        <v>0</v>
      </c>
      <c r="Y370" s="26" t="str">
        <f t="shared" si="112"/>
        <v>魔偶*3,灵能水晶*7</v>
      </c>
      <c r="Z370" s="36" t="str">
        <f t="shared" si="113"/>
        <v/>
      </c>
      <c r="AA370" s="36" t="str">
        <f t="shared" si="114"/>
        <v/>
      </c>
      <c r="AB370" s="27" t="str">
        <f t="shared" si="115"/>
        <v>-100%</v>
      </c>
      <c r="AC370" s="2">
        <f t="shared" si="116"/>
        <v>-360</v>
      </c>
      <c r="AD370" s="37">
        <f t="shared" si="117"/>
        <v>4</v>
      </c>
      <c r="AE370" t="str">
        <f t="shared" si="118"/>
        <v>魔偶*3</v>
      </c>
      <c r="AF370" t="str">
        <f t="shared" si="119"/>
        <v>灵能水晶*7</v>
      </c>
      <c r="AG370" t="str">
        <f t="shared" si="120"/>
        <v/>
      </c>
      <c r="AH370" t="str">
        <f t="shared" si="121"/>
        <v/>
      </c>
      <c r="AI370" t="str">
        <f t="shared" si="122"/>
        <v/>
      </c>
      <c r="AJ370" t="str">
        <f t="shared" si="123"/>
        <v/>
      </c>
      <c r="AK370" t="str">
        <f t="shared" si="124"/>
        <v/>
      </c>
      <c r="AL370">
        <f>IFERROR(ROUND(L370*(G370/$AU370)/VLOOKUP(F370,商品!$A$4:$B$60,2,FALSE),0),"")</f>
        <v>3</v>
      </c>
      <c r="AM370">
        <f>IFERROR(ROUND(L370*(I370/$AU370)/VLOOKUP(H370,商品!$A$4:$B$60,2,FALSE),0),"")</f>
        <v>7</v>
      </c>
      <c r="AN370">
        <f>IFERROR(ROUND(L370*(J370/$AU370)/VLOOKUP("运力",商品!$A$4:$B$60,2,FALSE),0),0)</f>
        <v>0</v>
      </c>
      <c r="AO370">
        <f>IFERROR(ROUND(L370*(K370/$AU370)/VLOOKUP("交易",商品!$A$4:$B$60,2,FALSE),0),0)</f>
        <v>0</v>
      </c>
      <c r="AP370" t="str">
        <f>IFERROR(ROUND(S370*(N370/$AV370)/VLOOKUP(M370,职业!$A$4:$G$16,4,FALSE),0),"")</f>
        <v/>
      </c>
      <c r="AQ370" t="str">
        <f>IFERROR(ROUND(S370*(P370/$AV370)/VLOOKUP(O370,职业!$A$4:$G$16,4,FALSE),0),"")</f>
        <v/>
      </c>
      <c r="AR370" t="str">
        <f>IFERROR(ROUND(S370*(R370/$AV370)/VLOOKUP(Q370,职业!$A$4:$G$16,4,FALSE),0),"")</f>
        <v/>
      </c>
      <c r="AS370" t="str">
        <f>IFERROR(ROUND(X370*(U370/$AW370)/VLOOKUP(T370,商品!$A$4:$B$60,2,FALSE),0),"")</f>
        <v/>
      </c>
      <c r="AT370" t="str">
        <f>IFERROR(ROUND(X370*(W370/$AW370)/VLOOKUP(V370,商品!$A$4:$B$60,2,FALSE),0),"")</f>
        <v/>
      </c>
      <c r="AU370">
        <f t="shared" si="125"/>
        <v>15</v>
      </c>
      <c r="AV370">
        <f t="shared" si="126"/>
        <v>0</v>
      </c>
      <c r="AW370">
        <f t="shared" si="127"/>
        <v>0</v>
      </c>
    </row>
    <row r="371" spans="1:49" ht="19.95" customHeight="1" x14ac:dyDescent="0.25">
      <c r="A371" s="15" t="s">
        <v>519</v>
      </c>
      <c r="C371" s="15">
        <v>5</v>
      </c>
      <c r="D371" s="23" t="s">
        <v>174</v>
      </c>
      <c r="E371" s="23" t="s">
        <v>177</v>
      </c>
      <c r="F371" s="2" t="s">
        <v>42</v>
      </c>
      <c r="G371" s="2">
        <v>5</v>
      </c>
      <c r="H371" s="2" t="s">
        <v>20</v>
      </c>
      <c r="I371" s="2">
        <v>10</v>
      </c>
      <c r="L371" s="15">
        <f>IFERROR(VLOOKUP($D371&amp;$C371,生产方式定位!$A$2:$E$38,2,FALSE)+VLOOKUP($E371&amp;$C371,生产方式定位!$F$3:$J$38,2,FALSE),0)</f>
        <v>420</v>
      </c>
      <c r="S371" s="15">
        <f>IFERROR(VLOOKUP($D371&amp;$C371,生产方式定位!$A$2:$E$38,3,FALSE)+VLOOKUP($E371&amp;$C371,生产方式定位!$F$3:$J$38,3,FALSE),0)</f>
        <v>60</v>
      </c>
      <c r="X371" s="15">
        <f>IFERROR(VLOOKUP($D371&amp;$C371,生产方式定位!$A$2:$E$38,5,FALSE)+VLOOKUP($E371&amp;$C371,生产方式定位!$F$3:$J$38,5,FALSE),"错误")</f>
        <v>0</v>
      </c>
      <c r="Y371" s="26" t="str">
        <f t="shared" si="112"/>
        <v>魔偶*4,灵能水晶*9</v>
      </c>
      <c r="Z371" s="36" t="str">
        <f t="shared" si="113"/>
        <v/>
      </c>
      <c r="AA371" s="36" t="str">
        <f t="shared" si="114"/>
        <v/>
      </c>
      <c r="AB371" s="27" t="str">
        <f t="shared" si="115"/>
        <v>-100%</v>
      </c>
      <c r="AC371" s="2">
        <f t="shared" si="116"/>
        <v>-480</v>
      </c>
      <c r="AD371" s="37">
        <f t="shared" si="117"/>
        <v>5</v>
      </c>
      <c r="AE371" t="str">
        <f t="shared" si="118"/>
        <v>魔偶*4</v>
      </c>
      <c r="AF371" t="str">
        <f t="shared" si="119"/>
        <v>灵能水晶*9</v>
      </c>
      <c r="AG371" t="str">
        <f t="shared" si="120"/>
        <v/>
      </c>
      <c r="AH371" t="str">
        <f t="shared" si="121"/>
        <v/>
      </c>
      <c r="AI371" t="str">
        <f t="shared" si="122"/>
        <v/>
      </c>
      <c r="AJ371" t="str">
        <f t="shared" si="123"/>
        <v/>
      </c>
      <c r="AK371" t="str">
        <f t="shared" si="124"/>
        <v/>
      </c>
      <c r="AL371">
        <f>IFERROR(ROUND(L371*(G371/$AU371)/VLOOKUP(F371,商品!$A$4:$B$60,2,FALSE),0),"")</f>
        <v>4</v>
      </c>
      <c r="AM371">
        <f>IFERROR(ROUND(L371*(I371/$AU371)/VLOOKUP(H371,商品!$A$4:$B$60,2,FALSE),0),"")</f>
        <v>9</v>
      </c>
      <c r="AN371">
        <f>IFERROR(ROUND(L371*(J371/$AU371)/VLOOKUP("运力",商品!$A$4:$B$60,2,FALSE),0),0)</f>
        <v>0</v>
      </c>
      <c r="AO371">
        <f>IFERROR(ROUND(L371*(K371/$AU371)/VLOOKUP("交易",商品!$A$4:$B$60,2,FALSE),0),0)</f>
        <v>0</v>
      </c>
      <c r="AP371" t="str">
        <f>IFERROR(ROUND(S371*(N371/$AV371)/VLOOKUP(M371,职业!$A$4:$G$16,4,FALSE),0),"")</f>
        <v/>
      </c>
      <c r="AQ371" t="str">
        <f>IFERROR(ROUND(S371*(P371/$AV371)/VLOOKUP(O371,职业!$A$4:$G$16,4,FALSE),0),"")</f>
        <v/>
      </c>
      <c r="AR371" t="str">
        <f>IFERROR(ROUND(S371*(R371/$AV371)/VLOOKUP(Q371,职业!$A$4:$G$16,4,FALSE),0),"")</f>
        <v/>
      </c>
      <c r="AS371" t="str">
        <f>IFERROR(ROUND(X371*(U371/$AW371)/VLOOKUP(T371,商品!$A$4:$B$60,2,FALSE),0),"")</f>
        <v/>
      </c>
      <c r="AT371" t="str">
        <f>IFERROR(ROUND(X371*(W371/$AW371)/VLOOKUP(V371,商品!$A$4:$B$60,2,FALSE),0),"")</f>
        <v/>
      </c>
      <c r="AU371">
        <f t="shared" si="125"/>
        <v>15</v>
      </c>
      <c r="AV371">
        <f t="shared" si="126"/>
        <v>0</v>
      </c>
      <c r="AW371">
        <f t="shared" si="127"/>
        <v>0</v>
      </c>
    </row>
    <row r="372" spans="1:49" ht="19.95" customHeight="1" x14ac:dyDescent="0.25">
      <c r="A372" s="16" t="s">
        <v>257</v>
      </c>
      <c r="C372" s="16">
        <v>1</v>
      </c>
      <c r="D372" s="23" t="s">
        <v>174</v>
      </c>
      <c r="E372" s="23" t="s">
        <v>179</v>
      </c>
      <c r="L372" s="16">
        <f>IFERROR(VLOOKUP($D372&amp;$C372,生产方式定位!$A$2:$E$38,2,FALSE)+VLOOKUP($E372&amp;$C372,生产方式定位!$F$3:$J$38,2,FALSE),0)</f>
        <v>0</v>
      </c>
      <c r="S372" s="16">
        <f>IFERROR(VLOOKUP($D372&amp;$C372,生产方式定位!$A$2:$E$38,3,FALSE)+VLOOKUP($E372&amp;$C372,生产方式定位!$F$3:$J$38,3,FALSE),0)</f>
        <v>100</v>
      </c>
      <c r="X372" s="16">
        <f>IFERROR(VLOOKUP($D372&amp;$C372,生产方式定位!$A$2:$E$38,5,FALSE)+VLOOKUP($E372&amp;$C372,生产方式定位!$F$3:$J$38,5,FALSE),"错误")</f>
        <v>100</v>
      </c>
      <c r="Y372" s="26" t="str">
        <f t="shared" si="112"/>
        <v/>
      </c>
      <c r="Z372" s="36" t="str">
        <f t="shared" si="113"/>
        <v/>
      </c>
      <c r="AA372" s="36" t="str">
        <f t="shared" si="114"/>
        <v/>
      </c>
      <c r="AB372" s="27" t="str">
        <f t="shared" si="115"/>
        <v/>
      </c>
      <c r="AC372" s="2" t="str">
        <f t="shared" si="116"/>
        <v/>
      </c>
      <c r="AD372" s="38">
        <f t="shared" si="117"/>
        <v>1</v>
      </c>
      <c r="AE372" t="str">
        <f t="shared" si="118"/>
        <v/>
      </c>
      <c r="AF372" t="str">
        <f t="shared" si="119"/>
        <v/>
      </c>
      <c r="AG372" t="str">
        <f t="shared" si="120"/>
        <v/>
      </c>
      <c r="AH372" t="str">
        <f t="shared" si="121"/>
        <v/>
      </c>
      <c r="AI372" t="str">
        <f t="shared" si="122"/>
        <v/>
      </c>
      <c r="AJ372" t="str">
        <f t="shared" si="123"/>
        <v/>
      </c>
      <c r="AK372" t="str">
        <f t="shared" si="124"/>
        <v/>
      </c>
      <c r="AL372" t="str">
        <f>IFERROR(ROUND(L372*(G372/$AU372)/VLOOKUP(F372,商品!$A$4:$B$60,2,FALSE),0),"")</f>
        <v/>
      </c>
      <c r="AM372" t="str">
        <f>IFERROR(ROUND(L372*(I372/$AU372)/VLOOKUP(H372,商品!$A$4:$B$60,2,FALSE),0),"")</f>
        <v/>
      </c>
      <c r="AN372">
        <f>IFERROR(ROUND(L372*(J372/$AU372)/VLOOKUP("运力",商品!$A$4:$B$60,2,FALSE),0),0)</f>
        <v>0</v>
      </c>
      <c r="AO372">
        <f>IFERROR(ROUND(L372*(K372/$AU372)/VLOOKUP("交易",商品!$A$4:$B$60,2,FALSE),0),0)</f>
        <v>0</v>
      </c>
      <c r="AP372" t="str">
        <f>IFERROR(ROUND(S372*(N372/$AV372)/VLOOKUP(M372,职业!$A$4:$G$16,4,FALSE),0),"")</f>
        <v/>
      </c>
      <c r="AQ372" t="str">
        <f>IFERROR(ROUND(S372*(P372/$AV372)/VLOOKUP(O372,职业!$A$4:$G$16,4,FALSE),0),"")</f>
        <v/>
      </c>
      <c r="AR372" t="str">
        <f>IFERROR(ROUND(S372*(R372/$AV372)/VLOOKUP(Q372,职业!$A$4:$G$16,4,FALSE),0),"")</f>
        <v/>
      </c>
      <c r="AS372" t="str">
        <f>IFERROR(ROUND(X372*(U372/$AW372)/VLOOKUP(T372,商品!$A$4:$B$60,2,FALSE),0),"")</f>
        <v/>
      </c>
      <c r="AT372" t="str">
        <f>IFERROR(ROUND(X372*(W372/$AW372)/VLOOKUP(V372,商品!$A$4:$B$60,2,FALSE),0),"")</f>
        <v/>
      </c>
      <c r="AU372">
        <f t="shared" si="125"/>
        <v>0</v>
      </c>
      <c r="AV372">
        <f t="shared" si="126"/>
        <v>0</v>
      </c>
      <c r="AW372">
        <f t="shared" si="127"/>
        <v>0</v>
      </c>
    </row>
    <row r="373" spans="1:49" ht="19.95" customHeight="1" x14ac:dyDescent="0.25">
      <c r="A373" s="16" t="s">
        <v>257</v>
      </c>
      <c r="C373" s="16">
        <v>2</v>
      </c>
      <c r="D373" s="23" t="s">
        <v>174</v>
      </c>
      <c r="E373" s="23" t="s">
        <v>179</v>
      </c>
      <c r="L373" s="16">
        <f>IFERROR(VLOOKUP($D373&amp;$C373,生产方式定位!$A$2:$E$38,2,FALSE)+VLOOKUP($E373&amp;$C373,生产方式定位!$F$3:$J$38,2,FALSE),0)</f>
        <v>0</v>
      </c>
      <c r="S373" s="16">
        <f>IFERROR(VLOOKUP($D373&amp;$C373,生产方式定位!$A$2:$E$38,3,FALSE)+VLOOKUP($E373&amp;$C373,生产方式定位!$F$3:$J$38,3,FALSE),0)</f>
        <v>100</v>
      </c>
      <c r="X373" s="16">
        <f>IFERROR(VLOOKUP($D373&amp;$C373,生产方式定位!$A$2:$E$38,5,FALSE)+VLOOKUP($E373&amp;$C373,生产方式定位!$F$3:$J$38,5,FALSE),"错误")</f>
        <v>100</v>
      </c>
      <c r="Y373" s="26" t="str">
        <f t="shared" si="112"/>
        <v/>
      </c>
      <c r="Z373" s="36" t="str">
        <f t="shared" si="113"/>
        <v/>
      </c>
      <c r="AA373" s="36" t="str">
        <f t="shared" si="114"/>
        <v/>
      </c>
      <c r="AB373" s="27" t="str">
        <f t="shared" si="115"/>
        <v/>
      </c>
      <c r="AC373" s="2" t="str">
        <f t="shared" si="116"/>
        <v/>
      </c>
      <c r="AD373" s="38">
        <f t="shared" si="117"/>
        <v>2</v>
      </c>
      <c r="AE373" t="str">
        <f t="shared" si="118"/>
        <v/>
      </c>
      <c r="AF373" t="str">
        <f t="shared" si="119"/>
        <v/>
      </c>
      <c r="AG373" t="str">
        <f t="shared" si="120"/>
        <v/>
      </c>
      <c r="AH373" t="str">
        <f t="shared" si="121"/>
        <v/>
      </c>
      <c r="AI373" t="str">
        <f t="shared" si="122"/>
        <v/>
      </c>
      <c r="AJ373" t="str">
        <f t="shared" si="123"/>
        <v/>
      </c>
      <c r="AK373" t="str">
        <f t="shared" si="124"/>
        <v/>
      </c>
      <c r="AL373" t="str">
        <f>IFERROR(ROUND(L373*(G373/$AU373)/VLOOKUP(F373,商品!$A$4:$B$60,2,FALSE),0),"")</f>
        <v/>
      </c>
      <c r="AM373" t="str">
        <f>IFERROR(ROUND(L373*(I373/$AU373)/VLOOKUP(H373,商品!$A$4:$B$60,2,FALSE),0),"")</f>
        <v/>
      </c>
      <c r="AN373">
        <f>IFERROR(ROUND(L373*(J373/$AU373)/VLOOKUP("运力",商品!$A$4:$B$60,2,FALSE),0),0)</f>
        <v>0</v>
      </c>
      <c r="AO373">
        <f>IFERROR(ROUND(L373*(K373/$AU373)/VLOOKUP("交易",商品!$A$4:$B$60,2,FALSE),0),0)</f>
        <v>0</v>
      </c>
      <c r="AP373" t="str">
        <f>IFERROR(ROUND(S373*(N373/$AV373)/VLOOKUP(M373,职业!$A$4:$G$16,4,FALSE),0),"")</f>
        <v/>
      </c>
      <c r="AQ373" t="str">
        <f>IFERROR(ROUND(S373*(P373/$AV373)/VLOOKUP(O373,职业!$A$4:$G$16,4,FALSE),0),"")</f>
        <v/>
      </c>
      <c r="AR373" t="str">
        <f>IFERROR(ROUND(S373*(R373/$AV373)/VLOOKUP(Q373,职业!$A$4:$G$16,4,FALSE),0),"")</f>
        <v/>
      </c>
      <c r="AS373" t="str">
        <f>IFERROR(ROUND(X373*(U373/$AW373)/VLOOKUP(T373,商品!$A$4:$B$60,2,FALSE),0),"")</f>
        <v/>
      </c>
      <c r="AT373" t="str">
        <f>IFERROR(ROUND(X373*(W373/$AW373)/VLOOKUP(V373,商品!$A$4:$B$60,2,FALSE),0),"")</f>
        <v/>
      </c>
      <c r="AU373">
        <f t="shared" si="125"/>
        <v>0</v>
      </c>
      <c r="AV373">
        <f t="shared" si="126"/>
        <v>0</v>
      </c>
      <c r="AW373">
        <f t="shared" si="127"/>
        <v>0</v>
      </c>
    </row>
    <row r="374" spans="1:49" ht="19.95" customHeight="1" x14ac:dyDescent="0.25">
      <c r="A374" s="16" t="s">
        <v>257</v>
      </c>
      <c r="C374" s="16">
        <v>3</v>
      </c>
      <c r="D374" s="23" t="s">
        <v>174</v>
      </c>
      <c r="E374" s="23" t="s">
        <v>179</v>
      </c>
      <c r="L374" s="16">
        <f>IFERROR(VLOOKUP($D374&amp;$C374,生产方式定位!$A$2:$E$38,2,FALSE)+VLOOKUP($E374&amp;$C374,生产方式定位!$F$3:$J$38,2,FALSE),0)</f>
        <v>0</v>
      </c>
      <c r="S374" s="16">
        <f>IFERROR(VLOOKUP($D374&amp;$C374,生产方式定位!$A$2:$E$38,3,FALSE)+VLOOKUP($E374&amp;$C374,生产方式定位!$F$3:$J$38,3,FALSE),0)</f>
        <v>100</v>
      </c>
      <c r="X374" s="16">
        <f>IFERROR(VLOOKUP($D374&amp;$C374,生产方式定位!$A$2:$E$38,5,FALSE)+VLOOKUP($E374&amp;$C374,生产方式定位!$F$3:$J$38,5,FALSE),"错误")</f>
        <v>100</v>
      </c>
      <c r="Y374" s="26" t="str">
        <f t="shared" si="112"/>
        <v/>
      </c>
      <c r="Z374" s="36" t="str">
        <f t="shared" si="113"/>
        <v/>
      </c>
      <c r="AA374" s="36" t="str">
        <f t="shared" si="114"/>
        <v/>
      </c>
      <c r="AB374" s="27" t="str">
        <f t="shared" si="115"/>
        <v/>
      </c>
      <c r="AC374" s="2" t="str">
        <f t="shared" si="116"/>
        <v/>
      </c>
      <c r="AD374" s="38">
        <f t="shared" si="117"/>
        <v>3</v>
      </c>
      <c r="AE374" t="str">
        <f t="shared" si="118"/>
        <v/>
      </c>
      <c r="AF374" t="str">
        <f t="shared" si="119"/>
        <v/>
      </c>
      <c r="AG374" t="str">
        <f t="shared" si="120"/>
        <v/>
      </c>
      <c r="AH374" t="str">
        <f t="shared" si="121"/>
        <v/>
      </c>
      <c r="AI374" t="str">
        <f t="shared" si="122"/>
        <v/>
      </c>
      <c r="AJ374" t="str">
        <f t="shared" si="123"/>
        <v/>
      </c>
      <c r="AK374" t="str">
        <f t="shared" si="124"/>
        <v/>
      </c>
      <c r="AL374" t="str">
        <f>IFERROR(ROUND(L374*(G374/$AU374)/VLOOKUP(F374,商品!$A$4:$B$60,2,FALSE),0),"")</f>
        <v/>
      </c>
      <c r="AM374" t="str">
        <f>IFERROR(ROUND(L374*(I374/$AU374)/VLOOKUP(H374,商品!$A$4:$B$60,2,FALSE),0),"")</f>
        <v/>
      </c>
      <c r="AN374">
        <f>IFERROR(ROUND(L374*(J374/$AU374)/VLOOKUP("运力",商品!$A$4:$B$60,2,FALSE),0),0)</f>
        <v>0</v>
      </c>
      <c r="AO374">
        <f>IFERROR(ROUND(L374*(K374/$AU374)/VLOOKUP("交易",商品!$A$4:$B$60,2,FALSE),0),0)</f>
        <v>0</v>
      </c>
      <c r="AP374" t="str">
        <f>IFERROR(ROUND(S374*(N374/$AV374)/VLOOKUP(M374,职业!$A$4:$G$16,4,FALSE),0),"")</f>
        <v/>
      </c>
      <c r="AQ374" t="str">
        <f>IFERROR(ROUND(S374*(P374/$AV374)/VLOOKUP(O374,职业!$A$4:$G$16,4,FALSE),0),"")</f>
        <v/>
      </c>
      <c r="AR374" t="str">
        <f>IFERROR(ROUND(S374*(R374/$AV374)/VLOOKUP(Q374,职业!$A$4:$G$16,4,FALSE),0),"")</f>
        <v/>
      </c>
      <c r="AS374" t="str">
        <f>IFERROR(ROUND(X374*(U374/$AW374)/VLOOKUP(T374,商品!$A$4:$B$60,2,FALSE),0),"")</f>
        <v/>
      </c>
      <c r="AT374" t="str">
        <f>IFERROR(ROUND(X374*(W374/$AW374)/VLOOKUP(V374,商品!$A$4:$B$60,2,FALSE),0),"")</f>
        <v/>
      </c>
      <c r="AU374">
        <f t="shared" si="125"/>
        <v>0</v>
      </c>
      <c r="AV374">
        <f t="shared" si="126"/>
        <v>0</v>
      </c>
      <c r="AW374">
        <f t="shared" si="127"/>
        <v>0</v>
      </c>
    </row>
    <row r="375" spans="1:49" ht="19.95" customHeight="1" x14ac:dyDescent="0.25">
      <c r="A375" s="16" t="s">
        <v>257</v>
      </c>
      <c r="C375" s="16">
        <v>4</v>
      </c>
      <c r="D375" s="23" t="s">
        <v>174</v>
      </c>
      <c r="E375" s="23" t="s">
        <v>179</v>
      </c>
      <c r="L375" s="16">
        <f>IFERROR(VLOOKUP($D375&amp;$C375,生产方式定位!$A$2:$E$38,2,FALSE)+VLOOKUP($E375&amp;$C375,生产方式定位!$F$3:$J$38,2,FALSE),0)</f>
        <v>0</v>
      </c>
      <c r="S375" s="16">
        <f>IFERROR(VLOOKUP($D375&amp;$C375,生产方式定位!$A$2:$E$38,3,FALSE)+VLOOKUP($E375&amp;$C375,生产方式定位!$F$3:$J$38,3,FALSE),0)</f>
        <v>100</v>
      </c>
      <c r="X375" s="16">
        <f>IFERROR(VLOOKUP($D375&amp;$C375,生产方式定位!$A$2:$E$38,5,FALSE)+VLOOKUP($E375&amp;$C375,生产方式定位!$F$3:$J$38,5,FALSE),"错误")</f>
        <v>100</v>
      </c>
      <c r="Y375" s="26" t="str">
        <f t="shared" si="112"/>
        <v/>
      </c>
      <c r="Z375" s="36" t="str">
        <f t="shared" si="113"/>
        <v/>
      </c>
      <c r="AA375" s="36" t="str">
        <f t="shared" si="114"/>
        <v/>
      </c>
      <c r="AB375" s="27" t="str">
        <f t="shared" si="115"/>
        <v/>
      </c>
      <c r="AC375" s="2" t="str">
        <f t="shared" si="116"/>
        <v/>
      </c>
      <c r="AD375" s="38">
        <f t="shared" si="117"/>
        <v>4</v>
      </c>
      <c r="AE375" t="str">
        <f t="shared" si="118"/>
        <v/>
      </c>
      <c r="AF375" t="str">
        <f t="shared" si="119"/>
        <v/>
      </c>
      <c r="AG375" t="str">
        <f t="shared" si="120"/>
        <v/>
      </c>
      <c r="AH375" t="str">
        <f t="shared" si="121"/>
        <v/>
      </c>
      <c r="AI375" t="str">
        <f t="shared" si="122"/>
        <v/>
      </c>
      <c r="AJ375" t="str">
        <f t="shared" si="123"/>
        <v/>
      </c>
      <c r="AK375" t="str">
        <f t="shared" si="124"/>
        <v/>
      </c>
      <c r="AL375" t="str">
        <f>IFERROR(ROUND(L375*(G375/$AU375)/VLOOKUP(F375,商品!$A$4:$B$60,2,FALSE),0),"")</f>
        <v/>
      </c>
      <c r="AM375" t="str">
        <f>IFERROR(ROUND(L375*(I375/$AU375)/VLOOKUP(H375,商品!$A$4:$B$60,2,FALSE),0),"")</f>
        <v/>
      </c>
      <c r="AN375">
        <f>IFERROR(ROUND(L375*(J375/$AU375)/VLOOKUP("运力",商品!$A$4:$B$60,2,FALSE),0),0)</f>
        <v>0</v>
      </c>
      <c r="AO375">
        <f>IFERROR(ROUND(L375*(K375/$AU375)/VLOOKUP("交易",商品!$A$4:$B$60,2,FALSE),0),0)</f>
        <v>0</v>
      </c>
      <c r="AP375" t="str">
        <f>IFERROR(ROUND(S375*(N375/$AV375)/VLOOKUP(M375,职业!$A$4:$G$16,4,FALSE),0),"")</f>
        <v/>
      </c>
      <c r="AQ375" t="str">
        <f>IFERROR(ROUND(S375*(P375/$AV375)/VLOOKUP(O375,职业!$A$4:$G$16,4,FALSE),0),"")</f>
        <v/>
      </c>
      <c r="AR375" t="str">
        <f>IFERROR(ROUND(S375*(R375/$AV375)/VLOOKUP(Q375,职业!$A$4:$G$16,4,FALSE),0),"")</f>
        <v/>
      </c>
      <c r="AS375" t="str">
        <f>IFERROR(ROUND(X375*(U375/$AW375)/VLOOKUP(T375,商品!$A$4:$B$60,2,FALSE),0),"")</f>
        <v/>
      </c>
      <c r="AT375" t="str">
        <f>IFERROR(ROUND(X375*(W375/$AW375)/VLOOKUP(V375,商品!$A$4:$B$60,2,FALSE),0),"")</f>
        <v/>
      </c>
      <c r="AU375">
        <f t="shared" si="125"/>
        <v>0</v>
      </c>
      <c r="AV375">
        <f t="shared" si="126"/>
        <v>0</v>
      </c>
      <c r="AW375">
        <f t="shared" si="127"/>
        <v>0</v>
      </c>
    </row>
    <row r="376" spans="1:49" ht="19.95" customHeight="1" x14ac:dyDescent="0.25">
      <c r="A376" s="16" t="s">
        <v>257</v>
      </c>
      <c r="C376" s="16">
        <v>5</v>
      </c>
      <c r="D376" s="23" t="s">
        <v>174</v>
      </c>
      <c r="E376" s="23" t="s">
        <v>179</v>
      </c>
      <c r="L376" s="16">
        <f>IFERROR(VLOOKUP($D376&amp;$C376,生产方式定位!$A$2:$E$38,2,FALSE)+VLOOKUP($E376&amp;$C376,生产方式定位!$F$3:$J$38,2,FALSE),0)</f>
        <v>0</v>
      </c>
      <c r="S376" s="16">
        <f>IFERROR(VLOOKUP($D376&amp;$C376,生产方式定位!$A$2:$E$38,3,FALSE)+VLOOKUP($E376&amp;$C376,生产方式定位!$F$3:$J$38,3,FALSE),0)</f>
        <v>100</v>
      </c>
      <c r="X376" s="16">
        <f>IFERROR(VLOOKUP($D376&amp;$C376,生产方式定位!$A$2:$E$38,5,FALSE)+VLOOKUP($E376&amp;$C376,生产方式定位!$F$3:$J$38,5,FALSE),"错误")</f>
        <v>100</v>
      </c>
      <c r="Y376" s="26" t="str">
        <f t="shared" si="112"/>
        <v/>
      </c>
      <c r="Z376" s="36" t="str">
        <f t="shared" si="113"/>
        <v/>
      </c>
      <c r="AA376" s="36" t="str">
        <f t="shared" si="114"/>
        <v/>
      </c>
      <c r="AB376" s="27" t="str">
        <f t="shared" si="115"/>
        <v/>
      </c>
      <c r="AC376" s="2" t="str">
        <f t="shared" si="116"/>
        <v/>
      </c>
      <c r="AD376" s="38">
        <f t="shared" si="117"/>
        <v>5</v>
      </c>
      <c r="AE376" t="str">
        <f t="shared" si="118"/>
        <v/>
      </c>
      <c r="AF376" t="str">
        <f t="shared" si="119"/>
        <v/>
      </c>
      <c r="AG376" t="str">
        <f t="shared" si="120"/>
        <v/>
      </c>
      <c r="AH376" t="str">
        <f t="shared" si="121"/>
        <v/>
      </c>
      <c r="AI376" t="str">
        <f t="shared" si="122"/>
        <v/>
      </c>
      <c r="AJ376" t="str">
        <f t="shared" si="123"/>
        <v/>
      </c>
      <c r="AK376" t="str">
        <f t="shared" si="124"/>
        <v/>
      </c>
      <c r="AL376" t="str">
        <f>IFERROR(ROUND(L376*(G376/$AU376)/VLOOKUP(F376,商品!$A$4:$B$60,2,FALSE),0),"")</f>
        <v/>
      </c>
      <c r="AM376" t="str">
        <f>IFERROR(ROUND(L376*(I376/$AU376)/VLOOKUP(H376,商品!$A$4:$B$60,2,FALSE),0),"")</f>
        <v/>
      </c>
      <c r="AN376">
        <f>IFERROR(ROUND(L376*(J376/$AU376)/VLOOKUP("运力",商品!$A$4:$B$60,2,FALSE),0),0)</f>
        <v>0</v>
      </c>
      <c r="AO376">
        <f>IFERROR(ROUND(L376*(K376/$AU376)/VLOOKUP("交易",商品!$A$4:$B$60,2,FALSE),0),0)</f>
        <v>0</v>
      </c>
      <c r="AP376" t="str">
        <f>IFERROR(ROUND(S376*(N376/$AV376)/VLOOKUP(M376,职业!$A$4:$G$16,4,FALSE),0),"")</f>
        <v/>
      </c>
      <c r="AQ376" t="str">
        <f>IFERROR(ROUND(S376*(P376/$AV376)/VLOOKUP(O376,职业!$A$4:$G$16,4,FALSE),0),"")</f>
        <v/>
      </c>
      <c r="AR376" t="str">
        <f>IFERROR(ROUND(S376*(R376/$AV376)/VLOOKUP(Q376,职业!$A$4:$G$16,4,FALSE),0),"")</f>
        <v/>
      </c>
      <c r="AS376" t="str">
        <f>IFERROR(ROUND(X376*(U376/$AW376)/VLOOKUP(T376,商品!$A$4:$B$60,2,FALSE),0),"")</f>
        <v/>
      </c>
      <c r="AT376" t="str">
        <f>IFERROR(ROUND(X376*(W376/$AW376)/VLOOKUP(V376,商品!$A$4:$B$60,2,FALSE),0),"")</f>
        <v/>
      </c>
      <c r="AU376">
        <f t="shared" si="125"/>
        <v>0</v>
      </c>
      <c r="AV376">
        <f t="shared" si="126"/>
        <v>0</v>
      </c>
      <c r="AW376">
        <f t="shared" si="127"/>
        <v>0</v>
      </c>
    </row>
    <row r="377" spans="1:49" ht="19.95" customHeight="1" x14ac:dyDescent="0.25">
      <c r="A377" s="16" t="s">
        <v>257</v>
      </c>
      <c r="C377" s="16">
        <v>6</v>
      </c>
      <c r="D377" s="23" t="s">
        <v>174</v>
      </c>
      <c r="E377" s="23" t="s">
        <v>179</v>
      </c>
      <c r="L377" s="16">
        <f>IFERROR(VLOOKUP($D377&amp;$C377,生产方式定位!$A$2:$E$38,2,FALSE)+VLOOKUP($E377&amp;$C377,生产方式定位!$F$3:$J$38,2,FALSE),0)</f>
        <v>0</v>
      </c>
      <c r="S377" s="16">
        <f>IFERROR(VLOOKUP($D377&amp;$C377,生产方式定位!$A$2:$E$38,3,FALSE)+VLOOKUP($E377&amp;$C377,生产方式定位!$F$3:$J$38,3,FALSE),0)</f>
        <v>100</v>
      </c>
      <c r="X377" s="16">
        <f>IFERROR(VLOOKUP($D377&amp;$C377,生产方式定位!$A$2:$E$38,5,FALSE)+VLOOKUP($E377&amp;$C377,生产方式定位!$F$3:$J$38,5,FALSE),"错误")</f>
        <v>100</v>
      </c>
      <c r="Y377" s="26" t="str">
        <f t="shared" si="112"/>
        <v/>
      </c>
      <c r="Z377" s="36" t="str">
        <f t="shared" si="113"/>
        <v/>
      </c>
      <c r="AA377" s="36" t="str">
        <f t="shared" si="114"/>
        <v/>
      </c>
      <c r="AB377" s="27" t="str">
        <f t="shared" si="115"/>
        <v/>
      </c>
      <c r="AC377" s="2" t="str">
        <f t="shared" si="116"/>
        <v/>
      </c>
      <c r="AD377" s="37">
        <f t="shared" si="117"/>
        <v>6</v>
      </c>
      <c r="AE377" t="str">
        <f t="shared" si="118"/>
        <v/>
      </c>
      <c r="AF377" t="str">
        <f t="shared" si="119"/>
        <v/>
      </c>
      <c r="AG377" t="str">
        <f t="shared" si="120"/>
        <v/>
      </c>
      <c r="AH377" t="str">
        <f t="shared" si="121"/>
        <v/>
      </c>
      <c r="AI377" t="str">
        <f t="shared" si="122"/>
        <v/>
      </c>
      <c r="AJ377" t="str">
        <f t="shared" si="123"/>
        <v/>
      </c>
      <c r="AK377" t="str">
        <f t="shared" si="124"/>
        <v/>
      </c>
      <c r="AL377" t="str">
        <f>IFERROR(ROUND(L377*(G377/$AU377)/VLOOKUP(F377,商品!$A$4:$B$60,2,FALSE),0),"")</f>
        <v/>
      </c>
      <c r="AM377" t="str">
        <f>IFERROR(ROUND(L377*(I377/$AU377)/VLOOKUP(H377,商品!$A$4:$B$60,2,FALSE),0),"")</f>
        <v/>
      </c>
      <c r="AN377">
        <f>IFERROR(ROUND(L377*(J377/$AU377)/VLOOKUP("运力",商品!$A$4:$B$60,2,FALSE),0),0)</f>
        <v>0</v>
      </c>
      <c r="AO377">
        <f>IFERROR(ROUND(L377*(K377/$AU377)/VLOOKUP("交易",商品!$A$4:$B$60,2,FALSE),0),0)</f>
        <v>0</v>
      </c>
      <c r="AP377" t="str">
        <f>IFERROR(ROUND(S377*(N377/$AV377)/VLOOKUP(M377,职业!$A$4:$G$16,4,FALSE),0),"")</f>
        <v/>
      </c>
      <c r="AQ377" t="str">
        <f>IFERROR(ROUND(S377*(P377/$AV377)/VLOOKUP(O377,职业!$A$4:$G$16,4,FALSE),0),"")</f>
        <v/>
      </c>
      <c r="AR377" t="str">
        <f>IFERROR(ROUND(S377*(R377/$AV377)/VLOOKUP(Q377,职业!$A$4:$G$16,4,FALSE),0),"")</f>
        <v/>
      </c>
      <c r="AS377" t="str">
        <f>IFERROR(ROUND(X377*(U377/$AW377)/VLOOKUP(T377,商品!$A$4:$B$60,2,FALSE),0),"")</f>
        <v/>
      </c>
      <c r="AT377" t="str">
        <f>IFERROR(ROUND(X377*(W377/$AW377)/VLOOKUP(V377,商品!$A$4:$B$60,2,FALSE),0),"")</f>
        <v/>
      </c>
      <c r="AU377">
        <f t="shared" si="125"/>
        <v>0</v>
      </c>
      <c r="AV377">
        <f t="shared" si="126"/>
        <v>0</v>
      </c>
      <c r="AW377">
        <f t="shared" si="127"/>
        <v>0</v>
      </c>
    </row>
    <row r="378" spans="1:49" ht="19.95" customHeight="1" x14ac:dyDescent="0.25">
      <c r="A378" s="16" t="s">
        <v>257</v>
      </c>
      <c r="C378" s="16">
        <v>7</v>
      </c>
      <c r="D378" s="23" t="s">
        <v>174</v>
      </c>
      <c r="E378" s="23" t="s">
        <v>179</v>
      </c>
      <c r="L378" s="16">
        <f>IFERROR(VLOOKUP($D378&amp;$C378,生产方式定位!$A$2:$E$38,2,FALSE)+VLOOKUP($E378&amp;$C378,生产方式定位!$F$3:$J$38,2,FALSE),0)</f>
        <v>0</v>
      </c>
      <c r="S378" s="16">
        <f>IFERROR(VLOOKUP($D378&amp;$C378,生产方式定位!$A$2:$E$38,3,FALSE)+VLOOKUP($E378&amp;$C378,生产方式定位!$F$3:$J$38,3,FALSE),0)</f>
        <v>100</v>
      </c>
      <c r="X378" s="16">
        <f>IFERROR(VLOOKUP($D378&amp;$C378,生产方式定位!$A$2:$E$38,5,FALSE)+VLOOKUP($E378&amp;$C378,生产方式定位!$F$3:$J$38,5,FALSE),"错误")</f>
        <v>100</v>
      </c>
      <c r="Y378" s="26" t="str">
        <f t="shared" si="112"/>
        <v/>
      </c>
      <c r="Z378" s="36" t="str">
        <f t="shared" si="113"/>
        <v/>
      </c>
      <c r="AA378" s="36" t="str">
        <f t="shared" si="114"/>
        <v/>
      </c>
      <c r="AB378" s="27" t="str">
        <f t="shared" si="115"/>
        <v/>
      </c>
      <c r="AC378" s="2" t="str">
        <f t="shared" si="116"/>
        <v/>
      </c>
      <c r="AD378" s="37">
        <f t="shared" si="117"/>
        <v>7</v>
      </c>
      <c r="AE378" t="str">
        <f t="shared" si="118"/>
        <v/>
      </c>
      <c r="AF378" t="str">
        <f t="shared" si="119"/>
        <v/>
      </c>
      <c r="AG378" t="str">
        <f t="shared" si="120"/>
        <v/>
      </c>
      <c r="AH378" t="str">
        <f t="shared" si="121"/>
        <v/>
      </c>
      <c r="AI378" t="str">
        <f t="shared" si="122"/>
        <v/>
      </c>
      <c r="AJ378" t="str">
        <f t="shared" si="123"/>
        <v/>
      </c>
      <c r="AK378" t="str">
        <f t="shared" si="124"/>
        <v/>
      </c>
      <c r="AL378" t="str">
        <f>IFERROR(ROUND(L378*(G378/$AU378)/VLOOKUP(F378,商品!$A$4:$B$60,2,FALSE),0),"")</f>
        <v/>
      </c>
      <c r="AM378" t="str">
        <f>IFERROR(ROUND(L378*(I378/$AU378)/VLOOKUP(H378,商品!$A$4:$B$60,2,FALSE),0),"")</f>
        <v/>
      </c>
      <c r="AN378">
        <f>IFERROR(ROUND(L378*(J378/$AU378)/VLOOKUP("运力",商品!$A$4:$B$60,2,FALSE),0),0)</f>
        <v>0</v>
      </c>
      <c r="AO378">
        <f>IFERROR(ROUND(L378*(K378/$AU378)/VLOOKUP("交易",商品!$A$4:$B$60,2,FALSE),0),0)</f>
        <v>0</v>
      </c>
      <c r="AP378" t="str">
        <f>IFERROR(ROUND(S378*(N378/$AV378)/VLOOKUP(M378,职业!$A$4:$G$16,4,FALSE),0),"")</f>
        <v/>
      </c>
      <c r="AQ378" t="str">
        <f>IFERROR(ROUND(S378*(P378/$AV378)/VLOOKUP(O378,职业!$A$4:$G$16,4,FALSE),0),"")</f>
        <v/>
      </c>
      <c r="AR378" t="str">
        <f>IFERROR(ROUND(S378*(R378/$AV378)/VLOOKUP(Q378,职业!$A$4:$G$16,4,FALSE),0),"")</f>
        <v/>
      </c>
      <c r="AS378" t="str">
        <f>IFERROR(ROUND(X378*(U378/$AW378)/VLOOKUP(T378,商品!$A$4:$B$60,2,FALSE),0),"")</f>
        <v/>
      </c>
      <c r="AT378" t="str">
        <f>IFERROR(ROUND(X378*(W378/$AW378)/VLOOKUP(V378,商品!$A$4:$B$60,2,FALSE),0),"")</f>
        <v/>
      </c>
      <c r="AU378">
        <f t="shared" si="125"/>
        <v>0</v>
      </c>
      <c r="AV378">
        <f t="shared" si="126"/>
        <v>0</v>
      </c>
      <c r="AW378">
        <f t="shared" si="127"/>
        <v>0</v>
      </c>
    </row>
    <row r="379" spans="1:49" ht="19.95" customHeight="1" x14ac:dyDescent="0.25">
      <c r="A379" s="16" t="s">
        <v>257</v>
      </c>
      <c r="C379" s="16">
        <v>8</v>
      </c>
      <c r="D379" s="23" t="s">
        <v>174</v>
      </c>
      <c r="E379" s="23" t="s">
        <v>179</v>
      </c>
      <c r="L379" s="16">
        <f>IFERROR(VLOOKUP($D379&amp;$C379,生产方式定位!$A$2:$E$38,2,FALSE)+VLOOKUP($E379&amp;$C379,生产方式定位!$F$3:$J$38,2,FALSE),0)</f>
        <v>0</v>
      </c>
      <c r="S379" s="16">
        <f>IFERROR(VLOOKUP($D379&amp;$C379,生产方式定位!$A$2:$E$38,3,FALSE)+VLOOKUP($E379&amp;$C379,生产方式定位!$F$3:$J$38,3,FALSE),0)</f>
        <v>100</v>
      </c>
      <c r="X379" s="16">
        <f>IFERROR(VLOOKUP($D379&amp;$C379,生产方式定位!$A$2:$E$38,5,FALSE)+VLOOKUP($E379&amp;$C379,生产方式定位!$F$3:$J$38,5,FALSE),"错误")</f>
        <v>100</v>
      </c>
      <c r="Y379" s="26" t="str">
        <f t="shared" si="112"/>
        <v/>
      </c>
      <c r="Z379" s="36" t="str">
        <f t="shared" si="113"/>
        <v/>
      </c>
      <c r="AA379" s="36" t="str">
        <f t="shared" si="114"/>
        <v/>
      </c>
      <c r="AB379" s="27" t="str">
        <f t="shared" si="115"/>
        <v/>
      </c>
      <c r="AC379" s="2" t="str">
        <f t="shared" si="116"/>
        <v/>
      </c>
      <c r="AD379" s="37">
        <f t="shared" si="117"/>
        <v>8</v>
      </c>
      <c r="AE379" t="str">
        <f t="shared" si="118"/>
        <v/>
      </c>
      <c r="AF379" t="str">
        <f t="shared" si="119"/>
        <v/>
      </c>
      <c r="AG379" t="str">
        <f t="shared" si="120"/>
        <v/>
      </c>
      <c r="AH379" t="str">
        <f t="shared" si="121"/>
        <v/>
      </c>
      <c r="AI379" t="str">
        <f t="shared" si="122"/>
        <v/>
      </c>
      <c r="AJ379" t="str">
        <f t="shared" si="123"/>
        <v/>
      </c>
      <c r="AK379" t="str">
        <f t="shared" si="124"/>
        <v/>
      </c>
      <c r="AL379" t="str">
        <f>IFERROR(ROUND(L379*(G379/$AU379)/VLOOKUP(F379,商品!$A$4:$B$60,2,FALSE),0),"")</f>
        <v/>
      </c>
      <c r="AM379" t="str">
        <f>IFERROR(ROUND(L379*(I379/$AU379)/VLOOKUP(H379,商品!$A$4:$B$60,2,FALSE),0),"")</f>
        <v/>
      </c>
      <c r="AN379">
        <f>IFERROR(ROUND(L379*(J379/$AU379)/VLOOKUP("运力",商品!$A$4:$B$60,2,FALSE),0),0)</f>
        <v>0</v>
      </c>
      <c r="AO379">
        <f>IFERROR(ROUND(L379*(K379/$AU379)/VLOOKUP("交易",商品!$A$4:$B$60,2,FALSE),0),0)</f>
        <v>0</v>
      </c>
      <c r="AP379" t="str">
        <f>IFERROR(ROUND(S379*(N379/$AV379)/VLOOKUP(M379,职业!$A$4:$G$16,4,FALSE),0),"")</f>
        <v/>
      </c>
      <c r="AQ379" t="str">
        <f>IFERROR(ROUND(S379*(P379/$AV379)/VLOOKUP(O379,职业!$A$4:$G$16,4,FALSE),0),"")</f>
        <v/>
      </c>
      <c r="AR379" t="str">
        <f>IFERROR(ROUND(S379*(R379/$AV379)/VLOOKUP(Q379,职业!$A$4:$G$16,4,FALSE),0),"")</f>
        <v/>
      </c>
      <c r="AS379" t="str">
        <f>IFERROR(ROUND(X379*(U379/$AW379)/VLOOKUP(T379,商品!$A$4:$B$60,2,FALSE),0),"")</f>
        <v/>
      </c>
      <c r="AT379" t="str">
        <f>IFERROR(ROUND(X379*(W379/$AW379)/VLOOKUP(V379,商品!$A$4:$B$60,2,FALSE),0),"")</f>
        <v/>
      </c>
      <c r="AU379">
        <f t="shared" si="125"/>
        <v>0</v>
      </c>
      <c r="AV379">
        <f t="shared" si="126"/>
        <v>0</v>
      </c>
      <c r="AW379">
        <f t="shared" si="127"/>
        <v>0</v>
      </c>
    </row>
    <row r="380" spans="1:49" ht="19.95" customHeight="1" x14ac:dyDescent="0.25">
      <c r="A380" s="15" t="s">
        <v>259</v>
      </c>
      <c r="C380" s="15">
        <v>1</v>
      </c>
      <c r="D380" s="23" t="s">
        <v>222</v>
      </c>
      <c r="E380" s="23" t="s">
        <v>172</v>
      </c>
      <c r="F380" s="2" t="s">
        <v>39</v>
      </c>
      <c r="G380" s="2">
        <v>10</v>
      </c>
      <c r="J380" s="24">
        <v>5</v>
      </c>
      <c r="K380" s="25">
        <v>3</v>
      </c>
      <c r="L380" s="15">
        <f>IFERROR(VLOOKUP($D380&amp;$C380,生产方式定位!$A$2:$E$38,2,FALSE)+VLOOKUP($E380&amp;$C380,生产方式定位!$F$3:$J$38,2,FALSE),0)</f>
        <v>1000</v>
      </c>
      <c r="S380" s="15">
        <f>IFERROR(VLOOKUP($D380&amp;$C380,生产方式定位!$A$2:$E$38,3,FALSE)+VLOOKUP($E380&amp;$C380,生产方式定位!$F$3:$J$38,3,FALSE),0)</f>
        <v>100</v>
      </c>
      <c r="T380" s="2" t="s">
        <v>45</v>
      </c>
      <c r="U380" s="2">
        <v>1</v>
      </c>
      <c r="X380" s="15">
        <f>IFERROR(VLOOKUP($D380&amp;$C380,生产方式定位!$A$2:$E$38,5,FALSE)+VLOOKUP($E380&amp;$C380,生产方式定位!$F$3:$J$38,5,FALSE),"错误")</f>
        <v>1760</v>
      </c>
      <c r="Y380" s="26" t="str">
        <f t="shared" si="112"/>
        <v>钢铁*9,运力*28,交易*17</v>
      </c>
      <c r="Z380" s="36" t="str">
        <f t="shared" si="113"/>
        <v/>
      </c>
      <c r="AA380" s="36" t="str">
        <f t="shared" si="114"/>
        <v>科学引擎*22</v>
      </c>
      <c r="AB380" s="27" t="str">
        <f t="shared" si="115"/>
        <v>76%</v>
      </c>
      <c r="AC380" s="2">
        <f t="shared" si="116"/>
        <v>660</v>
      </c>
      <c r="AD380" s="37">
        <f t="shared" si="117"/>
        <v>1</v>
      </c>
      <c r="AE380" t="str">
        <f t="shared" si="118"/>
        <v>钢铁*9</v>
      </c>
      <c r="AF380" t="str">
        <f t="shared" si="119"/>
        <v/>
      </c>
      <c r="AG380" t="str">
        <f t="shared" si="120"/>
        <v/>
      </c>
      <c r="AH380" t="str">
        <f t="shared" si="121"/>
        <v/>
      </c>
      <c r="AI380" t="str">
        <f t="shared" si="122"/>
        <v/>
      </c>
      <c r="AJ380" t="str">
        <f t="shared" si="123"/>
        <v>科学引擎*22</v>
      </c>
      <c r="AK380" t="str">
        <f t="shared" si="124"/>
        <v/>
      </c>
      <c r="AL380">
        <f>IFERROR(ROUND(L380*(G380/$AU380)/VLOOKUP(F380,商品!$A$4:$B$60,2,FALSE),0),"")</f>
        <v>9</v>
      </c>
      <c r="AM380" t="str">
        <f>IFERROR(ROUND(L380*(I380/$AU380)/VLOOKUP(H380,商品!$A$4:$B$60,2,FALSE),0),"")</f>
        <v/>
      </c>
      <c r="AN380">
        <f>IFERROR(ROUND(L380*(J380/$AU380)/VLOOKUP("运力",商品!$A$4:$B$60,2,FALSE),0),0)</f>
        <v>28</v>
      </c>
      <c r="AO380">
        <f>IFERROR(ROUND(L380*(K380/$AU380)/VLOOKUP("交易",商品!$A$4:$B$60,2,FALSE),0),0)</f>
        <v>17</v>
      </c>
      <c r="AP380" t="str">
        <f>IFERROR(ROUND(S380*(N380/$AV380)/VLOOKUP(M380,职业!$A$4:$G$16,4,FALSE),0),"")</f>
        <v/>
      </c>
      <c r="AQ380" t="str">
        <f>IFERROR(ROUND(S380*(P380/$AV380)/VLOOKUP(O380,职业!$A$4:$G$16,4,FALSE),0),"")</f>
        <v/>
      </c>
      <c r="AR380" t="str">
        <f>IFERROR(ROUND(S380*(R380/$AV380)/VLOOKUP(Q380,职业!$A$4:$G$16,4,FALSE),0),"")</f>
        <v/>
      </c>
      <c r="AS380">
        <f>IFERROR(ROUND(X380*(U380/$AW380)/VLOOKUP(T380,商品!$A$4:$B$60,2,FALSE),0),"")</f>
        <v>22</v>
      </c>
      <c r="AT380" t="str">
        <f>IFERROR(ROUND(X380*(W380/$AW380)/VLOOKUP(V380,商品!$A$4:$B$60,2,FALSE),0),"")</f>
        <v/>
      </c>
      <c r="AU380">
        <f t="shared" si="125"/>
        <v>18</v>
      </c>
      <c r="AV380">
        <f t="shared" si="126"/>
        <v>0</v>
      </c>
      <c r="AW380">
        <f t="shared" si="127"/>
        <v>1</v>
      </c>
    </row>
    <row r="381" spans="1:49" ht="19.95" customHeight="1" x14ac:dyDescent="0.25">
      <c r="A381" s="15" t="s">
        <v>259</v>
      </c>
      <c r="C381" s="15">
        <v>2</v>
      </c>
      <c r="D381" s="23" t="s">
        <v>222</v>
      </c>
      <c r="E381" s="23" t="s">
        <v>172</v>
      </c>
      <c r="F381" s="2" t="s">
        <v>39</v>
      </c>
      <c r="G381" s="2">
        <v>10</v>
      </c>
      <c r="J381" s="24">
        <v>5</v>
      </c>
      <c r="K381" s="25">
        <v>3</v>
      </c>
      <c r="L381" s="15">
        <f>IFERROR(VLOOKUP($D381&amp;$C381,生产方式定位!$A$2:$E$38,2,FALSE)+VLOOKUP($E381&amp;$C381,生产方式定位!$F$3:$J$38,2,FALSE),0)</f>
        <v>1600</v>
      </c>
      <c r="S381" s="15">
        <f>IFERROR(VLOOKUP($D381&amp;$C381,生产方式定位!$A$2:$E$38,3,FALSE)+VLOOKUP($E381&amp;$C381,生产方式定位!$F$3:$J$38,3,FALSE),0)</f>
        <v>100</v>
      </c>
      <c r="T381" s="2" t="s">
        <v>45</v>
      </c>
      <c r="U381" s="2">
        <v>1</v>
      </c>
      <c r="X381" s="15">
        <f>IFERROR(VLOOKUP($D381&amp;$C381,生产方式定位!$A$2:$E$38,5,FALSE)+VLOOKUP($E381&amp;$C381,生产方式定位!$F$3:$J$38,5,FALSE),"错误")</f>
        <v>2520</v>
      </c>
      <c r="Y381" s="26" t="str">
        <f t="shared" si="112"/>
        <v>钢铁*15,运力*44,交易*27</v>
      </c>
      <c r="Z381" s="36" t="str">
        <f t="shared" si="113"/>
        <v/>
      </c>
      <c r="AA381" s="36" t="str">
        <f t="shared" si="114"/>
        <v>科学引擎*32</v>
      </c>
      <c r="AB381" s="27" t="str">
        <f t="shared" si="115"/>
        <v>58%</v>
      </c>
      <c r="AC381" s="2">
        <f t="shared" si="116"/>
        <v>820</v>
      </c>
      <c r="AD381" s="37">
        <f t="shared" si="117"/>
        <v>2</v>
      </c>
      <c r="AE381" t="str">
        <f t="shared" si="118"/>
        <v>钢铁*15</v>
      </c>
      <c r="AF381" t="str">
        <f t="shared" si="119"/>
        <v/>
      </c>
      <c r="AG381" t="str">
        <f t="shared" si="120"/>
        <v/>
      </c>
      <c r="AH381" t="str">
        <f t="shared" si="121"/>
        <v/>
      </c>
      <c r="AI381" t="str">
        <f t="shared" si="122"/>
        <v/>
      </c>
      <c r="AJ381" t="str">
        <f t="shared" si="123"/>
        <v>科学引擎*32</v>
      </c>
      <c r="AK381" t="str">
        <f t="shared" si="124"/>
        <v/>
      </c>
      <c r="AL381">
        <f>IFERROR(ROUND(L381*(G381/$AU381)/VLOOKUP(F381,商品!$A$4:$B$60,2,FALSE),0),"")</f>
        <v>15</v>
      </c>
      <c r="AM381" t="str">
        <f>IFERROR(ROUND(L381*(I381/$AU381)/VLOOKUP(H381,商品!$A$4:$B$60,2,FALSE),0),"")</f>
        <v/>
      </c>
      <c r="AN381">
        <f>IFERROR(ROUND(L381*(J381/$AU381)/VLOOKUP("运力",商品!$A$4:$B$60,2,FALSE),0),0)</f>
        <v>44</v>
      </c>
      <c r="AO381">
        <f>IFERROR(ROUND(L381*(K381/$AU381)/VLOOKUP("交易",商品!$A$4:$B$60,2,FALSE),0),0)</f>
        <v>27</v>
      </c>
      <c r="AP381" t="str">
        <f>IFERROR(ROUND(S381*(N381/$AV381)/VLOOKUP(M381,职业!$A$4:$G$16,4,FALSE),0),"")</f>
        <v/>
      </c>
      <c r="AQ381" t="str">
        <f>IFERROR(ROUND(S381*(P381/$AV381)/VLOOKUP(O381,职业!$A$4:$G$16,4,FALSE),0),"")</f>
        <v/>
      </c>
      <c r="AR381" t="str">
        <f>IFERROR(ROUND(S381*(R381/$AV381)/VLOOKUP(Q381,职业!$A$4:$G$16,4,FALSE),0),"")</f>
        <v/>
      </c>
      <c r="AS381">
        <f>IFERROR(ROUND(X381*(U381/$AW381)/VLOOKUP(T381,商品!$A$4:$B$60,2,FALSE),0),"")</f>
        <v>32</v>
      </c>
      <c r="AT381" t="str">
        <f>IFERROR(ROUND(X381*(W381/$AW381)/VLOOKUP(V381,商品!$A$4:$B$60,2,FALSE),0),"")</f>
        <v/>
      </c>
      <c r="AU381">
        <f t="shared" si="125"/>
        <v>18</v>
      </c>
      <c r="AV381">
        <f t="shared" si="126"/>
        <v>0</v>
      </c>
      <c r="AW381">
        <f t="shared" si="127"/>
        <v>1</v>
      </c>
    </row>
    <row r="382" spans="1:49" ht="19.95" customHeight="1" x14ac:dyDescent="0.25">
      <c r="A382" s="15" t="s">
        <v>259</v>
      </c>
      <c r="C382" s="15">
        <v>3</v>
      </c>
      <c r="D382" s="23" t="s">
        <v>222</v>
      </c>
      <c r="E382" s="23" t="s">
        <v>172</v>
      </c>
      <c r="F382" s="2" t="s">
        <v>39</v>
      </c>
      <c r="G382" s="2">
        <v>10</v>
      </c>
      <c r="J382" s="24">
        <v>5</v>
      </c>
      <c r="K382" s="25">
        <v>3</v>
      </c>
      <c r="L382" s="15">
        <f>IFERROR(VLOOKUP($D382&amp;$C382,生产方式定位!$A$2:$E$38,2,FALSE)+VLOOKUP($E382&amp;$C382,生产方式定位!$F$3:$J$38,2,FALSE),0)</f>
        <v>1825</v>
      </c>
      <c r="S382" s="15">
        <f>IFERROR(VLOOKUP($D382&amp;$C382,生产方式定位!$A$2:$E$38,3,FALSE)+VLOOKUP($E382&amp;$C382,生产方式定位!$F$3:$J$38,3,FALSE),0)</f>
        <v>100</v>
      </c>
      <c r="T382" s="2" t="s">
        <v>45</v>
      </c>
      <c r="U382" s="2">
        <v>1</v>
      </c>
      <c r="X382" s="15">
        <f>IFERROR(VLOOKUP($D382&amp;$C382,生产方式定位!$A$2:$E$38,5,FALSE)+VLOOKUP($E382&amp;$C382,生产方式定位!$F$3:$J$38,5,FALSE),"错误")</f>
        <v>2830</v>
      </c>
      <c r="Y382" s="26" t="str">
        <f t="shared" si="112"/>
        <v>钢铁*17,运力*51,交易*30</v>
      </c>
      <c r="Z382" s="36" t="str">
        <f t="shared" si="113"/>
        <v/>
      </c>
      <c r="AA382" s="36" t="str">
        <f t="shared" si="114"/>
        <v>科学引擎*35</v>
      </c>
      <c r="AB382" s="27" t="str">
        <f t="shared" si="115"/>
        <v>55%</v>
      </c>
      <c r="AC382" s="2">
        <f t="shared" si="116"/>
        <v>905</v>
      </c>
      <c r="AD382" s="38">
        <f t="shared" si="117"/>
        <v>3</v>
      </c>
      <c r="AE382" t="str">
        <f t="shared" si="118"/>
        <v>钢铁*17</v>
      </c>
      <c r="AF382" t="str">
        <f t="shared" si="119"/>
        <v/>
      </c>
      <c r="AG382" t="str">
        <f t="shared" si="120"/>
        <v/>
      </c>
      <c r="AH382" t="str">
        <f t="shared" si="121"/>
        <v/>
      </c>
      <c r="AI382" t="str">
        <f t="shared" si="122"/>
        <v/>
      </c>
      <c r="AJ382" t="str">
        <f t="shared" si="123"/>
        <v>科学引擎*35</v>
      </c>
      <c r="AK382" t="str">
        <f t="shared" si="124"/>
        <v/>
      </c>
      <c r="AL382">
        <f>IFERROR(ROUND(L382*(G382/$AU382)/VLOOKUP(F382,商品!$A$4:$B$60,2,FALSE),0),"")</f>
        <v>17</v>
      </c>
      <c r="AM382" t="str">
        <f>IFERROR(ROUND(L382*(I382/$AU382)/VLOOKUP(H382,商品!$A$4:$B$60,2,FALSE),0),"")</f>
        <v/>
      </c>
      <c r="AN382">
        <f>IFERROR(ROUND(L382*(J382/$AU382)/VLOOKUP("运力",商品!$A$4:$B$60,2,FALSE),0),0)</f>
        <v>51</v>
      </c>
      <c r="AO382">
        <f>IFERROR(ROUND(L382*(K382/$AU382)/VLOOKUP("交易",商品!$A$4:$B$60,2,FALSE),0),0)</f>
        <v>30</v>
      </c>
      <c r="AP382" t="str">
        <f>IFERROR(ROUND(S382*(N382/$AV382)/VLOOKUP(M382,职业!$A$4:$G$16,4,FALSE),0),"")</f>
        <v/>
      </c>
      <c r="AQ382" t="str">
        <f>IFERROR(ROUND(S382*(P382/$AV382)/VLOOKUP(O382,职业!$A$4:$G$16,4,FALSE),0),"")</f>
        <v/>
      </c>
      <c r="AR382" t="str">
        <f>IFERROR(ROUND(S382*(R382/$AV382)/VLOOKUP(Q382,职业!$A$4:$G$16,4,FALSE),0),"")</f>
        <v/>
      </c>
      <c r="AS382">
        <f>IFERROR(ROUND(X382*(U382/$AW382)/VLOOKUP(T382,商品!$A$4:$B$60,2,FALSE),0),"")</f>
        <v>35</v>
      </c>
      <c r="AT382" t="str">
        <f>IFERROR(ROUND(X382*(W382/$AW382)/VLOOKUP(V382,商品!$A$4:$B$60,2,FALSE),0),"")</f>
        <v/>
      </c>
      <c r="AU382">
        <f t="shared" si="125"/>
        <v>18</v>
      </c>
      <c r="AV382">
        <f t="shared" si="126"/>
        <v>0</v>
      </c>
      <c r="AW382">
        <f t="shared" si="127"/>
        <v>1</v>
      </c>
    </row>
    <row r="383" spans="1:49" ht="19.95" customHeight="1" x14ac:dyDescent="0.25">
      <c r="A383" s="15" t="s">
        <v>259</v>
      </c>
      <c r="C383" s="15">
        <v>4</v>
      </c>
      <c r="D383" s="23" t="s">
        <v>222</v>
      </c>
      <c r="E383" s="23" t="s">
        <v>172</v>
      </c>
      <c r="F383" s="2" t="s">
        <v>39</v>
      </c>
      <c r="G383" s="2">
        <v>10</v>
      </c>
      <c r="J383" s="24">
        <v>5</v>
      </c>
      <c r="K383" s="25">
        <v>3</v>
      </c>
      <c r="L383" s="15">
        <f>IFERROR(VLOOKUP($D383&amp;$C383,生产方式定位!$A$2:$E$38,2,FALSE)+VLOOKUP($E383&amp;$C383,生产方式定位!$F$3:$J$38,2,FALSE),0)</f>
        <v>2050</v>
      </c>
      <c r="S383" s="15">
        <f>IFERROR(VLOOKUP($D383&amp;$C383,生产方式定位!$A$2:$E$38,3,FALSE)+VLOOKUP($E383&amp;$C383,生产方式定位!$F$3:$J$38,3,FALSE),0)</f>
        <v>100</v>
      </c>
      <c r="T383" s="2" t="s">
        <v>45</v>
      </c>
      <c r="U383" s="2">
        <v>1</v>
      </c>
      <c r="X383" s="15">
        <f>IFERROR(VLOOKUP($D383&amp;$C383,生产方式定位!$A$2:$E$38,5,FALSE)+VLOOKUP($E383&amp;$C383,生产方式定位!$F$3:$J$38,5,FALSE),"错误")</f>
        <v>3140</v>
      </c>
      <c r="Y383" s="26" t="str">
        <f t="shared" si="112"/>
        <v>钢铁*19,运力*57,交易*34</v>
      </c>
      <c r="Z383" s="36" t="str">
        <f t="shared" si="113"/>
        <v/>
      </c>
      <c r="AA383" s="36" t="str">
        <f t="shared" si="114"/>
        <v>科学引擎*39</v>
      </c>
      <c r="AB383" s="27" t="str">
        <f t="shared" si="115"/>
        <v>53%</v>
      </c>
      <c r="AC383" s="2">
        <f t="shared" si="116"/>
        <v>990</v>
      </c>
      <c r="AD383" s="38">
        <f t="shared" si="117"/>
        <v>4</v>
      </c>
      <c r="AE383" t="str">
        <f t="shared" si="118"/>
        <v>钢铁*19</v>
      </c>
      <c r="AF383" t="str">
        <f t="shared" si="119"/>
        <v/>
      </c>
      <c r="AG383" t="str">
        <f t="shared" si="120"/>
        <v/>
      </c>
      <c r="AH383" t="str">
        <f t="shared" si="121"/>
        <v/>
      </c>
      <c r="AI383" t="str">
        <f t="shared" si="122"/>
        <v/>
      </c>
      <c r="AJ383" t="str">
        <f t="shared" si="123"/>
        <v>科学引擎*39</v>
      </c>
      <c r="AK383" t="str">
        <f t="shared" si="124"/>
        <v/>
      </c>
      <c r="AL383">
        <f>IFERROR(ROUND(L383*(G383/$AU383)/VLOOKUP(F383,商品!$A$4:$B$60,2,FALSE),0),"")</f>
        <v>19</v>
      </c>
      <c r="AM383" t="str">
        <f>IFERROR(ROUND(L383*(I383/$AU383)/VLOOKUP(H383,商品!$A$4:$B$60,2,FALSE),0),"")</f>
        <v/>
      </c>
      <c r="AN383">
        <f>IFERROR(ROUND(L383*(J383/$AU383)/VLOOKUP("运力",商品!$A$4:$B$60,2,FALSE),0),0)</f>
        <v>57</v>
      </c>
      <c r="AO383">
        <f>IFERROR(ROUND(L383*(K383/$AU383)/VLOOKUP("交易",商品!$A$4:$B$60,2,FALSE),0),0)</f>
        <v>34</v>
      </c>
      <c r="AP383" t="str">
        <f>IFERROR(ROUND(S383*(N383/$AV383)/VLOOKUP(M383,职业!$A$4:$G$16,4,FALSE),0),"")</f>
        <v/>
      </c>
      <c r="AQ383" t="str">
        <f>IFERROR(ROUND(S383*(P383/$AV383)/VLOOKUP(O383,职业!$A$4:$G$16,4,FALSE),0),"")</f>
        <v/>
      </c>
      <c r="AR383" t="str">
        <f>IFERROR(ROUND(S383*(R383/$AV383)/VLOOKUP(Q383,职业!$A$4:$G$16,4,FALSE),0),"")</f>
        <v/>
      </c>
      <c r="AS383">
        <f>IFERROR(ROUND(X383*(U383/$AW383)/VLOOKUP(T383,商品!$A$4:$B$60,2,FALSE),0),"")</f>
        <v>39</v>
      </c>
      <c r="AT383" t="str">
        <f>IFERROR(ROUND(X383*(W383/$AW383)/VLOOKUP(V383,商品!$A$4:$B$60,2,FALSE),0),"")</f>
        <v/>
      </c>
      <c r="AU383">
        <f t="shared" si="125"/>
        <v>18</v>
      </c>
      <c r="AV383">
        <f t="shared" si="126"/>
        <v>0</v>
      </c>
      <c r="AW383">
        <f t="shared" si="127"/>
        <v>1</v>
      </c>
    </row>
    <row r="384" spans="1:49" ht="19.95" customHeight="1" x14ac:dyDescent="0.25">
      <c r="A384" s="15" t="s">
        <v>259</v>
      </c>
      <c r="C384" s="15">
        <v>5</v>
      </c>
      <c r="D384" s="23" t="s">
        <v>222</v>
      </c>
      <c r="E384" s="23" t="s">
        <v>172</v>
      </c>
      <c r="F384" s="2" t="s">
        <v>39</v>
      </c>
      <c r="G384" s="2">
        <v>10</v>
      </c>
      <c r="J384" s="24">
        <v>5</v>
      </c>
      <c r="K384" s="25">
        <v>3</v>
      </c>
      <c r="L384" s="15">
        <f>IFERROR(VLOOKUP($D384&amp;$C384,生产方式定位!$A$2:$E$38,2,FALSE)+VLOOKUP($E384&amp;$C384,生产方式定位!$F$3:$J$38,2,FALSE),0)</f>
        <v>2275</v>
      </c>
      <c r="S384" s="15">
        <f>IFERROR(VLOOKUP($D384&amp;$C384,生产方式定位!$A$2:$E$38,3,FALSE)+VLOOKUP($E384&amp;$C384,生产方式定位!$F$3:$J$38,3,FALSE),0)</f>
        <v>100</v>
      </c>
      <c r="T384" s="2" t="s">
        <v>45</v>
      </c>
      <c r="U384" s="2">
        <v>1</v>
      </c>
      <c r="X384" s="15">
        <f>IFERROR(VLOOKUP($D384&amp;$C384,生产方式定位!$A$2:$E$38,5,FALSE)+VLOOKUP($E384&amp;$C384,生产方式定位!$F$3:$J$38,5,FALSE),"错误")</f>
        <v>3450</v>
      </c>
      <c r="Y384" s="26" t="str">
        <f t="shared" si="112"/>
        <v>钢铁*21,运力*63,交易*38</v>
      </c>
      <c r="Z384" s="36" t="str">
        <f t="shared" si="113"/>
        <v/>
      </c>
      <c r="AA384" s="36" t="str">
        <f t="shared" si="114"/>
        <v>科学引擎*43</v>
      </c>
      <c r="AB384" s="27" t="str">
        <f t="shared" si="115"/>
        <v>52%</v>
      </c>
      <c r="AC384" s="2">
        <f t="shared" si="116"/>
        <v>1075</v>
      </c>
      <c r="AD384" s="38">
        <f t="shared" si="117"/>
        <v>5</v>
      </c>
      <c r="AE384" t="str">
        <f t="shared" si="118"/>
        <v>钢铁*21</v>
      </c>
      <c r="AF384" t="str">
        <f t="shared" si="119"/>
        <v/>
      </c>
      <c r="AG384" t="str">
        <f t="shared" si="120"/>
        <v/>
      </c>
      <c r="AH384" t="str">
        <f t="shared" si="121"/>
        <v/>
      </c>
      <c r="AI384" t="str">
        <f t="shared" si="122"/>
        <v/>
      </c>
      <c r="AJ384" t="str">
        <f t="shared" si="123"/>
        <v>科学引擎*43</v>
      </c>
      <c r="AK384" t="str">
        <f t="shared" si="124"/>
        <v/>
      </c>
      <c r="AL384">
        <f>IFERROR(ROUND(L384*(G384/$AU384)/VLOOKUP(F384,商品!$A$4:$B$60,2,FALSE),0),"")</f>
        <v>21</v>
      </c>
      <c r="AM384" t="str">
        <f>IFERROR(ROUND(L384*(I384/$AU384)/VLOOKUP(H384,商品!$A$4:$B$60,2,FALSE),0),"")</f>
        <v/>
      </c>
      <c r="AN384">
        <f>IFERROR(ROUND(L384*(J384/$AU384)/VLOOKUP("运力",商品!$A$4:$B$60,2,FALSE),0),0)</f>
        <v>63</v>
      </c>
      <c r="AO384">
        <f>IFERROR(ROUND(L384*(K384/$AU384)/VLOOKUP("交易",商品!$A$4:$B$60,2,FALSE),0),0)</f>
        <v>38</v>
      </c>
      <c r="AP384" t="str">
        <f>IFERROR(ROUND(S384*(N384/$AV384)/VLOOKUP(M384,职业!$A$4:$G$16,4,FALSE),0),"")</f>
        <v/>
      </c>
      <c r="AQ384" t="str">
        <f>IFERROR(ROUND(S384*(P384/$AV384)/VLOOKUP(O384,职业!$A$4:$G$16,4,FALSE),0),"")</f>
        <v/>
      </c>
      <c r="AR384" t="str">
        <f>IFERROR(ROUND(S384*(R384/$AV384)/VLOOKUP(Q384,职业!$A$4:$G$16,4,FALSE),0),"")</f>
        <v/>
      </c>
      <c r="AS384">
        <f>IFERROR(ROUND(X384*(U384/$AW384)/VLOOKUP(T384,商品!$A$4:$B$60,2,FALSE),0),"")</f>
        <v>43</v>
      </c>
      <c r="AT384" t="str">
        <f>IFERROR(ROUND(X384*(W384/$AW384)/VLOOKUP(V384,商品!$A$4:$B$60,2,FALSE),0),"")</f>
        <v/>
      </c>
      <c r="AU384">
        <f t="shared" si="125"/>
        <v>18</v>
      </c>
      <c r="AV384">
        <f t="shared" si="126"/>
        <v>0</v>
      </c>
      <c r="AW384">
        <f t="shared" si="127"/>
        <v>1</v>
      </c>
    </row>
    <row r="385" spans="1:49" ht="19.95" customHeight="1" x14ac:dyDescent="0.25">
      <c r="A385" s="16" t="s">
        <v>520</v>
      </c>
      <c r="C385" s="16">
        <v>1</v>
      </c>
      <c r="D385" s="23" t="s">
        <v>174</v>
      </c>
      <c r="E385" s="23" t="s">
        <v>175</v>
      </c>
      <c r="L385" s="16">
        <f>IFERROR(VLOOKUP($D385&amp;$C385,生产方式定位!$A$2:$E$38,2,FALSE)+VLOOKUP($E385&amp;$C385,生产方式定位!$F$3:$J$38,2,FALSE),0)</f>
        <v>0</v>
      </c>
      <c r="S385" s="16">
        <f>IFERROR(VLOOKUP($D385&amp;$C385,生产方式定位!$A$2:$E$38,3,FALSE)+VLOOKUP($E385&amp;$C385,生产方式定位!$F$3:$J$38,3,FALSE),0)</f>
        <v>0</v>
      </c>
      <c r="X385" s="16">
        <f>IFERROR(VLOOKUP($D385&amp;$C385,生产方式定位!$A$2:$E$38,5,FALSE)+VLOOKUP($E385&amp;$C385,生产方式定位!$F$3:$J$38,5,FALSE),"错误")</f>
        <v>0</v>
      </c>
      <c r="Y385" s="26" t="str">
        <f t="shared" si="112"/>
        <v/>
      </c>
      <c r="Z385" s="36" t="str">
        <f t="shared" si="113"/>
        <v/>
      </c>
      <c r="AA385" s="36" t="str">
        <f t="shared" si="114"/>
        <v/>
      </c>
      <c r="AB385" s="27" t="str">
        <f t="shared" si="115"/>
        <v/>
      </c>
      <c r="AC385" s="2" t="str">
        <f t="shared" si="116"/>
        <v/>
      </c>
      <c r="AD385" s="38">
        <f t="shared" si="117"/>
        <v>1</v>
      </c>
      <c r="AE385" t="str">
        <f t="shared" si="118"/>
        <v/>
      </c>
      <c r="AF385" t="str">
        <f t="shared" si="119"/>
        <v/>
      </c>
      <c r="AG385" t="str">
        <f t="shared" si="120"/>
        <v/>
      </c>
      <c r="AH385" t="str">
        <f t="shared" si="121"/>
        <v/>
      </c>
      <c r="AI385" t="str">
        <f t="shared" si="122"/>
        <v/>
      </c>
      <c r="AJ385" t="str">
        <f t="shared" si="123"/>
        <v/>
      </c>
      <c r="AK385" t="str">
        <f t="shared" si="124"/>
        <v/>
      </c>
      <c r="AL385" t="str">
        <f>IFERROR(ROUND(L385*(G385/$AU385)/VLOOKUP(F385,商品!$A$4:$B$60,2,FALSE),0),"")</f>
        <v/>
      </c>
      <c r="AM385" t="str">
        <f>IFERROR(ROUND(L385*(I385/$AU385)/VLOOKUP(H385,商品!$A$4:$B$60,2,FALSE),0),"")</f>
        <v/>
      </c>
      <c r="AN385">
        <f>IFERROR(ROUND(L385*(J385/$AU385)/VLOOKUP("运力",商品!$A$4:$B$60,2,FALSE),0),0)</f>
        <v>0</v>
      </c>
      <c r="AO385">
        <f>IFERROR(ROUND(L385*(K385/$AU385)/VLOOKUP("交易",商品!$A$4:$B$60,2,FALSE),0),0)</f>
        <v>0</v>
      </c>
      <c r="AP385" t="str">
        <f>IFERROR(ROUND(S385*(N385/$AV385)/VLOOKUP(M385,职业!$A$4:$G$16,4,FALSE),0),"")</f>
        <v/>
      </c>
      <c r="AQ385" t="str">
        <f>IFERROR(ROUND(S385*(P385/$AV385)/VLOOKUP(O385,职业!$A$4:$G$16,4,FALSE),0),"")</f>
        <v/>
      </c>
      <c r="AR385" t="str">
        <f>IFERROR(ROUND(S385*(R385/$AV385)/VLOOKUP(Q385,职业!$A$4:$G$16,4,FALSE),0),"")</f>
        <v/>
      </c>
      <c r="AS385" t="str">
        <f>IFERROR(ROUND(X385*(U385/$AW385)/VLOOKUP(T385,商品!$A$4:$B$60,2,FALSE),0),"")</f>
        <v/>
      </c>
      <c r="AT385" t="str">
        <f>IFERROR(ROUND(X385*(W385/$AW385)/VLOOKUP(V385,商品!$A$4:$B$60,2,FALSE),0),"")</f>
        <v/>
      </c>
      <c r="AU385">
        <f t="shared" si="125"/>
        <v>0</v>
      </c>
      <c r="AV385">
        <f t="shared" si="126"/>
        <v>0</v>
      </c>
      <c r="AW385">
        <f t="shared" si="127"/>
        <v>0</v>
      </c>
    </row>
    <row r="386" spans="1:49" ht="19.95" customHeight="1" x14ac:dyDescent="0.25">
      <c r="A386" s="16" t="s">
        <v>520</v>
      </c>
      <c r="C386" s="16">
        <v>2</v>
      </c>
      <c r="D386" s="23" t="s">
        <v>174</v>
      </c>
      <c r="E386" s="23" t="s">
        <v>175</v>
      </c>
      <c r="F386" s="2" t="s">
        <v>41</v>
      </c>
      <c r="G386" s="2">
        <v>10</v>
      </c>
      <c r="L386" s="16">
        <f>IFERROR(VLOOKUP($D386&amp;$C386,生产方式定位!$A$2:$E$38,2,FALSE)+VLOOKUP($E386&amp;$C386,生产方式定位!$F$3:$J$38,2,FALSE),0)</f>
        <v>50</v>
      </c>
      <c r="S386" s="16">
        <f>IFERROR(VLOOKUP($D386&amp;$C386,生产方式定位!$A$2:$E$38,3,FALSE)+VLOOKUP($E386&amp;$C386,生产方式定位!$F$3:$J$38,3,FALSE),0)</f>
        <v>10</v>
      </c>
      <c r="X386" s="16">
        <f>IFERROR(VLOOKUP($D386&amp;$C386,生产方式定位!$A$2:$E$38,5,FALSE)+VLOOKUP($E386&amp;$C386,生产方式定位!$F$3:$J$38,5,FALSE),"错误")</f>
        <v>0</v>
      </c>
      <c r="Y386" s="26" t="str">
        <f t="shared" si="112"/>
        <v>工具*1</v>
      </c>
      <c r="Z386" s="36" t="str">
        <f t="shared" si="113"/>
        <v/>
      </c>
      <c r="AA386" s="36" t="str">
        <f t="shared" si="114"/>
        <v/>
      </c>
      <c r="AB386" s="27" t="str">
        <f t="shared" si="115"/>
        <v>-100%</v>
      </c>
      <c r="AC386" s="2">
        <f t="shared" si="116"/>
        <v>-60</v>
      </c>
      <c r="AD386" s="38">
        <f t="shared" si="117"/>
        <v>2</v>
      </c>
      <c r="AE386" t="str">
        <f t="shared" si="118"/>
        <v>工具*1</v>
      </c>
      <c r="AF386" t="str">
        <f t="shared" si="119"/>
        <v/>
      </c>
      <c r="AG386" t="str">
        <f t="shared" si="120"/>
        <v/>
      </c>
      <c r="AH386" t="str">
        <f t="shared" si="121"/>
        <v/>
      </c>
      <c r="AI386" t="str">
        <f t="shared" si="122"/>
        <v/>
      </c>
      <c r="AJ386" t="str">
        <f t="shared" si="123"/>
        <v/>
      </c>
      <c r="AK386" t="str">
        <f t="shared" si="124"/>
        <v/>
      </c>
      <c r="AL386">
        <f>IFERROR(ROUND(L386*(G386/$AU386)/VLOOKUP(F386,商品!$A$4:$B$60,2,FALSE),0),"")</f>
        <v>1</v>
      </c>
      <c r="AM386" t="str">
        <f>IFERROR(ROUND(L386*(I386/$AU386)/VLOOKUP(H386,商品!$A$4:$B$60,2,FALSE),0),"")</f>
        <v/>
      </c>
      <c r="AN386">
        <f>IFERROR(ROUND(L386*(J386/$AU386)/VLOOKUP("运力",商品!$A$4:$B$60,2,FALSE),0),0)</f>
        <v>0</v>
      </c>
      <c r="AO386">
        <f>IFERROR(ROUND(L386*(K386/$AU386)/VLOOKUP("交易",商品!$A$4:$B$60,2,FALSE),0),0)</f>
        <v>0</v>
      </c>
      <c r="AP386" t="str">
        <f>IFERROR(ROUND(S386*(N386/$AV386)/VLOOKUP(M386,职业!$A$4:$G$16,4,FALSE),0),"")</f>
        <v/>
      </c>
      <c r="AQ386" t="str">
        <f>IFERROR(ROUND(S386*(P386/$AV386)/VLOOKUP(O386,职业!$A$4:$G$16,4,FALSE),0),"")</f>
        <v/>
      </c>
      <c r="AR386" t="str">
        <f>IFERROR(ROUND(S386*(R386/$AV386)/VLOOKUP(Q386,职业!$A$4:$G$16,4,FALSE),0),"")</f>
        <v/>
      </c>
      <c r="AS386" t="str">
        <f>IFERROR(ROUND(X386*(U386/$AW386)/VLOOKUP(T386,商品!$A$4:$B$60,2,FALSE),0),"")</f>
        <v/>
      </c>
      <c r="AT386" t="str">
        <f>IFERROR(ROUND(X386*(W386/$AW386)/VLOOKUP(V386,商品!$A$4:$B$60,2,FALSE),0),"")</f>
        <v/>
      </c>
      <c r="AU386">
        <f t="shared" si="125"/>
        <v>10</v>
      </c>
      <c r="AV386">
        <f t="shared" si="126"/>
        <v>0</v>
      </c>
      <c r="AW386">
        <f t="shared" si="127"/>
        <v>0</v>
      </c>
    </row>
    <row r="387" spans="1:49" ht="19.95" customHeight="1" x14ac:dyDescent="0.25">
      <c r="A387" s="16" t="s">
        <v>520</v>
      </c>
      <c r="C387" s="16">
        <v>3</v>
      </c>
      <c r="D387" s="23" t="s">
        <v>174</v>
      </c>
      <c r="E387" s="23" t="s">
        <v>175</v>
      </c>
      <c r="F387" s="2" t="s">
        <v>41</v>
      </c>
      <c r="G387" s="2">
        <v>10</v>
      </c>
      <c r="L387" s="16">
        <f>IFERROR(VLOOKUP($D387&amp;$C387,生产方式定位!$A$2:$E$38,2,FALSE)+VLOOKUP($E387&amp;$C387,生产方式定位!$F$3:$J$38,2,FALSE),0)</f>
        <v>100</v>
      </c>
      <c r="S387" s="16">
        <f>IFERROR(VLOOKUP($D387&amp;$C387,生产方式定位!$A$2:$E$38,3,FALSE)+VLOOKUP($E387&amp;$C387,生产方式定位!$F$3:$J$38,3,FALSE),0)</f>
        <v>20</v>
      </c>
      <c r="X387" s="16">
        <f>IFERROR(VLOOKUP($D387&amp;$C387,生产方式定位!$A$2:$E$38,5,FALSE)+VLOOKUP($E387&amp;$C387,生产方式定位!$F$3:$J$38,5,FALSE),"错误")</f>
        <v>0</v>
      </c>
      <c r="Y387" s="26" t="str">
        <f t="shared" si="112"/>
        <v>工具*3</v>
      </c>
      <c r="Z387" s="36" t="str">
        <f t="shared" si="113"/>
        <v/>
      </c>
      <c r="AA387" s="36" t="str">
        <f t="shared" si="114"/>
        <v/>
      </c>
      <c r="AB387" s="27" t="str">
        <f t="shared" si="115"/>
        <v>-100%</v>
      </c>
      <c r="AC387" s="2">
        <f t="shared" si="116"/>
        <v>-120</v>
      </c>
      <c r="AD387" s="38">
        <f t="shared" si="117"/>
        <v>3</v>
      </c>
      <c r="AE387" t="str">
        <f t="shared" si="118"/>
        <v>工具*3</v>
      </c>
      <c r="AF387" t="str">
        <f t="shared" si="119"/>
        <v/>
      </c>
      <c r="AG387" t="str">
        <f t="shared" si="120"/>
        <v/>
      </c>
      <c r="AH387" t="str">
        <f t="shared" si="121"/>
        <v/>
      </c>
      <c r="AI387" t="str">
        <f t="shared" si="122"/>
        <v/>
      </c>
      <c r="AJ387" t="str">
        <f t="shared" si="123"/>
        <v/>
      </c>
      <c r="AK387" t="str">
        <f t="shared" si="124"/>
        <v/>
      </c>
      <c r="AL387">
        <f>IFERROR(ROUND(L387*(G387/$AU387)/VLOOKUP(F387,商品!$A$4:$B$60,2,FALSE),0),"")</f>
        <v>3</v>
      </c>
      <c r="AM387" t="str">
        <f>IFERROR(ROUND(L387*(I387/$AU387)/VLOOKUP(H387,商品!$A$4:$B$60,2,FALSE),0),"")</f>
        <v/>
      </c>
      <c r="AN387">
        <f>IFERROR(ROUND(L387*(J387/$AU387)/VLOOKUP("运力",商品!$A$4:$B$60,2,FALSE),0),0)</f>
        <v>0</v>
      </c>
      <c r="AO387">
        <f>IFERROR(ROUND(L387*(K387/$AU387)/VLOOKUP("交易",商品!$A$4:$B$60,2,FALSE),0),0)</f>
        <v>0</v>
      </c>
      <c r="AP387" t="str">
        <f>IFERROR(ROUND(S387*(N387/$AV387)/VLOOKUP(M387,职业!$A$4:$G$16,4,FALSE),0),"")</f>
        <v/>
      </c>
      <c r="AQ387" t="str">
        <f>IFERROR(ROUND(S387*(P387/$AV387)/VLOOKUP(O387,职业!$A$4:$G$16,4,FALSE),0),"")</f>
        <v/>
      </c>
      <c r="AR387" t="str">
        <f>IFERROR(ROUND(S387*(R387/$AV387)/VLOOKUP(Q387,职业!$A$4:$G$16,4,FALSE),0),"")</f>
        <v/>
      </c>
      <c r="AS387" t="str">
        <f>IFERROR(ROUND(X387*(U387/$AW387)/VLOOKUP(T387,商品!$A$4:$B$60,2,FALSE),0),"")</f>
        <v/>
      </c>
      <c r="AT387" t="str">
        <f>IFERROR(ROUND(X387*(W387/$AW387)/VLOOKUP(V387,商品!$A$4:$B$60,2,FALSE),0),"")</f>
        <v/>
      </c>
      <c r="AU387">
        <f t="shared" si="125"/>
        <v>10</v>
      </c>
      <c r="AV387">
        <f t="shared" si="126"/>
        <v>0</v>
      </c>
      <c r="AW387">
        <f t="shared" si="127"/>
        <v>0</v>
      </c>
    </row>
    <row r="388" spans="1:49" ht="19.95" customHeight="1" x14ac:dyDescent="0.25">
      <c r="A388" s="16" t="s">
        <v>520</v>
      </c>
      <c r="C388" s="16">
        <v>4</v>
      </c>
      <c r="D388" s="23" t="s">
        <v>174</v>
      </c>
      <c r="E388" s="23" t="s">
        <v>175</v>
      </c>
      <c r="F388" s="2" t="s">
        <v>45</v>
      </c>
      <c r="G388" s="2">
        <v>5</v>
      </c>
      <c r="H388" s="2" t="s">
        <v>19</v>
      </c>
      <c r="I388" s="2">
        <v>10</v>
      </c>
      <c r="L388" s="16">
        <f>IFERROR(VLOOKUP($D388&amp;$C388,生产方式定位!$A$2:$E$38,2,FALSE)+VLOOKUP($E388&amp;$C388,生产方式定位!$F$3:$J$38,2,FALSE),0)</f>
        <v>150</v>
      </c>
      <c r="S388" s="16">
        <f>IFERROR(VLOOKUP($D388&amp;$C388,生产方式定位!$A$2:$E$38,3,FALSE)+VLOOKUP($E388&amp;$C388,生产方式定位!$F$3:$J$38,3,FALSE),0)</f>
        <v>30</v>
      </c>
      <c r="X388" s="16">
        <f>IFERROR(VLOOKUP($D388&amp;$C388,生产方式定位!$A$2:$E$38,5,FALSE)+VLOOKUP($E388&amp;$C388,生产方式定位!$F$3:$J$38,5,FALSE),"错误")</f>
        <v>0</v>
      </c>
      <c r="Y388" s="26" t="str">
        <f t="shared" si="112"/>
        <v>科学引擎*1,煤*3</v>
      </c>
      <c r="Z388" s="36" t="str">
        <f t="shared" si="113"/>
        <v/>
      </c>
      <c r="AA388" s="36" t="str">
        <f t="shared" si="114"/>
        <v/>
      </c>
      <c r="AB388" s="27" t="str">
        <f t="shared" si="115"/>
        <v>-100%</v>
      </c>
      <c r="AC388" s="2">
        <f t="shared" si="116"/>
        <v>-180</v>
      </c>
      <c r="AD388" s="38">
        <f t="shared" si="117"/>
        <v>4</v>
      </c>
      <c r="AE388" t="str">
        <f t="shared" si="118"/>
        <v>科学引擎*1</v>
      </c>
      <c r="AF388" t="str">
        <f t="shared" si="119"/>
        <v>煤*3</v>
      </c>
      <c r="AG388" t="str">
        <f t="shared" si="120"/>
        <v/>
      </c>
      <c r="AH388" t="str">
        <f t="shared" si="121"/>
        <v/>
      </c>
      <c r="AI388" t="str">
        <f t="shared" si="122"/>
        <v/>
      </c>
      <c r="AJ388" t="str">
        <f t="shared" si="123"/>
        <v/>
      </c>
      <c r="AK388" t="str">
        <f t="shared" si="124"/>
        <v/>
      </c>
      <c r="AL388">
        <f>IFERROR(ROUND(L388*(G388/$AU388)/VLOOKUP(F388,商品!$A$4:$B$60,2,FALSE),0),"")</f>
        <v>1</v>
      </c>
      <c r="AM388">
        <f>IFERROR(ROUND(L388*(I388/$AU388)/VLOOKUP(H388,商品!$A$4:$B$60,2,FALSE),0),"")</f>
        <v>3</v>
      </c>
      <c r="AN388">
        <f>IFERROR(ROUND(L388*(J388/$AU388)/VLOOKUP("运力",商品!$A$4:$B$60,2,FALSE),0),0)</f>
        <v>0</v>
      </c>
      <c r="AO388">
        <f>IFERROR(ROUND(L388*(K388/$AU388)/VLOOKUP("交易",商品!$A$4:$B$60,2,FALSE),0),0)</f>
        <v>0</v>
      </c>
      <c r="AP388" t="str">
        <f>IFERROR(ROUND(S388*(N388/$AV388)/VLOOKUP(M388,职业!$A$4:$G$16,4,FALSE),0),"")</f>
        <v/>
      </c>
      <c r="AQ388" t="str">
        <f>IFERROR(ROUND(S388*(P388/$AV388)/VLOOKUP(O388,职业!$A$4:$G$16,4,FALSE),0),"")</f>
        <v/>
      </c>
      <c r="AR388" t="str">
        <f>IFERROR(ROUND(S388*(R388/$AV388)/VLOOKUP(Q388,职业!$A$4:$G$16,4,FALSE),0),"")</f>
        <v/>
      </c>
      <c r="AS388" t="str">
        <f>IFERROR(ROUND(X388*(U388/$AW388)/VLOOKUP(T388,商品!$A$4:$B$60,2,FALSE),0),"")</f>
        <v/>
      </c>
      <c r="AT388" t="str">
        <f>IFERROR(ROUND(X388*(W388/$AW388)/VLOOKUP(V388,商品!$A$4:$B$60,2,FALSE),0),"")</f>
        <v/>
      </c>
      <c r="AU388">
        <f t="shared" si="125"/>
        <v>15</v>
      </c>
      <c r="AV388">
        <f t="shared" si="126"/>
        <v>0</v>
      </c>
      <c r="AW388">
        <f t="shared" si="127"/>
        <v>0</v>
      </c>
    </row>
    <row r="389" spans="1:49" ht="19.95" customHeight="1" x14ac:dyDescent="0.25">
      <c r="A389" s="16" t="s">
        <v>520</v>
      </c>
      <c r="C389" s="16">
        <v>5</v>
      </c>
      <c r="D389" s="23" t="s">
        <v>174</v>
      </c>
      <c r="E389" s="23" t="s">
        <v>175</v>
      </c>
      <c r="F389" s="2" t="s">
        <v>46</v>
      </c>
      <c r="G389" s="2">
        <v>5</v>
      </c>
      <c r="H389" s="2" t="s">
        <v>19</v>
      </c>
      <c r="I389" s="2">
        <v>10</v>
      </c>
      <c r="L389" s="16">
        <f>IFERROR(VLOOKUP($D389&amp;$C389,生产方式定位!$A$2:$E$38,2,FALSE)+VLOOKUP($E389&amp;$C389,生产方式定位!$F$3:$J$38,2,FALSE),0)</f>
        <v>200</v>
      </c>
      <c r="S389" s="16">
        <f>IFERROR(VLOOKUP($D389&amp;$C389,生产方式定位!$A$2:$E$38,3,FALSE)+VLOOKUP($E389&amp;$C389,生产方式定位!$F$3:$J$38,3,FALSE),0)</f>
        <v>40</v>
      </c>
      <c r="X389" s="16">
        <f>IFERROR(VLOOKUP($D389&amp;$C389,生产方式定位!$A$2:$E$38,5,FALSE)+VLOOKUP($E389&amp;$C389,生产方式定位!$F$3:$J$38,5,FALSE),"错误")</f>
        <v>0</v>
      </c>
      <c r="Y389" s="26" t="str">
        <f t="shared" ref="Y389:Y452" si="128">IF(AE389="","",AE389)&amp;IF(AF389="","",","&amp;AF389)&amp;IF(AN389=0,"",",运力*"&amp;AN389)&amp;IF(AO389=0,"",",交易*"&amp;AO389)</f>
        <v>魔导引擎*1,煤*4</v>
      </c>
      <c r="Z389" s="36" t="str">
        <f t="shared" ref="Z389:Z452" si="129">IF(AG389="","",AG389)&amp;IF(AH389="","",","&amp;AH389)&amp;IF(AI389="","",","&amp;AI389)</f>
        <v/>
      </c>
      <c r="AA389" s="36" t="str">
        <f t="shared" ref="AA389:AA452" si="130">IF(AJ389="","",AJ389)&amp;IF(AK389="","",","&amp;AK389)</f>
        <v/>
      </c>
      <c r="AB389" s="27" t="str">
        <f t="shared" ref="AB389:AB452" si="131">IFERROR(ROUND(((X389/L389)-1)*100,0)&amp;"%","")</f>
        <v>-100%</v>
      </c>
      <c r="AC389" s="2">
        <f t="shared" ref="AC389:AC452" si="132">IF(X389-S389-L389=0,"",X389-S389-L389)</f>
        <v>-240</v>
      </c>
      <c r="AD389" s="38">
        <f t="shared" ref="AD389:AD452" si="133">C389</f>
        <v>5</v>
      </c>
      <c r="AE389" t="str">
        <f t="shared" ref="AE389:AE452" si="134">IF(AL389="","",F389&amp;"*"&amp;AL389)</f>
        <v>魔导引擎*1</v>
      </c>
      <c r="AF389" t="str">
        <f t="shared" ref="AF389:AF452" si="135">IF(AM389="","",H389&amp;"*"&amp;AM389)</f>
        <v>煤*4</v>
      </c>
      <c r="AG389" t="str">
        <f t="shared" ref="AG389:AG452" si="136">IF(AP389="","",M389&amp;"*"&amp;AP389)</f>
        <v/>
      </c>
      <c r="AH389" t="str">
        <f t="shared" ref="AH389:AH452" si="137">IF(AQ389="","",O389&amp;"*"&amp;AQ389)</f>
        <v/>
      </c>
      <c r="AI389" t="str">
        <f t="shared" ref="AI389:AI452" si="138">IF(AR389="","",Q389&amp;"*"&amp;AR389)</f>
        <v/>
      </c>
      <c r="AJ389" t="str">
        <f t="shared" ref="AJ389:AJ452" si="139">IF(AS389="","",T389&amp;"*"&amp;AS389)</f>
        <v/>
      </c>
      <c r="AK389" t="str">
        <f t="shared" ref="AK389:AK452" si="140">IF(AT389="","",V389&amp;"*"&amp;AT389)</f>
        <v/>
      </c>
      <c r="AL389">
        <f>IFERROR(ROUND(L389*(G389/$AU389)/VLOOKUP(F389,商品!$A$4:$B$60,2,FALSE),0),"")</f>
        <v>1</v>
      </c>
      <c r="AM389">
        <f>IFERROR(ROUND(L389*(I389/$AU389)/VLOOKUP(H389,商品!$A$4:$B$60,2,FALSE),0),"")</f>
        <v>4</v>
      </c>
      <c r="AN389">
        <f>IFERROR(ROUND(L389*(J389/$AU389)/VLOOKUP("运力",商品!$A$4:$B$60,2,FALSE),0),0)</f>
        <v>0</v>
      </c>
      <c r="AO389">
        <f>IFERROR(ROUND(L389*(K389/$AU389)/VLOOKUP("交易",商品!$A$4:$B$60,2,FALSE),0),0)</f>
        <v>0</v>
      </c>
      <c r="AP389" t="str">
        <f>IFERROR(ROUND(S389*(N389/$AV389)/VLOOKUP(M389,职业!$A$4:$G$16,4,FALSE),0),"")</f>
        <v/>
      </c>
      <c r="AQ389" t="str">
        <f>IFERROR(ROUND(S389*(P389/$AV389)/VLOOKUP(O389,职业!$A$4:$G$16,4,FALSE),0),"")</f>
        <v/>
      </c>
      <c r="AR389" t="str">
        <f>IFERROR(ROUND(S389*(R389/$AV389)/VLOOKUP(Q389,职业!$A$4:$G$16,4,FALSE),0),"")</f>
        <v/>
      </c>
      <c r="AS389" t="str">
        <f>IFERROR(ROUND(X389*(U389/$AW389)/VLOOKUP(T389,商品!$A$4:$B$60,2,FALSE),0),"")</f>
        <v/>
      </c>
      <c r="AT389" t="str">
        <f>IFERROR(ROUND(X389*(W389/$AW389)/VLOOKUP(V389,商品!$A$4:$B$60,2,FALSE),0),"")</f>
        <v/>
      </c>
      <c r="AU389">
        <f t="shared" ref="AU389:AU452" si="141">G389+I389+J389+K389</f>
        <v>15</v>
      </c>
      <c r="AV389">
        <f t="shared" ref="AV389:AV452" si="142">ABS(N389)+ABS(P389)+ABS(R389)</f>
        <v>0</v>
      </c>
      <c r="AW389">
        <f t="shared" ref="AW389:AW452" si="143">U389+W389</f>
        <v>0</v>
      </c>
    </row>
    <row r="390" spans="1:49" ht="19.95" customHeight="1" x14ac:dyDescent="0.25">
      <c r="A390" s="15" t="s">
        <v>520</v>
      </c>
      <c r="C390" s="15">
        <v>1</v>
      </c>
      <c r="D390" s="23" t="s">
        <v>174</v>
      </c>
      <c r="E390" s="23" t="s">
        <v>177</v>
      </c>
      <c r="L390" s="15">
        <f>IFERROR(VLOOKUP($D390&amp;$C390,生产方式定位!$A$2:$E$38,2,FALSE)+VLOOKUP($E390&amp;$C390,生产方式定位!$F$3:$J$38,2,FALSE),0)</f>
        <v>0</v>
      </c>
      <c r="S390" s="15">
        <f>IFERROR(VLOOKUP($D390&amp;$C390,生产方式定位!$A$2:$E$38,3,FALSE)+VLOOKUP($E390&amp;$C390,生产方式定位!$F$3:$J$38,3,FALSE),0)</f>
        <v>0</v>
      </c>
      <c r="X390" s="15">
        <f>IFERROR(VLOOKUP($D390&amp;$C390,生产方式定位!$A$2:$E$38,5,FALSE)+VLOOKUP($E390&amp;$C390,生产方式定位!$F$3:$J$38,5,FALSE),"错误")</f>
        <v>0</v>
      </c>
      <c r="Y390" s="26" t="str">
        <f t="shared" si="128"/>
        <v/>
      </c>
      <c r="Z390" s="36" t="str">
        <f t="shared" si="129"/>
        <v/>
      </c>
      <c r="AA390" s="36" t="str">
        <f t="shared" si="130"/>
        <v/>
      </c>
      <c r="AB390" s="27" t="str">
        <f t="shared" si="131"/>
        <v/>
      </c>
      <c r="AC390" s="2" t="str">
        <f t="shared" si="132"/>
        <v/>
      </c>
      <c r="AD390" s="37">
        <f t="shared" si="133"/>
        <v>1</v>
      </c>
      <c r="AE390" t="str">
        <f t="shared" si="134"/>
        <v/>
      </c>
      <c r="AF390" t="str">
        <f t="shared" si="135"/>
        <v/>
      </c>
      <c r="AG390" t="str">
        <f t="shared" si="136"/>
        <v/>
      </c>
      <c r="AH390" t="str">
        <f t="shared" si="137"/>
        <v/>
      </c>
      <c r="AI390" t="str">
        <f t="shared" si="138"/>
        <v/>
      </c>
      <c r="AJ390" t="str">
        <f t="shared" si="139"/>
        <v/>
      </c>
      <c r="AK390" t="str">
        <f t="shared" si="140"/>
        <v/>
      </c>
      <c r="AL390" t="str">
        <f>IFERROR(ROUND(L390*(G390/$AU390)/VLOOKUP(F390,商品!$A$4:$B$60,2,FALSE),0),"")</f>
        <v/>
      </c>
      <c r="AM390" t="str">
        <f>IFERROR(ROUND(L390*(I390/$AU390)/VLOOKUP(H390,商品!$A$4:$B$60,2,FALSE),0),"")</f>
        <v/>
      </c>
      <c r="AN390">
        <f>IFERROR(ROUND(L390*(J390/$AU390)/VLOOKUP("运力",商品!$A$4:$B$60,2,FALSE),0),0)</f>
        <v>0</v>
      </c>
      <c r="AO390">
        <f>IFERROR(ROUND(L390*(K390/$AU390)/VLOOKUP("交易",商品!$A$4:$B$60,2,FALSE),0),0)</f>
        <v>0</v>
      </c>
      <c r="AP390" t="str">
        <f>IFERROR(ROUND(S390*(N390/$AV390)/VLOOKUP(M390,职业!$A$4:$G$16,4,FALSE),0),"")</f>
        <v/>
      </c>
      <c r="AQ390" t="str">
        <f>IFERROR(ROUND(S390*(P390/$AV390)/VLOOKUP(O390,职业!$A$4:$G$16,4,FALSE),0),"")</f>
        <v/>
      </c>
      <c r="AR390" t="str">
        <f>IFERROR(ROUND(S390*(R390/$AV390)/VLOOKUP(Q390,职业!$A$4:$G$16,4,FALSE),0),"")</f>
        <v/>
      </c>
      <c r="AS390" t="str">
        <f>IFERROR(ROUND(X390*(U390/$AW390)/VLOOKUP(T390,商品!$A$4:$B$60,2,FALSE),0),"")</f>
        <v/>
      </c>
      <c r="AT390" t="str">
        <f>IFERROR(ROUND(X390*(W390/$AW390)/VLOOKUP(V390,商品!$A$4:$B$60,2,FALSE),0),"")</f>
        <v/>
      </c>
      <c r="AU390">
        <f t="shared" si="141"/>
        <v>0</v>
      </c>
      <c r="AV390">
        <f t="shared" si="142"/>
        <v>0</v>
      </c>
      <c r="AW390">
        <f t="shared" si="143"/>
        <v>0</v>
      </c>
    </row>
    <row r="391" spans="1:49" ht="19.95" customHeight="1" x14ac:dyDescent="0.25">
      <c r="A391" s="15" t="s">
        <v>520</v>
      </c>
      <c r="C391" s="15">
        <v>2</v>
      </c>
      <c r="D391" s="23" t="s">
        <v>174</v>
      </c>
      <c r="E391" s="23" t="s">
        <v>177</v>
      </c>
      <c r="F391" s="2" t="s">
        <v>42</v>
      </c>
      <c r="G391" s="2">
        <v>5</v>
      </c>
      <c r="H391" s="2" t="s">
        <v>20</v>
      </c>
      <c r="I391" s="2">
        <v>10</v>
      </c>
      <c r="L391" s="15">
        <f>IFERROR(VLOOKUP($D391&amp;$C391,生产方式定位!$A$2:$E$38,2,FALSE)+VLOOKUP($E391&amp;$C391,生产方式定位!$F$3:$J$38,2,FALSE),0)</f>
        <v>105</v>
      </c>
      <c r="S391" s="15">
        <f>IFERROR(VLOOKUP($D391&amp;$C391,生产方式定位!$A$2:$E$38,3,FALSE)+VLOOKUP($E391&amp;$C391,生产方式定位!$F$3:$J$38,3,FALSE),0)</f>
        <v>15</v>
      </c>
      <c r="X391" s="15">
        <f>IFERROR(VLOOKUP($D391&amp;$C391,生产方式定位!$A$2:$E$38,5,FALSE)+VLOOKUP($E391&amp;$C391,生产方式定位!$F$3:$J$38,5,FALSE),"错误")</f>
        <v>0</v>
      </c>
      <c r="Y391" s="26" t="str">
        <f t="shared" si="128"/>
        <v>魔偶*1,灵能水晶*2</v>
      </c>
      <c r="Z391" s="36" t="str">
        <f t="shared" si="129"/>
        <v/>
      </c>
      <c r="AA391" s="36" t="str">
        <f t="shared" si="130"/>
        <v/>
      </c>
      <c r="AB391" s="27" t="str">
        <f t="shared" si="131"/>
        <v>-100%</v>
      </c>
      <c r="AC391" s="2">
        <f t="shared" si="132"/>
        <v>-120</v>
      </c>
      <c r="AD391" s="37">
        <f t="shared" si="133"/>
        <v>2</v>
      </c>
      <c r="AE391" t="str">
        <f t="shared" si="134"/>
        <v>魔偶*1</v>
      </c>
      <c r="AF391" t="str">
        <f t="shared" si="135"/>
        <v>灵能水晶*2</v>
      </c>
      <c r="AG391" t="str">
        <f t="shared" si="136"/>
        <v/>
      </c>
      <c r="AH391" t="str">
        <f t="shared" si="137"/>
        <v/>
      </c>
      <c r="AI391" t="str">
        <f t="shared" si="138"/>
        <v/>
      </c>
      <c r="AJ391" t="str">
        <f t="shared" si="139"/>
        <v/>
      </c>
      <c r="AK391" t="str">
        <f t="shared" si="140"/>
        <v/>
      </c>
      <c r="AL391">
        <f>IFERROR(ROUND(L391*(G391/$AU391)/VLOOKUP(F391,商品!$A$4:$B$60,2,FALSE),0),"")</f>
        <v>1</v>
      </c>
      <c r="AM391">
        <f>IFERROR(ROUND(L391*(I391/$AU391)/VLOOKUP(H391,商品!$A$4:$B$60,2,FALSE),0),"")</f>
        <v>2</v>
      </c>
      <c r="AN391">
        <f>IFERROR(ROUND(L391*(J391/$AU391)/VLOOKUP("运力",商品!$A$4:$B$60,2,FALSE),0),0)</f>
        <v>0</v>
      </c>
      <c r="AO391">
        <f>IFERROR(ROUND(L391*(K391/$AU391)/VLOOKUP("交易",商品!$A$4:$B$60,2,FALSE),0),0)</f>
        <v>0</v>
      </c>
      <c r="AP391" t="str">
        <f>IFERROR(ROUND(S391*(N391/$AV391)/VLOOKUP(M391,职业!$A$4:$G$16,4,FALSE),0),"")</f>
        <v/>
      </c>
      <c r="AQ391" t="str">
        <f>IFERROR(ROUND(S391*(P391/$AV391)/VLOOKUP(O391,职业!$A$4:$G$16,4,FALSE),0),"")</f>
        <v/>
      </c>
      <c r="AR391" t="str">
        <f>IFERROR(ROUND(S391*(R391/$AV391)/VLOOKUP(Q391,职业!$A$4:$G$16,4,FALSE),0),"")</f>
        <v/>
      </c>
      <c r="AS391" t="str">
        <f>IFERROR(ROUND(X391*(U391/$AW391)/VLOOKUP(T391,商品!$A$4:$B$60,2,FALSE),0),"")</f>
        <v/>
      </c>
      <c r="AT391" t="str">
        <f>IFERROR(ROUND(X391*(W391/$AW391)/VLOOKUP(V391,商品!$A$4:$B$60,2,FALSE),0),"")</f>
        <v/>
      </c>
      <c r="AU391">
        <f t="shared" si="141"/>
        <v>15</v>
      </c>
      <c r="AV391">
        <f t="shared" si="142"/>
        <v>0</v>
      </c>
      <c r="AW391">
        <f t="shared" si="143"/>
        <v>0</v>
      </c>
    </row>
    <row r="392" spans="1:49" ht="19.95" customHeight="1" x14ac:dyDescent="0.25">
      <c r="A392" s="15" t="s">
        <v>520</v>
      </c>
      <c r="C392" s="15">
        <v>3</v>
      </c>
      <c r="D392" s="23" t="s">
        <v>174</v>
      </c>
      <c r="E392" s="23" t="s">
        <v>177</v>
      </c>
      <c r="F392" s="2" t="s">
        <v>42</v>
      </c>
      <c r="G392" s="2">
        <v>5</v>
      </c>
      <c r="H392" s="2" t="s">
        <v>20</v>
      </c>
      <c r="I392" s="2">
        <v>10</v>
      </c>
      <c r="L392" s="15">
        <f>IFERROR(VLOOKUP($D392&amp;$C392,生产方式定位!$A$2:$E$38,2,FALSE)+VLOOKUP($E392&amp;$C392,生产方式定位!$F$3:$J$38,2,FALSE),0)</f>
        <v>210</v>
      </c>
      <c r="S392" s="15">
        <f>IFERROR(VLOOKUP($D392&amp;$C392,生产方式定位!$A$2:$E$38,3,FALSE)+VLOOKUP($E392&amp;$C392,生产方式定位!$F$3:$J$38,3,FALSE),0)</f>
        <v>30</v>
      </c>
      <c r="X392" s="15">
        <f>IFERROR(VLOOKUP($D392&amp;$C392,生产方式定位!$A$2:$E$38,5,FALSE)+VLOOKUP($E392&amp;$C392,生产方式定位!$F$3:$J$38,5,FALSE),"错误")</f>
        <v>0</v>
      </c>
      <c r="Y392" s="26" t="str">
        <f t="shared" si="128"/>
        <v>魔偶*2,灵能水晶*5</v>
      </c>
      <c r="Z392" s="36" t="str">
        <f t="shared" si="129"/>
        <v/>
      </c>
      <c r="AA392" s="36" t="str">
        <f t="shared" si="130"/>
        <v/>
      </c>
      <c r="AB392" s="27" t="str">
        <f t="shared" si="131"/>
        <v>-100%</v>
      </c>
      <c r="AC392" s="2">
        <f t="shared" si="132"/>
        <v>-240</v>
      </c>
      <c r="AD392" s="37">
        <f t="shared" si="133"/>
        <v>3</v>
      </c>
      <c r="AE392" t="str">
        <f t="shared" si="134"/>
        <v>魔偶*2</v>
      </c>
      <c r="AF392" t="str">
        <f t="shared" si="135"/>
        <v>灵能水晶*5</v>
      </c>
      <c r="AG392" t="str">
        <f t="shared" si="136"/>
        <v/>
      </c>
      <c r="AH392" t="str">
        <f t="shared" si="137"/>
        <v/>
      </c>
      <c r="AI392" t="str">
        <f t="shared" si="138"/>
        <v/>
      </c>
      <c r="AJ392" t="str">
        <f t="shared" si="139"/>
        <v/>
      </c>
      <c r="AK392" t="str">
        <f t="shared" si="140"/>
        <v/>
      </c>
      <c r="AL392">
        <f>IFERROR(ROUND(L392*(G392/$AU392)/VLOOKUP(F392,商品!$A$4:$B$60,2,FALSE),0),"")</f>
        <v>2</v>
      </c>
      <c r="AM392">
        <f>IFERROR(ROUND(L392*(I392/$AU392)/VLOOKUP(H392,商品!$A$4:$B$60,2,FALSE),0),"")</f>
        <v>5</v>
      </c>
      <c r="AN392">
        <f>IFERROR(ROUND(L392*(J392/$AU392)/VLOOKUP("运力",商品!$A$4:$B$60,2,FALSE),0),0)</f>
        <v>0</v>
      </c>
      <c r="AO392">
        <f>IFERROR(ROUND(L392*(K392/$AU392)/VLOOKUP("交易",商品!$A$4:$B$60,2,FALSE),0),0)</f>
        <v>0</v>
      </c>
      <c r="AP392" t="str">
        <f>IFERROR(ROUND(S392*(N392/$AV392)/VLOOKUP(M392,职业!$A$4:$G$16,4,FALSE),0),"")</f>
        <v/>
      </c>
      <c r="AQ392" t="str">
        <f>IFERROR(ROUND(S392*(P392/$AV392)/VLOOKUP(O392,职业!$A$4:$G$16,4,FALSE),0),"")</f>
        <v/>
      </c>
      <c r="AR392" t="str">
        <f>IFERROR(ROUND(S392*(R392/$AV392)/VLOOKUP(Q392,职业!$A$4:$G$16,4,FALSE),0),"")</f>
        <v/>
      </c>
      <c r="AS392" t="str">
        <f>IFERROR(ROUND(X392*(U392/$AW392)/VLOOKUP(T392,商品!$A$4:$B$60,2,FALSE),0),"")</f>
        <v/>
      </c>
      <c r="AT392" t="str">
        <f>IFERROR(ROUND(X392*(W392/$AW392)/VLOOKUP(V392,商品!$A$4:$B$60,2,FALSE),0),"")</f>
        <v/>
      </c>
      <c r="AU392">
        <f t="shared" si="141"/>
        <v>15</v>
      </c>
      <c r="AV392">
        <f t="shared" si="142"/>
        <v>0</v>
      </c>
      <c r="AW392">
        <f t="shared" si="143"/>
        <v>0</v>
      </c>
    </row>
    <row r="393" spans="1:49" ht="19.95" customHeight="1" x14ac:dyDescent="0.25">
      <c r="A393" s="15" t="s">
        <v>520</v>
      </c>
      <c r="C393" s="15">
        <v>4</v>
      </c>
      <c r="D393" s="23" t="s">
        <v>174</v>
      </c>
      <c r="E393" s="23" t="s">
        <v>177</v>
      </c>
      <c r="F393" s="2" t="s">
        <v>42</v>
      </c>
      <c r="G393" s="2">
        <v>5</v>
      </c>
      <c r="H393" s="2" t="s">
        <v>20</v>
      </c>
      <c r="I393" s="2">
        <v>10</v>
      </c>
      <c r="L393" s="15">
        <f>IFERROR(VLOOKUP($D393&amp;$C393,生产方式定位!$A$2:$E$38,2,FALSE)+VLOOKUP($E393&amp;$C393,生产方式定位!$F$3:$J$38,2,FALSE),0)</f>
        <v>315</v>
      </c>
      <c r="S393" s="15">
        <f>IFERROR(VLOOKUP($D393&amp;$C393,生产方式定位!$A$2:$E$38,3,FALSE)+VLOOKUP($E393&amp;$C393,生产方式定位!$F$3:$J$38,3,FALSE),0)</f>
        <v>45</v>
      </c>
      <c r="X393" s="15">
        <f>IFERROR(VLOOKUP($D393&amp;$C393,生产方式定位!$A$2:$E$38,5,FALSE)+VLOOKUP($E393&amp;$C393,生产方式定位!$F$3:$J$38,5,FALSE),"错误")</f>
        <v>0</v>
      </c>
      <c r="Y393" s="26" t="str">
        <f t="shared" si="128"/>
        <v>魔偶*3,灵能水晶*7</v>
      </c>
      <c r="Z393" s="36" t="str">
        <f t="shared" si="129"/>
        <v/>
      </c>
      <c r="AA393" s="36" t="str">
        <f t="shared" si="130"/>
        <v/>
      </c>
      <c r="AB393" s="27" t="str">
        <f t="shared" si="131"/>
        <v>-100%</v>
      </c>
      <c r="AC393" s="2">
        <f t="shared" si="132"/>
        <v>-360</v>
      </c>
      <c r="AD393" s="37">
        <f t="shared" si="133"/>
        <v>4</v>
      </c>
      <c r="AE393" t="str">
        <f t="shared" si="134"/>
        <v>魔偶*3</v>
      </c>
      <c r="AF393" t="str">
        <f t="shared" si="135"/>
        <v>灵能水晶*7</v>
      </c>
      <c r="AG393" t="str">
        <f t="shared" si="136"/>
        <v/>
      </c>
      <c r="AH393" t="str">
        <f t="shared" si="137"/>
        <v/>
      </c>
      <c r="AI393" t="str">
        <f t="shared" si="138"/>
        <v/>
      </c>
      <c r="AJ393" t="str">
        <f t="shared" si="139"/>
        <v/>
      </c>
      <c r="AK393" t="str">
        <f t="shared" si="140"/>
        <v/>
      </c>
      <c r="AL393">
        <f>IFERROR(ROUND(L393*(G393/$AU393)/VLOOKUP(F393,商品!$A$4:$B$60,2,FALSE),0),"")</f>
        <v>3</v>
      </c>
      <c r="AM393">
        <f>IFERROR(ROUND(L393*(I393/$AU393)/VLOOKUP(H393,商品!$A$4:$B$60,2,FALSE),0),"")</f>
        <v>7</v>
      </c>
      <c r="AN393">
        <f>IFERROR(ROUND(L393*(J393/$AU393)/VLOOKUP("运力",商品!$A$4:$B$60,2,FALSE),0),0)</f>
        <v>0</v>
      </c>
      <c r="AO393">
        <f>IFERROR(ROUND(L393*(K393/$AU393)/VLOOKUP("交易",商品!$A$4:$B$60,2,FALSE),0),0)</f>
        <v>0</v>
      </c>
      <c r="AP393" t="str">
        <f>IFERROR(ROUND(S393*(N393/$AV393)/VLOOKUP(M393,职业!$A$4:$G$16,4,FALSE),0),"")</f>
        <v/>
      </c>
      <c r="AQ393" t="str">
        <f>IFERROR(ROUND(S393*(P393/$AV393)/VLOOKUP(O393,职业!$A$4:$G$16,4,FALSE),0),"")</f>
        <v/>
      </c>
      <c r="AR393" t="str">
        <f>IFERROR(ROUND(S393*(R393/$AV393)/VLOOKUP(Q393,职业!$A$4:$G$16,4,FALSE),0),"")</f>
        <v/>
      </c>
      <c r="AS393" t="str">
        <f>IFERROR(ROUND(X393*(U393/$AW393)/VLOOKUP(T393,商品!$A$4:$B$60,2,FALSE),0),"")</f>
        <v/>
      </c>
      <c r="AT393" t="str">
        <f>IFERROR(ROUND(X393*(W393/$AW393)/VLOOKUP(V393,商品!$A$4:$B$60,2,FALSE),0),"")</f>
        <v/>
      </c>
      <c r="AU393">
        <f t="shared" si="141"/>
        <v>15</v>
      </c>
      <c r="AV393">
        <f t="shared" si="142"/>
        <v>0</v>
      </c>
      <c r="AW393">
        <f t="shared" si="143"/>
        <v>0</v>
      </c>
    </row>
    <row r="394" spans="1:49" ht="19.95" customHeight="1" x14ac:dyDescent="0.25">
      <c r="A394" s="15" t="s">
        <v>520</v>
      </c>
      <c r="C394" s="15">
        <v>5</v>
      </c>
      <c r="D394" s="23" t="s">
        <v>174</v>
      </c>
      <c r="E394" s="23" t="s">
        <v>177</v>
      </c>
      <c r="F394" s="2" t="s">
        <v>42</v>
      </c>
      <c r="G394" s="2">
        <v>5</v>
      </c>
      <c r="H394" s="2" t="s">
        <v>20</v>
      </c>
      <c r="I394" s="2">
        <v>10</v>
      </c>
      <c r="L394" s="15">
        <f>IFERROR(VLOOKUP($D394&amp;$C394,生产方式定位!$A$2:$E$38,2,FALSE)+VLOOKUP($E394&amp;$C394,生产方式定位!$F$3:$J$38,2,FALSE),0)</f>
        <v>420</v>
      </c>
      <c r="S394" s="15">
        <f>IFERROR(VLOOKUP($D394&amp;$C394,生产方式定位!$A$2:$E$38,3,FALSE)+VLOOKUP($E394&amp;$C394,生产方式定位!$F$3:$J$38,3,FALSE),0)</f>
        <v>60</v>
      </c>
      <c r="X394" s="15">
        <f>IFERROR(VLOOKUP($D394&amp;$C394,生产方式定位!$A$2:$E$38,5,FALSE)+VLOOKUP($E394&amp;$C394,生产方式定位!$F$3:$J$38,5,FALSE),"错误")</f>
        <v>0</v>
      </c>
      <c r="Y394" s="26" t="str">
        <f t="shared" si="128"/>
        <v>魔偶*4,灵能水晶*9</v>
      </c>
      <c r="Z394" s="36" t="str">
        <f t="shared" si="129"/>
        <v/>
      </c>
      <c r="AA394" s="36" t="str">
        <f t="shared" si="130"/>
        <v/>
      </c>
      <c r="AB394" s="27" t="str">
        <f t="shared" si="131"/>
        <v>-100%</v>
      </c>
      <c r="AC394" s="2">
        <f t="shared" si="132"/>
        <v>-480</v>
      </c>
      <c r="AD394" s="37">
        <f t="shared" si="133"/>
        <v>5</v>
      </c>
      <c r="AE394" t="str">
        <f t="shared" si="134"/>
        <v>魔偶*4</v>
      </c>
      <c r="AF394" t="str">
        <f t="shared" si="135"/>
        <v>灵能水晶*9</v>
      </c>
      <c r="AG394" t="str">
        <f t="shared" si="136"/>
        <v/>
      </c>
      <c r="AH394" t="str">
        <f t="shared" si="137"/>
        <v/>
      </c>
      <c r="AI394" t="str">
        <f t="shared" si="138"/>
        <v/>
      </c>
      <c r="AJ394" t="str">
        <f t="shared" si="139"/>
        <v/>
      </c>
      <c r="AK394" t="str">
        <f t="shared" si="140"/>
        <v/>
      </c>
      <c r="AL394">
        <f>IFERROR(ROUND(L394*(G394/$AU394)/VLOOKUP(F394,商品!$A$4:$B$60,2,FALSE),0),"")</f>
        <v>4</v>
      </c>
      <c r="AM394">
        <f>IFERROR(ROUND(L394*(I394/$AU394)/VLOOKUP(H394,商品!$A$4:$B$60,2,FALSE),0),"")</f>
        <v>9</v>
      </c>
      <c r="AN394">
        <f>IFERROR(ROUND(L394*(J394/$AU394)/VLOOKUP("运力",商品!$A$4:$B$60,2,FALSE),0),0)</f>
        <v>0</v>
      </c>
      <c r="AO394">
        <f>IFERROR(ROUND(L394*(K394/$AU394)/VLOOKUP("交易",商品!$A$4:$B$60,2,FALSE),0),0)</f>
        <v>0</v>
      </c>
      <c r="AP394" t="str">
        <f>IFERROR(ROUND(S394*(N394/$AV394)/VLOOKUP(M394,职业!$A$4:$G$16,4,FALSE),0),"")</f>
        <v/>
      </c>
      <c r="AQ394" t="str">
        <f>IFERROR(ROUND(S394*(P394/$AV394)/VLOOKUP(O394,职业!$A$4:$G$16,4,FALSE),0),"")</f>
        <v/>
      </c>
      <c r="AR394" t="str">
        <f>IFERROR(ROUND(S394*(R394/$AV394)/VLOOKUP(Q394,职业!$A$4:$G$16,4,FALSE),0),"")</f>
        <v/>
      </c>
      <c r="AS394" t="str">
        <f>IFERROR(ROUND(X394*(U394/$AW394)/VLOOKUP(T394,商品!$A$4:$B$60,2,FALSE),0),"")</f>
        <v/>
      </c>
      <c r="AT394" t="str">
        <f>IFERROR(ROUND(X394*(W394/$AW394)/VLOOKUP(V394,商品!$A$4:$B$60,2,FALSE),0),"")</f>
        <v/>
      </c>
      <c r="AU394">
        <f t="shared" si="141"/>
        <v>15</v>
      </c>
      <c r="AV394">
        <f t="shared" si="142"/>
        <v>0</v>
      </c>
      <c r="AW394">
        <f t="shared" si="143"/>
        <v>0</v>
      </c>
    </row>
    <row r="395" spans="1:49" ht="19.95" customHeight="1" x14ac:dyDescent="0.25">
      <c r="A395" s="16" t="s">
        <v>262</v>
      </c>
      <c r="C395" s="16">
        <v>1</v>
      </c>
      <c r="D395" s="23" t="s">
        <v>174</v>
      </c>
      <c r="E395" s="23" t="s">
        <v>179</v>
      </c>
      <c r="L395" s="16">
        <f>IFERROR(VLOOKUP($D395&amp;$C395,生产方式定位!$A$2:$E$38,2,FALSE)+VLOOKUP($E395&amp;$C395,生产方式定位!$F$3:$J$38,2,FALSE),0)</f>
        <v>0</v>
      </c>
      <c r="S395" s="16">
        <f>IFERROR(VLOOKUP($D395&amp;$C395,生产方式定位!$A$2:$E$38,3,FALSE)+VLOOKUP($E395&amp;$C395,生产方式定位!$F$3:$J$38,3,FALSE),0)</f>
        <v>100</v>
      </c>
      <c r="X395" s="16">
        <f>IFERROR(VLOOKUP($D395&amp;$C395,生产方式定位!$A$2:$E$38,5,FALSE)+VLOOKUP($E395&amp;$C395,生产方式定位!$F$3:$J$38,5,FALSE),"错误")</f>
        <v>100</v>
      </c>
      <c r="Y395" s="26" t="str">
        <f t="shared" si="128"/>
        <v/>
      </c>
      <c r="Z395" s="36" t="str">
        <f t="shared" si="129"/>
        <v/>
      </c>
      <c r="AA395" s="36" t="str">
        <f t="shared" si="130"/>
        <v/>
      </c>
      <c r="AB395" s="27" t="str">
        <f t="shared" si="131"/>
        <v/>
      </c>
      <c r="AC395" s="2" t="str">
        <f t="shared" si="132"/>
        <v/>
      </c>
      <c r="AD395" s="38">
        <f t="shared" si="133"/>
        <v>1</v>
      </c>
      <c r="AE395" t="str">
        <f t="shared" si="134"/>
        <v/>
      </c>
      <c r="AF395" t="str">
        <f t="shared" si="135"/>
        <v/>
      </c>
      <c r="AG395" t="str">
        <f t="shared" si="136"/>
        <v/>
      </c>
      <c r="AH395" t="str">
        <f t="shared" si="137"/>
        <v/>
      </c>
      <c r="AI395" t="str">
        <f t="shared" si="138"/>
        <v/>
      </c>
      <c r="AJ395" t="str">
        <f t="shared" si="139"/>
        <v/>
      </c>
      <c r="AK395" t="str">
        <f t="shared" si="140"/>
        <v/>
      </c>
      <c r="AL395" t="str">
        <f>IFERROR(ROUND(L395*(G395/$AU395)/VLOOKUP(F395,商品!$A$4:$B$60,2,FALSE),0),"")</f>
        <v/>
      </c>
      <c r="AM395" t="str">
        <f>IFERROR(ROUND(L395*(I395/$AU395)/VLOOKUP(H395,商品!$A$4:$B$60,2,FALSE),0),"")</f>
        <v/>
      </c>
      <c r="AN395">
        <f>IFERROR(ROUND(L395*(J395/$AU395)/VLOOKUP("运力",商品!$A$4:$B$60,2,FALSE),0),0)</f>
        <v>0</v>
      </c>
      <c r="AO395">
        <f>IFERROR(ROUND(L395*(K395/$AU395)/VLOOKUP("交易",商品!$A$4:$B$60,2,FALSE),0),0)</f>
        <v>0</v>
      </c>
      <c r="AP395" t="str">
        <f>IFERROR(ROUND(S395*(N395/$AV395)/VLOOKUP(M395,职业!$A$4:$G$16,4,FALSE),0),"")</f>
        <v/>
      </c>
      <c r="AQ395" t="str">
        <f>IFERROR(ROUND(S395*(P395/$AV395)/VLOOKUP(O395,职业!$A$4:$G$16,4,FALSE),0),"")</f>
        <v/>
      </c>
      <c r="AR395" t="str">
        <f>IFERROR(ROUND(S395*(R395/$AV395)/VLOOKUP(Q395,职业!$A$4:$G$16,4,FALSE),0),"")</f>
        <v/>
      </c>
      <c r="AS395" t="str">
        <f>IFERROR(ROUND(X395*(U395/$AW395)/VLOOKUP(T395,商品!$A$4:$B$60,2,FALSE),0),"")</f>
        <v/>
      </c>
      <c r="AT395" t="str">
        <f>IFERROR(ROUND(X395*(W395/$AW395)/VLOOKUP(V395,商品!$A$4:$B$60,2,FALSE),0),"")</f>
        <v/>
      </c>
      <c r="AU395">
        <f t="shared" si="141"/>
        <v>0</v>
      </c>
      <c r="AV395">
        <f t="shared" si="142"/>
        <v>0</v>
      </c>
      <c r="AW395">
        <f t="shared" si="143"/>
        <v>0</v>
      </c>
    </row>
    <row r="396" spans="1:49" ht="19.95" customHeight="1" x14ac:dyDescent="0.25">
      <c r="A396" s="16" t="s">
        <v>262</v>
      </c>
      <c r="C396" s="16">
        <v>2</v>
      </c>
      <c r="D396" s="23" t="s">
        <v>174</v>
      </c>
      <c r="E396" s="23" t="s">
        <v>179</v>
      </c>
      <c r="L396" s="16">
        <f>IFERROR(VLOOKUP($D396&amp;$C396,生产方式定位!$A$2:$E$38,2,FALSE)+VLOOKUP($E396&amp;$C396,生产方式定位!$F$3:$J$38,2,FALSE),0)</f>
        <v>0</v>
      </c>
      <c r="S396" s="16">
        <f>IFERROR(VLOOKUP($D396&amp;$C396,生产方式定位!$A$2:$E$38,3,FALSE)+VLOOKUP($E396&amp;$C396,生产方式定位!$F$3:$J$38,3,FALSE),0)</f>
        <v>100</v>
      </c>
      <c r="X396" s="16">
        <f>IFERROR(VLOOKUP($D396&amp;$C396,生产方式定位!$A$2:$E$38,5,FALSE)+VLOOKUP($E396&amp;$C396,生产方式定位!$F$3:$J$38,5,FALSE),"错误")</f>
        <v>100</v>
      </c>
      <c r="Y396" s="26" t="str">
        <f t="shared" si="128"/>
        <v/>
      </c>
      <c r="Z396" s="36" t="str">
        <f t="shared" si="129"/>
        <v/>
      </c>
      <c r="AA396" s="36" t="str">
        <f t="shared" si="130"/>
        <v/>
      </c>
      <c r="AB396" s="27" t="str">
        <f t="shared" si="131"/>
        <v/>
      </c>
      <c r="AC396" s="2" t="str">
        <f t="shared" si="132"/>
        <v/>
      </c>
      <c r="AD396" s="38">
        <f t="shared" si="133"/>
        <v>2</v>
      </c>
      <c r="AE396" t="str">
        <f t="shared" si="134"/>
        <v/>
      </c>
      <c r="AF396" t="str">
        <f t="shared" si="135"/>
        <v/>
      </c>
      <c r="AG396" t="str">
        <f t="shared" si="136"/>
        <v/>
      </c>
      <c r="AH396" t="str">
        <f t="shared" si="137"/>
        <v/>
      </c>
      <c r="AI396" t="str">
        <f t="shared" si="138"/>
        <v/>
      </c>
      <c r="AJ396" t="str">
        <f t="shared" si="139"/>
        <v/>
      </c>
      <c r="AK396" t="str">
        <f t="shared" si="140"/>
        <v/>
      </c>
      <c r="AL396" t="str">
        <f>IFERROR(ROUND(L396*(G396/$AU396)/VLOOKUP(F396,商品!$A$4:$B$60,2,FALSE),0),"")</f>
        <v/>
      </c>
      <c r="AM396" t="str">
        <f>IFERROR(ROUND(L396*(I396/$AU396)/VLOOKUP(H396,商品!$A$4:$B$60,2,FALSE),0),"")</f>
        <v/>
      </c>
      <c r="AN396">
        <f>IFERROR(ROUND(L396*(J396/$AU396)/VLOOKUP("运力",商品!$A$4:$B$60,2,FALSE),0),0)</f>
        <v>0</v>
      </c>
      <c r="AO396">
        <f>IFERROR(ROUND(L396*(K396/$AU396)/VLOOKUP("交易",商品!$A$4:$B$60,2,FALSE),0),0)</f>
        <v>0</v>
      </c>
      <c r="AP396" t="str">
        <f>IFERROR(ROUND(S396*(N396/$AV396)/VLOOKUP(M396,职业!$A$4:$G$16,4,FALSE),0),"")</f>
        <v/>
      </c>
      <c r="AQ396" t="str">
        <f>IFERROR(ROUND(S396*(P396/$AV396)/VLOOKUP(O396,职业!$A$4:$G$16,4,FALSE),0),"")</f>
        <v/>
      </c>
      <c r="AR396" t="str">
        <f>IFERROR(ROUND(S396*(R396/$AV396)/VLOOKUP(Q396,职业!$A$4:$G$16,4,FALSE),0),"")</f>
        <v/>
      </c>
      <c r="AS396" t="str">
        <f>IFERROR(ROUND(X396*(U396/$AW396)/VLOOKUP(T396,商品!$A$4:$B$60,2,FALSE),0),"")</f>
        <v/>
      </c>
      <c r="AT396" t="str">
        <f>IFERROR(ROUND(X396*(W396/$AW396)/VLOOKUP(V396,商品!$A$4:$B$60,2,FALSE),0),"")</f>
        <v/>
      </c>
      <c r="AU396">
        <f t="shared" si="141"/>
        <v>0</v>
      </c>
      <c r="AV396">
        <f t="shared" si="142"/>
        <v>0</v>
      </c>
      <c r="AW396">
        <f t="shared" si="143"/>
        <v>0</v>
      </c>
    </row>
    <row r="397" spans="1:49" ht="19.95" customHeight="1" x14ac:dyDescent="0.25">
      <c r="A397" s="16" t="s">
        <v>262</v>
      </c>
      <c r="C397" s="16">
        <v>3</v>
      </c>
      <c r="D397" s="23" t="s">
        <v>174</v>
      </c>
      <c r="E397" s="23" t="s">
        <v>179</v>
      </c>
      <c r="L397" s="16">
        <f>IFERROR(VLOOKUP($D397&amp;$C397,生产方式定位!$A$2:$E$38,2,FALSE)+VLOOKUP($E397&amp;$C397,生产方式定位!$F$3:$J$38,2,FALSE),0)</f>
        <v>0</v>
      </c>
      <c r="S397" s="16">
        <f>IFERROR(VLOOKUP($D397&amp;$C397,生产方式定位!$A$2:$E$38,3,FALSE)+VLOOKUP($E397&amp;$C397,生产方式定位!$F$3:$J$38,3,FALSE),0)</f>
        <v>100</v>
      </c>
      <c r="X397" s="16">
        <f>IFERROR(VLOOKUP($D397&amp;$C397,生产方式定位!$A$2:$E$38,5,FALSE)+VLOOKUP($E397&amp;$C397,生产方式定位!$F$3:$J$38,5,FALSE),"错误")</f>
        <v>100</v>
      </c>
      <c r="Y397" s="26" t="str">
        <f t="shared" si="128"/>
        <v/>
      </c>
      <c r="Z397" s="36" t="str">
        <f t="shared" si="129"/>
        <v/>
      </c>
      <c r="AA397" s="36" t="str">
        <f t="shared" si="130"/>
        <v/>
      </c>
      <c r="AB397" s="27" t="str">
        <f t="shared" si="131"/>
        <v/>
      </c>
      <c r="AC397" s="2" t="str">
        <f t="shared" si="132"/>
        <v/>
      </c>
      <c r="AD397" s="38">
        <f t="shared" si="133"/>
        <v>3</v>
      </c>
      <c r="AE397" t="str">
        <f t="shared" si="134"/>
        <v/>
      </c>
      <c r="AF397" t="str">
        <f t="shared" si="135"/>
        <v/>
      </c>
      <c r="AG397" t="str">
        <f t="shared" si="136"/>
        <v/>
      </c>
      <c r="AH397" t="str">
        <f t="shared" si="137"/>
        <v/>
      </c>
      <c r="AI397" t="str">
        <f t="shared" si="138"/>
        <v/>
      </c>
      <c r="AJ397" t="str">
        <f t="shared" si="139"/>
        <v/>
      </c>
      <c r="AK397" t="str">
        <f t="shared" si="140"/>
        <v/>
      </c>
      <c r="AL397" t="str">
        <f>IFERROR(ROUND(L397*(G397/$AU397)/VLOOKUP(F397,商品!$A$4:$B$60,2,FALSE),0),"")</f>
        <v/>
      </c>
      <c r="AM397" t="str">
        <f>IFERROR(ROUND(L397*(I397/$AU397)/VLOOKUP(H397,商品!$A$4:$B$60,2,FALSE),0),"")</f>
        <v/>
      </c>
      <c r="AN397">
        <f>IFERROR(ROUND(L397*(J397/$AU397)/VLOOKUP("运力",商品!$A$4:$B$60,2,FALSE),0),0)</f>
        <v>0</v>
      </c>
      <c r="AO397">
        <f>IFERROR(ROUND(L397*(K397/$AU397)/VLOOKUP("交易",商品!$A$4:$B$60,2,FALSE),0),0)</f>
        <v>0</v>
      </c>
      <c r="AP397" t="str">
        <f>IFERROR(ROUND(S397*(N397/$AV397)/VLOOKUP(M397,职业!$A$4:$G$16,4,FALSE),0),"")</f>
        <v/>
      </c>
      <c r="AQ397" t="str">
        <f>IFERROR(ROUND(S397*(P397/$AV397)/VLOOKUP(O397,职业!$A$4:$G$16,4,FALSE),0),"")</f>
        <v/>
      </c>
      <c r="AR397" t="str">
        <f>IFERROR(ROUND(S397*(R397/$AV397)/VLOOKUP(Q397,职业!$A$4:$G$16,4,FALSE),0),"")</f>
        <v/>
      </c>
      <c r="AS397" t="str">
        <f>IFERROR(ROUND(X397*(U397/$AW397)/VLOOKUP(T397,商品!$A$4:$B$60,2,FALSE),0),"")</f>
        <v/>
      </c>
      <c r="AT397" t="str">
        <f>IFERROR(ROUND(X397*(W397/$AW397)/VLOOKUP(V397,商品!$A$4:$B$60,2,FALSE),0),"")</f>
        <v/>
      </c>
      <c r="AU397">
        <f t="shared" si="141"/>
        <v>0</v>
      </c>
      <c r="AV397">
        <f t="shared" si="142"/>
        <v>0</v>
      </c>
      <c r="AW397">
        <f t="shared" si="143"/>
        <v>0</v>
      </c>
    </row>
    <row r="398" spans="1:49" ht="19.95" customHeight="1" x14ac:dyDescent="0.25">
      <c r="A398" s="16" t="s">
        <v>262</v>
      </c>
      <c r="C398" s="16">
        <v>4</v>
      </c>
      <c r="D398" s="23" t="s">
        <v>174</v>
      </c>
      <c r="E398" s="23" t="s">
        <v>179</v>
      </c>
      <c r="L398" s="16">
        <f>IFERROR(VLOOKUP($D398&amp;$C398,生产方式定位!$A$2:$E$38,2,FALSE)+VLOOKUP($E398&amp;$C398,生产方式定位!$F$3:$J$38,2,FALSE),0)</f>
        <v>0</v>
      </c>
      <c r="S398" s="16">
        <f>IFERROR(VLOOKUP($D398&amp;$C398,生产方式定位!$A$2:$E$38,3,FALSE)+VLOOKUP($E398&amp;$C398,生产方式定位!$F$3:$J$38,3,FALSE),0)</f>
        <v>100</v>
      </c>
      <c r="X398" s="16">
        <f>IFERROR(VLOOKUP($D398&amp;$C398,生产方式定位!$A$2:$E$38,5,FALSE)+VLOOKUP($E398&amp;$C398,生产方式定位!$F$3:$J$38,5,FALSE),"错误")</f>
        <v>100</v>
      </c>
      <c r="Y398" s="26" t="str">
        <f t="shared" si="128"/>
        <v/>
      </c>
      <c r="Z398" s="36" t="str">
        <f t="shared" si="129"/>
        <v/>
      </c>
      <c r="AA398" s="36" t="str">
        <f t="shared" si="130"/>
        <v/>
      </c>
      <c r="AB398" s="27" t="str">
        <f t="shared" si="131"/>
        <v/>
      </c>
      <c r="AC398" s="2" t="str">
        <f t="shared" si="132"/>
        <v/>
      </c>
      <c r="AD398" s="38">
        <f t="shared" si="133"/>
        <v>4</v>
      </c>
      <c r="AE398" t="str">
        <f t="shared" si="134"/>
        <v/>
      </c>
      <c r="AF398" t="str">
        <f t="shared" si="135"/>
        <v/>
      </c>
      <c r="AG398" t="str">
        <f t="shared" si="136"/>
        <v/>
      </c>
      <c r="AH398" t="str">
        <f t="shared" si="137"/>
        <v/>
      </c>
      <c r="AI398" t="str">
        <f t="shared" si="138"/>
        <v/>
      </c>
      <c r="AJ398" t="str">
        <f t="shared" si="139"/>
        <v/>
      </c>
      <c r="AK398" t="str">
        <f t="shared" si="140"/>
        <v/>
      </c>
      <c r="AL398" t="str">
        <f>IFERROR(ROUND(L398*(G398/$AU398)/VLOOKUP(F398,商品!$A$4:$B$60,2,FALSE),0),"")</f>
        <v/>
      </c>
      <c r="AM398" t="str">
        <f>IFERROR(ROUND(L398*(I398/$AU398)/VLOOKUP(H398,商品!$A$4:$B$60,2,FALSE),0),"")</f>
        <v/>
      </c>
      <c r="AN398">
        <f>IFERROR(ROUND(L398*(J398/$AU398)/VLOOKUP("运力",商品!$A$4:$B$60,2,FALSE),0),0)</f>
        <v>0</v>
      </c>
      <c r="AO398">
        <f>IFERROR(ROUND(L398*(K398/$AU398)/VLOOKUP("交易",商品!$A$4:$B$60,2,FALSE),0),0)</f>
        <v>0</v>
      </c>
      <c r="AP398" t="str">
        <f>IFERROR(ROUND(S398*(N398/$AV398)/VLOOKUP(M398,职业!$A$4:$G$16,4,FALSE),0),"")</f>
        <v/>
      </c>
      <c r="AQ398" t="str">
        <f>IFERROR(ROUND(S398*(P398/$AV398)/VLOOKUP(O398,职业!$A$4:$G$16,4,FALSE),0),"")</f>
        <v/>
      </c>
      <c r="AR398" t="str">
        <f>IFERROR(ROUND(S398*(R398/$AV398)/VLOOKUP(Q398,职业!$A$4:$G$16,4,FALSE),0),"")</f>
        <v/>
      </c>
      <c r="AS398" t="str">
        <f>IFERROR(ROUND(X398*(U398/$AW398)/VLOOKUP(T398,商品!$A$4:$B$60,2,FALSE),0),"")</f>
        <v/>
      </c>
      <c r="AT398" t="str">
        <f>IFERROR(ROUND(X398*(W398/$AW398)/VLOOKUP(V398,商品!$A$4:$B$60,2,FALSE),0),"")</f>
        <v/>
      </c>
      <c r="AU398">
        <f t="shared" si="141"/>
        <v>0</v>
      </c>
      <c r="AV398">
        <f t="shared" si="142"/>
        <v>0</v>
      </c>
      <c r="AW398">
        <f t="shared" si="143"/>
        <v>0</v>
      </c>
    </row>
    <row r="399" spans="1:49" ht="19.95" customHeight="1" x14ac:dyDescent="0.25">
      <c r="A399" s="16" t="s">
        <v>262</v>
      </c>
      <c r="C399" s="16">
        <v>5</v>
      </c>
      <c r="D399" s="23" t="s">
        <v>174</v>
      </c>
      <c r="E399" s="23" t="s">
        <v>179</v>
      </c>
      <c r="L399" s="16">
        <f>IFERROR(VLOOKUP($D399&amp;$C399,生产方式定位!$A$2:$E$38,2,FALSE)+VLOOKUP($E399&amp;$C399,生产方式定位!$F$3:$J$38,2,FALSE),0)</f>
        <v>0</v>
      </c>
      <c r="S399" s="16">
        <f>IFERROR(VLOOKUP($D399&amp;$C399,生产方式定位!$A$2:$E$38,3,FALSE)+VLOOKUP($E399&amp;$C399,生产方式定位!$F$3:$J$38,3,FALSE),0)</f>
        <v>100</v>
      </c>
      <c r="X399" s="16">
        <f>IFERROR(VLOOKUP($D399&amp;$C399,生产方式定位!$A$2:$E$38,5,FALSE)+VLOOKUP($E399&amp;$C399,生产方式定位!$F$3:$J$38,5,FALSE),"错误")</f>
        <v>100</v>
      </c>
      <c r="Y399" s="26" t="str">
        <f t="shared" si="128"/>
        <v/>
      </c>
      <c r="Z399" s="36" t="str">
        <f t="shared" si="129"/>
        <v/>
      </c>
      <c r="AA399" s="36" t="str">
        <f t="shared" si="130"/>
        <v/>
      </c>
      <c r="AB399" s="27" t="str">
        <f t="shared" si="131"/>
        <v/>
      </c>
      <c r="AC399" s="2" t="str">
        <f t="shared" si="132"/>
        <v/>
      </c>
      <c r="AD399" s="38">
        <f t="shared" si="133"/>
        <v>5</v>
      </c>
      <c r="AE399" t="str">
        <f t="shared" si="134"/>
        <v/>
      </c>
      <c r="AF399" t="str">
        <f t="shared" si="135"/>
        <v/>
      </c>
      <c r="AG399" t="str">
        <f t="shared" si="136"/>
        <v/>
      </c>
      <c r="AH399" t="str">
        <f t="shared" si="137"/>
        <v/>
      </c>
      <c r="AI399" t="str">
        <f t="shared" si="138"/>
        <v/>
      </c>
      <c r="AJ399" t="str">
        <f t="shared" si="139"/>
        <v/>
      </c>
      <c r="AK399" t="str">
        <f t="shared" si="140"/>
        <v/>
      </c>
      <c r="AL399" t="str">
        <f>IFERROR(ROUND(L399*(G399/$AU399)/VLOOKUP(F399,商品!$A$4:$B$60,2,FALSE),0),"")</f>
        <v/>
      </c>
      <c r="AM399" t="str">
        <f>IFERROR(ROUND(L399*(I399/$AU399)/VLOOKUP(H399,商品!$A$4:$B$60,2,FALSE),0),"")</f>
        <v/>
      </c>
      <c r="AN399">
        <f>IFERROR(ROUND(L399*(J399/$AU399)/VLOOKUP("运力",商品!$A$4:$B$60,2,FALSE),0),0)</f>
        <v>0</v>
      </c>
      <c r="AO399">
        <f>IFERROR(ROUND(L399*(K399/$AU399)/VLOOKUP("交易",商品!$A$4:$B$60,2,FALSE),0),0)</f>
        <v>0</v>
      </c>
      <c r="AP399" t="str">
        <f>IFERROR(ROUND(S399*(N399/$AV399)/VLOOKUP(M399,职业!$A$4:$G$16,4,FALSE),0),"")</f>
        <v/>
      </c>
      <c r="AQ399" t="str">
        <f>IFERROR(ROUND(S399*(P399/$AV399)/VLOOKUP(O399,职业!$A$4:$G$16,4,FALSE),0),"")</f>
        <v/>
      </c>
      <c r="AR399" t="str">
        <f>IFERROR(ROUND(S399*(R399/$AV399)/VLOOKUP(Q399,职业!$A$4:$G$16,4,FALSE),0),"")</f>
        <v/>
      </c>
      <c r="AS399" t="str">
        <f>IFERROR(ROUND(X399*(U399/$AW399)/VLOOKUP(T399,商品!$A$4:$B$60,2,FALSE),0),"")</f>
        <v/>
      </c>
      <c r="AT399" t="str">
        <f>IFERROR(ROUND(X399*(W399/$AW399)/VLOOKUP(V399,商品!$A$4:$B$60,2,FALSE),0),"")</f>
        <v/>
      </c>
      <c r="AU399">
        <f t="shared" si="141"/>
        <v>0</v>
      </c>
      <c r="AV399">
        <f t="shared" si="142"/>
        <v>0</v>
      </c>
      <c r="AW399">
        <f t="shared" si="143"/>
        <v>0</v>
      </c>
    </row>
    <row r="400" spans="1:49" ht="19.95" customHeight="1" x14ac:dyDescent="0.25">
      <c r="A400" s="16" t="s">
        <v>262</v>
      </c>
      <c r="C400" s="16">
        <v>6</v>
      </c>
      <c r="D400" s="23" t="s">
        <v>174</v>
      </c>
      <c r="E400" s="23" t="s">
        <v>179</v>
      </c>
      <c r="L400" s="16">
        <f>IFERROR(VLOOKUP($D400&amp;$C400,生产方式定位!$A$2:$E$38,2,FALSE)+VLOOKUP($E400&amp;$C400,生产方式定位!$F$3:$J$38,2,FALSE),0)</f>
        <v>0</v>
      </c>
      <c r="S400" s="16">
        <f>IFERROR(VLOOKUP($D400&amp;$C400,生产方式定位!$A$2:$E$38,3,FALSE)+VLOOKUP($E400&amp;$C400,生产方式定位!$F$3:$J$38,3,FALSE),0)</f>
        <v>100</v>
      </c>
      <c r="X400" s="16">
        <f>IFERROR(VLOOKUP($D400&amp;$C400,生产方式定位!$A$2:$E$38,5,FALSE)+VLOOKUP($E400&amp;$C400,生产方式定位!$F$3:$J$38,5,FALSE),"错误")</f>
        <v>100</v>
      </c>
      <c r="Y400" s="26" t="str">
        <f t="shared" si="128"/>
        <v/>
      </c>
      <c r="Z400" s="36" t="str">
        <f t="shared" si="129"/>
        <v/>
      </c>
      <c r="AA400" s="36" t="str">
        <f t="shared" si="130"/>
        <v/>
      </c>
      <c r="AB400" s="27" t="str">
        <f t="shared" si="131"/>
        <v/>
      </c>
      <c r="AC400" s="2" t="str">
        <f t="shared" si="132"/>
        <v/>
      </c>
      <c r="AD400" s="37">
        <f t="shared" si="133"/>
        <v>6</v>
      </c>
      <c r="AE400" t="str">
        <f t="shared" si="134"/>
        <v/>
      </c>
      <c r="AF400" t="str">
        <f t="shared" si="135"/>
        <v/>
      </c>
      <c r="AG400" t="str">
        <f t="shared" si="136"/>
        <v/>
      </c>
      <c r="AH400" t="str">
        <f t="shared" si="137"/>
        <v/>
      </c>
      <c r="AI400" t="str">
        <f t="shared" si="138"/>
        <v/>
      </c>
      <c r="AJ400" t="str">
        <f t="shared" si="139"/>
        <v/>
      </c>
      <c r="AK400" t="str">
        <f t="shared" si="140"/>
        <v/>
      </c>
      <c r="AL400" t="str">
        <f>IFERROR(ROUND(L400*(G400/$AU400)/VLOOKUP(F400,商品!$A$4:$B$60,2,FALSE),0),"")</f>
        <v/>
      </c>
      <c r="AM400" t="str">
        <f>IFERROR(ROUND(L400*(I400/$AU400)/VLOOKUP(H400,商品!$A$4:$B$60,2,FALSE),0),"")</f>
        <v/>
      </c>
      <c r="AN400">
        <f>IFERROR(ROUND(L400*(J400/$AU400)/VLOOKUP("运力",商品!$A$4:$B$60,2,FALSE),0),0)</f>
        <v>0</v>
      </c>
      <c r="AO400">
        <f>IFERROR(ROUND(L400*(K400/$AU400)/VLOOKUP("交易",商品!$A$4:$B$60,2,FALSE),0),0)</f>
        <v>0</v>
      </c>
      <c r="AP400" t="str">
        <f>IFERROR(ROUND(S400*(N400/$AV400)/VLOOKUP(M400,职业!$A$4:$G$16,4,FALSE),0),"")</f>
        <v/>
      </c>
      <c r="AQ400" t="str">
        <f>IFERROR(ROUND(S400*(P400/$AV400)/VLOOKUP(O400,职业!$A$4:$G$16,4,FALSE),0),"")</f>
        <v/>
      </c>
      <c r="AR400" t="str">
        <f>IFERROR(ROUND(S400*(R400/$AV400)/VLOOKUP(Q400,职业!$A$4:$G$16,4,FALSE),0),"")</f>
        <v/>
      </c>
      <c r="AS400" t="str">
        <f>IFERROR(ROUND(X400*(U400/$AW400)/VLOOKUP(T400,商品!$A$4:$B$60,2,FALSE),0),"")</f>
        <v/>
      </c>
      <c r="AT400" t="str">
        <f>IFERROR(ROUND(X400*(W400/$AW400)/VLOOKUP(V400,商品!$A$4:$B$60,2,FALSE),0),"")</f>
        <v/>
      </c>
      <c r="AU400">
        <f t="shared" si="141"/>
        <v>0</v>
      </c>
      <c r="AV400">
        <f t="shared" si="142"/>
        <v>0</v>
      </c>
      <c r="AW400">
        <f t="shared" si="143"/>
        <v>0</v>
      </c>
    </row>
    <row r="401" spans="1:49" ht="19.95" customHeight="1" x14ac:dyDescent="0.25">
      <c r="A401" s="16" t="s">
        <v>262</v>
      </c>
      <c r="C401" s="16">
        <v>7</v>
      </c>
      <c r="D401" s="23" t="s">
        <v>174</v>
      </c>
      <c r="E401" s="23" t="s">
        <v>179</v>
      </c>
      <c r="L401" s="16">
        <f>IFERROR(VLOOKUP($D401&amp;$C401,生产方式定位!$A$2:$E$38,2,FALSE)+VLOOKUP($E401&amp;$C401,生产方式定位!$F$3:$J$38,2,FALSE),0)</f>
        <v>0</v>
      </c>
      <c r="S401" s="16">
        <f>IFERROR(VLOOKUP($D401&amp;$C401,生产方式定位!$A$2:$E$38,3,FALSE)+VLOOKUP($E401&amp;$C401,生产方式定位!$F$3:$J$38,3,FALSE),0)</f>
        <v>100</v>
      </c>
      <c r="X401" s="16">
        <f>IFERROR(VLOOKUP($D401&amp;$C401,生产方式定位!$A$2:$E$38,5,FALSE)+VLOOKUP($E401&amp;$C401,生产方式定位!$F$3:$J$38,5,FALSE),"错误")</f>
        <v>100</v>
      </c>
      <c r="Y401" s="26" t="str">
        <f t="shared" si="128"/>
        <v/>
      </c>
      <c r="Z401" s="36" t="str">
        <f t="shared" si="129"/>
        <v/>
      </c>
      <c r="AA401" s="36" t="str">
        <f t="shared" si="130"/>
        <v/>
      </c>
      <c r="AB401" s="27" t="str">
        <f t="shared" si="131"/>
        <v/>
      </c>
      <c r="AC401" s="2" t="str">
        <f t="shared" si="132"/>
        <v/>
      </c>
      <c r="AD401" s="37">
        <f t="shared" si="133"/>
        <v>7</v>
      </c>
      <c r="AE401" t="str">
        <f t="shared" si="134"/>
        <v/>
      </c>
      <c r="AF401" t="str">
        <f t="shared" si="135"/>
        <v/>
      </c>
      <c r="AG401" t="str">
        <f t="shared" si="136"/>
        <v/>
      </c>
      <c r="AH401" t="str">
        <f t="shared" si="137"/>
        <v/>
      </c>
      <c r="AI401" t="str">
        <f t="shared" si="138"/>
        <v/>
      </c>
      <c r="AJ401" t="str">
        <f t="shared" si="139"/>
        <v/>
      </c>
      <c r="AK401" t="str">
        <f t="shared" si="140"/>
        <v/>
      </c>
      <c r="AL401" t="str">
        <f>IFERROR(ROUND(L401*(G401/$AU401)/VLOOKUP(F401,商品!$A$4:$B$60,2,FALSE),0),"")</f>
        <v/>
      </c>
      <c r="AM401" t="str">
        <f>IFERROR(ROUND(L401*(I401/$AU401)/VLOOKUP(H401,商品!$A$4:$B$60,2,FALSE),0),"")</f>
        <v/>
      </c>
      <c r="AN401">
        <f>IFERROR(ROUND(L401*(J401/$AU401)/VLOOKUP("运力",商品!$A$4:$B$60,2,FALSE),0),0)</f>
        <v>0</v>
      </c>
      <c r="AO401">
        <f>IFERROR(ROUND(L401*(K401/$AU401)/VLOOKUP("交易",商品!$A$4:$B$60,2,FALSE),0),0)</f>
        <v>0</v>
      </c>
      <c r="AP401" t="str">
        <f>IFERROR(ROUND(S401*(N401/$AV401)/VLOOKUP(M401,职业!$A$4:$G$16,4,FALSE),0),"")</f>
        <v/>
      </c>
      <c r="AQ401" t="str">
        <f>IFERROR(ROUND(S401*(P401/$AV401)/VLOOKUP(O401,职业!$A$4:$G$16,4,FALSE),0),"")</f>
        <v/>
      </c>
      <c r="AR401" t="str">
        <f>IFERROR(ROUND(S401*(R401/$AV401)/VLOOKUP(Q401,职业!$A$4:$G$16,4,FALSE),0),"")</f>
        <v/>
      </c>
      <c r="AS401" t="str">
        <f>IFERROR(ROUND(X401*(U401/$AW401)/VLOOKUP(T401,商品!$A$4:$B$60,2,FALSE),0),"")</f>
        <v/>
      </c>
      <c r="AT401" t="str">
        <f>IFERROR(ROUND(X401*(W401/$AW401)/VLOOKUP(V401,商品!$A$4:$B$60,2,FALSE),0),"")</f>
        <v/>
      </c>
      <c r="AU401">
        <f t="shared" si="141"/>
        <v>0</v>
      </c>
      <c r="AV401">
        <f t="shared" si="142"/>
        <v>0</v>
      </c>
      <c r="AW401">
        <f t="shared" si="143"/>
        <v>0</v>
      </c>
    </row>
    <row r="402" spans="1:49" ht="19.95" customHeight="1" x14ac:dyDescent="0.25">
      <c r="A402" s="16" t="s">
        <v>262</v>
      </c>
      <c r="C402" s="16">
        <v>8</v>
      </c>
      <c r="D402" s="23" t="s">
        <v>174</v>
      </c>
      <c r="E402" s="23" t="s">
        <v>179</v>
      </c>
      <c r="L402" s="16">
        <f>IFERROR(VLOOKUP($D402&amp;$C402,生产方式定位!$A$2:$E$38,2,FALSE)+VLOOKUP($E402&amp;$C402,生产方式定位!$F$3:$J$38,2,FALSE),0)</f>
        <v>0</v>
      </c>
      <c r="S402" s="16">
        <f>IFERROR(VLOOKUP($D402&amp;$C402,生产方式定位!$A$2:$E$38,3,FALSE)+VLOOKUP($E402&amp;$C402,生产方式定位!$F$3:$J$38,3,FALSE),0)</f>
        <v>100</v>
      </c>
      <c r="X402" s="16">
        <f>IFERROR(VLOOKUP($D402&amp;$C402,生产方式定位!$A$2:$E$38,5,FALSE)+VLOOKUP($E402&amp;$C402,生产方式定位!$F$3:$J$38,5,FALSE),"错误")</f>
        <v>100</v>
      </c>
      <c r="Y402" s="26" t="str">
        <f t="shared" si="128"/>
        <v/>
      </c>
      <c r="Z402" s="36" t="str">
        <f t="shared" si="129"/>
        <v/>
      </c>
      <c r="AA402" s="36" t="str">
        <f t="shared" si="130"/>
        <v/>
      </c>
      <c r="AB402" s="27" t="str">
        <f t="shared" si="131"/>
        <v/>
      </c>
      <c r="AC402" s="2" t="str">
        <f t="shared" si="132"/>
        <v/>
      </c>
      <c r="AD402" s="37">
        <f t="shared" si="133"/>
        <v>8</v>
      </c>
      <c r="AE402" t="str">
        <f t="shared" si="134"/>
        <v/>
      </c>
      <c r="AF402" t="str">
        <f t="shared" si="135"/>
        <v/>
      </c>
      <c r="AG402" t="str">
        <f t="shared" si="136"/>
        <v/>
      </c>
      <c r="AH402" t="str">
        <f t="shared" si="137"/>
        <v/>
      </c>
      <c r="AI402" t="str">
        <f t="shared" si="138"/>
        <v/>
      </c>
      <c r="AJ402" t="str">
        <f t="shared" si="139"/>
        <v/>
      </c>
      <c r="AK402" t="str">
        <f t="shared" si="140"/>
        <v/>
      </c>
      <c r="AL402" t="str">
        <f>IFERROR(ROUND(L402*(G402/$AU402)/VLOOKUP(F402,商品!$A$4:$B$60,2,FALSE),0),"")</f>
        <v/>
      </c>
      <c r="AM402" t="str">
        <f>IFERROR(ROUND(L402*(I402/$AU402)/VLOOKUP(H402,商品!$A$4:$B$60,2,FALSE),0),"")</f>
        <v/>
      </c>
      <c r="AN402">
        <f>IFERROR(ROUND(L402*(J402/$AU402)/VLOOKUP("运力",商品!$A$4:$B$60,2,FALSE),0),0)</f>
        <v>0</v>
      </c>
      <c r="AO402">
        <f>IFERROR(ROUND(L402*(K402/$AU402)/VLOOKUP("交易",商品!$A$4:$B$60,2,FALSE),0),0)</f>
        <v>0</v>
      </c>
      <c r="AP402" t="str">
        <f>IFERROR(ROUND(S402*(N402/$AV402)/VLOOKUP(M402,职业!$A$4:$G$16,4,FALSE),0),"")</f>
        <v/>
      </c>
      <c r="AQ402" t="str">
        <f>IFERROR(ROUND(S402*(P402/$AV402)/VLOOKUP(O402,职业!$A$4:$G$16,4,FALSE),0),"")</f>
        <v/>
      </c>
      <c r="AR402" t="str">
        <f>IFERROR(ROUND(S402*(R402/$AV402)/VLOOKUP(Q402,职业!$A$4:$G$16,4,FALSE),0),"")</f>
        <v/>
      </c>
      <c r="AS402" t="str">
        <f>IFERROR(ROUND(X402*(U402/$AW402)/VLOOKUP(T402,商品!$A$4:$B$60,2,FALSE),0),"")</f>
        <v/>
      </c>
      <c r="AT402" t="str">
        <f>IFERROR(ROUND(X402*(W402/$AW402)/VLOOKUP(V402,商品!$A$4:$B$60,2,FALSE),0),"")</f>
        <v/>
      </c>
      <c r="AU402">
        <f t="shared" si="141"/>
        <v>0</v>
      </c>
      <c r="AV402">
        <f t="shared" si="142"/>
        <v>0</v>
      </c>
      <c r="AW402">
        <f t="shared" si="143"/>
        <v>0</v>
      </c>
    </row>
    <row r="403" spans="1:49" ht="19.95" customHeight="1" x14ac:dyDescent="0.25">
      <c r="A403" s="15" t="s">
        <v>264</v>
      </c>
      <c r="C403" s="15">
        <v>1</v>
      </c>
      <c r="D403" s="23" t="s">
        <v>222</v>
      </c>
      <c r="E403" s="23" t="s">
        <v>172</v>
      </c>
      <c r="L403" s="15">
        <f>IFERROR(VLOOKUP($D403&amp;$C403,生产方式定位!$A$2:$E$38,2,FALSE)+VLOOKUP($E403&amp;$C403,生产方式定位!$F$3:$J$38,2,FALSE),0)</f>
        <v>1000</v>
      </c>
      <c r="S403" s="15">
        <f>IFERROR(VLOOKUP($D403&amp;$C403,生产方式定位!$A$2:$E$38,3,FALSE)+VLOOKUP($E403&amp;$C403,生产方式定位!$F$3:$J$38,3,FALSE),0)</f>
        <v>100</v>
      </c>
      <c r="X403" s="15">
        <f>IFERROR(VLOOKUP($D403&amp;$C403,生产方式定位!$A$2:$E$38,5,FALSE)+VLOOKUP($E403&amp;$C403,生产方式定位!$F$3:$J$38,5,FALSE),"错误")</f>
        <v>1760</v>
      </c>
      <c r="Y403" s="26" t="str">
        <f t="shared" si="128"/>
        <v/>
      </c>
      <c r="Z403" s="36" t="str">
        <f t="shared" si="129"/>
        <v/>
      </c>
      <c r="AA403" s="36" t="str">
        <f t="shared" si="130"/>
        <v/>
      </c>
      <c r="AB403" s="27" t="str">
        <f t="shared" si="131"/>
        <v>76%</v>
      </c>
      <c r="AC403" s="2">
        <f t="shared" si="132"/>
        <v>660</v>
      </c>
      <c r="AD403" s="37">
        <f t="shared" si="133"/>
        <v>1</v>
      </c>
      <c r="AE403" t="str">
        <f t="shared" si="134"/>
        <v/>
      </c>
      <c r="AF403" t="str">
        <f t="shared" si="135"/>
        <v/>
      </c>
      <c r="AG403" t="str">
        <f t="shared" si="136"/>
        <v/>
      </c>
      <c r="AH403" t="str">
        <f t="shared" si="137"/>
        <v/>
      </c>
      <c r="AI403" t="str">
        <f t="shared" si="138"/>
        <v/>
      </c>
      <c r="AJ403" t="str">
        <f t="shared" si="139"/>
        <v/>
      </c>
      <c r="AK403" t="str">
        <f t="shared" si="140"/>
        <v/>
      </c>
      <c r="AL403" t="str">
        <f>IFERROR(ROUND(L403*(G403/$AU403)/VLOOKUP(F403,商品!$A$4:$B$60,2,FALSE),0),"")</f>
        <v/>
      </c>
      <c r="AM403" t="str">
        <f>IFERROR(ROUND(L403*(I403/$AU403)/VLOOKUP(H403,商品!$A$4:$B$60,2,FALSE),0),"")</f>
        <v/>
      </c>
      <c r="AN403">
        <f>IFERROR(ROUND(L403*(J403/$AU403)/VLOOKUP("运力",商品!$A$4:$B$60,2,FALSE),0),0)</f>
        <v>0</v>
      </c>
      <c r="AO403">
        <f>IFERROR(ROUND(L403*(K403/$AU403)/VLOOKUP("交易",商品!$A$4:$B$60,2,FALSE),0),0)</f>
        <v>0</v>
      </c>
      <c r="AP403" t="str">
        <f>IFERROR(ROUND(S403*(N403/$AV403)/VLOOKUP(M403,职业!$A$4:$G$16,4,FALSE),0),"")</f>
        <v/>
      </c>
      <c r="AQ403" t="str">
        <f>IFERROR(ROUND(S403*(P403/$AV403)/VLOOKUP(O403,职业!$A$4:$G$16,4,FALSE),0),"")</f>
        <v/>
      </c>
      <c r="AR403" t="str">
        <f>IFERROR(ROUND(S403*(R403/$AV403)/VLOOKUP(Q403,职业!$A$4:$G$16,4,FALSE),0),"")</f>
        <v/>
      </c>
      <c r="AS403" t="str">
        <f>IFERROR(ROUND(X403*(U403/$AW403)/VLOOKUP(T403,商品!$A$4:$B$60,2,FALSE),0),"")</f>
        <v/>
      </c>
      <c r="AT403" t="str">
        <f>IFERROR(ROUND(X403*(W403/$AW403)/VLOOKUP(V403,商品!$A$4:$B$60,2,FALSE),0),"")</f>
        <v/>
      </c>
      <c r="AU403">
        <f t="shared" si="141"/>
        <v>0</v>
      </c>
      <c r="AV403">
        <f t="shared" si="142"/>
        <v>0</v>
      </c>
      <c r="AW403">
        <f t="shared" si="143"/>
        <v>0</v>
      </c>
    </row>
    <row r="404" spans="1:49" ht="19.95" customHeight="1" x14ac:dyDescent="0.25">
      <c r="A404" s="15" t="s">
        <v>264</v>
      </c>
      <c r="C404" s="15">
        <v>2</v>
      </c>
      <c r="D404" s="23" t="s">
        <v>222</v>
      </c>
      <c r="E404" s="23" t="s">
        <v>172</v>
      </c>
      <c r="L404" s="15">
        <f>IFERROR(VLOOKUP($D404&amp;$C404,生产方式定位!$A$2:$E$38,2,FALSE)+VLOOKUP($E404&amp;$C404,生产方式定位!$F$3:$J$38,2,FALSE),0)</f>
        <v>1600</v>
      </c>
      <c r="S404" s="15">
        <f>IFERROR(VLOOKUP($D404&amp;$C404,生产方式定位!$A$2:$E$38,3,FALSE)+VLOOKUP($E404&amp;$C404,生产方式定位!$F$3:$J$38,3,FALSE),0)</f>
        <v>100</v>
      </c>
      <c r="X404" s="15">
        <f>IFERROR(VLOOKUP($D404&amp;$C404,生产方式定位!$A$2:$E$38,5,FALSE)+VLOOKUP($E404&amp;$C404,生产方式定位!$F$3:$J$38,5,FALSE),"错误")</f>
        <v>2520</v>
      </c>
      <c r="Y404" s="26" t="str">
        <f t="shared" si="128"/>
        <v/>
      </c>
      <c r="Z404" s="36" t="str">
        <f t="shared" si="129"/>
        <v/>
      </c>
      <c r="AA404" s="36" t="str">
        <f t="shared" si="130"/>
        <v/>
      </c>
      <c r="AB404" s="27" t="str">
        <f t="shared" si="131"/>
        <v>58%</v>
      </c>
      <c r="AC404" s="2">
        <f t="shared" si="132"/>
        <v>820</v>
      </c>
      <c r="AD404" s="37">
        <f t="shared" si="133"/>
        <v>2</v>
      </c>
      <c r="AE404" t="str">
        <f t="shared" si="134"/>
        <v/>
      </c>
      <c r="AF404" t="str">
        <f t="shared" si="135"/>
        <v/>
      </c>
      <c r="AG404" t="str">
        <f t="shared" si="136"/>
        <v/>
      </c>
      <c r="AH404" t="str">
        <f t="shared" si="137"/>
        <v/>
      </c>
      <c r="AI404" t="str">
        <f t="shared" si="138"/>
        <v/>
      </c>
      <c r="AJ404" t="str">
        <f t="shared" si="139"/>
        <v/>
      </c>
      <c r="AK404" t="str">
        <f t="shared" si="140"/>
        <v/>
      </c>
      <c r="AL404" t="str">
        <f>IFERROR(ROUND(L404*(G404/$AU404)/VLOOKUP(F404,商品!$A$4:$B$60,2,FALSE),0),"")</f>
        <v/>
      </c>
      <c r="AM404" t="str">
        <f>IFERROR(ROUND(L404*(I404/$AU404)/VLOOKUP(H404,商品!$A$4:$B$60,2,FALSE),0),"")</f>
        <v/>
      </c>
      <c r="AN404">
        <f>IFERROR(ROUND(L404*(J404/$AU404)/VLOOKUP("运力",商品!$A$4:$B$60,2,FALSE),0),0)</f>
        <v>0</v>
      </c>
      <c r="AO404">
        <f>IFERROR(ROUND(L404*(K404/$AU404)/VLOOKUP("交易",商品!$A$4:$B$60,2,FALSE),0),0)</f>
        <v>0</v>
      </c>
      <c r="AP404" t="str">
        <f>IFERROR(ROUND(S404*(N404/$AV404)/VLOOKUP(M404,职业!$A$4:$G$16,4,FALSE),0),"")</f>
        <v/>
      </c>
      <c r="AQ404" t="str">
        <f>IFERROR(ROUND(S404*(P404/$AV404)/VLOOKUP(O404,职业!$A$4:$G$16,4,FALSE),0),"")</f>
        <v/>
      </c>
      <c r="AR404" t="str">
        <f>IFERROR(ROUND(S404*(R404/$AV404)/VLOOKUP(Q404,职业!$A$4:$G$16,4,FALSE),0),"")</f>
        <v/>
      </c>
      <c r="AS404" t="str">
        <f>IFERROR(ROUND(X404*(U404/$AW404)/VLOOKUP(T404,商品!$A$4:$B$60,2,FALSE),0),"")</f>
        <v/>
      </c>
      <c r="AT404" t="str">
        <f>IFERROR(ROUND(X404*(W404/$AW404)/VLOOKUP(V404,商品!$A$4:$B$60,2,FALSE),0),"")</f>
        <v/>
      </c>
      <c r="AU404">
        <f t="shared" si="141"/>
        <v>0</v>
      </c>
      <c r="AV404">
        <f t="shared" si="142"/>
        <v>0</v>
      </c>
      <c r="AW404">
        <f t="shared" si="143"/>
        <v>0</v>
      </c>
    </row>
    <row r="405" spans="1:49" ht="19.95" customHeight="1" x14ac:dyDescent="0.25">
      <c r="A405" s="15" t="s">
        <v>264</v>
      </c>
      <c r="C405" s="15">
        <v>3</v>
      </c>
      <c r="D405" s="23" t="s">
        <v>222</v>
      </c>
      <c r="E405" s="23" t="s">
        <v>172</v>
      </c>
      <c r="L405" s="15">
        <f>IFERROR(VLOOKUP($D405&amp;$C405,生产方式定位!$A$2:$E$38,2,FALSE)+VLOOKUP($E405&amp;$C405,生产方式定位!$F$3:$J$38,2,FALSE),0)</f>
        <v>1825</v>
      </c>
      <c r="S405" s="15">
        <f>IFERROR(VLOOKUP($D405&amp;$C405,生产方式定位!$A$2:$E$38,3,FALSE)+VLOOKUP($E405&amp;$C405,生产方式定位!$F$3:$J$38,3,FALSE),0)</f>
        <v>100</v>
      </c>
      <c r="X405" s="15">
        <f>IFERROR(VLOOKUP($D405&amp;$C405,生产方式定位!$A$2:$E$38,5,FALSE)+VLOOKUP($E405&amp;$C405,生产方式定位!$F$3:$J$38,5,FALSE),"错误")</f>
        <v>2830</v>
      </c>
      <c r="Y405" s="26" t="str">
        <f t="shared" si="128"/>
        <v/>
      </c>
      <c r="Z405" s="36" t="str">
        <f t="shared" si="129"/>
        <v/>
      </c>
      <c r="AA405" s="36" t="str">
        <f t="shared" si="130"/>
        <v/>
      </c>
      <c r="AB405" s="27" t="str">
        <f t="shared" si="131"/>
        <v>55%</v>
      </c>
      <c r="AC405" s="2">
        <f t="shared" si="132"/>
        <v>905</v>
      </c>
      <c r="AD405" s="38">
        <f t="shared" si="133"/>
        <v>3</v>
      </c>
      <c r="AE405" t="str">
        <f t="shared" si="134"/>
        <v/>
      </c>
      <c r="AF405" t="str">
        <f t="shared" si="135"/>
        <v/>
      </c>
      <c r="AG405" t="str">
        <f t="shared" si="136"/>
        <v/>
      </c>
      <c r="AH405" t="str">
        <f t="shared" si="137"/>
        <v/>
      </c>
      <c r="AI405" t="str">
        <f t="shared" si="138"/>
        <v/>
      </c>
      <c r="AJ405" t="str">
        <f t="shared" si="139"/>
        <v/>
      </c>
      <c r="AK405" t="str">
        <f t="shared" si="140"/>
        <v/>
      </c>
      <c r="AL405" t="str">
        <f>IFERROR(ROUND(L405*(G405/$AU405)/VLOOKUP(F405,商品!$A$4:$B$60,2,FALSE),0),"")</f>
        <v/>
      </c>
      <c r="AM405" t="str">
        <f>IFERROR(ROUND(L405*(I405/$AU405)/VLOOKUP(H405,商品!$A$4:$B$60,2,FALSE),0),"")</f>
        <v/>
      </c>
      <c r="AN405">
        <f>IFERROR(ROUND(L405*(J405/$AU405)/VLOOKUP("运力",商品!$A$4:$B$60,2,FALSE),0),0)</f>
        <v>0</v>
      </c>
      <c r="AO405">
        <f>IFERROR(ROUND(L405*(K405/$AU405)/VLOOKUP("交易",商品!$A$4:$B$60,2,FALSE),0),0)</f>
        <v>0</v>
      </c>
      <c r="AP405" t="str">
        <f>IFERROR(ROUND(S405*(N405/$AV405)/VLOOKUP(M405,职业!$A$4:$G$16,4,FALSE),0),"")</f>
        <v/>
      </c>
      <c r="AQ405" t="str">
        <f>IFERROR(ROUND(S405*(P405/$AV405)/VLOOKUP(O405,职业!$A$4:$G$16,4,FALSE),0),"")</f>
        <v/>
      </c>
      <c r="AR405" t="str">
        <f>IFERROR(ROUND(S405*(R405/$AV405)/VLOOKUP(Q405,职业!$A$4:$G$16,4,FALSE),0),"")</f>
        <v/>
      </c>
      <c r="AS405" t="str">
        <f>IFERROR(ROUND(X405*(U405/$AW405)/VLOOKUP(T405,商品!$A$4:$B$60,2,FALSE),0),"")</f>
        <v/>
      </c>
      <c r="AT405" t="str">
        <f>IFERROR(ROUND(X405*(W405/$AW405)/VLOOKUP(V405,商品!$A$4:$B$60,2,FALSE),0),"")</f>
        <v/>
      </c>
      <c r="AU405">
        <f t="shared" si="141"/>
        <v>0</v>
      </c>
      <c r="AV405">
        <f t="shared" si="142"/>
        <v>0</v>
      </c>
      <c r="AW405">
        <f t="shared" si="143"/>
        <v>0</v>
      </c>
    </row>
    <row r="406" spans="1:49" ht="19.95" customHeight="1" x14ac:dyDescent="0.25">
      <c r="A406" s="15" t="s">
        <v>264</v>
      </c>
      <c r="C406" s="15">
        <v>4</v>
      </c>
      <c r="D406" s="23" t="s">
        <v>222</v>
      </c>
      <c r="E406" s="23" t="s">
        <v>172</v>
      </c>
      <c r="L406" s="15">
        <f>IFERROR(VLOOKUP($D406&amp;$C406,生产方式定位!$A$2:$E$38,2,FALSE)+VLOOKUP($E406&amp;$C406,生产方式定位!$F$3:$J$38,2,FALSE),0)</f>
        <v>2050</v>
      </c>
      <c r="S406" s="15">
        <f>IFERROR(VLOOKUP($D406&amp;$C406,生产方式定位!$A$2:$E$38,3,FALSE)+VLOOKUP($E406&amp;$C406,生产方式定位!$F$3:$J$38,3,FALSE),0)</f>
        <v>100</v>
      </c>
      <c r="X406" s="15">
        <f>IFERROR(VLOOKUP($D406&amp;$C406,生产方式定位!$A$2:$E$38,5,FALSE)+VLOOKUP($E406&amp;$C406,生产方式定位!$F$3:$J$38,5,FALSE),"错误")</f>
        <v>3140</v>
      </c>
      <c r="Y406" s="26" t="str">
        <f t="shared" si="128"/>
        <v/>
      </c>
      <c r="Z406" s="36" t="str">
        <f t="shared" si="129"/>
        <v/>
      </c>
      <c r="AA406" s="36" t="str">
        <f t="shared" si="130"/>
        <v/>
      </c>
      <c r="AB406" s="27" t="str">
        <f t="shared" si="131"/>
        <v>53%</v>
      </c>
      <c r="AC406" s="2">
        <f t="shared" si="132"/>
        <v>990</v>
      </c>
      <c r="AD406" s="38">
        <f t="shared" si="133"/>
        <v>4</v>
      </c>
      <c r="AE406" t="str">
        <f t="shared" si="134"/>
        <v/>
      </c>
      <c r="AF406" t="str">
        <f t="shared" si="135"/>
        <v/>
      </c>
      <c r="AG406" t="str">
        <f t="shared" si="136"/>
        <v/>
      </c>
      <c r="AH406" t="str">
        <f t="shared" si="137"/>
        <v/>
      </c>
      <c r="AI406" t="str">
        <f t="shared" si="138"/>
        <v/>
      </c>
      <c r="AJ406" t="str">
        <f t="shared" si="139"/>
        <v/>
      </c>
      <c r="AK406" t="str">
        <f t="shared" si="140"/>
        <v/>
      </c>
      <c r="AL406" t="str">
        <f>IFERROR(ROUND(L406*(G406/$AU406)/VLOOKUP(F406,商品!$A$4:$B$60,2,FALSE),0),"")</f>
        <v/>
      </c>
      <c r="AM406" t="str">
        <f>IFERROR(ROUND(L406*(I406/$AU406)/VLOOKUP(H406,商品!$A$4:$B$60,2,FALSE),0),"")</f>
        <v/>
      </c>
      <c r="AN406">
        <f>IFERROR(ROUND(L406*(J406/$AU406)/VLOOKUP("运力",商品!$A$4:$B$60,2,FALSE),0),0)</f>
        <v>0</v>
      </c>
      <c r="AO406">
        <f>IFERROR(ROUND(L406*(K406/$AU406)/VLOOKUP("交易",商品!$A$4:$B$60,2,FALSE),0),0)</f>
        <v>0</v>
      </c>
      <c r="AP406" t="str">
        <f>IFERROR(ROUND(S406*(N406/$AV406)/VLOOKUP(M406,职业!$A$4:$G$16,4,FALSE),0),"")</f>
        <v/>
      </c>
      <c r="AQ406" t="str">
        <f>IFERROR(ROUND(S406*(P406/$AV406)/VLOOKUP(O406,职业!$A$4:$G$16,4,FALSE),0),"")</f>
        <v/>
      </c>
      <c r="AR406" t="str">
        <f>IFERROR(ROUND(S406*(R406/$AV406)/VLOOKUP(Q406,职业!$A$4:$G$16,4,FALSE),0),"")</f>
        <v/>
      </c>
      <c r="AS406" t="str">
        <f>IFERROR(ROUND(X406*(U406/$AW406)/VLOOKUP(T406,商品!$A$4:$B$60,2,FALSE),0),"")</f>
        <v/>
      </c>
      <c r="AT406" t="str">
        <f>IFERROR(ROUND(X406*(W406/$AW406)/VLOOKUP(V406,商品!$A$4:$B$60,2,FALSE),0),"")</f>
        <v/>
      </c>
      <c r="AU406">
        <f t="shared" si="141"/>
        <v>0</v>
      </c>
      <c r="AV406">
        <f t="shared" si="142"/>
        <v>0</v>
      </c>
      <c r="AW406">
        <f t="shared" si="143"/>
        <v>0</v>
      </c>
    </row>
    <row r="407" spans="1:49" ht="19.95" customHeight="1" x14ac:dyDescent="0.25">
      <c r="A407" s="15" t="s">
        <v>264</v>
      </c>
      <c r="C407" s="15">
        <v>5</v>
      </c>
      <c r="D407" s="23" t="s">
        <v>222</v>
      </c>
      <c r="E407" s="23" t="s">
        <v>172</v>
      </c>
      <c r="L407" s="15">
        <f>IFERROR(VLOOKUP($D407&amp;$C407,生产方式定位!$A$2:$E$38,2,FALSE)+VLOOKUP($E407&amp;$C407,生产方式定位!$F$3:$J$38,2,FALSE),0)</f>
        <v>2275</v>
      </c>
      <c r="S407" s="15">
        <f>IFERROR(VLOOKUP($D407&amp;$C407,生产方式定位!$A$2:$E$38,3,FALSE)+VLOOKUP($E407&amp;$C407,生产方式定位!$F$3:$J$38,3,FALSE),0)</f>
        <v>100</v>
      </c>
      <c r="X407" s="15">
        <f>IFERROR(VLOOKUP($D407&amp;$C407,生产方式定位!$A$2:$E$38,5,FALSE)+VLOOKUP($E407&amp;$C407,生产方式定位!$F$3:$J$38,5,FALSE),"错误")</f>
        <v>3450</v>
      </c>
      <c r="Y407" s="26" t="str">
        <f t="shared" si="128"/>
        <v/>
      </c>
      <c r="Z407" s="36" t="str">
        <f t="shared" si="129"/>
        <v/>
      </c>
      <c r="AA407" s="36" t="str">
        <f t="shared" si="130"/>
        <v/>
      </c>
      <c r="AB407" s="27" t="str">
        <f t="shared" si="131"/>
        <v>52%</v>
      </c>
      <c r="AC407" s="2">
        <f t="shared" si="132"/>
        <v>1075</v>
      </c>
      <c r="AD407" s="38">
        <f t="shared" si="133"/>
        <v>5</v>
      </c>
      <c r="AE407" t="str">
        <f t="shared" si="134"/>
        <v/>
      </c>
      <c r="AF407" t="str">
        <f t="shared" si="135"/>
        <v/>
      </c>
      <c r="AG407" t="str">
        <f t="shared" si="136"/>
        <v/>
      </c>
      <c r="AH407" t="str">
        <f t="shared" si="137"/>
        <v/>
      </c>
      <c r="AI407" t="str">
        <f t="shared" si="138"/>
        <v/>
      </c>
      <c r="AJ407" t="str">
        <f t="shared" si="139"/>
        <v/>
      </c>
      <c r="AK407" t="str">
        <f t="shared" si="140"/>
        <v/>
      </c>
      <c r="AL407" t="str">
        <f>IFERROR(ROUND(L407*(G407/$AU407)/VLOOKUP(F407,商品!$A$4:$B$60,2,FALSE),0),"")</f>
        <v/>
      </c>
      <c r="AM407" t="str">
        <f>IFERROR(ROUND(L407*(I407/$AU407)/VLOOKUP(H407,商品!$A$4:$B$60,2,FALSE),0),"")</f>
        <v/>
      </c>
      <c r="AN407">
        <f>IFERROR(ROUND(L407*(J407/$AU407)/VLOOKUP("运力",商品!$A$4:$B$60,2,FALSE),0),0)</f>
        <v>0</v>
      </c>
      <c r="AO407">
        <f>IFERROR(ROUND(L407*(K407/$AU407)/VLOOKUP("交易",商品!$A$4:$B$60,2,FALSE),0),0)</f>
        <v>0</v>
      </c>
      <c r="AP407" t="str">
        <f>IFERROR(ROUND(S407*(N407/$AV407)/VLOOKUP(M407,职业!$A$4:$G$16,4,FALSE),0),"")</f>
        <v/>
      </c>
      <c r="AQ407" t="str">
        <f>IFERROR(ROUND(S407*(P407/$AV407)/VLOOKUP(O407,职业!$A$4:$G$16,4,FALSE),0),"")</f>
        <v/>
      </c>
      <c r="AR407" t="str">
        <f>IFERROR(ROUND(S407*(R407/$AV407)/VLOOKUP(Q407,职业!$A$4:$G$16,4,FALSE),0),"")</f>
        <v/>
      </c>
      <c r="AS407" t="str">
        <f>IFERROR(ROUND(X407*(U407/$AW407)/VLOOKUP(T407,商品!$A$4:$B$60,2,FALSE),0),"")</f>
        <v/>
      </c>
      <c r="AT407" t="str">
        <f>IFERROR(ROUND(X407*(W407/$AW407)/VLOOKUP(V407,商品!$A$4:$B$60,2,FALSE),0),"")</f>
        <v/>
      </c>
      <c r="AU407">
        <f t="shared" si="141"/>
        <v>0</v>
      </c>
      <c r="AV407">
        <f t="shared" si="142"/>
        <v>0</v>
      </c>
      <c r="AW407">
        <f t="shared" si="143"/>
        <v>0</v>
      </c>
    </row>
    <row r="408" spans="1:49" ht="19.95" customHeight="1" x14ac:dyDescent="0.25">
      <c r="A408" s="16" t="s">
        <v>521</v>
      </c>
      <c r="C408" s="16">
        <v>1</v>
      </c>
      <c r="D408" s="23" t="s">
        <v>174</v>
      </c>
      <c r="E408" s="23" t="s">
        <v>175</v>
      </c>
      <c r="L408" s="16">
        <f>IFERROR(VLOOKUP($D408&amp;$C408,生产方式定位!$A$2:$E$38,2,FALSE)+VLOOKUP($E408&amp;$C408,生产方式定位!$F$3:$J$38,2,FALSE),0)</f>
        <v>0</v>
      </c>
      <c r="S408" s="16">
        <f>IFERROR(VLOOKUP($D408&amp;$C408,生产方式定位!$A$2:$E$38,3,FALSE)+VLOOKUP($E408&amp;$C408,生产方式定位!$F$3:$J$38,3,FALSE),0)</f>
        <v>0</v>
      </c>
      <c r="X408" s="16">
        <f>IFERROR(VLOOKUP($D408&amp;$C408,生产方式定位!$A$2:$E$38,5,FALSE)+VLOOKUP($E408&amp;$C408,生产方式定位!$F$3:$J$38,5,FALSE),"错误")</f>
        <v>0</v>
      </c>
      <c r="Y408" s="26" t="str">
        <f t="shared" si="128"/>
        <v/>
      </c>
      <c r="Z408" s="36" t="str">
        <f t="shared" si="129"/>
        <v/>
      </c>
      <c r="AA408" s="36" t="str">
        <f t="shared" si="130"/>
        <v/>
      </c>
      <c r="AB408" s="27" t="str">
        <f t="shared" si="131"/>
        <v/>
      </c>
      <c r="AC408" s="2" t="str">
        <f t="shared" si="132"/>
        <v/>
      </c>
      <c r="AD408" s="38">
        <f t="shared" si="133"/>
        <v>1</v>
      </c>
      <c r="AE408" t="str">
        <f t="shared" si="134"/>
        <v/>
      </c>
      <c r="AF408" t="str">
        <f t="shared" si="135"/>
        <v/>
      </c>
      <c r="AG408" t="str">
        <f t="shared" si="136"/>
        <v/>
      </c>
      <c r="AH408" t="str">
        <f t="shared" si="137"/>
        <v/>
      </c>
      <c r="AI408" t="str">
        <f t="shared" si="138"/>
        <v/>
      </c>
      <c r="AJ408" t="str">
        <f t="shared" si="139"/>
        <v/>
      </c>
      <c r="AK408" t="str">
        <f t="shared" si="140"/>
        <v/>
      </c>
      <c r="AL408" t="str">
        <f>IFERROR(ROUND(L408*(G408/$AU408)/VLOOKUP(F408,商品!$A$4:$B$60,2,FALSE),0),"")</f>
        <v/>
      </c>
      <c r="AM408" t="str">
        <f>IFERROR(ROUND(L408*(I408/$AU408)/VLOOKUP(H408,商品!$A$4:$B$60,2,FALSE),0),"")</f>
        <v/>
      </c>
      <c r="AN408">
        <f>IFERROR(ROUND(L408*(J408/$AU408)/VLOOKUP("运力",商品!$A$4:$B$60,2,FALSE),0),0)</f>
        <v>0</v>
      </c>
      <c r="AO408">
        <f>IFERROR(ROUND(L408*(K408/$AU408)/VLOOKUP("交易",商品!$A$4:$B$60,2,FALSE),0),0)</f>
        <v>0</v>
      </c>
      <c r="AP408" t="str">
        <f>IFERROR(ROUND(S408*(N408/$AV408)/VLOOKUP(M408,职业!$A$4:$G$16,4,FALSE),0),"")</f>
        <v/>
      </c>
      <c r="AQ408" t="str">
        <f>IFERROR(ROUND(S408*(P408/$AV408)/VLOOKUP(O408,职业!$A$4:$G$16,4,FALSE),0),"")</f>
        <v/>
      </c>
      <c r="AR408" t="str">
        <f>IFERROR(ROUND(S408*(R408/$AV408)/VLOOKUP(Q408,职业!$A$4:$G$16,4,FALSE),0),"")</f>
        <v/>
      </c>
      <c r="AS408" t="str">
        <f>IFERROR(ROUND(X408*(U408/$AW408)/VLOOKUP(T408,商品!$A$4:$B$60,2,FALSE),0),"")</f>
        <v/>
      </c>
      <c r="AT408" t="str">
        <f>IFERROR(ROUND(X408*(W408/$AW408)/VLOOKUP(V408,商品!$A$4:$B$60,2,FALSE),0),"")</f>
        <v/>
      </c>
      <c r="AU408">
        <f t="shared" si="141"/>
        <v>0</v>
      </c>
      <c r="AV408">
        <f t="shared" si="142"/>
        <v>0</v>
      </c>
      <c r="AW408">
        <f t="shared" si="143"/>
        <v>0</v>
      </c>
    </row>
    <row r="409" spans="1:49" ht="19.95" customHeight="1" x14ac:dyDescent="0.25">
      <c r="A409" s="16" t="s">
        <v>521</v>
      </c>
      <c r="C409" s="16">
        <v>2</v>
      </c>
      <c r="D409" s="23" t="s">
        <v>174</v>
      </c>
      <c r="E409" s="23" t="s">
        <v>175</v>
      </c>
      <c r="F409" s="2" t="s">
        <v>41</v>
      </c>
      <c r="G409" s="2">
        <v>10</v>
      </c>
      <c r="L409" s="16">
        <f>IFERROR(VLOOKUP($D409&amp;$C409,生产方式定位!$A$2:$E$38,2,FALSE)+VLOOKUP($E409&amp;$C409,生产方式定位!$F$3:$J$38,2,FALSE),0)</f>
        <v>50</v>
      </c>
      <c r="S409" s="16">
        <f>IFERROR(VLOOKUP($D409&amp;$C409,生产方式定位!$A$2:$E$38,3,FALSE)+VLOOKUP($E409&amp;$C409,生产方式定位!$F$3:$J$38,3,FALSE),0)</f>
        <v>10</v>
      </c>
      <c r="X409" s="16">
        <f>IFERROR(VLOOKUP($D409&amp;$C409,生产方式定位!$A$2:$E$38,5,FALSE)+VLOOKUP($E409&amp;$C409,生产方式定位!$F$3:$J$38,5,FALSE),"错误")</f>
        <v>0</v>
      </c>
      <c r="Y409" s="26" t="str">
        <f t="shared" si="128"/>
        <v>工具*1</v>
      </c>
      <c r="Z409" s="36" t="str">
        <f t="shared" si="129"/>
        <v/>
      </c>
      <c r="AA409" s="36" t="str">
        <f t="shared" si="130"/>
        <v/>
      </c>
      <c r="AB409" s="27" t="str">
        <f t="shared" si="131"/>
        <v>-100%</v>
      </c>
      <c r="AC409" s="2">
        <f t="shared" si="132"/>
        <v>-60</v>
      </c>
      <c r="AD409" s="38">
        <f t="shared" si="133"/>
        <v>2</v>
      </c>
      <c r="AE409" t="str">
        <f t="shared" si="134"/>
        <v>工具*1</v>
      </c>
      <c r="AF409" t="str">
        <f t="shared" si="135"/>
        <v/>
      </c>
      <c r="AG409" t="str">
        <f t="shared" si="136"/>
        <v/>
      </c>
      <c r="AH409" t="str">
        <f t="shared" si="137"/>
        <v/>
      </c>
      <c r="AI409" t="str">
        <f t="shared" si="138"/>
        <v/>
      </c>
      <c r="AJ409" t="str">
        <f t="shared" si="139"/>
        <v/>
      </c>
      <c r="AK409" t="str">
        <f t="shared" si="140"/>
        <v/>
      </c>
      <c r="AL409">
        <f>IFERROR(ROUND(L409*(G409/$AU409)/VLOOKUP(F409,商品!$A$4:$B$60,2,FALSE),0),"")</f>
        <v>1</v>
      </c>
      <c r="AM409" t="str">
        <f>IFERROR(ROUND(L409*(I409/$AU409)/VLOOKUP(H409,商品!$A$4:$B$60,2,FALSE),0),"")</f>
        <v/>
      </c>
      <c r="AN409">
        <f>IFERROR(ROUND(L409*(J409/$AU409)/VLOOKUP("运力",商品!$A$4:$B$60,2,FALSE),0),0)</f>
        <v>0</v>
      </c>
      <c r="AO409">
        <f>IFERROR(ROUND(L409*(K409/$AU409)/VLOOKUP("交易",商品!$A$4:$B$60,2,FALSE),0),0)</f>
        <v>0</v>
      </c>
      <c r="AP409" t="str">
        <f>IFERROR(ROUND(S409*(N409/$AV409)/VLOOKUP(M409,职业!$A$4:$G$16,4,FALSE),0),"")</f>
        <v/>
      </c>
      <c r="AQ409" t="str">
        <f>IFERROR(ROUND(S409*(P409/$AV409)/VLOOKUP(O409,职业!$A$4:$G$16,4,FALSE),0),"")</f>
        <v/>
      </c>
      <c r="AR409" t="str">
        <f>IFERROR(ROUND(S409*(R409/$AV409)/VLOOKUP(Q409,职业!$A$4:$G$16,4,FALSE),0),"")</f>
        <v/>
      </c>
      <c r="AS409" t="str">
        <f>IFERROR(ROUND(X409*(U409/$AW409)/VLOOKUP(T409,商品!$A$4:$B$60,2,FALSE),0),"")</f>
        <v/>
      </c>
      <c r="AT409" t="str">
        <f>IFERROR(ROUND(X409*(W409/$AW409)/VLOOKUP(V409,商品!$A$4:$B$60,2,FALSE),0),"")</f>
        <v/>
      </c>
      <c r="AU409">
        <f t="shared" si="141"/>
        <v>10</v>
      </c>
      <c r="AV409">
        <f t="shared" si="142"/>
        <v>0</v>
      </c>
      <c r="AW409">
        <f t="shared" si="143"/>
        <v>0</v>
      </c>
    </row>
    <row r="410" spans="1:49" ht="19.95" customHeight="1" x14ac:dyDescent="0.25">
      <c r="A410" s="16" t="s">
        <v>521</v>
      </c>
      <c r="C410" s="16">
        <v>3</v>
      </c>
      <c r="D410" s="23" t="s">
        <v>174</v>
      </c>
      <c r="E410" s="23" t="s">
        <v>175</v>
      </c>
      <c r="F410" s="2" t="s">
        <v>41</v>
      </c>
      <c r="G410" s="2">
        <v>10</v>
      </c>
      <c r="L410" s="16">
        <f>IFERROR(VLOOKUP($D410&amp;$C410,生产方式定位!$A$2:$E$38,2,FALSE)+VLOOKUP($E410&amp;$C410,生产方式定位!$F$3:$J$38,2,FALSE),0)</f>
        <v>100</v>
      </c>
      <c r="S410" s="16">
        <f>IFERROR(VLOOKUP($D410&amp;$C410,生产方式定位!$A$2:$E$38,3,FALSE)+VLOOKUP($E410&amp;$C410,生产方式定位!$F$3:$J$38,3,FALSE),0)</f>
        <v>20</v>
      </c>
      <c r="X410" s="16">
        <f>IFERROR(VLOOKUP($D410&amp;$C410,生产方式定位!$A$2:$E$38,5,FALSE)+VLOOKUP($E410&amp;$C410,生产方式定位!$F$3:$J$38,5,FALSE),"错误")</f>
        <v>0</v>
      </c>
      <c r="Y410" s="26" t="str">
        <f t="shared" si="128"/>
        <v>工具*3</v>
      </c>
      <c r="Z410" s="36" t="str">
        <f t="shared" si="129"/>
        <v/>
      </c>
      <c r="AA410" s="36" t="str">
        <f t="shared" si="130"/>
        <v/>
      </c>
      <c r="AB410" s="27" t="str">
        <f t="shared" si="131"/>
        <v>-100%</v>
      </c>
      <c r="AC410" s="2">
        <f t="shared" si="132"/>
        <v>-120</v>
      </c>
      <c r="AD410" s="38">
        <f t="shared" si="133"/>
        <v>3</v>
      </c>
      <c r="AE410" t="str">
        <f t="shared" si="134"/>
        <v>工具*3</v>
      </c>
      <c r="AF410" t="str">
        <f t="shared" si="135"/>
        <v/>
      </c>
      <c r="AG410" t="str">
        <f t="shared" si="136"/>
        <v/>
      </c>
      <c r="AH410" t="str">
        <f t="shared" si="137"/>
        <v/>
      </c>
      <c r="AI410" t="str">
        <f t="shared" si="138"/>
        <v/>
      </c>
      <c r="AJ410" t="str">
        <f t="shared" si="139"/>
        <v/>
      </c>
      <c r="AK410" t="str">
        <f t="shared" si="140"/>
        <v/>
      </c>
      <c r="AL410">
        <f>IFERROR(ROUND(L410*(G410/$AU410)/VLOOKUP(F410,商品!$A$4:$B$60,2,FALSE),0),"")</f>
        <v>3</v>
      </c>
      <c r="AM410" t="str">
        <f>IFERROR(ROUND(L410*(I410/$AU410)/VLOOKUP(H410,商品!$A$4:$B$60,2,FALSE),0),"")</f>
        <v/>
      </c>
      <c r="AN410">
        <f>IFERROR(ROUND(L410*(J410/$AU410)/VLOOKUP("运力",商品!$A$4:$B$60,2,FALSE),0),0)</f>
        <v>0</v>
      </c>
      <c r="AO410">
        <f>IFERROR(ROUND(L410*(K410/$AU410)/VLOOKUP("交易",商品!$A$4:$B$60,2,FALSE),0),0)</f>
        <v>0</v>
      </c>
      <c r="AP410" t="str">
        <f>IFERROR(ROUND(S410*(N410/$AV410)/VLOOKUP(M410,职业!$A$4:$G$16,4,FALSE),0),"")</f>
        <v/>
      </c>
      <c r="AQ410" t="str">
        <f>IFERROR(ROUND(S410*(P410/$AV410)/VLOOKUP(O410,职业!$A$4:$G$16,4,FALSE),0),"")</f>
        <v/>
      </c>
      <c r="AR410" t="str">
        <f>IFERROR(ROUND(S410*(R410/$AV410)/VLOOKUP(Q410,职业!$A$4:$G$16,4,FALSE),0),"")</f>
        <v/>
      </c>
      <c r="AS410" t="str">
        <f>IFERROR(ROUND(X410*(U410/$AW410)/VLOOKUP(T410,商品!$A$4:$B$60,2,FALSE),0),"")</f>
        <v/>
      </c>
      <c r="AT410" t="str">
        <f>IFERROR(ROUND(X410*(W410/$AW410)/VLOOKUP(V410,商品!$A$4:$B$60,2,FALSE),0),"")</f>
        <v/>
      </c>
      <c r="AU410">
        <f t="shared" si="141"/>
        <v>10</v>
      </c>
      <c r="AV410">
        <f t="shared" si="142"/>
        <v>0</v>
      </c>
      <c r="AW410">
        <f t="shared" si="143"/>
        <v>0</v>
      </c>
    </row>
    <row r="411" spans="1:49" ht="19.95" customHeight="1" x14ac:dyDescent="0.25">
      <c r="A411" s="16" t="s">
        <v>521</v>
      </c>
      <c r="C411" s="16">
        <v>4</v>
      </c>
      <c r="D411" s="23" t="s">
        <v>174</v>
      </c>
      <c r="E411" s="23" t="s">
        <v>175</v>
      </c>
      <c r="F411" s="2" t="s">
        <v>45</v>
      </c>
      <c r="G411" s="2">
        <v>5</v>
      </c>
      <c r="H411" s="2" t="s">
        <v>19</v>
      </c>
      <c r="I411" s="2">
        <v>10</v>
      </c>
      <c r="L411" s="16">
        <f>IFERROR(VLOOKUP($D411&amp;$C411,生产方式定位!$A$2:$E$38,2,FALSE)+VLOOKUP($E411&amp;$C411,生产方式定位!$F$3:$J$38,2,FALSE),0)</f>
        <v>150</v>
      </c>
      <c r="S411" s="16">
        <f>IFERROR(VLOOKUP($D411&amp;$C411,生产方式定位!$A$2:$E$38,3,FALSE)+VLOOKUP($E411&amp;$C411,生产方式定位!$F$3:$J$38,3,FALSE),0)</f>
        <v>30</v>
      </c>
      <c r="X411" s="16">
        <f>IFERROR(VLOOKUP($D411&amp;$C411,生产方式定位!$A$2:$E$38,5,FALSE)+VLOOKUP($E411&amp;$C411,生产方式定位!$F$3:$J$38,5,FALSE),"错误")</f>
        <v>0</v>
      </c>
      <c r="Y411" s="26" t="str">
        <f t="shared" si="128"/>
        <v>科学引擎*1,煤*3</v>
      </c>
      <c r="Z411" s="36" t="str">
        <f t="shared" si="129"/>
        <v/>
      </c>
      <c r="AA411" s="36" t="str">
        <f t="shared" si="130"/>
        <v/>
      </c>
      <c r="AB411" s="27" t="str">
        <f t="shared" si="131"/>
        <v>-100%</v>
      </c>
      <c r="AC411" s="2">
        <f t="shared" si="132"/>
        <v>-180</v>
      </c>
      <c r="AD411" s="38">
        <f t="shared" si="133"/>
        <v>4</v>
      </c>
      <c r="AE411" t="str">
        <f t="shared" si="134"/>
        <v>科学引擎*1</v>
      </c>
      <c r="AF411" t="str">
        <f t="shared" si="135"/>
        <v>煤*3</v>
      </c>
      <c r="AG411" t="str">
        <f t="shared" si="136"/>
        <v/>
      </c>
      <c r="AH411" t="str">
        <f t="shared" si="137"/>
        <v/>
      </c>
      <c r="AI411" t="str">
        <f t="shared" si="138"/>
        <v/>
      </c>
      <c r="AJ411" t="str">
        <f t="shared" si="139"/>
        <v/>
      </c>
      <c r="AK411" t="str">
        <f t="shared" si="140"/>
        <v/>
      </c>
      <c r="AL411">
        <f>IFERROR(ROUND(L411*(G411/$AU411)/VLOOKUP(F411,商品!$A$4:$B$60,2,FALSE),0),"")</f>
        <v>1</v>
      </c>
      <c r="AM411">
        <f>IFERROR(ROUND(L411*(I411/$AU411)/VLOOKUP(H411,商品!$A$4:$B$60,2,FALSE),0),"")</f>
        <v>3</v>
      </c>
      <c r="AN411">
        <f>IFERROR(ROUND(L411*(J411/$AU411)/VLOOKUP("运力",商品!$A$4:$B$60,2,FALSE),0),0)</f>
        <v>0</v>
      </c>
      <c r="AO411">
        <f>IFERROR(ROUND(L411*(K411/$AU411)/VLOOKUP("交易",商品!$A$4:$B$60,2,FALSE),0),0)</f>
        <v>0</v>
      </c>
      <c r="AP411" t="str">
        <f>IFERROR(ROUND(S411*(N411/$AV411)/VLOOKUP(M411,职业!$A$4:$G$16,4,FALSE),0),"")</f>
        <v/>
      </c>
      <c r="AQ411" t="str">
        <f>IFERROR(ROUND(S411*(P411/$AV411)/VLOOKUP(O411,职业!$A$4:$G$16,4,FALSE),0),"")</f>
        <v/>
      </c>
      <c r="AR411" t="str">
        <f>IFERROR(ROUND(S411*(R411/$AV411)/VLOOKUP(Q411,职业!$A$4:$G$16,4,FALSE),0),"")</f>
        <v/>
      </c>
      <c r="AS411" t="str">
        <f>IFERROR(ROUND(X411*(U411/$AW411)/VLOOKUP(T411,商品!$A$4:$B$60,2,FALSE),0),"")</f>
        <v/>
      </c>
      <c r="AT411" t="str">
        <f>IFERROR(ROUND(X411*(W411/$AW411)/VLOOKUP(V411,商品!$A$4:$B$60,2,FALSE),0),"")</f>
        <v/>
      </c>
      <c r="AU411">
        <f t="shared" si="141"/>
        <v>15</v>
      </c>
      <c r="AV411">
        <f t="shared" si="142"/>
        <v>0</v>
      </c>
      <c r="AW411">
        <f t="shared" si="143"/>
        <v>0</v>
      </c>
    </row>
    <row r="412" spans="1:49" ht="19.95" customHeight="1" x14ac:dyDescent="0.25">
      <c r="A412" s="16" t="s">
        <v>521</v>
      </c>
      <c r="C412" s="16">
        <v>5</v>
      </c>
      <c r="D412" s="23" t="s">
        <v>174</v>
      </c>
      <c r="E412" s="23" t="s">
        <v>175</v>
      </c>
      <c r="F412" s="2" t="s">
        <v>46</v>
      </c>
      <c r="G412" s="2">
        <v>5</v>
      </c>
      <c r="H412" s="2" t="s">
        <v>19</v>
      </c>
      <c r="I412" s="2">
        <v>10</v>
      </c>
      <c r="L412" s="16">
        <f>IFERROR(VLOOKUP($D412&amp;$C412,生产方式定位!$A$2:$E$38,2,FALSE)+VLOOKUP($E412&amp;$C412,生产方式定位!$F$3:$J$38,2,FALSE),0)</f>
        <v>200</v>
      </c>
      <c r="S412" s="16">
        <f>IFERROR(VLOOKUP($D412&amp;$C412,生产方式定位!$A$2:$E$38,3,FALSE)+VLOOKUP($E412&amp;$C412,生产方式定位!$F$3:$J$38,3,FALSE),0)</f>
        <v>40</v>
      </c>
      <c r="X412" s="16">
        <f>IFERROR(VLOOKUP($D412&amp;$C412,生产方式定位!$A$2:$E$38,5,FALSE)+VLOOKUP($E412&amp;$C412,生产方式定位!$F$3:$J$38,5,FALSE),"错误")</f>
        <v>0</v>
      </c>
      <c r="Y412" s="26" t="str">
        <f t="shared" si="128"/>
        <v>魔导引擎*1,煤*4</v>
      </c>
      <c r="Z412" s="36" t="str">
        <f t="shared" si="129"/>
        <v/>
      </c>
      <c r="AA412" s="36" t="str">
        <f t="shared" si="130"/>
        <v/>
      </c>
      <c r="AB412" s="27" t="str">
        <f t="shared" si="131"/>
        <v>-100%</v>
      </c>
      <c r="AC412" s="2">
        <f t="shared" si="132"/>
        <v>-240</v>
      </c>
      <c r="AD412" s="38">
        <f t="shared" si="133"/>
        <v>5</v>
      </c>
      <c r="AE412" t="str">
        <f t="shared" si="134"/>
        <v>魔导引擎*1</v>
      </c>
      <c r="AF412" t="str">
        <f t="shared" si="135"/>
        <v>煤*4</v>
      </c>
      <c r="AG412" t="str">
        <f t="shared" si="136"/>
        <v/>
      </c>
      <c r="AH412" t="str">
        <f t="shared" si="137"/>
        <v/>
      </c>
      <c r="AI412" t="str">
        <f t="shared" si="138"/>
        <v/>
      </c>
      <c r="AJ412" t="str">
        <f t="shared" si="139"/>
        <v/>
      </c>
      <c r="AK412" t="str">
        <f t="shared" si="140"/>
        <v/>
      </c>
      <c r="AL412">
        <f>IFERROR(ROUND(L412*(G412/$AU412)/VLOOKUP(F412,商品!$A$4:$B$60,2,FALSE),0),"")</f>
        <v>1</v>
      </c>
      <c r="AM412">
        <f>IFERROR(ROUND(L412*(I412/$AU412)/VLOOKUP(H412,商品!$A$4:$B$60,2,FALSE),0),"")</f>
        <v>4</v>
      </c>
      <c r="AN412">
        <f>IFERROR(ROUND(L412*(J412/$AU412)/VLOOKUP("运力",商品!$A$4:$B$60,2,FALSE),0),0)</f>
        <v>0</v>
      </c>
      <c r="AO412">
        <f>IFERROR(ROUND(L412*(K412/$AU412)/VLOOKUP("交易",商品!$A$4:$B$60,2,FALSE),0),0)</f>
        <v>0</v>
      </c>
      <c r="AP412" t="str">
        <f>IFERROR(ROUND(S412*(N412/$AV412)/VLOOKUP(M412,职业!$A$4:$G$16,4,FALSE),0),"")</f>
        <v/>
      </c>
      <c r="AQ412" t="str">
        <f>IFERROR(ROUND(S412*(P412/$AV412)/VLOOKUP(O412,职业!$A$4:$G$16,4,FALSE),0),"")</f>
        <v/>
      </c>
      <c r="AR412" t="str">
        <f>IFERROR(ROUND(S412*(R412/$AV412)/VLOOKUP(Q412,职业!$A$4:$G$16,4,FALSE),0),"")</f>
        <v/>
      </c>
      <c r="AS412" t="str">
        <f>IFERROR(ROUND(X412*(U412/$AW412)/VLOOKUP(T412,商品!$A$4:$B$60,2,FALSE),0),"")</f>
        <v/>
      </c>
      <c r="AT412" t="str">
        <f>IFERROR(ROUND(X412*(W412/$AW412)/VLOOKUP(V412,商品!$A$4:$B$60,2,FALSE),0),"")</f>
        <v/>
      </c>
      <c r="AU412">
        <f t="shared" si="141"/>
        <v>15</v>
      </c>
      <c r="AV412">
        <f t="shared" si="142"/>
        <v>0</v>
      </c>
      <c r="AW412">
        <f t="shared" si="143"/>
        <v>0</v>
      </c>
    </row>
    <row r="413" spans="1:49" ht="19.95" customHeight="1" x14ac:dyDescent="0.25">
      <c r="A413" s="15" t="s">
        <v>521</v>
      </c>
      <c r="C413" s="15">
        <v>1</v>
      </c>
      <c r="D413" s="23" t="s">
        <v>174</v>
      </c>
      <c r="E413" s="23" t="s">
        <v>177</v>
      </c>
      <c r="L413" s="15">
        <f>IFERROR(VLOOKUP($D413&amp;$C413,生产方式定位!$A$2:$E$38,2,FALSE)+VLOOKUP($E413&amp;$C413,生产方式定位!$F$3:$J$38,2,FALSE),0)</f>
        <v>0</v>
      </c>
      <c r="S413" s="15">
        <f>IFERROR(VLOOKUP($D413&amp;$C413,生产方式定位!$A$2:$E$38,3,FALSE)+VLOOKUP($E413&amp;$C413,生产方式定位!$F$3:$J$38,3,FALSE),0)</f>
        <v>0</v>
      </c>
      <c r="X413" s="15">
        <f>IFERROR(VLOOKUP($D413&amp;$C413,生产方式定位!$A$2:$E$38,5,FALSE)+VLOOKUP($E413&amp;$C413,生产方式定位!$F$3:$J$38,5,FALSE),"错误")</f>
        <v>0</v>
      </c>
      <c r="Y413" s="26" t="str">
        <f t="shared" si="128"/>
        <v/>
      </c>
      <c r="Z413" s="36" t="str">
        <f t="shared" si="129"/>
        <v/>
      </c>
      <c r="AA413" s="36" t="str">
        <f t="shared" si="130"/>
        <v/>
      </c>
      <c r="AB413" s="27" t="str">
        <f t="shared" si="131"/>
        <v/>
      </c>
      <c r="AC413" s="2" t="str">
        <f t="shared" si="132"/>
        <v/>
      </c>
      <c r="AD413" s="37">
        <f t="shared" si="133"/>
        <v>1</v>
      </c>
      <c r="AE413" t="str">
        <f t="shared" si="134"/>
        <v/>
      </c>
      <c r="AF413" t="str">
        <f t="shared" si="135"/>
        <v/>
      </c>
      <c r="AG413" t="str">
        <f t="shared" si="136"/>
        <v/>
      </c>
      <c r="AH413" t="str">
        <f t="shared" si="137"/>
        <v/>
      </c>
      <c r="AI413" t="str">
        <f t="shared" si="138"/>
        <v/>
      </c>
      <c r="AJ413" t="str">
        <f t="shared" si="139"/>
        <v/>
      </c>
      <c r="AK413" t="str">
        <f t="shared" si="140"/>
        <v/>
      </c>
      <c r="AL413" t="str">
        <f>IFERROR(ROUND(L413*(G413/$AU413)/VLOOKUP(F413,商品!$A$4:$B$60,2,FALSE),0),"")</f>
        <v/>
      </c>
      <c r="AM413" t="str">
        <f>IFERROR(ROUND(L413*(I413/$AU413)/VLOOKUP(H413,商品!$A$4:$B$60,2,FALSE),0),"")</f>
        <v/>
      </c>
      <c r="AN413">
        <f>IFERROR(ROUND(L413*(J413/$AU413)/VLOOKUP("运力",商品!$A$4:$B$60,2,FALSE),0),0)</f>
        <v>0</v>
      </c>
      <c r="AO413">
        <f>IFERROR(ROUND(L413*(K413/$AU413)/VLOOKUP("交易",商品!$A$4:$B$60,2,FALSE),0),0)</f>
        <v>0</v>
      </c>
      <c r="AP413" t="str">
        <f>IFERROR(ROUND(S413*(N413/$AV413)/VLOOKUP(M413,职业!$A$4:$G$16,4,FALSE),0),"")</f>
        <v/>
      </c>
      <c r="AQ413" t="str">
        <f>IFERROR(ROUND(S413*(P413/$AV413)/VLOOKUP(O413,职业!$A$4:$G$16,4,FALSE),0),"")</f>
        <v/>
      </c>
      <c r="AR413" t="str">
        <f>IFERROR(ROUND(S413*(R413/$AV413)/VLOOKUP(Q413,职业!$A$4:$G$16,4,FALSE),0),"")</f>
        <v/>
      </c>
      <c r="AS413" t="str">
        <f>IFERROR(ROUND(X413*(U413/$AW413)/VLOOKUP(T413,商品!$A$4:$B$60,2,FALSE),0),"")</f>
        <v/>
      </c>
      <c r="AT413" t="str">
        <f>IFERROR(ROUND(X413*(W413/$AW413)/VLOOKUP(V413,商品!$A$4:$B$60,2,FALSE),0),"")</f>
        <v/>
      </c>
      <c r="AU413">
        <f t="shared" si="141"/>
        <v>0</v>
      </c>
      <c r="AV413">
        <f t="shared" si="142"/>
        <v>0</v>
      </c>
      <c r="AW413">
        <f t="shared" si="143"/>
        <v>0</v>
      </c>
    </row>
    <row r="414" spans="1:49" ht="19.95" customHeight="1" x14ac:dyDescent="0.25">
      <c r="A414" s="15" t="s">
        <v>521</v>
      </c>
      <c r="C414" s="15">
        <v>2</v>
      </c>
      <c r="D414" s="23" t="s">
        <v>174</v>
      </c>
      <c r="E414" s="23" t="s">
        <v>177</v>
      </c>
      <c r="F414" s="2" t="s">
        <v>42</v>
      </c>
      <c r="G414" s="2">
        <v>5</v>
      </c>
      <c r="H414" s="2" t="s">
        <v>20</v>
      </c>
      <c r="I414" s="2">
        <v>10</v>
      </c>
      <c r="L414" s="15">
        <f>IFERROR(VLOOKUP($D414&amp;$C414,生产方式定位!$A$2:$E$38,2,FALSE)+VLOOKUP($E414&amp;$C414,生产方式定位!$F$3:$J$38,2,FALSE),0)</f>
        <v>105</v>
      </c>
      <c r="S414" s="15">
        <f>IFERROR(VLOOKUP($D414&amp;$C414,生产方式定位!$A$2:$E$38,3,FALSE)+VLOOKUP($E414&amp;$C414,生产方式定位!$F$3:$J$38,3,FALSE),0)</f>
        <v>15</v>
      </c>
      <c r="X414" s="15">
        <f>IFERROR(VLOOKUP($D414&amp;$C414,生产方式定位!$A$2:$E$38,5,FALSE)+VLOOKUP($E414&amp;$C414,生产方式定位!$F$3:$J$38,5,FALSE),"错误")</f>
        <v>0</v>
      </c>
      <c r="Y414" s="26" t="str">
        <f t="shared" si="128"/>
        <v>魔偶*1,灵能水晶*2</v>
      </c>
      <c r="Z414" s="36" t="str">
        <f t="shared" si="129"/>
        <v/>
      </c>
      <c r="AA414" s="36" t="str">
        <f t="shared" si="130"/>
        <v/>
      </c>
      <c r="AB414" s="27" t="str">
        <f t="shared" si="131"/>
        <v>-100%</v>
      </c>
      <c r="AC414" s="2">
        <f t="shared" si="132"/>
        <v>-120</v>
      </c>
      <c r="AD414" s="37">
        <f t="shared" si="133"/>
        <v>2</v>
      </c>
      <c r="AE414" t="str">
        <f t="shared" si="134"/>
        <v>魔偶*1</v>
      </c>
      <c r="AF414" t="str">
        <f t="shared" si="135"/>
        <v>灵能水晶*2</v>
      </c>
      <c r="AG414" t="str">
        <f t="shared" si="136"/>
        <v/>
      </c>
      <c r="AH414" t="str">
        <f t="shared" si="137"/>
        <v/>
      </c>
      <c r="AI414" t="str">
        <f t="shared" si="138"/>
        <v/>
      </c>
      <c r="AJ414" t="str">
        <f t="shared" si="139"/>
        <v/>
      </c>
      <c r="AK414" t="str">
        <f t="shared" si="140"/>
        <v/>
      </c>
      <c r="AL414">
        <f>IFERROR(ROUND(L414*(G414/$AU414)/VLOOKUP(F414,商品!$A$4:$B$60,2,FALSE),0),"")</f>
        <v>1</v>
      </c>
      <c r="AM414">
        <f>IFERROR(ROUND(L414*(I414/$AU414)/VLOOKUP(H414,商品!$A$4:$B$60,2,FALSE),0),"")</f>
        <v>2</v>
      </c>
      <c r="AN414">
        <f>IFERROR(ROUND(L414*(J414/$AU414)/VLOOKUP("运力",商品!$A$4:$B$60,2,FALSE),0),0)</f>
        <v>0</v>
      </c>
      <c r="AO414">
        <f>IFERROR(ROUND(L414*(K414/$AU414)/VLOOKUP("交易",商品!$A$4:$B$60,2,FALSE),0),0)</f>
        <v>0</v>
      </c>
      <c r="AP414" t="str">
        <f>IFERROR(ROUND(S414*(N414/$AV414)/VLOOKUP(M414,职业!$A$4:$G$16,4,FALSE),0),"")</f>
        <v/>
      </c>
      <c r="AQ414" t="str">
        <f>IFERROR(ROUND(S414*(P414/$AV414)/VLOOKUP(O414,职业!$A$4:$G$16,4,FALSE),0),"")</f>
        <v/>
      </c>
      <c r="AR414" t="str">
        <f>IFERROR(ROUND(S414*(R414/$AV414)/VLOOKUP(Q414,职业!$A$4:$G$16,4,FALSE),0),"")</f>
        <v/>
      </c>
      <c r="AS414" t="str">
        <f>IFERROR(ROUND(X414*(U414/$AW414)/VLOOKUP(T414,商品!$A$4:$B$60,2,FALSE),0),"")</f>
        <v/>
      </c>
      <c r="AT414" t="str">
        <f>IFERROR(ROUND(X414*(W414/$AW414)/VLOOKUP(V414,商品!$A$4:$B$60,2,FALSE),0),"")</f>
        <v/>
      </c>
      <c r="AU414">
        <f t="shared" si="141"/>
        <v>15</v>
      </c>
      <c r="AV414">
        <f t="shared" si="142"/>
        <v>0</v>
      </c>
      <c r="AW414">
        <f t="shared" si="143"/>
        <v>0</v>
      </c>
    </row>
    <row r="415" spans="1:49" ht="19.95" customHeight="1" x14ac:dyDescent="0.25">
      <c r="A415" s="15" t="s">
        <v>521</v>
      </c>
      <c r="C415" s="15">
        <v>3</v>
      </c>
      <c r="D415" s="23" t="s">
        <v>174</v>
      </c>
      <c r="E415" s="23" t="s">
        <v>177</v>
      </c>
      <c r="F415" s="2" t="s">
        <v>42</v>
      </c>
      <c r="G415" s="2">
        <v>5</v>
      </c>
      <c r="H415" s="2" t="s">
        <v>20</v>
      </c>
      <c r="I415" s="2">
        <v>10</v>
      </c>
      <c r="L415" s="15">
        <f>IFERROR(VLOOKUP($D415&amp;$C415,生产方式定位!$A$2:$E$38,2,FALSE)+VLOOKUP($E415&amp;$C415,生产方式定位!$F$3:$J$38,2,FALSE),0)</f>
        <v>210</v>
      </c>
      <c r="S415" s="15">
        <f>IFERROR(VLOOKUP($D415&amp;$C415,生产方式定位!$A$2:$E$38,3,FALSE)+VLOOKUP($E415&amp;$C415,生产方式定位!$F$3:$J$38,3,FALSE),0)</f>
        <v>30</v>
      </c>
      <c r="X415" s="15">
        <f>IFERROR(VLOOKUP($D415&amp;$C415,生产方式定位!$A$2:$E$38,5,FALSE)+VLOOKUP($E415&amp;$C415,生产方式定位!$F$3:$J$38,5,FALSE),"错误")</f>
        <v>0</v>
      </c>
      <c r="Y415" s="26" t="str">
        <f t="shared" si="128"/>
        <v>魔偶*2,灵能水晶*5</v>
      </c>
      <c r="Z415" s="36" t="str">
        <f t="shared" si="129"/>
        <v/>
      </c>
      <c r="AA415" s="36" t="str">
        <f t="shared" si="130"/>
        <v/>
      </c>
      <c r="AB415" s="27" t="str">
        <f t="shared" si="131"/>
        <v>-100%</v>
      </c>
      <c r="AC415" s="2">
        <f t="shared" si="132"/>
        <v>-240</v>
      </c>
      <c r="AD415" s="37">
        <f t="shared" si="133"/>
        <v>3</v>
      </c>
      <c r="AE415" t="str">
        <f t="shared" si="134"/>
        <v>魔偶*2</v>
      </c>
      <c r="AF415" t="str">
        <f t="shared" si="135"/>
        <v>灵能水晶*5</v>
      </c>
      <c r="AG415" t="str">
        <f t="shared" si="136"/>
        <v/>
      </c>
      <c r="AH415" t="str">
        <f t="shared" si="137"/>
        <v/>
      </c>
      <c r="AI415" t="str">
        <f t="shared" si="138"/>
        <v/>
      </c>
      <c r="AJ415" t="str">
        <f t="shared" si="139"/>
        <v/>
      </c>
      <c r="AK415" t="str">
        <f t="shared" si="140"/>
        <v/>
      </c>
      <c r="AL415">
        <f>IFERROR(ROUND(L415*(G415/$AU415)/VLOOKUP(F415,商品!$A$4:$B$60,2,FALSE),0),"")</f>
        <v>2</v>
      </c>
      <c r="AM415">
        <f>IFERROR(ROUND(L415*(I415/$AU415)/VLOOKUP(H415,商品!$A$4:$B$60,2,FALSE),0),"")</f>
        <v>5</v>
      </c>
      <c r="AN415">
        <f>IFERROR(ROUND(L415*(J415/$AU415)/VLOOKUP("运力",商品!$A$4:$B$60,2,FALSE),0),0)</f>
        <v>0</v>
      </c>
      <c r="AO415">
        <f>IFERROR(ROUND(L415*(K415/$AU415)/VLOOKUP("交易",商品!$A$4:$B$60,2,FALSE),0),0)</f>
        <v>0</v>
      </c>
      <c r="AP415" t="str">
        <f>IFERROR(ROUND(S415*(N415/$AV415)/VLOOKUP(M415,职业!$A$4:$G$16,4,FALSE),0),"")</f>
        <v/>
      </c>
      <c r="AQ415" t="str">
        <f>IFERROR(ROUND(S415*(P415/$AV415)/VLOOKUP(O415,职业!$A$4:$G$16,4,FALSE),0),"")</f>
        <v/>
      </c>
      <c r="AR415" t="str">
        <f>IFERROR(ROUND(S415*(R415/$AV415)/VLOOKUP(Q415,职业!$A$4:$G$16,4,FALSE),0),"")</f>
        <v/>
      </c>
      <c r="AS415" t="str">
        <f>IFERROR(ROUND(X415*(U415/$AW415)/VLOOKUP(T415,商品!$A$4:$B$60,2,FALSE),0),"")</f>
        <v/>
      </c>
      <c r="AT415" t="str">
        <f>IFERROR(ROUND(X415*(W415/$AW415)/VLOOKUP(V415,商品!$A$4:$B$60,2,FALSE),0),"")</f>
        <v/>
      </c>
      <c r="AU415">
        <f t="shared" si="141"/>
        <v>15</v>
      </c>
      <c r="AV415">
        <f t="shared" si="142"/>
        <v>0</v>
      </c>
      <c r="AW415">
        <f t="shared" si="143"/>
        <v>0</v>
      </c>
    </row>
    <row r="416" spans="1:49" ht="19.95" customHeight="1" x14ac:dyDescent="0.25">
      <c r="A416" s="15" t="s">
        <v>521</v>
      </c>
      <c r="C416" s="15">
        <v>4</v>
      </c>
      <c r="D416" s="23" t="s">
        <v>174</v>
      </c>
      <c r="E416" s="23" t="s">
        <v>177</v>
      </c>
      <c r="F416" s="2" t="s">
        <v>42</v>
      </c>
      <c r="G416" s="2">
        <v>5</v>
      </c>
      <c r="H416" s="2" t="s">
        <v>20</v>
      </c>
      <c r="I416" s="2">
        <v>10</v>
      </c>
      <c r="L416" s="15">
        <f>IFERROR(VLOOKUP($D416&amp;$C416,生产方式定位!$A$2:$E$38,2,FALSE)+VLOOKUP($E416&amp;$C416,生产方式定位!$F$3:$J$38,2,FALSE),0)</f>
        <v>315</v>
      </c>
      <c r="S416" s="15">
        <f>IFERROR(VLOOKUP($D416&amp;$C416,生产方式定位!$A$2:$E$38,3,FALSE)+VLOOKUP($E416&amp;$C416,生产方式定位!$F$3:$J$38,3,FALSE),0)</f>
        <v>45</v>
      </c>
      <c r="X416" s="15">
        <f>IFERROR(VLOOKUP($D416&amp;$C416,生产方式定位!$A$2:$E$38,5,FALSE)+VLOOKUP($E416&amp;$C416,生产方式定位!$F$3:$J$38,5,FALSE),"错误")</f>
        <v>0</v>
      </c>
      <c r="Y416" s="26" t="str">
        <f t="shared" si="128"/>
        <v>魔偶*3,灵能水晶*7</v>
      </c>
      <c r="Z416" s="36" t="str">
        <f t="shared" si="129"/>
        <v/>
      </c>
      <c r="AA416" s="36" t="str">
        <f t="shared" si="130"/>
        <v/>
      </c>
      <c r="AB416" s="27" t="str">
        <f t="shared" si="131"/>
        <v>-100%</v>
      </c>
      <c r="AC416" s="2">
        <f t="shared" si="132"/>
        <v>-360</v>
      </c>
      <c r="AD416" s="37">
        <f t="shared" si="133"/>
        <v>4</v>
      </c>
      <c r="AE416" t="str">
        <f t="shared" si="134"/>
        <v>魔偶*3</v>
      </c>
      <c r="AF416" t="str">
        <f t="shared" si="135"/>
        <v>灵能水晶*7</v>
      </c>
      <c r="AG416" t="str">
        <f t="shared" si="136"/>
        <v/>
      </c>
      <c r="AH416" t="str">
        <f t="shared" si="137"/>
        <v/>
      </c>
      <c r="AI416" t="str">
        <f t="shared" si="138"/>
        <v/>
      </c>
      <c r="AJ416" t="str">
        <f t="shared" si="139"/>
        <v/>
      </c>
      <c r="AK416" t="str">
        <f t="shared" si="140"/>
        <v/>
      </c>
      <c r="AL416">
        <f>IFERROR(ROUND(L416*(G416/$AU416)/VLOOKUP(F416,商品!$A$4:$B$60,2,FALSE),0),"")</f>
        <v>3</v>
      </c>
      <c r="AM416">
        <f>IFERROR(ROUND(L416*(I416/$AU416)/VLOOKUP(H416,商品!$A$4:$B$60,2,FALSE),0),"")</f>
        <v>7</v>
      </c>
      <c r="AN416">
        <f>IFERROR(ROUND(L416*(J416/$AU416)/VLOOKUP("运力",商品!$A$4:$B$60,2,FALSE),0),0)</f>
        <v>0</v>
      </c>
      <c r="AO416">
        <f>IFERROR(ROUND(L416*(K416/$AU416)/VLOOKUP("交易",商品!$A$4:$B$60,2,FALSE),0),0)</f>
        <v>0</v>
      </c>
      <c r="AP416" t="str">
        <f>IFERROR(ROUND(S416*(N416/$AV416)/VLOOKUP(M416,职业!$A$4:$G$16,4,FALSE),0),"")</f>
        <v/>
      </c>
      <c r="AQ416" t="str">
        <f>IFERROR(ROUND(S416*(P416/$AV416)/VLOOKUP(O416,职业!$A$4:$G$16,4,FALSE),0),"")</f>
        <v/>
      </c>
      <c r="AR416" t="str">
        <f>IFERROR(ROUND(S416*(R416/$AV416)/VLOOKUP(Q416,职业!$A$4:$G$16,4,FALSE),0),"")</f>
        <v/>
      </c>
      <c r="AS416" t="str">
        <f>IFERROR(ROUND(X416*(U416/$AW416)/VLOOKUP(T416,商品!$A$4:$B$60,2,FALSE),0),"")</f>
        <v/>
      </c>
      <c r="AT416" t="str">
        <f>IFERROR(ROUND(X416*(W416/$AW416)/VLOOKUP(V416,商品!$A$4:$B$60,2,FALSE),0),"")</f>
        <v/>
      </c>
      <c r="AU416">
        <f t="shared" si="141"/>
        <v>15</v>
      </c>
      <c r="AV416">
        <f t="shared" si="142"/>
        <v>0</v>
      </c>
      <c r="AW416">
        <f t="shared" si="143"/>
        <v>0</v>
      </c>
    </row>
    <row r="417" spans="1:49" ht="19.95" customHeight="1" x14ac:dyDescent="0.25">
      <c r="A417" s="15" t="s">
        <v>521</v>
      </c>
      <c r="C417" s="15">
        <v>5</v>
      </c>
      <c r="D417" s="23" t="s">
        <v>174</v>
      </c>
      <c r="E417" s="23" t="s">
        <v>177</v>
      </c>
      <c r="F417" s="2" t="s">
        <v>42</v>
      </c>
      <c r="G417" s="2">
        <v>5</v>
      </c>
      <c r="H417" s="2" t="s">
        <v>20</v>
      </c>
      <c r="I417" s="2">
        <v>10</v>
      </c>
      <c r="L417" s="15">
        <f>IFERROR(VLOOKUP($D417&amp;$C417,生产方式定位!$A$2:$E$38,2,FALSE)+VLOOKUP($E417&amp;$C417,生产方式定位!$F$3:$J$38,2,FALSE),0)</f>
        <v>420</v>
      </c>
      <c r="S417" s="15">
        <f>IFERROR(VLOOKUP($D417&amp;$C417,生产方式定位!$A$2:$E$38,3,FALSE)+VLOOKUP($E417&amp;$C417,生产方式定位!$F$3:$J$38,3,FALSE),0)</f>
        <v>60</v>
      </c>
      <c r="X417" s="15">
        <f>IFERROR(VLOOKUP($D417&amp;$C417,生产方式定位!$A$2:$E$38,5,FALSE)+VLOOKUP($E417&amp;$C417,生产方式定位!$F$3:$J$38,5,FALSE),"错误")</f>
        <v>0</v>
      </c>
      <c r="Y417" s="26" t="str">
        <f t="shared" si="128"/>
        <v>魔偶*4,灵能水晶*9</v>
      </c>
      <c r="Z417" s="36" t="str">
        <f t="shared" si="129"/>
        <v/>
      </c>
      <c r="AA417" s="36" t="str">
        <f t="shared" si="130"/>
        <v/>
      </c>
      <c r="AB417" s="27" t="str">
        <f t="shared" si="131"/>
        <v>-100%</v>
      </c>
      <c r="AC417" s="2">
        <f t="shared" si="132"/>
        <v>-480</v>
      </c>
      <c r="AD417" s="37">
        <f t="shared" si="133"/>
        <v>5</v>
      </c>
      <c r="AE417" t="str">
        <f t="shared" si="134"/>
        <v>魔偶*4</v>
      </c>
      <c r="AF417" t="str">
        <f t="shared" si="135"/>
        <v>灵能水晶*9</v>
      </c>
      <c r="AG417" t="str">
        <f t="shared" si="136"/>
        <v/>
      </c>
      <c r="AH417" t="str">
        <f t="shared" si="137"/>
        <v/>
      </c>
      <c r="AI417" t="str">
        <f t="shared" si="138"/>
        <v/>
      </c>
      <c r="AJ417" t="str">
        <f t="shared" si="139"/>
        <v/>
      </c>
      <c r="AK417" t="str">
        <f t="shared" si="140"/>
        <v/>
      </c>
      <c r="AL417">
        <f>IFERROR(ROUND(L417*(G417/$AU417)/VLOOKUP(F417,商品!$A$4:$B$60,2,FALSE),0),"")</f>
        <v>4</v>
      </c>
      <c r="AM417">
        <f>IFERROR(ROUND(L417*(I417/$AU417)/VLOOKUP(H417,商品!$A$4:$B$60,2,FALSE),0),"")</f>
        <v>9</v>
      </c>
      <c r="AN417">
        <f>IFERROR(ROUND(L417*(J417/$AU417)/VLOOKUP("运力",商品!$A$4:$B$60,2,FALSE),0),0)</f>
        <v>0</v>
      </c>
      <c r="AO417">
        <f>IFERROR(ROUND(L417*(K417/$AU417)/VLOOKUP("交易",商品!$A$4:$B$60,2,FALSE),0),0)</f>
        <v>0</v>
      </c>
      <c r="AP417" t="str">
        <f>IFERROR(ROUND(S417*(N417/$AV417)/VLOOKUP(M417,职业!$A$4:$G$16,4,FALSE),0),"")</f>
        <v/>
      </c>
      <c r="AQ417" t="str">
        <f>IFERROR(ROUND(S417*(P417/$AV417)/VLOOKUP(O417,职业!$A$4:$G$16,4,FALSE),0),"")</f>
        <v/>
      </c>
      <c r="AR417" t="str">
        <f>IFERROR(ROUND(S417*(R417/$AV417)/VLOOKUP(Q417,职业!$A$4:$G$16,4,FALSE),0),"")</f>
        <v/>
      </c>
      <c r="AS417" t="str">
        <f>IFERROR(ROUND(X417*(U417/$AW417)/VLOOKUP(T417,商品!$A$4:$B$60,2,FALSE),0),"")</f>
        <v/>
      </c>
      <c r="AT417" t="str">
        <f>IFERROR(ROUND(X417*(W417/$AW417)/VLOOKUP(V417,商品!$A$4:$B$60,2,FALSE),0),"")</f>
        <v/>
      </c>
      <c r="AU417">
        <f t="shared" si="141"/>
        <v>15</v>
      </c>
      <c r="AV417">
        <f t="shared" si="142"/>
        <v>0</v>
      </c>
      <c r="AW417">
        <f t="shared" si="143"/>
        <v>0</v>
      </c>
    </row>
    <row r="418" spans="1:49" ht="19.95" customHeight="1" x14ac:dyDescent="0.25">
      <c r="A418" s="16" t="s">
        <v>267</v>
      </c>
      <c r="C418" s="16">
        <v>1</v>
      </c>
      <c r="D418" s="23" t="s">
        <v>174</v>
      </c>
      <c r="E418" s="23" t="s">
        <v>179</v>
      </c>
      <c r="L418" s="16">
        <f>IFERROR(VLOOKUP($D418&amp;$C418,生产方式定位!$A$2:$E$38,2,FALSE)+VLOOKUP($E418&amp;$C418,生产方式定位!$F$3:$J$38,2,FALSE),0)</f>
        <v>0</v>
      </c>
      <c r="S418" s="16">
        <f>IFERROR(VLOOKUP($D418&amp;$C418,生产方式定位!$A$2:$E$38,3,FALSE)+VLOOKUP($E418&amp;$C418,生产方式定位!$F$3:$J$38,3,FALSE),0)</f>
        <v>100</v>
      </c>
      <c r="X418" s="16">
        <f>IFERROR(VLOOKUP($D418&amp;$C418,生产方式定位!$A$2:$E$38,5,FALSE)+VLOOKUP($E418&amp;$C418,生产方式定位!$F$3:$J$38,5,FALSE),"错误")</f>
        <v>100</v>
      </c>
      <c r="Y418" s="26" t="str">
        <f t="shared" si="128"/>
        <v/>
      </c>
      <c r="Z418" s="36" t="str">
        <f t="shared" si="129"/>
        <v/>
      </c>
      <c r="AA418" s="36" t="str">
        <f t="shared" si="130"/>
        <v/>
      </c>
      <c r="AB418" s="27" t="str">
        <f t="shared" si="131"/>
        <v/>
      </c>
      <c r="AC418" s="2" t="str">
        <f t="shared" si="132"/>
        <v/>
      </c>
      <c r="AD418" s="38">
        <f t="shared" si="133"/>
        <v>1</v>
      </c>
      <c r="AE418" t="str">
        <f t="shared" si="134"/>
        <v/>
      </c>
      <c r="AF418" t="str">
        <f t="shared" si="135"/>
        <v/>
      </c>
      <c r="AG418" t="str">
        <f t="shared" si="136"/>
        <v/>
      </c>
      <c r="AH418" t="str">
        <f t="shared" si="137"/>
        <v/>
      </c>
      <c r="AI418" t="str">
        <f t="shared" si="138"/>
        <v/>
      </c>
      <c r="AJ418" t="str">
        <f t="shared" si="139"/>
        <v/>
      </c>
      <c r="AK418" t="str">
        <f t="shared" si="140"/>
        <v/>
      </c>
      <c r="AL418" t="str">
        <f>IFERROR(ROUND(L418*(G418/$AU418)/VLOOKUP(F418,商品!$A$4:$B$60,2,FALSE),0),"")</f>
        <v/>
      </c>
      <c r="AM418" t="str">
        <f>IFERROR(ROUND(L418*(I418/$AU418)/VLOOKUP(H418,商品!$A$4:$B$60,2,FALSE),0),"")</f>
        <v/>
      </c>
      <c r="AN418">
        <f>IFERROR(ROUND(L418*(J418/$AU418)/VLOOKUP("运力",商品!$A$4:$B$60,2,FALSE),0),0)</f>
        <v>0</v>
      </c>
      <c r="AO418">
        <f>IFERROR(ROUND(L418*(K418/$AU418)/VLOOKUP("交易",商品!$A$4:$B$60,2,FALSE),0),0)</f>
        <v>0</v>
      </c>
      <c r="AP418" t="str">
        <f>IFERROR(ROUND(S418*(N418/$AV418)/VLOOKUP(M418,职业!$A$4:$G$16,4,FALSE),0),"")</f>
        <v/>
      </c>
      <c r="AQ418" t="str">
        <f>IFERROR(ROUND(S418*(P418/$AV418)/VLOOKUP(O418,职业!$A$4:$G$16,4,FALSE),0),"")</f>
        <v/>
      </c>
      <c r="AR418" t="str">
        <f>IFERROR(ROUND(S418*(R418/$AV418)/VLOOKUP(Q418,职业!$A$4:$G$16,4,FALSE),0),"")</f>
        <v/>
      </c>
      <c r="AS418" t="str">
        <f>IFERROR(ROUND(X418*(U418/$AW418)/VLOOKUP(T418,商品!$A$4:$B$60,2,FALSE),0),"")</f>
        <v/>
      </c>
      <c r="AT418" t="str">
        <f>IFERROR(ROUND(X418*(W418/$AW418)/VLOOKUP(V418,商品!$A$4:$B$60,2,FALSE),0),"")</f>
        <v/>
      </c>
      <c r="AU418">
        <f t="shared" si="141"/>
        <v>0</v>
      </c>
      <c r="AV418">
        <f t="shared" si="142"/>
        <v>0</v>
      </c>
      <c r="AW418">
        <f t="shared" si="143"/>
        <v>0</v>
      </c>
    </row>
    <row r="419" spans="1:49" ht="19.95" customHeight="1" x14ac:dyDescent="0.25">
      <c r="A419" s="16" t="s">
        <v>267</v>
      </c>
      <c r="C419" s="16">
        <v>2</v>
      </c>
      <c r="D419" s="23" t="s">
        <v>174</v>
      </c>
      <c r="E419" s="23" t="s">
        <v>179</v>
      </c>
      <c r="L419" s="16">
        <f>IFERROR(VLOOKUP($D419&amp;$C419,生产方式定位!$A$2:$E$38,2,FALSE)+VLOOKUP($E419&amp;$C419,生产方式定位!$F$3:$J$38,2,FALSE),0)</f>
        <v>0</v>
      </c>
      <c r="S419" s="16">
        <f>IFERROR(VLOOKUP($D419&amp;$C419,生产方式定位!$A$2:$E$38,3,FALSE)+VLOOKUP($E419&amp;$C419,生产方式定位!$F$3:$J$38,3,FALSE),0)</f>
        <v>100</v>
      </c>
      <c r="X419" s="16">
        <f>IFERROR(VLOOKUP($D419&amp;$C419,生产方式定位!$A$2:$E$38,5,FALSE)+VLOOKUP($E419&amp;$C419,生产方式定位!$F$3:$J$38,5,FALSE),"错误")</f>
        <v>100</v>
      </c>
      <c r="Y419" s="26" t="str">
        <f t="shared" si="128"/>
        <v/>
      </c>
      <c r="Z419" s="36" t="str">
        <f t="shared" si="129"/>
        <v/>
      </c>
      <c r="AA419" s="36" t="str">
        <f t="shared" si="130"/>
        <v/>
      </c>
      <c r="AB419" s="27" t="str">
        <f t="shared" si="131"/>
        <v/>
      </c>
      <c r="AC419" s="2" t="str">
        <f t="shared" si="132"/>
        <v/>
      </c>
      <c r="AD419" s="38">
        <f t="shared" si="133"/>
        <v>2</v>
      </c>
      <c r="AE419" t="str">
        <f t="shared" si="134"/>
        <v/>
      </c>
      <c r="AF419" t="str">
        <f t="shared" si="135"/>
        <v/>
      </c>
      <c r="AG419" t="str">
        <f t="shared" si="136"/>
        <v/>
      </c>
      <c r="AH419" t="str">
        <f t="shared" si="137"/>
        <v/>
      </c>
      <c r="AI419" t="str">
        <f t="shared" si="138"/>
        <v/>
      </c>
      <c r="AJ419" t="str">
        <f t="shared" si="139"/>
        <v/>
      </c>
      <c r="AK419" t="str">
        <f t="shared" si="140"/>
        <v/>
      </c>
      <c r="AL419" t="str">
        <f>IFERROR(ROUND(L419*(G419/$AU419)/VLOOKUP(F419,商品!$A$4:$B$60,2,FALSE),0),"")</f>
        <v/>
      </c>
      <c r="AM419" t="str">
        <f>IFERROR(ROUND(L419*(I419/$AU419)/VLOOKUP(H419,商品!$A$4:$B$60,2,FALSE),0),"")</f>
        <v/>
      </c>
      <c r="AN419">
        <f>IFERROR(ROUND(L419*(J419/$AU419)/VLOOKUP("运力",商品!$A$4:$B$60,2,FALSE),0),0)</f>
        <v>0</v>
      </c>
      <c r="AO419">
        <f>IFERROR(ROUND(L419*(K419/$AU419)/VLOOKUP("交易",商品!$A$4:$B$60,2,FALSE),0),0)</f>
        <v>0</v>
      </c>
      <c r="AP419" t="str">
        <f>IFERROR(ROUND(S419*(N419/$AV419)/VLOOKUP(M419,职业!$A$4:$G$16,4,FALSE),0),"")</f>
        <v/>
      </c>
      <c r="AQ419" t="str">
        <f>IFERROR(ROUND(S419*(P419/$AV419)/VLOOKUP(O419,职业!$A$4:$G$16,4,FALSE),0),"")</f>
        <v/>
      </c>
      <c r="AR419" t="str">
        <f>IFERROR(ROUND(S419*(R419/$AV419)/VLOOKUP(Q419,职业!$A$4:$G$16,4,FALSE),0),"")</f>
        <v/>
      </c>
      <c r="AS419" t="str">
        <f>IFERROR(ROUND(X419*(U419/$AW419)/VLOOKUP(T419,商品!$A$4:$B$60,2,FALSE),0),"")</f>
        <v/>
      </c>
      <c r="AT419" t="str">
        <f>IFERROR(ROUND(X419*(W419/$AW419)/VLOOKUP(V419,商品!$A$4:$B$60,2,FALSE),0),"")</f>
        <v/>
      </c>
      <c r="AU419">
        <f t="shared" si="141"/>
        <v>0</v>
      </c>
      <c r="AV419">
        <f t="shared" si="142"/>
        <v>0</v>
      </c>
      <c r="AW419">
        <f t="shared" si="143"/>
        <v>0</v>
      </c>
    </row>
    <row r="420" spans="1:49" ht="19.95" customHeight="1" x14ac:dyDescent="0.25">
      <c r="A420" s="16" t="s">
        <v>267</v>
      </c>
      <c r="C420" s="16">
        <v>3</v>
      </c>
      <c r="D420" s="23" t="s">
        <v>174</v>
      </c>
      <c r="E420" s="23" t="s">
        <v>179</v>
      </c>
      <c r="L420" s="16">
        <f>IFERROR(VLOOKUP($D420&amp;$C420,生产方式定位!$A$2:$E$38,2,FALSE)+VLOOKUP($E420&amp;$C420,生产方式定位!$F$3:$J$38,2,FALSE),0)</f>
        <v>0</v>
      </c>
      <c r="S420" s="16">
        <f>IFERROR(VLOOKUP($D420&amp;$C420,生产方式定位!$A$2:$E$38,3,FALSE)+VLOOKUP($E420&amp;$C420,生产方式定位!$F$3:$J$38,3,FALSE),0)</f>
        <v>100</v>
      </c>
      <c r="X420" s="16">
        <f>IFERROR(VLOOKUP($D420&amp;$C420,生产方式定位!$A$2:$E$38,5,FALSE)+VLOOKUP($E420&amp;$C420,生产方式定位!$F$3:$J$38,5,FALSE),"错误")</f>
        <v>100</v>
      </c>
      <c r="Y420" s="26" t="str">
        <f t="shared" si="128"/>
        <v/>
      </c>
      <c r="Z420" s="36" t="str">
        <f t="shared" si="129"/>
        <v/>
      </c>
      <c r="AA420" s="36" t="str">
        <f t="shared" si="130"/>
        <v/>
      </c>
      <c r="AB420" s="27" t="str">
        <f t="shared" si="131"/>
        <v/>
      </c>
      <c r="AC420" s="2" t="str">
        <f t="shared" si="132"/>
        <v/>
      </c>
      <c r="AD420" s="38">
        <f t="shared" si="133"/>
        <v>3</v>
      </c>
      <c r="AE420" t="str">
        <f t="shared" si="134"/>
        <v/>
      </c>
      <c r="AF420" t="str">
        <f t="shared" si="135"/>
        <v/>
      </c>
      <c r="AG420" t="str">
        <f t="shared" si="136"/>
        <v/>
      </c>
      <c r="AH420" t="str">
        <f t="shared" si="137"/>
        <v/>
      </c>
      <c r="AI420" t="str">
        <f t="shared" si="138"/>
        <v/>
      </c>
      <c r="AJ420" t="str">
        <f t="shared" si="139"/>
        <v/>
      </c>
      <c r="AK420" t="str">
        <f t="shared" si="140"/>
        <v/>
      </c>
      <c r="AL420" t="str">
        <f>IFERROR(ROUND(L420*(G420/$AU420)/VLOOKUP(F420,商品!$A$4:$B$60,2,FALSE),0),"")</f>
        <v/>
      </c>
      <c r="AM420" t="str">
        <f>IFERROR(ROUND(L420*(I420/$AU420)/VLOOKUP(H420,商品!$A$4:$B$60,2,FALSE),0),"")</f>
        <v/>
      </c>
      <c r="AN420">
        <f>IFERROR(ROUND(L420*(J420/$AU420)/VLOOKUP("运力",商品!$A$4:$B$60,2,FALSE),0),0)</f>
        <v>0</v>
      </c>
      <c r="AO420">
        <f>IFERROR(ROUND(L420*(K420/$AU420)/VLOOKUP("交易",商品!$A$4:$B$60,2,FALSE),0),0)</f>
        <v>0</v>
      </c>
      <c r="AP420" t="str">
        <f>IFERROR(ROUND(S420*(N420/$AV420)/VLOOKUP(M420,职业!$A$4:$G$16,4,FALSE),0),"")</f>
        <v/>
      </c>
      <c r="AQ420" t="str">
        <f>IFERROR(ROUND(S420*(P420/$AV420)/VLOOKUP(O420,职业!$A$4:$G$16,4,FALSE),0),"")</f>
        <v/>
      </c>
      <c r="AR420" t="str">
        <f>IFERROR(ROUND(S420*(R420/$AV420)/VLOOKUP(Q420,职业!$A$4:$G$16,4,FALSE),0),"")</f>
        <v/>
      </c>
      <c r="AS420" t="str">
        <f>IFERROR(ROUND(X420*(U420/$AW420)/VLOOKUP(T420,商品!$A$4:$B$60,2,FALSE),0),"")</f>
        <v/>
      </c>
      <c r="AT420" t="str">
        <f>IFERROR(ROUND(X420*(W420/$AW420)/VLOOKUP(V420,商品!$A$4:$B$60,2,FALSE),0),"")</f>
        <v/>
      </c>
      <c r="AU420">
        <f t="shared" si="141"/>
        <v>0</v>
      </c>
      <c r="AV420">
        <f t="shared" si="142"/>
        <v>0</v>
      </c>
      <c r="AW420">
        <f t="shared" si="143"/>
        <v>0</v>
      </c>
    </row>
    <row r="421" spans="1:49" ht="19.95" customHeight="1" x14ac:dyDescent="0.25">
      <c r="A421" s="16" t="s">
        <v>267</v>
      </c>
      <c r="C421" s="16">
        <v>4</v>
      </c>
      <c r="D421" s="23" t="s">
        <v>174</v>
      </c>
      <c r="E421" s="23" t="s">
        <v>179</v>
      </c>
      <c r="L421" s="16">
        <f>IFERROR(VLOOKUP($D421&amp;$C421,生产方式定位!$A$2:$E$38,2,FALSE)+VLOOKUP($E421&amp;$C421,生产方式定位!$F$3:$J$38,2,FALSE),0)</f>
        <v>0</v>
      </c>
      <c r="S421" s="16">
        <f>IFERROR(VLOOKUP($D421&amp;$C421,生产方式定位!$A$2:$E$38,3,FALSE)+VLOOKUP($E421&amp;$C421,生产方式定位!$F$3:$J$38,3,FALSE),0)</f>
        <v>100</v>
      </c>
      <c r="X421" s="16">
        <f>IFERROR(VLOOKUP($D421&amp;$C421,生产方式定位!$A$2:$E$38,5,FALSE)+VLOOKUP($E421&amp;$C421,生产方式定位!$F$3:$J$38,5,FALSE),"错误")</f>
        <v>100</v>
      </c>
      <c r="Y421" s="26" t="str">
        <f t="shared" si="128"/>
        <v/>
      </c>
      <c r="Z421" s="36" t="str">
        <f t="shared" si="129"/>
        <v/>
      </c>
      <c r="AA421" s="36" t="str">
        <f t="shared" si="130"/>
        <v/>
      </c>
      <c r="AB421" s="27" t="str">
        <f t="shared" si="131"/>
        <v/>
      </c>
      <c r="AC421" s="2" t="str">
        <f t="shared" si="132"/>
        <v/>
      </c>
      <c r="AD421" s="38">
        <f t="shared" si="133"/>
        <v>4</v>
      </c>
      <c r="AE421" t="str">
        <f t="shared" si="134"/>
        <v/>
      </c>
      <c r="AF421" t="str">
        <f t="shared" si="135"/>
        <v/>
      </c>
      <c r="AG421" t="str">
        <f t="shared" si="136"/>
        <v/>
      </c>
      <c r="AH421" t="str">
        <f t="shared" si="137"/>
        <v/>
      </c>
      <c r="AI421" t="str">
        <f t="shared" si="138"/>
        <v/>
      </c>
      <c r="AJ421" t="str">
        <f t="shared" si="139"/>
        <v/>
      </c>
      <c r="AK421" t="str">
        <f t="shared" si="140"/>
        <v/>
      </c>
      <c r="AL421" t="str">
        <f>IFERROR(ROUND(L421*(G421/$AU421)/VLOOKUP(F421,商品!$A$4:$B$60,2,FALSE),0),"")</f>
        <v/>
      </c>
      <c r="AM421" t="str">
        <f>IFERROR(ROUND(L421*(I421/$AU421)/VLOOKUP(H421,商品!$A$4:$B$60,2,FALSE),0),"")</f>
        <v/>
      </c>
      <c r="AN421">
        <f>IFERROR(ROUND(L421*(J421/$AU421)/VLOOKUP("运力",商品!$A$4:$B$60,2,FALSE),0),0)</f>
        <v>0</v>
      </c>
      <c r="AO421">
        <f>IFERROR(ROUND(L421*(K421/$AU421)/VLOOKUP("交易",商品!$A$4:$B$60,2,FALSE),0),0)</f>
        <v>0</v>
      </c>
      <c r="AP421" t="str">
        <f>IFERROR(ROUND(S421*(N421/$AV421)/VLOOKUP(M421,职业!$A$4:$G$16,4,FALSE),0),"")</f>
        <v/>
      </c>
      <c r="AQ421" t="str">
        <f>IFERROR(ROUND(S421*(P421/$AV421)/VLOOKUP(O421,职业!$A$4:$G$16,4,FALSE),0),"")</f>
        <v/>
      </c>
      <c r="AR421" t="str">
        <f>IFERROR(ROUND(S421*(R421/$AV421)/VLOOKUP(Q421,职业!$A$4:$G$16,4,FALSE),0),"")</f>
        <v/>
      </c>
      <c r="AS421" t="str">
        <f>IFERROR(ROUND(X421*(U421/$AW421)/VLOOKUP(T421,商品!$A$4:$B$60,2,FALSE),0),"")</f>
        <v/>
      </c>
      <c r="AT421" t="str">
        <f>IFERROR(ROUND(X421*(W421/$AW421)/VLOOKUP(V421,商品!$A$4:$B$60,2,FALSE),0),"")</f>
        <v/>
      </c>
      <c r="AU421">
        <f t="shared" si="141"/>
        <v>0</v>
      </c>
      <c r="AV421">
        <f t="shared" si="142"/>
        <v>0</v>
      </c>
      <c r="AW421">
        <f t="shared" si="143"/>
        <v>0</v>
      </c>
    </row>
    <row r="422" spans="1:49" ht="19.95" customHeight="1" x14ac:dyDescent="0.25">
      <c r="A422" s="16" t="s">
        <v>267</v>
      </c>
      <c r="C422" s="16">
        <v>5</v>
      </c>
      <c r="D422" s="23" t="s">
        <v>174</v>
      </c>
      <c r="E422" s="23" t="s">
        <v>179</v>
      </c>
      <c r="L422" s="16">
        <f>IFERROR(VLOOKUP($D422&amp;$C422,生产方式定位!$A$2:$E$38,2,FALSE)+VLOOKUP($E422&amp;$C422,生产方式定位!$F$3:$J$38,2,FALSE),0)</f>
        <v>0</v>
      </c>
      <c r="S422" s="16">
        <f>IFERROR(VLOOKUP($D422&amp;$C422,生产方式定位!$A$2:$E$38,3,FALSE)+VLOOKUP($E422&amp;$C422,生产方式定位!$F$3:$J$38,3,FALSE),0)</f>
        <v>100</v>
      </c>
      <c r="X422" s="16">
        <f>IFERROR(VLOOKUP($D422&amp;$C422,生产方式定位!$A$2:$E$38,5,FALSE)+VLOOKUP($E422&amp;$C422,生产方式定位!$F$3:$J$38,5,FALSE),"错误")</f>
        <v>100</v>
      </c>
      <c r="Y422" s="26" t="str">
        <f t="shared" si="128"/>
        <v/>
      </c>
      <c r="Z422" s="36" t="str">
        <f t="shared" si="129"/>
        <v/>
      </c>
      <c r="AA422" s="36" t="str">
        <f t="shared" si="130"/>
        <v/>
      </c>
      <c r="AB422" s="27" t="str">
        <f t="shared" si="131"/>
        <v/>
      </c>
      <c r="AC422" s="2" t="str">
        <f t="shared" si="132"/>
        <v/>
      </c>
      <c r="AD422" s="38">
        <f t="shared" si="133"/>
        <v>5</v>
      </c>
      <c r="AE422" t="str">
        <f t="shared" si="134"/>
        <v/>
      </c>
      <c r="AF422" t="str">
        <f t="shared" si="135"/>
        <v/>
      </c>
      <c r="AG422" t="str">
        <f t="shared" si="136"/>
        <v/>
      </c>
      <c r="AH422" t="str">
        <f t="shared" si="137"/>
        <v/>
      </c>
      <c r="AI422" t="str">
        <f t="shared" si="138"/>
        <v/>
      </c>
      <c r="AJ422" t="str">
        <f t="shared" si="139"/>
        <v/>
      </c>
      <c r="AK422" t="str">
        <f t="shared" si="140"/>
        <v/>
      </c>
      <c r="AL422" t="str">
        <f>IFERROR(ROUND(L422*(G422/$AU422)/VLOOKUP(F422,商品!$A$4:$B$60,2,FALSE),0),"")</f>
        <v/>
      </c>
      <c r="AM422" t="str">
        <f>IFERROR(ROUND(L422*(I422/$AU422)/VLOOKUP(H422,商品!$A$4:$B$60,2,FALSE),0),"")</f>
        <v/>
      </c>
      <c r="AN422">
        <f>IFERROR(ROUND(L422*(J422/$AU422)/VLOOKUP("运力",商品!$A$4:$B$60,2,FALSE),0),0)</f>
        <v>0</v>
      </c>
      <c r="AO422">
        <f>IFERROR(ROUND(L422*(K422/$AU422)/VLOOKUP("交易",商品!$A$4:$B$60,2,FALSE),0),0)</f>
        <v>0</v>
      </c>
      <c r="AP422" t="str">
        <f>IFERROR(ROUND(S422*(N422/$AV422)/VLOOKUP(M422,职业!$A$4:$G$16,4,FALSE),0),"")</f>
        <v/>
      </c>
      <c r="AQ422" t="str">
        <f>IFERROR(ROUND(S422*(P422/$AV422)/VLOOKUP(O422,职业!$A$4:$G$16,4,FALSE),0),"")</f>
        <v/>
      </c>
      <c r="AR422" t="str">
        <f>IFERROR(ROUND(S422*(R422/$AV422)/VLOOKUP(Q422,职业!$A$4:$G$16,4,FALSE),0),"")</f>
        <v/>
      </c>
      <c r="AS422" t="str">
        <f>IFERROR(ROUND(X422*(U422/$AW422)/VLOOKUP(T422,商品!$A$4:$B$60,2,FALSE),0),"")</f>
        <v/>
      </c>
      <c r="AT422" t="str">
        <f>IFERROR(ROUND(X422*(W422/$AW422)/VLOOKUP(V422,商品!$A$4:$B$60,2,FALSE),0),"")</f>
        <v/>
      </c>
      <c r="AU422">
        <f t="shared" si="141"/>
        <v>0</v>
      </c>
      <c r="AV422">
        <f t="shared" si="142"/>
        <v>0</v>
      </c>
      <c r="AW422">
        <f t="shared" si="143"/>
        <v>0</v>
      </c>
    </row>
    <row r="423" spans="1:49" ht="19.95" customHeight="1" x14ac:dyDescent="0.25">
      <c r="A423" s="16" t="s">
        <v>267</v>
      </c>
      <c r="C423" s="16">
        <v>6</v>
      </c>
      <c r="D423" s="23" t="s">
        <v>174</v>
      </c>
      <c r="E423" s="23" t="s">
        <v>179</v>
      </c>
      <c r="L423" s="16">
        <f>IFERROR(VLOOKUP($D423&amp;$C423,生产方式定位!$A$2:$E$38,2,FALSE)+VLOOKUP($E423&amp;$C423,生产方式定位!$F$3:$J$38,2,FALSE),0)</f>
        <v>0</v>
      </c>
      <c r="S423" s="16">
        <f>IFERROR(VLOOKUP($D423&amp;$C423,生产方式定位!$A$2:$E$38,3,FALSE)+VLOOKUP($E423&amp;$C423,生产方式定位!$F$3:$J$38,3,FALSE),0)</f>
        <v>100</v>
      </c>
      <c r="X423" s="16">
        <f>IFERROR(VLOOKUP($D423&amp;$C423,生产方式定位!$A$2:$E$38,5,FALSE)+VLOOKUP($E423&amp;$C423,生产方式定位!$F$3:$J$38,5,FALSE),"错误")</f>
        <v>100</v>
      </c>
      <c r="Y423" s="26" t="str">
        <f t="shared" si="128"/>
        <v/>
      </c>
      <c r="Z423" s="36" t="str">
        <f t="shared" si="129"/>
        <v/>
      </c>
      <c r="AA423" s="36" t="str">
        <f t="shared" si="130"/>
        <v/>
      </c>
      <c r="AB423" s="27" t="str">
        <f t="shared" si="131"/>
        <v/>
      </c>
      <c r="AC423" s="2" t="str">
        <f t="shared" si="132"/>
        <v/>
      </c>
      <c r="AD423" s="37">
        <f t="shared" si="133"/>
        <v>6</v>
      </c>
      <c r="AE423" t="str">
        <f t="shared" si="134"/>
        <v/>
      </c>
      <c r="AF423" t="str">
        <f t="shared" si="135"/>
        <v/>
      </c>
      <c r="AG423" t="str">
        <f t="shared" si="136"/>
        <v/>
      </c>
      <c r="AH423" t="str">
        <f t="shared" si="137"/>
        <v/>
      </c>
      <c r="AI423" t="str">
        <f t="shared" si="138"/>
        <v/>
      </c>
      <c r="AJ423" t="str">
        <f t="shared" si="139"/>
        <v/>
      </c>
      <c r="AK423" t="str">
        <f t="shared" si="140"/>
        <v/>
      </c>
      <c r="AL423" t="str">
        <f>IFERROR(ROUND(L423*(G423/$AU423)/VLOOKUP(F423,商品!$A$4:$B$60,2,FALSE),0),"")</f>
        <v/>
      </c>
      <c r="AM423" t="str">
        <f>IFERROR(ROUND(L423*(I423/$AU423)/VLOOKUP(H423,商品!$A$4:$B$60,2,FALSE),0),"")</f>
        <v/>
      </c>
      <c r="AN423">
        <f>IFERROR(ROUND(L423*(J423/$AU423)/VLOOKUP("运力",商品!$A$4:$B$60,2,FALSE),0),0)</f>
        <v>0</v>
      </c>
      <c r="AO423">
        <f>IFERROR(ROUND(L423*(K423/$AU423)/VLOOKUP("交易",商品!$A$4:$B$60,2,FALSE),0),0)</f>
        <v>0</v>
      </c>
      <c r="AP423" t="str">
        <f>IFERROR(ROUND(S423*(N423/$AV423)/VLOOKUP(M423,职业!$A$4:$G$16,4,FALSE),0),"")</f>
        <v/>
      </c>
      <c r="AQ423" t="str">
        <f>IFERROR(ROUND(S423*(P423/$AV423)/VLOOKUP(O423,职业!$A$4:$G$16,4,FALSE),0),"")</f>
        <v/>
      </c>
      <c r="AR423" t="str">
        <f>IFERROR(ROUND(S423*(R423/$AV423)/VLOOKUP(Q423,职业!$A$4:$G$16,4,FALSE),0),"")</f>
        <v/>
      </c>
      <c r="AS423" t="str">
        <f>IFERROR(ROUND(X423*(U423/$AW423)/VLOOKUP(T423,商品!$A$4:$B$60,2,FALSE),0),"")</f>
        <v/>
      </c>
      <c r="AT423" t="str">
        <f>IFERROR(ROUND(X423*(W423/$AW423)/VLOOKUP(V423,商品!$A$4:$B$60,2,FALSE),0),"")</f>
        <v/>
      </c>
      <c r="AU423">
        <f t="shared" si="141"/>
        <v>0</v>
      </c>
      <c r="AV423">
        <f t="shared" si="142"/>
        <v>0</v>
      </c>
      <c r="AW423">
        <f t="shared" si="143"/>
        <v>0</v>
      </c>
    </row>
    <row r="424" spans="1:49" ht="19.95" customHeight="1" x14ac:dyDescent="0.25">
      <c r="A424" s="16" t="s">
        <v>267</v>
      </c>
      <c r="C424" s="16">
        <v>7</v>
      </c>
      <c r="D424" s="23" t="s">
        <v>174</v>
      </c>
      <c r="E424" s="23" t="s">
        <v>179</v>
      </c>
      <c r="L424" s="16">
        <f>IFERROR(VLOOKUP($D424&amp;$C424,生产方式定位!$A$2:$E$38,2,FALSE)+VLOOKUP($E424&amp;$C424,生产方式定位!$F$3:$J$38,2,FALSE),0)</f>
        <v>0</v>
      </c>
      <c r="S424" s="16">
        <f>IFERROR(VLOOKUP($D424&amp;$C424,生产方式定位!$A$2:$E$38,3,FALSE)+VLOOKUP($E424&amp;$C424,生产方式定位!$F$3:$J$38,3,FALSE),0)</f>
        <v>100</v>
      </c>
      <c r="X424" s="16">
        <f>IFERROR(VLOOKUP($D424&amp;$C424,生产方式定位!$A$2:$E$38,5,FALSE)+VLOOKUP($E424&amp;$C424,生产方式定位!$F$3:$J$38,5,FALSE),"错误")</f>
        <v>100</v>
      </c>
      <c r="Y424" s="26" t="str">
        <f t="shared" si="128"/>
        <v/>
      </c>
      <c r="Z424" s="36" t="str">
        <f t="shared" si="129"/>
        <v/>
      </c>
      <c r="AA424" s="36" t="str">
        <f t="shared" si="130"/>
        <v/>
      </c>
      <c r="AB424" s="27" t="str">
        <f t="shared" si="131"/>
        <v/>
      </c>
      <c r="AC424" s="2" t="str">
        <f t="shared" si="132"/>
        <v/>
      </c>
      <c r="AD424" s="37">
        <f t="shared" si="133"/>
        <v>7</v>
      </c>
      <c r="AE424" t="str">
        <f t="shared" si="134"/>
        <v/>
      </c>
      <c r="AF424" t="str">
        <f t="shared" si="135"/>
        <v/>
      </c>
      <c r="AG424" t="str">
        <f t="shared" si="136"/>
        <v/>
      </c>
      <c r="AH424" t="str">
        <f t="shared" si="137"/>
        <v/>
      </c>
      <c r="AI424" t="str">
        <f t="shared" si="138"/>
        <v/>
      </c>
      <c r="AJ424" t="str">
        <f t="shared" si="139"/>
        <v/>
      </c>
      <c r="AK424" t="str">
        <f t="shared" si="140"/>
        <v/>
      </c>
      <c r="AL424" t="str">
        <f>IFERROR(ROUND(L424*(G424/$AU424)/VLOOKUP(F424,商品!$A$4:$B$60,2,FALSE),0),"")</f>
        <v/>
      </c>
      <c r="AM424" t="str">
        <f>IFERROR(ROUND(L424*(I424/$AU424)/VLOOKUP(H424,商品!$A$4:$B$60,2,FALSE),0),"")</f>
        <v/>
      </c>
      <c r="AN424">
        <f>IFERROR(ROUND(L424*(J424/$AU424)/VLOOKUP("运力",商品!$A$4:$B$60,2,FALSE),0),0)</f>
        <v>0</v>
      </c>
      <c r="AO424">
        <f>IFERROR(ROUND(L424*(K424/$AU424)/VLOOKUP("交易",商品!$A$4:$B$60,2,FALSE),0),0)</f>
        <v>0</v>
      </c>
      <c r="AP424" t="str">
        <f>IFERROR(ROUND(S424*(N424/$AV424)/VLOOKUP(M424,职业!$A$4:$G$16,4,FALSE),0),"")</f>
        <v/>
      </c>
      <c r="AQ424" t="str">
        <f>IFERROR(ROUND(S424*(P424/$AV424)/VLOOKUP(O424,职业!$A$4:$G$16,4,FALSE),0),"")</f>
        <v/>
      </c>
      <c r="AR424" t="str">
        <f>IFERROR(ROUND(S424*(R424/$AV424)/VLOOKUP(Q424,职业!$A$4:$G$16,4,FALSE),0),"")</f>
        <v/>
      </c>
      <c r="AS424" t="str">
        <f>IFERROR(ROUND(X424*(U424/$AW424)/VLOOKUP(T424,商品!$A$4:$B$60,2,FALSE),0),"")</f>
        <v/>
      </c>
      <c r="AT424" t="str">
        <f>IFERROR(ROUND(X424*(W424/$AW424)/VLOOKUP(V424,商品!$A$4:$B$60,2,FALSE),0),"")</f>
        <v/>
      </c>
      <c r="AU424">
        <f t="shared" si="141"/>
        <v>0</v>
      </c>
      <c r="AV424">
        <f t="shared" si="142"/>
        <v>0</v>
      </c>
      <c r="AW424">
        <f t="shared" si="143"/>
        <v>0</v>
      </c>
    </row>
    <row r="425" spans="1:49" ht="19.95" customHeight="1" x14ac:dyDescent="0.25">
      <c r="A425" s="16" t="s">
        <v>267</v>
      </c>
      <c r="C425" s="16">
        <v>8</v>
      </c>
      <c r="D425" s="23" t="s">
        <v>174</v>
      </c>
      <c r="E425" s="23" t="s">
        <v>179</v>
      </c>
      <c r="L425" s="16">
        <f>IFERROR(VLOOKUP($D425&amp;$C425,生产方式定位!$A$2:$E$38,2,FALSE)+VLOOKUP($E425&amp;$C425,生产方式定位!$F$3:$J$38,2,FALSE),0)</f>
        <v>0</v>
      </c>
      <c r="S425" s="16">
        <f>IFERROR(VLOOKUP($D425&amp;$C425,生产方式定位!$A$2:$E$38,3,FALSE)+VLOOKUP($E425&amp;$C425,生产方式定位!$F$3:$J$38,3,FALSE),0)</f>
        <v>100</v>
      </c>
      <c r="X425" s="16">
        <f>IFERROR(VLOOKUP($D425&amp;$C425,生产方式定位!$A$2:$E$38,5,FALSE)+VLOOKUP($E425&amp;$C425,生产方式定位!$F$3:$J$38,5,FALSE),"错误")</f>
        <v>100</v>
      </c>
      <c r="Y425" s="26" t="str">
        <f t="shared" si="128"/>
        <v/>
      </c>
      <c r="Z425" s="36" t="str">
        <f t="shared" si="129"/>
        <v/>
      </c>
      <c r="AA425" s="36" t="str">
        <f t="shared" si="130"/>
        <v/>
      </c>
      <c r="AB425" s="27" t="str">
        <f t="shared" si="131"/>
        <v/>
      </c>
      <c r="AC425" s="2" t="str">
        <f t="shared" si="132"/>
        <v/>
      </c>
      <c r="AD425" s="37">
        <f t="shared" si="133"/>
        <v>8</v>
      </c>
      <c r="AE425" t="str">
        <f t="shared" si="134"/>
        <v/>
      </c>
      <c r="AF425" t="str">
        <f t="shared" si="135"/>
        <v/>
      </c>
      <c r="AG425" t="str">
        <f t="shared" si="136"/>
        <v/>
      </c>
      <c r="AH425" t="str">
        <f t="shared" si="137"/>
        <v/>
      </c>
      <c r="AI425" t="str">
        <f t="shared" si="138"/>
        <v/>
      </c>
      <c r="AJ425" t="str">
        <f t="shared" si="139"/>
        <v/>
      </c>
      <c r="AK425" t="str">
        <f t="shared" si="140"/>
        <v/>
      </c>
      <c r="AL425" t="str">
        <f>IFERROR(ROUND(L425*(G425/$AU425)/VLOOKUP(F425,商品!$A$4:$B$60,2,FALSE),0),"")</f>
        <v/>
      </c>
      <c r="AM425" t="str">
        <f>IFERROR(ROUND(L425*(I425/$AU425)/VLOOKUP(H425,商品!$A$4:$B$60,2,FALSE),0),"")</f>
        <v/>
      </c>
      <c r="AN425">
        <f>IFERROR(ROUND(L425*(J425/$AU425)/VLOOKUP("运力",商品!$A$4:$B$60,2,FALSE),0),0)</f>
        <v>0</v>
      </c>
      <c r="AO425">
        <f>IFERROR(ROUND(L425*(K425/$AU425)/VLOOKUP("交易",商品!$A$4:$B$60,2,FALSE),0),0)</f>
        <v>0</v>
      </c>
      <c r="AP425" t="str">
        <f>IFERROR(ROUND(S425*(N425/$AV425)/VLOOKUP(M425,职业!$A$4:$G$16,4,FALSE),0),"")</f>
        <v/>
      </c>
      <c r="AQ425" t="str">
        <f>IFERROR(ROUND(S425*(P425/$AV425)/VLOOKUP(O425,职业!$A$4:$G$16,4,FALSE),0),"")</f>
        <v/>
      </c>
      <c r="AR425" t="str">
        <f>IFERROR(ROUND(S425*(R425/$AV425)/VLOOKUP(Q425,职业!$A$4:$G$16,4,FALSE),0),"")</f>
        <v/>
      </c>
      <c r="AS425" t="str">
        <f>IFERROR(ROUND(X425*(U425/$AW425)/VLOOKUP(T425,商品!$A$4:$B$60,2,FALSE),0),"")</f>
        <v/>
      </c>
      <c r="AT425" t="str">
        <f>IFERROR(ROUND(X425*(W425/$AW425)/VLOOKUP(V425,商品!$A$4:$B$60,2,FALSE),0),"")</f>
        <v/>
      </c>
      <c r="AU425">
        <f t="shared" si="141"/>
        <v>0</v>
      </c>
      <c r="AV425">
        <f t="shared" si="142"/>
        <v>0</v>
      </c>
      <c r="AW425">
        <f t="shared" si="143"/>
        <v>0</v>
      </c>
    </row>
    <row r="426" spans="1:49" ht="19.95" customHeight="1" x14ac:dyDescent="0.25">
      <c r="A426" s="15" t="s">
        <v>269</v>
      </c>
      <c r="C426" s="15">
        <v>1</v>
      </c>
      <c r="D426" s="23" t="s">
        <v>222</v>
      </c>
      <c r="E426" s="23" t="s">
        <v>172</v>
      </c>
      <c r="F426" s="2" t="s">
        <v>40</v>
      </c>
      <c r="G426" s="2">
        <v>40</v>
      </c>
      <c r="H426" s="2" t="s">
        <v>14</v>
      </c>
      <c r="I426" s="2">
        <v>10</v>
      </c>
      <c r="J426" s="24">
        <v>10</v>
      </c>
      <c r="K426" s="25">
        <v>5</v>
      </c>
      <c r="L426" s="15">
        <f>IFERROR(VLOOKUP($D426&amp;$C426,生产方式定位!$A$2:$E$38,2,FALSE)+VLOOKUP($E426&amp;$C426,生产方式定位!$F$3:$J$38,2,FALSE),0)</f>
        <v>1000</v>
      </c>
      <c r="S426" s="15">
        <f>IFERROR(VLOOKUP($D426&amp;$C426,生产方式定位!$A$2:$E$38,3,FALSE)+VLOOKUP($E426&amp;$C426,生产方式定位!$F$3:$J$38,3,FALSE),0)</f>
        <v>100</v>
      </c>
      <c r="T426" s="2" t="s">
        <v>54</v>
      </c>
      <c r="U426" s="2">
        <v>1</v>
      </c>
      <c r="X426" s="15">
        <f>IFERROR(VLOOKUP($D426&amp;$C426,生产方式定位!$A$2:$E$38,5,FALSE)+VLOOKUP($E426&amp;$C426,生产方式定位!$F$3:$J$38,5,FALSE),"错误")</f>
        <v>1760</v>
      </c>
      <c r="Y426" s="26" t="str">
        <f t="shared" si="128"/>
        <v>秘银*8,硬木*4,运力*15,交易*8</v>
      </c>
      <c r="Z426" s="36" t="str">
        <f t="shared" si="129"/>
        <v/>
      </c>
      <c r="AA426" s="36" t="str">
        <f t="shared" si="130"/>
        <v>魔能机甲*18</v>
      </c>
      <c r="AB426" s="27" t="str">
        <f t="shared" si="131"/>
        <v>76%</v>
      </c>
      <c r="AC426" s="2">
        <f t="shared" si="132"/>
        <v>660</v>
      </c>
      <c r="AD426" s="37">
        <f t="shared" si="133"/>
        <v>1</v>
      </c>
      <c r="AE426" t="str">
        <f t="shared" si="134"/>
        <v>秘银*8</v>
      </c>
      <c r="AF426" t="str">
        <f t="shared" si="135"/>
        <v>硬木*4</v>
      </c>
      <c r="AG426" t="str">
        <f t="shared" si="136"/>
        <v/>
      </c>
      <c r="AH426" t="str">
        <f t="shared" si="137"/>
        <v/>
      </c>
      <c r="AI426" t="str">
        <f t="shared" si="138"/>
        <v/>
      </c>
      <c r="AJ426" t="str">
        <f t="shared" si="139"/>
        <v>魔能机甲*18</v>
      </c>
      <c r="AK426" t="str">
        <f t="shared" si="140"/>
        <v/>
      </c>
      <c r="AL426">
        <f>IFERROR(ROUND(L426*(G426/$AU426)/VLOOKUP(F426,商品!$A$4:$B$60,2,FALSE),0),"")</f>
        <v>8</v>
      </c>
      <c r="AM426">
        <f>IFERROR(ROUND(L426*(I426/$AU426)/VLOOKUP(H426,商品!$A$4:$B$60,2,FALSE),0),"")</f>
        <v>4</v>
      </c>
      <c r="AN426">
        <f>IFERROR(ROUND(L426*(J426/$AU426)/VLOOKUP("运力",商品!$A$4:$B$60,2,FALSE),0),0)</f>
        <v>15</v>
      </c>
      <c r="AO426">
        <f>IFERROR(ROUND(L426*(K426/$AU426)/VLOOKUP("交易",商品!$A$4:$B$60,2,FALSE),0),0)</f>
        <v>8</v>
      </c>
      <c r="AP426" t="str">
        <f>IFERROR(ROUND(S426*(N426/$AV426)/VLOOKUP(M426,职业!$A$4:$G$16,4,FALSE),0),"")</f>
        <v/>
      </c>
      <c r="AQ426" t="str">
        <f>IFERROR(ROUND(S426*(P426/$AV426)/VLOOKUP(O426,职业!$A$4:$G$16,4,FALSE),0),"")</f>
        <v/>
      </c>
      <c r="AR426" t="str">
        <f>IFERROR(ROUND(S426*(R426/$AV426)/VLOOKUP(Q426,职业!$A$4:$G$16,4,FALSE),0),"")</f>
        <v/>
      </c>
      <c r="AS426">
        <f>IFERROR(ROUND(X426*(U426/$AW426)/VLOOKUP(T426,商品!$A$4:$B$60,2,FALSE),0),"")</f>
        <v>18</v>
      </c>
      <c r="AT426" t="str">
        <f>IFERROR(ROUND(X426*(W426/$AW426)/VLOOKUP(V426,商品!$A$4:$B$60,2,FALSE),0),"")</f>
        <v/>
      </c>
      <c r="AU426">
        <f t="shared" si="141"/>
        <v>65</v>
      </c>
      <c r="AV426">
        <f t="shared" si="142"/>
        <v>0</v>
      </c>
      <c r="AW426">
        <f t="shared" si="143"/>
        <v>1</v>
      </c>
    </row>
    <row r="427" spans="1:49" ht="19.95" customHeight="1" x14ac:dyDescent="0.25">
      <c r="A427" s="15" t="s">
        <v>269</v>
      </c>
      <c r="C427" s="15">
        <v>2</v>
      </c>
      <c r="D427" s="23" t="s">
        <v>222</v>
      </c>
      <c r="E427" s="23" t="s">
        <v>172</v>
      </c>
      <c r="F427" s="2" t="s">
        <v>40</v>
      </c>
      <c r="G427" s="2">
        <v>40</v>
      </c>
      <c r="H427" s="2" t="s">
        <v>14</v>
      </c>
      <c r="I427" s="2">
        <v>10</v>
      </c>
      <c r="J427" s="24">
        <v>10</v>
      </c>
      <c r="K427" s="25">
        <v>5</v>
      </c>
      <c r="L427" s="15">
        <f>IFERROR(VLOOKUP($D427&amp;$C427,生产方式定位!$A$2:$E$38,2,FALSE)+VLOOKUP($E427&amp;$C427,生产方式定位!$F$3:$J$38,2,FALSE),0)</f>
        <v>1600</v>
      </c>
      <c r="S427" s="15">
        <f>IFERROR(VLOOKUP($D427&amp;$C427,生产方式定位!$A$2:$E$38,3,FALSE)+VLOOKUP($E427&amp;$C427,生产方式定位!$F$3:$J$38,3,FALSE),0)</f>
        <v>100</v>
      </c>
      <c r="T427" s="2" t="s">
        <v>54</v>
      </c>
      <c r="U427" s="2">
        <v>1</v>
      </c>
      <c r="X427" s="15">
        <f>IFERROR(VLOOKUP($D427&amp;$C427,生产方式定位!$A$2:$E$38,5,FALSE)+VLOOKUP($E427&amp;$C427,生产方式定位!$F$3:$J$38,5,FALSE),"错误")</f>
        <v>2520</v>
      </c>
      <c r="Y427" s="26" t="str">
        <f t="shared" si="128"/>
        <v>秘银*12,硬木*6,运力*25,交易*12</v>
      </c>
      <c r="Z427" s="36" t="str">
        <f t="shared" si="129"/>
        <v/>
      </c>
      <c r="AA427" s="36" t="str">
        <f t="shared" si="130"/>
        <v>魔能机甲*25</v>
      </c>
      <c r="AB427" s="27" t="str">
        <f t="shared" si="131"/>
        <v>58%</v>
      </c>
      <c r="AC427" s="2">
        <f t="shared" si="132"/>
        <v>820</v>
      </c>
      <c r="AD427" s="37">
        <f t="shared" si="133"/>
        <v>2</v>
      </c>
      <c r="AE427" t="str">
        <f t="shared" si="134"/>
        <v>秘银*12</v>
      </c>
      <c r="AF427" t="str">
        <f t="shared" si="135"/>
        <v>硬木*6</v>
      </c>
      <c r="AG427" t="str">
        <f t="shared" si="136"/>
        <v/>
      </c>
      <c r="AH427" t="str">
        <f t="shared" si="137"/>
        <v/>
      </c>
      <c r="AI427" t="str">
        <f t="shared" si="138"/>
        <v/>
      </c>
      <c r="AJ427" t="str">
        <f t="shared" si="139"/>
        <v>魔能机甲*25</v>
      </c>
      <c r="AK427" t="str">
        <f t="shared" si="140"/>
        <v/>
      </c>
      <c r="AL427">
        <f>IFERROR(ROUND(L427*(G427/$AU427)/VLOOKUP(F427,商品!$A$4:$B$60,2,FALSE),0),"")</f>
        <v>12</v>
      </c>
      <c r="AM427">
        <f>IFERROR(ROUND(L427*(I427/$AU427)/VLOOKUP(H427,商品!$A$4:$B$60,2,FALSE),0),"")</f>
        <v>6</v>
      </c>
      <c r="AN427">
        <f>IFERROR(ROUND(L427*(J427/$AU427)/VLOOKUP("运力",商品!$A$4:$B$60,2,FALSE),0),0)</f>
        <v>25</v>
      </c>
      <c r="AO427">
        <f>IFERROR(ROUND(L427*(K427/$AU427)/VLOOKUP("交易",商品!$A$4:$B$60,2,FALSE),0),0)</f>
        <v>12</v>
      </c>
      <c r="AP427" t="str">
        <f>IFERROR(ROUND(S427*(N427/$AV427)/VLOOKUP(M427,职业!$A$4:$G$16,4,FALSE),0),"")</f>
        <v/>
      </c>
      <c r="AQ427" t="str">
        <f>IFERROR(ROUND(S427*(P427/$AV427)/VLOOKUP(O427,职业!$A$4:$G$16,4,FALSE),0),"")</f>
        <v/>
      </c>
      <c r="AR427" t="str">
        <f>IFERROR(ROUND(S427*(R427/$AV427)/VLOOKUP(Q427,职业!$A$4:$G$16,4,FALSE),0),"")</f>
        <v/>
      </c>
      <c r="AS427">
        <f>IFERROR(ROUND(X427*(U427/$AW427)/VLOOKUP(T427,商品!$A$4:$B$60,2,FALSE),0),"")</f>
        <v>25</v>
      </c>
      <c r="AT427" t="str">
        <f>IFERROR(ROUND(X427*(W427/$AW427)/VLOOKUP(V427,商品!$A$4:$B$60,2,FALSE),0),"")</f>
        <v/>
      </c>
      <c r="AU427">
        <f t="shared" si="141"/>
        <v>65</v>
      </c>
      <c r="AV427">
        <f t="shared" si="142"/>
        <v>0</v>
      </c>
      <c r="AW427">
        <f t="shared" si="143"/>
        <v>1</v>
      </c>
    </row>
    <row r="428" spans="1:49" ht="19.95" customHeight="1" x14ac:dyDescent="0.25">
      <c r="A428" s="15" t="s">
        <v>269</v>
      </c>
      <c r="C428" s="15">
        <v>3</v>
      </c>
      <c r="D428" s="23" t="s">
        <v>222</v>
      </c>
      <c r="E428" s="23" t="s">
        <v>172</v>
      </c>
      <c r="F428" s="2" t="s">
        <v>40</v>
      </c>
      <c r="G428" s="2">
        <v>40</v>
      </c>
      <c r="H428" s="2" t="s">
        <v>14</v>
      </c>
      <c r="I428" s="2">
        <v>10</v>
      </c>
      <c r="J428" s="24">
        <v>10</v>
      </c>
      <c r="K428" s="25">
        <v>5</v>
      </c>
      <c r="L428" s="15">
        <f>IFERROR(VLOOKUP($D428&amp;$C428,生产方式定位!$A$2:$E$38,2,FALSE)+VLOOKUP($E428&amp;$C428,生产方式定位!$F$3:$J$38,2,FALSE),0)</f>
        <v>1825</v>
      </c>
      <c r="S428" s="15">
        <f>IFERROR(VLOOKUP($D428&amp;$C428,生产方式定位!$A$2:$E$38,3,FALSE)+VLOOKUP($E428&amp;$C428,生产方式定位!$F$3:$J$38,3,FALSE),0)</f>
        <v>100</v>
      </c>
      <c r="T428" s="2" t="s">
        <v>54</v>
      </c>
      <c r="U428" s="2">
        <v>1</v>
      </c>
      <c r="X428" s="15">
        <f>IFERROR(VLOOKUP($D428&amp;$C428,生产方式定位!$A$2:$E$38,5,FALSE)+VLOOKUP($E428&amp;$C428,生产方式定位!$F$3:$J$38,5,FALSE),"错误")</f>
        <v>2830</v>
      </c>
      <c r="Y428" s="26" t="str">
        <f t="shared" si="128"/>
        <v>秘银*14,硬木*7,运力*28,交易*14</v>
      </c>
      <c r="Z428" s="36" t="str">
        <f t="shared" si="129"/>
        <v/>
      </c>
      <c r="AA428" s="36" t="str">
        <f t="shared" si="130"/>
        <v>魔能机甲*28</v>
      </c>
      <c r="AB428" s="27" t="str">
        <f t="shared" si="131"/>
        <v>55%</v>
      </c>
      <c r="AC428" s="2">
        <f t="shared" si="132"/>
        <v>905</v>
      </c>
      <c r="AD428" s="38">
        <f t="shared" si="133"/>
        <v>3</v>
      </c>
      <c r="AE428" t="str">
        <f t="shared" si="134"/>
        <v>秘银*14</v>
      </c>
      <c r="AF428" t="str">
        <f t="shared" si="135"/>
        <v>硬木*7</v>
      </c>
      <c r="AG428" t="str">
        <f t="shared" si="136"/>
        <v/>
      </c>
      <c r="AH428" t="str">
        <f t="shared" si="137"/>
        <v/>
      </c>
      <c r="AI428" t="str">
        <f t="shared" si="138"/>
        <v/>
      </c>
      <c r="AJ428" t="str">
        <f t="shared" si="139"/>
        <v>魔能机甲*28</v>
      </c>
      <c r="AK428" t="str">
        <f t="shared" si="140"/>
        <v/>
      </c>
      <c r="AL428">
        <f>IFERROR(ROUND(L428*(G428/$AU428)/VLOOKUP(F428,商品!$A$4:$B$60,2,FALSE),0),"")</f>
        <v>14</v>
      </c>
      <c r="AM428">
        <f>IFERROR(ROUND(L428*(I428/$AU428)/VLOOKUP(H428,商品!$A$4:$B$60,2,FALSE),0),"")</f>
        <v>7</v>
      </c>
      <c r="AN428">
        <f>IFERROR(ROUND(L428*(J428/$AU428)/VLOOKUP("运力",商品!$A$4:$B$60,2,FALSE),0),0)</f>
        <v>28</v>
      </c>
      <c r="AO428">
        <f>IFERROR(ROUND(L428*(K428/$AU428)/VLOOKUP("交易",商品!$A$4:$B$60,2,FALSE),0),0)</f>
        <v>14</v>
      </c>
      <c r="AP428" t="str">
        <f>IFERROR(ROUND(S428*(N428/$AV428)/VLOOKUP(M428,职业!$A$4:$G$16,4,FALSE),0),"")</f>
        <v/>
      </c>
      <c r="AQ428" t="str">
        <f>IFERROR(ROUND(S428*(P428/$AV428)/VLOOKUP(O428,职业!$A$4:$G$16,4,FALSE),0),"")</f>
        <v/>
      </c>
      <c r="AR428" t="str">
        <f>IFERROR(ROUND(S428*(R428/$AV428)/VLOOKUP(Q428,职业!$A$4:$G$16,4,FALSE),0),"")</f>
        <v/>
      </c>
      <c r="AS428">
        <f>IFERROR(ROUND(X428*(U428/$AW428)/VLOOKUP(T428,商品!$A$4:$B$60,2,FALSE),0),"")</f>
        <v>28</v>
      </c>
      <c r="AT428" t="str">
        <f>IFERROR(ROUND(X428*(W428/$AW428)/VLOOKUP(V428,商品!$A$4:$B$60,2,FALSE),0),"")</f>
        <v/>
      </c>
      <c r="AU428">
        <f t="shared" si="141"/>
        <v>65</v>
      </c>
      <c r="AV428">
        <f t="shared" si="142"/>
        <v>0</v>
      </c>
      <c r="AW428">
        <f t="shared" si="143"/>
        <v>1</v>
      </c>
    </row>
    <row r="429" spans="1:49" ht="19.95" customHeight="1" x14ac:dyDescent="0.25">
      <c r="A429" s="15" t="s">
        <v>269</v>
      </c>
      <c r="C429" s="15">
        <v>4</v>
      </c>
      <c r="D429" s="23" t="s">
        <v>222</v>
      </c>
      <c r="E429" s="23" t="s">
        <v>172</v>
      </c>
      <c r="F429" s="2" t="s">
        <v>40</v>
      </c>
      <c r="G429" s="2">
        <v>40</v>
      </c>
      <c r="H429" s="2" t="s">
        <v>14</v>
      </c>
      <c r="I429" s="2">
        <v>10</v>
      </c>
      <c r="J429" s="24">
        <v>10</v>
      </c>
      <c r="K429" s="25">
        <v>5</v>
      </c>
      <c r="L429" s="15">
        <f>IFERROR(VLOOKUP($D429&amp;$C429,生产方式定位!$A$2:$E$38,2,FALSE)+VLOOKUP($E429&amp;$C429,生产方式定位!$F$3:$J$38,2,FALSE),0)</f>
        <v>2050</v>
      </c>
      <c r="S429" s="15">
        <f>IFERROR(VLOOKUP($D429&amp;$C429,生产方式定位!$A$2:$E$38,3,FALSE)+VLOOKUP($E429&amp;$C429,生产方式定位!$F$3:$J$38,3,FALSE),0)</f>
        <v>100</v>
      </c>
      <c r="T429" s="2" t="s">
        <v>54</v>
      </c>
      <c r="U429" s="2">
        <v>1</v>
      </c>
      <c r="X429" s="15">
        <f>IFERROR(VLOOKUP($D429&amp;$C429,生产方式定位!$A$2:$E$38,5,FALSE)+VLOOKUP($E429&amp;$C429,生产方式定位!$F$3:$J$38,5,FALSE),"错误")</f>
        <v>3140</v>
      </c>
      <c r="Y429" s="26" t="str">
        <f t="shared" si="128"/>
        <v>秘银*16,硬木*8,运力*32,交易*16</v>
      </c>
      <c r="Z429" s="36" t="str">
        <f t="shared" si="129"/>
        <v/>
      </c>
      <c r="AA429" s="36" t="str">
        <f t="shared" si="130"/>
        <v>魔能机甲*31</v>
      </c>
      <c r="AB429" s="27" t="str">
        <f t="shared" si="131"/>
        <v>53%</v>
      </c>
      <c r="AC429" s="2">
        <f t="shared" si="132"/>
        <v>990</v>
      </c>
      <c r="AD429" s="38">
        <f t="shared" si="133"/>
        <v>4</v>
      </c>
      <c r="AE429" t="str">
        <f t="shared" si="134"/>
        <v>秘银*16</v>
      </c>
      <c r="AF429" t="str">
        <f t="shared" si="135"/>
        <v>硬木*8</v>
      </c>
      <c r="AG429" t="str">
        <f t="shared" si="136"/>
        <v/>
      </c>
      <c r="AH429" t="str">
        <f t="shared" si="137"/>
        <v/>
      </c>
      <c r="AI429" t="str">
        <f t="shared" si="138"/>
        <v/>
      </c>
      <c r="AJ429" t="str">
        <f t="shared" si="139"/>
        <v>魔能机甲*31</v>
      </c>
      <c r="AK429" t="str">
        <f t="shared" si="140"/>
        <v/>
      </c>
      <c r="AL429">
        <f>IFERROR(ROUND(L429*(G429/$AU429)/VLOOKUP(F429,商品!$A$4:$B$60,2,FALSE),0),"")</f>
        <v>16</v>
      </c>
      <c r="AM429">
        <f>IFERROR(ROUND(L429*(I429/$AU429)/VLOOKUP(H429,商品!$A$4:$B$60,2,FALSE),0),"")</f>
        <v>8</v>
      </c>
      <c r="AN429">
        <f>IFERROR(ROUND(L429*(J429/$AU429)/VLOOKUP("运力",商品!$A$4:$B$60,2,FALSE),0),0)</f>
        <v>32</v>
      </c>
      <c r="AO429">
        <f>IFERROR(ROUND(L429*(K429/$AU429)/VLOOKUP("交易",商品!$A$4:$B$60,2,FALSE),0),0)</f>
        <v>16</v>
      </c>
      <c r="AP429" t="str">
        <f>IFERROR(ROUND(S429*(N429/$AV429)/VLOOKUP(M429,职业!$A$4:$G$16,4,FALSE),0),"")</f>
        <v/>
      </c>
      <c r="AQ429" t="str">
        <f>IFERROR(ROUND(S429*(P429/$AV429)/VLOOKUP(O429,职业!$A$4:$G$16,4,FALSE),0),"")</f>
        <v/>
      </c>
      <c r="AR429" t="str">
        <f>IFERROR(ROUND(S429*(R429/$AV429)/VLOOKUP(Q429,职业!$A$4:$G$16,4,FALSE),0),"")</f>
        <v/>
      </c>
      <c r="AS429">
        <f>IFERROR(ROUND(X429*(U429/$AW429)/VLOOKUP(T429,商品!$A$4:$B$60,2,FALSE),0),"")</f>
        <v>31</v>
      </c>
      <c r="AT429" t="str">
        <f>IFERROR(ROUND(X429*(W429/$AW429)/VLOOKUP(V429,商品!$A$4:$B$60,2,FALSE),0),"")</f>
        <v/>
      </c>
      <c r="AU429">
        <f t="shared" si="141"/>
        <v>65</v>
      </c>
      <c r="AV429">
        <f t="shared" si="142"/>
        <v>0</v>
      </c>
      <c r="AW429">
        <f t="shared" si="143"/>
        <v>1</v>
      </c>
    </row>
    <row r="430" spans="1:49" ht="19.95" customHeight="1" x14ac:dyDescent="0.25">
      <c r="A430" s="15" t="s">
        <v>269</v>
      </c>
      <c r="C430" s="15">
        <v>5</v>
      </c>
      <c r="D430" s="23" t="s">
        <v>222</v>
      </c>
      <c r="E430" s="23" t="s">
        <v>172</v>
      </c>
      <c r="F430" s="2" t="s">
        <v>40</v>
      </c>
      <c r="G430" s="2">
        <v>40</v>
      </c>
      <c r="H430" s="2" t="s">
        <v>14</v>
      </c>
      <c r="I430" s="2">
        <v>10</v>
      </c>
      <c r="J430" s="24">
        <v>10</v>
      </c>
      <c r="K430" s="25">
        <v>5</v>
      </c>
      <c r="L430" s="15">
        <f>IFERROR(VLOOKUP($D430&amp;$C430,生产方式定位!$A$2:$E$38,2,FALSE)+VLOOKUP($E430&amp;$C430,生产方式定位!$F$3:$J$38,2,FALSE),0)</f>
        <v>2275</v>
      </c>
      <c r="S430" s="15">
        <f>IFERROR(VLOOKUP($D430&amp;$C430,生产方式定位!$A$2:$E$38,3,FALSE)+VLOOKUP($E430&amp;$C430,生产方式定位!$F$3:$J$38,3,FALSE),0)</f>
        <v>100</v>
      </c>
      <c r="T430" s="2" t="s">
        <v>54</v>
      </c>
      <c r="U430" s="2">
        <v>1</v>
      </c>
      <c r="X430" s="15">
        <f>IFERROR(VLOOKUP($D430&amp;$C430,生产方式定位!$A$2:$E$38,5,FALSE)+VLOOKUP($E430&amp;$C430,生产方式定位!$F$3:$J$38,5,FALSE),"错误")</f>
        <v>3450</v>
      </c>
      <c r="Y430" s="26" t="str">
        <f t="shared" si="128"/>
        <v>秘银*18,硬木*9,运力*35,交易*18</v>
      </c>
      <c r="Z430" s="36" t="str">
        <f t="shared" si="129"/>
        <v/>
      </c>
      <c r="AA430" s="36" t="str">
        <f t="shared" si="130"/>
        <v>魔能机甲*35</v>
      </c>
      <c r="AB430" s="27" t="str">
        <f t="shared" si="131"/>
        <v>52%</v>
      </c>
      <c r="AC430" s="2">
        <f t="shared" si="132"/>
        <v>1075</v>
      </c>
      <c r="AD430" s="38">
        <f t="shared" si="133"/>
        <v>5</v>
      </c>
      <c r="AE430" t="str">
        <f t="shared" si="134"/>
        <v>秘银*18</v>
      </c>
      <c r="AF430" t="str">
        <f t="shared" si="135"/>
        <v>硬木*9</v>
      </c>
      <c r="AG430" t="str">
        <f t="shared" si="136"/>
        <v/>
      </c>
      <c r="AH430" t="str">
        <f t="shared" si="137"/>
        <v/>
      </c>
      <c r="AI430" t="str">
        <f t="shared" si="138"/>
        <v/>
      </c>
      <c r="AJ430" t="str">
        <f t="shared" si="139"/>
        <v>魔能机甲*35</v>
      </c>
      <c r="AK430" t="str">
        <f t="shared" si="140"/>
        <v/>
      </c>
      <c r="AL430">
        <f>IFERROR(ROUND(L430*(G430/$AU430)/VLOOKUP(F430,商品!$A$4:$B$60,2,FALSE),0),"")</f>
        <v>18</v>
      </c>
      <c r="AM430">
        <f>IFERROR(ROUND(L430*(I430/$AU430)/VLOOKUP(H430,商品!$A$4:$B$60,2,FALSE),0),"")</f>
        <v>9</v>
      </c>
      <c r="AN430">
        <f>IFERROR(ROUND(L430*(J430/$AU430)/VLOOKUP("运力",商品!$A$4:$B$60,2,FALSE),0),0)</f>
        <v>35</v>
      </c>
      <c r="AO430">
        <f>IFERROR(ROUND(L430*(K430/$AU430)/VLOOKUP("交易",商品!$A$4:$B$60,2,FALSE),0),0)</f>
        <v>18</v>
      </c>
      <c r="AP430" t="str">
        <f>IFERROR(ROUND(S430*(N430/$AV430)/VLOOKUP(M430,职业!$A$4:$G$16,4,FALSE),0),"")</f>
        <v/>
      </c>
      <c r="AQ430" t="str">
        <f>IFERROR(ROUND(S430*(P430/$AV430)/VLOOKUP(O430,职业!$A$4:$G$16,4,FALSE),0),"")</f>
        <v/>
      </c>
      <c r="AR430" t="str">
        <f>IFERROR(ROUND(S430*(R430/$AV430)/VLOOKUP(Q430,职业!$A$4:$G$16,4,FALSE),0),"")</f>
        <v/>
      </c>
      <c r="AS430">
        <f>IFERROR(ROUND(X430*(U430/$AW430)/VLOOKUP(T430,商品!$A$4:$B$60,2,FALSE),0),"")</f>
        <v>35</v>
      </c>
      <c r="AT430" t="str">
        <f>IFERROR(ROUND(X430*(W430/$AW430)/VLOOKUP(V430,商品!$A$4:$B$60,2,FALSE),0),"")</f>
        <v/>
      </c>
      <c r="AU430">
        <f t="shared" si="141"/>
        <v>65</v>
      </c>
      <c r="AV430">
        <f t="shared" si="142"/>
        <v>0</v>
      </c>
      <c r="AW430">
        <f t="shared" si="143"/>
        <v>1</v>
      </c>
    </row>
    <row r="431" spans="1:49" ht="19.95" customHeight="1" x14ac:dyDescent="0.25">
      <c r="A431" s="16" t="s">
        <v>270</v>
      </c>
      <c r="C431" s="16">
        <v>1</v>
      </c>
      <c r="D431" s="23" t="s">
        <v>222</v>
      </c>
      <c r="E431" s="23" t="s">
        <v>193</v>
      </c>
      <c r="F431" s="2" t="s">
        <v>40</v>
      </c>
      <c r="G431" s="2">
        <v>40</v>
      </c>
      <c r="H431" s="2" t="s">
        <v>14</v>
      </c>
      <c r="I431" s="2">
        <v>10</v>
      </c>
      <c r="J431" s="24">
        <v>10</v>
      </c>
      <c r="K431" s="25">
        <v>5</v>
      </c>
      <c r="L431" s="16">
        <f>IFERROR(VLOOKUP($D431&amp;$C431,生产方式定位!$A$2:$E$38,2,FALSE)+VLOOKUP($E431&amp;$C431,生产方式定位!$F$3:$J$38,2,FALSE),0)</f>
        <v>1000</v>
      </c>
      <c r="S431" s="16">
        <f>IFERROR(VLOOKUP($D431&amp;$C431,生产方式定位!$A$2:$E$38,3,FALSE)+VLOOKUP($E431&amp;$C431,生产方式定位!$F$3:$J$38,3,FALSE),0)</f>
        <v>100</v>
      </c>
      <c r="T431" s="2" t="s">
        <v>52</v>
      </c>
      <c r="U431" s="2">
        <v>1</v>
      </c>
      <c r="X431" s="16">
        <f>IFERROR(VLOOKUP($D431&amp;$C431,生产方式定位!$A$2:$E$38,5,FALSE)+VLOOKUP($E431&amp;$C431,生产方式定位!$F$3:$J$38,5,FALSE),"错误")</f>
        <v>1760</v>
      </c>
      <c r="Y431" s="26" t="str">
        <f t="shared" si="128"/>
        <v>秘银*8,硬木*4,运力*15,交易*8</v>
      </c>
      <c r="Z431" s="36" t="str">
        <f t="shared" si="129"/>
        <v/>
      </c>
      <c r="AA431" s="36" t="str">
        <f t="shared" si="130"/>
        <v>魔能飞行器*22</v>
      </c>
      <c r="AB431" s="27" t="str">
        <f t="shared" si="131"/>
        <v>76%</v>
      </c>
      <c r="AC431" s="2">
        <f t="shared" si="132"/>
        <v>660</v>
      </c>
      <c r="AD431" s="38">
        <f t="shared" si="133"/>
        <v>1</v>
      </c>
      <c r="AE431" t="str">
        <f t="shared" si="134"/>
        <v>秘银*8</v>
      </c>
      <c r="AF431" t="str">
        <f t="shared" si="135"/>
        <v>硬木*4</v>
      </c>
      <c r="AG431" t="str">
        <f t="shared" si="136"/>
        <v/>
      </c>
      <c r="AH431" t="str">
        <f t="shared" si="137"/>
        <v/>
      </c>
      <c r="AI431" t="str">
        <f t="shared" si="138"/>
        <v/>
      </c>
      <c r="AJ431" t="str">
        <f t="shared" si="139"/>
        <v>魔能飞行器*22</v>
      </c>
      <c r="AK431" t="str">
        <f t="shared" si="140"/>
        <v/>
      </c>
      <c r="AL431">
        <f>IFERROR(ROUND(L431*(G431/$AU431)/VLOOKUP(F431,商品!$A$4:$B$60,2,FALSE),0),"")</f>
        <v>8</v>
      </c>
      <c r="AM431">
        <f>IFERROR(ROUND(L431*(I431/$AU431)/VLOOKUP(H431,商品!$A$4:$B$60,2,FALSE),0),"")</f>
        <v>4</v>
      </c>
      <c r="AN431">
        <f>IFERROR(ROUND(L431*(J431/$AU431)/VLOOKUP("运力",商品!$A$4:$B$60,2,FALSE),0),0)</f>
        <v>15</v>
      </c>
      <c r="AO431">
        <f>IFERROR(ROUND(L431*(K431/$AU431)/VLOOKUP("交易",商品!$A$4:$B$60,2,FALSE),0),0)</f>
        <v>8</v>
      </c>
      <c r="AP431" t="str">
        <f>IFERROR(ROUND(S431*(N431/$AV431)/VLOOKUP(M431,职业!$A$4:$G$16,4,FALSE),0),"")</f>
        <v/>
      </c>
      <c r="AQ431" t="str">
        <f>IFERROR(ROUND(S431*(P431/$AV431)/VLOOKUP(O431,职业!$A$4:$G$16,4,FALSE),0),"")</f>
        <v/>
      </c>
      <c r="AR431" t="str">
        <f>IFERROR(ROUND(S431*(R431/$AV431)/VLOOKUP(Q431,职业!$A$4:$G$16,4,FALSE),0),"")</f>
        <v/>
      </c>
      <c r="AS431">
        <f>IFERROR(ROUND(X431*(U431/$AW431)/VLOOKUP(T431,商品!$A$4:$B$60,2,FALSE),0),"")</f>
        <v>22</v>
      </c>
      <c r="AT431" t="str">
        <f>IFERROR(ROUND(X431*(W431/$AW431)/VLOOKUP(V431,商品!$A$4:$B$60,2,FALSE),0),"")</f>
        <v/>
      </c>
      <c r="AU431">
        <f t="shared" si="141"/>
        <v>65</v>
      </c>
      <c r="AV431">
        <f t="shared" si="142"/>
        <v>0</v>
      </c>
      <c r="AW431">
        <f t="shared" si="143"/>
        <v>1</v>
      </c>
    </row>
    <row r="432" spans="1:49" ht="19.95" customHeight="1" x14ac:dyDescent="0.25">
      <c r="A432" s="16" t="s">
        <v>270</v>
      </c>
      <c r="C432" s="16">
        <v>2</v>
      </c>
      <c r="D432" s="23" t="s">
        <v>222</v>
      </c>
      <c r="E432" s="23" t="s">
        <v>193</v>
      </c>
      <c r="F432" s="2" t="s">
        <v>40</v>
      </c>
      <c r="G432" s="2">
        <v>40</v>
      </c>
      <c r="H432" s="2" t="s">
        <v>14</v>
      </c>
      <c r="I432" s="2">
        <v>10</v>
      </c>
      <c r="J432" s="24">
        <v>10</v>
      </c>
      <c r="K432" s="25">
        <v>5</v>
      </c>
      <c r="L432" s="16">
        <f>IFERROR(VLOOKUP($D432&amp;$C432,生产方式定位!$A$2:$E$38,2,FALSE)+VLOOKUP($E432&amp;$C432,生产方式定位!$F$3:$J$38,2,FALSE),0)</f>
        <v>1500</v>
      </c>
      <c r="S432" s="16">
        <f>IFERROR(VLOOKUP($D432&amp;$C432,生产方式定位!$A$2:$E$38,3,FALSE)+VLOOKUP($E432&amp;$C432,生产方式定位!$F$3:$J$38,3,FALSE),0)</f>
        <v>5</v>
      </c>
      <c r="T432" s="2" t="s">
        <v>52</v>
      </c>
      <c r="U432" s="2">
        <v>1</v>
      </c>
      <c r="X432" s="16">
        <f>IFERROR(VLOOKUP($D432&amp;$C432,生产方式定位!$A$2:$E$38,5,FALSE)+VLOOKUP($E432&amp;$C432,生产方式定位!$F$3:$J$38,5,FALSE),"错误")</f>
        <v>2347</v>
      </c>
      <c r="Y432" s="26" t="str">
        <f t="shared" si="128"/>
        <v>秘银*12,硬木*6,运力*23,交易*12</v>
      </c>
      <c r="Z432" s="36" t="str">
        <f t="shared" si="129"/>
        <v/>
      </c>
      <c r="AA432" s="36" t="str">
        <f t="shared" si="130"/>
        <v>魔能飞行器*29</v>
      </c>
      <c r="AB432" s="27" t="str">
        <f t="shared" si="131"/>
        <v>56%</v>
      </c>
      <c r="AC432" s="2">
        <f t="shared" si="132"/>
        <v>842</v>
      </c>
      <c r="AD432" s="38">
        <f t="shared" si="133"/>
        <v>2</v>
      </c>
      <c r="AE432" t="str">
        <f t="shared" si="134"/>
        <v>秘银*12</v>
      </c>
      <c r="AF432" t="str">
        <f t="shared" si="135"/>
        <v>硬木*6</v>
      </c>
      <c r="AG432" t="str">
        <f t="shared" si="136"/>
        <v/>
      </c>
      <c r="AH432" t="str">
        <f t="shared" si="137"/>
        <v/>
      </c>
      <c r="AI432" t="str">
        <f t="shared" si="138"/>
        <v/>
      </c>
      <c r="AJ432" t="str">
        <f t="shared" si="139"/>
        <v>魔能飞行器*29</v>
      </c>
      <c r="AK432" t="str">
        <f t="shared" si="140"/>
        <v/>
      </c>
      <c r="AL432">
        <f>IFERROR(ROUND(L432*(G432/$AU432)/VLOOKUP(F432,商品!$A$4:$B$60,2,FALSE),0),"")</f>
        <v>12</v>
      </c>
      <c r="AM432">
        <f>IFERROR(ROUND(L432*(I432/$AU432)/VLOOKUP(H432,商品!$A$4:$B$60,2,FALSE),0),"")</f>
        <v>6</v>
      </c>
      <c r="AN432">
        <f>IFERROR(ROUND(L432*(J432/$AU432)/VLOOKUP("运力",商品!$A$4:$B$60,2,FALSE),0),0)</f>
        <v>23</v>
      </c>
      <c r="AO432">
        <f>IFERROR(ROUND(L432*(K432/$AU432)/VLOOKUP("交易",商品!$A$4:$B$60,2,FALSE),0),0)</f>
        <v>12</v>
      </c>
      <c r="AP432" t="str">
        <f>IFERROR(ROUND(S432*(N432/$AV432)/VLOOKUP(M432,职业!$A$4:$G$16,4,FALSE),0),"")</f>
        <v/>
      </c>
      <c r="AQ432" t="str">
        <f>IFERROR(ROUND(S432*(P432/$AV432)/VLOOKUP(O432,职业!$A$4:$G$16,4,FALSE),0),"")</f>
        <v/>
      </c>
      <c r="AR432" t="str">
        <f>IFERROR(ROUND(S432*(R432/$AV432)/VLOOKUP(Q432,职业!$A$4:$G$16,4,FALSE),0),"")</f>
        <v/>
      </c>
      <c r="AS432">
        <f>IFERROR(ROUND(X432*(U432/$AW432)/VLOOKUP(T432,商品!$A$4:$B$60,2,FALSE),0),"")</f>
        <v>29</v>
      </c>
      <c r="AT432" t="str">
        <f>IFERROR(ROUND(X432*(W432/$AW432)/VLOOKUP(V432,商品!$A$4:$B$60,2,FALSE),0),"")</f>
        <v/>
      </c>
      <c r="AU432">
        <f t="shared" si="141"/>
        <v>65</v>
      </c>
      <c r="AV432">
        <f t="shared" si="142"/>
        <v>0</v>
      </c>
      <c r="AW432">
        <f t="shared" si="143"/>
        <v>1</v>
      </c>
    </row>
    <row r="433" spans="1:49" ht="19.95" customHeight="1" x14ac:dyDescent="0.25">
      <c r="A433" s="16" t="s">
        <v>270</v>
      </c>
      <c r="C433" s="16">
        <v>3</v>
      </c>
      <c r="D433" s="23" t="s">
        <v>222</v>
      </c>
      <c r="E433" s="23" t="s">
        <v>193</v>
      </c>
      <c r="F433" s="2" t="s">
        <v>40</v>
      </c>
      <c r="G433" s="2">
        <v>40</v>
      </c>
      <c r="H433" s="2" t="s">
        <v>14</v>
      </c>
      <c r="I433" s="2">
        <v>10</v>
      </c>
      <c r="J433" s="24">
        <v>10</v>
      </c>
      <c r="K433" s="25">
        <v>5</v>
      </c>
      <c r="L433" s="16">
        <f>IFERROR(VLOOKUP($D433&amp;$C433,生产方式定位!$A$2:$E$38,2,FALSE)+VLOOKUP($E433&amp;$C433,生产方式定位!$F$3:$J$38,2,FALSE),0)</f>
        <v>1700</v>
      </c>
      <c r="S433" s="16">
        <f>IFERROR(VLOOKUP($D433&amp;$C433,生产方式定位!$A$2:$E$38,3,FALSE)+VLOOKUP($E433&amp;$C433,生产方式定位!$F$3:$J$38,3,FALSE),0)</f>
        <v>10</v>
      </c>
      <c r="T433" s="2" t="s">
        <v>52</v>
      </c>
      <c r="U433" s="2">
        <v>1</v>
      </c>
      <c r="X433" s="16">
        <f>IFERROR(VLOOKUP($D433&amp;$C433,生产方式定位!$A$2:$E$38,5,FALSE)+VLOOKUP($E433&amp;$C433,生产方式定位!$F$3:$J$38,5,FALSE),"错误")</f>
        <v>2654</v>
      </c>
      <c r="Y433" s="26" t="str">
        <f t="shared" si="128"/>
        <v>秘银*13,硬木*7,运力*26,交易*13</v>
      </c>
      <c r="Z433" s="36" t="str">
        <f t="shared" si="129"/>
        <v/>
      </c>
      <c r="AA433" s="36" t="str">
        <f t="shared" si="130"/>
        <v>魔能飞行器*33</v>
      </c>
      <c r="AB433" s="27" t="str">
        <f t="shared" si="131"/>
        <v>56%</v>
      </c>
      <c r="AC433" s="2">
        <f t="shared" si="132"/>
        <v>944</v>
      </c>
      <c r="AD433" s="38">
        <f t="shared" si="133"/>
        <v>3</v>
      </c>
      <c r="AE433" t="str">
        <f t="shared" si="134"/>
        <v>秘银*13</v>
      </c>
      <c r="AF433" t="str">
        <f t="shared" si="135"/>
        <v>硬木*7</v>
      </c>
      <c r="AG433" t="str">
        <f t="shared" si="136"/>
        <v/>
      </c>
      <c r="AH433" t="str">
        <f t="shared" si="137"/>
        <v/>
      </c>
      <c r="AI433" t="str">
        <f t="shared" si="138"/>
        <v/>
      </c>
      <c r="AJ433" t="str">
        <f t="shared" si="139"/>
        <v>魔能飞行器*33</v>
      </c>
      <c r="AK433" t="str">
        <f t="shared" si="140"/>
        <v/>
      </c>
      <c r="AL433">
        <f>IFERROR(ROUND(L433*(G433/$AU433)/VLOOKUP(F433,商品!$A$4:$B$60,2,FALSE),0),"")</f>
        <v>13</v>
      </c>
      <c r="AM433">
        <f>IFERROR(ROUND(L433*(I433/$AU433)/VLOOKUP(H433,商品!$A$4:$B$60,2,FALSE),0),"")</f>
        <v>7</v>
      </c>
      <c r="AN433">
        <f>IFERROR(ROUND(L433*(J433/$AU433)/VLOOKUP("运力",商品!$A$4:$B$60,2,FALSE),0),0)</f>
        <v>26</v>
      </c>
      <c r="AO433">
        <f>IFERROR(ROUND(L433*(K433/$AU433)/VLOOKUP("交易",商品!$A$4:$B$60,2,FALSE),0),0)</f>
        <v>13</v>
      </c>
      <c r="AP433" t="str">
        <f>IFERROR(ROUND(S433*(N433/$AV433)/VLOOKUP(M433,职业!$A$4:$G$16,4,FALSE),0),"")</f>
        <v/>
      </c>
      <c r="AQ433" t="str">
        <f>IFERROR(ROUND(S433*(P433/$AV433)/VLOOKUP(O433,职业!$A$4:$G$16,4,FALSE),0),"")</f>
        <v/>
      </c>
      <c r="AR433" t="str">
        <f>IFERROR(ROUND(S433*(R433/$AV433)/VLOOKUP(Q433,职业!$A$4:$G$16,4,FALSE),0),"")</f>
        <v/>
      </c>
      <c r="AS433">
        <f>IFERROR(ROUND(X433*(U433/$AW433)/VLOOKUP(T433,商品!$A$4:$B$60,2,FALSE),0),"")</f>
        <v>33</v>
      </c>
      <c r="AT433" t="str">
        <f>IFERROR(ROUND(X433*(W433/$AW433)/VLOOKUP(V433,商品!$A$4:$B$60,2,FALSE),0),"")</f>
        <v/>
      </c>
      <c r="AU433">
        <f t="shared" si="141"/>
        <v>65</v>
      </c>
      <c r="AV433">
        <f t="shared" si="142"/>
        <v>0</v>
      </c>
      <c r="AW433">
        <f t="shared" si="143"/>
        <v>1</v>
      </c>
    </row>
    <row r="434" spans="1:49" ht="19.95" customHeight="1" x14ac:dyDescent="0.25">
      <c r="A434" s="16" t="s">
        <v>270</v>
      </c>
      <c r="C434" s="16">
        <v>4</v>
      </c>
      <c r="D434" s="23" t="s">
        <v>222</v>
      </c>
      <c r="E434" s="23" t="s">
        <v>193</v>
      </c>
      <c r="F434" s="2" t="s">
        <v>40</v>
      </c>
      <c r="G434" s="2">
        <v>40</v>
      </c>
      <c r="H434" s="2" t="s">
        <v>14</v>
      </c>
      <c r="I434" s="2">
        <v>10</v>
      </c>
      <c r="J434" s="24">
        <v>10</v>
      </c>
      <c r="K434" s="25">
        <v>5</v>
      </c>
      <c r="L434" s="16">
        <f>IFERROR(VLOOKUP($D434&amp;$C434,生产方式定位!$A$2:$E$38,2,FALSE)+VLOOKUP($E434&amp;$C434,生产方式定位!$F$3:$J$38,2,FALSE),0)</f>
        <v>1900</v>
      </c>
      <c r="S434" s="16">
        <f>IFERROR(VLOOKUP($D434&amp;$C434,生产方式定位!$A$2:$E$38,3,FALSE)+VLOOKUP($E434&amp;$C434,生产方式定位!$F$3:$J$38,3,FALSE),0)</f>
        <v>15</v>
      </c>
      <c r="T434" s="2" t="s">
        <v>52</v>
      </c>
      <c r="U434" s="2">
        <v>1</v>
      </c>
      <c r="X434" s="16">
        <f>IFERROR(VLOOKUP($D434&amp;$C434,生产方式定位!$A$2:$E$38,5,FALSE)+VLOOKUP($E434&amp;$C434,生产方式定位!$F$3:$J$38,5,FALSE),"错误")</f>
        <v>2961</v>
      </c>
      <c r="Y434" s="26" t="str">
        <f t="shared" si="128"/>
        <v>秘银*15,硬木*7,运力*29,交易*15</v>
      </c>
      <c r="Z434" s="36" t="str">
        <f t="shared" si="129"/>
        <v/>
      </c>
      <c r="AA434" s="36" t="str">
        <f t="shared" si="130"/>
        <v>魔能飞行器*37</v>
      </c>
      <c r="AB434" s="27" t="str">
        <f t="shared" si="131"/>
        <v>56%</v>
      </c>
      <c r="AC434" s="2">
        <f t="shared" si="132"/>
        <v>1046</v>
      </c>
      <c r="AD434" s="38">
        <f t="shared" si="133"/>
        <v>4</v>
      </c>
      <c r="AE434" t="str">
        <f t="shared" si="134"/>
        <v>秘银*15</v>
      </c>
      <c r="AF434" t="str">
        <f t="shared" si="135"/>
        <v>硬木*7</v>
      </c>
      <c r="AG434" t="str">
        <f t="shared" si="136"/>
        <v/>
      </c>
      <c r="AH434" t="str">
        <f t="shared" si="137"/>
        <v/>
      </c>
      <c r="AI434" t="str">
        <f t="shared" si="138"/>
        <v/>
      </c>
      <c r="AJ434" t="str">
        <f t="shared" si="139"/>
        <v>魔能飞行器*37</v>
      </c>
      <c r="AK434" t="str">
        <f t="shared" si="140"/>
        <v/>
      </c>
      <c r="AL434">
        <f>IFERROR(ROUND(L434*(G434/$AU434)/VLOOKUP(F434,商品!$A$4:$B$60,2,FALSE),0),"")</f>
        <v>15</v>
      </c>
      <c r="AM434">
        <f>IFERROR(ROUND(L434*(I434/$AU434)/VLOOKUP(H434,商品!$A$4:$B$60,2,FALSE),0),"")</f>
        <v>7</v>
      </c>
      <c r="AN434">
        <f>IFERROR(ROUND(L434*(J434/$AU434)/VLOOKUP("运力",商品!$A$4:$B$60,2,FALSE),0),0)</f>
        <v>29</v>
      </c>
      <c r="AO434">
        <f>IFERROR(ROUND(L434*(K434/$AU434)/VLOOKUP("交易",商品!$A$4:$B$60,2,FALSE),0),0)</f>
        <v>15</v>
      </c>
      <c r="AP434" t="str">
        <f>IFERROR(ROUND(S434*(N434/$AV434)/VLOOKUP(M434,职业!$A$4:$G$16,4,FALSE),0),"")</f>
        <v/>
      </c>
      <c r="AQ434" t="str">
        <f>IFERROR(ROUND(S434*(P434/$AV434)/VLOOKUP(O434,职业!$A$4:$G$16,4,FALSE),0),"")</f>
        <v/>
      </c>
      <c r="AR434" t="str">
        <f>IFERROR(ROUND(S434*(R434/$AV434)/VLOOKUP(Q434,职业!$A$4:$G$16,4,FALSE),0),"")</f>
        <v/>
      </c>
      <c r="AS434">
        <f>IFERROR(ROUND(X434*(U434/$AW434)/VLOOKUP(T434,商品!$A$4:$B$60,2,FALSE),0),"")</f>
        <v>37</v>
      </c>
      <c r="AT434" t="str">
        <f>IFERROR(ROUND(X434*(W434/$AW434)/VLOOKUP(V434,商品!$A$4:$B$60,2,FALSE),0),"")</f>
        <v/>
      </c>
      <c r="AU434">
        <f t="shared" si="141"/>
        <v>65</v>
      </c>
      <c r="AV434">
        <f t="shared" si="142"/>
        <v>0</v>
      </c>
      <c r="AW434">
        <f t="shared" si="143"/>
        <v>1</v>
      </c>
    </row>
    <row r="435" spans="1:49" ht="19.95" customHeight="1" x14ac:dyDescent="0.25">
      <c r="A435" s="16" t="s">
        <v>270</v>
      </c>
      <c r="C435" s="16">
        <v>5</v>
      </c>
      <c r="D435" s="23" t="s">
        <v>222</v>
      </c>
      <c r="E435" s="23" t="s">
        <v>193</v>
      </c>
      <c r="F435" s="2" t="s">
        <v>40</v>
      </c>
      <c r="G435" s="2">
        <v>40</v>
      </c>
      <c r="H435" s="2" t="s">
        <v>14</v>
      </c>
      <c r="I435" s="2">
        <v>10</v>
      </c>
      <c r="J435" s="24">
        <v>10</v>
      </c>
      <c r="K435" s="25">
        <v>5</v>
      </c>
      <c r="L435" s="16">
        <f>IFERROR(VLOOKUP($D435&amp;$C435,生产方式定位!$A$2:$E$38,2,FALSE)+VLOOKUP($E435&amp;$C435,生产方式定位!$F$3:$J$38,2,FALSE),0)</f>
        <v>2100</v>
      </c>
      <c r="S435" s="16">
        <f>IFERROR(VLOOKUP($D435&amp;$C435,生产方式定位!$A$2:$E$38,3,FALSE)+VLOOKUP($E435&amp;$C435,生产方式定位!$F$3:$J$38,3,FALSE),0)</f>
        <v>20</v>
      </c>
      <c r="T435" s="2" t="s">
        <v>52</v>
      </c>
      <c r="U435" s="2">
        <v>1</v>
      </c>
      <c r="X435" s="16">
        <f>IFERROR(VLOOKUP($D435&amp;$C435,生产方式定位!$A$2:$E$38,5,FALSE)+VLOOKUP($E435&amp;$C435,生产方式定位!$F$3:$J$38,5,FALSE),"错误")</f>
        <v>3268</v>
      </c>
      <c r="Y435" s="26" t="str">
        <f t="shared" si="128"/>
        <v>秘银*16,硬木*8,运力*32,交易*16</v>
      </c>
      <c r="Z435" s="36" t="str">
        <f t="shared" si="129"/>
        <v/>
      </c>
      <c r="AA435" s="36" t="str">
        <f t="shared" si="130"/>
        <v>魔能飞行器*41</v>
      </c>
      <c r="AB435" s="27" t="str">
        <f t="shared" si="131"/>
        <v>56%</v>
      </c>
      <c r="AC435" s="2">
        <f t="shared" si="132"/>
        <v>1148</v>
      </c>
      <c r="AD435" s="38">
        <f t="shared" si="133"/>
        <v>5</v>
      </c>
      <c r="AE435" t="str">
        <f t="shared" si="134"/>
        <v>秘银*16</v>
      </c>
      <c r="AF435" t="str">
        <f t="shared" si="135"/>
        <v>硬木*8</v>
      </c>
      <c r="AG435" t="str">
        <f t="shared" si="136"/>
        <v/>
      </c>
      <c r="AH435" t="str">
        <f t="shared" si="137"/>
        <v/>
      </c>
      <c r="AI435" t="str">
        <f t="shared" si="138"/>
        <v/>
      </c>
      <c r="AJ435" t="str">
        <f t="shared" si="139"/>
        <v>魔能飞行器*41</v>
      </c>
      <c r="AK435" t="str">
        <f t="shared" si="140"/>
        <v/>
      </c>
      <c r="AL435">
        <f>IFERROR(ROUND(L435*(G435/$AU435)/VLOOKUP(F435,商品!$A$4:$B$60,2,FALSE),0),"")</f>
        <v>16</v>
      </c>
      <c r="AM435">
        <f>IFERROR(ROUND(L435*(I435/$AU435)/VLOOKUP(H435,商品!$A$4:$B$60,2,FALSE),0),"")</f>
        <v>8</v>
      </c>
      <c r="AN435">
        <f>IFERROR(ROUND(L435*(J435/$AU435)/VLOOKUP("运力",商品!$A$4:$B$60,2,FALSE),0),0)</f>
        <v>32</v>
      </c>
      <c r="AO435">
        <f>IFERROR(ROUND(L435*(K435/$AU435)/VLOOKUP("交易",商品!$A$4:$B$60,2,FALSE),0),0)</f>
        <v>16</v>
      </c>
      <c r="AP435" t="str">
        <f>IFERROR(ROUND(S435*(N435/$AV435)/VLOOKUP(M435,职业!$A$4:$G$16,4,FALSE),0),"")</f>
        <v/>
      </c>
      <c r="AQ435" t="str">
        <f>IFERROR(ROUND(S435*(P435/$AV435)/VLOOKUP(O435,职业!$A$4:$G$16,4,FALSE),0),"")</f>
        <v/>
      </c>
      <c r="AR435" t="str">
        <f>IFERROR(ROUND(S435*(R435/$AV435)/VLOOKUP(Q435,职业!$A$4:$G$16,4,FALSE),0),"")</f>
        <v/>
      </c>
      <c r="AS435">
        <f>IFERROR(ROUND(X435*(U435/$AW435)/VLOOKUP(T435,商品!$A$4:$B$60,2,FALSE),0),"")</f>
        <v>41</v>
      </c>
      <c r="AT435" t="str">
        <f>IFERROR(ROUND(X435*(W435/$AW435)/VLOOKUP(V435,商品!$A$4:$B$60,2,FALSE),0),"")</f>
        <v/>
      </c>
      <c r="AU435">
        <f t="shared" si="141"/>
        <v>65</v>
      </c>
      <c r="AV435">
        <f t="shared" si="142"/>
        <v>0</v>
      </c>
      <c r="AW435">
        <f t="shared" si="143"/>
        <v>1</v>
      </c>
    </row>
    <row r="436" spans="1:49" ht="19.95" customHeight="1" x14ac:dyDescent="0.25">
      <c r="A436" s="15" t="s">
        <v>522</v>
      </c>
      <c r="C436" s="15">
        <v>1</v>
      </c>
      <c r="D436" s="23" t="s">
        <v>174</v>
      </c>
      <c r="E436" s="23" t="s">
        <v>175</v>
      </c>
      <c r="L436" s="15">
        <f>IFERROR(VLOOKUP($D436&amp;$C436,生产方式定位!$A$2:$E$38,2,FALSE)+VLOOKUP($E436&amp;$C436,生产方式定位!$F$3:$J$38,2,FALSE),0)</f>
        <v>0</v>
      </c>
      <c r="S436" s="15">
        <f>IFERROR(VLOOKUP($D436&amp;$C436,生产方式定位!$A$2:$E$38,3,FALSE)+VLOOKUP($E436&amp;$C436,生产方式定位!$F$3:$J$38,3,FALSE),0)</f>
        <v>0</v>
      </c>
      <c r="X436" s="15">
        <f>IFERROR(VLOOKUP($D436&amp;$C436,生产方式定位!$A$2:$E$38,5,FALSE)+VLOOKUP($E436&amp;$C436,生产方式定位!$F$3:$J$38,5,FALSE),"错误")</f>
        <v>0</v>
      </c>
      <c r="Y436" s="26" t="str">
        <f t="shared" si="128"/>
        <v/>
      </c>
      <c r="Z436" s="36" t="str">
        <f t="shared" si="129"/>
        <v/>
      </c>
      <c r="AA436" s="36" t="str">
        <f t="shared" si="130"/>
        <v/>
      </c>
      <c r="AB436" s="27" t="str">
        <f t="shared" si="131"/>
        <v/>
      </c>
      <c r="AC436" s="2" t="str">
        <f t="shared" si="132"/>
        <v/>
      </c>
      <c r="AD436" s="37">
        <f t="shared" si="133"/>
        <v>1</v>
      </c>
      <c r="AE436" t="str">
        <f t="shared" si="134"/>
        <v/>
      </c>
      <c r="AF436" t="str">
        <f t="shared" si="135"/>
        <v/>
      </c>
      <c r="AG436" t="str">
        <f t="shared" si="136"/>
        <v/>
      </c>
      <c r="AH436" t="str">
        <f t="shared" si="137"/>
        <v/>
      </c>
      <c r="AI436" t="str">
        <f t="shared" si="138"/>
        <v/>
      </c>
      <c r="AJ436" t="str">
        <f t="shared" si="139"/>
        <v/>
      </c>
      <c r="AK436" t="str">
        <f t="shared" si="140"/>
        <v/>
      </c>
      <c r="AL436" t="str">
        <f>IFERROR(ROUND(L436*(G436/$AU436)/VLOOKUP(F436,商品!$A$4:$B$60,2,FALSE),0),"")</f>
        <v/>
      </c>
      <c r="AM436" t="str">
        <f>IFERROR(ROUND(L436*(I436/$AU436)/VLOOKUP(H436,商品!$A$4:$B$60,2,FALSE),0),"")</f>
        <v/>
      </c>
      <c r="AN436">
        <f>IFERROR(ROUND(L436*(J436/$AU436)/VLOOKUP("运力",商品!$A$4:$B$60,2,FALSE),0),0)</f>
        <v>0</v>
      </c>
      <c r="AO436">
        <f>IFERROR(ROUND(L436*(K436/$AU436)/VLOOKUP("交易",商品!$A$4:$B$60,2,FALSE),0),0)</f>
        <v>0</v>
      </c>
      <c r="AP436" t="str">
        <f>IFERROR(ROUND(S436*(N436/$AV436)/VLOOKUP(M436,职业!$A$4:$G$16,4,FALSE),0),"")</f>
        <v/>
      </c>
      <c r="AQ436" t="str">
        <f>IFERROR(ROUND(S436*(P436/$AV436)/VLOOKUP(O436,职业!$A$4:$G$16,4,FALSE),0),"")</f>
        <v/>
      </c>
      <c r="AR436" t="str">
        <f>IFERROR(ROUND(S436*(R436/$AV436)/VLOOKUP(Q436,职业!$A$4:$G$16,4,FALSE),0),"")</f>
        <v/>
      </c>
      <c r="AS436" t="str">
        <f>IFERROR(ROUND(X436*(U436/$AW436)/VLOOKUP(T436,商品!$A$4:$B$60,2,FALSE),0),"")</f>
        <v/>
      </c>
      <c r="AT436" t="str">
        <f>IFERROR(ROUND(X436*(W436/$AW436)/VLOOKUP(V436,商品!$A$4:$B$60,2,FALSE),0),"")</f>
        <v/>
      </c>
      <c r="AU436">
        <f t="shared" si="141"/>
        <v>0</v>
      </c>
      <c r="AV436">
        <f t="shared" si="142"/>
        <v>0</v>
      </c>
      <c r="AW436">
        <f t="shared" si="143"/>
        <v>0</v>
      </c>
    </row>
    <row r="437" spans="1:49" ht="19.95" customHeight="1" x14ac:dyDescent="0.25">
      <c r="A437" s="15" t="s">
        <v>522</v>
      </c>
      <c r="C437" s="15">
        <v>2</v>
      </c>
      <c r="D437" s="23" t="s">
        <v>174</v>
      </c>
      <c r="E437" s="23" t="s">
        <v>175</v>
      </c>
      <c r="F437" s="2" t="s">
        <v>41</v>
      </c>
      <c r="G437" s="2">
        <v>10</v>
      </c>
      <c r="L437" s="15">
        <f>IFERROR(VLOOKUP($D437&amp;$C437,生产方式定位!$A$2:$E$38,2,FALSE)+VLOOKUP($E437&amp;$C437,生产方式定位!$F$3:$J$38,2,FALSE),0)</f>
        <v>50</v>
      </c>
      <c r="S437" s="15">
        <f>IFERROR(VLOOKUP($D437&amp;$C437,生产方式定位!$A$2:$E$38,3,FALSE)+VLOOKUP($E437&amp;$C437,生产方式定位!$F$3:$J$38,3,FALSE),0)</f>
        <v>10</v>
      </c>
      <c r="X437" s="15">
        <f>IFERROR(VLOOKUP($D437&amp;$C437,生产方式定位!$A$2:$E$38,5,FALSE)+VLOOKUP($E437&amp;$C437,生产方式定位!$F$3:$J$38,5,FALSE),"错误")</f>
        <v>0</v>
      </c>
      <c r="Y437" s="26" t="str">
        <f t="shared" si="128"/>
        <v>工具*1</v>
      </c>
      <c r="Z437" s="36" t="str">
        <f t="shared" si="129"/>
        <v/>
      </c>
      <c r="AA437" s="36" t="str">
        <f t="shared" si="130"/>
        <v/>
      </c>
      <c r="AB437" s="27" t="str">
        <f t="shared" si="131"/>
        <v>-100%</v>
      </c>
      <c r="AC437" s="2">
        <f t="shared" si="132"/>
        <v>-60</v>
      </c>
      <c r="AD437" s="37">
        <f t="shared" si="133"/>
        <v>2</v>
      </c>
      <c r="AE437" t="str">
        <f t="shared" si="134"/>
        <v>工具*1</v>
      </c>
      <c r="AF437" t="str">
        <f t="shared" si="135"/>
        <v/>
      </c>
      <c r="AG437" t="str">
        <f t="shared" si="136"/>
        <v/>
      </c>
      <c r="AH437" t="str">
        <f t="shared" si="137"/>
        <v/>
      </c>
      <c r="AI437" t="str">
        <f t="shared" si="138"/>
        <v/>
      </c>
      <c r="AJ437" t="str">
        <f t="shared" si="139"/>
        <v/>
      </c>
      <c r="AK437" t="str">
        <f t="shared" si="140"/>
        <v/>
      </c>
      <c r="AL437">
        <f>IFERROR(ROUND(L437*(G437/$AU437)/VLOOKUP(F437,商品!$A$4:$B$60,2,FALSE),0),"")</f>
        <v>1</v>
      </c>
      <c r="AM437" t="str">
        <f>IFERROR(ROUND(L437*(I437/$AU437)/VLOOKUP(H437,商品!$A$4:$B$60,2,FALSE),0),"")</f>
        <v/>
      </c>
      <c r="AN437">
        <f>IFERROR(ROUND(L437*(J437/$AU437)/VLOOKUP("运力",商品!$A$4:$B$60,2,FALSE),0),0)</f>
        <v>0</v>
      </c>
      <c r="AO437">
        <f>IFERROR(ROUND(L437*(K437/$AU437)/VLOOKUP("交易",商品!$A$4:$B$60,2,FALSE),0),0)</f>
        <v>0</v>
      </c>
      <c r="AP437" t="str">
        <f>IFERROR(ROUND(S437*(N437/$AV437)/VLOOKUP(M437,职业!$A$4:$G$16,4,FALSE),0),"")</f>
        <v/>
      </c>
      <c r="AQ437" t="str">
        <f>IFERROR(ROUND(S437*(P437/$AV437)/VLOOKUP(O437,职业!$A$4:$G$16,4,FALSE),0),"")</f>
        <v/>
      </c>
      <c r="AR437" t="str">
        <f>IFERROR(ROUND(S437*(R437/$AV437)/VLOOKUP(Q437,职业!$A$4:$G$16,4,FALSE),0),"")</f>
        <v/>
      </c>
      <c r="AS437" t="str">
        <f>IFERROR(ROUND(X437*(U437/$AW437)/VLOOKUP(T437,商品!$A$4:$B$60,2,FALSE),0),"")</f>
        <v/>
      </c>
      <c r="AT437" t="str">
        <f>IFERROR(ROUND(X437*(W437/$AW437)/VLOOKUP(V437,商品!$A$4:$B$60,2,FALSE),0),"")</f>
        <v/>
      </c>
      <c r="AU437">
        <f t="shared" si="141"/>
        <v>10</v>
      </c>
      <c r="AV437">
        <f t="shared" si="142"/>
        <v>0</v>
      </c>
      <c r="AW437">
        <f t="shared" si="143"/>
        <v>0</v>
      </c>
    </row>
    <row r="438" spans="1:49" ht="19.95" customHeight="1" x14ac:dyDescent="0.25">
      <c r="A438" s="15" t="s">
        <v>522</v>
      </c>
      <c r="C438" s="15">
        <v>3</v>
      </c>
      <c r="D438" s="23" t="s">
        <v>174</v>
      </c>
      <c r="E438" s="23" t="s">
        <v>175</v>
      </c>
      <c r="F438" s="2" t="s">
        <v>41</v>
      </c>
      <c r="G438" s="2">
        <v>10</v>
      </c>
      <c r="L438" s="15">
        <f>IFERROR(VLOOKUP($D438&amp;$C438,生产方式定位!$A$2:$E$38,2,FALSE)+VLOOKUP($E438&amp;$C438,生产方式定位!$F$3:$J$38,2,FALSE),0)</f>
        <v>100</v>
      </c>
      <c r="S438" s="15">
        <f>IFERROR(VLOOKUP($D438&amp;$C438,生产方式定位!$A$2:$E$38,3,FALSE)+VLOOKUP($E438&amp;$C438,生产方式定位!$F$3:$J$38,3,FALSE),0)</f>
        <v>20</v>
      </c>
      <c r="X438" s="15">
        <f>IFERROR(VLOOKUP($D438&amp;$C438,生产方式定位!$A$2:$E$38,5,FALSE)+VLOOKUP($E438&amp;$C438,生产方式定位!$F$3:$J$38,5,FALSE),"错误")</f>
        <v>0</v>
      </c>
      <c r="Y438" s="26" t="str">
        <f t="shared" si="128"/>
        <v>工具*3</v>
      </c>
      <c r="Z438" s="36" t="str">
        <f t="shared" si="129"/>
        <v/>
      </c>
      <c r="AA438" s="36" t="str">
        <f t="shared" si="130"/>
        <v/>
      </c>
      <c r="AB438" s="27" t="str">
        <f t="shared" si="131"/>
        <v>-100%</v>
      </c>
      <c r="AC438" s="2">
        <f t="shared" si="132"/>
        <v>-120</v>
      </c>
      <c r="AD438" s="37">
        <f t="shared" si="133"/>
        <v>3</v>
      </c>
      <c r="AE438" t="str">
        <f t="shared" si="134"/>
        <v>工具*3</v>
      </c>
      <c r="AF438" t="str">
        <f t="shared" si="135"/>
        <v/>
      </c>
      <c r="AG438" t="str">
        <f t="shared" si="136"/>
        <v/>
      </c>
      <c r="AH438" t="str">
        <f t="shared" si="137"/>
        <v/>
      </c>
      <c r="AI438" t="str">
        <f t="shared" si="138"/>
        <v/>
      </c>
      <c r="AJ438" t="str">
        <f t="shared" si="139"/>
        <v/>
      </c>
      <c r="AK438" t="str">
        <f t="shared" si="140"/>
        <v/>
      </c>
      <c r="AL438">
        <f>IFERROR(ROUND(L438*(G438/$AU438)/VLOOKUP(F438,商品!$A$4:$B$60,2,FALSE),0),"")</f>
        <v>3</v>
      </c>
      <c r="AM438" t="str">
        <f>IFERROR(ROUND(L438*(I438/$AU438)/VLOOKUP(H438,商品!$A$4:$B$60,2,FALSE),0),"")</f>
        <v/>
      </c>
      <c r="AN438">
        <f>IFERROR(ROUND(L438*(J438/$AU438)/VLOOKUP("运力",商品!$A$4:$B$60,2,FALSE),0),0)</f>
        <v>0</v>
      </c>
      <c r="AO438">
        <f>IFERROR(ROUND(L438*(K438/$AU438)/VLOOKUP("交易",商品!$A$4:$B$60,2,FALSE),0),0)</f>
        <v>0</v>
      </c>
      <c r="AP438" t="str">
        <f>IFERROR(ROUND(S438*(N438/$AV438)/VLOOKUP(M438,职业!$A$4:$G$16,4,FALSE),0),"")</f>
        <v/>
      </c>
      <c r="AQ438" t="str">
        <f>IFERROR(ROUND(S438*(P438/$AV438)/VLOOKUP(O438,职业!$A$4:$G$16,4,FALSE),0),"")</f>
        <v/>
      </c>
      <c r="AR438" t="str">
        <f>IFERROR(ROUND(S438*(R438/$AV438)/VLOOKUP(Q438,职业!$A$4:$G$16,4,FALSE),0),"")</f>
        <v/>
      </c>
      <c r="AS438" t="str">
        <f>IFERROR(ROUND(X438*(U438/$AW438)/VLOOKUP(T438,商品!$A$4:$B$60,2,FALSE),0),"")</f>
        <v/>
      </c>
      <c r="AT438" t="str">
        <f>IFERROR(ROUND(X438*(W438/$AW438)/VLOOKUP(V438,商品!$A$4:$B$60,2,FALSE),0),"")</f>
        <v/>
      </c>
      <c r="AU438">
        <f t="shared" si="141"/>
        <v>10</v>
      </c>
      <c r="AV438">
        <f t="shared" si="142"/>
        <v>0</v>
      </c>
      <c r="AW438">
        <f t="shared" si="143"/>
        <v>0</v>
      </c>
    </row>
    <row r="439" spans="1:49" ht="19.95" customHeight="1" x14ac:dyDescent="0.25">
      <c r="A439" s="15" t="s">
        <v>522</v>
      </c>
      <c r="C439" s="15">
        <v>4</v>
      </c>
      <c r="D439" s="23" t="s">
        <v>174</v>
      </c>
      <c r="E439" s="23" t="s">
        <v>175</v>
      </c>
      <c r="F439" s="2" t="s">
        <v>45</v>
      </c>
      <c r="G439" s="2">
        <v>5</v>
      </c>
      <c r="H439" s="2" t="s">
        <v>19</v>
      </c>
      <c r="I439" s="2">
        <v>10</v>
      </c>
      <c r="L439" s="15">
        <f>IFERROR(VLOOKUP($D439&amp;$C439,生产方式定位!$A$2:$E$38,2,FALSE)+VLOOKUP($E439&amp;$C439,生产方式定位!$F$3:$J$38,2,FALSE),0)</f>
        <v>150</v>
      </c>
      <c r="S439" s="15">
        <f>IFERROR(VLOOKUP($D439&amp;$C439,生产方式定位!$A$2:$E$38,3,FALSE)+VLOOKUP($E439&amp;$C439,生产方式定位!$F$3:$J$38,3,FALSE),0)</f>
        <v>30</v>
      </c>
      <c r="X439" s="15">
        <f>IFERROR(VLOOKUP($D439&amp;$C439,生产方式定位!$A$2:$E$38,5,FALSE)+VLOOKUP($E439&amp;$C439,生产方式定位!$F$3:$J$38,5,FALSE),"错误")</f>
        <v>0</v>
      </c>
      <c r="Y439" s="26" t="str">
        <f t="shared" si="128"/>
        <v>科学引擎*1,煤*3</v>
      </c>
      <c r="Z439" s="36" t="str">
        <f t="shared" si="129"/>
        <v/>
      </c>
      <c r="AA439" s="36" t="str">
        <f t="shared" si="130"/>
        <v/>
      </c>
      <c r="AB439" s="27" t="str">
        <f t="shared" si="131"/>
        <v>-100%</v>
      </c>
      <c r="AC439" s="2">
        <f t="shared" si="132"/>
        <v>-180</v>
      </c>
      <c r="AD439" s="37">
        <f t="shared" si="133"/>
        <v>4</v>
      </c>
      <c r="AE439" t="str">
        <f t="shared" si="134"/>
        <v>科学引擎*1</v>
      </c>
      <c r="AF439" t="str">
        <f t="shared" si="135"/>
        <v>煤*3</v>
      </c>
      <c r="AG439" t="str">
        <f t="shared" si="136"/>
        <v/>
      </c>
      <c r="AH439" t="str">
        <f t="shared" si="137"/>
        <v/>
      </c>
      <c r="AI439" t="str">
        <f t="shared" si="138"/>
        <v/>
      </c>
      <c r="AJ439" t="str">
        <f t="shared" si="139"/>
        <v/>
      </c>
      <c r="AK439" t="str">
        <f t="shared" si="140"/>
        <v/>
      </c>
      <c r="AL439">
        <f>IFERROR(ROUND(L439*(G439/$AU439)/VLOOKUP(F439,商品!$A$4:$B$60,2,FALSE),0),"")</f>
        <v>1</v>
      </c>
      <c r="AM439">
        <f>IFERROR(ROUND(L439*(I439/$AU439)/VLOOKUP(H439,商品!$A$4:$B$60,2,FALSE),0),"")</f>
        <v>3</v>
      </c>
      <c r="AN439">
        <f>IFERROR(ROUND(L439*(J439/$AU439)/VLOOKUP("运力",商品!$A$4:$B$60,2,FALSE),0),0)</f>
        <v>0</v>
      </c>
      <c r="AO439">
        <f>IFERROR(ROUND(L439*(K439/$AU439)/VLOOKUP("交易",商品!$A$4:$B$60,2,FALSE),0),0)</f>
        <v>0</v>
      </c>
      <c r="AP439" t="str">
        <f>IFERROR(ROUND(S439*(N439/$AV439)/VLOOKUP(M439,职业!$A$4:$G$16,4,FALSE),0),"")</f>
        <v/>
      </c>
      <c r="AQ439" t="str">
        <f>IFERROR(ROUND(S439*(P439/$AV439)/VLOOKUP(O439,职业!$A$4:$G$16,4,FALSE),0),"")</f>
        <v/>
      </c>
      <c r="AR439" t="str">
        <f>IFERROR(ROUND(S439*(R439/$AV439)/VLOOKUP(Q439,职业!$A$4:$G$16,4,FALSE),0),"")</f>
        <v/>
      </c>
      <c r="AS439" t="str">
        <f>IFERROR(ROUND(X439*(U439/$AW439)/VLOOKUP(T439,商品!$A$4:$B$60,2,FALSE),0),"")</f>
        <v/>
      </c>
      <c r="AT439" t="str">
        <f>IFERROR(ROUND(X439*(W439/$AW439)/VLOOKUP(V439,商品!$A$4:$B$60,2,FALSE),0),"")</f>
        <v/>
      </c>
      <c r="AU439">
        <f t="shared" si="141"/>
        <v>15</v>
      </c>
      <c r="AV439">
        <f t="shared" si="142"/>
        <v>0</v>
      </c>
      <c r="AW439">
        <f t="shared" si="143"/>
        <v>0</v>
      </c>
    </row>
    <row r="440" spans="1:49" ht="19.95" customHeight="1" x14ac:dyDescent="0.25">
      <c r="A440" s="15" t="s">
        <v>522</v>
      </c>
      <c r="C440" s="15">
        <v>5</v>
      </c>
      <c r="D440" s="23" t="s">
        <v>174</v>
      </c>
      <c r="E440" s="23" t="s">
        <v>175</v>
      </c>
      <c r="F440" s="2" t="s">
        <v>46</v>
      </c>
      <c r="G440" s="2">
        <v>5</v>
      </c>
      <c r="H440" s="2" t="s">
        <v>19</v>
      </c>
      <c r="I440" s="2">
        <v>10</v>
      </c>
      <c r="L440" s="15">
        <f>IFERROR(VLOOKUP($D440&amp;$C440,生产方式定位!$A$2:$E$38,2,FALSE)+VLOOKUP($E440&amp;$C440,生产方式定位!$F$3:$J$38,2,FALSE),0)</f>
        <v>200</v>
      </c>
      <c r="S440" s="15">
        <f>IFERROR(VLOOKUP($D440&amp;$C440,生产方式定位!$A$2:$E$38,3,FALSE)+VLOOKUP($E440&amp;$C440,生产方式定位!$F$3:$J$38,3,FALSE),0)</f>
        <v>40</v>
      </c>
      <c r="X440" s="15">
        <f>IFERROR(VLOOKUP($D440&amp;$C440,生产方式定位!$A$2:$E$38,5,FALSE)+VLOOKUP($E440&amp;$C440,生产方式定位!$F$3:$J$38,5,FALSE),"错误")</f>
        <v>0</v>
      </c>
      <c r="Y440" s="26" t="str">
        <f t="shared" si="128"/>
        <v>魔导引擎*1,煤*4</v>
      </c>
      <c r="Z440" s="36" t="str">
        <f t="shared" si="129"/>
        <v/>
      </c>
      <c r="AA440" s="36" t="str">
        <f t="shared" si="130"/>
        <v/>
      </c>
      <c r="AB440" s="27" t="str">
        <f t="shared" si="131"/>
        <v>-100%</v>
      </c>
      <c r="AC440" s="2">
        <f t="shared" si="132"/>
        <v>-240</v>
      </c>
      <c r="AD440" s="37">
        <f t="shared" si="133"/>
        <v>5</v>
      </c>
      <c r="AE440" t="str">
        <f t="shared" si="134"/>
        <v>魔导引擎*1</v>
      </c>
      <c r="AF440" t="str">
        <f t="shared" si="135"/>
        <v>煤*4</v>
      </c>
      <c r="AG440" t="str">
        <f t="shared" si="136"/>
        <v/>
      </c>
      <c r="AH440" t="str">
        <f t="shared" si="137"/>
        <v/>
      </c>
      <c r="AI440" t="str">
        <f t="shared" si="138"/>
        <v/>
      </c>
      <c r="AJ440" t="str">
        <f t="shared" si="139"/>
        <v/>
      </c>
      <c r="AK440" t="str">
        <f t="shared" si="140"/>
        <v/>
      </c>
      <c r="AL440">
        <f>IFERROR(ROUND(L440*(G440/$AU440)/VLOOKUP(F440,商品!$A$4:$B$60,2,FALSE),0),"")</f>
        <v>1</v>
      </c>
      <c r="AM440">
        <f>IFERROR(ROUND(L440*(I440/$AU440)/VLOOKUP(H440,商品!$A$4:$B$60,2,FALSE),0),"")</f>
        <v>4</v>
      </c>
      <c r="AN440">
        <f>IFERROR(ROUND(L440*(J440/$AU440)/VLOOKUP("运力",商品!$A$4:$B$60,2,FALSE),0),0)</f>
        <v>0</v>
      </c>
      <c r="AO440">
        <f>IFERROR(ROUND(L440*(K440/$AU440)/VLOOKUP("交易",商品!$A$4:$B$60,2,FALSE),0),0)</f>
        <v>0</v>
      </c>
      <c r="AP440" t="str">
        <f>IFERROR(ROUND(S440*(N440/$AV440)/VLOOKUP(M440,职业!$A$4:$G$16,4,FALSE),0),"")</f>
        <v/>
      </c>
      <c r="AQ440" t="str">
        <f>IFERROR(ROUND(S440*(P440/$AV440)/VLOOKUP(O440,职业!$A$4:$G$16,4,FALSE),0),"")</f>
        <v/>
      </c>
      <c r="AR440" t="str">
        <f>IFERROR(ROUND(S440*(R440/$AV440)/VLOOKUP(Q440,职业!$A$4:$G$16,4,FALSE),0),"")</f>
        <v/>
      </c>
      <c r="AS440" t="str">
        <f>IFERROR(ROUND(X440*(U440/$AW440)/VLOOKUP(T440,商品!$A$4:$B$60,2,FALSE),0),"")</f>
        <v/>
      </c>
      <c r="AT440" t="str">
        <f>IFERROR(ROUND(X440*(W440/$AW440)/VLOOKUP(V440,商品!$A$4:$B$60,2,FALSE),0),"")</f>
        <v/>
      </c>
      <c r="AU440">
        <f t="shared" si="141"/>
        <v>15</v>
      </c>
      <c r="AV440">
        <f t="shared" si="142"/>
        <v>0</v>
      </c>
      <c r="AW440">
        <f t="shared" si="143"/>
        <v>0</v>
      </c>
    </row>
    <row r="441" spans="1:49" ht="19.95" customHeight="1" x14ac:dyDescent="0.25">
      <c r="A441" s="16" t="s">
        <v>522</v>
      </c>
      <c r="C441" s="16">
        <v>1</v>
      </c>
      <c r="D441" s="23" t="s">
        <v>174</v>
      </c>
      <c r="E441" s="23" t="s">
        <v>177</v>
      </c>
      <c r="L441" s="16">
        <f>IFERROR(VLOOKUP($D441&amp;$C441,生产方式定位!$A$2:$E$38,2,FALSE)+VLOOKUP($E441&amp;$C441,生产方式定位!$F$3:$J$38,2,FALSE),0)</f>
        <v>0</v>
      </c>
      <c r="S441" s="16">
        <f>IFERROR(VLOOKUP($D441&amp;$C441,生产方式定位!$A$2:$E$38,3,FALSE)+VLOOKUP($E441&amp;$C441,生产方式定位!$F$3:$J$38,3,FALSE),0)</f>
        <v>0</v>
      </c>
      <c r="X441" s="16">
        <f>IFERROR(VLOOKUP($D441&amp;$C441,生产方式定位!$A$2:$E$38,5,FALSE)+VLOOKUP($E441&amp;$C441,生产方式定位!$F$3:$J$38,5,FALSE),"错误")</f>
        <v>0</v>
      </c>
      <c r="Y441" s="26" t="str">
        <f t="shared" si="128"/>
        <v/>
      </c>
      <c r="Z441" s="36" t="str">
        <f t="shared" si="129"/>
        <v/>
      </c>
      <c r="AA441" s="36" t="str">
        <f t="shared" si="130"/>
        <v/>
      </c>
      <c r="AB441" s="27" t="str">
        <f t="shared" si="131"/>
        <v/>
      </c>
      <c r="AC441" s="2" t="str">
        <f t="shared" si="132"/>
        <v/>
      </c>
      <c r="AD441" s="38">
        <f t="shared" si="133"/>
        <v>1</v>
      </c>
      <c r="AE441" t="str">
        <f t="shared" si="134"/>
        <v/>
      </c>
      <c r="AF441" t="str">
        <f t="shared" si="135"/>
        <v/>
      </c>
      <c r="AG441" t="str">
        <f t="shared" si="136"/>
        <v/>
      </c>
      <c r="AH441" t="str">
        <f t="shared" si="137"/>
        <v/>
      </c>
      <c r="AI441" t="str">
        <f t="shared" si="138"/>
        <v/>
      </c>
      <c r="AJ441" t="str">
        <f t="shared" si="139"/>
        <v/>
      </c>
      <c r="AK441" t="str">
        <f t="shared" si="140"/>
        <v/>
      </c>
      <c r="AL441" t="str">
        <f>IFERROR(ROUND(L441*(G441/$AU441)/VLOOKUP(F441,商品!$A$4:$B$60,2,FALSE),0),"")</f>
        <v/>
      </c>
      <c r="AM441" t="str">
        <f>IFERROR(ROUND(L441*(I441/$AU441)/VLOOKUP(H441,商品!$A$4:$B$60,2,FALSE),0),"")</f>
        <v/>
      </c>
      <c r="AN441">
        <f>IFERROR(ROUND(L441*(J441/$AU441)/VLOOKUP("运力",商品!$A$4:$B$60,2,FALSE),0),0)</f>
        <v>0</v>
      </c>
      <c r="AO441">
        <f>IFERROR(ROUND(L441*(K441/$AU441)/VLOOKUP("交易",商品!$A$4:$B$60,2,FALSE),0),0)</f>
        <v>0</v>
      </c>
      <c r="AP441" t="str">
        <f>IFERROR(ROUND(S441*(N441/$AV441)/VLOOKUP(M441,职业!$A$4:$G$16,4,FALSE),0),"")</f>
        <v/>
      </c>
      <c r="AQ441" t="str">
        <f>IFERROR(ROUND(S441*(P441/$AV441)/VLOOKUP(O441,职业!$A$4:$G$16,4,FALSE),0),"")</f>
        <v/>
      </c>
      <c r="AR441" t="str">
        <f>IFERROR(ROUND(S441*(R441/$AV441)/VLOOKUP(Q441,职业!$A$4:$G$16,4,FALSE),0),"")</f>
        <v/>
      </c>
      <c r="AS441" t="str">
        <f>IFERROR(ROUND(X441*(U441/$AW441)/VLOOKUP(T441,商品!$A$4:$B$60,2,FALSE),0),"")</f>
        <v/>
      </c>
      <c r="AT441" t="str">
        <f>IFERROR(ROUND(X441*(W441/$AW441)/VLOOKUP(V441,商品!$A$4:$B$60,2,FALSE),0),"")</f>
        <v/>
      </c>
      <c r="AU441">
        <f t="shared" si="141"/>
        <v>0</v>
      </c>
      <c r="AV441">
        <f t="shared" si="142"/>
        <v>0</v>
      </c>
      <c r="AW441">
        <f t="shared" si="143"/>
        <v>0</v>
      </c>
    </row>
    <row r="442" spans="1:49" ht="19.95" customHeight="1" x14ac:dyDescent="0.25">
      <c r="A442" s="16" t="s">
        <v>522</v>
      </c>
      <c r="C442" s="16">
        <v>2</v>
      </c>
      <c r="D442" s="23" t="s">
        <v>174</v>
      </c>
      <c r="E442" s="23" t="s">
        <v>177</v>
      </c>
      <c r="F442" s="2" t="s">
        <v>42</v>
      </c>
      <c r="G442" s="2">
        <v>5</v>
      </c>
      <c r="H442" s="2" t="s">
        <v>20</v>
      </c>
      <c r="I442" s="2">
        <v>10</v>
      </c>
      <c r="L442" s="16">
        <f>IFERROR(VLOOKUP($D442&amp;$C442,生产方式定位!$A$2:$E$38,2,FALSE)+VLOOKUP($E442&amp;$C442,生产方式定位!$F$3:$J$38,2,FALSE),0)</f>
        <v>105</v>
      </c>
      <c r="S442" s="16">
        <f>IFERROR(VLOOKUP($D442&amp;$C442,生产方式定位!$A$2:$E$38,3,FALSE)+VLOOKUP($E442&amp;$C442,生产方式定位!$F$3:$J$38,3,FALSE),0)</f>
        <v>15</v>
      </c>
      <c r="X442" s="16">
        <f>IFERROR(VLOOKUP($D442&amp;$C442,生产方式定位!$A$2:$E$38,5,FALSE)+VLOOKUP($E442&amp;$C442,生产方式定位!$F$3:$J$38,5,FALSE),"错误")</f>
        <v>0</v>
      </c>
      <c r="Y442" s="26" t="str">
        <f t="shared" si="128"/>
        <v>魔偶*1,灵能水晶*2</v>
      </c>
      <c r="Z442" s="36" t="str">
        <f t="shared" si="129"/>
        <v/>
      </c>
      <c r="AA442" s="36" t="str">
        <f t="shared" si="130"/>
        <v/>
      </c>
      <c r="AB442" s="27" t="str">
        <f t="shared" si="131"/>
        <v>-100%</v>
      </c>
      <c r="AC442" s="2">
        <f t="shared" si="132"/>
        <v>-120</v>
      </c>
      <c r="AD442" s="38">
        <f t="shared" si="133"/>
        <v>2</v>
      </c>
      <c r="AE442" t="str">
        <f t="shared" si="134"/>
        <v>魔偶*1</v>
      </c>
      <c r="AF442" t="str">
        <f t="shared" si="135"/>
        <v>灵能水晶*2</v>
      </c>
      <c r="AG442" t="str">
        <f t="shared" si="136"/>
        <v/>
      </c>
      <c r="AH442" t="str">
        <f t="shared" si="137"/>
        <v/>
      </c>
      <c r="AI442" t="str">
        <f t="shared" si="138"/>
        <v/>
      </c>
      <c r="AJ442" t="str">
        <f t="shared" si="139"/>
        <v/>
      </c>
      <c r="AK442" t="str">
        <f t="shared" si="140"/>
        <v/>
      </c>
      <c r="AL442">
        <f>IFERROR(ROUND(L442*(G442/$AU442)/VLOOKUP(F442,商品!$A$4:$B$60,2,FALSE),0),"")</f>
        <v>1</v>
      </c>
      <c r="AM442">
        <f>IFERROR(ROUND(L442*(I442/$AU442)/VLOOKUP(H442,商品!$A$4:$B$60,2,FALSE),0),"")</f>
        <v>2</v>
      </c>
      <c r="AN442">
        <f>IFERROR(ROUND(L442*(J442/$AU442)/VLOOKUP("运力",商品!$A$4:$B$60,2,FALSE),0),0)</f>
        <v>0</v>
      </c>
      <c r="AO442">
        <f>IFERROR(ROUND(L442*(K442/$AU442)/VLOOKUP("交易",商品!$A$4:$B$60,2,FALSE),0),0)</f>
        <v>0</v>
      </c>
      <c r="AP442" t="str">
        <f>IFERROR(ROUND(S442*(N442/$AV442)/VLOOKUP(M442,职业!$A$4:$G$16,4,FALSE),0),"")</f>
        <v/>
      </c>
      <c r="AQ442" t="str">
        <f>IFERROR(ROUND(S442*(P442/$AV442)/VLOOKUP(O442,职业!$A$4:$G$16,4,FALSE),0),"")</f>
        <v/>
      </c>
      <c r="AR442" t="str">
        <f>IFERROR(ROUND(S442*(R442/$AV442)/VLOOKUP(Q442,职业!$A$4:$G$16,4,FALSE),0),"")</f>
        <v/>
      </c>
      <c r="AS442" t="str">
        <f>IFERROR(ROUND(X442*(U442/$AW442)/VLOOKUP(T442,商品!$A$4:$B$60,2,FALSE),0),"")</f>
        <v/>
      </c>
      <c r="AT442" t="str">
        <f>IFERROR(ROUND(X442*(W442/$AW442)/VLOOKUP(V442,商品!$A$4:$B$60,2,FALSE),0),"")</f>
        <v/>
      </c>
      <c r="AU442">
        <f t="shared" si="141"/>
        <v>15</v>
      </c>
      <c r="AV442">
        <f t="shared" si="142"/>
        <v>0</v>
      </c>
      <c r="AW442">
        <f t="shared" si="143"/>
        <v>0</v>
      </c>
    </row>
    <row r="443" spans="1:49" ht="19.95" customHeight="1" x14ac:dyDescent="0.25">
      <c r="A443" s="16" t="s">
        <v>522</v>
      </c>
      <c r="C443" s="16">
        <v>3</v>
      </c>
      <c r="D443" s="23" t="s">
        <v>174</v>
      </c>
      <c r="E443" s="23" t="s">
        <v>177</v>
      </c>
      <c r="F443" s="2" t="s">
        <v>42</v>
      </c>
      <c r="G443" s="2">
        <v>5</v>
      </c>
      <c r="H443" s="2" t="s">
        <v>20</v>
      </c>
      <c r="I443" s="2">
        <v>10</v>
      </c>
      <c r="L443" s="16">
        <f>IFERROR(VLOOKUP($D443&amp;$C443,生产方式定位!$A$2:$E$38,2,FALSE)+VLOOKUP($E443&amp;$C443,生产方式定位!$F$3:$J$38,2,FALSE),0)</f>
        <v>210</v>
      </c>
      <c r="S443" s="16">
        <f>IFERROR(VLOOKUP($D443&amp;$C443,生产方式定位!$A$2:$E$38,3,FALSE)+VLOOKUP($E443&amp;$C443,生产方式定位!$F$3:$J$38,3,FALSE),0)</f>
        <v>30</v>
      </c>
      <c r="X443" s="16">
        <f>IFERROR(VLOOKUP($D443&amp;$C443,生产方式定位!$A$2:$E$38,5,FALSE)+VLOOKUP($E443&amp;$C443,生产方式定位!$F$3:$J$38,5,FALSE),"错误")</f>
        <v>0</v>
      </c>
      <c r="Y443" s="26" t="str">
        <f t="shared" si="128"/>
        <v>魔偶*2,灵能水晶*5</v>
      </c>
      <c r="Z443" s="36" t="str">
        <f t="shared" si="129"/>
        <v/>
      </c>
      <c r="AA443" s="36" t="str">
        <f t="shared" si="130"/>
        <v/>
      </c>
      <c r="AB443" s="27" t="str">
        <f t="shared" si="131"/>
        <v>-100%</v>
      </c>
      <c r="AC443" s="2">
        <f t="shared" si="132"/>
        <v>-240</v>
      </c>
      <c r="AD443" s="38">
        <f t="shared" si="133"/>
        <v>3</v>
      </c>
      <c r="AE443" t="str">
        <f t="shared" si="134"/>
        <v>魔偶*2</v>
      </c>
      <c r="AF443" t="str">
        <f t="shared" si="135"/>
        <v>灵能水晶*5</v>
      </c>
      <c r="AG443" t="str">
        <f t="shared" si="136"/>
        <v/>
      </c>
      <c r="AH443" t="str">
        <f t="shared" si="137"/>
        <v/>
      </c>
      <c r="AI443" t="str">
        <f t="shared" si="138"/>
        <v/>
      </c>
      <c r="AJ443" t="str">
        <f t="shared" si="139"/>
        <v/>
      </c>
      <c r="AK443" t="str">
        <f t="shared" si="140"/>
        <v/>
      </c>
      <c r="AL443">
        <f>IFERROR(ROUND(L443*(G443/$AU443)/VLOOKUP(F443,商品!$A$4:$B$60,2,FALSE),0),"")</f>
        <v>2</v>
      </c>
      <c r="AM443">
        <f>IFERROR(ROUND(L443*(I443/$AU443)/VLOOKUP(H443,商品!$A$4:$B$60,2,FALSE),0),"")</f>
        <v>5</v>
      </c>
      <c r="AN443">
        <f>IFERROR(ROUND(L443*(J443/$AU443)/VLOOKUP("运力",商品!$A$4:$B$60,2,FALSE),0),0)</f>
        <v>0</v>
      </c>
      <c r="AO443">
        <f>IFERROR(ROUND(L443*(K443/$AU443)/VLOOKUP("交易",商品!$A$4:$B$60,2,FALSE),0),0)</f>
        <v>0</v>
      </c>
      <c r="AP443" t="str">
        <f>IFERROR(ROUND(S443*(N443/$AV443)/VLOOKUP(M443,职业!$A$4:$G$16,4,FALSE),0),"")</f>
        <v/>
      </c>
      <c r="AQ443" t="str">
        <f>IFERROR(ROUND(S443*(P443/$AV443)/VLOOKUP(O443,职业!$A$4:$G$16,4,FALSE),0),"")</f>
        <v/>
      </c>
      <c r="AR443" t="str">
        <f>IFERROR(ROUND(S443*(R443/$AV443)/VLOOKUP(Q443,职业!$A$4:$G$16,4,FALSE),0),"")</f>
        <v/>
      </c>
      <c r="AS443" t="str">
        <f>IFERROR(ROUND(X443*(U443/$AW443)/VLOOKUP(T443,商品!$A$4:$B$60,2,FALSE),0),"")</f>
        <v/>
      </c>
      <c r="AT443" t="str">
        <f>IFERROR(ROUND(X443*(W443/$AW443)/VLOOKUP(V443,商品!$A$4:$B$60,2,FALSE),0),"")</f>
        <v/>
      </c>
      <c r="AU443">
        <f t="shared" si="141"/>
        <v>15</v>
      </c>
      <c r="AV443">
        <f t="shared" si="142"/>
        <v>0</v>
      </c>
      <c r="AW443">
        <f t="shared" si="143"/>
        <v>0</v>
      </c>
    </row>
    <row r="444" spans="1:49" ht="19.95" customHeight="1" x14ac:dyDescent="0.25">
      <c r="A444" s="16" t="s">
        <v>522</v>
      </c>
      <c r="C444" s="16">
        <v>4</v>
      </c>
      <c r="D444" s="23" t="s">
        <v>174</v>
      </c>
      <c r="E444" s="23" t="s">
        <v>177</v>
      </c>
      <c r="F444" s="2" t="s">
        <v>42</v>
      </c>
      <c r="G444" s="2">
        <v>5</v>
      </c>
      <c r="H444" s="2" t="s">
        <v>20</v>
      </c>
      <c r="I444" s="2">
        <v>10</v>
      </c>
      <c r="L444" s="16">
        <f>IFERROR(VLOOKUP($D444&amp;$C444,生产方式定位!$A$2:$E$38,2,FALSE)+VLOOKUP($E444&amp;$C444,生产方式定位!$F$3:$J$38,2,FALSE),0)</f>
        <v>315</v>
      </c>
      <c r="S444" s="16">
        <f>IFERROR(VLOOKUP($D444&amp;$C444,生产方式定位!$A$2:$E$38,3,FALSE)+VLOOKUP($E444&amp;$C444,生产方式定位!$F$3:$J$38,3,FALSE),0)</f>
        <v>45</v>
      </c>
      <c r="X444" s="16">
        <f>IFERROR(VLOOKUP($D444&amp;$C444,生产方式定位!$A$2:$E$38,5,FALSE)+VLOOKUP($E444&amp;$C444,生产方式定位!$F$3:$J$38,5,FALSE),"错误")</f>
        <v>0</v>
      </c>
      <c r="Y444" s="26" t="str">
        <f t="shared" si="128"/>
        <v>魔偶*3,灵能水晶*7</v>
      </c>
      <c r="Z444" s="36" t="str">
        <f t="shared" si="129"/>
        <v/>
      </c>
      <c r="AA444" s="36" t="str">
        <f t="shared" si="130"/>
        <v/>
      </c>
      <c r="AB444" s="27" t="str">
        <f t="shared" si="131"/>
        <v>-100%</v>
      </c>
      <c r="AC444" s="2">
        <f t="shared" si="132"/>
        <v>-360</v>
      </c>
      <c r="AD444" s="38">
        <f t="shared" si="133"/>
        <v>4</v>
      </c>
      <c r="AE444" t="str">
        <f t="shared" si="134"/>
        <v>魔偶*3</v>
      </c>
      <c r="AF444" t="str">
        <f t="shared" si="135"/>
        <v>灵能水晶*7</v>
      </c>
      <c r="AG444" t="str">
        <f t="shared" si="136"/>
        <v/>
      </c>
      <c r="AH444" t="str">
        <f t="shared" si="137"/>
        <v/>
      </c>
      <c r="AI444" t="str">
        <f t="shared" si="138"/>
        <v/>
      </c>
      <c r="AJ444" t="str">
        <f t="shared" si="139"/>
        <v/>
      </c>
      <c r="AK444" t="str">
        <f t="shared" si="140"/>
        <v/>
      </c>
      <c r="AL444">
        <f>IFERROR(ROUND(L444*(G444/$AU444)/VLOOKUP(F444,商品!$A$4:$B$60,2,FALSE),0),"")</f>
        <v>3</v>
      </c>
      <c r="AM444">
        <f>IFERROR(ROUND(L444*(I444/$AU444)/VLOOKUP(H444,商品!$A$4:$B$60,2,FALSE),0),"")</f>
        <v>7</v>
      </c>
      <c r="AN444">
        <f>IFERROR(ROUND(L444*(J444/$AU444)/VLOOKUP("运力",商品!$A$4:$B$60,2,FALSE),0),0)</f>
        <v>0</v>
      </c>
      <c r="AO444">
        <f>IFERROR(ROUND(L444*(K444/$AU444)/VLOOKUP("交易",商品!$A$4:$B$60,2,FALSE),0),0)</f>
        <v>0</v>
      </c>
      <c r="AP444" t="str">
        <f>IFERROR(ROUND(S444*(N444/$AV444)/VLOOKUP(M444,职业!$A$4:$G$16,4,FALSE),0),"")</f>
        <v/>
      </c>
      <c r="AQ444" t="str">
        <f>IFERROR(ROUND(S444*(P444/$AV444)/VLOOKUP(O444,职业!$A$4:$G$16,4,FALSE),0),"")</f>
        <v/>
      </c>
      <c r="AR444" t="str">
        <f>IFERROR(ROUND(S444*(R444/$AV444)/VLOOKUP(Q444,职业!$A$4:$G$16,4,FALSE),0),"")</f>
        <v/>
      </c>
      <c r="AS444" t="str">
        <f>IFERROR(ROUND(X444*(U444/$AW444)/VLOOKUP(T444,商品!$A$4:$B$60,2,FALSE),0),"")</f>
        <v/>
      </c>
      <c r="AT444" t="str">
        <f>IFERROR(ROUND(X444*(W444/$AW444)/VLOOKUP(V444,商品!$A$4:$B$60,2,FALSE),0),"")</f>
        <v/>
      </c>
      <c r="AU444">
        <f t="shared" si="141"/>
        <v>15</v>
      </c>
      <c r="AV444">
        <f t="shared" si="142"/>
        <v>0</v>
      </c>
      <c r="AW444">
        <f t="shared" si="143"/>
        <v>0</v>
      </c>
    </row>
    <row r="445" spans="1:49" ht="19.95" customHeight="1" x14ac:dyDescent="0.25">
      <c r="A445" s="16" t="s">
        <v>522</v>
      </c>
      <c r="C445" s="16">
        <v>5</v>
      </c>
      <c r="D445" s="23" t="s">
        <v>174</v>
      </c>
      <c r="E445" s="23" t="s">
        <v>177</v>
      </c>
      <c r="F445" s="2" t="s">
        <v>42</v>
      </c>
      <c r="G445" s="2">
        <v>5</v>
      </c>
      <c r="H445" s="2" t="s">
        <v>20</v>
      </c>
      <c r="I445" s="2">
        <v>10</v>
      </c>
      <c r="L445" s="16">
        <f>IFERROR(VLOOKUP($D445&amp;$C445,生产方式定位!$A$2:$E$38,2,FALSE)+VLOOKUP($E445&amp;$C445,生产方式定位!$F$3:$J$38,2,FALSE),0)</f>
        <v>420</v>
      </c>
      <c r="S445" s="16">
        <f>IFERROR(VLOOKUP($D445&amp;$C445,生产方式定位!$A$2:$E$38,3,FALSE)+VLOOKUP($E445&amp;$C445,生产方式定位!$F$3:$J$38,3,FALSE),0)</f>
        <v>60</v>
      </c>
      <c r="X445" s="16">
        <f>IFERROR(VLOOKUP($D445&amp;$C445,生产方式定位!$A$2:$E$38,5,FALSE)+VLOOKUP($E445&amp;$C445,生产方式定位!$F$3:$J$38,5,FALSE),"错误")</f>
        <v>0</v>
      </c>
      <c r="Y445" s="26" t="str">
        <f t="shared" si="128"/>
        <v>魔偶*4,灵能水晶*9</v>
      </c>
      <c r="Z445" s="36" t="str">
        <f t="shared" si="129"/>
        <v/>
      </c>
      <c r="AA445" s="36" t="str">
        <f t="shared" si="130"/>
        <v/>
      </c>
      <c r="AB445" s="27" t="str">
        <f t="shared" si="131"/>
        <v>-100%</v>
      </c>
      <c r="AC445" s="2">
        <f t="shared" si="132"/>
        <v>-480</v>
      </c>
      <c r="AD445" s="38">
        <f t="shared" si="133"/>
        <v>5</v>
      </c>
      <c r="AE445" t="str">
        <f t="shared" si="134"/>
        <v>魔偶*4</v>
      </c>
      <c r="AF445" t="str">
        <f t="shared" si="135"/>
        <v>灵能水晶*9</v>
      </c>
      <c r="AG445" t="str">
        <f t="shared" si="136"/>
        <v/>
      </c>
      <c r="AH445" t="str">
        <f t="shared" si="137"/>
        <v/>
      </c>
      <c r="AI445" t="str">
        <f t="shared" si="138"/>
        <v/>
      </c>
      <c r="AJ445" t="str">
        <f t="shared" si="139"/>
        <v/>
      </c>
      <c r="AK445" t="str">
        <f t="shared" si="140"/>
        <v/>
      </c>
      <c r="AL445">
        <f>IFERROR(ROUND(L445*(G445/$AU445)/VLOOKUP(F445,商品!$A$4:$B$60,2,FALSE),0),"")</f>
        <v>4</v>
      </c>
      <c r="AM445">
        <f>IFERROR(ROUND(L445*(I445/$AU445)/VLOOKUP(H445,商品!$A$4:$B$60,2,FALSE),0),"")</f>
        <v>9</v>
      </c>
      <c r="AN445">
        <f>IFERROR(ROUND(L445*(J445/$AU445)/VLOOKUP("运力",商品!$A$4:$B$60,2,FALSE),0),0)</f>
        <v>0</v>
      </c>
      <c r="AO445">
        <f>IFERROR(ROUND(L445*(K445/$AU445)/VLOOKUP("交易",商品!$A$4:$B$60,2,FALSE),0),0)</f>
        <v>0</v>
      </c>
      <c r="AP445" t="str">
        <f>IFERROR(ROUND(S445*(N445/$AV445)/VLOOKUP(M445,职业!$A$4:$G$16,4,FALSE),0),"")</f>
        <v/>
      </c>
      <c r="AQ445" t="str">
        <f>IFERROR(ROUND(S445*(P445/$AV445)/VLOOKUP(O445,职业!$A$4:$G$16,4,FALSE),0),"")</f>
        <v/>
      </c>
      <c r="AR445" t="str">
        <f>IFERROR(ROUND(S445*(R445/$AV445)/VLOOKUP(Q445,职业!$A$4:$G$16,4,FALSE),0),"")</f>
        <v/>
      </c>
      <c r="AS445" t="str">
        <f>IFERROR(ROUND(X445*(U445/$AW445)/VLOOKUP(T445,商品!$A$4:$B$60,2,FALSE),0),"")</f>
        <v/>
      </c>
      <c r="AT445" t="str">
        <f>IFERROR(ROUND(X445*(W445/$AW445)/VLOOKUP(V445,商品!$A$4:$B$60,2,FALSE),0),"")</f>
        <v/>
      </c>
      <c r="AU445">
        <f t="shared" si="141"/>
        <v>15</v>
      </c>
      <c r="AV445">
        <f t="shared" si="142"/>
        <v>0</v>
      </c>
      <c r="AW445">
        <f t="shared" si="143"/>
        <v>0</v>
      </c>
    </row>
    <row r="446" spans="1:49" ht="19.95" customHeight="1" x14ac:dyDescent="0.25">
      <c r="A446" s="15" t="s">
        <v>273</v>
      </c>
      <c r="C446" s="15">
        <v>1</v>
      </c>
      <c r="D446" s="23" t="s">
        <v>174</v>
      </c>
      <c r="E446" s="23" t="s">
        <v>179</v>
      </c>
      <c r="L446" s="15">
        <f>IFERROR(VLOOKUP($D446&amp;$C446,生产方式定位!$A$2:$E$38,2,FALSE)+VLOOKUP($E446&amp;$C446,生产方式定位!$F$3:$J$38,2,FALSE),0)</f>
        <v>0</v>
      </c>
      <c r="S446" s="15">
        <f>IFERROR(VLOOKUP($D446&amp;$C446,生产方式定位!$A$2:$E$38,3,FALSE)+VLOOKUP($E446&amp;$C446,生产方式定位!$F$3:$J$38,3,FALSE),0)</f>
        <v>100</v>
      </c>
      <c r="X446" s="15">
        <f>IFERROR(VLOOKUP($D446&amp;$C446,生产方式定位!$A$2:$E$38,5,FALSE)+VLOOKUP($E446&amp;$C446,生产方式定位!$F$3:$J$38,5,FALSE),"错误")</f>
        <v>100</v>
      </c>
      <c r="Y446" s="26" t="str">
        <f t="shared" si="128"/>
        <v/>
      </c>
      <c r="Z446" s="36" t="str">
        <f t="shared" si="129"/>
        <v/>
      </c>
      <c r="AA446" s="36" t="str">
        <f t="shared" si="130"/>
        <v/>
      </c>
      <c r="AB446" s="27" t="str">
        <f t="shared" si="131"/>
        <v/>
      </c>
      <c r="AC446" s="2" t="str">
        <f t="shared" si="132"/>
        <v/>
      </c>
      <c r="AD446" s="37">
        <f t="shared" si="133"/>
        <v>1</v>
      </c>
      <c r="AE446" t="str">
        <f t="shared" si="134"/>
        <v/>
      </c>
      <c r="AF446" t="str">
        <f t="shared" si="135"/>
        <v/>
      </c>
      <c r="AG446" t="str">
        <f t="shared" si="136"/>
        <v/>
      </c>
      <c r="AH446" t="str">
        <f t="shared" si="137"/>
        <v/>
      </c>
      <c r="AI446" t="str">
        <f t="shared" si="138"/>
        <v/>
      </c>
      <c r="AJ446" t="str">
        <f t="shared" si="139"/>
        <v/>
      </c>
      <c r="AK446" t="str">
        <f t="shared" si="140"/>
        <v/>
      </c>
      <c r="AL446" t="str">
        <f>IFERROR(ROUND(L446*(G446/$AU446)/VLOOKUP(F446,商品!$A$4:$B$60,2,FALSE),0),"")</f>
        <v/>
      </c>
      <c r="AM446" t="str">
        <f>IFERROR(ROUND(L446*(I446/$AU446)/VLOOKUP(H446,商品!$A$4:$B$60,2,FALSE),0),"")</f>
        <v/>
      </c>
      <c r="AN446">
        <f>IFERROR(ROUND(L446*(J446/$AU446)/VLOOKUP("运力",商品!$A$4:$B$60,2,FALSE),0),0)</f>
        <v>0</v>
      </c>
      <c r="AO446">
        <f>IFERROR(ROUND(L446*(K446/$AU446)/VLOOKUP("交易",商品!$A$4:$B$60,2,FALSE),0),0)</f>
        <v>0</v>
      </c>
      <c r="AP446" t="str">
        <f>IFERROR(ROUND(S446*(N446/$AV446)/VLOOKUP(M446,职业!$A$4:$G$16,4,FALSE),0),"")</f>
        <v/>
      </c>
      <c r="AQ446" t="str">
        <f>IFERROR(ROUND(S446*(P446/$AV446)/VLOOKUP(O446,职业!$A$4:$G$16,4,FALSE),0),"")</f>
        <v/>
      </c>
      <c r="AR446" t="str">
        <f>IFERROR(ROUND(S446*(R446/$AV446)/VLOOKUP(Q446,职业!$A$4:$G$16,4,FALSE),0),"")</f>
        <v/>
      </c>
      <c r="AS446" t="str">
        <f>IFERROR(ROUND(X446*(U446/$AW446)/VLOOKUP(T446,商品!$A$4:$B$60,2,FALSE),0),"")</f>
        <v/>
      </c>
      <c r="AT446" t="str">
        <f>IFERROR(ROUND(X446*(W446/$AW446)/VLOOKUP(V446,商品!$A$4:$B$60,2,FALSE),0),"")</f>
        <v/>
      </c>
      <c r="AU446">
        <f t="shared" si="141"/>
        <v>0</v>
      </c>
      <c r="AV446">
        <f t="shared" si="142"/>
        <v>0</v>
      </c>
      <c r="AW446">
        <f t="shared" si="143"/>
        <v>0</v>
      </c>
    </row>
    <row r="447" spans="1:49" ht="19.95" customHeight="1" x14ac:dyDescent="0.25">
      <c r="A447" s="15" t="s">
        <v>273</v>
      </c>
      <c r="C447" s="15">
        <v>2</v>
      </c>
      <c r="D447" s="23" t="s">
        <v>174</v>
      </c>
      <c r="E447" s="23" t="s">
        <v>179</v>
      </c>
      <c r="L447" s="15">
        <f>IFERROR(VLOOKUP($D447&amp;$C447,生产方式定位!$A$2:$E$38,2,FALSE)+VLOOKUP($E447&amp;$C447,生产方式定位!$F$3:$J$38,2,FALSE),0)</f>
        <v>0</v>
      </c>
      <c r="S447" s="15">
        <f>IFERROR(VLOOKUP($D447&amp;$C447,生产方式定位!$A$2:$E$38,3,FALSE)+VLOOKUP($E447&amp;$C447,生产方式定位!$F$3:$J$38,3,FALSE),0)</f>
        <v>100</v>
      </c>
      <c r="X447" s="15">
        <f>IFERROR(VLOOKUP($D447&amp;$C447,生产方式定位!$A$2:$E$38,5,FALSE)+VLOOKUP($E447&amp;$C447,生产方式定位!$F$3:$J$38,5,FALSE),"错误")</f>
        <v>100</v>
      </c>
      <c r="Y447" s="26" t="str">
        <f t="shared" si="128"/>
        <v/>
      </c>
      <c r="Z447" s="36" t="str">
        <f t="shared" si="129"/>
        <v/>
      </c>
      <c r="AA447" s="36" t="str">
        <f t="shared" si="130"/>
        <v/>
      </c>
      <c r="AB447" s="27" t="str">
        <f t="shared" si="131"/>
        <v/>
      </c>
      <c r="AC447" s="2" t="str">
        <f t="shared" si="132"/>
        <v/>
      </c>
      <c r="AD447" s="37">
        <f t="shared" si="133"/>
        <v>2</v>
      </c>
      <c r="AE447" t="str">
        <f t="shared" si="134"/>
        <v/>
      </c>
      <c r="AF447" t="str">
        <f t="shared" si="135"/>
        <v/>
      </c>
      <c r="AG447" t="str">
        <f t="shared" si="136"/>
        <v/>
      </c>
      <c r="AH447" t="str">
        <f t="shared" si="137"/>
        <v/>
      </c>
      <c r="AI447" t="str">
        <f t="shared" si="138"/>
        <v/>
      </c>
      <c r="AJ447" t="str">
        <f t="shared" si="139"/>
        <v/>
      </c>
      <c r="AK447" t="str">
        <f t="shared" si="140"/>
        <v/>
      </c>
      <c r="AL447" t="str">
        <f>IFERROR(ROUND(L447*(G447/$AU447)/VLOOKUP(F447,商品!$A$4:$B$60,2,FALSE),0),"")</f>
        <v/>
      </c>
      <c r="AM447" t="str">
        <f>IFERROR(ROUND(L447*(I447/$AU447)/VLOOKUP(H447,商品!$A$4:$B$60,2,FALSE),0),"")</f>
        <v/>
      </c>
      <c r="AN447">
        <f>IFERROR(ROUND(L447*(J447/$AU447)/VLOOKUP("运力",商品!$A$4:$B$60,2,FALSE),0),0)</f>
        <v>0</v>
      </c>
      <c r="AO447">
        <f>IFERROR(ROUND(L447*(K447/$AU447)/VLOOKUP("交易",商品!$A$4:$B$60,2,FALSE),0),0)</f>
        <v>0</v>
      </c>
      <c r="AP447" t="str">
        <f>IFERROR(ROUND(S447*(N447/$AV447)/VLOOKUP(M447,职业!$A$4:$G$16,4,FALSE),0),"")</f>
        <v/>
      </c>
      <c r="AQ447" t="str">
        <f>IFERROR(ROUND(S447*(P447/$AV447)/VLOOKUP(O447,职业!$A$4:$G$16,4,FALSE),0),"")</f>
        <v/>
      </c>
      <c r="AR447" t="str">
        <f>IFERROR(ROUND(S447*(R447/$AV447)/VLOOKUP(Q447,职业!$A$4:$G$16,4,FALSE),0),"")</f>
        <v/>
      </c>
      <c r="AS447" t="str">
        <f>IFERROR(ROUND(X447*(U447/$AW447)/VLOOKUP(T447,商品!$A$4:$B$60,2,FALSE),0),"")</f>
        <v/>
      </c>
      <c r="AT447" t="str">
        <f>IFERROR(ROUND(X447*(W447/$AW447)/VLOOKUP(V447,商品!$A$4:$B$60,2,FALSE),0),"")</f>
        <v/>
      </c>
      <c r="AU447">
        <f t="shared" si="141"/>
        <v>0</v>
      </c>
      <c r="AV447">
        <f t="shared" si="142"/>
        <v>0</v>
      </c>
      <c r="AW447">
        <f t="shared" si="143"/>
        <v>0</v>
      </c>
    </row>
    <row r="448" spans="1:49" ht="19.95" customHeight="1" x14ac:dyDescent="0.25">
      <c r="A448" s="15" t="s">
        <v>273</v>
      </c>
      <c r="C448" s="15">
        <v>3</v>
      </c>
      <c r="D448" s="23" t="s">
        <v>174</v>
      </c>
      <c r="E448" s="23" t="s">
        <v>179</v>
      </c>
      <c r="L448" s="15">
        <f>IFERROR(VLOOKUP($D448&amp;$C448,生产方式定位!$A$2:$E$38,2,FALSE)+VLOOKUP($E448&amp;$C448,生产方式定位!$F$3:$J$38,2,FALSE),0)</f>
        <v>0</v>
      </c>
      <c r="S448" s="15">
        <f>IFERROR(VLOOKUP($D448&amp;$C448,生产方式定位!$A$2:$E$38,3,FALSE)+VLOOKUP($E448&amp;$C448,生产方式定位!$F$3:$J$38,3,FALSE),0)</f>
        <v>100</v>
      </c>
      <c r="X448" s="15">
        <f>IFERROR(VLOOKUP($D448&amp;$C448,生产方式定位!$A$2:$E$38,5,FALSE)+VLOOKUP($E448&amp;$C448,生产方式定位!$F$3:$J$38,5,FALSE),"错误")</f>
        <v>100</v>
      </c>
      <c r="Y448" s="26" t="str">
        <f t="shared" si="128"/>
        <v/>
      </c>
      <c r="Z448" s="36" t="str">
        <f t="shared" si="129"/>
        <v/>
      </c>
      <c r="AA448" s="36" t="str">
        <f t="shared" si="130"/>
        <v/>
      </c>
      <c r="AB448" s="27" t="str">
        <f t="shared" si="131"/>
        <v/>
      </c>
      <c r="AC448" s="2" t="str">
        <f t="shared" si="132"/>
        <v/>
      </c>
      <c r="AD448" s="37">
        <f t="shared" si="133"/>
        <v>3</v>
      </c>
      <c r="AE448" t="str">
        <f t="shared" si="134"/>
        <v/>
      </c>
      <c r="AF448" t="str">
        <f t="shared" si="135"/>
        <v/>
      </c>
      <c r="AG448" t="str">
        <f t="shared" si="136"/>
        <v/>
      </c>
      <c r="AH448" t="str">
        <f t="shared" si="137"/>
        <v/>
      </c>
      <c r="AI448" t="str">
        <f t="shared" si="138"/>
        <v/>
      </c>
      <c r="AJ448" t="str">
        <f t="shared" si="139"/>
        <v/>
      </c>
      <c r="AK448" t="str">
        <f t="shared" si="140"/>
        <v/>
      </c>
      <c r="AL448" t="str">
        <f>IFERROR(ROUND(L448*(G448/$AU448)/VLOOKUP(F448,商品!$A$4:$B$60,2,FALSE),0),"")</f>
        <v/>
      </c>
      <c r="AM448" t="str">
        <f>IFERROR(ROUND(L448*(I448/$AU448)/VLOOKUP(H448,商品!$A$4:$B$60,2,FALSE),0),"")</f>
        <v/>
      </c>
      <c r="AN448">
        <f>IFERROR(ROUND(L448*(J448/$AU448)/VLOOKUP("运力",商品!$A$4:$B$60,2,FALSE),0),0)</f>
        <v>0</v>
      </c>
      <c r="AO448">
        <f>IFERROR(ROUND(L448*(K448/$AU448)/VLOOKUP("交易",商品!$A$4:$B$60,2,FALSE),0),0)</f>
        <v>0</v>
      </c>
      <c r="AP448" t="str">
        <f>IFERROR(ROUND(S448*(N448/$AV448)/VLOOKUP(M448,职业!$A$4:$G$16,4,FALSE),0),"")</f>
        <v/>
      </c>
      <c r="AQ448" t="str">
        <f>IFERROR(ROUND(S448*(P448/$AV448)/VLOOKUP(O448,职业!$A$4:$G$16,4,FALSE),0),"")</f>
        <v/>
      </c>
      <c r="AR448" t="str">
        <f>IFERROR(ROUND(S448*(R448/$AV448)/VLOOKUP(Q448,职业!$A$4:$G$16,4,FALSE),0),"")</f>
        <v/>
      </c>
      <c r="AS448" t="str">
        <f>IFERROR(ROUND(X448*(U448/$AW448)/VLOOKUP(T448,商品!$A$4:$B$60,2,FALSE),0),"")</f>
        <v/>
      </c>
      <c r="AT448" t="str">
        <f>IFERROR(ROUND(X448*(W448/$AW448)/VLOOKUP(V448,商品!$A$4:$B$60,2,FALSE),0),"")</f>
        <v/>
      </c>
      <c r="AU448">
        <f t="shared" si="141"/>
        <v>0</v>
      </c>
      <c r="AV448">
        <f t="shared" si="142"/>
        <v>0</v>
      </c>
      <c r="AW448">
        <f t="shared" si="143"/>
        <v>0</v>
      </c>
    </row>
    <row r="449" spans="1:49" ht="19.95" customHeight="1" x14ac:dyDescent="0.25">
      <c r="A449" s="15" t="s">
        <v>273</v>
      </c>
      <c r="C449" s="15">
        <v>4</v>
      </c>
      <c r="D449" s="23" t="s">
        <v>174</v>
      </c>
      <c r="E449" s="23" t="s">
        <v>179</v>
      </c>
      <c r="L449" s="15">
        <f>IFERROR(VLOOKUP($D449&amp;$C449,生产方式定位!$A$2:$E$38,2,FALSE)+VLOOKUP($E449&amp;$C449,生产方式定位!$F$3:$J$38,2,FALSE),0)</f>
        <v>0</v>
      </c>
      <c r="S449" s="15">
        <f>IFERROR(VLOOKUP($D449&amp;$C449,生产方式定位!$A$2:$E$38,3,FALSE)+VLOOKUP($E449&amp;$C449,生产方式定位!$F$3:$J$38,3,FALSE),0)</f>
        <v>100</v>
      </c>
      <c r="X449" s="15">
        <f>IFERROR(VLOOKUP($D449&amp;$C449,生产方式定位!$A$2:$E$38,5,FALSE)+VLOOKUP($E449&amp;$C449,生产方式定位!$F$3:$J$38,5,FALSE),"错误")</f>
        <v>100</v>
      </c>
      <c r="Y449" s="26" t="str">
        <f t="shared" si="128"/>
        <v/>
      </c>
      <c r="Z449" s="36" t="str">
        <f t="shared" si="129"/>
        <v/>
      </c>
      <c r="AA449" s="36" t="str">
        <f t="shared" si="130"/>
        <v/>
      </c>
      <c r="AB449" s="27" t="str">
        <f t="shared" si="131"/>
        <v/>
      </c>
      <c r="AC449" s="2" t="str">
        <f t="shared" si="132"/>
        <v/>
      </c>
      <c r="AD449" s="37">
        <f t="shared" si="133"/>
        <v>4</v>
      </c>
      <c r="AE449" t="str">
        <f t="shared" si="134"/>
        <v/>
      </c>
      <c r="AF449" t="str">
        <f t="shared" si="135"/>
        <v/>
      </c>
      <c r="AG449" t="str">
        <f t="shared" si="136"/>
        <v/>
      </c>
      <c r="AH449" t="str">
        <f t="shared" si="137"/>
        <v/>
      </c>
      <c r="AI449" t="str">
        <f t="shared" si="138"/>
        <v/>
      </c>
      <c r="AJ449" t="str">
        <f t="shared" si="139"/>
        <v/>
      </c>
      <c r="AK449" t="str">
        <f t="shared" si="140"/>
        <v/>
      </c>
      <c r="AL449" t="str">
        <f>IFERROR(ROUND(L449*(G449/$AU449)/VLOOKUP(F449,商品!$A$4:$B$60,2,FALSE),0),"")</f>
        <v/>
      </c>
      <c r="AM449" t="str">
        <f>IFERROR(ROUND(L449*(I449/$AU449)/VLOOKUP(H449,商品!$A$4:$B$60,2,FALSE),0),"")</f>
        <v/>
      </c>
      <c r="AN449">
        <f>IFERROR(ROUND(L449*(J449/$AU449)/VLOOKUP("运力",商品!$A$4:$B$60,2,FALSE),0),0)</f>
        <v>0</v>
      </c>
      <c r="AO449">
        <f>IFERROR(ROUND(L449*(K449/$AU449)/VLOOKUP("交易",商品!$A$4:$B$60,2,FALSE),0),0)</f>
        <v>0</v>
      </c>
      <c r="AP449" t="str">
        <f>IFERROR(ROUND(S449*(N449/$AV449)/VLOOKUP(M449,职业!$A$4:$G$16,4,FALSE),0),"")</f>
        <v/>
      </c>
      <c r="AQ449" t="str">
        <f>IFERROR(ROUND(S449*(P449/$AV449)/VLOOKUP(O449,职业!$A$4:$G$16,4,FALSE),0),"")</f>
        <v/>
      </c>
      <c r="AR449" t="str">
        <f>IFERROR(ROUND(S449*(R449/$AV449)/VLOOKUP(Q449,职业!$A$4:$G$16,4,FALSE),0),"")</f>
        <v/>
      </c>
      <c r="AS449" t="str">
        <f>IFERROR(ROUND(X449*(U449/$AW449)/VLOOKUP(T449,商品!$A$4:$B$60,2,FALSE),0),"")</f>
        <v/>
      </c>
      <c r="AT449" t="str">
        <f>IFERROR(ROUND(X449*(W449/$AW449)/VLOOKUP(V449,商品!$A$4:$B$60,2,FALSE),0),"")</f>
        <v/>
      </c>
      <c r="AU449">
        <f t="shared" si="141"/>
        <v>0</v>
      </c>
      <c r="AV449">
        <f t="shared" si="142"/>
        <v>0</v>
      </c>
      <c r="AW449">
        <f t="shared" si="143"/>
        <v>0</v>
      </c>
    </row>
    <row r="450" spans="1:49" ht="19.95" customHeight="1" x14ac:dyDescent="0.25">
      <c r="A450" s="15" t="s">
        <v>273</v>
      </c>
      <c r="C450" s="15">
        <v>5</v>
      </c>
      <c r="D450" s="23" t="s">
        <v>174</v>
      </c>
      <c r="E450" s="23" t="s">
        <v>179</v>
      </c>
      <c r="L450" s="15">
        <f>IFERROR(VLOOKUP($D450&amp;$C450,生产方式定位!$A$2:$E$38,2,FALSE)+VLOOKUP($E450&amp;$C450,生产方式定位!$F$3:$J$38,2,FALSE),0)</f>
        <v>0</v>
      </c>
      <c r="S450" s="15">
        <f>IFERROR(VLOOKUP($D450&amp;$C450,生产方式定位!$A$2:$E$38,3,FALSE)+VLOOKUP($E450&amp;$C450,生产方式定位!$F$3:$J$38,3,FALSE),0)</f>
        <v>100</v>
      </c>
      <c r="X450" s="15">
        <f>IFERROR(VLOOKUP($D450&amp;$C450,生产方式定位!$A$2:$E$38,5,FALSE)+VLOOKUP($E450&amp;$C450,生产方式定位!$F$3:$J$38,5,FALSE),"错误")</f>
        <v>100</v>
      </c>
      <c r="Y450" s="26" t="str">
        <f t="shared" si="128"/>
        <v/>
      </c>
      <c r="Z450" s="36" t="str">
        <f t="shared" si="129"/>
        <v/>
      </c>
      <c r="AA450" s="36" t="str">
        <f t="shared" si="130"/>
        <v/>
      </c>
      <c r="AB450" s="27" t="str">
        <f t="shared" si="131"/>
        <v/>
      </c>
      <c r="AC450" s="2" t="str">
        <f t="shared" si="132"/>
        <v/>
      </c>
      <c r="AD450" s="37">
        <f t="shared" si="133"/>
        <v>5</v>
      </c>
      <c r="AE450" t="str">
        <f t="shared" si="134"/>
        <v/>
      </c>
      <c r="AF450" t="str">
        <f t="shared" si="135"/>
        <v/>
      </c>
      <c r="AG450" t="str">
        <f t="shared" si="136"/>
        <v/>
      </c>
      <c r="AH450" t="str">
        <f t="shared" si="137"/>
        <v/>
      </c>
      <c r="AI450" t="str">
        <f t="shared" si="138"/>
        <v/>
      </c>
      <c r="AJ450" t="str">
        <f t="shared" si="139"/>
        <v/>
      </c>
      <c r="AK450" t="str">
        <f t="shared" si="140"/>
        <v/>
      </c>
      <c r="AL450" t="str">
        <f>IFERROR(ROUND(L450*(G450/$AU450)/VLOOKUP(F450,商品!$A$4:$B$60,2,FALSE),0),"")</f>
        <v/>
      </c>
      <c r="AM450" t="str">
        <f>IFERROR(ROUND(L450*(I450/$AU450)/VLOOKUP(H450,商品!$A$4:$B$60,2,FALSE),0),"")</f>
        <v/>
      </c>
      <c r="AN450">
        <f>IFERROR(ROUND(L450*(J450/$AU450)/VLOOKUP("运力",商品!$A$4:$B$60,2,FALSE),0),0)</f>
        <v>0</v>
      </c>
      <c r="AO450">
        <f>IFERROR(ROUND(L450*(K450/$AU450)/VLOOKUP("交易",商品!$A$4:$B$60,2,FALSE),0),0)</f>
        <v>0</v>
      </c>
      <c r="AP450" t="str">
        <f>IFERROR(ROUND(S450*(N450/$AV450)/VLOOKUP(M450,职业!$A$4:$G$16,4,FALSE),0),"")</f>
        <v/>
      </c>
      <c r="AQ450" t="str">
        <f>IFERROR(ROUND(S450*(P450/$AV450)/VLOOKUP(O450,职业!$A$4:$G$16,4,FALSE),0),"")</f>
        <v/>
      </c>
      <c r="AR450" t="str">
        <f>IFERROR(ROUND(S450*(R450/$AV450)/VLOOKUP(Q450,职业!$A$4:$G$16,4,FALSE),0),"")</f>
        <v/>
      </c>
      <c r="AS450" t="str">
        <f>IFERROR(ROUND(X450*(U450/$AW450)/VLOOKUP(T450,商品!$A$4:$B$60,2,FALSE),0),"")</f>
        <v/>
      </c>
      <c r="AT450" t="str">
        <f>IFERROR(ROUND(X450*(W450/$AW450)/VLOOKUP(V450,商品!$A$4:$B$60,2,FALSE),0),"")</f>
        <v/>
      </c>
      <c r="AU450">
        <f t="shared" si="141"/>
        <v>0</v>
      </c>
      <c r="AV450">
        <f t="shared" si="142"/>
        <v>0</v>
      </c>
      <c r="AW450">
        <f t="shared" si="143"/>
        <v>0</v>
      </c>
    </row>
    <row r="451" spans="1:49" ht="19.95" customHeight="1" x14ac:dyDescent="0.25">
      <c r="A451" s="15" t="s">
        <v>273</v>
      </c>
      <c r="C451" s="15">
        <v>6</v>
      </c>
      <c r="D451" s="23" t="s">
        <v>174</v>
      </c>
      <c r="E451" s="23" t="s">
        <v>179</v>
      </c>
      <c r="L451" s="15">
        <f>IFERROR(VLOOKUP($D451&amp;$C451,生产方式定位!$A$2:$E$38,2,FALSE)+VLOOKUP($E451&amp;$C451,生产方式定位!$F$3:$J$38,2,FALSE),0)</f>
        <v>0</v>
      </c>
      <c r="S451" s="15">
        <f>IFERROR(VLOOKUP($D451&amp;$C451,生产方式定位!$A$2:$E$38,3,FALSE)+VLOOKUP($E451&amp;$C451,生产方式定位!$F$3:$J$38,3,FALSE),0)</f>
        <v>100</v>
      </c>
      <c r="X451" s="15">
        <f>IFERROR(VLOOKUP($D451&amp;$C451,生产方式定位!$A$2:$E$38,5,FALSE)+VLOOKUP($E451&amp;$C451,生产方式定位!$F$3:$J$38,5,FALSE),"错误")</f>
        <v>100</v>
      </c>
      <c r="Y451" s="26" t="str">
        <f t="shared" si="128"/>
        <v/>
      </c>
      <c r="Z451" s="36" t="str">
        <f t="shared" si="129"/>
        <v/>
      </c>
      <c r="AA451" s="36" t="str">
        <f t="shared" si="130"/>
        <v/>
      </c>
      <c r="AB451" s="27" t="str">
        <f t="shared" si="131"/>
        <v/>
      </c>
      <c r="AC451" s="2" t="str">
        <f t="shared" si="132"/>
        <v/>
      </c>
      <c r="AD451" s="38">
        <f t="shared" si="133"/>
        <v>6</v>
      </c>
      <c r="AE451" t="str">
        <f t="shared" si="134"/>
        <v/>
      </c>
      <c r="AF451" t="str">
        <f t="shared" si="135"/>
        <v/>
      </c>
      <c r="AG451" t="str">
        <f t="shared" si="136"/>
        <v/>
      </c>
      <c r="AH451" t="str">
        <f t="shared" si="137"/>
        <v/>
      </c>
      <c r="AI451" t="str">
        <f t="shared" si="138"/>
        <v/>
      </c>
      <c r="AJ451" t="str">
        <f t="shared" si="139"/>
        <v/>
      </c>
      <c r="AK451" t="str">
        <f t="shared" si="140"/>
        <v/>
      </c>
      <c r="AL451" t="str">
        <f>IFERROR(ROUND(L451*(G451/$AU451)/VLOOKUP(F451,商品!$A$4:$B$60,2,FALSE),0),"")</f>
        <v/>
      </c>
      <c r="AM451" t="str">
        <f>IFERROR(ROUND(L451*(I451/$AU451)/VLOOKUP(H451,商品!$A$4:$B$60,2,FALSE),0),"")</f>
        <v/>
      </c>
      <c r="AN451">
        <f>IFERROR(ROUND(L451*(J451/$AU451)/VLOOKUP("运力",商品!$A$4:$B$60,2,FALSE),0),0)</f>
        <v>0</v>
      </c>
      <c r="AO451">
        <f>IFERROR(ROUND(L451*(K451/$AU451)/VLOOKUP("交易",商品!$A$4:$B$60,2,FALSE),0),0)</f>
        <v>0</v>
      </c>
      <c r="AP451" t="str">
        <f>IFERROR(ROUND(S451*(N451/$AV451)/VLOOKUP(M451,职业!$A$4:$G$16,4,FALSE),0),"")</f>
        <v/>
      </c>
      <c r="AQ451" t="str">
        <f>IFERROR(ROUND(S451*(P451/$AV451)/VLOOKUP(O451,职业!$A$4:$G$16,4,FALSE),0),"")</f>
        <v/>
      </c>
      <c r="AR451" t="str">
        <f>IFERROR(ROUND(S451*(R451/$AV451)/VLOOKUP(Q451,职业!$A$4:$G$16,4,FALSE),0),"")</f>
        <v/>
      </c>
      <c r="AS451" t="str">
        <f>IFERROR(ROUND(X451*(U451/$AW451)/VLOOKUP(T451,商品!$A$4:$B$60,2,FALSE),0),"")</f>
        <v/>
      </c>
      <c r="AT451" t="str">
        <f>IFERROR(ROUND(X451*(W451/$AW451)/VLOOKUP(V451,商品!$A$4:$B$60,2,FALSE),0),"")</f>
        <v/>
      </c>
      <c r="AU451">
        <f t="shared" si="141"/>
        <v>0</v>
      </c>
      <c r="AV451">
        <f t="shared" si="142"/>
        <v>0</v>
      </c>
      <c r="AW451">
        <f t="shared" si="143"/>
        <v>0</v>
      </c>
    </row>
    <row r="452" spans="1:49" ht="19.95" customHeight="1" x14ac:dyDescent="0.25">
      <c r="A452" s="15" t="s">
        <v>273</v>
      </c>
      <c r="C452" s="15">
        <v>7</v>
      </c>
      <c r="D452" s="23" t="s">
        <v>174</v>
      </c>
      <c r="E452" s="23" t="s">
        <v>179</v>
      </c>
      <c r="L452" s="15">
        <f>IFERROR(VLOOKUP($D452&amp;$C452,生产方式定位!$A$2:$E$38,2,FALSE)+VLOOKUP($E452&amp;$C452,生产方式定位!$F$3:$J$38,2,FALSE),0)</f>
        <v>0</v>
      </c>
      <c r="S452" s="15">
        <f>IFERROR(VLOOKUP($D452&amp;$C452,生产方式定位!$A$2:$E$38,3,FALSE)+VLOOKUP($E452&amp;$C452,生产方式定位!$F$3:$J$38,3,FALSE),0)</f>
        <v>100</v>
      </c>
      <c r="X452" s="15">
        <f>IFERROR(VLOOKUP($D452&amp;$C452,生产方式定位!$A$2:$E$38,5,FALSE)+VLOOKUP($E452&amp;$C452,生产方式定位!$F$3:$J$38,5,FALSE),"错误")</f>
        <v>100</v>
      </c>
      <c r="Y452" s="26" t="str">
        <f t="shared" si="128"/>
        <v/>
      </c>
      <c r="Z452" s="36" t="str">
        <f t="shared" si="129"/>
        <v/>
      </c>
      <c r="AA452" s="36" t="str">
        <f t="shared" si="130"/>
        <v/>
      </c>
      <c r="AB452" s="27" t="str">
        <f t="shared" si="131"/>
        <v/>
      </c>
      <c r="AC452" s="2" t="str">
        <f t="shared" si="132"/>
        <v/>
      </c>
      <c r="AD452" s="38">
        <f t="shared" si="133"/>
        <v>7</v>
      </c>
      <c r="AE452" t="str">
        <f t="shared" si="134"/>
        <v/>
      </c>
      <c r="AF452" t="str">
        <f t="shared" si="135"/>
        <v/>
      </c>
      <c r="AG452" t="str">
        <f t="shared" si="136"/>
        <v/>
      </c>
      <c r="AH452" t="str">
        <f t="shared" si="137"/>
        <v/>
      </c>
      <c r="AI452" t="str">
        <f t="shared" si="138"/>
        <v/>
      </c>
      <c r="AJ452" t="str">
        <f t="shared" si="139"/>
        <v/>
      </c>
      <c r="AK452" t="str">
        <f t="shared" si="140"/>
        <v/>
      </c>
      <c r="AL452" t="str">
        <f>IFERROR(ROUND(L452*(G452/$AU452)/VLOOKUP(F452,商品!$A$4:$B$60,2,FALSE),0),"")</f>
        <v/>
      </c>
      <c r="AM452" t="str">
        <f>IFERROR(ROUND(L452*(I452/$AU452)/VLOOKUP(H452,商品!$A$4:$B$60,2,FALSE),0),"")</f>
        <v/>
      </c>
      <c r="AN452">
        <f>IFERROR(ROUND(L452*(J452/$AU452)/VLOOKUP("运力",商品!$A$4:$B$60,2,FALSE),0),0)</f>
        <v>0</v>
      </c>
      <c r="AO452">
        <f>IFERROR(ROUND(L452*(K452/$AU452)/VLOOKUP("交易",商品!$A$4:$B$60,2,FALSE),0),0)</f>
        <v>0</v>
      </c>
      <c r="AP452" t="str">
        <f>IFERROR(ROUND(S452*(N452/$AV452)/VLOOKUP(M452,职业!$A$4:$G$16,4,FALSE),0),"")</f>
        <v/>
      </c>
      <c r="AQ452" t="str">
        <f>IFERROR(ROUND(S452*(P452/$AV452)/VLOOKUP(O452,职业!$A$4:$G$16,4,FALSE),0),"")</f>
        <v/>
      </c>
      <c r="AR452" t="str">
        <f>IFERROR(ROUND(S452*(R452/$AV452)/VLOOKUP(Q452,职业!$A$4:$G$16,4,FALSE),0),"")</f>
        <v/>
      </c>
      <c r="AS452" t="str">
        <f>IFERROR(ROUND(X452*(U452/$AW452)/VLOOKUP(T452,商品!$A$4:$B$60,2,FALSE),0),"")</f>
        <v/>
      </c>
      <c r="AT452" t="str">
        <f>IFERROR(ROUND(X452*(W452/$AW452)/VLOOKUP(V452,商品!$A$4:$B$60,2,FALSE),0),"")</f>
        <v/>
      </c>
      <c r="AU452">
        <f t="shared" si="141"/>
        <v>0</v>
      </c>
      <c r="AV452">
        <f t="shared" si="142"/>
        <v>0</v>
      </c>
      <c r="AW452">
        <f t="shared" si="143"/>
        <v>0</v>
      </c>
    </row>
    <row r="453" spans="1:49" ht="19.95" customHeight="1" x14ac:dyDescent="0.25">
      <c r="A453" s="15" t="s">
        <v>273</v>
      </c>
      <c r="C453" s="15">
        <v>8</v>
      </c>
      <c r="D453" s="23" t="s">
        <v>174</v>
      </c>
      <c r="E453" s="23" t="s">
        <v>179</v>
      </c>
      <c r="L453" s="15">
        <f>IFERROR(VLOOKUP($D453&amp;$C453,生产方式定位!$A$2:$E$38,2,FALSE)+VLOOKUP($E453&amp;$C453,生产方式定位!$F$3:$J$38,2,FALSE),0)</f>
        <v>0</v>
      </c>
      <c r="S453" s="15">
        <f>IFERROR(VLOOKUP($D453&amp;$C453,生产方式定位!$A$2:$E$38,3,FALSE)+VLOOKUP($E453&amp;$C453,生产方式定位!$F$3:$J$38,3,FALSE),0)</f>
        <v>100</v>
      </c>
      <c r="X453" s="15">
        <f>IFERROR(VLOOKUP($D453&amp;$C453,生产方式定位!$A$2:$E$38,5,FALSE)+VLOOKUP($E453&amp;$C453,生产方式定位!$F$3:$J$38,5,FALSE),"错误")</f>
        <v>100</v>
      </c>
      <c r="Y453" s="26" t="str">
        <f t="shared" ref="Y453:Y486" si="144">IF(AE453="","",AE453)&amp;IF(AF453="","",","&amp;AF453)&amp;IF(AN453=0,"",",运力*"&amp;AN453)&amp;IF(AO453=0,"",",交易*"&amp;AO453)</f>
        <v/>
      </c>
      <c r="Z453" s="36" t="str">
        <f t="shared" ref="Z453:Z486" si="145">IF(AG453="","",AG453)&amp;IF(AH453="","",","&amp;AH453)&amp;IF(AI453="","",","&amp;AI453)</f>
        <v/>
      </c>
      <c r="AA453" s="36" t="str">
        <f t="shared" ref="AA453:AA486" si="146">IF(AJ453="","",AJ453)&amp;IF(AK453="","",","&amp;AK453)</f>
        <v/>
      </c>
      <c r="AB453" s="27" t="str">
        <f t="shared" ref="AB453:AB486" si="147">IFERROR(ROUND(((X453/L453)-1)*100,0)&amp;"%","")</f>
        <v/>
      </c>
      <c r="AC453" s="2" t="str">
        <f t="shared" ref="AC453:AC486" si="148">IF(X453-S453-L453=0,"",X453-S453-L453)</f>
        <v/>
      </c>
      <c r="AD453" s="38">
        <f t="shared" ref="AD453:AD486" si="149">C453</f>
        <v>8</v>
      </c>
      <c r="AE453" t="str">
        <f t="shared" ref="AE453:AE486" si="150">IF(AL453="","",F453&amp;"*"&amp;AL453)</f>
        <v/>
      </c>
      <c r="AF453" t="str">
        <f t="shared" ref="AF453:AF486" si="151">IF(AM453="","",H453&amp;"*"&amp;AM453)</f>
        <v/>
      </c>
      <c r="AG453" t="str">
        <f t="shared" ref="AG453:AG486" si="152">IF(AP453="","",M453&amp;"*"&amp;AP453)</f>
        <v/>
      </c>
      <c r="AH453" t="str">
        <f t="shared" ref="AH453:AH486" si="153">IF(AQ453="","",O453&amp;"*"&amp;AQ453)</f>
        <v/>
      </c>
      <c r="AI453" t="str">
        <f t="shared" ref="AI453:AI486" si="154">IF(AR453="","",Q453&amp;"*"&amp;AR453)</f>
        <v/>
      </c>
      <c r="AJ453" t="str">
        <f t="shared" ref="AJ453:AJ486" si="155">IF(AS453="","",T453&amp;"*"&amp;AS453)</f>
        <v/>
      </c>
      <c r="AK453" t="str">
        <f t="shared" ref="AK453:AK486" si="156">IF(AT453="","",V453&amp;"*"&amp;AT453)</f>
        <v/>
      </c>
      <c r="AL453" t="str">
        <f>IFERROR(ROUND(L453*(G453/$AU453)/VLOOKUP(F453,商品!$A$4:$B$60,2,FALSE),0),"")</f>
        <v/>
      </c>
      <c r="AM453" t="str">
        <f>IFERROR(ROUND(L453*(I453/$AU453)/VLOOKUP(H453,商品!$A$4:$B$60,2,FALSE),0),"")</f>
        <v/>
      </c>
      <c r="AN453">
        <f>IFERROR(ROUND(L453*(J453/$AU453)/VLOOKUP("运力",商品!$A$4:$B$60,2,FALSE),0),0)</f>
        <v>0</v>
      </c>
      <c r="AO453">
        <f>IFERROR(ROUND(L453*(K453/$AU453)/VLOOKUP("交易",商品!$A$4:$B$60,2,FALSE),0),0)</f>
        <v>0</v>
      </c>
      <c r="AP453" t="str">
        <f>IFERROR(ROUND(S453*(N453/$AV453)/VLOOKUP(M453,职业!$A$4:$G$16,4,FALSE),0),"")</f>
        <v/>
      </c>
      <c r="AQ453" t="str">
        <f>IFERROR(ROUND(S453*(P453/$AV453)/VLOOKUP(O453,职业!$A$4:$G$16,4,FALSE),0),"")</f>
        <v/>
      </c>
      <c r="AR453" t="str">
        <f>IFERROR(ROUND(S453*(R453/$AV453)/VLOOKUP(Q453,职业!$A$4:$G$16,4,FALSE),0),"")</f>
        <v/>
      </c>
      <c r="AS453" t="str">
        <f>IFERROR(ROUND(X453*(U453/$AW453)/VLOOKUP(T453,商品!$A$4:$B$60,2,FALSE),0),"")</f>
        <v/>
      </c>
      <c r="AT453" t="str">
        <f>IFERROR(ROUND(X453*(W453/$AW453)/VLOOKUP(V453,商品!$A$4:$B$60,2,FALSE),0),"")</f>
        <v/>
      </c>
      <c r="AU453">
        <f t="shared" ref="AU453:AU486" si="157">G453+I453+J453+K453</f>
        <v>0</v>
      </c>
      <c r="AV453">
        <f t="shared" ref="AV453:AV486" si="158">ABS(N453)+ABS(P453)+ABS(R453)</f>
        <v>0</v>
      </c>
      <c r="AW453">
        <f t="shared" ref="AW453:AW486" si="159">U453+W453</f>
        <v>0</v>
      </c>
    </row>
    <row r="454" spans="1:49" ht="19.95" customHeight="1" x14ac:dyDescent="0.25">
      <c r="A454" s="16" t="s">
        <v>275</v>
      </c>
      <c r="C454" s="16">
        <v>1</v>
      </c>
      <c r="D454" s="23" t="s">
        <v>222</v>
      </c>
      <c r="E454" s="23" t="s">
        <v>172</v>
      </c>
      <c r="L454" s="16">
        <f>IFERROR(VLOOKUP($D454&amp;$C454,生产方式定位!$A$2:$E$38,2,FALSE)+VLOOKUP($E454&amp;$C454,生产方式定位!$F$3:$J$38,2,FALSE),0)</f>
        <v>1000</v>
      </c>
      <c r="S454" s="16">
        <f>IFERROR(VLOOKUP($D454&amp;$C454,生产方式定位!$A$2:$E$38,3,FALSE)+VLOOKUP($E454&amp;$C454,生产方式定位!$F$3:$J$38,3,FALSE),0)</f>
        <v>100</v>
      </c>
      <c r="X454" s="16">
        <f>IFERROR(VLOOKUP($D454&amp;$C454,生产方式定位!$A$2:$E$38,5,FALSE)+VLOOKUP($E454&amp;$C454,生产方式定位!$F$3:$J$38,5,FALSE),"错误")</f>
        <v>1760</v>
      </c>
      <c r="Y454" s="26" t="str">
        <f t="shared" si="144"/>
        <v/>
      </c>
      <c r="Z454" s="36" t="str">
        <f t="shared" si="145"/>
        <v/>
      </c>
      <c r="AA454" s="36" t="str">
        <f t="shared" si="146"/>
        <v/>
      </c>
      <c r="AB454" s="27" t="str">
        <f t="shared" si="147"/>
        <v>76%</v>
      </c>
      <c r="AC454" s="2">
        <f t="shared" si="148"/>
        <v>660</v>
      </c>
      <c r="AD454" s="38">
        <f t="shared" si="149"/>
        <v>1</v>
      </c>
      <c r="AE454" t="str">
        <f t="shared" si="150"/>
        <v/>
      </c>
      <c r="AF454" t="str">
        <f t="shared" si="151"/>
        <v/>
      </c>
      <c r="AG454" t="str">
        <f t="shared" si="152"/>
        <v/>
      </c>
      <c r="AH454" t="str">
        <f t="shared" si="153"/>
        <v/>
      </c>
      <c r="AI454" t="str">
        <f t="shared" si="154"/>
        <v/>
      </c>
      <c r="AJ454" t="str">
        <f t="shared" si="155"/>
        <v/>
      </c>
      <c r="AK454" t="str">
        <f t="shared" si="156"/>
        <v/>
      </c>
      <c r="AL454" t="str">
        <f>IFERROR(ROUND(L454*(G454/$AU454)/VLOOKUP(F454,商品!$A$4:$B$60,2,FALSE),0),"")</f>
        <v/>
      </c>
      <c r="AM454" t="str">
        <f>IFERROR(ROUND(L454*(I454/$AU454)/VLOOKUP(H454,商品!$A$4:$B$60,2,FALSE),0),"")</f>
        <v/>
      </c>
      <c r="AN454">
        <f>IFERROR(ROUND(L454*(J454/$AU454)/VLOOKUP("运力",商品!$A$4:$B$60,2,FALSE),0),0)</f>
        <v>0</v>
      </c>
      <c r="AO454">
        <f>IFERROR(ROUND(L454*(K454/$AU454)/VLOOKUP("交易",商品!$A$4:$B$60,2,FALSE),0),0)</f>
        <v>0</v>
      </c>
      <c r="AP454" t="str">
        <f>IFERROR(ROUND(S454*(N454/$AV454)/VLOOKUP(M454,职业!$A$4:$G$16,4,FALSE),0),"")</f>
        <v/>
      </c>
      <c r="AQ454" t="str">
        <f>IFERROR(ROUND(S454*(P454/$AV454)/VLOOKUP(O454,职业!$A$4:$G$16,4,FALSE),0),"")</f>
        <v/>
      </c>
      <c r="AR454" t="str">
        <f>IFERROR(ROUND(S454*(R454/$AV454)/VLOOKUP(Q454,职业!$A$4:$G$16,4,FALSE),0),"")</f>
        <v/>
      </c>
      <c r="AS454" t="str">
        <f>IFERROR(ROUND(X454*(U454/$AW454)/VLOOKUP(T454,商品!$A$4:$B$60,2,FALSE),0),"")</f>
        <v/>
      </c>
      <c r="AT454" t="str">
        <f>IFERROR(ROUND(X454*(W454/$AW454)/VLOOKUP(V454,商品!$A$4:$B$60,2,FALSE),0),"")</f>
        <v/>
      </c>
      <c r="AU454">
        <f t="shared" si="157"/>
        <v>0</v>
      </c>
      <c r="AV454">
        <f t="shared" si="158"/>
        <v>0</v>
      </c>
      <c r="AW454">
        <f t="shared" si="159"/>
        <v>0</v>
      </c>
    </row>
    <row r="455" spans="1:49" ht="19.95" customHeight="1" x14ac:dyDescent="0.25">
      <c r="A455" s="16" t="s">
        <v>275</v>
      </c>
      <c r="C455" s="16">
        <v>2</v>
      </c>
      <c r="D455" s="23" t="s">
        <v>222</v>
      </c>
      <c r="E455" s="23" t="s">
        <v>172</v>
      </c>
      <c r="L455" s="16">
        <f>IFERROR(VLOOKUP($D455&amp;$C455,生产方式定位!$A$2:$E$38,2,FALSE)+VLOOKUP($E455&amp;$C455,生产方式定位!$F$3:$J$38,2,FALSE),0)</f>
        <v>1600</v>
      </c>
      <c r="S455" s="16">
        <f>IFERROR(VLOOKUP($D455&amp;$C455,生产方式定位!$A$2:$E$38,3,FALSE)+VLOOKUP($E455&amp;$C455,生产方式定位!$F$3:$J$38,3,FALSE),0)</f>
        <v>100</v>
      </c>
      <c r="X455" s="16">
        <f>IFERROR(VLOOKUP($D455&amp;$C455,生产方式定位!$A$2:$E$38,5,FALSE)+VLOOKUP($E455&amp;$C455,生产方式定位!$F$3:$J$38,5,FALSE),"错误")</f>
        <v>2520</v>
      </c>
      <c r="Y455" s="26" t="str">
        <f t="shared" si="144"/>
        <v/>
      </c>
      <c r="Z455" s="36" t="str">
        <f t="shared" si="145"/>
        <v/>
      </c>
      <c r="AA455" s="36" t="str">
        <f t="shared" si="146"/>
        <v/>
      </c>
      <c r="AB455" s="27" t="str">
        <f t="shared" si="147"/>
        <v>58%</v>
      </c>
      <c r="AC455" s="2">
        <f t="shared" si="148"/>
        <v>820</v>
      </c>
      <c r="AD455" s="38">
        <f t="shared" si="149"/>
        <v>2</v>
      </c>
      <c r="AE455" t="str">
        <f t="shared" si="150"/>
        <v/>
      </c>
      <c r="AF455" t="str">
        <f t="shared" si="151"/>
        <v/>
      </c>
      <c r="AG455" t="str">
        <f t="shared" si="152"/>
        <v/>
      </c>
      <c r="AH455" t="str">
        <f t="shared" si="153"/>
        <v/>
      </c>
      <c r="AI455" t="str">
        <f t="shared" si="154"/>
        <v/>
      </c>
      <c r="AJ455" t="str">
        <f t="shared" si="155"/>
        <v/>
      </c>
      <c r="AK455" t="str">
        <f t="shared" si="156"/>
        <v/>
      </c>
      <c r="AL455" t="str">
        <f>IFERROR(ROUND(L455*(G455/$AU455)/VLOOKUP(F455,商品!$A$4:$B$60,2,FALSE),0),"")</f>
        <v/>
      </c>
      <c r="AM455" t="str">
        <f>IFERROR(ROUND(L455*(I455/$AU455)/VLOOKUP(H455,商品!$A$4:$B$60,2,FALSE),0),"")</f>
        <v/>
      </c>
      <c r="AN455">
        <f>IFERROR(ROUND(L455*(J455/$AU455)/VLOOKUP("运力",商品!$A$4:$B$60,2,FALSE),0),0)</f>
        <v>0</v>
      </c>
      <c r="AO455">
        <f>IFERROR(ROUND(L455*(K455/$AU455)/VLOOKUP("交易",商品!$A$4:$B$60,2,FALSE),0),0)</f>
        <v>0</v>
      </c>
      <c r="AP455" t="str">
        <f>IFERROR(ROUND(S455*(N455/$AV455)/VLOOKUP(M455,职业!$A$4:$G$16,4,FALSE),0),"")</f>
        <v/>
      </c>
      <c r="AQ455" t="str">
        <f>IFERROR(ROUND(S455*(P455/$AV455)/VLOOKUP(O455,职业!$A$4:$G$16,4,FALSE),0),"")</f>
        <v/>
      </c>
      <c r="AR455" t="str">
        <f>IFERROR(ROUND(S455*(R455/$AV455)/VLOOKUP(Q455,职业!$A$4:$G$16,4,FALSE),0),"")</f>
        <v/>
      </c>
      <c r="AS455" t="str">
        <f>IFERROR(ROUND(X455*(U455/$AW455)/VLOOKUP(T455,商品!$A$4:$B$60,2,FALSE),0),"")</f>
        <v/>
      </c>
      <c r="AT455" t="str">
        <f>IFERROR(ROUND(X455*(W455/$AW455)/VLOOKUP(V455,商品!$A$4:$B$60,2,FALSE),0),"")</f>
        <v/>
      </c>
      <c r="AU455">
        <f t="shared" si="157"/>
        <v>0</v>
      </c>
      <c r="AV455">
        <f t="shared" si="158"/>
        <v>0</v>
      </c>
      <c r="AW455">
        <f t="shared" si="159"/>
        <v>0</v>
      </c>
    </row>
    <row r="456" spans="1:49" ht="19.95" customHeight="1" x14ac:dyDescent="0.25">
      <c r="A456" s="16" t="s">
        <v>275</v>
      </c>
      <c r="C456" s="16">
        <v>3</v>
      </c>
      <c r="D456" s="23" t="s">
        <v>222</v>
      </c>
      <c r="E456" s="23" t="s">
        <v>172</v>
      </c>
      <c r="L456" s="16">
        <f>IFERROR(VLOOKUP($D456&amp;$C456,生产方式定位!$A$2:$E$38,2,FALSE)+VLOOKUP($E456&amp;$C456,生产方式定位!$F$3:$J$38,2,FALSE),0)</f>
        <v>1825</v>
      </c>
      <c r="S456" s="16">
        <f>IFERROR(VLOOKUP($D456&amp;$C456,生产方式定位!$A$2:$E$38,3,FALSE)+VLOOKUP($E456&amp;$C456,生产方式定位!$F$3:$J$38,3,FALSE),0)</f>
        <v>100</v>
      </c>
      <c r="X456" s="16">
        <f>IFERROR(VLOOKUP($D456&amp;$C456,生产方式定位!$A$2:$E$38,5,FALSE)+VLOOKUP($E456&amp;$C456,生产方式定位!$F$3:$J$38,5,FALSE),"错误")</f>
        <v>2830</v>
      </c>
      <c r="Y456" s="26" t="str">
        <f t="shared" si="144"/>
        <v/>
      </c>
      <c r="Z456" s="36" t="str">
        <f t="shared" si="145"/>
        <v/>
      </c>
      <c r="AA456" s="36" t="str">
        <f t="shared" si="146"/>
        <v/>
      </c>
      <c r="AB456" s="27" t="str">
        <f t="shared" si="147"/>
        <v>55%</v>
      </c>
      <c r="AC456" s="2">
        <f t="shared" si="148"/>
        <v>905</v>
      </c>
      <c r="AD456" s="37">
        <f t="shared" si="149"/>
        <v>3</v>
      </c>
      <c r="AE456" t="str">
        <f t="shared" si="150"/>
        <v/>
      </c>
      <c r="AF456" t="str">
        <f t="shared" si="151"/>
        <v/>
      </c>
      <c r="AG456" t="str">
        <f t="shared" si="152"/>
        <v/>
      </c>
      <c r="AH456" t="str">
        <f t="shared" si="153"/>
        <v/>
      </c>
      <c r="AI456" t="str">
        <f t="shared" si="154"/>
        <v/>
      </c>
      <c r="AJ456" t="str">
        <f t="shared" si="155"/>
        <v/>
      </c>
      <c r="AK456" t="str">
        <f t="shared" si="156"/>
        <v/>
      </c>
      <c r="AL456" t="str">
        <f>IFERROR(ROUND(L456*(G456/$AU456)/VLOOKUP(F456,商品!$A$4:$B$60,2,FALSE),0),"")</f>
        <v/>
      </c>
      <c r="AM456" t="str">
        <f>IFERROR(ROUND(L456*(I456/$AU456)/VLOOKUP(H456,商品!$A$4:$B$60,2,FALSE),0),"")</f>
        <v/>
      </c>
      <c r="AN456">
        <f>IFERROR(ROUND(L456*(J456/$AU456)/VLOOKUP("运力",商品!$A$4:$B$60,2,FALSE),0),0)</f>
        <v>0</v>
      </c>
      <c r="AO456">
        <f>IFERROR(ROUND(L456*(K456/$AU456)/VLOOKUP("交易",商品!$A$4:$B$60,2,FALSE),0),0)</f>
        <v>0</v>
      </c>
      <c r="AP456" t="str">
        <f>IFERROR(ROUND(S456*(N456/$AV456)/VLOOKUP(M456,职业!$A$4:$G$16,4,FALSE),0),"")</f>
        <v/>
      </c>
      <c r="AQ456" t="str">
        <f>IFERROR(ROUND(S456*(P456/$AV456)/VLOOKUP(O456,职业!$A$4:$G$16,4,FALSE),0),"")</f>
        <v/>
      </c>
      <c r="AR456" t="str">
        <f>IFERROR(ROUND(S456*(R456/$AV456)/VLOOKUP(Q456,职业!$A$4:$G$16,4,FALSE),0),"")</f>
        <v/>
      </c>
      <c r="AS456" t="str">
        <f>IFERROR(ROUND(X456*(U456/$AW456)/VLOOKUP(T456,商品!$A$4:$B$60,2,FALSE),0),"")</f>
        <v/>
      </c>
      <c r="AT456" t="str">
        <f>IFERROR(ROUND(X456*(W456/$AW456)/VLOOKUP(V456,商品!$A$4:$B$60,2,FALSE),0),"")</f>
        <v/>
      </c>
      <c r="AU456">
        <f t="shared" si="157"/>
        <v>0</v>
      </c>
      <c r="AV456">
        <f t="shared" si="158"/>
        <v>0</v>
      </c>
      <c r="AW456">
        <f t="shared" si="159"/>
        <v>0</v>
      </c>
    </row>
    <row r="457" spans="1:49" ht="19.95" customHeight="1" x14ac:dyDescent="0.25">
      <c r="A457" s="16" t="s">
        <v>275</v>
      </c>
      <c r="C457" s="16">
        <v>4</v>
      </c>
      <c r="D457" s="23" t="s">
        <v>222</v>
      </c>
      <c r="E457" s="23" t="s">
        <v>172</v>
      </c>
      <c r="L457" s="16">
        <f>IFERROR(VLOOKUP($D457&amp;$C457,生产方式定位!$A$2:$E$38,2,FALSE)+VLOOKUP($E457&amp;$C457,生产方式定位!$F$3:$J$38,2,FALSE),0)</f>
        <v>2050</v>
      </c>
      <c r="S457" s="16">
        <f>IFERROR(VLOOKUP($D457&amp;$C457,生产方式定位!$A$2:$E$38,3,FALSE)+VLOOKUP($E457&amp;$C457,生产方式定位!$F$3:$J$38,3,FALSE),0)</f>
        <v>100</v>
      </c>
      <c r="X457" s="16">
        <f>IFERROR(VLOOKUP($D457&amp;$C457,生产方式定位!$A$2:$E$38,5,FALSE)+VLOOKUP($E457&amp;$C457,生产方式定位!$F$3:$J$38,5,FALSE),"错误")</f>
        <v>3140</v>
      </c>
      <c r="Y457" s="26" t="str">
        <f t="shared" si="144"/>
        <v/>
      </c>
      <c r="Z457" s="36" t="str">
        <f t="shared" si="145"/>
        <v/>
      </c>
      <c r="AA457" s="36" t="str">
        <f t="shared" si="146"/>
        <v/>
      </c>
      <c r="AB457" s="27" t="str">
        <f t="shared" si="147"/>
        <v>53%</v>
      </c>
      <c r="AC457" s="2">
        <f t="shared" si="148"/>
        <v>990</v>
      </c>
      <c r="AD457" s="37">
        <f t="shared" si="149"/>
        <v>4</v>
      </c>
      <c r="AE457" t="str">
        <f t="shared" si="150"/>
        <v/>
      </c>
      <c r="AF457" t="str">
        <f t="shared" si="151"/>
        <v/>
      </c>
      <c r="AG457" t="str">
        <f t="shared" si="152"/>
        <v/>
      </c>
      <c r="AH457" t="str">
        <f t="shared" si="153"/>
        <v/>
      </c>
      <c r="AI457" t="str">
        <f t="shared" si="154"/>
        <v/>
      </c>
      <c r="AJ457" t="str">
        <f t="shared" si="155"/>
        <v/>
      </c>
      <c r="AK457" t="str">
        <f t="shared" si="156"/>
        <v/>
      </c>
      <c r="AL457" t="str">
        <f>IFERROR(ROUND(L457*(G457/$AU457)/VLOOKUP(F457,商品!$A$4:$B$60,2,FALSE),0),"")</f>
        <v/>
      </c>
      <c r="AM457" t="str">
        <f>IFERROR(ROUND(L457*(I457/$AU457)/VLOOKUP(H457,商品!$A$4:$B$60,2,FALSE),0),"")</f>
        <v/>
      </c>
      <c r="AN457">
        <f>IFERROR(ROUND(L457*(J457/$AU457)/VLOOKUP("运力",商品!$A$4:$B$60,2,FALSE),0),0)</f>
        <v>0</v>
      </c>
      <c r="AO457">
        <f>IFERROR(ROUND(L457*(K457/$AU457)/VLOOKUP("交易",商品!$A$4:$B$60,2,FALSE),0),0)</f>
        <v>0</v>
      </c>
      <c r="AP457" t="str">
        <f>IFERROR(ROUND(S457*(N457/$AV457)/VLOOKUP(M457,职业!$A$4:$G$16,4,FALSE),0),"")</f>
        <v/>
      </c>
      <c r="AQ457" t="str">
        <f>IFERROR(ROUND(S457*(P457/$AV457)/VLOOKUP(O457,职业!$A$4:$G$16,4,FALSE),0),"")</f>
        <v/>
      </c>
      <c r="AR457" t="str">
        <f>IFERROR(ROUND(S457*(R457/$AV457)/VLOOKUP(Q457,职业!$A$4:$G$16,4,FALSE),0),"")</f>
        <v/>
      </c>
      <c r="AS457" t="str">
        <f>IFERROR(ROUND(X457*(U457/$AW457)/VLOOKUP(T457,商品!$A$4:$B$60,2,FALSE),0),"")</f>
        <v/>
      </c>
      <c r="AT457" t="str">
        <f>IFERROR(ROUND(X457*(W457/$AW457)/VLOOKUP(V457,商品!$A$4:$B$60,2,FALSE),0),"")</f>
        <v/>
      </c>
      <c r="AU457">
        <f t="shared" si="157"/>
        <v>0</v>
      </c>
      <c r="AV457">
        <f t="shared" si="158"/>
        <v>0</v>
      </c>
      <c r="AW457">
        <f t="shared" si="159"/>
        <v>0</v>
      </c>
    </row>
    <row r="458" spans="1:49" ht="19.95" customHeight="1" x14ac:dyDescent="0.25">
      <c r="A458" s="16" t="s">
        <v>275</v>
      </c>
      <c r="C458" s="16">
        <v>5</v>
      </c>
      <c r="D458" s="23" t="s">
        <v>222</v>
      </c>
      <c r="E458" s="23" t="s">
        <v>172</v>
      </c>
      <c r="L458" s="16">
        <f>IFERROR(VLOOKUP($D458&amp;$C458,生产方式定位!$A$2:$E$38,2,FALSE)+VLOOKUP($E458&amp;$C458,生产方式定位!$F$3:$J$38,2,FALSE),0)</f>
        <v>2275</v>
      </c>
      <c r="S458" s="16">
        <f>IFERROR(VLOOKUP($D458&amp;$C458,生产方式定位!$A$2:$E$38,3,FALSE)+VLOOKUP($E458&amp;$C458,生产方式定位!$F$3:$J$38,3,FALSE),0)</f>
        <v>100</v>
      </c>
      <c r="X458" s="16">
        <f>IFERROR(VLOOKUP($D458&amp;$C458,生产方式定位!$A$2:$E$38,5,FALSE)+VLOOKUP($E458&amp;$C458,生产方式定位!$F$3:$J$38,5,FALSE),"错误")</f>
        <v>3450</v>
      </c>
      <c r="Y458" s="26" t="str">
        <f t="shared" si="144"/>
        <v/>
      </c>
      <c r="Z458" s="36" t="str">
        <f t="shared" si="145"/>
        <v/>
      </c>
      <c r="AA458" s="36" t="str">
        <f t="shared" si="146"/>
        <v/>
      </c>
      <c r="AB458" s="27" t="str">
        <f t="shared" si="147"/>
        <v>52%</v>
      </c>
      <c r="AC458" s="2">
        <f t="shared" si="148"/>
        <v>1075</v>
      </c>
      <c r="AD458" s="37">
        <f t="shared" si="149"/>
        <v>5</v>
      </c>
      <c r="AE458" t="str">
        <f t="shared" si="150"/>
        <v/>
      </c>
      <c r="AF458" t="str">
        <f t="shared" si="151"/>
        <v/>
      </c>
      <c r="AG458" t="str">
        <f t="shared" si="152"/>
        <v/>
      </c>
      <c r="AH458" t="str">
        <f t="shared" si="153"/>
        <v/>
      </c>
      <c r="AI458" t="str">
        <f t="shared" si="154"/>
        <v/>
      </c>
      <c r="AJ458" t="str">
        <f t="shared" si="155"/>
        <v/>
      </c>
      <c r="AK458" t="str">
        <f t="shared" si="156"/>
        <v/>
      </c>
      <c r="AL458" t="str">
        <f>IFERROR(ROUND(L458*(G458/$AU458)/VLOOKUP(F458,商品!$A$4:$B$60,2,FALSE),0),"")</f>
        <v/>
      </c>
      <c r="AM458" t="str">
        <f>IFERROR(ROUND(L458*(I458/$AU458)/VLOOKUP(H458,商品!$A$4:$B$60,2,FALSE),0),"")</f>
        <v/>
      </c>
      <c r="AN458">
        <f>IFERROR(ROUND(L458*(J458/$AU458)/VLOOKUP("运力",商品!$A$4:$B$60,2,FALSE),0),0)</f>
        <v>0</v>
      </c>
      <c r="AO458">
        <f>IFERROR(ROUND(L458*(K458/$AU458)/VLOOKUP("交易",商品!$A$4:$B$60,2,FALSE),0),0)</f>
        <v>0</v>
      </c>
      <c r="AP458" t="str">
        <f>IFERROR(ROUND(S458*(N458/$AV458)/VLOOKUP(M458,职业!$A$4:$G$16,4,FALSE),0),"")</f>
        <v/>
      </c>
      <c r="AQ458" t="str">
        <f>IFERROR(ROUND(S458*(P458/$AV458)/VLOOKUP(O458,职业!$A$4:$G$16,4,FALSE),0),"")</f>
        <v/>
      </c>
      <c r="AR458" t="str">
        <f>IFERROR(ROUND(S458*(R458/$AV458)/VLOOKUP(Q458,职业!$A$4:$G$16,4,FALSE),0),"")</f>
        <v/>
      </c>
      <c r="AS458" t="str">
        <f>IFERROR(ROUND(X458*(U458/$AW458)/VLOOKUP(T458,商品!$A$4:$B$60,2,FALSE),0),"")</f>
        <v/>
      </c>
      <c r="AT458" t="str">
        <f>IFERROR(ROUND(X458*(W458/$AW458)/VLOOKUP(V458,商品!$A$4:$B$60,2,FALSE),0),"")</f>
        <v/>
      </c>
      <c r="AU458">
        <f t="shared" si="157"/>
        <v>0</v>
      </c>
      <c r="AV458">
        <f t="shared" si="158"/>
        <v>0</v>
      </c>
      <c r="AW458">
        <f t="shared" si="159"/>
        <v>0</v>
      </c>
    </row>
    <row r="459" spans="1:49" ht="19.95" customHeight="1" x14ac:dyDescent="0.25">
      <c r="A459" s="15" t="s">
        <v>276</v>
      </c>
      <c r="C459" s="15">
        <v>1</v>
      </c>
      <c r="D459" s="23" t="s">
        <v>222</v>
      </c>
      <c r="E459" s="23" t="s">
        <v>193</v>
      </c>
      <c r="L459" s="15">
        <f>IFERROR(VLOOKUP($D459&amp;$C459,生产方式定位!$A$2:$E$38,2,FALSE)+VLOOKUP($E459&amp;$C459,生产方式定位!$F$3:$J$38,2,FALSE),0)</f>
        <v>1000</v>
      </c>
      <c r="S459" s="15">
        <f>IFERROR(VLOOKUP($D459&amp;$C459,生产方式定位!$A$2:$E$38,3,FALSE)+VLOOKUP($E459&amp;$C459,生产方式定位!$F$3:$J$38,3,FALSE),0)</f>
        <v>100</v>
      </c>
      <c r="X459" s="15">
        <f>IFERROR(VLOOKUP($D459&amp;$C459,生产方式定位!$A$2:$E$38,5,FALSE)+VLOOKUP($E459&amp;$C459,生产方式定位!$F$3:$J$38,5,FALSE),"错误")</f>
        <v>1760</v>
      </c>
      <c r="Y459" s="26" t="str">
        <f t="shared" si="144"/>
        <v/>
      </c>
      <c r="Z459" s="36" t="str">
        <f t="shared" si="145"/>
        <v/>
      </c>
      <c r="AA459" s="36" t="str">
        <f t="shared" si="146"/>
        <v/>
      </c>
      <c r="AB459" s="27" t="str">
        <f t="shared" si="147"/>
        <v>76%</v>
      </c>
      <c r="AC459" s="2">
        <f t="shared" si="148"/>
        <v>660</v>
      </c>
      <c r="AD459" s="37">
        <f t="shared" si="149"/>
        <v>1</v>
      </c>
      <c r="AE459" t="str">
        <f t="shared" si="150"/>
        <v/>
      </c>
      <c r="AF459" t="str">
        <f t="shared" si="151"/>
        <v/>
      </c>
      <c r="AG459" t="str">
        <f t="shared" si="152"/>
        <v/>
      </c>
      <c r="AH459" t="str">
        <f t="shared" si="153"/>
        <v/>
      </c>
      <c r="AI459" t="str">
        <f t="shared" si="154"/>
        <v/>
      </c>
      <c r="AJ459" t="str">
        <f t="shared" si="155"/>
        <v/>
      </c>
      <c r="AK459" t="str">
        <f t="shared" si="156"/>
        <v/>
      </c>
      <c r="AL459" t="str">
        <f>IFERROR(ROUND(L459*(G459/$AU459)/VLOOKUP(F459,商品!$A$4:$B$60,2,FALSE),0),"")</f>
        <v/>
      </c>
      <c r="AM459" t="str">
        <f>IFERROR(ROUND(L459*(I459/$AU459)/VLOOKUP(H459,商品!$A$4:$B$60,2,FALSE),0),"")</f>
        <v/>
      </c>
      <c r="AN459">
        <f>IFERROR(ROUND(L459*(J459/$AU459)/VLOOKUP("运力",商品!$A$4:$B$60,2,FALSE),0),0)</f>
        <v>0</v>
      </c>
      <c r="AO459">
        <f>IFERROR(ROUND(L459*(K459/$AU459)/VLOOKUP("交易",商品!$A$4:$B$60,2,FALSE),0),0)</f>
        <v>0</v>
      </c>
      <c r="AP459" t="str">
        <f>IFERROR(ROUND(S459*(N459/$AV459)/VLOOKUP(M459,职业!$A$4:$G$16,4,FALSE),0),"")</f>
        <v/>
      </c>
      <c r="AQ459" t="str">
        <f>IFERROR(ROUND(S459*(P459/$AV459)/VLOOKUP(O459,职业!$A$4:$G$16,4,FALSE),0),"")</f>
        <v/>
      </c>
      <c r="AR459" t="str">
        <f>IFERROR(ROUND(S459*(R459/$AV459)/VLOOKUP(Q459,职业!$A$4:$G$16,4,FALSE),0),"")</f>
        <v/>
      </c>
      <c r="AS459" t="str">
        <f>IFERROR(ROUND(X459*(U459/$AW459)/VLOOKUP(T459,商品!$A$4:$B$60,2,FALSE),0),"")</f>
        <v/>
      </c>
      <c r="AT459" t="str">
        <f>IFERROR(ROUND(X459*(W459/$AW459)/VLOOKUP(V459,商品!$A$4:$B$60,2,FALSE),0),"")</f>
        <v/>
      </c>
      <c r="AU459">
        <f t="shared" si="157"/>
        <v>0</v>
      </c>
      <c r="AV459">
        <f t="shared" si="158"/>
        <v>0</v>
      </c>
      <c r="AW459">
        <f t="shared" si="159"/>
        <v>0</v>
      </c>
    </row>
    <row r="460" spans="1:49" ht="19.95" customHeight="1" x14ac:dyDescent="0.25">
      <c r="A460" s="15" t="s">
        <v>276</v>
      </c>
      <c r="C460" s="15">
        <v>2</v>
      </c>
      <c r="D460" s="23" t="s">
        <v>222</v>
      </c>
      <c r="E460" s="23" t="s">
        <v>193</v>
      </c>
      <c r="L460" s="15">
        <f>IFERROR(VLOOKUP($D460&amp;$C460,生产方式定位!$A$2:$E$38,2,FALSE)+VLOOKUP($E460&amp;$C460,生产方式定位!$F$3:$J$38,2,FALSE),0)</f>
        <v>1500</v>
      </c>
      <c r="S460" s="15">
        <f>IFERROR(VLOOKUP($D460&amp;$C460,生产方式定位!$A$2:$E$38,3,FALSE)+VLOOKUP($E460&amp;$C460,生产方式定位!$F$3:$J$38,3,FALSE),0)</f>
        <v>5</v>
      </c>
      <c r="X460" s="15">
        <f>IFERROR(VLOOKUP($D460&amp;$C460,生产方式定位!$A$2:$E$38,5,FALSE)+VLOOKUP($E460&amp;$C460,生产方式定位!$F$3:$J$38,5,FALSE),"错误")</f>
        <v>2347</v>
      </c>
      <c r="Y460" s="26" t="str">
        <f t="shared" si="144"/>
        <v/>
      </c>
      <c r="Z460" s="36" t="str">
        <f t="shared" si="145"/>
        <v/>
      </c>
      <c r="AA460" s="36" t="str">
        <f t="shared" si="146"/>
        <v/>
      </c>
      <c r="AB460" s="27" t="str">
        <f t="shared" si="147"/>
        <v>56%</v>
      </c>
      <c r="AC460" s="2">
        <f t="shared" si="148"/>
        <v>842</v>
      </c>
      <c r="AD460" s="37">
        <f t="shared" si="149"/>
        <v>2</v>
      </c>
      <c r="AE460" t="str">
        <f t="shared" si="150"/>
        <v/>
      </c>
      <c r="AF460" t="str">
        <f t="shared" si="151"/>
        <v/>
      </c>
      <c r="AG460" t="str">
        <f t="shared" si="152"/>
        <v/>
      </c>
      <c r="AH460" t="str">
        <f t="shared" si="153"/>
        <v/>
      </c>
      <c r="AI460" t="str">
        <f t="shared" si="154"/>
        <v/>
      </c>
      <c r="AJ460" t="str">
        <f t="shared" si="155"/>
        <v/>
      </c>
      <c r="AK460" t="str">
        <f t="shared" si="156"/>
        <v/>
      </c>
      <c r="AL460" t="str">
        <f>IFERROR(ROUND(L460*(G460/$AU460)/VLOOKUP(F460,商品!$A$4:$B$60,2,FALSE),0),"")</f>
        <v/>
      </c>
      <c r="AM460" t="str">
        <f>IFERROR(ROUND(L460*(I460/$AU460)/VLOOKUP(H460,商品!$A$4:$B$60,2,FALSE),0),"")</f>
        <v/>
      </c>
      <c r="AN460">
        <f>IFERROR(ROUND(L460*(J460/$AU460)/VLOOKUP("运力",商品!$A$4:$B$60,2,FALSE),0),0)</f>
        <v>0</v>
      </c>
      <c r="AO460">
        <f>IFERROR(ROUND(L460*(K460/$AU460)/VLOOKUP("交易",商品!$A$4:$B$60,2,FALSE),0),0)</f>
        <v>0</v>
      </c>
      <c r="AP460" t="str">
        <f>IFERROR(ROUND(S460*(N460/$AV460)/VLOOKUP(M460,职业!$A$4:$G$16,4,FALSE),0),"")</f>
        <v/>
      </c>
      <c r="AQ460" t="str">
        <f>IFERROR(ROUND(S460*(P460/$AV460)/VLOOKUP(O460,职业!$A$4:$G$16,4,FALSE),0),"")</f>
        <v/>
      </c>
      <c r="AR460" t="str">
        <f>IFERROR(ROUND(S460*(R460/$AV460)/VLOOKUP(Q460,职业!$A$4:$G$16,4,FALSE),0),"")</f>
        <v/>
      </c>
      <c r="AS460" t="str">
        <f>IFERROR(ROUND(X460*(U460/$AW460)/VLOOKUP(T460,商品!$A$4:$B$60,2,FALSE),0),"")</f>
        <v/>
      </c>
      <c r="AT460" t="str">
        <f>IFERROR(ROUND(X460*(W460/$AW460)/VLOOKUP(V460,商品!$A$4:$B$60,2,FALSE),0),"")</f>
        <v/>
      </c>
      <c r="AU460">
        <f t="shared" si="157"/>
        <v>0</v>
      </c>
      <c r="AV460">
        <f t="shared" si="158"/>
        <v>0</v>
      </c>
      <c r="AW460">
        <f t="shared" si="159"/>
        <v>0</v>
      </c>
    </row>
    <row r="461" spans="1:49" ht="19.95" customHeight="1" x14ac:dyDescent="0.25">
      <c r="A461" s="15" t="s">
        <v>276</v>
      </c>
      <c r="C461" s="15">
        <v>3</v>
      </c>
      <c r="D461" s="23" t="s">
        <v>222</v>
      </c>
      <c r="E461" s="23" t="s">
        <v>193</v>
      </c>
      <c r="L461" s="15">
        <f>IFERROR(VLOOKUP($D461&amp;$C461,生产方式定位!$A$2:$E$38,2,FALSE)+VLOOKUP($E461&amp;$C461,生产方式定位!$F$3:$J$38,2,FALSE),0)</f>
        <v>1700</v>
      </c>
      <c r="S461" s="15">
        <f>IFERROR(VLOOKUP($D461&amp;$C461,生产方式定位!$A$2:$E$38,3,FALSE)+VLOOKUP($E461&amp;$C461,生产方式定位!$F$3:$J$38,3,FALSE),0)</f>
        <v>10</v>
      </c>
      <c r="X461" s="15">
        <f>IFERROR(VLOOKUP($D461&amp;$C461,生产方式定位!$A$2:$E$38,5,FALSE)+VLOOKUP($E461&amp;$C461,生产方式定位!$F$3:$J$38,5,FALSE),"错误")</f>
        <v>2654</v>
      </c>
      <c r="Y461" s="26" t="str">
        <f t="shared" si="144"/>
        <v/>
      </c>
      <c r="Z461" s="36" t="str">
        <f t="shared" si="145"/>
        <v/>
      </c>
      <c r="AA461" s="36" t="str">
        <f t="shared" si="146"/>
        <v/>
      </c>
      <c r="AB461" s="27" t="str">
        <f t="shared" si="147"/>
        <v>56%</v>
      </c>
      <c r="AC461" s="2">
        <f t="shared" si="148"/>
        <v>944</v>
      </c>
      <c r="AD461" s="37">
        <f t="shared" si="149"/>
        <v>3</v>
      </c>
      <c r="AE461" t="str">
        <f t="shared" si="150"/>
        <v/>
      </c>
      <c r="AF461" t="str">
        <f t="shared" si="151"/>
        <v/>
      </c>
      <c r="AG461" t="str">
        <f t="shared" si="152"/>
        <v/>
      </c>
      <c r="AH461" t="str">
        <f t="shared" si="153"/>
        <v/>
      </c>
      <c r="AI461" t="str">
        <f t="shared" si="154"/>
        <v/>
      </c>
      <c r="AJ461" t="str">
        <f t="shared" si="155"/>
        <v/>
      </c>
      <c r="AK461" t="str">
        <f t="shared" si="156"/>
        <v/>
      </c>
      <c r="AL461" t="str">
        <f>IFERROR(ROUND(L461*(G461/$AU461)/VLOOKUP(F461,商品!$A$4:$B$60,2,FALSE),0),"")</f>
        <v/>
      </c>
      <c r="AM461" t="str">
        <f>IFERROR(ROUND(L461*(I461/$AU461)/VLOOKUP(H461,商品!$A$4:$B$60,2,FALSE),0),"")</f>
        <v/>
      </c>
      <c r="AN461">
        <f>IFERROR(ROUND(L461*(J461/$AU461)/VLOOKUP("运力",商品!$A$4:$B$60,2,FALSE),0),0)</f>
        <v>0</v>
      </c>
      <c r="AO461">
        <f>IFERROR(ROUND(L461*(K461/$AU461)/VLOOKUP("交易",商品!$A$4:$B$60,2,FALSE),0),0)</f>
        <v>0</v>
      </c>
      <c r="AP461" t="str">
        <f>IFERROR(ROUND(S461*(N461/$AV461)/VLOOKUP(M461,职业!$A$4:$G$16,4,FALSE),0),"")</f>
        <v/>
      </c>
      <c r="AQ461" t="str">
        <f>IFERROR(ROUND(S461*(P461/$AV461)/VLOOKUP(O461,职业!$A$4:$G$16,4,FALSE),0),"")</f>
        <v/>
      </c>
      <c r="AR461" t="str">
        <f>IFERROR(ROUND(S461*(R461/$AV461)/VLOOKUP(Q461,职业!$A$4:$G$16,4,FALSE),0),"")</f>
        <v/>
      </c>
      <c r="AS461" t="str">
        <f>IFERROR(ROUND(X461*(U461/$AW461)/VLOOKUP(T461,商品!$A$4:$B$60,2,FALSE),0),"")</f>
        <v/>
      </c>
      <c r="AT461" t="str">
        <f>IFERROR(ROUND(X461*(W461/$AW461)/VLOOKUP(V461,商品!$A$4:$B$60,2,FALSE),0),"")</f>
        <v/>
      </c>
      <c r="AU461">
        <f t="shared" si="157"/>
        <v>0</v>
      </c>
      <c r="AV461">
        <f t="shared" si="158"/>
        <v>0</v>
      </c>
      <c r="AW461">
        <f t="shared" si="159"/>
        <v>0</v>
      </c>
    </row>
    <row r="462" spans="1:49" ht="19.95" customHeight="1" x14ac:dyDescent="0.25">
      <c r="A462" s="15" t="s">
        <v>276</v>
      </c>
      <c r="C462" s="15">
        <v>4</v>
      </c>
      <c r="D462" s="23" t="s">
        <v>222</v>
      </c>
      <c r="E462" s="23" t="s">
        <v>193</v>
      </c>
      <c r="L462" s="15">
        <f>IFERROR(VLOOKUP($D462&amp;$C462,生产方式定位!$A$2:$E$38,2,FALSE)+VLOOKUP($E462&amp;$C462,生产方式定位!$F$3:$J$38,2,FALSE),0)</f>
        <v>1900</v>
      </c>
      <c r="S462" s="15">
        <f>IFERROR(VLOOKUP($D462&amp;$C462,生产方式定位!$A$2:$E$38,3,FALSE)+VLOOKUP($E462&amp;$C462,生产方式定位!$F$3:$J$38,3,FALSE),0)</f>
        <v>15</v>
      </c>
      <c r="X462" s="15">
        <f>IFERROR(VLOOKUP($D462&amp;$C462,生产方式定位!$A$2:$E$38,5,FALSE)+VLOOKUP($E462&amp;$C462,生产方式定位!$F$3:$J$38,5,FALSE),"错误")</f>
        <v>2961</v>
      </c>
      <c r="Y462" s="26" t="str">
        <f t="shared" si="144"/>
        <v/>
      </c>
      <c r="Z462" s="36" t="str">
        <f t="shared" si="145"/>
        <v/>
      </c>
      <c r="AA462" s="36" t="str">
        <f t="shared" si="146"/>
        <v/>
      </c>
      <c r="AB462" s="27" t="str">
        <f t="shared" si="147"/>
        <v>56%</v>
      </c>
      <c r="AC462" s="2">
        <f t="shared" si="148"/>
        <v>1046</v>
      </c>
      <c r="AD462" s="37">
        <f t="shared" si="149"/>
        <v>4</v>
      </c>
      <c r="AE462" t="str">
        <f t="shared" si="150"/>
        <v/>
      </c>
      <c r="AF462" t="str">
        <f t="shared" si="151"/>
        <v/>
      </c>
      <c r="AG462" t="str">
        <f t="shared" si="152"/>
        <v/>
      </c>
      <c r="AH462" t="str">
        <f t="shared" si="153"/>
        <v/>
      </c>
      <c r="AI462" t="str">
        <f t="shared" si="154"/>
        <v/>
      </c>
      <c r="AJ462" t="str">
        <f t="shared" si="155"/>
        <v/>
      </c>
      <c r="AK462" t="str">
        <f t="shared" si="156"/>
        <v/>
      </c>
      <c r="AL462" t="str">
        <f>IFERROR(ROUND(L462*(G462/$AU462)/VLOOKUP(F462,商品!$A$4:$B$60,2,FALSE),0),"")</f>
        <v/>
      </c>
      <c r="AM462" t="str">
        <f>IFERROR(ROUND(L462*(I462/$AU462)/VLOOKUP(H462,商品!$A$4:$B$60,2,FALSE),0),"")</f>
        <v/>
      </c>
      <c r="AN462">
        <f>IFERROR(ROUND(L462*(J462/$AU462)/VLOOKUP("运力",商品!$A$4:$B$60,2,FALSE),0),0)</f>
        <v>0</v>
      </c>
      <c r="AO462">
        <f>IFERROR(ROUND(L462*(K462/$AU462)/VLOOKUP("交易",商品!$A$4:$B$60,2,FALSE),0),0)</f>
        <v>0</v>
      </c>
      <c r="AP462" t="str">
        <f>IFERROR(ROUND(S462*(N462/$AV462)/VLOOKUP(M462,职业!$A$4:$G$16,4,FALSE),0),"")</f>
        <v/>
      </c>
      <c r="AQ462" t="str">
        <f>IFERROR(ROUND(S462*(P462/$AV462)/VLOOKUP(O462,职业!$A$4:$G$16,4,FALSE),0),"")</f>
        <v/>
      </c>
      <c r="AR462" t="str">
        <f>IFERROR(ROUND(S462*(R462/$AV462)/VLOOKUP(Q462,职业!$A$4:$G$16,4,FALSE),0),"")</f>
        <v/>
      </c>
      <c r="AS462" t="str">
        <f>IFERROR(ROUND(X462*(U462/$AW462)/VLOOKUP(T462,商品!$A$4:$B$60,2,FALSE),0),"")</f>
        <v/>
      </c>
      <c r="AT462" t="str">
        <f>IFERROR(ROUND(X462*(W462/$AW462)/VLOOKUP(V462,商品!$A$4:$B$60,2,FALSE),0),"")</f>
        <v/>
      </c>
      <c r="AU462">
        <f t="shared" si="157"/>
        <v>0</v>
      </c>
      <c r="AV462">
        <f t="shared" si="158"/>
        <v>0</v>
      </c>
      <c r="AW462">
        <f t="shared" si="159"/>
        <v>0</v>
      </c>
    </row>
    <row r="463" spans="1:49" ht="19.95" customHeight="1" x14ac:dyDescent="0.25">
      <c r="A463" s="15" t="s">
        <v>276</v>
      </c>
      <c r="C463" s="15">
        <v>5</v>
      </c>
      <c r="D463" s="23" t="s">
        <v>222</v>
      </c>
      <c r="E463" s="23" t="s">
        <v>193</v>
      </c>
      <c r="L463" s="15">
        <f>IFERROR(VLOOKUP($D463&amp;$C463,生产方式定位!$A$2:$E$38,2,FALSE)+VLOOKUP($E463&amp;$C463,生产方式定位!$F$3:$J$38,2,FALSE),0)</f>
        <v>2100</v>
      </c>
      <c r="S463" s="15">
        <f>IFERROR(VLOOKUP($D463&amp;$C463,生产方式定位!$A$2:$E$38,3,FALSE)+VLOOKUP($E463&amp;$C463,生产方式定位!$F$3:$J$38,3,FALSE),0)</f>
        <v>20</v>
      </c>
      <c r="X463" s="15">
        <f>IFERROR(VLOOKUP($D463&amp;$C463,生产方式定位!$A$2:$E$38,5,FALSE)+VLOOKUP($E463&amp;$C463,生产方式定位!$F$3:$J$38,5,FALSE),"错误")</f>
        <v>3268</v>
      </c>
      <c r="Y463" s="26" t="str">
        <f t="shared" si="144"/>
        <v/>
      </c>
      <c r="Z463" s="36" t="str">
        <f t="shared" si="145"/>
        <v/>
      </c>
      <c r="AA463" s="36" t="str">
        <f t="shared" si="146"/>
        <v/>
      </c>
      <c r="AB463" s="27" t="str">
        <f t="shared" si="147"/>
        <v>56%</v>
      </c>
      <c r="AC463" s="2">
        <f t="shared" si="148"/>
        <v>1148</v>
      </c>
      <c r="AD463" s="37">
        <f t="shared" si="149"/>
        <v>5</v>
      </c>
      <c r="AE463" t="str">
        <f t="shared" si="150"/>
        <v/>
      </c>
      <c r="AF463" t="str">
        <f t="shared" si="151"/>
        <v/>
      </c>
      <c r="AG463" t="str">
        <f t="shared" si="152"/>
        <v/>
      </c>
      <c r="AH463" t="str">
        <f t="shared" si="153"/>
        <v/>
      </c>
      <c r="AI463" t="str">
        <f t="shared" si="154"/>
        <v/>
      </c>
      <c r="AJ463" t="str">
        <f t="shared" si="155"/>
        <v/>
      </c>
      <c r="AK463" t="str">
        <f t="shared" si="156"/>
        <v/>
      </c>
      <c r="AL463" t="str">
        <f>IFERROR(ROUND(L463*(G463/$AU463)/VLOOKUP(F463,商品!$A$4:$B$60,2,FALSE),0),"")</f>
        <v/>
      </c>
      <c r="AM463" t="str">
        <f>IFERROR(ROUND(L463*(I463/$AU463)/VLOOKUP(H463,商品!$A$4:$B$60,2,FALSE),0),"")</f>
        <v/>
      </c>
      <c r="AN463">
        <f>IFERROR(ROUND(L463*(J463/$AU463)/VLOOKUP("运力",商品!$A$4:$B$60,2,FALSE),0),0)</f>
        <v>0</v>
      </c>
      <c r="AO463">
        <f>IFERROR(ROUND(L463*(K463/$AU463)/VLOOKUP("交易",商品!$A$4:$B$60,2,FALSE),0),0)</f>
        <v>0</v>
      </c>
      <c r="AP463" t="str">
        <f>IFERROR(ROUND(S463*(N463/$AV463)/VLOOKUP(M463,职业!$A$4:$G$16,4,FALSE),0),"")</f>
        <v/>
      </c>
      <c r="AQ463" t="str">
        <f>IFERROR(ROUND(S463*(P463/$AV463)/VLOOKUP(O463,职业!$A$4:$G$16,4,FALSE),0),"")</f>
        <v/>
      </c>
      <c r="AR463" t="str">
        <f>IFERROR(ROUND(S463*(R463/$AV463)/VLOOKUP(Q463,职业!$A$4:$G$16,4,FALSE),0),"")</f>
        <v/>
      </c>
      <c r="AS463" t="str">
        <f>IFERROR(ROUND(X463*(U463/$AW463)/VLOOKUP(T463,商品!$A$4:$B$60,2,FALSE),0),"")</f>
        <v/>
      </c>
      <c r="AT463" t="str">
        <f>IFERROR(ROUND(X463*(W463/$AW463)/VLOOKUP(V463,商品!$A$4:$B$60,2,FALSE),0),"")</f>
        <v/>
      </c>
      <c r="AU463">
        <f t="shared" si="157"/>
        <v>0</v>
      </c>
      <c r="AV463">
        <f t="shared" si="158"/>
        <v>0</v>
      </c>
      <c r="AW463">
        <f t="shared" si="159"/>
        <v>0</v>
      </c>
    </row>
    <row r="464" spans="1:49" ht="19.95" customHeight="1" x14ac:dyDescent="0.25">
      <c r="A464" s="16" t="s">
        <v>523</v>
      </c>
      <c r="C464" s="16">
        <v>1</v>
      </c>
      <c r="D464" s="23" t="s">
        <v>174</v>
      </c>
      <c r="E464" s="23" t="s">
        <v>175</v>
      </c>
      <c r="L464" s="16">
        <f>IFERROR(VLOOKUP($D464&amp;$C464,生产方式定位!$A$2:$E$38,2,FALSE)+VLOOKUP($E464&amp;$C464,生产方式定位!$F$3:$J$38,2,FALSE),0)</f>
        <v>0</v>
      </c>
      <c r="S464" s="16">
        <f>IFERROR(VLOOKUP($D464&amp;$C464,生产方式定位!$A$2:$E$38,3,FALSE)+VLOOKUP($E464&amp;$C464,生产方式定位!$F$3:$J$38,3,FALSE),0)</f>
        <v>0</v>
      </c>
      <c r="X464" s="16">
        <f>IFERROR(VLOOKUP($D464&amp;$C464,生产方式定位!$A$2:$E$38,5,FALSE)+VLOOKUP($E464&amp;$C464,生产方式定位!$F$3:$J$38,5,FALSE),"错误")</f>
        <v>0</v>
      </c>
      <c r="Y464" s="26" t="str">
        <f t="shared" si="144"/>
        <v/>
      </c>
      <c r="Z464" s="36" t="str">
        <f t="shared" si="145"/>
        <v/>
      </c>
      <c r="AA464" s="36" t="str">
        <f t="shared" si="146"/>
        <v/>
      </c>
      <c r="AB464" s="27" t="str">
        <f t="shared" si="147"/>
        <v/>
      </c>
      <c r="AC464" s="2" t="str">
        <f t="shared" si="148"/>
        <v/>
      </c>
      <c r="AD464" s="38">
        <f t="shared" si="149"/>
        <v>1</v>
      </c>
      <c r="AE464" t="str">
        <f t="shared" si="150"/>
        <v/>
      </c>
      <c r="AF464" t="str">
        <f t="shared" si="151"/>
        <v/>
      </c>
      <c r="AG464" t="str">
        <f t="shared" si="152"/>
        <v/>
      </c>
      <c r="AH464" t="str">
        <f t="shared" si="153"/>
        <v/>
      </c>
      <c r="AI464" t="str">
        <f t="shared" si="154"/>
        <v/>
      </c>
      <c r="AJ464" t="str">
        <f t="shared" si="155"/>
        <v/>
      </c>
      <c r="AK464" t="str">
        <f t="shared" si="156"/>
        <v/>
      </c>
      <c r="AL464" t="str">
        <f>IFERROR(ROUND(L464*(G464/$AU464)/VLOOKUP(F464,商品!$A$4:$B$60,2,FALSE),0),"")</f>
        <v/>
      </c>
      <c r="AM464" t="str">
        <f>IFERROR(ROUND(L464*(I464/$AU464)/VLOOKUP(H464,商品!$A$4:$B$60,2,FALSE),0),"")</f>
        <v/>
      </c>
      <c r="AN464">
        <f>IFERROR(ROUND(L464*(J464/$AU464)/VLOOKUP("运力",商品!$A$4:$B$60,2,FALSE),0),0)</f>
        <v>0</v>
      </c>
      <c r="AO464">
        <f>IFERROR(ROUND(L464*(K464/$AU464)/VLOOKUP("交易",商品!$A$4:$B$60,2,FALSE),0),0)</f>
        <v>0</v>
      </c>
      <c r="AP464" t="str">
        <f>IFERROR(ROUND(S464*(N464/$AV464)/VLOOKUP(M464,职业!$A$4:$G$16,4,FALSE),0),"")</f>
        <v/>
      </c>
      <c r="AQ464" t="str">
        <f>IFERROR(ROUND(S464*(P464/$AV464)/VLOOKUP(O464,职业!$A$4:$G$16,4,FALSE),0),"")</f>
        <v/>
      </c>
      <c r="AR464" t="str">
        <f>IFERROR(ROUND(S464*(R464/$AV464)/VLOOKUP(Q464,职业!$A$4:$G$16,4,FALSE),0),"")</f>
        <v/>
      </c>
      <c r="AS464" t="str">
        <f>IFERROR(ROUND(X464*(U464/$AW464)/VLOOKUP(T464,商品!$A$4:$B$60,2,FALSE),0),"")</f>
        <v/>
      </c>
      <c r="AT464" t="str">
        <f>IFERROR(ROUND(X464*(W464/$AW464)/VLOOKUP(V464,商品!$A$4:$B$60,2,FALSE),0),"")</f>
        <v/>
      </c>
      <c r="AU464">
        <f t="shared" si="157"/>
        <v>0</v>
      </c>
      <c r="AV464">
        <f t="shared" si="158"/>
        <v>0</v>
      </c>
      <c r="AW464">
        <f t="shared" si="159"/>
        <v>0</v>
      </c>
    </row>
    <row r="465" spans="1:49" ht="19.95" customHeight="1" x14ac:dyDescent="0.25">
      <c r="A465" s="16" t="s">
        <v>523</v>
      </c>
      <c r="C465" s="16">
        <v>2</v>
      </c>
      <c r="D465" s="23" t="s">
        <v>174</v>
      </c>
      <c r="E465" s="23" t="s">
        <v>175</v>
      </c>
      <c r="F465" s="2" t="s">
        <v>41</v>
      </c>
      <c r="G465" s="2">
        <v>10</v>
      </c>
      <c r="L465" s="16">
        <f>IFERROR(VLOOKUP($D465&amp;$C465,生产方式定位!$A$2:$E$38,2,FALSE)+VLOOKUP($E465&amp;$C465,生产方式定位!$F$3:$J$38,2,FALSE),0)</f>
        <v>50</v>
      </c>
      <c r="S465" s="16">
        <f>IFERROR(VLOOKUP($D465&amp;$C465,生产方式定位!$A$2:$E$38,3,FALSE)+VLOOKUP($E465&amp;$C465,生产方式定位!$F$3:$J$38,3,FALSE),0)</f>
        <v>10</v>
      </c>
      <c r="X465" s="16">
        <f>IFERROR(VLOOKUP($D465&amp;$C465,生产方式定位!$A$2:$E$38,5,FALSE)+VLOOKUP($E465&amp;$C465,生产方式定位!$F$3:$J$38,5,FALSE),"错误")</f>
        <v>0</v>
      </c>
      <c r="Y465" s="26" t="str">
        <f t="shared" si="144"/>
        <v>工具*1</v>
      </c>
      <c r="Z465" s="36" t="str">
        <f t="shared" si="145"/>
        <v/>
      </c>
      <c r="AA465" s="36" t="str">
        <f t="shared" si="146"/>
        <v/>
      </c>
      <c r="AB465" s="27" t="str">
        <f t="shared" si="147"/>
        <v>-100%</v>
      </c>
      <c r="AC465" s="2">
        <f t="shared" si="148"/>
        <v>-60</v>
      </c>
      <c r="AD465" s="38">
        <f t="shared" si="149"/>
        <v>2</v>
      </c>
      <c r="AE465" t="str">
        <f t="shared" si="150"/>
        <v>工具*1</v>
      </c>
      <c r="AF465" t="str">
        <f t="shared" si="151"/>
        <v/>
      </c>
      <c r="AG465" t="str">
        <f t="shared" si="152"/>
        <v/>
      </c>
      <c r="AH465" t="str">
        <f t="shared" si="153"/>
        <v/>
      </c>
      <c r="AI465" t="str">
        <f t="shared" si="154"/>
        <v/>
      </c>
      <c r="AJ465" t="str">
        <f t="shared" si="155"/>
        <v/>
      </c>
      <c r="AK465" t="str">
        <f t="shared" si="156"/>
        <v/>
      </c>
      <c r="AL465">
        <f>IFERROR(ROUND(L465*(G465/$AU465)/VLOOKUP(F465,商品!$A$4:$B$60,2,FALSE),0),"")</f>
        <v>1</v>
      </c>
      <c r="AM465" t="str">
        <f>IFERROR(ROUND(L465*(I465/$AU465)/VLOOKUP(H465,商品!$A$4:$B$60,2,FALSE),0),"")</f>
        <v/>
      </c>
      <c r="AN465">
        <f>IFERROR(ROUND(L465*(J465/$AU465)/VLOOKUP("运力",商品!$A$4:$B$60,2,FALSE),0),0)</f>
        <v>0</v>
      </c>
      <c r="AO465">
        <f>IFERROR(ROUND(L465*(K465/$AU465)/VLOOKUP("交易",商品!$A$4:$B$60,2,FALSE),0),0)</f>
        <v>0</v>
      </c>
      <c r="AP465" t="str">
        <f>IFERROR(ROUND(S465*(N465/$AV465)/VLOOKUP(M465,职业!$A$4:$G$16,4,FALSE),0),"")</f>
        <v/>
      </c>
      <c r="AQ465" t="str">
        <f>IFERROR(ROUND(S465*(P465/$AV465)/VLOOKUP(O465,职业!$A$4:$G$16,4,FALSE),0),"")</f>
        <v/>
      </c>
      <c r="AR465" t="str">
        <f>IFERROR(ROUND(S465*(R465/$AV465)/VLOOKUP(Q465,职业!$A$4:$G$16,4,FALSE),0),"")</f>
        <v/>
      </c>
      <c r="AS465" t="str">
        <f>IFERROR(ROUND(X465*(U465/$AW465)/VLOOKUP(T465,商品!$A$4:$B$60,2,FALSE),0),"")</f>
        <v/>
      </c>
      <c r="AT465" t="str">
        <f>IFERROR(ROUND(X465*(W465/$AW465)/VLOOKUP(V465,商品!$A$4:$B$60,2,FALSE),0),"")</f>
        <v/>
      </c>
      <c r="AU465">
        <f t="shared" si="157"/>
        <v>10</v>
      </c>
      <c r="AV465">
        <f t="shared" si="158"/>
        <v>0</v>
      </c>
      <c r="AW465">
        <f t="shared" si="159"/>
        <v>0</v>
      </c>
    </row>
    <row r="466" spans="1:49" ht="19.95" customHeight="1" x14ac:dyDescent="0.25">
      <c r="A466" s="16" t="s">
        <v>523</v>
      </c>
      <c r="C466" s="16">
        <v>3</v>
      </c>
      <c r="D466" s="23" t="s">
        <v>174</v>
      </c>
      <c r="E466" s="23" t="s">
        <v>175</v>
      </c>
      <c r="F466" s="2" t="s">
        <v>41</v>
      </c>
      <c r="G466" s="2">
        <v>10</v>
      </c>
      <c r="L466" s="16">
        <f>IFERROR(VLOOKUP($D466&amp;$C466,生产方式定位!$A$2:$E$38,2,FALSE)+VLOOKUP($E466&amp;$C466,生产方式定位!$F$3:$J$38,2,FALSE),0)</f>
        <v>100</v>
      </c>
      <c r="S466" s="16">
        <f>IFERROR(VLOOKUP($D466&amp;$C466,生产方式定位!$A$2:$E$38,3,FALSE)+VLOOKUP($E466&amp;$C466,生产方式定位!$F$3:$J$38,3,FALSE),0)</f>
        <v>20</v>
      </c>
      <c r="X466" s="16">
        <f>IFERROR(VLOOKUP($D466&amp;$C466,生产方式定位!$A$2:$E$38,5,FALSE)+VLOOKUP($E466&amp;$C466,生产方式定位!$F$3:$J$38,5,FALSE),"错误")</f>
        <v>0</v>
      </c>
      <c r="Y466" s="26" t="str">
        <f t="shared" si="144"/>
        <v>工具*3</v>
      </c>
      <c r="Z466" s="36" t="str">
        <f t="shared" si="145"/>
        <v/>
      </c>
      <c r="AA466" s="36" t="str">
        <f t="shared" si="146"/>
        <v/>
      </c>
      <c r="AB466" s="27" t="str">
        <f t="shared" si="147"/>
        <v>-100%</v>
      </c>
      <c r="AC466" s="2">
        <f t="shared" si="148"/>
        <v>-120</v>
      </c>
      <c r="AD466" s="38">
        <f t="shared" si="149"/>
        <v>3</v>
      </c>
      <c r="AE466" t="str">
        <f t="shared" si="150"/>
        <v>工具*3</v>
      </c>
      <c r="AF466" t="str">
        <f t="shared" si="151"/>
        <v/>
      </c>
      <c r="AG466" t="str">
        <f t="shared" si="152"/>
        <v/>
      </c>
      <c r="AH466" t="str">
        <f t="shared" si="153"/>
        <v/>
      </c>
      <c r="AI466" t="str">
        <f t="shared" si="154"/>
        <v/>
      </c>
      <c r="AJ466" t="str">
        <f t="shared" si="155"/>
        <v/>
      </c>
      <c r="AK466" t="str">
        <f t="shared" si="156"/>
        <v/>
      </c>
      <c r="AL466">
        <f>IFERROR(ROUND(L466*(G466/$AU466)/VLOOKUP(F466,商品!$A$4:$B$60,2,FALSE),0),"")</f>
        <v>3</v>
      </c>
      <c r="AM466" t="str">
        <f>IFERROR(ROUND(L466*(I466/$AU466)/VLOOKUP(H466,商品!$A$4:$B$60,2,FALSE),0),"")</f>
        <v/>
      </c>
      <c r="AN466">
        <f>IFERROR(ROUND(L466*(J466/$AU466)/VLOOKUP("运力",商品!$A$4:$B$60,2,FALSE),0),0)</f>
        <v>0</v>
      </c>
      <c r="AO466">
        <f>IFERROR(ROUND(L466*(K466/$AU466)/VLOOKUP("交易",商品!$A$4:$B$60,2,FALSE),0),0)</f>
        <v>0</v>
      </c>
      <c r="AP466" t="str">
        <f>IFERROR(ROUND(S466*(N466/$AV466)/VLOOKUP(M466,职业!$A$4:$G$16,4,FALSE),0),"")</f>
        <v/>
      </c>
      <c r="AQ466" t="str">
        <f>IFERROR(ROUND(S466*(P466/$AV466)/VLOOKUP(O466,职业!$A$4:$G$16,4,FALSE),0),"")</f>
        <v/>
      </c>
      <c r="AR466" t="str">
        <f>IFERROR(ROUND(S466*(R466/$AV466)/VLOOKUP(Q466,职业!$A$4:$G$16,4,FALSE),0),"")</f>
        <v/>
      </c>
      <c r="AS466" t="str">
        <f>IFERROR(ROUND(X466*(U466/$AW466)/VLOOKUP(T466,商品!$A$4:$B$60,2,FALSE),0),"")</f>
        <v/>
      </c>
      <c r="AT466" t="str">
        <f>IFERROR(ROUND(X466*(W466/$AW466)/VLOOKUP(V466,商品!$A$4:$B$60,2,FALSE),0),"")</f>
        <v/>
      </c>
      <c r="AU466">
        <f t="shared" si="157"/>
        <v>10</v>
      </c>
      <c r="AV466">
        <f t="shared" si="158"/>
        <v>0</v>
      </c>
      <c r="AW466">
        <f t="shared" si="159"/>
        <v>0</v>
      </c>
    </row>
    <row r="467" spans="1:49" ht="19.95" customHeight="1" x14ac:dyDescent="0.25">
      <c r="A467" s="16" t="s">
        <v>523</v>
      </c>
      <c r="C467" s="16">
        <v>4</v>
      </c>
      <c r="D467" s="23" t="s">
        <v>174</v>
      </c>
      <c r="E467" s="23" t="s">
        <v>175</v>
      </c>
      <c r="F467" s="2" t="s">
        <v>45</v>
      </c>
      <c r="G467" s="2">
        <v>5</v>
      </c>
      <c r="H467" s="2" t="s">
        <v>19</v>
      </c>
      <c r="I467" s="2">
        <v>10</v>
      </c>
      <c r="L467" s="16">
        <f>IFERROR(VLOOKUP($D467&amp;$C467,生产方式定位!$A$2:$E$38,2,FALSE)+VLOOKUP($E467&amp;$C467,生产方式定位!$F$3:$J$38,2,FALSE),0)</f>
        <v>150</v>
      </c>
      <c r="S467" s="16">
        <f>IFERROR(VLOOKUP($D467&amp;$C467,生产方式定位!$A$2:$E$38,3,FALSE)+VLOOKUP($E467&amp;$C467,生产方式定位!$F$3:$J$38,3,FALSE),0)</f>
        <v>30</v>
      </c>
      <c r="X467" s="16">
        <f>IFERROR(VLOOKUP($D467&amp;$C467,生产方式定位!$A$2:$E$38,5,FALSE)+VLOOKUP($E467&amp;$C467,生产方式定位!$F$3:$J$38,5,FALSE),"错误")</f>
        <v>0</v>
      </c>
      <c r="Y467" s="26" t="str">
        <f t="shared" si="144"/>
        <v>科学引擎*1,煤*3</v>
      </c>
      <c r="Z467" s="36" t="str">
        <f t="shared" si="145"/>
        <v/>
      </c>
      <c r="AA467" s="36" t="str">
        <f t="shared" si="146"/>
        <v/>
      </c>
      <c r="AB467" s="27" t="str">
        <f t="shared" si="147"/>
        <v>-100%</v>
      </c>
      <c r="AC467" s="2">
        <f t="shared" si="148"/>
        <v>-180</v>
      </c>
      <c r="AD467" s="38">
        <f t="shared" si="149"/>
        <v>4</v>
      </c>
      <c r="AE467" t="str">
        <f t="shared" si="150"/>
        <v>科学引擎*1</v>
      </c>
      <c r="AF467" t="str">
        <f t="shared" si="151"/>
        <v>煤*3</v>
      </c>
      <c r="AG467" t="str">
        <f t="shared" si="152"/>
        <v/>
      </c>
      <c r="AH467" t="str">
        <f t="shared" si="153"/>
        <v/>
      </c>
      <c r="AI467" t="str">
        <f t="shared" si="154"/>
        <v/>
      </c>
      <c r="AJ467" t="str">
        <f t="shared" si="155"/>
        <v/>
      </c>
      <c r="AK467" t="str">
        <f t="shared" si="156"/>
        <v/>
      </c>
      <c r="AL467">
        <f>IFERROR(ROUND(L467*(G467/$AU467)/VLOOKUP(F467,商品!$A$4:$B$60,2,FALSE),0),"")</f>
        <v>1</v>
      </c>
      <c r="AM467">
        <f>IFERROR(ROUND(L467*(I467/$AU467)/VLOOKUP(H467,商品!$A$4:$B$60,2,FALSE),0),"")</f>
        <v>3</v>
      </c>
      <c r="AN467">
        <f>IFERROR(ROUND(L467*(J467/$AU467)/VLOOKUP("运力",商品!$A$4:$B$60,2,FALSE),0),0)</f>
        <v>0</v>
      </c>
      <c r="AO467">
        <f>IFERROR(ROUND(L467*(K467/$AU467)/VLOOKUP("交易",商品!$A$4:$B$60,2,FALSE),0),0)</f>
        <v>0</v>
      </c>
      <c r="AP467" t="str">
        <f>IFERROR(ROUND(S467*(N467/$AV467)/VLOOKUP(M467,职业!$A$4:$G$16,4,FALSE),0),"")</f>
        <v/>
      </c>
      <c r="AQ467" t="str">
        <f>IFERROR(ROUND(S467*(P467/$AV467)/VLOOKUP(O467,职业!$A$4:$G$16,4,FALSE),0),"")</f>
        <v/>
      </c>
      <c r="AR467" t="str">
        <f>IFERROR(ROUND(S467*(R467/$AV467)/VLOOKUP(Q467,职业!$A$4:$G$16,4,FALSE),0),"")</f>
        <v/>
      </c>
      <c r="AS467" t="str">
        <f>IFERROR(ROUND(X467*(U467/$AW467)/VLOOKUP(T467,商品!$A$4:$B$60,2,FALSE),0),"")</f>
        <v/>
      </c>
      <c r="AT467" t="str">
        <f>IFERROR(ROUND(X467*(W467/$AW467)/VLOOKUP(V467,商品!$A$4:$B$60,2,FALSE),0),"")</f>
        <v/>
      </c>
      <c r="AU467">
        <f t="shared" si="157"/>
        <v>15</v>
      </c>
      <c r="AV467">
        <f t="shared" si="158"/>
        <v>0</v>
      </c>
      <c r="AW467">
        <f t="shared" si="159"/>
        <v>0</v>
      </c>
    </row>
    <row r="468" spans="1:49" ht="19.95" customHeight="1" x14ac:dyDescent="0.25">
      <c r="A468" s="16" t="s">
        <v>523</v>
      </c>
      <c r="C468" s="16">
        <v>5</v>
      </c>
      <c r="D468" s="23" t="s">
        <v>174</v>
      </c>
      <c r="E468" s="23" t="s">
        <v>175</v>
      </c>
      <c r="F468" s="2" t="s">
        <v>46</v>
      </c>
      <c r="G468" s="2">
        <v>5</v>
      </c>
      <c r="H468" s="2" t="s">
        <v>19</v>
      </c>
      <c r="I468" s="2">
        <v>10</v>
      </c>
      <c r="L468" s="16">
        <f>IFERROR(VLOOKUP($D468&amp;$C468,生产方式定位!$A$2:$E$38,2,FALSE)+VLOOKUP($E468&amp;$C468,生产方式定位!$F$3:$J$38,2,FALSE),0)</f>
        <v>200</v>
      </c>
      <c r="S468" s="16">
        <f>IFERROR(VLOOKUP($D468&amp;$C468,生产方式定位!$A$2:$E$38,3,FALSE)+VLOOKUP($E468&amp;$C468,生产方式定位!$F$3:$J$38,3,FALSE),0)</f>
        <v>40</v>
      </c>
      <c r="X468" s="16">
        <f>IFERROR(VLOOKUP($D468&amp;$C468,生产方式定位!$A$2:$E$38,5,FALSE)+VLOOKUP($E468&amp;$C468,生产方式定位!$F$3:$J$38,5,FALSE),"错误")</f>
        <v>0</v>
      </c>
      <c r="Y468" s="26" t="str">
        <f t="shared" si="144"/>
        <v>魔导引擎*1,煤*4</v>
      </c>
      <c r="Z468" s="36" t="str">
        <f t="shared" si="145"/>
        <v/>
      </c>
      <c r="AA468" s="36" t="str">
        <f t="shared" si="146"/>
        <v/>
      </c>
      <c r="AB468" s="27" t="str">
        <f t="shared" si="147"/>
        <v>-100%</v>
      </c>
      <c r="AC468" s="2">
        <f t="shared" si="148"/>
        <v>-240</v>
      </c>
      <c r="AD468" s="38">
        <f t="shared" si="149"/>
        <v>5</v>
      </c>
      <c r="AE468" t="str">
        <f t="shared" si="150"/>
        <v>魔导引擎*1</v>
      </c>
      <c r="AF468" t="str">
        <f t="shared" si="151"/>
        <v>煤*4</v>
      </c>
      <c r="AG468" t="str">
        <f t="shared" si="152"/>
        <v/>
      </c>
      <c r="AH468" t="str">
        <f t="shared" si="153"/>
        <v/>
      </c>
      <c r="AI468" t="str">
        <f t="shared" si="154"/>
        <v/>
      </c>
      <c r="AJ468" t="str">
        <f t="shared" si="155"/>
        <v/>
      </c>
      <c r="AK468" t="str">
        <f t="shared" si="156"/>
        <v/>
      </c>
      <c r="AL468">
        <f>IFERROR(ROUND(L468*(G468/$AU468)/VLOOKUP(F468,商品!$A$4:$B$60,2,FALSE),0),"")</f>
        <v>1</v>
      </c>
      <c r="AM468">
        <f>IFERROR(ROUND(L468*(I468/$AU468)/VLOOKUP(H468,商品!$A$4:$B$60,2,FALSE),0),"")</f>
        <v>4</v>
      </c>
      <c r="AN468">
        <f>IFERROR(ROUND(L468*(J468/$AU468)/VLOOKUP("运力",商品!$A$4:$B$60,2,FALSE),0),0)</f>
        <v>0</v>
      </c>
      <c r="AO468">
        <f>IFERROR(ROUND(L468*(K468/$AU468)/VLOOKUP("交易",商品!$A$4:$B$60,2,FALSE),0),0)</f>
        <v>0</v>
      </c>
      <c r="AP468" t="str">
        <f>IFERROR(ROUND(S468*(N468/$AV468)/VLOOKUP(M468,职业!$A$4:$G$16,4,FALSE),0),"")</f>
        <v/>
      </c>
      <c r="AQ468" t="str">
        <f>IFERROR(ROUND(S468*(P468/$AV468)/VLOOKUP(O468,职业!$A$4:$G$16,4,FALSE),0),"")</f>
        <v/>
      </c>
      <c r="AR468" t="str">
        <f>IFERROR(ROUND(S468*(R468/$AV468)/VLOOKUP(Q468,职业!$A$4:$G$16,4,FALSE),0),"")</f>
        <v/>
      </c>
      <c r="AS468" t="str">
        <f>IFERROR(ROUND(X468*(U468/$AW468)/VLOOKUP(T468,商品!$A$4:$B$60,2,FALSE),0),"")</f>
        <v/>
      </c>
      <c r="AT468" t="str">
        <f>IFERROR(ROUND(X468*(W468/$AW468)/VLOOKUP(V468,商品!$A$4:$B$60,2,FALSE),0),"")</f>
        <v/>
      </c>
      <c r="AU468">
        <f t="shared" si="157"/>
        <v>15</v>
      </c>
      <c r="AV468">
        <f t="shared" si="158"/>
        <v>0</v>
      </c>
      <c r="AW468">
        <f t="shared" si="159"/>
        <v>0</v>
      </c>
    </row>
    <row r="469" spans="1:49" ht="19.95" customHeight="1" x14ac:dyDescent="0.25">
      <c r="A469" s="15" t="s">
        <v>523</v>
      </c>
      <c r="C469" s="15">
        <v>1</v>
      </c>
      <c r="D469" s="23" t="s">
        <v>174</v>
      </c>
      <c r="E469" s="23" t="s">
        <v>177</v>
      </c>
      <c r="L469" s="15">
        <f>IFERROR(VLOOKUP($D469&amp;$C469,生产方式定位!$A$2:$E$38,2,FALSE)+VLOOKUP($E469&amp;$C469,生产方式定位!$F$3:$J$38,2,FALSE),0)</f>
        <v>0</v>
      </c>
      <c r="S469" s="15">
        <f>IFERROR(VLOOKUP($D469&amp;$C469,生产方式定位!$A$2:$E$38,3,FALSE)+VLOOKUP($E469&amp;$C469,生产方式定位!$F$3:$J$38,3,FALSE),0)</f>
        <v>0</v>
      </c>
      <c r="X469" s="15">
        <f>IFERROR(VLOOKUP($D469&amp;$C469,生产方式定位!$A$2:$E$38,5,FALSE)+VLOOKUP($E469&amp;$C469,生产方式定位!$F$3:$J$38,5,FALSE),"错误")</f>
        <v>0</v>
      </c>
      <c r="Y469" s="26" t="str">
        <f t="shared" si="144"/>
        <v/>
      </c>
      <c r="Z469" s="36" t="str">
        <f t="shared" si="145"/>
        <v/>
      </c>
      <c r="AA469" s="36" t="str">
        <f t="shared" si="146"/>
        <v/>
      </c>
      <c r="AB469" s="27" t="str">
        <f t="shared" si="147"/>
        <v/>
      </c>
      <c r="AC469" s="2" t="str">
        <f t="shared" si="148"/>
        <v/>
      </c>
      <c r="AD469" s="37">
        <f t="shared" si="149"/>
        <v>1</v>
      </c>
      <c r="AE469" t="str">
        <f t="shared" si="150"/>
        <v/>
      </c>
      <c r="AF469" t="str">
        <f t="shared" si="151"/>
        <v/>
      </c>
      <c r="AG469" t="str">
        <f t="shared" si="152"/>
        <v/>
      </c>
      <c r="AH469" t="str">
        <f t="shared" si="153"/>
        <v/>
      </c>
      <c r="AI469" t="str">
        <f t="shared" si="154"/>
        <v/>
      </c>
      <c r="AJ469" t="str">
        <f t="shared" si="155"/>
        <v/>
      </c>
      <c r="AK469" t="str">
        <f t="shared" si="156"/>
        <v/>
      </c>
      <c r="AL469" t="str">
        <f>IFERROR(ROUND(L469*(G469/$AU469)/VLOOKUP(F469,商品!$A$4:$B$60,2,FALSE),0),"")</f>
        <v/>
      </c>
      <c r="AM469" t="str">
        <f>IFERROR(ROUND(L469*(I469/$AU469)/VLOOKUP(H469,商品!$A$4:$B$60,2,FALSE),0),"")</f>
        <v/>
      </c>
      <c r="AN469">
        <f>IFERROR(ROUND(L469*(J469/$AU469)/VLOOKUP("运力",商品!$A$4:$B$60,2,FALSE),0),0)</f>
        <v>0</v>
      </c>
      <c r="AO469">
        <f>IFERROR(ROUND(L469*(K469/$AU469)/VLOOKUP("交易",商品!$A$4:$B$60,2,FALSE),0),0)</f>
        <v>0</v>
      </c>
      <c r="AP469" t="str">
        <f>IFERROR(ROUND(S469*(N469/$AV469)/VLOOKUP(M469,职业!$A$4:$G$16,4,FALSE),0),"")</f>
        <v/>
      </c>
      <c r="AQ469" t="str">
        <f>IFERROR(ROUND(S469*(P469/$AV469)/VLOOKUP(O469,职业!$A$4:$G$16,4,FALSE),0),"")</f>
        <v/>
      </c>
      <c r="AR469" t="str">
        <f>IFERROR(ROUND(S469*(R469/$AV469)/VLOOKUP(Q469,职业!$A$4:$G$16,4,FALSE),0),"")</f>
        <v/>
      </c>
      <c r="AS469" t="str">
        <f>IFERROR(ROUND(X469*(U469/$AW469)/VLOOKUP(T469,商品!$A$4:$B$60,2,FALSE),0),"")</f>
        <v/>
      </c>
      <c r="AT469" t="str">
        <f>IFERROR(ROUND(X469*(W469/$AW469)/VLOOKUP(V469,商品!$A$4:$B$60,2,FALSE),0),"")</f>
        <v/>
      </c>
      <c r="AU469">
        <f t="shared" si="157"/>
        <v>0</v>
      </c>
      <c r="AV469">
        <f t="shared" si="158"/>
        <v>0</v>
      </c>
      <c r="AW469">
        <f t="shared" si="159"/>
        <v>0</v>
      </c>
    </row>
    <row r="470" spans="1:49" ht="19.95" customHeight="1" x14ac:dyDescent="0.25">
      <c r="A470" s="15" t="s">
        <v>523</v>
      </c>
      <c r="C470" s="15">
        <v>2</v>
      </c>
      <c r="D470" s="23" t="s">
        <v>174</v>
      </c>
      <c r="E470" s="23" t="s">
        <v>177</v>
      </c>
      <c r="F470" s="2" t="s">
        <v>42</v>
      </c>
      <c r="G470" s="2">
        <v>5</v>
      </c>
      <c r="H470" s="2" t="s">
        <v>20</v>
      </c>
      <c r="I470" s="2">
        <v>10</v>
      </c>
      <c r="L470" s="15">
        <f>IFERROR(VLOOKUP($D470&amp;$C470,生产方式定位!$A$2:$E$38,2,FALSE)+VLOOKUP($E470&amp;$C470,生产方式定位!$F$3:$J$38,2,FALSE),0)</f>
        <v>105</v>
      </c>
      <c r="S470" s="15">
        <f>IFERROR(VLOOKUP($D470&amp;$C470,生产方式定位!$A$2:$E$38,3,FALSE)+VLOOKUP($E470&amp;$C470,生产方式定位!$F$3:$J$38,3,FALSE),0)</f>
        <v>15</v>
      </c>
      <c r="X470" s="15">
        <f>IFERROR(VLOOKUP($D470&amp;$C470,生产方式定位!$A$2:$E$38,5,FALSE)+VLOOKUP($E470&amp;$C470,生产方式定位!$F$3:$J$38,5,FALSE),"错误")</f>
        <v>0</v>
      </c>
      <c r="Y470" s="26" t="str">
        <f t="shared" si="144"/>
        <v>魔偶*1,灵能水晶*2</v>
      </c>
      <c r="Z470" s="36" t="str">
        <f t="shared" si="145"/>
        <v/>
      </c>
      <c r="AA470" s="36" t="str">
        <f t="shared" si="146"/>
        <v/>
      </c>
      <c r="AB470" s="27" t="str">
        <f t="shared" si="147"/>
        <v>-100%</v>
      </c>
      <c r="AC470" s="2">
        <f t="shared" si="148"/>
        <v>-120</v>
      </c>
      <c r="AD470" s="37">
        <f t="shared" si="149"/>
        <v>2</v>
      </c>
      <c r="AE470" t="str">
        <f t="shared" si="150"/>
        <v>魔偶*1</v>
      </c>
      <c r="AF470" t="str">
        <f t="shared" si="151"/>
        <v>灵能水晶*2</v>
      </c>
      <c r="AG470" t="str">
        <f t="shared" si="152"/>
        <v/>
      </c>
      <c r="AH470" t="str">
        <f t="shared" si="153"/>
        <v/>
      </c>
      <c r="AI470" t="str">
        <f t="shared" si="154"/>
        <v/>
      </c>
      <c r="AJ470" t="str">
        <f t="shared" si="155"/>
        <v/>
      </c>
      <c r="AK470" t="str">
        <f t="shared" si="156"/>
        <v/>
      </c>
      <c r="AL470">
        <f>IFERROR(ROUND(L470*(G470/$AU470)/VLOOKUP(F470,商品!$A$4:$B$60,2,FALSE),0),"")</f>
        <v>1</v>
      </c>
      <c r="AM470">
        <f>IFERROR(ROUND(L470*(I470/$AU470)/VLOOKUP(H470,商品!$A$4:$B$60,2,FALSE),0),"")</f>
        <v>2</v>
      </c>
      <c r="AN470">
        <f>IFERROR(ROUND(L470*(J470/$AU470)/VLOOKUP("运力",商品!$A$4:$B$60,2,FALSE),0),0)</f>
        <v>0</v>
      </c>
      <c r="AO470">
        <f>IFERROR(ROUND(L470*(K470/$AU470)/VLOOKUP("交易",商品!$A$4:$B$60,2,FALSE),0),0)</f>
        <v>0</v>
      </c>
      <c r="AP470" t="str">
        <f>IFERROR(ROUND(S470*(N470/$AV470)/VLOOKUP(M470,职业!$A$4:$G$16,4,FALSE),0),"")</f>
        <v/>
      </c>
      <c r="AQ470" t="str">
        <f>IFERROR(ROUND(S470*(P470/$AV470)/VLOOKUP(O470,职业!$A$4:$G$16,4,FALSE),0),"")</f>
        <v/>
      </c>
      <c r="AR470" t="str">
        <f>IFERROR(ROUND(S470*(R470/$AV470)/VLOOKUP(Q470,职业!$A$4:$G$16,4,FALSE),0),"")</f>
        <v/>
      </c>
      <c r="AS470" t="str">
        <f>IFERROR(ROUND(X470*(U470/$AW470)/VLOOKUP(T470,商品!$A$4:$B$60,2,FALSE),0),"")</f>
        <v/>
      </c>
      <c r="AT470" t="str">
        <f>IFERROR(ROUND(X470*(W470/$AW470)/VLOOKUP(V470,商品!$A$4:$B$60,2,FALSE),0),"")</f>
        <v/>
      </c>
      <c r="AU470">
        <f t="shared" si="157"/>
        <v>15</v>
      </c>
      <c r="AV470">
        <f t="shared" si="158"/>
        <v>0</v>
      </c>
      <c r="AW470">
        <f t="shared" si="159"/>
        <v>0</v>
      </c>
    </row>
    <row r="471" spans="1:49" ht="19.95" customHeight="1" x14ac:dyDescent="0.25">
      <c r="A471" s="15" t="s">
        <v>523</v>
      </c>
      <c r="C471" s="15">
        <v>3</v>
      </c>
      <c r="D471" s="23" t="s">
        <v>174</v>
      </c>
      <c r="E471" s="23" t="s">
        <v>177</v>
      </c>
      <c r="F471" s="2" t="s">
        <v>42</v>
      </c>
      <c r="G471" s="2">
        <v>5</v>
      </c>
      <c r="H471" s="2" t="s">
        <v>20</v>
      </c>
      <c r="I471" s="2">
        <v>10</v>
      </c>
      <c r="L471" s="15">
        <f>IFERROR(VLOOKUP($D471&amp;$C471,生产方式定位!$A$2:$E$38,2,FALSE)+VLOOKUP($E471&amp;$C471,生产方式定位!$F$3:$J$38,2,FALSE),0)</f>
        <v>210</v>
      </c>
      <c r="S471" s="15">
        <f>IFERROR(VLOOKUP($D471&amp;$C471,生产方式定位!$A$2:$E$38,3,FALSE)+VLOOKUP($E471&amp;$C471,生产方式定位!$F$3:$J$38,3,FALSE),0)</f>
        <v>30</v>
      </c>
      <c r="X471" s="15">
        <f>IFERROR(VLOOKUP($D471&amp;$C471,生产方式定位!$A$2:$E$38,5,FALSE)+VLOOKUP($E471&amp;$C471,生产方式定位!$F$3:$J$38,5,FALSE),"错误")</f>
        <v>0</v>
      </c>
      <c r="Y471" s="26" t="str">
        <f t="shared" si="144"/>
        <v>魔偶*2,灵能水晶*5</v>
      </c>
      <c r="Z471" s="36" t="str">
        <f t="shared" si="145"/>
        <v/>
      </c>
      <c r="AA471" s="36" t="str">
        <f t="shared" si="146"/>
        <v/>
      </c>
      <c r="AB471" s="27" t="str">
        <f t="shared" si="147"/>
        <v>-100%</v>
      </c>
      <c r="AC471" s="2">
        <f t="shared" si="148"/>
        <v>-240</v>
      </c>
      <c r="AD471" s="37">
        <f t="shared" si="149"/>
        <v>3</v>
      </c>
      <c r="AE471" t="str">
        <f t="shared" si="150"/>
        <v>魔偶*2</v>
      </c>
      <c r="AF471" t="str">
        <f t="shared" si="151"/>
        <v>灵能水晶*5</v>
      </c>
      <c r="AG471" t="str">
        <f t="shared" si="152"/>
        <v/>
      </c>
      <c r="AH471" t="str">
        <f t="shared" si="153"/>
        <v/>
      </c>
      <c r="AI471" t="str">
        <f t="shared" si="154"/>
        <v/>
      </c>
      <c r="AJ471" t="str">
        <f t="shared" si="155"/>
        <v/>
      </c>
      <c r="AK471" t="str">
        <f t="shared" si="156"/>
        <v/>
      </c>
      <c r="AL471">
        <f>IFERROR(ROUND(L471*(G471/$AU471)/VLOOKUP(F471,商品!$A$4:$B$60,2,FALSE),0),"")</f>
        <v>2</v>
      </c>
      <c r="AM471">
        <f>IFERROR(ROUND(L471*(I471/$AU471)/VLOOKUP(H471,商品!$A$4:$B$60,2,FALSE),0),"")</f>
        <v>5</v>
      </c>
      <c r="AN471">
        <f>IFERROR(ROUND(L471*(J471/$AU471)/VLOOKUP("运力",商品!$A$4:$B$60,2,FALSE),0),0)</f>
        <v>0</v>
      </c>
      <c r="AO471">
        <f>IFERROR(ROUND(L471*(K471/$AU471)/VLOOKUP("交易",商品!$A$4:$B$60,2,FALSE),0),0)</f>
        <v>0</v>
      </c>
      <c r="AP471" t="str">
        <f>IFERROR(ROUND(S471*(N471/$AV471)/VLOOKUP(M471,职业!$A$4:$G$16,4,FALSE),0),"")</f>
        <v/>
      </c>
      <c r="AQ471" t="str">
        <f>IFERROR(ROUND(S471*(P471/$AV471)/VLOOKUP(O471,职业!$A$4:$G$16,4,FALSE),0),"")</f>
        <v/>
      </c>
      <c r="AR471" t="str">
        <f>IFERROR(ROUND(S471*(R471/$AV471)/VLOOKUP(Q471,职业!$A$4:$G$16,4,FALSE),0),"")</f>
        <v/>
      </c>
      <c r="AS471" t="str">
        <f>IFERROR(ROUND(X471*(U471/$AW471)/VLOOKUP(T471,商品!$A$4:$B$60,2,FALSE),0),"")</f>
        <v/>
      </c>
      <c r="AT471" t="str">
        <f>IFERROR(ROUND(X471*(W471/$AW471)/VLOOKUP(V471,商品!$A$4:$B$60,2,FALSE),0),"")</f>
        <v/>
      </c>
      <c r="AU471">
        <f t="shared" si="157"/>
        <v>15</v>
      </c>
      <c r="AV471">
        <f t="shared" si="158"/>
        <v>0</v>
      </c>
      <c r="AW471">
        <f t="shared" si="159"/>
        <v>0</v>
      </c>
    </row>
    <row r="472" spans="1:49" ht="19.95" customHeight="1" x14ac:dyDescent="0.25">
      <c r="A472" s="15" t="s">
        <v>523</v>
      </c>
      <c r="C472" s="15">
        <v>4</v>
      </c>
      <c r="D472" s="23" t="s">
        <v>174</v>
      </c>
      <c r="E472" s="23" t="s">
        <v>177</v>
      </c>
      <c r="F472" s="2" t="s">
        <v>42</v>
      </c>
      <c r="G472" s="2">
        <v>5</v>
      </c>
      <c r="H472" s="2" t="s">
        <v>20</v>
      </c>
      <c r="I472" s="2">
        <v>10</v>
      </c>
      <c r="L472" s="15">
        <f>IFERROR(VLOOKUP($D472&amp;$C472,生产方式定位!$A$2:$E$38,2,FALSE)+VLOOKUP($E472&amp;$C472,生产方式定位!$F$3:$J$38,2,FALSE),0)</f>
        <v>315</v>
      </c>
      <c r="S472" s="15">
        <f>IFERROR(VLOOKUP($D472&amp;$C472,生产方式定位!$A$2:$E$38,3,FALSE)+VLOOKUP($E472&amp;$C472,生产方式定位!$F$3:$J$38,3,FALSE),0)</f>
        <v>45</v>
      </c>
      <c r="X472" s="15">
        <f>IFERROR(VLOOKUP($D472&amp;$C472,生产方式定位!$A$2:$E$38,5,FALSE)+VLOOKUP($E472&amp;$C472,生产方式定位!$F$3:$J$38,5,FALSE),"错误")</f>
        <v>0</v>
      </c>
      <c r="Y472" s="26" t="str">
        <f t="shared" si="144"/>
        <v>魔偶*3,灵能水晶*7</v>
      </c>
      <c r="Z472" s="36" t="str">
        <f t="shared" si="145"/>
        <v/>
      </c>
      <c r="AA472" s="36" t="str">
        <f t="shared" si="146"/>
        <v/>
      </c>
      <c r="AB472" s="27" t="str">
        <f t="shared" si="147"/>
        <v>-100%</v>
      </c>
      <c r="AC472" s="2">
        <f t="shared" si="148"/>
        <v>-360</v>
      </c>
      <c r="AD472" s="37">
        <f t="shared" si="149"/>
        <v>4</v>
      </c>
      <c r="AE472" t="str">
        <f t="shared" si="150"/>
        <v>魔偶*3</v>
      </c>
      <c r="AF472" t="str">
        <f t="shared" si="151"/>
        <v>灵能水晶*7</v>
      </c>
      <c r="AG472" t="str">
        <f t="shared" si="152"/>
        <v/>
      </c>
      <c r="AH472" t="str">
        <f t="shared" si="153"/>
        <v/>
      </c>
      <c r="AI472" t="str">
        <f t="shared" si="154"/>
        <v/>
      </c>
      <c r="AJ472" t="str">
        <f t="shared" si="155"/>
        <v/>
      </c>
      <c r="AK472" t="str">
        <f t="shared" si="156"/>
        <v/>
      </c>
      <c r="AL472">
        <f>IFERROR(ROUND(L472*(G472/$AU472)/VLOOKUP(F472,商品!$A$4:$B$60,2,FALSE),0),"")</f>
        <v>3</v>
      </c>
      <c r="AM472">
        <f>IFERROR(ROUND(L472*(I472/$AU472)/VLOOKUP(H472,商品!$A$4:$B$60,2,FALSE),0),"")</f>
        <v>7</v>
      </c>
      <c r="AN472">
        <f>IFERROR(ROUND(L472*(J472/$AU472)/VLOOKUP("运力",商品!$A$4:$B$60,2,FALSE),0),0)</f>
        <v>0</v>
      </c>
      <c r="AO472">
        <f>IFERROR(ROUND(L472*(K472/$AU472)/VLOOKUP("交易",商品!$A$4:$B$60,2,FALSE),0),0)</f>
        <v>0</v>
      </c>
      <c r="AP472" t="str">
        <f>IFERROR(ROUND(S472*(N472/$AV472)/VLOOKUP(M472,职业!$A$4:$G$16,4,FALSE),0),"")</f>
        <v/>
      </c>
      <c r="AQ472" t="str">
        <f>IFERROR(ROUND(S472*(P472/$AV472)/VLOOKUP(O472,职业!$A$4:$G$16,4,FALSE),0),"")</f>
        <v/>
      </c>
      <c r="AR472" t="str">
        <f>IFERROR(ROUND(S472*(R472/$AV472)/VLOOKUP(Q472,职业!$A$4:$G$16,4,FALSE),0),"")</f>
        <v/>
      </c>
      <c r="AS472" t="str">
        <f>IFERROR(ROUND(X472*(U472/$AW472)/VLOOKUP(T472,商品!$A$4:$B$60,2,FALSE),0),"")</f>
        <v/>
      </c>
      <c r="AT472" t="str">
        <f>IFERROR(ROUND(X472*(W472/$AW472)/VLOOKUP(V472,商品!$A$4:$B$60,2,FALSE),0),"")</f>
        <v/>
      </c>
      <c r="AU472">
        <f t="shared" si="157"/>
        <v>15</v>
      </c>
      <c r="AV472">
        <f t="shared" si="158"/>
        <v>0</v>
      </c>
      <c r="AW472">
        <f t="shared" si="159"/>
        <v>0</v>
      </c>
    </row>
    <row r="473" spans="1:49" ht="19.95" customHeight="1" x14ac:dyDescent="0.25">
      <c r="A473" s="15" t="s">
        <v>523</v>
      </c>
      <c r="C473" s="15">
        <v>5</v>
      </c>
      <c r="D473" s="23" t="s">
        <v>174</v>
      </c>
      <c r="E473" s="23" t="s">
        <v>177</v>
      </c>
      <c r="F473" s="2" t="s">
        <v>42</v>
      </c>
      <c r="G473" s="2">
        <v>5</v>
      </c>
      <c r="H473" s="2" t="s">
        <v>20</v>
      </c>
      <c r="I473" s="2">
        <v>10</v>
      </c>
      <c r="L473" s="15">
        <f>IFERROR(VLOOKUP($D473&amp;$C473,生产方式定位!$A$2:$E$38,2,FALSE)+VLOOKUP($E473&amp;$C473,生产方式定位!$F$3:$J$38,2,FALSE),0)</f>
        <v>420</v>
      </c>
      <c r="S473" s="15">
        <f>IFERROR(VLOOKUP($D473&amp;$C473,生产方式定位!$A$2:$E$38,3,FALSE)+VLOOKUP($E473&amp;$C473,生产方式定位!$F$3:$J$38,3,FALSE),0)</f>
        <v>60</v>
      </c>
      <c r="X473" s="15">
        <f>IFERROR(VLOOKUP($D473&amp;$C473,生产方式定位!$A$2:$E$38,5,FALSE)+VLOOKUP($E473&amp;$C473,生产方式定位!$F$3:$J$38,5,FALSE),"错误")</f>
        <v>0</v>
      </c>
      <c r="Y473" s="26" t="str">
        <f t="shared" si="144"/>
        <v>魔偶*4,灵能水晶*9</v>
      </c>
      <c r="Z473" s="36" t="str">
        <f t="shared" si="145"/>
        <v/>
      </c>
      <c r="AA473" s="36" t="str">
        <f t="shared" si="146"/>
        <v/>
      </c>
      <c r="AB473" s="27" t="str">
        <f t="shared" si="147"/>
        <v>-100%</v>
      </c>
      <c r="AC473" s="2">
        <f t="shared" si="148"/>
        <v>-480</v>
      </c>
      <c r="AD473" s="37">
        <f t="shared" si="149"/>
        <v>5</v>
      </c>
      <c r="AE473" t="str">
        <f t="shared" si="150"/>
        <v>魔偶*4</v>
      </c>
      <c r="AF473" t="str">
        <f t="shared" si="151"/>
        <v>灵能水晶*9</v>
      </c>
      <c r="AG473" t="str">
        <f t="shared" si="152"/>
        <v/>
      </c>
      <c r="AH473" t="str">
        <f t="shared" si="153"/>
        <v/>
      </c>
      <c r="AI473" t="str">
        <f t="shared" si="154"/>
        <v/>
      </c>
      <c r="AJ473" t="str">
        <f t="shared" si="155"/>
        <v/>
      </c>
      <c r="AK473" t="str">
        <f t="shared" si="156"/>
        <v/>
      </c>
      <c r="AL473">
        <f>IFERROR(ROUND(L473*(G473/$AU473)/VLOOKUP(F473,商品!$A$4:$B$60,2,FALSE),0),"")</f>
        <v>4</v>
      </c>
      <c r="AM473">
        <f>IFERROR(ROUND(L473*(I473/$AU473)/VLOOKUP(H473,商品!$A$4:$B$60,2,FALSE),0),"")</f>
        <v>9</v>
      </c>
      <c r="AN473">
        <f>IFERROR(ROUND(L473*(J473/$AU473)/VLOOKUP("运力",商品!$A$4:$B$60,2,FALSE),0),0)</f>
        <v>0</v>
      </c>
      <c r="AO473">
        <f>IFERROR(ROUND(L473*(K473/$AU473)/VLOOKUP("交易",商品!$A$4:$B$60,2,FALSE),0),0)</f>
        <v>0</v>
      </c>
      <c r="AP473" t="str">
        <f>IFERROR(ROUND(S473*(N473/$AV473)/VLOOKUP(M473,职业!$A$4:$G$16,4,FALSE),0),"")</f>
        <v/>
      </c>
      <c r="AQ473" t="str">
        <f>IFERROR(ROUND(S473*(P473/$AV473)/VLOOKUP(O473,职业!$A$4:$G$16,4,FALSE),0),"")</f>
        <v/>
      </c>
      <c r="AR473" t="str">
        <f>IFERROR(ROUND(S473*(R473/$AV473)/VLOOKUP(Q473,职业!$A$4:$G$16,4,FALSE),0),"")</f>
        <v/>
      </c>
      <c r="AS473" t="str">
        <f>IFERROR(ROUND(X473*(U473/$AW473)/VLOOKUP(T473,商品!$A$4:$B$60,2,FALSE),0),"")</f>
        <v/>
      </c>
      <c r="AT473" t="str">
        <f>IFERROR(ROUND(X473*(W473/$AW473)/VLOOKUP(V473,商品!$A$4:$B$60,2,FALSE),0),"")</f>
        <v/>
      </c>
      <c r="AU473">
        <f t="shared" si="157"/>
        <v>15</v>
      </c>
      <c r="AV473">
        <f t="shared" si="158"/>
        <v>0</v>
      </c>
      <c r="AW473">
        <f t="shared" si="159"/>
        <v>0</v>
      </c>
    </row>
    <row r="474" spans="1:49" ht="19.95" customHeight="1" x14ac:dyDescent="0.25">
      <c r="A474" s="16" t="s">
        <v>279</v>
      </c>
      <c r="C474" s="16">
        <v>1</v>
      </c>
      <c r="D474" s="23" t="s">
        <v>174</v>
      </c>
      <c r="E474" s="23" t="s">
        <v>179</v>
      </c>
      <c r="L474" s="16">
        <f>IFERROR(VLOOKUP($D474&amp;$C474,生产方式定位!$A$2:$E$38,2,FALSE)+VLOOKUP($E474&amp;$C474,生产方式定位!$F$3:$J$38,2,FALSE),0)</f>
        <v>0</v>
      </c>
      <c r="S474" s="16">
        <f>IFERROR(VLOOKUP($D474&amp;$C474,生产方式定位!$A$2:$E$38,3,FALSE)+VLOOKUP($E474&amp;$C474,生产方式定位!$F$3:$J$38,3,FALSE),0)</f>
        <v>100</v>
      </c>
      <c r="X474" s="16">
        <f>IFERROR(VLOOKUP($D474&amp;$C474,生产方式定位!$A$2:$E$38,5,FALSE)+VLOOKUP($E474&amp;$C474,生产方式定位!$F$3:$J$38,5,FALSE),"错误")</f>
        <v>100</v>
      </c>
      <c r="Y474" s="26" t="str">
        <f t="shared" si="144"/>
        <v/>
      </c>
      <c r="Z474" s="36" t="str">
        <f t="shared" si="145"/>
        <v/>
      </c>
      <c r="AA474" s="36" t="str">
        <f t="shared" si="146"/>
        <v/>
      </c>
      <c r="AB474" s="27" t="str">
        <f t="shared" si="147"/>
        <v/>
      </c>
      <c r="AC474" s="2" t="str">
        <f t="shared" si="148"/>
        <v/>
      </c>
      <c r="AD474" s="38">
        <f t="shared" si="149"/>
        <v>1</v>
      </c>
      <c r="AE474" t="str">
        <f t="shared" si="150"/>
        <v/>
      </c>
      <c r="AF474" t="str">
        <f t="shared" si="151"/>
        <v/>
      </c>
      <c r="AG474" t="str">
        <f t="shared" si="152"/>
        <v/>
      </c>
      <c r="AH474" t="str">
        <f t="shared" si="153"/>
        <v/>
      </c>
      <c r="AI474" t="str">
        <f t="shared" si="154"/>
        <v/>
      </c>
      <c r="AJ474" t="str">
        <f t="shared" si="155"/>
        <v/>
      </c>
      <c r="AK474" t="str">
        <f t="shared" si="156"/>
        <v/>
      </c>
      <c r="AL474" t="str">
        <f>IFERROR(ROUND(L474*(G474/$AU474)/VLOOKUP(F474,商品!$A$4:$B$60,2,FALSE),0),"")</f>
        <v/>
      </c>
      <c r="AM474" t="str">
        <f>IFERROR(ROUND(L474*(I474/$AU474)/VLOOKUP(H474,商品!$A$4:$B$60,2,FALSE),0),"")</f>
        <v/>
      </c>
      <c r="AN474">
        <f>IFERROR(ROUND(L474*(J474/$AU474)/VLOOKUP("运力",商品!$A$4:$B$60,2,FALSE),0),0)</f>
        <v>0</v>
      </c>
      <c r="AO474">
        <f>IFERROR(ROUND(L474*(K474/$AU474)/VLOOKUP("交易",商品!$A$4:$B$60,2,FALSE),0),0)</f>
        <v>0</v>
      </c>
      <c r="AP474" t="str">
        <f>IFERROR(ROUND(S474*(N474/$AV474)/VLOOKUP(M474,职业!$A$4:$G$16,4,FALSE),0),"")</f>
        <v/>
      </c>
      <c r="AQ474" t="str">
        <f>IFERROR(ROUND(S474*(P474/$AV474)/VLOOKUP(O474,职业!$A$4:$G$16,4,FALSE),0),"")</f>
        <v/>
      </c>
      <c r="AR474" t="str">
        <f>IFERROR(ROUND(S474*(R474/$AV474)/VLOOKUP(Q474,职业!$A$4:$G$16,4,FALSE),0),"")</f>
        <v/>
      </c>
      <c r="AS474" t="str">
        <f>IFERROR(ROUND(X474*(U474/$AW474)/VLOOKUP(T474,商品!$A$4:$B$60,2,FALSE),0),"")</f>
        <v/>
      </c>
      <c r="AT474" t="str">
        <f>IFERROR(ROUND(X474*(W474/$AW474)/VLOOKUP(V474,商品!$A$4:$B$60,2,FALSE),0),"")</f>
        <v/>
      </c>
      <c r="AU474">
        <f t="shared" si="157"/>
        <v>0</v>
      </c>
      <c r="AV474">
        <f t="shared" si="158"/>
        <v>0</v>
      </c>
      <c r="AW474">
        <f t="shared" si="159"/>
        <v>0</v>
      </c>
    </row>
    <row r="475" spans="1:49" ht="19.95" customHeight="1" x14ac:dyDescent="0.25">
      <c r="A475" s="16" t="s">
        <v>279</v>
      </c>
      <c r="C475" s="16">
        <v>2</v>
      </c>
      <c r="D475" s="23" t="s">
        <v>174</v>
      </c>
      <c r="E475" s="23" t="s">
        <v>179</v>
      </c>
      <c r="L475" s="16">
        <f>IFERROR(VLOOKUP($D475&amp;$C475,生产方式定位!$A$2:$E$38,2,FALSE)+VLOOKUP($E475&amp;$C475,生产方式定位!$F$3:$J$38,2,FALSE),0)</f>
        <v>0</v>
      </c>
      <c r="S475" s="16">
        <f>IFERROR(VLOOKUP($D475&amp;$C475,生产方式定位!$A$2:$E$38,3,FALSE)+VLOOKUP($E475&amp;$C475,生产方式定位!$F$3:$J$38,3,FALSE),0)</f>
        <v>100</v>
      </c>
      <c r="X475" s="16">
        <f>IFERROR(VLOOKUP($D475&amp;$C475,生产方式定位!$A$2:$E$38,5,FALSE)+VLOOKUP($E475&amp;$C475,生产方式定位!$F$3:$J$38,5,FALSE),"错误")</f>
        <v>100</v>
      </c>
      <c r="Y475" s="26" t="str">
        <f t="shared" si="144"/>
        <v/>
      </c>
      <c r="Z475" s="36" t="str">
        <f t="shared" si="145"/>
        <v/>
      </c>
      <c r="AA475" s="36" t="str">
        <f t="shared" si="146"/>
        <v/>
      </c>
      <c r="AB475" s="27" t="str">
        <f t="shared" si="147"/>
        <v/>
      </c>
      <c r="AC475" s="2" t="str">
        <f t="shared" si="148"/>
        <v/>
      </c>
      <c r="AD475" s="38">
        <f t="shared" si="149"/>
        <v>2</v>
      </c>
      <c r="AE475" t="str">
        <f t="shared" si="150"/>
        <v/>
      </c>
      <c r="AF475" t="str">
        <f t="shared" si="151"/>
        <v/>
      </c>
      <c r="AG475" t="str">
        <f t="shared" si="152"/>
        <v/>
      </c>
      <c r="AH475" t="str">
        <f t="shared" si="153"/>
        <v/>
      </c>
      <c r="AI475" t="str">
        <f t="shared" si="154"/>
        <v/>
      </c>
      <c r="AJ475" t="str">
        <f t="shared" si="155"/>
        <v/>
      </c>
      <c r="AK475" t="str">
        <f t="shared" si="156"/>
        <v/>
      </c>
      <c r="AL475" t="str">
        <f>IFERROR(ROUND(L475*(G475/$AU475)/VLOOKUP(F475,商品!$A$4:$B$60,2,FALSE),0),"")</f>
        <v/>
      </c>
      <c r="AM475" t="str">
        <f>IFERROR(ROUND(L475*(I475/$AU475)/VLOOKUP(H475,商品!$A$4:$B$60,2,FALSE),0),"")</f>
        <v/>
      </c>
      <c r="AN475">
        <f>IFERROR(ROUND(L475*(J475/$AU475)/VLOOKUP("运力",商品!$A$4:$B$60,2,FALSE),0),0)</f>
        <v>0</v>
      </c>
      <c r="AO475">
        <f>IFERROR(ROUND(L475*(K475/$AU475)/VLOOKUP("交易",商品!$A$4:$B$60,2,FALSE),0),0)</f>
        <v>0</v>
      </c>
      <c r="AP475" t="str">
        <f>IFERROR(ROUND(S475*(N475/$AV475)/VLOOKUP(M475,职业!$A$4:$G$16,4,FALSE),0),"")</f>
        <v/>
      </c>
      <c r="AQ475" t="str">
        <f>IFERROR(ROUND(S475*(P475/$AV475)/VLOOKUP(O475,职业!$A$4:$G$16,4,FALSE),0),"")</f>
        <v/>
      </c>
      <c r="AR475" t="str">
        <f>IFERROR(ROUND(S475*(R475/$AV475)/VLOOKUP(Q475,职业!$A$4:$G$16,4,FALSE),0),"")</f>
        <v/>
      </c>
      <c r="AS475" t="str">
        <f>IFERROR(ROUND(X475*(U475/$AW475)/VLOOKUP(T475,商品!$A$4:$B$60,2,FALSE),0),"")</f>
        <v/>
      </c>
      <c r="AT475" t="str">
        <f>IFERROR(ROUND(X475*(W475/$AW475)/VLOOKUP(V475,商品!$A$4:$B$60,2,FALSE),0),"")</f>
        <v/>
      </c>
      <c r="AU475">
        <f t="shared" si="157"/>
        <v>0</v>
      </c>
      <c r="AV475">
        <f t="shared" si="158"/>
        <v>0</v>
      </c>
      <c r="AW475">
        <f t="shared" si="159"/>
        <v>0</v>
      </c>
    </row>
    <row r="476" spans="1:49" ht="19.95" customHeight="1" x14ac:dyDescent="0.25">
      <c r="A476" s="16" t="s">
        <v>279</v>
      </c>
      <c r="C476" s="16">
        <v>3</v>
      </c>
      <c r="D476" s="23" t="s">
        <v>174</v>
      </c>
      <c r="E476" s="23" t="s">
        <v>179</v>
      </c>
      <c r="L476" s="16">
        <f>IFERROR(VLOOKUP($D476&amp;$C476,生产方式定位!$A$2:$E$38,2,FALSE)+VLOOKUP($E476&amp;$C476,生产方式定位!$F$3:$J$38,2,FALSE),0)</f>
        <v>0</v>
      </c>
      <c r="S476" s="16">
        <f>IFERROR(VLOOKUP($D476&amp;$C476,生产方式定位!$A$2:$E$38,3,FALSE)+VLOOKUP($E476&amp;$C476,生产方式定位!$F$3:$J$38,3,FALSE),0)</f>
        <v>100</v>
      </c>
      <c r="X476" s="16">
        <f>IFERROR(VLOOKUP($D476&amp;$C476,生产方式定位!$A$2:$E$38,5,FALSE)+VLOOKUP($E476&amp;$C476,生产方式定位!$F$3:$J$38,5,FALSE),"错误")</f>
        <v>100</v>
      </c>
      <c r="Y476" s="26" t="str">
        <f t="shared" si="144"/>
        <v/>
      </c>
      <c r="Z476" s="36" t="str">
        <f t="shared" si="145"/>
        <v/>
      </c>
      <c r="AA476" s="36" t="str">
        <f t="shared" si="146"/>
        <v/>
      </c>
      <c r="AB476" s="27" t="str">
        <f t="shared" si="147"/>
        <v/>
      </c>
      <c r="AC476" s="2" t="str">
        <f t="shared" si="148"/>
        <v/>
      </c>
      <c r="AD476" s="38">
        <f t="shared" si="149"/>
        <v>3</v>
      </c>
      <c r="AE476" t="str">
        <f t="shared" si="150"/>
        <v/>
      </c>
      <c r="AF476" t="str">
        <f t="shared" si="151"/>
        <v/>
      </c>
      <c r="AG476" t="str">
        <f t="shared" si="152"/>
        <v/>
      </c>
      <c r="AH476" t="str">
        <f t="shared" si="153"/>
        <v/>
      </c>
      <c r="AI476" t="str">
        <f t="shared" si="154"/>
        <v/>
      </c>
      <c r="AJ476" t="str">
        <f t="shared" si="155"/>
        <v/>
      </c>
      <c r="AK476" t="str">
        <f t="shared" si="156"/>
        <v/>
      </c>
      <c r="AL476" t="str">
        <f>IFERROR(ROUND(L476*(G476/$AU476)/VLOOKUP(F476,商品!$A$4:$B$60,2,FALSE),0),"")</f>
        <v/>
      </c>
      <c r="AM476" t="str">
        <f>IFERROR(ROUND(L476*(I476/$AU476)/VLOOKUP(H476,商品!$A$4:$B$60,2,FALSE),0),"")</f>
        <v/>
      </c>
      <c r="AN476">
        <f>IFERROR(ROUND(L476*(J476/$AU476)/VLOOKUP("运力",商品!$A$4:$B$60,2,FALSE),0),0)</f>
        <v>0</v>
      </c>
      <c r="AO476">
        <f>IFERROR(ROUND(L476*(K476/$AU476)/VLOOKUP("交易",商品!$A$4:$B$60,2,FALSE),0),0)</f>
        <v>0</v>
      </c>
      <c r="AP476" t="str">
        <f>IFERROR(ROUND(S476*(N476/$AV476)/VLOOKUP(M476,职业!$A$4:$G$16,4,FALSE),0),"")</f>
        <v/>
      </c>
      <c r="AQ476" t="str">
        <f>IFERROR(ROUND(S476*(P476/$AV476)/VLOOKUP(O476,职业!$A$4:$G$16,4,FALSE),0),"")</f>
        <v/>
      </c>
      <c r="AR476" t="str">
        <f>IFERROR(ROUND(S476*(R476/$AV476)/VLOOKUP(Q476,职业!$A$4:$G$16,4,FALSE),0),"")</f>
        <v/>
      </c>
      <c r="AS476" t="str">
        <f>IFERROR(ROUND(X476*(U476/$AW476)/VLOOKUP(T476,商品!$A$4:$B$60,2,FALSE),0),"")</f>
        <v/>
      </c>
      <c r="AT476" t="str">
        <f>IFERROR(ROUND(X476*(W476/$AW476)/VLOOKUP(V476,商品!$A$4:$B$60,2,FALSE),0),"")</f>
        <v/>
      </c>
      <c r="AU476">
        <f t="shared" si="157"/>
        <v>0</v>
      </c>
      <c r="AV476">
        <f t="shared" si="158"/>
        <v>0</v>
      </c>
      <c r="AW476">
        <f t="shared" si="159"/>
        <v>0</v>
      </c>
    </row>
    <row r="477" spans="1:49" ht="19.95" customHeight="1" x14ac:dyDescent="0.25">
      <c r="A477" s="16" t="s">
        <v>279</v>
      </c>
      <c r="C477" s="16">
        <v>4</v>
      </c>
      <c r="D477" s="23" t="s">
        <v>174</v>
      </c>
      <c r="E477" s="23" t="s">
        <v>179</v>
      </c>
      <c r="L477" s="16">
        <f>IFERROR(VLOOKUP($D477&amp;$C477,生产方式定位!$A$2:$E$38,2,FALSE)+VLOOKUP($E477&amp;$C477,生产方式定位!$F$3:$J$38,2,FALSE),0)</f>
        <v>0</v>
      </c>
      <c r="S477" s="16">
        <f>IFERROR(VLOOKUP($D477&amp;$C477,生产方式定位!$A$2:$E$38,3,FALSE)+VLOOKUP($E477&amp;$C477,生产方式定位!$F$3:$J$38,3,FALSE),0)</f>
        <v>100</v>
      </c>
      <c r="X477" s="16">
        <f>IFERROR(VLOOKUP($D477&amp;$C477,生产方式定位!$A$2:$E$38,5,FALSE)+VLOOKUP($E477&amp;$C477,生产方式定位!$F$3:$J$38,5,FALSE),"错误")</f>
        <v>100</v>
      </c>
      <c r="Y477" s="26" t="str">
        <f t="shared" si="144"/>
        <v/>
      </c>
      <c r="Z477" s="36" t="str">
        <f t="shared" si="145"/>
        <v/>
      </c>
      <c r="AA477" s="36" t="str">
        <f t="shared" si="146"/>
        <v/>
      </c>
      <c r="AB477" s="27" t="str">
        <f t="shared" si="147"/>
        <v/>
      </c>
      <c r="AC477" s="2" t="str">
        <f t="shared" si="148"/>
        <v/>
      </c>
      <c r="AD477" s="38">
        <f t="shared" si="149"/>
        <v>4</v>
      </c>
      <c r="AE477" t="str">
        <f t="shared" si="150"/>
        <v/>
      </c>
      <c r="AF477" t="str">
        <f t="shared" si="151"/>
        <v/>
      </c>
      <c r="AG477" t="str">
        <f t="shared" si="152"/>
        <v/>
      </c>
      <c r="AH477" t="str">
        <f t="shared" si="153"/>
        <v/>
      </c>
      <c r="AI477" t="str">
        <f t="shared" si="154"/>
        <v/>
      </c>
      <c r="AJ477" t="str">
        <f t="shared" si="155"/>
        <v/>
      </c>
      <c r="AK477" t="str">
        <f t="shared" si="156"/>
        <v/>
      </c>
      <c r="AL477" t="str">
        <f>IFERROR(ROUND(L477*(G477/$AU477)/VLOOKUP(F477,商品!$A$4:$B$60,2,FALSE),0),"")</f>
        <v/>
      </c>
      <c r="AM477" t="str">
        <f>IFERROR(ROUND(L477*(I477/$AU477)/VLOOKUP(H477,商品!$A$4:$B$60,2,FALSE),0),"")</f>
        <v/>
      </c>
      <c r="AN477">
        <f>IFERROR(ROUND(L477*(J477/$AU477)/VLOOKUP("运力",商品!$A$4:$B$60,2,FALSE),0),0)</f>
        <v>0</v>
      </c>
      <c r="AO477">
        <f>IFERROR(ROUND(L477*(K477/$AU477)/VLOOKUP("交易",商品!$A$4:$B$60,2,FALSE),0),0)</f>
        <v>0</v>
      </c>
      <c r="AP477" t="str">
        <f>IFERROR(ROUND(S477*(N477/$AV477)/VLOOKUP(M477,职业!$A$4:$G$16,4,FALSE),0),"")</f>
        <v/>
      </c>
      <c r="AQ477" t="str">
        <f>IFERROR(ROUND(S477*(P477/$AV477)/VLOOKUP(O477,职业!$A$4:$G$16,4,FALSE),0),"")</f>
        <v/>
      </c>
      <c r="AR477" t="str">
        <f>IFERROR(ROUND(S477*(R477/$AV477)/VLOOKUP(Q477,职业!$A$4:$G$16,4,FALSE),0),"")</f>
        <v/>
      </c>
      <c r="AS477" t="str">
        <f>IFERROR(ROUND(X477*(U477/$AW477)/VLOOKUP(T477,商品!$A$4:$B$60,2,FALSE),0),"")</f>
        <v/>
      </c>
      <c r="AT477" t="str">
        <f>IFERROR(ROUND(X477*(W477/$AW477)/VLOOKUP(V477,商品!$A$4:$B$60,2,FALSE),0),"")</f>
        <v/>
      </c>
      <c r="AU477">
        <f t="shared" si="157"/>
        <v>0</v>
      </c>
      <c r="AV477">
        <f t="shared" si="158"/>
        <v>0</v>
      </c>
      <c r="AW477">
        <f t="shared" si="159"/>
        <v>0</v>
      </c>
    </row>
    <row r="478" spans="1:49" ht="19.95" customHeight="1" x14ac:dyDescent="0.25">
      <c r="A478" s="16" t="s">
        <v>279</v>
      </c>
      <c r="C478" s="16">
        <v>5</v>
      </c>
      <c r="D478" s="23" t="s">
        <v>174</v>
      </c>
      <c r="E478" s="23" t="s">
        <v>179</v>
      </c>
      <c r="L478" s="16">
        <f>IFERROR(VLOOKUP($D478&amp;$C478,生产方式定位!$A$2:$E$38,2,FALSE)+VLOOKUP($E478&amp;$C478,生产方式定位!$F$3:$J$38,2,FALSE),0)</f>
        <v>0</v>
      </c>
      <c r="S478" s="16">
        <f>IFERROR(VLOOKUP($D478&amp;$C478,生产方式定位!$A$2:$E$38,3,FALSE)+VLOOKUP($E478&amp;$C478,生产方式定位!$F$3:$J$38,3,FALSE),0)</f>
        <v>100</v>
      </c>
      <c r="X478" s="16">
        <f>IFERROR(VLOOKUP($D478&amp;$C478,生产方式定位!$A$2:$E$38,5,FALSE)+VLOOKUP($E478&amp;$C478,生产方式定位!$F$3:$J$38,5,FALSE),"错误")</f>
        <v>100</v>
      </c>
      <c r="Y478" s="26" t="str">
        <f t="shared" si="144"/>
        <v/>
      </c>
      <c r="Z478" s="36" t="str">
        <f t="shared" si="145"/>
        <v/>
      </c>
      <c r="AA478" s="36" t="str">
        <f t="shared" si="146"/>
        <v/>
      </c>
      <c r="AB478" s="27" t="str">
        <f t="shared" si="147"/>
        <v/>
      </c>
      <c r="AC478" s="2" t="str">
        <f t="shared" si="148"/>
        <v/>
      </c>
      <c r="AD478" s="38">
        <f t="shared" si="149"/>
        <v>5</v>
      </c>
      <c r="AE478" t="str">
        <f t="shared" si="150"/>
        <v/>
      </c>
      <c r="AF478" t="str">
        <f t="shared" si="151"/>
        <v/>
      </c>
      <c r="AG478" t="str">
        <f t="shared" si="152"/>
        <v/>
      </c>
      <c r="AH478" t="str">
        <f t="shared" si="153"/>
        <v/>
      </c>
      <c r="AI478" t="str">
        <f t="shared" si="154"/>
        <v/>
      </c>
      <c r="AJ478" t="str">
        <f t="shared" si="155"/>
        <v/>
      </c>
      <c r="AK478" t="str">
        <f t="shared" si="156"/>
        <v/>
      </c>
      <c r="AL478" t="str">
        <f>IFERROR(ROUND(L478*(G478/$AU478)/VLOOKUP(F478,商品!$A$4:$B$60,2,FALSE),0),"")</f>
        <v/>
      </c>
      <c r="AM478" t="str">
        <f>IFERROR(ROUND(L478*(I478/$AU478)/VLOOKUP(H478,商品!$A$4:$B$60,2,FALSE),0),"")</f>
        <v/>
      </c>
      <c r="AN478">
        <f>IFERROR(ROUND(L478*(J478/$AU478)/VLOOKUP("运力",商品!$A$4:$B$60,2,FALSE),0),0)</f>
        <v>0</v>
      </c>
      <c r="AO478">
        <f>IFERROR(ROUND(L478*(K478/$AU478)/VLOOKUP("交易",商品!$A$4:$B$60,2,FALSE),0),0)</f>
        <v>0</v>
      </c>
      <c r="AP478" t="str">
        <f>IFERROR(ROUND(S478*(N478/$AV478)/VLOOKUP(M478,职业!$A$4:$G$16,4,FALSE),0),"")</f>
        <v/>
      </c>
      <c r="AQ478" t="str">
        <f>IFERROR(ROUND(S478*(P478/$AV478)/VLOOKUP(O478,职业!$A$4:$G$16,4,FALSE),0),"")</f>
        <v/>
      </c>
      <c r="AR478" t="str">
        <f>IFERROR(ROUND(S478*(R478/$AV478)/VLOOKUP(Q478,职业!$A$4:$G$16,4,FALSE),0),"")</f>
        <v/>
      </c>
      <c r="AS478" t="str">
        <f>IFERROR(ROUND(X478*(U478/$AW478)/VLOOKUP(T478,商品!$A$4:$B$60,2,FALSE),0),"")</f>
        <v/>
      </c>
      <c r="AT478" t="str">
        <f>IFERROR(ROUND(X478*(W478/$AW478)/VLOOKUP(V478,商品!$A$4:$B$60,2,FALSE),0),"")</f>
        <v/>
      </c>
      <c r="AU478">
        <f t="shared" si="157"/>
        <v>0</v>
      </c>
      <c r="AV478">
        <f t="shared" si="158"/>
        <v>0</v>
      </c>
      <c r="AW478">
        <f t="shared" si="159"/>
        <v>0</v>
      </c>
    </row>
    <row r="479" spans="1:49" ht="19.95" customHeight="1" x14ac:dyDescent="0.25">
      <c r="A479" s="16" t="s">
        <v>279</v>
      </c>
      <c r="C479" s="16">
        <v>6</v>
      </c>
      <c r="D479" s="23" t="s">
        <v>174</v>
      </c>
      <c r="E479" s="23" t="s">
        <v>179</v>
      </c>
      <c r="L479" s="16">
        <f>IFERROR(VLOOKUP($D479&amp;$C479,生产方式定位!$A$2:$E$38,2,FALSE)+VLOOKUP($E479&amp;$C479,生产方式定位!$F$3:$J$38,2,FALSE),0)</f>
        <v>0</v>
      </c>
      <c r="S479" s="16">
        <f>IFERROR(VLOOKUP($D479&amp;$C479,生产方式定位!$A$2:$E$38,3,FALSE)+VLOOKUP($E479&amp;$C479,生产方式定位!$F$3:$J$38,3,FALSE),0)</f>
        <v>100</v>
      </c>
      <c r="X479" s="16">
        <f>IFERROR(VLOOKUP($D479&amp;$C479,生产方式定位!$A$2:$E$38,5,FALSE)+VLOOKUP($E479&amp;$C479,生产方式定位!$F$3:$J$38,5,FALSE),"错误")</f>
        <v>100</v>
      </c>
      <c r="Y479" s="26" t="str">
        <f t="shared" si="144"/>
        <v/>
      </c>
      <c r="Z479" s="36" t="str">
        <f t="shared" si="145"/>
        <v/>
      </c>
      <c r="AA479" s="36" t="str">
        <f t="shared" si="146"/>
        <v/>
      </c>
      <c r="AB479" s="27" t="str">
        <f t="shared" si="147"/>
        <v/>
      </c>
      <c r="AC479" s="2" t="str">
        <f t="shared" si="148"/>
        <v/>
      </c>
      <c r="AD479" s="37">
        <f t="shared" si="149"/>
        <v>6</v>
      </c>
      <c r="AE479" t="str">
        <f t="shared" si="150"/>
        <v/>
      </c>
      <c r="AF479" t="str">
        <f t="shared" si="151"/>
        <v/>
      </c>
      <c r="AG479" t="str">
        <f t="shared" si="152"/>
        <v/>
      </c>
      <c r="AH479" t="str">
        <f t="shared" si="153"/>
        <v/>
      </c>
      <c r="AI479" t="str">
        <f t="shared" si="154"/>
        <v/>
      </c>
      <c r="AJ479" t="str">
        <f t="shared" si="155"/>
        <v/>
      </c>
      <c r="AK479" t="str">
        <f t="shared" si="156"/>
        <v/>
      </c>
      <c r="AL479" t="str">
        <f>IFERROR(ROUND(L479*(G479/$AU479)/VLOOKUP(F479,商品!$A$4:$B$60,2,FALSE),0),"")</f>
        <v/>
      </c>
      <c r="AM479" t="str">
        <f>IFERROR(ROUND(L479*(I479/$AU479)/VLOOKUP(H479,商品!$A$4:$B$60,2,FALSE),0),"")</f>
        <v/>
      </c>
      <c r="AN479">
        <f>IFERROR(ROUND(L479*(J479/$AU479)/VLOOKUP("运力",商品!$A$4:$B$60,2,FALSE),0),0)</f>
        <v>0</v>
      </c>
      <c r="AO479">
        <f>IFERROR(ROUND(L479*(K479/$AU479)/VLOOKUP("交易",商品!$A$4:$B$60,2,FALSE),0),0)</f>
        <v>0</v>
      </c>
      <c r="AP479" t="str">
        <f>IFERROR(ROUND(S479*(N479/$AV479)/VLOOKUP(M479,职业!$A$4:$G$16,4,FALSE),0),"")</f>
        <v/>
      </c>
      <c r="AQ479" t="str">
        <f>IFERROR(ROUND(S479*(P479/$AV479)/VLOOKUP(O479,职业!$A$4:$G$16,4,FALSE),0),"")</f>
        <v/>
      </c>
      <c r="AR479" t="str">
        <f>IFERROR(ROUND(S479*(R479/$AV479)/VLOOKUP(Q479,职业!$A$4:$G$16,4,FALSE),0),"")</f>
        <v/>
      </c>
      <c r="AS479" t="str">
        <f>IFERROR(ROUND(X479*(U479/$AW479)/VLOOKUP(T479,商品!$A$4:$B$60,2,FALSE),0),"")</f>
        <v/>
      </c>
      <c r="AT479" t="str">
        <f>IFERROR(ROUND(X479*(W479/$AW479)/VLOOKUP(V479,商品!$A$4:$B$60,2,FALSE),0),"")</f>
        <v/>
      </c>
      <c r="AU479">
        <f t="shared" si="157"/>
        <v>0</v>
      </c>
      <c r="AV479">
        <f t="shared" si="158"/>
        <v>0</v>
      </c>
      <c r="AW479">
        <f t="shared" si="159"/>
        <v>0</v>
      </c>
    </row>
    <row r="480" spans="1:49" ht="19.95" customHeight="1" x14ac:dyDescent="0.25">
      <c r="A480" s="16" t="s">
        <v>279</v>
      </c>
      <c r="C480" s="16">
        <v>7</v>
      </c>
      <c r="D480" s="23" t="s">
        <v>174</v>
      </c>
      <c r="E480" s="23" t="s">
        <v>179</v>
      </c>
      <c r="L480" s="16">
        <f>IFERROR(VLOOKUP($D480&amp;$C480,生产方式定位!$A$2:$E$38,2,FALSE)+VLOOKUP($E480&amp;$C480,生产方式定位!$F$3:$J$38,2,FALSE),0)</f>
        <v>0</v>
      </c>
      <c r="S480" s="16">
        <f>IFERROR(VLOOKUP($D480&amp;$C480,生产方式定位!$A$2:$E$38,3,FALSE)+VLOOKUP($E480&amp;$C480,生产方式定位!$F$3:$J$38,3,FALSE),0)</f>
        <v>100</v>
      </c>
      <c r="X480" s="16">
        <f>IFERROR(VLOOKUP($D480&amp;$C480,生产方式定位!$A$2:$E$38,5,FALSE)+VLOOKUP($E480&amp;$C480,生产方式定位!$F$3:$J$38,5,FALSE),"错误")</f>
        <v>100</v>
      </c>
      <c r="Y480" s="26" t="str">
        <f t="shared" si="144"/>
        <v/>
      </c>
      <c r="Z480" s="36" t="str">
        <f t="shared" si="145"/>
        <v/>
      </c>
      <c r="AA480" s="36" t="str">
        <f t="shared" si="146"/>
        <v/>
      </c>
      <c r="AB480" s="27" t="str">
        <f t="shared" si="147"/>
        <v/>
      </c>
      <c r="AC480" s="2" t="str">
        <f t="shared" si="148"/>
        <v/>
      </c>
      <c r="AD480" s="37">
        <f t="shared" si="149"/>
        <v>7</v>
      </c>
      <c r="AE480" t="str">
        <f t="shared" si="150"/>
        <v/>
      </c>
      <c r="AF480" t="str">
        <f t="shared" si="151"/>
        <v/>
      </c>
      <c r="AG480" t="str">
        <f t="shared" si="152"/>
        <v/>
      </c>
      <c r="AH480" t="str">
        <f t="shared" si="153"/>
        <v/>
      </c>
      <c r="AI480" t="str">
        <f t="shared" si="154"/>
        <v/>
      </c>
      <c r="AJ480" t="str">
        <f t="shared" si="155"/>
        <v/>
      </c>
      <c r="AK480" t="str">
        <f t="shared" si="156"/>
        <v/>
      </c>
      <c r="AL480" t="str">
        <f>IFERROR(ROUND(L480*(G480/$AU480)/VLOOKUP(F480,商品!$A$4:$B$60,2,FALSE),0),"")</f>
        <v/>
      </c>
      <c r="AM480" t="str">
        <f>IFERROR(ROUND(L480*(I480/$AU480)/VLOOKUP(H480,商品!$A$4:$B$60,2,FALSE),0),"")</f>
        <v/>
      </c>
      <c r="AN480">
        <f>IFERROR(ROUND(L480*(J480/$AU480)/VLOOKUP("运力",商品!$A$4:$B$60,2,FALSE),0),0)</f>
        <v>0</v>
      </c>
      <c r="AO480">
        <f>IFERROR(ROUND(L480*(K480/$AU480)/VLOOKUP("交易",商品!$A$4:$B$60,2,FALSE),0),0)</f>
        <v>0</v>
      </c>
      <c r="AP480" t="str">
        <f>IFERROR(ROUND(S480*(N480/$AV480)/VLOOKUP(M480,职业!$A$4:$G$16,4,FALSE),0),"")</f>
        <v/>
      </c>
      <c r="AQ480" t="str">
        <f>IFERROR(ROUND(S480*(P480/$AV480)/VLOOKUP(O480,职业!$A$4:$G$16,4,FALSE),0),"")</f>
        <v/>
      </c>
      <c r="AR480" t="str">
        <f>IFERROR(ROUND(S480*(R480/$AV480)/VLOOKUP(Q480,职业!$A$4:$G$16,4,FALSE),0),"")</f>
        <v/>
      </c>
      <c r="AS480" t="str">
        <f>IFERROR(ROUND(X480*(U480/$AW480)/VLOOKUP(T480,商品!$A$4:$B$60,2,FALSE),0),"")</f>
        <v/>
      </c>
      <c r="AT480" t="str">
        <f>IFERROR(ROUND(X480*(W480/$AW480)/VLOOKUP(V480,商品!$A$4:$B$60,2,FALSE),0),"")</f>
        <v/>
      </c>
      <c r="AU480">
        <f t="shared" si="157"/>
        <v>0</v>
      </c>
      <c r="AV480">
        <f t="shared" si="158"/>
        <v>0</v>
      </c>
      <c r="AW480">
        <f t="shared" si="159"/>
        <v>0</v>
      </c>
    </row>
    <row r="481" spans="1:49" ht="19.95" customHeight="1" x14ac:dyDescent="0.25">
      <c r="A481" s="16" t="s">
        <v>279</v>
      </c>
      <c r="C481" s="16">
        <v>8</v>
      </c>
      <c r="D481" s="23" t="s">
        <v>174</v>
      </c>
      <c r="E481" s="23" t="s">
        <v>179</v>
      </c>
      <c r="L481" s="16">
        <f>IFERROR(VLOOKUP($D481&amp;$C481,生产方式定位!$A$2:$E$38,2,FALSE)+VLOOKUP($E481&amp;$C481,生产方式定位!$F$3:$J$38,2,FALSE),0)</f>
        <v>0</v>
      </c>
      <c r="S481" s="16">
        <f>IFERROR(VLOOKUP($D481&amp;$C481,生产方式定位!$A$2:$E$38,3,FALSE)+VLOOKUP($E481&amp;$C481,生产方式定位!$F$3:$J$38,3,FALSE),0)</f>
        <v>100</v>
      </c>
      <c r="X481" s="16">
        <f>IFERROR(VLOOKUP($D481&amp;$C481,生产方式定位!$A$2:$E$38,5,FALSE)+VLOOKUP($E481&amp;$C481,生产方式定位!$F$3:$J$38,5,FALSE),"错误")</f>
        <v>100</v>
      </c>
      <c r="Y481" s="26" t="str">
        <f t="shared" si="144"/>
        <v/>
      </c>
      <c r="Z481" s="36" t="str">
        <f t="shared" si="145"/>
        <v/>
      </c>
      <c r="AA481" s="36" t="str">
        <f t="shared" si="146"/>
        <v/>
      </c>
      <c r="AB481" s="27" t="str">
        <f t="shared" si="147"/>
        <v/>
      </c>
      <c r="AC481" s="2" t="str">
        <f t="shared" si="148"/>
        <v/>
      </c>
      <c r="AD481" s="37">
        <f t="shared" si="149"/>
        <v>8</v>
      </c>
      <c r="AE481" t="str">
        <f t="shared" si="150"/>
        <v/>
      </c>
      <c r="AF481" t="str">
        <f t="shared" si="151"/>
        <v/>
      </c>
      <c r="AG481" t="str">
        <f t="shared" si="152"/>
        <v/>
      </c>
      <c r="AH481" t="str">
        <f t="shared" si="153"/>
        <v/>
      </c>
      <c r="AI481" t="str">
        <f t="shared" si="154"/>
        <v/>
      </c>
      <c r="AJ481" t="str">
        <f t="shared" si="155"/>
        <v/>
      </c>
      <c r="AK481" t="str">
        <f t="shared" si="156"/>
        <v/>
      </c>
      <c r="AL481" t="str">
        <f>IFERROR(ROUND(L481*(G481/$AU481)/VLOOKUP(F481,商品!$A$4:$B$60,2,FALSE),0),"")</f>
        <v/>
      </c>
      <c r="AM481" t="str">
        <f>IFERROR(ROUND(L481*(I481/$AU481)/VLOOKUP(H481,商品!$A$4:$B$60,2,FALSE),0),"")</f>
        <v/>
      </c>
      <c r="AN481">
        <f>IFERROR(ROUND(L481*(J481/$AU481)/VLOOKUP("运力",商品!$A$4:$B$60,2,FALSE),0),0)</f>
        <v>0</v>
      </c>
      <c r="AO481">
        <f>IFERROR(ROUND(L481*(K481/$AU481)/VLOOKUP("交易",商品!$A$4:$B$60,2,FALSE),0),0)</f>
        <v>0</v>
      </c>
      <c r="AP481" t="str">
        <f>IFERROR(ROUND(S481*(N481/$AV481)/VLOOKUP(M481,职业!$A$4:$G$16,4,FALSE),0),"")</f>
        <v/>
      </c>
      <c r="AQ481" t="str">
        <f>IFERROR(ROUND(S481*(P481/$AV481)/VLOOKUP(O481,职业!$A$4:$G$16,4,FALSE),0),"")</f>
        <v/>
      </c>
      <c r="AR481" t="str">
        <f>IFERROR(ROUND(S481*(R481/$AV481)/VLOOKUP(Q481,职业!$A$4:$G$16,4,FALSE),0),"")</f>
        <v/>
      </c>
      <c r="AS481" t="str">
        <f>IFERROR(ROUND(X481*(U481/$AW481)/VLOOKUP(T481,商品!$A$4:$B$60,2,FALSE),0),"")</f>
        <v/>
      </c>
      <c r="AT481" t="str">
        <f>IFERROR(ROUND(X481*(W481/$AW481)/VLOOKUP(V481,商品!$A$4:$B$60,2,FALSE),0),"")</f>
        <v/>
      </c>
      <c r="AU481">
        <f t="shared" si="157"/>
        <v>0</v>
      </c>
      <c r="AV481">
        <f t="shared" si="158"/>
        <v>0</v>
      </c>
      <c r="AW481">
        <f t="shared" si="159"/>
        <v>0</v>
      </c>
    </row>
    <row r="482" spans="1:49" ht="19.95" customHeight="1" x14ac:dyDescent="0.25">
      <c r="A482" s="15" t="s">
        <v>281</v>
      </c>
      <c r="C482" s="15">
        <v>1</v>
      </c>
      <c r="D482" s="23" t="s">
        <v>282</v>
      </c>
      <c r="E482" s="23" t="s">
        <v>172</v>
      </c>
      <c r="L482" s="15">
        <f>IFERROR(VLOOKUP($D482&amp;$C482,生产方式定位!$A$2:$E$38,2,FALSE)+VLOOKUP($E482&amp;$C482,生产方式定位!$F$3:$J$38,2,FALSE),0)</f>
        <v>2000</v>
      </c>
      <c r="S482" s="15">
        <f>IFERROR(VLOOKUP($D482&amp;$C482,生产方式定位!$A$2:$E$38,3,FALSE)+VLOOKUP($E482&amp;$C482,生产方式定位!$F$3:$J$38,3,FALSE),0)</f>
        <v>100</v>
      </c>
      <c r="X482" s="15">
        <f>IFERROR(VLOOKUP($D482&amp;$C482,生产方式定位!$A$2:$E$38,5,FALSE)+VLOOKUP($E482&amp;$C482,生产方式定位!$F$3:$J$38,5,FALSE),"错误")</f>
        <v>3150</v>
      </c>
      <c r="Y482" s="26" t="str">
        <f t="shared" si="144"/>
        <v/>
      </c>
      <c r="Z482" s="36" t="str">
        <f t="shared" si="145"/>
        <v/>
      </c>
      <c r="AA482" s="36" t="str">
        <f t="shared" si="146"/>
        <v/>
      </c>
      <c r="AB482" s="27" t="str">
        <f t="shared" si="147"/>
        <v>58%</v>
      </c>
      <c r="AC482" s="2">
        <f t="shared" si="148"/>
        <v>1050</v>
      </c>
      <c r="AD482" s="37">
        <f t="shared" si="149"/>
        <v>1</v>
      </c>
      <c r="AE482" t="str">
        <f t="shared" si="150"/>
        <v/>
      </c>
      <c r="AF482" t="str">
        <f t="shared" si="151"/>
        <v/>
      </c>
      <c r="AG482" t="str">
        <f t="shared" si="152"/>
        <v/>
      </c>
      <c r="AH482" t="str">
        <f t="shared" si="153"/>
        <v/>
      </c>
      <c r="AI482" t="str">
        <f t="shared" si="154"/>
        <v/>
      </c>
      <c r="AJ482" t="str">
        <f t="shared" si="155"/>
        <v/>
      </c>
      <c r="AK482" t="str">
        <f t="shared" si="156"/>
        <v/>
      </c>
      <c r="AL482" t="str">
        <f>IFERROR(ROUND(L482*(G482/$AU482)/VLOOKUP(F482,商品!$A$4:$B$60,2,FALSE),0),"")</f>
        <v/>
      </c>
      <c r="AM482" t="str">
        <f>IFERROR(ROUND(L482*(I482/$AU482)/VLOOKUP(H482,商品!$A$4:$B$60,2,FALSE),0),"")</f>
        <v/>
      </c>
      <c r="AN482">
        <f>IFERROR(ROUND(L482*(J482/$AU482)/VLOOKUP("运力",商品!$A$4:$B$60,2,FALSE),0),0)</f>
        <v>0</v>
      </c>
      <c r="AO482">
        <f>IFERROR(ROUND(L482*(K482/$AU482)/VLOOKUP("交易",商品!$A$4:$B$60,2,FALSE),0),0)</f>
        <v>0</v>
      </c>
      <c r="AP482" t="str">
        <f>IFERROR(ROUND(S482*(N482/$AV482)/VLOOKUP(M482,职业!$A$4:$G$16,4,FALSE),0),"")</f>
        <v/>
      </c>
      <c r="AQ482" t="str">
        <f>IFERROR(ROUND(S482*(P482/$AV482)/VLOOKUP(O482,职业!$A$4:$G$16,4,FALSE),0),"")</f>
        <v/>
      </c>
      <c r="AR482" t="str">
        <f>IFERROR(ROUND(S482*(R482/$AV482)/VLOOKUP(Q482,职业!$A$4:$G$16,4,FALSE),0),"")</f>
        <v/>
      </c>
      <c r="AS482" t="str">
        <f>IFERROR(ROUND(X482*(U482/$AW482)/VLOOKUP(T482,商品!$A$4:$B$60,2,FALSE),0),"")</f>
        <v/>
      </c>
      <c r="AT482" t="str">
        <f>IFERROR(ROUND(X482*(W482/$AW482)/VLOOKUP(V482,商品!$A$4:$B$60,2,FALSE),0),"")</f>
        <v/>
      </c>
      <c r="AU482">
        <f t="shared" si="157"/>
        <v>0</v>
      </c>
      <c r="AV482">
        <f t="shared" si="158"/>
        <v>0</v>
      </c>
      <c r="AW482">
        <f t="shared" si="159"/>
        <v>0</v>
      </c>
    </row>
    <row r="483" spans="1:49" ht="19.95" customHeight="1" x14ac:dyDescent="0.25">
      <c r="A483" s="15" t="s">
        <v>281</v>
      </c>
      <c r="C483" s="15">
        <v>2</v>
      </c>
      <c r="D483" s="23" t="s">
        <v>282</v>
      </c>
      <c r="E483" s="23" t="s">
        <v>172</v>
      </c>
      <c r="L483" s="15">
        <f>IFERROR(VLOOKUP($D483&amp;$C483,生产方式定位!$A$2:$E$38,2,FALSE)+VLOOKUP($E483&amp;$C483,生产方式定位!$F$3:$J$38,2,FALSE),0)</f>
        <v>2900</v>
      </c>
      <c r="S483" s="15">
        <f>IFERROR(VLOOKUP($D483&amp;$C483,生产方式定位!$A$2:$E$38,3,FALSE)+VLOOKUP($E483&amp;$C483,生产方式定位!$F$3:$J$38,3,FALSE),0)</f>
        <v>100</v>
      </c>
      <c r="X483" s="15">
        <f>IFERROR(VLOOKUP($D483&amp;$C483,生产方式定位!$A$2:$E$38,5,FALSE)+VLOOKUP($E483&amp;$C483,生产方式定位!$F$3:$J$38,5,FALSE),"错误")</f>
        <v>4350</v>
      </c>
      <c r="Y483" s="26" t="str">
        <f t="shared" si="144"/>
        <v/>
      </c>
      <c r="Z483" s="36" t="str">
        <f t="shared" si="145"/>
        <v/>
      </c>
      <c r="AA483" s="36" t="str">
        <f t="shared" si="146"/>
        <v/>
      </c>
      <c r="AB483" s="27" t="str">
        <f t="shared" si="147"/>
        <v>50%</v>
      </c>
      <c r="AC483" s="2">
        <f t="shared" si="148"/>
        <v>1350</v>
      </c>
      <c r="AD483" s="37">
        <f t="shared" si="149"/>
        <v>2</v>
      </c>
      <c r="AE483" t="str">
        <f t="shared" si="150"/>
        <v/>
      </c>
      <c r="AF483" t="str">
        <f t="shared" si="151"/>
        <v/>
      </c>
      <c r="AG483" t="str">
        <f t="shared" si="152"/>
        <v/>
      </c>
      <c r="AH483" t="str">
        <f t="shared" si="153"/>
        <v/>
      </c>
      <c r="AI483" t="str">
        <f t="shared" si="154"/>
        <v/>
      </c>
      <c r="AJ483" t="str">
        <f t="shared" si="155"/>
        <v/>
      </c>
      <c r="AK483" t="str">
        <f t="shared" si="156"/>
        <v/>
      </c>
      <c r="AL483" t="str">
        <f>IFERROR(ROUND(L483*(G483/$AU483)/VLOOKUP(F483,商品!$A$4:$B$60,2,FALSE),0),"")</f>
        <v/>
      </c>
      <c r="AM483" t="str">
        <f>IFERROR(ROUND(L483*(I483/$AU483)/VLOOKUP(H483,商品!$A$4:$B$60,2,FALSE),0),"")</f>
        <v/>
      </c>
      <c r="AN483">
        <f>IFERROR(ROUND(L483*(J483/$AU483)/VLOOKUP("运力",商品!$A$4:$B$60,2,FALSE),0),0)</f>
        <v>0</v>
      </c>
      <c r="AO483">
        <f>IFERROR(ROUND(L483*(K483/$AU483)/VLOOKUP("交易",商品!$A$4:$B$60,2,FALSE),0),0)</f>
        <v>0</v>
      </c>
      <c r="AP483" t="str">
        <f>IFERROR(ROUND(S483*(N483/$AV483)/VLOOKUP(M483,职业!$A$4:$G$16,4,FALSE),0),"")</f>
        <v/>
      </c>
      <c r="AQ483" t="str">
        <f>IFERROR(ROUND(S483*(P483/$AV483)/VLOOKUP(O483,职业!$A$4:$G$16,4,FALSE),0),"")</f>
        <v/>
      </c>
      <c r="AR483" t="str">
        <f>IFERROR(ROUND(S483*(R483/$AV483)/VLOOKUP(Q483,职业!$A$4:$G$16,4,FALSE),0),"")</f>
        <v/>
      </c>
      <c r="AS483" t="str">
        <f>IFERROR(ROUND(X483*(U483/$AW483)/VLOOKUP(T483,商品!$A$4:$B$60,2,FALSE),0),"")</f>
        <v/>
      </c>
      <c r="AT483" t="str">
        <f>IFERROR(ROUND(X483*(W483/$AW483)/VLOOKUP(V483,商品!$A$4:$B$60,2,FALSE),0),"")</f>
        <v/>
      </c>
      <c r="AU483">
        <f t="shared" si="157"/>
        <v>0</v>
      </c>
      <c r="AV483">
        <f t="shared" si="158"/>
        <v>0</v>
      </c>
      <c r="AW483">
        <f t="shared" si="159"/>
        <v>0</v>
      </c>
    </row>
    <row r="484" spans="1:49" ht="19.95" customHeight="1" x14ac:dyDescent="0.25">
      <c r="A484" s="15" t="s">
        <v>281</v>
      </c>
      <c r="C484" s="15">
        <v>3</v>
      </c>
      <c r="D484" s="23" t="s">
        <v>282</v>
      </c>
      <c r="E484" s="23" t="s">
        <v>172</v>
      </c>
      <c r="L484" s="15">
        <f>IFERROR(VLOOKUP($D484&amp;$C484,生产方式定位!$A$2:$E$38,2,FALSE)+VLOOKUP($E484&amp;$C484,生产方式定位!$F$3:$J$38,2,FALSE),0)</f>
        <v>3425</v>
      </c>
      <c r="S484" s="15">
        <f>IFERROR(VLOOKUP($D484&amp;$C484,生产方式定位!$A$2:$E$38,3,FALSE)+VLOOKUP($E484&amp;$C484,生产方式定位!$F$3:$J$38,3,FALSE),0)</f>
        <v>100</v>
      </c>
      <c r="X484" s="15">
        <f>IFERROR(VLOOKUP($D484&amp;$C484,生产方式定位!$A$2:$E$38,5,FALSE)+VLOOKUP($E484&amp;$C484,生产方式定位!$F$3:$J$38,5,FALSE),"错误")</f>
        <v>5100</v>
      </c>
      <c r="Y484" s="26" t="str">
        <f t="shared" si="144"/>
        <v/>
      </c>
      <c r="Z484" s="36" t="str">
        <f t="shared" si="145"/>
        <v/>
      </c>
      <c r="AA484" s="36" t="str">
        <f t="shared" si="146"/>
        <v/>
      </c>
      <c r="AB484" s="27" t="str">
        <f t="shared" si="147"/>
        <v>49%</v>
      </c>
      <c r="AC484" s="2">
        <f t="shared" si="148"/>
        <v>1575</v>
      </c>
      <c r="AD484" s="38">
        <f t="shared" si="149"/>
        <v>3</v>
      </c>
      <c r="AE484" t="str">
        <f t="shared" si="150"/>
        <v/>
      </c>
      <c r="AF484" t="str">
        <f t="shared" si="151"/>
        <v/>
      </c>
      <c r="AG484" t="str">
        <f t="shared" si="152"/>
        <v/>
      </c>
      <c r="AH484" t="str">
        <f t="shared" si="153"/>
        <v/>
      </c>
      <c r="AI484" t="str">
        <f t="shared" si="154"/>
        <v/>
      </c>
      <c r="AJ484" t="str">
        <f t="shared" si="155"/>
        <v/>
      </c>
      <c r="AK484" t="str">
        <f t="shared" si="156"/>
        <v/>
      </c>
      <c r="AL484" t="str">
        <f>IFERROR(ROUND(L484*(G484/$AU484)/VLOOKUP(F484,商品!$A$4:$B$60,2,FALSE),0),"")</f>
        <v/>
      </c>
      <c r="AM484" t="str">
        <f>IFERROR(ROUND(L484*(I484/$AU484)/VLOOKUP(H484,商品!$A$4:$B$60,2,FALSE),0),"")</f>
        <v/>
      </c>
      <c r="AN484">
        <f>IFERROR(ROUND(L484*(J484/$AU484)/VLOOKUP("运力",商品!$A$4:$B$60,2,FALSE),0),0)</f>
        <v>0</v>
      </c>
      <c r="AO484">
        <f>IFERROR(ROUND(L484*(K484/$AU484)/VLOOKUP("交易",商品!$A$4:$B$60,2,FALSE),0),0)</f>
        <v>0</v>
      </c>
      <c r="AP484" t="str">
        <f>IFERROR(ROUND(S484*(N484/$AV484)/VLOOKUP(M484,职业!$A$4:$G$16,4,FALSE),0),"")</f>
        <v/>
      </c>
      <c r="AQ484" t="str">
        <f>IFERROR(ROUND(S484*(P484/$AV484)/VLOOKUP(O484,职业!$A$4:$G$16,4,FALSE),0),"")</f>
        <v/>
      </c>
      <c r="AR484" t="str">
        <f>IFERROR(ROUND(S484*(R484/$AV484)/VLOOKUP(Q484,职业!$A$4:$G$16,4,FALSE),0),"")</f>
        <v/>
      </c>
      <c r="AS484" t="str">
        <f>IFERROR(ROUND(X484*(U484/$AW484)/VLOOKUP(T484,商品!$A$4:$B$60,2,FALSE),0),"")</f>
        <v/>
      </c>
      <c r="AT484" t="str">
        <f>IFERROR(ROUND(X484*(W484/$AW484)/VLOOKUP(V484,商品!$A$4:$B$60,2,FALSE),0),"")</f>
        <v/>
      </c>
      <c r="AU484">
        <f t="shared" si="157"/>
        <v>0</v>
      </c>
      <c r="AV484">
        <f t="shared" si="158"/>
        <v>0</v>
      </c>
      <c r="AW484">
        <f t="shared" si="159"/>
        <v>0</v>
      </c>
    </row>
    <row r="485" spans="1:49" ht="19.95" customHeight="1" x14ac:dyDescent="0.25">
      <c r="A485" s="15" t="s">
        <v>281</v>
      </c>
      <c r="C485" s="15">
        <v>4</v>
      </c>
      <c r="D485" s="23" t="s">
        <v>282</v>
      </c>
      <c r="E485" s="23" t="s">
        <v>172</v>
      </c>
      <c r="L485" s="15">
        <f>IFERROR(VLOOKUP($D485&amp;$C485,生产方式定位!$A$2:$E$38,2,FALSE)+VLOOKUP($E485&amp;$C485,生产方式定位!$F$3:$J$38,2,FALSE),0)</f>
        <v>3950</v>
      </c>
      <c r="S485" s="15">
        <f>IFERROR(VLOOKUP($D485&amp;$C485,生产方式定位!$A$2:$E$38,3,FALSE)+VLOOKUP($E485&amp;$C485,生产方式定位!$F$3:$J$38,3,FALSE),0)</f>
        <v>100</v>
      </c>
      <c r="X485" s="15">
        <f>IFERROR(VLOOKUP($D485&amp;$C485,生产方式定位!$A$2:$E$38,5,FALSE)+VLOOKUP($E485&amp;$C485,生产方式定位!$F$3:$J$38,5,FALSE),"错误")</f>
        <v>5850</v>
      </c>
      <c r="Y485" s="26" t="str">
        <f t="shared" si="144"/>
        <v/>
      </c>
      <c r="Z485" s="36" t="str">
        <f t="shared" si="145"/>
        <v/>
      </c>
      <c r="AA485" s="36" t="str">
        <f t="shared" si="146"/>
        <v/>
      </c>
      <c r="AB485" s="27" t="str">
        <f t="shared" si="147"/>
        <v>48%</v>
      </c>
      <c r="AC485" s="2">
        <f t="shared" si="148"/>
        <v>1800</v>
      </c>
      <c r="AD485" s="38">
        <f t="shared" si="149"/>
        <v>4</v>
      </c>
      <c r="AE485" t="str">
        <f t="shared" si="150"/>
        <v/>
      </c>
      <c r="AF485" t="str">
        <f t="shared" si="151"/>
        <v/>
      </c>
      <c r="AG485" t="str">
        <f t="shared" si="152"/>
        <v/>
      </c>
      <c r="AH485" t="str">
        <f t="shared" si="153"/>
        <v/>
      </c>
      <c r="AI485" t="str">
        <f t="shared" si="154"/>
        <v/>
      </c>
      <c r="AJ485" t="str">
        <f t="shared" si="155"/>
        <v/>
      </c>
      <c r="AK485" t="str">
        <f t="shared" si="156"/>
        <v/>
      </c>
      <c r="AL485" t="str">
        <f>IFERROR(ROUND(L485*(G485/$AU485)/VLOOKUP(F485,商品!$A$4:$B$60,2,FALSE),0),"")</f>
        <v/>
      </c>
      <c r="AM485" t="str">
        <f>IFERROR(ROUND(L485*(I485/$AU485)/VLOOKUP(H485,商品!$A$4:$B$60,2,FALSE),0),"")</f>
        <v/>
      </c>
      <c r="AN485">
        <f>IFERROR(ROUND(L485*(J485/$AU485)/VLOOKUP("运力",商品!$A$4:$B$60,2,FALSE),0),0)</f>
        <v>0</v>
      </c>
      <c r="AO485">
        <f>IFERROR(ROUND(L485*(K485/$AU485)/VLOOKUP("交易",商品!$A$4:$B$60,2,FALSE),0),0)</f>
        <v>0</v>
      </c>
      <c r="AP485" t="str">
        <f>IFERROR(ROUND(S485*(N485/$AV485)/VLOOKUP(M485,职业!$A$4:$G$16,4,FALSE),0),"")</f>
        <v/>
      </c>
      <c r="AQ485" t="str">
        <f>IFERROR(ROUND(S485*(P485/$AV485)/VLOOKUP(O485,职业!$A$4:$G$16,4,FALSE),0),"")</f>
        <v/>
      </c>
      <c r="AR485" t="str">
        <f>IFERROR(ROUND(S485*(R485/$AV485)/VLOOKUP(Q485,职业!$A$4:$G$16,4,FALSE),0),"")</f>
        <v/>
      </c>
      <c r="AS485" t="str">
        <f>IFERROR(ROUND(X485*(U485/$AW485)/VLOOKUP(T485,商品!$A$4:$B$60,2,FALSE),0),"")</f>
        <v/>
      </c>
      <c r="AT485" t="str">
        <f>IFERROR(ROUND(X485*(W485/$AW485)/VLOOKUP(V485,商品!$A$4:$B$60,2,FALSE),0),"")</f>
        <v/>
      </c>
      <c r="AU485">
        <f t="shared" si="157"/>
        <v>0</v>
      </c>
      <c r="AV485">
        <f t="shared" si="158"/>
        <v>0</v>
      </c>
      <c r="AW485">
        <f t="shared" si="159"/>
        <v>0</v>
      </c>
    </row>
    <row r="486" spans="1:49" ht="19.95" customHeight="1" x14ac:dyDescent="0.25">
      <c r="A486" s="15" t="s">
        <v>281</v>
      </c>
      <c r="C486" s="15">
        <v>5</v>
      </c>
      <c r="D486" s="23" t="s">
        <v>282</v>
      </c>
      <c r="E486" s="23" t="s">
        <v>172</v>
      </c>
      <c r="L486" s="15">
        <f>IFERROR(VLOOKUP($D486&amp;$C486,生产方式定位!$A$2:$E$38,2,FALSE)+VLOOKUP($E486&amp;$C486,生产方式定位!$F$3:$J$38,2,FALSE),0)</f>
        <v>4475</v>
      </c>
      <c r="S486" s="15">
        <f>IFERROR(VLOOKUP($D486&amp;$C486,生产方式定位!$A$2:$E$38,3,FALSE)+VLOOKUP($E486&amp;$C486,生产方式定位!$F$3:$J$38,3,FALSE),0)</f>
        <v>100</v>
      </c>
      <c r="X486" s="15">
        <f>IFERROR(VLOOKUP($D486&amp;$C486,生产方式定位!$A$2:$E$38,5,FALSE)+VLOOKUP($E486&amp;$C486,生产方式定位!$F$3:$J$38,5,FALSE),"错误")</f>
        <v>6600</v>
      </c>
      <c r="Y486" s="26" t="str">
        <f t="shared" si="144"/>
        <v/>
      </c>
      <c r="Z486" s="36" t="str">
        <f t="shared" si="145"/>
        <v/>
      </c>
      <c r="AA486" s="36" t="str">
        <f t="shared" si="146"/>
        <v/>
      </c>
      <c r="AB486" s="27" t="str">
        <f t="shared" si="147"/>
        <v>47%</v>
      </c>
      <c r="AC486" s="2">
        <f t="shared" si="148"/>
        <v>2025</v>
      </c>
      <c r="AD486" s="38">
        <f t="shared" si="149"/>
        <v>5</v>
      </c>
      <c r="AE486" t="str">
        <f t="shared" si="150"/>
        <v/>
      </c>
      <c r="AF486" t="str">
        <f t="shared" si="151"/>
        <v/>
      </c>
      <c r="AG486" t="str">
        <f t="shared" si="152"/>
        <v/>
      </c>
      <c r="AH486" t="str">
        <f t="shared" si="153"/>
        <v/>
      </c>
      <c r="AI486" t="str">
        <f t="shared" si="154"/>
        <v/>
      </c>
      <c r="AJ486" t="str">
        <f t="shared" si="155"/>
        <v/>
      </c>
      <c r="AK486" t="str">
        <f t="shared" si="156"/>
        <v/>
      </c>
      <c r="AL486" t="str">
        <f>IFERROR(ROUND(L486*(G486/$AU486)/VLOOKUP(F486,商品!$A$4:$B$60,2,FALSE),0),"")</f>
        <v/>
      </c>
      <c r="AM486" t="str">
        <f>IFERROR(ROUND(L486*(I486/$AU486)/VLOOKUP(H486,商品!$A$4:$B$60,2,FALSE),0),"")</f>
        <v/>
      </c>
      <c r="AN486">
        <f>IFERROR(ROUND(L486*(J486/$AU486)/VLOOKUP("运力",商品!$A$4:$B$60,2,FALSE),0),0)</f>
        <v>0</v>
      </c>
      <c r="AO486">
        <f>IFERROR(ROUND(L486*(K486/$AU486)/VLOOKUP("交易",商品!$A$4:$B$60,2,FALSE),0),0)</f>
        <v>0</v>
      </c>
      <c r="AP486" t="str">
        <f>IFERROR(ROUND(S486*(N486/$AV486)/VLOOKUP(M486,职业!$A$4:$G$16,4,FALSE),0),"")</f>
        <v/>
      </c>
      <c r="AQ486" t="str">
        <f>IFERROR(ROUND(S486*(P486/$AV486)/VLOOKUP(O486,职业!$A$4:$G$16,4,FALSE),0),"")</f>
        <v/>
      </c>
      <c r="AR486" t="str">
        <f>IFERROR(ROUND(S486*(R486/$AV486)/VLOOKUP(Q486,职业!$A$4:$G$16,4,FALSE),0),"")</f>
        <v/>
      </c>
      <c r="AS486" t="str">
        <f>IFERROR(ROUND(X486*(U486/$AW486)/VLOOKUP(T486,商品!$A$4:$B$60,2,FALSE),0),"")</f>
        <v/>
      </c>
      <c r="AT486" t="str">
        <f>IFERROR(ROUND(X486*(W486/$AW486)/VLOOKUP(V486,商品!$A$4:$B$60,2,FALSE),0),"")</f>
        <v/>
      </c>
      <c r="AU486">
        <f t="shared" si="157"/>
        <v>0</v>
      </c>
      <c r="AV486">
        <f t="shared" si="158"/>
        <v>0</v>
      </c>
      <c r="AW486">
        <f t="shared" si="159"/>
        <v>0</v>
      </c>
    </row>
    <row r="487" spans="1:49" ht="19.95" customHeight="1" x14ac:dyDescent="0.25">
      <c r="A487" s="16" t="s">
        <v>283</v>
      </c>
      <c r="C487" s="16">
        <v>1</v>
      </c>
      <c r="D487" s="23" t="s">
        <v>282</v>
      </c>
      <c r="E487" s="23" t="s">
        <v>193</v>
      </c>
      <c r="L487" s="15">
        <f>IFERROR(VLOOKUP($D487&amp;$C487,生产方式定位!$A$2:$E$38,2,FALSE)+VLOOKUP($E487&amp;$C487,生产方式定位!$F$3:$J$38,2,FALSE),0)</f>
        <v>2000</v>
      </c>
      <c r="S487" s="15">
        <f>IFERROR(VLOOKUP($D487&amp;$C487,生产方式定位!$A$2:$E$38,3,FALSE)+VLOOKUP($E487&amp;$C487,生产方式定位!$F$3:$J$38,3,FALSE),0)</f>
        <v>100</v>
      </c>
      <c r="X487" s="15">
        <f>IFERROR(VLOOKUP($D487&amp;$C487,生产方式定位!$A$2:$E$38,5,FALSE)+VLOOKUP($E487&amp;$C487,生产方式定位!$F$3:$J$38,5,FALSE),"错误")</f>
        <v>3150</v>
      </c>
      <c r="Z487" s="36"/>
      <c r="AA487" s="36"/>
      <c r="AD487" s="38"/>
      <c r="AL487" t="str">
        <f>IFERROR(ROUND(L487*(G487/$AU487)/VLOOKUP(F487,商品!$A$4:$B$60,2,FALSE),0),"")</f>
        <v/>
      </c>
      <c r="AM487" t="str">
        <f>IFERROR(ROUND(L487*(I487/$AU487)/VLOOKUP(H487,商品!$A$4:$B$60,2,FALSE),0),"")</f>
        <v/>
      </c>
      <c r="AN487">
        <f>IFERROR(ROUND(L487*(J487/$AU487)/VLOOKUP("运力",商品!$A$4:$B$60,2,FALSE),0),0)</f>
        <v>0</v>
      </c>
      <c r="AO487">
        <f>IFERROR(ROUND(L487*(K487/$AU487)/VLOOKUP("交易",商品!$A$4:$B$60,2,FALSE),0),0)</f>
        <v>0</v>
      </c>
      <c r="AP487" t="str">
        <f>IFERROR(ROUND(S487*(N487/$AV487)/VLOOKUP(M487,职业!$A$4:$G$16,4,FALSE),0),"")</f>
        <v/>
      </c>
      <c r="AQ487" t="str">
        <f>IFERROR(ROUND(S487*(P487/$AV487)/VLOOKUP(O487,职业!$A$4:$G$16,4,FALSE),0),"")</f>
        <v/>
      </c>
      <c r="AR487" t="str">
        <f>IFERROR(ROUND(S487*(R487/$AV487)/VLOOKUP(Q487,职业!$A$4:$G$16,4,FALSE),0),"")</f>
        <v/>
      </c>
      <c r="AS487" t="str">
        <f>IFERROR(ROUND(X487*(U487/$AW487)/VLOOKUP(T487,商品!$A$4:$B$60,2,FALSE),0),"")</f>
        <v/>
      </c>
      <c r="AT487" t="str">
        <f>IFERROR(ROUND(X487*(W487/$AW487)/VLOOKUP(V487,商品!$A$4:$B$60,2,FALSE),0),"")</f>
        <v/>
      </c>
    </row>
    <row r="488" spans="1:49" ht="19.95" customHeight="1" x14ac:dyDescent="0.25">
      <c r="A488" s="16" t="s">
        <v>283</v>
      </c>
      <c r="C488" s="16">
        <v>2</v>
      </c>
      <c r="D488" s="23" t="s">
        <v>282</v>
      </c>
      <c r="E488" s="23" t="s">
        <v>193</v>
      </c>
      <c r="L488" s="15">
        <f>IFERROR(VLOOKUP($D488&amp;$C488,生产方式定位!$A$2:$E$38,2,FALSE)+VLOOKUP($E488&amp;$C488,生产方式定位!$F$3:$J$38,2,FALSE),0)</f>
        <v>2800</v>
      </c>
      <c r="S488" s="15">
        <f>IFERROR(VLOOKUP($D488&amp;$C488,生产方式定位!$A$2:$E$38,3,FALSE)+VLOOKUP($E488&amp;$C488,生产方式定位!$F$3:$J$38,3,FALSE),0)</f>
        <v>5</v>
      </c>
      <c r="X488" s="15">
        <f>IFERROR(VLOOKUP($D488&amp;$C488,生产方式定位!$A$2:$E$38,5,FALSE)+VLOOKUP($E488&amp;$C488,生产方式定位!$F$3:$J$38,5,FALSE),"错误")</f>
        <v>4177</v>
      </c>
      <c r="Z488" s="36"/>
      <c r="AA488" s="36"/>
      <c r="AD488" s="38"/>
      <c r="AL488" t="str">
        <f>IFERROR(ROUND(L488*(G488/$AU488)/VLOOKUP(F488,商品!$A$4:$B$60,2,FALSE),0),"")</f>
        <v/>
      </c>
      <c r="AM488" t="str">
        <f>IFERROR(ROUND(L488*(I488/$AU488)/VLOOKUP(H488,商品!$A$4:$B$60,2,FALSE),0),"")</f>
        <v/>
      </c>
      <c r="AN488">
        <f>IFERROR(ROUND(L488*(J488/$AU488)/VLOOKUP("运力",商品!$A$4:$B$60,2,FALSE),0),0)</f>
        <v>0</v>
      </c>
      <c r="AO488">
        <f>IFERROR(ROUND(L488*(K488/$AU488)/VLOOKUP("交易",商品!$A$4:$B$60,2,FALSE),0),0)</f>
        <v>0</v>
      </c>
      <c r="AP488" t="str">
        <f>IFERROR(ROUND(S488*(N488/$AV488)/VLOOKUP(M488,职业!$A$4:$G$16,4,FALSE),0),"")</f>
        <v/>
      </c>
      <c r="AQ488" t="str">
        <f>IFERROR(ROUND(S488*(P488/$AV488)/VLOOKUP(O488,职业!$A$4:$G$16,4,FALSE),0),"")</f>
        <v/>
      </c>
      <c r="AR488" t="str">
        <f>IFERROR(ROUND(S488*(R488/$AV488)/VLOOKUP(Q488,职业!$A$4:$G$16,4,FALSE),0),"")</f>
        <v/>
      </c>
      <c r="AS488" t="str">
        <f>IFERROR(ROUND(X488*(U488/$AW488)/VLOOKUP(T488,商品!$A$4:$B$60,2,FALSE),0),"")</f>
        <v/>
      </c>
      <c r="AT488" t="str">
        <f>IFERROR(ROUND(X488*(W488/$AW488)/VLOOKUP(V488,商品!$A$4:$B$60,2,FALSE),0),"")</f>
        <v/>
      </c>
    </row>
    <row r="489" spans="1:49" ht="19.95" customHeight="1" x14ac:dyDescent="0.25">
      <c r="A489" s="16" t="s">
        <v>283</v>
      </c>
      <c r="C489" s="16">
        <v>3</v>
      </c>
      <c r="D489" s="23" t="s">
        <v>282</v>
      </c>
      <c r="E489" s="23" t="s">
        <v>193</v>
      </c>
      <c r="L489" s="15">
        <f>IFERROR(VLOOKUP($D489&amp;$C489,生产方式定位!$A$2:$E$38,2,FALSE)+VLOOKUP($E489&amp;$C489,生产方式定位!$F$3:$J$38,2,FALSE),0)</f>
        <v>3300</v>
      </c>
      <c r="S489" s="15">
        <f>IFERROR(VLOOKUP($D489&amp;$C489,生产方式定位!$A$2:$E$38,3,FALSE)+VLOOKUP($E489&amp;$C489,生产方式定位!$F$3:$J$38,3,FALSE),0)</f>
        <v>10</v>
      </c>
      <c r="X489" s="15">
        <f>IFERROR(VLOOKUP($D489&amp;$C489,生产方式定位!$A$2:$E$38,5,FALSE)+VLOOKUP($E489&amp;$C489,生产方式定位!$F$3:$J$38,5,FALSE),"错误")</f>
        <v>4924</v>
      </c>
      <c r="Z489" s="36"/>
      <c r="AA489" s="36"/>
      <c r="AD489" s="38"/>
      <c r="AL489" t="str">
        <f>IFERROR(ROUND(L489*(G489/$AU489)/VLOOKUP(F489,商品!$A$4:$B$60,2,FALSE),0),"")</f>
        <v/>
      </c>
      <c r="AM489" t="str">
        <f>IFERROR(ROUND(L489*(I489/$AU489)/VLOOKUP(H489,商品!$A$4:$B$60,2,FALSE),0),"")</f>
        <v/>
      </c>
      <c r="AN489">
        <f>IFERROR(ROUND(L489*(J489/$AU489)/VLOOKUP("运力",商品!$A$4:$B$60,2,FALSE),0),0)</f>
        <v>0</v>
      </c>
      <c r="AO489">
        <f>IFERROR(ROUND(L489*(K489/$AU489)/VLOOKUP("交易",商品!$A$4:$B$60,2,FALSE),0),0)</f>
        <v>0</v>
      </c>
      <c r="AP489" t="str">
        <f>IFERROR(ROUND(S489*(N489/$AV489)/VLOOKUP(M489,职业!$A$4:$G$16,4,FALSE),0),"")</f>
        <v/>
      </c>
      <c r="AQ489" t="str">
        <f>IFERROR(ROUND(S489*(P489/$AV489)/VLOOKUP(O489,职业!$A$4:$G$16,4,FALSE),0),"")</f>
        <v/>
      </c>
      <c r="AR489" t="str">
        <f>IFERROR(ROUND(S489*(R489/$AV489)/VLOOKUP(Q489,职业!$A$4:$G$16,4,FALSE),0),"")</f>
        <v/>
      </c>
      <c r="AS489" t="str">
        <f>IFERROR(ROUND(X489*(U489/$AW489)/VLOOKUP(T489,商品!$A$4:$B$60,2,FALSE),0),"")</f>
        <v/>
      </c>
      <c r="AT489" t="str">
        <f>IFERROR(ROUND(X489*(W489/$AW489)/VLOOKUP(V489,商品!$A$4:$B$60,2,FALSE),0),"")</f>
        <v/>
      </c>
    </row>
    <row r="490" spans="1:49" ht="19.95" customHeight="1" x14ac:dyDescent="0.25">
      <c r="A490" s="16" t="s">
        <v>283</v>
      </c>
      <c r="C490" s="16">
        <v>4</v>
      </c>
      <c r="D490" s="23" t="s">
        <v>282</v>
      </c>
      <c r="E490" s="23" t="s">
        <v>193</v>
      </c>
      <c r="L490" s="15">
        <f>IFERROR(VLOOKUP($D490&amp;$C490,生产方式定位!$A$2:$E$38,2,FALSE)+VLOOKUP($E490&amp;$C490,生产方式定位!$F$3:$J$38,2,FALSE),0)</f>
        <v>3800</v>
      </c>
      <c r="S490" s="15">
        <f>IFERROR(VLOOKUP($D490&amp;$C490,生产方式定位!$A$2:$E$38,3,FALSE)+VLOOKUP($E490&amp;$C490,生产方式定位!$F$3:$J$38,3,FALSE),0)</f>
        <v>15</v>
      </c>
      <c r="X490" s="15">
        <f>IFERROR(VLOOKUP($D490&amp;$C490,生产方式定位!$A$2:$E$38,5,FALSE)+VLOOKUP($E490&amp;$C490,生产方式定位!$F$3:$J$38,5,FALSE),"错误")</f>
        <v>5671</v>
      </c>
      <c r="Z490" s="36"/>
      <c r="AA490" s="36"/>
      <c r="AD490" s="38"/>
      <c r="AL490" t="str">
        <f>IFERROR(ROUND(L490*(G490/$AU490)/VLOOKUP(F490,商品!$A$4:$B$60,2,FALSE),0),"")</f>
        <v/>
      </c>
      <c r="AM490" t="str">
        <f>IFERROR(ROUND(L490*(I490/$AU490)/VLOOKUP(H490,商品!$A$4:$B$60,2,FALSE),0),"")</f>
        <v/>
      </c>
      <c r="AN490">
        <f>IFERROR(ROUND(L490*(J490/$AU490)/VLOOKUP("运力",商品!$A$4:$B$60,2,FALSE),0),0)</f>
        <v>0</v>
      </c>
      <c r="AO490">
        <f>IFERROR(ROUND(L490*(K490/$AU490)/VLOOKUP("交易",商品!$A$4:$B$60,2,FALSE),0),0)</f>
        <v>0</v>
      </c>
      <c r="AP490" t="str">
        <f>IFERROR(ROUND(S490*(N490/$AV490)/VLOOKUP(M490,职业!$A$4:$G$16,4,FALSE),0),"")</f>
        <v/>
      </c>
      <c r="AQ490" t="str">
        <f>IFERROR(ROUND(S490*(P490/$AV490)/VLOOKUP(O490,职业!$A$4:$G$16,4,FALSE),0),"")</f>
        <v/>
      </c>
      <c r="AR490" t="str">
        <f>IFERROR(ROUND(S490*(R490/$AV490)/VLOOKUP(Q490,职业!$A$4:$G$16,4,FALSE),0),"")</f>
        <v/>
      </c>
      <c r="AS490" t="str">
        <f>IFERROR(ROUND(X490*(U490/$AW490)/VLOOKUP(T490,商品!$A$4:$B$60,2,FALSE),0),"")</f>
        <v/>
      </c>
      <c r="AT490" t="str">
        <f>IFERROR(ROUND(X490*(W490/$AW490)/VLOOKUP(V490,商品!$A$4:$B$60,2,FALSE),0),"")</f>
        <v/>
      </c>
    </row>
    <row r="491" spans="1:49" ht="19.95" customHeight="1" x14ac:dyDescent="0.25">
      <c r="A491" s="16" t="s">
        <v>283</v>
      </c>
      <c r="C491" s="16">
        <v>5</v>
      </c>
      <c r="D491" s="23" t="s">
        <v>282</v>
      </c>
      <c r="E491" s="23" t="s">
        <v>193</v>
      </c>
      <c r="L491" s="15">
        <f>IFERROR(VLOOKUP($D491&amp;$C491,生产方式定位!$A$2:$E$38,2,FALSE)+VLOOKUP($E491&amp;$C491,生产方式定位!$F$3:$J$38,2,FALSE),0)</f>
        <v>4300</v>
      </c>
      <c r="S491" s="15">
        <f>IFERROR(VLOOKUP($D491&amp;$C491,生产方式定位!$A$2:$E$38,3,FALSE)+VLOOKUP($E491&amp;$C491,生产方式定位!$F$3:$J$38,3,FALSE),0)</f>
        <v>20</v>
      </c>
      <c r="X491" s="15">
        <f>IFERROR(VLOOKUP($D491&amp;$C491,生产方式定位!$A$2:$E$38,5,FALSE)+VLOOKUP($E491&amp;$C491,生产方式定位!$F$3:$J$38,5,FALSE),"错误")</f>
        <v>6418</v>
      </c>
      <c r="Z491" s="36"/>
      <c r="AA491" s="36"/>
      <c r="AD491" s="38"/>
      <c r="AL491" t="str">
        <f>IFERROR(ROUND(L491*(G491/$AU491)/VLOOKUP(F491,商品!$A$4:$B$60,2,FALSE),0),"")</f>
        <v/>
      </c>
      <c r="AM491" t="str">
        <f>IFERROR(ROUND(L491*(I491/$AU491)/VLOOKUP(H491,商品!$A$4:$B$60,2,FALSE),0),"")</f>
        <v/>
      </c>
      <c r="AN491">
        <f>IFERROR(ROUND(L491*(J491/$AU491)/VLOOKUP("运力",商品!$A$4:$B$60,2,FALSE),0),0)</f>
        <v>0</v>
      </c>
      <c r="AO491">
        <f>IFERROR(ROUND(L491*(K491/$AU491)/VLOOKUP("交易",商品!$A$4:$B$60,2,FALSE),0),0)</f>
        <v>0</v>
      </c>
      <c r="AP491" t="str">
        <f>IFERROR(ROUND(S491*(N491/$AV491)/VLOOKUP(M491,职业!$A$4:$G$16,4,FALSE),0),"")</f>
        <v/>
      </c>
      <c r="AQ491" t="str">
        <f>IFERROR(ROUND(S491*(P491/$AV491)/VLOOKUP(O491,职业!$A$4:$G$16,4,FALSE),0),"")</f>
        <v/>
      </c>
      <c r="AR491" t="str">
        <f>IFERROR(ROUND(S491*(R491/$AV491)/VLOOKUP(Q491,职业!$A$4:$G$16,4,FALSE),0),"")</f>
        <v/>
      </c>
      <c r="AS491" t="str">
        <f>IFERROR(ROUND(X491*(U491/$AW491)/VLOOKUP(T491,商品!$A$4:$B$60,2,FALSE),0),"")</f>
        <v/>
      </c>
      <c r="AT491" t="str">
        <f>IFERROR(ROUND(X491*(W491/$AW491)/VLOOKUP(V491,商品!$A$4:$B$60,2,FALSE),0),"")</f>
        <v/>
      </c>
    </row>
    <row r="492" spans="1:49" ht="19.95" customHeight="1" x14ac:dyDescent="0.25">
      <c r="A492" s="15" t="s">
        <v>284</v>
      </c>
      <c r="C492" s="15">
        <v>1</v>
      </c>
      <c r="D492" s="23" t="s">
        <v>174</v>
      </c>
      <c r="E492" s="23" t="s">
        <v>179</v>
      </c>
      <c r="L492" s="16">
        <f>IFERROR(VLOOKUP($D492&amp;$C492,生产方式定位!$A$2:$E$38,2,FALSE)+VLOOKUP($E492&amp;$C492,生产方式定位!$F$3:$J$38,2,FALSE),0)</f>
        <v>0</v>
      </c>
      <c r="S492" s="16">
        <f>IFERROR(VLOOKUP($D492&amp;$C492,生产方式定位!$A$2:$E$38,3,FALSE)+VLOOKUP($E492&amp;$C492,生产方式定位!$F$3:$J$38,3,FALSE),0)</f>
        <v>100</v>
      </c>
      <c r="X492" s="16">
        <f>IFERROR(VLOOKUP($D492&amp;$C492,生产方式定位!$A$2:$E$38,5,FALSE)+VLOOKUP($E492&amp;$C492,生产方式定位!$F$3:$J$38,5,FALSE),"错误")</f>
        <v>100</v>
      </c>
      <c r="Y492" s="26" t="str">
        <f t="shared" ref="Y492:Y555" si="160">IF(AE492="","",AE492)&amp;IF(AF492="","",","&amp;AF492)&amp;IF(AN492=0,"",",运力*"&amp;AN492)&amp;IF(AO492=0,"",",交易*"&amp;AO492)</f>
        <v/>
      </c>
      <c r="Z492" s="36" t="str">
        <f t="shared" ref="Z492:Z555" si="161">IF(AG492="","",AG492)&amp;IF(AH492="","",","&amp;AH492)&amp;IF(AI492="","",","&amp;AI492)</f>
        <v/>
      </c>
      <c r="AA492" s="36" t="str">
        <f t="shared" ref="AA492:AA555" si="162">IF(AJ492="","",AJ492)&amp;IF(AK492="","",","&amp;AK492)</f>
        <v/>
      </c>
      <c r="AB492" s="27" t="str">
        <f t="shared" ref="AB492:AB555" si="163">IFERROR(ROUND(((X492/L492)-1)*100,0)&amp;"%","")</f>
        <v/>
      </c>
      <c r="AC492" s="2" t="str">
        <f t="shared" ref="AC492:AC555" si="164">IF(X492-S492-L492=0,"",X492-S492-L492)</f>
        <v/>
      </c>
      <c r="AD492" s="38">
        <f t="shared" ref="AD492:AD555" si="165">C492</f>
        <v>1</v>
      </c>
      <c r="AE492" t="str">
        <f t="shared" ref="AE492:AE555" si="166">IF(AL492="","",F492&amp;"*"&amp;AL492)</f>
        <v/>
      </c>
      <c r="AF492" t="str">
        <f t="shared" ref="AF492:AF555" si="167">IF(AM492="","",H492&amp;"*"&amp;AM492)</f>
        <v/>
      </c>
      <c r="AG492" t="str">
        <f t="shared" ref="AG492:AG555" si="168">IF(AP492="","",M492&amp;"*"&amp;AP492)</f>
        <v/>
      </c>
      <c r="AH492" t="str">
        <f t="shared" ref="AH492:AH555" si="169">IF(AQ492="","",O492&amp;"*"&amp;AQ492)</f>
        <v/>
      </c>
      <c r="AI492" t="str">
        <f t="shared" ref="AI492:AI555" si="170">IF(AR492="","",Q492&amp;"*"&amp;AR492)</f>
        <v/>
      </c>
      <c r="AJ492" t="str">
        <f t="shared" ref="AJ492:AJ555" si="171">IF(AS492="","",T492&amp;"*"&amp;AS492)</f>
        <v/>
      </c>
      <c r="AK492" t="str">
        <f t="shared" ref="AK492:AK555" si="172">IF(AT492="","",V492&amp;"*"&amp;AT492)</f>
        <v/>
      </c>
      <c r="AL492" t="str">
        <f>IFERROR(ROUND(L492*(G492/$AU492)/VLOOKUP(F492,商品!$A$4:$B$60,2,FALSE),0),"")</f>
        <v/>
      </c>
      <c r="AM492" t="str">
        <f>IFERROR(ROUND(L492*(I492/$AU492)/VLOOKUP(H492,商品!$A$4:$B$60,2,FALSE),0),"")</f>
        <v/>
      </c>
      <c r="AN492">
        <f>IFERROR(ROUND(L492*(J492/$AU492)/VLOOKUP("运力",商品!$A$4:$B$60,2,FALSE),0),0)</f>
        <v>0</v>
      </c>
      <c r="AO492">
        <f>IFERROR(ROUND(L492*(K492/$AU492)/VLOOKUP("交易",商品!$A$4:$B$60,2,FALSE),0),0)</f>
        <v>0</v>
      </c>
      <c r="AP492" t="str">
        <f>IFERROR(ROUND(S492*(N492/$AV492)/VLOOKUP(M492,职业!$A$4:$G$16,4,FALSE),0),"")</f>
        <v/>
      </c>
      <c r="AQ492" t="str">
        <f>IFERROR(ROUND(S492*(P492/$AV492)/VLOOKUP(O492,职业!$A$4:$G$16,4,FALSE),0),"")</f>
        <v/>
      </c>
      <c r="AR492" t="str">
        <f>IFERROR(ROUND(S492*(R492/$AV492)/VLOOKUP(Q492,职业!$A$4:$G$16,4,FALSE),0),"")</f>
        <v/>
      </c>
      <c r="AS492" t="str">
        <f>IFERROR(ROUND(X492*(U492/$AW492)/VLOOKUP(T492,商品!$A$4:$B$60,2,FALSE),0),"")</f>
        <v/>
      </c>
      <c r="AT492" t="str">
        <f>IFERROR(ROUND(X492*(W492/$AW492)/VLOOKUP(V492,商品!$A$4:$B$60,2,FALSE),0),"")</f>
        <v/>
      </c>
      <c r="AU492">
        <f t="shared" ref="AU492:AU555" si="173">G492+I492+J492+K492</f>
        <v>0</v>
      </c>
      <c r="AV492">
        <f t="shared" ref="AV492:AV555" si="174">ABS(N492)+ABS(P492)+ABS(R492)</f>
        <v>0</v>
      </c>
      <c r="AW492">
        <f t="shared" ref="AW492:AW555" si="175">U492+W492</f>
        <v>0</v>
      </c>
    </row>
    <row r="493" spans="1:49" ht="19.95" customHeight="1" x14ac:dyDescent="0.25">
      <c r="A493" s="15" t="s">
        <v>284</v>
      </c>
      <c r="C493" s="15">
        <v>2</v>
      </c>
      <c r="D493" s="23" t="s">
        <v>174</v>
      </c>
      <c r="E493" s="23" t="s">
        <v>179</v>
      </c>
      <c r="L493" s="16">
        <f>IFERROR(VLOOKUP($D493&amp;$C493,生产方式定位!$A$2:$E$38,2,FALSE)+VLOOKUP($E493&amp;$C493,生产方式定位!$F$3:$J$38,2,FALSE),0)</f>
        <v>0</v>
      </c>
      <c r="S493" s="16">
        <f>IFERROR(VLOOKUP($D493&amp;$C493,生产方式定位!$A$2:$E$38,3,FALSE)+VLOOKUP($E493&amp;$C493,生产方式定位!$F$3:$J$38,3,FALSE),0)</f>
        <v>100</v>
      </c>
      <c r="X493" s="16">
        <f>IFERROR(VLOOKUP($D493&amp;$C493,生产方式定位!$A$2:$E$38,5,FALSE)+VLOOKUP($E493&amp;$C493,生产方式定位!$F$3:$J$38,5,FALSE),"错误")</f>
        <v>100</v>
      </c>
      <c r="Y493" s="26" t="str">
        <f t="shared" si="160"/>
        <v/>
      </c>
      <c r="Z493" s="36" t="str">
        <f t="shared" si="161"/>
        <v/>
      </c>
      <c r="AA493" s="36" t="str">
        <f t="shared" si="162"/>
        <v/>
      </c>
      <c r="AB493" s="27" t="str">
        <f t="shared" si="163"/>
        <v/>
      </c>
      <c r="AC493" s="2" t="str">
        <f t="shared" si="164"/>
        <v/>
      </c>
      <c r="AD493" s="38">
        <f t="shared" si="165"/>
        <v>2</v>
      </c>
      <c r="AE493" t="str">
        <f t="shared" si="166"/>
        <v/>
      </c>
      <c r="AF493" t="str">
        <f t="shared" si="167"/>
        <v/>
      </c>
      <c r="AG493" t="str">
        <f t="shared" si="168"/>
        <v/>
      </c>
      <c r="AH493" t="str">
        <f t="shared" si="169"/>
        <v/>
      </c>
      <c r="AI493" t="str">
        <f t="shared" si="170"/>
        <v/>
      </c>
      <c r="AJ493" t="str">
        <f t="shared" si="171"/>
        <v/>
      </c>
      <c r="AK493" t="str">
        <f t="shared" si="172"/>
        <v/>
      </c>
      <c r="AL493" t="str">
        <f>IFERROR(ROUND(L493*(G493/$AU493)/VLOOKUP(F493,商品!$A$4:$B$60,2,FALSE),0),"")</f>
        <v/>
      </c>
      <c r="AM493" t="str">
        <f>IFERROR(ROUND(L493*(I493/$AU493)/VLOOKUP(H493,商品!$A$4:$B$60,2,FALSE),0),"")</f>
        <v/>
      </c>
      <c r="AN493">
        <f>IFERROR(ROUND(L493*(J493/$AU493)/VLOOKUP("运力",商品!$A$4:$B$60,2,FALSE),0),0)</f>
        <v>0</v>
      </c>
      <c r="AO493">
        <f>IFERROR(ROUND(L493*(K493/$AU493)/VLOOKUP("交易",商品!$A$4:$B$60,2,FALSE),0),0)</f>
        <v>0</v>
      </c>
      <c r="AP493" t="str">
        <f>IFERROR(ROUND(S493*(N493/$AV493)/VLOOKUP(M493,职业!$A$4:$G$16,4,FALSE),0),"")</f>
        <v/>
      </c>
      <c r="AQ493" t="str">
        <f>IFERROR(ROUND(S493*(P493/$AV493)/VLOOKUP(O493,职业!$A$4:$G$16,4,FALSE),0),"")</f>
        <v/>
      </c>
      <c r="AR493" t="str">
        <f>IFERROR(ROUND(S493*(R493/$AV493)/VLOOKUP(Q493,职业!$A$4:$G$16,4,FALSE),0),"")</f>
        <v/>
      </c>
      <c r="AS493" t="str">
        <f>IFERROR(ROUND(X493*(U493/$AW493)/VLOOKUP(T493,商品!$A$4:$B$60,2,FALSE),0),"")</f>
        <v/>
      </c>
      <c r="AT493" t="str">
        <f>IFERROR(ROUND(X493*(W493/$AW493)/VLOOKUP(V493,商品!$A$4:$B$60,2,FALSE),0),"")</f>
        <v/>
      </c>
      <c r="AU493">
        <f t="shared" si="173"/>
        <v>0</v>
      </c>
      <c r="AV493">
        <f t="shared" si="174"/>
        <v>0</v>
      </c>
      <c r="AW493">
        <f t="shared" si="175"/>
        <v>0</v>
      </c>
    </row>
    <row r="494" spans="1:49" ht="19.95" customHeight="1" x14ac:dyDescent="0.25">
      <c r="A494" s="15" t="s">
        <v>284</v>
      </c>
      <c r="C494" s="15">
        <v>3</v>
      </c>
      <c r="D494" s="23" t="s">
        <v>174</v>
      </c>
      <c r="E494" s="23" t="s">
        <v>179</v>
      </c>
      <c r="L494" s="16">
        <f>IFERROR(VLOOKUP($D494&amp;$C494,生产方式定位!$A$2:$E$38,2,FALSE)+VLOOKUP($E494&amp;$C494,生产方式定位!$F$3:$J$38,2,FALSE),0)</f>
        <v>0</v>
      </c>
      <c r="S494" s="16">
        <f>IFERROR(VLOOKUP($D494&amp;$C494,生产方式定位!$A$2:$E$38,3,FALSE)+VLOOKUP($E494&amp;$C494,生产方式定位!$F$3:$J$38,3,FALSE),0)</f>
        <v>100</v>
      </c>
      <c r="X494" s="16">
        <f>IFERROR(VLOOKUP($D494&amp;$C494,生产方式定位!$A$2:$E$38,5,FALSE)+VLOOKUP($E494&amp;$C494,生产方式定位!$F$3:$J$38,5,FALSE),"错误")</f>
        <v>100</v>
      </c>
      <c r="Y494" s="26" t="str">
        <f t="shared" si="160"/>
        <v/>
      </c>
      <c r="Z494" s="36" t="str">
        <f t="shared" si="161"/>
        <v/>
      </c>
      <c r="AA494" s="36" t="str">
        <f t="shared" si="162"/>
        <v/>
      </c>
      <c r="AB494" s="27" t="str">
        <f t="shared" si="163"/>
        <v/>
      </c>
      <c r="AC494" s="2" t="str">
        <f t="shared" si="164"/>
        <v/>
      </c>
      <c r="AD494" s="38">
        <f t="shared" si="165"/>
        <v>3</v>
      </c>
      <c r="AE494" t="str">
        <f t="shared" si="166"/>
        <v/>
      </c>
      <c r="AF494" t="str">
        <f t="shared" si="167"/>
        <v/>
      </c>
      <c r="AG494" t="str">
        <f t="shared" si="168"/>
        <v/>
      </c>
      <c r="AH494" t="str">
        <f t="shared" si="169"/>
        <v/>
      </c>
      <c r="AI494" t="str">
        <f t="shared" si="170"/>
        <v/>
      </c>
      <c r="AJ494" t="str">
        <f t="shared" si="171"/>
        <v/>
      </c>
      <c r="AK494" t="str">
        <f t="shared" si="172"/>
        <v/>
      </c>
      <c r="AL494" t="str">
        <f>IFERROR(ROUND(L494*(G494/$AU494)/VLOOKUP(F494,商品!$A$4:$B$60,2,FALSE),0),"")</f>
        <v/>
      </c>
      <c r="AM494" t="str">
        <f>IFERROR(ROUND(L494*(I494/$AU494)/VLOOKUP(H494,商品!$A$4:$B$60,2,FALSE),0),"")</f>
        <v/>
      </c>
      <c r="AN494">
        <f>IFERROR(ROUND(L494*(J494/$AU494)/VLOOKUP("运力",商品!$A$4:$B$60,2,FALSE),0),0)</f>
        <v>0</v>
      </c>
      <c r="AO494">
        <f>IFERROR(ROUND(L494*(K494/$AU494)/VLOOKUP("交易",商品!$A$4:$B$60,2,FALSE),0),0)</f>
        <v>0</v>
      </c>
      <c r="AP494" t="str">
        <f>IFERROR(ROUND(S494*(N494/$AV494)/VLOOKUP(M494,职业!$A$4:$G$16,4,FALSE),0),"")</f>
        <v/>
      </c>
      <c r="AQ494" t="str">
        <f>IFERROR(ROUND(S494*(P494/$AV494)/VLOOKUP(O494,职业!$A$4:$G$16,4,FALSE),0),"")</f>
        <v/>
      </c>
      <c r="AR494" t="str">
        <f>IFERROR(ROUND(S494*(R494/$AV494)/VLOOKUP(Q494,职业!$A$4:$G$16,4,FALSE),0),"")</f>
        <v/>
      </c>
      <c r="AS494" t="str">
        <f>IFERROR(ROUND(X494*(U494/$AW494)/VLOOKUP(T494,商品!$A$4:$B$60,2,FALSE),0),"")</f>
        <v/>
      </c>
      <c r="AT494" t="str">
        <f>IFERROR(ROUND(X494*(W494/$AW494)/VLOOKUP(V494,商品!$A$4:$B$60,2,FALSE),0),"")</f>
        <v/>
      </c>
      <c r="AU494">
        <f t="shared" si="173"/>
        <v>0</v>
      </c>
      <c r="AV494">
        <f t="shared" si="174"/>
        <v>0</v>
      </c>
      <c r="AW494">
        <f t="shared" si="175"/>
        <v>0</v>
      </c>
    </row>
    <row r="495" spans="1:49" ht="19.95" customHeight="1" x14ac:dyDescent="0.25">
      <c r="A495" s="15" t="s">
        <v>284</v>
      </c>
      <c r="C495" s="15">
        <v>4</v>
      </c>
      <c r="D495" s="23" t="s">
        <v>174</v>
      </c>
      <c r="E495" s="23" t="s">
        <v>179</v>
      </c>
      <c r="L495" s="16">
        <f>IFERROR(VLOOKUP($D495&amp;$C495,生产方式定位!$A$2:$E$38,2,FALSE)+VLOOKUP($E495&amp;$C495,生产方式定位!$F$3:$J$38,2,FALSE),0)</f>
        <v>0</v>
      </c>
      <c r="S495" s="16">
        <f>IFERROR(VLOOKUP($D495&amp;$C495,生产方式定位!$A$2:$E$38,3,FALSE)+VLOOKUP($E495&amp;$C495,生产方式定位!$F$3:$J$38,3,FALSE),0)</f>
        <v>100</v>
      </c>
      <c r="X495" s="16">
        <f>IFERROR(VLOOKUP($D495&amp;$C495,生产方式定位!$A$2:$E$38,5,FALSE)+VLOOKUP($E495&amp;$C495,生产方式定位!$F$3:$J$38,5,FALSE),"错误")</f>
        <v>100</v>
      </c>
      <c r="Y495" s="26" t="str">
        <f t="shared" si="160"/>
        <v/>
      </c>
      <c r="Z495" s="36" t="str">
        <f t="shared" si="161"/>
        <v/>
      </c>
      <c r="AA495" s="36" t="str">
        <f t="shared" si="162"/>
        <v/>
      </c>
      <c r="AB495" s="27" t="str">
        <f t="shared" si="163"/>
        <v/>
      </c>
      <c r="AC495" s="2" t="str">
        <f t="shared" si="164"/>
        <v/>
      </c>
      <c r="AD495" s="38">
        <f t="shared" si="165"/>
        <v>4</v>
      </c>
      <c r="AE495" t="str">
        <f t="shared" si="166"/>
        <v/>
      </c>
      <c r="AF495" t="str">
        <f t="shared" si="167"/>
        <v/>
      </c>
      <c r="AG495" t="str">
        <f t="shared" si="168"/>
        <v/>
      </c>
      <c r="AH495" t="str">
        <f t="shared" si="169"/>
        <v/>
      </c>
      <c r="AI495" t="str">
        <f t="shared" si="170"/>
        <v/>
      </c>
      <c r="AJ495" t="str">
        <f t="shared" si="171"/>
        <v/>
      </c>
      <c r="AK495" t="str">
        <f t="shared" si="172"/>
        <v/>
      </c>
      <c r="AL495" t="str">
        <f>IFERROR(ROUND(L495*(G495/$AU495)/VLOOKUP(F495,商品!$A$4:$B$60,2,FALSE),0),"")</f>
        <v/>
      </c>
      <c r="AM495" t="str">
        <f>IFERROR(ROUND(L495*(I495/$AU495)/VLOOKUP(H495,商品!$A$4:$B$60,2,FALSE),0),"")</f>
        <v/>
      </c>
      <c r="AN495">
        <f>IFERROR(ROUND(L495*(J495/$AU495)/VLOOKUP("运力",商品!$A$4:$B$60,2,FALSE),0),0)</f>
        <v>0</v>
      </c>
      <c r="AO495">
        <f>IFERROR(ROUND(L495*(K495/$AU495)/VLOOKUP("交易",商品!$A$4:$B$60,2,FALSE),0),0)</f>
        <v>0</v>
      </c>
      <c r="AP495" t="str">
        <f>IFERROR(ROUND(S495*(N495/$AV495)/VLOOKUP(M495,职业!$A$4:$G$16,4,FALSE),0),"")</f>
        <v/>
      </c>
      <c r="AQ495" t="str">
        <f>IFERROR(ROUND(S495*(P495/$AV495)/VLOOKUP(O495,职业!$A$4:$G$16,4,FALSE),0),"")</f>
        <v/>
      </c>
      <c r="AR495" t="str">
        <f>IFERROR(ROUND(S495*(R495/$AV495)/VLOOKUP(Q495,职业!$A$4:$G$16,4,FALSE),0),"")</f>
        <v/>
      </c>
      <c r="AS495" t="str">
        <f>IFERROR(ROUND(X495*(U495/$AW495)/VLOOKUP(T495,商品!$A$4:$B$60,2,FALSE),0),"")</f>
        <v/>
      </c>
      <c r="AT495" t="str">
        <f>IFERROR(ROUND(X495*(W495/$AW495)/VLOOKUP(V495,商品!$A$4:$B$60,2,FALSE),0),"")</f>
        <v/>
      </c>
      <c r="AU495">
        <f t="shared" si="173"/>
        <v>0</v>
      </c>
      <c r="AV495">
        <f t="shared" si="174"/>
        <v>0</v>
      </c>
      <c r="AW495">
        <f t="shared" si="175"/>
        <v>0</v>
      </c>
    </row>
    <row r="496" spans="1:49" ht="19.95" customHeight="1" x14ac:dyDescent="0.25">
      <c r="A496" s="15" t="s">
        <v>284</v>
      </c>
      <c r="C496" s="15">
        <v>5</v>
      </c>
      <c r="D496" s="23" t="s">
        <v>174</v>
      </c>
      <c r="E496" s="23" t="s">
        <v>179</v>
      </c>
      <c r="L496" s="16">
        <f>IFERROR(VLOOKUP($D496&amp;$C496,生产方式定位!$A$2:$E$38,2,FALSE)+VLOOKUP($E496&amp;$C496,生产方式定位!$F$3:$J$38,2,FALSE),0)</f>
        <v>0</v>
      </c>
      <c r="S496" s="16">
        <f>IFERROR(VLOOKUP($D496&amp;$C496,生产方式定位!$A$2:$E$38,3,FALSE)+VLOOKUP($E496&amp;$C496,生产方式定位!$F$3:$J$38,3,FALSE),0)</f>
        <v>100</v>
      </c>
      <c r="X496" s="16">
        <f>IFERROR(VLOOKUP($D496&amp;$C496,生产方式定位!$A$2:$E$38,5,FALSE)+VLOOKUP($E496&amp;$C496,生产方式定位!$F$3:$J$38,5,FALSE),"错误")</f>
        <v>100</v>
      </c>
      <c r="Y496" s="26" t="str">
        <f t="shared" si="160"/>
        <v/>
      </c>
      <c r="Z496" s="36" t="str">
        <f t="shared" si="161"/>
        <v/>
      </c>
      <c r="AA496" s="36" t="str">
        <f t="shared" si="162"/>
        <v/>
      </c>
      <c r="AB496" s="27" t="str">
        <f t="shared" si="163"/>
        <v/>
      </c>
      <c r="AC496" s="2" t="str">
        <f t="shared" si="164"/>
        <v/>
      </c>
      <c r="AD496" s="38">
        <f t="shared" si="165"/>
        <v>5</v>
      </c>
      <c r="AE496" t="str">
        <f t="shared" si="166"/>
        <v/>
      </c>
      <c r="AF496" t="str">
        <f t="shared" si="167"/>
        <v/>
      </c>
      <c r="AG496" t="str">
        <f t="shared" si="168"/>
        <v/>
      </c>
      <c r="AH496" t="str">
        <f t="shared" si="169"/>
        <v/>
      </c>
      <c r="AI496" t="str">
        <f t="shared" si="170"/>
        <v/>
      </c>
      <c r="AJ496" t="str">
        <f t="shared" si="171"/>
        <v/>
      </c>
      <c r="AK496" t="str">
        <f t="shared" si="172"/>
        <v/>
      </c>
      <c r="AL496" t="str">
        <f>IFERROR(ROUND(L496*(G496/$AU496)/VLOOKUP(F496,商品!$A$4:$B$60,2,FALSE),0),"")</f>
        <v/>
      </c>
      <c r="AM496" t="str">
        <f>IFERROR(ROUND(L496*(I496/$AU496)/VLOOKUP(H496,商品!$A$4:$B$60,2,FALSE),0),"")</f>
        <v/>
      </c>
      <c r="AN496">
        <f>IFERROR(ROUND(L496*(J496/$AU496)/VLOOKUP("运力",商品!$A$4:$B$60,2,FALSE),0),0)</f>
        <v>0</v>
      </c>
      <c r="AO496">
        <f>IFERROR(ROUND(L496*(K496/$AU496)/VLOOKUP("交易",商品!$A$4:$B$60,2,FALSE),0),0)</f>
        <v>0</v>
      </c>
      <c r="AP496" t="str">
        <f>IFERROR(ROUND(S496*(N496/$AV496)/VLOOKUP(M496,职业!$A$4:$G$16,4,FALSE),0),"")</f>
        <v/>
      </c>
      <c r="AQ496" t="str">
        <f>IFERROR(ROUND(S496*(P496/$AV496)/VLOOKUP(O496,职业!$A$4:$G$16,4,FALSE),0),"")</f>
        <v/>
      </c>
      <c r="AR496" t="str">
        <f>IFERROR(ROUND(S496*(R496/$AV496)/VLOOKUP(Q496,职业!$A$4:$G$16,4,FALSE),0),"")</f>
        <v/>
      </c>
      <c r="AS496" t="str">
        <f>IFERROR(ROUND(X496*(U496/$AW496)/VLOOKUP(T496,商品!$A$4:$B$60,2,FALSE),0),"")</f>
        <v/>
      </c>
      <c r="AT496" t="str">
        <f>IFERROR(ROUND(X496*(W496/$AW496)/VLOOKUP(V496,商品!$A$4:$B$60,2,FALSE),0),"")</f>
        <v/>
      </c>
      <c r="AU496">
        <f t="shared" si="173"/>
        <v>0</v>
      </c>
      <c r="AV496">
        <f t="shared" si="174"/>
        <v>0</v>
      </c>
      <c r="AW496">
        <f t="shared" si="175"/>
        <v>0</v>
      </c>
    </row>
    <row r="497" spans="1:49" ht="19.95" customHeight="1" x14ac:dyDescent="0.25">
      <c r="A497" s="16" t="s">
        <v>286</v>
      </c>
      <c r="C497" s="16">
        <v>1</v>
      </c>
      <c r="D497" s="23" t="s">
        <v>282</v>
      </c>
      <c r="E497" s="23" t="s">
        <v>172</v>
      </c>
      <c r="F497" s="2" t="s">
        <v>39</v>
      </c>
      <c r="G497" s="2">
        <v>20</v>
      </c>
      <c r="H497" s="2" t="s">
        <v>19</v>
      </c>
      <c r="I497" s="2">
        <v>25</v>
      </c>
      <c r="J497" s="24">
        <v>15</v>
      </c>
      <c r="K497" s="25">
        <v>5</v>
      </c>
      <c r="L497" s="15">
        <f>IFERROR(VLOOKUP($D497&amp;$C497,生产方式定位!$A$2:$E$38,2,FALSE)+VLOOKUP($E497&amp;$C497,生产方式定位!$F$3:$J$38,2,FALSE),0)</f>
        <v>2000</v>
      </c>
      <c r="M497" s="2" t="s">
        <v>80</v>
      </c>
      <c r="N497" s="2">
        <v>100</v>
      </c>
      <c r="O497" s="2" t="s">
        <v>73</v>
      </c>
      <c r="P497" s="2">
        <v>15</v>
      </c>
      <c r="S497" s="15">
        <f>IFERROR(VLOOKUP($D497&amp;$C497,生产方式定位!$A$2:$E$38,3,FALSE)+VLOOKUP($E497&amp;$C497,生产方式定位!$F$3:$J$38,3,FALSE),0)</f>
        <v>100</v>
      </c>
      <c r="X497" s="15">
        <f>IFERROR(VLOOKUP($D497&amp;$C497,生产方式定位!$A$2:$E$38,5,FALSE)+VLOOKUP($E497&amp;$C497,生产方式定位!$F$3:$J$38,5,FALSE),"错误")</f>
        <v>3150</v>
      </c>
      <c r="Y497" s="26" t="str">
        <f t="shared" si="160"/>
        <v>钢铁*10,煤*26,运力*46,交易*15</v>
      </c>
      <c r="Z497" s="36" t="str">
        <f t="shared" si="161"/>
        <v>劳工*3935,工程师*197</v>
      </c>
      <c r="AA497" s="36" t="str">
        <f t="shared" si="162"/>
        <v/>
      </c>
      <c r="AB497" s="27" t="str">
        <f t="shared" si="163"/>
        <v>58%</v>
      </c>
      <c r="AC497" s="2">
        <f t="shared" si="164"/>
        <v>1050</v>
      </c>
      <c r="AD497" s="37">
        <f t="shared" si="165"/>
        <v>1</v>
      </c>
      <c r="AE497" t="str">
        <f t="shared" si="166"/>
        <v>钢铁*10</v>
      </c>
      <c r="AF497" t="str">
        <f t="shared" si="167"/>
        <v>煤*26</v>
      </c>
      <c r="AG497" t="str">
        <f t="shared" si="168"/>
        <v>劳工*3935</v>
      </c>
      <c r="AH497" t="str">
        <f t="shared" si="169"/>
        <v>工程师*197</v>
      </c>
      <c r="AI497" t="str">
        <f t="shared" si="170"/>
        <v/>
      </c>
      <c r="AJ497" t="str">
        <f t="shared" si="171"/>
        <v/>
      </c>
      <c r="AK497" t="str">
        <f t="shared" si="172"/>
        <v/>
      </c>
      <c r="AL497">
        <f>IFERROR(ROUND(L497*(G497/$AU497)/VLOOKUP(F497,商品!$A$4:$B$60,2,FALSE),0),"")</f>
        <v>10</v>
      </c>
      <c r="AM497">
        <f>IFERROR(ROUND(L497*(I497/$AU497)/VLOOKUP(H497,商品!$A$4:$B$60,2,FALSE),0),"")</f>
        <v>26</v>
      </c>
      <c r="AN497">
        <f>IFERROR(ROUND(L497*(J497/$AU497)/VLOOKUP("运力",商品!$A$4:$B$60,2,FALSE),0),0)</f>
        <v>46</v>
      </c>
      <c r="AO497">
        <f>IFERROR(ROUND(L497*(K497/$AU497)/VLOOKUP("交易",商品!$A$4:$B$60,2,FALSE),0),0)</f>
        <v>15</v>
      </c>
      <c r="AP497">
        <f>IFERROR(ROUND(S497*(N497/$AV497)/VLOOKUP(M497,职业!$A$4:$G$16,4,FALSE),0),"")</f>
        <v>3935</v>
      </c>
      <c r="AQ497">
        <f>IFERROR(ROUND(S497*(P497/$AV497)/VLOOKUP(O497,职业!$A$4:$G$16,4,FALSE),0),"")</f>
        <v>197</v>
      </c>
      <c r="AR497" t="str">
        <f>IFERROR(ROUND(S497*(R497/$AV497)/VLOOKUP(Q497,职业!$A$4:$G$16,4,FALSE),0),"")</f>
        <v/>
      </c>
      <c r="AS497" t="str">
        <f>IFERROR(ROUND(X497*(U497/$AW497)/VLOOKUP(T497,商品!$A$4:$B$60,2,FALSE),0),"")</f>
        <v/>
      </c>
      <c r="AT497" t="str">
        <f>IFERROR(ROUND(X497*(W497/$AW497)/VLOOKUP(V497,商品!$A$4:$B$60,2,FALSE),0),"")</f>
        <v/>
      </c>
      <c r="AU497">
        <f t="shared" si="173"/>
        <v>65</v>
      </c>
      <c r="AV497">
        <f t="shared" si="174"/>
        <v>115</v>
      </c>
      <c r="AW497">
        <f t="shared" si="175"/>
        <v>0</v>
      </c>
    </row>
    <row r="498" spans="1:49" ht="19.95" customHeight="1" x14ac:dyDescent="0.25">
      <c r="A498" s="16" t="s">
        <v>286</v>
      </c>
      <c r="C498" s="16">
        <v>2</v>
      </c>
      <c r="D498" s="23" t="s">
        <v>282</v>
      </c>
      <c r="E498" s="23" t="s">
        <v>172</v>
      </c>
      <c r="F498" s="2" t="s">
        <v>39</v>
      </c>
      <c r="G498" s="2">
        <v>20</v>
      </c>
      <c r="H498" s="2" t="s">
        <v>19</v>
      </c>
      <c r="I498" s="2">
        <v>25</v>
      </c>
      <c r="J498" s="24">
        <v>15</v>
      </c>
      <c r="K498" s="25">
        <v>5</v>
      </c>
      <c r="L498" s="15">
        <f>IFERROR(VLOOKUP($D498&amp;$C498,生产方式定位!$A$2:$E$38,2,FALSE)+VLOOKUP($E498&amp;$C498,生产方式定位!$F$3:$J$38,2,FALSE),0)</f>
        <v>2900</v>
      </c>
      <c r="M498" s="2" t="s">
        <v>80</v>
      </c>
      <c r="N498" s="2">
        <v>100</v>
      </c>
      <c r="O498" s="2" t="s">
        <v>73</v>
      </c>
      <c r="P498" s="2">
        <v>25</v>
      </c>
      <c r="S498" s="15">
        <f>IFERROR(VLOOKUP($D498&amp;$C498,生产方式定位!$A$2:$E$38,3,FALSE)+VLOOKUP($E498&amp;$C498,生产方式定位!$F$3:$J$38,3,FALSE),0)</f>
        <v>100</v>
      </c>
      <c r="X498" s="15">
        <f>IFERROR(VLOOKUP($D498&amp;$C498,生产方式定位!$A$2:$E$38,5,FALSE)+VLOOKUP($E498&amp;$C498,生产方式定位!$F$3:$J$38,5,FALSE),"错误")</f>
        <v>4350</v>
      </c>
      <c r="Y498" s="26" t="str">
        <f t="shared" si="160"/>
        <v>钢铁*15,煤*37,运力*67,交易*22</v>
      </c>
      <c r="Z498" s="36" t="str">
        <f t="shared" si="161"/>
        <v>劳工*3620,工程师*302</v>
      </c>
      <c r="AA498" s="36" t="str">
        <f t="shared" si="162"/>
        <v/>
      </c>
      <c r="AB498" s="27" t="str">
        <f t="shared" si="163"/>
        <v>50%</v>
      </c>
      <c r="AC498" s="2">
        <f t="shared" si="164"/>
        <v>1350</v>
      </c>
      <c r="AD498" s="37">
        <f t="shared" si="165"/>
        <v>2</v>
      </c>
      <c r="AE498" t="str">
        <f t="shared" si="166"/>
        <v>钢铁*15</v>
      </c>
      <c r="AF498" t="str">
        <f t="shared" si="167"/>
        <v>煤*37</v>
      </c>
      <c r="AG498" t="str">
        <f t="shared" si="168"/>
        <v>劳工*3620</v>
      </c>
      <c r="AH498" t="str">
        <f t="shared" si="169"/>
        <v>工程师*302</v>
      </c>
      <c r="AI498" t="str">
        <f t="shared" si="170"/>
        <v/>
      </c>
      <c r="AJ498" t="str">
        <f t="shared" si="171"/>
        <v/>
      </c>
      <c r="AK498" t="str">
        <f t="shared" si="172"/>
        <v/>
      </c>
      <c r="AL498">
        <f>IFERROR(ROUND(L498*(G498/$AU498)/VLOOKUP(F498,商品!$A$4:$B$60,2,FALSE),0),"")</f>
        <v>15</v>
      </c>
      <c r="AM498">
        <f>IFERROR(ROUND(L498*(I498/$AU498)/VLOOKUP(H498,商品!$A$4:$B$60,2,FALSE),0),"")</f>
        <v>37</v>
      </c>
      <c r="AN498">
        <f>IFERROR(ROUND(L498*(J498/$AU498)/VLOOKUP("运力",商品!$A$4:$B$60,2,FALSE),0),0)</f>
        <v>67</v>
      </c>
      <c r="AO498">
        <f>IFERROR(ROUND(L498*(K498/$AU498)/VLOOKUP("交易",商品!$A$4:$B$60,2,FALSE),0),0)</f>
        <v>22</v>
      </c>
      <c r="AP498">
        <f>IFERROR(ROUND(S498*(N498/$AV498)/VLOOKUP(M498,职业!$A$4:$G$16,4,FALSE),0),"")</f>
        <v>3620</v>
      </c>
      <c r="AQ498">
        <f>IFERROR(ROUND(S498*(P498/$AV498)/VLOOKUP(O498,职业!$A$4:$G$16,4,FALSE),0),"")</f>
        <v>302</v>
      </c>
      <c r="AR498" t="str">
        <f>IFERROR(ROUND(S498*(R498/$AV498)/VLOOKUP(Q498,职业!$A$4:$G$16,4,FALSE),0),"")</f>
        <v/>
      </c>
      <c r="AS498" t="str">
        <f>IFERROR(ROUND(X498*(U498/$AW498)/VLOOKUP(T498,商品!$A$4:$B$60,2,FALSE),0),"")</f>
        <v/>
      </c>
      <c r="AT498" t="str">
        <f>IFERROR(ROUND(X498*(W498/$AW498)/VLOOKUP(V498,商品!$A$4:$B$60,2,FALSE),0),"")</f>
        <v/>
      </c>
      <c r="AU498">
        <f t="shared" si="173"/>
        <v>65</v>
      </c>
      <c r="AV498">
        <f t="shared" si="174"/>
        <v>125</v>
      </c>
      <c r="AW498">
        <f t="shared" si="175"/>
        <v>0</v>
      </c>
    </row>
    <row r="499" spans="1:49" ht="19.95" customHeight="1" x14ac:dyDescent="0.25">
      <c r="A499" s="16" t="s">
        <v>286</v>
      </c>
      <c r="C499" s="16">
        <v>3</v>
      </c>
      <c r="D499" s="23" t="s">
        <v>282</v>
      </c>
      <c r="E499" s="23" t="s">
        <v>172</v>
      </c>
      <c r="F499" s="2" t="s">
        <v>39</v>
      </c>
      <c r="G499" s="2">
        <v>20</v>
      </c>
      <c r="H499" s="2" t="s">
        <v>19</v>
      </c>
      <c r="I499" s="2">
        <v>25</v>
      </c>
      <c r="J499" s="24">
        <v>15</v>
      </c>
      <c r="K499" s="25">
        <v>5</v>
      </c>
      <c r="L499" s="15">
        <f>IFERROR(VLOOKUP($D499&amp;$C499,生产方式定位!$A$2:$E$38,2,FALSE)+VLOOKUP($E499&amp;$C499,生产方式定位!$F$3:$J$38,2,FALSE),0)</f>
        <v>3425</v>
      </c>
      <c r="M499" s="2" t="s">
        <v>80</v>
      </c>
      <c r="N499" s="2">
        <v>100</v>
      </c>
      <c r="O499" s="2" t="s">
        <v>73</v>
      </c>
      <c r="P499" s="2">
        <v>35</v>
      </c>
      <c r="S499" s="15">
        <f>IFERROR(VLOOKUP($D499&amp;$C499,生产方式定位!$A$2:$E$38,3,FALSE)+VLOOKUP($E499&amp;$C499,生产方式定位!$F$3:$J$38,3,FALSE),0)</f>
        <v>100</v>
      </c>
      <c r="X499" s="15">
        <f>IFERROR(VLOOKUP($D499&amp;$C499,生产方式定位!$A$2:$E$38,5,FALSE)+VLOOKUP($E499&amp;$C499,生产方式定位!$F$3:$J$38,5,FALSE),"错误")</f>
        <v>5100</v>
      </c>
      <c r="Y499" s="26" t="str">
        <f t="shared" si="160"/>
        <v>钢铁*18,煤*44,运力*79,交易*26</v>
      </c>
      <c r="Z499" s="36" t="str">
        <f t="shared" si="161"/>
        <v>劳工*3352,工程师*391</v>
      </c>
      <c r="AA499" s="36" t="str">
        <f t="shared" si="162"/>
        <v/>
      </c>
      <c r="AB499" s="27" t="str">
        <f t="shared" si="163"/>
        <v>49%</v>
      </c>
      <c r="AC499" s="2">
        <f t="shared" si="164"/>
        <v>1575</v>
      </c>
      <c r="AD499" s="37">
        <f t="shared" si="165"/>
        <v>3</v>
      </c>
      <c r="AE499" t="str">
        <f t="shared" si="166"/>
        <v>钢铁*18</v>
      </c>
      <c r="AF499" t="str">
        <f t="shared" si="167"/>
        <v>煤*44</v>
      </c>
      <c r="AG499" t="str">
        <f t="shared" si="168"/>
        <v>劳工*3352</v>
      </c>
      <c r="AH499" t="str">
        <f t="shared" si="169"/>
        <v>工程师*391</v>
      </c>
      <c r="AI499" t="str">
        <f t="shared" si="170"/>
        <v/>
      </c>
      <c r="AJ499" t="str">
        <f t="shared" si="171"/>
        <v/>
      </c>
      <c r="AK499" t="str">
        <f t="shared" si="172"/>
        <v/>
      </c>
      <c r="AL499">
        <f>IFERROR(ROUND(L499*(G499/$AU499)/VLOOKUP(F499,商品!$A$4:$B$60,2,FALSE),0),"")</f>
        <v>18</v>
      </c>
      <c r="AM499">
        <f>IFERROR(ROUND(L499*(I499/$AU499)/VLOOKUP(H499,商品!$A$4:$B$60,2,FALSE),0),"")</f>
        <v>44</v>
      </c>
      <c r="AN499">
        <f>IFERROR(ROUND(L499*(J499/$AU499)/VLOOKUP("运力",商品!$A$4:$B$60,2,FALSE),0),0)</f>
        <v>79</v>
      </c>
      <c r="AO499">
        <f>IFERROR(ROUND(L499*(K499/$AU499)/VLOOKUP("交易",商品!$A$4:$B$60,2,FALSE),0),0)</f>
        <v>26</v>
      </c>
      <c r="AP499">
        <f>IFERROR(ROUND(S499*(N499/$AV499)/VLOOKUP(M499,职业!$A$4:$G$16,4,FALSE),0),"")</f>
        <v>3352</v>
      </c>
      <c r="AQ499">
        <f>IFERROR(ROUND(S499*(P499/$AV499)/VLOOKUP(O499,职业!$A$4:$G$16,4,FALSE),0),"")</f>
        <v>391</v>
      </c>
      <c r="AR499" t="str">
        <f>IFERROR(ROUND(S499*(R499/$AV499)/VLOOKUP(Q499,职业!$A$4:$G$16,4,FALSE),0),"")</f>
        <v/>
      </c>
      <c r="AS499" t="str">
        <f>IFERROR(ROUND(X499*(U499/$AW499)/VLOOKUP(T499,商品!$A$4:$B$60,2,FALSE),0),"")</f>
        <v/>
      </c>
      <c r="AT499" t="str">
        <f>IFERROR(ROUND(X499*(W499/$AW499)/VLOOKUP(V499,商品!$A$4:$B$60,2,FALSE),0),"")</f>
        <v/>
      </c>
      <c r="AU499">
        <f t="shared" si="173"/>
        <v>65</v>
      </c>
      <c r="AV499">
        <f t="shared" si="174"/>
        <v>135</v>
      </c>
      <c r="AW499">
        <f t="shared" si="175"/>
        <v>0</v>
      </c>
    </row>
    <row r="500" spans="1:49" ht="19.95" customHeight="1" x14ac:dyDescent="0.25">
      <c r="A500" s="16" t="s">
        <v>286</v>
      </c>
      <c r="C500" s="16">
        <v>4</v>
      </c>
      <c r="D500" s="23" t="s">
        <v>282</v>
      </c>
      <c r="E500" s="23" t="s">
        <v>172</v>
      </c>
      <c r="F500" s="2" t="s">
        <v>39</v>
      </c>
      <c r="G500" s="2">
        <v>20</v>
      </c>
      <c r="H500" s="2" t="s">
        <v>19</v>
      </c>
      <c r="I500" s="2">
        <v>25</v>
      </c>
      <c r="J500" s="24">
        <v>15</v>
      </c>
      <c r="K500" s="25">
        <v>5</v>
      </c>
      <c r="L500" s="15">
        <f>IFERROR(VLOOKUP($D500&amp;$C500,生产方式定位!$A$2:$E$38,2,FALSE)+VLOOKUP($E500&amp;$C500,生产方式定位!$F$3:$J$38,2,FALSE),0)</f>
        <v>3950</v>
      </c>
      <c r="M500" s="2" t="s">
        <v>80</v>
      </c>
      <c r="N500" s="2">
        <v>100</v>
      </c>
      <c r="O500" s="2" t="s">
        <v>73</v>
      </c>
      <c r="P500" s="2">
        <v>45</v>
      </c>
      <c r="S500" s="15">
        <f>IFERROR(VLOOKUP($D500&amp;$C500,生产方式定位!$A$2:$E$38,3,FALSE)+VLOOKUP($E500&amp;$C500,生产方式定位!$F$3:$J$38,3,FALSE),0)</f>
        <v>100</v>
      </c>
      <c r="X500" s="15">
        <f>IFERROR(VLOOKUP($D500&amp;$C500,生产方式定位!$A$2:$E$38,5,FALSE)+VLOOKUP($E500&amp;$C500,生产方式定位!$F$3:$J$38,5,FALSE),"错误")</f>
        <v>5850</v>
      </c>
      <c r="Y500" s="26" t="str">
        <f t="shared" si="160"/>
        <v>钢铁*20,煤*51,运力*91,交易*30</v>
      </c>
      <c r="Z500" s="36" t="str">
        <f t="shared" si="161"/>
        <v>劳工*3121,工程师*468</v>
      </c>
      <c r="AA500" s="36" t="str">
        <f t="shared" si="162"/>
        <v/>
      </c>
      <c r="AB500" s="27" t="str">
        <f t="shared" si="163"/>
        <v>48%</v>
      </c>
      <c r="AC500" s="2">
        <f t="shared" si="164"/>
        <v>1800</v>
      </c>
      <c r="AD500" s="37">
        <f t="shared" si="165"/>
        <v>4</v>
      </c>
      <c r="AE500" t="str">
        <f t="shared" si="166"/>
        <v>钢铁*20</v>
      </c>
      <c r="AF500" t="str">
        <f t="shared" si="167"/>
        <v>煤*51</v>
      </c>
      <c r="AG500" t="str">
        <f t="shared" si="168"/>
        <v>劳工*3121</v>
      </c>
      <c r="AH500" t="str">
        <f t="shared" si="169"/>
        <v>工程师*468</v>
      </c>
      <c r="AI500" t="str">
        <f t="shared" si="170"/>
        <v/>
      </c>
      <c r="AJ500" t="str">
        <f t="shared" si="171"/>
        <v/>
      </c>
      <c r="AK500" t="str">
        <f t="shared" si="172"/>
        <v/>
      </c>
      <c r="AL500">
        <f>IFERROR(ROUND(L500*(G500/$AU500)/VLOOKUP(F500,商品!$A$4:$B$60,2,FALSE),0),"")</f>
        <v>20</v>
      </c>
      <c r="AM500">
        <f>IFERROR(ROUND(L500*(I500/$AU500)/VLOOKUP(H500,商品!$A$4:$B$60,2,FALSE),0),"")</f>
        <v>51</v>
      </c>
      <c r="AN500">
        <f>IFERROR(ROUND(L500*(J500/$AU500)/VLOOKUP("运力",商品!$A$4:$B$60,2,FALSE),0),0)</f>
        <v>91</v>
      </c>
      <c r="AO500">
        <f>IFERROR(ROUND(L500*(K500/$AU500)/VLOOKUP("交易",商品!$A$4:$B$60,2,FALSE),0),0)</f>
        <v>30</v>
      </c>
      <c r="AP500">
        <f>IFERROR(ROUND(S500*(N500/$AV500)/VLOOKUP(M500,职业!$A$4:$G$16,4,FALSE),0),"")</f>
        <v>3121</v>
      </c>
      <c r="AQ500">
        <f>IFERROR(ROUND(S500*(P500/$AV500)/VLOOKUP(O500,职业!$A$4:$G$16,4,FALSE),0),"")</f>
        <v>468</v>
      </c>
      <c r="AR500" t="str">
        <f>IFERROR(ROUND(S500*(R500/$AV500)/VLOOKUP(Q500,职业!$A$4:$G$16,4,FALSE),0),"")</f>
        <v/>
      </c>
      <c r="AS500" t="str">
        <f>IFERROR(ROUND(X500*(U500/$AW500)/VLOOKUP(T500,商品!$A$4:$B$60,2,FALSE),0),"")</f>
        <v/>
      </c>
      <c r="AT500" t="str">
        <f>IFERROR(ROUND(X500*(W500/$AW500)/VLOOKUP(V500,商品!$A$4:$B$60,2,FALSE),0),"")</f>
        <v/>
      </c>
      <c r="AU500">
        <f t="shared" si="173"/>
        <v>65</v>
      </c>
      <c r="AV500">
        <f t="shared" si="174"/>
        <v>145</v>
      </c>
      <c r="AW500">
        <f t="shared" si="175"/>
        <v>0</v>
      </c>
    </row>
    <row r="501" spans="1:49" ht="19.95" customHeight="1" x14ac:dyDescent="0.25">
      <c r="A501" s="16" t="s">
        <v>286</v>
      </c>
      <c r="C501" s="16">
        <v>5</v>
      </c>
      <c r="D501" s="23" t="s">
        <v>282</v>
      </c>
      <c r="E501" s="23" t="s">
        <v>172</v>
      </c>
      <c r="F501" s="2" t="s">
        <v>40</v>
      </c>
      <c r="G501" s="2">
        <v>20</v>
      </c>
      <c r="H501" s="2" t="s">
        <v>19</v>
      </c>
      <c r="I501" s="2">
        <v>25</v>
      </c>
      <c r="J501" s="24">
        <v>15</v>
      </c>
      <c r="K501" s="25">
        <v>5</v>
      </c>
      <c r="L501" s="15">
        <f>IFERROR(VLOOKUP($D501&amp;$C501,生产方式定位!$A$2:$E$38,2,FALSE)+VLOOKUP($E501&amp;$C501,生产方式定位!$F$3:$J$38,2,FALSE),0)</f>
        <v>4475</v>
      </c>
      <c r="M501" s="2" t="s">
        <v>80</v>
      </c>
      <c r="N501" s="2">
        <v>90</v>
      </c>
      <c r="O501" s="2" t="s">
        <v>73</v>
      </c>
      <c r="P501" s="2">
        <v>65</v>
      </c>
      <c r="Q501" s="2" t="s">
        <v>74</v>
      </c>
      <c r="R501" s="2">
        <v>35</v>
      </c>
      <c r="S501" s="15">
        <f>IFERROR(VLOOKUP($D501&amp;$C501,生产方式定位!$A$2:$E$38,3,FALSE)+VLOOKUP($E501&amp;$C501,生产方式定位!$F$3:$J$38,3,FALSE),0)</f>
        <v>100</v>
      </c>
      <c r="X501" s="15">
        <f>IFERROR(VLOOKUP($D501&amp;$C501,生产方式定位!$A$2:$E$38,5,FALSE)+VLOOKUP($E501&amp;$C501,生产方式定位!$F$3:$J$38,5,FALSE),"错误")</f>
        <v>6600</v>
      </c>
      <c r="Y501" s="26" t="str">
        <f t="shared" si="160"/>
        <v>秘银*17,煤*57,运力*103,交易*34</v>
      </c>
      <c r="Z501" s="36" t="str">
        <f t="shared" si="161"/>
        <v>劳工*2143,工程师*516,法士*208</v>
      </c>
      <c r="AA501" s="36" t="str">
        <f t="shared" si="162"/>
        <v/>
      </c>
      <c r="AB501" s="27" t="str">
        <f t="shared" si="163"/>
        <v>47%</v>
      </c>
      <c r="AC501" s="2">
        <f t="shared" si="164"/>
        <v>2025</v>
      </c>
      <c r="AD501" s="37">
        <f t="shared" si="165"/>
        <v>5</v>
      </c>
      <c r="AE501" t="str">
        <f t="shared" si="166"/>
        <v>秘银*17</v>
      </c>
      <c r="AF501" t="str">
        <f t="shared" si="167"/>
        <v>煤*57</v>
      </c>
      <c r="AG501" t="str">
        <f t="shared" si="168"/>
        <v>劳工*2143</v>
      </c>
      <c r="AH501" t="str">
        <f t="shared" si="169"/>
        <v>工程师*516</v>
      </c>
      <c r="AI501" t="str">
        <f t="shared" si="170"/>
        <v>法士*208</v>
      </c>
      <c r="AJ501" t="str">
        <f t="shared" si="171"/>
        <v/>
      </c>
      <c r="AK501" t="str">
        <f t="shared" si="172"/>
        <v/>
      </c>
      <c r="AL501">
        <f>IFERROR(ROUND(L501*(G501/$AU501)/VLOOKUP(F501,商品!$A$4:$B$60,2,FALSE),0),"")</f>
        <v>17</v>
      </c>
      <c r="AM501">
        <f>IFERROR(ROUND(L501*(I501/$AU501)/VLOOKUP(H501,商品!$A$4:$B$60,2,FALSE),0),"")</f>
        <v>57</v>
      </c>
      <c r="AN501">
        <f>IFERROR(ROUND(L501*(J501/$AU501)/VLOOKUP("运力",商品!$A$4:$B$60,2,FALSE),0),0)</f>
        <v>103</v>
      </c>
      <c r="AO501">
        <f>IFERROR(ROUND(L501*(K501/$AU501)/VLOOKUP("交易",商品!$A$4:$B$60,2,FALSE),0),0)</f>
        <v>34</v>
      </c>
      <c r="AP501">
        <f>IFERROR(ROUND(S501*(N501/$AV501)/VLOOKUP(M501,职业!$A$4:$G$16,4,FALSE),0),"")</f>
        <v>2143</v>
      </c>
      <c r="AQ501">
        <f>IFERROR(ROUND(S501*(P501/$AV501)/VLOOKUP(O501,职业!$A$4:$G$16,4,FALSE),0),"")</f>
        <v>516</v>
      </c>
      <c r="AR501">
        <f>IFERROR(ROUND(S501*(R501/$AV501)/VLOOKUP(Q501,职业!$A$4:$G$16,4,FALSE),0),"")</f>
        <v>208</v>
      </c>
      <c r="AS501" t="str">
        <f>IFERROR(ROUND(X501*(U501/$AW501)/VLOOKUP(T501,商品!$A$4:$B$60,2,FALSE),0),"")</f>
        <v/>
      </c>
      <c r="AT501" t="str">
        <f>IFERROR(ROUND(X501*(W501/$AW501)/VLOOKUP(V501,商品!$A$4:$B$60,2,FALSE),0),"")</f>
        <v/>
      </c>
      <c r="AU501">
        <f t="shared" si="173"/>
        <v>65</v>
      </c>
      <c r="AV501">
        <f t="shared" si="174"/>
        <v>190</v>
      </c>
      <c r="AW501">
        <f t="shared" si="175"/>
        <v>0</v>
      </c>
    </row>
    <row r="502" spans="1:49" ht="19.95" customHeight="1" x14ac:dyDescent="0.25">
      <c r="A502" s="15" t="s">
        <v>287</v>
      </c>
      <c r="C502" s="15">
        <v>1</v>
      </c>
      <c r="D502" s="23" t="s">
        <v>174</v>
      </c>
      <c r="E502" s="23" t="s">
        <v>179</v>
      </c>
      <c r="L502" s="16">
        <f>IFERROR(VLOOKUP($D502&amp;$C502,生产方式定位!$A$2:$E$38,2,FALSE)+VLOOKUP($E502&amp;$C502,生产方式定位!$F$3:$J$38,2,FALSE),0)</f>
        <v>0</v>
      </c>
      <c r="S502" s="16">
        <f>IFERROR(VLOOKUP($D502&amp;$C502,生产方式定位!$A$2:$E$38,3,FALSE)+VLOOKUP($E502&amp;$C502,生产方式定位!$F$3:$J$38,3,FALSE),0)</f>
        <v>100</v>
      </c>
      <c r="X502" s="16">
        <f>IFERROR(VLOOKUP($D502&amp;$C502,生产方式定位!$A$2:$E$38,5,FALSE)+VLOOKUP($E502&amp;$C502,生产方式定位!$F$3:$J$38,5,FALSE),"错误")</f>
        <v>100</v>
      </c>
      <c r="Y502" s="26" t="str">
        <f t="shared" si="160"/>
        <v/>
      </c>
      <c r="Z502" s="36" t="str">
        <f t="shared" si="161"/>
        <v/>
      </c>
      <c r="AA502" s="36" t="str">
        <f t="shared" si="162"/>
        <v/>
      </c>
      <c r="AB502" s="27" t="str">
        <f t="shared" si="163"/>
        <v/>
      </c>
      <c r="AC502" s="2" t="str">
        <f t="shared" si="164"/>
        <v/>
      </c>
      <c r="AD502" s="38">
        <f t="shared" si="165"/>
        <v>1</v>
      </c>
      <c r="AE502" t="str">
        <f t="shared" si="166"/>
        <v/>
      </c>
      <c r="AF502" t="str">
        <f t="shared" si="167"/>
        <v/>
      </c>
      <c r="AG502" t="str">
        <f t="shared" si="168"/>
        <v/>
      </c>
      <c r="AH502" t="str">
        <f t="shared" si="169"/>
        <v/>
      </c>
      <c r="AI502" t="str">
        <f t="shared" si="170"/>
        <v/>
      </c>
      <c r="AJ502" t="str">
        <f t="shared" si="171"/>
        <v/>
      </c>
      <c r="AK502" t="str">
        <f t="shared" si="172"/>
        <v/>
      </c>
      <c r="AL502" t="str">
        <f>IFERROR(ROUND(L502*(G502/$AU502)/VLOOKUP(F502,商品!$A$4:$B$60,2,FALSE),0),"")</f>
        <v/>
      </c>
      <c r="AM502" t="str">
        <f>IFERROR(ROUND(L502*(I502/$AU502)/VLOOKUP(H502,商品!$A$4:$B$60,2,FALSE),0),"")</f>
        <v/>
      </c>
      <c r="AN502">
        <f>IFERROR(ROUND(L502*(J502/$AU502)/VLOOKUP("运力",商品!$A$4:$B$60,2,FALSE),0),0)</f>
        <v>0</v>
      </c>
      <c r="AO502">
        <f>IFERROR(ROUND(L502*(K502/$AU502)/VLOOKUP("交易",商品!$A$4:$B$60,2,FALSE),0),0)</f>
        <v>0</v>
      </c>
      <c r="AP502" t="str">
        <f>IFERROR(ROUND(S502*(N502/$AV502)/VLOOKUP(M502,职业!$A$4:$G$16,4,FALSE),0),"")</f>
        <v/>
      </c>
      <c r="AQ502" t="str">
        <f>IFERROR(ROUND(S502*(P502/$AV502)/VLOOKUP(O502,职业!$A$4:$G$16,4,FALSE),0),"")</f>
        <v/>
      </c>
      <c r="AR502" t="str">
        <f>IFERROR(ROUND(S502*(R502/$AV502)/VLOOKUP(Q502,职业!$A$4:$G$16,4,FALSE),0),"")</f>
        <v/>
      </c>
      <c r="AS502" t="str">
        <f>IFERROR(ROUND(X502*(U502/$AW502)/VLOOKUP(T502,商品!$A$4:$B$60,2,FALSE),0),"")</f>
        <v/>
      </c>
      <c r="AT502" t="str">
        <f>IFERROR(ROUND(X502*(W502/$AW502)/VLOOKUP(V502,商品!$A$4:$B$60,2,FALSE),0),"")</f>
        <v/>
      </c>
      <c r="AU502">
        <f t="shared" si="173"/>
        <v>0</v>
      </c>
      <c r="AV502">
        <f t="shared" si="174"/>
        <v>0</v>
      </c>
      <c r="AW502">
        <f t="shared" si="175"/>
        <v>0</v>
      </c>
    </row>
    <row r="503" spans="1:49" ht="19.95" customHeight="1" x14ac:dyDescent="0.25">
      <c r="A503" s="15" t="s">
        <v>287</v>
      </c>
      <c r="C503" s="15">
        <v>2</v>
      </c>
      <c r="D503" s="23" t="s">
        <v>174</v>
      </c>
      <c r="E503" s="23" t="s">
        <v>179</v>
      </c>
      <c r="L503" s="16">
        <f>IFERROR(VLOOKUP($D503&amp;$C503,生产方式定位!$A$2:$E$38,2,FALSE)+VLOOKUP($E503&amp;$C503,生产方式定位!$F$3:$J$38,2,FALSE),0)</f>
        <v>0</v>
      </c>
      <c r="S503" s="16">
        <f>IFERROR(VLOOKUP($D503&amp;$C503,生产方式定位!$A$2:$E$38,3,FALSE)+VLOOKUP($E503&amp;$C503,生产方式定位!$F$3:$J$38,3,FALSE),0)</f>
        <v>100</v>
      </c>
      <c r="X503" s="16">
        <f>IFERROR(VLOOKUP($D503&amp;$C503,生产方式定位!$A$2:$E$38,5,FALSE)+VLOOKUP($E503&amp;$C503,生产方式定位!$F$3:$J$38,5,FALSE),"错误")</f>
        <v>100</v>
      </c>
      <c r="Y503" s="26" t="str">
        <f t="shared" si="160"/>
        <v/>
      </c>
      <c r="Z503" s="36" t="str">
        <f t="shared" si="161"/>
        <v/>
      </c>
      <c r="AA503" s="36" t="str">
        <f t="shared" si="162"/>
        <v/>
      </c>
      <c r="AB503" s="27" t="str">
        <f t="shared" si="163"/>
        <v/>
      </c>
      <c r="AC503" s="2" t="str">
        <f t="shared" si="164"/>
        <v/>
      </c>
      <c r="AD503" s="38">
        <f t="shared" si="165"/>
        <v>2</v>
      </c>
      <c r="AE503" t="str">
        <f t="shared" si="166"/>
        <v/>
      </c>
      <c r="AF503" t="str">
        <f t="shared" si="167"/>
        <v/>
      </c>
      <c r="AG503" t="str">
        <f t="shared" si="168"/>
        <v/>
      </c>
      <c r="AH503" t="str">
        <f t="shared" si="169"/>
        <v/>
      </c>
      <c r="AI503" t="str">
        <f t="shared" si="170"/>
        <v/>
      </c>
      <c r="AJ503" t="str">
        <f t="shared" si="171"/>
        <v/>
      </c>
      <c r="AK503" t="str">
        <f t="shared" si="172"/>
        <v/>
      </c>
      <c r="AL503" t="str">
        <f>IFERROR(ROUND(L503*(G503/$AU503)/VLOOKUP(F503,商品!$A$4:$B$60,2,FALSE),0),"")</f>
        <v/>
      </c>
      <c r="AM503" t="str">
        <f>IFERROR(ROUND(L503*(I503/$AU503)/VLOOKUP(H503,商品!$A$4:$B$60,2,FALSE),0),"")</f>
        <v/>
      </c>
      <c r="AN503">
        <f>IFERROR(ROUND(L503*(J503/$AU503)/VLOOKUP("运力",商品!$A$4:$B$60,2,FALSE),0),0)</f>
        <v>0</v>
      </c>
      <c r="AO503">
        <f>IFERROR(ROUND(L503*(K503/$AU503)/VLOOKUP("交易",商品!$A$4:$B$60,2,FALSE),0),0)</f>
        <v>0</v>
      </c>
      <c r="AP503" t="str">
        <f>IFERROR(ROUND(S503*(N503/$AV503)/VLOOKUP(M503,职业!$A$4:$G$16,4,FALSE),0),"")</f>
        <v/>
      </c>
      <c r="AQ503" t="str">
        <f>IFERROR(ROUND(S503*(P503/$AV503)/VLOOKUP(O503,职业!$A$4:$G$16,4,FALSE),0),"")</f>
        <v/>
      </c>
      <c r="AR503" t="str">
        <f>IFERROR(ROUND(S503*(R503/$AV503)/VLOOKUP(Q503,职业!$A$4:$G$16,4,FALSE),0),"")</f>
        <v/>
      </c>
      <c r="AS503" t="str">
        <f>IFERROR(ROUND(X503*(U503/$AW503)/VLOOKUP(T503,商品!$A$4:$B$60,2,FALSE),0),"")</f>
        <v/>
      </c>
      <c r="AT503" t="str">
        <f>IFERROR(ROUND(X503*(W503/$AW503)/VLOOKUP(V503,商品!$A$4:$B$60,2,FALSE),0),"")</f>
        <v/>
      </c>
      <c r="AU503">
        <f t="shared" si="173"/>
        <v>0</v>
      </c>
      <c r="AV503">
        <f t="shared" si="174"/>
        <v>0</v>
      </c>
      <c r="AW503">
        <f t="shared" si="175"/>
        <v>0</v>
      </c>
    </row>
    <row r="504" spans="1:49" ht="19.95" customHeight="1" x14ac:dyDescent="0.25">
      <c r="A504" s="15" t="s">
        <v>287</v>
      </c>
      <c r="C504" s="15">
        <v>3</v>
      </c>
      <c r="D504" s="23" t="s">
        <v>174</v>
      </c>
      <c r="E504" s="23" t="s">
        <v>179</v>
      </c>
      <c r="L504" s="16">
        <f>IFERROR(VLOOKUP($D504&amp;$C504,生产方式定位!$A$2:$E$38,2,FALSE)+VLOOKUP($E504&amp;$C504,生产方式定位!$F$3:$J$38,2,FALSE),0)</f>
        <v>0</v>
      </c>
      <c r="S504" s="16">
        <f>IFERROR(VLOOKUP($D504&amp;$C504,生产方式定位!$A$2:$E$38,3,FALSE)+VLOOKUP($E504&amp;$C504,生产方式定位!$F$3:$J$38,3,FALSE),0)</f>
        <v>100</v>
      </c>
      <c r="X504" s="16">
        <f>IFERROR(VLOOKUP($D504&amp;$C504,生产方式定位!$A$2:$E$38,5,FALSE)+VLOOKUP($E504&amp;$C504,生产方式定位!$F$3:$J$38,5,FALSE),"错误")</f>
        <v>100</v>
      </c>
      <c r="Y504" s="26" t="str">
        <f t="shared" si="160"/>
        <v/>
      </c>
      <c r="Z504" s="36" t="str">
        <f t="shared" si="161"/>
        <v/>
      </c>
      <c r="AA504" s="36" t="str">
        <f t="shared" si="162"/>
        <v/>
      </c>
      <c r="AB504" s="27" t="str">
        <f t="shared" si="163"/>
        <v/>
      </c>
      <c r="AC504" s="2" t="str">
        <f t="shared" si="164"/>
        <v/>
      </c>
      <c r="AD504" s="38">
        <f t="shared" si="165"/>
        <v>3</v>
      </c>
      <c r="AE504" t="str">
        <f t="shared" si="166"/>
        <v/>
      </c>
      <c r="AF504" t="str">
        <f t="shared" si="167"/>
        <v/>
      </c>
      <c r="AG504" t="str">
        <f t="shared" si="168"/>
        <v/>
      </c>
      <c r="AH504" t="str">
        <f t="shared" si="169"/>
        <v/>
      </c>
      <c r="AI504" t="str">
        <f t="shared" si="170"/>
        <v/>
      </c>
      <c r="AJ504" t="str">
        <f t="shared" si="171"/>
        <v/>
      </c>
      <c r="AK504" t="str">
        <f t="shared" si="172"/>
        <v/>
      </c>
      <c r="AL504" t="str">
        <f>IFERROR(ROUND(L504*(G504/$AU504)/VLOOKUP(F504,商品!$A$4:$B$60,2,FALSE),0),"")</f>
        <v/>
      </c>
      <c r="AM504" t="str">
        <f>IFERROR(ROUND(L504*(I504/$AU504)/VLOOKUP(H504,商品!$A$4:$B$60,2,FALSE),0),"")</f>
        <v/>
      </c>
      <c r="AN504">
        <f>IFERROR(ROUND(L504*(J504/$AU504)/VLOOKUP("运力",商品!$A$4:$B$60,2,FALSE),0),0)</f>
        <v>0</v>
      </c>
      <c r="AO504">
        <f>IFERROR(ROUND(L504*(K504/$AU504)/VLOOKUP("交易",商品!$A$4:$B$60,2,FALSE),0),0)</f>
        <v>0</v>
      </c>
      <c r="AP504" t="str">
        <f>IFERROR(ROUND(S504*(N504/$AV504)/VLOOKUP(M504,职业!$A$4:$G$16,4,FALSE),0),"")</f>
        <v/>
      </c>
      <c r="AQ504" t="str">
        <f>IFERROR(ROUND(S504*(P504/$AV504)/VLOOKUP(O504,职业!$A$4:$G$16,4,FALSE),0),"")</f>
        <v/>
      </c>
      <c r="AR504" t="str">
        <f>IFERROR(ROUND(S504*(R504/$AV504)/VLOOKUP(Q504,职业!$A$4:$G$16,4,FALSE),0),"")</f>
        <v/>
      </c>
      <c r="AS504" t="str">
        <f>IFERROR(ROUND(X504*(U504/$AW504)/VLOOKUP(T504,商品!$A$4:$B$60,2,FALSE),0),"")</f>
        <v/>
      </c>
      <c r="AT504" t="str">
        <f>IFERROR(ROUND(X504*(W504/$AW504)/VLOOKUP(V504,商品!$A$4:$B$60,2,FALSE),0),"")</f>
        <v/>
      </c>
      <c r="AU504">
        <f t="shared" si="173"/>
        <v>0</v>
      </c>
      <c r="AV504">
        <f t="shared" si="174"/>
        <v>0</v>
      </c>
      <c r="AW504">
        <f t="shared" si="175"/>
        <v>0</v>
      </c>
    </row>
    <row r="505" spans="1:49" ht="19.95" customHeight="1" x14ac:dyDescent="0.25">
      <c r="A505" s="15" t="s">
        <v>287</v>
      </c>
      <c r="C505" s="15">
        <v>4</v>
      </c>
      <c r="D505" s="23" t="s">
        <v>174</v>
      </c>
      <c r="E505" s="23" t="s">
        <v>179</v>
      </c>
      <c r="L505" s="16">
        <f>IFERROR(VLOOKUP($D505&amp;$C505,生产方式定位!$A$2:$E$38,2,FALSE)+VLOOKUP($E505&amp;$C505,生产方式定位!$F$3:$J$38,2,FALSE),0)</f>
        <v>0</v>
      </c>
      <c r="S505" s="16">
        <f>IFERROR(VLOOKUP($D505&amp;$C505,生产方式定位!$A$2:$E$38,3,FALSE)+VLOOKUP($E505&amp;$C505,生产方式定位!$F$3:$J$38,3,FALSE),0)</f>
        <v>100</v>
      </c>
      <c r="X505" s="16">
        <f>IFERROR(VLOOKUP($D505&amp;$C505,生产方式定位!$A$2:$E$38,5,FALSE)+VLOOKUP($E505&amp;$C505,生产方式定位!$F$3:$J$38,5,FALSE),"错误")</f>
        <v>100</v>
      </c>
      <c r="Y505" s="26" t="str">
        <f t="shared" si="160"/>
        <v/>
      </c>
      <c r="Z505" s="36" t="str">
        <f t="shared" si="161"/>
        <v/>
      </c>
      <c r="AA505" s="36" t="str">
        <f t="shared" si="162"/>
        <v/>
      </c>
      <c r="AB505" s="27" t="str">
        <f t="shared" si="163"/>
        <v/>
      </c>
      <c r="AC505" s="2" t="str">
        <f t="shared" si="164"/>
        <v/>
      </c>
      <c r="AD505" s="38">
        <f t="shared" si="165"/>
        <v>4</v>
      </c>
      <c r="AE505" t="str">
        <f t="shared" si="166"/>
        <v/>
      </c>
      <c r="AF505" t="str">
        <f t="shared" si="167"/>
        <v/>
      </c>
      <c r="AG505" t="str">
        <f t="shared" si="168"/>
        <v/>
      </c>
      <c r="AH505" t="str">
        <f t="shared" si="169"/>
        <v/>
      </c>
      <c r="AI505" t="str">
        <f t="shared" si="170"/>
        <v/>
      </c>
      <c r="AJ505" t="str">
        <f t="shared" si="171"/>
        <v/>
      </c>
      <c r="AK505" t="str">
        <f t="shared" si="172"/>
        <v/>
      </c>
      <c r="AL505" t="str">
        <f>IFERROR(ROUND(L505*(G505/$AU505)/VLOOKUP(F505,商品!$A$4:$B$60,2,FALSE),0),"")</f>
        <v/>
      </c>
      <c r="AM505" t="str">
        <f>IFERROR(ROUND(L505*(I505/$AU505)/VLOOKUP(H505,商品!$A$4:$B$60,2,FALSE),0),"")</f>
        <v/>
      </c>
      <c r="AN505">
        <f>IFERROR(ROUND(L505*(J505/$AU505)/VLOOKUP("运力",商品!$A$4:$B$60,2,FALSE),0),0)</f>
        <v>0</v>
      </c>
      <c r="AO505">
        <f>IFERROR(ROUND(L505*(K505/$AU505)/VLOOKUP("交易",商品!$A$4:$B$60,2,FALSE),0),0)</f>
        <v>0</v>
      </c>
      <c r="AP505" t="str">
        <f>IFERROR(ROUND(S505*(N505/$AV505)/VLOOKUP(M505,职业!$A$4:$G$16,4,FALSE),0),"")</f>
        <v/>
      </c>
      <c r="AQ505" t="str">
        <f>IFERROR(ROUND(S505*(P505/$AV505)/VLOOKUP(O505,职业!$A$4:$G$16,4,FALSE),0),"")</f>
        <v/>
      </c>
      <c r="AR505" t="str">
        <f>IFERROR(ROUND(S505*(R505/$AV505)/VLOOKUP(Q505,职业!$A$4:$G$16,4,FALSE),0),"")</f>
        <v/>
      </c>
      <c r="AS505" t="str">
        <f>IFERROR(ROUND(X505*(U505/$AW505)/VLOOKUP(T505,商品!$A$4:$B$60,2,FALSE),0),"")</f>
        <v/>
      </c>
      <c r="AT505" t="str">
        <f>IFERROR(ROUND(X505*(W505/$AW505)/VLOOKUP(V505,商品!$A$4:$B$60,2,FALSE),0),"")</f>
        <v/>
      </c>
      <c r="AU505">
        <f t="shared" si="173"/>
        <v>0</v>
      </c>
      <c r="AV505">
        <f t="shared" si="174"/>
        <v>0</v>
      </c>
      <c r="AW505">
        <f t="shared" si="175"/>
        <v>0</v>
      </c>
    </row>
    <row r="506" spans="1:49" ht="19.95" customHeight="1" x14ac:dyDescent="0.25">
      <c r="A506" s="15" t="s">
        <v>287</v>
      </c>
      <c r="C506" s="15">
        <v>5</v>
      </c>
      <c r="D506" s="23" t="s">
        <v>174</v>
      </c>
      <c r="E506" s="23" t="s">
        <v>179</v>
      </c>
      <c r="L506" s="16">
        <f>IFERROR(VLOOKUP($D506&amp;$C506,生产方式定位!$A$2:$E$38,2,FALSE)+VLOOKUP($E506&amp;$C506,生产方式定位!$F$3:$J$38,2,FALSE),0)</f>
        <v>0</v>
      </c>
      <c r="S506" s="16">
        <f>IFERROR(VLOOKUP($D506&amp;$C506,生产方式定位!$A$2:$E$38,3,FALSE)+VLOOKUP($E506&amp;$C506,生产方式定位!$F$3:$J$38,3,FALSE),0)</f>
        <v>100</v>
      </c>
      <c r="X506" s="16">
        <f>IFERROR(VLOOKUP($D506&amp;$C506,生产方式定位!$A$2:$E$38,5,FALSE)+VLOOKUP($E506&amp;$C506,生产方式定位!$F$3:$J$38,5,FALSE),"错误")</f>
        <v>100</v>
      </c>
      <c r="Y506" s="26" t="str">
        <f t="shared" si="160"/>
        <v/>
      </c>
      <c r="Z506" s="36" t="str">
        <f t="shared" si="161"/>
        <v/>
      </c>
      <c r="AA506" s="36" t="str">
        <f t="shared" si="162"/>
        <v/>
      </c>
      <c r="AB506" s="27" t="str">
        <f t="shared" si="163"/>
        <v/>
      </c>
      <c r="AC506" s="2" t="str">
        <f t="shared" si="164"/>
        <v/>
      </c>
      <c r="AD506" s="38">
        <f t="shared" si="165"/>
        <v>5</v>
      </c>
      <c r="AE506" t="str">
        <f t="shared" si="166"/>
        <v/>
      </c>
      <c r="AF506" t="str">
        <f t="shared" si="167"/>
        <v/>
      </c>
      <c r="AG506" t="str">
        <f t="shared" si="168"/>
        <v/>
      </c>
      <c r="AH506" t="str">
        <f t="shared" si="169"/>
        <v/>
      </c>
      <c r="AI506" t="str">
        <f t="shared" si="170"/>
        <v/>
      </c>
      <c r="AJ506" t="str">
        <f t="shared" si="171"/>
        <v/>
      </c>
      <c r="AK506" t="str">
        <f t="shared" si="172"/>
        <v/>
      </c>
      <c r="AL506" t="str">
        <f>IFERROR(ROUND(L506*(G506/$AU506)/VLOOKUP(F506,商品!$A$4:$B$60,2,FALSE),0),"")</f>
        <v/>
      </c>
      <c r="AM506" t="str">
        <f>IFERROR(ROUND(L506*(I506/$AU506)/VLOOKUP(H506,商品!$A$4:$B$60,2,FALSE),0),"")</f>
        <v/>
      </c>
      <c r="AN506">
        <f>IFERROR(ROUND(L506*(J506/$AU506)/VLOOKUP("运力",商品!$A$4:$B$60,2,FALSE),0),0)</f>
        <v>0</v>
      </c>
      <c r="AO506">
        <f>IFERROR(ROUND(L506*(K506/$AU506)/VLOOKUP("交易",商品!$A$4:$B$60,2,FALSE),0),0)</f>
        <v>0</v>
      </c>
      <c r="AP506" t="str">
        <f>IFERROR(ROUND(S506*(N506/$AV506)/VLOOKUP(M506,职业!$A$4:$G$16,4,FALSE),0),"")</f>
        <v/>
      </c>
      <c r="AQ506" t="str">
        <f>IFERROR(ROUND(S506*(P506/$AV506)/VLOOKUP(O506,职业!$A$4:$G$16,4,FALSE),0),"")</f>
        <v/>
      </c>
      <c r="AR506" t="str">
        <f>IFERROR(ROUND(S506*(R506/$AV506)/VLOOKUP(Q506,职业!$A$4:$G$16,4,FALSE),0),"")</f>
        <v/>
      </c>
      <c r="AS506" t="str">
        <f>IFERROR(ROUND(X506*(U506/$AW506)/VLOOKUP(T506,商品!$A$4:$B$60,2,FALSE),0),"")</f>
        <v/>
      </c>
      <c r="AT506" t="str">
        <f>IFERROR(ROUND(X506*(W506/$AW506)/VLOOKUP(V506,商品!$A$4:$B$60,2,FALSE),0),"")</f>
        <v/>
      </c>
      <c r="AU506">
        <f t="shared" si="173"/>
        <v>0</v>
      </c>
      <c r="AV506">
        <f t="shared" si="174"/>
        <v>0</v>
      </c>
      <c r="AW506">
        <f t="shared" si="175"/>
        <v>0</v>
      </c>
    </row>
    <row r="507" spans="1:49" ht="19.95" customHeight="1" x14ac:dyDescent="0.25">
      <c r="A507" s="16" t="s">
        <v>289</v>
      </c>
      <c r="C507" s="16">
        <v>1</v>
      </c>
      <c r="D507" s="23" t="s">
        <v>282</v>
      </c>
      <c r="E507" s="23" t="s">
        <v>172</v>
      </c>
      <c r="L507" s="15">
        <f>IFERROR(VLOOKUP($D507&amp;$C507,生产方式定位!$A$2:$E$38,2,FALSE)+VLOOKUP($E507&amp;$C507,生产方式定位!$F$3:$J$38,2,FALSE),0)</f>
        <v>2000</v>
      </c>
      <c r="S507" s="15">
        <f>IFERROR(VLOOKUP($D507&amp;$C507,生产方式定位!$A$2:$E$38,3,FALSE)+VLOOKUP($E507&amp;$C507,生产方式定位!$F$3:$J$38,3,FALSE),0)</f>
        <v>100</v>
      </c>
      <c r="X507" s="15">
        <f>IFERROR(VLOOKUP($D507&amp;$C507,生产方式定位!$A$2:$E$38,5,FALSE)+VLOOKUP($E507&amp;$C507,生产方式定位!$F$3:$J$38,5,FALSE),"错误")</f>
        <v>3150</v>
      </c>
      <c r="Y507" s="26" t="str">
        <f t="shared" si="160"/>
        <v/>
      </c>
      <c r="Z507" s="36" t="str">
        <f t="shared" si="161"/>
        <v/>
      </c>
      <c r="AA507" s="36" t="str">
        <f t="shared" si="162"/>
        <v/>
      </c>
      <c r="AB507" s="27" t="str">
        <f t="shared" si="163"/>
        <v>58%</v>
      </c>
      <c r="AC507" s="2">
        <f t="shared" si="164"/>
        <v>1050</v>
      </c>
      <c r="AD507" s="37">
        <f t="shared" si="165"/>
        <v>1</v>
      </c>
      <c r="AE507" t="str">
        <f t="shared" si="166"/>
        <v/>
      </c>
      <c r="AF507" t="str">
        <f t="shared" si="167"/>
        <v/>
      </c>
      <c r="AG507" t="str">
        <f t="shared" si="168"/>
        <v/>
      </c>
      <c r="AH507" t="str">
        <f t="shared" si="169"/>
        <v/>
      </c>
      <c r="AI507" t="str">
        <f t="shared" si="170"/>
        <v/>
      </c>
      <c r="AJ507" t="str">
        <f t="shared" si="171"/>
        <v/>
      </c>
      <c r="AK507" t="str">
        <f t="shared" si="172"/>
        <v/>
      </c>
      <c r="AL507" t="str">
        <f>IFERROR(ROUND(L507*(G507/$AU507)/VLOOKUP(F507,商品!$A$4:$B$60,2,FALSE),0),"")</f>
        <v/>
      </c>
      <c r="AM507" t="str">
        <f>IFERROR(ROUND(L507*(I507/$AU507)/VLOOKUP(H507,商品!$A$4:$B$60,2,FALSE),0),"")</f>
        <v/>
      </c>
      <c r="AN507">
        <f>IFERROR(ROUND(L507*(J507/$AU507)/VLOOKUP("运力",商品!$A$4:$B$60,2,FALSE),0),0)</f>
        <v>0</v>
      </c>
      <c r="AO507">
        <f>IFERROR(ROUND(L507*(K507/$AU507)/VLOOKUP("交易",商品!$A$4:$B$60,2,FALSE),0),0)</f>
        <v>0</v>
      </c>
      <c r="AP507" t="str">
        <f>IFERROR(ROUND(S507*(N507/$AV507)/VLOOKUP(M507,职业!$A$4:$G$16,4,FALSE),0),"")</f>
        <v/>
      </c>
      <c r="AQ507" t="str">
        <f>IFERROR(ROUND(S507*(P507/$AV507)/VLOOKUP(O507,职业!$A$4:$G$16,4,FALSE),0),"")</f>
        <v/>
      </c>
      <c r="AR507" t="str">
        <f>IFERROR(ROUND(S507*(R507/$AV507)/VLOOKUP(Q507,职业!$A$4:$G$16,4,FALSE),0),"")</f>
        <v/>
      </c>
      <c r="AS507" t="str">
        <f>IFERROR(ROUND(X507*(U507/$AW507)/VLOOKUP(T507,商品!$A$4:$B$60,2,FALSE),0),"")</f>
        <v/>
      </c>
      <c r="AT507" t="str">
        <f>IFERROR(ROUND(X507*(W507/$AW507)/VLOOKUP(V507,商品!$A$4:$B$60,2,FALSE),0),"")</f>
        <v/>
      </c>
      <c r="AU507">
        <f t="shared" si="173"/>
        <v>0</v>
      </c>
      <c r="AV507">
        <f t="shared" si="174"/>
        <v>0</v>
      </c>
      <c r="AW507">
        <f t="shared" si="175"/>
        <v>0</v>
      </c>
    </row>
    <row r="508" spans="1:49" ht="19.95" customHeight="1" x14ac:dyDescent="0.25">
      <c r="A508" s="16" t="s">
        <v>289</v>
      </c>
      <c r="C508" s="16">
        <v>2</v>
      </c>
      <c r="D508" s="23" t="s">
        <v>282</v>
      </c>
      <c r="E508" s="23" t="s">
        <v>172</v>
      </c>
      <c r="L508" s="15">
        <f>IFERROR(VLOOKUP($D508&amp;$C508,生产方式定位!$A$2:$E$38,2,FALSE)+VLOOKUP($E508&amp;$C508,生产方式定位!$F$3:$J$38,2,FALSE),0)</f>
        <v>2900</v>
      </c>
      <c r="S508" s="15">
        <f>IFERROR(VLOOKUP($D508&amp;$C508,生产方式定位!$A$2:$E$38,3,FALSE)+VLOOKUP($E508&amp;$C508,生产方式定位!$F$3:$J$38,3,FALSE),0)</f>
        <v>100</v>
      </c>
      <c r="X508" s="15">
        <f>IFERROR(VLOOKUP($D508&amp;$C508,生产方式定位!$A$2:$E$38,5,FALSE)+VLOOKUP($E508&amp;$C508,生产方式定位!$F$3:$J$38,5,FALSE),"错误")</f>
        <v>4350</v>
      </c>
      <c r="Y508" s="26" t="str">
        <f t="shared" si="160"/>
        <v/>
      </c>
      <c r="Z508" s="36" t="str">
        <f t="shared" si="161"/>
        <v/>
      </c>
      <c r="AA508" s="36" t="str">
        <f t="shared" si="162"/>
        <v/>
      </c>
      <c r="AB508" s="27" t="str">
        <f t="shared" si="163"/>
        <v>50%</v>
      </c>
      <c r="AC508" s="2">
        <f t="shared" si="164"/>
        <v>1350</v>
      </c>
      <c r="AD508" s="37">
        <f t="shared" si="165"/>
        <v>2</v>
      </c>
      <c r="AE508" t="str">
        <f t="shared" si="166"/>
        <v/>
      </c>
      <c r="AF508" t="str">
        <f t="shared" si="167"/>
        <v/>
      </c>
      <c r="AG508" t="str">
        <f t="shared" si="168"/>
        <v/>
      </c>
      <c r="AH508" t="str">
        <f t="shared" si="169"/>
        <v/>
      </c>
      <c r="AI508" t="str">
        <f t="shared" si="170"/>
        <v/>
      </c>
      <c r="AJ508" t="str">
        <f t="shared" si="171"/>
        <v/>
      </c>
      <c r="AK508" t="str">
        <f t="shared" si="172"/>
        <v/>
      </c>
      <c r="AL508" t="str">
        <f>IFERROR(ROUND(L508*(G508/$AU508)/VLOOKUP(F508,商品!$A$4:$B$60,2,FALSE),0),"")</f>
        <v/>
      </c>
      <c r="AM508" t="str">
        <f>IFERROR(ROUND(L508*(I508/$AU508)/VLOOKUP(H508,商品!$A$4:$B$60,2,FALSE),0),"")</f>
        <v/>
      </c>
      <c r="AN508">
        <f>IFERROR(ROUND(L508*(J508/$AU508)/VLOOKUP("运力",商品!$A$4:$B$60,2,FALSE),0),0)</f>
        <v>0</v>
      </c>
      <c r="AO508">
        <f>IFERROR(ROUND(L508*(K508/$AU508)/VLOOKUP("交易",商品!$A$4:$B$60,2,FALSE),0),0)</f>
        <v>0</v>
      </c>
      <c r="AP508" t="str">
        <f>IFERROR(ROUND(S508*(N508/$AV508)/VLOOKUP(M508,职业!$A$4:$G$16,4,FALSE),0),"")</f>
        <v/>
      </c>
      <c r="AQ508" t="str">
        <f>IFERROR(ROUND(S508*(P508/$AV508)/VLOOKUP(O508,职业!$A$4:$G$16,4,FALSE),0),"")</f>
        <v/>
      </c>
      <c r="AR508" t="str">
        <f>IFERROR(ROUND(S508*(R508/$AV508)/VLOOKUP(Q508,职业!$A$4:$G$16,4,FALSE),0),"")</f>
        <v/>
      </c>
      <c r="AS508" t="str">
        <f>IFERROR(ROUND(X508*(U508/$AW508)/VLOOKUP(T508,商品!$A$4:$B$60,2,FALSE),0),"")</f>
        <v/>
      </c>
      <c r="AT508" t="str">
        <f>IFERROR(ROUND(X508*(W508/$AW508)/VLOOKUP(V508,商品!$A$4:$B$60,2,FALSE),0),"")</f>
        <v/>
      </c>
      <c r="AU508">
        <f t="shared" si="173"/>
        <v>0</v>
      </c>
      <c r="AV508">
        <f t="shared" si="174"/>
        <v>0</v>
      </c>
      <c r="AW508">
        <f t="shared" si="175"/>
        <v>0</v>
      </c>
    </row>
    <row r="509" spans="1:49" ht="19.95" customHeight="1" x14ac:dyDescent="0.25">
      <c r="A509" s="16" t="s">
        <v>289</v>
      </c>
      <c r="C509" s="16">
        <v>3</v>
      </c>
      <c r="D509" s="23" t="s">
        <v>282</v>
      </c>
      <c r="E509" s="23" t="s">
        <v>172</v>
      </c>
      <c r="L509" s="15">
        <f>IFERROR(VLOOKUP($D509&amp;$C509,生产方式定位!$A$2:$E$38,2,FALSE)+VLOOKUP($E509&amp;$C509,生产方式定位!$F$3:$J$38,2,FALSE),0)</f>
        <v>3425</v>
      </c>
      <c r="S509" s="15">
        <f>IFERROR(VLOOKUP($D509&amp;$C509,生产方式定位!$A$2:$E$38,3,FALSE)+VLOOKUP($E509&amp;$C509,生产方式定位!$F$3:$J$38,3,FALSE),0)</f>
        <v>100</v>
      </c>
      <c r="X509" s="15">
        <f>IFERROR(VLOOKUP($D509&amp;$C509,生产方式定位!$A$2:$E$38,5,FALSE)+VLOOKUP($E509&amp;$C509,生产方式定位!$F$3:$J$38,5,FALSE),"错误")</f>
        <v>5100</v>
      </c>
      <c r="Y509" s="26" t="str">
        <f t="shared" si="160"/>
        <v/>
      </c>
      <c r="Z509" s="36" t="str">
        <f t="shared" si="161"/>
        <v/>
      </c>
      <c r="AA509" s="36" t="str">
        <f t="shared" si="162"/>
        <v/>
      </c>
      <c r="AB509" s="27" t="str">
        <f t="shared" si="163"/>
        <v>49%</v>
      </c>
      <c r="AC509" s="2">
        <f t="shared" si="164"/>
        <v>1575</v>
      </c>
      <c r="AD509" s="37">
        <f t="shared" si="165"/>
        <v>3</v>
      </c>
      <c r="AE509" t="str">
        <f t="shared" si="166"/>
        <v/>
      </c>
      <c r="AF509" t="str">
        <f t="shared" si="167"/>
        <v/>
      </c>
      <c r="AG509" t="str">
        <f t="shared" si="168"/>
        <v/>
      </c>
      <c r="AH509" t="str">
        <f t="shared" si="169"/>
        <v/>
      </c>
      <c r="AI509" t="str">
        <f t="shared" si="170"/>
        <v/>
      </c>
      <c r="AJ509" t="str">
        <f t="shared" si="171"/>
        <v/>
      </c>
      <c r="AK509" t="str">
        <f t="shared" si="172"/>
        <v/>
      </c>
      <c r="AL509" t="str">
        <f>IFERROR(ROUND(L509*(G509/$AU509)/VLOOKUP(F509,商品!$A$4:$B$60,2,FALSE),0),"")</f>
        <v/>
      </c>
      <c r="AM509" t="str">
        <f>IFERROR(ROUND(L509*(I509/$AU509)/VLOOKUP(H509,商品!$A$4:$B$60,2,FALSE),0),"")</f>
        <v/>
      </c>
      <c r="AN509">
        <f>IFERROR(ROUND(L509*(J509/$AU509)/VLOOKUP("运力",商品!$A$4:$B$60,2,FALSE),0),0)</f>
        <v>0</v>
      </c>
      <c r="AO509">
        <f>IFERROR(ROUND(L509*(K509/$AU509)/VLOOKUP("交易",商品!$A$4:$B$60,2,FALSE),0),0)</f>
        <v>0</v>
      </c>
      <c r="AP509" t="str">
        <f>IFERROR(ROUND(S509*(N509/$AV509)/VLOOKUP(M509,职业!$A$4:$G$16,4,FALSE),0),"")</f>
        <v/>
      </c>
      <c r="AQ509" t="str">
        <f>IFERROR(ROUND(S509*(P509/$AV509)/VLOOKUP(O509,职业!$A$4:$G$16,4,FALSE),0),"")</f>
        <v/>
      </c>
      <c r="AR509" t="str">
        <f>IFERROR(ROUND(S509*(R509/$AV509)/VLOOKUP(Q509,职业!$A$4:$G$16,4,FALSE),0),"")</f>
        <v/>
      </c>
      <c r="AS509" t="str">
        <f>IFERROR(ROUND(X509*(U509/$AW509)/VLOOKUP(T509,商品!$A$4:$B$60,2,FALSE),0),"")</f>
        <v/>
      </c>
      <c r="AT509" t="str">
        <f>IFERROR(ROUND(X509*(W509/$AW509)/VLOOKUP(V509,商品!$A$4:$B$60,2,FALSE),0),"")</f>
        <v/>
      </c>
      <c r="AU509">
        <f t="shared" si="173"/>
        <v>0</v>
      </c>
      <c r="AV509">
        <f t="shared" si="174"/>
        <v>0</v>
      </c>
      <c r="AW509">
        <f t="shared" si="175"/>
        <v>0</v>
      </c>
    </row>
    <row r="510" spans="1:49" ht="19.95" customHeight="1" x14ac:dyDescent="0.25">
      <c r="A510" s="16" t="s">
        <v>289</v>
      </c>
      <c r="C510" s="16">
        <v>4</v>
      </c>
      <c r="D510" s="23" t="s">
        <v>282</v>
      </c>
      <c r="E510" s="23" t="s">
        <v>172</v>
      </c>
      <c r="L510" s="15">
        <f>IFERROR(VLOOKUP($D510&amp;$C510,生产方式定位!$A$2:$E$38,2,FALSE)+VLOOKUP($E510&amp;$C510,生产方式定位!$F$3:$J$38,2,FALSE),0)</f>
        <v>3950</v>
      </c>
      <c r="S510" s="15">
        <f>IFERROR(VLOOKUP($D510&amp;$C510,生产方式定位!$A$2:$E$38,3,FALSE)+VLOOKUP($E510&amp;$C510,生产方式定位!$F$3:$J$38,3,FALSE),0)</f>
        <v>100</v>
      </c>
      <c r="X510" s="15">
        <f>IFERROR(VLOOKUP($D510&amp;$C510,生产方式定位!$A$2:$E$38,5,FALSE)+VLOOKUP($E510&amp;$C510,生产方式定位!$F$3:$J$38,5,FALSE),"错误")</f>
        <v>5850</v>
      </c>
      <c r="Y510" s="26" t="str">
        <f t="shared" si="160"/>
        <v/>
      </c>
      <c r="Z510" s="36" t="str">
        <f t="shared" si="161"/>
        <v/>
      </c>
      <c r="AA510" s="36" t="str">
        <f t="shared" si="162"/>
        <v/>
      </c>
      <c r="AB510" s="27" t="str">
        <f t="shared" si="163"/>
        <v>48%</v>
      </c>
      <c r="AC510" s="2">
        <f t="shared" si="164"/>
        <v>1800</v>
      </c>
      <c r="AD510" s="37">
        <f t="shared" si="165"/>
        <v>4</v>
      </c>
      <c r="AE510" t="str">
        <f t="shared" si="166"/>
        <v/>
      </c>
      <c r="AF510" t="str">
        <f t="shared" si="167"/>
        <v/>
      </c>
      <c r="AG510" t="str">
        <f t="shared" si="168"/>
        <v/>
      </c>
      <c r="AH510" t="str">
        <f t="shared" si="169"/>
        <v/>
      </c>
      <c r="AI510" t="str">
        <f t="shared" si="170"/>
        <v/>
      </c>
      <c r="AJ510" t="str">
        <f t="shared" si="171"/>
        <v/>
      </c>
      <c r="AK510" t="str">
        <f t="shared" si="172"/>
        <v/>
      </c>
      <c r="AL510" t="str">
        <f>IFERROR(ROUND(L510*(G510/$AU510)/VLOOKUP(F510,商品!$A$4:$B$60,2,FALSE),0),"")</f>
        <v/>
      </c>
      <c r="AM510" t="str">
        <f>IFERROR(ROUND(L510*(I510/$AU510)/VLOOKUP(H510,商品!$A$4:$B$60,2,FALSE),0),"")</f>
        <v/>
      </c>
      <c r="AN510">
        <f>IFERROR(ROUND(L510*(J510/$AU510)/VLOOKUP("运力",商品!$A$4:$B$60,2,FALSE),0),0)</f>
        <v>0</v>
      </c>
      <c r="AO510">
        <f>IFERROR(ROUND(L510*(K510/$AU510)/VLOOKUP("交易",商品!$A$4:$B$60,2,FALSE),0),0)</f>
        <v>0</v>
      </c>
      <c r="AP510" t="str">
        <f>IFERROR(ROUND(S510*(N510/$AV510)/VLOOKUP(M510,职业!$A$4:$G$16,4,FALSE),0),"")</f>
        <v/>
      </c>
      <c r="AQ510" t="str">
        <f>IFERROR(ROUND(S510*(P510/$AV510)/VLOOKUP(O510,职业!$A$4:$G$16,4,FALSE),0),"")</f>
        <v/>
      </c>
      <c r="AR510" t="str">
        <f>IFERROR(ROUND(S510*(R510/$AV510)/VLOOKUP(Q510,职业!$A$4:$G$16,4,FALSE),0),"")</f>
        <v/>
      </c>
      <c r="AS510" t="str">
        <f>IFERROR(ROUND(X510*(U510/$AW510)/VLOOKUP(T510,商品!$A$4:$B$60,2,FALSE),0),"")</f>
        <v/>
      </c>
      <c r="AT510" t="str">
        <f>IFERROR(ROUND(X510*(W510/$AW510)/VLOOKUP(V510,商品!$A$4:$B$60,2,FALSE),0),"")</f>
        <v/>
      </c>
      <c r="AU510">
        <f t="shared" si="173"/>
        <v>0</v>
      </c>
      <c r="AV510">
        <f t="shared" si="174"/>
        <v>0</v>
      </c>
      <c r="AW510">
        <f t="shared" si="175"/>
        <v>0</v>
      </c>
    </row>
    <row r="511" spans="1:49" ht="19.95" customHeight="1" x14ac:dyDescent="0.25">
      <c r="A511" s="16" t="s">
        <v>289</v>
      </c>
      <c r="C511" s="16">
        <v>5</v>
      </c>
      <c r="D511" s="23" t="s">
        <v>282</v>
      </c>
      <c r="E511" s="23" t="s">
        <v>172</v>
      </c>
      <c r="L511" s="15">
        <f>IFERROR(VLOOKUP($D511&amp;$C511,生产方式定位!$A$2:$E$38,2,FALSE)+VLOOKUP($E511&amp;$C511,生产方式定位!$F$3:$J$38,2,FALSE),0)</f>
        <v>4475</v>
      </c>
      <c r="S511" s="15">
        <f>IFERROR(VLOOKUP($D511&amp;$C511,生产方式定位!$A$2:$E$38,3,FALSE)+VLOOKUP($E511&amp;$C511,生产方式定位!$F$3:$J$38,3,FALSE),0)</f>
        <v>100</v>
      </c>
      <c r="X511" s="15">
        <f>IFERROR(VLOOKUP($D511&amp;$C511,生产方式定位!$A$2:$E$38,5,FALSE)+VLOOKUP($E511&amp;$C511,生产方式定位!$F$3:$J$38,5,FALSE),"错误")</f>
        <v>6600</v>
      </c>
      <c r="Y511" s="26" t="str">
        <f t="shared" si="160"/>
        <v/>
      </c>
      <c r="Z511" s="36" t="str">
        <f t="shared" si="161"/>
        <v/>
      </c>
      <c r="AA511" s="36" t="str">
        <f t="shared" si="162"/>
        <v/>
      </c>
      <c r="AB511" s="27" t="str">
        <f t="shared" si="163"/>
        <v>47%</v>
      </c>
      <c r="AC511" s="2">
        <f t="shared" si="164"/>
        <v>2025</v>
      </c>
      <c r="AD511" s="37">
        <f t="shared" si="165"/>
        <v>5</v>
      </c>
      <c r="AE511" t="str">
        <f t="shared" si="166"/>
        <v/>
      </c>
      <c r="AF511" t="str">
        <f t="shared" si="167"/>
        <v/>
      </c>
      <c r="AG511" t="str">
        <f t="shared" si="168"/>
        <v/>
      </c>
      <c r="AH511" t="str">
        <f t="shared" si="169"/>
        <v/>
      </c>
      <c r="AI511" t="str">
        <f t="shared" si="170"/>
        <v/>
      </c>
      <c r="AJ511" t="str">
        <f t="shared" si="171"/>
        <v/>
      </c>
      <c r="AK511" t="str">
        <f t="shared" si="172"/>
        <v/>
      </c>
      <c r="AL511" t="str">
        <f>IFERROR(ROUND(L511*(G511/$AU511)/VLOOKUP(F511,商品!$A$4:$B$60,2,FALSE),0),"")</f>
        <v/>
      </c>
      <c r="AM511" t="str">
        <f>IFERROR(ROUND(L511*(I511/$AU511)/VLOOKUP(H511,商品!$A$4:$B$60,2,FALSE),0),"")</f>
        <v/>
      </c>
      <c r="AN511">
        <f>IFERROR(ROUND(L511*(J511/$AU511)/VLOOKUP("运力",商品!$A$4:$B$60,2,FALSE),0),0)</f>
        <v>0</v>
      </c>
      <c r="AO511">
        <f>IFERROR(ROUND(L511*(K511/$AU511)/VLOOKUP("交易",商品!$A$4:$B$60,2,FALSE),0),0)</f>
        <v>0</v>
      </c>
      <c r="AP511" t="str">
        <f>IFERROR(ROUND(S511*(N511/$AV511)/VLOOKUP(M511,职业!$A$4:$G$16,4,FALSE),0),"")</f>
        <v/>
      </c>
      <c r="AQ511" t="str">
        <f>IFERROR(ROUND(S511*(P511/$AV511)/VLOOKUP(O511,职业!$A$4:$G$16,4,FALSE),0),"")</f>
        <v/>
      </c>
      <c r="AR511" t="str">
        <f>IFERROR(ROUND(S511*(R511/$AV511)/VLOOKUP(Q511,职业!$A$4:$G$16,4,FALSE),0),"")</f>
        <v/>
      </c>
      <c r="AS511" t="str">
        <f>IFERROR(ROUND(X511*(U511/$AW511)/VLOOKUP(T511,商品!$A$4:$B$60,2,FALSE),0),"")</f>
        <v/>
      </c>
      <c r="AT511" t="str">
        <f>IFERROR(ROUND(X511*(W511/$AW511)/VLOOKUP(V511,商品!$A$4:$B$60,2,FALSE),0),"")</f>
        <v/>
      </c>
      <c r="AU511">
        <f t="shared" si="173"/>
        <v>0</v>
      </c>
      <c r="AV511">
        <f t="shared" si="174"/>
        <v>0</v>
      </c>
      <c r="AW511">
        <f t="shared" si="175"/>
        <v>0</v>
      </c>
    </row>
    <row r="512" spans="1:49" ht="19.95" customHeight="1" x14ac:dyDescent="0.25">
      <c r="A512" s="15" t="s">
        <v>290</v>
      </c>
      <c r="C512" s="15">
        <v>1</v>
      </c>
      <c r="D512" s="23" t="s">
        <v>174</v>
      </c>
      <c r="E512" s="23" t="s">
        <v>179</v>
      </c>
      <c r="L512" s="16">
        <f>IFERROR(VLOOKUP($D512&amp;$C512,生产方式定位!$A$2:$E$38,2,FALSE)+VLOOKUP($E512&amp;$C512,生产方式定位!$F$3:$J$38,2,FALSE),0)</f>
        <v>0</v>
      </c>
      <c r="S512" s="16">
        <f>IFERROR(VLOOKUP($D512&amp;$C512,生产方式定位!$A$2:$E$38,3,FALSE)+VLOOKUP($E512&amp;$C512,生产方式定位!$F$3:$J$38,3,FALSE),0)</f>
        <v>100</v>
      </c>
      <c r="X512" s="16">
        <f>IFERROR(VLOOKUP($D512&amp;$C512,生产方式定位!$A$2:$E$38,5,FALSE)+VLOOKUP($E512&amp;$C512,生产方式定位!$F$3:$J$38,5,FALSE),"错误")</f>
        <v>100</v>
      </c>
      <c r="Y512" s="26" t="str">
        <f t="shared" si="160"/>
        <v/>
      </c>
      <c r="Z512" s="36" t="str">
        <f t="shared" si="161"/>
        <v/>
      </c>
      <c r="AA512" s="36" t="str">
        <f t="shared" si="162"/>
        <v/>
      </c>
      <c r="AB512" s="27" t="str">
        <f t="shared" si="163"/>
        <v/>
      </c>
      <c r="AC512" s="2" t="str">
        <f t="shared" si="164"/>
        <v/>
      </c>
      <c r="AD512" s="38">
        <f t="shared" si="165"/>
        <v>1</v>
      </c>
      <c r="AE512" t="str">
        <f t="shared" si="166"/>
        <v/>
      </c>
      <c r="AF512" t="str">
        <f t="shared" si="167"/>
        <v/>
      </c>
      <c r="AG512" t="str">
        <f t="shared" si="168"/>
        <v/>
      </c>
      <c r="AH512" t="str">
        <f t="shared" si="169"/>
        <v/>
      </c>
      <c r="AI512" t="str">
        <f t="shared" si="170"/>
        <v/>
      </c>
      <c r="AJ512" t="str">
        <f t="shared" si="171"/>
        <v/>
      </c>
      <c r="AK512" t="str">
        <f t="shared" si="172"/>
        <v/>
      </c>
      <c r="AL512" t="str">
        <f>IFERROR(ROUND(L512*(G512/$AU512)/VLOOKUP(F512,商品!$A$4:$B$60,2,FALSE),0),"")</f>
        <v/>
      </c>
      <c r="AM512" t="str">
        <f>IFERROR(ROUND(L512*(I512/$AU512)/VLOOKUP(H512,商品!$A$4:$B$60,2,FALSE),0),"")</f>
        <v/>
      </c>
      <c r="AN512">
        <f>IFERROR(ROUND(L512*(J512/$AU512)/VLOOKUP("运力",商品!$A$4:$B$60,2,FALSE),0),0)</f>
        <v>0</v>
      </c>
      <c r="AO512">
        <f>IFERROR(ROUND(L512*(K512/$AU512)/VLOOKUP("交易",商品!$A$4:$B$60,2,FALSE),0),0)</f>
        <v>0</v>
      </c>
      <c r="AP512" t="str">
        <f>IFERROR(ROUND(S512*(N512/$AV512)/VLOOKUP(M512,职业!$A$4:$G$16,4,FALSE),0),"")</f>
        <v/>
      </c>
      <c r="AQ512" t="str">
        <f>IFERROR(ROUND(S512*(P512/$AV512)/VLOOKUP(O512,职业!$A$4:$G$16,4,FALSE),0),"")</f>
        <v/>
      </c>
      <c r="AR512" t="str">
        <f>IFERROR(ROUND(S512*(R512/$AV512)/VLOOKUP(Q512,职业!$A$4:$G$16,4,FALSE),0),"")</f>
        <v/>
      </c>
      <c r="AS512" t="str">
        <f>IFERROR(ROUND(X512*(U512/$AW512)/VLOOKUP(T512,商品!$A$4:$B$60,2,FALSE),0),"")</f>
        <v/>
      </c>
      <c r="AT512" t="str">
        <f>IFERROR(ROUND(X512*(W512/$AW512)/VLOOKUP(V512,商品!$A$4:$B$60,2,FALSE),0),"")</f>
        <v/>
      </c>
      <c r="AU512">
        <f t="shared" si="173"/>
        <v>0</v>
      </c>
      <c r="AV512">
        <f t="shared" si="174"/>
        <v>0</v>
      </c>
      <c r="AW512">
        <f t="shared" si="175"/>
        <v>0</v>
      </c>
    </row>
    <row r="513" spans="1:49" ht="19.95" customHeight="1" x14ac:dyDescent="0.25">
      <c r="A513" s="15" t="s">
        <v>290</v>
      </c>
      <c r="C513" s="15">
        <v>2</v>
      </c>
      <c r="D513" s="23" t="s">
        <v>174</v>
      </c>
      <c r="E513" s="23" t="s">
        <v>179</v>
      </c>
      <c r="L513" s="16">
        <f>IFERROR(VLOOKUP($D513&amp;$C513,生产方式定位!$A$2:$E$38,2,FALSE)+VLOOKUP($E513&amp;$C513,生产方式定位!$F$3:$J$38,2,FALSE),0)</f>
        <v>0</v>
      </c>
      <c r="S513" s="16">
        <f>IFERROR(VLOOKUP($D513&amp;$C513,生产方式定位!$A$2:$E$38,3,FALSE)+VLOOKUP($E513&amp;$C513,生产方式定位!$F$3:$J$38,3,FALSE),0)</f>
        <v>100</v>
      </c>
      <c r="X513" s="16">
        <f>IFERROR(VLOOKUP($D513&amp;$C513,生产方式定位!$A$2:$E$38,5,FALSE)+VLOOKUP($E513&amp;$C513,生产方式定位!$F$3:$J$38,5,FALSE),"错误")</f>
        <v>100</v>
      </c>
      <c r="Y513" s="26" t="str">
        <f t="shared" si="160"/>
        <v/>
      </c>
      <c r="Z513" s="36" t="str">
        <f t="shared" si="161"/>
        <v/>
      </c>
      <c r="AA513" s="36" t="str">
        <f t="shared" si="162"/>
        <v/>
      </c>
      <c r="AB513" s="27" t="str">
        <f t="shared" si="163"/>
        <v/>
      </c>
      <c r="AC513" s="2" t="str">
        <f t="shared" si="164"/>
        <v/>
      </c>
      <c r="AD513" s="38">
        <f t="shared" si="165"/>
        <v>2</v>
      </c>
      <c r="AE513" t="str">
        <f t="shared" si="166"/>
        <v/>
      </c>
      <c r="AF513" t="str">
        <f t="shared" si="167"/>
        <v/>
      </c>
      <c r="AG513" t="str">
        <f t="shared" si="168"/>
        <v/>
      </c>
      <c r="AH513" t="str">
        <f t="shared" si="169"/>
        <v/>
      </c>
      <c r="AI513" t="str">
        <f t="shared" si="170"/>
        <v/>
      </c>
      <c r="AJ513" t="str">
        <f t="shared" si="171"/>
        <v/>
      </c>
      <c r="AK513" t="str">
        <f t="shared" si="172"/>
        <v/>
      </c>
      <c r="AL513" t="str">
        <f>IFERROR(ROUND(L513*(G513/$AU513)/VLOOKUP(F513,商品!$A$4:$B$60,2,FALSE),0),"")</f>
        <v/>
      </c>
      <c r="AM513" t="str">
        <f>IFERROR(ROUND(L513*(I513/$AU513)/VLOOKUP(H513,商品!$A$4:$B$60,2,FALSE),0),"")</f>
        <v/>
      </c>
      <c r="AN513">
        <f>IFERROR(ROUND(L513*(J513/$AU513)/VLOOKUP("运力",商品!$A$4:$B$60,2,FALSE),0),0)</f>
        <v>0</v>
      </c>
      <c r="AO513">
        <f>IFERROR(ROUND(L513*(K513/$AU513)/VLOOKUP("交易",商品!$A$4:$B$60,2,FALSE),0),0)</f>
        <v>0</v>
      </c>
      <c r="AP513" t="str">
        <f>IFERROR(ROUND(S513*(N513/$AV513)/VLOOKUP(M513,职业!$A$4:$G$16,4,FALSE),0),"")</f>
        <v/>
      </c>
      <c r="AQ513" t="str">
        <f>IFERROR(ROUND(S513*(P513/$AV513)/VLOOKUP(O513,职业!$A$4:$G$16,4,FALSE),0),"")</f>
        <v/>
      </c>
      <c r="AR513" t="str">
        <f>IFERROR(ROUND(S513*(R513/$AV513)/VLOOKUP(Q513,职业!$A$4:$G$16,4,FALSE),0),"")</f>
        <v/>
      </c>
      <c r="AS513" t="str">
        <f>IFERROR(ROUND(X513*(U513/$AW513)/VLOOKUP(T513,商品!$A$4:$B$60,2,FALSE),0),"")</f>
        <v/>
      </c>
      <c r="AT513" t="str">
        <f>IFERROR(ROUND(X513*(W513/$AW513)/VLOOKUP(V513,商品!$A$4:$B$60,2,FALSE),0),"")</f>
        <v/>
      </c>
      <c r="AU513">
        <f t="shared" si="173"/>
        <v>0</v>
      </c>
      <c r="AV513">
        <f t="shared" si="174"/>
        <v>0</v>
      </c>
      <c r="AW513">
        <f t="shared" si="175"/>
        <v>0</v>
      </c>
    </row>
    <row r="514" spans="1:49" ht="19.95" customHeight="1" x14ac:dyDescent="0.25">
      <c r="A514" s="15" t="s">
        <v>290</v>
      </c>
      <c r="C514" s="15">
        <v>3</v>
      </c>
      <c r="D514" s="23" t="s">
        <v>174</v>
      </c>
      <c r="E514" s="23" t="s">
        <v>179</v>
      </c>
      <c r="L514" s="16">
        <f>IFERROR(VLOOKUP($D514&amp;$C514,生产方式定位!$A$2:$E$38,2,FALSE)+VLOOKUP($E514&amp;$C514,生产方式定位!$F$3:$J$38,2,FALSE),0)</f>
        <v>0</v>
      </c>
      <c r="S514" s="16">
        <f>IFERROR(VLOOKUP($D514&amp;$C514,生产方式定位!$A$2:$E$38,3,FALSE)+VLOOKUP($E514&amp;$C514,生产方式定位!$F$3:$J$38,3,FALSE),0)</f>
        <v>100</v>
      </c>
      <c r="X514" s="16">
        <f>IFERROR(VLOOKUP($D514&amp;$C514,生产方式定位!$A$2:$E$38,5,FALSE)+VLOOKUP($E514&amp;$C514,生产方式定位!$F$3:$J$38,5,FALSE),"错误")</f>
        <v>100</v>
      </c>
      <c r="Y514" s="26" t="str">
        <f t="shared" si="160"/>
        <v/>
      </c>
      <c r="Z514" s="36" t="str">
        <f t="shared" si="161"/>
        <v/>
      </c>
      <c r="AA514" s="36" t="str">
        <f t="shared" si="162"/>
        <v/>
      </c>
      <c r="AB514" s="27" t="str">
        <f t="shared" si="163"/>
        <v/>
      </c>
      <c r="AC514" s="2" t="str">
        <f t="shared" si="164"/>
        <v/>
      </c>
      <c r="AD514" s="38">
        <f t="shared" si="165"/>
        <v>3</v>
      </c>
      <c r="AE514" t="str">
        <f t="shared" si="166"/>
        <v/>
      </c>
      <c r="AF514" t="str">
        <f t="shared" si="167"/>
        <v/>
      </c>
      <c r="AG514" t="str">
        <f t="shared" si="168"/>
        <v/>
      </c>
      <c r="AH514" t="str">
        <f t="shared" si="169"/>
        <v/>
      </c>
      <c r="AI514" t="str">
        <f t="shared" si="170"/>
        <v/>
      </c>
      <c r="AJ514" t="str">
        <f t="shared" si="171"/>
        <v/>
      </c>
      <c r="AK514" t="str">
        <f t="shared" si="172"/>
        <v/>
      </c>
      <c r="AL514" t="str">
        <f>IFERROR(ROUND(L514*(G514/$AU514)/VLOOKUP(F514,商品!$A$4:$B$60,2,FALSE),0),"")</f>
        <v/>
      </c>
      <c r="AM514" t="str">
        <f>IFERROR(ROUND(L514*(I514/$AU514)/VLOOKUP(H514,商品!$A$4:$B$60,2,FALSE),0),"")</f>
        <v/>
      </c>
      <c r="AN514">
        <f>IFERROR(ROUND(L514*(J514/$AU514)/VLOOKUP("运力",商品!$A$4:$B$60,2,FALSE),0),0)</f>
        <v>0</v>
      </c>
      <c r="AO514">
        <f>IFERROR(ROUND(L514*(K514/$AU514)/VLOOKUP("交易",商品!$A$4:$B$60,2,FALSE),0),0)</f>
        <v>0</v>
      </c>
      <c r="AP514" t="str">
        <f>IFERROR(ROUND(S514*(N514/$AV514)/VLOOKUP(M514,职业!$A$4:$G$16,4,FALSE),0),"")</f>
        <v/>
      </c>
      <c r="AQ514" t="str">
        <f>IFERROR(ROUND(S514*(P514/$AV514)/VLOOKUP(O514,职业!$A$4:$G$16,4,FALSE),0),"")</f>
        <v/>
      </c>
      <c r="AR514" t="str">
        <f>IFERROR(ROUND(S514*(R514/$AV514)/VLOOKUP(Q514,职业!$A$4:$G$16,4,FALSE),0),"")</f>
        <v/>
      </c>
      <c r="AS514" t="str">
        <f>IFERROR(ROUND(X514*(U514/$AW514)/VLOOKUP(T514,商品!$A$4:$B$60,2,FALSE),0),"")</f>
        <v/>
      </c>
      <c r="AT514" t="str">
        <f>IFERROR(ROUND(X514*(W514/$AW514)/VLOOKUP(V514,商品!$A$4:$B$60,2,FALSE),0),"")</f>
        <v/>
      </c>
      <c r="AU514">
        <f t="shared" si="173"/>
        <v>0</v>
      </c>
      <c r="AV514">
        <f t="shared" si="174"/>
        <v>0</v>
      </c>
      <c r="AW514">
        <f t="shared" si="175"/>
        <v>0</v>
      </c>
    </row>
    <row r="515" spans="1:49" ht="19.95" customHeight="1" x14ac:dyDescent="0.25">
      <c r="A515" s="15" t="s">
        <v>290</v>
      </c>
      <c r="C515" s="15">
        <v>4</v>
      </c>
      <c r="D515" s="23" t="s">
        <v>174</v>
      </c>
      <c r="E515" s="23" t="s">
        <v>179</v>
      </c>
      <c r="L515" s="16">
        <f>IFERROR(VLOOKUP($D515&amp;$C515,生产方式定位!$A$2:$E$38,2,FALSE)+VLOOKUP($E515&amp;$C515,生产方式定位!$F$3:$J$38,2,FALSE),0)</f>
        <v>0</v>
      </c>
      <c r="S515" s="16">
        <f>IFERROR(VLOOKUP($D515&amp;$C515,生产方式定位!$A$2:$E$38,3,FALSE)+VLOOKUP($E515&amp;$C515,生产方式定位!$F$3:$J$38,3,FALSE),0)</f>
        <v>100</v>
      </c>
      <c r="X515" s="16">
        <f>IFERROR(VLOOKUP($D515&amp;$C515,生产方式定位!$A$2:$E$38,5,FALSE)+VLOOKUP($E515&amp;$C515,生产方式定位!$F$3:$J$38,5,FALSE),"错误")</f>
        <v>100</v>
      </c>
      <c r="Y515" s="26" t="str">
        <f t="shared" si="160"/>
        <v/>
      </c>
      <c r="Z515" s="36" t="str">
        <f t="shared" si="161"/>
        <v/>
      </c>
      <c r="AA515" s="36" t="str">
        <f t="shared" si="162"/>
        <v/>
      </c>
      <c r="AB515" s="27" t="str">
        <f t="shared" si="163"/>
        <v/>
      </c>
      <c r="AC515" s="2" t="str">
        <f t="shared" si="164"/>
        <v/>
      </c>
      <c r="AD515" s="38">
        <f t="shared" si="165"/>
        <v>4</v>
      </c>
      <c r="AE515" t="str">
        <f t="shared" si="166"/>
        <v/>
      </c>
      <c r="AF515" t="str">
        <f t="shared" si="167"/>
        <v/>
      </c>
      <c r="AG515" t="str">
        <f t="shared" si="168"/>
        <v/>
      </c>
      <c r="AH515" t="str">
        <f t="shared" si="169"/>
        <v/>
      </c>
      <c r="AI515" t="str">
        <f t="shared" si="170"/>
        <v/>
      </c>
      <c r="AJ515" t="str">
        <f t="shared" si="171"/>
        <v/>
      </c>
      <c r="AK515" t="str">
        <f t="shared" si="172"/>
        <v/>
      </c>
      <c r="AL515" t="str">
        <f>IFERROR(ROUND(L515*(G515/$AU515)/VLOOKUP(F515,商品!$A$4:$B$60,2,FALSE),0),"")</f>
        <v/>
      </c>
      <c r="AM515" t="str">
        <f>IFERROR(ROUND(L515*(I515/$AU515)/VLOOKUP(H515,商品!$A$4:$B$60,2,FALSE),0),"")</f>
        <v/>
      </c>
      <c r="AN515">
        <f>IFERROR(ROUND(L515*(J515/$AU515)/VLOOKUP("运力",商品!$A$4:$B$60,2,FALSE),0),0)</f>
        <v>0</v>
      </c>
      <c r="AO515">
        <f>IFERROR(ROUND(L515*(K515/$AU515)/VLOOKUP("交易",商品!$A$4:$B$60,2,FALSE),0),0)</f>
        <v>0</v>
      </c>
      <c r="AP515" t="str">
        <f>IFERROR(ROUND(S515*(N515/$AV515)/VLOOKUP(M515,职业!$A$4:$G$16,4,FALSE),0),"")</f>
        <v/>
      </c>
      <c r="AQ515" t="str">
        <f>IFERROR(ROUND(S515*(P515/$AV515)/VLOOKUP(O515,职业!$A$4:$G$16,4,FALSE),0),"")</f>
        <v/>
      </c>
      <c r="AR515" t="str">
        <f>IFERROR(ROUND(S515*(R515/$AV515)/VLOOKUP(Q515,职业!$A$4:$G$16,4,FALSE),0),"")</f>
        <v/>
      </c>
      <c r="AS515" t="str">
        <f>IFERROR(ROUND(X515*(U515/$AW515)/VLOOKUP(T515,商品!$A$4:$B$60,2,FALSE),0),"")</f>
        <v/>
      </c>
      <c r="AT515" t="str">
        <f>IFERROR(ROUND(X515*(W515/$AW515)/VLOOKUP(V515,商品!$A$4:$B$60,2,FALSE),0),"")</f>
        <v/>
      </c>
      <c r="AU515">
        <f t="shared" si="173"/>
        <v>0</v>
      </c>
      <c r="AV515">
        <f t="shared" si="174"/>
        <v>0</v>
      </c>
      <c r="AW515">
        <f t="shared" si="175"/>
        <v>0</v>
      </c>
    </row>
    <row r="516" spans="1:49" ht="19.95" customHeight="1" x14ac:dyDescent="0.25">
      <c r="A516" s="15" t="s">
        <v>290</v>
      </c>
      <c r="C516" s="15">
        <v>5</v>
      </c>
      <c r="D516" s="23" t="s">
        <v>174</v>
      </c>
      <c r="E516" s="23" t="s">
        <v>179</v>
      </c>
      <c r="L516" s="16">
        <f>IFERROR(VLOOKUP($D516&amp;$C516,生产方式定位!$A$2:$E$38,2,FALSE)+VLOOKUP($E516&amp;$C516,生产方式定位!$F$3:$J$38,2,FALSE),0)</f>
        <v>0</v>
      </c>
      <c r="S516" s="16">
        <f>IFERROR(VLOOKUP($D516&amp;$C516,生产方式定位!$A$2:$E$38,3,FALSE)+VLOOKUP($E516&amp;$C516,生产方式定位!$F$3:$J$38,3,FALSE),0)</f>
        <v>100</v>
      </c>
      <c r="X516" s="16">
        <f>IFERROR(VLOOKUP($D516&amp;$C516,生产方式定位!$A$2:$E$38,5,FALSE)+VLOOKUP($E516&amp;$C516,生产方式定位!$F$3:$J$38,5,FALSE),"错误")</f>
        <v>100</v>
      </c>
      <c r="Y516" s="26" t="str">
        <f t="shared" si="160"/>
        <v/>
      </c>
      <c r="Z516" s="36" t="str">
        <f t="shared" si="161"/>
        <v/>
      </c>
      <c r="AA516" s="36" t="str">
        <f t="shared" si="162"/>
        <v/>
      </c>
      <c r="AB516" s="27" t="str">
        <f t="shared" si="163"/>
        <v/>
      </c>
      <c r="AC516" s="2" t="str">
        <f t="shared" si="164"/>
        <v/>
      </c>
      <c r="AD516" s="38">
        <f t="shared" si="165"/>
        <v>5</v>
      </c>
      <c r="AE516" t="str">
        <f t="shared" si="166"/>
        <v/>
      </c>
      <c r="AF516" t="str">
        <f t="shared" si="167"/>
        <v/>
      </c>
      <c r="AG516" t="str">
        <f t="shared" si="168"/>
        <v/>
      </c>
      <c r="AH516" t="str">
        <f t="shared" si="169"/>
        <v/>
      </c>
      <c r="AI516" t="str">
        <f t="shared" si="170"/>
        <v/>
      </c>
      <c r="AJ516" t="str">
        <f t="shared" si="171"/>
        <v/>
      </c>
      <c r="AK516" t="str">
        <f t="shared" si="172"/>
        <v/>
      </c>
      <c r="AL516" t="str">
        <f>IFERROR(ROUND(L516*(G516/$AU516)/VLOOKUP(F516,商品!$A$4:$B$60,2,FALSE),0),"")</f>
        <v/>
      </c>
      <c r="AM516" t="str">
        <f>IFERROR(ROUND(L516*(I516/$AU516)/VLOOKUP(H516,商品!$A$4:$B$60,2,FALSE),0),"")</f>
        <v/>
      </c>
      <c r="AN516">
        <f>IFERROR(ROUND(L516*(J516/$AU516)/VLOOKUP("运力",商品!$A$4:$B$60,2,FALSE),0),0)</f>
        <v>0</v>
      </c>
      <c r="AO516">
        <f>IFERROR(ROUND(L516*(K516/$AU516)/VLOOKUP("交易",商品!$A$4:$B$60,2,FALSE),0),0)</f>
        <v>0</v>
      </c>
      <c r="AP516" t="str">
        <f>IFERROR(ROUND(S516*(N516/$AV516)/VLOOKUP(M516,职业!$A$4:$G$16,4,FALSE),0),"")</f>
        <v/>
      </c>
      <c r="AQ516" t="str">
        <f>IFERROR(ROUND(S516*(P516/$AV516)/VLOOKUP(O516,职业!$A$4:$G$16,4,FALSE),0),"")</f>
        <v/>
      </c>
      <c r="AR516" t="str">
        <f>IFERROR(ROUND(S516*(R516/$AV516)/VLOOKUP(Q516,职业!$A$4:$G$16,4,FALSE),0),"")</f>
        <v/>
      </c>
      <c r="AS516" t="str">
        <f>IFERROR(ROUND(X516*(U516/$AW516)/VLOOKUP(T516,商品!$A$4:$B$60,2,FALSE),0),"")</f>
        <v/>
      </c>
      <c r="AT516" t="str">
        <f>IFERROR(ROUND(X516*(W516/$AW516)/VLOOKUP(V516,商品!$A$4:$B$60,2,FALSE),0),"")</f>
        <v/>
      </c>
      <c r="AU516">
        <f t="shared" si="173"/>
        <v>0</v>
      </c>
      <c r="AV516">
        <f t="shared" si="174"/>
        <v>0</v>
      </c>
      <c r="AW516">
        <f t="shared" si="175"/>
        <v>0</v>
      </c>
    </row>
    <row r="517" spans="1:49" ht="19.95" customHeight="1" x14ac:dyDescent="0.25">
      <c r="A517" s="16" t="s">
        <v>292</v>
      </c>
      <c r="C517" s="16">
        <v>1</v>
      </c>
      <c r="D517" s="23" t="s">
        <v>282</v>
      </c>
      <c r="E517" s="23" t="s">
        <v>172</v>
      </c>
      <c r="L517" s="15">
        <f>IFERROR(VLOOKUP($D517&amp;$C517,生产方式定位!$A$2:$E$38,2,FALSE)+VLOOKUP($E517&amp;$C517,生产方式定位!$F$3:$J$38,2,FALSE),0)</f>
        <v>2000</v>
      </c>
      <c r="S517" s="15">
        <f>IFERROR(VLOOKUP($D517&amp;$C517,生产方式定位!$A$2:$E$38,3,FALSE)+VLOOKUP($E517&amp;$C517,生产方式定位!$F$3:$J$38,3,FALSE),0)</f>
        <v>100</v>
      </c>
      <c r="X517" s="15">
        <f>IFERROR(VLOOKUP($D517&amp;$C517,生产方式定位!$A$2:$E$38,5,FALSE)+VLOOKUP($E517&amp;$C517,生产方式定位!$F$3:$J$38,5,FALSE),"错误")</f>
        <v>3150</v>
      </c>
      <c r="Y517" s="26" t="str">
        <f t="shared" si="160"/>
        <v/>
      </c>
      <c r="Z517" s="36" t="str">
        <f t="shared" si="161"/>
        <v/>
      </c>
      <c r="AA517" s="36" t="str">
        <f t="shared" si="162"/>
        <v/>
      </c>
      <c r="AB517" s="27" t="str">
        <f t="shared" si="163"/>
        <v>58%</v>
      </c>
      <c r="AC517" s="2">
        <f t="shared" si="164"/>
        <v>1050</v>
      </c>
      <c r="AD517" s="37">
        <f t="shared" si="165"/>
        <v>1</v>
      </c>
      <c r="AE517" t="str">
        <f t="shared" si="166"/>
        <v/>
      </c>
      <c r="AF517" t="str">
        <f t="shared" si="167"/>
        <v/>
      </c>
      <c r="AG517" t="str">
        <f t="shared" si="168"/>
        <v/>
      </c>
      <c r="AH517" t="str">
        <f t="shared" si="169"/>
        <v/>
      </c>
      <c r="AI517" t="str">
        <f t="shared" si="170"/>
        <v/>
      </c>
      <c r="AJ517" t="str">
        <f t="shared" si="171"/>
        <v/>
      </c>
      <c r="AK517" t="str">
        <f t="shared" si="172"/>
        <v/>
      </c>
      <c r="AL517" t="str">
        <f>IFERROR(ROUND(L517*(G517/$AU517)/VLOOKUP(F517,商品!$A$4:$B$60,2,FALSE),0),"")</f>
        <v/>
      </c>
      <c r="AM517" t="str">
        <f>IFERROR(ROUND(L517*(I517/$AU517)/VLOOKUP(H517,商品!$A$4:$B$60,2,FALSE),0),"")</f>
        <v/>
      </c>
      <c r="AN517">
        <f>IFERROR(ROUND(L517*(J517/$AU517)/VLOOKUP("运力",商品!$A$4:$B$60,2,FALSE),0),0)</f>
        <v>0</v>
      </c>
      <c r="AO517">
        <f>IFERROR(ROUND(L517*(K517/$AU517)/VLOOKUP("交易",商品!$A$4:$B$60,2,FALSE),0),0)</f>
        <v>0</v>
      </c>
      <c r="AP517" t="str">
        <f>IFERROR(ROUND(S517*(N517/$AV517)/VLOOKUP(M517,职业!$A$4:$G$16,4,FALSE),0),"")</f>
        <v/>
      </c>
      <c r="AQ517" t="str">
        <f>IFERROR(ROUND(S517*(P517/$AV517)/VLOOKUP(O517,职业!$A$4:$G$16,4,FALSE),0),"")</f>
        <v/>
      </c>
      <c r="AR517" t="str">
        <f>IFERROR(ROUND(S517*(R517/$AV517)/VLOOKUP(Q517,职业!$A$4:$G$16,4,FALSE),0),"")</f>
        <v/>
      </c>
      <c r="AS517" t="str">
        <f>IFERROR(ROUND(X517*(U517/$AW517)/VLOOKUP(T517,商品!$A$4:$B$60,2,FALSE),0),"")</f>
        <v/>
      </c>
      <c r="AT517" t="str">
        <f>IFERROR(ROUND(X517*(W517/$AW517)/VLOOKUP(V517,商品!$A$4:$B$60,2,FALSE),0),"")</f>
        <v/>
      </c>
      <c r="AU517">
        <f t="shared" si="173"/>
        <v>0</v>
      </c>
      <c r="AV517">
        <f t="shared" si="174"/>
        <v>0</v>
      </c>
      <c r="AW517">
        <f t="shared" si="175"/>
        <v>0</v>
      </c>
    </row>
    <row r="518" spans="1:49" ht="19.95" customHeight="1" x14ac:dyDescent="0.25">
      <c r="A518" s="16" t="s">
        <v>292</v>
      </c>
      <c r="C518" s="16">
        <v>2</v>
      </c>
      <c r="D518" s="23" t="s">
        <v>282</v>
      </c>
      <c r="E518" s="23" t="s">
        <v>172</v>
      </c>
      <c r="L518" s="15">
        <f>IFERROR(VLOOKUP($D518&amp;$C518,生产方式定位!$A$2:$E$38,2,FALSE)+VLOOKUP($E518&amp;$C518,生产方式定位!$F$3:$J$38,2,FALSE),0)</f>
        <v>2900</v>
      </c>
      <c r="S518" s="15">
        <f>IFERROR(VLOOKUP($D518&amp;$C518,生产方式定位!$A$2:$E$38,3,FALSE)+VLOOKUP($E518&amp;$C518,生产方式定位!$F$3:$J$38,3,FALSE),0)</f>
        <v>100</v>
      </c>
      <c r="X518" s="15">
        <f>IFERROR(VLOOKUP($D518&amp;$C518,生产方式定位!$A$2:$E$38,5,FALSE)+VLOOKUP($E518&amp;$C518,生产方式定位!$F$3:$J$38,5,FALSE),"错误")</f>
        <v>4350</v>
      </c>
      <c r="Y518" s="26" t="str">
        <f t="shared" si="160"/>
        <v/>
      </c>
      <c r="Z518" s="36" t="str">
        <f t="shared" si="161"/>
        <v/>
      </c>
      <c r="AA518" s="36" t="str">
        <f t="shared" si="162"/>
        <v/>
      </c>
      <c r="AB518" s="27" t="str">
        <f t="shared" si="163"/>
        <v>50%</v>
      </c>
      <c r="AC518" s="2">
        <f t="shared" si="164"/>
        <v>1350</v>
      </c>
      <c r="AD518" s="37">
        <f t="shared" si="165"/>
        <v>2</v>
      </c>
      <c r="AE518" t="str">
        <f t="shared" si="166"/>
        <v/>
      </c>
      <c r="AF518" t="str">
        <f t="shared" si="167"/>
        <v/>
      </c>
      <c r="AG518" t="str">
        <f t="shared" si="168"/>
        <v/>
      </c>
      <c r="AH518" t="str">
        <f t="shared" si="169"/>
        <v/>
      </c>
      <c r="AI518" t="str">
        <f t="shared" si="170"/>
        <v/>
      </c>
      <c r="AJ518" t="str">
        <f t="shared" si="171"/>
        <v/>
      </c>
      <c r="AK518" t="str">
        <f t="shared" si="172"/>
        <v/>
      </c>
      <c r="AL518" t="str">
        <f>IFERROR(ROUND(L518*(G518/$AU518)/VLOOKUP(F518,商品!$A$4:$B$60,2,FALSE),0),"")</f>
        <v/>
      </c>
      <c r="AM518" t="str">
        <f>IFERROR(ROUND(L518*(I518/$AU518)/VLOOKUP(H518,商品!$A$4:$B$60,2,FALSE),0),"")</f>
        <v/>
      </c>
      <c r="AN518">
        <f>IFERROR(ROUND(L518*(J518/$AU518)/VLOOKUP("运力",商品!$A$4:$B$60,2,FALSE),0),0)</f>
        <v>0</v>
      </c>
      <c r="AO518">
        <f>IFERROR(ROUND(L518*(K518/$AU518)/VLOOKUP("交易",商品!$A$4:$B$60,2,FALSE),0),0)</f>
        <v>0</v>
      </c>
      <c r="AP518" t="str">
        <f>IFERROR(ROUND(S518*(N518/$AV518)/VLOOKUP(M518,职业!$A$4:$G$16,4,FALSE),0),"")</f>
        <v/>
      </c>
      <c r="AQ518" t="str">
        <f>IFERROR(ROUND(S518*(P518/$AV518)/VLOOKUP(O518,职业!$A$4:$G$16,4,FALSE),0),"")</f>
        <v/>
      </c>
      <c r="AR518" t="str">
        <f>IFERROR(ROUND(S518*(R518/$AV518)/VLOOKUP(Q518,职业!$A$4:$G$16,4,FALSE),0),"")</f>
        <v/>
      </c>
      <c r="AS518" t="str">
        <f>IFERROR(ROUND(X518*(U518/$AW518)/VLOOKUP(T518,商品!$A$4:$B$60,2,FALSE),0),"")</f>
        <v/>
      </c>
      <c r="AT518" t="str">
        <f>IFERROR(ROUND(X518*(W518/$AW518)/VLOOKUP(V518,商品!$A$4:$B$60,2,FALSE),0),"")</f>
        <v/>
      </c>
      <c r="AU518">
        <f t="shared" si="173"/>
        <v>0</v>
      </c>
      <c r="AV518">
        <f t="shared" si="174"/>
        <v>0</v>
      </c>
      <c r="AW518">
        <f t="shared" si="175"/>
        <v>0</v>
      </c>
    </row>
    <row r="519" spans="1:49" ht="19.95" customHeight="1" x14ac:dyDescent="0.25">
      <c r="A519" s="16" t="s">
        <v>292</v>
      </c>
      <c r="C519" s="16">
        <v>3</v>
      </c>
      <c r="D519" s="23" t="s">
        <v>282</v>
      </c>
      <c r="E519" s="23" t="s">
        <v>172</v>
      </c>
      <c r="L519" s="15">
        <f>IFERROR(VLOOKUP($D519&amp;$C519,生产方式定位!$A$2:$E$38,2,FALSE)+VLOOKUP($E519&amp;$C519,生产方式定位!$F$3:$J$38,2,FALSE),0)</f>
        <v>3425</v>
      </c>
      <c r="S519" s="15">
        <f>IFERROR(VLOOKUP($D519&amp;$C519,生产方式定位!$A$2:$E$38,3,FALSE)+VLOOKUP($E519&amp;$C519,生产方式定位!$F$3:$J$38,3,FALSE),0)</f>
        <v>100</v>
      </c>
      <c r="X519" s="15">
        <f>IFERROR(VLOOKUP($D519&amp;$C519,生产方式定位!$A$2:$E$38,5,FALSE)+VLOOKUP($E519&amp;$C519,生产方式定位!$F$3:$J$38,5,FALSE),"错误")</f>
        <v>5100</v>
      </c>
      <c r="Y519" s="26" t="str">
        <f t="shared" si="160"/>
        <v/>
      </c>
      <c r="Z519" s="36" t="str">
        <f t="shared" si="161"/>
        <v/>
      </c>
      <c r="AA519" s="36" t="str">
        <f t="shared" si="162"/>
        <v/>
      </c>
      <c r="AB519" s="27" t="str">
        <f t="shared" si="163"/>
        <v>49%</v>
      </c>
      <c r="AC519" s="2">
        <f t="shared" si="164"/>
        <v>1575</v>
      </c>
      <c r="AD519" s="37">
        <f t="shared" si="165"/>
        <v>3</v>
      </c>
      <c r="AE519" t="str">
        <f t="shared" si="166"/>
        <v/>
      </c>
      <c r="AF519" t="str">
        <f t="shared" si="167"/>
        <v/>
      </c>
      <c r="AG519" t="str">
        <f t="shared" si="168"/>
        <v/>
      </c>
      <c r="AH519" t="str">
        <f t="shared" si="169"/>
        <v/>
      </c>
      <c r="AI519" t="str">
        <f t="shared" si="170"/>
        <v/>
      </c>
      <c r="AJ519" t="str">
        <f t="shared" si="171"/>
        <v/>
      </c>
      <c r="AK519" t="str">
        <f t="shared" si="172"/>
        <v/>
      </c>
      <c r="AL519" t="str">
        <f>IFERROR(ROUND(L519*(G519/$AU519)/VLOOKUP(F519,商品!$A$4:$B$60,2,FALSE),0),"")</f>
        <v/>
      </c>
      <c r="AM519" t="str">
        <f>IFERROR(ROUND(L519*(I519/$AU519)/VLOOKUP(H519,商品!$A$4:$B$60,2,FALSE),0),"")</f>
        <v/>
      </c>
      <c r="AN519">
        <f>IFERROR(ROUND(L519*(J519/$AU519)/VLOOKUP("运力",商品!$A$4:$B$60,2,FALSE),0),0)</f>
        <v>0</v>
      </c>
      <c r="AO519">
        <f>IFERROR(ROUND(L519*(K519/$AU519)/VLOOKUP("交易",商品!$A$4:$B$60,2,FALSE),0),0)</f>
        <v>0</v>
      </c>
      <c r="AP519" t="str">
        <f>IFERROR(ROUND(S519*(N519/$AV519)/VLOOKUP(M519,职业!$A$4:$G$16,4,FALSE),0),"")</f>
        <v/>
      </c>
      <c r="AQ519" t="str">
        <f>IFERROR(ROUND(S519*(P519/$AV519)/VLOOKUP(O519,职业!$A$4:$G$16,4,FALSE),0),"")</f>
        <v/>
      </c>
      <c r="AR519" t="str">
        <f>IFERROR(ROUND(S519*(R519/$AV519)/VLOOKUP(Q519,职业!$A$4:$G$16,4,FALSE),0),"")</f>
        <v/>
      </c>
      <c r="AS519" t="str">
        <f>IFERROR(ROUND(X519*(U519/$AW519)/VLOOKUP(T519,商品!$A$4:$B$60,2,FALSE),0),"")</f>
        <v/>
      </c>
      <c r="AT519" t="str">
        <f>IFERROR(ROUND(X519*(W519/$AW519)/VLOOKUP(V519,商品!$A$4:$B$60,2,FALSE),0),"")</f>
        <v/>
      </c>
      <c r="AU519">
        <f t="shared" si="173"/>
        <v>0</v>
      </c>
      <c r="AV519">
        <f t="shared" si="174"/>
        <v>0</v>
      </c>
      <c r="AW519">
        <f t="shared" si="175"/>
        <v>0</v>
      </c>
    </row>
    <row r="520" spans="1:49" ht="19.95" customHeight="1" x14ac:dyDescent="0.25">
      <c r="A520" s="16" t="s">
        <v>292</v>
      </c>
      <c r="C520" s="16">
        <v>4</v>
      </c>
      <c r="D520" s="23" t="s">
        <v>282</v>
      </c>
      <c r="E520" s="23" t="s">
        <v>172</v>
      </c>
      <c r="L520" s="15">
        <f>IFERROR(VLOOKUP($D520&amp;$C520,生产方式定位!$A$2:$E$38,2,FALSE)+VLOOKUP($E520&amp;$C520,生产方式定位!$F$3:$J$38,2,FALSE),0)</f>
        <v>3950</v>
      </c>
      <c r="S520" s="15">
        <f>IFERROR(VLOOKUP($D520&amp;$C520,生产方式定位!$A$2:$E$38,3,FALSE)+VLOOKUP($E520&amp;$C520,生产方式定位!$F$3:$J$38,3,FALSE),0)</f>
        <v>100</v>
      </c>
      <c r="X520" s="15">
        <f>IFERROR(VLOOKUP($D520&amp;$C520,生产方式定位!$A$2:$E$38,5,FALSE)+VLOOKUP($E520&amp;$C520,生产方式定位!$F$3:$J$38,5,FALSE),"错误")</f>
        <v>5850</v>
      </c>
      <c r="Y520" s="26" t="str">
        <f t="shared" si="160"/>
        <v/>
      </c>
      <c r="Z520" s="36" t="str">
        <f t="shared" si="161"/>
        <v/>
      </c>
      <c r="AA520" s="36" t="str">
        <f t="shared" si="162"/>
        <v/>
      </c>
      <c r="AB520" s="27" t="str">
        <f t="shared" si="163"/>
        <v>48%</v>
      </c>
      <c r="AC520" s="2">
        <f t="shared" si="164"/>
        <v>1800</v>
      </c>
      <c r="AD520" s="37">
        <f t="shared" si="165"/>
        <v>4</v>
      </c>
      <c r="AE520" t="str">
        <f t="shared" si="166"/>
        <v/>
      </c>
      <c r="AF520" t="str">
        <f t="shared" si="167"/>
        <v/>
      </c>
      <c r="AG520" t="str">
        <f t="shared" si="168"/>
        <v/>
      </c>
      <c r="AH520" t="str">
        <f t="shared" si="169"/>
        <v/>
      </c>
      <c r="AI520" t="str">
        <f t="shared" si="170"/>
        <v/>
      </c>
      <c r="AJ520" t="str">
        <f t="shared" si="171"/>
        <v/>
      </c>
      <c r="AK520" t="str">
        <f t="shared" si="172"/>
        <v/>
      </c>
      <c r="AL520" t="str">
        <f>IFERROR(ROUND(L520*(G520/$AU520)/VLOOKUP(F520,商品!$A$4:$B$60,2,FALSE),0),"")</f>
        <v/>
      </c>
      <c r="AM520" t="str">
        <f>IFERROR(ROUND(L520*(I520/$AU520)/VLOOKUP(H520,商品!$A$4:$B$60,2,FALSE),0),"")</f>
        <v/>
      </c>
      <c r="AN520">
        <f>IFERROR(ROUND(L520*(J520/$AU520)/VLOOKUP("运力",商品!$A$4:$B$60,2,FALSE),0),0)</f>
        <v>0</v>
      </c>
      <c r="AO520">
        <f>IFERROR(ROUND(L520*(K520/$AU520)/VLOOKUP("交易",商品!$A$4:$B$60,2,FALSE),0),0)</f>
        <v>0</v>
      </c>
      <c r="AP520" t="str">
        <f>IFERROR(ROUND(S520*(N520/$AV520)/VLOOKUP(M520,职业!$A$4:$G$16,4,FALSE),0),"")</f>
        <v/>
      </c>
      <c r="AQ520" t="str">
        <f>IFERROR(ROUND(S520*(P520/$AV520)/VLOOKUP(O520,职业!$A$4:$G$16,4,FALSE),0),"")</f>
        <v/>
      </c>
      <c r="AR520" t="str">
        <f>IFERROR(ROUND(S520*(R520/$AV520)/VLOOKUP(Q520,职业!$A$4:$G$16,4,FALSE),0),"")</f>
        <v/>
      </c>
      <c r="AS520" t="str">
        <f>IFERROR(ROUND(X520*(U520/$AW520)/VLOOKUP(T520,商品!$A$4:$B$60,2,FALSE),0),"")</f>
        <v/>
      </c>
      <c r="AT520" t="str">
        <f>IFERROR(ROUND(X520*(W520/$AW520)/VLOOKUP(V520,商品!$A$4:$B$60,2,FALSE),0),"")</f>
        <v/>
      </c>
      <c r="AU520">
        <f t="shared" si="173"/>
        <v>0</v>
      </c>
      <c r="AV520">
        <f t="shared" si="174"/>
        <v>0</v>
      </c>
      <c r="AW520">
        <f t="shared" si="175"/>
        <v>0</v>
      </c>
    </row>
    <row r="521" spans="1:49" ht="19.95" customHeight="1" x14ac:dyDescent="0.25">
      <c r="A521" s="16" t="s">
        <v>292</v>
      </c>
      <c r="C521" s="16">
        <v>5</v>
      </c>
      <c r="D521" s="23" t="s">
        <v>282</v>
      </c>
      <c r="E521" s="23" t="s">
        <v>172</v>
      </c>
      <c r="L521" s="15">
        <f>IFERROR(VLOOKUP($D521&amp;$C521,生产方式定位!$A$2:$E$38,2,FALSE)+VLOOKUP($E521&amp;$C521,生产方式定位!$F$3:$J$38,2,FALSE),0)</f>
        <v>4475</v>
      </c>
      <c r="S521" s="15">
        <f>IFERROR(VLOOKUP($D521&amp;$C521,生产方式定位!$A$2:$E$38,3,FALSE)+VLOOKUP($E521&amp;$C521,生产方式定位!$F$3:$J$38,3,FALSE),0)</f>
        <v>100</v>
      </c>
      <c r="X521" s="15">
        <f>IFERROR(VLOOKUP($D521&amp;$C521,生产方式定位!$A$2:$E$38,5,FALSE)+VLOOKUP($E521&amp;$C521,生产方式定位!$F$3:$J$38,5,FALSE),"错误")</f>
        <v>6600</v>
      </c>
      <c r="Y521" s="26" t="str">
        <f t="shared" si="160"/>
        <v/>
      </c>
      <c r="Z521" s="36" t="str">
        <f t="shared" si="161"/>
        <v/>
      </c>
      <c r="AA521" s="36" t="str">
        <f t="shared" si="162"/>
        <v/>
      </c>
      <c r="AB521" s="27" t="str">
        <f t="shared" si="163"/>
        <v>47%</v>
      </c>
      <c r="AC521" s="2">
        <f t="shared" si="164"/>
        <v>2025</v>
      </c>
      <c r="AD521" s="37">
        <f t="shared" si="165"/>
        <v>5</v>
      </c>
      <c r="AE521" t="str">
        <f t="shared" si="166"/>
        <v/>
      </c>
      <c r="AF521" t="str">
        <f t="shared" si="167"/>
        <v/>
      </c>
      <c r="AG521" t="str">
        <f t="shared" si="168"/>
        <v/>
      </c>
      <c r="AH521" t="str">
        <f t="shared" si="169"/>
        <v/>
      </c>
      <c r="AI521" t="str">
        <f t="shared" si="170"/>
        <v/>
      </c>
      <c r="AJ521" t="str">
        <f t="shared" si="171"/>
        <v/>
      </c>
      <c r="AK521" t="str">
        <f t="shared" si="172"/>
        <v/>
      </c>
      <c r="AL521" t="str">
        <f>IFERROR(ROUND(L521*(G521/$AU521)/VLOOKUP(F521,商品!$A$4:$B$60,2,FALSE),0),"")</f>
        <v/>
      </c>
      <c r="AM521" t="str">
        <f>IFERROR(ROUND(L521*(I521/$AU521)/VLOOKUP(H521,商品!$A$4:$B$60,2,FALSE),0),"")</f>
        <v/>
      </c>
      <c r="AN521">
        <f>IFERROR(ROUND(L521*(J521/$AU521)/VLOOKUP("运力",商品!$A$4:$B$60,2,FALSE),0),0)</f>
        <v>0</v>
      </c>
      <c r="AO521">
        <f>IFERROR(ROUND(L521*(K521/$AU521)/VLOOKUP("交易",商品!$A$4:$B$60,2,FALSE),0),0)</f>
        <v>0</v>
      </c>
      <c r="AP521" t="str">
        <f>IFERROR(ROUND(S521*(N521/$AV521)/VLOOKUP(M521,职业!$A$4:$G$16,4,FALSE),0),"")</f>
        <v/>
      </c>
      <c r="AQ521" t="str">
        <f>IFERROR(ROUND(S521*(P521/$AV521)/VLOOKUP(O521,职业!$A$4:$G$16,4,FALSE),0),"")</f>
        <v/>
      </c>
      <c r="AR521" t="str">
        <f>IFERROR(ROUND(S521*(R521/$AV521)/VLOOKUP(Q521,职业!$A$4:$G$16,4,FALSE),0),"")</f>
        <v/>
      </c>
      <c r="AS521" t="str">
        <f>IFERROR(ROUND(X521*(U521/$AW521)/VLOOKUP(T521,商品!$A$4:$B$60,2,FALSE),0),"")</f>
        <v/>
      </c>
      <c r="AT521" t="str">
        <f>IFERROR(ROUND(X521*(W521/$AW521)/VLOOKUP(V521,商品!$A$4:$B$60,2,FALSE),0),"")</f>
        <v/>
      </c>
      <c r="AU521">
        <f t="shared" si="173"/>
        <v>0</v>
      </c>
      <c r="AV521">
        <f t="shared" si="174"/>
        <v>0</v>
      </c>
      <c r="AW521">
        <f t="shared" si="175"/>
        <v>0</v>
      </c>
    </row>
    <row r="522" spans="1:49" ht="19.95" customHeight="1" x14ac:dyDescent="0.25">
      <c r="A522" s="15" t="s">
        <v>293</v>
      </c>
      <c r="C522" s="15">
        <v>1</v>
      </c>
      <c r="D522" s="23" t="s">
        <v>174</v>
      </c>
      <c r="E522" s="23" t="s">
        <v>179</v>
      </c>
      <c r="L522" s="16">
        <f>IFERROR(VLOOKUP($D522&amp;$C522,生产方式定位!$A$2:$E$38,2,FALSE)+VLOOKUP($E522&amp;$C522,生产方式定位!$F$3:$J$38,2,FALSE),0)</f>
        <v>0</v>
      </c>
      <c r="S522" s="16">
        <f>IFERROR(VLOOKUP($D522&amp;$C522,生产方式定位!$A$2:$E$38,3,FALSE)+VLOOKUP($E522&amp;$C522,生产方式定位!$F$3:$J$38,3,FALSE),0)</f>
        <v>100</v>
      </c>
      <c r="X522" s="16">
        <f>IFERROR(VLOOKUP($D522&amp;$C522,生产方式定位!$A$2:$E$38,5,FALSE)+VLOOKUP($E522&amp;$C522,生产方式定位!$F$3:$J$38,5,FALSE),"错误")</f>
        <v>100</v>
      </c>
      <c r="Y522" s="26" t="str">
        <f t="shared" si="160"/>
        <v/>
      </c>
      <c r="Z522" s="36" t="str">
        <f t="shared" si="161"/>
        <v/>
      </c>
      <c r="AA522" s="36" t="str">
        <f t="shared" si="162"/>
        <v/>
      </c>
      <c r="AB522" s="27" t="str">
        <f t="shared" si="163"/>
        <v/>
      </c>
      <c r="AC522" s="2" t="str">
        <f t="shared" si="164"/>
        <v/>
      </c>
      <c r="AD522" s="38">
        <f t="shared" si="165"/>
        <v>1</v>
      </c>
      <c r="AE522" t="str">
        <f t="shared" si="166"/>
        <v/>
      </c>
      <c r="AF522" t="str">
        <f t="shared" si="167"/>
        <v/>
      </c>
      <c r="AG522" t="str">
        <f t="shared" si="168"/>
        <v/>
      </c>
      <c r="AH522" t="str">
        <f t="shared" si="169"/>
        <v/>
      </c>
      <c r="AI522" t="str">
        <f t="shared" si="170"/>
        <v/>
      </c>
      <c r="AJ522" t="str">
        <f t="shared" si="171"/>
        <v/>
      </c>
      <c r="AK522" t="str">
        <f t="shared" si="172"/>
        <v/>
      </c>
      <c r="AL522" t="str">
        <f>IFERROR(ROUND(L522*(G522/$AU522)/VLOOKUP(F522,商品!$A$4:$B$60,2,FALSE),0),"")</f>
        <v/>
      </c>
      <c r="AM522" t="str">
        <f>IFERROR(ROUND(L522*(I522/$AU522)/VLOOKUP(H522,商品!$A$4:$B$60,2,FALSE),0),"")</f>
        <v/>
      </c>
      <c r="AN522">
        <f>IFERROR(ROUND(L522*(J522/$AU522)/VLOOKUP("运力",商品!$A$4:$B$60,2,FALSE),0),0)</f>
        <v>0</v>
      </c>
      <c r="AO522">
        <f>IFERROR(ROUND(L522*(K522/$AU522)/VLOOKUP("交易",商品!$A$4:$B$60,2,FALSE),0),0)</f>
        <v>0</v>
      </c>
      <c r="AP522" t="str">
        <f>IFERROR(ROUND(S522*(N522/$AV522)/VLOOKUP(M522,职业!$A$4:$G$16,4,FALSE),0),"")</f>
        <v/>
      </c>
      <c r="AQ522" t="str">
        <f>IFERROR(ROUND(S522*(P522/$AV522)/VLOOKUP(O522,职业!$A$4:$G$16,4,FALSE),0),"")</f>
        <v/>
      </c>
      <c r="AR522" t="str">
        <f>IFERROR(ROUND(S522*(R522/$AV522)/VLOOKUP(Q522,职业!$A$4:$G$16,4,FALSE),0),"")</f>
        <v/>
      </c>
      <c r="AS522" t="str">
        <f>IFERROR(ROUND(X522*(U522/$AW522)/VLOOKUP(T522,商品!$A$4:$B$60,2,FALSE),0),"")</f>
        <v/>
      </c>
      <c r="AT522" t="str">
        <f>IFERROR(ROUND(X522*(W522/$AW522)/VLOOKUP(V522,商品!$A$4:$B$60,2,FALSE),0),"")</f>
        <v/>
      </c>
      <c r="AU522">
        <f t="shared" si="173"/>
        <v>0</v>
      </c>
      <c r="AV522">
        <f t="shared" si="174"/>
        <v>0</v>
      </c>
      <c r="AW522">
        <f t="shared" si="175"/>
        <v>0</v>
      </c>
    </row>
    <row r="523" spans="1:49" ht="19.95" customHeight="1" x14ac:dyDescent="0.25">
      <c r="A523" s="15" t="s">
        <v>293</v>
      </c>
      <c r="C523" s="15">
        <v>2</v>
      </c>
      <c r="D523" s="23" t="s">
        <v>174</v>
      </c>
      <c r="E523" s="23" t="s">
        <v>179</v>
      </c>
      <c r="L523" s="16">
        <f>IFERROR(VLOOKUP($D523&amp;$C523,生产方式定位!$A$2:$E$38,2,FALSE)+VLOOKUP($E523&amp;$C523,生产方式定位!$F$3:$J$38,2,FALSE),0)</f>
        <v>0</v>
      </c>
      <c r="S523" s="16">
        <f>IFERROR(VLOOKUP($D523&amp;$C523,生产方式定位!$A$2:$E$38,3,FALSE)+VLOOKUP($E523&amp;$C523,生产方式定位!$F$3:$J$38,3,FALSE),0)</f>
        <v>100</v>
      </c>
      <c r="X523" s="16">
        <f>IFERROR(VLOOKUP($D523&amp;$C523,生产方式定位!$A$2:$E$38,5,FALSE)+VLOOKUP($E523&amp;$C523,生产方式定位!$F$3:$J$38,5,FALSE),"错误")</f>
        <v>100</v>
      </c>
      <c r="Y523" s="26" t="str">
        <f t="shared" si="160"/>
        <v/>
      </c>
      <c r="Z523" s="36" t="str">
        <f t="shared" si="161"/>
        <v/>
      </c>
      <c r="AA523" s="36" t="str">
        <f t="shared" si="162"/>
        <v/>
      </c>
      <c r="AB523" s="27" t="str">
        <f t="shared" si="163"/>
        <v/>
      </c>
      <c r="AC523" s="2" t="str">
        <f t="shared" si="164"/>
        <v/>
      </c>
      <c r="AD523" s="38">
        <f t="shared" si="165"/>
        <v>2</v>
      </c>
      <c r="AE523" t="str">
        <f t="shared" si="166"/>
        <v/>
      </c>
      <c r="AF523" t="str">
        <f t="shared" si="167"/>
        <v/>
      </c>
      <c r="AG523" t="str">
        <f t="shared" si="168"/>
        <v/>
      </c>
      <c r="AH523" t="str">
        <f t="shared" si="169"/>
        <v/>
      </c>
      <c r="AI523" t="str">
        <f t="shared" si="170"/>
        <v/>
      </c>
      <c r="AJ523" t="str">
        <f t="shared" si="171"/>
        <v/>
      </c>
      <c r="AK523" t="str">
        <f t="shared" si="172"/>
        <v/>
      </c>
      <c r="AL523" t="str">
        <f>IFERROR(ROUND(L523*(G523/$AU523)/VLOOKUP(F523,商品!$A$4:$B$60,2,FALSE),0),"")</f>
        <v/>
      </c>
      <c r="AM523" t="str">
        <f>IFERROR(ROUND(L523*(I523/$AU523)/VLOOKUP(H523,商品!$A$4:$B$60,2,FALSE),0),"")</f>
        <v/>
      </c>
      <c r="AN523">
        <f>IFERROR(ROUND(L523*(J523/$AU523)/VLOOKUP("运力",商品!$A$4:$B$60,2,FALSE),0),0)</f>
        <v>0</v>
      </c>
      <c r="AO523">
        <f>IFERROR(ROUND(L523*(K523/$AU523)/VLOOKUP("交易",商品!$A$4:$B$60,2,FALSE),0),0)</f>
        <v>0</v>
      </c>
      <c r="AP523" t="str">
        <f>IFERROR(ROUND(S523*(N523/$AV523)/VLOOKUP(M523,职业!$A$4:$G$16,4,FALSE),0),"")</f>
        <v/>
      </c>
      <c r="AQ523" t="str">
        <f>IFERROR(ROUND(S523*(P523/$AV523)/VLOOKUP(O523,职业!$A$4:$G$16,4,FALSE),0),"")</f>
        <v/>
      </c>
      <c r="AR523" t="str">
        <f>IFERROR(ROUND(S523*(R523/$AV523)/VLOOKUP(Q523,职业!$A$4:$G$16,4,FALSE),0),"")</f>
        <v/>
      </c>
      <c r="AS523" t="str">
        <f>IFERROR(ROUND(X523*(U523/$AW523)/VLOOKUP(T523,商品!$A$4:$B$60,2,FALSE),0),"")</f>
        <v/>
      </c>
      <c r="AT523" t="str">
        <f>IFERROR(ROUND(X523*(W523/$AW523)/VLOOKUP(V523,商品!$A$4:$B$60,2,FALSE),0),"")</f>
        <v/>
      </c>
      <c r="AU523">
        <f t="shared" si="173"/>
        <v>0</v>
      </c>
      <c r="AV523">
        <f t="shared" si="174"/>
        <v>0</v>
      </c>
      <c r="AW523">
        <f t="shared" si="175"/>
        <v>0</v>
      </c>
    </row>
    <row r="524" spans="1:49" ht="19.95" customHeight="1" x14ac:dyDescent="0.25">
      <c r="A524" s="15" t="s">
        <v>293</v>
      </c>
      <c r="C524" s="15">
        <v>3</v>
      </c>
      <c r="D524" s="23" t="s">
        <v>174</v>
      </c>
      <c r="E524" s="23" t="s">
        <v>179</v>
      </c>
      <c r="L524" s="16">
        <f>IFERROR(VLOOKUP($D524&amp;$C524,生产方式定位!$A$2:$E$38,2,FALSE)+VLOOKUP($E524&amp;$C524,生产方式定位!$F$3:$J$38,2,FALSE),0)</f>
        <v>0</v>
      </c>
      <c r="S524" s="16">
        <f>IFERROR(VLOOKUP($D524&amp;$C524,生产方式定位!$A$2:$E$38,3,FALSE)+VLOOKUP($E524&amp;$C524,生产方式定位!$F$3:$J$38,3,FALSE),0)</f>
        <v>100</v>
      </c>
      <c r="X524" s="16">
        <f>IFERROR(VLOOKUP($D524&amp;$C524,生产方式定位!$A$2:$E$38,5,FALSE)+VLOOKUP($E524&amp;$C524,生产方式定位!$F$3:$J$38,5,FALSE),"错误")</f>
        <v>100</v>
      </c>
      <c r="Y524" s="26" t="str">
        <f t="shared" si="160"/>
        <v/>
      </c>
      <c r="Z524" s="36" t="str">
        <f t="shared" si="161"/>
        <v/>
      </c>
      <c r="AA524" s="36" t="str">
        <f t="shared" si="162"/>
        <v/>
      </c>
      <c r="AB524" s="27" t="str">
        <f t="shared" si="163"/>
        <v/>
      </c>
      <c r="AC524" s="2" t="str">
        <f t="shared" si="164"/>
        <v/>
      </c>
      <c r="AD524" s="38">
        <f t="shared" si="165"/>
        <v>3</v>
      </c>
      <c r="AE524" t="str">
        <f t="shared" si="166"/>
        <v/>
      </c>
      <c r="AF524" t="str">
        <f t="shared" si="167"/>
        <v/>
      </c>
      <c r="AG524" t="str">
        <f t="shared" si="168"/>
        <v/>
      </c>
      <c r="AH524" t="str">
        <f t="shared" si="169"/>
        <v/>
      </c>
      <c r="AI524" t="str">
        <f t="shared" si="170"/>
        <v/>
      </c>
      <c r="AJ524" t="str">
        <f t="shared" si="171"/>
        <v/>
      </c>
      <c r="AK524" t="str">
        <f t="shared" si="172"/>
        <v/>
      </c>
      <c r="AL524" t="str">
        <f>IFERROR(ROUND(L524*(G524/$AU524)/VLOOKUP(F524,商品!$A$4:$B$60,2,FALSE),0),"")</f>
        <v/>
      </c>
      <c r="AM524" t="str">
        <f>IFERROR(ROUND(L524*(I524/$AU524)/VLOOKUP(H524,商品!$A$4:$B$60,2,FALSE),0),"")</f>
        <v/>
      </c>
      <c r="AN524">
        <f>IFERROR(ROUND(L524*(J524/$AU524)/VLOOKUP("运力",商品!$A$4:$B$60,2,FALSE),0),0)</f>
        <v>0</v>
      </c>
      <c r="AO524">
        <f>IFERROR(ROUND(L524*(K524/$AU524)/VLOOKUP("交易",商品!$A$4:$B$60,2,FALSE),0),0)</f>
        <v>0</v>
      </c>
      <c r="AP524" t="str">
        <f>IFERROR(ROUND(S524*(N524/$AV524)/VLOOKUP(M524,职业!$A$4:$G$16,4,FALSE),0),"")</f>
        <v/>
      </c>
      <c r="AQ524" t="str">
        <f>IFERROR(ROUND(S524*(P524/$AV524)/VLOOKUP(O524,职业!$A$4:$G$16,4,FALSE),0),"")</f>
        <v/>
      </c>
      <c r="AR524" t="str">
        <f>IFERROR(ROUND(S524*(R524/$AV524)/VLOOKUP(Q524,职业!$A$4:$G$16,4,FALSE),0),"")</f>
        <v/>
      </c>
      <c r="AS524" t="str">
        <f>IFERROR(ROUND(X524*(U524/$AW524)/VLOOKUP(T524,商品!$A$4:$B$60,2,FALSE),0),"")</f>
        <v/>
      </c>
      <c r="AT524" t="str">
        <f>IFERROR(ROUND(X524*(W524/$AW524)/VLOOKUP(V524,商品!$A$4:$B$60,2,FALSE),0),"")</f>
        <v/>
      </c>
      <c r="AU524">
        <f t="shared" si="173"/>
        <v>0</v>
      </c>
      <c r="AV524">
        <f t="shared" si="174"/>
        <v>0</v>
      </c>
      <c r="AW524">
        <f t="shared" si="175"/>
        <v>0</v>
      </c>
    </row>
    <row r="525" spans="1:49" ht="19.95" customHeight="1" x14ac:dyDescent="0.25">
      <c r="A525" s="15" t="s">
        <v>293</v>
      </c>
      <c r="C525" s="15">
        <v>4</v>
      </c>
      <c r="D525" s="23" t="s">
        <v>174</v>
      </c>
      <c r="E525" s="23" t="s">
        <v>179</v>
      </c>
      <c r="L525" s="16">
        <f>IFERROR(VLOOKUP($D525&amp;$C525,生产方式定位!$A$2:$E$38,2,FALSE)+VLOOKUP($E525&amp;$C525,生产方式定位!$F$3:$J$38,2,FALSE),0)</f>
        <v>0</v>
      </c>
      <c r="S525" s="16">
        <f>IFERROR(VLOOKUP($D525&amp;$C525,生产方式定位!$A$2:$E$38,3,FALSE)+VLOOKUP($E525&amp;$C525,生产方式定位!$F$3:$J$38,3,FALSE),0)</f>
        <v>100</v>
      </c>
      <c r="X525" s="16">
        <f>IFERROR(VLOOKUP($D525&amp;$C525,生产方式定位!$A$2:$E$38,5,FALSE)+VLOOKUP($E525&amp;$C525,生产方式定位!$F$3:$J$38,5,FALSE),"错误")</f>
        <v>100</v>
      </c>
      <c r="Y525" s="26" t="str">
        <f t="shared" si="160"/>
        <v/>
      </c>
      <c r="Z525" s="36" t="str">
        <f t="shared" si="161"/>
        <v/>
      </c>
      <c r="AA525" s="36" t="str">
        <f t="shared" si="162"/>
        <v/>
      </c>
      <c r="AB525" s="27" t="str">
        <f t="shared" si="163"/>
        <v/>
      </c>
      <c r="AC525" s="2" t="str">
        <f t="shared" si="164"/>
        <v/>
      </c>
      <c r="AD525" s="38">
        <f t="shared" si="165"/>
        <v>4</v>
      </c>
      <c r="AE525" t="str">
        <f t="shared" si="166"/>
        <v/>
      </c>
      <c r="AF525" t="str">
        <f t="shared" si="167"/>
        <v/>
      </c>
      <c r="AG525" t="str">
        <f t="shared" si="168"/>
        <v/>
      </c>
      <c r="AH525" t="str">
        <f t="shared" si="169"/>
        <v/>
      </c>
      <c r="AI525" t="str">
        <f t="shared" si="170"/>
        <v/>
      </c>
      <c r="AJ525" t="str">
        <f t="shared" si="171"/>
        <v/>
      </c>
      <c r="AK525" t="str">
        <f t="shared" si="172"/>
        <v/>
      </c>
      <c r="AL525" t="str">
        <f>IFERROR(ROUND(L525*(G525/$AU525)/VLOOKUP(F525,商品!$A$4:$B$60,2,FALSE),0),"")</f>
        <v/>
      </c>
      <c r="AM525" t="str">
        <f>IFERROR(ROUND(L525*(I525/$AU525)/VLOOKUP(H525,商品!$A$4:$B$60,2,FALSE),0),"")</f>
        <v/>
      </c>
      <c r="AN525">
        <f>IFERROR(ROUND(L525*(J525/$AU525)/VLOOKUP("运力",商品!$A$4:$B$60,2,FALSE),0),0)</f>
        <v>0</v>
      </c>
      <c r="AO525">
        <f>IFERROR(ROUND(L525*(K525/$AU525)/VLOOKUP("交易",商品!$A$4:$B$60,2,FALSE),0),0)</f>
        <v>0</v>
      </c>
      <c r="AP525" t="str">
        <f>IFERROR(ROUND(S525*(N525/$AV525)/VLOOKUP(M525,职业!$A$4:$G$16,4,FALSE),0),"")</f>
        <v/>
      </c>
      <c r="AQ525" t="str">
        <f>IFERROR(ROUND(S525*(P525/$AV525)/VLOOKUP(O525,职业!$A$4:$G$16,4,FALSE),0),"")</f>
        <v/>
      </c>
      <c r="AR525" t="str">
        <f>IFERROR(ROUND(S525*(R525/$AV525)/VLOOKUP(Q525,职业!$A$4:$G$16,4,FALSE),0),"")</f>
        <v/>
      </c>
      <c r="AS525" t="str">
        <f>IFERROR(ROUND(X525*(U525/$AW525)/VLOOKUP(T525,商品!$A$4:$B$60,2,FALSE),0),"")</f>
        <v/>
      </c>
      <c r="AT525" t="str">
        <f>IFERROR(ROUND(X525*(W525/$AW525)/VLOOKUP(V525,商品!$A$4:$B$60,2,FALSE),0),"")</f>
        <v/>
      </c>
      <c r="AU525">
        <f t="shared" si="173"/>
        <v>0</v>
      </c>
      <c r="AV525">
        <f t="shared" si="174"/>
        <v>0</v>
      </c>
      <c r="AW525">
        <f t="shared" si="175"/>
        <v>0</v>
      </c>
    </row>
    <row r="526" spans="1:49" ht="19.95" customHeight="1" x14ac:dyDescent="0.25">
      <c r="A526" s="15" t="s">
        <v>293</v>
      </c>
      <c r="C526" s="15">
        <v>5</v>
      </c>
      <c r="D526" s="23" t="s">
        <v>174</v>
      </c>
      <c r="E526" s="23" t="s">
        <v>179</v>
      </c>
      <c r="L526" s="16">
        <f>IFERROR(VLOOKUP($D526&amp;$C526,生产方式定位!$A$2:$E$38,2,FALSE)+VLOOKUP($E526&amp;$C526,生产方式定位!$F$3:$J$38,2,FALSE),0)</f>
        <v>0</v>
      </c>
      <c r="S526" s="16">
        <f>IFERROR(VLOOKUP($D526&amp;$C526,生产方式定位!$A$2:$E$38,3,FALSE)+VLOOKUP($E526&amp;$C526,生产方式定位!$F$3:$J$38,3,FALSE),0)</f>
        <v>100</v>
      </c>
      <c r="X526" s="16">
        <f>IFERROR(VLOOKUP($D526&amp;$C526,生产方式定位!$A$2:$E$38,5,FALSE)+VLOOKUP($E526&amp;$C526,生产方式定位!$F$3:$J$38,5,FALSE),"错误")</f>
        <v>100</v>
      </c>
      <c r="Y526" s="26" t="str">
        <f t="shared" si="160"/>
        <v/>
      </c>
      <c r="Z526" s="36" t="str">
        <f t="shared" si="161"/>
        <v/>
      </c>
      <c r="AA526" s="36" t="str">
        <f t="shared" si="162"/>
        <v/>
      </c>
      <c r="AB526" s="27" t="str">
        <f t="shared" si="163"/>
        <v/>
      </c>
      <c r="AC526" s="2" t="str">
        <f t="shared" si="164"/>
        <v/>
      </c>
      <c r="AD526" s="38">
        <f t="shared" si="165"/>
        <v>5</v>
      </c>
      <c r="AE526" t="str">
        <f t="shared" si="166"/>
        <v/>
      </c>
      <c r="AF526" t="str">
        <f t="shared" si="167"/>
        <v/>
      </c>
      <c r="AG526" t="str">
        <f t="shared" si="168"/>
        <v/>
      </c>
      <c r="AH526" t="str">
        <f t="shared" si="169"/>
        <v/>
      </c>
      <c r="AI526" t="str">
        <f t="shared" si="170"/>
        <v/>
      </c>
      <c r="AJ526" t="str">
        <f t="shared" si="171"/>
        <v/>
      </c>
      <c r="AK526" t="str">
        <f t="shared" si="172"/>
        <v/>
      </c>
      <c r="AL526" t="str">
        <f>IFERROR(ROUND(L526*(G526/$AU526)/VLOOKUP(F526,商品!$A$4:$B$60,2,FALSE),0),"")</f>
        <v/>
      </c>
      <c r="AM526" t="str">
        <f>IFERROR(ROUND(L526*(I526/$AU526)/VLOOKUP(H526,商品!$A$4:$B$60,2,FALSE),0),"")</f>
        <v/>
      </c>
      <c r="AN526">
        <f>IFERROR(ROUND(L526*(J526/$AU526)/VLOOKUP("运力",商品!$A$4:$B$60,2,FALSE),0),0)</f>
        <v>0</v>
      </c>
      <c r="AO526">
        <f>IFERROR(ROUND(L526*(K526/$AU526)/VLOOKUP("交易",商品!$A$4:$B$60,2,FALSE),0),0)</f>
        <v>0</v>
      </c>
      <c r="AP526" t="str">
        <f>IFERROR(ROUND(S526*(N526/$AV526)/VLOOKUP(M526,职业!$A$4:$G$16,4,FALSE),0),"")</f>
        <v/>
      </c>
      <c r="AQ526" t="str">
        <f>IFERROR(ROUND(S526*(P526/$AV526)/VLOOKUP(O526,职业!$A$4:$G$16,4,FALSE),0),"")</f>
        <v/>
      </c>
      <c r="AR526" t="str">
        <f>IFERROR(ROUND(S526*(R526/$AV526)/VLOOKUP(Q526,职业!$A$4:$G$16,4,FALSE),0),"")</f>
        <v/>
      </c>
      <c r="AS526" t="str">
        <f>IFERROR(ROUND(X526*(U526/$AW526)/VLOOKUP(T526,商品!$A$4:$B$60,2,FALSE),0),"")</f>
        <v/>
      </c>
      <c r="AT526" t="str">
        <f>IFERROR(ROUND(X526*(W526/$AW526)/VLOOKUP(V526,商品!$A$4:$B$60,2,FALSE),0),"")</f>
        <v/>
      </c>
      <c r="AU526">
        <f t="shared" si="173"/>
        <v>0</v>
      </c>
      <c r="AV526">
        <f t="shared" si="174"/>
        <v>0</v>
      </c>
      <c r="AW526">
        <f t="shared" si="175"/>
        <v>0</v>
      </c>
    </row>
    <row r="527" spans="1:49" ht="19.95" customHeight="1" x14ac:dyDescent="0.25">
      <c r="A527" s="15" t="s">
        <v>293</v>
      </c>
      <c r="C527" s="15">
        <v>6</v>
      </c>
      <c r="D527" s="23" t="s">
        <v>174</v>
      </c>
      <c r="E527" s="23" t="s">
        <v>179</v>
      </c>
      <c r="L527" s="16">
        <f>IFERROR(VLOOKUP($D527&amp;$C527,生产方式定位!$A$2:$E$38,2,FALSE)+VLOOKUP($E527&amp;$C527,生产方式定位!$F$3:$J$38,2,FALSE),0)</f>
        <v>0</v>
      </c>
      <c r="S527" s="16">
        <f>IFERROR(VLOOKUP($D527&amp;$C527,生产方式定位!$A$2:$E$38,3,FALSE)+VLOOKUP($E527&amp;$C527,生产方式定位!$F$3:$J$38,3,FALSE),0)</f>
        <v>100</v>
      </c>
      <c r="X527" s="16">
        <f>IFERROR(VLOOKUP($D527&amp;$C527,生产方式定位!$A$2:$E$38,5,FALSE)+VLOOKUP($E527&amp;$C527,生产方式定位!$F$3:$J$38,5,FALSE),"错误")</f>
        <v>100</v>
      </c>
      <c r="Y527" s="26" t="str">
        <f t="shared" si="160"/>
        <v/>
      </c>
      <c r="Z527" s="36" t="str">
        <f t="shared" si="161"/>
        <v/>
      </c>
      <c r="AA527" s="36" t="str">
        <f t="shared" si="162"/>
        <v/>
      </c>
      <c r="AB527" s="27" t="str">
        <f t="shared" si="163"/>
        <v/>
      </c>
      <c r="AC527" s="2" t="str">
        <f t="shared" si="164"/>
        <v/>
      </c>
      <c r="AD527" s="37">
        <f t="shared" si="165"/>
        <v>6</v>
      </c>
      <c r="AE527" t="str">
        <f t="shared" si="166"/>
        <v/>
      </c>
      <c r="AF527" t="str">
        <f t="shared" si="167"/>
        <v/>
      </c>
      <c r="AG527" t="str">
        <f t="shared" si="168"/>
        <v/>
      </c>
      <c r="AH527" t="str">
        <f t="shared" si="169"/>
        <v/>
      </c>
      <c r="AI527" t="str">
        <f t="shared" si="170"/>
        <v/>
      </c>
      <c r="AJ527" t="str">
        <f t="shared" si="171"/>
        <v/>
      </c>
      <c r="AK527" t="str">
        <f t="shared" si="172"/>
        <v/>
      </c>
      <c r="AL527" t="str">
        <f>IFERROR(ROUND(L527*(G527/$AU527)/VLOOKUP(F527,商品!$A$4:$B$60,2,FALSE),0),"")</f>
        <v/>
      </c>
      <c r="AM527" t="str">
        <f>IFERROR(ROUND(L527*(I527/$AU527)/VLOOKUP(H527,商品!$A$4:$B$60,2,FALSE),0),"")</f>
        <v/>
      </c>
      <c r="AN527">
        <f>IFERROR(ROUND(L527*(J527/$AU527)/VLOOKUP("运力",商品!$A$4:$B$60,2,FALSE),0),0)</f>
        <v>0</v>
      </c>
      <c r="AO527">
        <f>IFERROR(ROUND(L527*(K527/$AU527)/VLOOKUP("交易",商品!$A$4:$B$60,2,FALSE),0),0)</f>
        <v>0</v>
      </c>
      <c r="AP527" t="str">
        <f>IFERROR(ROUND(S527*(N527/$AV527)/VLOOKUP(M527,职业!$A$4:$G$16,4,FALSE),0),"")</f>
        <v/>
      </c>
      <c r="AQ527" t="str">
        <f>IFERROR(ROUND(S527*(P527/$AV527)/VLOOKUP(O527,职业!$A$4:$G$16,4,FALSE),0),"")</f>
        <v/>
      </c>
      <c r="AR527" t="str">
        <f>IFERROR(ROUND(S527*(R527/$AV527)/VLOOKUP(Q527,职业!$A$4:$G$16,4,FALSE),0),"")</f>
        <v/>
      </c>
      <c r="AS527" t="str">
        <f>IFERROR(ROUND(X527*(U527/$AW527)/VLOOKUP(T527,商品!$A$4:$B$60,2,FALSE),0),"")</f>
        <v/>
      </c>
      <c r="AT527" t="str">
        <f>IFERROR(ROUND(X527*(W527/$AW527)/VLOOKUP(V527,商品!$A$4:$B$60,2,FALSE),0),"")</f>
        <v/>
      </c>
      <c r="AU527">
        <f t="shared" si="173"/>
        <v>0</v>
      </c>
      <c r="AV527">
        <f t="shared" si="174"/>
        <v>0</v>
      </c>
      <c r="AW527">
        <f t="shared" si="175"/>
        <v>0</v>
      </c>
    </row>
    <row r="528" spans="1:49" ht="19.95" customHeight="1" x14ac:dyDescent="0.25">
      <c r="A528" s="15" t="s">
        <v>293</v>
      </c>
      <c r="C528" s="15">
        <v>7</v>
      </c>
      <c r="D528" s="23" t="s">
        <v>174</v>
      </c>
      <c r="E528" s="23" t="s">
        <v>179</v>
      </c>
      <c r="L528" s="16">
        <f>IFERROR(VLOOKUP($D528&amp;$C528,生产方式定位!$A$2:$E$38,2,FALSE)+VLOOKUP($E528&amp;$C528,生产方式定位!$F$3:$J$38,2,FALSE),0)</f>
        <v>0</v>
      </c>
      <c r="S528" s="16">
        <f>IFERROR(VLOOKUP($D528&amp;$C528,生产方式定位!$A$2:$E$38,3,FALSE)+VLOOKUP($E528&amp;$C528,生产方式定位!$F$3:$J$38,3,FALSE),0)</f>
        <v>100</v>
      </c>
      <c r="X528" s="16">
        <f>IFERROR(VLOOKUP($D528&amp;$C528,生产方式定位!$A$2:$E$38,5,FALSE)+VLOOKUP($E528&amp;$C528,生产方式定位!$F$3:$J$38,5,FALSE),"错误")</f>
        <v>100</v>
      </c>
      <c r="Y528" s="26" t="str">
        <f t="shared" si="160"/>
        <v/>
      </c>
      <c r="Z528" s="36" t="str">
        <f t="shared" si="161"/>
        <v/>
      </c>
      <c r="AA528" s="36" t="str">
        <f t="shared" si="162"/>
        <v/>
      </c>
      <c r="AB528" s="27" t="str">
        <f t="shared" si="163"/>
        <v/>
      </c>
      <c r="AC528" s="2" t="str">
        <f t="shared" si="164"/>
        <v/>
      </c>
      <c r="AD528" s="37">
        <f t="shared" si="165"/>
        <v>7</v>
      </c>
      <c r="AE528" t="str">
        <f t="shared" si="166"/>
        <v/>
      </c>
      <c r="AF528" t="str">
        <f t="shared" si="167"/>
        <v/>
      </c>
      <c r="AG528" t="str">
        <f t="shared" si="168"/>
        <v/>
      </c>
      <c r="AH528" t="str">
        <f t="shared" si="169"/>
        <v/>
      </c>
      <c r="AI528" t="str">
        <f t="shared" si="170"/>
        <v/>
      </c>
      <c r="AJ528" t="str">
        <f t="shared" si="171"/>
        <v/>
      </c>
      <c r="AK528" t="str">
        <f t="shared" si="172"/>
        <v/>
      </c>
      <c r="AL528" t="str">
        <f>IFERROR(ROUND(L528*(G528/$AU528)/VLOOKUP(F528,商品!$A$4:$B$60,2,FALSE),0),"")</f>
        <v/>
      </c>
      <c r="AM528" t="str">
        <f>IFERROR(ROUND(L528*(I528/$AU528)/VLOOKUP(H528,商品!$A$4:$B$60,2,FALSE),0),"")</f>
        <v/>
      </c>
      <c r="AN528">
        <f>IFERROR(ROUND(L528*(J528/$AU528)/VLOOKUP("运力",商品!$A$4:$B$60,2,FALSE),0),0)</f>
        <v>0</v>
      </c>
      <c r="AO528">
        <f>IFERROR(ROUND(L528*(K528/$AU528)/VLOOKUP("交易",商品!$A$4:$B$60,2,FALSE),0),0)</f>
        <v>0</v>
      </c>
      <c r="AP528" t="str">
        <f>IFERROR(ROUND(S528*(N528/$AV528)/VLOOKUP(M528,职业!$A$4:$G$16,4,FALSE),0),"")</f>
        <v/>
      </c>
      <c r="AQ528" t="str">
        <f>IFERROR(ROUND(S528*(P528/$AV528)/VLOOKUP(O528,职业!$A$4:$G$16,4,FALSE),0),"")</f>
        <v/>
      </c>
      <c r="AR528" t="str">
        <f>IFERROR(ROUND(S528*(R528/$AV528)/VLOOKUP(Q528,职业!$A$4:$G$16,4,FALSE),0),"")</f>
        <v/>
      </c>
      <c r="AS528" t="str">
        <f>IFERROR(ROUND(X528*(U528/$AW528)/VLOOKUP(T528,商品!$A$4:$B$60,2,FALSE),0),"")</f>
        <v/>
      </c>
      <c r="AT528" t="str">
        <f>IFERROR(ROUND(X528*(W528/$AW528)/VLOOKUP(V528,商品!$A$4:$B$60,2,FALSE),0),"")</f>
        <v/>
      </c>
      <c r="AU528">
        <f t="shared" si="173"/>
        <v>0</v>
      </c>
      <c r="AV528">
        <f t="shared" si="174"/>
        <v>0</v>
      </c>
      <c r="AW528">
        <f t="shared" si="175"/>
        <v>0</v>
      </c>
    </row>
    <row r="529" spans="1:49" ht="19.95" customHeight="1" x14ac:dyDescent="0.25">
      <c r="A529" s="15" t="s">
        <v>293</v>
      </c>
      <c r="C529" s="15">
        <v>8</v>
      </c>
      <c r="D529" s="23" t="s">
        <v>174</v>
      </c>
      <c r="E529" s="23" t="s">
        <v>179</v>
      </c>
      <c r="L529" s="16">
        <f>IFERROR(VLOOKUP($D529&amp;$C529,生产方式定位!$A$2:$E$38,2,FALSE)+VLOOKUP($E529&amp;$C529,生产方式定位!$F$3:$J$38,2,FALSE),0)</f>
        <v>0</v>
      </c>
      <c r="S529" s="16">
        <f>IFERROR(VLOOKUP($D529&amp;$C529,生产方式定位!$A$2:$E$38,3,FALSE)+VLOOKUP($E529&amp;$C529,生产方式定位!$F$3:$J$38,3,FALSE),0)</f>
        <v>100</v>
      </c>
      <c r="X529" s="16">
        <f>IFERROR(VLOOKUP($D529&amp;$C529,生产方式定位!$A$2:$E$38,5,FALSE)+VLOOKUP($E529&amp;$C529,生产方式定位!$F$3:$J$38,5,FALSE),"错误")</f>
        <v>100</v>
      </c>
      <c r="Y529" s="26" t="str">
        <f t="shared" si="160"/>
        <v/>
      </c>
      <c r="Z529" s="36" t="str">
        <f t="shared" si="161"/>
        <v/>
      </c>
      <c r="AA529" s="36" t="str">
        <f t="shared" si="162"/>
        <v/>
      </c>
      <c r="AB529" s="27" t="str">
        <f t="shared" si="163"/>
        <v/>
      </c>
      <c r="AC529" s="2" t="str">
        <f t="shared" si="164"/>
        <v/>
      </c>
      <c r="AD529" s="37">
        <f t="shared" si="165"/>
        <v>8</v>
      </c>
      <c r="AE529" t="str">
        <f t="shared" si="166"/>
        <v/>
      </c>
      <c r="AF529" t="str">
        <f t="shared" si="167"/>
        <v/>
      </c>
      <c r="AG529" t="str">
        <f t="shared" si="168"/>
        <v/>
      </c>
      <c r="AH529" t="str">
        <f t="shared" si="169"/>
        <v/>
      </c>
      <c r="AI529" t="str">
        <f t="shared" si="170"/>
        <v/>
      </c>
      <c r="AJ529" t="str">
        <f t="shared" si="171"/>
        <v/>
      </c>
      <c r="AK529" t="str">
        <f t="shared" si="172"/>
        <v/>
      </c>
      <c r="AL529" t="str">
        <f>IFERROR(ROUND(L529*(G529/$AU529)/VLOOKUP(F529,商品!$A$4:$B$60,2,FALSE),0),"")</f>
        <v/>
      </c>
      <c r="AM529" t="str">
        <f>IFERROR(ROUND(L529*(I529/$AU529)/VLOOKUP(H529,商品!$A$4:$B$60,2,FALSE),0),"")</f>
        <v/>
      </c>
      <c r="AN529">
        <f>IFERROR(ROUND(L529*(J529/$AU529)/VLOOKUP("运力",商品!$A$4:$B$60,2,FALSE),0),0)</f>
        <v>0</v>
      </c>
      <c r="AO529">
        <f>IFERROR(ROUND(L529*(K529/$AU529)/VLOOKUP("交易",商品!$A$4:$B$60,2,FALSE),0),0)</f>
        <v>0</v>
      </c>
      <c r="AP529" t="str">
        <f>IFERROR(ROUND(S529*(N529/$AV529)/VLOOKUP(M529,职业!$A$4:$G$16,4,FALSE),0),"")</f>
        <v/>
      </c>
      <c r="AQ529" t="str">
        <f>IFERROR(ROUND(S529*(P529/$AV529)/VLOOKUP(O529,职业!$A$4:$G$16,4,FALSE),0),"")</f>
        <v/>
      </c>
      <c r="AR529" t="str">
        <f>IFERROR(ROUND(S529*(R529/$AV529)/VLOOKUP(Q529,职业!$A$4:$G$16,4,FALSE),0),"")</f>
        <v/>
      </c>
      <c r="AS529" t="str">
        <f>IFERROR(ROUND(X529*(U529/$AW529)/VLOOKUP(T529,商品!$A$4:$B$60,2,FALSE),0),"")</f>
        <v/>
      </c>
      <c r="AT529" t="str">
        <f>IFERROR(ROUND(X529*(W529/$AW529)/VLOOKUP(V529,商品!$A$4:$B$60,2,FALSE),0),"")</f>
        <v/>
      </c>
      <c r="AU529">
        <f t="shared" si="173"/>
        <v>0</v>
      </c>
      <c r="AV529">
        <f t="shared" si="174"/>
        <v>0</v>
      </c>
      <c r="AW529">
        <f t="shared" si="175"/>
        <v>0</v>
      </c>
    </row>
    <row r="530" spans="1:49" ht="19.95" customHeight="1" x14ac:dyDescent="0.25">
      <c r="A530" s="16" t="s">
        <v>293</v>
      </c>
      <c r="C530" s="16">
        <v>1</v>
      </c>
      <c r="D530" s="23" t="s">
        <v>174</v>
      </c>
      <c r="E530" s="23" t="s">
        <v>179</v>
      </c>
      <c r="L530" s="15">
        <f>IFERROR(VLOOKUP($D530&amp;$C530,生产方式定位!$A$2:$E$38,2,FALSE)+VLOOKUP($E530&amp;$C530,生产方式定位!$F$3:$J$38,2,FALSE),0)</f>
        <v>0</v>
      </c>
      <c r="S530" s="15">
        <f>IFERROR(VLOOKUP($D530&amp;$C530,生产方式定位!$A$2:$E$38,3,FALSE)+VLOOKUP($E530&amp;$C530,生产方式定位!$F$3:$J$38,3,FALSE),0)</f>
        <v>100</v>
      </c>
      <c r="X530" s="15">
        <f>IFERROR(VLOOKUP($D530&amp;$C530,生产方式定位!$A$2:$E$38,5,FALSE)+VLOOKUP($E530&amp;$C530,生产方式定位!$F$3:$J$38,5,FALSE),"错误")</f>
        <v>100</v>
      </c>
      <c r="Y530" s="26" t="str">
        <f t="shared" si="160"/>
        <v/>
      </c>
      <c r="Z530" s="36" t="str">
        <f t="shared" si="161"/>
        <v/>
      </c>
      <c r="AA530" s="36" t="str">
        <f t="shared" si="162"/>
        <v/>
      </c>
      <c r="AB530" s="27" t="str">
        <f t="shared" si="163"/>
        <v/>
      </c>
      <c r="AC530" s="2" t="str">
        <f t="shared" si="164"/>
        <v/>
      </c>
      <c r="AD530" s="37">
        <f t="shared" si="165"/>
        <v>1</v>
      </c>
      <c r="AE530" t="str">
        <f t="shared" si="166"/>
        <v/>
      </c>
      <c r="AF530" t="str">
        <f t="shared" si="167"/>
        <v/>
      </c>
      <c r="AG530" t="str">
        <f t="shared" si="168"/>
        <v/>
      </c>
      <c r="AH530" t="str">
        <f t="shared" si="169"/>
        <v/>
      </c>
      <c r="AI530" t="str">
        <f t="shared" si="170"/>
        <v/>
      </c>
      <c r="AJ530" t="str">
        <f t="shared" si="171"/>
        <v/>
      </c>
      <c r="AK530" t="str">
        <f t="shared" si="172"/>
        <v/>
      </c>
      <c r="AL530" t="str">
        <f>IFERROR(ROUND(L530*(G530/$AU530)/VLOOKUP(F530,商品!$A$4:$B$60,2,FALSE),0),"")</f>
        <v/>
      </c>
      <c r="AM530" t="str">
        <f>IFERROR(ROUND(L530*(I530/$AU530)/VLOOKUP(H530,商品!$A$4:$B$60,2,FALSE),0),"")</f>
        <v/>
      </c>
      <c r="AN530">
        <f>IFERROR(ROUND(L530*(J530/$AU530)/VLOOKUP("运力",商品!$A$4:$B$60,2,FALSE),0),0)</f>
        <v>0</v>
      </c>
      <c r="AO530">
        <f>IFERROR(ROUND(L530*(K530/$AU530)/VLOOKUP("交易",商品!$A$4:$B$60,2,FALSE),0),0)</f>
        <v>0</v>
      </c>
      <c r="AP530" t="str">
        <f>IFERROR(ROUND(S530*(N530/$AV530)/VLOOKUP(M530,职业!$A$4:$G$16,4,FALSE),0),"")</f>
        <v/>
      </c>
      <c r="AQ530" t="str">
        <f>IFERROR(ROUND(S530*(P530/$AV530)/VLOOKUP(O530,职业!$A$4:$G$16,4,FALSE),0),"")</f>
        <v/>
      </c>
      <c r="AR530" t="str">
        <f>IFERROR(ROUND(S530*(R530/$AV530)/VLOOKUP(Q530,职业!$A$4:$G$16,4,FALSE),0),"")</f>
        <v/>
      </c>
      <c r="AS530" t="str">
        <f>IFERROR(ROUND(X530*(U530/$AW530)/VLOOKUP(T530,商品!$A$4:$B$60,2,FALSE),0),"")</f>
        <v/>
      </c>
      <c r="AT530" t="str">
        <f>IFERROR(ROUND(X530*(W530/$AW530)/VLOOKUP(V530,商品!$A$4:$B$60,2,FALSE),0),"")</f>
        <v/>
      </c>
      <c r="AU530">
        <f t="shared" si="173"/>
        <v>0</v>
      </c>
      <c r="AV530">
        <f t="shared" si="174"/>
        <v>0</v>
      </c>
      <c r="AW530">
        <f t="shared" si="175"/>
        <v>0</v>
      </c>
    </row>
    <row r="531" spans="1:49" ht="19.95" customHeight="1" x14ac:dyDescent="0.25">
      <c r="A531" s="16" t="s">
        <v>293</v>
      </c>
      <c r="C531" s="16">
        <v>2</v>
      </c>
      <c r="D531" s="23" t="s">
        <v>174</v>
      </c>
      <c r="E531" s="23" t="s">
        <v>179</v>
      </c>
      <c r="L531" s="15">
        <f>IFERROR(VLOOKUP($D531&amp;$C531,生产方式定位!$A$2:$E$38,2,FALSE)+VLOOKUP($E531&amp;$C531,生产方式定位!$F$3:$J$38,2,FALSE),0)</f>
        <v>0</v>
      </c>
      <c r="S531" s="15">
        <f>IFERROR(VLOOKUP($D531&amp;$C531,生产方式定位!$A$2:$E$38,3,FALSE)+VLOOKUP($E531&amp;$C531,生产方式定位!$F$3:$J$38,3,FALSE),0)</f>
        <v>100</v>
      </c>
      <c r="X531" s="15">
        <f>IFERROR(VLOOKUP($D531&amp;$C531,生产方式定位!$A$2:$E$38,5,FALSE)+VLOOKUP($E531&amp;$C531,生产方式定位!$F$3:$J$38,5,FALSE),"错误")</f>
        <v>100</v>
      </c>
      <c r="Y531" s="26" t="str">
        <f t="shared" si="160"/>
        <v/>
      </c>
      <c r="Z531" s="36" t="str">
        <f t="shared" si="161"/>
        <v/>
      </c>
      <c r="AA531" s="36" t="str">
        <f t="shared" si="162"/>
        <v/>
      </c>
      <c r="AB531" s="27" t="str">
        <f t="shared" si="163"/>
        <v/>
      </c>
      <c r="AC531" s="2" t="str">
        <f t="shared" si="164"/>
        <v/>
      </c>
      <c r="AD531" s="37">
        <f t="shared" si="165"/>
        <v>2</v>
      </c>
      <c r="AE531" t="str">
        <f t="shared" si="166"/>
        <v/>
      </c>
      <c r="AF531" t="str">
        <f t="shared" si="167"/>
        <v/>
      </c>
      <c r="AG531" t="str">
        <f t="shared" si="168"/>
        <v/>
      </c>
      <c r="AH531" t="str">
        <f t="shared" si="169"/>
        <v/>
      </c>
      <c r="AI531" t="str">
        <f t="shared" si="170"/>
        <v/>
      </c>
      <c r="AJ531" t="str">
        <f t="shared" si="171"/>
        <v/>
      </c>
      <c r="AK531" t="str">
        <f t="shared" si="172"/>
        <v/>
      </c>
      <c r="AL531" t="str">
        <f>IFERROR(ROUND(L531*(G531/$AU531)/VLOOKUP(F531,商品!$A$4:$B$60,2,FALSE),0),"")</f>
        <v/>
      </c>
      <c r="AM531" t="str">
        <f>IFERROR(ROUND(L531*(I531/$AU531)/VLOOKUP(H531,商品!$A$4:$B$60,2,FALSE),0),"")</f>
        <v/>
      </c>
      <c r="AN531">
        <f>IFERROR(ROUND(L531*(J531/$AU531)/VLOOKUP("运力",商品!$A$4:$B$60,2,FALSE),0),0)</f>
        <v>0</v>
      </c>
      <c r="AO531">
        <f>IFERROR(ROUND(L531*(K531/$AU531)/VLOOKUP("交易",商品!$A$4:$B$60,2,FALSE),0),0)</f>
        <v>0</v>
      </c>
      <c r="AP531" t="str">
        <f>IFERROR(ROUND(S531*(N531/$AV531)/VLOOKUP(M531,职业!$A$4:$G$16,4,FALSE),0),"")</f>
        <v/>
      </c>
      <c r="AQ531" t="str">
        <f>IFERROR(ROUND(S531*(P531/$AV531)/VLOOKUP(O531,职业!$A$4:$G$16,4,FALSE),0),"")</f>
        <v/>
      </c>
      <c r="AR531" t="str">
        <f>IFERROR(ROUND(S531*(R531/$AV531)/VLOOKUP(Q531,职业!$A$4:$G$16,4,FALSE),0),"")</f>
        <v/>
      </c>
      <c r="AS531" t="str">
        <f>IFERROR(ROUND(X531*(U531/$AW531)/VLOOKUP(T531,商品!$A$4:$B$60,2,FALSE),0),"")</f>
        <v/>
      </c>
      <c r="AT531" t="str">
        <f>IFERROR(ROUND(X531*(W531/$AW531)/VLOOKUP(V531,商品!$A$4:$B$60,2,FALSE),0),"")</f>
        <v/>
      </c>
      <c r="AU531">
        <f t="shared" si="173"/>
        <v>0</v>
      </c>
      <c r="AV531">
        <f t="shared" si="174"/>
        <v>0</v>
      </c>
      <c r="AW531">
        <f t="shared" si="175"/>
        <v>0</v>
      </c>
    </row>
    <row r="532" spans="1:49" ht="19.95" customHeight="1" x14ac:dyDescent="0.25">
      <c r="A532" s="16" t="s">
        <v>293</v>
      </c>
      <c r="C532" s="16">
        <v>3</v>
      </c>
      <c r="D532" s="23" t="s">
        <v>174</v>
      </c>
      <c r="E532" s="23" t="s">
        <v>179</v>
      </c>
      <c r="L532" s="15">
        <f>IFERROR(VLOOKUP($D532&amp;$C532,生产方式定位!$A$2:$E$38,2,FALSE)+VLOOKUP($E532&amp;$C532,生产方式定位!$F$3:$J$38,2,FALSE),0)</f>
        <v>0</v>
      </c>
      <c r="S532" s="15">
        <f>IFERROR(VLOOKUP($D532&amp;$C532,生产方式定位!$A$2:$E$38,3,FALSE)+VLOOKUP($E532&amp;$C532,生产方式定位!$F$3:$J$38,3,FALSE),0)</f>
        <v>100</v>
      </c>
      <c r="X532" s="15">
        <f>IFERROR(VLOOKUP($D532&amp;$C532,生产方式定位!$A$2:$E$38,5,FALSE)+VLOOKUP($E532&amp;$C532,生产方式定位!$F$3:$J$38,5,FALSE),"错误")</f>
        <v>100</v>
      </c>
      <c r="Y532" s="26" t="str">
        <f t="shared" si="160"/>
        <v/>
      </c>
      <c r="Z532" s="36" t="str">
        <f t="shared" si="161"/>
        <v/>
      </c>
      <c r="AA532" s="36" t="str">
        <f t="shared" si="162"/>
        <v/>
      </c>
      <c r="AB532" s="27" t="str">
        <f t="shared" si="163"/>
        <v/>
      </c>
      <c r="AC532" s="2" t="str">
        <f t="shared" si="164"/>
        <v/>
      </c>
      <c r="AD532" s="38">
        <f t="shared" si="165"/>
        <v>3</v>
      </c>
      <c r="AE532" t="str">
        <f t="shared" si="166"/>
        <v/>
      </c>
      <c r="AF532" t="str">
        <f t="shared" si="167"/>
        <v/>
      </c>
      <c r="AG532" t="str">
        <f t="shared" si="168"/>
        <v/>
      </c>
      <c r="AH532" t="str">
        <f t="shared" si="169"/>
        <v/>
      </c>
      <c r="AI532" t="str">
        <f t="shared" si="170"/>
        <v/>
      </c>
      <c r="AJ532" t="str">
        <f t="shared" si="171"/>
        <v/>
      </c>
      <c r="AK532" t="str">
        <f t="shared" si="172"/>
        <v/>
      </c>
      <c r="AL532" t="str">
        <f>IFERROR(ROUND(L532*(G532/$AU532)/VLOOKUP(F532,商品!$A$4:$B$60,2,FALSE),0),"")</f>
        <v/>
      </c>
      <c r="AM532" t="str">
        <f>IFERROR(ROUND(L532*(I532/$AU532)/VLOOKUP(H532,商品!$A$4:$B$60,2,FALSE),0),"")</f>
        <v/>
      </c>
      <c r="AN532">
        <f>IFERROR(ROUND(L532*(J532/$AU532)/VLOOKUP("运力",商品!$A$4:$B$60,2,FALSE),0),0)</f>
        <v>0</v>
      </c>
      <c r="AO532">
        <f>IFERROR(ROUND(L532*(K532/$AU532)/VLOOKUP("交易",商品!$A$4:$B$60,2,FALSE),0),0)</f>
        <v>0</v>
      </c>
      <c r="AP532" t="str">
        <f>IFERROR(ROUND(S532*(N532/$AV532)/VLOOKUP(M532,职业!$A$4:$G$16,4,FALSE),0),"")</f>
        <v/>
      </c>
      <c r="AQ532" t="str">
        <f>IFERROR(ROUND(S532*(P532/$AV532)/VLOOKUP(O532,职业!$A$4:$G$16,4,FALSE),0),"")</f>
        <v/>
      </c>
      <c r="AR532" t="str">
        <f>IFERROR(ROUND(S532*(R532/$AV532)/VLOOKUP(Q532,职业!$A$4:$G$16,4,FALSE),0),"")</f>
        <v/>
      </c>
      <c r="AS532" t="str">
        <f>IFERROR(ROUND(X532*(U532/$AW532)/VLOOKUP(T532,商品!$A$4:$B$60,2,FALSE),0),"")</f>
        <v/>
      </c>
      <c r="AT532" t="str">
        <f>IFERROR(ROUND(X532*(W532/$AW532)/VLOOKUP(V532,商品!$A$4:$B$60,2,FALSE),0),"")</f>
        <v/>
      </c>
      <c r="AU532">
        <f t="shared" si="173"/>
        <v>0</v>
      </c>
      <c r="AV532">
        <f t="shared" si="174"/>
        <v>0</v>
      </c>
      <c r="AW532">
        <f t="shared" si="175"/>
        <v>0</v>
      </c>
    </row>
    <row r="533" spans="1:49" ht="19.95" customHeight="1" x14ac:dyDescent="0.25">
      <c r="A533" s="16" t="s">
        <v>293</v>
      </c>
      <c r="C533" s="16">
        <v>4</v>
      </c>
      <c r="D533" s="23" t="s">
        <v>174</v>
      </c>
      <c r="E533" s="23" t="s">
        <v>179</v>
      </c>
      <c r="L533" s="15">
        <f>IFERROR(VLOOKUP($D533&amp;$C533,生产方式定位!$A$2:$E$38,2,FALSE)+VLOOKUP($E533&amp;$C533,生产方式定位!$F$3:$J$38,2,FALSE),0)</f>
        <v>0</v>
      </c>
      <c r="S533" s="15">
        <f>IFERROR(VLOOKUP($D533&amp;$C533,生产方式定位!$A$2:$E$38,3,FALSE)+VLOOKUP($E533&amp;$C533,生产方式定位!$F$3:$J$38,3,FALSE),0)</f>
        <v>100</v>
      </c>
      <c r="X533" s="15">
        <f>IFERROR(VLOOKUP($D533&amp;$C533,生产方式定位!$A$2:$E$38,5,FALSE)+VLOOKUP($E533&amp;$C533,生产方式定位!$F$3:$J$38,5,FALSE),"错误")</f>
        <v>100</v>
      </c>
      <c r="Y533" s="26" t="str">
        <f t="shared" si="160"/>
        <v/>
      </c>
      <c r="Z533" s="36" t="str">
        <f t="shared" si="161"/>
        <v/>
      </c>
      <c r="AA533" s="36" t="str">
        <f t="shared" si="162"/>
        <v/>
      </c>
      <c r="AB533" s="27" t="str">
        <f t="shared" si="163"/>
        <v/>
      </c>
      <c r="AC533" s="2" t="str">
        <f t="shared" si="164"/>
        <v/>
      </c>
      <c r="AD533" s="38">
        <f t="shared" si="165"/>
        <v>4</v>
      </c>
      <c r="AE533" t="str">
        <f t="shared" si="166"/>
        <v/>
      </c>
      <c r="AF533" t="str">
        <f t="shared" si="167"/>
        <v/>
      </c>
      <c r="AG533" t="str">
        <f t="shared" si="168"/>
        <v/>
      </c>
      <c r="AH533" t="str">
        <f t="shared" si="169"/>
        <v/>
      </c>
      <c r="AI533" t="str">
        <f t="shared" si="170"/>
        <v/>
      </c>
      <c r="AJ533" t="str">
        <f t="shared" si="171"/>
        <v/>
      </c>
      <c r="AK533" t="str">
        <f t="shared" si="172"/>
        <v/>
      </c>
      <c r="AL533" t="str">
        <f>IFERROR(ROUND(L533*(G533/$AU533)/VLOOKUP(F533,商品!$A$4:$B$60,2,FALSE),0),"")</f>
        <v/>
      </c>
      <c r="AM533" t="str">
        <f>IFERROR(ROUND(L533*(I533/$AU533)/VLOOKUP(H533,商品!$A$4:$B$60,2,FALSE),0),"")</f>
        <v/>
      </c>
      <c r="AN533">
        <f>IFERROR(ROUND(L533*(J533/$AU533)/VLOOKUP("运力",商品!$A$4:$B$60,2,FALSE),0),0)</f>
        <v>0</v>
      </c>
      <c r="AO533">
        <f>IFERROR(ROUND(L533*(K533/$AU533)/VLOOKUP("交易",商品!$A$4:$B$60,2,FALSE),0),0)</f>
        <v>0</v>
      </c>
      <c r="AP533" t="str">
        <f>IFERROR(ROUND(S533*(N533/$AV533)/VLOOKUP(M533,职业!$A$4:$G$16,4,FALSE),0),"")</f>
        <v/>
      </c>
      <c r="AQ533" t="str">
        <f>IFERROR(ROUND(S533*(P533/$AV533)/VLOOKUP(O533,职业!$A$4:$G$16,4,FALSE),0),"")</f>
        <v/>
      </c>
      <c r="AR533" t="str">
        <f>IFERROR(ROUND(S533*(R533/$AV533)/VLOOKUP(Q533,职业!$A$4:$G$16,4,FALSE),0),"")</f>
        <v/>
      </c>
      <c r="AS533" t="str">
        <f>IFERROR(ROUND(X533*(U533/$AW533)/VLOOKUP(T533,商品!$A$4:$B$60,2,FALSE),0),"")</f>
        <v/>
      </c>
      <c r="AT533" t="str">
        <f>IFERROR(ROUND(X533*(W533/$AW533)/VLOOKUP(V533,商品!$A$4:$B$60,2,FALSE),0),"")</f>
        <v/>
      </c>
      <c r="AU533">
        <f t="shared" si="173"/>
        <v>0</v>
      </c>
      <c r="AV533">
        <f t="shared" si="174"/>
        <v>0</v>
      </c>
      <c r="AW533">
        <f t="shared" si="175"/>
        <v>0</v>
      </c>
    </row>
    <row r="534" spans="1:49" ht="19.95" customHeight="1" x14ac:dyDescent="0.25">
      <c r="A534" s="16" t="s">
        <v>293</v>
      </c>
      <c r="C534" s="16">
        <v>5</v>
      </c>
      <c r="D534" s="23" t="s">
        <v>174</v>
      </c>
      <c r="E534" s="23" t="s">
        <v>179</v>
      </c>
      <c r="L534" s="15">
        <f>IFERROR(VLOOKUP($D534&amp;$C534,生产方式定位!$A$2:$E$38,2,FALSE)+VLOOKUP($E534&amp;$C534,生产方式定位!$F$3:$J$38,2,FALSE),0)</f>
        <v>0</v>
      </c>
      <c r="S534" s="15">
        <f>IFERROR(VLOOKUP($D534&amp;$C534,生产方式定位!$A$2:$E$38,3,FALSE)+VLOOKUP($E534&amp;$C534,生产方式定位!$F$3:$J$38,3,FALSE),0)</f>
        <v>100</v>
      </c>
      <c r="X534" s="15">
        <f>IFERROR(VLOOKUP($D534&amp;$C534,生产方式定位!$A$2:$E$38,5,FALSE)+VLOOKUP($E534&amp;$C534,生产方式定位!$F$3:$J$38,5,FALSE),"错误")</f>
        <v>100</v>
      </c>
      <c r="Y534" s="26" t="str">
        <f t="shared" si="160"/>
        <v/>
      </c>
      <c r="Z534" s="36" t="str">
        <f t="shared" si="161"/>
        <v/>
      </c>
      <c r="AA534" s="36" t="str">
        <f t="shared" si="162"/>
        <v/>
      </c>
      <c r="AB534" s="27" t="str">
        <f t="shared" si="163"/>
        <v/>
      </c>
      <c r="AC534" s="2" t="str">
        <f t="shared" si="164"/>
        <v/>
      </c>
      <c r="AD534" s="38">
        <f t="shared" si="165"/>
        <v>5</v>
      </c>
      <c r="AE534" t="str">
        <f t="shared" si="166"/>
        <v/>
      </c>
      <c r="AF534" t="str">
        <f t="shared" si="167"/>
        <v/>
      </c>
      <c r="AG534" t="str">
        <f t="shared" si="168"/>
        <v/>
      </c>
      <c r="AH534" t="str">
        <f t="shared" si="169"/>
        <v/>
      </c>
      <c r="AI534" t="str">
        <f t="shared" si="170"/>
        <v/>
      </c>
      <c r="AJ534" t="str">
        <f t="shared" si="171"/>
        <v/>
      </c>
      <c r="AK534" t="str">
        <f t="shared" si="172"/>
        <v/>
      </c>
      <c r="AL534" t="str">
        <f>IFERROR(ROUND(L534*(G534/$AU534)/VLOOKUP(F534,商品!$A$4:$B$60,2,FALSE),0),"")</f>
        <v/>
      </c>
      <c r="AM534" t="str">
        <f>IFERROR(ROUND(L534*(I534/$AU534)/VLOOKUP(H534,商品!$A$4:$B$60,2,FALSE),0),"")</f>
        <v/>
      </c>
      <c r="AN534">
        <f>IFERROR(ROUND(L534*(J534/$AU534)/VLOOKUP("运力",商品!$A$4:$B$60,2,FALSE),0),0)</f>
        <v>0</v>
      </c>
      <c r="AO534">
        <f>IFERROR(ROUND(L534*(K534/$AU534)/VLOOKUP("交易",商品!$A$4:$B$60,2,FALSE),0),0)</f>
        <v>0</v>
      </c>
      <c r="AP534" t="str">
        <f>IFERROR(ROUND(S534*(N534/$AV534)/VLOOKUP(M534,职业!$A$4:$G$16,4,FALSE),0),"")</f>
        <v/>
      </c>
      <c r="AQ534" t="str">
        <f>IFERROR(ROUND(S534*(P534/$AV534)/VLOOKUP(O534,职业!$A$4:$G$16,4,FALSE),0),"")</f>
        <v/>
      </c>
      <c r="AR534" t="str">
        <f>IFERROR(ROUND(S534*(R534/$AV534)/VLOOKUP(Q534,职业!$A$4:$G$16,4,FALSE),0),"")</f>
        <v/>
      </c>
      <c r="AS534" t="str">
        <f>IFERROR(ROUND(X534*(U534/$AW534)/VLOOKUP(T534,商品!$A$4:$B$60,2,FALSE),0),"")</f>
        <v/>
      </c>
      <c r="AT534" t="str">
        <f>IFERROR(ROUND(X534*(W534/$AW534)/VLOOKUP(V534,商品!$A$4:$B$60,2,FALSE),0),"")</f>
        <v/>
      </c>
      <c r="AU534">
        <f t="shared" si="173"/>
        <v>0</v>
      </c>
      <c r="AV534">
        <f t="shared" si="174"/>
        <v>0</v>
      </c>
      <c r="AW534">
        <f t="shared" si="175"/>
        <v>0</v>
      </c>
    </row>
    <row r="535" spans="1:49" ht="19.95" customHeight="1" x14ac:dyDescent="0.25">
      <c r="A535" s="16" t="s">
        <v>293</v>
      </c>
      <c r="C535" s="16">
        <v>6</v>
      </c>
      <c r="D535" s="23" t="s">
        <v>174</v>
      </c>
      <c r="E535" s="23" t="s">
        <v>179</v>
      </c>
      <c r="L535" s="15">
        <f>IFERROR(VLOOKUP($D535&amp;$C535,生产方式定位!$A$2:$E$38,2,FALSE)+VLOOKUP($E535&amp;$C535,生产方式定位!$F$3:$J$38,2,FALSE),0)</f>
        <v>0</v>
      </c>
      <c r="S535" s="15">
        <f>IFERROR(VLOOKUP($D535&amp;$C535,生产方式定位!$A$2:$E$38,3,FALSE)+VLOOKUP($E535&amp;$C535,生产方式定位!$F$3:$J$38,3,FALSE),0)</f>
        <v>100</v>
      </c>
      <c r="X535" s="15">
        <f>IFERROR(VLOOKUP($D535&amp;$C535,生产方式定位!$A$2:$E$38,5,FALSE)+VLOOKUP($E535&amp;$C535,生产方式定位!$F$3:$J$38,5,FALSE),"错误")</f>
        <v>100</v>
      </c>
      <c r="Y535" s="26" t="str">
        <f t="shared" si="160"/>
        <v/>
      </c>
      <c r="Z535" s="36" t="str">
        <f t="shared" si="161"/>
        <v/>
      </c>
      <c r="AA535" s="36" t="str">
        <f t="shared" si="162"/>
        <v/>
      </c>
      <c r="AB535" s="27" t="str">
        <f t="shared" si="163"/>
        <v/>
      </c>
      <c r="AC535" s="2" t="str">
        <f t="shared" si="164"/>
        <v/>
      </c>
      <c r="AD535" s="38">
        <f t="shared" si="165"/>
        <v>6</v>
      </c>
      <c r="AE535" t="str">
        <f t="shared" si="166"/>
        <v/>
      </c>
      <c r="AF535" t="str">
        <f t="shared" si="167"/>
        <v/>
      </c>
      <c r="AG535" t="str">
        <f t="shared" si="168"/>
        <v/>
      </c>
      <c r="AH535" t="str">
        <f t="shared" si="169"/>
        <v/>
      </c>
      <c r="AI535" t="str">
        <f t="shared" si="170"/>
        <v/>
      </c>
      <c r="AJ535" t="str">
        <f t="shared" si="171"/>
        <v/>
      </c>
      <c r="AK535" t="str">
        <f t="shared" si="172"/>
        <v/>
      </c>
      <c r="AL535" t="str">
        <f>IFERROR(ROUND(L535*(G535/$AU535)/VLOOKUP(F535,商品!$A$4:$B$60,2,FALSE),0),"")</f>
        <v/>
      </c>
      <c r="AM535" t="str">
        <f>IFERROR(ROUND(L535*(I535/$AU535)/VLOOKUP(H535,商品!$A$4:$B$60,2,FALSE),0),"")</f>
        <v/>
      </c>
      <c r="AN535">
        <f>IFERROR(ROUND(L535*(J535/$AU535)/VLOOKUP("运力",商品!$A$4:$B$60,2,FALSE),0),0)</f>
        <v>0</v>
      </c>
      <c r="AO535">
        <f>IFERROR(ROUND(L535*(K535/$AU535)/VLOOKUP("交易",商品!$A$4:$B$60,2,FALSE),0),0)</f>
        <v>0</v>
      </c>
      <c r="AP535" t="str">
        <f>IFERROR(ROUND(S535*(N535/$AV535)/VLOOKUP(M535,职业!$A$4:$G$16,4,FALSE),0),"")</f>
        <v/>
      </c>
      <c r="AQ535" t="str">
        <f>IFERROR(ROUND(S535*(P535/$AV535)/VLOOKUP(O535,职业!$A$4:$G$16,4,FALSE),0),"")</f>
        <v/>
      </c>
      <c r="AR535" t="str">
        <f>IFERROR(ROUND(S535*(R535/$AV535)/VLOOKUP(Q535,职业!$A$4:$G$16,4,FALSE),0),"")</f>
        <v/>
      </c>
      <c r="AS535" t="str">
        <f>IFERROR(ROUND(X535*(U535/$AW535)/VLOOKUP(T535,商品!$A$4:$B$60,2,FALSE),0),"")</f>
        <v/>
      </c>
      <c r="AT535" t="str">
        <f>IFERROR(ROUND(X535*(W535/$AW535)/VLOOKUP(V535,商品!$A$4:$B$60,2,FALSE),0),"")</f>
        <v/>
      </c>
      <c r="AU535">
        <f t="shared" si="173"/>
        <v>0</v>
      </c>
      <c r="AV535">
        <f t="shared" si="174"/>
        <v>0</v>
      </c>
      <c r="AW535">
        <f t="shared" si="175"/>
        <v>0</v>
      </c>
    </row>
    <row r="536" spans="1:49" ht="19.95" customHeight="1" x14ac:dyDescent="0.25">
      <c r="A536" s="16" t="s">
        <v>293</v>
      </c>
      <c r="C536" s="16">
        <v>7</v>
      </c>
      <c r="D536" s="23" t="s">
        <v>174</v>
      </c>
      <c r="E536" s="23" t="s">
        <v>179</v>
      </c>
      <c r="L536" s="15">
        <f>IFERROR(VLOOKUP($D536&amp;$C536,生产方式定位!$A$2:$E$38,2,FALSE)+VLOOKUP($E536&amp;$C536,生产方式定位!$F$3:$J$38,2,FALSE),0)</f>
        <v>0</v>
      </c>
      <c r="S536" s="15">
        <f>IFERROR(VLOOKUP($D536&amp;$C536,生产方式定位!$A$2:$E$38,3,FALSE)+VLOOKUP($E536&amp;$C536,生产方式定位!$F$3:$J$38,3,FALSE),0)</f>
        <v>100</v>
      </c>
      <c r="X536" s="15">
        <f>IFERROR(VLOOKUP($D536&amp;$C536,生产方式定位!$A$2:$E$38,5,FALSE)+VLOOKUP($E536&amp;$C536,生产方式定位!$F$3:$J$38,5,FALSE),"错误")</f>
        <v>100</v>
      </c>
      <c r="Y536" s="26" t="str">
        <f t="shared" si="160"/>
        <v/>
      </c>
      <c r="Z536" s="36" t="str">
        <f t="shared" si="161"/>
        <v/>
      </c>
      <c r="AA536" s="36" t="str">
        <f t="shared" si="162"/>
        <v/>
      </c>
      <c r="AB536" s="27" t="str">
        <f t="shared" si="163"/>
        <v/>
      </c>
      <c r="AC536" s="2" t="str">
        <f t="shared" si="164"/>
        <v/>
      </c>
      <c r="AD536" s="38">
        <f t="shared" si="165"/>
        <v>7</v>
      </c>
      <c r="AE536" t="str">
        <f t="shared" si="166"/>
        <v/>
      </c>
      <c r="AF536" t="str">
        <f t="shared" si="167"/>
        <v/>
      </c>
      <c r="AG536" t="str">
        <f t="shared" si="168"/>
        <v/>
      </c>
      <c r="AH536" t="str">
        <f t="shared" si="169"/>
        <v/>
      </c>
      <c r="AI536" t="str">
        <f t="shared" si="170"/>
        <v/>
      </c>
      <c r="AJ536" t="str">
        <f t="shared" si="171"/>
        <v/>
      </c>
      <c r="AK536" t="str">
        <f t="shared" si="172"/>
        <v/>
      </c>
      <c r="AL536" t="str">
        <f>IFERROR(ROUND(L536*(G536/$AU536)/VLOOKUP(F536,商品!$A$4:$B$60,2,FALSE),0),"")</f>
        <v/>
      </c>
      <c r="AM536" t="str">
        <f>IFERROR(ROUND(L536*(I536/$AU536)/VLOOKUP(H536,商品!$A$4:$B$60,2,FALSE),0),"")</f>
        <v/>
      </c>
      <c r="AN536">
        <f>IFERROR(ROUND(L536*(J536/$AU536)/VLOOKUP("运力",商品!$A$4:$B$60,2,FALSE),0),0)</f>
        <v>0</v>
      </c>
      <c r="AO536">
        <f>IFERROR(ROUND(L536*(K536/$AU536)/VLOOKUP("交易",商品!$A$4:$B$60,2,FALSE),0),0)</f>
        <v>0</v>
      </c>
      <c r="AP536" t="str">
        <f>IFERROR(ROUND(S536*(N536/$AV536)/VLOOKUP(M536,职业!$A$4:$G$16,4,FALSE),0),"")</f>
        <v/>
      </c>
      <c r="AQ536" t="str">
        <f>IFERROR(ROUND(S536*(P536/$AV536)/VLOOKUP(O536,职业!$A$4:$G$16,4,FALSE),0),"")</f>
        <v/>
      </c>
      <c r="AR536" t="str">
        <f>IFERROR(ROUND(S536*(R536/$AV536)/VLOOKUP(Q536,职业!$A$4:$G$16,4,FALSE),0),"")</f>
        <v/>
      </c>
      <c r="AS536" t="str">
        <f>IFERROR(ROUND(X536*(U536/$AW536)/VLOOKUP(T536,商品!$A$4:$B$60,2,FALSE),0),"")</f>
        <v/>
      </c>
      <c r="AT536" t="str">
        <f>IFERROR(ROUND(X536*(W536/$AW536)/VLOOKUP(V536,商品!$A$4:$B$60,2,FALSE),0),"")</f>
        <v/>
      </c>
      <c r="AU536">
        <f t="shared" si="173"/>
        <v>0</v>
      </c>
      <c r="AV536">
        <f t="shared" si="174"/>
        <v>0</v>
      </c>
      <c r="AW536">
        <f t="shared" si="175"/>
        <v>0</v>
      </c>
    </row>
    <row r="537" spans="1:49" ht="19.95" customHeight="1" x14ac:dyDescent="0.25">
      <c r="A537" s="16" t="s">
        <v>293</v>
      </c>
      <c r="C537" s="16">
        <v>8</v>
      </c>
      <c r="D537" s="23" t="s">
        <v>174</v>
      </c>
      <c r="E537" s="23" t="s">
        <v>179</v>
      </c>
      <c r="L537" s="15">
        <f>IFERROR(VLOOKUP($D537&amp;$C537,生产方式定位!$A$2:$E$38,2,FALSE)+VLOOKUP($E537&amp;$C537,生产方式定位!$F$3:$J$38,2,FALSE),0)</f>
        <v>0</v>
      </c>
      <c r="S537" s="15">
        <f>IFERROR(VLOOKUP($D537&amp;$C537,生产方式定位!$A$2:$E$38,3,FALSE)+VLOOKUP($E537&amp;$C537,生产方式定位!$F$3:$J$38,3,FALSE),0)</f>
        <v>100</v>
      </c>
      <c r="X537" s="15">
        <f>IFERROR(VLOOKUP($D537&amp;$C537,生产方式定位!$A$2:$E$38,5,FALSE)+VLOOKUP($E537&amp;$C537,生产方式定位!$F$3:$J$38,5,FALSE),"错误")</f>
        <v>100</v>
      </c>
      <c r="Y537" s="26" t="str">
        <f t="shared" si="160"/>
        <v/>
      </c>
      <c r="Z537" s="36" t="str">
        <f t="shared" si="161"/>
        <v/>
      </c>
      <c r="AA537" s="36" t="str">
        <f t="shared" si="162"/>
        <v/>
      </c>
      <c r="AB537" s="27" t="str">
        <f t="shared" si="163"/>
        <v/>
      </c>
      <c r="AC537" s="2" t="str">
        <f t="shared" si="164"/>
        <v/>
      </c>
      <c r="AD537" s="38">
        <f t="shared" si="165"/>
        <v>8</v>
      </c>
      <c r="AE537" t="str">
        <f t="shared" si="166"/>
        <v/>
      </c>
      <c r="AF537" t="str">
        <f t="shared" si="167"/>
        <v/>
      </c>
      <c r="AG537" t="str">
        <f t="shared" si="168"/>
        <v/>
      </c>
      <c r="AH537" t="str">
        <f t="shared" si="169"/>
        <v/>
      </c>
      <c r="AI537" t="str">
        <f t="shared" si="170"/>
        <v/>
      </c>
      <c r="AJ537" t="str">
        <f t="shared" si="171"/>
        <v/>
      </c>
      <c r="AK537" t="str">
        <f t="shared" si="172"/>
        <v/>
      </c>
      <c r="AL537" t="str">
        <f>IFERROR(ROUND(L537*(G537/$AU537)/VLOOKUP(F537,商品!$A$4:$B$60,2,FALSE),0),"")</f>
        <v/>
      </c>
      <c r="AM537" t="str">
        <f>IFERROR(ROUND(L537*(I537/$AU537)/VLOOKUP(H537,商品!$A$4:$B$60,2,FALSE),0),"")</f>
        <v/>
      </c>
      <c r="AN537">
        <f>IFERROR(ROUND(L537*(J537/$AU537)/VLOOKUP("运力",商品!$A$4:$B$60,2,FALSE),0),0)</f>
        <v>0</v>
      </c>
      <c r="AO537">
        <f>IFERROR(ROUND(L537*(K537/$AU537)/VLOOKUP("交易",商品!$A$4:$B$60,2,FALSE),0),0)</f>
        <v>0</v>
      </c>
      <c r="AP537" t="str">
        <f>IFERROR(ROUND(S537*(N537/$AV537)/VLOOKUP(M537,职业!$A$4:$G$16,4,FALSE),0),"")</f>
        <v/>
      </c>
      <c r="AQ537" t="str">
        <f>IFERROR(ROUND(S537*(P537/$AV537)/VLOOKUP(O537,职业!$A$4:$G$16,4,FALSE),0),"")</f>
        <v/>
      </c>
      <c r="AR537" t="str">
        <f>IFERROR(ROUND(S537*(R537/$AV537)/VLOOKUP(Q537,职业!$A$4:$G$16,4,FALSE),0),"")</f>
        <v/>
      </c>
      <c r="AS537" t="str">
        <f>IFERROR(ROUND(X537*(U537/$AW537)/VLOOKUP(T537,商品!$A$4:$B$60,2,FALSE),0),"")</f>
        <v/>
      </c>
      <c r="AT537" t="str">
        <f>IFERROR(ROUND(X537*(W537/$AW537)/VLOOKUP(V537,商品!$A$4:$B$60,2,FALSE),0),"")</f>
        <v/>
      </c>
      <c r="AU537">
        <f t="shared" si="173"/>
        <v>0</v>
      </c>
      <c r="AV537">
        <f t="shared" si="174"/>
        <v>0</v>
      </c>
      <c r="AW537">
        <f t="shared" si="175"/>
        <v>0</v>
      </c>
    </row>
    <row r="538" spans="1:49" ht="19.95" customHeight="1" x14ac:dyDescent="0.25">
      <c r="A538" s="15" t="s">
        <v>295</v>
      </c>
      <c r="C538" s="15">
        <v>1</v>
      </c>
      <c r="D538" s="23" t="s">
        <v>282</v>
      </c>
      <c r="E538" s="23" t="s">
        <v>172</v>
      </c>
      <c r="L538" s="16">
        <f>IFERROR(VLOOKUP($D538&amp;$C538,生产方式定位!$A$2:$E$38,2,FALSE)+VLOOKUP($E538&amp;$C538,生产方式定位!$F$3:$J$38,2,FALSE),0)</f>
        <v>2000</v>
      </c>
      <c r="S538" s="16">
        <f>IFERROR(VLOOKUP($D538&amp;$C538,生产方式定位!$A$2:$E$38,3,FALSE)+VLOOKUP($E538&amp;$C538,生产方式定位!$F$3:$J$38,3,FALSE),0)</f>
        <v>100</v>
      </c>
      <c r="X538" s="16">
        <f>IFERROR(VLOOKUP($D538&amp;$C538,生产方式定位!$A$2:$E$38,5,FALSE)+VLOOKUP($E538&amp;$C538,生产方式定位!$F$3:$J$38,5,FALSE),"错误")</f>
        <v>3150</v>
      </c>
      <c r="Y538" s="26" t="str">
        <f t="shared" si="160"/>
        <v/>
      </c>
      <c r="Z538" s="36" t="str">
        <f t="shared" si="161"/>
        <v/>
      </c>
      <c r="AA538" s="36" t="str">
        <f t="shared" si="162"/>
        <v/>
      </c>
      <c r="AB538" s="27" t="str">
        <f t="shared" si="163"/>
        <v>58%</v>
      </c>
      <c r="AC538" s="2">
        <f t="shared" si="164"/>
        <v>1050</v>
      </c>
      <c r="AD538" s="38">
        <f t="shared" si="165"/>
        <v>1</v>
      </c>
      <c r="AE538" t="str">
        <f t="shared" si="166"/>
        <v/>
      </c>
      <c r="AF538" t="str">
        <f t="shared" si="167"/>
        <v/>
      </c>
      <c r="AG538" t="str">
        <f t="shared" si="168"/>
        <v/>
      </c>
      <c r="AH538" t="str">
        <f t="shared" si="169"/>
        <v/>
      </c>
      <c r="AI538" t="str">
        <f t="shared" si="170"/>
        <v/>
      </c>
      <c r="AJ538" t="str">
        <f t="shared" si="171"/>
        <v/>
      </c>
      <c r="AK538" t="str">
        <f t="shared" si="172"/>
        <v/>
      </c>
      <c r="AL538" t="str">
        <f>IFERROR(ROUND(L538*(G538/$AU538)/VLOOKUP(F538,商品!$A$4:$B$60,2,FALSE),0),"")</f>
        <v/>
      </c>
      <c r="AM538" t="str">
        <f>IFERROR(ROUND(L538*(I538/$AU538)/VLOOKUP(H538,商品!$A$4:$B$60,2,FALSE),0),"")</f>
        <v/>
      </c>
      <c r="AN538">
        <f>IFERROR(ROUND(L538*(J538/$AU538)/VLOOKUP("运力",商品!$A$4:$B$60,2,FALSE),0),0)</f>
        <v>0</v>
      </c>
      <c r="AO538">
        <f>IFERROR(ROUND(L538*(K538/$AU538)/VLOOKUP("交易",商品!$A$4:$B$60,2,FALSE),0),0)</f>
        <v>0</v>
      </c>
      <c r="AP538" t="str">
        <f>IFERROR(ROUND(S538*(N538/$AV538)/VLOOKUP(M538,职业!$A$4:$G$16,4,FALSE),0),"")</f>
        <v/>
      </c>
      <c r="AQ538" t="str">
        <f>IFERROR(ROUND(S538*(P538/$AV538)/VLOOKUP(O538,职业!$A$4:$G$16,4,FALSE),0),"")</f>
        <v/>
      </c>
      <c r="AR538" t="str">
        <f>IFERROR(ROUND(S538*(R538/$AV538)/VLOOKUP(Q538,职业!$A$4:$G$16,4,FALSE),0),"")</f>
        <v/>
      </c>
      <c r="AS538" t="str">
        <f>IFERROR(ROUND(X538*(U538/$AW538)/VLOOKUP(T538,商品!$A$4:$B$60,2,FALSE),0),"")</f>
        <v/>
      </c>
      <c r="AT538" t="str">
        <f>IFERROR(ROUND(X538*(W538/$AW538)/VLOOKUP(V538,商品!$A$4:$B$60,2,FALSE),0),"")</f>
        <v/>
      </c>
      <c r="AU538">
        <f t="shared" si="173"/>
        <v>0</v>
      </c>
      <c r="AV538">
        <f t="shared" si="174"/>
        <v>0</v>
      </c>
      <c r="AW538">
        <f t="shared" si="175"/>
        <v>0</v>
      </c>
    </row>
    <row r="539" spans="1:49" ht="19.95" customHeight="1" x14ac:dyDescent="0.25">
      <c r="A539" s="15" t="s">
        <v>295</v>
      </c>
      <c r="C539" s="15">
        <v>2</v>
      </c>
      <c r="D539" s="23" t="s">
        <v>282</v>
      </c>
      <c r="E539" s="23" t="s">
        <v>172</v>
      </c>
      <c r="L539" s="16">
        <f>IFERROR(VLOOKUP($D539&amp;$C539,生产方式定位!$A$2:$E$38,2,FALSE)+VLOOKUP($E539&amp;$C539,生产方式定位!$F$3:$J$38,2,FALSE),0)</f>
        <v>2900</v>
      </c>
      <c r="S539" s="16">
        <f>IFERROR(VLOOKUP($D539&amp;$C539,生产方式定位!$A$2:$E$38,3,FALSE)+VLOOKUP($E539&amp;$C539,生产方式定位!$F$3:$J$38,3,FALSE),0)</f>
        <v>100</v>
      </c>
      <c r="X539" s="16">
        <f>IFERROR(VLOOKUP($D539&amp;$C539,生产方式定位!$A$2:$E$38,5,FALSE)+VLOOKUP($E539&amp;$C539,生产方式定位!$F$3:$J$38,5,FALSE),"错误")</f>
        <v>4350</v>
      </c>
      <c r="Y539" s="26" t="str">
        <f t="shared" si="160"/>
        <v/>
      </c>
      <c r="Z539" s="36" t="str">
        <f t="shared" si="161"/>
        <v/>
      </c>
      <c r="AA539" s="36" t="str">
        <f t="shared" si="162"/>
        <v/>
      </c>
      <c r="AB539" s="27" t="str">
        <f t="shared" si="163"/>
        <v>50%</v>
      </c>
      <c r="AC539" s="2">
        <f t="shared" si="164"/>
        <v>1350</v>
      </c>
      <c r="AD539" s="38">
        <f t="shared" si="165"/>
        <v>2</v>
      </c>
      <c r="AE539" t="str">
        <f t="shared" si="166"/>
        <v/>
      </c>
      <c r="AF539" t="str">
        <f t="shared" si="167"/>
        <v/>
      </c>
      <c r="AG539" t="str">
        <f t="shared" si="168"/>
        <v/>
      </c>
      <c r="AH539" t="str">
        <f t="shared" si="169"/>
        <v/>
      </c>
      <c r="AI539" t="str">
        <f t="shared" si="170"/>
        <v/>
      </c>
      <c r="AJ539" t="str">
        <f t="shared" si="171"/>
        <v/>
      </c>
      <c r="AK539" t="str">
        <f t="shared" si="172"/>
        <v/>
      </c>
      <c r="AL539" t="str">
        <f>IFERROR(ROUND(L539*(G539/$AU539)/VLOOKUP(F539,商品!$A$4:$B$60,2,FALSE),0),"")</f>
        <v/>
      </c>
      <c r="AM539" t="str">
        <f>IFERROR(ROUND(L539*(I539/$AU539)/VLOOKUP(H539,商品!$A$4:$B$60,2,FALSE),0),"")</f>
        <v/>
      </c>
      <c r="AN539">
        <f>IFERROR(ROUND(L539*(J539/$AU539)/VLOOKUP("运力",商品!$A$4:$B$60,2,FALSE),0),0)</f>
        <v>0</v>
      </c>
      <c r="AO539">
        <f>IFERROR(ROUND(L539*(K539/$AU539)/VLOOKUP("交易",商品!$A$4:$B$60,2,FALSE),0),0)</f>
        <v>0</v>
      </c>
      <c r="AP539" t="str">
        <f>IFERROR(ROUND(S539*(N539/$AV539)/VLOOKUP(M539,职业!$A$4:$G$16,4,FALSE),0),"")</f>
        <v/>
      </c>
      <c r="AQ539" t="str">
        <f>IFERROR(ROUND(S539*(P539/$AV539)/VLOOKUP(O539,职业!$A$4:$G$16,4,FALSE),0),"")</f>
        <v/>
      </c>
      <c r="AR539" t="str">
        <f>IFERROR(ROUND(S539*(R539/$AV539)/VLOOKUP(Q539,职业!$A$4:$G$16,4,FALSE),0),"")</f>
        <v/>
      </c>
      <c r="AS539" t="str">
        <f>IFERROR(ROUND(X539*(U539/$AW539)/VLOOKUP(T539,商品!$A$4:$B$60,2,FALSE),0),"")</f>
        <v/>
      </c>
      <c r="AT539" t="str">
        <f>IFERROR(ROUND(X539*(W539/$AW539)/VLOOKUP(V539,商品!$A$4:$B$60,2,FALSE),0),"")</f>
        <v/>
      </c>
      <c r="AU539">
        <f t="shared" si="173"/>
        <v>0</v>
      </c>
      <c r="AV539">
        <f t="shared" si="174"/>
        <v>0</v>
      </c>
      <c r="AW539">
        <f t="shared" si="175"/>
        <v>0</v>
      </c>
    </row>
    <row r="540" spans="1:49" ht="19.95" customHeight="1" x14ac:dyDescent="0.25">
      <c r="A540" s="15" t="s">
        <v>295</v>
      </c>
      <c r="C540" s="15">
        <v>3</v>
      </c>
      <c r="D540" s="23" t="s">
        <v>282</v>
      </c>
      <c r="E540" s="23" t="s">
        <v>172</v>
      </c>
      <c r="L540" s="16">
        <f>IFERROR(VLOOKUP($D540&amp;$C540,生产方式定位!$A$2:$E$38,2,FALSE)+VLOOKUP($E540&amp;$C540,生产方式定位!$F$3:$J$38,2,FALSE),0)</f>
        <v>3425</v>
      </c>
      <c r="S540" s="16">
        <f>IFERROR(VLOOKUP($D540&amp;$C540,生产方式定位!$A$2:$E$38,3,FALSE)+VLOOKUP($E540&amp;$C540,生产方式定位!$F$3:$J$38,3,FALSE),0)</f>
        <v>100</v>
      </c>
      <c r="X540" s="16">
        <f>IFERROR(VLOOKUP($D540&amp;$C540,生产方式定位!$A$2:$E$38,5,FALSE)+VLOOKUP($E540&amp;$C540,生产方式定位!$F$3:$J$38,5,FALSE),"错误")</f>
        <v>5100</v>
      </c>
      <c r="Y540" s="26" t="str">
        <f t="shared" si="160"/>
        <v/>
      </c>
      <c r="Z540" s="36" t="str">
        <f t="shared" si="161"/>
        <v/>
      </c>
      <c r="AA540" s="36" t="str">
        <f t="shared" si="162"/>
        <v/>
      </c>
      <c r="AB540" s="27" t="str">
        <f t="shared" si="163"/>
        <v>49%</v>
      </c>
      <c r="AC540" s="2">
        <f t="shared" si="164"/>
        <v>1575</v>
      </c>
      <c r="AD540" s="37">
        <f t="shared" si="165"/>
        <v>3</v>
      </c>
      <c r="AE540" t="str">
        <f t="shared" si="166"/>
        <v/>
      </c>
      <c r="AF540" t="str">
        <f t="shared" si="167"/>
        <v/>
      </c>
      <c r="AG540" t="str">
        <f t="shared" si="168"/>
        <v/>
      </c>
      <c r="AH540" t="str">
        <f t="shared" si="169"/>
        <v/>
      </c>
      <c r="AI540" t="str">
        <f t="shared" si="170"/>
        <v/>
      </c>
      <c r="AJ540" t="str">
        <f t="shared" si="171"/>
        <v/>
      </c>
      <c r="AK540" t="str">
        <f t="shared" si="172"/>
        <v/>
      </c>
      <c r="AL540" t="str">
        <f>IFERROR(ROUND(L540*(G540/$AU540)/VLOOKUP(F540,商品!$A$4:$B$60,2,FALSE),0),"")</f>
        <v/>
      </c>
      <c r="AM540" t="str">
        <f>IFERROR(ROUND(L540*(I540/$AU540)/VLOOKUP(H540,商品!$A$4:$B$60,2,FALSE),0),"")</f>
        <v/>
      </c>
      <c r="AN540">
        <f>IFERROR(ROUND(L540*(J540/$AU540)/VLOOKUP("运力",商品!$A$4:$B$60,2,FALSE),0),0)</f>
        <v>0</v>
      </c>
      <c r="AO540">
        <f>IFERROR(ROUND(L540*(K540/$AU540)/VLOOKUP("交易",商品!$A$4:$B$60,2,FALSE),0),0)</f>
        <v>0</v>
      </c>
      <c r="AP540" t="str">
        <f>IFERROR(ROUND(S540*(N540/$AV540)/VLOOKUP(M540,职业!$A$4:$G$16,4,FALSE),0),"")</f>
        <v/>
      </c>
      <c r="AQ540" t="str">
        <f>IFERROR(ROUND(S540*(P540/$AV540)/VLOOKUP(O540,职业!$A$4:$G$16,4,FALSE),0),"")</f>
        <v/>
      </c>
      <c r="AR540" t="str">
        <f>IFERROR(ROUND(S540*(R540/$AV540)/VLOOKUP(Q540,职业!$A$4:$G$16,4,FALSE),0),"")</f>
        <v/>
      </c>
      <c r="AS540" t="str">
        <f>IFERROR(ROUND(X540*(U540/$AW540)/VLOOKUP(T540,商品!$A$4:$B$60,2,FALSE),0),"")</f>
        <v/>
      </c>
      <c r="AT540" t="str">
        <f>IFERROR(ROUND(X540*(W540/$AW540)/VLOOKUP(V540,商品!$A$4:$B$60,2,FALSE),0),"")</f>
        <v/>
      </c>
      <c r="AU540">
        <f t="shared" si="173"/>
        <v>0</v>
      </c>
      <c r="AV540">
        <f t="shared" si="174"/>
        <v>0</v>
      </c>
      <c r="AW540">
        <f t="shared" si="175"/>
        <v>0</v>
      </c>
    </row>
    <row r="541" spans="1:49" ht="19.95" customHeight="1" x14ac:dyDescent="0.25">
      <c r="A541" s="15" t="s">
        <v>295</v>
      </c>
      <c r="C541" s="15">
        <v>4</v>
      </c>
      <c r="D541" s="23" t="s">
        <v>282</v>
      </c>
      <c r="E541" s="23" t="s">
        <v>172</v>
      </c>
      <c r="L541" s="16">
        <f>IFERROR(VLOOKUP($D541&amp;$C541,生产方式定位!$A$2:$E$38,2,FALSE)+VLOOKUP($E541&amp;$C541,生产方式定位!$F$3:$J$38,2,FALSE),0)</f>
        <v>3950</v>
      </c>
      <c r="S541" s="16">
        <f>IFERROR(VLOOKUP($D541&amp;$C541,生产方式定位!$A$2:$E$38,3,FALSE)+VLOOKUP($E541&amp;$C541,生产方式定位!$F$3:$J$38,3,FALSE),0)</f>
        <v>100</v>
      </c>
      <c r="X541" s="16">
        <f>IFERROR(VLOOKUP($D541&amp;$C541,生产方式定位!$A$2:$E$38,5,FALSE)+VLOOKUP($E541&amp;$C541,生产方式定位!$F$3:$J$38,5,FALSE),"错误")</f>
        <v>5850</v>
      </c>
      <c r="Y541" s="26" t="str">
        <f t="shared" si="160"/>
        <v/>
      </c>
      <c r="Z541" s="36" t="str">
        <f t="shared" si="161"/>
        <v/>
      </c>
      <c r="AA541" s="36" t="str">
        <f t="shared" si="162"/>
        <v/>
      </c>
      <c r="AB541" s="27" t="str">
        <f t="shared" si="163"/>
        <v>48%</v>
      </c>
      <c r="AC541" s="2">
        <f t="shared" si="164"/>
        <v>1800</v>
      </c>
      <c r="AD541" s="37">
        <f t="shared" si="165"/>
        <v>4</v>
      </c>
      <c r="AE541" t="str">
        <f t="shared" si="166"/>
        <v/>
      </c>
      <c r="AF541" t="str">
        <f t="shared" si="167"/>
        <v/>
      </c>
      <c r="AG541" t="str">
        <f t="shared" si="168"/>
        <v/>
      </c>
      <c r="AH541" t="str">
        <f t="shared" si="169"/>
        <v/>
      </c>
      <c r="AI541" t="str">
        <f t="shared" si="170"/>
        <v/>
      </c>
      <c r="AJ541" t="str">
        <f t="shared" si="171"/>
        <v/>
      </c>
      <c r="AK541" t="str">
        <f t="shared" si="172"/>
        <v/>
      </c>
      <c r="AL541" t="str">
        <f>IFERROR(ROUND(L541*(G541/$AU541)/VLOOKUP(F541,商品!$A$4:$B$60,2,FALSE),0),"")</f>
        <v/>
      </c>
      <c r="AM541" t="str">
        <f>IFERROR(ROUND(L541*(I541/$AU541)/VLOOKUP(H541,商品!$A$4:$B$60,2,FALSE),0),"")</f>
        <v/>
      </c>
      <c r="AN541">
        <f>IFERROR(ROUND(L541*(J541/$AU541)/VLOOKUP("运力",商品!$A$4:$B$60,2,FALSE),0),0)</f>
        <v>0</v>
      </c>
      <c r="AO541">
        <f>IFERROR(ROUND(L541*(K541/$AU541)/VLOOKUP("交易",商品!$A$4:$B$60,2,FALSE),0),0)</f>
        <v>0</v>
      </c>
      <c r="AP541" t="str">
        <f>IFERROR(ROUND(S541*(N541/$AV541)/VLOOKUP(M541,职业!$A$4:$G$16,4,FALSE),0),"")</f>
        <v/>
      </c>
      <c r="AQ541" t="str">
        <f>IFERROR(ROUND(S541*(P541/$AV541)/VLOOKUP(O541,职业!$A$4:$G$16,4,FALSE),0),"")</f>
        <v/>
      </c>
      <c r="AR541" t="str">
        <f>IFERROR(ROUND(S541*(R541/$AV541)/VLOOKUP(Q541,职业!$A$4:$G$16,4,FALSE),0),"")</f>
        <v/>
      </c>
      <c r="AS541" t="str">
        <f>IFERROR(ROUND(X541*(U541/$AW541)/VLOOKUP(T541,商品!$A$4:$B$60,2,FALSE),0),"")</f>
        <v/>
      </c>
      <c r="AT541" t="str">
        <f>IFERROR(ROUND(X541*(W541/$AW541)/VLOOKUP(V541,商品!$A$4:$B$60,2,FALSE),0),"")</f>
        <v/>
      </c>
      <c r="AU541">
        <f t="shared" si="173"/>
        <v>0</v>
      </c>
      <c r="AV541">
        <f t="shared" si="174"/>
        <v>0</v>
      </c>
      <c r="AW541">
        <f t="shared" si="175"/>
        <v>0</v>
      </c>
    </row>
    <row r="542" spans="1:49" ht="19.95" customHeight="1" x14ac:dyDescent="0.25">
      <c r="A542" s="15" t="s">
        <v>295</v>
      </c>
      <c r="C542" s="15">
        <v>5</v>
      </c>
      <c r="D542" s="23" t="s">
        <v>282</v>
      </c>
      <c r="E542" s="23" t="s">
        <v>172</v>
      </c>
      <c r="L542" s="16">
        <f>IFERROR(VLOOKUP($D542&amp;$C542,生产方式定位!$A$2:$E$38,2,FALSE)+VLOOKUP($E542&amp;$C542,生产方式定位!$F$3:$J$38,2,FALSE),0)</f>
        <v>4475</v>
      </c>
      <c r="S542" s="16">
        <f>IFERROR(VLOOKUP($D542&amp;$C542,生产方式定位!$A$2:$E$38,3,FALSE)+VLOOKUP($E542&amp;$C542,生产方式定位!$F$3:$J$38,3,FALSE),0)</f>
        <v>100</v>
      </c>
      <c r="X542" s="16">
        <f>IFERROR(VLOOKUP($D542&amp;$C542,生产方式定位!$A$2:$E$38,5,FALSE)+VLOOKUP($E542&amp;$C542,生产方式定位!$F$3:$J$38,5,FALSE),"错误")</f>
        <v>6600</v>
      </c>
      <c r="Y542" s="26" t="str">
        <f t="shared" si="160"/>
        <v/>
      </c>
      <c r="Z542" s="36" t="str">
        <f t="shared" si="161"/>
        <v/>
      </c>
      <c r="AA542" s="36" t="str">
        <f t="shared" si="162"/>
        <v/>
      </c>
      <c r="AB542" s="27" t="str">
        <f t="shared" si="163"/>
        <v>47%</v>
      </c>
      <c r="AC542" s="2">
        <f t="shared" si="164"/>
        <v>2025</v>
      </c>
      <c r="AD542" s="37">
        <f t="shared" si="165"/>
        <v>5</v>
      </c>
      <c r="AE542" t="str">
        <f t="shared" si="166"/>
        <v/>
      </c>
      <c r="AF542" t="str">
        <f t="shared" si="167"/>
        <v/>
      </c>
      <c r="AG542" t="str">
        <f t="shared" si="168"/>
        <v/>
      </c>
      <c r="AH542" t="str">
        <f t="shared" si="169"/>
        <v/>
      </c>
      <c r="AI542" t="str">
        <f t="shared" si="170"/>
        <v/>
      </c>
      <c r="AJ542" t="str">
        <f t="shared" si="171"/>
        <v/>
      </c>
      <c r="AK542" t="str">
        <f t="shared" si="172"/>
        <v/>
      </c>
      <c r="AL542" t="str">
        <f>IFERROR(ROUND(L542*(G542/$AU542)/VLOOKUP(F542,商品!$A$4:$B$60,2,FALSE),0),"")</f>
        <v/>
      </c>
      <c r="AM542" t="str">
        <f>IFERROR(ROUND(L542*(I542/$AU542)/VLOOKUP(H542,商品!$A$4:$B$60,2,FALSE),0),"")</f>
        <v/>
      </c>
      <c r="AN542">
        <f>IFERROR(ROUND(L542*(J542/$AU542)/VLOOKUP("运力",商品!$A$4:$B$60,2,FALSE),0),0)</f>
        <v>0</v>
      </c>
      <c r="AO542">
        <f>IFERROR(ROUND(L542*(K542/$AU542)/VLOOKUP("交易",商品!$A$4:$B$60,2,FALSE),0),0)</f>
        <v>0</v>
      </c>
      <c r="AP542" t="str">
        <f>IFERROR(ROUND(S542*(N542/$AV542)/VLOOKUP(M542,职业!$A$4:$G$16,4,FALSE),0),"")</f>
        <v/>
      </c>
      <c r="AQ542" t="str">
        <f>IFERROR(ROUND(S542*(P542/$AV542)/VLOOKUP(O542,职业!$A$4:$G$16,4,FALSE),0),"")</f>
        <v/>
      </c>
      <c r="AR542" t="str">
        <f>IFERROR(ROUND(S542*(R542/$AV542)/VLOOKUP(Q542,职业!$A$4:$G$16,4,FALSE),0),"")</f>
        <v/>
      </c>
      <c r="AS542" t="str">
        <f>IFERROR(ROUND(X542*(U542/$AW542)/VLOOKUP(T542,商品!$A$4:$B$60,2,FALSE),0),"")</f>
        <v/>
      </c>
      <c r="AT542" t="str">
        <f>IFERROR(ROUND(X542*(W542/$AW542)/VLOOKUP(V542,商品!$A$4:$B$60,2,FALSE),0),"")</f>
        <v/>
      </c>
      <c r="AU542">
        <f t="shared" si="173"/>
        <v>0</v>
      </c>
      <c r="AV542">
        <f t="shared" si="174"/>
        <v>0</v>
      </c>
      <c r="AW542">
        <f t="shared" si="175"/>
        <v>0</v>
      </c>
    </row>
    <row r="543" spans="1:49" ht="19.95" customHeight="1" x14ac:dyDescent="0.25">
      <c r="A543" s="16" t="s">
        <v>295</v>
      </c>
      <c r="C543" s="16">
        <v>1</v>
      </c>
      <c r="D543" s="23" t="s">
        <v>282</v>
      </c>
      <c r="E543" s="23" t="s">
        <v>172</v>
      </c>
      <c r="L543" s="15">
        <f>IFERROR(VLOOKUP($D543&amp;$C543,生产方式定位!$A$2:$E$38,2,FALSE)+VLOOKUP($E543&amp;$C543,生产方式定位!$F$3:$J$38,2,FALSE),0)</f>
        <v>2000</v>
      </c>
      <c r="S543" s="15">
        <f>IFERROR(VLOOKUP($D543&amp;$C543,生产方式定位!$A$2:$E$38,3,FALSE)+VLOOKUP($E543&amp;$C543,生产方式定位!$F$3:$J$38,3,FALSE),0)</f>
        <v>100</v>
      </c>
      <c r="X543" s="15">
        <f>IFERROR(VLOOKUP($D543&amp;$C543,生产方式定位!$A$2:$E$38,5,FALSE)+VLOOKUP($E543&amp;$C543,生产方式定位!$F$3:$J$38,5,FALSE),"错误")</f>
        <v>3150</v>
      </c>
      <c r="Y543" s="26" t="str">
        <f t="shared" si="160"/>
        <v/>
      </c>
      <c r="Z543" s="36" t="str">
        <f t="shared" si="161"/>
        <v/>
      </c>
      <c r="AA543" s="36" t="str">
        <f t="shared" si="162"/>
        <v/>
      </c>
      <c r="AB543" s="27" t="str">
        <f t="shared" si="163"/>
        <v>58%</v>
      </c>
      <c r="AC543" s="2">
        <f t="shared" si="164"/>
        <v>1050</v>
      </c>
      <c r="AD543" s="37">
        <f t="shared" si="165"/>
        <v>1</v>
      </c>
      <c r="AE543" t="str">
        <f t="shared" si="166"/>
        <v/>
      </c>
      <c r="AF543" t="str">
        <f t="shared" si="167"/>
        <v/>
      </c>
      <c r="AG543" t="str">
        <f t="shared" si="168"/>
        <v/>
      </c>
      <c r="AH543" t="str">
        <f t="shared" si="169"/>
        <v/>
      </c>
      <c r="AI543" t="str">
        <f t="shared" si="170"/>
        <v/>
      </c>
      <c r="AJ543" t="str">
        <f t="shared" si="171"/>
        <v/>
      </c>
      <c r="AK543" t="str">
        <f t="shared" si="172"/>
        <v/>
      </c>
      <c r="AL543" t="str">
        <f>IFERROR(ROUND(L543*(G543/$AU543)/VLOOKUP(F543,商品!$A$4:$B$60,2,FALSE),0),"")</f>
        <v/>
      </c>
      <c r="AM543" t="str">
        <f>IFERROR(ROUND(L543*(I543/$AU543)/VLOOKUP(H543,商品!$A$4:$B$60,2,FALSE),0),"")</f>
        <v/>
      </c>
      <c r="AN543">
        <f>IFERROR(ROUND(L543*(J543/$AU543)/VLOOKUP("运力",商品!$A$4:$B$60,2,FALSE),0),0)</f>
        <v>0</v>
      </c>
      <c r="AO543">
        <f>IFERROR(ROUND(L543*(K543/$AU543)/VLOOKUP("交易",商品!$A$4:$B$60,2,FALSE),0),0)</f>
        <v>0</v>
      </c>
      <c r="AP543" t="str">
        <f>IFERROR(ROUND(S543*(N543/$AV543)/VLOOKUP(M543,职业!$A$4:$G$16,4,FALSE),0),"")</f>
        <v/>
      </c>
      <c r="AQ543" t="str">
        <f>IFERROR(ROUND(S543*(P543/$AV543)/VLOOKUP(O543,职业!$A$4:$G$16,4,FALSE),0),"")</f>
        <v/>
      </c>
      <c r="AR543" t="str">
        <f>IFERROR(ROUND(S543*(R543/$AV543)/VLOOKUP(Q543,职业!$A$4:$G$16,4,FALSE),0),"")</f>
        <v/>
      </c>
      <c r="AS543" t="str">
        <f>IFERROR(ROUND(X543*(U543/$AW543)/VLOOKUP(T543,商品!$A$4:$B$60,2,FALSE),0),"")</f>
        <v/>
      </c>
      <c r="AT543" t="str">
        <f>IFERROR(ROUND(X543*(W543/$AW543)/VLOOKUP(V543,商品!$A$4:$B$60,2,FALSE),0),"")</f>
        <v/>
      </c>
      <c r="AU543">
        <f t="shared" si="173"/>
        <v>0</v>
      </c>
      <c r="AV543">
        <f t="shared" si="174"/>
        <v>0</v>
      </c>
      <c r="AW543">
        <f t="shared" si="175"/>
        <v>0</v>
      </c>
    </row>
    <row r="544" spans="1:49" ht="19.95" customHeight="1" x14ac:dyDescent="0.25">
      <c r="A544" s="16" t="s">
        <v>295</v>
      </c>
      <c r="C544" s="16">
        <v>2</v>
      </c>
      <c r="D544" s="23" t="s">
        <v>282</v>
      </c>
      <c r="E544" s="23" t="s">
        <v>172</v>
      </c>
      <c r="L544" s="15">
        <f>IFERROR(VLOOKUP($D544&amp;$C544,生产方式定位!$A$2:$E$38,2,FALSE)+VLOOKUP($E544&amp;$C544,生产方式定位!$F$3:$J$38,2,FALSE),0)</f>
        <v>2900</v>
      </c>
      <c r="S544" s="15">
        <f>IFERROR(VLOOKUP($D544&amp;$C544,生产方式定位!$A$2:$E$38,3,FALSE)+VLOOKUP($E544&amp;$C544,生产方式定位!$F$3:$J$38,3,FALSE),0)</f>
        <v>100</v>
      </c>
      <c r="X544" s="15">
        <f>IFERROR(VLOOKUP($D544&amp;$C544,生产方式定位!$A$2:$E$38,5,FALSE)+VLOOKUP($E544&amp;$C544,生产方式定位!$F$3:$J$38,5,FALSE),"错误")</f>
        <v>4350</v>
      </c>
      <c r="Y544" s="26" t="str">
        <f t="shared" si="160"/>
        <v/>
      </c>
      <c r="Z544" s="36" t="str">
        <f t="shared" si="161"/>
        <v/>
      </c>
      <c r="AA544" s="36" t="str">
        <f t="shared" si="162"/>
        <v/>
      </c>
      <c r="AB544" s="27" t="str">
        <f t="shared" si="163"/>
        <v>50%</v>
      </c>
      <c r="AC544" s="2">
        <f t="shared" si="164"/>
        <v>1350</v>
      </c>
      <c r="AD544" s="37">
        <f t="shared" si="165"/>
        <v>2</v>
      </c>
      <c r="AE544" t="str">
        <f t="shared" si="166"/>
        <v/>
      </c>
      <c r="AF544" t="str">
        <f t="shared" si="167"/>
        <v/>
      </c>
      <c r="AG544" t="str">
        <f t="shared" si="168"/>
        <v/>
      </c>
      <c r="AH544" t="str">
        <f t="shared" si="169"/>
        <v/>
      </c>
      <c r="AI544" t="str">
        <f t="shared" si="170"/>
        <v/>
      </c>
      <c r="AJ544" t="str">
        <f t="shared" si="171"/>
        <v/>
      </c>
      <c r="AK544" t="str">
        <f t="shared" si="172"/>
        <v/>
      </c>
      <c r="AL544" t="str">
        <f>IFERROR(ROUND(L544*(G544/$AU544)/VLOOKUP(F544,商品!$A$4:$B$60,2,FALSE),0),"")</f>
        <v/>
      </c>
      <c r="AM544" t="str">
        <f>IFERROR(ROUND(L544*(I544/$AU544)/VLOOKUP(H544,商品!$A$4:$B$60,2,FALSE),0),"")</f>
        <v/>
      </c>
      <c r="AN544">
        <f>IFERROR(ROUND(L544*(J544/$AU544)/VLOOKUP("运力",商品!$A$4:$B$60,2,FALSE),0),0)</f>
        <v>0</v>
      </c>
      <c r="AO544">
        <f>IFERROR(ROUND(L544*(K544/$AU544)/VLOOKUP("交易",商品!$A$4:$B$60,2,FALSE),0),0)</f>
        <v>0</v>
      </c>
      <c r="AP544" t="str">
        <f>IFERROR(ROUND(S544*(N544/$AV544)/VLOOKUP(M544,职业!$A$4:$G$16,4,FALSE),0),"")</f>
        <v/>
      </c>
      <c r="AQ544" t="str">
        <f>IFERROR(ROUND(S544*(P544/$AV544)/VLOOKUP(O544,职业!$A$4:$G$16,4,FALSE),0),"")</f>
        <v/>
      </c>
      <c r="AR544" t="str">
        <f>IFERROR(ROUND(S544*(R544/$AV544)/VLOOKUP(Q544,职业!$A$4:$G$16,4,FALSE),0),"")</f>
        <v/>
      </c>
      <c r="AS544" t="str">
        <f>IFERROR(ROUND(X544*(U544/$AW544)/VLOOKUP(T544,商品!$A$4:$B$60,2,FALSE),0),"")</f>
        <v/>
      </c>
      <c r="AT544" t="str">
        <f>IFERROR(ROUND(X544*(W544/$AW544)/VLOOKUP(V544,商品!$A$4:$B$60,2,FALSE),0),"")</f>
        <v/>
      </c>
      <c r="AU544">
        <f t="shared" si="173"/>
        <v>0</v>
      </c>
      <c r="AV544">
        <f t="shared" si="174"/>
        <v>0</v>
      </c>
      <c r="AW544">
        <f t="shared" si="175"/>
        <v>0</v>
      </c>
    </row>
    <row r="545" spans="1:49" ht="19.95" customHeight="1" x14ac:dyDescent="0.25">
      <c r="A545" s="16" t="s">
        <v>295</v>
      </c>
      <c r="C545" s="16">
        <v>3</v>
      </c>
      <c r="D545" s="23" t="s">
        <v>282</v>
      </c>
      <c r="E545" s="23" t="s">
        <v>172</v>
      </c>
      <c r="L545" s="15">
        <f>IFERROR(VLOOKUP($D545&amp;$C545,生产方式定位!$A$2:$E$38,2,FALSE)+VLOOKUP($E545&amp;$C545,生产方式定位!$F$3:$J$38,2,FALSE),0)</f>
        <v>3425</v>
      </c>
      <c r="S545" s="15">
        <f>IFERROR(VLOOKUP($D545&amp;$C545,生产方式定位!$A$2:$E$38,3,FALSE)+VLOOKUP($E545&amp;$C545,生产方式定位!$F$3:$J$38,3,FALSE),0)</f>
        <v>100</v>
      </c>
      <c r="X545" s="15">
        <f>IFERROR(VLOOKUP($D545&amp;$C545,生产方式定位!$A$2:$E$38,5,FALSE)+VLOOKUP($E545&amp;$C545,生产方式定位!$F$3:$J$38,5,FALSE),"错误")</f>
        <v>5100</v>
      </c>
      <c r="Y545" s="26" t="str">
        <f t="shared" si="160"/>
        <v/>
      </c>
      <c r="Z545" s="36" t="str">
        <f t="shared" si="161"/>
        <v/>
      </c>
      <c r="AA545" s="36" t="str">
        <f t="shared" si="162"/>
        <v/>
      </c>
      <c r="AB545" s="27" t="str">
        <f t="shared" si="163"/>
        <v>49%</v>
      </c>
      <c r="AC545" s="2">
        <f t="shared" si="164"/>
        <v>1575</v>
      </c>
      <c r="AD545" s="37">
        <f t="shared" si="165"/>
        <v>3</v>
      </c>
      <c r="AE545" t="str">
        <f t="shared" si="166"/>
        <v/>
      </c>
      <c r="AF545" t="str">
        <f t="shared" si="167"/>
        <v/>
      </c>
      <c r="AG545" t="str">
        <f t="shared" si="168"/>
        <v/>
      </c>
      <c r="AH545" t="str">
        <f t="shared" si="169"/>
        <v/>
      </c>
      <c r="AI545" t="str">
        <f t="shared" si="170"/>
        <v/>
      </c>
      <c r="AJ545" t="str">
        <f t="shared" si="171"/>
        <v/>
      </c>
      <c r="AK545" t="str">
        <f t="shared" si="172"/>
        <v/>
      </c>
      <c r="AL545" t="str">
        <f>IFERROR(ROUND(L545*(G545/$AU545)/VLOOKUP(F545,商品!$A$4:$B$60,2,FALSE),0),"")</f>
        <v/>
      </c>
      <c r="AM545" t="str">
        <f>IFERROR(ROUND(L545*(I545/$AU545)/VLOOKUP(H545,商品!$A$4:$B$60,2,FALSE),0),"")</f>
        <v/>
      </c>
      <c r="AN545">
        <f>IFERROR(ROUND(L545*(J545/$AU545)/VLOOKUP("运力",商品!$A$4:$B$60,2,FALSE),0),0)</f>
        <v>0</v>
      </c>
      <c r="AO545">
        <f>IFERROR(ROUND(L545*(K545/$AU545)/VLOOKUP("交易",商品!$A$4:$B$60,2,FALSE),0),0)</f>
        <v>0</v>
      </c>
      <c r="AP545" t="str">
        <f>IFERROR(ROUND(S545*(N545/$AV545)/VLOOKUP(M545,职业!$A$4:$G$16,4,FALSE),0),"")</f>
        <v/>
      </c>
      <c r="AQ545" t="str">
        <f>IFERROR(ROUND(S545*(P545/$AV545)/VLOOKUP(O545,职业!$A$4:$G$16,4,FALSE),0),"")</f>
        <v/>
      </c>
      <c r="AR545" t="str">
        <f>IFERROR(ROUND(S545*(R545/$AV545)/VLOOKUP(Q545,职业!$A$4:$G$16,4,FALSE),0),"")</f>
        <v/>
      </c>
      <c r="AS545" t="str">
        <f>IFERROR(ROUND(X545*(U545/$AW545)/VLOOKUP(T545,商品!$A$4:$B$60,2,FALSE),0),"")</f>
        <v/>
      </c>
      <c r="AT545" t="str">
        <f>IFERROR(ROUND(X545*(W545/$AW545)/VLOOKUP(V545,商品!$A$4:$B$60,2,FALSE),0),"")</f>
        <v/>
      </c>
      <c r="AU545">
        <f t="shared" si="173"/>
        <v>0</v>
      </c>
      <c r="AV545">
        <f t="shared" si="174"/>
        <v>0</v>
      </c>
      <c r="AW545">
        <f t="shared" si="175"/>
        <v>0</v>
      </c>
    </row>
    <row r="546" spans="1:49" ht="19.95" customHeight="1" x14ac:dyDescent="0.25">
      <c r="A546" s="16" t="s">
        <v>295</v>
      </c>
      <c r="C546" s="16">
        <v>4</v>
      </c>
      <c r="D546" s="23" t="s">
        <v>282</v>
      </c>
      <c r="E546" s="23" t="s">
        <v>172</v>
      </c>
      <c r="L546" s="15">
        <f>IFERROR(VLOOKUP($D546&amp;$C546,生产方式定位!$A$2:$E$38,2,FALSE)+VLOOKUP($E546&amp;$C546,生产方式定位!$F$3:$J$38,2,FALSE),0)</f>
        <v>3950</v>
      </c>
      <c r="S546" s="15">
        <f>IFERROR(VLOOKUP($D546&amp;$C546,生产方式定位!$A$2:$E$38,3,FALSE)+VLOOKUP($E546&amp;$C546,生产方式定位!$F$3:$J$38,3,FALSE),0)</f>
        <v>100</v>
      </c>
      <c r="X546" s="15">
        <f>IFERROR(VLOOKUP($D546&amp;$C546,生产方式定位!$A$2:$E$38,5,FALSE)+VLOOKUP($E546&amp;$C546,生产方式定位!$F$3:$J$38,5,FALSE),"错误")</f>
        <v>5850</v>
      </c>
      <c r="Y546" s="26" t="str">
        <f t="shared" si="160"/>
        <v/>
      </c>
      <c r="Z546" s="36" t="str">
        <f t="shared" si="161"/>
        <v/>
      </c>
      <c r="AA546" s="36" t="str">
        <f t="shared" si="162"/>
        <v/>
      </c>
      <c r="AB546" s="27" t="str">
        <f t="shared" si="163"/>
        <v>48%</v>
      </c>
      <c r="AC546" s="2">
        <f t="shared" si="164"/>
        <v>1800</v>
      </c>
      <c r="AD546" s="37">
        <f t="shared" si="165"/>
        <v>4</v>
      </c>
      <c r="AE546" t="str">
        <f t="shared" si="166"/>
        <v/>
      </c>
      <c r="AF546" t="str">
        <f t="shared" si="167"/>
        <v/>
      </c>
      <c r="AG546" t="str">
        <f t="shared" si="168"/>
        <v/>
      </c>
      <c r="AH546" t="str">
        <f t="shared" si="169"/>
        <v/>
      </c>
      <c r="AI546" t="str">
        <f t="shared" si="170"/>
        <v/>
      </c>
      <c r="AJ546" t="str">
        <f t="shared" si="171"/>
        <v/>
      </c>
      <c r="AK546" t="str">
        <f t="shared" si="172"/>
        <v/>
      </c>
      <c r="AL546" t="str">
        <f>IFERROR(ROUND(L546*(G546/$AU546)/VLOOKUP(F546,商品!$A$4:$B$60,2,FALSE),0),"")</f>
        <v/>
      </c>
      <c r="AM546" t="str">
        <f>IFERROR(ROUND(L546*(I546/$AU546)/VLOOKUP(H546,商品!$A$4:$B$60,2,FALSE),0),"")</f>
        <v/>
      </c>
      <c r="AN546">
        <f>IFERROR(ROUND(L546*(J546/$AU546)/VLOOKUP("运力",商品!$A$4:$B$60,2,FALSE),0),0)</f>
        <v>0</v>
      </c>
      <c r="AO546">
        <f>IFERROR(ROUND(L546*(K546/$AU546)/VLOOKUP("交易",商品!$A$4:$B$60,2,FALSE),0),0)</f>
        <v>0</v>
      </c>
      <c r="AP546" t="str">
        <f>IFERROR(ROUND(S546*(N546/$AV546)/VLOOKUP(M546,职业!$A$4:$G$16,4,FALSE),0),"")</f>
        <v/>
      </c>
      <c r="AQ546" t="str">
        <f>IFERROR(ROUND(S546*(P546/$AV546)/VLOOKUP(O546,职业!$A$4:$G$16,4,FALSE),0),"")</f>
        <v/>
      </c>
      <c r="AR546" t="str">
        <f>IFERROR(ROUND(S546*(R546/$AV546)/VLOOKUP(Q546,职业!$A$4:$G$16,4,FALSE),0),"")</f>
        <v/>
      </c>
      <c r="AS546" t="str">
        <f>IFERROR(ROUND(X546*(U546/$AW546)/VLOOKUP(T546,商品!$A$4:$B$60,2,FALSE),0),"")</f>
        <v/>
      </c>
      <c r="AT546" t="str">
        <f>IFERROR(ROUND(X546*(W546/$AW546)/VLOOKUP(V546,商品!$A$4:$B$60,2,FALSE),0),"")</f>
        <v/>
      </c>
      <c r="AU546">
        <f t="shared" si="173"/>
        <v>0</v>
      </c>
      <c r="AV546">
        <f t="shared" si="174"/>
        <v>0</v>
      </c>
      <c r="AW546">
        <f t="shared" si="175"/>
        <v>0</v>
      </c>
    </row>
    <row r="547" spans="1:49" ht="19.95" customHeight="1" x14ac:dyDescent="0.25">
      <c r="A547" s="16" t="s">
        <v>295</v>
      </c>
      <c r="C547" s="16">
        <v>5</v>
      </c>
      <c r="D547" s="23" t="s">
        <v>282</v>
      </c>
      <c r="E547" s="23" t="s">
        <v>172</v>
      </c>
      <c r="L547" s="15">
        <f>IFERROR(VLOOKUP($D547&amp;$C547,生产方式定位!$A$2:$E$38,2,FALSE)+VLOOKUP($E547&amp;$C547,生产方式定位!$F$3:$J$38,2,FALSE),0)</f>
        <v>4475</v>
      </c>
      <c r="S547" s="15">
        <f>IFERROR(VLOOKUP($D547&amp;$C547,生产方式定位!$A$2:$E$38,3,FALSE)+VLOOKUP($E547&amp;$C547,生产方式定位!$F$3:$J$38,3,FALSE),0)</f>
        <v>100</v>
      </c>
      <c r="X547" s="15">
        <f>IFERROR(VLOOKUP($D547&amp;$C547,生产方式定位!$A$2:$E$38,5,FALSE)+VLOOKUP($E547&amp;$C547,生产方式定位!$F$3:$J$38,5,FALSE),"错误")</f>
        <v>6600</v>
      </c>
      <c r="Y547" s="26" t="str">
        <f t="shared" si="160"/>
        <v/>
      </c>
      <c r="Z547" s="36" t="str">
        <f t="shared" si="161"/>
        <v/>
      </c>
      <c r="AA547" s="36" t="str">
        <f t="shared" si="162"/>
        <v/>
      </c>
      <c r="AB547" s="27" t="str">
        <f t="shared" si="163"/>
        <v>47%</v>
      </c>
      <c r="AC547" s="2">
        <f t="shared" si="164"/>
        <v>2025</v>
      </c>
      <c r="AD547" s="37">
        <f t="shared" si="165"/>
        <v>5</v>
      </c>
      <c r="AE547" t="str">
        <f t="shared" si="166"/>
        <v/>
      </c>
      <c r="AF547" t="str">
        <f t="shared" si="167"/>
        <v/>
      </c>
      <c r="AG547" t="str">
        <f t="shared" si="168"/>
        <v/>
      </c>
      <c r="AH547" t="str">
        <f t="shared" si="169"/>
        <v/>
      </c>
      <c r="AI547" t="str">
        <f t="shared" si="170"/>
        <v/>
      </c>
      <c r="AJ547" t="str">
        <f t="shared" si="171"/>
        <v/>
      </c>
      <c r="AK547" t="str">
        <f t="shared" si="172"/>
        <v/>
      </c>
      <c r="AL547" t="str">
        <f>IFERROR(ROUND(L547*(G547/$AU547)/VLOOKUP(F547,商品!$A$4:$B$60,2,FALSE),0),"")</f>
        <v/>
      </c>
      <c r="AM547" t="str">
        <f>IFERROR(ROUND(L547*(I547/$AU547)/VLOOKUP(H547,商品!$A$4:$B$60,2,FALSE),0),"")</f>
        <v/>
      </c>
      <c r="AN547">
        <f>IFERROR(ROUND(L547*(J547/$AU547)/VLOOKUP("运力",商品!$A$4:$B$60,2,FALSE),0),0)</f>
        <v>0</v>
      </c>
      <c r="AO547">
        <f>IFERROR(ROUND(L547*(K547/$AU547)/VLOOKUP("交易",商品!$A$4:$B$60,2,FALSE),0),0)</f>
        <v>0</v>
      </c>
      <c r="AP547" t="str">
        <f>IFERROR(ROUND(S547*(N547/$AV547)/VLOOKUP(M547,职业!$A$4:$G$16,4,FALSE),0),"")</f>
        <v/>
      </c>
      <c r="AQ547" t="str">
        <f>IFERROR(ROUND(S547*(P547/$AV547)/VLOOKUP(O547,职业!$A$4:$G$16,4,FALSE),0),"")</f>
        <v/>
      </c>
      <c r="AR547" t="str">
        <f>IFERROR(ROUND(S547*(R547/$AV547)/VLOOKUP(Q547,职业!$A$4:$G$16,4,FALSE),0),"")</f>
        <v/>
      </c>
      <c r="AS547" t="str">
        <f>IFERROR(ROUND(X547*(U547/$AW547)/VLOOKUP(T547,商品!$A$4:$B$60,2,FALSE),0),"")</f>
        <v/>
      </c>
      <c r="AT547" t="str">
        <f>IFERROR(ROUND(X547*(W547/$AW547)/VLOOKUP(V547,商品!$A$4:$B$60,2,FALSE),0),"")</f>
        <v/>
      </c>
      <c r="AU547">
        <f t="shared" si="173"/>
        <v>0</v>
      </c>
      <c r="AV547">
        <f t="shared" si="174"/>
        <v>0</v>
      </c>
      <c r="AW547">
        <f t="shared" si="175"/>
        <v>0</v>
      </c>
    </row>
    <row r="548" spans="1:49" ht="19.95" customHeight="1" x14ac:dyDescent="0.25">
      <c r="A548" s="15" t="s">
        <v>296</v>
      </c>
      <c r="C548" s="15">
        <v>1</v>
      </c>
      <c r="D548" s="23" t="s">
        <v>282</v>
      </c>
      <c r="E548" s="23" t="s">
        <v>297</v>
      </c>
      <c r="L548" s="16">
        <f>IFERROR(VLOOKUP($D548&amp;$C548,生产方式定位!$A$2:$E$38,2,FALSE)+VLOOKUP($E548&amp;$C548,生产方式定位!$F$3:$J$38,2,FALSE),0)</f>
        <v>0</v>
      </c>
      <c r="S548" s="16">
        <f>IFERROR(VLOOKUP($D548&amp;$C548,生产方式定位!$A$2:$E$38,3,FALSE)+VLOOKUP($E548&amp;$C548,生产方式定位!$F$3:$J$38,3,FALSE),0)</f>
        <v>0</v>
      </c>
      <c r="X548" s="16" t="str">
        <f>IFERROR(VLOOKUP($D548&amp;$C548,生产方式定位!$A$2:$E$38,5,FALSE)+VLOOKUP($E548&amp;$C548,生产方式定位!$F$3:$J$38,5,FALSE),"错误")</f>
        <v>错误</v>
      </c>
      <c r="Y548" s="26" t="str">
        <f t="shared" si="160"/>
        <v/>
      </c>
      <c r="Z548" s="36" t="str">
        <f t="shared" si="161"/>
        <v/>
      </c>
      <c r="AA548" s="36" t="str">
        <f t="shared" si="162"/>
        <v/>
      </c>
      <c r="AB548" s="27" t="str">
        <f t="shared" si="163"/>
        <v/>
      </c>
      <c r="AC548" s="2" t="e">
        <f t="shared" si="164"/>
        <v>#VALUE!</v>
      </c>
      <c r="AD548" s="38">
        <f t="shared" si="165"/>
        <v>1</v>
      </c>
      <c r="AE548" t="str">
        <f t="shared" si="166"/>
        <v/>
      </c>
      <c r="AF548" t="str">
        <f t="shared" si="167"/>
        <v/>
      </c>
      <c r="AG548" t="str">
        <f t="shared" si="168"/>
        <v/>
      </c>
      <c r="AH548" t="str">
        <f t="shared" si="169"/>
        <v/>
      </c>
      <c r="AI548" t="str">
        <f t="shared" si="170"/>
        <v/>
      </c>
      <c r="AJ548" t="str">
        <f t="shared" si="171"/>
        <v/>
      </c>
      <c r="AK548" t="str">
        <f t="shared" si="172"/>
        <v/>
      </c>
      <c r="AL548" t="str">
        <f>IFERROR(ROUND(L548*(G548/$AU548)/VLOOKUP(F548,商品!$A$4:$B$60,2,FALSE),0),"")</f>
        <v/>
      </c>
      <c r="AM548" t="str">
        <f>IFERROR(ROUND(L548*(I548/$AU548)/VLOOKUP(H548,商品!$A$4:$B$60,2,FALSE),0),"")</f>
        <v/>
      </c>
      <c r="AN548">
        <f>IFERROR(ROUND(L548*(J548/$AU548)/VLOOKUP("运力",商品!$A$4:$B$60,2,FALSE),0),0)</f>
        <v>0</v>
      </c>
      <c r="AO548">
        <f>IFERROR(ROUND(L548*(K548/$AU548)/VLOOKUP("交易",商品!$A$4:$B$60,2,FALSE),0),0)</f>
        <v>0</v>
      </c>
      <c r="AP548" t="str">
        <f>IFERROR(ROUND(S548*(N548/$AV548)/VLOOKUP(M548,职业!$A$4:$G$16,4,FALSE),0),"")</f>
        <v/>
      </c>
      <c r="AQ548" t="str">
        <f>IFERROR(ROUND(S548*(P548/$AV548)/VLOOKUP(O548,职业!$A$4:$G$16,4,FALSE),0),"")</f>
        <v/>
      </c>
      <c r="AR548" t="str">
        <f>IFERROR(ROUND(S548*(R548/$AV548)/VLOOKUP(Q548,职业!$A$4:$G$16,4,FALSE),0),"")</f>
        <v/>
      </c>
      <c r="AS548" t="str">
        <f>IFERROR(ROUND(X548*(U548/$AW548)/VLOOKUP(T548,商品!$A$4:$B$60,2,FALSE),0),"")</f>
        <v/>
      </c>
      <c r="AT548" t="str">
        <f>IFERROR(ROUND(X548*(W548/$AW548)/VLOOKUP(V548,商品!$A$4:$B$60,2,FALSE),0),"")</f>
        <v/>
      </c>
      <c r="AU548">
        <f t="shared" si="173"/>
        <v>0</v>
      </c>
      <c r="AV548">
        <f t="shared" si="174"/>
        <v>0</v>
      </c>
      <c r="AW548">
        <f t="shared" si="175"/>
        <v>0</v>
      </c>
    </row>
    <row r="549" spans="1:49" ht="19.95" customHeight="1" x14ac:dyDescent="0.25">
      <c r="A549" s="15" t="s">
        <v>296</v>
      </c>
      <c r="C549" s="15">
        <v>2</v>
      </c>
      <c r="D549" s="23" t="s">
        <v>282</v>
      </c>
      <c r="E549" s="23" t="s">
        <v>297</v>
      </c>
      <c r="L549" s="16">
        <f>IFERROR(VLOOKUP($D549&amp;$C549,生产方式定位!$A$2:$E$38,2,FALSE)+VLOOKUP($E549&amp;$C549,生产方式定位!$F$3:$J$38,2,FALSE),0)</f>
        <v>0</v>
      </c>
      <c r="S549" s="16">
        <f>IFERROR(VLOOKUP($D549&amp;$C549,生产方式定位!$A$2:$E$38,3,FALSE)+VLOOKUP($E549&amp;$C549,生产方式定位!$F$3:$J$38,3,FALSE),0)</f>
        <v>0</v>
      </c>
      <c r="X549" s="16" t="str">
        <f>IFERROR(VLOOKUP($D549&amp;$C549,生产方式定位!$A$2:$E$38,5,FALSE)+VLOOKUP($E549&amp;$C549,生产方式定位!$F$3:$J$38,5,FALSE),"错误")</f>
        <v>错误</v>
      </c>
      <c r="Y549" s="26" t="str">
        <f t="shared" si="160"/>
        <v/>
      </c>
      <c r="Z549" s="36" t="str">
        <f t="shared" si="161"/>
        <v/>
      </c>
      <c r="AA549" s="36" t="str">
        <f t="shared" si="162"/>
        <v/>
      </c>
      <c r="AB549" s="27" t="str">
        <f t="shared" si="163"/>
        <v/>
      </c>
      <c r="AC549" s="2" t="e">
        <f t="shared" si="164"/>
        <v>#VALUE!</v>
      </c>
      <c r="AD549" s="38">
        <f t="shared" si="165"/>
        <v>2</v>
      </c>
      <c r="AE549" t="str">
        <f t="shared" si="166"/>
        <v/>
      </c>
      <c r="AF549" t="str">
        <f t="shared" si="167"/>
        <v/>
      </c>
      <c r="AG549" t="str">
        <f t="shared" si="168"/>
        <v/>
      </c>
      <c r="AH549" t="str">
        <f t="shared" si="169"/>
        <v/>
      </c>
      <c r="AI549" t="str">
        <f t="shared" si="170"/>
        <v/>
      </c>
      <c r="AJ549" t="str">
        <f t="shared" si="171"/>
        <v/>
      </c>
      <c r="AK549" t="str">
        <f t="shared" si="172"/>
        <v/>
      </c>
      <c r="AL549" t="str">
        <f>IFERROR(ROUND(L549*(G549/$AU549)/VLOOKUP(F549,商品!$A$4:$B$60,2,FALSE),0),"")</f>
        <v/>
      </c>
      <c r="AM549" t="str">
        <f>IFERROR(ROUND(L549*(I549/$AU549)/VLOOKUP(H549,商品!$A$4:$B$60,2,FALSE),0),"")</f>
        <v/>
      </c>
      <c r="AN549">
        <f>IFERROR(ROUND(L549*(J549/$AU549)/VLOOKUP("运力",商品!$A$4:$B$60,2,FALSE),0),0)</f>
        <v>0</v>
      </c>
      <c r="AO549">
        <f>IFERROR(ROUND(L549*(K549/$AU549)/VLOOKUP("交易",商品!$A$4:$B$60,2,FALSE),0),0)</f>
        <v>0</v>
      </c>
      <c r="AP549" t="str">
        <f>IFERROR(ROUND(S549*(N549/$AV549)/VLOOKUP(M549,职业!$A$4:$G$16,4,FALSE),0),"")</f>
        <v/>
      </c>
      <c r="AQ549" t="str">
        <f>IFERROR(ROUND(S549*(P549/$AV549)/VLOOKUP(O549,职业!$A$4:$G$16,4,FALSE),0),"")</f>
        <v/>
      </c>
      <c r="AR549" t="str">
        <f>IFERROR(ROUND(S549*(R549/$AV549)/VLOOKUP(Q549,职业!$A$4:$G$16,4,FALSE),0),"")</f>
        <v/>
      </c>
      <c r="AS549" t="str">
        <f>IFERROR(ROUND(X549*(U549/$AW549)/VLOOKUP(T549,商品!$A$4:$B$60,2,FALSE),0),"")</f>
        <v/>
      </c>
      <c r="AT549" t="str">
        <f>IFERROR(ROUND(X549*(W549/$AW549)/VLOOKUP(V549,商品!$A$4:$B$60,2,FALSE),0),"")</f>
        <v/>
      </c>
      <c r="AU549">
        <f t="shared" si="173"/>
        <v>0</v>
      </c>
      <c r="AV549">
        <f t="shared" si="174"/>
        <v>0</v>
      </c>
      <c r="AW549">
        <f t="shared" si="175"/>
        <v>0</v>
      </c>
    </row>
    <row r="550" spans="1:49" ht="19.95" customHeight="1" x14ac:dyDescent="0.25">
      <c r="A550" s="15" t="s">
        <v>296</v>
      </c>
      <c r="C550" s="15">
        <v>3</v>
      </c>
      <c r="D550" s="23" t="s">
        <v>282</v>
      </c>
      <c r="E550" s="23" t="s">
        <v>297</v>
      </c>
      <c r="L550" s="16">
        <f>IFERROR(VLOOKUP($D550&amp;$C550,生产方式定位!$A$2:$E$38,2,FALSE)+VLOOKUP($E550&amp;$C550,生产方式定位!$F$3:$J$38,2,FALSE),0)</f>
        <v>0</v>
      </c>
      <c r="S550" s="16">
        <f>IFERROR(VLOOKUP($D550&amp;$C550,生产方式定位!$A$2:$E$38,3,FALSE)+VLOOKUP($E550&amp;$C550,生产方式定位!$F$3:$J$38,3,FALSE),0)</f>
        <v>0</v>
      </c>
      <c r="X550" s="16" t="str">
        <f>IFERROR(VLOOKUP($D550&amp;$C550,生产方式定位!$A$2:$E$38,5,FALSE)+VLOOKUP($E550&amp;$C550,生产方式定位!$F$3:$J$38,5,FALSE),"错误")</f>
        <v>错误</v>
      </c>
      <c r="Y550" s="26" t="str">
        <f t="shared" si="160"/>
        <v/>
      </c>
      <c r="Z550" s="36" t="str">
        <f t="shared" si="161"/>
        <v/>
      </c>
      <c r="AA550" s="36" t="str">
        <f t="shared" si="162"/>
        <v/>
      </c>
      <c r="AB550" s="27" t="str">
        <f t="shared" si="163"/>
        <v/>
      </c>
      <c r="AC550" s="2" t="e">
        <f t="shared" si="164"/>
        <v>#VALUE!</v>
      </c>
      <c r="AD550" s="38">
        <f t="shared" si="165"/>
        <v>3</v>
      </c>
      <c r="AE550" t="str">
        <f t="shared" si="166"/>
        <v/>
      </c>
      <c r="AF550" t="str">
        <f t="shared" si="167"/>
        <v/>
      </c>
      <c r="AG550" t="str">
        <f t="shared" si="168"/>
        <v/>
      </c>
      <c r="AH550" t="str">
        <f t="shared" si="169"/>
        <v/>
      </c>
      <c r="AI550" t="str">
        <f t="shared" si="170"/>
        <v/>
      </c>
      <c r="AJ550" t="str">
        <f t="shared" si="171"/>
        <v/>
      </c>
      <c r="AK550" t="str">
        <f t="shared" si="172"/>
        <v/>
      </c>
      <c r="AL550" t="str">
        <f>IFERROR(ROUND(L550*(G550/$AU550)/VLOOKUP(F550,商品!$A$4:$B$60,2,FALSE),0),"")</f>
        <v/>
      </c>
      <c r="AM550" t="str">
        <f>IFERROR(ROUND(L550*(I550/$AU550)/VLOOKUP(H550,商品!$A$4:$B$60,2,FALSE),0),"")</f>
        <v/>
      </c>
      <c r="AN550">
        <f>IFERROR(ROUND(L550*(J550/$AU550)/VLOOKUP("运力",商品!$A$4:$B$60,2,FALSE),0),0)</f>
        <v>0</v>
      </c>
      <c r="AO550">
        <f>IFERROR(ROUND(L550*(K550/$AU550)/VLOOKUP("交易",商品!$A$4:$B$60,2,FALSE),0),0)</f>
        <v>0</v>
      </c>
      <c r="AP550" t="str">
        <f>IFERROR(ROUND(S550*(N550/$AV550)/VLOOKUP(M550,职业!$A$4:$G$16,4,FALSE),0),"")</f>
        <v/>
      </c>
      <c r="AQ550" t="str">
        <f>IFERROR(ROUND(S550*(P550/$AV550)/VLOOKUP(O550,职业!$A$4:$G$16,4,FALSE),0),"")</f>
        <v/>
      </c>
      <c r="AR550" t="str">
        <f>IFERROR(ROUND(S550*(R550/$AV550)/VLOOKUP(Q550,职业!$A$4:$G$16,4,FALSE),0),"")</f>
        <v/>
      </c>
      <c r="AS550" t="str">
        <f>IFERROR(ROUND(X550*(U550/$AW550)/VLOOKUP(T550,商品!$A$4:$B$60,2,FALSE),0),"")</f>
        <v/>
      </c>
      <c r="AT550" t="str">
        <f>IFERROR(ROUND(X550*(W550/$AW550)/VLOOKUP(V550,商品!$A$4:$B$60,2,FALSE),0),"")</f>
        <v/>
      </c>
      <c r="AU550">
        <f t="shared" si="173"/>
        <v>0</v>
      </c>
      <c r="AV550">
        <f t="shared" si="174"/>
        <v>0</v>
      </c>
      <c r="AW550">
        <f t="shared" si="175"/>
        <v>0</v>
      </c>
    </row>
    <row r="551" spans="1:49" ht="19.95" customHeight="1" x14ac:dyDescent="0.25">
      <c r="A551" s="15" t="s">
        <v>296</v>
      </c>
      <c r="C551" s="15">
        <v>4</v>
      </c>
      <c r="D551" s="23" t="s">
        <v>282</v>
      </c>
      <c r="E551" s="23" t="s">
        <v>297</v>
      </c>
      <c r="L551" s="16">
        <f>IFERROR(VLOOKUP($D551&amp;$C551,生产方式定位!$A$2:$E$38,2,FALSE)+VLOOKUP($E551&amp;$C551,生产方式定位!$F$3:$J$38,2,FALSE),0)</f>
        <v>0</v>
      </c>
      <c r="S551" s="16">
        <f>IFERROR(VLOOKUP($D551&amp;$C551,生产方式定位!$A$2:$E$38,3,FALSE)+VLOOKUP($E551&amp;$C551,生产方式定位!$F$3:$J$38,3,FALSE),0)</f>
        <v>0</v>
      </c>
      <c r="X551" s="16" t="str">
        <f>IFERROR(VLOOKUP($D551&amp;$C551,生产方式定位!$A$2:$E$38,5,FALSE)+VLOOKUP($E551&amp;$C551,生产方式定位!$F$3:$J$38,5,FALSE),"错误")</f>
        <v>错误</v>
      </c>
      <c r="Y551" s="26" t="str">
        <f t="shared" si="160"/>
        <v/>
      </c>
      <c r="Z551" s="36" t="str">
        <f t="shared" si="161"/>
        <v/>
      </c>
      <c r="AA551" s="36" t="str">
        <f t="shared" si="162"/>
        <v/>
      </c>
      <c r="AB551" s="27" t="str">
        <f t="shared" si="163"/>
        <v/>
      </c>
      <c r="AC551" s="2" t="e">
        <f t="shared" si="164"/>
        <v>#VALUE!</v>
      </c>
      <c r="AD551" s="38">
        <f t="shared" si="165"/>
        <v>4</v>
      </c>
      <c r="AE551" t="str">
        <f t="shared" si="166"/>
        <v/>
      </c>
      <c r="AF551" t="str">
        <f t="shared" si="167"/>
        <v/>
      </c>
      <c r="AG551" t="str">
        <f t="shared" si="168"/>
        <v/>
      </c>
      <c r="AH551" t="str">
        <f t="shared" si="169"/>
        <v/>
      </c>
      <c r="AI551" t="str">
        <f t="shared" si="170"/>
        <v/>
      </c>
      <c r="AJ551" t="str">
        <f t="shared" si="171"/>
        <v/>
      </c>
      <c r="AK551" t="str">
        <f t="shared" si="172"/>
        <v/>
      </c>
      <c r="AL551" t="str">
        <f>IFERROR(ROUND(L551*(G551/$AU551)/VLOOKUP(F551,商品!$A$4:$B$60,2,FALSE),0),"")</f>
        <v/>
      </c>
      <c r="AM551" t="str">
        <f>IFERROR(ROUND(L551*(I551/$AU551)/VLOOKUP(H551,商品!$A$4:$B$60,2,FALSE),0),"")</f>
        <v/>
      </c>
      <c r="AN551">
        <f>IFERROR(ROUND(L551*(J551/$AU551)/VLOOKUP("运力",商品!$A$4:$B$60,2,FALSE),0),0)</f>
        <v>0</v>
      </c>
      <c r="AO551">
        <f>IFERROR(ROUND(L551*(K551/$AU551)/VLOOKUP("交易",商品!$A$4:$B$60,2,FALSE),0),0)</f>
        <v>0</v>
      </c>
      <c r="AP551" t="str">
        <f>IFERROR(ROUND(S551*(N551/$AV551)/VLOOKUP(M551,职业!$A$4:$G$16,4,FALSE),0),"")</f>
        <v/>
      </c>
      <c r="AQ551" t="str">
        <f>IFERROR(ROUND(S551*(P551/$AV551)/VLOOKUP(O551,职业!$A$4:$G$16,4,FALSE),0),"")</f>
        <v/>
      </c>
      <c r="AR551" t="str">
        <f>IFERROR(ROUND(S551*(R551/$AV551)/VLOOKUP(Q551,职业!$A$4:$G$16,4,FALSE),0),"")</f>
        <v/>
      </c>
      <c r="AS551" t="str">
        <f>IFERROR(ROUND(X551*(U551/$AW551)/VLOOKUP(T551,商品!$A$4:$B$60,2,FALSE),0),"")</f>
        <v/>
      </c>
      <c r="AT551" t="str">
        <f>IFERROR(ROUND(X551*(W551/$AW551)/VLOOKUP(V551,商品!$A$4:$B$60,2,FALSE),0),"")</f>
        <v/>
      </c>
      <c r="AU551">
        <f t="shared" si="173"/>
        <v>0</v>
      </c>
      <c r="AV551">
        <f t="shared" si="174"/>
        <v>0</v>
      </c>
      <c r="AW551">
        <f t="shared" si="175"/>
        <v>0</v>
      </c>
    </row>
    <row r="552" spans="1:49" ht="19.95" customHeight="1" x14ac:dyDescent="0.25">
      <c r="A552" s="15" t="s">
        <v>296</v>
      </c>
      <c r="C552" s="15">
        <v>5</v>
      </c>
      <c r="D552" s="23" t="s">
        <v>282</v>
      </c>
      <c r="E552" s="23" t="s">
        <v>297</v>
      </c>
      <c r="L552" s="16">
        <f>IFERROR(VLOOKUP($D552&amp;$C552,生产方式定位!$A$2:$E$38,2,FALSE)+VLOOKUP($E552&amp;$C552,生产方式定位!$F$3:$J$38,2,FALSE),0)</f>
        <v>0</v>
      </c>
      <c r="S552" s="16">
        <f>IFERROR(VLOOKUP($D552&amp;$C552,生产方式定位!$A$2:$E$38,3,FALSE)+VLOOKUP($E552&amp;$C552,生产方式定位!$F$3:$J$38,3,FALSE),0)</f>
        <v>0</v>
      </c>
      <c r="X552" s="16" t="str">
        <f>IFERROR(VLOOKUP($D552&amp;$C552,生产方式定位!$A$2:$E$38,5,FALSE)+VLOOKUP($E552&amp;$C552,生产方式定位!$F$3:$J$38,5,FALSE),"错误")</f>
        <v>错误</v>
      </c>
      <c r="Y552" s="26" t="str">
        <f t="shared" si="160"/>
        <v/>
      </c>
      <c r="Z552" s="36" t="str">
        <f t="shared" si="161"/>
        <v/>
      </c>
      <c r="AA552" s="36" t="str">
        <f t="shared" si="162"/>
        <v/>
      </c>
      <c r="AB552" s="27" t="str">
        <f t="shared" si="163"/>
        <v/>
      </c>
      <c r="AC552" s="2" t="e">
        <f t="shared" si="164"/>
        <v>#VALUE!</v>
      </c>
      <c r="AD552" s="38">
        <f t="shared" si="165"/>
        <v>5</v>
      </c>
      <c r="AE552" t="str">
        <f t="shared" si="166"/>
        <v/>
      </c>
      <c r="AF552" t="str">
        <f t="shared" si="167"/>
        <v/>
      </c>
      <c r="AG552" t="str">
        <f t="shared" si="168"/>
        <v/>
      </c>
      <c r="AH552" t="str">
        <f t="shared" si="169"/>
        <v/>
      </c>
      <c r="AI552" t="str">
        <f t="shared" si="170"/>
        <v/>
      </c>
      <c r="AJ552" t="str">
        <f t="shared" si="171"/>
        <v/>
      </c>
      <c r="AK552" t="str">
        <f t="shared" si="172"/>
        <v/>
      </c>
      <c r="AL552" t="str">
        <f>IFERROR(ROUND(L552*(G552/$AU552)/VLOOKUP(F552,商品!$A$4:$B$60,2,FALSE),0),"")</f>
        <v/>
      </c>
      <c r="AM552" t="str">
        <f>IFERROR(ROUND(L552*(I552/$AU552)/VLOOKUP(H552,商品!$A$4:$B$60,2,FALSE),0),"")</f>
        <v/>
      </c>
      <c r="AN552">
        <f>IFERROR(ROUND(L552*(J552/$AU552)/VLOOKUP("运力",商品!$A$4:$B$60,2,FALSE),0),0)</f>
        <v>0</v>
      </c>
      <c r="AO552">
        <f>IFERROR(ROUND(L552*(K552/$AU552)/VLOOKUP("交易",商品!$A$4:$B$60,2,FALSE),0),0)</f>
        <v>0</v>
      </c>
      <c r="AP552" t="str">
        <f>IFERROR(ROUND(S552*(N552/$AV552)/VLOOKUP(M552,职业!$A$4:$G$16,4,FALSE),0),"")</f>
        <v/>
      </c>
      <c r="AQ552" t="str">
        <f>IFERROR(ROUND(S552*(P552/$AV552)/VLOOKUP(O552,职业!$A$4:$G$16,4,FALSE),0),"")</f>
        <v/>
      </c>
      <c r="AR552" t="str">
        <f>IFERROR(ROUND(S552*(R552/$AV552)/VLOOKUP(Q552,职业!$A$4:$G$16,4,FALSE),0),"")</f>
        <v/>
      </c>
      <c r="AS552" t="str">
        <f>IFERROR(ROUND(X552*(U552/$AW552)/VLOOKUP(T552,商品!$A$4:$B$60,2,FALSE),0),"")</f>
        <v/>
      </c>
      <c r="AT552" t="str">
        <f>IFERROR(ROUND(X552*(W552/$AW552)/VLOOKUP(V552,商品!$A$4:$B$60,2,FALSE),0),"")</f>
        <v/>
      </c>
      <c r="AU552">
        <f t="shared" si="173"/>
        <v>0</v>
      </c>
      <c r="AV552">
        <f t="shared" si="174"/>
        <v>0</v>
      </c>
      <c r="AW552">
        <f t="shared" si="175"/>
        <v>0</v>
      </c>
    </row>
    <row r="553" spans="1:49" ht="19.95" customHeight="1" x14ac:dyDescent="0.25">
      <c r="A553" s="16" t="s">
        <v>298</v>
      </c>
      <c r="C553" s="16">
        <v>1</v>
      </c>
      <c r="D553" s="23" t="s">
        <v>174</v>
      </c>
      <c r="E553" s="23" t="s">
        <v>179</v>
      </c>
      <c r="L553" s="15">
        <f>IFERROR(VLOOKUP($D553&amp;$C553,生产方式定位!$A$2:$E$38,2,FALSE)+VLOOKUP($E553&amp;$C553,生产方式定位!$F$3:$J$38,2,FALSE),0)</f>
        <v>0</v>
      </c>
      <c r="S553" s="15">
        <f>IFERROR(VLOOKUP($D553&amp;$C553,生产方式定位!$A$2:$E$38,3,FALSE)+VLOOKUP($E553&amp;$C553,生产方式定位!$F$3:$J$38,3,FALSE),0)</f>
        <v>100</v>
      </c>
      <c r="X553" s="15">
        <f>IFERROR(VLOOKUP($D553&amp;$C553,生产方式定位!$A$2:$E$38,5,FALSE)+VLOOKUP($E553&amp;$C553,生产方式定位!$F$3:$J$38,5,FALSE),"错误")</f>
        <v>100</v>
      </c>
      <c r="Y553" s="26" t="str">
        <f t="shared" si="160"/>
        <v/>
      </c>
      <c r="Z553" s="36" t="str">
        <f t="shared" si="161"/>
        <v/>
      </c>
      <c r="AA553" s="36" t="str">
        <f t="shared" si="162"/>
        <v/>
      </c>
      <c r="AB553" s="27" t="str">
        <f t="shared" si="163"/>
        <v/>
      </c>
      <c r="AC553" s="2" t="str">
        <f t="shared" si="164"/>
        <v/>
      </c>
      <c r="AD553" s="37">
        <f t="shared" si="165"/>
        <v>1</v>
      </c>
      <c r="AE553" t="str">
        <f t="shared" si="166"/>
        <v/>
      </c>
      <c r="AF553" t="str">
        <f t="shared" si="167"/>
        <v/>
      </c>
      <c r="AG553" t="str">
        <f t="shared" si="168"/>
        <v/>
      </c>
      <c r="AH553" t="str">
        <f t="shared" si="169"/>
        <v/>
      </c>
      <c r="AI553" t="str">
        <f t="shared" si="170"/>
        <v/>
      </c>
      <c r="AJ553" t="str">
        <f t="shared" si="171"/>
        <v/>
      </c>
      <c r="AK553" t="str">
        <f t="shared" si="172"/>
        <v/>
      </c>
      <c r="AL553" t="str">
        <f>IFERROR(ROUND(L553*(G553/$AU553)/VLOOKUP(F553,商品!$A$4:$B$60,2,FALSE),0),"")</f>
        <v/>
      </c>
      <c r="AM553" t="str">
        <f>IFERROR(ROUND(L553*(I553/$AU553)/VLOOKUP(H553,商品!$A$4:$B$60,2,FALSE),0),"")</f>
        <v/>
      </c>
      <c r="AN553">
        <f>IFERROR(ROUND(L553*(J553/$AU553)/VLOOKUP("运力",商品!$A$4:$B$60,2,FALSE),0),0)</f>
        <v>0</v>
      </c>
      <c r="AO553">
        <f>IFERROR(ROUND(L553*(K553/$AU553)/VLOOKUP("交易",商品!$A$4:$B$60,2,FALSE),0),0)</f>
        <v>0</v>
      </c>
      <c r="AP553" t="str">
        <f>IFERROR(ROUND(S553*(N553/$AV553)/VLOOKUP(M553,职业!$A$4:$G$16,4,FALSE),0),"")</f>
        <v/>
      </c>
      <c r="AQ553" t="str">
        <f>IFERROR(ROUND(S553*(P553/$AV553)/VLOOKUP(O553,职业!$A$4:$G$16,4,FALSE),0),"")</f>
        <v/>
      </c>
      <c r="AR553" t="str">
        <f>IFERROR(ROUND(S553*(R553/$AV553)/VLOOKUP(Q553,职业!$A$4:$G$16,4,FALSE),0),"")</f>
        <v/>
      </c>
      <c r="AS553" t="str">
        <f>IFERROR(ROUND(X553*(U553/$AW553)/VLOOKUP(T553,商品!$A$4:$B$60,2,FALSE),0),"")</f>
        <v/>
      </c>
      <c r="AT553" t="str">
        <f>IFERROR(ROUND(X553*(W553/$AW553)/VLOOKUP(V553,商品!$A$4:$B$60,2,FALSE),0),"")</f>
        <v/>
      </c>
      <c r="AU553">
        <f t="shared" si="173"/>
        <v>0</v>
      </c>
      <c r="AV553">
        <f t="shared" si="174"/>
        <v>0</v>
      </c>
      <c r="AW553">
        <f t="shared" si="175"/>
        <v>0</v>
      </c>
    </row>
    <row r="554" spans="1:49" ht="19.95" customHeight="1" x14ac:dyDescent="0.25">
      <c r="A554" s="16" t="s">
        <v>298</v>
      </c>
      <c r="C554" s="16">
        <v>2</v>
      </c>
      <c r="D554" s="23" t="s">
        <v>174</v>
      </c>
      <c r="E554" s="23" t="s">
        <v>179</v>
      </c>
      <c r="L554" s="15">
        <f>IFERROR(VLOOKUP($D554&amp;$C554,生产方式定位!$A$2:$E$38,2,FALSE)+VLOOKUP($E554&amp;$C554,生产方式定位!$F$3:$J$38,2,FALSE),0)</f>
        <v>0</v>
      </c>
      <c r="S554" s="15">
        <f>IFERROR(VLOOKUP($D554&amp;$C554,生产方式定位!$A$2:$E$38,3,FALSE)+VLOOKUP($E554&amp;$C554,生产方式定位!$F$3:$J$38,3,FALSE),0)</f>
        <v>100</v>
      </c>
      <c r="X554" s="15">
        <f>IFERROR(VLOOKUP($D554&amp;$C554,生产方式定位!$A$2:$E$38,5,FALSE)+VLOOKUP($E554&amp;$C554,生产方式定位!$F$3:$J$38,5,FALSE),"错误")</f>
        <v>100</v>
      </c>
      <c r="Y554" s="26" t="str">
        <f t="shared" si="160"/>
        <v/>
      </c>
      <c r="Z554" s="36" t="str">
        <f t="shared" si="161"/>
        <v/>
      </c>
      <c r="AA554" s="36" t="str">
        <f t="shared" si="162"/>
        <v/>
      </c>
      <c r="AB554" s="27" t="str">
        <f t="shared" si="163"/>
        <v/>
      </c>
      <c r="AC554" s="2" t="str">
        <f t="shared" si="164"/>
        <v/>
      </c>
      <c r="AD554" s="37">
        <f t="shared" si="165"/>
        <v>2</v>
      </c>
      <c r="AE554" t="str">
        <f t="shared" si="166"/>
        <v/>
      </c>
      <c r="AF554" t="str">
        <f t="shared" si="167"/>
        <v/>
      </c>
      <c r="AG554" t="str">
        <f t="shared" si="168"/>
        <v/>
      </c>
      <c r="AH554" t="str">
        <f t="shared" si="169"/>
        <v/>
      </c>
      <c r="AI554" t="str">
        <f t="shared" si="170"/>
        <v/>
      </c>
      <c r="AJ554" t="str">
        <f t="shared" si="171"/>
        <v/>
      </c>
      <c r="AK554" t="str">
        <f t="shared" si="172"/>
        <v/>
      </c>
      <c r="AL554" t="str">
        <f>IFERROR(ROUND(L554*(G554/$AU554)/VLOOKUP(F554,商品!$A$4:$B$60,2,FALSE),0),"")</f>
        <v/>
      </c>
      <c r="AM554" t="str">
        <f>IFERROR(ROUND(L554*(I554/$AU554)/VLOOKUP(H554,商品!$A$4:$B$60,2,FALSE),0),"")</f>
        <v/>
      </c>
      <c r="AN554">
        <f>IFERROR(ROUND(L554*(J554/$AU554)/VLOOKUP("运力",商品!$A$4:$B$60,2,FALSE),0),0)</f>
        <v>0</v>
      </c>
      <c r="AO554">
        <f>IFERROR(ROUND(L554*(K554/$AU554)/VLOOKUP("交易",商品!$A$4:$B$60,2,FALSE),0),0)</f>
        <v>0</v>
      </c>
      <c r="AP554" t="str">
        <f>IFERROR(ROUND(S554*(N554/$AV554)/VLOOKUP(M554,职业!$A$4:$G$16,4,FALSE),0),"")</f>
        <v/>
      </c>
      <c r="AQ554" t="str">
        <f>IFERROR(ROUND(S554*(P554/$AV554)/VLOOKUP(O554,职业!$A$4:$G$16,4,FALSE),0),"")</f>
        <v/>
      </c>
      <c r="AR554" t="str">
        <f>IFERROR(ROUND(S554*(R554/$AV554)/VLOOKUP(Q554,职业!$A$4:$G$16,4,FALSE),0),"")</f>
        <v/>
      </c>
      <c r="AS554" t="str">
        <f>IFERROR(ROUND(X554*(U554/$AW554)/VLOOKUP(T554,商品!$A$4:$B$60,2,FALSE),0),"")</f>
        <v/>
      </c>
      <c r="AT554" t="str">
        <f>IFERROR(ROUND(X554*(W554/$AW554)/VLOOKUP(V554,商品!$A$4:$B$60,2,FALSE),0),"")</f>
        <v/>
      </c>
      <c r="AU554">
        <f t="shared" si="173"/>
        <v>0</v>
      </c>
      <c r="AV554">
        <f t="shared" si="174"/>
        <v>0</v>
      </c>
      <c r="AW554">
        <f t="shared" si="175"/>
        <v>0</v>
      </c>
    </row>
    <row r="555" spans="1:49" ht="19.95" customHeight="1" x14ac:dyDescent="0.25">
      <c r="A555" s="16" t="s">
        <v>298</v>
      </c>
      <c r="C555" s="16">
        <v>3</v>
      </c>
      <c r="D555" s="23" t="s">
        <v>174</v>
      </c>
      <c r="E555" s="23" t="s">
        <v>179</v>
      </c>
      <c r="L555" s="15">
        <f>IFERROR(VLOOKUP($D555&amp;$C555,生产方式定位!$A$2:$E$38,2,FALSE)+VLOOKUP($E555&amp;$C555,生产方式定位!$F$3:$J$38,2,FALSE),0)</f>
        <v>0</v>
      </c>
      <c r="S555" s="15">
        <f>IFERROR(VLOOKUP($D555&amp;$C555,生产方式定位!$A$2:$E$38,3,FALSE)+VLOOKUP($E555&amp;$C555,生产方式定位!$F$3:$J$38,3,FALSE),0)</f>
        <v>100</v>
      </c>
      <c r="X555" s="15">
        <f>IFERROR(VLOOKUP($D555&amp;$C555,生产方式定位!$A$2:$E$38,5,FALSE)+VLOOKUP($E555&amp;$C555,生产方式定位!$F$3:$J$38,5,FALSE),"错误")</f>
        <v>100</v>
      </c>
      <c r="Y555" s="26" t="str">
        <f t="shared" si="160"/>
        <v/>
      </c>
      <c r="Z555" s="36" t="str">
        <f t="shared" si="161"/>
        <v/>
      </c>
      <c r="AA555" s="36" t="str">
        <f t="shared" si="162"/>
        <v/>
      </c>
      <c r="AB555" s="27" t="str">
        <f t="shared" si="163"/>
        <v/>
      </c>
      <c r="AC555" s="2" t="str">
        <f t="shared" si="164"/>
        <v/>
      </c>
      <c r="AD555" s="37">
        <f t="shared" si="165"/>
        <v>3</v>
      </c>
      <c r="AE555" t="str">
        <f t="shared" si="166"/>
        <v/>
      </c>
      <c r="AF555" t="str">
        <f t="shared" si="167"/>
        <v/>
      </c>
      <c r="AG555" t="str">
        <f t="shared" si="168"/>
        <v/>
      </c>
      <c r="AH555" t="str">
        <f t="shared" si="169"/>
        <v/>
      </c>
      <c r="AI555" t="str">
        <f t="shared" si="170"/>
        <v/>
      </c>
      <c r="AJ555" t="str">
        <f t="shared" si="171"/>
        <v/>
      </c>
      <c r="AK555" t="str">
        <f t="shared" si="172"/>
        <v/>
      </c>
      <c r="AL555" t="str">
        <f>IFERROR(ROUND(L555*(G555/$AU555)/VLOOKUP(F555,商品!$A$4:$B$60,2,FALSE),0),"")</f>
        <v/>
      </c>
      <c r="AM555" t="str">
        <f>IFERROR(ROUND(L555*(I555/$AU555)/VLOOKUP(H555,商品!$A$4:$B$60,2,FALSE),0),"")</f>
        <v/>
      </c>
      <c r="AN555">
        <f>IFERROR(ROUND(L555*(J555/$AU555)/VLOOKUP("运力",商品!$A$4:$B$60,2,FALSE),0),0)</f>
        <v>0</v>
      </c>
      <c r="AO555">
        <f>IFERROR(ROUND(L555*(K555/$AU555)/VLOOKUP("交易",商品!$A$4:$B$60,2,FALSE),0),0)</f>
        <v>0</v>
      </c>
      <c r="AP555" t="str">
        <f>IFERROR(ROUND(S555*(N555/$AV555)/VLOOKUP(M555,职业!$A$4:$G$16,4,FALSE),0),"")</f>
        <v/>
      </c>
      <c r="AQ555" t="str">
        <f>IFERROR(ROUND(S555*(P555/$AV555)/VLOOKUP(O555,职业!$A$4:$G$16,4,FALSE),0),"")</f>
        <v/>
      </c>
      <c r="AR555" t="str">
        <f>IFERROR(ROUND(S555*(R555/$AV555)/VLOOKUP(Q555,职业!$A$4:$G$16,4,FALSE),0),"")</f>
        <v/>
      </c>
      <c r="AS555" t="str">
        <f>IFERROR(ROUND(X555*(U555/$AW555)/VLOOKUP(T555,商品!$A$4:$B$60,2,FALSE),0),"")</f>
        <v/>
      </c>
      <c r="AT555" t="str">
        <f>IFERROR(ROUND(X555*(W555/$AW555)/VLOOKUP(V555,商品!$A$4:$B$60,2,FALSE),0),"")</f>
        <v/>
      </c>
      <c r="AU555">
        <f t="shared" si="173"/>
        <v>0</v>
      </c>
      <c r="AV555">
        <f t="shared" si="174"/>
        <v>0</v>
      </c>
      <c r="AW555">
        <f t="shared" si="175"/>
        <v>0</v>
      </c>
    </row>
    <row r="556" spans="1:49" ht="19.95" customHeight="1" x14ac:dyDescent="0.25">
      <c r="A556" s="16" t="s">
        <v>298</v>
      </c>
      <c r="C556" s="16">
        <v>4</v>
      </c>
      <c r="D556" s="23" t="s">
        <v>174</v>
      </c>
      <c r="E556" s="23" t="s">
        <v>179</v>
      </c>
      <c r="L556" s="15">
        <f>IFERROR(VLOOKUP($D556&amp;$C556,生产方式定位!$A$2:$E$38,2,FALSE)+VLOOKUP($E556&amp;$C556,生产方式定位!$F$3:$J$38,2,FALSE),0)</f>
        <v>0</v>
      </c>
      <c r="S556" s="15">
        <f>IFERROR(VLOOKUP($D556&amp;$C556,生产方式定位!$A$2:$E$38,3,FALSE)+VLOOKUP($E556&amp;$C556,生产方式定位!$F$3:$J$38,3,FALSE),0)</f>
        <v>100</v>
      </c>
      <c r="X556" s="15">
        <f>IFERROR(VLOOKUP($D556&amp;$C556,生产方式定位!$A$2:$E$38,5,FALSE)+VLOOKUP($E556&amp;$C556,生产方式定位!$F$3:$J$38,5,FALSE),"错误")</f>
        <v>100</v>
      </c>
      <c r="Y556" s="26" t="str">
        <f t="shared" ref="Y556:Y619" si="176">IF(AE556="","",AE556)&amp;IF(AF556="","",","&amp;AF556)&amp;IF(AN556=0,"",",运力*"&amp;AN556)&amp;IF(AO556=0,"",",交易*"&amp;AO556)</f>
        <v/>
      </c>
      <c r="Z556" s="36" t="str">
        <f t="shared" ref="Z556:Z619" si="177">IF(AG556="","",AG556)&amp;IF(AH556="","",","&amp;AH556)&amp;IF(AI556="","",","&amp;AI556)</f>
        <v/>
      </c>
      <c r="AA556" s="36" t="str">
        <f t="shared" ref="AA556:AA619" si="178">IF(AJ556="","",AJ556)&amp;IF(AK556="","",","&amp;AK556)</f>
        <v/>
      </c>
      <c r="AB556" s="27" t="str">
        <f t="shared" ref="AB556:AB619" si="179">IFERROR(ROUND(((X556/L556)-1)*100,0)&amp;"%","")</f>
        <v/>
      </c>
      <c r="AC556" s="2" t="str">
        <f t="shared" ref="AC556:AC619" si="180">IF(X556-S556-L556=0,"",X556-S556-L556)</f>
        <v/>
      </c>
      <c r="AD556" s="37">
        <f t="shared" ref="AD556:AD619" si="181">C556</f>
        <v>4</v>
      </c>
      <c r="AE556" t="str">
        <f t="shared" ref="AE556:AE619" si="182">IF(AL556="","",F556&amp;"*"&amp;AL556)</f>
        <v/>
      </c>
      <c r="AF556" t="str">
        <f t="shared" ref="AF556:AF619" si="183">IF(AM556="","",H556&amp;"*"&amp;AM556)</f>
        <v/>
      </c>
      <c r="AG556" t="str">
        <f t="shared" ref="AG556:AG619" si="184">IF(AP556="","",M556&amp;"*"&amp;AP556)</f>
        <v/>
      </c>
      <c r="AH556" t="str">
        <f t="shared" ref="AH556:AH619" si="185">IF(AQ556="","",O556&amp;"*"&amp;AQ556)</f>
        <v/>
      </c>
      <c r="AI556" t="str">
        <f t="shared" ref="AI556:AI619" si="186">IF(AR556="","",Q556&amp;"*"&amp;AR556)</f>
        <v/>
      </c>
      <c r="AJ556" t="str">
        <f t="shared" ref="AJ556:AJ619" si="187">IF(AS556="","",T556&amp;"*"&amp;AS556)</f>
        <v/>
      </c>
      <c r="AK556" t="str">
        <f t="shared" ref="AK556:AK619" si="188">IF(AT556="","",V556&amp;"*"&amp;AT556)</f>
        <v/>
      </c>
      <c r="AL556" t="str">
        <f>IFERROR(ROUND(L556*(G556/$AU556)/VLOOKUP(F556,商品!$A$4:$B$60,2,FALSE),0),"")</f>
        <v/>
      </c>
      <c r="AM556" t="str">
        <f>IFERROR(ROUND(L556*(I556/$AU556)/VLOOKUP(H556,商品!$A$4:$B$60,2,FALSE),0),"")</f>
        <v/>
      </c>
      <c r="AN556">
        <f>IFERROR(ROUND(L556*(J556/$AU556)/VLOOKUP("运力",商品!$A$4:$B$60,2,FALSE),0),0)</f>
        <v>0</v>
      </c>
      <c r="AO556">
        <f>IFERROR(ROUND(L556*(K556/$AU556)/VLOOKUP("交易",商品!$A$4:$B$60,2,FALSE),0),0)</f>
        <v>0</v>
      </c>
      <c r="AP556" t="str">
        <f>IFERROR(ROUND(S556*(N556/$AV556)/VLOOKUP(M556,职业!$A$4:$G$16,4,FALSE),0),"")</f>
        <v/>
      </c>
      <c r="AQ556" t="str">
        <f>IFERROR(ROUND(S556*(P556/$AV556)/VLOOKUP(O556,职业!$A$4:$G$16,4,FALSE),0),"")</f>
        <v/>
      </c>
      <c r="AR556" t="str">
        <f>IFERROR(ROUND(S556*(R556/$AV556)/VLOOKUP(Q556,职业!$A$4:$G$16,4,FALSE),0),"")</f>
        <v/>
      </c>
      <c r="AS556" t="str">
        <f>IFERROR(ROUND(X556*(U556/$AW556)/VLOOKUP(T556,商品!$A$4:$B$60,2,FALSE),0),"")</f>
        <v/>
      </c>
      <c r="AT556" t="str">
        <f>IFERROR(ROUND(X556*(W556/$AW556)/VLOOKUP(V556,商品!$A$4:$B$60,2,FALSE),0),"")</f>
        <v/>
      </c>
      <c r="AU556">
        <f t="shared" ref="AU556:AU619" si="189">G556+I556+J556+K556</f>
        <v>0</v>
      </c>
      <c r="AV556">
        <f t="shared" ref="AV556:AV619" si="190">ABS(N556)+ABS(P556)+ABS(R556)</f>
        <v>0</v>
      </c>
      <c r="AW556">
        <f t="shared" ref="AW556:AW619" si="191">U556+W556</f>
        <v>0</v>
      </c>
    </row>
    <row r="557" spans="1:49" ht="19.95" customHeight="1" x14ac:dyDescent="0.25">
      <c r="A557" s="16" t="s">
        <v>298</v>
      </c>
      <c r="C557" s="16">
        <v>5</v>
      </c>
      <c r="D557" s="23" t="s">
        <v>174</v>
      </c>
      <c r="E557" s="23" t="s">
        <v>179</v>
      </c>
      <c r="L557" s="15">
        <f>IFERROR(VLOOKUP($D557&amp;$C557,生产方式定位!$A$2:$E$38,2,FALSE)+VLOOKUP($E557&amp;$C557,生产方式定位!$F$3:$J$38,2,FALSE),0)</f>
        <v>0</v>
      </c>
      <c r="S557" s="15">
        <f>IFERROR(VLOOKUP($D557&amp;$C557,生产方式定位!$A$2:$E$38,3,FALSE)+VLOOKUP($E557&amp;$C557,生产方式定位!$F$3:$J$38,3,FALSE),0)</f>
        <v>100</v>
      </c>
      <c r="X557" s="15">
        <f>IFERROR(VLOOKUP($D557&amp;$C557,生产方式定位!$A$2:$E$38,5,FALSE)+VLOOKUP($E557&amp;$C557,生产方式定位!$F$3:$J$38,5,FALSE),"错误")</f>
        <v>100</v>
      </c>
      <c r="Y557" s="26" t="str">
        <f t="shared" si="176"/>
        <v/>
      </c>
      <c r="Z557" s="36" t="str">
        <f t="shared" si="177"/>
        <v/>
      </c>
      <c r="AA557" s="36" t="str">
        <f t="shared" si="178"/>
        <v/>
      </c>
      <c r="AB557" s="27" t="str">
        <f t="shared" si="179"/>
        <v/>
      </c>
      <c r="AC557" s="2" t="str">
        <f t="shared" si="180"/>
        <v/>
      </c>
      <c r="AD557" s="37">
        <f t="shared" si="181"/>
        <v>5</v>
      </c>
      <c r="AE557" t="str">
        <f t="shared" si="182"/>
        <v/>
      </c>
      <c r="AF557" t="str">
        <f t="shared" si="183"/>
        <v/>
      </c>
      <c r="AG557" t="str">
        <f t="shared" si="184"/>
        <v/>
      </c>
      <c r="AH557" t="str">
        <f t="shared" si="185"/>
        <v/>
      </c>
      <c r="AI557" t="str">
        <f t="shared" si="186"/>
        <v/>
      </c>
      <c r="AJ557" t="str">
        <f t="shared" si="187"/>
        <v/>
      </c>
      <c r="AK557" t="str">
        <f t="shared" si="188"/>
        <v/>
      </c>
      <c r="AL557" t="str">
        <f>IFERROR(ROUND(L557*(G557/$AU557)/VLOOKUP(F557,商品!$A$4:$B$60,2,FALSE),0),"")</f>
        <v/>
      </c>
      <c r="AM557" t="str">
        <f>IFERROR(ROUND(L557*(I557/$AU557)/VLOOKUP(H557,商品!$A$4:$B$60,2,FALSE),0),"")</f>
        <v/>
      </c>
      <c r="AN557">
        <f>IFERROR(ROUND(L557*(J557/$AU557)/VLOOKUP("运力",商品!$A$4:$B$60,2,FALSE),0),0)</f>
        <v>0</v>
      </c>
      <c r="AO557">
        <f>IFERROR(ROUND(L557*(K557/$AU557)/VLOOKUP("交易",商品!$A$4:$B$60,2,FALSE),0),0)</f>
        <v>0</v>
      </c>
      <c r="AP557" t="str">
        <f>IFERROR(ROUND(S557*(N557/$AV557)/VLOOKUP(M557,职业!$A$4:$G$16,4,FALSE),0),"")</f>
        <v/>
      </c>
      <c r="AQ557" t="str">
        <f>IFERROR(ROUND(S557*(P557/$AV557)/VLOOKUP(O557,职业!$A$4:$G$16,4,FALSE),0),"")</f>
        <v/>
      </c>
      <c r="AR557" t="str">
        <f>IFERROR(ROUND(S557*(R557/$AV557)/VLOOKUP(Q557,职业!$A$4:$G$16,4,FALSE),0),"")</f>
        <v/>
      </c>
      <c r="AS557" t="str">
        <f>IFERROR(ROUND(X557*(U557/$AW557)/VLOOKUP(T557,商品!$A$4:$B$60,2,FALSE),0),"")</f>
        <v/>
      </c>
      <c r="AT557" t="str">
        <f>IFERROR(ROUND(X557*(W557/$AW557)/VLOOKUP(V557,商品!$A$4:$B$60,2,FALSE),0),"")</f>
        <v/>
      </c>
      <c r="AU557">
        <f t="shared" si="189"/>
        <v>0</v>
      </c>
      <c r="AV557">
        <f t="shared" si="190"/>
        <v>0</v>
      </c>
      <c r="AW557">
        <f t="shared" si="191"/>
        <v>0</v>
      </c>
    </row>
    <row r="558" spans="1:49" ht="19.95" customHeight="1" x14ac:dyDescent="0.25">
      <c r="A558" s="16" t="s">
        <v>298</v>
      </c>
      <c r="C558" s="16">
        <v>6</v>
      </c>
      <c r="D558" s="23" t="s">
        <v>174</v>
      </c>
      <c r="E558" s="23" t="s">
        <v>179</v>
      </c>
      <c r="L558" s="15">
        <f>IFERROR(VLOOKUP($D558&amp;$C558,生产方式定位!$A$2:$E$38,2,FALSE)+VLOOKUP($E558&amp;$C558,生产方式定位!$F$3:$J$38,2,FALSE),0)</f>
        <v>0</v>
      </c>
      <c r="S558" s="15">
        <f>IFERROR(VLOOKUP($D558&amp;$C558,生产方式定位!$A$2:$E$38,3,FALSE)+VLOOKUP($E558&amp;$C558,生产方式定位!$F$3:$J$38,3,FALSE),0)</f>
        <v>100</v>
      </c>
      <c r="X558" s="15">
        <f>IFERROR(VLOOKUP($D558&amp;$C558,生产方式定位!$A$2:$E$38,5,FALSE)+VLOOKUP($E558&amp;$C558,生产方式定位!$F$3:$J$38,5,FALSE),"错误")</f>
        <v>100</v>
      </c>
      <c r="Y558" s="26" t="str">
        <f t="shared" si="176"/>
        <v/>
      </c>
      <c r="Z558" s="36" t="str">
        <f t="shared" si="177"/>
        <v/>
      </c>
      <c r="AA558" s="36" t="str">
        <f t="shared" si="178"/>
        <v/>
      </c>
      <c r="AB558" s="27" t="str">
        <f t="shared" si="179"/>
        <v/>
      </c>
      <c r="AC558" s="2" t="str">
        <f t="shared" si="180"/>
        <v/>
      </c>
      <c r="AD558" s="38">
        <f t="shared" si="181"/>
        <v>6</v>
      </c>
      <c r="AE558" t="str">
        <f t="shared" si="182"/>
        <v/>
      </c>
      <c r="AF558" t="str">
        <f t="shared" si="183"/>
        <v/>
      </c>
      <c r="AG558" t="str">
        <f t="shared" si="184"/>
        <v/>
      </c>
      <c r="AH558" t="str">
        <f t="shared" si="185"/>
        <v/>
      </c>
      <c r="AI558" t="str">
        <f t="shared" si="186"/>
        <v/>
      </c>
      <c r="AJ558" t="str">
        <f t="shared" si="187"/>
        <v/>
      </c>
      <c r="AK558" t="str">
        <f t="shared" si="188"/>
        <v/>
      </c>
      <c r="AL558" t="str">
        <f>IFERROR(ROUND(L558*(G558/$AU558)/VLOOKUP(F558,商品!$A$4:$B$60,2,FALSE),0),"")</f>
        <v/>
      </c>
      <c r="AM558" t="str">
        <f>IFERROR(ROUND(L558*(I558/$AU558)/VLOOKUP(H558,商品!$A$4:$B$60,2,FALSE),0),"")</f>
        <v/>
      </c>
      <c r="AN558">
        <f>IFERROR(ROUND(L558*(J558/$AU558)/VLOOKUP("运力",商品!$A$4:$B$60,2,FALSE),0),0)</f>
        <v>0</v>
      </c>
      <c r="AO558">
        <f>IFERROR(ROUND(L558*(K558/$AU558)/VLOOKUP("交易",商品!$A$4:$B$60,2,FALSE),0),0)</f>
        <v>0</v>
      </c>
      <c r="AP558" t="str">
        <f>IFERROR(ROUND(S558*(N558/$AV558)/VLOOKUP(M558,职业!$A$4:$G$16,4,FALSE),0),"")</f>
        <v/>
      </c>
      <c r="AQ558" t="str">
        <f>IFERROR(ROUND(S558*(P558/$AV558)/VLOOKUP(O558,职业!$A$4:$G$16,4,FALSE),0),"")</f>
        <v/>
      </c>
      <c r="AR558" t="str">
        <f>IFERROR(ROUND(S558*(R558/$AV558)/VLOOKUP(Q558,职业!$A$4:$G$16,4,FALSE),0),"")</f>
        <v/>
      </c>
      <c r="AS558" t="str">
        <f>IFERROR(ROUND(X558*(U558/$AW558)/VLOOKUP(T558,商品!$A$4:$B$60,2,FALSE),0),"")</f>
        <v/>
      </c>
      <c r="AT558" t="str">
        <f>IFERROR(ROUND(X558*(W558/$AW558)/VLOOKUP(V558,商品!$A$4:$B$60,2,FALSE),0),"")</f>
        <v/>
      </c>
      <c r="AU558">
        <f t="shared" si="189"/>
        <v>0</v>
      </c>
      <c r="AV558">
        <f t="shared" si="190"/>
        <v>0</v>
      </c>
      <c r="AW558">
        <f t="shared" si="191"/>
        <v>0</v>
      </c>
    </row>
    <row r="559" spans="1:49" ht="19.95" customHeight="1" x14ac:dyDescent="0.25">
      <c r="A559" s="16" t="s">
        <v>298</v>
      </c>
      <c r="C559" s="16">
        <v>7</v>
      </c>
      <c r="D559" s="23" t="s">
        <v>174</v>
      </c>
      <c r="E559" s="23" t="s">
        <v>179</v>
      </c>
      <c r="L559" s="15">
        <f>IFERROR(VLOOKUP($D559&amp;$C559,生产方式定位!$A$2:$E$38,2,FALSE)+VLOOKUP($E559&amp;$C559,生产方式定位!$F$3:$J$38,2,FALSE),0)</f>
        <v>0</v>
      </c>
      <c r="S559" s="15">
        <f>IFERROR(VLOOKUP($D559&amp;$C559,生产方式定位!$A$2:$E$38,3,FALSE)+VLOOKUP($E559&amp;$C559,生产方式定位!$F$3:$J$38,3,FALSE),0)</f>
        <v>100</v>
      </c>
      <c r="X559" s="15">
        <f>IFERROR(VLOOKUP($D559&amp;$C559,生产方式定位!$A$2:$E$38,5,FALSE)+VLOOKUP($E559&amp;$C559,生产方式定位!$F$3:$J$38,5,FALSE),"错误")</f>
        <v>100</v>
      </c>
      <c r="Y559" s="26" t="str">
        <f t="shared" si="176"/>
        <v/>
      </c>
      <c r="Z559" s="36" t="str">
        <f t="shared" si="177"/>
        <v/>
      </c>
      <c r="AA559" s="36" t="str">
        <f t="shared" si="178"/>
        <v/>
      </c>
      <c r="AB559" s="27" t="str">
        <f t="shared" si="179"/>
        <v/>
      </c>
      <c r="AC559" s="2" t="str">
        <f t="shared" si="180"/>
        <v/>
      </c>
      <c r="AD559" s="38">
        <f t="shared" si="181"/>
        <v>7</v>
      </c>
      <c r="AE559" t="str">
        <f t="shared" si="182"/>
        <v/>
      </c>
      <c r="AF559" t="str">
        <f t="shared" si="183"/>
        <v/>
      </c>
      <c r="AG559" t="str">
        <f t="shared" si="184"/>
        <v/>
      </c>
      <c r="AH559" t="str">
        <f t="shared" si="185"/>
        <v/>
      </c>
      <c r="AI559" t="str">
        <f t="shared" si="186"/>
        <v/>
      </c>
      <c r="AJ559" t="str">
        <f t="shared" si="187"/>
        <v/>
      </c>
      <c r="AK559" t="str">
        <f t="shared" si="188"/>
        <v/>
      </c>
      <c r="AL559" t="str">
        <f>IFERROR(ROUND(L559*(G559/$AU559)/VLOOKUP(F559,商品!$A$4:$B$60,2,FALSE),0),"")</f>
        <v/>
      </c>
      <c r="AM559" t="str">
        <f>IFERROR(ROUND(L559*(I559/$AU559)/VLOOKUP(H559,商品!$A$4:$B$60,2,FALSE),0),"")</f>
        <v/>
      </c>
      <c r="AN559">
        <f>IFERROR(ROUND(L559*(J559/$AU559)/VLOOKUP("运力",商品!$A$4:$B$60,2,FALSE),0),0)</f>
        <v>0</v>
      </c>
      <c r="AO559">
        <f>IFERROR(ROUND(L559*(K559/$AU559)/VLOOKUP("交易",商品!$A$4:$B$60,2,FALSE),0),0)</f>
        <v>0</v>
      </c>
      <c r="AP559" t="str">
        <f>IFERROR(ROUND(S559*(N559/$AV559)/VLOOKUP(M559,职业!$A$4:$G$16,4,FALSE),0),"")</f>
        <v/>
      </c>
      <c r="AQ559" t="str">
        <f>IFERROR(ROUND(S559*(P559/$AV559)/VLOOKUP(O559,职业!$A$4:$G$16,4,FALSE),0),"")</f>
        <v/>
      </c>
      <c r="AR559" t="str">
        <f>IFERROR(ROUND(S559*(R559/$AV559)/VLOOKUP(Q559,职业!$A$4:$G$16,4,FALSE),0),"")</f>
        <v/>
      </c>
      <c r="AS559" t="str">
        <f>IFERROR(ROUND(X559*(U559/$AW559)/VLOOKUP(T559,商品!$A$4:$B$60,2,FALSE),0),"")</f>
        <v/>
      </c>
      <c r="AT559" t="str">
        <f>IFERROR(ROUND(X559*(W559/$AW559)/VLOOKUP(V559,商品!$A$4:$B$60,2,FALSE),0),"")</f>
        <v/>
      </c>
      <c r="AU559">
        <f t="shared" si="189"/>
        <v>0</v>
      </c>
      <c r="AV559">
        <f t="shared" si="190"/>
        <v>0</v>
      </c>
      <c r="AW559">
        <f t="shared" si="191"/>
        <v>0</v>
      </c>
    </row>
    <row r="560" spans="1:49" ht="19.95" customHeight="1" x14ac:dyDescent="0.25">
      <c r="A560" s="16" t="s">
        <v>298</v>
      </c>
      <c r="C560" s="16">
        <v>8</v>
      </c>
      <c r="D560" s="23" t="s">
        <v>174</v>
      </c>
      <c r="E560" s="23" t="s">
        <v>179</v>
      </c>
      <c r="L560" s="15">
        <f>IFERROR(VLOOKUP($D560&amp;$C560,生产方式定位!$A$2:$E$38,2,FALSE)+VLOOKUP($E560&amp;$C560,生产方式定位!$F$3:$J$38,2,FALSE),0)</f>
        <v>0</v>
      </c>
      <c r="S560" s="15">
        <f>IFERROR(VLOOKUP($D560&amp;$C560,生产方式定位!$A$2:$E$38,3,FALSE)+VLOOKUP($E560&amp;$C560,生产方式定位!$F$3:$J$38,3,FALSE),0)</f>
        <v>100</v>
      </c>
      <c r="X560" s="15">
        <f>IFERROR(VLOOKUP($D560&amp;$C560,生产方式定位!$A$2:$E$38,5,FALSE)+VLOOKUP($E560&amp;$C560,生产方式定位!$F$3:$J$38,5,FALSE),"错误")</f>
        <v>100</v>
      </c>
      <c r="Y560" s="26" t="str">
        <f t="shared" si="176"/>
        <v/>
      </c>
      <c r="Z560" s="36" t="str">
        <f t="shared" si="177"/>
        <v/>
      </c>
      <c r="AA560" s="36" t="str">
        <f t="shared" si="178"/>
        <v/>
      </c>
      <c r="AB560" s="27" t="str">
        <f t="shared" si="179"/>
        <v/>
      </c>
      <c r="AC560" s="2" t="str">
        <f t="shared" si="180"/>
        <v/>
      </c>
      <c r="AD560" s="38">
        <f t="shared" si="181"/>
        <v>8</v>
      </c>
      <c r="AE560" t="str">
        <f t="shared" si="182"/>
        <v/>
      </c>
      <c r="AF560" t="str">
        <f t="shared" si="183"/>
        <v/>
      </c>
      <c r="AG560" t="str">
        <f t="shared" si="184"/>
        <v/>
      </c>
      <c r="AH560" t="str">
        <f t="shared" si="185"/>
        <v/>
      </c>
      <c r="AI560" t="str">
        <f t="shared" si="186"/>
        <v/>
      </c>
      <c r="AJ560" t="str">
        <f t="shared" si="187"/>
        <v/>
      </c>
      <c r="AK560" t="str">
        <f t="shared" si="188"/>
        <v/>
      </c>
      <c r="AL560" t="str">
        <f>IFERROR(ROUND(L560*(G560/$AU560)/VLOOKUP(F560,商品!$A$4:$B$60,2,FALSE),0),"")</f>
        <v/>
      </c>
      <c r="AM560" t="str">
        <f>IFERROR(ROUND(L560*(I560/$AU560)/VLOOKUP(H560,商品!$A$4:$B$60,2,FALSE),0),"")</f>
        <v/>
      </c>
      <c r="AN560">
        <f>IFERROR(ROUND(L560*(J560/$AU560)/VLOOKUP("运力",商品!$A$4:$B$60,2,FALSE),0),0)</f>
        <v>0</v>
      </c>
      <c r="AO560">
        <f>IFERROR(ROUND(L560*(K560/$AU560)/VLOOKUP("交易",商品!$A$4:$B$60,2,FALSE),0),0)</f>
        <v>0</v>
      </c>
      <c r="AP560" t="str">
        <f>IFERROR(ROUND(S560*(N560/$AV560)/VLOOKUP(M560,职业!$A$4:$G$16,4,FALSE),0),"")</f>
        <v/>
      </c>
      <c r="AQ560" t="str">
        <f>IFERROR(ROUND(S560*(P560/$AV560)/VLOOKUP(O560,职业!$A$4:$G$16,4,FALSE),0),"")</f>
        <v/>
      </c>
      <c r="AR560" t="str">
        <f>IFERROR(ROUND(S560*(R560/$AV560)/VLOOKUP(Q560,职业!$A$4:$G$16,4,FALSE),0),"")</f>
        <v/>
      </c>
      <c r="AS560" t="str">
        <f>IFERROR(ROUND(X560*(U560/$AW560)/VLOOKUP(T560,商品!$A$4:$B$60,2,FALSE),0),"")</f>
        <v/>
      </c>
      <c r="AT560" t="str">
        <f>IFERROR(ROUND(X560*(W560/$AW560)/VLOOKUP(V560,商品!$A$4:$B$60,2,FALSE),0),"")</f>
        <v/>
      </c>
      <c r="AU560">
        <f t="shared" si="189"/>
        <v>0</v>
      </c>
      <c r="AV560">
        <f t="shared" si="190"/>
        <v>0</v>
      </c>
      <c r="AW560">
        <f t="shared" si="191"/>
        <v>0</v>
      </c>
    </row>
    <row r="561" spans="1:49" ht="19.95" customHeight="1" x14ac:dyDescent="0.25">
      <c r="A561" s="15" t="s">
        <v>300</v>
      </c>
      <c r="C561" s="15">
        <v>1</v>
      </c>
      <c r="D561" s="23" t="s">
        <v>282</v>
      </c>
      <c r="E561" s="23" t="s">
        <v>172</v>
      </c>
      <c r="L561" s="16">
        <f>IFERROR(VLOOKUP($D561&amp;$C561,生产方式定位!$A$2:$E$38,2,FALSE)+VLOOKUP($E561&amp;$C561,生产方式定位!$F$3:$J$38,2,FALSE),0)</f>
        <v>2000</v>
      </c>
      <c r="S561" s="16">
        <f>IFERROR(VLOOKUP($D561&amp;$C561,生产方式定位!$A$2:$E$38,3,FALSE)+VLOOKUP($E561&amp;$C561,生产方式定位!$F$3:$J$38,3,FALSE),0)</f>
        <v>100</v>
      </c>
      <c r="X561" s="16">
        <f>IFERROR(VLOOKUP($D561&amp;$C561,生产方式定位!$A$2:$E$38,5,FALSE)+VLOOKUP($E561&amp;$C561,生产方式定位!$F$3:$J$38,5,FALSE),"错误")</f>
        <v>3150</v>
      </c>
      <c r="Y561" s="26" t="str">
        <f t="shared" si="176"/>
        <v/>
      </c>
      <c r="Z561" s="36" t="str">
        <f t="shared" si="177"/>
        <v/>
      </c>
      <c r="AA561" s="36" t="str">
        <f t="shared" si="178"/>
        <v/>
      </c>
      <c r="AB561" s="27" t="str">
        <f t="shared" si="179"/>
        <v>58%</v>
      </c>
      <c r="AC561" s="2">
        <f t="shared" si="180"/>
        <v>1050</v>
      </c>
      <c r="AD561" s="38">
        <f t="shared" si="181"/>
        <v>1</v>
      </c>
      <c r="AE561" t="str">
        <f t="shared" si="182"/>
        <v/>
      </c>
      <c r="AF561" t="str">
        <f t="shared" si="183"/>
        <v/>
      </c>
      <c r="AG561" t="str">
        <f t="shared" si="184"/>
        <v/>
      </c>
      <c r="AH561" t="str">
        <f t="shared" si="185"/>
        <v/>
      </c>
      <c r="AI561" t="str">
        <f t="shared" si="186"/>
        <v/>
      </c>
      <c r="AJ561" t="str">
        <f t="shared" si="187"/>
        <v/>
      </c>
      <c r="AK561" t="str">
        <f t="shared" si="188"/>
        <v/>
      </c>
      <c r="AL561" t="str">
        <f>IFERROR(ROUND(L561*(G561/$AU561)/VLOOKUP(F561,商品!$A$4:$B$60,2,FALSE),0),"")</f>
        <v/>
      </c>
      <c r="AM561" t="str">
        <f>IFERROR(ROUND(L561*(I561/$AU561)/VLOOKUP(H561,商品!$A$4:$B$60,2,FALSE),0),"")</f>
        <v/>
      </c>
      <c r="AN561">
        <f>IFERROR(ROUND(L561*(J561/$AU561)/VLOOKUP("运力",商品!$A$4:$B$60,2,FALSE),0),0)</f>
        <v>0</v>
      </c>
      <c r="AO561">
        <f>IFERROR(ROUND(L561*(K561/$AU561)/VLOOKUP("交易",商品!$A$4:$B$60,2,FALSE),0),0)</f>
        <v>0</v>
      </c>
      <c r="AP561" t="str">
        <f>IFERROR(ROUND(S561*(N561/$AV561)/VLOOKUP(M561,职业!$A$4:$G$16,4,FALSE),0),"")</f>
        <v/>
      </c>
      <c r="AQ561" t="str">
        <f>IFERROR(ROUND(S561*(P561/$AV561)/VLOOKUP(O561,职业!$A$4:$G$16,4,FALSE),0),"")</f>
        <v/>
      </c>
      <c r="AR561" t="str">
        <f>IFERROR(ROUND(S561*(R561/$AV561)/VLOOKUP(Q561,职业!$A$4:$G$16,4,FALSE),0),"")</f>
        <v/>
      </c>
      <c r="AS561" t="str">
        <f>IFERROR(ROUND(X561*(U561/$AW561)/VLOOKUP(T561,商品!$A$4:$B$60,2,FALSE),0),"")</f>
        <v/>
      </c>
      <c r="AT561" t="str">
        <f>IFERROR(ROUND(X561*(W561/$AW561)/VLOOKUP(V561,商品!$A$4:$B$60,2,FALSE),0),"")</f>
        <v/>
      </c>
      <c r="AU561">
        <f t="shared" si="189"/>
        <v>0</v>
      </c>
      <c r="AV561">
        <f t="shared" si="190"/>
        <v>0</v>
      </c>
      <c r="AW561">
        <f t="shared" si="191"/>
        <v>0</v>
      </c>
    </row>
    <row r="562" spans="1:49" ht="19.95" customHeight="1" x14ac:dyDescent="0.25">
      <c r="A562" s="15" t="s">
        <v>300</v>
      </c>
      <c r="C562" s="15">
        <v>2</v>
      </c>
      <c r="D562" s="23" t="s">
        <v>282</v>
      </c>
      <c r="E562" s="23" t="s">
        <v>172</v>
      </c>
      <c r="L562" s="16">
        <f>IFERROR(VLOOKUP($D562&amp;$C562,生产方式定位!$A$2:$E$38,2,FALSE)+VLOOKUP($E562&amp;$C562,生产方式定位!$F$3:$J$38,2,FALSE),0)</f>
        <v>2900</v>
      </c>
      <c r="S562" s="16">
        <f>IFERROR(VLOOKUP($D562&amp;$C562,生产方式定位!$A$2:$E$38,3,FALSE)+VLOOKUP($E562&amp;$C562,生产方式定位!$F$3:$J$38,3,FALSE),0)</f>
        <v>100</v>
      </c>
      <c r="X562" s="16">
        <f>IFERROR(VLOOKUP($D562&amp;$C562,生产方式定位!$A$2:$E$38,5,FALSE)+VLOOKUP($E562&amp;$C562,生产方式定位!$F$3:$J$38,5,FALSE),"错误")</f>
        <v>4350</v>
      </c>
      <c r="Y562" s="26" t="str">
        <f t="shared" si="176"/>
        <v/>
      </c>
      <c r="Z562" s="36" t="str">
        <f t="shared" si="177"/>
        <v/>
      </c>
      <c r="AA562" s="36" t="str">
        <f t="shared" si="178"/>
        <v/>
      </c>
      <c r="AB562" s="27" t="str">
        <f t="shared" si="179"/>
        <v>50%</v>
      </c>
      <c r="AC562" s="2">
        <f t="shared" si="180"/>
        <v>1350</v>
      </c>
      <c r="AD562" s="38">
        <f t="shared" si="181"/>
        <v>2</v>
      </c>
      <c r="AE562" t="str">
        <f t="shared" si="182"/>
        <v/>
      </c>
      <c r="AF562" t="str">
        <f t="shared" si="183"/>
        <v/>
      </c>
      <c r="AG562" t="str">
        <f t="shared" si="184"/>
        <v/>
      </c>
      <c r="AH562" t="str">
        <f t="shared" si="185"/>
        <v/>
      </c>
      <c r="AI562" t="str">
        <f t="shared" si="186"/>
        <v/>
      </c>
      <c r="AJ562" t="str">
        <f t="shared" si="187"/>
        <v/>
      </c>
      <c r="AK562" t="str">
        <f t="shared" si="188"/>
        <v/>
      </c>
      <c r="AL562" t="str">
        <f>IFERROR(ROUND(L562*(G562/$AU562)/VLOOKUP(F562,商品!$A$4:$B$60,2,FALSE),0),"")</f>
        <v/>
      </c>
      <c r="AM562" t="str">
        <f>IFERROR(ROUND(L562*(I562/$AU562)/VLOOKUP(H562,商品!$A$4:$B$60,2,FALSE),0),"")</f>
        <v/>
      </c>
      <c r="AN562">
        <f>IFERROR(ROUND(L562*(J562/$AU562)/VLOOKUP("运力",商品!$A$4:$B$60,2,FALSE),0),0)</f>
        <v>0</v>
      </c>
      <c r="AO562">
        <f>IFERROR(ROUND(L562*(K562/$AU562)/VLOOKUP("交易",商品!$A$4:$B$60,2,FALSE),0),0)</f>
        <v>0</v>
      </c>
      <c r="AP562" t="str">
        <f>IFERROR(ROUND(S562*(N562/$AV562)/VLOOKUP(M562,职业!$A$4:$G$16,4,FALSE),0),"")</f>
        <v/>
      </c>
      <c r="AQ562" t="str">
        <f>IFERROR(ROUND(S562*(P562/$AV562)/VLOOKUP(O562,职业!$A$4:$G$16,4,FALSE),0),"")</f>
        <v/>
      </c>
      <c r="AR562" t="str">
        <f>IFERROR(ROUND(S562*(R562/$AV562)/VLOOKUP(Q562,职业!$A$4:$G$16,4,FALSE),0),"")</f>
        <v/>
      </c>
      <c r="AS562" t="str">
        <f>IFERROR(ROUND(X562*(U562/$AW562)/VLOOKUP(T562,商品!$A$4:$B$60,2,FALSE),0),"")</f>
        <v/>
      </c>
      <c r="AT562" t="str">
        <f>IFERROR(ROUND(X562*(W562/$AW562)/VLOOKUP(V562,商品!$A$4:$B$60,2,FALSE),0),"")</f>
        <v/>
      </c>
      <c r="AU562">
        <f t="shared" si="189"/>
        <v>0</v>
      </c>
      <c r="AV562">
        <f t="shared" si="190"/>
        <v>0</v>
      </c>
      <c r="AW562">
        <f t="shared" si="191"/>
        <v>0</v>
      </c>
    </row>
    <row r="563" spans="1:49" ht="19.95" customHeight="1" x14ac:dyDescent="0.25">
      <c r="A563" s="15" t="s">
        <v>300</v>
      </c>
      <c r="C563" s="15">
        <v>3</v>
      </c>
      <c r="D563" s="23" t="s">
        <v>282</v>
      </c>
      <c r="E563" s="23" t="s">
        <v>172</v>
      </c>
      <c r="L563" s="16">
        <f>IFERROR(VLOOKUP($D563&amp;$C563,生产方式定位!$A$2:$E$38,2,FALSE)+VLOOKUP($E563&amp;$C563,生产方式定位!$F$3:$J$38,2,FALSE),0)</f>
        <v>3425</v>
      </c>
      <c r="S563" s="16">
        <f>IFERROR(VLOOKUP($D563&amp;$C563,生产方式定位!$A$2:$E$38,3,FALSE)+VLOOKUP($E563&amp;$C563,生产方式定位!$F$3:$J$38,3,FALSE),0)</f>
        <v>100</v>
      </c>
      <c r="X563" s="16">
        <f>IFERROR(VLOOKUP($D563&amp;$C563,生产方式定位!$A$2:$E$38,5,FALSE)+VLOOKUP($E563&amp;$C563,生产方式定位!$F$3:$J$38,5,FALSE),"错误")</f>
        <v>5100</v>
      </c>
      <c r="Y563" s="26" t="str">
        <f t="shared" si="176"/>
        <v/>
      </c>
      <c r="Z563" s="36" t="str">
        <f t="shared" si="177"/>
        <v/>
      </c>
      <c r="AA563" s="36" t="str">
        <f t="shared" si="178"/>
        <v/>
      </c>
      <c r="AB563" s="27" t="str">
        <f t="shared" si="179"/>
        <v>49%</v>
      </c>
      <c r="AC563" s="2">
        <f t="shared" si="180"/>
        <v>1575</v>
      </c>
      <c r="AD563" s="37">
        <f t="shared" si="181"/>
        <v>3</v>
      </c>
      <c r="AE563" t="str">
        <f t="shared" si="182"/>
        <v/>
      </c>
      <c r="AF563" t="str">
        <f t="shared" si="183"/>
        <v/>
      </c>
      <c r="AG563" t="str">
        <f t="shared" si="184"/>
        <v/>
      </c>
      <c r="AH563" t="str">
        <f t="shared" si="185"/>
        <v/>
      </c>
      <c r="AI563" t="str">
        <f t="shared" si="186"/>
        <v/>
      </c>
      <c r="AJ563" t="str">
        <f t="shared" si="187"/>
        <v/>
      </c>
      <c r="AK563" t="str">
        <f t="shared" si="188"/>
        <v/>
      </c>
      <c r="AL563" t="str">
        <f>IFERROR(ROUND(L563*(G563/$AU563)/VLOOKUP(F563,商品!$A$4:$B$60,2,FALSE),0),"")</f>
        <v/>
      </c>
      <c r="AM563" t="str">
        <f>IFERROR(ROUND(L563*(I563/$AU563)/VLOOKUP(H563,商品!$A$4:$B$60,2,FALSE),0),"")</f>
        <v/>
      </c>
      <c r="AN563">
        <f>IFERROR(ROUND(L563*(J563/$AU563)/VLOOKUP("运力",商品!$A$4:$B$60,2,FALSE),0),0)</f>
        <v>0</v>
      </c>
      <c r="AO563">
        <f>IFERROR(ROUND(L563*(K563/$AU563)/VLOOKUP("交易",商品!$A$4:$B$60,2,FALSE),0),0)</f>
        <v>0</v>
      </c>
      <c r="AP563" t="str">
        <f>IFERROR(ROUND(S563*(N563/$AV563)/VLOOKUP(M563,职业!$A$4:$G$16,4,FALSE),0),"")</f>
        <v/>
      </c>
      <c r="AQ563" t="str">
        <f>IFERROR(ROUND(S563*(P563/$AV563)/VLOOKUP(O563,职业!$A$4:$G$16,4,FALSE),0),"")</f>
        <v/>
      </c>
      <c r="AR563" t="str">
        <f>IFERROR(ROUND(S563*(R563/$AV563)/VLOOKUP(Q563,职业!$A$4:$G$16,4,FALSE),0),"")</f>
        <v/>
      </c>
      <c r="AS563" t="str">
        <f>IFERROR(ROUND(X563*(U563/$AW563)/VLOOKUP(T563,商品!$A$4:$B$60,2,FALSE),0),"")</f>
        <v/>
      </c>
      <c r="AT563" t="str">
        <f>IFERROR(ROUND(X563*(W563/$AW563)/VLOOKUP(V563,商品!$A$4:$B$60,2,FALSE),0),"")</f>
        <v/>
      </c>
      <c r="AU563">
        <f t="shared" si="189"/>
        <v>0</v>
      </c>
      <c r="AV563">
        <f t="shared" si="190"/>
        <v>0</v>
      </c>
      <c r="AW563">
        <f t="shared" si="191"/>
        <v>0</v>
      </c>
    </row>
    <row r="564" spans="1:49" ht="19.95" customHeight="1" x14ac:dyDescent="0.25">
      <c r="A564" s="15" t="s">
        <v>300</v>
      </c>
      <c r="C564" s="15">
        <v>4</v>
      </c>
      <c r="D564" s="23" t="s">
        <v>282</v>
      </c>
      <c r="E564" s="23" t="s">
        <v>172</v>
      </c>
      <c r="L564" s="16">
        <f>IFERROR(VLOOKUP($D564&amp;$C564,生产方式定位!$A$2:$E$38,2,FALSE)+VLOOKUP($E564&amp;$C564,生产方式定位!$F$3:$J$38,2,FALSE),0)</f>
        <v>3950</v>
      </c>
      <c r="S564" s="16">
        <f>IFERROR(VLOOKUP($D564&amp;$C564,生产方式定位!$A$2:$E$38,3,FALSE)+VLOOKUP($E564&amp;$C564,生产方式定位!$F$3:$J$38,3,FALSE),0)</f>
        <v>100</v>
      </c>
      <c r="X564" s="16">
        <f>IFERROR(VLOOKUP($D564&amp;$C564,生产方式定位!$A$2:$E$38,5,FALSE)+VLOOKUP($E564&amp;$C564,生产方式定位!$F$3:$J$38,5,FALSE),"错误")</f>
        <v>5850</v>
      </c>
      <c r="Y564" s="26" t="str">
        <f t="shared" si="176"/>
        <v/>
      </c>
      <c r="Z564" s="36" t="str">
        <f t="shared" si="177"/>
        <v/>
      </c>
      <c r="AA564" s="36" t="str">
        <f t="shared" si="178"/>
        <v/>
      </c>
      <c r="AB564" s="27" t="str">
        <f t="shared" si="179"/>
        <v>48%</v>
      </c>
      <c r="AC564" s="2">
        <f t="shared" si="180"/>
        <v>1800</v>
      </c>
      <c r="AD564" s="37">
        <f t="shared" si="181"/>
        <v>4</v>
      </c>
      <c r="AE564" t="str">
        <f t="shared" si="182"/>
        <v/>
      </c>
      <c r="AF564" t="str">
        <f t="shared" si="183"/>
        <v/>
      </c>
      <c r="AG564" t="str">
        <f t="shared" si="184"/>
        <v/>
      </c>
      <c r="AH564" t="str">
        <f t="shared" si="185"/>
        <v/>
      </c>
      <c r="AI564" t="str">
        <f t="shared" si="186"/>
        <v/>
      </c>
      <c r="AJ564" t="str">
        <f t="shared" si="187"/>
        <v/>
      </c>
      <c r="AK564" t="str">
        <f t="shared" si="188"/>
        <v/>
      </c>
      <c r="AL564" t="str">
        <f>IFERROR(ROUND(L564*(G564/$AU564)/VLOOKUP(F564,商品!$A$4:$B$60,2,FALSE),0),"")</f>
        <v/>
      </c>
      <c r="AM564" t="str">
        <f>IFERROR(ROUND(L564*(I564/$AU564)/VLOOKUP(H564,商品!$A$4:$B$60,2,FALSE),0),"")</f>
        <v/>
      </c>
      <c r="AN564">
        <f>IFERROR(ROUND(L564*(J564/$AU564)/VLOOKUP("运力",商品!$A$4:$B$60,2,FALSE),0),0)</f>
        <v>0</v>
      </c>
      <c r="AO564">
        <f>IFERROR(ROUND(L564*(K564/$AU564)/VLOOKUP("交易",商品!$A$4:$B$60,2,FALSE),0),0)</f>
        <v>0</v>
      </c>
      <c r="AP564" t="str">
        <f>IFERROR(ROUND(S564*(N564/$AV564)/VLOOKUP(M564,职业!$A$4:$G$16,4,FALSE),0),"")</f>
        <v/>
      </c>
      <c r="AQ564" t="str">
        <f>IFERROR(ROUND(S564*(P564/$AV564)/VLOOKUP(O564,职业!$A$4:$G$16,4,FALSE),0),"")</f>
        <v/>
      </c>
      <c r="AR564" t="str">
        <f>IFERROR(ROUND(S564*(R564/$AV564)/VLOOKUP(Q564,职业!$A$4:$G$16,4,FALSE),0),"")</f>
        <v/>
      </c>
      <c r="AS564" t="str">
        <f>IFERROR(ROUND(X564*(U564/$AW564)/VLOOKUP(T564,商品!$A$4:$B$60,2,FALSE),0),"")</f>
        <v/>
      </c>
      <c r="AT564" t="str">
        <f>IFERROR(ROUND(X564*(W564/$AW564)/VLOOKUP(V564,商品!$A$4:$B$60,2,FALSE),0),"")</f>
        <v/>
      </c>
      <c r="AU564">
        <f t="shared" si="189"/>
        <v>0</v>
      </c>
      <c r="AV564">
        <f t="shared" si="190"/>
        <v>0</v>
      </c>
      <c r="AW564">
        <f t="shared" si="191"/>
        <v>0</v>
      </c>
    </row>
    <row r="565" spans="1:49" ht="19.95" customHeight="1" x14ac:dyDescent="0.25">
      <c r="A565" s="15" t="s">
        <v>300</v>
      </c>
      <c r="C565" s="15">
        <v>5</v>
      </c>
      <c r="D565" s="23" t="s">
        <v>282</v>
      </c>
      <c r="E565" s="23" t="s">
        <v>172</v>
      </c>
      <c r="L565" s="16">
        <f>IFERROR(VLOOKUP($D565&amp;$C565,生产方式定位!$A$2:$E$38,2,FALSE)+VLOOKUP($E565&amp;$C565,生产方式定位!$F$3:$J$38,2,FALSE),0)</f>
        <v>4475</v>
      </c>
      <c r="S565" s="16">
        <f>IFERROR(VLOOKUP($D565&amp;$C565,生产方式定位!$A$2:$E$38,3,FALSE)+VLOOKUP($E565&amp;$C565,生产方式定位!$F$3:$J$38,3,FALSE),0)</f>
        <v>100</v>
      </c>
      <c r="X565" s="16">
        <f>IFERROR(VLOOKUP($D565&amp;$C565,生产方式定位!$A$2:$E$38,5,FALSE)+VLOOKUP($E565&amp;$C565,生产方式定位!$F$3:$J$38,5,FALSE),"错误")</f>
        <v>6600</v>
      </c>
      <c r="Y565" s="26" t="str">
        <f t="shared" si="176"/>
        <v/>
      </c>
      <c r="Z565" s="36" t="str">
        <f t="shared" si="177"/>
        <v/>
      </c>
      <c r="AA565" s="36" t="str">
        <f t="shared" si="178"/>
        <v/>
      </c>
      <c r="AB565" s="27" t="str">
        <f t="shared" si="179"/>
        <v>47%</v>
      </c>
      <c r="AC565" s="2">
        <f t="shared" si="180"/>
        <v>2025</v>
      </c>
      <c r="AD565" s="37">
        <f t="shared" si="181"/>
        <v>5</v>
      </c>
      <c r="AE565" t="str">
        <f t="shared" si="182"/>
        <v/>
      </c>
      <c r="AF565" t="str">
        <f t="shared" si="183"/>
        <v/>
      </c>
      <c r="AG565" t="str">
        <f t="shared" si="184"/>
        <v/>
      </c>
      <c r="AH565" t="str">
        <f t="shared" si="185"/>
        <v/>
      </c>
      <c r="AI565" t="str">
        <f t="shared" si="186"/>
        <v/>
      </c>
      <c r="AJ565" t="str">
        <f t="shared" si="187"/>
        <v/>
      </c>
      <c r="AK565" t="str">
        <f t="shared" si="188"/>
        <v/>
      </c>
      <c r="AL565" t="str">
        <f>IFERROR(ROUND(L565*(G565/$AU565)/VLOOKUP(F565,商品!$A$4:$B$60,2,FALSE),0),"")</f>
        <v/>
      </c>
      <c r="AM565" t="str">
        <f>IFERROR(ROUND(L565*(I565/$AU565)/VLOOKUP(H565,商品!$A$4:$B$60,2,FALSE),0),"")</f>
        <v/>
      </c>
      <c r="AN565">
        <f>IFERROR(ROUND(L565*(J565/$AU565)/VLOOKUP("运力",商品!$A$4:$B$60,2,FALSE),0),0)</f>
        <v>0</v>
      </c>
      <c r="AO565">
        <f>IFERROR(ROUND(L565*(K565/$AU565)/VLOOKUP("交易",商品!$A$4:$B$60,2,FALSE),0),0)</f>
        <v>0</v>
      </c>
      <c r="AP565" t="str">
        <f>IFERROR(ROUND(S565*(N565/$AV565)/VLOOKUP(M565,职业!$A$4:$G$16,4,FALSE),0),"")</f>
        <v/>
      </c>
      <c r="AQ565" t="str">
        <f>IFERROR(ROUND(S565*(P565/$AV565)/VLOOKUP(O565,职业!$A$4:$G$16,4,FALSE),0),"")</f>
        <v/>
      </c>
      <c r="AR565" t="str">
        <f>IFERROR(ROUND(S565*(R565/$AV565)/VLOOKUP(Q565,职业!$A$4:$G$16,4,FALSE),0),"")</f>
        <v/>
      </c>
      <c r="AS565" t="str">
        <f>IFERROR(ROUND(X565*(U565/$AW565)/VLOOKUP(T565,商品!$A$4:$B$60,2,FALSE),0),"")</f>
        <v/>
      </c>
      <c r="AT565" t="str">
        <f>IFERROR(ROUND(X565*(W565/$AW565)/VLOOKUP(V565,商品!$A$4:$B$60,2,FALSE),0),"")</f>
        <v/>
      </c>
      <c r="AU565">
        <f t="shared" si="189"/>
        <v>0</v>
      </c>
      <c r="AV565">
        <f t="shared" si="190"/>
        <v>0</v>
      </c>
      <c r="AW565">
        <f t="shared" si="191"/>
        <v>0</v>
      </c>
    </row>
    <row r="566" spans="1:49" ht="19.95" customHeight="1" x14ac:dyDescent="0.25">
      <c r="A566" s="16" t="s">
        <v>302</v>
      </c>
      <c r="C566" s="16">
        <v>1</v>
      </c>
      <c r="D566" s="23" t="s">
        <v>222</v>
      </c>
      <c r="E566" s="23" t="s">
        <v>172</v>
      </c>
      <c r="L566" s="15">
        <f>IFERROR(VLOOKUP($D566&amp;$C566,生产方式定位!$A$2:$E$38,2,FALSE)+VLOOKUP($E566&amp;$C566,生产方式定位!$F$3:$J$38,2,FALSE),0)</f>
        <v>1000</v>
      </c>
      <c r="S566" s="15">
        <f>IFERROR(VLOOKUP($D566&amp;$C566,生产方式定位!$A$2:$E$38,3,FALSE)+VLOOKUP($E566&amp;$C566,生产方式定位!$F$3:$J$38,3,FALSE),0)</f>
        <v>100</v>
      </c>
      <c r="X566" s="15">
        <f>IFERROR(VLOOKUP($D566&amp;$C566,生产方式定位!$A$2:$E$38,5,FALSE)+VLOOKUP($E566&amp;$C566,生产方式定位!$F$3:$J$38,5,FALSE),"错误")</f>
        <v>1760</v>
      </c>
      <c r="Y566" s="26" t="str">
        <f t="shared" si="176"/>
        <v/>
      </c>
      <c r="Z566" s="36" t="str">
        <f t="shared" si="177"/>
        <v/>
      </c>
      <c r="AA566" s="36" t="str">
        <f t="shared" si="178"/>
        <v/>
      </c>
      <c r="AB566" s="27" t="str">
        <f t="shared" si="179"/>
        <v>76%</v>
      </c>
      <c r="AC566" s="2">
        <f t="shared" si="180"/>
        <v>660</v>
      </c>
      <c r="AD566" s="37">
        <f t="shared" si="181"/>
        <v>1</v>
      </c>
      <c r="AE566" t="str">
        <f t="shared" si="182"/>
        <v/>
      </c>
      <c r="AF566" t="str">
        <f t="shared" si="183"/>
        <v/>
      </c>
      <c r="AG566" t="str">
        <f t="shared" si="184"/>
        <v/>
      </c>
      <c r="AH566" t="str">
        <f t="shared" si="185"/>
        <v/>
      </c>
      <c r="AI566" t="str">
        <f t="shared" si="186"/>
        <v/>
      </c>
      <c r="AJ566" t="str">
        <f t="shared" si="187"/>
        <v/>
      </c>
      <c r="AK566" t="str">
        <f t="shared" si="188"/>
        <v/>
      </c>
      <c r="AL566" t="str">
        <f>IFERROR(ROUND(L566*(G566/$AU566)/VLOOKUP(F566,商品!$A$4:$B$60,2,FALSE),0),"")</f>
        <v/>
      </c>
      <c r="AM566" t="str">
        <f>IFERROR(ROUND(L566*(I566/$AU566)/VLOOKUP(H566,商品!$A$4:$B$60,2,FALSE),0),"")</f>
        <v/>
      </c>
      <c r="AN566">
        <f>IFERROR(ROUND(L566*(J566/$AU566)/VLOOKUP("运力",商品!$A$4:$B$60,2,FALSE),0),0)</f>
        <v>0</v>
      </c>
      <c r="AO566">
        <f>IFERROR(ROUND(L566*(K566/$AU566)/VLOOKUP("交易",商品!$A$4:$B$60,2,FALSE),0),0)</f>
        <v>0</v>
      </c>
      <c r="AP566" t="str">
        <f>IFERROR(ROUND(S566*(N566/$AV566)/VLOOKUP(M566,职业!$A$4:$G$16,4,FALSE),0),"")</f>
        <v/>
      </c>
      <c r="AQ566" t="str">
        <f>IFERROR(ROUND(S566*(P566/$AV566)/VLOOKUP(O566,职业!$A$4:$G$16,4,FALSE),0),"")</f>
        <v/>
      </c>
      <c r="AR566" t="str">
        <f>IFERROR(ROUND(S566*(R566/$AV566)/VLOOKUP(Q566,职业!$A$4:$G$16,4,FALSE),0),"")</f>
        <v/>
      </c>
      <c r="AS566" t="str">
        <f>IFERROR(ROUND(X566*(U566/$AW566)/VLOOKUP(T566,商品!$A$4:$B$60,2,FALSE),0),"")</f>
        <v/>
      </c>
      <c r="AT566" t="str">
        <f>IFERROR(ROUND(X566*(W566/$AW566)/VLOOKUP(V566,商品!$A$4:$B$60,2,FALSE),0),"")</f>
        <v/>
      </c>
      <c r="AU566">
        <f t="shared" si="189"/>
        <v>0</v>
      </c>
      <c r="AV566">
        <f t="shared" si="190"/>
        <v>0</v>
      </c>
      <c r="AW566">
        <f t="shared" si="191"/>
        <v>0</v>
      </c>
    </row>
    <row r="567" spans="1:49" ht="19.95" customHeight="1" x14ac:dyDescent="0.25">
      <c r="A567" s="16" t="s">
        <v>302</v>
      </c>
      <c r="C567" s="16">
        <v>2</v>
      </c>
      <c r="D567" s="23" t="s">
        <v>222</v>
      </c>
      <c r="E567" s="23" t="s">
        <v>172</v>
      </c>
      <c r="L567" s="15">
        <f>IFERROR(VLOOKUP($D567&amp;$C567,生产方式定位!$A$2:$E$38,2,FALSE)+VLOOKUP($E567&amp;$C567,生产方式定位!$F$3:$J$38,2,FALSE),0)</f>
        <v>1600</v>
      </c>
      <c r="S567" s="15">
        <f>IFERROR(VLOOKUP($D567&amp;$C567,生产方式定位!$A$2:$E$38,3,FALSE)+VLOOKUP($E567&amp;$C567,生产方式定位!$F$3:$J$38,3,FALSE),0)</f>
        <v>100</v>
      </c>
      <c r="X567" s="15">
        <f>IFERROR(VLOOKUP($D567&amp;$C567,生产方式定位!$A$2:$E$38,5,FALSE)+VLOOKUP($E567&amp;$C567,生产方式定位!$F$3:$J$38,5,FALSE),"错误")</f>
        <v>2520</v>
      </c>
      <c r="Y567" s="26" t="str">
        <f t="shared" si="176"/>
        <v/>
      </c>
      <c r="Z567" s="36" t="str">
        <f t="shared" si="177"/>
        <v/>
      </c>
      <c r="AA567" s="36" t="str">
        <f t="shared" si="178"/>
        <v/>
      </c>
      <c r="AB567" s="27" t="str">
        <f t="shared" si="179"/>
        <v>58%</v>
      </c>
      <c r="AC567" s="2">
        <f t="shared" si="180"/>
        <v>820</v>
      </c>
      <c r="AD567" s="37">
        <f t="shared" si="181"/>
        <v>2</v>
      </c>
      <c r="AE567" t="str">
        <f t="shared" si="182"/>
        <v/>
      </c>
      <c r="AF567" t="str">
        <f t="shared" si="183"/>
        <v/>
      </c>
      <c r="AG567" t="str">
        <f t="shared" si="184"/>
        <v/>
      </c>
      <c r="AH567" t="str">
        <f t="shared" si="185"/>
        <v/>
      </c>
      <c r="AI567" t="str">
        <f t="shared" si="186"/>
        <v/>
      </c>
      <c r="AJ567" t="str">
        <f t="shared" si="187"/>
        <v/>
      </c>
      <c r="AK567" t="str">
        <f t="shared" si="188"/>
        <v/>
      </c>
      <c r="AL567" t="str">
        <f>IFERROR(ROUND(L567*(G567/$AU567)/VLOOKUP(F567,商品!$A$4:$B$60,2,FALSE),0),"")</f>
        <v/>
      </c>
      <c r="AM567" t="str">
        <f>IFERROR(ROUND(L567*(I567/$AU567)/VLOOKUP(H567,商品!$A$4:$B$60,2,FALSE),0),"")</f>
        <v/>
      </c>
      <c r="AN567">
        <f>IFERROR(ROUND(L567*(J567/$AU567)/VLOOKUP("运力",商品!$A$4:$B$60,2,FALSE),0),0)</f>
        <v>0</v>
      </c>
      <c r="AO567">
        <f>IFERROR(ROUND(L567*(K567/$AU567)/VLOOKUP("交易",商品!$A$4:$B$60,2,FALSE),0),0)</f>
        <v>0</v>
      </c>
      <c r="AP567" t="str">
        <f>IFERROR(ROUND(S567*(N567/$AV567)/VLOOKUP(M567,职业!$A$4:$G$16,4,FALSE),0),"")</f>
        <v/>
      </c>
      <c r="AQ567" t="str">
        <f>IFERROR(ROUND(S567*(P567/$AV567)/VLOOKUP(O567,职业!$A$4:$G$16,4,FALSE),0),"")</f>
        <v/>
      </c>
      <c r="AR567" t="str">
        <f>IFERROR(ROUND(S567*(R567/$AV567)/VLOOKUP(Q567,职业!$A$4:$G$16,4,FALSE),0),"")</f>
        <v/>
      </c>
      <c r="AS567" t="str">
        <f>IFERROR(ROUND(X567*(U567/$AW567)/VLOOKUP(T567,商品!$A$4:$B$60,2,FALSE),0),"")</f>
        <v/>
      </c>
      <c r="AT567" t="str">
        <f>IFERROR(ROUND(X567*(W567/$AW567)/VLOOKUP(V567,商品!$A$4:$B$60,2,FALSE),0),"")</f>
        <v/>
      </c>
      <c r="AU567">
        <f t="shared" si="189"/>
        <v>0</v>
      </c>
      <c r="AV567">
        <f t="shared" si="190"/>
        <v>0</v>
      </c>
      <c r="AW567">
        <f t="shared" si="191"/>
        <v>0</v>
      </c>
    </row>
    <row r="568" spans="1:49" ht="19.95" customHeight="1" x14ac:dyDescent="0.25">
      <c r="A568" s="16" t="s">
        <v>302</v>
      </c>
      <c r="C568" s="16">
        <v>3</v>
      </c>
      <c r="D568" s="23" t="s">
        <v>222</v>
      </c>
      <c r="E568" s="23" t="s">
        <v>172</v>
      </c>
      <c r="L568" s="15">
        <f>IFERROR(VLOOKUP($D568&amp;$C568,生产方式定位!$A$2:$E$38,2,FALSE)+VLOOKUP($E568&amp;$C568,生产方式定位!$F$3:$J$38,2,FALSE),0)</f>
        <v>1825</v>
      </c>
      <c r="S568" s="15">
        <f>IFERROR(VLOOKUP($D568&amp;$C568,生产方式定位!$A$2:$E$38,3,FALSE)+VLOOKUP($E568&amp;$C568,生产方式定位!$F$3:$J$38,3,FALSE),0)</f>
        <v>100</v>
      </c>
      <c r="X568" s="15">
        <f>IFERROR(VLOOKUP($D568&amp;$C568,生产方式定位!$A$2:$E$38,5,FALSE)+VLOOKUP($E568&amp;$C568,生产方式定位!$F$3:$J$38,5,FALSE),"错误")</f>
        <v>2830</v>
      </c>
      <c r="Y568" s="26" t="str">
        <f t="shared" si="176"/>
        <v/>
      </c>
      <c r="Z568" s="36" t="str">
        <f t="shared" si="177"/>
        <v/>
      </c>
      <c r="AA568" s="36" t="str">
        <f t="shared" si="178"/>
        <v/>
      </c>
      <c r="AB568" s="27" t="str">
        <f t="shared" si="179"/>
        <v>55%</v>
      </c>
      <c r="AC568" s="2">
        <f t="shared" si="180"/>
        <v>905</v>
      </c>
      <c r="AD568" s="37">
        <f t="shared" si="181"/>
        <v>3</v>
      </c>
      <c r="AE568" t="str">
        <f t="shared" si="182"/>
        <v/>
      </c>
      <c r="AF568" t="str">
        <f t="shared" si="183"/>
        <v/>
      </c>
      <c r="AG568" t="str">
        <f t="shared" si="184"/>
        <v/>
      </c>
      <c r="AH568" t="str">
        <f t="shared" si="185"/>
        <v/>
      </c>
      <c r="AI568" t="str">
        <f t="shared" si="186"/>
        <v/>
      </c>
      <c r="AJ568" t="str">
        <f t="shared" si="187"/>
        <v/>
      </c>
      <c r="AK568" t="str">
        <f t="shared" si="188"/>
        <v/>
      </c>
      <c r="AL568" t="str">
        <f>IFERROR(ROUND(L568*(G568/$AU568)/VLOOKUP(F568,商品!$A$4:$B$60,2,FALSE),0),"")</f>
        <v/>
      </c>
      <c r="AM568" t="str">
        <f>IFERROR(ROUND(L568*(I568/$AU568)/VLOOKUP(H568,商品!$A$4:$B$60,2,FALSE),0),"")</f>
        <v/>
      </c>
      <c r="AN568">
        <f>IFERROR(ROUND(L568*(J568/$AU568)/VLOOKUP("运力",商品!$A$4:$B$60,2,FALSE),0),0)</f>
        <v>0</v>
      </c>
      <c r="AO568">
        <f>IFERROR(ROUND(L568*(K568/$AU568)/VLOOKUP("交易",商品!$A$4:$B$60,2,FALSE),0),0)</f>
        <v>0</v>
      </c>
      <c r="AP568" t="str">
        <f>IFERROR(ROUND(S568*(N568/$AV568)/VLOOKUP(M568,职业!$A$4:$G$16,4,FALSE),0),"")</f>
        <v/>
      </c>
      <c r="AQ568" t="str">
        <f>IFERROR(ROUND(S568*(P568/$AV568)/VLOOKUP(O568,职业!$A$4:$G$16,4,FALSE),0),"")</f>
        <v/>
      </c>
      <c r="AR568" t="str">
        <f>IFERROR(ROUND(S568*(R568/$AV568)/VLOOKUP(Q568,职业!$A$4:$G$16,4,FALSE),0),"")</f>
        <v/>
      </c>
      <c r="AS568" t="str">
        <f>IFERROR(ROUND(X568*(U568/$AW568)/VLOOKUP(T568,商品!$A$4:$B$60,2,FALSE),0),"")</f>
        <v/>
      </c>
      <c r="AT568" t="str">
        <f>IFERROR(ROUND(X568*(W568/$AW568)/VLOOKUP(V568,商品!$A$4:$B$60,2,FALSE),0),"")</f>
        <v/>
      </c>
      <c r="AU568">
        <f t="shared" si="189"/>
        <v>0</v>
      </c>
      <c r="AV568">
        <f t="shared" si="190"/>
        <v>0</v>
      </c>
      <c r="AW568">
        <f t="shared" si="191"/>
        <v>0</v>
      </c>
    </row>
    <row r="569" spans="1:49" ht="19.95" customHeight="1" x14ac:dyDescent="0.25">
      <c r="A569" s="16" t="s">
        <v>302</v>
      </c>
      <c r="C569" s="16">
        <v>4</v>
      </c>
      <c r="D569" s="23" t="s">
        <v>222</v>
      </c>
      <c r="E569" s="23" t="s">
        <v>172</v>
      </c>
      <c r="L569" s="15">
        <f>IFERROR(VLOOKUP($D569&amp;$C569,生产方式定位!$A$2:$E$38,2,FALSE)+VLOOKUP($E569&amp;$C569,生产方式定位!$F$3:$J$38,2,FALSE),0)</f>
        <v>2050</v>
      </c>
      <c r="S569" s="15">
        <f>IFERROR(VLOOKUP($D569&amp;$C569,生产方式定位!$A$2:$E$38,3,FALSE)+VLOOKUP($E569&amp;$C569,生产方式定位!$F$3:$J$38,3,FALSE),0)</f>
        <v>100</v>
      </c>
      <c r="X569" s="15">
        <f>IFERROR(VLOOKUP($D569&amp;$C569,生产方式定位!$A$2:$E$38,5,FALSE)+VLOOKUP($E569&amp;$C569,生产方式定位!$F$3:$J$38,5,FALSE),"错误")</f>
        <v>3140</v>
      </c>
      <c r="Y569" s="26" t="str">
        <f t="shared" si="176"/>
        <v/>
      </c>
      <c r="Z569" s="36" t="str">
        <f t="shared" si="177"/>
        <v/>
      </c>
      <c r="AA569" s="36" t="str">
        <f t="shared" si="178"/>
        <v/>
      </c>
      <c r="AB569" s="27" t="str">
        <f t="shared" si="179"/>
        <v>53%</v>
      </c>
      <c r="AC569" s="2">
        <f t="shared" si="180"/>
        <v>990</v>
      </c>
      <c r="AD569" s="37">
        <f t="shared" si="181"/>
        <v>4</v>
      </c>
      <c r="AE569" t="str">
        <f t="shared" si="182"/>
        <v/>
      </c>
      <c r="AF569" t="str">
        <f t="shared" si="183"/>
        <v/>
      </c>
      <c r="AG569" t="str">
        <f t="shared" si="184"/>
        <v/>
      </c>
      <c r="AH569" t="str">
        <f t="shared" si="185"/>
        <v/>
      </c>
      <c r="AI569" t="str">
        <f t="shared" si="186"/>
        <v/>
      </c>
      <c r="AJ569" t="str">
        <f t="shared" si="187"/>
        <v/>
      </c>
      <c r="AK569" t="str">
        <f t="shared" si="188"/>
        <v/>
      </c>
      <c r="AL569" t="str">
        <f>IFERROR(ROUND(L569*(G569/$AU569)/VLOOKUP(F569,商品!$A$4:$B$60,2,FALSE),0),"")</f>
        <v/>
      </c>
      <c r="AM569" t="str">
        <f>IFERROR(ROUND(L569*(I569/$AU569)/VLOOKUP(H569,商品!$A$4:$B$60,2,FALSE),0),"")</f>
        <v/>
      </c>
      <c r="AN569">
        <f>IFERROR(ROUND(L569*(J569/$AU569)/VLOOKUP("运力",商品!$A$4:$B$60,2,FALSE),0),0)</f>
        <v>0</v>
      </c>
      <c r="AO569">
        <f>IFERROR(ROUND(L569*(K569/$AU569)/VLOOKUP("交易",商品!$A$4:$B$60,2,FALSE),0),0)</f>
        <v>0</v>
      </c>
      <c r="AP569" t="str">
        <f>IFERROR(ROUND(S569*(N569/$AV569)/VLOOKUP(M569,职业!$A$4:$G$16,4,FALSE),0),"")</f>
        <v/>
      </c>
      <c r="AQ569" t="str">
        <f>IFERROR(ROUND(S569*(P569/$AV569)/VLOOKUP(O569,职业!$A$4:$G$16,4,FALSE),0),"")</f>
        <v/>
      </c>
      <c r="AR569" t="str">
        <f>IFERROR(ROUND(S569*(R569/$AV569)/VLOOKUP(Q569,职业!$A$4:$G$16,4,FALSE),0),"")</f>
        <v/>
      </c>
      <c r="AS569" t="str">
        <f>IFERROR(ROUND(X569*(U569/$AW569)/VLOOKUP(T569,商品!$A$4:$B$60,2,FALSE),0),"")</f>
        <v/>
      </c>
      <c r="AT569" t="str">
        <f>IFERROR(ROUND(X569*(W569/$AW569)/VLOOKUP(V569,商品!$A$4:$B$60,2,FALSE),0),"")</f>
        <v/>
      </c>
      <c r="AU569">
        <f t="shared" si="189"/>
        <v>0</v>
      </c>
      <c r="AV569">
        <f t="shared" si="190"/>
        <v>0</v>
      </c>
      <c r="AW569">
        <f t="shared" si="191"/>
        <v>0</v>
      </c>
    </row>
    <row r="570" spans="1:49" ht="19.95" customHeight="1" x14ac:dyDescent="0.25">
      <c r="A570" s="16" t="s">
        <v>302</v>
      </c>
      <c r="C570" s="16">
        <v>5</v>
      </c>
      <c r="D570" s="23" t="s">
        <v>222</v>
      </c>
      <c r="E570" s="23" t="s">
        <v>172</v>
      </c>
      <c r="L570" s="15">
        <f>IFERROR(VLOOKUP($D570&amp;$C570,生产方式定位!$A$2:$E$38,2,FALSE)+VLOOKUP($E570&amp;$C570,生产方式定位!$F$3:$J$38,2,FALSE),0)</f>
        <v>2275</v>
      </c>
      <c r="S570" s="15">
        <f>IFERROR(VLOOKUP($D570&amp;$C570,生产方式定位!$A$2:$E$38,3,FALSE)+VLOOKUP($E570&amp;$C570,生产方式定位!$F$3:$J$38,3,FALSE),0)</f>
        <v>100</v>
      </c>
      <c r="X570" s="15">
        <f>IFERROR(VLOOKUP($D570&amp;$C570,生产方式定位!$A$2:$E$38,5,FALSE)+VLOOKUP($E570&amp;$C570,生产方式定位!$F$3:$J$38,5,FALSE),"错误")</f>
        <v>3450</v>
      </c>
      <c r="Y570" s="26" t="str">
        <f t="shared" si="176"/>
        <v/>
      </c>
      <c r="Z570" s="36" t="str">
        <f t="shared" si="177"/>
        <v/>
      </c>
      <c r="AA570" s="36" t="str">
        <f t="shared" si="178"/>
        <v/>
      </c>
      <c r="AB570" s="27" t="str">
        <f t="shared" si="179"/>
        <v>52%</v>
      </c>
      <c r="AC570" s="2">
        <f t="shared" si="180"/>
        <v>1075</v>
      </c>
      <c r="AD570" s="37">
        <f t="shared" si="181"/>
        <v>5</v>
      </c>
      <c r="AE570" t="str">
        <f t="shared" si="182"/>
        <v/>
      </c>
      <c r="AF570" t="str">
        <f t="shared" si="183"/>
        <v/>
      </c>
      <c r="AG570" t="str">
        <f t="shared" si="184"/>
        <v/>
      </c>
      <c r="AH570" t="str">
        <f t="shared" si="185"/>
        <v/>
      </c>
      <c r="AI570" t="str">
        <f t="shared" si="186"/>
        <v/>
      </c>
      <c r="AJ570" t="str">
        <f t="shared" si="187"/>
        <v/>
      </c>
      <c r="AK570" t="str">
        <f t="shared" si="188"/>
        <v/>
      </c>
      <c r="AL570" t="str">
        <f>IFERROR(ROUND(L570*(G570/$AU570)/VLOOKUP(F570,商品!$A$4:$B$60,2,FALSE),0),"")</f>
        <v/>
      </c>
      <c r="AM570" t="str">
        <f>IFERROR(ROUND(L570*(I570/$AU570)/VLOOKUP(H570,商品!$A$4:$B$60,2,FALSE),0),"")</f>
        <v/>
      </c>
      <c r="AN570">
        <f>IFERROR(ROUND(L570*(J570/$AU570)/VLOOKUP("运力",商品!$A$4:$B$60,2,FALSE),0),0)</f>
        <v>0</v>
      </c>
      <c r="AO570">
        <f>IFERROR(ROUND(L570*(K570/$AU570)/VLOOKUP("交易",商品!$A$4:$B$60,2,FALSE),0),0)</f>
        <v>0</v>
      </c>
      <c r="AP570" t="str">
        <f>IFERROR(ROUND(S570*(N570/$AV570)/VLOOKUP(M570,职业!$A$4:$G$16,4,FALSE),0),"")</f>
        <v/>
      </c>
      <c r="AQ570" t="str">
        <f>IFERROR(ROUND(S570*(P570/$AV570)/VLOOKUP(O570,职业!$A$4:$G$16,4,FALSE),0),"")</f>
        <v/>
      </c>
      <c r="AR570" t="str">
        <f>IFERROR(ROUND(S570*(R570/$AV570)/VLOOKUP(Q570,职业!$A$4:$G$16,4,FALSE),0),"")</f>
        <v/>
      </c>
      <c r="AS570" t="str">
        <f>IFERROR(ROUND(X570*(U570/$AW570)/VLOOKUP(T570,商品!$A$4:$B$60,2,FALSE),0),"")</f>
        <v/>
      </c>
      <c r="AT570" t="str">
        <f>IFERROR(ROUND(X570*(W570/$AW570)/VLOOKUP(V570,商品!$A$4:$B$60,2,FALSE),0),"")</f>
        <v/>
      </c>
      <c r="AU570">
        <f t="shared" si="189"/>
        <v>0</v>
      </c>
      <c r="AV570">
        <f t="shared" si="190"/>
        <v>0</v>
      </c>
      <c r="AW570">
        <f t="shared" si="191"/>
        <v>0</v>
      </c>
    </row>
    <row r="571" spans="1:49" ht="19.95" customHeight="1" x14ac:dyDescent="0.25">
      <c r="A571" s="15" t="s">
        <v>303</v>
      </c>
      <c r="C571" s="15">
        <v>1</v>
      </c>
      <c r="D571" s="23" t="s">
        <v>174</v>
      </c>
      <c r="E571" s="23" t="s">
        <v>179</v>
      </c>
      <c r="L571" s="16">
        <f>IFERROR(VLOOKUP($D571&amp;$C571,生产方式定位!$A$2:$E$38,2,FALSE)+VLOOKUP($E571&amp;$C571,生产方式定位!$F$3:$J$38,2,FALSE),0)</f>
        <v>0</v>
      </c>
      <c r="S571" s="16">
        <f>IFERROR(VLOOKUP($D571&amp;$C571,生产方式定位!$A$2:$E$38,3,FALSE)+VLOOKUP($E571&amp;$C571,生产方式定位!$F$3:$J$38,3,FALSE),0)</f>
        <v>100</v>
      </c>
      <c r="X571" s="16">
        <f>IFERROR(VLOOKUP($D571&amp;$C571,生产方式定位!$A$2:$E$38,5,FALSE)+VLOOKUP($E571&amp;$C571,生产方式定位!$F$3:$J$38,5,FALSE),"错误")</f>
        <v>100</v>
      </c>
      <c r="Y571" s="26" t="str">
        <f t="shared" si="176"/>
        <v/>
      </c>
      <c r="Z571" s="36" t="str">
        <f t="shared" si="177"/>
        <v/>
      </c>
      <c r="AA571" s="36" t="str">
        <f t="shared" si="178"/>
        <v/>
      </c>
      <c r="AB571" s="27" t="str">
        <f t="shared" si="179"/>
        <v/>
      </c>
      <c r="AC571" s="2" t="str">
        <f t="shared" si="180"/>
        <v/>
      </c>
      <c r="AD571" s="38">
        <f t="shared" si="181"/>
        <v>1</v>
      </c>
      <c r="AE571" t="str">
        <f t="shared" si="182"/>
        <v/>
      </c>
      <c r="AF571" t="str">
        <f t="shared" si="183"/>
        <v/>
      </c>
      <c r="AG571" t="str">
        <f t="shared" si="184"/>
        <v/>
      </c>
      <c r="AH571" t="str">
        <f t="shared" si="185"/>
        <v/>
      </c>
      <c r="AI571" t="str">
        <f t="shared" si="186"/>
        <v/>
      </c>
      <c r="AJ571" t="str">
        <f t="shared" si="187"/>
        <v/>
      </c>
      <c r="AK571" t="str">
        <f t="shared" si="188"/>
        <v/>
      </c>
      <c r="AL571" t="str">
        <f>IFERROR(ROUND(L571*(G571/$AU571)/VLOOKUP(F571,商品!$A$4:$B$60,2,FALSE),0),"")</f>
        <v/>
      </c>
      <c r="AM571" t="str">
        <f>IFERROR(ROUND(L571*(I571/$AU571)/VLOOKUP(H571,商品!$A$4:$B$60,2,FALSE),0),"")</f>
        <v/>
      </c>
      <c r="AN571">
        <f>IFERROR(ROUND(L571*(J571/$AU571)/VLOOKUP("运力",商品!$A$4:$B$60,2,FALSE),0),0)</f>
        <v>0</v>
      </c>
      <c r="AO571">
        <f>IFERROR(ROUND(L571*(K571/$AU571)/VLOOKUP("交易",商品!$A$4:$B$60,2,FALSE),0),0)</f>
        <v>0</v>
      </c>
      <c r="AP571" t="str">
        <f>IFERROR(ROUND(S571*(N571/$AV571)/VLOOKUP(M571,职业!$A$4:$G$16,4,FALSE),0),"")</f>
        <v/>
      </c>
      <c r="AQ571" t="str">
        <f>IFERROR(ROUND(S571*(P571/$AV571)/VLOOKUP(O571,职业!$A$4:$G$16,4,FALSE),0),"")</f>
        <v/>
      </c>
      <c r="AR571" t="str">
        <f>IFERROR(ROUND(S571*(R571/$AV571)/VLOOKUP(Q571,职业!$A$4:$G$16,4,FALSE),0),"")</f>
        <v/>
      </c>
      <c r="AS571" t="str">
        <f>IFERROR(ROUND(X571*(U571/$AW571)/VLOOKUP(T571,商品!$A$4:$B$60,2,FALSE),0),"")</f>
        <v/>
      </c>
      <c r="AT571" t="str">
        <f>IFERROR(ROUND(X571*(W571/$AW571)/VLOOKUP(V571,商品!$A$4:$B$60,2,FALSE),0),"")</f>
        <v/>
      </c>
      <c r="AU571">
        <f t="shared" si="189"/>
        <v>0</v>
      </c>
      <c r="AV571">
        <f t="shared" si="190"/>
        <v>0</v>
      </c>
      <c r="AW571">
        <f t="shared" si="191"/>
        <v>0</v>
      </c>
    </row>
    <row r="572" spans="1:49" ht="19.95" customHeight="1" x14ac:dyDescent="0.25">
      <c r="A572" s="15" t="s">
        <v>303</v>
      </c>
      <c r="C572" s="15">
        <v>2</v>
      </c>
      <c r="D572" s="23" t="s">
        <v>174</v>
      </c>
      <c r="E572" s="23" t="s">
        <v>179</v>
      </c>
      <c r="L572" s="16">
        <f>IFERROR(VLOOKUP($D572&amp;$C572,生产方式定位!$A$2:$E$38,2,FALSE)+VLOOKUP($E572&amp;$C572,生产方式定位!$F$3:$J$38,2,FALSE),0)</f>
        <v>0</v>
      </c>
      <c r="S572" s="16">
        <f>IFERROR(VLOOKUP($D572&amp;$C572,生产方式定位!$A$2:$E$38,3,FALSE)+VLOOKUP($E572&amp;$C572,生产方式定位!$F$3:$J$38,3,FALSE),0)</f>
        <v>100</v>
      </c>
      <c r="X572" s="16">
        <f>IFERROR(VLOOKUP($D572&amp;$C572,生产方式定位!$A$2:$E$38,5,FALSE)+VLOOKUP($E572&amp;$C572,生产方式定位!$F$3:$J$38,5,FALSE),"错误")</f>
        <v>100</v>
      </c>
      <c r="Y572" s="26" t="str">
        <f t="shared" si="176"/>
        <v/>
      </c>
      <c r="Z572" s="36" t="str">
        <f t="shared" si="177"/>
        <v/>
      </c>
      <c r="AA572" s="36" t="str">
        <f t="shared" si="178"/>
        <v/>
      </c>
      <c r="AB572" s="27" t="str">
        <f t="shared" si="179"/>
        <v/>
      </c>
      <c r="AC572" s="2" t="str">
        <f t="shared" si="180"/>
        <v/>
      </c>
      <c r="AD572" s="38">
        <f t="shared" si="181"/>
        <v>2</v>
      </c>
      <c r="AE572" t="str">
        <f t="shared" si="182"/>
        <v/>
      </c>
      <c r="AF572" t="str">
        <f t="shared" si="183"/>
        <v/>
      </c>
      <c r="AG572" t="str">
        <f t="shared" si="184"/>
        <v/>
      </c>
      <c r="AH572" t="str">
        <f t="shared" si="185"/>
        <v/>
      </c>
      <c r="AI572" t="str">
        <f t="shared" si="186"/>
        <v/>
      </c>
      <c r="AJ572" t="str">
        <f t="shared" si="187"/>
        <v/>
      </c>
      <c r="AK572" t="str">
        <f t="shared" si="188"/>
        <v/>
      </c>
      <c r="AL572" t="str">
        <f>IFERROR(ROUND(L572*(G572/$AU572)/VLOOKUP(F572,商品!$A$4:$B$60,2,FALSE),0),"")</f>
        <v/>
      </c>
      <c r="AM572" t="str">
        <f>IFERROR(ROUND(L572*(I572/$AU572)/VLOOKUP(H572,商品!$A$4:$B$60,2,FALSE),0),"")</f>
        <v/>
      </c>
      <c r="AN572">
        <f>IFERROR(ROUND(L572*(J572/$AU572)/VLOOKUP("运力",商品!$A$4:$B$60,2,FALSE),0),0)</f>
        <v>0</v>
      </c>
      <c r="AO572">
        <f>IFERROR(ROUND(L572*(K572/$AU572)/VLOOKUP("交易",商品!$A$4:$B$60,2,FALSE),0),0)</f>
        <v>0</v>
      </c>
      <c r="AP572" t="str">
        <f>IFERROR(ROUND(S572*(N572/$AV572)/VLOOKUP(M572,职业!$A$4:$G$16,4,FALSE),0),"")</f>
        <v/>
      </c>
      <c r="AQ572" t="str">
        <f>IFERROR(ROUND(S572*(P572/$AV572)/VLOOKUP(O572,职业!$A$4:$G$16,4,FALSE),0),"")</f>
        <v/>
      </c>
      <c r="AR572" t="str">
        <f>IFERROR(ROUND(S572*(R572/$AV572)/VLOOKUP(Q572,职业!$A$4:$G$16,4,FALSE),0),"")</f>
        <v/>
      </c>
      <c r="AS572" t="str">
        <f>IFERROR(ROUND(X572*(U572/$AW572)/VLOOKUP(T572,商品!$A$4:$B$60,2,FALSE),0),"")</f>
        <v/>
      </c>
      <c r="AT572" t="str">
        <f>IFERROR(ROUND(X572*(W572/$AW572)/VLOOKUP(V572,商品!$A$4:$B$60,2,FALSE),0),"")</f>
        <v/>
      </c>
      <c r="AU572">
        <f t="shared" si="189"/>
        <v>0</v>
      </c>
      <c r="AV572">
        <f t="shared" si="190"/>
        <v>0</v>
      </c>
      <c r="AW572">
        <f t="shared" si="191"/>
        <v>0</v>
      </c>
    </row>
    <row r="573" spans="1:49" ht="19.95" customHeight="1" x14ac:dyDescent="0.25">
      <c r="A573" s="15" t="s">
        <v>303</v>
      </c>
      <c r="C573" s="15">
        <v>3</v>
      </c>
      <c r="D573" s="23" t="s">
        <v>174</v>
      </c>
      <c r="E573" s="23" t="s">
        <v>179</v>
      </c>
      <c r="L573" s="16">
        <f>IFERROR(VLOOKUP($D573&amp;$C573,生产方式定位!$A$2:$E$38,2,FALSE)+VLOOKUP($E573&amp;$C573,生产方式定位!$F$3:$J$38,2,FALSE),0)</f>
        <v>0</v>
      </c>
      <c r="S573" s="16">
        <f>IFERROR(VLOOKUP($D573&amp;$C573,生产方式定位!$A$2:$E$38,3,FALSE)+VLOOKUP($E573&amp;$C573,生产方式定位!$F$3:$J$38,3,FALSE),0)</f>
        <v>100</v>
      </c>
      <c r="X573" s="16">
        <f>IFERROR(VLOOKUP($D573&amp;$C573,生产方式定位!$A$2:$E$38,5,FALSE)+VLOOKUP($E573&amp;$C573,生产方式定位!$F$3:$J$38,5,FALSE),"错误")</f>
        <v>100</v>
      </c>
      <c r="Y573" s="26" t="str">
        <f t="shared" si="176"/>
        <v/>
      </c>
      <c r="Z573" s="36" t="str">
        <f t="shared" si="177"/>
        <v/>
      </c>
      <c r="AA573" s="36" t="str">
        <f t="shared" si="178"/>
        <v/>
      </c>
      <c r="AB573" s="27" t="str">
        <f t="shared" si="179"/>
        <v/>
      </c>
      <c r="AC573" s="2" t="str">
        <f t="shared" si="180"/>
        <v/>
      </c>
      <c r="AD573" s="38">
        <f t="shared" si="181"/>
        <v>3</v>
      </c>
      <c r="AE573" t="str">
        <f t="shared" si="182"/>
        <v/>
      </c>
      <c r="AF573" t="str">
        <f t="shared" si="183"/>
        <v/>
      </c>
      <c r="AG573" t="str">
        <f t="shared" si="184"/>
        <v/>
      </c>
      <c r="AH573" t="str">
        <f t="shared" si="185"/>
        <v/>
      </c>
      <c r="AI573" t="str">
        <f t="shared" si="186"/>
        <v/>
      </c>
      <c r="AJ573" t="str">
        <f t="shared" si="187"/>
        <v/>
      </c>
      <c r="AK573" t="str">
        <f t="shared" si="188"/>
        <v/>
      </c>
      <c r="AL573" t="str">
        <f>IFERROR(ROUND(L573*(G573/$AU573)/VLOOKUP(F573,商品!$A$4:$B$60,2,FALSE),0),"")</f>
        <v/>
      </c>
      <c r="AM573" t="str">
        <f>IFERROR(ROUND(L573*(I573/$AU573)/VLOOKUP(H573,商品!$A$4:$B$60,2,FALSE),0),"")</f>
        <v/>
      </c>
      <c r="AN573">
        <f>IFERROR(ROUND(L573*(J573/$AU573)/VLOOKUP("运力",商品!$A$4:$B$60,2,FALSE),0),0)</f>
        <v>0</v>
      </c>
      <c r="AO573">
        <f>IFERROR(ROUND(L573*(K573/$AU573)/VLOOKUP("交易",商品!$A$4:$B$60,2,FALSE),0),0)</f>
        <v>0</v>
      </c>
      <c r="AP573" t="str">
        <f>IFERROR(ROUND(S573*(N573/$AV573)/VLOOKUP(M573,职业!$A$4:$G$16,4,FALSE),0),"")</f>
        <v/>
      </c>
      <c r="AQ573" t="str">
        <f>IFERROR(ROUND(S573*(P573/$AV573)/VLOOKUP(O573,职业!$A$4:$G$16,4,FALSE),0),"")</f>
        <v/>
      </c>
      <c r="AR573" t="str">
        <f>IFERROR(ROUND(S573*(R573/$AV573)/VLOOKUP(Q573,职业!$A$4:$G$16,4,FALSE),0),"")</f>
        <v/>
      </c>
      <c r="AS573" t="str">
        <f>IFERROR(ROUND(X573*(U573/$AW573)/VLOOKUP(T573,商品!$A$4:$B$60,2,FALSE),0),"")</f>
        <v/>
      </c>
      <c r="AT573" t="str">
        <f>IFERROR(ROUND(X573*(W573/$AW573)/VLOOKUP(V573,商品!$A$4:$B$60,2,FALSE),0),"")</f>
        <v/>
      </c>
      <c r="AU573">
        <f t="shared" si="189"/>
        <v>0</v>
      </c>
      <c r="AV573">
        <f t="shared" si="190"/>
        <v>0</v>
      </c>
      <c r="AW573">
        <f t="shared" si="191"/>
        <v>0</v>
      </c>
    </row>
    <row r="574" spans="1:49" ht="19.95" customHeight="1" x14ac:dyDescent="0.25">
      <c r="A574" s="15" t="s">
        <v>303</v>
      </c>
      <c r="C574" s="15">
        <v>4</v>
      </c>
      <c r="D574" s="23" t="s">
        <v>174</v>
      </c>
      <c r="E574" s="23" t="s">
        <v>179</v>
      </c>
      <c r="L574" s="16">
        <f>IFERROR(VLOOKUP($D574&amp;$C574,生产方式定位!$A$2:$E$38,2,FALSE)+VLOOKUP($E574&amp;$C574,生产方式定位!$F$3:$J$38,2,FALSE),0)</f>
        <v>0</v>
      </c>
      <c r="S574" s="16">
        <f>IFERROR(VLOOKUP($D574&amp;$C574,生产方式定位!$A$2:$E$38,3,FALSE)+VLOOKUP($E574&amp;$C574,生产方式定位!$F$3:$J$38,3,FALSE),0)</f>
        <v>100</v>
      </c>
      <c r="X574" s="16">
        <f>IFERROR(VLOOKUP($D574&amp;$C574,生产方式定位!$A$2:$E$38,5,FALSE)+VLOOKUP($E574&amp;$C574,生产方式定位!$F$3:$J$38,5,FALSE),"错误")</f>
        <v>100</v>
      </c>
      <c r="Y574" s="26" t="str">
        <f t="shared" si="176"/>
        <v/>
      </c>
      <c r="Z574" s="36" t="str">
        <f t="shared" si="177"/>
        <v/>
      </c>
      <c r="AA574" s="36" t="str">
        <f t="shared" si="178"/>
        <v/>
      </c>
      <c r="AB574" s="27" t="str">
        <f t="shared" si="179"/>
        <v/>
      </c>
      <c r="AC574" s="2" t="str">
        <f t="shared" si="180"/>
        <v/>
      </c>
      <c r="AD574" s="38">
        <f t="shared" si="181"/>
        <v>4</v>
      </c>
      <c r="AE574" t="str">
        <f t="shared" si="182"/>
        <v/>
      </c>
      <c r="AF574" t="str">
        <f t="shared" si="183"/>
        <v/>
      </c>
      <c r="AG574" t="str">
        <f t="shared" si="184"/>
        <v/>
      </c>
      <c r="AH574" t="str">
        <f t="shared" si="185"/>
        <v/>
      </c>
      <c r="AI574" t="str">
        <f t="shared" si="186"/>
        <v/>
      </c>
      <c r="AJ574" t="str">
        <f t="shared" si="187"/>
        <v/>
      </c>
      <c r="AK574" t="str">
        <f t="shared" si="188"/>
        <v/>
      </c>
      <c r="AL574" t="str">
        <f>IFERROR(ROUND(L574*(G574/$AU574)/VLOOKUP(F574,商品!$A$4:$B$60,2,FALSE),0),"")</f>
        <v/>
      </c>
      <c r="AM574" t="str">
        <f>IFERROR(ROUND(L574*(I574/$AU574)/VLOOKUP(H574,商品!$A$4:$B$60,2,FALSE),0),"")</f>
        <v/>
      </c>
      <c r="AN574">
        <f>IFERROR(ROUND(L574*(J574/$AU574)/VLOOKUP("运力",商品!$A$4:$B$60,2,FALSE),0),0)</f>
        <v>0</v>
      </c>
      <c r="AO574">
        <f>IFERROR(ROUND(L574*(K574/$AU574)/VLOOKUP("交易",商品!$A$4:$B$60,2,FALSE),0),0)</f>
        <v>0</v>
      </c>
      <c r="AP574" t="str">
        <f>IFERROR(ROUND(S574*(N574/$AV574)/VLOOKUP(M574,职业!$A$4:$G$16,4,FALSE),0),"")</f>
        <v/>
      </c>
      <c r="AQ574" t="str">
        <f>IFERROR(ROUND(S574*(P574/$AV574)/VLOOKUP(O574,职业!$A$4:$G$16,4,FALSE),0),"")</f>
        <v/>
      </c>
      <c r="AR574" t="str">
        <f>IFERROR(ROUND(S574*(R574/$AV574)/VLOOKUP(Q574,职业!$A$4:$G$16,4,FALSE),0),"")</f>
        <v/>
      </c>
      <c r="AS574" t="str">
        <f>IFERROR(ROUND(X574*(U574/$AW574)/VLOOKUP(T574,商品!$A$4:$B$60,2,FALSE),0),"")</f>
        <v/>
      </c>
      <c r="AT574" t="str">
        <f>IFERROR(ROUND(X574*(W574/$AW574)/VLOOKUP(V574,商品!$A$4:$B$60,2,FALSE),0),"")</f>
        <v/>
      </c>
      <c r="AU574">
        <f t="shared" si="189"/>
        <v>0</v>
      </c>
      <c r="AV574">
        <f t="shared" si="190"/>
        <v>0</v>
      </c>
      <c r="AW574">
        <f t="shared" si="191"/>
        <v>0</v>
      </c>
    </row>
    <row r="575" spans="1:49" ht="19.95" customHeight="1" x14ac:dyDescent="0.25">
      <c r="A575" s="15" t="s">
        <v>303</v>
      </c>
      <c r="C575" s="15">
        <v>5</v>
      </c>
      <c r="D575" s="23" t="s">
        <v>174</v>
      </c>
      <c r="E575" s="23" t="s">
        <v>179</v>
      </c>
      <c r="L575" s="16">
        <f>IFERROR(VLOOKUP($D575&amp;$C575,生产方式定位!$A$2:$E$38,2,FALSE)+VLOOKUP($E575&amp;$C575,生产方式定位!$F$3:$J$38,2,FALSE),0)</f>
        <v>0</v>
      </c>
      <c r="S575" s="16">
        <f>IFERROR(VLOOKUP($D575&amp;$C575,生产方式定位!$A$2:$E$38,3,FALSE)+VLOOKUP($E575&amp;$C575,生产方式定位!$F$3:$J$38,3,FALSE),0)</f>
        <v>100</v>
      </c>
      <c r="X575" s="16">
        <f>IFERROR(VLOOKUP($D575&amp;$C575,生产方式定位!$A$2:$E$38,5,FALSE)+VLOOKUP($E575&amp;$C575,生产方式定位!$F$3:$J$38,5,FALSE),"错误")</f>
        <v>100</v>
      </c>
      <c r="Y575" s="26" t="str">
        <f t="shared" si="176"/>
        <v/>
      </c>
      <c r="Z575" s="36" t="str">
        <f t="shared" si="177"/>
        <v/>
      </c>
      <c r="AA575" s="36" t="str">
        <f t="shared" si="178"/>
        <v/>
      </c>
      <c r="AB575" s="27" t="str">
        <f t="shared" si="179"/>
        <v/>
      </c>
      <c r="AC575" s="2" t="str">
        <f t="shared" si="180"/>
        <v/>
      </c>
      <c r="AD575" s="38">
        <f t="shared" si="181"/>
        <v>5</v>
      </c>
      <c r="AE575" t="str">
        <f t="shared" si="182"/>
        <v/>
      </c>
      <c r="AF575" t="str">
        <f t="shared" si="183"/>
        <v/>
      </c>
      <c r="AG575" t="str">
        <f t="shared" si="184"/>
        <v/>
      </c>
      <c r="AH575" t="str">
        <f t="shared" si="185"/>
        <v/>
      </c>
      <c r="AI575" t="str">
        <f t="shared" si="186"/>
        <v/>
      </c>
      <c r="AJ575" t="str">
        <f t="shared" si="187"/>
        <v/>
      </c>
      <c r="AK575" t="str">
        <f t="shared" si="188"/>
        <v/>
      </c>
      <c r="AL575" t="str">
        <f>IFERROR(ROUND(L575*(G575/$AU575)/VLOOKUP(F575,商品!$A$4:$B$60,2,FALSE),0),"")</f>
        <v/>
      </c>
      <c r="AM575" t="str">
        <f>IFERROR(ROUND(L575*(I575/$AU575)/VLOOKUP(H575,商品!$A$4:$B$60,2,FALSE),0),"")</f>
        <v/>
      </c>
      <c r="AN575">
        <f>IFERROR(ROUND(L575*(J575/$AU575)/VLOOKUP("运力",商品!$A$4:$B$60,2,FALSE),0),0)</f>
        <v>0</v>
      </c>
      <c r="AO575">
        <f>IFERROR(ROUND(L575*(K575/$AU575)/VLOOKUP("交易",商品!$A$4:$B$60,2,FALSE),0),0)</f>
        <v>0</v>
      </c>
      <c r="AP575" t="str">
        <f>IFERROR(ROUND(S575*(N575/$AV575)/VLOOKUP(M575,职业!$A$4:$G$16,4,FALSE),0),"")</f>
        <v/>
      </c>
      <c r="AQ575" t="str">
        <f>IFERROR(ROUND(S575*(P575/$AV575)/VLOOKUP(O575,职业!$A$4:$G$16,4,FALSE),0),"")</f>
        <v/>
      </c>
      <c r="AR575" t="str">
        <f>IFERROR(ROUND(S575*(R575/$AV575)/VLOOKUP(Q575,职业!$A$4:$G$16,4,FALSE),0),"")</f>
        <v/>
      </c>
      <c r="AS575" t="str">
        <f>IFERROR(ROUND(X575*(U575/$AW575)/VLOOKUP(T575,商品!$A$4:$B$60,2,FALSE),0),"")</f>
        <v/>
      </c>
      <c r="AT575" t="str">
        <f>IFERROR(ROUND(X575*(W575/$AW575)/VLOOKUP(V575,商品!$A$4:$B$60,2,FALSE),0),"")</f>
        <v/>
      </c>
      <c r="AU575">
        <f t="shared" si="189"/>
        <v>0</v>
      </c>
      <c r="AV575">
        <f t="shared" si="190"/>
        <v>0</v>
      </c>
      <c r="AW575">
        <f t="shared" si="191"/>
        <v>0</v>
      </c>
    </row>
    <row r="576" spans="1:49" ht="19.95" customHeight="1" x14ac:dyDescent="0.25">
      <c r="A576" s="15" t="s">
        <v>303</v>
      </c>
      <c r="C576" s="15">
        <v>6</v>
      </c>
      <c r="D576" s="23" t="s">
        <v>174</v>
      </c>
      <c r="E576" s="23" t="s">
        <v>179</v>
      </c>
      <c r="L576" s="16">
        <f>IFERROR(VLOOKUP($D576&amp;$C576,生产方式定位!$A$2:$E$38,2,FALSE)+VLOOKUP($E576&amp;$C576,生产方式定位!$F$3:$J$38,2,FALSE),0)</f>
        <v>0</v>
      </c>
      <c r="S576" s="16">
        <f>IFERROR(VLOOKUP($D576&amp;$C576,生产方式定位!$A$2:$E$38,3,FALSE)+VLOOKUP($E576&amp;$C576,生产方式定位!$F$3:$J$38,3,FALSE),0)</f>
        <v>100</v>
      </c>
      <c r="X576" s="16">
        <f>IFERROR(VLOOKUP($D576&amp;$C576,生产方式定位!$A$2:$E$38,5,FALSE)+VLOOKUP($E576&amp;$C576,生产方式定位!$F$3:$J$38,5,FALSE),"错误")</f>
        <v>100</v>
      </c>
      <c r="Y576" s="26" t="str">
        <f t="shared" si="176"/>
        <v/>
      </c>
      <c r="Z576" s="36" t="str">
        <f t="shared" si="177"/>
        <v/>
      </c>
      <c r="AA576" s="36" t="str">
        <f t="shared" si="178"/>
        <v/>
      </c>
      <c r="AB576" s="27" t="str">
        <f t="shared" si="179"/>
        <v/>
      </c>
      <c r="AC576" s="2" t="str">
        <f t="shared" si="180"/>
        <v/>
      </c>
      <c r="AD576" s="37">
        <f t="shared" si="181"/>
        <v>6</v>
      </c>
      <c r="AE576" t="str">
        <f t="shared" si="182"/>
        <v/>
      </c>
      <c r="AF576" t="str">
        <f t="shared" si="183"/>
        <v/>
      </c>
      <c r="AG576" t="str">
        <f t="shared" si="184"/>
        <v/>
      </c>
      <c r="AH576" t="str">
        <f t="shared" si="185"/>
        <v/>
      </c>
      <c r="AI576" t="str">
        <f t="shared" si="186"/>
        <v/>
      </c>
      <c r="AJ576" t="str">
        <f t="shared" si="187"/>
        <v/>
      </c>
      <c r="AK576" t="str">
        <f t="shared" si="188"/>
        <v/>
      </c>
      <c r="AL576" t="str">
        <f>IFERROR(ROUND(L576*(G576/$AU576)/VLOOKUP(F576,商品!$A$4:$B$60,2,FALSE),0),"")</f>
        <v/>
      </c>
      <c r="AM576" t="str">
        <f>IFERROR(ROUND(L576*(I576/$AU576)/VLOOKUP(H576,商品!$A$4:$B$60,2,FALSE),0),"")</f>
        <v/>
      </c>
      <c r="AN576">
        <f>IFERROR(ROUND(L576*(J576/$AU576)/VLOOKUP("运力",商品!$A$4:$B$60,2,FALSE),0),0)</f>
        <v>0</v>
      </c>
      <c r="AO576">
        <f>IFERROR(ROUND(L576*(K576/$AU576)/VLOOKUP("交易",商品!$A$4:$B$60,2,FALSE),0),0)</f>
        <v>0</v>
      </c>
      <c r="AP576" t="str">
        <f>IFERROR(ROUND(S576*(N576/$AV576)/VLOOKUP(M576,职业!$A$4:$G$16,4,FALSE),0),"")</f>
        <v/>
      </c>
      <c r="AQ576" t="str">
        <f>IFERROR(ROUND(S576*(P576/$AV576)/VLOOKUP(O576,职业!$A$4:$G$16,4,FALSE),0),"")</f>
        <v/>
      </c>
      <c r="AR576" t="str">
        <f>IFERROR(ROUND(S576*(R576/$AV576)/VLOOKUP(Q576,职业!$A$4:$G$16,4,FALSE),0),"")</f>
        <v/>
      </c>
      <c r="AS576" t="str">
        <f>IFERROR(ROUND(X576*(U576/$AW576)/VLOOKUP(T576,商品!$A$4:$B$60,2,FALSE),0),"")</f>
        <v/>
      </c>
      <c r="AT576" t="str">
        <f>IFERROR(ROUND(X576*(W576/$AW576)/VLOOKUP(V576,商品!$A$4:$B$60,2,FALSE),0),"")</f>
        <v/>
      </c>
      <c r="AU576">
        <f t="shared" si="189"/>
        <v>0</v>
      </c>
      <c r="AV576">
        <f t="shared" si="190"/>
        <v>0</v>
      </c>
      <c r="AW576">
        <f t="shared" si="191"/>
        <v>0</v>
      </c>
    </row>
    <row r="577" spans="1:49" ht="19.95" customHeight="1" x14ac:dyDescent="0.25">
      <c r="A577" s="15" t="s">
        <v>303</v>
      </c>
      <c r="C577" s="15">
        <v>7</v>
      </c>
      <c r="D577" s="23" t="s">
        <v>174</v>
      </c>
      <c r="E577" s="23" t="s">
        <v>179</v>
      </c>
      <c r="L577" s="16">
        <f>IFERROR(VLOOKUP($D577&amp;$C577,生产方式定位!$A$2:$E$38,2,FALSE)+VLOOKUP($E577&amp;$C577,生产方式定位!$F$3:$J$38,2,FALSE),0)</f>
        <v>0</v>
      </c>
      <c r="S577" s="16">
        <f>IFERROR(VLOOKUP($D577&amp;$C577,生产方式定位!$A$2:$E$38,3,FALSE)+VLOOKUP($E577&amp;$C577,生产方式定位!$F$3:$J$38,3,FALSE),0)</f>
        <v>100</v>
      </c>
      <c r="X577" s="16">
        <f>IFERROR(VLOOKUP($D577&amp;$C577,生产方式定位!$A$2:$E$38,5,FALSE)+VLOOKUP($E577&amp;$C577,生产方式定位!$F$3:$J$38,5,FALSE),"错误")</f>
        <v>100</v>
      </c>
      <c r="Y577" s="26" t="str">
        <f t="shared" si="176"/>
        <v/>
      </c>
      <c r="Z577" s="36" t="str">
        <f t="shared" si="177"/>
        <v/>
      </c>
      <c r="AA577" s="36" t="str">
        <f t="shared" si="178"/>
        <v/>
      </c>
      <c r="AB577" s="27" t="str">
        <f t="shared" si="179"/>
        <v/>
      </c>
      <c r="AC577" s="2" t="str">
        <f t="shared" si="180"/>
        <v/>
      </c>
      <c r="AD577" s="37">
        <f t="shared" si="181"/>
        <v>7</v>
      </c>
      <c r="AE577" t="str">
        <f t="shared" si="182"/>
        <v/>
      </c>
      <c r="AF577" t="str">
        <f t="shared" si="183"/>
        <v/>
      </c>
      <c r="AG577" t="str">
        <f t="shared" si="184"/>
        <v/>
      </c>
      <c r="AH577" t="str">
        <f t="shared" si="185"/>
        <v/>
      </c>
      <c r="AI577" t="str">
        <f t="shared" si="186"/>
        <v/>
      </c>
      <c r="AJ577" t="str">
        <f t="shared" si="187"/>
        <v/>
      </c>
      <c r="AK577" t="str">
        <f t="shared" si="188"/>
        <v/>
      </c>
      <c r="AL577" t="str">
        <f>IFERROR(ROUND(L577*(G577/$AU577)/VLOOKUP(F577,商品!$A$4:$B$60,2,FALSE),0),"")</f>
        <v/>
      </c>
      <c r="AM577" t="str">
        <f>IFERROR(ROUND(L577*(I577/$AU577)/VLOOKUP(H577,商品!$A$4:$B$60,2,FALSE),0),"")</f>
        <v/>
      </c>
      <c r="AN577">
        <f>IFERROR(ROUND(L577*(J577/$AU577)/VLOOKUP("运力",商品!$A$4:$B$60,2,FALSE),0),0)</f>
        <v>0</v>
      </c>
      <c r="AO577">
        <f>IFERROR(ROUND(L577*(K577/$AU577)/VLOOKUP("交易",商品!$A$4:$B$60,2,FALSE),0),0)</f>
        <v>0</v>
      </c>
      <c r="AP577" t="str">
        <f>IFERROR(ROUND(S577*(N577/$AV577)/VLOOKUP(M577,职业!$A$4:$G$16,4,FALSE),0),"")</f>
        <v/>
      </c>
      <c r="AQ577" t="str">
        <f>IFERROR(ROUND(S577*(P577/$AV577)/VLOOKUP(O577,职业!$A$4:$G$16,4,FALSE),0),"")</f>
        <v/>
      </c>
      <c r="AR577" t="str">
        <f>IFERROR(ROUND(S577*(R577/$AV577)/VLOOKUP(Q577,职业!$A$4:$G$16,4,FALSE),0),"")</f>
        <v/>
      </c>
      <c r="AS577" t="str">
        <f>IFERROR(ROUND(X577*(U577/$AW577)/VLOOKUP(T577,商品!$A$4:$B$60,2,FALSE),0),"")</f>
        <v/>
      </c>
      <c r="AT577" t="str">
        <f>IFERROR(ROUND(X577*(W577/$AW577)/VLOOKUP(V577,商品!$A$4:$B$60,2,FALSE),0),"")</f>
        <v/>
      </c>
      <c r="AU577">
        <f t="shared" si="189"/>
        <v>0</v>
      </c>
      <c r="AV577">
        <f t="shared" si="190"/>
        <v>0</v>
      </c>
      <c r="AW577">
        <f t="shared" si="191"/>
        <v>0</v>
      </c>
    </row>
    <row r="578" spans="1:49" ht="19.95" customHeight="1" x14ac:dyDescent="0.25">
      <c r="A578" s="15" t="s">
        <v>303</v>
      </c>
      <c r="C578" s="15">
        <v>8</v>
      </c>
      <c r="D578" s="23" t="s">
        <v>174</v>
      </c>
      <c r="E578" s="23" t="s">
        <v>179</v>
      </c>
      <c r="L578" s="16">
        <f>IFERROR(VLOOKUP($D578&amp;$C578,生产方式定位!$A$2:$E$38,2,FALSE)+VLOOKUP($E578&amp;$C578,生产方式定位!$F$3:$J$38,2,FALSE),0)</f>
        <v>0</v>
      </c>
      <c r="S578" s="16">
        <f>IFERROR(VLOOKUP($D578&amp;$C578,生产方式定位!$A$2:$E$38,3,FALSE)+VLOOKUP($E578&amp;$C578,生产方式定位!$F$3:$J$38,3,FALSE),0)</f>
        <v>100</v>
      </c>
      <c r="X578" s="16">
        <f>IFERROR(VLOOKUP($D578&amp;$C578,生产方式定位!$A$2:$E$38,5,FALSE)+VLOOKUP($E578&amp;$C578,生产方式定位!$F$3:$J$38,5,FALSE),"错误")</f>
        <v>100</v>
      </c>
      <c r="Y578" s="26" t="str">
        <f t="shared" si="176"/>
        <v/>
      </c>
      <c r="Z578" s="36" t="str">
        <f t="shared" si="177"/>
        <v/>
      </c>
      <c r="AA578" s="36" t="str">
        <f t="shared" si="178"/>
        <v/>
      </c>
      <c r="AB578" s="27" t="str">
        <f t="shared" si="179"/>
        <v/>
      </c>
      <c r="AC578" s="2" t="str">
        <f t="shared" si="180"/>
        <v/>
      </c>
      <c r="AD578" s="37">
        <f t="shared" si="181"/>
        <v>8</v>
      </c>
      <c r="AE578" t="str">
        <f t="shared" si="182"/>
        <v/>
      </c>
      <c r="AF578" t="str">
        <f t="shared" si="183"/>
        <v/>
      </c>
      <c r="AG578" t="str">
        <f t="shared" si="184"/>
        <v/>
      </c>
      <c r="AH578" t="str">
        <f t="shared" si="185"/>
        <v/>
      </c>
      <c r="AI578" t="str">
        <f t="shared" si="186"/>
        <v/>
      </c>
      <c r="AJ578" t="str">
        <f t="shared" si="187"/>
        <v/>
      </c>
      <c r="AK578" t="str">
        <f t="shared" si="188"/>
        <v/>
      </c>
      <c r="AL578" t="str">
        <f>IFERROR(ROUND(L578*(G578/$AU578)/VLOOKUP(F578,商品!$A$4:$B$60,2,FALSE),0),"")</f>
        <v/>
      </c>
      <c r="AM578" t="str">
        <f>IFERROR(ROUND(L578*(I578/$AU578)/VLOOKUP(H578,商品!$A$4:$B$60,2,FALSE),0),"")</f>
        <v/>
      </c>
      <c r="AN578">
        <f>IFERROR(ROUND(L578*(J578/$AU578)/VLOOKUP("运力",商品!$A$4:$B$60,2,FALSE),0),0)</f>
        <v>0</v>
      </c>
      <c r="AO578">
        <f>IFERROR(ROUND(L578*(K578/$AU578)/VLOOKUP("交易",商品!$A$4:$B$60,2,FALSE),0),0)</f>
        <v>0</v>
      </c>
      <c r="AP578" t="str">
        <f>IFERROR(ROUND(S578*(N578/$AV578)/VLOOKUP(M578,职业!$A$4:$G$16,4,FALSE),0),"")</f>
        <v/>
      </c>
      <c r="AQ578" t="str">
        <f>IFERROR(ROUND(S578*(P578/$AV578)/VLOOKUP(O578,职业!$A$4:$G$16,4,FALSE),0),"")</f>
        <v/>
      </c>
      <c r="AR578" t="str">
        <f>IFERROR(ROUND(S578*(R578/$AV578)/VLOOKUP(Q578,职业!$A$4:$G$16,4,FALSE),0),"")</f>
        <v/>
      </c>
      <c r="AS578" t="str">
        <f>IFERROR(ROUND(X578*(U578/$AW578)/VLOOKUP(T578,商品!$A$4:$B$60,2,FALSE),0),"")</f>
        <v/>
      </c>
      <c r="AT578" t="str">
        <f>IFERROR(ROUND(X578*(W578/$AW578)/VLOOKUP(V578,商品!$A$4:$B$60,2,FALSE),0),"")</f>
        <v/>
      </c>
      <c r="AU578">
        <f t="shared" si="189"/>
        <v>0</v>
      </c>
      <c r="AV578">
        <f t="shared" si="190"/>
        <v>0</v>
      </c>
      <c r="AW578">
        <f t="shared" si="191"/>
        <v>0</v>
      </c>
    </row>
    <row r="579" spans="1:49" ht="19.95" customHeight="1" x14ac:dyDescent="0.25">
      <c r="A579" s="16" t="s">
        <v>305</v>
      </c>
      <c r="C579" s="16">
        <v>1</v>
      </c>
      <c r="D579" s="23" t="s">
        <v>222</v>
      </c>
      <c r="E579" s="23" t="s">
        <v>172</v>
      </c>
      <c r="L579" s="15">
        <f>IFERROR(VLOOKUP($D579&amp;$C579,生产方式定位!$A$2:$E$38,2,FALSE)+VLOOKUP($E579&amp;$C579,生产方式定位!$F$3:$J$38,2,FALSE),0)</f>
        <v>1000</v>
      </c>
      <c r="S579" s="15">
        <f>IFERROR(VLOOKUP($D579&amp;$C579,生产方式定位!$A$2:$E$38,3,FALSE)+VLOOKUP($E579&amp;$C579,生产方式定位!$F$3:$J$38,3,FALSE),0)</f>
        <v>100</v>
      </c>
      <c r="X579" s="15">
        <f>IFERROR(VLOOKUP($D579&amp;$C579,生产方式定位!$A$2:$E$38,5,FALSE)+VLOOKUP($E579&amp;$C579,生产方式定位!$F$3:$J$38,5,FALSE),"错误")</f>
        <v>1760</v>
      </c>
      <c r="Y579" s="26" t="str">
        <f t="shared" si="176"/>
        <v/>
      </c>
      <c r="Z579" s="36" t="str">
        <f t="shared" si="177"/>
        <v/>
      </c>
      <c r="AA579" s="36" t="str">
        <f t="shared" si="178"/>
        <v/>
      </c>
      <c r="AB579" s="27" t="str">
        <f t="shared" si="179"/>
        <v>76%</v>
      </c>
      <c r="AC579" s="2">
        <f t="shared" si="180"/>
        <v>660</v>
      </c>
      <c r="AD579" s="37">
        <f t="shared" si="181"/>
        <v>1</v>
      </c>
      <c r="AE579" t="str">
        <f t="shared" si="182"/>
        <v/>
      </c>
      <c r="AF579" t="str">
        <f t="shared" si="183"/>
        <v/>
      </c>
      <c r="AG579" t="str">
        <f t="shared" si="184"/>
        <v/>
      </c>
      <c r="AH579" t="str">
        <f t="shared" si="185"/>
        <v/>
      </c>
      <c r="AI579" t="str">
        <f t="shared" si="186"/>
        <v/>
      </c>
      <c r="AJ579" t="str">
        <f t="shared" si="187"/>
        <v/>
      </c>
      <c r="AK579" t="str">
        <f t="shared" si="188"/>
        <v/>
      </c>
      <c r="AL579" t="str">
        <f>IFERROR(ROUND(L579*(G579/$AU579)/VLOOKUP(F579,商品!$A$4:$B$60,2,FALSE),0),"")</f>
        <v/>
      </c>
      <c r="AM579" t="str">
        <f>IFERROR(ROUND(L579*(I579/$AU579)/VLOOKUP(H579,商品!$A$4:$B$60,2,FALSE),0),"")</f>
        <v/>
      </c>
      <c r="AN579">
        <f>IFERROR(ROUND(L579*(J579/$AU579)/VLOOKUP("运力",商品!$A$4:$B$60,2,FALSE),0),0)</f>
        <v>0</v>
      </c>
      <c r="AO579">
        <f>IFERROR(ROUND(L579*(K579/$AU579)/VLOOKUP("交易",商品!$A$4:$B$60,2,FALSE),0),0)</f>
        <v>0</v>
      </c>
      <c r="AP579" t="str">
        <f>IFERROR(ROUND(S579*(N579/$AV579)/VLOOKUP(M579,职业!$A$4:$G$16,4,FALSE),0),"")</f>
        <v/>
      </c>
      <c r="AQ579" t="str">
        <f>IFERROR(ROUND(S579*(P579/$AV579)/VLOOKUP(O579,职业!$A$4:$G$16,4,FALSE),0),"")</f>
        <v/>
      </c>
      <c r="AR579" t="str">
        <f>IFERROR(ROUND(S579*(R579/$AV579)/VLOOKUP(Q579,职业!$A$4:$G$16,4,FALSE),0),"")</f>
        <v/>
      </c>
      <c r="AS579" t="str">
        <f>IFERROR(ROUND(X579*(U579/$AW579)/VLOOKUP(T579,商品!$A$4:$B$60,2,FALSE),0),"")</f>
        <v/>
      </c>
      <c r="AT579" t="str">
        <f>IFERROR(ROUND(X579*(W579/$AW579)/VLOOKUP(V579,商品!$A$4:$B$60,2,FALSE),0),"")</f>
        <v/>
      </c>
      <c r="AU579">
        <f t="shared" si="189"/>
        <v>0</v>
      </c>
      <c r="AV579">
        <f t="shared" si="190"/>
        <v>0</v>
      </c>
      <c r="AW579">
        <f t="shared" si="191"/>
        <v>0</v>
      </c>
    </row>
    <row r="580" spans="1:49" ht="19.95" customHeight="1" x14ac:dyDescent="0.25">
      <c r="A580" s="16" t="s">
        <v>305</v>
      </c>
      <c r="C580" s="16">
        <v>2</v>
      </c>
      <c r="D580" s="23" t="s">
        <v>222</v>
      </c>
      <c r="E580" s="23" t="s">
        <v>172</v>
      </c>
      <c r="L580" s="15">
        <f>IFERROR(VLOOKUP($D580&amp;$C580,生产方式定位!$A$2:$E$38,2,FALSE)+VLOOKUP($E580&amp;$C580,生产方式定位!$F$3:$J$38,2,FALSE),0)</f>
        <v>1600</v>
      </c>
      <c r="S580" s="15">
        <f>IFERROR(VLOOKUP($D580&amp;$C580,生产方式定位!$A$2:$E$38,3,FALSE)+VLOOKUP($E580&amp;$C580,生产方式定位!$F$3:$J$38,3,FALSE),0)</f>
        <v>100</v>
      </c>
      <c r="X580" s="15">
        <f>IFERROR(VLOOKUP($D580&amp;$C580,生产方式定位!$A$2:$E$38,5,FALSE)+VLOOKUP($E580&amp;$C580,生产方式定位!$F$3:$J$38,5,FALSE),"错误")</f>
        <v>2520</v>
      </c>
      <c r="Y580" s="26" t="str">
        <f t="shared" si="176"/>
        <v/>
      </c>
      <c r="Z580" s="36" t="str">
        <f t="shared" si="177"/>
        <v/>
      </c>
      <c r="AA580" s="36" t="str">
        <f t="shared" si="178"/>
        <v/>
      </c>
      <c r="AB580" s="27" t="str">
        <f t="shared" si="179"/>
        <v>58%</v>
      </c>
      <c r="AC580" s="2">
        <f t="shared" si="180"/>
        <v>820</v>
      </c>
      <c r="AD580" s="37">
        <f t="shared" si="181"/>
        <v>2</v>
      </c>
      <c r="AE580" t="str">
        <f t="shared" si="182"/>
        <v/>
      </c>
      <c r="AF580" t="str">
        <f t="shared" si="183"/>
        <v/>
      </c>
      <c r="AG580" t="str">
        <f t="shared" si="184"/>
        <v/>
      </c>
      <c r="AH580" t="str">
        <f t="shared" si="185"/>
        <v/>
      </c>
      <c r="AI580" t="str">
        <f t="shared" si="186"/>
        <v/>
      </c>
      <c r="AJ580" t="str">
        <f t="shared" si="187"/>
        <v/>
      </c>
      <c r="AK580" t="str">
        <f t="shared" si="188"/>
        <v/>
      </c>
      <c r="AL580" t="str">
        <f>IFERROR(ROUND(L580*(G580/$AU580)/VLOOKUP(F580,商品!$A$4:$B$60,2,FALSE),0),"")</f>
        <v/>
      </c>
      <c r="AM580" t="str">
        <f>IFERROR(ROUND(L580*(I580/$AU580)/VLOOKUP(H580,商品!$A$4:$B$60,2,FALSE),0),"")</f>
        <v/>
      </c>
      <c r="AN580">
        <f>IFERROR(ROUND(L580*(J580/$AU580)/VLOOKUP("运力",商品!$A$4:$B$60,2,FALSE),0),0)</f>
        <v>0</v>
      </c>
      <c r="AO580">
        <f>IFERROR(ROUND(L580*(K580/$AU580)/VLOOKUP("交易",商品!$A$4:$B$60,2,FALSE),0),0)</f>
        <v>0</v>
      </c>
      <c r="AP580" t="str">
        <f>IFERROR(ROUND(S580*(N580/$AV580)/VLOOKUP(M580,职业!$A$4:$G$16,4,FALSE),0),"")</f>
        <v/>
      </c>
      <c r="AQ580" t="str">
        <f>IFERROR(ROUND(S580*(P580/$AV580)/VLOOKUP(O580,职业!$A$4:$G$16,4,FALSE),0),"")</f>
        <v/>
      </c>
      <c r="AR580" t="str">
        <f>IFERROR(ROUND(S580*(R580/$AV580)/VLOOKUP(Q580,职业!$A$4:$G$16,4,FALSE),0),"")</f>
        <v/>
      </c>
      <c r="AS580" t="str">
        <f>IFERROR(ROUND(X580*(U580/$AW580)/VLOOKUP(T580,商品!$A$4:$B$60,2,FALSE),0),"")</f>
        <v/>
      </c>
      <c r="AT580" t="str">
        <f>IFERROR(ROUND(X580*(W580/$AW580)/VLOOKUP(V580,商品!$A$4:$B$60,2,FALSE),0),"")</f>
        <v/>
      </c>
      <c r="AU580">
        <f t="shared" si="189"/>
        <v>0</v>
      </c>
      <c r="AV580">
        <f t="shared" si="190"/>
        <v>0</v>
      </c>
      <c r="AW580">
        <f t="shared" si="191"/>
        <v>0</v>
      </c>
    </row>
    <row r="581" spans="1:49" ht="19.95" customHeight="1" x14ac:dyDescent="0.25">
      <c r="A581" s="16" t="s">
        <v>305</v>
      </c>
      <c r="C581" s="16">
        <v>3</v>
      </c>
      <c r="D581" s="23" t="s">
        <v>222</v>
      </c>
      <c r="E581" s="23" t="s">
        <v>172</v>
      </c>
      <c r="L581" s="15">
        <f>IFERROR(VLOOKUP($D581&amp;$C581,生产方式定位!$A$2:$E$38,2,FALSE)+VLOOKUP($E581&amp;$C581,生产方式定位!$F$3:$J$38,2,FALSE),0)</f>
        <v>1825</v>
      </c>
      <c r="S581" s="15">
        <f>IFERROR(VLOOKUP($D581&amp;$C581,生产方式定位!$A$2:$E$38,3,FALSE)+VLOOKUP($E581&amp;$C581,生产方式定位!$F$3:$J$38,3,FALSE),0)</f>
        <v>100</v>
      </c>
      <c r="X581" s="15">
        <f>IFERROR(VLOOKUP($D581&amp;$C581,生产方式定位!$A$2:$E$38,5,FALSE)+VLOOKUP($E581&amp;$C581,生产方式定位!$F$3:$J$38,5,FALSE),"错误")</f>
        <v>2830</v>
      </c>
      <c r="Y581" s="26" t="str">
        <f t="shared" si="176"/>
        <v/>
      </c>
      <c r="Z581" s="36" t="str">
        <f t="shared" si="177"/>
        <v/>
      </c>
      <c r="AA581" s="36" t="str">
        <f t="shared" si="178"/>
        <v/>
      </c>
      <c r="AB581" s="27" t="str">
        <f t="shared" si="179"/>
        <v>55%</v>
      </c>
      <c r="AC581" s="2">
        <f t="shared" si="180"/>
        <v>905</v>
      </c>
      <c r="AD581" s="38">
        <f t="shared" si="181"/>
        <v>3</v>
      </c>
      <c r="AE581" t="str">
        <f t="shared" si="182"/>
        <v/>
      </c>
      <c r="AF581" t="str">
        <f t="shared" si="183"/>
        <v/>
      </c>
      <c r="AG581" t="str">
        <f t="shared" si="184"/>
        <v/>
      </c>
      <c r="AH581" t="str">
        <f t="shared" si="185"/>
        <v/>
      </c>
      <c r="AI581" t="str">
        <f t="shared" si="186"/>
        <v/>
      </c>
      <c r="AJ581" t="str">
        <f t="shared" si="187"/>
        <v/>
      </c>
      <c r="AK581" t="str">
        <f t="shared" si="188"/>
        <v/>
      </c>
      <c r="AL581" t="str">
        <f>IFERROR(ROUND(L581*(G581/$AU581)/VLOOKUP(F581,商品!$A$4:$B$60,2,FALSE),0),"")</f>
        <v/>
      </c>
      <c r="AM581" t="str">
        <f>IFERROR(ROUND(L581*(I581/$AU581)/VLOOKUP(H581,商品!$A$4:$B$60,2,FALSE),0),"")</f>
        <v/>
      </c>
      <c r="AN581">
        <f>IFERROR(ROUND(L581*(J581/$AU581)/VLOOKUP("运力",商品!$A$4:$B$60,2,FALSE),0),0)</f>
        <v>0</v>
      </c>
      <c r="AO581">
        <f>IFERROR(ROUND(L581*(K581/$AU581)/VLOOKUP("交易",商品!$A$4:$B$60,2,FALSE),0),0)</f>
        <v>0</v>
      </c>
      <c r="AP581" t="str">
        <f>IFERROR(ROUND(S581*(N581/$AV581)/VLOOKUP(M581,职业!$A$4:$G$16,4,FALSE),0),"")</f>
        <v/>
      </c>
      <c r="AQ581" t="str">
        <f>IFERROR(ROUND(S581*(P581/$AV581)/VLOOKUP(O581,职业!$A$4:$G$16,4,FALSE),0),"")</f>
        <v/>
      </c>
      <c r="AR581" t="str">
        <f>IFERROR(ROUND(S581*(R581/$AV581)/VLOOKUP(Q581,职业!$A$4:$G$16,4,FALSE),0),"")</f>
        <v/>
      </c>
      <c r="AS581" t="str">
        <f>IFERROR(ROUND(X581*(U581/$AW581)/VLOOKUP(T581,商品!$A$4:$B$60,2,FALSE),0),"")</f>
        <v/>
      </c>
      <c r="AT581" t="str">
        <f>IFERROR(ROUND(X581*(W581/$AW581)/VLOOKUP(V581,商品!$A$4:$B$60,2,FALSE),0),"")</f>
        <v/>
      </c>
      <c r="AU581">
        <f t="shared" si="189"/>
        <v>0</v>
      </c>
      <c r="AV581">
        <f t="shared" si="190"/>
        <v>0</v>
      </c>
      <c r="AW581">
        <f t="shared" si="191"/>
        <v>0</v>
      </c>
    </row>
    <row r="582" spans="1:49" ht="19.95" customHeight="1" x14ac:dyDescent="0.25">
      <c r="A582" s="16" t="s">
        <v>305</v>
      </c>
      <c r="C582" s="16">
        <v>4</v>
      </c>
      <c r="D582" s="23" t="s">
        <v>222</v>
      </c>
      <c r="E582" s="23" t="s">
        <v>172</v>
      </c>
      <c r="L582" s="15">
        <f>IFERROR(VLOOKUP($D582&amp;$C582,生产方式定位!$A$2:$E$38,2,FALSE)+VLOOKUP($E582&amp;$C582,生产方式定位!$F$3:$J$38,2,FALSE),0)</f>
        <v>2050</v>
      </c>
      <c r="S582" s="15">
        <f>IFERROR(VLOOKUP($D582&amp;$C582,生产方式定位!$A$2:$E$38,3,FALSE)+VLOOKUP($E582&amp;$C582,生产方式定位!$F$3:$J$38,3,FALSE),0)</f>
        <v>100</v>
      </c>
      <c r="X582" s="15">
        <f>IFERROR(VLOOKUP($D582&amp;$C582,生产方式定位!$A$2:$E$38,5,FALSE)+VLOOKUP($E582&amp;$C582,生产方式定位!$F$3:$J$38,5,FALSE),"错误")</f>
        <v>3140</v>
      </c>
      <c r="Y582" s="26" t="str">
        <f t="shared" si="176"/>
        <v/>
      </c>
      <c r="Z582" s="36" t="str">
        <f t="shared" si="177"/>
        <v/>
      </c>
      <c r="AA582" s="36" t="str">
        <f t="shared" si="178"/>
        <v/>
      </c>
      <c r="AB582" s="27" t="str">
        <f t="shared" si="179"/>
        <v>53%</v>
      </c>
      <c r="AC582" s="2">
        <f t="shared" si="180"/>
        <v>990</v>
      </c>
      <c r="AD582" s="38">
        <f t="shared" si="181"/>
        <v>4</v>
      </c>
      <c r="AE582" t="str">
        <f t="shared" si="182"/>
        <v/>
      </c>
      <c r="AF582" t="str">
        <f t="shared" si="183"/>
        <v/>
      </c>
      <c r="AG582" t="str">
        <f t="shared" si="184"/>
        <v/>
      </c>
      <c r="AH582" t="str">
        <f t="shared" si="185"/>
        <v/>
      </c>
      <c r="AI582" t="str">
        <f t="shared" si="186"/>
        <v/>
      </c>
      <c r="AJ582" t="str">
        <f t="shared" si="187"/>
        <v/>
      </c>
      <c r="AK582" t="str">
        <f t="shared" si="188"/>
        <v/>
      </c>
      <c r="AL582" t="str">
        <f>IFERROR(ROUND(L582*(G582/$AU582)/VLOOKUP(F582,商品!$A$4:$B$60,2,FALSE),0),"")</f>
        <v/>
      </c>
      <c r="AM582" t="str">
        <f>IFERROR(ROUND(L582*(I582/$AU582)/VLOOKUP(H582,商品!$A$4:$B$60,2,FALSE),0),"")</f>
        <v/>
      </c>
      <c r="AN582">
        <f>IFERROR(ROUND(L582*(J582/$AU582)/VLOOKUP("运力",商品!$A$4:$B$60,2,FALSE),0),0)</f>
        <v>0</v>
      </c>
      <c r="AO582">
        <f>IFERROR(ROUND(L582*(K582/$AU582)/VLOOKUP("交易",商品!$A$4:$B$60,2,FALSE),0),0)</f>
        <v>0</v>
      </c>
      <c r="AP582" t="str">
        <f>IFERROR(ROUND(S582*(N582/$AV582)/VLOOKUP(M582,职业!$A$4:$G$16,4,FALSE),0),"")</f>
        <v/>
      </c>
      <c r="AQ582" t="str">
        <f>IFERROR(ROUND(S582*(P582/$AV582)/VLOOKUP(O582,职业!$A$4:$G$16,4,FALSE),0),"")</f>
        <v/>
      </c>
      <c r="AR582" t="str">
        <f>IFERROR(ROUND(S582*(R582/$AV582)/VLOOKUP(Q582,职业!$A$4:$G$16,4,FALSE),0),"")</f>
        <v/>
      </c>
      <c r="AS582" t="str">
        <f>IFERROR(ROUND(X582*(U582/$AW582)/VLOOKUP(T582,商品!$A$4:$B$60,2,FALSE),0),"")</f>
        <v/>
      </c>
      <c r="AT582" t="str">
        <f>IFERROR(ROUND(X582*(W582/$AW582)/VLOOKUP(V582,商品!$A$4:$B$60,2,FALSE),0),"")</f>
        <v/>
      </c>
      <c r="AU582">
        <f t="shared" si="189"/>
        <v>0</v>
      </c>
      <c r="AV582">
        <f t="shared" si="190"/>
        <v>0</v>
      </c>
      <c r="AW582">
        <f t="shared" si="191"/>
        <v>0</v>
      </c>
    </row>
    <row r="583" spans="1:49" ht="19.95" customHeight="1" x14ac:dyDescent="0.25">
      <c r="A583" s="16" t="s">
        <v>305</v>
      </c>
      <c r="C583" s="16">
        <v>5</v>
      </c>
      <c r="D583" s="23" t="s">
        <v>222</v>
      </c>
      <c r="E583" s="23" t="s">
        <v>172</v>
      </c>
      <c r="L583" s="15">
        <f>IFERROR(VLOOKUP($D583&amp;$C583,生产方式定位!$A$2:$E$38,2,FALSE)+VLOOKUP($E583&amp;$C583,生产方式定位!$F$3:$J$38,2,FALSE),0)</f>
        <v>2275</v>
      </c>
      <c r="S583" s="15">
        <f>IFERROR(VLOOKUP($D583&amp;$C583,生产方式定位!$A$2:$E$38,3,FALSE)+VLOOKUP($E583&amp;$C583,生产方式定位!$F$3:$J$38,3,FALSE),0)</f>
        <v>100</v>
      </c>
      <c r="X583" s="15">
        <f>IFERROR(VLOOKUP($D583&amp;$C583,生产方式定位!$A$2:$E$38,5,FALSE)+VLOOKUP($E583&amp;$C583,生产方式定位!$F$3:$J$38,5,FALSE),"错误")</f>
        <v>3450</v>
      </c>
      <c r="Y583" s="26" t="str">
        <f t="shared" si="176"/>
        <v/>
      </c>
      <c r="Z583" s="36" t="str">
        <f t="shared" si="177"/>
        <v/>
      </c>
      <c r="AA583" s="36" t="str">
        <f t="shared" si="178"/>
        <v/>
      </c>
      <c r="AB583" s="27" t="str">
        <f t="shared" si="179"/>
        <v>52%</v>
      </c>
      <c r="AC583" s="2">
        <f t="shared" si="180"/>
        <v>1075</v>
      </c>
      <c r="AD583" s="38">
        <f t="shared" si="181"/>
        <v>5</v>
      </c>
      <c r="AE583" t="str">
        <f t="shared" si="182"/>
        <v/>
      </c>
      <c r="AF583" t="str">
        <f t="shared" si="183"/>
        <v/>
      </c>
      <c r="AG583" t="str">
        <f t="shared" si="184"/>
        <v/>
      </c>
      <c r="AH583" t="str">
        <f t="shared" si="185"/>
        <v/>
      </c>
      <c r="AI583" t="str">
        <f t="shared" si="186"/>
        <v/>
      </c>
      <c r="AJ583" t="str">
        <f t="shared" si="187"/>
        <v/>
      </c>
      <c r="AK583" t="str">
        <f t="shared" si="188"/>
        <v/>
      </c>
      <c r="AL583" t="str">
        <f>IFERROR(ROUND(L583*(G583/$AU583)/VLOOKUP(F583,商品!$A$4:$B$60,2,FALSE),0),"")</f>
        <v/>
      </c>
      <c r="AM583" t="str">
        <f>IFERROR(ROUND(L583*(I583/$AU583)/VLOOKUP(H583,商品!$A$4:$B$60,2,FALSE),0),"")</f>
        <v/>
      </c>
      <c r="AN583">
        <f>IFERROR(ROUND(L583*(J583/$AU583)/VLOOKUP("运力",商品!$A$4:$B$60,2,FALSE),0),0)</f>
        <v>0</v>
      </c>
      <c r="AO583">
        <f>IFERROR(ROUND(L583*(K583/$AU583)/VLOOKUP("交易",商品!$A$4:$B$60,2,FALSE),0),0)</f>
        <v>0</v>
      </c>
      <c r="AP583" t="str">
        <f>IFERROR(ROUND(S583*(N583/$AV583)/VLOOKUP(M583,职业!$A$4:$G$16,4,FALSE),0),"")</f>
        <v/>
      </c>
      <c r="AQ583" t="str">
        <f>IFERROR(ROUND(S583*(P583/$AV583)/VLOOKUP(O583,职业!$A$4:$G$16,4,FALSE),0),"")</f>
        <v/>
      </c>
      <c r="AR583" t="str">
        <f>IFERROR(ROUND(S583*(R583/$AV583)/VLOOKUP(Q583,职业!$A$4:$G$16,4,FALSE),0),"")</f>
        <v/>
      </c>
      <c r="AS583" t="str">
        <f>IFERROR(ROUND(X583*(U583/$AW583)/VLOOKUP(T583,商品!$A$4:$B$60,2,FALSE),0),"")</f>
        <v/>
      </c>
      <c r="AT583" t="str">
        <f>IFERROR(ROUND(X583*(W583/$AW583)/VLOOKUP(V583,商品!$A$4:$B$60,2,FALSE),0),"")</f>
        <v/>
      </c>
      <c r="AU583">
        <f t="shared" si="189"/>
        <v>0</v>
      </c>
      <c r="AV583">
        <f t="shared" si="190"/>
        <v>0</v>
      </c>
      <c r="AW583">
        <f t="shared" si="191"/>
        <v>0</v>
      </c>
    </row>
    <row r="584" spans="1:49" ht="19.95" customHeight="1" x14ac:dyDescent="0.25">
      <c r="A584" s="15" t="s">
        <v>306</v>
      </c>
      <c r="C584" s="15">
        <v>1</v>
      </c>
      <c r="D584" s="23" t="s">
        <v>174</v>
      </c>
      <c r="E584" s="23" t="s">
        <v>179</v>
      </c>
      <c r="L584" s="16">
        <f>IFERROR(VLOOKUP($D584&amp;$C584,生产方式定位!$A$2:$E$38,2,FALSE)+VLOOKUP($E584&amp;$C584,生产方式定位!$F$3:$J$38,2,FALSE),0)</f>
        <v>0</v>
      </c>
      <c r="S584" s="16">
        <f>IFERROR(VLOOKUP($D584&amp;$C584,生产方式定位!$A$2:$E$38,3,FALSE)+VLOOKUP($E584&amp;$C584,生产方式定位!$F$3:$J$38,3,FALSE),0)</f>
        <v>100</v>
      </c>
      <c r="X584" s="16">
        <f>IFERROR(VLOOKUP($D584&amp;$C584,生产方式定位!$A$2:$E$38,5,FALSE)+VLOOKUP($E584&amp;$C584,生产方式定位!$F$3:$J$38,5,FALSE),"错误")</f>
        <v>100</v>
      </c>
      <c r="Y584" s="26" t="str">
        <f t="shared" si="176"/>
        <v/>
      </c>
      <c r="Z584" s="36" t="str">
        <f t="shared" si="177"/>
        <v/>
      </c>
      <c r="AA584" s="36" t="str">
        <f t="shared" si="178"/>
        <v/>
      </c>
      <c r="AB584" s="27" t="str">
        <f t="shared" si="179"/>
        <v/>
      </c>
      <c r="AC584" s="2" t="str">
        <f t="shared" si="180"/>
        <v/>
      </c>
      <c r="AD584" s="38">
        <f t="shared" si="181"/>
        <v>1</v>
      </c>
      <c r="AE584" t="str">
        <f t="shared" si="182"/>
        <v/>
      </c>
      <c r="AF584" t="str">
        <f t="shared" si="183"/>
        <v/>
      </c>
      <c r="AG584" t="str">
        <f t="shared" si="184"/>
        <v/>
      </c>
      <c r="AH584" t="str">
        <f t="shared" si="185"/>
        <v/>
      </c>
      <c r="AI584" t="str">
        <f t="shared" si="186"/>
        <v/>
      </c>
      <c r="AJ584" t="str">
        <f t="shared" si="187"/>
        <v/>
      </c>
      <c r="AK584" t="str">
        <f t="shared" si="188"/>
        <v/>
      </c>
      <c r="AL584" t="str">
        <f>IFERROR(ROUND(L584*(G584/$AU584)/VLOOKUP(F584,商品!$A$4:$B$60,2,FALSE),0),"")</f>
        <v/>
      </c>
      <c r="AM584" t="str">
        <f>IFERROR(ROUND(L584*(I584/$AU584)/VLOOKUP(H584,商品!$A$4:$B$60,2,FALSE),0),"")</f>
        <v/>
      </c>
      <c r="AN584">
        <f>IFERROR(ROUND(L584*(J584/$AU584)/VLOOKUP("运力",商品!$A$4:$B$60,2,FALSE),0),0)</f>
        <v>0</v>
      </c>
      <c r="AO584">
        <f>IFERROR(ROUND(L584*(K584/$AU584)/VLOOKUP("交易",商品!$A$4:$B$60,2,FALSE),0),0)</f>
        <v>0</v>
      </c>
      <c r="AP584" t="str">
        <f>IFERROR(ROUND(S584*(N584/$AV584)/VLOOKUP(M584,职业!$A$4:$G$16,4,FALSE),0),"")</f>
        <v/>
      </c>
      <c r="AQ584" t="str">
        <f>IFERROR(ROUND(S584*(P584/$AV584)/VLOOKUP(O584,职业!$A$4:$G$16,4,FALSE),0),"")</f>
        <v/>
      </c>
      <c r="AR584" t="str">
        <f>IFERROR(ROUND(S584*(R584/$AV584)/VLOOKUP(Q584,职业!$A$4:$G$16,4,FALSE),0),"")</f>
        <v/>
      </c>
      <c r="AS584" t="str">
        <f>IFERROR(ROUND(X584*(U584/$AW584)/VLOOKUP(T584,商品!$A$4:$B$60,2,FALSE),0),"")</f>
        <v/>
      </c>
      <c r="AT584" t="str">
        <f>IFERROR(ROUND(X584*(W584/$AW584)/VLOOKUP(V584,商品!$A$4:$B$60,2,FALSE),0),"")</f>
        <v/>
      </c>
      <c r="AU584">
        <f t="shared" si="189"/>
        <v>0</v>
      </c>
      <c r="AV584">
        <f t="shared" si="190"/>
        <v>0</v>
      </c>
      <c r="AW584">
        <f t="shared" si="191"/>
        <v>0</v>
      </c>
    </row>
    <row r="585" spans="1:49" ht="19.95" customHeight="1" x14ac:dyDescent="0.25">
      <c r="A585" s="15" t="s">
        <v>306</v>
      </c>
      <c r="C585" s="15">
        <v>2</v>
      </c>
      <c r="D585" s="23" t="s">
        <v>174</v>
      </c>
      <c r="E585" s="23" t="s">
        <v>179</v>
      </c>
      <c r="L585" s="16">
        <f>IFERROR(VLOOKUP($D585&amp;$C585,生产方式定位!$A$2:$E$38,2,FALSE)+VLOOKUP($E585&amp;$C585,生产方式定位!$F$3:$J$38,2,FALSE),0)</f>
        <v>0</v>
      </c>
      <c r="S585" s="16">
        <f>IFERROR(VLOOKUP($D585&amp;$C585,生产方式定位!$A$2:$E$38,3,FALSE)+VLOOKUP($E585&amp;$C585,生产方式定位!$F$3:$J$38,3,FALSE),0)</f>
        <v>100</v>
      </c>
      <c r="X585" s="16">
        <f>IFERROR(VLOOKUP($D585&amp;$C585,生产方式定位!$A$2:$E$38,5,FALSE)+VLOOKUP($E585&amp;$C585,生产方式定位!$F$3:$J$38,5,FALSE),"错误")</f>
        <v>100</v>
      </c>
      <c r="Y585" s="26" t="str">
        <f t="shared" si="176"/>
        <v/>
      </c>
      <c r="Z585" s="36" t="str">
        <f t="shared" si="177"/>
        <v/>
      </c>
      <c r="AA585" s="36" t="str">
        <f t="shared" si="178"/>
        <v/>
      </c>
      <c r="AB585" s="27" t="str">
        <f t="shared" si="179"/>
        <v/>
      </c>
      <c r="AC585" s="2" t="str">
        <f t="shared" si="180"/>
        <v/>
      </c>
      <c r="AD585" s="38">
        <f t="shared" si="181"/>
        <v>2</v>
      </c>
      <c r="AE585" t="str">
        <f t="shared" si="182"/>
        <v/>
      </c>
      <c r="AF585" t="str">
        <f t="shared" si="183"/>
        <v/>
      </c>
      <c r="AG585" t="str">
        <f t="shared" si="184"/>
        <v/>
      </c>
      <c r="AH585" t="str">
        <f t="shared" si="185"/>
        <v/>
      </c>
      <c r="AI585" t="str">
        <f t="shared" si="186"/>
        <v/>
      </c>
      <c r="AJ585" t="str">
        <f t="shared" si="187"/>
        <v/>
      </c>
      <c r="AK585" t="str">
        <f t="shared" si="188"/>
        <v/>
      </c>
      <c r="AL585" t="str">
        <f>IFERROR(ROUND(L585*(G585/$AU585)/VLOOKUP(F585,商品!$A$4:$B$60,2,FALSE),0),"")</f>
        <v/>
      </c>
      <c r="AM585" t="str">
        <f>IFERROR(ROUND(L585*(I585/$AU585)/VLOOKUP(H585,商品!$A$4:$B$60,2,FALSE),0),"")</f>
        <v/>
      </c>
      <c r="AN585">
        <f>IFERROR(ROUND(L585*(J585/$AU585)/VLOOKUP("运力",商品!$A$4:$B$60,2,FALSE),0),0)</f>
        <v>0</v>
      </c>
      <c r="AO585">
        <f>IFERROR(ROUND(L585*(K585/$AU585)/VLOOKUP("交易",商品!$A$4:$B$60,2,FALSE),0),0)</f>
        <v>0</v>
      </c>
      <c r="AP585" t="str">
        <f>IFERROR(ROUND(S585*(N585/$AV585)/VLOOKUP(M585,职业!$A$4:$G$16,4,FALSE),0),"")</f>
        <v/>
      </c>
      <c r="AQ585" t="str">
        <f>IFERROR(ROUND(S585*(P585/$AV585)/VLOOKUP(O585,职业!$A$4:$G$16,4,FALSE),0),"")</f>
        <v/>
      </c>
      <c r="AR585" t="str">
        <f>IFERROR(ROUND(S585*(R585/$AV585)/VLOOKUP(Q585,职业!$A$4:$G$16,4,FALSE),0),"")</f>
        <v/>
      </c>
      <c r="AS585" t="str">
        <f>IFERROR(ROUND(X585*(U585/$AW585)/VLOOKUP(T585,商品!$A$4:$B$60,2,FALSE),0),"")</f>
        <v/>
      </c>
      <c r="AT585" t="str">
        <f>IFERROR(ROUND(X585*(W585/$AW585)/VLOOKUP(V585,商品!$A$4:$B$60,2,FALSE),0),"")</f>
        <v/>
      </c>
      <c r="AU585">
        <f t="shared" si="189"/>
        <v>0</v>
      </c>
      <c r="AV585">
        <f t="shared" si="190"/>
        <v>0</v>
      </c>
      <c r="AW585">
        <f t="shared" si="191"/>
        <v>0</v>
      </c>
    </row>
    <row r="586" spans="1:49" ht="19.95" customHeight="1" x14ac:dyDescent="0.25">
      <c r="A586" s="15" t="s">
        <v>306</v>
      </c>
      <c r="C586" s="15">
        <v>3</v>
      </c>
      <c r="D586" s="23" t="s">
        <v>174</v>
      </c>
      <c r="E586" s="23" t="s">
        <v>179</v>
      </c>
      <c r="L586" s="16">
        <f>IFERROR(VLOOKUP($D586&amp;$C586,生产方式定位!$A$2:$E$38,2,FALSE)+VLOOKUP($E586&amp;$C586,生产方式定位!$F$3:$J$38,2,FALSE),0)</f>
        <v>0</v>
      </c>
      <c r="S586" s="16">
        <f>IFERROR(VLOOKUP($D586&amp;$C586,生产方式定位!$A$2:$E$38,3,FALSE)+VLOOKUP($E586&amp;$C586,生产方式定位!$F$3:$J$38,3,FALSE),0)</f>
        <v>100</v>
      </c>
      <c r="X586" s="16">
        <f>IFERROR(VLOOKUP($D586&amp;$C586,生产方式定位!$A$2:$E$38,5,FALSE)+VLOOKUP($E586&amp;$C586,生产方式定位!$F$3:$J$38,5,FALSE),"错误")</f>
        <v>100</v>
      </c>
      <c r="Y586" s="26" t="str">
        <f t="shared" si="176"/>
        <v/>
      </c>
      <c r="Z586" s="36" t="str">
        <f t="shared" si="177"/>
        <v/>
      </c>
      <c r="AA586" s="36" t="str">
        <f t="shared" si="178"/>
        <v/>
      </c>
      <c r="AB586" s="27" t="str">
        <f t="shared" si="179"/>
        <v/>
      </c>
      <c r="AC586" s="2" t="str">
        <f t="shared" si="180"/>
        <v/>
      </c>
      <c r="AD586" s="38">
        <f t="shared" si="181"/>
        <v>3</v>
      </c>
      <c r="AE586" t="str">
        <f t="shared" si="182"/>
        <v/>
      </c>
      <c r="AF586" t="str">
        <f t="shared" si="183"/>
        <v/>
      </c>
      <c r="AG586" t="str">
        <f t="shared" si="184"/>
        <v/>
      </c>
      <c r="AH586" t="str">
        <f t="shared" si="185"/>
        <v/>
      </c>
      <c r="AI586" t="str">
        <f t="shared" si="186"/>
        <v/>
      </c>
      <c r="AJ586" t="str">
        <f t="shared" si="187"/>
        <v/>
      </c>
      <c r="AK586" t="str">
        <f t="shared" si="188"/>
        <v/>
      </c>
      <c r="AL586" t="str">
        <f>IFERROR(ROUND(L586*(G586/$AU586)/VLOOKUP(F586,商品!$A$4:$B$60,2,FALSE),0),"")</f>
        <v/>
      </c>
      <c r="AM586" t="str">
        <f>IFERROR(ROUND(L586*(I586/$AU586)/VLOOKUP(H586,商品!$A$4:$B$60,2,FALSE),0),"")</f>
        <v/>
      </c>
      <c r="AN586">
        <f>IFERROR(ROUND(L586*(J586/$AU586)/VLOOKUP("运力",商品!$A$4:$B$60,2,FALSE),0),0)</f>
        <v>0</v>
      </c>
      <c r="AO586">
        <f>IFERROR(ROUND(L586*(K586/$AU586)/VLOOKUP("交易",商品!$A$4:$B$60,2,FALSE),0),0)</f>
        <v>0</v>
      </c>
      <c r="AP586" t="str">
        <f>IFERROR(ROUND(S586*(N586/$AV586)/VLOOKUP(M586,职业!$A$4:$G$16,4,FALSE),0),"")</f>
        <v/>
      </c>
      <c r="AQ586" t="str">
        <f>IFERROR(ROUND(S586*(P586/$AV586)/VLOOKUP(O586,职业!$A$4:$G$16,4,FALSE),0),"")</f>
        <v/>
      </c>
      <c r="AR586" t="str">
        <f>IFERROR(ROUND(S586*(R586/$AV586)/VLOOKUP(Q586,职业!$A$4:$G$16,4,FALSE),0),"")</f>
        <v/>
      </c>
      <c r="AS586" t="str">
        <f>IFERROR(ROUND(X586*(U586/$AW586)/VLOOKUP(T586,商品!$A$4:$B$60,2,FALSE),0),"")</f>
        <v/>
      </c>
      <c r="AT586" t="str">
        <f>IFERROR(ROUND(X586*(W586/$AW586)/VLOOKUP(V586,商品!$A$4:$B$60,2,FALSE),0),"")</f>
        <v/>
      </c>
      <c r="AU586">
        <f t="shared" si="189"/>
        <v>0</v>
      </c>
      <c r="AV586">
        <f t="shared" si="190"/>
        <v>0</v>
      </c>
      <c r="AW586">
        <f t="shared" si="191"/>
        <v>0</v>
      </c>
    </row>
    <row r="587" spans="1:49" ht="19.95" customHeight="1" x14ac:dyDescent="0.25">
      <c r="A587" s="15" t="s">
        <v>306</v>
      </c>
      <c r="C587" s="15">
        <v>4</v>
      </c>
      <c r="D587" s="23" t="s">
        <v>174</v>
      </c>
      <c r="E587" s="23" t="s">
        <v>179</v>
      </c>
      <c r="L587" s="16">
        <f>IFERROR(VLOOKUP($D587&amp;$C587,生产方式定位!$A$2:$E$38,2,FALSE)+VLOOKUP($E587&amp;$C587,生产方式定位!$F$3:$J$38,2,FALSE),0)</f>
        <v>0</v>
      </c>
      <c r="S587" s="16">
        <f>IFERROR(VLOOKUP($D587&amp;$C587,生产方式定位!$A$2:$E$38,3,FALSE)+VLOOKUP($E587&amp;$C587,生产方式定位!$F$3:$J$38,3,FALSE),0)</f>
        <v>100</v>
      </c>
      <c r="X587" s="16">
        <f>IFERROR(VLOOKUP($D587&amp;$C587,生产方式定位!$A$2:$E$38,5,FALSE)+VLOOKUP($E587&amp;$C587,生产方式定位!$F$3:$J$38,5,FALSE),"错误")</f>
        <v>100</v>
      </c>
      <c r="Y587" s="26" t="str">
        <f t="shared" si="176"/>
        <v/>
      </c>
      <c r="Z587" s="36" t="str">
        <f t="shared" si="177"/>
        <v/>
      </c>
      <c r="AA587" s="36" t="str">
        <f t="shared" si="178"/>
        <v/>
      </c>
      <c r="AB587" s="27" t="str">
        <f t="shared" si="179"/>
        <v/>
      </c>
      <c r="AC587" s="2" t="str">
        <f t="shared" si="180"/>
        <v/>
      </c>
      <c r="AD587" s="38">
        <f t="shared" si="181"/>
        <v>4</v>
      </c>
      <c r="AE587" t="str">
        <f t="shared" si="182"/>
        <v/>
      </c>
      <c r="AF587" t="str">
        <f t="shared" si="183"/>
        <v/>
      </c>
      <c r="AG587" t="str">
        <f t="shared" si="184"/>
        <v/>
      </c>
      <c r="AH587" t="str">
        <f t="shared" si="185"/>
        <v/>
      </c>
      <c r="AI587" t="str">
        <f t="shared" si="186"/>
        <v/>
      </c>
      <c r="AJ587" t="str">
        <f t="shared" si="187"/>
        <v/>
      </c>
      <c r="AK587" t="str">
        <f t="shared" si="188"/>
        <v/>
      </c>
      <c r="AL587" t="str">
        <f>IFERROR(ROUND(L587*(G587/$AU587)/VLOOKUP(F587,商品!$A$4:$B$60,2,FALSE),0),"")</f>
        <v/>
      </c>
      <c r="AM587" t="str">
        <f>IFERROR(ROUND(L587*(I587/$AU587)/VLOOKUP(H587,商品!$A$4:$B$60,2,FALSE),0),"")</f>
        <v/>
      </c>
      <c r="AN587">
        <f>IFERROR(ROUND(L587*(J587/$AU587)/VLOOKUP("运力",商品!$A$4:$B$60,2,FALSE),0),0)</f>
        <v>0</v>
      </c>
      <c r="AO587">
        <f>IFERROR(ROUND(L587*(K587/$AU587)/VLOOKUP("交易",商品!$A$4:$B$60,2,FALSE),0),0)</f>
        <v>0</v>
      </c>
      <c r="AP587" t="str">
        <f>IFERROR(ROUND(S587*(N587/$AV587)/VLOOKUP(M587,职业!$A$4:$G$16,4,FALSE),0),"")</f>
        <v/>
      </c>
      <c r="AQ587" t="str">
        <f>IFERROR(ROUND(S587*(P587/$AV587)/VLOOKUP(O587,职业!$A$4:$G$16,4,FALSE),0),"")</f>
        <v/>
      </c>
      <c r="AR587" t="str">
        <f>IFERROR(ROUND(S587*(R587/$AV587)/VLOOKUP(Q587,职业!$A$4:$G$16,4,FALSE),0),"")</f>
        <v/>
      </c>
      <c r="AS587" t="str">
        <f>IFERROR(ROUND(X587*(U587/$AW587)/VLOOKUP(T587,商品!$A$4:$B$60,2,FALSE),0),"")</f>
        <v/>
      </c>
      <c r="AT587" t="str">
        <f>IFERROR(ROUND(X587*(W587/$AW587)/VLOOKUP(V587,商品!$A$4:$B$60,2,FALSE),0),"")</f>
        <v/>
      </c>
      <c r="AU587">
        <f t="shared" si="189"/>
        <v>0</v>
      </c>
      <c r="AV587">
        <f t="shared" si="190"/>
        <v>0</v>
      </c>
      <c r="AW587">
        <f t="shared" si="191"/>
        <v>0</v>
      </c>
    </row>
    <row r="588" spans="1:49" ht="19.95" customHeight="1" x14ac:dyDescent="0.25">
      <c r="A588" s="15" t="s">
        <v>306</v>
      </c>
      <c r="C588" s="15">
        <v>5</v>
      </c>
      <c r="D588" s="23" t="s">
        <v>174</v>
      </c>
      <c r="E588" s="23" t="s">
        <v>179</v>
      </c>
      <c r="L588" s="16">
        <f>IFERROR(VLOOKUP($D588&amp;$C588,生产方式定位!$A$2:$E$38,2,FALSE)+VLOOKUP($E588&amp;$C588,生产方式定位!$F$3:$J$38,2,FALSE),0)</f>
        <v>0</v>
      </c>
      <c r="S588" s="16">
        <f>IFERROR(VLOOKUP($D588&amp;$C588,生产方式定位!$A$2:$E$38,3,FALSE)+VLOOKUP($E588&amp;$C588,生产方式定位!$F$3:$J$38,3,FALSE),0)</f>
        <v>100</v>
      </c>
      <c r="X588" s="16">
        <f>IFERROR(VLOOKUP($D588&amp;$C588,生产方式定位!$A$2:$E$38,5,FALSE)+VLOOKUP($E588&amp;$C588,生产方式定位!$F$3:$J$38,5,FALSE),"错误")</f>
        <v>100</v>
      </c>
      <c r="Y588" s="26" t="str">
        <f t="shared" si="176"/>
        <v/>
      </c>
      <c r="Z588" s="36" t="str">
        <f t="shared" si="177"/>
        <v/>
      </c>
      <c r="AA588" s="36" t="str">
        <f t="shared" si="178"/>
        <v/>
      </c>
      <c r="AB588" s="27" t="str">
        <f t="shared" si="179"/>
        <v/>
      </c>
      <c r="AC588" s="2" t="str">
        <f t="shared" si="180"/>
        <v/>
      </c>
      <c r="AD588" s="38">
        <f t="shared" si="181"/>
        <v>5</v>
      </c>
      <c r="AE588" t="str">
        <f t="shared" si="182"/>
        <v/>
      </c>
      <c r="AF588" t="str">
        <f t="shared" si="183"/>
        <v/>
      </c>
      <c r="AG588" t="str">
        <f t="shared" si="184"/>
        <v/>
      </c>
      <c r="AH588" t="str">
        <f t="shared" si="185"/>
        <v/>
      </c>
      <c r="AI588" t="str">
        <f t="shared" si="186"/>
        <v/>
      </c>
      <c r="AJ588" t="str">
        <f t="shared" si="187"/>
        <v/>
      </c>
      <c r="AK588" t="str">
        <f t="shared" si="188"/>
        <v/>
      </c>
      <c r="AL588" t="str">
        <f>IFERROR(ROUND(L588*(G588/$AU588)/VLOOKUP(F588,商品!$A$4:$B$60,2,FALSE),0),"")</f>
        <v/>
      </c>
      <c r="AM588" t="str">
        <f>IFERROR(ROUND(L588*(I588/$AU588)/VLOOKUP(H588,商品!$A$4:$B$60,2,FALSE),0),"")</f>
        <v/>
      </c>
      <c r="AN588">
        <f>IFERROR(ROUND(L588*(J588/$AU588)/VLOOKUP("运力",商品!$A$4:$B$60,2,FALSE),0),0)</f>
        <v>0</v>
      </c>
      <c r="AO588">
        <f>IFERROR(ROUND(L588*(K588/$AU588)/VLOOKUP("交易",商品!$A$4:$B$60,2,FALSE),0),0)</f>
        <v>0</v>
      </c>
      <c r="AP588" t="str">
        <f>IFERROR(ROUND(S588*(N588/$AV588)/VLOOKUP(M588,职业!$A$4:$G$16,4,FALSE),0),"")</f>
        <v/>
      </c>
      <c r="AQ588" t="str">
        <f>IFERROR(ROUND(S588*(P588/$AV588)/VLOOKUP(O588,职业!$A$4:$G$16,4,FALSE),0),"")</f>
        <v/>
      </c>
      <c r="AR588" t="str">
        <f>IFERROR(ROUND(S588*(R588/$AV588)/VLOOKUP(Q588,职业!$A$4:$G$16,4,FALSE),0),"")</f>
        <v/>
      </c>
      <c r="AS588" t="str">
        <f>IFERROR(ROUND(X588*(U588/$AW588)/VLOOKUP(T588,商品!$A$4:$B$60,2,FALSE),0),"")</f>
        <v/>
      </c>
      <c r="AT588" t="str">
        <f>IFERROR(ROUND(X588*(W588/$AW588)/VLOOKUP(V588,商品!$A$4:$B$60,2,FALSE),0),"")</f>
        <v/>
      </c>
      <c r="AU588">
        <f t="shared" si="189"/>
        <v>0</v>
      </c>
      <c r="AV588">
        <f t="shared" si="190"/>
        <v>0</v>
      </c>
      <c r="AW588">
        <f t="shared" si="191"/>
        <v>0</v>
      </c>
    </row>
    <row r="589" spans="1:49" ht="19.95" customHeight="1" x14ac:dyDescent="0.25">
      <c r="A589" s="15" t="s">
        <v>306</v>
      </c>
      <c r="C589" s="15">
        <v>6</v>
      </c>
      <c r="D589" s="23" t="s">
        <v>174</v>
      </c>
      <c r="E589" s="23" t="s">
        <v>179</v>
      </c>
      <c r="L589" s="16">
        <f>IFERROR(VLOOKUP($D589&amp;$C589,生产方式定位!$A$2:$E$38,2,FALSE)+VLOOKUP($E589&amp;$C589,生产方式定位!$F$3:$J$38,2,FALSE),0)</f>
        <v>0</v>
      </c>
      <c r="S589" s="16">
        <f>IFERROR(VLOOKUP($D589&amp;$C589,生产方式定位!$A$2:$E$38,3,FALSE)+VLOOKUP($E589&amp;$C589,生产方式定位!$F$3:$J$38,3,FALSE),0)</f>
        <v>100</v>
      </c>
      <c r="X589" s="16">
        <f>IFERROR(VLOOKUP($D589&amp;$C589,生产方式定位!$A$2:$E$38,5,FALSE)+VLOOKUP($E589&amp;$C589,生产方式定位!$F$3:$J$38,5,FALSE),"错误")</f>
        <v>100</v>
      </c>
      <c r="Y589" s="26" t="str">
        <f t="shared" si="176"/>
        <v/>
      </c>
      <c r="Z589" s="36" t="str">
        <f t="shared" si="177"/>
        <v/>
      </c>
      <c r="AA589" s="36" t="str">
        <f t="shared" si="178"/>
        <v/>
      </c>
      <c r="AB589" s="27" t="str">
        <f t="shared" si="179"/>
        <v/>
      </c>
      <c r="AC589" s="2" t="str">
        <f t="shared" si="180"/>
        <v/>
      </c>
      <c r="AD589" s="37">
        <f t="shared" si="181"/>
        <v>6</v>
      </c>
      <c r="AE589" t="str">
        <f t="shared" si="182"/>
        <v/>
      </c>
      <c r="AF589" t="str">
        <f t="shared" si="183"/>
        <v/>
      </c>
      <c r="AG589" t="str">
        <f t="shared" si="184"/>
        <v/>
      </c>
      <c r="AH589" t="str">
        <f t="shared" si="185"/>
        <v/>
      </c>
      <c r="AI589" t="str">
        <f t="shared" si="186"/>
        <v/>
      </c>
      <c r="AJ589" t="str">
        <f t="shared" si="187"/>
        <v/>
      </c>
      <c r="AK589" t="str">
        <f t="shared" si="188"/>
        <v/>
      </c>
      <c r="AL589" t="str">
        <f>IFERROR(ROUND(L589*(G589/$AU589)/VLOOKUP(F589,商品!$A$4:$B$60,2,FALSE),0),"")</f>
        <v/>
      </c>
      <c r="AM589" t="str">
        <f>IFERROR(ROUND(L589*(I589/$AU589)/VLOOKUP(H589,商品!$A$4:$B$60,2,FALSE),0),"")</f>
        <v/>
      </c>
      <c r="AN589">
        <f>IFERROR(ROUND(L589*(J589/$AU589)/VLOOKUP("运力",商品!$A$4:$B$60,2,FALSE),0),0)</f>
        <v>0</v>
      </c>
      <c r="AO589">
        <f>IFERROR(ROUND(L589*(K589/$AU589)/VLOOKUP("交易",商品!$A$4:$B$60,2,FALSE),0),0)</f>
        <v>0</v>
      </c>
      <c r="AP589" t="str">
        <f>IFERROR(ROUND(S589*(N589/$AV589)/VLOOKUP(M589,职业!$A$4:$G$16,4,FALSE),0),"")</f>
        <v/>
      </c>
      <c r="AQ589" t="str">
        <f>IFERROR(ROUND(S589*(P589/$AV589)/VLOOKUP(O589,职业!$A$4:$G$16,4,FALSE),0),"")</f>
        <v/>
      </c>
      <c r="AR589" t="str">
        <f>IFERROR(ROUND(S589*(R589/$AV589)/VLOOKUP(Q589,职业!$A$4:$G$16,4,FALSE),0),"")</f>
        <v/>
      </c>
      <c r="AS589" t="str">
        <f>IFERROR(ROUND(X589*(U589/$AW589)/VLOOKUP(T589,商品!$A$4:$B$60,2,FALSE),0),"")</f>
        <v/>
      </c>
      <c r="AT589" t="str">
        <f>IFERROR(ROUND(X589*(W589/$AW589)/VLOOKUP(V589,商品!$A$4:$B$60,2,FALSE),0),"")</f>
        <v/>
      </c>
      <c r="AU589">
        <f t="shared" si="189"/>
        <v>0</v>
      </c>
      <c r="AV589">
        <f t="shared" si="190"/>
        <v>0</v>
      </c>
      <c r="AW589">
        <f t="shared" si="191"/>
        <v>0</v>
      </c>
    </row>
    <row r="590" spans="1:49" ht="19.95" customHeight="1" x14ac:dyDescent="0.25">
      <c r="A590" s="15" t="s">
        <v>306</v>
      </c>
      <c r="C590" s="15">
        <v>7</v>
      </c>
      <c r="D590" s="23" t="s">
        <v>174</v>
      </c>
      <c r="E590" s="23" t="s">
        <v>179</v>
      </c>
      <c r="L590" s="16">
        <f>IFERROR(VLOOKUP($D590&amp;$C590,生产方式定位!$A$2:$E$38,2,FALSE)+VLOOKUP($E590&amp;$C590,生产方式定位!$F$3:$J$38,2,FALSE),0)</f>
        <v>0</v>
      </c>
      <c r="S590" s="16">
        <f>IFERROR(VLOOKUP($D590&amp;$C590,生产方式定位!$A$2:$E$38,3,FALSE)+VLOOKUP($E590&amp;$C590,生产方式定位!$F$3:$J$38,3,FALSE),0)</f>
        <v>100</v>
      </c>
      <c r="X590" s="16">
        <f>IFERROR(VLOOKUP($D590&amp;$C590,生产方式定位!$A$2:$E$38,5,FALSE)+VLOOKUP($E590&amp;$C590,生产方式定位!$F$3:$J$38,5,FALSE),"错误")</f>
        <v>100</v>
      </c>
      <c r="Y590" s="26" t="str">
        <f t="shared" si="176"/>
        <v/>
      </c>
      <c r="Z590" s="36" t="str">
        <f t="shared" si="177"/>
        <v/>
      </c>
      <c r="AA590" s="36" t="str">
        <f t="shared" si="178"/>
        <v/>
      </c>
      <c r="AB590" s="27" t="str">
        <f t="shared" si="179"/>
        <v/>
      </c>
      <c r="AC590" s="2" t="str">
        <f t="shared" si="180"/>
        <v/>
      </c>
      <c r="AD590" s="37">
        <f t="shared" si="181"/>
        <v>7</v>
      </c>
      <c r="AE590" t="str">
        <f t="shared" si="182"/>
        <v/>
      </c>
      <c r="AF590" t="str">
        <f t="shared" si="183"/>
        <v/>
      </c>
      <c r="AG590" t="str">
        <f t="shared" si="184"/>
        <v/>
      </c>
      <c r="AH590" t="str">
        <f t="shared" si="185"/>
        <v/>
      </c>
      <c r="AI590" t="str">
        <f t="shared" si="186"/>
        <v/>
      </c>
      <c r="AJ590" t="str">
        <f t="shared" si="187"/>
        <v/>
      </c>
      <c r="AK590" t="str">
        <f t="shared" si="188"/>
        <v/>
      </c>
      <c r="AL590" t="str">
        <f>IFERROR(ROUND(L590*(G590/$AU590)/VLOOKUP(F590,商品!$A$4:$B$60,2,FALSE),0),"")</f>
        <v/>
      </c>
      <c r="AM590" t="str">
        <f>IFERROR(ROUND(L590*(I590/$AU590)/VLOOKUP(H590,商品!$A$4:$B$60,2,FALSE),0),"")</f>
        <v/>
      </c>
      <c r="AN590">
        <f>IFERROR(ROUND(L590*(J590/$AU590)/VLOOKUP("运力",商品!$A$4:$B$60,2,FALSE),0),0)</f>
        <v>0</v>
      </c>
      <c r="AO590">
        <f>IFERROR(ROUND(L590*(K590/$AU590)/VLOOKUP("交易",商品!$A$4:$B$60,2,FALSE),0),0)</f>
        <v>0</v>
      </c>
      <c r="AP590" t="str">
        <f>IFERROR(ROUND(S590*(N590/$AV590)/VLOOKUP(M590,职业!$A$4:$G$16,4,FALSE),0),"")</f>
        <v/>
      </c>
      <c r="AQ590" t="str">
        <f>IFERROR(ROUND(S590*(P590/$AV590)/VLOOKUP(O590,职业!$A$4:$G$16,4,FALSE),0),"")</f>
        <v/>
      </c>
      <c r="AR590" t="str">
        <f>IFERROR(ROUND(S590*(R590/$AV590)/VLOOKUP(Q590,职业!$A$4:$G$16,4,FALSE),0),"")</f>
        <v/>
      </c>
      <c r="AS590" t="str">
        <f>IFERROR(ROUND(X590*(U590/$AW590)/VLOOKUP(T590,商品!$A$4:$B$60,2,FALSE),0),"")</f>
        <v/>
      </c>
      <c r="AT590" t="str">
        <f>IFERROR(ROUND(X590*(W590/$AW590)/VLOOKUP(V590,商品!$A$4:$B$60,2,FALSE),0),"")</f>
        <v/>
      </c>
      <c r="AU590">
        <f t="shared" si="189"/>
        <v>0</v>
      </c>
      <c r="AV590">
        <f t="shared" si="190"/>
        <v>0</v>
      </c>
      <c r="AW590">
        <f t="shared" si="191"/>
        <v>0</v>
      </c>
    </row>
    <row r="591" spans="1:49" ht="19.95" customHeight="1" x14ac:dyDescent="0.25">
      <c r="A591" s="15" t="s">
        <v>306</v>
      </c>
      <c r="C591" s="15">
        <v>8</v>
      </c>
      <c r="D591" s="23" t="s">
        <v>174</v>
      </c>
      <c r="E591" s="23" t="s">
        <v>179</v>
      </c>
      <c r="L591" s="16">
        <f>IFERROR(VLOOKUP($D591&amp;$C591,生产方式定位!$A$2:$E$38,2,FALSE)+VLOOKUP($E591&amp;$C591,生产方式定位!$F$3:$J$38,2,FALSE),0)</f>
        <v>0</v>
      </c>
      <c r="S591" s="16">
        <f>IFERROR(VLOOKUP($D591&amp;$C591,生产方式定位!$A$2:$E$38,3,FALSE)+VLOOKUP($E591&amp;$C591,生产方式定位!$F$3:$J$38,3,FALSE),0)</f>
        <v>100</v>
      </c>
      <c r="X591" s="16">
        <f>IFERROR(VLOOKUP($D591&amp;$C591,生产方式定位!$A$2:$E$38,5,FALSE)+VLOOKUP($E591&amp;$C591,生产方式定位!$F$3:$J$38,5,FALSE),"错误")</f>
        <v>100</v>
      </c>
      <c r="Y591" s="26" t="str">
        <f t="shared" si="176"/>
        <v/>
      </c>
      <c r="Z591" s="36" t="str">
        <f t="shared" si="177"/>
        <v/>
      </c>
      <c r="AA591" s="36" t="str">
        <f t="shared" si="178"/>
        <v/>
      </c>
      <c r="AB591" s="27" t="str">
        <f t="shared" si="179"/>
        <v/>
      </c>
      <c r="AC591" s="2" t="str">
        <f t="shared" si="180"/>
        <v/>
      </c>
      <c r="AD591" s="37">
        <f t="shared" si="181"/>
        <v>8</v>
      </c>
      <c r="AE591" t="str">
        <f t="shared" si="182"/>
        <v/>
      </c>
      <c r="AF591" t="str">
        <f t="shared" si="183"/>
        <v/>
      </c>
      <c r="AG591" t="str">
        <f t="shared" si="184"/>
        <v/>
      </c>
      <c r="AH591" t="str">
        <f t="shared" si="185"/>
        <v/>
      </c>
      <c r="AI591" t="str">
        <f t="shared" si="186"/>
        <v/>
      </c>
      <c r="AJ591" t="str">
        <f t="shared" si="187"/>
        <v/>
      </c>
      <c r="AK591" t="str">
        <f t="shared" si="188"/>
        <v/>
      </c>
      <c r="AL591" t="str">
        <f>IFERROR(ROUND(L591*(G591/$AU591)/VLOOKUP(F591,商品!$A$4:$B$60,2,FALSE),0),"")</f>
        <v/>
      </c>
      <c r="AM591" t="str">
        <f>IFERROR(ROUND(L591*(I591/$AU591)/VLOOKUP(H591,商品!$A$4:$B$60,2,FALSE),0),"")</f>
        <v/>
      </c>
      <c r="AN591">
        <f>IFERROR(ROUND(L591*(J591/$AU591)/VLOOKUP("运力",商品!$A$4:$B$60,2,FALSE),0),0)</f>
        <v>0</v>
      </c>
      <c r="AO591">
        <f>IFERROR(ROUND(L591*(K591/$AU591)/VLOOKUP("交易",商品!$A$4:$B$60,2,FALSE),0),0)</f>
        <v>0</v>
      </c>
      <c r="AP591" t="str">
        <f>IFERROR(ROUND(S591*(N591/$AV591)/VLOOKUP(M591,职业!$A$4:$G$16,4,FALSE),0),"")</f>
        <v/>
      </c>
      <c r="AQ591" t="str">
        <f>IFERROR(ROUND(S591*(P591/$AV591)/VLOOKUP(O591,职业!$A$4:$G$16,4,FALSE),0),"")</f>
        <v/>
      </c>
      <c r="AR591" t="str">
        <f>IFERROR(ROUND(S591*(R591/$AV591)/VLOOKUP(Q591,职业!$A$4:$G$16,4,FALSE),0),"")</f>
        <v/>
      </c>
      <c r="AS591" t="str">
        <f>IFERROR(ROUND(X591*(U591/$AW591)/VLOOKUP(T591,商品!$A$4:$B$60,2,FALSE),0),"")</f>
        <v/>
      </c>
      <c r="AT591" t="str">
        <f>IFERROR(ROUND(X591*(W591/$AW591)/VLOOKUP(V591,商品!$A$4:$B$60,2,FALSE),0),"")</f>
        <v/>
      </c>
      <c r="AU591">
        <f t="shared" si="189"/>
        <v>0</v>
      </c>
      <c r="AV591">
        <f t="shared" si="190"/>
        <v>0</v>
      </c>
      <c r="AW591">
        <f t="shared" si="191"/>
        <v>0</v>
      </c>
    </row>
    <row r="592" spans="1:49" ht="19.95" customHeight="1" x14ac:dyDescent="0.25">
      <c r="A592" s="16" t="s">
        <v>306</v>
      </c>
      <c r="C592" s="16">
        <v>1</v>
      </c>
      <c r="D592" s="23" t="s">
        <v>174</v>
      </c>
      <c r="E592" s="23" t="s">
        <v>179</v>
      </c>
      <c r="L592" s="15">
        <f>IFERROR(VLOOKUP($D592&amp;$C592,生产方式定位!$A$2:$E$38,2,FALSE)+VLOOKUP($E592&amp;$C592,生产方式定位!$F$3:$J$38,2,FALSE),0)</f>
        <v>0</v>
      </c>
      <c r="S592" s="15">
        <f>IFERROR(VLOOKUP($D592&amp;$C592,生产方式定位!$A$2:$E$38,3,FALSE)+VLOOKUP($E592&amp;$C592,生产方式定位!$F$3:$J$38,3,FALSE),0)</f>
        <v>100</v>
      </c>
      <c r="X592" s="15">
        <f>IFERROR(VLOOKUP($D592&amp;$C592,生产方式定位!$A$2:$E$38,5,FALSE)+VLOOKUP($E592&amp;$C592,生产方式定位!$F$3:$J$38,5,FALSE),"错误")</f>
        <v>100</v>
      </c>
      <c r="Y592" s="26" t="str">
        <f t="shared" si="176"/>
        <v/>
      </c>
      <c r="Z592" s="36" t="str">
        <f t="shared" si="177"/>
        <v/>
      </c>
      <c r="AA592" s="36" t="str">
        <f t="shared" si="178"/>
        <v/>
      </c>
      <c r="AB592" s="27" t="str">
        <f t="shared" si="179"/>
        <v/>
      </c>
      <c r="AC592" s="2" t="str">
        <f t="shared" si="180"/>
        <v/>
      </c>
      <c r="AD592" s="37">
        <f t="shared" si="181"/>
        <v>1</v>
      </c>
      <c r="AE592" t="str">
        <f t="shared" si="182"/>
        <v/>
      </c>
      <c r="AF592" t="str">
        <f t="shared" si="183"/>
        <v/>
      </c>
      <c r="AG592" t="str">
        <f t="shared" si="184"/>
        <v/>
      </c>
      <c r="AH592" t="str">
        <f t="shared" si="185"/>
        <v/>
      </c>
      <c r="AI592" t="str">
        <f t="shared" si="186"/>
        <v/>
      </c>
      <c r="AJ592" t="str">
        <f t="shared" si="187"/>
        <v/>
      </c>
      <c r="AK592" t="str">
        <f t="shared" si="188"/>
        <v/>
      </c>
      <c r="AL592" t="str">
        <f>IFERROR(ROUND(L592*(G592/$AU592)/VLOOKUP(F592,商品!$A$4:$B$60,2,FALSE),0),"")</f>
        <v/>
      </c>
      <c r="AM592" t="str">
        <f>IFERROR(ROUND(L592*(I592/$AU592)/VLOOKUP(H592,商品!$A$4:$B$60,2,FALSE),0),"")</f>
        <v/>
      </c>
      <c r="AN592">
        <f>IFERROR(ROUND(L592*(J592/$AU592)/VLOOKUP("运力",商品!$A$4:$B$60,2,FALSE),0),0)</f>
        <v>0</v>
      </c>
      <c r="AO592">
        <f>IFERROR(ROUND(L592*(K592/$AU592)/VLOOKUP("交易",商品!$A$4:$B$60,2,FALSE),0),0)</f>
        <v>0</v>
      </c>
      <c r="AP592" t="str">
        <f>IFERROR(ROUND(S592*(N592/$AV592)/VLOOKUP(M592,职业!$A$4:$G$16,4,FALSE),0),"")</f>
        <v/>
      </c>
      <c r="AQ592" t="str">
        <f>IFERROR(ROUND(S592*(P592/$AV592)/VLOOKUP(O592,职业!$A$4:$G$16,4,FALSE),0),"")</f>
        <v/>
      </c>
      <c r="AR592" t="str">
        <f>IFERROR(ROUND(S592*(R592/$AV592)/VLOOKUP(Q592,职业!$A$4:$G$16,4,FALSE),0),"")</f>
        <v/>
      </c>
      <c r="AS592" t="str">
        <f>IFERROR(ROUND(X592*(U592/$AW592)/VLOOKUP(T592,商品!$A$4:$B$60,2,FALSE),0),"")</f>
        <v/>
      </c>
      <c r="AT592" t="str">
        <f>IFERROR(ROUND(X592*(W592/$AW592)/VLOOKUP(V592,商品!$A$4:$B$60,2,FALSE),0),"")</f>
        <v/>
      </c>
      <c r="AU592">
        <f t="shared" si="189"/>
        <v>0</v>
      </c>
      <c r="AV592">
        <f t="shared" si="190"/>
        <v>0</v>
      </c>
      <c r="AW592">
        <f t="shared" si="191"/>
        <v>0</v>
      </c>
    </row>
    <row r="593" spans="1:49" ht="19.95" customHeight="1" x14ac:dyDescent="0.25">
      <c r="A593" s="16" t="s">
        <v>306</v>
      </c>
      <c r="C593" s="16">
        <v>2</v>
      </c>
      <c r="D593" s="23" t="s">
        <v>174</v>
      </c>
      <c r="E593" s="23" t="s">
        <v>179</v>
      </c>
      <c r="L593" s="15">
        <f>IFERROR(VLOOKUP($D593&amp;$C593,生产方式定位!$A$2:$E$38,2,FALSE)+VLOOKUP($E593&amp;$C593,生产方式定位!$F$3:$J$38,2,FALSE),0)</f>
        <v>0</v>
      </c>
      <c r="S593" s="15">
        <f>IFERROR(VLOOKUP($D593&amp;$C593,生产方式定位!$A$2:$E$38,3,FALSE)+VLOOKUP($E593&amp;$C593,生产方式定位!$F$3:$J$38,3,FALSE),0)</f>
        <v>100</v>
      </c>
      <c r="X593" s="15">
        <f>IFERROR(VLOOKUP($D593&amp;$C593,生产方式定位!$A$2:$E$38,5,FALSE)+VLOOKUP($E593&amp;$C593,生产方式定位!$F$3:$J$38,5,FALSE),"错误")</f>
        <v>100</v>
      </c>
      <c r="Y593" s="26" t="str">
        <f t="shared" si="176"/>
        <v/>
      </c>
      <c r="Z593" s="36" t="str">
        <f t="shared" si="177"/>
        <v/>
      </c>
      <c r="AA593" s="36" t="str">
        <f t="shared" si="178"/>
        <v/>
      </c>
      <c r="AB593" s="27" t="str">
        <f t="shared" si="179"/>
        <v/>
      </c>
      <c r="AC593" s="2" t="str">
        <f t="shared" si="180"/>
        <v/>
      </c>
      <c r="AD593" s="37">
        <f t="shared" si="181"/>
        <v>2</v>
      </c>
      <c r="AE593" t="str">
        <f t="shared" si="182"/>
        <v/>
      </c>
      <c r="AF593" t="str">
        <f t="shared" si="183"/>
        <v/>
      </c>
      <c r="AG593" t="str">
        <f t="shared" si="184"/>
        <v/>
      </c>
      <c r="AH593" t="str">
        <f t="shared" si="185"/>
        <v/>
      </c>
      <c r="AI593" t="str">
        <f t="shared" si="186"/>
        <v/>
      </c>
      <c r="AJ593" t="str">
        <f t="shared" si="187"/>
        <v/>
      </c>
      <c r="AK593" t="str">
        <f t="shared" si="188"/>
        <v/>
      </c>
      <c r="AL593" t="str">
        <f>IFERROR(ROUND(L593*(G593/$AU593)/VLOOKUP(F593,商品!$A$4:$B$60,2,FALSE),0),"")</f>
        <v/>
      </c>
      <c r="AM593" t="str">
        <f>IFERROR(ROUND(L593*(I593/$AU593)/VLOOKUP(H593,商品!$A$4:$B$60,2,FALSE),0),"")</f>
        <v/>
      </c>
      <c r="AN593">
        <f>IFERROR(ROUND(L593*(J593/$AU593)/VLOOKUP("运力",商品!$A$4:$B$60,2,FALSE),0),0)</f>
        <v>0</v>
      </c>
      <c r="AO593">
        <f>IFERROR(ROUND(L593*(K593/$AU593)/VLOOKUP("交易",商品!$A$4:$B$60,2,FALSE),0),0)</f>
        <v>0</v>
      </c>
      <c r="AP593" t="str">
        <f>IFERROR(ROUND(S593*(N593/$AV593)/VLOOKUP(M593,职业!$A$4:$G$16,4,FALSE),0),"")</f>
        <v/>
      </c>
      <c r="AQ593" t="str">
        <f>IFERROR(ROUND(S593*(P593/$AV593)/VLOOKUP(O593,职业!$A$4:$G$16,4,FALSE),0),"")</f>
        <v/>
      </c>
      <c r="AR593" t="str">
        <f>IFERROR(ROUND(S593*(R593/$AV593)/VLOOKUP(Q593,职业!$A$4:$G$16,4,FALSE),0),"")</f>
        <v/>
      </c>
      <c r="AS593" t="str">
        <f>IFERROR(ROUND(X593*(U593/$AW593)/VLOOKUP(T593,商品!$A$4:$B$60,2,FALSE),0),"")</f>
        <v/>
      </c>
      <c r="AT593" t="str">
        <f>IFERROR(ROUND(X593*(W593/$AW593)/VLOOKUP(V593,商品!$A$4:$B$60,2,FALSE),0),"")</f>
        <v/>
      </c>
      <c r="AU593">
        <f t="shared" si="189"/>
        <v>0</v>
      </c>
      <c r="AV593">
        <f t="shared" si="190"/>
        <v>0</v>
      </c>
      <c r="AW593">
        <f t="shared" si="191"/>
        <v>0</v>
      </c>
    </row>
    <row r="594" spans="1:49" ht="19.95" customHeight="1" x14ac:dyDescent="0.25">
      <c r="A594" s="16" t="s">
        <v>306</v>
      </c>
      <c r="C594" s="16">
        <v>3</v>
      </c>
      <c r="D594" s="23" t="s">
        <v>174</v>
      </c>
      <c r="E594" s="23" t="s">
        <v>179</v>
      </c>
      <c r="L594" s="15">
        <f>IFERROR(VLOOKUP($D594&amp;$C594,生产方式定位!$A$2:$E$38,2,FALSE)+VLOOKUP($E594&amp;$C594,生产方式定位!$F$3:$J$38,2,FALSE),0)</f>
        <v>0</v>
      </c>
      <c r="S594" s="15">
        <f>IFERROR(VLOOKUP($D594&amp;$C594,生产方式定位!$A$2:$E$38,3,FALSE)+VLOOKUP($E594&amp;$C594,生产方式定位!$F$3:$J$38,3,FALSE),0)</f>
        <v>100</v>
      </c>
      <c r="X594" s="15">
        <f>IFERROR(VLOOKUP($D594&amp;$C594,生产方式定位!$A$2:$E$38,5,FALSE)+VLOOKUP($E594&amp;$C594,生产方式定位!$F$3:$J$38,5,FALSE),"错误")</f>
        <v>100</v>
      </c>
      <c r="Y594" s="26" t="str">
        <f t="shared" si="176"/>
        <v/>
      </c>
      <c r="Z594" s="36" t="str">
        <f t="shared" si="177"/>
        <v/>
      </c>
      <c r="AA594" s="36" t="str">
        <f t="shared" si="178"/>
        <v/>
      </c>
      <c r="AB594" s="27" t="str">
        <f t="shared" si="179"/>
        <v/>
      </c>
      <c r="AC594" s="2" t="str">
        <f t="shared" si="180"/>
        <v/>
      </c>
      <c r="AD594" s="38">
        <f t="shared" si="181"/>
        <v>3</v>
      </c>
      <c r="AE594" t="str">
        <f t="shared" si="182"/>
        <v/>
      </c>
      <c r="AF594" t="str">
        <f t="shared" si="183"/>
        <v/>
      </c>
      <c r="AG594" t="str">
        <f t="shared" si="184"/>
        <v/>
      </c>
      <c r="AH594" t="str">
        <f t="shared" si="185"/>
        <v/>
      </c>
      <c r="AI594" t="str">
        <f t="shared" si="186"/>
        <v/>
      </c>
      <c r="AJ594" t="str">
        <f t="shared" si="187"/>
        <v/>
      </c>
      <c r="AK594" t="str">
        <f t="shared" si="188"/>
        <v/>
      </c>
      <c r="AL594" t="str">
        <f>IFERROR(ROUND(L594*(G594/$AU594)/VLOOKUP(F594,商品!$A$4:$B$60,2,FALSE),0),"")</f>
        <v/>
      </c>
      <c r="AM594" t="str">
        <f>IFERROR(ROUND(L594*(I594/$AU594)/VLOOKUP(H594,商品!$A$4:$B$60,2,FALSE),0),"")</f>
        <v/>
      </c>
      <c r="AN594">
        <f>IFERROR(ROUND(L594*(J594/$AU594)/VLOOKUP("运力",商品!$A$4:$B$60,2,FALSE),0),0)</f>
        <v>0</v>
      </c>
      <c r="AO594">
        <f>IFERROR(ROUND(L594*(K594/$AU594)/VLOOKUP("交易",商品!$A$4:$B$60,2,FALSE),0),0)</f>
        <v>0</v>
      </c>
      <c r="AP594" t="str">
        <f>IFERROR(ROUND(S594*(N594/$AV594)/VLOOKUP(M594,职业!$A$4:$G$16,4,FALSE),0),"")</f>
        <v/>
      </c>
      <c r="AQ594" t="str">
        <f>IFERROR(ROUND(S594*(P594/$AV594)/VLOOKUP(O594,职业!$A$4:$G$16,4,FALSE),0),"")</f>
        <v/>
      </c>
      <c r="AR594" t="str">
        <f>IFERROR(ROUND(S594*(R594/$AV594)/VLOOKUP(Q594,职业!$A$4:$G$16,4,FALSE),0),"")</f>
        <v/>
      </c>
      <c r="AS594" t="str">
        <f>IFERROR(ROUND(X594*(U594/$AW594)/VLOOKUP(T594,商品!$A$4:$B$60,2,FALSE),0),"")</f>
        <v/>
      </c>
      <c r="AT594" t="str">
        <f>IFERROR(ROUND(X594*(W594/$AW594)/VLOOKUP(V594,商品!$A$4:$B$60,2,FALSE),0),"")</f>
        <v/>
      </c>
      <c r="AU594">
        <f t="shared" si="189"/>
        <v>0</v>
      </c>
      <c r="AV594">
        <f t="shared" si="190"/>
        <v>0</v>
      </c>
      <c r="AW594">
        <f t="shared" si="191"/>
        <v>0</v>
      </c>
    </row>
    <row r="595" spans="1:49" ht="19.95" customHeight="1" x14ac:dyDescent="0.25">
      <c r="A595" s="16" t="s">
        <v>306</v>
      </c>
      <c r="C595" s="16">
        <v>4</v>
      </c>
      <c r="D595" s="23" t="s">
        <v>174</v>
      </c>
      <c r="E595" s="23" t="s">
        <v>179</v>
      </c>
      <c r="L595" s="15">
        <f>IFERROR(VLOOKUP($D595&amp;$C595,生产方式定位!$A$2:$E$38,2,FALSE)+VLOOKUP($E595&amp;$C595,生产方式定位!$F$3:$J$38,2,FALSE),0)</f>
        <v>0</v>
      </c>
      <c r="S595" s="15">
        <f>IFERROR(VLOOKUP($D595&amp;$C595,生产方式定位!$A$2:$E$38,3,FALSE)+VLOOKUP($E595&amp;$C595,生产方式定位!$F$3:$J$38,3,FALSE),0)</f>
        <v>100</v>
      </c>
      <c r="X595" s="15">
        <f>IFERROR(VLOOKUP($D595&amp;$C595,生产方式定位!$A$2:$E$38,5,FALSE)+VLOOKUP($E595&amp;$C595,生产方式定位!$F$3:$J$38,5,FALSE),"错误")</f>
        <v>100</v>
      </c>
      <c r="Y595" s="26" t="str">
        <f t="shared" si="176"/>
        <v/>
      </c>
      <c r="Z595" s="36" t="str">
        <f t="shared" si="177"/>
        <v/>
      </c>
      <c r="AA595" s="36" t="str">
        <f t="shared" si="178"/>
        <v/>
      </c>
      <c r="AB595" s="27" t="str">
        <f t="shared" si="179"/>
        <v/>
      </c>
      <c r="AC595" s="2" t="str">
        <f t="shared" si="180"/>
        <v/>
      </c>
      <c r="AD595" s="38">
        <f t="shared" si="181"/>
        <v>4</v>
      </c>
      <c r="AE595" t="str">
        <f t="shared" si="182"/>
        <v/>
      </c>
      <c r="AF595" t="str">
        <f t="shared" si="183"/>
        <v/>
      </c>
      <c r="AG595" t="str">
        <f t="shared" si="184"/>
        <v/>
      </c>
      <c r="AH595" t="str">
        <f t="shared" si="185"/>
        <v/>
      </c>
      <c r="AI595" t="str">
        <f t="shared" si="186"/>
        <v/>
      </c>
      <c r="AJ595" t="str">
        <f t="shared" si="187"/>
        <v/>
      </c>
      <c r="AK595" t="str">
        <f t="shared" si="188"/>
        <v/>
      </c>
      <c r="AL595" t="str">
        <f>IFERROR(ROUND(L595*(G595/$AU595)/VLOOKUP(F595,商品!$A$4:$B$60,2,FALSE),0),"")</f>
        <v/>
      </c>
      <c r="AM595" t="str">
        <f>IFERROR(ROUND(L595*(I595/$AU595)/VLOOKUP(H595,商品!$A$4:$B$60,2,FALSE),0),"")</f>
        <v/>
      </c>
      <c r="AN595">
        <f>IFERROR(ROUND(L595*(J595/$AU595)/VLOOKUP("运力",商品!$A$4:$B$60,2,FALSE),0),0)</f>
        <v>0</v>
      </c>
      <c r="AO595">
        <f>IFERROR(ROUND(L595*(K595/$AU595)/VLOOKUP("交易",商品!$A$4:$B$60,2,FALSE),0),0)</f>
        <v>0</v>
      </c>
      <c r="AP595" t="str">
        <f>IFERROR(ROUND(S595*(N595/$AV595)/VLOOKUP(M595,职业!$A$4:$G$16,4,FALSE),0),"")</f>
        <v/>
      </c>
      <c r="AQ595" t="str">
        <f>IFERROR(ROUND(S595*(P595/$AV595)/VLOOKUP(O595,职业!$A$4:$G$16,4,FALSE),0),"")</f>
        <v/>
      </c>
      <c r="AR595" t="str">
        <f>IFERROR(ROUND(S595*(R595/$AV595)/VLOOKUP(Q595,职业!$A$4:$G$16,4,FALSE),0),"")</f>
        <v/>
      </c>
      <c r="AS595" t="str">
        <f>IFERROR(ROUND(X595*(U595/$AW595)/VLOOKUP(T595,商品!$A$4:$B$60,2,FALSE),0),"")</f>
        <v/>
      </c>
      <c r="AT595" t="str">
        <f>IFERROR(ROUND(X595*(W595/$AW595)/VLOOKUP(V595,商品!$A$4:$B$60,2,FALSE),0),"")</f>
        <v/>
      </c>
      <c r="AU595">
        <f t="shared" si="189"/>
        <v>0</v>
      </c>
      <c r="AV595">
        <f t="shared" si="190"/>
        <v>0</v>
      </c>
      <c r="AW595">
        <f t="shared" si="191"/>
        <v>0</v>
      </c>
    </row>
    <row r="596" spans="1:49" ht="19.95" customHeight="1" x14ac:dyDescent="0.25">
      <c r="A596" s="16" t="s">
        <v>306</v>
      </c>
      <c r="C596" s="16">
        <v>5</v>
      </c>
      <c r="D596" s="23" t="s">
        <v>174</v>
      </c>
      <c r="E596" s="23" t="s">
        <v>179</v>
      </c>
      <c r="L596" s="15">
        <f>IFERROR(VLOOKUP($D596&amp;$C596,生产方式定位!$A$2:$E$38,2,FALSE)+VLOOKUP($E596&amp;$C596,生产方式定位!$F$3:$J$38,2,FALSE),0)</f>
        <v>0</v>
      </c>
      <c r="S596" s="15">
        <f>IFERROR(VLOOKUP($D596&amp;$C596,生产方式定位!$A$2:$E$38,3,FALSE)+VLOOKUP($E596&amp;$C596,生产方式定位!$F$3:$J$38,3,FALSE),0)</f>
        <v>100</v>
      </c>
      <c r="X596" s="15">
        <f>IFERROR(VLOOKUP($D596&amp;$C596,生产方式定位!$A$2:$E$38,5,FALSE)+VLOOKUP($E596&amp;$C596,生产方式定位!$F$3:$J$38,5,FALSE),"错误")</f>
        <v>100</v>
      </c>
      <c r="Y596" s="26" t="str">
        <f t="shared" si="176"/>
        <v/>
      </c>
      <c r="Z596" s="36" t="str">
        <f t="shared" si="177"/>
        <v/>
      </c>
      <c r="AA596" s="36" t="str">
        <f t="shared" si="178"/>
        <v/>
      </c>
      <c r="AB596" s="27" t="str">
        <f t="shared" si="179"/>
        <v/>
      </c>
      <c r="AC596" s="2" t="str">
        <f t="shared" si="180"/>
        <v/>
      </c>
      <c r="AD596" s="38">
        <f t="shared" si="181"/>
        <v>5</v>
      </c>
      <c r="AE596" t="str">
        <f t="shared" si="182"/>
        <v/>
      </c>
      <c r="AF596" t="str">
        <f t="shared" si="183"/>
        <v/>
      </c>
      <c r="AG596" t="str">
        <f t="shared" si="184"/>
        <v/>
      </c>
      <c r="AH596" t="str">
        <f t="shared" si="185"/>
        <v/>
      </c>
      <c r="AI596" t="str">
        <f t="shared" si="186"/>
        <v/>
      </c>
      <c r="AJ596" t="str">
        <f t="shared" si="187"/>
        <v/>
      </c>
      <c r="AK596" t="str">
        <f t="shared" si="188"/>
        <v/>
      </c>
      <c r="AL596" t="str">
        <f>IFERROR(ROUND(L596*(G596/$AU596)/VLOOKUP(F596,商品!$A$4:$B$60,2,FALSE),0),"")</f>
        <v/>
      </c>
      <c r="AM596" t="str">
        <f>IFERROR(ROUND(L596*(I596/$AU596)/VLOOKUP(H596,商品!$A$4:$B$60,2,FALSE),0),"")</f>
        <v/>
      </c>
      <c r="AN596">
        <f>IFERROR(ROUND(L596*(J596/$AU596)/VLOOKUP("运力",商品!$A$4:$B$60,2,FALSE),0),0)</f>
        <v>0</v>
      </c>
      <c r="AO596">
        <f>IFERROR(ROUND(L596*(K596/$AU596)/VLOOKUP("交易",商品!$A$4:$B$60,2,FALSE),0),0)</f>
        <v>0</v>
      </c>
      <c r="AP596" t="str">
        <f>IFERROR(ROUND(S596*(N596/$AV596)/VLOOKUP(M596,职业!$A$4:$G$16,4,FALSE),0),"")</f>
        <v/>
      </c>
      <c r="AQ596" t="str">
        <f>IFERROR(ROUND(S596*(P596/$AV596)/VLOOKUP(O596,职业!$A$4:$G$16,4,FALSE),0),"")</f>
        <v/>
      </c>
      <c r="AR596" t="str">
        <f>IFERROR(ROUND(S596*(R596/$AV596)/VLOOKUP(Q596,职业!$A$4:$G$16,4,FALSE),0),"")</f>
        <v/>
      </c>
      <c r="AS596" t="str">
        <f>IFERROR(ROUND(X596*(U596/$AW596)/VLOOKUP(T596,商品!$A$4:$B$60,2,FALSE),0),"")</f>
        <v/>
      </c>
      <c r="AT596" t="str">
        <f>IFERROR(ROUND(X596*(W596/$AW596)/VLOOKUP(V596,商品!$A$4:$B$60,2,FALSE),0),"")</f>
        <v/>
      </c>
      <c r="AU596">
        <f t="shared" si="189"/>
        <v>0</v>
      </c>
      <c r="AV596">
        <f t="shared" si="190"/>
        <v>0</v>
      </c>
      <c r="AW596">
        <f t="shared" si="191"/>
        <v>0</v>
      </c>
    </row>
    <row r="597" spans="1:49" ht="19.95" customHeight="1" x14ac:dyDescent="0.25">
      <c r="A597" s="16" t="s">
        <v>306</v>
      </c>
      <c r="C597" s="16">
        <v>6</v>
      </c>
      <c r="D597" s="23" t="s">
        <v>174</v>
      </c>
      <c r="E597" s="23" t="s">
        <v>179</v>
      </c>
      <c r="L597" s="15">
        <f>IFERROR(VLOOKUP($D597&amp;$C597,生产方式定位!$A$2:$E$38,2,FALSE)+VLOOKUP($E597&amp;$C597,生产方式定位!$F$3:$J$38,2,FALSE),0)</f>
        <v>0</v>
      </c>
      <c r="S597" s="15">
        <f>IFERROR(VLOOKUP($D597&amp;$C597,生产方式定位!$A$2:$E$38,3,FALSE)+VLOOKUP($E597&amp;$C597,生产方式定位!$F$3:$J$38,3,FALSE),0)</f>
        <v>100</v>
      </c>
      <c r="X597" s="15">
        <f>IFERROR(VLOOKUP($D597&amp;$C597,生产方式定位!$A$2:$E$38,5,FALSE)+VLOOKUP($E597&amp;$C597,生产方式定位!$F$3:$J$38,5,FALSE),"错误")</f>
        <v>100</v>
      </c>
      <c r="Y597" s="26" t="str">
        <f t="shared" si="176"/>
        <v/>
      </c>
      <c r="Z597" s="36" t="str">
        <f t="shared" si="177"/>
        <v/>
      </c>
      <c r="AA597" s="36" t="str">
        <f t="shared" si="178"/>
        <v/>
      </c>
      <c r="AB597" s="27" t="str">
        <f t="shared" si="179"/>
        <v/>
      </c>
      <c r="AC597" s="2" t="str">
        <f t="shared" si="180"/>
        <v/>
      </c>
      <c r="AD597" s="38">
        <f t="shared" si="181"/>
        <v>6</v>
      </c>
      <c r="AE597" t="str">
        <f t="shared" si="182"/>
        <v/>
      </c>
      <c r="AF597" t="str">
        <f t="shared" si="183"/>
        <v/>
      </c>
      <c r="AG597" t="str">
        <f t="shared" si="184"/>
        <v/>
      </c>
      <c r="AH597" t="str">
        <f t="shared" si="185"/>
        <v/>
      </c>
      <c r="AI597" t="str">
        <f t="shared" si="186"/>
        <v/>
      </c>
      <c r="AJ597" t="str">
        <f t="shared" si="187"/>
        <v/>
      </c>
      <c r="AK597" t="str">
        <f t="shared" si="188"/>
        <v/>
      </c>
      <c r="AL597" t="str">
        <f>IFERROR(ROUND(L597*(G597/$AU597)/VLOOKUP(F597,商品!$A$4:$B$60,2,FALSE),0),"")</f>
        <v/>
      </c>
      <c r="AM597" t="str">
        <f>IFERROR(ROUND(L597*(I597/$AU597)/VLOOKUP(H597,商品!$A$4:$B$60,2,FALSE),0),"")</f>
        <v/>
      </c>
      <c r="AN597">
        <f>IFERROR(ROUND(L597*(J597/$AU597)/VLOOKUP("运力",商品!$A$4:$B$60,2,FALSE),0),0)</f>
        <v>0</v>
      </c>
      <c r="AO597">
        <f>IFERROR(ROUND(L597*(K597/$AU597)/VLOOKUP("交易",商品!$A$4:$B$60,2,FALSE),0),0)</f>
        <v>0</v>
      </c>
      <c r="AP597" t="str">
        <f>IFERROR(ROUND(S597*(N597/$AV597)/VLOOKUP(M597,职业!$A$4:$G$16,4,FALSE),0),"")</f>
        <v/>
      </c>
      <c r="AQ597" t="str">
        <f>IFERROR(ROUND(S597*(P597/$AV597)/VLOOKUP(O597,职业!$A$4:$G$16,4,FALSE),0),"")</f>
        <v/>
      </c>
      <c r="AR597" t="str">
        <f>IFERROR(ROUND(S597*(R597/$AV597)/VLOOKUP(Q597,职业!$A$4:$G$16,4,FALSE),0),"")</f>
        <v/>
      </c>
      <c r="AS597" t="str">
        <f>IFERROR(ROUND(X597*(U597/$AW597)/VLOOKUP(T597,商品!$A$4:$B$60,2,FALSE),0),"")</f>
        <v/>
      </c>
      <c r="AT597" t="str">
        <f>IFERROR(ROUND(X597*(W597/$AW597)/VLOOKUP(V597,商品!$A$4:$B$60,2,FALSE),0),"")</f>
        <v/>
      </c>
      <c r="AU597">
        <f t="shared" si="189"/>
        <v>0</v>
      </c>
      <c r="AV597">
        <f t="shared" si="190"/>
        <v>0</v>
      </c>
      <c r="AW597">
        <f t="shared" si="191"/>
        <v>0</v>
      </c>
    </row>
    <row r="598" spans="1:49" ht="19.95" customHeight="1" x14ac:dyDescent="0.25">
      <c r="A598" s="16" t="s">
        <v>306</v>
      </c>
      <c r="C598" s="16">
        <v>7</v>
      </c>
      <c r="D598" s="23" t="s">
        <v>174</v>
      </c>
      <c r="E598" s="23" t="s">
        <v>179</v>
      </c>
      <c r="L598" s="15">
        <f>IFERROR(VLOOKUP($D598&amp;$C598,生产方式定位!$A$2:$E$38,2,FALSE)+VLOOKUP($E598&amp;$C598,生产方式定位!$F$3:$J$38,2,FALSE),0)</f>
        <v>0</v>
      </c>
      <c r="S598" s="15">
        <f>IFERROR(VLOOKUP($D598&amp;$C598,生产方式定位!$A$2:$E$38,3,FALSE)+VLOOKUP($E598&amp;$C598,生产方式定位!$F$3:$J$38,3,FALSE),0)</f>
        <v>100</v>
      </c>
      <c r="X598" s="15">
        <f>IFERROR(VLOOKUP($D598&amp;$C598,生产方式定位!$A$2:$E$38,5,FALSE)+VLOOKUP($E598&amp;$C598,生产方式定位!$F$3:$J$38,5,FALSE),"错误")</f>
        <v>100</v>
      </c>
      <c r="Y598" s="26" t="str">
        <f t="shared" si="176"/>
        <v/>
      </c>
      <c r="Z598" s="36" t="str">
        <f t="shared" si="177"/>
        <v/>
      </c>
      <c r="AA598" s="36" t="str">
        <f t="shared" si="178"/>
        <v/>
      </c>
      <c r="AB598" s="27" t="str">
        <f t="shared" si="179"/>
        <v/>
      </c>
      <c r="AC598" s="2" t="str">
        <f t="shared" si="180"/>
        <v/>
      </c>
      <c r="AD598" s="38">
        <f t="shared" si="181"/>
        <v>7</v>
      </c>
      <c r="AE598" t="str">
        <f t="shared" si="182"/>
        <v/>
      </c>
      <c r="AF598" t="str">
        <f t="shared" si="183"/>
        <v/>
      </c>
      <c r="AG598" t="str">
        <f t="shared" si="184"/>
        <v/>
      </c>
      <c r="AH598" t="str">
        <f t="shared" si="185"/>
        <v/>
      </c>
      <c r="AI598" t="str">
        <f t="shared" si="186"/>
        <v/>
      </c>
      <c r="AJ598" t="str">
        <f t="shared" si="187"/>
        <v/>
      </c>
      <c r="AK598" t="str">
        <f t="shared" si="188"/>
        <v/>
      </c>
      <c r="AL598" t="str">
        <f>IFERROR(ROUND(L598*(G598/$AU598)/VLOOKUP(F598,商品!$A$4:$B$60,2,FALSE),0),"")</f>
        <v/>
      </c>
      <c r="AM598" t="str">
        <f>IFERROR(ROUND(L598*(I598/$AU598)/VLOOKUP(H598,商品!$A$4:$B$60,2,FALSE),0),"")</f>
        <v/>
      </c>
      <c r="AN598">
        <f>IFERROR(ROUND(L598*(J598/$AU598)/VLOOKUP("运力",商品!$A$4:$B$60,2,FALSE),0),0)</f>
        <v>0</v>
      </c>
      <c r="AO598">
        <f>IFERROR(ROUND(L598*(K598/$AU598)/VLOOKUP("交易",商品!$A$4:$B$60,2,FALSE),0),0)</f>
        <v>0</v>
      </c>
      <c r="AP598" t="str">
        <f>IFERROR(ROUND(S598*(N598/$AV598)/VLOOKUP(M598,职业!$A$4:$G$16,4,FALSE),0),"")</f>
        <v/>
      </c>
      <c r="AQ598" t="str">
        <f>IFERROR(ROUND(S598*(P598/$AV598)/VLOOKUP(O598,职业!$A$4:$G$16,4,FALSE),0),"")</f>
        <v/>
      </c>
      <c r="AR598" t="str">
        <f>IFERROR(ROUND(S598*(R598/$AV598)/VLOOKUP(Q598,职业!$A$4:$G$16,4,FALSE),0),"")</f>
        <v/>
      </c>
      <c r="AS598" t="str">
        <f>IFERROR(ROUND(X598*(U598/$AW598)/VLOOKUP(T598,商品!$A$4:$B$60,2,FALSE),0),"")</f>
        <v/>
      </c>
      <c r="AT598" t="str">
        <f>IFERROR(ROUND(X598*(W598/$AW598)/VLOOKUP(V598,商品!$A$4:$B$60,2,FALSE),0),"")</f>
        <v/>
      </c>
      <c r="AU598">
        <f t="shared" si="189"/>
        <v>0</v>
      </c>
      <c r="AV598">
        <f t="shared" si="190"/>
        <v>0</v>
      </c>
      <c r="AW598">
        <f t="shared" si="191"/>
        <v>0</v>
      </c>
    </row>
    <row r="599" spans="1:49" ht="19.95" customHeight="1" x14ac:dyDescent="0.25">
      <c r="A599" s="16" t="s">
        <v>306</v>
      </c>
      <c r="C599" s="16">
        <v>8</v>
      </c>
      <c r="D599" s="23" t="s">
        <v>174</v>
      </c>
      <c r="E599" s="23" t="s">
        <v>179</v>
      </c>
      <c r="L599" s="15">
        <f>IFERROR(VLOOKUP($D599&amp;$C599,生产方式定位!$A$2:$E$38,2,FALSE)+VLOOKUP($E599&amp;$C599,生产方式定位!$F$3:$J$38,2,FALSE),0)</f>
        <v>0</v>
      </c>
      <c r="S599" s="15">
        <f>IFERROR(VLOOKUP($D599&amp;$C599,生产方式定位!$A$2:$E$38,3,FALSE)+VLOOKUP($E599&amp;$C599,生产方式定位!$F$3:$J$38,3,FALSE),0)</f>
        <v>100</v>
      </c>
      <c r="X599" s="15">
        <f>IFERROR(VLOOKUP($D599&amp;$C599,生产方式定位!$A$2:$E$38,5,FALSE)+VLOOKUP($E599&amp;$C599,生产方式定位!$F$3:$J$38,5,FALSE),"错误")</f>
        <v>100</v>
      </c>
      <c r="Y599" s="26" t="str">
        <f t="shared" si="176"/>
        <v/>
      </c>
      <c r="Z599" s="36" t="str">
        <f t="shared" si="177"/>
        <v/>
      </c>
      <c r="AA599" s="36" t="str">
        <f t="shared" si="178"/>
        <v/>
      </c>
      <c r="AB599" s="27" t="str">
        <f t="shared" si="179"/>
        <v/>
      </c>
      <c r="AC599" s="2" t="str">
        <f t="shared" si="180"/>
        <v/>
      </c>
      <c r="AD599" s="38">
        <f t="shared" si="181"/>
        <v>8</v>
      </c>
      <c r="AE599" t="str">
        <f t="shared" si="182"/>
        <v/>
      </c>
      <c r="AF599" t="str">
        <f t="shared" si="183"/>
        <v/>
      </c>
      <c r="AG599" t="str">
        <f t="shared" si="184"/>
        <v/>
      </c>
      <c r="AH599" t="str">
        <f t="shared" si="185"/>
        <v/>
      </c>
      <c r="AI599" t="str">
        <f t="shared" si="186"/>
        <v/>
      </c>
      <c r="AJ599" t="str">
        <f t="shared" si="187"/>
        <v/>
      </c>
      <c r="AK599" t="str">
        <f t="shared" si="188"/>
        <v/>
      </c>
      <c r="AL599" t="str">
        <f>IFERROR(ROUND(L599*(G599/$AU599)/VLOOKUP(F599,商品!$A$4:$B$60,2,FALSE),0),"")</f>
        <v/>
      </c>
      <c r="AM599" t="str">
        <f>IFERROR(ROUND(L599*(I599/$AU599)/VLOOKUP(H599,商品!$A$4:$B$60,2,FALSE),0),"")</f>
        <v/>
      </c>
      <c r="AN599">
        <f>IFERROR(ROUND(L599*(J599/$AU599)/VLOOKUP("运力",商品!$A$4:$B$60,2,FALSE),0),0)</f>
        <v>0</v>
      </c>
      <c r="AO599">
        <f>IFERROR(ROUND(L599*(K599/$AU599)/VLOOKUP("交易",商品!$A$4:$B$60,2,FALSE),0),0)</f>
        <v>0</v>
      </c>
      <c r="AP599" t="str">
        <f>IFERROR(ROUND(S599*(N599/$AV599)/VLOOKUP(M599,职业!$A$4:$G$16,4,FALSE),0),"")</f>
        <v/>
      </c>
      <c r="AQ599" t="str">
        <f>IFERROR(ROUND(S599*(P599/$AV599)/VLOOKUP(O599,职业!$A$4:$G$16,4,FALSE),0),"")</f>
        <v/>
      </c>
      <c r="AR599" t="str">
        <f>IFERROR(ROUND(S599*(R599/$AV599)/VLOOKUP(Q599,职业!$A$4:$G$16,4,FALSE),0),"")</f>
        <v/>
      </c>
      <c r="AS599" t="str">
        <f>IFERROR(ROUND(X599*(U599/$AW599)/VLOOKUP(T599,商品!$A$4:$B$60,2,FALSE),0),"")</f>
        <v/>
      </c>
      <c r="AT599" t="str">
        <f>IFERROR(ROUND(X599*(W599/$AW599)/VLOOKUP(V599,商品!$A$4:$B$60,2,FALSE),0),"")</f>
        <v/>
      </c>
      <c r="AU599">
        <f t="shared" si="189"/>
        <v>0</v>
      </c>
      <c r="AV599">
        <f t="shared" si="190"/>
        <v>0</v>
      </c>
      <c r="AW599">
        <f t="shared" si="191"/>
        <v>0</v>
      </c>
    </row>
    <row r="600" spans="1:49" ht="19.95" customHeight="1" x14ac:dyDescent="0.25">
      <c r="A600" s="15" t="s">
        <v>308</v>
      </c>
      <c r="C600" s="15">
        <v>1</v>
      </c>
      <c r="D600" s="23" t="s">
        <v>222</v>
      </c>
      <c r="E600" s="23" t="s">
        <v>172</v>
      </c>
      <c r="L600" s="16">
        <f>IFERROR(VLOOKUP($D600&amp;$C600,生产方式定位!$A$2:$E$38,2,FALSE)+VLOOKUP($E600&amp;$C600,生产方式定位!$F$3:$J$38,2,FALSE),0)</f>
        <v>1000</v>
      </c>
      <c r="S600" s="16">
        <f>IFERROR(VLOOKUP($D600&amp;$C600,生产方式定位!$A$2:$E$38,3,FALSE)+VLOOKUP($E600&amp;$C600,生产方式定位!$F$3:$J$38,3,FALSE),0)</f>
        <v>100</v>
      </c>
      <c r="X600" s="16">
        <f>IFERROR(VLOOKUP($D600&amp;$C600,生产方式定位!$A$2:$E$38,5,FALSE)+VLOOKUP($E600&amp;$C600,生产方式定位!$F$3:$J$38,5,FALSE),"错误")</f>
        <v>1760</v>
      </c>
      <c r="Y600" s="26" t="str">
        <f t="shared" si="176"/>
        <v/>
      </c>
      <c r="Z600" s="36" t="str">
        <f t="shared" si="177"/>
        <v/>
      </c>
      <c r="AA600" s="36" t="str">
        <f t="shared" si="178"/>
        <v/>
      </c>
      <c r="AB600" s="27" t="str">
        <f t="shared" si="179"/>
        <v>76%</v>
      </c>
      <c r="AC600" s="2">
        <f t="shared" si="180"/>
        <v>660</v>
      </c>
      <c r="AD600" s="38">
        <f t="shared" si="181"/>
        <v>1</v>
      </c>
      <c r="AE600" t="str">
        <f t="shared" si="182"/>
        <v/>
      </c>
      <c r="AF600" t="str">
        <f t="shared" si="183"/>
        <v/>
      </c>
      <c r="AG600" t="str">
        <f t="shared" si="184"/>
        <v/>
      </c>
      <c r="AH600" t="str">
        <f t="shared" si="185"/>
        <v/>
      </c>
      <c r="AI600" t="str">
        <f t="shared" si="186"/>
        <v/>
      </c>
      <c r="AJ600" t="str">
        <f t="shared" si="187"/>
        <v/>
      </c>
      <c r="AK600" t="str">
        <f t="shared" si="188"/>
        <v/>
      </c>
      <c r="AL600" t="str">
        <f>IFERROR(ROUND(L600*(G600/$AU600)/VLOOKUP(F600,商品!$A$4:$B$60,2,FALSE),0),"")</f>
        <v/>
      </c>
      <c r="AM600" t="str">
        <f>IFERROR(ROUND(L600*(I600/$AU600)/VLOOKUP(H600,商品!$A$4:$B$60,2,FALSE),0),"")</f>
        <v/>
      </c>
      <c r="AN600">
        <f>IFERROR(ROUND(L600*(J600/$AU600)/VLOOKUP("运力",商品!$A$4:$B$60,2,FALSE),0),0)</f>
        <v>0</v>
      </c>
      <c r="AO600">
        <f>IFERROR(ROUND(L600*(K600/$AU600)/VLOOKUP("交易",商品!$A$4:$B$60,2,FALSE),0),0)</f>
        <v>0</v>
      </c>
      <c r="AP600" t="str">
        <f>IFERROR(ROUND(S600*(N600/$AV600)/VLOOKUP(M600,职业!$A$4:$G$16,4,FALSE),0),"")</f>
        <v/>
      </c>
      <c r="AQ600" t="str">
        <f>IFERROR(ROUND(S600*(P600/$AV600)/VLOOKUP(O600,职业!$A$4:$G$16,4,FALSE),0),"")</f>
        <v/>
      </c>
      <c r="AR600" t="str">
        <f>IFERROR(ROUND(S600*(R600/$AV600)/VLOOKUP(Q600,职业!$A$4:$G$16,4,FALSE),0),"")</f>
        <v/>
      </c>
      <c r="AS600" t="str">
        <f>IFERROR(ROUND(X600*(U600/$AW600)/VLOOKUP(T600,商品!$A$4:$B$60,2,FALSE),0),"")</f>
        <v/>
      </c>
      <c r="AT600" t="str">
        <f>IFERROR(ROUND(X600*(W600/$AW600)/VLOOKUP(V600,商品!$A$4:$B$60,2,FALSE),0),"")</f>
        <v/>
      </c>
      <c r="AU600">
        <f t="shared" si="189"/>
        <v>0</v>
      </c>
      <c r="AV600">
        <f t="shared" si="190"/>
        <v>0</v>
      </c>
      <c r="AW600">
        <f t="shared" si="191"/>
        <v>0</v>
      </c>
    </row>
    <row r="601" spans="1:49" ht="19.95" customHeight="1" x14ac:dyDescent="0.25">
      <c r="A601" s="15" t="s">
        <v>308</v>
      </c>
      <c r="C601" s="15">
        <v>2</v>
      </c>
      <c r="D601" s="23" t="s">
        <v>222</v>
      </c>
      <c r="E601" s="23" t="s">
        <v>172</v>
      </c>
      <c r="L601" s="16">
        <f>IFERROR(VLOOKUP($D601&amp;$C601,生产方式定位!$A$2:$E$38,2,FALSE)+VLOOKUP($E601&amp;$C601,生产方式定位!$F$3:$J$38,2,FALSE),0)</f>
        <v>1600</v>
      </c>
      <c r="S601" s="16">
        <f>IFERROR(VLOOKUP($D601&amp;$C601,生产方式定位!$A$2:$E$38,3,FALSE)+VLOOKUP($E601&amp;$C601,生产方式定位!$F$3:$J$38,3,FALSE),0)</f>
        <v>100</v>
      </c>
      <c r="X601" s="16">
        <f>IFERROR(VLOOKUP($D601&amp;$C601,生产方式定位!$A$2:$E$38,5,FALSE)+VLOOKUP($E601&amp;$C601,生产方式定位!$F$3:$J$38,5,FALSE),"错误")</f>
        <v>2520</v>
      </c>
      <c r="Y601" s="26" t="str">
        <f t="shared" si="176"/>
        <v/>
      </c>
      <c r="Z601" s="36" t="str">
        <f t="shared" si="177"/>
        <v/>
      </c>
      <c r="AA601" s="36" t="str">
        <f t="shared" si="178"/>
        <v/>
      </c>
      <c r="AB601" s="27" t="str">
        <f t="shared" si="179"/>
        <v>58%</v>
      </c>
      <c r="AC601" s="2">
        <f t="shared" si="180"/>
        <v>820</v>
      </c>
      <c r="AD601" s="38">
        <f t="shared" si="181"/>
        <v>2</v>
      </c>
      <c r="AE601" t="str">
        <f t="shared" si="182"/>
        <v/>
      </c>
      <c r="AF601" t="str">
        <f t="shared" si="183"/>
        <v/>
      </c>
      <c r="AG601" t="str">
        <f t="shared" si="184"/>
        <v/>
      </c>
      <c r="AH601" t="str">
        <f t="shared" si="185"/>
        <v/>
      </c>
      <c r="AI601" t="str">
        <f t="shared" si="186"/>
        <v/>
      </c>
      <c r="AJ601" t="str">
        <f t="shared" si="187"/>
        <v/>
      </c>
      <c r="AK601" t="str">
        <f t="shared" si="188"/>
        <v/>
      </c>
      <c r="AL601" t="str">
        <f>IFERROR(ROUND(L601*(G601/$AU601)/VLOOKUP(F601,商品!$A$4:$B$60,2,FALSE),0),"")</f>
        <v/>
      </c>
      <c r="AM601" t="str">
        <f>IFERROR(ROUND(L601*(I601/$AU601)/VLOOKUP(H601,商品!$A$4:$B$60,2,FALSE),0),"")</f>
        <v/>
      </c>
      <c r="AN601">
        <f>IFERROR(ROUND(L601*(J601/$AU601)/VLOOKUP("运力",商品!$A$4:$B$60,2,FALSE),0),0)</f>
        <v>0</v>
      </c>
      <c r="AO601">
        <f>IFERROR(ROUND(L601*(K601/$AU601)/VLOOKUP("交易",商品!$A$4:$B$60,2,FALSE),0),0)</f>
        <v>0</v>
      </c>
      <c r="AP601" t="str">
        <f>IFERROR(ROUND(S601*(N601/$AV601)/VLOOKUP(M601,职业!$A$4:$G$16,4,FALSE),0),"")</f>
        <v/>
      </c>
      <c r="AQ601" t="str">
        <f>IFERROR(ROUND(S601*(P601/$AV601)/VLOOKUP(O601,职业!$A$4:$G$16,4,FALSE),0),"")</f>
        <v/>
      </c>
      <c r="AR601" t="str">
        <f>IFERROR(ROUND(S601*(R601/$AV601)/VLOOKUP(Q601,职业!$A$4:$G$16,4,FALSE),0),"")</f>
        <v/>
      </c>
      <c r="AS601" t="str">
        <f>IFERROR(ROUND(X601*(U601/$AW601)/VLOOKUP(T601,商品!$A$4:$B$60,2,FALSE),0),"")</f>
        <v/>
      </c>
      <c r="AT601" t="str">
        <f>IFERROR(ROUND(X601*(W601/$AW601)/VLOOKUP(V601,商品!$A$4:$B$60,2,FALSE),0),"")</f>
        <v/>
      </c>
      <c r="AU601">
        <f t="shared" si="189"/>
        <v>0</v>
      </c>
      <c r="AV601">
        <f t="shared" si="190"/>
        <v>0</v>
      </c>
      <c r="AW601">
        <f t="shared" si="191"/>
        <v>0</v>
      </c>
    </row>
    <row r="602" spans="1:49" ht="19.95" customHeight="1" x14ac:dyDescent="0.25">
      <c r="A602" s="15" t="s">
        <v>308</v>
      </c>
      <c r="C602" s="15">
        <v>3</v>
      </c>
      <c r="D602" s="23" t="s">
        <v>222</v>
      </c>
      <c r="E602" s="23" t="s">
        <v>172</v>
      </c>
      <c r="L602" s="16">
        <f>IFERROR(VLOOKUP($D602&amp;$C602,生产方式定位!$A$2:$E$38,2,FALSE)+VLOOKUP($E602&amp;$C602,生产方式定位!$F$3:$J$38,2,FALSE),0)</f>
        <v>1825</v>
      </c>
      <c r="S602" s="16">
        <f>IFERROR(VLOOKUP($D602&amp;$C602,生产方式定位!$A$2:$E$38,3,FALSE)+VLOOKUP($E602&amp;$C602,生产方式定位!$F$3:$J$38,3,FALSE),0)</f>
        <v>100</v>
      </c>
      <c r="X602" s="16">
        <f>IFERROR(VLOOKUP($D602&amp;$C602,生产方式定位!$A$2:$E$38,5,FALSE)+VLOOKUP($E602&amp;$C602,生产方式定位!$F$3:$J$38,5,FALSE),"错误")</f>
        <v>2830</v>
      </c>
      <c r="Y602" s="26" t="str">
        <f t="shared" si="176"/>
        <v/>
      </c>
      <c r="Z602" s="36" t="str">
        <f t="shared" si="177"/>
        <v/>
      </c>
      <c r="AA602" s="36" t="str">
        <f t="shared" si="178"/>
        <v/>
      </c>
      <c r="AB602" s="27" t="str">
        <f t="shared" si="179"/>
        <v>55%</v>
      </c>
      <c r="AC602" s="2">
        <f t="shared" si="180"/>
        <v>905</v>
      </c>
      <c r="AD602" s="37">
        <f t="shared" si="181"/>
        <v>3</v>
      </c>
      <c r="AE602" t="str">
        <f t="shared" si="182"/>
        <v/>
      </c>
      <c r="AF602" t="str">
        <f t="shared" si="183"/>
        <v/>
      </c>
      <c r="AG602" t="str">
        <f t="shared" si="184"/>
        <v/>
      </c>
      <c r="AH602" t="str">
        <f t="shared" si="185"/>
        <v/>
      </c>
      <c r="AI602" t="str">
        <f t="shared" si="186"/>
        <v/>
      </c>
      <c r="AJ602" t="str">
        <f t="shared" si="187"/>
        <v/>
      </c>
      <c r="AK602" t="str">
        <f t="shared" si="188"/>
        <v/>
      </c>
      <c r="AL602" t="str">
        <f>IFERROR(ROUND(L602*(G602/$AU602)/VLOOKUP(F602,商品!$A$4:$B$60,2,FALSE),0),"")</f>
        <v/>
      </c>
      <c r="AM602" t="str">
        <f>IFERROR(ROUND(L602*(I602/$AU602)/VLOOKUP(H602,商品!$A$4:$B$60,2,FALSE),0),"")</f>
        <v/>
      </c>
      <c r="AN602">
        <f>IFERROR(ROUND(L602*(J602/$AU602)/VLOOKUP("运力",商品!$A$4:$B$60,2,FALSE),0),0)</f>
        <v>0</v>
      </c>
      <c r="AO602">
        <f>IFERROR(ROUND(L602*(K602/$AU602)/VLOOKUP("交易",商品!$A$4:$B$60,2,FALSE),0),0)</f>
        <v>0</v>
      </c>
      <c r="AP602" t="str">
        <f>IFERROR(ROUND(S602*(N602/$AV602)/VLOOKUP(M602,职业!$A$4:$G$16,4,FALSE),0),"")</f>
        <v/>
      </c>
      <c r="AQ602" t="str">
        <f>IFERROR(ROUND(S602*(P602/$AV602)/VLOOKUP(O602,职业!$A$4:$G$16,4,FALSE),0),"")</f>
        <v/>
      </c>
      <c r="AR602" t="str">
        <f>IFERROR(ROUND(S602*(R602/$AV602)/VLOOKUP(Q602,职业!$A$4:$G$16,4,FALSE),0),"")</f>
        <v/>
      </c>
      <c r="AS602" t="str">
        <f>IFERROR(ROUND(X602*(U602/$AW602)/VLOOKUP(T602,商品!$A$4:$B$60,2,FALSE),0),"")</f>
        <v/>
      </c>
      <c r="AT602" t="str">
        <f>IFERROR(ROUND(X602*(W602/$AW602)/VLOOKUP(V602,商品!$A$4:$B$60,2,FALSE),0),"")</f>
        <v/>
      </c>
      <c r="AU602">
        <f t="shared" si="189"/>
        <v>0</v>
      </c>
      <c r="AV602">
        <f t="shared" si="190"/>
        <v>0</v>
      </c>
      <c r="AW602">
        <f t="shared" si="191"/>
        <v>0</v>
      </c>
    </row>
    <row r="603" spans="1:49" ht="19.95" customHeight="1" x14ac:dyDescent="0.25">
      <c r="A603" s="15" t="s">
        <v>308</v>
      </c>
      <c r="C603" s="15">
        <v>4</v>
      </c>
      <c r="D603" s="23" t="s">
        <v>222</v>
      </c>
      <c r="E603" s="23" t="s">
        <v>172</v>
      </c>
      <c r="L603" s="16">
        <f>IFERROR(VLOOKUP($D603&amp;$C603,生产方式定位!$A$2:$E$38,2,FALSE)+VLOOKUP($E603&amp;$C603,生产方式定位!$F$3:$J$38,2,FALSE),0)</f>
        <v>2050</v>
      </c>
      <c r="S603" s="16">
        <f>IFERROR(VLOOKUP($D603&amp;$C603,生产方式定位!$A$2:$E$38,3,FALSE)+VLOOKUP($E603&amp;$C603,生产方式定位!$F$3:$J$38,3,FALSE),0)</f>
        <v>100</v>
      </c>
      <c r="X603" s="16">
        <f>IFERROR(VLOOKUP($D603&amp;$C603,生产方式定位!$A$2:$E$38,5,FALSE)+VLOOKUP($E603&amp;$C603,生产方式定位!$F$3:$J$38,5,FALSE),"错误")</f>
        <v>3140</v>
      </c>
      <c r="Y603" s="26" t="str">
        <f t="shared" si="176"/>
        <v/>
      </c>
      <c r="Z603" s="36" t="str">
        <f t="shared" si="177"/>
        <v/>
      </c>
      <c r="AA603" s="36" t="str">
        <f t="shared" si="178"/>
        <v/>
      </c>
      <c r="AB603" s="27" t="str">
        <f t="shared" si="179"/>
        <v>53%</v>
      </c>
      <c r="AC603" s="2">
        <f t="shared" si="180"/>
        <v>990</v>
      </c>
      <c r="AD603" s="37">
        <f t="shared" si="181"/>
        <v>4</v>
      </c>
      <c r="AE603" t="str">
        <f t="shared" si="182"/>
        <v/>
      </c>
      <c r="AF603" t="str">
        <f t="shared" si="183"/>
        <v/>
      </c>
      <c r="AG603" t="str">
        <f t="shared" si="184"/>
        <v/>
      </c>
      <c r="AH603" t="str">
        <f t="shared" si="185"/>
        <v/>
      </c>
      <c r="AI603" t="str">
        <f t="shared" si="186"/>
        <v/>
      </c>
      <c r="AJ603" t="str">
        <f t="shared" si="187"/>
        <v/>
      </c>
      <c r="AK603" t="str">
        <f t="shared" si="188"/>
        <v/>
      </c>
      <c r="AL603" t="str">
        <f>IFERROR(ROUND(L603*(G603/$AU603)/VLOOKUP(F603,商品!$A$4:$B$60,2,FALSE),0),"")</f>
        <v/>
      </c>
      <c r="AM603" t="str">
        <f>IFERROR(ROUND(L603*(I603/$AU603)/VLOOKUP(H603,商品!$A$4:$B$60,2,FALSE),0),"")</f>
        <v/>
      </c>
      <c r="AN603">
        <f>IFERROR(ROUND(L603*(J603/$AU603)/VLOOKUP("运力",商品!$A$4:$B$60,2,FALSE),0),0)</f>
        <v>0</v>
      </c>
      <c r="AO603">
        <f>IFERROR(ROUND(L603*(K603/$AU603)/VLOOKUP("交易",商品!$A$4:$B$60,2,FALSE),0),0)</f>
        <v>0</v>
      </c>
      <c r="AP603" t="str">
        <f>IFERROR(ROUND(S603*(N603/$AV603)/VLOOKUP(M603,职业!$A$4:$G$16,4,FALSE),0),"")</f>
        <v/>
      </c>
      <c r="AQ603" t="str">
        <f>IFERROR(ROUND(S603*(P603/$AV603)/VLOOKUP(O603,职业!$A$4:$G$16,4,FALSE),0),"")</f>
        <v/>
      </c>
      <c r="AR603" t="str">
        <f>IFERROR(ROUND(S603*(R603/$AV603)/VLOOKUP(Q603,职业!$A$4:$G$16,4,FALSE),0),"")</f>
        <v/>
      </c>
      <c r="AS603" t="str">
        <f>IFERROR(ROUND(X603*(U603/$AW603)/VLOOKUP(T603,商品!$A$4:$B$60,2,FALSE),0),"")</f>
        <v/>
      </c>
      <c r="AT603" t="str">
        <f>IFERROR(ROUND(X603*(W603/$AW603)/VLOOKUP(V603,商品!$A$4:$B$60,2,FALSE),0),"")</f>
        <v/>
      </c>
      <c r="AU603">
        <f t="shared" si="189"/>
        <v>0</v>
      </c>
      <c r="AV603">
        <f t="shared" si="190"/>
        <v>0</v>
      </c>
      <c r="AW603">
        <f t="shared" si="191"/>
        <v>0</v>
      </c>
    </row>
    <row r="604" spans="1:49" ht="19.95" customHeight="1" x14ac:dyDescent="0.25">
      <c r="A604" s="15" t="s">
        <v>308</v>
      </c>
      <c r="C604" s="15">
        <v>5</v>
      </c>
      <c r="D604" s="23" t="s">
        <v>222</v>
      </c>
      <c r="E604" s="23" t="s">
        <v>172</v>
      </c>
      <c r="L604" s="16">
        <f>IFERROR(VLOOKUP($D604&amp;$C604,生产方式定位!$A$2:$E$38,2,FALSE)+VLOOKUP($E604&amp;$C604,生产方式定位!$F$3:$J$38,2,FALSE),0)</f>
        <v>2275</v>
      </c>
      <c r="S604" s="16">
        <f>IFERROR(VLOOKUP($D604&amp;$C604,生产方式定位!$A$2:$E$38,3,FALSE)+VLOOKUP($E604&amp;$C604,生产方式定位!$F$3:$J$38,3,FALSE),0)</f>
        <v>100</v>
      </c>
      <c r="X604" s="16">
        <f>IFERROR(VLOOKUP($D604&amp;$C604,生产方式定位!$A$2:$E$38,5,FALSE)+VLOOKUP($E604&amp;$C604,生产方式定位!$F$3:$J$38,5,FALSE),"错误")</f>
        <v>3450</v>
      </c>
      <c r="Y604" s="26" t="str">
        <f t="shared" si="176"/>
        <v/>
      </c>
      <c r="Z604" s="36" t="str">
        <f t="shared" si="177"/>
        <v/>
      </c>
      <c r="AA604" s="36" t="str">
        <f t="shared" si="178"/>
        <v/>
      </c>
      <c r="AB604" s="27" t="str">
        <f t="shared" si="179"/>
        <v>52%</v>
      </c>
      <c r="AC604" s="2">
        <f t="shared" si="180"/>
        <v>1075</v>
      </c>
      <c r="AD604" s="37">
        <f t="shared" si="181"/>
        <v>5</v>
      </c>
      <c r="AE604" t="str">
        <f t="shared" si="182"/>
        <v/>
      </c>
      <c r="AF604" t="str">
        <f t="shared" si="183"/>
        <v/>
      </c>
      <c r="AG604" t="str">
        <f t="shared" si="184"/>
        <v/>
      </c>
      <c r="AH604" t="str">
        <f t="shared" si="185"/>
        <v/>
      </c>
      <c r="AI604" t="str">
        <f t="shared" si="186"/>
        <v/>
      </c>
      <c r="AJ604" t="str">
        <f t="shared" si="187"/>
        <v/>
      </c>
      <c r="AK604" t="str">
        <f t="shared" si="188"/>
        <v/>
      </c>
      <c r="AL604" t="str">
        <f>IFERROR(ROUND(L604*(G604/$AU604)/VLOOKUP(F604,商品!$A$4:$B$60,2,FALSE),0),"")</f>
        <v/>
      </c>
      <c r="AM604" t="str">
        <f>IFERROR(ROUND(L604*(I604/$AU604)/VLOOKUP(H604,商品!$A$4:$B$60,2,FALSE),0),"")</f>
        <v/>
      </c>
      <c r="AN604">
        <f>IFERROR(ROUND(L604*(J604/$AU604)/VLOOKUP("运力",商品!$A$4:$B$60,2,FALSE),0),0)</f>
        <v>0</v>
      </c>
      <c r="AO604">
        <f>IFERROR(ROUND(L604*(K604/$AU604)/VLOOKUP("交易",商品!$A$4:$B$60,2,FALSE),0),0)</f>
        <v>0</v>
      </c>
      <c r="AP604" t="str">
        <f>IFERROR(ROUND(S604*(N604/$AV604)/VLOOKUP(M604,职业!$A$4:$G$16,4,FALSE),0),"")</f>
        <v/>
      </c>
      <c r="AQ604" t="str">
        <f>IFERROR(ROUND(S604*(P604/$AV604)/VLOOKUP(O604,职业!$A$4:$G$16,4,FALSE),0),"")</f>
        <v/>
      </c>
      <c r="AR604" t="str">
        <f>IFERROR(ROUND(S604*(R604/$AV604)/VLOOKUP(Q604,职业!$A$4:$G$16,4,FALSE),0),"")</f>
        <v/>
      </c>
      <c r="AS604" t="str">
        <f>IFERROR(ROUND(X604*(U604/$AW604)/VLOOKUP(T604,商品!$A$4:$B$60,2,FALSE),0),"")</f>
        <v/>
      </c>
      <c r="AT604" t="str">
        <f>IFERROR(ROUND(X604*(W604/$AW604)/VLOOKUP(V604,商品!$A$4:$B$60,2,FALSE),0),"")</f>
        <v/>
      </c>
      <c r="AU604">
        <f t="shared" si="189"/>
        <v>0</v>
      </c>
      <c r="AV604">
        <f t="shared" si="190"/>
        <v>0</v>
      </c>
      <c r="AW604">
        <f t="shared" si="191"/>
        <v>0</v>
      </c>
    </row>
    <row r="605" spans="1:49" ht="19.95" customHeight="1" x14ac:dyDescent="0.25">
      <c r="A605" s="16" t="s">
        <v>309</v>
      </c>
      <c r="C605" s="16">
        <v>1</v>
      </c>
      <c r="D605" s="23" t="s">
        <v>174</v>
      </c>
      <c r="E605" s="23" t="s">
        <v>179</v>
      </c>
      <c r="L605" s="15">
        <f>IFERROR(VLOOKUP($D605&amp;$C605,生产方式定位!$A$2:$E$38,2,FALSE)+VLOOKUP($E605&amp;$C605,生产方式定位!$F$3:$J$38,2,FALSE),0)</f>
        <v>0</v>
      </c>
      <c r="S605" s="15">
        <f>IFERROR(VLOOKUP($D605&amp;$C605,生产方式定位!$A$2:$E$38,3,FALSE)+VLOOKUP($E605&amp;$C605,生产方式定位!$F$3:$J$38,3,FALSE),0)</f>
        <v>100</v>
      </c>
      <c r="X605" s="15">
        <f>IFERROR(VLOOKUP($D605&amp;$C605,生产方式定位!$A$2:$E$38,5,FALSE)+VLOOKUP($E605&amp;$C605,生产方式定位!$F$3:$J$38,5,FALSE),"错误")</f>
        <v>100</v>
      </c>
      <c r="Y605" s="26" t="str">
        <f t="shared" si="176"/>
        <v/>
      </c>
      <c r="Z605" s="36" t="str">
        <f t="shared" si="177"/>
        <v/>
      </c>
      <c r="AA605" s="36" t="str">
        <f t="shared" si="178"/>
        <v/>
      </c>
      <c r="AB605" s="27" t="str">
        <f t="shared" si="179"/>
        <v/>
      </c>
      <c r="AC605" s="2" t="str">
        <f t="shared" si="180"/>
        <v/>
      </c>
      <c r="AD605" s="37">
        <f t="shared" si="181"/>
        <v>1</v>
      </c>
      <c r="AE605" t="str">
        <f t="shared" si="182"/>
        <v/>
      </c>
      <c r="AF605" t="str">
        <f t="shared" si="183"/>
        <v/>
      </c>
      <c r="AG605" t="str">
        <f t="shared" si="184"/>
        <v/>
      </c>
      <c r="AH605" t="str">
        <f t="shared" si="185"/>
        <v/>
      </c>
      <c r="AI605" t="str">
        <f t="shared" si="186"/>
        <v/>
      </c>
      <c r="AJ605" t="str">
        <f t="shared" si="187"/>
        <v/>
      </c>
      <c r="AK605" t="str">
        <f t="shared" si="188"/>
        <v/>
      </c>
      <c r="AL605" t="str">
        <f>IFERROR(ROUND(L605*(G605/$AU605)/VLOOKUP(F605,商品!$A$4:$B$60,2,FALSE),0),"")</f>
        <v/>
      </c>
      <c r="AM605" t="str">
        <f>IFERROR(ROUND(L605*(I605/$AU605)/VLOOKUP(H605,商品!$A$4:$B$60,2,FALSE),0),"")</f>
        <v/>
      </c>
      <c r="AN605">
        <f>IFERROR(ROUND(L605*(J605/$AU605)/VLOOKUP("运力",商品!$A$4:$B$60,2,FALSE),0),0)</f>
        <v>0</v>
      </c>
      <c r="AO605">
        <f>IFERROR(ROUND(L605*(K605/$AU605)/VLOOKUP("交易",商品!$A$4:$B$60,2,FALSE),0),0)</f>
        <v>0</v>
      </c>
      <c r="AP605" t="str">
        <f>IFERROR(ROUND(S605*(N605/$AV605)/VLOOKUP(M605,职业!$A$4:$G$16,4,FALSE),0),"")</f>
        <v/>
      </c>
      <c r="AQ605" t="str">
        <f>IFERROR(ROUND(S605*(P605/$AV605)/VLOOKUP(O605,职业!$A$4:$G$16,4,FALSE),0),"")</f>
        <v/>
      </c>
      <c r="AR605" t="str">
        <f>IFERROR(ROUND(S605*(R605/$AV605)/VLOOKUP(Q605,职业!$A$4:$G$16,4,FALSE),0),"")</f>
        <v/>
      </c>
      <c r="AS605" t="str">
        <f>IFERROR(ROUND(X605*(U605/$AW605)/VLOOKUP(T605,商品!$A$4:$B$60,2,FALSE),0),"")</f>
        <v/>
      </c>
      <c r="AT605" t="str">
        <f>IFERROR(ROUND(X605*(W605/$AW605)/VLOOKUP(V605,商品!$A$4:$B$60,2,FALSE),0),"")</f>
        <v/>
      </c>
      <c r="AU605">
        <f t="shared" si="189"/>
        <v>0</v>
      </c>
      <c r="AV605">
        <f t="shared" si="190"/>
        <v>0</v>
      </c>
      <c r="AW605">
        <f t="shared" si="191"/>
        <v>0</v>
      </c>
    </row>
    <row r="606" spans="1:49" ht="19.95" customHeight="1" x14ac:dyDescent="0.25">
      <c r="A606" s="16" t="s">
        <v>309</v>
      </c>
      <c r="C606" s="16">
        <v>2</v>
      </c>
      <c r="D606" s="23" t="s">
        <v>174</v>
      </c>
      <c r="E606" s="23" t="s">
        <v>179</v>
      </c>
      <c r="L606" s="15">
        <f>IFERROR(VLOOKUP($D606&amp;$C606,生产方式定位!$A$2:$E$38,2,FALSE)+VLOOKUP($E606&amp;$C606,生产方式定位!$F$3:$J$38,2,FALSE),0)</f>
        <v>0</v>
      </c>
      <c r="S606" s="15">
        <f>IFERROR(VLOOKUP($D606&amp;$C606,生产方式定位!$A$2:$E$38,3,FALSE)+VLOOKUP($E606&amp;$C606,生产方式定位!$F$3:$J$38,3,FALSE),0)</f>
        <v>100</v>
      </c>
      <c r="X606" s="15">
        <f>IFERROR(VLOOKUP($D606&amp;$C606,生产方式定位!$A$2:$E$38,5,FALSE)+VLOOKUP($E606&amp;$C606,生产方式定位!$F$3:$J$38,5,FALSE),"错误")</f>
        <v>100</v>
      </c>
      <c r="Y606" s="26" t="str">
        <f t="shared" si="176"/>
        <v/>
      </c>
      <c r="Z606" s="36" t="str">
        <f t="shared" si="177"/>
        <v/>
      </c>
      <c r="AA606" s="36" t="str">
        <f t="shared" si="178"/>
        <v/>
      </c>
      <c r="AB606" s="27" t="str">
        <f t="shared" si="179"/>
        <v/>
      </c>
      <c r="AC606" s="2" t="str">
        <f t="shared" si="180"/>
        <v/>
      </c>
      <c r="AD606" s="37">
        <f t="shared" si="181"/>
        <v>2</v>
      </c>
      <c r="AE606" t="str">
        <f t="shared" si="182"/>
        <v/>
      </c>
      <c r="AF606" t="str">
        <f t="shared" si="183"/>
        <v/>
      </c>
      <c r="AG606" t="str">
        <f t="shared" si="184"/>
        <v/>
      </c>
      <c r="AH606" t="str">
        <f t="shared" si="185"/>
        <v/>
      </c>
      <c r="AI606" t="str">
        <f t="shared" si="186"/>
        <v/>
      </c>
      <c r="AJ606" t="str">
        <f t="shared" si="187"/>
        <v/>
      </c>
      <c r="AK606" t="str">
        <f t="shared" si="188"/>
        <v/>
      </c>
      <c r="AL606" t="str">
        <f>IFERROR(ROUND(L606*(G606/$AU606)/VLOOKUP(F606,商品!$A$4:$B$60,2,FALSE),0),"")</f>
        <v/>
      </c>
      <c r="AM606" t="str">
        <f>IFERROR(ROUND(L606*(I606/$AU606)/VLOOKUP(H606,商品!$A$4:$B$60,2,FALSE),0),"")</f>
        <v/>
      </c>
      <c r="AN606">
        <f>IFERROR(ROUND(L606*(J606/$AU606)/VLOOKUP("运力",商品!$A$4:$B$60,2,FALSE),0),0)</f>
        <v>0</v>
      </c>
      <c r="AO606">
        <f>IFERROR(ROUND(L606*(K606/$AU606)/VLOOKUP("交易",商品!$A$4:$B$60,2,FALSE),0),0)</f>
        <v>0</v>
      </c>
      <c r="AP606" t="str">
        <f>IFERROR(ROUND(S606*(N606/$AV606)/VLOOKUP(M606,职业!$A$4:$G$16,4,FALSE),0),"")</f>
        <v/>
      </c>
      <c r="AQ606" t="str">
        <f>IFERROR(ROUND(S606*(P606/$AV606)/VLOOKUP(O606,职业!$A$4:$G$16,4,FALSE),0),"")</f>
        <v/>
      </c>
      <c r="AR606" t="str">
        <f>IFERROR(ROUND(S606*(R606/$AV606)/VLOOKUP(Q606,职业!$A$4:$G$16,4,FALSE),0),"")</f>
        <v/>
      </c>
      <c r="AS606" t="str">
        <f>IFERROR(ROUND(X606*(U606/$AW606)/VLOOKUP(T606,商品!$A$4:$B$60,2,FALSE),0),"")</f>
        <v/>
      </c>
      <c r="AT606" t="str">
        <f>IFERROR(ROUND(X606*(W606/$AW606)/VLOOKUP(V606,商品!$A$4:$B$60,2,FALSE),0),"")</f>
        <v/>
      </c>
      <c r="AU606">
        <f t="shared" si="189"/>
        <v>0</v>
      </c>
      <c r="AV606">
        <f t="shared" si="190"/>
        <v>0</v>
      </c>
      <c r="AW606">
        <f t="shared" si="191"/>
        <v>0</v>
      </c>
    </row>
    <row r="607" spans="1:49" ht="19.95" customHeight="1" x14ac:dyDescent="0.25">
      <c r="A607" s="16" t="s">
        <v>309</v>
      </c>
      <c r="C607" s="16">
        <v>3</v>
      </c>
      <c r="D607" s="23" t="s">
        <v>174</v>
      </c>
      <c r="E607" s="23" t="s">
        <v>179</v>
      </c>
      <c r="L607" s="15">
        <f>IFERROR(VLOOKUP($D607&amp;$C607,生产方式定位!$A$2:$E$38,2,FALSE)+VLOOKUP($E607&amp;$C607,生产方式定位!$F$3:$J$38,2,FALSE),0)</f>
        <v>0</v>
      </c>
      <c r="S607" s="15">
        <f>IFERROR(VLOOKUP($D607&amp;$C607,生产方式定位!$A$2:$E$38,3,FALSE)+VLOOKUP($E607&amp;$C607,生产方式定位!$F$3:$J$38,3,FALSE),0)</f>
        <v>100</v>
      </c>
      <c r="X607" s="15">
        <f>IFERROR(VLOOKUP($D607&amp;$C607,生产方式定位!$A$2:$E$38,5,FALSE)+VLOOKUP($E607&amp;$C607,生产方式定位!$F$3:$J$38,5,FALSE),"错误")</f>
        <v>100</v>
      </c>
      <c r="Y607" s="26" t="str">
        <f t="shared" si="176"/>
        <v/>
      </c>
      <c r="Z607" s="36" t="str">
        <f t="shared" si="177"/>
        <v/>
      </c>
      <c r="AA607" s="36" t="str">
        <f t="shared" si="178"/>
        <v/>
      </c>
      <c r="AB607" s="27" t="str">
        <f t="shared" si="179"/>
        <v/>
      </c>
      <c r="AC607" s="2" t="str">
        <f t="shared" si="180"/>
        <v/>
      </c>
      <c r="AD607" s="37">
        <f t="shared" si="181"/>
        <v>3</v>
      </c>
      <c r="AE607" t="str">
        <f t="shared" si="182"/>
        <v/>
      </c>
      <c r="AF607" t="str">
        <f t="shared" si="183"/>
        <v/>
      </c>
      <c r="AG607" t="str">
        <f t="shared" si="184"/>
        <v/>
      </c>
      <c r="AH607" t="str">
        <f t="shared" si="185"/>
        <v/>
      </c>
      <c r="AI607" t="str">
        <f t="shared" si="186"/>
        <v/>
      </c>
      <c r="AJ607" t="str">
        <f t="shared" si="187"/>
        <v/>
      </c>
      <c r="AK607" t="str">
        <f t="shared" si="188"/>
        <v/>
      </c>
      <c r="AL607" t="str">
        <f>IFERROR(ROUND(L607*(G607/$AU607)/VLOOKUP(F607,商品!$A$4:$B$60,2,FALSE),0),"")</f>
        <v/>
      </c>
      <c r="AM607" t="str">
        <f>IFERROR(ROUND(L607*(I607/$AU607)/VLOOKUP(H607,商品!$A$4:$B$60,2,FALSE),0),"")</f>
        <v/>
      </c>
      <c r="AN607">
        <f>IFERROR(ROUND(L607*(J607/$AU607)/VLOOKUP("运力",商品!$A$4:$B$60,2,FALSE),0),0)</f>
        <v>0</v>
      </c>
      <c r="AO607">
        <f>IFERROR(ROUND(L607*(K607/$AU607)/VLOOKUP("交易",商品!$A$4:$B$60,2,FALSE),0),0)</f>
        <v>0</v>
      </c>
      <c r="AP607" t="str">
        <f>IFERROR(ROUND(S607*(N607/$AV607)/VLOOKUP(M607,职业!$A$4:$G$16,4,FALSE),0),"")</f>
        <v/>
      </c>
      <c r="AQ607" t="str">
        <f>IFERROR(ROUND(S607*(P607/$AV607)/VLOOKUP(O607,职业!$A$4:$G$16,4,FALSE),0),"")</f>
        <v/>
      </c>
      <c r="AR607" t="str">
        <f>IFERROR(ROUND(S607*(R607/$AV607)/VLOOKUP(Q607,职业!$A$4:$G$16,4,FALSE),0),"")</f>
        <v/>
      </c>
      <c r="AS607" t="str">
        <f>IFERROR(ROUND(X607*(U607/$AW607)/VLOOKUP(T607,商品!$A$4:$B$60,2,FALSE),0),"")</f>
        <v/>
      </c>
      <c r="AT607" t="str">
        <f>IFERROR(ROUND(X607*(W607/$AW607)/VLOOKUP(V607,商品!$A$4:$B$60,2,FALSE),0),"")</f>
        <v/>
      </c>
      <c r="AU607">
        <f t="shared" si="189"/>
        <v>0</v>
      </c>
      <c r="AV607">
        <f t="shared" si="190"/>
        <v>0</v>
      </c>
      <c r="AW607">
        <f t="shared" si="191"/>
        <v>0</v>
      </c>
    </row>
    <row r="608" spans="1:49" ht="19.95" customHeight="1" x14ac:dyDescent="0.25">
      <c r="A608" s="16" t="s">
        <v>309</v>
      </c>
      <c r="C608" s="16">
        <v>4</v>
      </c>
      <c r="D608" s="23" t="s">
        <v>174</v>
      </c>
      <c r="E608" s="23" t="s">
        <v>179</v>
      </c>
      <c r="L608" s="15">
        <f>IFERROR(VLOOKUP($D608&amp;$C608,生产方式定位!$A$2:$E$38,2,FALSE)+VLOOKUP($E608&amp;$C608,生产方式定位!$F$3:$J$38,2,FALSE),0)</f>
        <v>0</v>
      </c>
      <c r="S608" s="15">
        <f>IFERROR(VLOOKUP($D608&amp;$C608,生产方式定位!$A$2:$E$38,3,FALSE)+VLOOKUP($E608&amp;$C608,生产方式定位!$F$3:$J$38,3,FALSE),0)</f>
        <v>100</v>
      </c>
      <c r="X608" s="15">
        <f>IFERROR(VLOOKUP($D608&amp;$C608,生产方式定位!$A$2:$E$38,5,FALSE)+VLOOKUP($E608&amp;$C608,生产方式定位!$F$3:$J$38,5,FALSE),"错误")</f>
        <v>100</v>
      </c>
      <c r="Y608" s="26" t="str">
        <f t="shared" si="176"/>
        <v/>
      </c>
      <c r="Z608" s="36" t="str">
        <f t="shared" si="177"/>
        <v/>
      </c>
      <c r="AA608" s="36" t="str">
        <f t="shared" si="178"/>
        <v/>
      </c>
      <c r="AB608" s="27" t="str">
        <f t="shared" si="179"/>
        <v/>
      </c>
      <c r="AC608" s="2" t="str">
        <f t="shared" si="180"/>
        <v/>
      </c>
      <c r="AD608" s="37">
        <f t="shared" si="181"/>
        <v>4</v>
      </c>
      <c r="AE608" t="str">
        <f t="shared" si="182"/>
        <v/>
      </c>
      <c r="AF608" t="str">
        <f t="shared" si="183"/>
        <v/>
      </c>
      <c r="AG608" t="str">
        <f t="shared" si="184"/>
        <v/>
      </c>
      <c r="AH608" t="str">
        <f t="shared" si="185"/>
        <v/>
      </c>
      <c r="AI608" t="str">
        <f t="shared" si="186"/>
        <v/>
      </c>
      <c r="AJ608" t="str">
        <f t="shared" si="187"/>
        <v/>
      </c>
      <c r="AK608" t="str">
        <f t="shared" si="188"/>
        <v/>
      </c>
      <c r="AL608" t="str">
        <f>IFERROR(ROUND(L608*(G608/$AU608)/VLOOKUP(F608,商品!$A$4:$B$60,2,FALSE),0),"")</f>
        <v/>
      </c>
      <c r="AM608" t="str">
        <f>IFERROR(ROUND(L608*(I608/$AU608)/VLOOKUP(H608,商品!$A$4:$B$60,2,FALSE),0),"")</f>
        <v/>
      </c>
      <c r="AN608">
        <f>IFERROR(ROUND(L608*(J608/$AU608)/VLOOKUP("运力",商品!$A$4:$B$60,2,FALSE),0),0)</f>
        <v>0</v>
      </c>
      <c r="AO608">
        <f>IFERROR(ROUND(L608*(K608/$AU608)/VLOOKUP("交易",商品!$A$4:$B$60,2,FALSE),0),0)</f>
        <v>0</v>
      </c>
      <c r="AP608" t="str">
        <f>IFERROR(ROUND(S608*(N608/$AV608)/VLOOKUP(M608,职业!$A$4:$G$16,4,FALSE),0),"")</f>
        <v/>
      </c>
      <c r="AQ608" t="str">
        <f>IFERROR(ROUND(S608*(P608/$AV608)/VLOOKUP(O608,职业!$A$4:$G$16,4,FALSE),0),"")</f>
        <v/>
      </c>
      <c r="AR608" t="str">
        <f>IFERROR(ROUND(S608*(R608/$AV608)/VLOOKUP(Q608,职业!$A$4:$G$16,4,FALSE),0),"")</f>
        <v/>
      </c>
      <c r="AS608" t="str">
        <f>IFERROR(ROUND(X608*(U608/$AW608)/VLOOKUP(T608,商品!$A$4:$B$60,2,FALSE),0),"")</f>
        <v/>
      </c>
      <c r="AT608" t="str">
        <f>IFERROR(ROUND(X608*(W608/$AW608)/VLOOKUP(V608,商品!$A$4:$B$60,2,FALSE),0),"")</f>
        <v/>
      </c>
      <c r="AU608">
        <f t="shared" si="189"/>
        <v>0</v>
      </c>
      <c r="AV608">
        <f t="shared" si="190"/>
        <v>0</v>
      </c>
      <c r="AW608">
        <f t="shared" si="191"/>
        <v>0</v>
      </c>
    </row>
    <row r="609" spans="1:49" ht="19.95" customHeight="1" x14ac:dyDescent="0.25">
      <c r="A609" s="16" t="s">
        <v>309</v>
      </c>
      <c r="C609" s="16">
        <v>5</v>
      </c>
      <c r="D609" s="23" t="s">
        <v>174</v>
      </c>
      <c r="E609" s="23" t="s">
        <v>179</v>
      </c>
      <c r="L609" s="15">
        <f>IFERROR(VLOOKUP($D609&amp;$C609,生产方式定位!$A$2:$E$38,2,FALSE)+VLOOKUP($E609&amp;$C609,生产方式定位!$F$3:$J$38,2,FALSE),0)</f>
        <v>0</v>
      </c>
      <c r="S609" s="15">
        <f>IFERROR(VLOOKUP($D609&amp;$C609,生产方式定位!$A$2:$E$38,3,FALSE)+VLOOKUP($E609&amp;$C609,生产方式定位!$F$3:$J$38,3,FALSE),0)</f>
        <v>100</v>
      </c>
      <c r="X609" s="15">
        <f>IFERROR(VLOOKUP($D609&amp;$C609,生产方式定位!$A$2:$E$38,5,FALSE)+VLOOKUP($E609&amp;$C609,生产方式定位!$F$3:$J$38,5,FALSE),"错误")</f>
        <v>100</v>
      </c>
      <c r="Y609" s="26" t="str">
        <f t="shared" si="176"/>
        <v/>
      </c>
      <c r="Z609" s="36" t="str">
        <f t="shared" si="177"/>
        <v/>
      </c>
      <c r="AA609" s="36" t="str">
        <f t="shared" si="178"/>
        <v/>
      </c>
      <c r="AB609" s="27" t="str">
        <f t="shared" si="179"/>
        <v/>
      </c>
      <c r="AC609" s="2" t="str">
        <f t="shared" si="180"/>
        <v/>
      </c>
      <c r="AD609" s="37">
        <f t="shared" si="181"/>
        <v>5</v>
      </c>
      <c r="AE609" t="str">
        <f t="shared" si="182"/>
        <v/>
      </c>
      <c r="AF609" t="str">
        <f t="shared" si="183"/>
        <v/>
      </c>
      <c r="AG609" t="str">
        <f t="shared" si="184"/>
        <v/>
      </c>
      <c r="AH609" t="str">
        <f t="shared" si="185"/>
        <v/>
      </c>
      <c r="AI609" t="str">
        <f t="shared" si="186"/>
        <v/>
      </c>
      <c r="AJ609" t="str">
        <f t="shared" si="187"/>
        <v/>
      </c>
      <c r="AK609" t="str">
        <f t="shared" si="188"/>
        <v/>
      </c>
      <c r="AL609" t="str">
        <f>IFERROR(ROUND(L609*(G609/$AU609)/VLOOKUP(F609,商品!$A$4:$B$60,2,FALSE),0),"")</f>
        <v/>
      </c>
      <c r="AM609" t="str">
        <f>IFERROR(ROUND(L609*(I609/$AU609)/VLOOKUP(H609,商品!$A$4:$B$60,2,FALSE),0),"")</f>
        <v/>
      </c>
      <c r="AN609">
        <f>IFERROR(ROUND(L609*(J609/$AU609)/VLOOKUP("运力",商品!$A$4:$B$60,2,FALSE),0),0)</f>
        <v>0</v>
      </c>
      <c r="AO609">
        <f>IFERROR(ROUND(L609*(K609/$AU609)/VLOOKUP("交易",商品!$A$4:$B$60,2,FALSE),0),0)</f>
        <v>0</v>
      </c>
      <c r="AP609" t="str">
        <f>IFERROR(ROUND(S609*(N609/$AV609)/VLOOKUP(M609,职业!$A$4:$G$16,4,FALSE),0),"")</f>
        <v/>
      </c>
      <c r="AQ609" t="str">
        <f>IFERROR(ROUND(S609*(P609/$AV609)/VLOOKUP(O609,职业!$A$4:$G$16,4,FALSE),0),"")</f>
        <v/>
      </c>
      <c r="AR609" t="str">
        <f>IFERROR(ROUND(S609*(R609/$AV609)/VLOOKUP(Q609,职业!$A$4:$G$16,4,FALSE),0),"")</f>
        <v/>
      </c>
      <c r="AS609" t="str">
        <f>IFERROR(ROUND(X609*(U609/$AW609)/VLOOKUP(T609,商品!$A$4:$B$60,2,FALSE),0),"")</f>
        <v/>
      </c>
      <c r="AT609" t="str">
        <f>IFERROR(ROUND(X609*(W609/$AW609)/VLOOKUP(V609,商品!$A$4:$B$60,2,FALSE),0),"")</f>
        <v/>
      </c>
      <c r="AU609">
        <f t="shared" si="189"/>
        <v>0</v>
      </c>
      <c r="AV609">
        <f t="shared" si="190"/>
        <v>0</v>
      </c>
      <c r="AW609">
        <f t="shared" si="191"/>
        <v>0</v>
      </c>
    </row>
    <row r="610" spans="1:49" ht="19.95" customHeight="1" x14ac:dyDescent="0.25">
      <c r="A610" s="16" t="s">
        <v>309</v>
      </c>
      <c r="C610" s="16">
        <v>6</v>
      </c>
      <c r="D610" s="23" t="s">
        <v>174</v>
      </c>
      <c r="E610" s="23" t="s">
        <v>179</v>
      </c>
      <c r="L610" s="15">
        <f>IFERROR(VLOOKUP($D610&amp;$C610,生产方式定位!$A$2:$E$38,2,FALSE)+VLOOKUP($E610&amp;$C610,生产方式定位!$F$3:$J$38,2,FALSE),0)</f>
        <v>0</v>
      </c>
      <c r="S610" s="15">
        <f>IFERROR(VLOOKUP($D610&amp;$C610,生产方式定位!$A$2:$E$38,3,FALSE)+VLOOKUP($E610&amp;$C610,生产方式定位!$F$3:$J$38,3,FALSE),0)</f>
        <v>100</v>
      </c>
      <c r="X610" s="15">
        <f>IFERROR(VLOOKUP($D610&amp;$C610,生产方式定位!$A$2:$E$38,5,FALSE)+VLOOKUP($E610&amp;$C610,生产方式定位!$F$3:$J$38,5,FALSE),"错误")</f>
        <v>100</v>
      </c>
      <c r="Y610" s="26" t="str">
        <f t="shared" si="176"/>
        <v/>
      </c>
      <c r="Z610" s="36" t="str">
        <f t="shared" si="177"/>
        <v/>
      </c>
      <c r="AA610" s="36" t="str">
        <f t="shared" si="178"/>
        <v/>
      </c>
      <c r="AB610" s="27" t="str">
        <f t="shared" si="179"/>
        <v/>
      </c>
      <c r="AC610" s="2" t="str">
        <f t="shared" si="180"/>
        <v/>
      </c>
      <c r="AD610" s="38">
        <f t="shared" si="181"/>
        <v>6</v>
      </c>
      <c r="AE610" t="str">
        <f t="shared" si="182"/>
        <v/>
      </c>
      <c r="AF610" t="str">
        <f t="shared" si="183"/>
        <v/>
      </c>
      <c r="AG610" t="str">
        <f t="shared" si="184"/>
        <v/>
      </c>
      <c r="AH610" t="str">
        <f t="shared" si="185"/>
        <v/>
      </c>
      <c r="AI610" t="str">
        <f t="shared" si="186"/>
        <v/>
      </c>
      <c r="AJ610" t="str">
        <f t="shared" si="187"/>
        <v/>
      </c>
      <c r="AK610" t="str">
        <f t="shared" si="188"/>
        <v/>
      </c>
      <c r="AL610" t="str">
        <f>IFERROR(ROUND(L610*(G610/$AU610)/VLOOKUP(F610,商品!$A$4:$B$60,2,FALSE),0),"")</f>
        <v/>
      </c>
      <c r="AM610" t="str">
        <f>IFERROR(ROUND(L610*(I610/$AU610)/VLOOKUP(H610,商品!$A$4:$B$60,2,FALSE),0),"")</f>
        <v/>
      </c>
      <c r="AN610">
        <f>IFERROR(ROUND(L610*(J610/$AU610)/VLOOKUP("运力",商品!$A$4:$B$60,2,FALSE),0),0)</f>
        <v>0</v>
      </c>
      <c r="AO610">
        <f>IFERROR(ROUND(L610*(K610/$AU610)/VLOOKUP("交易",商品!$A$4:$B$60,2,FALSE),0),0)</f>
        <v>0</v>
      </c>
      <c r="AP610" t="str">
        <f>IFERROR(ROUND(S610*(N610/$AV610)/VLOOKUP(M610,职业!$A$4:$G$16,4,FALSE),0),"")</f>
        <v/>
      </c>
      <c r="AQ610" t="str">
        <f>IFERROR(ROUND(S610*(P610/$AV610)/VLOOKUP(O610,职业!$A$4:$G$16,4,FALSE),0),"")</f>
        <v/>
      </c>
      <c r="AR610" t="str">
        <f>IFERROR(ROUND(S610*(R610/$AV610)/VLOOKUP(Q610,职业!$A$4:$G$16,4,FALSE),0),"")</f>
        <v/>
      </c>
      <c r="AS610" t="str">
        <f>IFERROR(ROUND(X610*(U610/$AW610)/VLOOKUP(T610,商品!$A$4:$B$60,2,FALSE),0),"")</f>
        <v/>
      </c>
      <c r="AT610" t="str">
        <f>IFERROR(ROUND(X610*(W610/$AW610)/VLOOKUP(V610,商品!$A$4:$B$60,2,FALSE),0),"")</f>
        <v/>
      </c>
      <c r="AU610">
        <f t="shared" si="189"/>
        <v>0</v>
      </c>
      <c r="AV610">
        <f t="shared" si="190"/>
        <v>0</v>
      </c>
      <c r="AW610">
        <f t="shared" si="191"/>
        <v>0</v>
      </c>
    </row>
    <row r="611" spans="1:49" ht="19.95" customHeight="1" x14ac:dyDescent="0.25">
      <c r="A611" s="16" t="s">
        <v>309</v>
      </c>
      <c r="C611" s="16">
        <v>7</v>
      </c>
      <c r="D611" s="23" t="s">
        <v>174</v>
      </c>
      <c r="E611" s="23" t="s">
        <v>179</v>
      </c>
      <c r="L611" s="15">
        <f>IFERROR(VLOOKUP($D611&amp;$C611,生产方式定位!$A$2:$E$38,2,FALSE)+VLOOKUP($E611&amp;$C611,生产方式定位!$F$3:$J$38,2,FALSE),0)</f>
        <v>0</v>
      </c>
      <c r="S611" s="15">
        <f>IFERROR(VLOOKUP($D611&amp;$C611,生产方式定位!$A$2:$E$38,3,FALSE)+VLOOKUP($E611&amp;$C611,生产方式定位!$F$3:$J$38,3,FALSE),0)</f>
        <v>100</v>
      </c>
      <c r="X611" s="15">
        <f>IFERROR(VLOOKUP($D611&amp;$C611,生产方式定位!$A$2:$E$38,5,FALSE)+VLOOKUP($E611&amp;$C611,生产方式定位!$F$3:$J$38,5,FALSE),"错误")</f>
        <v>100</v>
      </c>
      <c r="Y611" s="26" t="str">
        <f t="shared" si="176"/>
        <v/>
      </c>
      <c r="Z611" s="36" t="str">
        <f t="shared" si="177"/>
        <v/>
      </c>
      <c r="AA611" s="36" t="str">
        <f t="shared" si="178"/>
        <v/>
      </c>
      <c r="AB611" s="27" t="str">
        <f t="shared" si="179"/>
        <v/>
      </c>
      <c r="AC611" s="2" t="str">
        <f t="shared" si="180"/>
        <v/>
      </c>
      <c r="AD611" s="38">
        <f t="shared" si="181"/>
        <v>7</v>
      </c>
      <c r="AE611" t="str">
        <f t="shared" si="182"/>
        <v/>
      </c>
      <c r="AF611" t="str">
        <f t="shared" si="183"/>
        <v/>
      </c>
      <c r="AG611" t="str">
        <f t="shared" si="184"/>
        <v/>
      </c>
      <c r="AH611" t="str">
        <f t="shared" si="185"/>
        <v/>
      </c>
      <c r="AI611" t="str">
        <f t="shared" si="186"/>
        <v/>
      </c>
      <c r="AJ611" t="str">
        <f t="shared" si="187"/>
        <v/>
      </c>
      <c r="AK611" t="str">
        <f t="shared" si="188"/>
        <v/>
      </c>
      <c r="AL611" t="str">
        <f>IFERROR(ROUND(L611*(G611/$AU611)/VLOOKUP(F611,商品!$A$4:$B$60,2,FALSE),0),"")</f>
        <v/>
      </c>
      <c r="AM611" t="str">
        <f>IFERROR(ROUND(L611*(I611/$AU611)/VLOOKUP(H611,商品!$A$4:$B$60,2,FALSE),0),"")</f>
        <v/>
      </c>
      <c r="AN611">
        <f>IFERROR(ROUND(L611*(J611/$AU611)/VLOOKUP("运力",商品!$A$4:$B$60,2,FALSE),0),0)</f>
        <v>0</v>
      </c>
      <c r="AO611">
        <f>IFERROR(ROUND(L611*(K611/$AU611)/VLOOKUP("交易",商品!$A$4:$B$60,2,FALSE),0),0)</f>
        <v>0</v>
      </c>
      <c r="AP611" t="str">
        <f>IFERROR(ROUND(S611*(N611/$AV611)/VLOOKUP(M611,职业!$A$4:$G$16,4,FALSE),0),"")</f>
        <v/>
      </c>
      <c r="AQ611" t="str">
        <f>IFERROR(ROUND(S611*(P611/$AV611)/VLOOKUP(O611,职业!$A$4:$G$16,4,FALSE),0),"")</f>
        <v/>
      </c>
      <c r="AR611" t="str">
        <f>IFERROR(ROUND(S611*(R611/$AV611)/VLOOKUP(Q611,职业!$A$4:$G$16,4,FALSE),0),"")</f>
        <v/>
      </c>
      <c r="AS611" t="str">
        <f>IFERROR(ROUND(X611*(U611/$AW611)/VLOOKUP(T611,商品!$A$4:$B$60,2,FALSE),0),"")</f>
        <v/>
      </c>
      <c r="AT611" t="str">
        <f>IFERROR(ROUND(X611*(W611/$AW611)/VLOOKUP(V611,商品!$A$4:$B$60,2,FALSE),0),"")</f>
        <v/>
      </c>
      <c r="AU611">
        <f t="shared" si="189"/>
        <v>0</v>
      </c>
      <c r="AV611">
        <f t="shared" si="190"/>
        <v>0</v>
      </c>
      <c r="AW611">
        <f t="shared" si="191"/>
        <v>0</v>
      </c>
    </row>
    <row r="612" spans="1:49" ht="19.95" customHeight="1" x14ac:dyDescent="0.25">
      <c r="A612" s="16" t="s">
        <v>309</v>
      </c>
      <c r="C612" s="16">
        <v>8</v>
      </c>
      <c r="D612" s="23" t="s">
        <v>174</v>
      </c>
      <c r="E612" s="23" t="s">
        <v>179</v>
      </c>
      <c r="L612" s="15">
        <f>IFERROR(VLOOKUP($D612&amp;$C612,生产方式定位!$A$2:$E$38,2,FALSE)+VLOOKUP($E612&amp;$C612,生产方式定位!$F$3:$J$38,2,FALSE),0)</f>
        <v>0</v>
      </c>
      <c r="S612" s="15">
        <f>IFERROR(VLOOKUP($D612&amp;$C612,生产方式定位!$A$2:$E$38,3,FALSE)+VLOOKUP($E612&amp;$C612,生产方式定位!$F$3:$J$38,3,FALSE),0)</f>
        <v>100</v>
      </c>
      <c r="X612" s="15">
        <f>IFERROR(VLOOKUP($D612&amp;$C612,生产方式定位!$A$2:$E$38,5,FALSE)+VLOOKUP($E612&amp;$C612,生产方式定位!$F$3:$J$38,5,FALSE),"错误")</f>
        <v>100</v>
      </c>
      <c r="Y612" s="26" t="str">
        <f t="shared" si="176"/>
        <v/>
      </c>
      <c r="Z612" s="36" t="str">
        <f t="shared" si="177"/>
        <v/>
      </c>
      <c r="AA612" s="36" t="str">
        <f t="shared" si="178"/>
        <v/>
      </c>
      <c r="AB612" s="27" t="str">
        <f t="shared" si="179"/>
        <v/>
      </c>
      <c r="AC612" s="2" t="str">
        <f t="shared" si="180"/>
        <v/>
      </c>
      <c r="AD612" s="38">
        <f t="shared" si="181"/>
        <v>8</v>
      </c>
      <c r="AE612" t="str">
        <f t="shared" si="182"/>
        <v/>
      </c>
      <c r="AF612" t="str">
        <f t="shared" si="183"/>
        <v/>
      </c>
      <c r="AG612" t="str">
        <f t="shared" si="184"/>
        <v/>
      </c>
      <c r="AH612" t="str">
        <f t="shared" si="185"/>
        <v/>
      </c>
      <c r="AI612" t="str">
        <f t="shared" si="186"/>
        <v/>
      </c>
      <c r="AJ612" t="str">
        <f t="shared" si="187"/>
        <v/>
      </c>
      <c r="AK612" t="str">
        <f t="shared" si="188"/>
        <v/>
      </c>
      <c r="AL612" t="str">
        <f>IFERROR(ROUND(L612*(G612/$AU612)/VLOOKUP(F612,商品!$A$4:$B$60,2,FALSE),0),"")</f>
        <v/>
      </c>
      <c r="AM612" t="str">
        <f>IFERROR(ROUND(L612*(I612/$AU612)/VLOOKUP(H612,商品!$A$4:$B$60,2,FALSE),0),"")</f>
        <v/>
      </c>
      <c r="AN612">
        <f>IFERROR(ROUND(L612*(J612/$AU612)/VLOOKUP("运力",商品!$A$4:$B$60,2,FALSE),0),0)</f>
        <v>0</v>
      </c>
      <c r="AO612">
        <f>IFERROR(ROUND(L612*(K612/$AU612)/VLOOKUP("交易",商品!$A$4:$B$60,2,FALSE),0),0)</f>
        <v>0</v>
      </c>
      <c r="AP612" t="str">
        <f>IFERROR(ROUND(S612*(N612/$AV612)/VLOOKUP(M612,职业!$A$4:$G$16,4,FALSE),0),"")</f>
        <v/>
      </c>
      <c r="AQ612" t="str">
        <f>IFERROR(ROUND(S612*(P612/$AV612)/VLOOKUP(O612,职业!$A$4:$G$16,4,FALSE),0),"")</f>
        <v/>
      </c>
      <c r="AR612" t="str">
        <f>IFERROR(ROUND(S612*(R612/$AV612)/VLOOKUP(Q612,职业!$A$4:$G$16,4,FALSE),0),"")</f>
        <v/>
      </c>
      <c r="AS612" t="str">
        <f>IFERROR(ROUND(X612*(U612/$AW612)/VLOOKUP(T612,商品!$A$4:$B$60,2,FALSE),0),"")</f>
        <v/>
      </c>
      <c r="AT612" t="str">
        <f>IFERROR(ROUND(X612*(W612/$AW612)/VLOOKUP(V612,商品!$A$4:$B$60,2,FALSE),0),"")</f>
        <v/>
      </c>
      <c r="AU612">
        <f t="shared" si="189"/>
        <v>0</v>
      </c>
      <c r="AV612">
        <f t="shared" si="190"/>
        <v>0</v>
      </c>
      <c r="AW612">
        <f t="shared" si="191"/>
        <v>0</v>
      </c>
    </row>
    <row r="613" spans="1:49" ht="19.95" customHeight="1" x14ac:dyDescent="0.25">
      <c r="A613" s="15" t="s">
        <v>309</v>
      </c>
      <c r="C613" s="15">
        <v>1</v>
      </c>
      <c r="D613" s="23" t="s">
        <v>174</v>
      </c>
      <c r="E613" s="23" t="s">
        <v>179</v>
      </c>
      <c r="L613" s="16">
        <f>IFERROR(VLOOKUP($D613&amp;$C613,生产方式定位!$A$2:$E$38,2,FALSE)+VLOOKUP($E613&amp;$C613,生产方式定位!$F$3:$J$38,2,FALSE),0)</f>
        <v>0</v>
      </c>
      <c r="S613" s="16">
        <f>IFERROR(VLOOKUP($D613&amp;$C613,生产方式定位!$A$2:$E$38,3,FALSE)+VLOOKUP($E613&amp;$C613,生产方式定位!$F$3:$J$38,3,FALSE),0)</f>
        <v>100</v>
      </c>
      <c r="X613" s="16">
        <f>IFERROR(VLOOKUP($D613&amp;$C613,生产方式定位!$A$2:$E$38,5,FALSE)+VLOOKUP($E613&amp;$C613,生产方式定位!$F$3:$J$38,5,FALSE),"错误")</f>
        <v>100</v>
      </c>
      <c r="Y613" s="26" t="str">
        <f t="shared" si="176"/>
        <v/>
      </c>
      <c r="Z613" s="36" t="str">
        <f t="shared" si="177"/>
        <v/>
      </c>
      <c r="AA613" s="36" t="str">
        <f t="shared" si="178"/>
        <v/>
      </c>
      <c r="AB613" s="27" t="str">
        <f t="shared" si="179"/>
        <v/>
      </c>
      <c r="AC613" s="2" t="str">
        <f t="shared" si="180"/>
        <v/>
      </c>
      <c r="AD613" s="38">
        <f t="shared" si="181"/>
        <v>1</v>
      </c>
      <c r="AE613" t="str">
        <f t="shared" si="182"/>
        <v/>
      </c>
      <c r="AF613" t="str">
        <f t="shared" si="183"/>
        <v/>
      </c>
      <c r="AG613" t="str">
        <f t="shared" si="184"/>
        <v/>
      </c>
      <c r="AH613" t="str">
        <f t="shared" si="185"/>
        <v/>
      </c>
      <c r="AI613" t="str">
        <f t="shared" si="186"/>
        <v/>
      </c>
      <c r="AJ613" t="str">
        <f t="shared" si="187"/>
        <v/>
      </c>
      <c r="AK613" t="str">
        <f t="shared" si="188"/>
        <v/>
      </c>
      <c r="AL613" t="str">
        <f>IFERROR(ROUND(L613*(G613/$AU613)/VLOOKUP(F613,商品!$A$4:$B$60,2,FALSE),0),"")</f>
        <v/>
      </c>
      <c r="AM613" t="str">
        <f>IFERROR(ROUND(L613*(I613/$AU613)/VLOOKUP(H613,商品!$A$4:$B$60,2,FALSE),0),"")</f>
        <v/>
      </c>
      <c r="AN613">
        <f>IFERROR(ROUND(L613*(J613/$AU613)/VLOOKUP("运力",商品!$A$4:$B$60,2,FALSE),0),0)</f>
        <v>0</v>
      </c>
      <c r="AO613">
        <f>IFERROR(ROUND(L613*(K613/$AU613)/VLOOKUP("交易",商品!$A$4:$B$60,2,FALSE),0),0)</f>
        <v>0</v>
      </c>
      <c r="AP613" t="str">
        <f>IFERROR(ROUND(S613*(N613/$AV613)/VLOOKUP(M613,职业!$A$4:$G$16,4,FALSE),0),"")</f>
        <v/>
      </c>
      <c r="AQ613" t="str">
        <f>IFERROR(ROUND(S613*(P613/$AV613)/VLOOKUP(O613,职业!$A$4:$G$16,4,FALSE),0),"")</f>
        <v/>
      </c>
      <c r="AR613" t="str">
        <f>IFERROR(ROUND(S613*(R613/$AV613)/VLOOKUP(Q613,职业!$A$4:$G$16,4,FALSE),0),"")</f>
        <v/>
      </c>
      <c r="AS613" t="str">
        <f>IFERROR(ROUND(X613*(U613/$AW613)/VLOOKUP(T613,商品!$A$4:$B$60,2,FALSE),0),"")</f>
        <v/>
      </c>
      <c r="AT613" t="str">
        <f>IFERROR(ROUND(X613*(W613/$AW613)/VLOOKUP(V613,商品!$A$4:$B$60,2,FALSE),0),"")</f>
        <v/>
      </c>
      <c r="AU613">
        <f t="shared" si="189"/>
        <v>0</v>
      </c>
      <c r="AV613">
        <f t="shared" si="190"/>
        <v>0</v>
      </c>
      <c r="AW613">
        <f t="shared" si="191"/>
        <v>0</v>
      </c>
    </row>
    <row r="614" spans="1:49" ht="19.95" customHeight="1" x14ac:dyDescent="0.25">
      <c r="A614" s="15" t="s">
        <v>309</v>
      </c>
      <c r="C614" s="15">
        <v>2</v>
      </c>
      <c r="D614" s="23" t="s">
        <v>174</v>
      </c>
      <c r="E614" s="23" t="s">
        <v>179</v>
      </c>
      <c r="L614" s="16">
        <f>IFERROR(VLOOKUP($D614&amp;$C614,生产方式定位!$A$2:$E$38,2,FALSE)+VLOOKUP($E614&amp;$C614,生产方式定位!$F$3:$J$38,2,FALSE),0)</f>
        <v>0</v>
      </c>
      <c r="S614" s="16">
        <f>IFERROR(VLOOKUP($D614&amp;$C614,生产方式定位!$A$2:$E$38,3,FALSE)+VLOOKUP($E614&amp;$C614,生产方式定位!$F$3:$J$38,3,FALSE),0)</f>
        <v>100</v>
      </c>
      <c r="X614" s="16">
        <f>IFERROR(VLOOKUP($D614&amp;$C614,生产方式定位!$A$2:$E$38,5,FALSE)+VLOOKUP($E614&amp;$C614,生产方式定位!$F$3:$J$38,5,FALSE),"错误")</f>
        <v>100</v>
      </c>
      <c r="Y614" s="26" t="str">
        <f t="shared" si="176"/>
        <v/>
      </c>
      <c r="Z614" s="36" t="str">
        <f t="shared" si="177"/>
        <v/>
      </c>
      <c r="AA614" s="36" t="str">
        <f t="shared" si="178"/>
        <v/>
      </c>
      <c r="AB614" s="27" t="str">
        <f t="shared" si="179"/>
        <v/>
      </c>
      <c r="AC614" s="2" t="str">
        <f t="shared" si="180"/>
        <v/>
      </c>
      <c r="AD614" s="38">
        <f t="shared" si="181"/>
        <v>2</v>
      </c>
      <c r="AE614" t="str">
        <f t="shared" si="182"/>
        <v/>
      </c>
      <c r="AF614" t="str">
        <f t="shared" si="183"/>
        <v/>
      </c>
      <c r="AG614" t="str">
        <f t="shared" si="184"/>
        <v/>
      </c>
      <c r="AH614" t="str">
        <f t="shared" si="185"/>
        <v/>
      </c>
      <c r="AI614" t="str">
        <f t="shared" si="186"/>
        <v/>
      </c>
      <c r="AJ614" t="str">
        <f t="shared" si="187"/>
        <v/>
      </c>
      <c r="AK614" t="str">
        <f t="shared" si="188"/>
        <v/>
      </c>
      <c r="AL614" t="str">
        <f>IFERROR(ROUND(L614*(G614/$AU614)/VLOOKUP(F614,商品!$A$4:$B$60,2,FALSE),0),"")</f>
        <v/>
      </c>
      <c r="AM614" t="str">
        <f>IFERROR(ROUND(L614*(I614/$AU614)/VLOOKUP(H614,商品!$A$4:$B$60,2,FALSE),0),"")</f>
        <v/>
      </c>
      <c r="AN614">
        <f>IFERROR(ROUND(L614*(J614/$AU614)/VLOOKUP("运力",商品!$A$4:$B$60,2,FALSE),0),0)</f>
        <v>0</v>
      </c>
      <c r="AO614">
        <f>IFERROR(ROUND(L614*(K614/$AU614)/VLOOKUP("交易",商品!$A$4:$B$60,2,FALSE),0),0)</f>
        <v>0</v>
      </c>
      <c r="AP614" t="str">
        <f>IFERROR(ROUND(S614*(N614/$AV614)/VLOOKUP(M614,职业!$A$4:$G$16,4,FALSE),0),"")</f>
        <v/>
      </c>
      <c r="AQ614" t="str">
        <f>IFERROR(ROUND(S614*(P614/$AV614)/VLOOKUP(O614,职业!$A$4:$G$16,4,FALSE),0),"")</f>
        <v/>
      </c>
      <c r="AR614" t="str">
        <f>IFERROR(ROUND(S614*(R614/$AV614)/VLOOKUP(Q614,职业!$A$4:$G$16,4,FALSE),0),"")</f>
        <v/>
      </c>
      <c r="AS614" t="str">
        <f>IFERROR(ROUND(X614*(U614/$AW614)/VLOOKUP(T614,商品!$A$4:$B$60,2,FALSE),0),"")</f>
        <v/>
      </c>
      <c r="AT614" t="str">
        <f>IFERROR(ROUND(X614*(W614/$AW614)/VLOOKUP(V614,商品!$A$4:$B$60,2,FALSE),0),"")</f>
        <v/>
      </c>
      <c r="AU614">
        <f t="shared" si="189"/>
        <v>0</v>
      </c>
      <c r="AV614">
        <f t="shared" si="190"/>
        <v>0</v>
      </c>
      <c r="AW614">
        <f t="shared" si="191"/>
        <v>0</v>
      </c>
    </row>
    <row r="615" spans="1:49" ht="19.95" customHeight="1" x14ac:dyDescent="0.25">
      <c r="A615" s="15" t="s">
        <v>309</v>
      </c>
      <c r="C615" s="15">
        <v>3</v>
      </c>
      <c r="D615" s="23" t="s">
        <v>174</v>
      </c>
      <c r="E615" s="23" t="s">
        <v>179</v>
      </c>
      <c r="L615" s="16">
        <f>IFERROR(VLOOKUP($D615&amp;$C615,生产方式定位!$A$2:$E$38,2,FALSE)+VLOOKUP($E615&amp;$C615,生产方式定位!$F$3:$J$38,2,FALSE),0)</f>
        <v>0</v>
      </c>
      <c r="S615" s="16">
        <f>IFERROR(VLOOKUP($D615&amp;$C615,生产方式定位!$A$2:$E$38,3,FALSE)+VLOOKUP($E615&amp;$C615,生产方式定位!$F$3:$J$38,3,FALSE),0)</f>
        <v>100</v>
      </c>
      <c r="X615" s="16">
        <f>IFERROR(VLOOKUP($D615&amp;$C615,生产方式定位!$A$2:$E$38,5,FALSE)+VLOOKUP($E615&amp;$C615,生产方式定位!$F$3:$J$38,5,FALSE),"错误")</f>
        <v>100</v>
      </c>
      <c r="Y615" s="26" t="str">
        <f t="shared" si="176"/>
        <v/>
      </c>
      <c r="Z615" s="36" t="str">
        <f t="shared" si="177"/>
        <v/>
      </c>
      <c r="AA615" s="36" t="str">
        <f t="shared" si="178"/>
        <v/>
      </c>
      <c r="AB615" s="27" t="str">
        <f t="shared" si="179"/>
        <v/>
      </c>
      <c r="AC615" s="2" t="str">
        <f t="shared" si="180"/>
        <v/>
      </c>
      <c r="AD615" s="37">
        <f t="shared" si="181"/>
        <v>3</v>
      </c>
      <c r="AE615" t="str">
        <f t="shared" si="182"/>
        <v/>
      </c>
      <c r="AF615" t="str">
        <f t="shared" si="183"/>
        <v/>
      </c>
      <c r="AG615" t="str">
        <f t="shared" si="184"/>
        <v/>
      </c>
      <c r="AH615" t="str">
        <f t="shared" si="185"/>
        <v/>
      </c>
      <c r="AI615" t="str">
        <f t="shared" si="186"/>
        <v/>
      </c>
      <c r="AJ615" t="str">
        <f t="shared" si="187"/>
        <v/>
      </c>
      <c r="AK615" t="str">
        <f t="shared" si="188"/>
        <v/>
      </c>
      <c r="AL615" t="str">
        <f>IFERROR(ROUND(L615*(G615/$AU615)/VLOOKUP(F615,商品!$A$4:$B$60,2,FALSE),0),"")</f>
        <v/>
      </c>
      <c r="AM615" t="str">
        <f>IFERROR(ROUND(L615*(I615/$AU615)/VLOOKUP(H615,商品!$A$4:$B$60,2,FALSE),0),"")</f>
        <v/>
      </c>
      <c r="AN615">
        <f>IFERROR(ROUND(L615*(J615/$AU615)/VLOOKUP("运力",商品!$A$4:$B$60,2,FALSE),0),0)</f>
        <v>0</v>
      </c>
      <c r="AO615">
        <f>IFERROR(ROUND(L615*(K615/$AU615)/VLOOKUP("交易",商品!$A$4:$B$60,2,FALSE),0),0)</f>
        <v>0</v>
      </c>
      <c r="AP615" t="str">
        <f>IFERROR(ROUND(S615*(N615/$AV615)/VLOOKUP(M615,职业!$A$4:$G$16,4,FALSE),0),"")</f>
        <v/>
      </c>
      <c r="AQ615" t="str">
        <f>IFERROR(ROUND(S615*(P615/$AV615)/VLOOKUP(O615,职业!$A$4:$G$16,4,FALSE),0),"")</f>
        <v/>
      </c>
      <c r="AR615" t="str">
        <f>IFERROR(ROUND(S615*(R615/$AV615)/VLOOKUP(Q615,职业!$A$4:$G$16,4,FALSE),0),"")</f>
        <v/>
      </c>
      <c r="AS615" t="str">
        <f>IFERROR(ROUND(X615*(U615/$AW615)/VLOOKUP(T615,商品!$A$4:$B$60,2,FALSE),0),"")</f>
        <v/>
      </c>
      <c r="AT615" t="str">
        <f>IFERROR(ROUND(X615*(W615/$AW615)/VLOOKUP(V615,商品!$A$4:$B$60,2,FALSE),0),"")</f>
        <v/>
      </c>
      <c r="AU615">
        <f t="shared" si="189"/>
        <v>0</v>
      </c>
      <c r="AV615">
        <f t="shared" si="190"/>
        <v>0</v>
      </c>
      <c r="AW615">
        <f t="shared" si="191"/>
        <v>0</v>
      </c>
    </row>
    <row r="616" spans="1:49" ht="19.95" customHeight="1" x14ac:dyDescent="0.25">
      <c r="A616" s="15" t="s">
        <v>309</v>
      </c>
      <c r="C616" s="15">
        <v>4</v>
      </c>
      <c r="D616" s="23" t="s">
        <v>174</v>
      </c>
      <c r="E616" s="23" t="s">
        <v>179</v>
      </c>
      <c r="L616" s="16">
        <f>IFERROR(VLOOKUP($D616&amp;$C616,生产方式定位!$A$2:$E$38,2,FALSE)+VLOOKUP($E616&amp;$C616,生产方式定位!$F$3:$J$38,2,FALSE),0)</f>
        <v>0</v>
      </c>
      <c r="S616" s="16">
        <f>IFERROR(VLOOKUP($D616&amp;$C616,生产方式定位!$A$2:$E$38,3,FALSE)+VLOOKUP($E616&amp;$C616,生产方式定位!$F$3:$J$38,3,FALSE),0)</f>
        <v>100</v>
      </c>
      <c r="X616" s="16">
        <f>IFERROR(VLOOKUP($D616&amp;$C616,生产方式定位!$A$2:$E$38,5,FALSE)+VLOOKUP($E616&amp;$C616,生产方式定位!$F$3:$J$38,5,FALSE),"错误")</f>
        <v>100</v>
      </c>
      <c r="Y616" s="26" t="str">
        <f t="shared" si="176"/>
        <v/>
      </c>
      <c r="Z616" s="36" t="str">
        <f t="shared" si="177"/>
        <v/>
      </c>
      <c r="AA616" s="36" t="str">
        <f t="shared" si="178"/>
        <v/>
      </c>
      <c r="AB616" s="27" t="str">
        <f t="shared" si="179"/>
        <v/>
      </c>
      <c r="AC616" s="2" t="str">
        <f t="shared" si="180"/>
        <v/>
      </c>
      <c r="AD616" s="37">
        <f t="shared" si="181"/>
        <v>4</v>
      </c>
      <c r="AE616" t="str">
        <f t="shared" si="182"/>
        <v/>
      </c>
      <c r="AF616" t="str">
        <f t="shared" si="183"/>
        <v/>
      </c>
      <c r="AG616" t="str">
        <f t="shared" si="184"/>
        <v/>
      </c>
      <c r="AH616" t="str">
        <f t="shared" si="185"/>
        <v/>
      </c>
      <c r="AI616" t="str">
        <f t="shared" si="186"/>
        <v/>
      </c>
      <c r="AJ616" t="str">
        <f t="shared" si="187"/>
        <v/>
      </c>
      <c r="AK616" t="str">
        <f t="shared" si="188"/>
        <v/>
      </c>
      <c r="AL616" t="str">
        <f>IFERROR(ROUND(L616*(G616/$AU616)/VLOOKUP(F616,商品!$A$4:$B$60,2,FALSE),0),"")</f>
        <v/>
      </c>
      <c r="AM616" t="str">
        <f>IFERROR(ROUND(L616*(I616/$AU616)/VLOOKUP(H616,商品!$A$4:$B$60,2,FALSE),0),"")</f>
        <v/>
      </c>
      <c r="AN616">
        <f>IFERROR(ROUND(L616*(J616/$AU616)/VLOOKUP("运力",商品!$A$4:$B$60,2,FALSE),0),0)</f>
        <v>0</v>
      </c>
      <c r="AO616">
        <f>IFERROR(ROUND(L616*(K616/$AU616)/VLOOKUP("交易",商品!$A$4:$B$60,2,FALSE),0),0)</f>
        <v>0</v>
      </c>
      <c r="AP616" t="str">
        <f>IFERROR(ROUND(S616*(N616/$AV616)/VLOOKUP(M616,职业!$A$4:$G$16,4,FALSE),0),"")</f>
        <v/>
      </c>
      <c r="AQ616" t="str">
        <f>IFERROR(ROUND(S616*(P616/$AV616)/VLOOKUP(O616,职业!$A$4:$G$16,4,FALSE),0),"")</f>
        <v/>
      </c>
      <c r="AR616" t="str">
        <f>IFERROR(ROUND(S616*(R616/$AV616)/VLOOKUP(Q616,职业!$A$4:$G$16,4,FALSE),0),"")</f>
        <v/>
      </c>
      <c r="AS616" t="str">
        <f>IFERROR(ROUND(X616*(U616/$AW616)/VLOOKUP(T616,商品!$A$4:$B$60,2,FALSE),0),"")</f>
        <v/>
      </c>
      <c r="AT616" t="str">
        <f>IFERROR(ROUND(X616*(W616/$AW616)/VLOOKUP(V616,商品!$A$4:$B$60,2,FALSE),0),"")</f>
        <v/>
      </c>
      <c r="AU616">
        <f t="shared" si="189"/>
        <v>0</v>
      </c>
      <c r="AV616">
        <f t="shared" si="190"/>
        <v>0</v>
      </c>
      <c r="AW616">
        <f t="shared" si="191"/>
        <v>0</v>
      </c>
    </row>
    <row r="617" spans="1:49" ht="19.95" customHeight="1" x14ac:dyDescent="0.25">
      <c r="A617" s="15" t="s">
        <v>309</v>
      </c>
      <c r="C617" s="15">
        <v>5</v>
      </c>
      <c r="D617" s="23" t="s">
        <v>174</v>
      </c>
      <c r="E617" s="23" t="s">
        <v>179</v>
      </c>
      <c r="L617" s="16">
        <f>IFERROR(VLOOKUP($D617&amp;$C617,生产方式定位!$A$2:$E$38,2,FALSE)+VLOOKUP($E617&amp;$C617,生产方式定位!$F$3:$J$38,2,FALSE),0)</f>
        <v>0</v>
      </c>
      <c r="S617" s="16">
        <f>IFERROR(VLOOKUP($D617&amp;$C617,生产方式定位!$A$2:$E$38,3,FALSE)+VLOOKUP($E617&amp;$C617,生产方式定位!$F$3:$J$38,3,FALSE),0)</f>
        <v>100</v>
      </c>
      <c r="X617" s="16">
        <f>IFERROR(VLOOKUP($D617&amp;$C617,生产方式定位!$A$2:$E$38,5,FALSE)+VLOOKUP($E617&amp;$C617,生产方式定位!$F$3:$J$38,5,FALSE),"错误")</f>
        <v>100</v>
      </c>
      <c r="Y617" s="26" t="str">
        <f t="shared" si="176"/>
        <v/>
      </c>
      <c r="Z617" s="36" t="str">
        <f t="shared" si="177"/>
        <v/>
      </c>
      <c r="AA617" s="36" t="str">
        <f t="shared" si="178"/>
        <v/>
      </c>
      <c r="AB617" s="27" t="str">
        <f t="shared" si="179"/>
        <v/>
      </c>
      <c r="AC617" s="2" t="str">
        <f t="shared" si="180"/>
        <v/>
      </c>
      <c r="AD617" s="37">
        <f t="shared" si="181"/>
        <v>5</v>
      </c>
      <c r="AE617" t="str">
        <f t="shared" si="182"/>
        <v/>
      </c>
      <c r="AF617" t="str">
        <f t="shared" si="183"/>
        <v/>
      </c>
      <c r="AG617" t="str">
        <f t="shared" si="184"/>
        <v/>
      </c>
      <c r="AH617" t="str">
        <f t="shared" si="185"/>
        <v/>
      </c>
      <c r="AI617" t="str">
        <f t="shared" si="186"/>
        <v/>
      </c>
      <c r="AJ617" t="str">
        <f t="shared" si="187"/>
        <v/>
      </c>
      <c r="AK617" t="str">
        <f t="shared" si="188"/>
        <v/>
      </c>
      <c r="AL617" t="str">
        <f>IFERROR(ROUND(L617*(G617/$AU617)/VLOOKUP(F617,商品!$A$4:$B$60,2,FALSE),0),"")</f>
        <v/>
      </c>
      <c r="AM617" t="str">
        <f>IFERROR(ROUND(L617*(I617/$AU617)/VLOOKUP(H617,商品!$A$4:$B$60,2,FALSE),0),"")</f>
        <v/>
      </c>
      <c r="AN617">
        <f>IFERROR(ROUND(L617*(J617/$AU617)/VLOOKUP("运力",商品!$A$4:$B$60,2,FALSE),0),0)</f>
        <v>0</v>
      </c>
      <c r="AO617">
        <f>IFERROR(ROUND(L617*(K617/$AU617)/VLOOKUP("交易",商品!$A$4:$B$60,2,FALSE),0),0)</f>
        <v>0</v>
      </c>
      <c r="AP617" t="str">
        <f>IFERROR(ROUND(S617*(N617/$AV617)/VLOOKUP(M617,职业!$A$4:$G$16,4,FALSE),0),"")</f>
        <v/>
      </c>
      <c r="AQ617" t="str">
        <f>IFERROR(ROUND(S617*(P617/$AV617)/VLOOKUP(O617,职业!$A$4:$G$16,4,FALSE),0),"")</f>
        <v/>
      </c>
      <c r="AR617" t="str">
        <f>IFERROR(ROUND(S617*(R617/$AV617)/VLOOKUP(Q617,职业!$A$4:$G$16,4,FALSE),0),"")</f>
        <v/>
      </c>
      <c r="AS617" t="str">
        <f>IFERROR(ROUND(X617*(U617/$AW617)/VLOOKUP(T617,商品!$A$4:$B$60,2,FALSE),0),"")</f>
        <v/>
      </c>
      <c r="AT617" t="str">
        <f>IFERROR(ROUND(X617*(W617/$AW617)/VLOOKUP(V617,商品!$A$4:$B$60,2,FALSE),0),"")</f>
        <v/>
      </c>
      <c r="AU617">
        <f t="shared" si="189"/>
        <v>0</v>
      </c>
      <c r="AV617">
        <f t="shared" si="190"/>
        <v>0</v>
      </c>
      <c r="AW617">
        <f t="shared" si="191"/>
        <v>0</v>
      </c>
    </row>
    <row r="618" spans="1:49" ht="19.95" customHeight="1" x14ac:dyDescent="0.25">
      <c r="A618" s="15" t="s">
        <v>309</v>
      </c>
      <c r="C618" s="15">
        <v>6</v>
      </c>
      <c r="D618" s="23" t="s">
        <v>174</v>
      </c>
      <c r="E618" s="23" t="s">
        <v>179</v>
      </c>
      <c r="L618" s="16">
        <f>IFERROR(VLOOKUP($D618&amp;$C618,生产方式定位!$A$2:$E$38,2,FALSE)+VLOOKUP($E618&amp;$C618,生产方式定位!$F$3:$J$38,2,FALSE),0)</f>
        <v>0</v>
      </c>
      <c r="S618" s="16">
        <f>IFERROR(VLOOKUP($D618&amp;$C618,生产方式定位!$A$2:$E$38,3,FALSE)+VLOOKUP($E618&amp;$C618,生产方式定位!$F$3:$J$38,3,FALSE),0)</f>
        <v>100</v>
      </c>
      <c r="X618" s="16">
        <f>IFERROR(VLOOKUP($D618&amp;$C618,生产方式定位!$A$2:$E$38,5,FALSE)+VLOOKUP($E618&amp;$C618,生产方式定位!$F$3:$J$38,5,FALSE),"错误")</f>
        <v>100</v>
      </c>
      <c r="Y618" s="26" t="str">
        <f t="shared" si="176"/>
        <v/>
      </c>
      <c r="Z618" s="36" t="str">
        <f t="shared" si="177"/>
        <v/>
      </c>
      <c r="AA618" s="36" t="str">
        <f t="shared" si="178"/>
        <v/>
      </c>
      <c r="AB618" s="27" t="str">
        <f t="shared" si="179"/>
        <v/>
      </c>
      <c r="AC618" s="2" t="str">
        <f t="shared" si="180"/>
        <v/>
      </c>
      <c r="AD618" s="37">
        <f t="shared" si="181"/>
        <v>6</v>
      </c>
      <c r="AE618" t="str">
        <f t="shared" si="182"/>
        <v/>
      </c>
      <c r="AF618" t="str">
        <f t="shared" si="183"/>
        <v/>
      </c>
      <c r="AG618" t="str">
        <f t="shared" si="184"/>
        <v/>
      </c>
      <c r="AH618" t="str">
        <f t="shared" si="185"/>
        <v/>
      </c>
      <c r="AI618" t="str">
        <f t="shared" si="186"/>
        <v/>
      </c>
      <c r="AJ618" t="str">
        <f t="shared" si="187"/>
        <v/>
      </c>
      <c r="AK618" t="str">
        <f t="shared" si="188"/>
        <v/>
      </c>
      <c r="AL618" t="str">
        <f>IFERROR(ROUND(L618*(G618/$AU618)/VLOOKUP(F618,商品!$A$4:$B$60,2,FALSE),0),"")</f>
        <v/>
      </c>
      <c r="AM618" t="str">
        <f>IFERROR(ROUND(L618*(I618/$AU618)/VLOOKUP(H618,商品!$A$4:$B$60,2,FALSE),0),"")</f>
        <v/>
      </c>
      <c r="AN618">
        <f>IFERROR(ROUND(L618*(J618/$AU618)/VLOOKUP("运力",商品!$A$4:$B$60,2,FALSE),0),0)</f>
        <v>0</v>
      </c>
      <c r="AO618">
        <f>IFERROR(ROUND(L618*(K618/$AU618)/VLOOKUP("交易",商品!$A$4:$B$60,2,FALSE),0),0)</f>
        <v>0</v>
      </c>
      <c r="AP618" t="str">
        <f>IFERROR(ROUND(S618*(N618/$AV618)/VLOOKUP(M618,职业!$A$4:$G$16,4,FALSE),0),"")</f>
        <v/>
      </c>
      <c r="AQ618" t="str">
        <f>IFERROR(ROUND(S618*(P618/$AV618)/VLOOKUP(O618,职业!$A$4:$G$16,4,FALSE),0),"")</f>
        <v/>
      </c>
      <c r="AR618" t="str">
        <f>IFERROR(ROUND(S618*(R618/$AV618)/VLOOKUP(Q618,职业!$A$4:$G$16,4,FALSE),0),"")</f>
        <v/>
      </c>
      <c r="AS618" t="str">
        <f>IFERROR(ROUND(X618*(U618/$AW618)/VLOOKUP(T618,商品!$A$4:$B$60,2,FALSE),0),"")</f>
        <v/>
      </c>
      <c r="AT618" t="str">
        <f>IFERROR(ROUND(X618*(W618/$AW618)/VLOOKUP(V618,商品!$A$4:$B$60,2,FALSE),0),"")</f>
        <v/>
      </c>
      <c r="AU618">
        <f t="shared" si="189"/>
        <v>0</v>
      </c>
      <c r="AV618">
        <f t="shared" si="190"/>
        <v>0</v>
      </c>
      <c r="AW618">
        <f t="shared" si="191"/>
        <v>0</v>
      </c>
    </row>
    <row r="619" spans="1:49" ht="19.95" customHeight="1" x14ac:dyDescent="0.25">
      <c r="A619" s="15" t="s">
        <v>309</v>
      </c>
      <c r="C619" s="15">
        <v>7</v>
      </c>
      <c r="D619" s="23" t="s">
        <v>174</v>
      </c>
      <c r="E619" s="23" t="s">
        <v>179</v>
      </c>
      <c r="L619" s="16">
        <f>IFERROR(VLOOKUP($D619&amp;$C619,生产方式定位!$A$2:$E$38,2,FALSE)+VLOOKUP($E619&amp;$C619,生产方式定位!$F$3:$J$38,2,FALSE),0)</f>
        <v>0</v>
      </c>
      <c r="S619" s="16">
        <f>IFERROR(VLOOKUP($D619&amp;$C619,生产方式定位!$A$2:$E$38,3,FALSE)+VLOOKUP($E619&amp;$C619,生产方式定位!$F$3:$J$38,3,FALSE),0)</f>
        <v>100</v>
      </c>
      <c r="X619" s="16">
        <f>IFERROR(VLOOKUP($D619&amp;$C619,生产方式定位!$A$2:$E$38,5,FALSE)+VLOOKUP($E619&amp;$C619,生产方式定位!$F$3:$J$38,5,FALSE),"错误")</f>
        <v>100</v>
      </c>
      <c r="Y619" s="26" t="str">
        <f t="shared" si="176"/>
        <v/>
      </c>
      <c r="Z619" s="36" t="str">
        <f t="shared" si="177"/>
        <v/>
      </c>
      <c r="AA619" s="36" t="str">
        <f t="shared" si="178"/>
        <v/>
      </c>
      <c r="AB619" s="27" t="str">
        <f t="shared" si="179"/>
        <v/>
      </c>
      <c r="AC619" s="2" t="str">
        <f t="shared" si="180"/>
        <v/>
      </c>
      <c r="AD619" s="37">
        <f t="shared" si="181"/>
        <v>7</v>
      </c>
      <c r="AE619" t="str">
        <f t="shared" si="182"/>
        <v/>
      </c>
      <c r="AF619" t="str">
        <f t="shared" si="183"/>
        <v/>
      </c>
      <c r="AG619" t="str">
        <f t="shared" si="184"/>
        <v/>
      </c>
      <c r="AH619" t="str">
        <f t="shared" si="185"/>
        <v/>
      </c>
      <c r="AI619" t="str">
        <f t="shared" si="186"/>
        <v/>
      </c>
      <c r="AJ619" t="str">
        <f t="shared" si="187"/>
        <v/>
      </c>
      <c r="AK619" t="str">
        <f t="shared" si="188"/>
        <v/>
      </c>
      <c r="AL619" t="str">
        <f>IFERROR(ROUND(L619*(G619/$AU619)/VLOOKUP(F619,商品!$A$4:$B$60,2,FALSE),0),"")</f>
        <v/>
      </c>
      <c r="AM619" t="str">
        <f>IFERROR(ROUND(L619*(I619/$AU619)/VLOOKUP(H619,商品!$A$4:$B$60,2,FALSE),0),"")</f>
        <v/>
      </c>
      <c r="AN619">
        <f>IFERROR(ROUND(L619*(J619/$AU619)/VLOOKUP("运力",商品!$A$4:$B$60,2,FALSE),0),0)</f>
        <v>0</v>
      </c>
      <c r="AO619">
        <f>IFERROR(ROUND(L619*(K619/$AU619)/VLOOKUP("交易",商品!$A$4:$B$60,2,FALSE),0),0)</f>
        <v>0</v>
      </c>
      <c r="AP619" t="str">
        <f>IFERROR(ROUND(S619*(N619/$AV619)/VLOOKUP(M619,职业!$A$4:$G$16,4,FALSE),0),"")</f>
        <v/>
      </c>
      <c r="AQ619" t="str">
        <f>IFERROR(ROUND(S619*(P619/$AV619)/VLOOKUP(O619,职业!$A$4:$G$16,4,FALSE),0),"")</f>
        <v/>
      </c>
      <c r="AR619" t="str">
        <f>IFERROR(ROUND(S619*(R619/$AV619)/VLOOKUP(Q619,职业!$A$4:$G$16,4,FALSE),0),"")</f>
        <v/>
      </c>
      <c r="AS619" t="str">
        <f>IFERROR(ROUND(X619*(U619/$AW619)/VLOOKUP(T619,商品!$A$4:$B$60,2,FALSE),0),"")</f>
        <v/>
      </c>
      <c r="AT619" t="str">
        <f>IFERROR(ROUND(X619*(W619/$AW619)/VLOOKUP(V619,商品!$A$4:$B$60,2,FALSE),0),"")</f>
        <v/>
      </c>
      <c r="AU619">
        <f t="shared" si="189"/>
        <v>0</v>
      </c>
      <c r="AV619">
        <f t="shared" si="190"/>
        <v>0</v>
      </c>
      <c r="AW619">
        <f t="shared" si="191"/>
        <v>0</v>
      </c>
    </row>
    <row r="620" spans="1:49" ht="19.95" customHeight="1" x14ac:dyDescent="0.25">
      <c r="A620" s="15" t="s">
        <v>309</v>
      </c>
      <c r="C620" s="15">
        <v>8</v>
      </c>
      <c r="D620" s="23" t="s">
        <v>174</v>
      </c>
      <c r="E620" s="23" t="s">
        <v>179</v>
      </c>
      <c r="L620" s="16">
        <f>IFERROR(VLOOKUP($D620&amp;$C620,生产方式定位!$A$2:$E$38,2,FALSE)+VLOOKUP($E620&amp;$C620,生产方式定位!$F$3:$J$38,2,FALSE),0)</f>
        <v>0</v>
      </c>
      <c r="S620" s="16">
        <f>IFERROR(VLOOKUP($D620&amp;$C620,生产方式定位!$A$2:$E$38,3,FALSE)+VLOOKUP($E620&amp;$C620,生产方式定位!$F$3:$J$38,3,FALSE),0)</f>
        <v>100</v>
      </c>
      <c r="X620" s="16">
        <f>IFERROR(VLOOKUP($D620&amp;$C620,生产方式定位!$A$2:$E$38,5,FALSE)+VLOOKUP($E620&amp;$C620,生产方式定位!$F$3:$J$38,5,FALSE),"错误")</f>
        <v>100</v>
      </c>
      <c r="Y620" s="26" t="str">
        <f t="shared" ref="Y620:Y683" si="192">IF(AE620="","",AE620)&amp;IF(AF620="","",","&amp;AF620)&amp;IF(AN620=0,"",",运力*"&amp;AN620)&amp;IF(AO620=0,"",",交易*"&amp;AO620)</f>
        <v/>
      </c>
      <c r="Z620" s="36" t="str">
        <f t="shared" ref="Z620:Z683" si="193">IF(AG620="","",AG620)&amp;IF(AH620="","",","&amp;AH620)&amp;IF(AI620="","",","&amp;AI620)</f>
        <v/>
      </c>
      <c r="AA620" s="36" t="str">
        <f t="shared" ref="AA620:AA683" si="194">IF(AJ620="","",AJ620)&amp;IF(AK620="","",","&amp;AK620)</f>
        <v/>
      </c>
      <c r="AB620" s="27" t="str">
        <f t="shared" ref="AB620:AB683" si="195">IFERROR(ROUND(((X620/L620)-1)*100,0)&amp;"%","")</f>
        <v/>
      </c>
      <c r="AC620" s="2" t="str">
        <f t="shared" ref="AC620:AC683" si="196">IF(X620-S620-L620=0,"",X620-S620-L620)</f>
        <v/>
      </c>
      <c r="AD620" s="37">
        <f t="shared" ref="AD620:AD683" si="197">C620</f>
        <v>8</v>
      </c>
      <c r="AE620" t="str">
        <f t="shared" ref="AE620:AE683" si="198">IF(AL620="","",F620&amp;"*"&amp;AL620)</f>
        <v/>
      </c>
      <c r="AF620" t="str">
        <f t="shared" ref="AF620:AF683" si="199">IF(AM620="","",H620&amp;"*"&amp;AM620)</f>
        <v/>
      </c>
      <c r="AG620" t="str">
        <f t="shared" ref="AG620:AG683" si="200">IF(AP620="","",M620&amp;"*"&amp;AP620)</f>
        <v/>
      </c>
      <c r="AH620" t="str">
        <f t="shared" ref="AH620:AH683" si="201">IF(AQ620="","",O620&amp;"*"&amp;AQ620)</f>
        <v/>
      </c>
      <c r="AI620" t="str">
        <f t="shared" ref="AI620:AI683" si="202">IF(AR620="","",Q620&amp;"*"&amp;AR620)</f>
        <v/>
      </c>
      <c r="AJ620" t="str">
        <f t="shared" ref="AJ620:AJ683" si="203">IF(AS620="","",T620&amp;"*"&amp;AS620)</f>
        <v/>
      </c>
      <c r="AK620" t="str">
        <f t="shared" ref="AK620:AK683" si="204">IF(AT620="","",V620&amp;"*"&amp;AT620)</f>
        <v/>
      </c>
      <c r="AL620" t="str">
        <f>IFERROR(ROUND(L620*(G620/$AU620)/VLOOKUP(F620,商品!$A$4:$B$60,2,FALSE),0),"")</f>
        <v/>
      </c>
      <c r="AM620" t="str">
        <f>IFERROR(ROUND(L620*(I620/$AU620)/VLOOKUP(H620,商品!$A$4:$B$60,2,FALSE),0),"")</f>
        <v/>
      </c>
      <c r="AN620">
        <f>IFERROR(ROUND(L620*(J620/$AU620)/VLOOKUP("运力",商品!$A$4:$B$60,2,FALSE),0),0)</f>
        <v>0</v>
      </c>
      <c r="AO620">
        <f>IFERROR(ROUND(L620*(K620/$AU620)/VLOOKUP("交易",商品!$A$4:$B$60,2,FALSE),0),0)</f>
        <v>0</v>
      </c>
      <c r="AP620" t="str">
        <f>IFERROR(ROUND(S620*(N620/$AV620)/VLOOKUP(M620,职业!$A$4:$G$16,4,FALSE),0),"")</f>
        <v/>
      </c>
      <c r="AQ620" t="str">
        <f>IFERROR(ROUND(S620*(P620/$AV620)/VLOOKUP(O620,职业!$A$4:$G$16,4,FALSE),0),"")</f>
        <v/>
      </c>
      <c r="AR620" t="str">
        <f>IFERROR(ROUND(S620*(R620/$AV620)/VLOOKUP(Q620,职业!$A$4:$G$16,4,FALSE),0),"")</f>
        <v/>
      </c>
      <c r="AS620" t="str">
        <f>IFERROR(ROUND(X620*(U620/$AW620)/VLOOKUP(T620,商品!$A$4:$B$60,2,FALSE),0),"")</f>
        <v/>
      </c>
      <c r="AT620" t="str">
        <f>IFERROR(ROUND(X620*(W620/$AW620)/VLOOKUP(V620,商品!$A$4:$B$60,2,FALSE),0),"")</f>
        <v/>
      </c>
      <c r="AU620">
        <f t="shared" ref="AU620:AU683" si="205">G620+I620+J620+K620</f>
        <v>0</v>
      </c>
      <c r="AV620">
        <f t="shared" ref="AV620:AV683" si="206">ABS(N620)+ABS(P620)+ABS(R620)</f>
        <v>0</v>
      </c>
      <c r="AW620">
        <f t="shared" ref="AW620:AW683" si="207">U620+W620</f>
        <v>0</v>
      </c>
    </row>
    <row r="621" spans="1:49" ht="19.95" customHeight="1" x14ac:dyDescent="0.25">
      <c r="A621" s="16" t="s">
        <v>311</v>
      </c>
      <c r="C621" s="16">
        <v>1</v>
      </c>
      <c r="D621" s="23" t="s">
        <v>312</v>
      </c>
      <c r="E621" s="23" t="s">
        <v>172</v>
      </c>
      <c r="L621" s="15">
        <f>IFERROR(VLOOKUP($D621&amp;$C621,生产方式定位!$A$2:$E$38,2,FALSE)+VLOOKUP($E621&amp;$C621,生产方式定位!$F$3:$J$38,2,FALSE),0)</f>
        <v>0</v>
      </c>
      <c r="S621" s="15">
        <f>IFERROR(VLOOKUP($D621&amp;$C621,生产方式定位!$A$2:$E$38,3,FALSE)+VLOOKUP($E621&amp;$C621,生产方式定位!$F$3:$J$38,3,FALSE),0)</f>
        <v>100</v>
      </c>
      <c r="X621" s="15">
        <f>IFERROR(VLOOKUP($D621&amp;$C621,生产方式定位!$A$2:$E$38,5,FALSE)+VLOOKUP($E621&amp;$C621,生产方式定位!$F$3:$J$38,5,FALSE),"错误")</f>
        <v>500</v>
      </c>
      <c r="Y621" s="26" t="str">
        <f t="shared" si="192"/>
        <v/>
      </c>
      <c r="Z621" s="36" t="str">
        <f t="shared" si="193"/>
        <v/>
      </c>
      <c r="AA621" s="36" t="str">
        <f t="shared" si="194"/>
        <v/>
      </c>
      <c r="AB621" s="27" t="str">
        <f t="shared" si="195"/>
        <v/>
      </c>
      <c r="AC621" s="2">
        <f t="shared" si="196"/>
        <v>400</v>
      </c>
      <c r="AD621" s="37">
        <f t="shared" si="197"/>
        <v>1</v>
      </c>
      <c r="AE621" t="str">
        <f t="shared" si="198"/>
        <v/>
      </c>
      <c r="AF621" t="str">
        <f t="shared" si="199"/>
        <v/>
      </c>
      <c r="AG621" t="str">
        <f t="shared" si="200"/>
        <v/>
      </c>
      <c r="AH621" t="str">
        <f t="shared" si="201"/>
        <v/>
      </c>
      <c r="AI621" t="str">
        <f t="shared" si="202"/>
        <v/>
      </c>
      <c r="AJ621" t="str">
        <f t="shared" si="203"/>
        <v/>
      </c>
      <c r="AK621" t="str">
        <f t="shared" si="204"/>
        <v/>
      </c>
      <c r="AL621" t="str">
        <f>IFERROR(ROUND(L621*(G621/$AU621)/VLOOKUP(F621,商品!$A$4:$B$60,2,FALSE),0),"")</f>
        <v/>
      </c>
      <c r="AM621" t="str">
        <f>IFERROR(ROUND(L621*(I621/$AU621)/VLOOKUP(H621,商品!$A$4:$B$60,2,FALSE),0),"")</f>
        <v/>
      </c>
      <c r="AN621">
        <f>IFERROR(ROUND(L621*(J621/$AU621)/VLOOKUP("运力",商品!$A$4:$B$60,2,FALSE),0),0)</f>
        <v>0</v>
      </c>
      <c r="AO621">
        <f>IFERROR(ROUND(L621*(K621/$AU621)/VLOOKUP("交易",商品!$A$4:$B$60,2,FALSE),0),0)</f>
        <v>0</v>
      </c>
      <c r="AP621" t="str">
        <f>IFERROR(ROUND(S621*(N621/$AV621)/VLOOKUP(M621,职业!$A$4:$G$16,4,FALSE),0),"")</f>
        <v/>
      </c>
      <c r="AQ621" t="str">
        <f>IFERROR(ROUND(S621*(P621/$AV621)/VLOOKUP(O621,职业!$A$4:$G$16,4,FALSE),0),"")</f>
        <v/>
      </c>
      <c r="AR621" t="str">
        <f>IFERROR(ROUND(S621*(R621/$AV621)/VLOOKUP(Q621,职业!$A$4:$G$16,4,FALSE),0),"")</f>
        <v/>
      </c>
      <c r="AS621" t="str">
        <f>IFERROR(ROUND(X621*(U621/$AW621)/VLOOKUP(T621,商品!$A$4:$B$60,2,FALSE),0),"")</f>
        <v/>
      </c>
      <c r="AT621" t="str">
        <f>IFERROR(ROUND(X621*(W621/$AW621)/VLOOKUP(V621,商品!$A$4:$B$60,2,FALSE),0),"")</f>
        <v/>
      </c>
      <c r="AU621">
        <f t="shared" si="205"/>
        <v>0</v>
      </c>
      <c r="AV621">
        <f t="shared" si="206"/>
        <v>0</v>
      </c>
      <c r="AW621">
        <f t="shared" si="207"/>
        <v>0</v>
      </c>
    </row>
    <row r="622" spans="1:49" ht="19.95" customHeight="1" x14ac:dyDescent="0.25">
      <c r="A622" s="16" t="s">
        <v>311</v>
      </c>
      <c r="C622" s="16">
        <v>2</v>
      </c>
      <c r="D622" s="23" t="s">
        <v>312</v>
      </c>
      <c r="E622" s="23" t="s">
        <v>172</v>
      </c>
      <c r="L622" s="15">
        <f>IFERROR(VLOOKUP($D622&amp;$C622,生产方式定位!$A$2:$E$38,2,FALSE)+VLOOKUP($E622&amp;$C622,生产方式定位!$F$3:$J$38,2,FALSE),0)</f>
        <v>1300</v>
      </c>
      <c r="S622" s="15">
        <f>IFERROR(VLOOKUP($D622&amp;$C622,生产方式定位!$A$2:$E$38,3,FALSE)+VLOOKUP($E622&amp;$C622,生产方式定位!$F$3:$J$38,3,FALSE),0)</f>
        <v>100</v>
      </c>
      <c r="X622" s="15">
        <f>IFERROR(VLOOKUP($D622&amp;$C622,生产方式定位!$A$2:$E$38,5,FALSE)+VLOOKUP($E622&amp;$C622,生产方式定位!$F$3:$J$38,5,FALSE),"错误")</f>
        <v>1860</v>
      </c>
      <c r="Y622" s="26" t="str">
        <f t="shared" si="192"/>
        <v/>
      </c>
      <c r="Z622" s="36" t="str">
        <f t="shared" si="193"/>
        <v/>
      </c>
      <c r="AA622" s="36" t="str">
        <f t="shared" si="194"/>
        <v/>
      </c>
      <c r="AB622" s="27" t="str">
        <f t="shared" si="195"/>
        <v>43%</v>
      </c>
      <c r="AC622" s="2">
        <f t="shared" si="196"/>
        <v>460</v>
      </c>
      <c r="AD622" s="37">
        <f t="shared" si="197"/>
        <v>2</v>
      </c>
      <c r="AE622" t="str">
        <f t="shared" si="198"/>
        <v/>
      </c>
      <c r="AF622" t="str">
        <f t="shared" si="199"/>
        <v/>
      </c>
      <c r="AG622" t="str">
        <f t="shared" si="200"/>
        <v/>
      </c>
      <c r="AH622" t="str">
        <f t="shared" si="201"/>
        <v/>
      </c>
      <c r="AI622" t="str">
        <f t="shared" si="202"/>
        <v/>
      </c>
      <c r="AJ622" t="str">
        <f t="shared" si="203"/>
        <v/>
      </c>
      <c r="AK622" t="str">
        <f t="shared" si="204"/>
        <v/>
      </c>
      <c r="AL622" t="str">
        <f>IFERROR(ROUND(L622*(G622/$AU622)/VLOOKUP(F622,商品!$A$4:$B$60,2,FALSE),0),"")</f>
        <v/>
      </c>
      <c r="AM622" t="str">
        <f>IFERROR(ROUND(L622*(I622/$AU622)/VLOOKUP(H622,商品!$A$4:$B$60,2,FALSE),0),"")</f>
        <v/>
      </c>
      <c r="AN622">
        <f>IFERROR(ROUND(L622*(J622/$AU622)/VLOOKUP("运力",商品!$A$4:$B$60,2,FALSE),0),0)</f>
        <v>0</v>
      </c>
      <c r="AO622">
        <f>IFERROR(ROUND(L622*(K622/$AU622)/VLOOKUP("交易",商品!$A$4:$B$60,2,FALSE),0),0)</f>
        <v>0</v>
      </c>
      <c r="AP622" t="str">
        <f>IFERROR(ROUND(S622*(N622/$AV622)/VLOOKUP(M622,职业!$A$4:$G$16,4,FALSE),0),"")</f>
        <v/>
      </c>
      <c r="AQ622" t="str">
        <f>IFERROR(ROUND(S622*(P622/$AV622)/VLOOKUP(O622,职业!$A$4:$G$16,4,FALSE),0),"")</f>
        <v/>
      </c>
      <c r="AR622" t="str">
        <f>IFERROR(ROUND(S622*(R622/$AV622)/VLOOKUP(Q622,职业!$A$4:$G$16,4,FALSE),0),"")</f>
        <v/>
      </c>
      <c r="AS622" t="str">
        <f>IFERROR(ROUND(X622*(U622/$AW622)/VLOOKUP(T622,商品!$A$4:$B$60,2,FALSE),0),"")</f>
        <v/>
      </c>
      <c r="AT622" t="str">
        <f>IFERROR(ROUND(X622*(W622/$AW622)/VLOOKUP(V622,商品!$A$4:$B$60,2,FALSE),0),"")</f>
        <v/>
      </c>
      <c r="AU622">
        <f t="shared" si="205"/>
        <v>0</v>
      </c>
      <c r="AV622">
        <f t="shared" si="206"/>
        <v>0</v>
      </c>
      <c r="AW622">
        <f t="shared" si="207"/>
        <v>0</v>
      </c>
    </row>
    <row r="623" spans="1:49" ht="19.95" customHeight="1" x14ac:dyDescent="0.25">
      <c r="A623" s="16" t="s">
        <v>311</v>
      </c>
      <c r="C623" s="16">
        <v>3</v>
      </c>
      <c r="D623" s="23" t="s">
        <v>312</v>
      </c>
      <c r="E623" s="23" t="s">
        <v>172</v>
      </c>
      <c r="L623" s="15">
        <f>IFERROR(VLOOKUP($D623&amp;$C623,生产方式定位!$A$2:$E$38,2,FALSE)+VLOOKUP($E623&amp;$C623,生产方式定位!$F$3:$J$38,2,FALSE),0)</f>
        <v>2225</v>
      </c>
      <c r="S623" s="15">
        <f>IFERROR(VLOOKUP($D623&amp;$C623,生产方式定位!$A$2:$E$38,3,FALSE)+VLOOKUP($E623&amp;$C623,生产方式定位!$F$3:$J$38,3,FALSE),0)</f>
        <v>100</v>
      </c>
      <c r="X623" s="15">
        <f>IFERROR(VLOOKUP($D623&amp;$C623,生产方式定位!$A$2:$E$38,5,FALSE)+VLOOKUP($E623&amp;$C623,生产方式定位!$F$3:$J$38,5,FALSE),"错误")</f>
        <v>3130</v>
      </c>
      <c r="Y623" s="26" t="str">
        <f t="shared" si="192"/>
        <v/>
      </c>
      <c r="Z623" s="36" t="str">
        <f t="shared" si="193"/>
        <v/>
      </c>
      <c r="AA623" s="36" t="str">
        <f t="shared" si="194"/>
        <v/>
      </c>
      <c r="AB623" s="27" t="str">
        <f t="shared" si="195"/>
        <v>41%</v>
      </c>
      <c r="AC623" s="2">
        <f t="shared" si="196"/>
        <v>805</v>
      </c>
      <c r="AD623" s="38">
        <f t="shared" si="197"/>
        <v>3</v>
      </c>
      <c r="AE623" t="str">
        <f t="shared" si="198"/>
        <v/>
      </c>
      <c r="AF623" t="str">
        <f t="shared" si="199"/>
        <v/>
      </c>
      <c r="AG623" t="str">
        <f t="shared" si="200"/>
        <v/>
      </c>
      <c r="AH623" t="str">
        <f t="shared" si="201"/>
        <v/>
      </c>
      <c r="AI623" t="str">
        <f t="shared" si="202"/>
        <v/>
      </c>
      <c r="AJ623" t="str">
        <f t="shared" si="203"/>
        <v/>
      </c>
      <c r="AK623" t="str">
        <f t="shared" si="204"/>
        <v/>
      </c>
      <c r="AL623" t="str">
        <f>IFERROR(ROUND(L623*(G623/$AU623)/VLOOKUP(F623,商品!$A$4:$B$60,2,FALSE),0),"")</f>
        <v/>
      </c>
      <c r="AM623" t="str">
        <f>IFERROR(ROUND(L623*(I623/$AU623)/VLOOKUP(H623,商品!$A$4:$B$60,2,FALSE),0),"")</f>
        <v/>
      </c>
      <c r="AN623">
        <f>IFERROR(ROUND(L623*(J623/$AU623)/VLOOKUP("运力",商品!$A$4:$B$60,2,FALSE),0),0)</f>
        <v>0</v>
      </c>
      <c r="AO623">
        <f>IFERROR(ROUND(L623*(K623/$AU623)/VLOOKUP("交易",商品!$A$4:$B$60,2,FALSE),0),0)</f>
        <v>0</v>
      </c>
      <c r="AP623" t="str">
        <f>IFERROR(ROUND(S623*(N623/$AV623)/VLOOKUP(M623,职业!$A$4:$G$16,4,FALSE),0),"")</f>
        <v/>
      </c>
      <c r="AQ623" t="str">
        <f>IFERROR(ROUND(S623*(P623/$AV623)/VLOOKUP(O623,职业!$A$4:$G$16,4,FALSE),0),"")</f>
        <v/>
      </c>
      <c r="AR623" t="str">
        <f>IFERROR(ROUND(S623*(R623/$AV623)/VLOOKUP(Q623,职业!$A$4:$G$16,4,FALSE),0),"")</f>
        <v/>
      </c>
      <c r="AS623" t="str">
        <f>IFERROR(ROUND(X623*(U623/$AW623)/VLOOKUP(T623,商品!$A$4:$B$60,2,FALSE),0),"")</f>
        <v/>
      </c>
      <c r="AT623" t="str">
        <f>IFERROR(ROUND(X623*(W623/$AW623)/VLOOKUP(V623,商品!$A$4:$B$60,2,FALSE),0),"")</f>
        <v/>
      </c>
      <c r="AU623">
        <f t="shared" si="205"/>
        <v>0</v>
      </c>
      <c r="AV623">
        <f t="shared" si="206"/>
        <v>0</v>
      </c>
      <c r="AW623">
        <f t="shared" si="207"/>
        <v>0</v>
      </c>
    </row>
    <row r="624" spans="1:49" ht="19.95" customHeight="1" x14ac:dyDescent="0.25">
      <c r="A624" s="16" t="s">
        <v>311</v>
      </c>
      <c r="C624" s="16">
        <v>4</v>
      </c>
      <c r="D624" s="23" t="s">
        <v>312</v>
      </c>
      <c r="E624" s="23" t="s">
        <v>172</v>
      </c>
      <c r="L624" s="15">
        <f>IFERROR(VLOOKUP($D624&amp;$C624,生产方式定位!$A$2:$E$38,2,FALSE)+VLOOKUP($E624&amp;$C624,生产方式定位!$F$3:$J$38,2,FALSE),0)</f>
        <v>3150</v>
      </c>
      <c r="S624" s="15">
        <f>IFERROR(VLOOKUP($D624&amp;$C624,生产方式定位!$A$2:$E$38,3,FALSE)+VLOOKUP($E624&amp;$C624,生产方式定位!$F$3:$J$38,3,FALSE),0)</f>
        <v>100</v>
      </c>
      <c r="X624" s="15">
        <f>IFERROR(VLOOKUP($D624&amp;$C624,生产方式定位!$A$2:$E$38,5,FALSE)+VLOOKUP($E624&amp;$C624,生产方式定位!$F$3:$J$38,5,FALSE),"错误")</f>
        <v>4400</v>
      </c>
      <c r="Y624" s="26" t="str">
        <f t="shared" si="192"/>
        <v/>
      </c>
      <c r="Z624" s="36" t="str">
        <f t="shared" si="193"/>
        <v/>
      </c>
      <c r="AA624" s="36" t="str">
        <f t="shared" si="194"/>
        <v/>
      </c>
      <c r="AB624" s="27" t="str">
        <f t="shared" si="195"/>
        <v>40%</v>
      </c>
      <c r="AC624" s="2">
        <f t="shared" si="196"/>
        <v>1150</v>
      </c>
      <c r="AD624" s="38">
        <f t="shared" si="197"/>
        <v>4</v>
      </c>
      <c r="AE624" t="str">
        <f t="shared" si="198"/>
        <v/>
      </c>
      <c r="AF624" t="str">
        <f t="shared" si="199"/>
        <v/>
      </c>
      <c r="AG624" t="str">
        <f t="shared" si="200"/>
        <v/>
      </c>
      <c r="AH624" t="str">
        <f t="shared" si="201"/>
        <v/>
      </c>
      <c r="AI624" t="str">
        <f t="shared" si="202"/>
        <v/>
      </c>
      <c r="AJ624" t="str">
        <f t="shared" si="203"/>
        <v/>
      </c>
      <c r="AK624" t="str">
        <f t="shared" si="204"/>
        <v/>
      </c>
      <c r="AL624" t="str">
        <f>IFERROR(ROUND(L624*(G624/$AU624)/VLOOKUP(F624,商品!$A$4:$B$60,2,FALSE),0),"")</f>
        <v/>
      </c>
      <c r="AM624" t="str">
        <f>IFERROR(ROUND(L624*(I624/$AU624)/VLOOKUP(H624,商品!$A$4:$B$60,2,FALSE),0),"")</f>
        <v/>
      </c>
      <c r="AN624">
        <f>IFERROR(ROUND(L624*(J624/$AU624)/VLOOKUP("运力",商品!$A$4:$B$60,2,FALSE),0),0)</f>
        <v>0</v>
      </c>
      <c r="AO624">
        <f>IFERROR(ROUND(L624*(K624/$AU624)/VLOOKUP("交易",商品!$A$4:$B$60,2,FALSE),0),0)</f>
        <v>0</v>
      </c>
      <c r="AP624" t="str">
        <f>IFERROR(ROUND(S624*(N624/$AV624)/VLOOKUP(M624,职业!$A$4:$G$16,4,FALSE),0),"")</f>
        <v/>
      </c>
      <c r="AQ624" t="str">
        <f>IFERROR(ROUND(S624*(P624/$AV624)/VLOOKUP(O624,职业!$A$4:$G$16,4,FALSE),0),"")</f>
        <v/>
      </c>
      <c r="AR624" t="str">
        <f>IFERROR(ROUND(S624*(R624/$AV624)/VLOOKUP(Q624,职业!$A$4:$G$16,4,FALSE),0),"")</f>
        <v/>
      </c>
      <c r="AS624" t="str">
        <f>IFERROR(ROUND(X624*(U624/$AW624)/VLOOKUP(T624,商品!$A$4:$B$60,2,FALSE),0),"")</f>
        <v/>
      </c>
      <c r="AT624" t="str">
        <f>IFERROR(ROUND(X624*(W624/$AW624)/VLOOKUP(V624,商品!$A$4:$B$60,2,FALSE),0),"")</f>
        <v/>
      </c>
      <c r="AU624">
        <f t="shared" si="205"/>
        <v>0</v>
      </c>
      <c r="AV624">
        <f t="shared" si="206"/>
        <v>0</v>
      </c>
      <c r="AW624">
        <f t="shared" si="207"/>
        <v>0</v>
      </c>
    </row>
    <row r="625" spans="1:49" ht="19.95" customHeight="1" x14ac:dyDescent="0.25">
      <c r="A625" s="16" t="s">
        <v>311</v>
      </c>
      <c r="C625" s="16">
        <v>5</v>
      </c>
      <c r="D625" s="23" t="s">
        <v>312</v>
      </c>
      <c r="E625" s="23" t="s">
        <v>172</v>
      </c>
      <c r="L625" s="15">
        <f>IFERROR(VLOOKUP($D625&amp;$C625,生产方式定位!$A$2:$E$38,2,FALSE)+VLOOKUP($E625&amp;$C625,生产方式定位!$F$3:$J$38,2,FALSE),0)</f>
        <v>4075</v>
      </c>
      <c r="S625" s="15">
        <f>IFERROR(VLOOKUP($D625&amp;$C625,生产方式定位!$A$2:$E$38,3,FALSE)+VLOOKUP($E625&amp;$C625,生产方式定位!$F$3:$J$38,3,FALSE),0)</f>
        <v>100</v>
      </c>
      <c r="X625" s="15">
        <f>IFERROR(VLOOKUP($D625&amp;$C625,生产方式定位!$A$2:$E$38,5,FALSE)+VLOOKUP($E625&amp;$C625,生产方式定位!$F$3:$J$38,5,FALSE),"错误")</f>
        <v>5670</v>
      </c>
      <c r="Y625" s="26" t="str">
        <f t="shared" si="192"/>
        <v/>
      </c>
      <c r="Z625" s="36" t="str">
        <f t="shared" si="193"/>
        <v/>
      </c>
      <c r="AA625" s="36" t="str">
        <f t="shared" si="194"/>
        <v/>
      </c>
      <c r="AB625" s="27" t="str">
        <f t="shared" si="195"/>
        <v>39%</v>
      </c>
      <c r="AC625" s="2">
        <f t="shared" si="196"/>
        <v>1495</v>
      </c>
      <c r="AD625" s="38">
        <f t="shared" si="197"/>
        <v>5</v>
      </c>
      <c r="AE625" t="str">
        <f t="shared" si="198"/>
        <v/>
      </c>
      <c r="AF625" t="str">
        <f t="shared" si="199"/>
        <v/>
      </c>
      <c r="AG625" t="str">
        <f t="shared" si="200"/>
        <v/>
      </c>
      <c r="AH625" t="str">
        <f t="shared" si="201"/>
        <v/>
      </c>
      <c r="AI625" t="str">
        <f t="shared" si="202"/>
        <v/>
      </c>
      <c r="AJ625" t="str">
        <f t="shared" si="203"/>
        <v/>
      </c>
      <c r="AK625" t="str">
        <f t="shared" si="204"/>
        <v/>
      </c>
      <c r="AL625" t="str">
        <f>IFERROR(ROUND(L625*(G625/$AU625)/VLOOKUP(F625,商品!$A$4:$B$60,2,FALSE),0),"")</f>
        <v/>
      </c>
      <c r="AM625" t="str">
        <f>IFERROR(ROUND(L625*(I625/$AU625)/VLOOKUP(H625,商品!$A$4:$B$60,2,FALSE),0),"")</f>
        <v/>
      </c>
      <c r="AN625">
        <f>IFERROR(ROUND(L625*(J625/$AU625)/VLOOKUP("运力",商品!$A$4:$B$60,2,FALSE),0),0)</f>
        <v>0</v>
      </c>
      <c r="AO625">
        <f>IFERROR(ROUND(L625*(K625/$AU625)/VLOOKUP("交易",商品!$A$4:$B$60,2,FALSE),0),0)</f>
        <v>0</v>
      </c>
      <c r="AP625" t="str">
        <f>IFERROR(ROUND(S625*(N625/$AV625)/VLOOKUP(M625,职业!$A$4:$G$16,4,FALSE),0),"")</f>
        <v/>
      </c>
      <c r="AQ625" t="str">
        <f>IFERROR(ROUND(S625*(P625/$AV625)/VLOOKUP(O625,职业!$A$4:$G$16,4,FALSE),0),"")</f>
        <v/>
      </c>
      <c r="AR625" t="str">
        <f>IFERROR(ROUND(S625*(R625/$AV625)/VLOOKUP(Q625,职业!$A$4:$G$16,4,FALSE),0),"")</f>
        <v/>
      </c>
      <c r="AS625" t="str">
        <f>IFERROR(ROUND(X625*(U625/$AW625)/VLOOKUP(T625,商品!$A$4:$B$60,2,FALSE),0),"")</f>
        <v/>
      </c>
      <c r="AT625" t="str">
        <f>IFERROR(ROUND(X625*(W625/$AW625)/VLOOKUP(V625,商品!$A$4:$B$60,2,FALSE),0),"")</f>
        <v/>
      </c>
      <c r="AU625">
        <f t="shared" si="205"/>
        <v>0</v>
      </c>
      <c r="AV625">
        <f t="shared" si="206"/>
        <v>0</v>
      </c>
      <c r="AW625">
        <f t="shared" si="207"/>
        <v>0</v>
      </c>
    </row>
    <row r="626" spans="1:49" ht="19.95" customHeight="1" x14ac:dyDescent="0.25">
      <c r="A626" s="15" t="s">
        <v>313</v>
      </c>
      <c r="C626" s="15">
        <v>1</v>
      </c>
      <c r="D626" s="23" t="s">
        <v>312</v>
      </c>
      <c r="E626" s="23" t="s">
        <v>193</v>
      </c>
      <c r="L626" s="16">
        <f>IFERROR(VLOOKUP($D626&amp;$C626,生产方式定位!$A$2:$E$38,2,FALSE)+VLOOKUP($E626&amp;$C626,生产方式定位!$F$3:$J$38,2,FALSE),0)</f>
        <v>0</v>
      </c>
      <c r="S626" s="16">
        <f>IFERROR(VLOOKUP($D626&amp;$C626,生产方式定位!$A$2:$E$38,3,FALSE)+VLOOKUP($E626&amp;$C626,生产方式定位!$F$3:$J$38,3,FALSE),0)</f>
        <v>100</v>
      </c>
      <c r="X626" s="16">
        <f>IFERROR(VLOOKUP($D626&amp;$C626,生产方式定位!$A$2:$E$38,5,FALSE)+VLOOKUP($E626&amp;$C626,生产方式定位!$F$3:$J$38,5,FALSE),"错误")</f>
        <v>500</v>
      </c>
      <c r="Y626" s="26" t="str">
        <f t="shared" si="192"/>
        <v/>
      </c>
      <c r="Z626" s="36" t="str">
        <f t="shared" si="193"/>
        <v/>
      </c>
      <c r="AA626" s="36" t="str">
        <f t="shared" si="194"/>
        <v/>
      </c>
      <c r="AB626" s="27" t="str">
        <f t="shared" si="195"/>
        <v/>
      </c>
      <c r="AC626" s="2">
        <f t="shared" si="196"/>
        <v>400</v>
      </c>
      <c r="AD626" s="38">
        <f t="shared" si="197"/>
        <v>1</v>
      </c>
      <c r="AE626" t="str">
        <f t="shared" si="198"/>
        <v/>
      </c>
      <c r="AF626" t="str">
        <f t="shared" si="199"/>
        <v/>
      </c>
      <c r="AG626" t="str">
        <f t="shared" si="200"/>
        <v/>
      </c>
      <c r="AH626" t="str">
        <f t="shared" si="201"/>
        <v/>
      </c>
      <c r="AI626" t="str">
        <f t="shared" si="202"/>
        <v/>
      </c>
      <c r="AJ626" t="str">
        <f t="shared" si="203"/>
        <v/>
      </c>
      <c r="AK626" t="str">
        <f t="shared" si="204"/>
        <v/>
      </c>
      <c r="AL626" t="str">
        <f>IFERROR(ROUND(L626*(G626/$AU626)/VLOOKUP(F626,商品!$A$4:$B$60,2,FALSE),0),"")</f>
        <v/>
      </c>
      <c r="AM626" t="str">
        <f>IFERROR(ROUND(L626*(I626/$AU626)/VLOOKUP(H626,商品!$A$4:$B$60,2,FALSE),0),"")</f>
        <v/>
      </c>
      <c r="AN626">
        <f>IFERROR(ROUND(L626*(J626/$AU626)/VLOOKUP("运力",商品!$A$4:$B$60,2,FALSE),0),0)</f>
        <v>0</v>
      </c>
      <c r="AO626">
        <f>IFERROR(ROUND(L626*(K626/$AU626)/VLOOKUP("交易",商品!$A$4:$B$60,2,FALSE),0),0)</f>
        <v>0</v>
      </c>
      <c r="AP626" t="str">
        <f>IFERROR(ROUND(S626*(N626/$AV626)/VLOOKUP(M626,职业!$A$4:$G$16,4,FALSE),0),"")</f>
        <v/>
      </c>
      <c r="AQ626" t="str">
        <f>IFERROR(ROUND(S626*(P626/$AV626)/VLOOKUP(O626,职业!$A$4:$G$16,4,FALSE),0),"")</f>
        <v/>
      </c>
      <c r="AR626" t="str">
        <f>IFERROR(ROUND(S626*(R626/$AV626)/VLOOKUP(Q626,职业!$A$4:$G$16,4,FALSE),0),"")</f>
        <v/>
      </c>
      <c r="AS626" t="str">
        <f>IFERROR(ROUND(X626*(U626/$AW626)/VLOOKUP(T626,商品!$A$4:$B$60,2,FALSE),0),"")</f>
        <v/>
      </c>
      <c r="AT626" t="str">
        <f>IFERROR(ROUND(X626*(W626/$AW626)/VLOOKUP(V626,商品!$A$4:$B$60,2,FALSE),0),"")</f>
        <v/>
      </c>
      <c r="AU626">
        <f t="shared" si="205"/>
        <v>0</v>
      </c>
      <c r="AV626">
        <f t="shared" si="206"/>
        <v>0</v>
      </c>
      <c r="AW626">
        <f t="shared" si="207"/>
        <v>0</v>
      </c>
    </row>
    <row r="627" spans="1:49" ht="19.95" customHeight="1" x14ac:dyDescent="0.25">
      <c r="A627" s="15" t="s">
        <v>313</v>
      </c>
      <c r="C627" s="15">
        <v>2</v>
      </c>
      <c r="D627" s="23" t="s">
        <v>312</v>
      </c>
      <c r="E627" s="23" t="s">
        <v>193</v>
      </c>
      <c r="L627" s="16">
        <f>IFERROR(VLOOKUP($D627&amp;$C627,生产方式定位!$A$2:$E$38,2,FALSE)+VLOOKUP($E627&amp;$C627,生产方式定位!$F$3:$J$38,2,FALSE),0)</f>
        <v>1200</v>
      </c>
      <c r="S627" s="16">
        <f>IFERROR(VLOOKUP($D627&amp;$C627,生产方式定位!$A$2:$E$38,3,FALSE)+VLOOKUP($E627&amp;$C627,生产方式定位!$F$3:$J$38,3,FALSE),0)</f>
        <v>5</v>
      </c>
      <c r="X627" s="16">
        <f>IFERROR(VLOOKUP($D627&amp;$C627,生产方式定位!$A$2:$E$38,5,FALSE)+VLOOKUP($E627&amp;$C627,生产方式定位!$F$3:$J$38,5,FALSE),"错误")</f>
        <v>1687</v>
      </c>
      <c r="Y627" s="26" t="str">
        <f t="shared" si="192"/>
        <v/>
      </c>
      <c r="Z627" s="36" t="str">
        <f t="shared" si="193"/>
        <v/>
      </c>
      <c r="AA627" s="36" t="str">
        <f t="shared" si="194"/>
        <v/>
      </c>
      <c r="AB627" s="27" t="str">
        <f t="shared" si="195"/>
        <v>41%</v>
      </c>
      <c r="AC627" s="2">
        <f t="shared" si="196"/>
        <v>482</v>
      </c>
      <c r="AD627" s="38">
        <f t="shared" si="197"/>
        <v>2</v>
      </c>
      <c r="AE627" t="str">
        <f t="shared" si="198"/>
        <v/>
      </c>
      <c r="AF627" t="str">
        <f t="shared" si="199"/>
        <v/>
      </c>
      <c r="AG627" t="str">
        <f t="shared" si="200"/>
        <v/>
      </c>
      <c r="AH627" t="str">
        <f t="shared" si="201"/>
        <v/>
      </c>
      <c r="AI627" t="str">
        <f t="shared" si="202"/>
        <v/>
      </c>
      <c r="AJ627" t="str">
        <f t="shared" si="203"/>
        <v/>
      </c>
      <c r="AK627" t="str">
        <f t="shared" si="204"/>
        <v/>
      </c>
      <c r="AL627" t="str">
        <f>IFERROR(ROUND(L627*(G627/$AU627)/VLOOKUP(F627,商品!$A$4:$B$60,2,FALSE),0),"")</f>
        <v/>
      </c>
      <c r="AM627" t="str">
        <f>IFERROR(ROUND(L627*(I627/$AU627)/VLOOKUP(H627,商品!$A$4:$B$60,2,FALSE),0),"")</f>
        <v/>
      </c>
      <c r="AN627">
        <f>IFERROR(ROUND(L627*(J627/$AU627)/VLOOKUP("运力",商品!$A$4:$B$60,2,FALSE),0),0)</f>
        <v>0</v>
      </c>
      <c r="AO627">
        <f>IFERROR(ROUND(L627*(K627/$AU627)/VLOOKUP("交易",商品!$A$4:$B$60,2,FALSE),0),0)</f>
        <v>0</v>
      </c>
      <c r="AP627" t="str">
        <f>IFERROR(ROUND(S627*(N627/$AV627)/VLOOKUP(M627,职业!$A$4:$G$16,4,FALSE),0),"")</f>
        <v/>
      </c>
      <c r="AQ627" t="str">
        <f>IFERROR(ROUND(S627*(P627/$AV627)/VLOOKUP(O627,职业!$A$4:$G$16,4,FALSE),0),"")</f>
        <v/>
      </c>
      <c r="AR627" t="str">
        <f>IFERROR(ROUND(S627*(R627/$AV627)/VLOOKUP(Q627,职业!$A$4:$G$16,4,FALSE),0),"")</f>
        <v/>
      </c>
      <c r="AS627" t="str">
        <f>IFERROR(ROUND(X627*(U627/$AW627)/VLOOKUP(T627,商品!$A$4:$B$60,2,FALSE),0),"")</f>
        <v/>
      </c>
      <c r="AT627" t="str">
        <f>IFERROR(ROUND(X627*(W627/$AW627)/VLOOKUP(V627,商品!$A$4:$B$60,2,FALSE),0),"")</f>
        <v/>
      </c>
      <c r="AU627">
        <f t="shared" si="205"/>
        <v>0</v>
      </c>
      <c r="AV627">
        <f t="shared" si="206"/>
        <v>0</v>
      </c>
      <c r="AW627">
        <f t="shared" si="207"/>
        <v>0</v>
      </c>
    </row>
    <row r="628" spans="1:49" ht="19.95" customHeight="1" x14ac:dyDescent="0.25">
      <c r="A628" s="15" t="s">
        <v>313</v>
      </c>
      <c r="C628" s="15">
        <v>3</v>
      </c>
      <c r="D628" s="23" t="s">
        <v>312</v>
      </c>
      <c r="E628" s="23" t="s">
        <v>193</v>
      </c>
      <c r="L628" s="16">
        <f>IFERROR(VLOOKUP($D628&amp;$C628,生产方式定位!$A$2:$E$38,2,FALSE)+VLOOKUP($E628&amp;$C628,生产方式定位!$F$3:$J$38,2,FALSE),0)</f>
        <v>2100</v>
      </c>
      <c r="S628" s="16">
        <f>IFERROR(VLOOKUP($D628&amp;$C628,生产方式定位!$A$2:$E$38,3,FALSE)+VLOOKUP($E628&amp;$C628,生产方式定位!$F$3:$J$38,3,FALSE),0)</f>
        <v>10</v>
      </c>
      <c r="X628" s="16">
        <f>IFERROR(VLOOKUP($D628&amp;$C628,生产方式定位!$A$2:$E$38,5,FALSE)+VLOOKUP($E628&amp;$C628,生产方式定位!$F$3:$J$38,5,FALSE),"错误")</f>
        <v>2954</v>
      </c>
      <c r="Y628" s="26" t="str">
        <f t="shared" si="192"/>
        <v/>
      </c>
      <c r="Z628" s="36" t="str">
        <f t="shared" si="193"/>
        <v/>
      </c>
      <c r="AA628" s="36" t="str">
        <f t="shared" si="194"/>
        <v/>
      </c>
      <c r="AB628" s="27" t="str">
        <f t="shared" si="195"/>
        <v>41%</v>
      </c>
      <c r="AC628" s="2">
        <f t="shared" si="196"/>
        <v>844</v>
      </c>
      <c r="AD628" s="38">
        <f t="shared" si="197"/>
        <v>3</v>
      </c>
      <c r="AE628" t="str">
        <f t="shared" si="198"/>
        <v/>
      </c>
      <c r="AF628" t="str">
        <f t="shared" si="199"/>
        <v/>
      </c>
      <c r="AG628" t="str">
        <f t="shared" si="200"/>
        <v/>
      </c>
      <c r="AH628" t="str">
        <f t="shared" si="201"/>
        <v/>
      </c>
      <c r="AI628" t="str">
        <f t="shared" si="202"/>
        <v/>
      </c>
      <c r="AJ628" t="str">
        <f t="shared" si="203"/>
        <v/>
      </c>
      <c r="AK628" t="str">
        <f t="shared" si="204"/>
        <v/>
      </c>
      <c r="AL628" t="str">
        <f>IFERROR(ROUND(L628*(G628/$AU628)/VLOOKUP(F628,商品!$A$4:$B$60,2,FALSE),0),"")</f>
        <v/>
      </c>
      <c r="AM628" t="str">
        <f>IFERROR(ROUND(L628*(I628/$AU628)/VLOOKUP(H628,商品!$A$4:$B$60,2,FALSE),0),"")</f>
        <v/>
      </c>
      <c r="AN628">
        <f>IFERROR(ROUND(L628*(J628/$AU628)/VLOOKUP("运力",商品!$A$4:$B$60,2,FALSE),0),0)</f>
        <v>0</v>
      </c>
      <c r="AO628">
        <f>IFERROR(ROUND(L628*(K628/$AU628)/VLOOKUP("交易",商品!$A$4:$B$60,2,FALSE),0),0)</f>
        <v>0</v>
      </c>
      <c r="AP628" t="str">
        <f>IFERROR(ROUND(S628*(N628/$AV628)/VLOOKUP(M628,职业!$A$4:$G$16,4,FALSE),0),"")</f>
        <v/>
      </c>
      <c r="AQ628" t="str">
        <f>IFERROR(ROUND(S628*(P628/$AV628)/VLOOKUP(O628,职业!$A$4:$G$16,4,FALSE),0),"")</f>
        <v/>
      </c>
      <c r="AR628" t="str">
        <f>IFERROR(ROUND(S628*(R628/$AV628)/VLOOKUP(Q628,职业!$A$4:$G$16,4,FALSE),0),"")</f>
        <v/>
      </c>
      <c r="AS628" t="str">
        <f>IFERROR(ROUND(X628*(U628/$AW628)/VLOOKUP(T628,商品!$A$4:$B$60,2,FALSE),0),"")</f>
        <v/>
      </c>
      <c r="AT628" t="str">
        <f>IFERROR(ROUND(X628*(W628/$AW628)/VLOOKUP(V628,商品!$A$4:$B$60,2,FALSE),0),"")</f>
        <v/>
      </c>
      <c r="AU628">
        <f t="shared" si="205"/>
        <v>0</v>
      </c>
      <c r="AV628">
        <f t="shared" si="206"/>
        <v>0</v>
      </c>
      <c r="AW628">
        <f t="shared" si="207"/>
        <v>0</v>
      </c>
    </row>
    <row r="629" spans="1:49" ht="19.95" customHeight="1" x14ac:dyDescent="0.25">
      <c r="A629" s="15" t="s">
        <v>313</v>
      </c>
      <c r="C629" s="15">
        <v>4</v>
      </c>
      <c r="D629" s="23" t="s">
        <v>312</v>
      </c>
      <c r="E629" s="23" t="s">
        <v>193</v>
      </c>
      <c r="L629" s="16">
        <f>IFERROR(VLOOKUP($D629&amp;$C629,生产方式定位!$A$2:$E$38,2,FALSE)+VLOOKUP($E629&amp;$C629,生产方式定位!$F$3:$J$38,2,FALSE),0)</f>
        <v>3000</v>
      </c>
      <c r="S629" s="16">
        <f>IFERROR(VLOOKUP($D629&amp;$C629,生产方式定位!$A$2:$E$38,3,FALSE)+VLOOKUP($E629&amp;$C629,生产方式定位!$F$3:$J$38,3,FALSE),0)</f>
        <v>15</v>
      </c>
      <c r="X629" s="16">
        <f>IFERROR(VLOOKUP($D629&amp;$C629,生产方式定位!$A$2:$E$38,5,FALSE)+VLOOKUP($E629&amp;$C629,生产方式定位!$F$3:$J$38,5,FALSE),"错误")</f>
        <v>4221</v>
      </c>
      <c r="Y629" s="26" t="str">
        <f t="shared" si="192"/>
        <v/>
      </c>
      <c r="Z629" s="36" t="str">
        <f t="shared" si="193"/>
        <v/>
      </c>
      <c r="AA629" s="36" t="str">
        <f t="shared" si="194"/>
        <v/>
      </c>
      <c r="AB629" s="27" t="str">
        <f t="shared" si="195"/>
        <v>41%</v>
      </c>
      <c r="AC629" s="2">
        <f t="shared" si="196"/>
        <v>1206</v>
      </c>
      <c r="AD629" s="38">
        <f t="shared" si="197"/>
        <v>4</v>
      </c>
      <c r="AE629" t="str">
        <f t="shared" si="198"/>
        <v/>
      </c>
      <c r="AF629" t="str">
        <f t="shared" si="199"/>
        <v/>
      </c>
      <c r="AG629" t="str">
        <f t="shared" si="200"/>
        <v/>
      </c>
      <c r="AH629" t="str">
        <f t="shared" si="201"/>
        <v/>
      </c>
      <c r="AI629" t="str">
        <f t="shared" si="202"/>
        <v/>
      </c>
      <c r="AJ629" t="str">
        <f t="shared" si="203"/>
        <v/>
      </c>
      <c r="AK629" t="str">
        <f t="shared" si="204"/>
        <v/>
      </c>
      <c r="AL629" t="str">
        <f>IFERROR(ROUND(L629*(G629/$AU629)/VLOOKUP(F629,商品!$A$4:$B$60,2,FALSE),0),"")</f>
        <v/>
      </c>
      <c r="AM629" t="str">
        <f>IFERROR(ROUND(L629*(I629/$AU629)/VLOOKUP(H629,商品!$A$4:$B$60,2,FALSE),0),"")</f>
        <v/>
      </c>
      <c r="AN629">
        <f>IFERROR(ROUND(L629*(J629/$AU629)/VLOOKUP("运力",商品!$A$4:$B$60,2,FALSE),0),0)</f>
        <v>0</v>
      </c>
      <c r="AO629">
        <f>IFERROR(ROUND(L629*(K629/$AU629)/VLOOKUP("交易",商品!$A$4:$B$60,2,FALSE),0),0)</f>
        <v>0</v>
      </c>
      <c r="AP629" t="str">
        <f>IFERROR(ROUND(S629*(N629/$AV629)/VLOOKUP(M629,职业!$A$4:$G$16,4,FALSE),0),"")</f>
        <v/>
      </c>
      <c r="AQ629" t="str">
        <f>IFERROR(ROUND(S629*(P629/$AV629)/VLOOKUP(O629,职业!$A$4:$G$16,4,FALSE),0),"")</f>
        <v/>
      </c>
      <c r="AR629" t="str">
        <f>IFERROR(ROUND(S629*(R629/$AV629)/VLOOKUP(Q629,职业!$A$4:$G$16,4,FALSE),0),"")</f>
        <v/>
      </c>
      <c r="AS629" t="str">
        <f>IFERROR(ROUND(X629*(U629/$AW629)/VLOOKUP(T629,商品!$A$4:$B$60,2,FALSE),0),"")</f>
        <v/>
      </c>
      <c r="AT629" t="str">
        <f>IFERROR(ROUND(X629*(W629/$AW629)/VLOOKUP(V629,商品!$A$4:$B$60,2,FALSE),0),"")</f>
        <v/>
      </c>
      <c r="AU629">
        <f t="shared" si="205"/>
        <v>0</v>
      </c>
      <c r="AV629">
        <f t="shared" si="206"/>
        <v>0</v>
      </c>
      <c r="AW629">
        <f t="shared" si="207"/>
        <v>0</v>
      </c>
    </row>
    <row r="630" spans="1:49" ht="19.95" customHeight="1" x14ac:dyDescent="0.25">
      <c r="A630" s="15" t="s">
        <v>313</v>
      </c>
      <c r="C630" s="15">
        <v>5</v>
      </c>
      <c r="D630" s="23" t="s">
        <v>312</v>
      </c>
      <c r="E630" s="23" t="s">
        <v>193</v>
      </c>
      <c r="L630" s="16">
        <f>IFERROR(VLOOKUP($D630&amp;$C630,生产方式定位!$A$2:$E$38,2,FALSE)+VLOOKUP($E630&amp;$C630,生产方式定位!$F$3:$J$38,2,FALSE),0)</f>
        <v>3900</v>
      </c>
      <c r="S630" s="16">
        <f>IFERROR(VLOOKUP($D630&amp;$C630,生产方式定位!$A$2:$E$38,3,FALSE)+VLOOKUP($E630&amp;$C630,生产方式定位!$F$3:$J$38,3,FALSE),0)</f>
        <v>20</v>
      </c>
      <c r="X630" s="16">
        <f>IFERROR(VLOOKUP($D630&amp;$C630,生产方式定位!$A$2:$E$38,5,FALSE)+VLOOKUP($E630&amp;$C630,生产方式定位!$F$3:$J$38,5,FALSE),"错误")</f>
        <v>5488</v>
      </c>
      <c r="Y630" s="26" t="str">
        <f t="shared" si="192"/>
        <v/>
      </c>
      <c r="Z630" s="36" t="str">
        <f t="shared" si="193"/>
        <v/>
      </c>
      <c r="AA630" s="36" t="str">
        <f t="shared" si="194"/>
        <v/>
      </c>
      <c r="AB630" s="27" t="str">
        <f t="shared" si="195"/>
        <v>41%</v>
      </c>
      <c r="AC630" s="2">
        <f t="shared" si="196"/>
        <v>1568</v>
      </c>
      <c r="AD630" s="38">
        <f t="shared" si="197"/>
        <v>5</v>
      </c>
      <c r="AE630" t="str">
        <f t="shared" si="198"/>
        <v/>
      </c>
      <c r="AF630" t="str">
        <f t="shared" si="199"/>
        <v/>
      </c>
      <c r="AG630" t="str">
        <f t="shared" si="200"/>
        <v/>
      </c>
      <c r="AH630" t="str">
        <f t="shared" si="201"/>
        <v/>
      </c>
      <c r="AI630" t="str">
        <f t="shared" si="202"/>
        <v/>
      </c>
      <c r="AJ630" t="str">
        <f t="shared" si="203"/>
        <v/>
      </c>
      <c r="AK630" t="str">
        <f t="shared" si="204"/>
        <v/>
      </c>
      <c r="AL630" t="str">
        <f>IFERROR(ROUND(L630*(G630/$AU630)/VLOOKUP(F630,商品!$A$4:$B$60,2,FALSE),0),"")</f>
        <v/>
      </c>
      <c r="AM630" t="str">
        <f>IFERROR(ROUND(L630*(I630/$AU630)/VLOOKUP(H630,商品!$A$4:$B$60,2,FALSE),0),"")</f>
        <v/>
      </c>
      <c r="AN630">
        <f>IFERROR(ROUND(L630*(J630/$AU630)/VLOOKUP("运力",商品!$A$4:$B$60,2,FALSE),0),0)</f>
        <v>0</v>
      </c>
      <c r="AO630">
        <f>IFERROR(ROUND(L630*(K630/$AU630)/VLOOKUP("交易",商品!$A$4:$B$60,2,FALSE),0),0)</f>
        <v>0</v>
      </c>
      <c r="AP630" t="str">
        <f>IFERROR(ROUND(S630*(N630/$AV630)/VLOOKUP(M630,职业!$A$4:$G$16,4,FALSE),0),"")</f>
        <v/>
      </c>
      <c r="AQ630" t="str">
        <f>IFERROR(ROUND(S630*(P630/$AV630)/VLOOKUP(O630,职业!$A$4:$G$16,4,FALSE),0),"")</f>
        <v/>
      </c>
      <c r="AR630" t="str">
        <f>IFERROR(ROUND(S630*(R630/$AV630)/VLOOKUP(Q630,职业!$A$4:$G$16,4,FALSE),0),"")</f>
        <v/>
      </c>
      <c r="AS630" t="str">
        <f>IFERROR(ROUND(X630*(U630/$AW630)/VLOOKUP(T630,商品!$A$4:$B$60,2,FALSE),0),"")</f>
        <v/>
      </c>
      <c r="AT630" t="str">
        <f>IFERROR(ROUND(X630*(W630/$AW630)/VLOOKUP(V630,商品!$A$4:$B$60,2,FALSE),0),"")</f>
        <v/>
      </c>
      <c r="AU630">
        <f t="shared" si="205"/>
        <v>0</v>
      </c>
      <c r="AV630">
        <f t="shared" si="206"/>
        <v>0</v>
      </c>
      <c r="AW630">
        <f t="shared" si="207"/>
        <v>0</v>
      </c>
    </row>
    <row r="631" spans="1:49" ht="19.95" customHeight="1" x14ac:dyDescent="0.25">
      <c r="A631" s="16" t="s">
        <v>314</v>
      </c>
      <c r="C631" s="16">
        <v>1</v>
      </c>
      <c r="D631" s="23" t="s">
        <v>312</v>
      </c>
      <c r="E631" s="23" t="s">
        <v>524</v>
      </c>
      <c r="L631" s="15">
        <f>IFERROR(VLOOKUP($D631&amp;$C631,生产方式定位!$A$2:$E$38,2,FALSE)+VLOOKUP($E631&amp;$C631,生产方式定位!$F$3:$J$38,2,FALSE),0)</f>
        <v>0</v>
      </c>
      <c r="S631" s="15">
        <f>IFERROR(VLOOKUP($D631&amp;$C631,生产方式定位!$A$2:$E$38,3,FALSE)+VLOOKUP($E631&amp;$C631,生产方式定位!$F$3:$J$38,3,FALSE),0)</f>
        <v>0</v>
      </c>
      <c r="X631" s="15" t="str">
        <f>IFERROR(VLOOKUP($D631&amp;$C631,生产方式定位!$A$2:$E$38,5,FALSE)+VLOOKUP($E631&amp;$C631,生产方式定位!$F$3:$J$38,5,FALSE),"错误")</f>
        <v>错误</v>
      </c>
      <c r="Y631" s="26" t="str">
        <f t="shared" si="192"/>
        <v/>
      </c>
      <c r="Z631" s="36" t="str">
        <f t="shared" si="193"/>
        <v/>
      </c>
      <c r="AA631" s="36" t="str">
        <f t="shared" si="194"/>
        <v/>
      </c>
      <c r="AB631" s="27" t="str">
        <f t="shared" si="195"/>
        <v/>
      </c>
      <c r="AC631" s="2" t="e">
        <f t="shared" si="196"/>
        <v>#VALUE!</v>
      </c>
      <c r="AD631" s="37">
        <f t="shared" si="197"/>
        <v>1</v>
      </c>
      <c r="AE631" t="str">
        <f t="shared" si="198"/>
        <v/>
      </c>
      <c r="AF631" t="str">
        <f t="shared" si="199"/>
        <v/>
      </c>
      <c r="AG631" t="str">
        <f t="shared" si="200"/>
        <v/>
      </c>
      <c r="AH631" t="str">
        <f t="shared" si="201"/>
        <v/>
      </c>
      <c r="AI631" t="str">
        <f t="shared" si="202"/>
        <v/>
      </c>
      <c r="AJ631" t="str">
        <f t="shared" si="203"/>
        <v/>
      </c>
      <c r="AK631" t="str">
        <f t="shared" si="204"/>
        <v/>
      </c>
      <c r="AL631" t="str">
        <f>IFERROR(ROUND(L631*(G631/$AU631)/VLOOKUP(F631,商品!$A$4:$B$60,2,FALSE),0),"")</f>
        <v/>
      </c>
      <c r="AM631" t="str">
        <f>IFERROR(ROUND(L631*(I631/$AU631)/VLOOKUP(H631,商品!$A$4:$B$60,2,FALSE),0),"")</f>
        <v/>
      </c>
      <c r="AN631">
        <f>IFERROR(ROUND(L631*(J631/$AU631)/VLOOKUP("运力",商品!$A$4:$B$60,2,FALSE),0),0)</f>
        <v>0</v>
      </c>
      <c r="AO631">
        <f>IFERROR(ROUND(L631*(K631/$AU631)/VLOOKUP("交易",商品!$A$4:$B$60,2,FALSE),0),0)</f>
        <v>0</v>
      </c>
      <c r="AP631" t="str">
        <f>IFERROR(ROUND(S631*(N631/$AV631)/VLOOKUP(M631,职业!$A$4:$G$16,4,FALSE),0),"")</f>
        <v/>
      </c>
      <c r="AQ631" t="str">
        <f>IFERROR(ROUND(S631*(P631/$AV631)/VLOOKUP(O631,职业!$A$4:$G$16,4,FALSE),0),"")</f>
        <v/>
      </c>
      <c r="AR631" t="str">
        <f>IFERROR(ROUND(S631*(R631/$AV631)/VLOOKUP(Q631,职业!$A$4:$G$16,4,FALSE),0),"")</f>
        <v/>
      </c>
      <c r="AS631" t="str">
        <f>IFERROR(ROUND(X631*(U631/$AW631)/VLOOKUP(T631,商品!$A$4:$B$60,2,FALSE),0),"")</f>
        <v/>
      </c>
      <c r="AT631" t="str">
        <f>IFERROR(ROUND(X631*(W631/$AW631)/VLOOKUP(V631,商品!$A$4:$B$60,2,FALSE),0),"")</f>
        <v/>
      </c>
      <c r="AU631">
        <f t="shared" si="205"/>
        <v>0</v>
      </c>
      <c r="AV631">
        <f t="shared" si="206"/>
        <v>0</v>
      </c>
      <c r="AW631">
        <f t="shared" si="207"/>
        <v>0</v>
      </c>
    </row>
    <row r="632" spans="1:49" ht="19.95" customHeight="1" x14ac:dyDescent="0.25">
      <c r="A632" s="16" t="s">
        <v>314</v>
      </c>
      <c r="C632" s="16">
        <v>2</v>
      </c>
      <c r="D632" s="23" t="s">
        <v>312</v>
      </c>
      <c r="E632" s="23" t="s">
        <v>524</v>
      </c>
      <c r="L632" s="15">
        <f>IFERROR(VLOOKUP($D632&amp;$C632,生产方式定位!$A$2:$E$38,2,FALSE)+VLOOKUP($E632&amp;$C632,生产方式定位!$F$3:$J$38,2,FALSE),0)</f>
        <v>0</v>
      </c>
      <c r="S632" s="15">
        <f>IFERROR(VLOOKUP($D632&amp;$C632,生产方式定位!$A$2:$E$38,3,FALSE)+VLOOKUP($E632&amp;$C632,生产方式定位!$F$3:$J$38,3,FALSE),0)</f>
        <v>0</v>
      </c>
      <c r="X632" s="15" t="str">
        <f>IFERROR(VLOOKUP($D632&amp;$C632,生产方式定位!$A$2:$E$38,5,FALSE)+VLOOKUP($E632&amp;$C632,生产方式定位!$F$3:$J$38,5,FALSE),"错误")</f>
        <v>错误</v>
      </c>
      <c r="Y632" s="26" t="str">
        <f t="shared" si="192"/>
        <v/>
      </c>
      <c r="Z632" s="36" t="str">
        <f t="shared" si="193"/>
        <v/>
      </c>
      <c r="AA632" s="36" t="str">
        <f t="shared" si="194"/>
        <v/>
      </c>
      <c r="AB632" s="27" t="str">
        <f t="shared" si="195"/>
        <v/>
      </c>
      <c r="AC632" s="2" t="e">
        <f t="shared" si="196"/>
        <v>#VALUE!</v>
      </c>
      <c r="AD632" s="37">
        <f t="shared" si="197"/>
        <v>2</v>
      </c>
      <c r="AE632" t="str">
        <f t="shared" si="198"/>
        <v/>
      </c>
      <c r="AF632" t="str">
        <f t="shared" si="199"/>
        <v/>
      </c>
      <c r="AG632" t="str">
        <f t="shared" si="200"/>
        <v/>
      </c>
      <c r="AH632" t="str">
        <f t="shared" si="201"/>
        <v/>
      </c>
      <c r="AI632" t="str">
        <f t="shared" si="202"/>
        <v/>
      </c>
      <c r="AJ632" t="str">
        <f t="shared" si="203"/>
        <v/>
      </c>
      <c r="AK632" t="str">
        <f t="shared" si="204"/>
        <v/>
      </c>
      <c r="AL632" t="str">
        <f>IFERROR(ROUND(L632*(G632/$AU632)/VLOOKUP(F632,商品!$A$4:$B$60,2,FALSE),0),"")</f>
        <v/>
      </c>
      <c r="AM632" t="str">
        <f>IFERROR(ROUND(L632*(I632/$AU632)/VLOOKUP(H632,商品!$A$4:$B$60,2,FALSE),0),"")</f>
        <v/>
      </c>
      <c r="AN632">
        <f>IFERROR(ROUND(L632*(J632/$AU632)/VLOOKUP("运力",商品!$A$4:$B$60,2,FALSE),0),0)</f>
        <v>0</v>
      </c>
      <c r="AO632">
        <f>IFERROR(ROUND(L632*(K632/$AU632)/VLOOKUP("交易",商品!$A$4:$B$60,2,FALSE),0),0)</f>
        <v>0</v>
      </c>
      <c r="AP632" t="str">
        <f>IFERROR(ROUND(S632*(N632/$AV632)/VLOOKUP(M632,职业!$A$4:$G$16,4,FALSE),0),"")</f>
        <v/>
      </c>
      <c r="AQ632" t="str">
        <f>IFERROR(ROUND(S632*(P632/$AV632)/VLOOKUP(O632,职业!$A$4:$G$16,4,FALSE),0),"")</f>
        <v/>
      </c>
      <c r="AR632" t="str">
        <f>IFERROR(ROUND(S632*(R632/$AV632)/VLOOKUP(Q632,职业!$A$4:$G$16,4,FALSE),0),"")</f>
        <v/>
      </c>
      <c r="AS632" t="str">
        <f>IFERROR(ROUND(X632*(U632/$AW632)/VLOOKUP(T632,商品!$A$4:$B$60,2,FALSE),0),"")</f>
        <v/>
      </c>
      <c r="AT632" t="str">
        <f>IFERROR(ROUND(X632*(W632/$AW632)/VLOOKUP(V632,商品!$A$4:$B$60,2,FALSE),0),"")</f>
        <v/>
      </c>
      <c r="AU632">
        <f t="shared" si="205"/>
        <v>0</v>
      </c>
      <c r="AV632">
        <f t="shared" si="206"/>
        <v>0</v>
      </c>
      <c r="AW632">
        <f t="shared" si="207"/>
        <v>0</v>
      </c>
    </row>
    <row r="633" spans="1:49" ht="19.95" customHeight="1" x14ac:dyDescent="0.25">
      <c r="A633" s="16" t="s">
        <v>314</v>
      </c>
      <c r="C633" s="16">
        <v>3</v>
      </c>
      <c r="D633" s="23" t="s">
        <v>312</v>
      </c>
      <c r="E633" s="23" t="s">
        <v>524</v>
      </c>
      <c r="L633" s="15">
        <f>IFERROR(VLOOKUP($D633&amp;$C633,生产方式定位!$A$2:$E$38,2,FALSE)+VLOOKUP($E633&amp;$C633,生产方式定位!$F$3:$J$38,2,FALSE),0)</f>
        <v>0</v>
      </c>
      <c r="S633" s="15">
        <f>IFERROR(VLOOKUP($D633&amp;$C633,生产方式定位!$A$2:$E$38,3,FALSE)+VLOOKUP($E633&amp;$C633,生产方式定位!$F$3:$J$38,3,FALSE),0)</f>
        <v>0</v>
      </c>
      <c r="X633" s="15" t="str">
        <f>IFERROR(VLOOKUP($D633&amp;$C633,生产方式定位!$A$2:$E$38,5,FALSE)+VLOOKUP($E633&amp;$C633,生产方式定位!$F$3:$J$38,5,FALSE),"错误")</f>
        <v>错误</v>
      </c>
      <c r="Y633" s="26" t="str">
        <f t="shared" si="192"/>
        <v/>
      </c>
      <c r="Z633" s="36" t="str">
        <f t="shared" si="193"/>
        <v/>
      </c>
      <c r="AA633" s="36" t="str">
        <f t="shared" si="194"/>
        <v/>
      </c>
      <c r="AB633" s="27" t="str">
        <f t="shared" si="195"/>
        <v/>
      </c>
      <c r="AC633" s="2" t="e">
        <f t="shared" si="196"/>
        <v>#VALUE!</v>
      </c>
      <c r="AD633" s="37">
        <f t="shared" si="197"/>
        <v>3</v>
      </c>
      <c r="AE633" t="str">
        <f t="shared" si="198"/>
        <v/>
      </c>
      <c r="AF633" t="str">
        <f t="shared" si="199"/>
        <v/>
      </c>
      <c r="AG633" t="str">
        <f t="shared" si="200"/>
        <v/>
      </c>
      <c r="AH633" t="str">
        <f t="shared" si="201"/>
        <v/>
      </c>
      <c r="AI633" t="str">
        <f t="shared" si="202"/>
        <v/>
      </c>
      <c r="AJ633" t="str">
        <f t="shared" si="203"/>
        <v/>
      </c>
      <c r="AK633" t="str">
        <f t="shared" si="204"/>
        <v/>
      </c>
      <c r="AL633" t="str">
        <f>IFERROR(ROUND(L633*(G633/$AU633)/VLOOKUP(F633,商品!$A$4:$B$60,2,FALSE),0),"")</f>
        <v/>
      </c>
      <c r="AM633" t="str">
        <f>IFERROR(ROUND(L633*(I633/$AU633)/VLOOKUP(H633,商品!$A$4:$B$60,2,FALSE),0),"")</f>
        <v/>
      </c>
      <c r="AN633">
        <f>IFERROR(ROUND(L633*(J633/$AU633)/VLOOKUP("运力",商品!$A$4:$B$60,2,FALSE),0),0)</f>
        <v>0</v>
      </c>
      <c r="AO633">
        <f>IFERROR(ROUND(L633*(K633/$AU633)/VLOOKUP("交易",商品!$A$4:$B$60,2,FALSE),0),0)</f>
        <v>0</v>
      </c>
      <c r="AP633" t="str">
        <f>IFERROR(ROUND(S633*(N633/$AV633)/VLOOKUP(M633,职业!$A$4:$G$16,4,FALSE),0),"")</f>
        <v/>
      </c>
      <c r="AQ633" t="str">
        <f>IFERROR(ROUND(S633*(P633/$AV633)/VLOOKUP(O633,职业!$A$4:$G$16,4,FALSE),0),"")</f>
        <v/>
      </c>
      <c r="AR633" t="str">
        <f>IFERROR(ROUND(S633*(R633/$AV633)/VLOOKUP(Q633,职业!$A$4:$G$16,4,FALSE),0),"")</f>
        <v/>
      </c>
      <c r="AS633" t="str">
        <f>IFERROR(ROUND(X633*(U633/$AW633)/VLOOKUP(T633,商品!$A$4:$B$60,2,FALSE),0),"")</f>
        <v/>
      </c>
      <c r="AT633" t="str">
        <f>IFERROR(ROUND(X633*(W633/$AW633)/VLOOKUP(V633,商品!$A$4:$B$60,2,FALSE),0),"")</f>
        <v/>
      </c>
      <c r="AU633">
        <f t="shared" si="205"/>
        <v>0</v>
      </c>
      <c r="AV633">
        <f t="shared" si="206"/>
        <v>0</v>
      </c>
      <c r="AW633">
        <f t="shared" si="207"/>
        <v>0</v>
      </c>
    </row>
    <row r="634" spans="1:49" ht="19.95" customHeight="1" x14ac:dyDescent="0.25">
      <c r="A634" s="16" t="s">
        <v>314</v>
      </c>
      <c r="C634" s="16">
        <v>4</v>
      </c>
      <c r="D634" s="23" t="s">
        <v>312</v>
      </c>
      <c r="E634" s="23" t="s">
        <v>524</v>
      </c>
      <c r="L634" s="15">
        <f>IFERROR(VLOOKUP($D634&amp;$C634,生产方式定位!$A$2:$E$38,2,FALSE)+VLOOKUP($E634&amp;$C634,生产方式定位!$F$3:$J$38,2,FALSE),0)</f>
        <v>0</v>
      </c>
      <c r="S634" s="15">
        <f>IFERROR(VLOOKUP($D634&amp;$C634,生产方式定位!$A$2:$E$38,3,FALSE)+VLOOKUP($E634&amp;$C634,生产方式定位!$F$3:$J$38,3,FALSE),0)</f>
        <v>0</v>
      </c>
      <c r="X634" s="15" t="str">
        <f>IFERROR(VLOOKUP($D634&amp;$C634,生产方式定位!$A$2:$E$38,5,FALSE)+VLOOKUP($E634&amp;$C634,生产方式定位!$F$3:$J$38,5,FALSE),"错误")</f>
        <v>错误</v>
      </c>
      <c r="Y634" s="26" t="str">
        <f t="shared" si="192"/>
        <v/>
      </c>
      <c r="Z634" s="36" t="str">
        <f t="shared" si="193"/>
        <v/>
      </c>
      <c r="AA634" s="36" t="str">
        <f t="shared" si="194"/>
        <v/>
      </c>
      <c r="AB634" s="27" t="str">
        <f t="shared" si="195"/>
        <v/>
      </c>
      <c r="AC634" s="2" t="e">
        <f t="shared" si="196"/>
        <v>#VALUE!</v>
      </c>
      <c r="AD634" s="37">
        <f t="shared" si="197"/>
        <v>4</v>
      </c>
      <c r="AE634" t="str">
        <f t="shared" si="198"/>
        <v/>
      </c>
      <c r="AF634" t="str">
        <f t="shared" si="199"/>
        <v/>
      </c>
      <c r="AG634" t="str">
        <f t="shared" si="200"/>
        <v/>
      </c>
      <c r="AH634" t="str">
        <f t="shared" si="201"/>
        <v/>
      </c>
      <c r="AI634" t="str">
        <f t="shared" si="202"/>
        <v/>
      </c>
      <c r="AJ634" t="str">
        <f t="shared" si="203"/>
        <v/>
      </c>
      <c r="AK634" t="str">
        <f t="shared" si="204"/>
        <v/>
      </c>
      <c r="AL634" t="str">
        <f>IFERROR(ROUND(L634*(G634/$AU634)/VLOOKUP(F634,商品!$A$4:$B$60,2,FALSE),0),"")</f>
        <v/>
      </c>
      <c r="AM634" t="str">
        <f>IFERROR(ROUND(L634*(I634/$AU634)/VLOOKUP(H634,商品!$A$4:$B$60,2,FALSE),0),"")</f>
        <v/>
      </c>
      <c r="AN634">
        <f>IFERROR(ROUND(L634*(J634/$AU634)/VLOOKUP("运力",商品!$A$4:$B$60,2,FALSE),0),0)</f>
        <v>0</v>
      </c>
      <c r="AO634">
        <f>IFERROR(ROUND(L634*(K634/$AU634)/VLOOKUP("交易",商品!$A$4:$B$60,2,FALSE),0),0)</f>
        <v>0</v>
      </c>
      <c r="AP634" t="str">
        <f>IFERROR(ROUND(S634*(N634/$AV634)/VLOOKUP(M634,职业!$A$4:$G$16,4,FALSE),0),"")</f>
        <v/>
      </c>
      <c r="AQ634" t="str">
        <f>IFERROR(ROUND(S634*(P634/$AV634)/VLOOKUP(O634,职业!$A$4:$G$16,4,FALSE),0),"")</f>
        <v/>
      </c>
      <c r="AR634" t="str">
        <f>IFERROR(ROUND(S634*(R634/$AV634)/VLOOKUP(Q634,职业!$A$4:$G$16,4,FALSE),0),"")</f>
        <v/>
      </c>
      <c r="AS634" t="str">
        <f>IFERROR(ROUND(X634*(U634/$AW634)/VLOOKUP(T634,商品!$A$4:$B$60,2,FALSE),0),"")</f>
        <v/>
      </c>
      <c r="AT634" t="str">
        <f>IFERROR(ROUND(X634*(W634/$AW634)/VLOOKUP(V634,商品!$A$4:$B$60,2,FALSE),0),"")</f>
        <v/>
      </c>
      <c r="AU634">
        <f t="shared" si="205"/>
        <v>0</v>
      </c>
      <c r="AV634">
        <f t="shared" si="206"/>
        <v>0</v>
      </c>
      <c r="AW634">
        <f t="shared" si="207"/>
        <v>0</v>
      </c>
    </row>
    <row r="635" spans="1:49" ht="19.95" customHeight="1" x14ac:dyDescent="0.25">
      <c r="A635" s="16" t="s">
        <v>314</v>
      </c>
      <c r="C635" s="16">
        <v>5</v>
      </c>
      <c r="D635" s="23" t="s">
        <v>312</v>
      </c>
      <c r="E635" s="23" t="s">
        <v>524</v>
      </c>
      <c r="L635" s="15">
        <f>IFERROR(VLOOKUP($D635&amp;$C635,生产方式定位!$A$2:$E$38,2,FALSE)+VLOOKUP($E635&amp;$C635,生产方式定位!$F$3:$J$38,2,FALSE),0)</f>
        <v>0</v>
      </c>
      <c r="S635" s="15">
        <f>IFERROR(VLOOKUP($D635&amp;$C635,生产方式定位!$A$2:$E$38,3,FALSE)+VLOOKUP($E635&amp;$C635,生产方式定位!$F$3:$J$38,3,FALSE),0)</f>
        <v>0</v>
      </c>
      <c r="X635" s="15" t="str">
        <f>IFERROR(VLOOKUP($D635&amp;$C635,生产方式定位!$A$2:$E$38,5,FALSE)+VLOOKUP($E635&amp;$C635,生产方式定位!$F$3:$J$38,5,FALSE),"错误")</f>
        <v>错误</v>
      </c>
      <c r="Y635" s="26" t="str">
        <f t="shared" si="192"/>
        <v/>
      </c>
      <c r="Z635" s="36" t="str">
        <f t="shared" si="193"/>
        <v/>
      </c>
      <c r="AA635" s="36" t="str">
        <f t="shared" si="194"/>
        <v/>
      </c>
      <c r="AB635" s="27" t="str">
        <f t="shared" si="195"/>
        <v/>
      </c>
      <c r="AC635" s="2" t="e">
        <f t="shared" si="196"/>
        <v>#VALUE!</v>
      </c>
      <c r="AD635" s="37">
        <f t="shared" si="197"/>
        <v>5</v>
      </c>
      <c r="AE635" t="str">
        <f t="shared" si="198"/>
        <v/>
      </c>
      <c r="AF635" t="str">
        <f t="shared" si="199"/>
        <v/>
      </c>
      <c r="AG635" t="str">
        <f t="shared" si="200"/>
        <v/>
      </c>
      <c r="AH635" t="str">
        <f t="shared" si="201"/>
        <v/>
      </c>
      <c r="AI635" t="str">
        <f t="shared" si="202"/>
        <v/>
      </c>
      <c r="AJ635" t="str">
        <f t="shared" si="203"/>
        <v/>
      </c>
      <c r="AK635" t="str">
        <f t="shared" si="204"/>
        <v/>
      </c>
      <c r="AL635" t="str">
        <f>IFERROR(ROUND(L635*(G635/$AU635)/VLOOKUP(F635,商品!$A$4:$B$60,2,FALSE),0),"")</f>
        <v/>
      </c>
      <c r="AM635" t="str">
        <f>IFERROR(ROUND(L635*(I635/$AU635)/VLOOKUP(H635,商品!$A$4:$B$60,2,FALSE),0),"")</f>
        <v/>
      </c>
      <c r="AN635">
        <f>IFERROR(ROUND(L635*(J635/$AU635)/VLOOKUP("运力",商品!$A$4:$B$60,2,FALSE),0),0)</f>
        <v>0</v>
      </c>
      <c r="AO635">
        <f>IFERROR(ROUND(L635*(K635/$AU635)/VLOOKUP("交易",商品!$A$4:$B$60,2,FALSE),0),0)</f>
        <v>0</v>
      </c>
      <c r="AP635" t="str">
        <f>IFERROR(ROUND(S635*(N635/$AV635)/VLOOKUP(M635,职业!$A$4:$G$16,4,FALSE),0),"")</f>
        <v/>
      </c>
      <c r="AQ635" t="str">
        <f>IFERROR(ROUND(S635*(P635/$AV635)/VLOOKUP(O635,职业!$A$4:$G$16,4,FALSE),0),"")</f>
        <v/>
      </c>
      <c r="AR635" t="str">
        <f>IFERROR(ROUND(S635*(R635/$AV635)/VLOOKUP(Q635,职业!$A$4:$G$16,4,FALSE),0),"")</f>
        <v/>
      </c>
      <c r="AS635" t="str">
        <f>IFERROR(ROUND(X635*(U635/$AW635)/VLOOKUP(T635,商品!$A$4:$B$60,2,FALSE),0),"")</f>
        <v/>
      </c>
      <c r="AT635" t="str">
        <f>IFERROR(ROUND(X635*(W635/$AW635)/VLOOKUP(V635,商品!$A$4:$B$60,2,FALSE),0),"")</f>
        <v/>
      </c>
      <c r="AU635">
        <f t="shared" si="205"/>
        <v>0</v>
      </c>
      <c r="AV635">
        <f t="shared" si="206"/>
        <v>0</v>
      </c>
      <c r="AW635">
        <f t="shared" si="207"/>
        <v>0</v>
      </c>
    </row>
    <row r="636" spans="1:49" ht="19.95" customHeight="1" x14ac:dyDescent="0.25">
      <c r="A636" s="15" t="s">
        <v>315</v>
      </c>
      <c r="C636" s="15">
        <v>1</v>
      </c>
      <c r="D636" s="23" t="s">
        <v>312</v>
      </c>
      <c r="E636" s="23" t="s">
        <v>524</v>
      </c>
      <c r="L636" s="16">
        <f>IFERROR(VLOOKUP($D636&amp;$C636,生产方式定位!$A$2:$E$38,2,FALSE)+VLOOKUP($E636&amp;$C636,生产方式定位!$F$3:$J$38,2,FALSE),0)</f>
        <v>0</v>
      </c>
      <c r="S636" s="16">
        <f>IFERROR(VLOOKUP($D636&amp;$C636,生产方式定位!$A$2:$E$38,3,FALSE)+VLOOKUP($E636&amp;$C636,生产方式定位!$F$3:$J$38,3,FALSE),0)</f>
        <v>0</v>
      </c>
      <c r="X636" s="16" t="str">
        <f>IFERROR(VLOOKUP($D636&amp;$C636,生产方式定位!$A$2:$E$38,5,FALSE)+VLOOKUP($E636&amp;$C636,生产方式定位!$F$3:$J$38,5,FALSE),"错误")</f>
        <v>错误</v>
      </c>
      <c r="Y636" s="26" t="str">
        <f t="shared" si="192"/>
        <v/>
      </c>
      <c r="Z636" s="36" t="str">
        <f t="shared" si="193"/>
        <v/>
      </c>
      <c r="AA636" s="36" t="str">
        <f t="shared" si="194"/>
        <v/>
      </c>
      <c r="AB636" s="27" t="str">
        <f t="shared" si="195"/>
        <v/>
      </c>
      <c r="AC636" s="2" t="e">
        <f t="shared" si="196"/>
        <v>#VALUE!</v>
      </c>
      <c r="AD636" s="38">
        <f t="shared" si="197"/>
        <v>1</v>
      </c>
      <c r="AE636" t="str">
        <f t="shared" si="198"/>
        <v/>
      </c>
      <c r="AF636" t="str">
        <f t="shared" si="199"/>
        <v/>
      </c>
      <c r="AG636" t="str">
        <f t="shared" si="200"/>
        <v/>
      </c>
      <c r="AH636" t="str">
        <f t="shared" si="201"/>
        <v/>
      </c>
      <c r="AI636" t="str">
        <f t="shared" si="202"/>
        <v/>
      </c>
      <c r="AJ636" t="str">
        <f t="shared" si="203"/>
        <v/>
      </c>
      <c r="AK636" t="str">
        <f t="shared" si="204"/>
        <v/>
      </c>
      <c r="AL636" t="str">
        <f>IFERROR(ROUND(L636*(G636/$AU636)/VLOOKUP(F636,商品!$A$4:$B$60,2,FALSE),0),"")</f>
        <v/>
      </c>
      <c r="AM636" t="str">
        <f>IFERROR(ROUND(L636*(I636/$AU636)/VLOOKUP(H636,商品!$A$4:$B$60,2,FALSE),0),"")</f>
        <v/>
      </c>
      <c r="AN636">
        <f>IFERROR(ROUND(L636*(J636/$AU636)/VLOOKUP("运力",商品!$A$4:$B$60,2,FALSE),0),0)</f>
        <v>0</v>
      </c>
      <c r="AO636">
        <f>IFERROR(ROUND(L636*(K636/$AU636)/VLOOKUP("交易",商品!$A$4:$B$60,2,FALSE),0),0)</f>
        <v>0</v>
      </c>
      <c r="AP636" t="str">
        <f>IFERROR(ROUND(S636*(N636/$AV636)/VLOOKUP(M636,职业!$A$4:$G$16,4,FALSE),0),"")</f>
        <v/>
      </c>
      <c r="AQ636" t="str">
        <f>IFERROR(ROUND(S636*(P636/$AV636)/VLOOKUP(O636,职业!$A$4:$G$16,4,FALSE),0),"")</f>
        <v/>
      </c>
      <c r="AR636" t="str">
        <f>IFERROR(ROUND(S636*(R636/$AV636)/VLOOKUP(Q636,职业!$A$4:$G$16,4,FALSE),0),"")</f>
        <v/>
      </c>
      <c r="AS636" t="str">
        <f>IFERROR(ROUND(X636*(U636/$AW636)/VLOOKUP(T636,商品!$A$4:$B$60,2,FALSE),0),"")</f>
        <v/>
      </c>
      <c r="AT636" t="str">
        <f>IFERROR(ROUND(X636*(W636/$AW636)/VLOOKUP(V636,商品!$A$4:$B$60,2,FALSE),0),"")</f>
        <v/>
      </c>
      <c r="AU636">
        <f t="shared" si="205"/>
        <v>0</v>
      </c>
      <c r="AV636">
        <f t="shared" si="206"/>
        <v>0</v>
      </c>
      <c r="AW636">
        <f t="shared" si="207"/>
        <v>0</v>
      </c>
    </row>
    <row r="637" spans="1:49" ht="19.95" customHeight="1" x14ac:dyDescent="0.25">
      <c r="A637" s="15" t="s">
        <v>315</v>
      </c>
      <c r="C637" s="15">
        <v>2</v>
      </c>
      <c r="D637" s="23" t="s">
        <v>312</v>
      </c>
      <c r="E637" s="23" t="s">
        <v>524</v>
      </c>
      <c r="L637" s="16">
        <f>IFERROR(VLOOKUP($D637&amp;$C637,生产方式定位!$A$2:$E$38,2,FALSE)+VLOOKUP($E637&amp;$C637,生产方式定位!$F$3:$J$38,2,FALSE),0)</f>
        <v>0</v>
      </c>
      <c r="S637" s="16">
        <f>IFERROR(VLOOKUP($D637&amp;$C637,生产方式定位!$A$2:$E$38,3,FALSE)+VLOOKUP($E637&amp;$C637,生产方式定位!$F$3:$J$38,3,FALSE),0)</f>
        <v>0</v>
      </c>
      <c r="X637" s="16" t="str">
        <f>IFERROR(VLOOKUP($D637&amp;$C637,生产方式定位!$A$2:$E$38,5,FALSE)+VLOOKUP($E637&amp;$C637,生产方式定位!$F$3:$J$38,5,FALSE),"错误")</f>
        <v>错误</v>
      </c>
      <c r="Y637" s="26" t="str">
        <f t="shared" si="192"/>
        <v/>
      </c>
      <c r="Z637" s="36" t="str">
        <f t="shared" si="193"/>
        <v/>
      </c>
      <c r="AA637" s="36" t="str">
        <f t="shared" si="194"/>
        <v/>
      </c>
      <c r="AB637" s="27" t="str">
        <f t="shared" si="195"/>
        <v/>
      </c>
      <c r="AC637" s="2" t="e">
        <f t="shared" si="196"/>
        <v>#VALUE!</v>
      </c>
      <c r="AD637" s="38">
        <f t="shared" si="197"/>
        <v>2</v>
      </c>
      <c r="AE637" t="str">
        <f t="shared" si="198"/>
        <v/>
      </c>
      <c r="AF637" t="str">
        <f t="shared" si="199"/>
        <v/>
      </c>
      <c r="AG637" t="str">
        <f t="shared" si="200"/>
        <v/>
      </c>
      <c r="AH637" t="str">
        <f t="shared" si="201"/>
        <v/>
      </c>
      <c r="AI637" t="str">
        <f t="shared" si="202"/>
        <v/>
      </c>
      <c r="AJ637" t="str">
        <f t="shared" si="203"/>
        <v/>
      </c>
      <c r="AK637" t="str">
        <f t="shared" si="204"/>
        <v/>
      </c>
      <c r="AL637" t="str">
        <f>IFERROR(ROUND(L637*(G637/$AU637)/VLOOKUP(F637,商品!$A$4:$B$60,2,FALSE),0),"")</f>
        <v/>
      </c>
      <c r="AM637" t="str">
        <f>IFERROR(ROUND(L637*(I637/$AU637)/VLOOKUP(H637,商品!$A$4:$B$60,2,FALSE),0),"")</f>
        <v/>
      </c>
      <c r="AN637">
        <f>IFERROR(ROUND(L637*(J637/$AU637)/VLOOKUP("运力",商品!$A$4:$B$60,2,FALSE),0),0)</f>
        <v>0</v>
      </c>
      <c r="AO637">
        <f>IFERROR(ROUND(L637*(K637/$AU637)/VLOOKUP("交易",商品!$A$4:$B$60,2,FALSE),0),0)</f>
        <v>0</v>
      </c>
      <c r="AP637" t="str">
        <f>IFERROR(ROUND(S637*(N637/$AV637)/VLOOKUP(M637,职业!$A$4:$G$16,4,FALSE),0),"")</f>
        <v/>
      </c>
      <c r="AQ637" t="str">
        <f>IFERROR(ROUND(S637*(P637/$AV637)/VLOOKUP(O637,职业!$A$4:$G$16,4,FALSE),0),"")</f>
        <v/>
      </c>
      <c r="AR637" t="str">
        <f>IFERROR(ROUND(S637*(R637/$AV637)/VLOOKUP(Q637,职业!$A$4:$G$16,4,FALSE),0),"")</f>
        <v/>
      </c>
      <c r="AS637" t="str">
        <f>IFERROR(ROUND(X637*(U637/$AW637)/VLOOKUP(T637,商品!$A$4:$B$60,2,FALSE),0),"")</f>
        <v/>
      </c>
      <c r="AT637" t="str">
        <f>IFERROR(ROUND(X637*(W637/$AW637)/VLOOKUP(V637,商品!$A$4:$B$60,2,FALSE),0),"")</f>
        <v/>
      </c>
      <c r="AU637">
        <f t="shared" si="205"/>
        <v>0</v>
      </c>
      <c r="AV637">
        <f t="shared" si="206"/>
        <v>0</v>
      </c>
      <c r="AW637">
        <f t="shared" si="207"/>
        <v>0</v>
      </c>
    </row>
    <row r="638" spans="1:49" ht="19.95" customHeight="1" x14ac:dyDescent="0.25">
      <c r="A638" s="15" t="s">
        <v>315</v>
      </c>
      <c r="C638" s="15">
        <v>3</v>
      </c>
      <c r="D638" s="23" t="s">
        <v>312</v>
      </c>
      <c r="E638" s="23" t="s">
        <v>524</v>
      </c>
      <c r="L638" s="16">
        <f>IFERROR(VLOOKUP($D638&amp;$C638,生产方式定位!$A$2:$E$38,2,FALSE)+VLOOKUP($E638&amp;$C638,生产方式定位!$F$3:$J$38,2,FALSE),0)</f>
        <v>0</v>
      </c>
      <c r="S638" s="16">
        <f>IFERROR(VLOOKUP($D638&amp;$C638,生产方式定位!$A$2:$E$38,3,FALSE)+VLOOKUP($E638&amp;$C638,生产方式定位!$F$3:$J$38,3,FALSE),0)</f>
        <v>0</v>
      </c>
      <c r="X638" s="16" t="str">
        <f>IFERROR(VLOOKUP($D638&amp;$C638,生产方式定位!$A$2:$E$38,5,FALSE)+VLOOKUP($E638&amp;$C638,生产方式定位!$F$3:$J$38,5,FALSE),"错误")</f>
        <v>错误</v>
      </c>
      <c r="Y638" s="26" t="str">
        <f t="shared" si="192"/>
        <v/>
      </c>
      <c r="Z638" s="36" t="str">
        <f t="shared" si="193"/>
        <v/>
      </c>
      <c r="AA638" s="36" t="str">
        <f t="shared" si="194"/>
        <v/>
      </c>
      <c r="AB638" s="27" t="str">
        <f t="shared" si="195"/>
        <v/>
      </c>
      <c r="AC638" s="2" t="e">
        <f t="shared" si="196"/>
        <v>#VALUE!</v>
      </c>
      <c r="AD638" s="38">
        <f t="shared" si="197"/>
        <v>3</v>
      </c>
      <c r="AE638" t="str">
        <f t="shared" si="198"/>
        <v/>
      </c>
      <c r="AF638" t="str">
        <f t="shared" si="199"/>
        <v/>
      </c>
      <c r="AG638" t="str">
        <f t="shared" si="200"/>
        <v/>
      </c>
      <c r="AH638" t="str">
        <f t="shared" si="201"/>
        <v/>
      </c>
      <c r="AI638" t="str">
        <f t="shared" si="202"/>
        <v/>
      </c>
      <c r="AJ638" t="str">
        <f t="shared" si="203"/>
        <v/>
      </c>
      <c r="AK638" t="str">
        <f t="shared" si="204"/>
        <v/>
      </c>
      <c r="AL638" t="str">
        <f>IFERROR(ROUND(L638*(G638/$AU638)/VLOOKUP(F638,商品!$A$4:$B$60,2,FALSE),0),"")</f>
        <v/>
      </c>
      <c r="AM638" t="str">
        <f>IFERROR(ROUND(L638*(I638/$AU638)/VLOOKUP(H638,商品!$A$4:$B$60,2,FALSE),0),"")</f>
        <v/>
      </c>
      <c r="AN638">
        <f>IFERROR(ROUND(L638*(J638/$AU638)/VLOOKUP("运力",商品!$A$4:$B$60,2,FALSE),0),0)</f>
        <v>0</v>
      </c>
      <c r="AO638">
        <f>IFERROR(ROUND(L638*(K638/$AU638)/VLOOKUP("交易",商品!$A$4:$B$60,2,FALSE),0),0)</f>
        <v>0</v>
      </c>
      <c r="AP638" t="str">
        <f>IFERROR(ROUND(S638*(N638/$AV638)/VLOOKUP(M638,职业!$A$4:$G$16,4,FALSE),0),"")</f>
        <v/>
      </c>
      <c r="AQ638" t="str">
        <f>IFERROR(ROUND(S638*(P638/$AV638)/VLOOKUP(O638,职业!$A$4:$G$16,4,FALSE),0),"")</f>
        <v/>
      </c>
      <c r="AR638" t="str">
        <f>IFERROR(ROUND(S638*(R638/$AV638)/VLOOKUP(Q638,职业!$A$4:$G$16,4,FALSE),0),"")</f>
        <v/>
      </c>
      <c r="AS638" t="str">
        <f>IFERROR(ROUND(X638*(U638/$AW638)/VLOOKUP(T638,商品!$A$4:$B$60,2,FALSE),0),"")</f>
        <v/>
      </c>
      <c r="AT638" t="str">
        <f>IFERROR(ROUND(X638*(W638/$AW638)/VLOOKUP(V638,商品!$A$4:$B$60,2,FALSE),0),"")</f>
        <v/>
      </c>
      <c r="AU638">
        <f t="shared" si="205"/>
        <v>0</v>
      </c>
      <c r="AV638">
        <f t="shared" si="206"/>
        <v>0</v>
      </c>
      <c r="AW638">
        <f t="shared" si="207"/>
        <v>0</v>
      </c>
    </row>
    <row r="639" spans="1:49" ht="19.95" customHeight="1" x14ac:dyDescent="0.25">
      <c r="A639" s="15" t="s">
        <v>315</v>
      </c>
      <c r="C639" s="15">
        <v>4</v>
      </c>
      <c r="D639" s="23" t="s">
        <v>312</v>
      </c>
      <c r="E639" s="23" t="s">
        <v>524</v>
      </c>
      <c r="L639" s="16">
        <f>IFERROR(VLOOKUP($D639&amp;$C639,生产方式定位!$A$2:$E$38,2,FALSE)+VLOOKUP($E639&amp;$C639,生产方式定位!$F$3:$J$38,2,FALSE),0)</f>
        <v>0</v>
      </c>
      <c r="S639" s="16">
        <f>IFERROR(VLOOKUP($D639&amp;$C639,生产方式定位!$A$2:$E$38,3,FALSE)+VLOOKUP($E639&amp;$C639,生产方式定位!$F$3:$J$38,3,FALSE),0)</f>
        <v>0</v>
      </c>
      <c r="X639" s="16" t="str">
        <f>IFERROR(VLOOKUP($D639&amp;$C639,生产方式定位!$A$2:$E$38,5,FALSE)+VLOOKUP($E639&amp;$C639,生产方式定位!$F$3:$J$38,5,FALSE),"错误")</f>
        <v>错误</v>
      </c>
      <c r="Y639" s="26" t="str">
        <f t="shared" si="192"/>
        <v/>
      </c>
      <c r="Z639" s="36" t="str">
        <f t="shared" si="193"/>
        <v/>
      </c>
      <c r="AA639" s="36" t="str">
        <f t="shared" si="194"/>
        <v/>
      </c>
      <c r="AB639" s="27" t="str">
        <f t="shared" si="195"/>
        <v/>
      </c>
      <c r="AC639" s="2" t="e">
        <f t="shared" si="196"/>
        <v>#VALUE!</v>
      </c>
      <c r="AD639" s="38">
        <f t="shared" si="197"/>
        <v>4</v>
      </c>
      <c r="AE639" t="str">
        <f t="shared" si="198"/>
        <v/>
      </c>
      <c r="AF639" t="str">
        <f t="shared" si="199"/>
        <v/>
      </c>
      <c r="AG639" t="str">
        <f t="shared" si="200"/>
        <v/>
      </c>
      <c r="AH639" t="str">
        <f t="shared" si="201"/>
        <v/>
      </c>
      <c r="AI639" t="str">
        <f t="shared" si="202"/>
        <v/>
      </c>
      <c r="AJ639" t="str">
        <f t="shared" si="203"/>
        <v/>
      </c>
      <c r="AK639" t="str">
        <f t="shared" si="204"/>
        <v/>
      </c>
      <c r="AL639" t="str">
        <f>IFERROR(ROUND(L639*(G639/$AU639)/VLOOKUP(F639,商品!$A$4:$B$60,2,FALSE),0),"")</f>
        <v/>
      </c>
      <c r="AM639" t="str">
        <f>IFERROR(ROUND(L639*(I639/$AU639)/VLOOKUP(H639,商品!$A$4:$B$60,2,FALSE),0),"")</f>
        <v/>
      </c>
      <c r="AN639">
        <f>IFERROR(ROUND(L639*(J639/$AU639)/VLOOKUP("运力",商品!$A$4:$B$60,2,FALSE),0),0)</f>
        <v>0</v>
      </c>
      <c r="AO639">
        <f>IFERROR(ROUND(L639*(K639/$AU639)/VLOOKUP("交易",商品!$A$4:$B$60,2,FALSE),0),0)</f>
        <v>0</v>
      </c>
      <c r="AP639" t="str">
        <f>IFERROR(ROUND(S639*(N639/$AV639)/VLOOKUP(M639,职业!$A$4:$G$16,4,FALSE),0),"")</f>
        <v/>
      </c>
      <c r="AQ639" t="str">
        <f>IFERROR(ROUND(S639*(P639/$AV639)/VLOOKUP(O639,职业!$A$4:$G$16,4,FALSE),0),"")</f>
        <v/>
      </c>
      <c r="AR639" t="str">
        <f>IFERROR(ROUND(S639*(R639/$AV639)/VLOOKUP(Q639,职业!$A$4:$G$16,4,FALSE),0),"")</f>
        <v/>
      </c>
      <c r="AS639" t="str">
        <f>IFERROR(ROUND(X639*(U639/$AW639)/VLOOKUP(T639,商品!$A$4:$B$60,2,FALSE),0),"")</f>
        <v/>
      </c>
      <c r="AT639" t="str">
        <f>IFERROR(ROUND(X639*(W639/$AW639)/VLOOKUP(V639,商品!$A$4:$B$60,2,FALSE),0),"")</f>
        <v/>
      </c>
      <c r="AU639">
        <f t="shared" si="205"/>
        <v>0</v>
      </c>
      <c r="AV639">
        <f t="shared" si="206"/>
        <v>0</v>
      </c>
      <c r="AW639">
        <f t="shared" si="207"/>
        <v>0</v>
      </c>
    </row>
    <row r="640" spans="1:49" ht="19.95" customHeight="1" x14ac:dyDescent="0.25">
      <c r="A640" s="15" t="s">
        <v>315</v>
      </c>
      <c r="C640" s="15">
        <v>5</v>
      </c>
      <c r="D640" s="23" t="s">
        <v>312</v>
      </c>
      <c r="E640" s="23" t="s">
        <v>524</v>
      </c>
      <c r="L640" s="16">
        <f>IFERROR(VLOOKUP($D640&amp;$C640,生产方式定位!$A$2:$E$38,2,FALSE)+VLOOKUP($E640&amp;$C640,生产方式定位!$F$3:$J$38,2,FALSE),0)</f>
        <v>0</v>
      </c>
      <c r="S640" s="16">
        <f>IFERROR(VLOOKUP($D640&amp;$C640,生产方式定位!$A$2:$E$38,3,FALSE)+VLOOKUP($E640&amp;$C640,生产方式定位!$F$3:$J$38,3,FALSE),0)</f>
        <v>0</v>
      </c>
      <c r="X640" s="16" t="str">
        <f>IFERROR(VLOOKUP($D640&amp;$C640,生产方式定位!$A$2:$E$38,5,FALSE)+VLOOKUP($E640&amp;$C640,生产方式定位!$F$3:$J$38,5,FALSE),"错误")</f>
        <v>错误</v>
      </c>
      <c r="Y640" s="26" t="str">
        <f t="shared" si="192"/>
        <v/>
      </c>
      <c r="Z640" s="36" t="str">
        <f t="shared" si="193"/>
        <v/>
      </c>
      <c r="AA640" s="36" t="str">
        <f t="shared" si="194"/>
        <v/>
      </c>
      <c r="AB640" s="27" t="str">
        <f t="shared" si="195"/>
        <v/>
      </c>
      <c r="AC640" s="2" t="e">
        <f t="shared" si="196"/>
        <v>#VALUE!</v>
      </c>
      <c r="AD640" s="38">
        <f t="shared" si="197"/>
        <v>5</v>
      </c>
      <c r="AE640" t="str">
        <f t="shared" si="198"/>
        <v/>
      </c>
      <c r="AF640" t="str">
        <f t="shared" si="199"/>
        <v/>
      </c>
      <c r="AG640" t="str">
        <f t="shared" si="200"/>
        <v/>
      </c>
      <c r="AH640" t="str">
        <f t="shared" si="201"/>
        <v/>
      </c>
      <c r="AI640" t="str">
        <f t="shared" si="202"/>
        <v/>
      </c>
      <c r="AJ640" t="str">
        <f t="shared" si="203"/>
        <v/>
      </c>
      <c r="AK640" t="str">
        <f t="shared" si="204"/>
        <v/>
      </c>
      <c r="AL640" t="str">
        <f>IFERROR(ROUND(L640*(G640/$AU640)/VLOOKUP(F640,商品!$A$4:$B$60,2,FALSE),0),"")</f>
        <v/>
      </c>
      <c r="AM640" t="str">
        <f>IFERROR(ROUND(L640*(I640/$AU640)/VLOOKUP(H640,商品!$A$4:$B$60,2,FALSE),0),"")</f>
        <v/>
      </c>
      <c r="AN640">
        <f>IFERROR(ROUND(L640*(J640/$AU640)/VLOOKUP("运力",商品!$A$4:$B$60,2,FALSE),0),0)</f>
        <v>0</v>
      </c>
      <c r="AO640">
        <f>IFERROR(ROUND(L640*(K640/$AU640)/VLOOKUP("交易",商品!$A$4:$B$60,2,FALSE),0),0)</f>
        <v>0</v>
      </c>
      <c r="AP640" t="str">
        <f>IFERROR(ROUND(S640*(N640/$AV640)/VLOOKUP(M640,职业!$A$4:$G$16,4,FALSE),0),"")</f>
        <v/>
      </c>
      <c r="AQ640" t="str">
        <f>IFERROR(ROUND(S640*(P640/$AV640)/VLOOKUP(O640,职业!$A$4:$G$16,4,FALSE),0),"")</f>
        <v/>
      </c>
      <c r="AR640" t="str">
        <f>IFERROR(ROUND(S640*(R640/$AV640)/VLOOKUP(Q640,职业!$A$4:$G$16,4,FALSE),0),"")</f>
        <v/>
      </c>
      <c r="AS640" t="str">
        <f>IFERROR(ROUND(X640*(U640/$AW640)/VLOOKUP(T640,商品!$A$4:$B$60,2,FALSE),0),"")</f>
        <v/>
      </c>
      <c r="AT640" t="str">
        <f>IFERROR(ROUND(X640*(W640/$AW640)/VLOOKUP(V640,商品!$A$4:$B$60,2,FALSE),0),"")</f>
        <v/>
      </c>
      <c r="AU640">
        <f t="shared" si="205"/>
        <v>0</v>
      </c>
      <c r="AV640">
        <f t="shared" si="206"/>
        <v>0</v>
      </c>
      <c r="AW640">
        <f t="shared" si="207"/>
        <v>0</v>
      </c>
    </row>
    <row r="641" spans="1:49" ht="19.95" customHeight="1" x14ac:dyDescent="0.25">
      <c r="A641" s="16" t="s">
        <v>316</v>
      </c>
      <c r="C641" s="16">
        <v>1</v>
      </c>
      <c r="D641" s="23" t="s">
        <v>174</v>
      </c>
      <c r="E641" s="23" t="s">
        <v>179</v>
      </c>
      <c r="L641" s="15">
        <f>IFERROR(VLOOKUP($D641&amp;$C641,生产方式定位!$A$2:$E$38,2,FALSE)+VLOOKUP($E641&amp;$C641,生产方式定位!$F$3:$J$38,2,FALSE),0)</f>
        <v>0</v>
      </c>
      <c r="S641" s="15">
        <f>IFERROR(VLOOKUP($D641&amp;$C641,生产方式定位!$A$2:$E$38,3,FALSE)+VLOOKUP($E641&amp;$C641,生产方式定位!$F$3:$J$38,3,FALSE),0)</f>
        <v>100</v>
      </c>
      <c r="X641" s="15">
        <f>IFERROR(VLOOKUP($D641&amp;$C641,生产方式定位!$A$2:$E$38,5,FALSE)+VLOOKUP($E641&amp;$C641,生产方式定位!$F$3:$J$38,5,FALSE),"错误")</f>
        <v>100</v>
      </c>
      <c r="Y641" s="26" t="str">
        <f t="shared" si="192"/>
        <v/>
      </c>
      <c r="Z641" s="36" t="str">
        <f t="shared" si="193"/>
        <v/>
      </c>
      <c r="AA641" s="36" t="str">
        <f t="shared" si="194"/>
        <v/>
      </c>
      <c r="AB641" s="27" t="str">
        <f t="shared" si="195"/>
        <v/>
      </c>
      <c r="AC641" s="2" t="str">
        <f t="shared" si="196"/>
        <v/>
      </c>
      <c r="AD641" s="37">
        <f t="shared" si="197"/>
        <v>1</v>
      </c>
      <c r="AE641" t="str">
        <f t="shared" si="198"/>
        <v/>
      </c>
      <c r="AF641" t="str">
        <f t="shared" si="199"/>
        <v/>
      </c>
      <c r="AG641" t="str">
        <f t="shared" si="200"/>
        <v/>
      </c>
      <c r="AH641" t="str">
        <f t="shared" si="201"/>
        <v/>
      </c>
      <c r="AI641" t="str">
        <f t="shared" si="202"/>
        <v/>
      </c>
      <c r="AJ641" t="str">
        <f t="shared" si="203"/>
        <v/>
      </c>
      <c r="AK641" t="str">
        <f t="shared" si="204"/>
        <v/>
      </c>
      <c r="AL641" t="str">
        <f>IFERROR(ROUND(L641*(G641/$AU641)/VLOOKUP(F641,商品!$A$4:$B$60,2,FALSE),0),"")</f>
        <v/>
      </c>
      <c r="AM641" t="str">
        <f>IFERROR(ROUND(L641*(I641/$AU641)/VLOOKUP(H641,商品!$A$4:$B$60,2,FALSE),0),"")</f>
        <v/>
      </c>
      <c r="AN641">
        <f>IFERROR(ROUND(L641*(J641/$AU641)/VLOOKUP("运力",商品!$A$4:$B$60,2,FALSE),0),0)</f>
        <v>0</v>
      </c>
      <c r="AO641">
        <f>IFERROR(ROUND(L641*(K641/$AU641)/VLOOKUP("交易",商品!$A$4:$B$60,2,FALSE),0),0)</f>
        <v>0</v>
      </c>
      <c r="AP641" t="str">
        <f>IFERROR(ROUND(S641*(N641/$AV641)/VLOOKUP(M641,职业!$A$4:$G$16,4,FALSE),0),"")</f>
        <v/>
      </c>
      <c r="AQ641" t="str">
        <f>IFERROR(ROUND(S641*(P641/$AV641)/VLOOKUP(O641,职业!$A$4:$G$16,4,FALSE),0),"")</f>
        <v/>
      </c>
      <c r="AR641" t="str">
        <f>IFERROR(ROUND(S641*(R641/$AV641)/VLOOKUP(Q641,职业!$A$4:$G$16,4,FALSE),0),"")</f>
        <v/>
      </c>
      <c r="AS641" t="str">
        <f>IFERROR(ROUND(X641*(U641/$AW641)/VLOOKUP(T641,商品!$A$4:$B$60,2,FALSE),0),"")</f>
        <v/>
      </c>
      <c r="AT641" t="str">
        <f>IFERROR(ROUND(X641*(W641/$AW641)/VLOOKUP(V641,商品!$A$4:$B$60,2,FALSE),0),"")</f>
        <v/>
      </c>
      <c r="AU641">
        <f t="shared" si="205"/>
        <v>0</v>
      </c>
      <c r="AV641">
        <f t="shared" si="206"/>
        <v>0</v>
      </c>
      <c r="AW641">
        <f t="shared" si="207"/>
        <v>0</v>
      </c>
    </row>
    <row r="642" spans="1:49" ht="19.95" customHeight="1" x14ac:dyDescent="0.25">
      <c r="A642" s="16" t="s">
        <v>316</v>
      </c>
      <c r="C642" s="16">
        <v>2</v>
      </c>
      <c r="D642" s="23" t="s">
        <v>174</v>
      </c>
      <c r="E642" s="23" t="s">
        <v>179</v>
      </c>
      <c r="L642" s="15">
        <f>IFERROR(VLOOKUP($D642&amp;$C642,生产方式定位!$A$2:$E$38,2,FALSE)+VLOOKUP($E642&amp;$C642,生产方式定位!$F$3:$J$38,2,FALSE),0)</f>
        <v>0</v>
      </c>
      <c r="S642" s="15">
        <f>IFERROR(VLOOKUP($D642&amp;$C642,生产方式定位!$A$2:$E$38,3,FALSE)+VLOOKUP($E642&amp;$C642,生产方式定位!$F$3:$J$38,3,FALSE),0)</f>
        <v>100</v>
      </c>
      <c r="X642" s="15">
        <f>IFERROR(VLOOKUP($D642&amp;$C642,生产方式定位!$A$2:$E$38,5,FALSE)+VLOOKUP($E642&amp;$C642,生产方式定位!$F$3:$J$38,5,FALSE),"错误")</f>
        <v>100</v>
      </c>
      <c r="Y642" s="26" t="str">
        <f t="shared" si="192"/>
        <v/>
      </c>
      <c r="Z642" s="36" t="str">
        <f t="shared" si="193"/>
        <v/>
      </c>
      <c r="AA642" s="36" t="str">
        <f t="shared" si="194"/>
        <v/>
      </c>
      <c r="AB642" s="27" t="str">
        <f t="shared" si="195"/>
        <v/>
      </c>
      <c r="AC642" s="2" t="str">
        <f t="shared" si="196"/>
        <v/>
      </c>
      <c r="AD642" s="37">
        <f t="shared" si="197"/>
        <v>2</v>
      </c>
      <c r="AE642" t="str">
        <f t="shared" si="198"/>
        <v/>
      </c>
      <c r="AF642" t="str">
        <f t="shared" si="199"/>
        <v/>
      </c>
      <c r="AG642" t="str">
        <f t="shared" si="200"/>
        <v/>
      </c>
      <c r="AH642" t="str">
        <f t="shared" si="201"/>
        <v/>
      </c>
      <c r="AI642" t="str">
        <f t="shared" si="202"/>
        <v/>
      </c>
      <c r="AJ642" t="str">
        <f t="shared" si="203"/>
        <v/>
      </c>
      <c r="AK642" t="str">
        <f t="shared" si="204"/>
        <v/>
      </c>
      <c r="AL642" t="str">
        <f>IFERROR(ROUND(L642*(G642/$AU642)/VLOOKUP(F642,商品!$A$4:$B$60,2,FALSE),0),"")</f>
        <v/>
      </c>
      <c r="AM642" t="str">
        <f>IFERROR(ROUND(L642*(I642/$AU642)/VLOOKUP(H642,商品!$A$4:$B$60,2,FALSE),0),"")</f>
        <v/>
      </c>
      <c r="AN642">
        <f>IFERROR(ROUND(L642*(J642/$AU642)/VLOOKUP("运力",商品!$A$4:$B$60,2,FALSE),0),0)</f>
        <v>0</v>
      </c>
      <c r="AO642">
        <f>IFERROR(ROUND(L642*(K642/$AU642)/VLOOKUP("交易",商品!$A$4:$B$60,2,FALSE),0),0)</f>
        <v>0</v>
      </c>
      <c r="AP642" t="str">
        <f>IFERROR(ROUND(S642*(N642/$AV642)/VLOOKUP(M642,职业!$A$4:$G$16,4,FALSE),0),"")</f>
        <v/>
      </c>
      <c r="AQ642" t="str">
        <f>IFERROR(ROUND(S642*(P642/$AV642)/VLOOKUP(O642,职业!$A$4:$G$16,4,FALSE),0),"")</f>
        <v/>
      </c>
      <c r="AR642" t="str">
        <f>IFERROR(ROUND(S642*(R642/$AV642)/VLOOKUP(Q642,职业!$A$4:$G$16,4,FALSE),0),"")</f>
        <v/>
      </c>
      <c r="AS642" t="str">
        <f>IFERROR(ROUND(X642*(U642/$AW642)/VLOOKUP(T642,商品!$A$4:$B$60,2,FALSE),0),"")</f>
        <v/>
      </c>
      <c r="AT642" t="str">
        <f>IFERROR(ROUND(X642*(W642/$AW642)/VLOOKUP(V642,商品!$A$4:$B$60,2,FALSE),0),"")</f>
        <v/>
      </c>
      <c r="AU642">
        <f t="shared" si="205"/>
        <v>0</v>
      </c>
      <c r="AV642">
        <f t="shared" si="206"/>
        <v>0</v>
      </c>
      <c r="AW642">
        <f t="shared" si="207"/>
        <v>0</v>
      </c>
    </row>
    <row r="643" spans="1:49" ht="19.95" customHeight="1" x14ac:dyDescent="0.25">
      <c r="A643" s="16" t="s">
        <v>316</v>
      </c>
      <c r="C643" s="16">
        <v>3</v>
      </c>
      <c r="D643" s="23" t="s">
        <v>174</v>
      </c>
      <c r="E643" s="23" t="s">
        <v>179</v>
      </c>
      <c r="L643" s="15">
        <f>IFERROR(VLOOKUP($D643&amp;$C643,生产方式定位!$A$2:$E$38,2,FALSE)+VLOOKUP($E643&amp;$C643,生产方式定位!$F$3:$J$38,2,FALSE),0)</f>
        <v>0</v>
      </c>
      <c r="S643" s="15">
        <f>IFERROR(VLOOKUP($D643&amp;$C643,生产方式定位!$A$2:$E$38,3,FALSE)+VLOOKUP($E643&amp;$C643,生产方式定位!$F$3:$J$38,3,FALSE),0)</f>
        <v>100</v>
      </c>
      <c r="X643" s="15">
        <f>IFERROR(VLOOKUP($D643&amp;$C643,生产方式定位!$A$2:$E$38,5,FALSE)+VLOOKUP($E643&amp;$C643,生产方式定位!$F$3:$J$38,5,FALSE),"错误")</f>
        <v>100</v>
      </c>
      <c r="Y643" s="26" t="str">
        <f t="shared" si="192"/>
        <v/>
      </c>
      <c r="Z643" s="36" t="str">
        <f t="shared" si="193"/>
        <v/>
      </c>
      <c r="AA643" s="36" t="str">
        <f t="shared" si="194"/>
        <v/>
      </c>
      <c r="AB643" s="27" t="str">
        <f t="shared" si="195"/>
        <v/>
      </c>
      <c r="AC643" s="2" t="str">
        <f t="shared" si="196"/>
        <v/>
      </c>
      <c r="AD643" s="37">
        <f t="shared" si="197"/>
        <v>3</v>
      </c>
      <c r="AE643" t="str">
        <f t="shared" si="198"/>
        <v/>
      </c>
      <c r="AF643" t="str">
        <f t="shared" si="199"/>
        <v/>
      </c>
      <c r="AG643" t="str">
        <f t="shared" si="200"/>
        <v/>
      </c>
      <c r="AH643" t="str">
        <f t="shared" si="201"/>
        <v/>
      </c>
      <c r="AI643" t="str">
        <f t="shared" si="202"/>
        <v/>
      </c>
      <c r="AJ643" t="str">
        <f t="shared" si="203"/>
        <v/>
      </c>
      <c r="AK643" t="str">
        <f t="shared" si="204"/>
        <v/>
      </c>
      <c r="AL643" t="str">
        <f>IFERROR(ROUND(L643*(G643/$AU643)/VLOOKUP(F643,商品!$A$4:$B$60,2,FALSE),0),"")</f>
        <v/>
      </c>
      <c r="AM643" t="str">
        <f>IFERROR(ROUND(L643*(I643/$AU643)/VLOOKUP(H643,商品!$A$4:$B$60,2,FALSE),0),"")</f>
        <v/>
      </c>
      <c r="AN643">
        <f>IFERROR(ROUND(L643*(J643/$AU643)/VLOOKUP("运力",商品!$A$4:$B$60,2,FALSE),0),0)</f>
        <v>0</v>
      </c>
      <c r="AO643">
        <f>IFERROR(ROUND(L643*(K643/$AU643)/VLOOKUP("交易",商品!$A$4:$B$60,2,FALSE),0),0)</f>
        <v>0</v>
      </c>
      <c r="AP643" t="str">
        <f>IFERROR(ROUND(S643*(N643/$AV643)/VLOOKUP(M643,职业!$A$4:$G$16,4,FALSE),0),"")</f>
        <v/>
      </c>
      <c r="AQ643" t="str">
        <f>IFERROR(ROUND(S643*(P643/$AV643)/VLOOKUP(O643,职业!$A$4:$G$16,4,FALSE),0),"")</f>
        <v/>
      </c>
      <c r="AR643" t="str">
        <f>IFERROR(ROUND(S643*(R643/$AV643)/VLOOKUP(Q643,职业!$A$4:$G$16,4,FALSE),0),"")</f>
        <v/>
      </c>
      <c r="AS643" t="str">
        <f>IFERROR(ROUND(X643*(U643/$AW643)/VLOOKUP(T643,商品!$A$4:$B$60,2,FALSE),0),"")</f>
        <v/>
      </c>
      <c r="AT643" t="str">
        <f>IFERROR(ROUND(X643*(W643/$AW643)/VLOOKUP(V643,商品!$A$4:$B$60,2,FALSE),0),"")</f>
        <v/>
      </c>
      <c r="AU643">
        <f t="shared" si="205"/>
        <v>0</v>
      </c>
      <c r="AV643">
        <f t="shared" si="206"/>
        <v>0</v>
      </c>
      <c r="AW643">
        <f t="shared" si="207"/>
        <v>0</v>
      </c>
    </row>
    <row r="644" spans="1:49" ht="19.95" customHeight="1" x14ac:dyDescent="0.25">
      <c r="A644" s="16" t="s">
        <v>316</v>
      </c>
      <c r="C644" s="16">
        <v>4</v>
      </c>
      <c r="D644" s="23" t="s">
        <v>174</v>
      </c>
      <c r="E644" s="23" t="s">
        <v>179</v>
      </c>
      <c r="L644" s="15">
        <f>IFERROR(VLOOKUP($D644&amp;$C644,生产方式定位!$A$2:$E$38,2,FALSE)+VLOOKUP($E644&amp;$C644,生产方式定位!$F$3:$J$38,2,FALSE),0)</f>
        <v>0</v>
      </c>
      <c r="S644" s="15">
        <f>IFERROR(VLOOKUP($D644&amp;$C644,生产方式定位!$A$2:$E$38,3,FALSE)+VLOOKUP($E644&amp;$C644,生产方式定位!$F$3:$J$38,3,FALSE),0)</f>
        <v>100</v>
      </c>
      <c r="X644" s="15">
        <f>IFERROR(VLOOKUP($D644&amp;$C644,生产方式定位!$A$2:$E$38,5,FALSE)+VLOOKUP($E644&amp;$C644,生产方式定位!$F$3:$J$38,5,FALSE),"错误")</f>
        <v>100</v>
      </c>
      <c r="Y644" s="26" t="str">
        <f t="shared" si="192"/>
        <v/>
      </c>
      <c r="Z644" s="36" t="str">
        <f t="shared" si="193"/>
        <v/>
      </c>
      <c r="AA644" s="36" t="str">
        <f t="shared" si="194"/>
        <v/>
      </c>
      <c r="AB644" s="27" t="str">
        <f t="shared" si="195"/>
        <v/>
      </c>
      <c r="AC644" s="2" t="str">
        <f t="shared" si="196"/>
        <v/>
      </c>
      <c r="AD644" s="37">
        <f t="shared" si="197"/>
        <v>4</v>
      </c>
      <c r="AE644" t="str">
        <f t="shared" si="198"/>
        <v/>
      </c>
      <c r="AF644" t="str">
        <f t="shared" si="199"/>
        <v/>
      </c>
      <c r="AG644" t="str">
        <f t="shared" si="200"/>
        <v/>
      </c>
      <c r="AH644" t="str">
        <f t="shared" si="201"/>
        <v/>
      </c>
      <c r="AI644" t="str">
        <f t="shared" si="202"/>
        <v/>
      </c>
      <c r="AJ644" t="str">
        <f t="shared" si="203"/>
        <v/>
      </c>
      <c r="AK644" t="str">
        <f t="shared" si="204"/>
        <v/>
      </c>
      <c r="AL644" t="str">
        <f>IFERROR(ROUND(L644*(G644/$AU644)/VLOOKUP(F644,商品!$A$4:$B$60,2,FALSE),0),"")</f>
        <v/>
      </c>
      <c r="AM644" t="str">
        <f>IFERROR(ROUND(L644*(I644/$AU644)/VLOOKUP(H644,商品!$A$4:$B$60,2,FALSE),0),"")</f>
        <v/>
      </c>
      <c r="AN644">
        <f>IFERROR(ROUND(L644*(J644/$AU644)/VLOOKUP("运力",商品!$A$4:$B$60,2,FALSE),0),0)</f>
        <v>0</v>
      </c>
      <c r="AO644">
        <f>IFERROR(ROUND(L644*(K644/$AU644)/VLOOKUP("交易",商品!$A$4:$B$60,2,FALSE),0),0)</f>
        <v>0</v>
      </c>
      <c r="AP644" t="str">
        <f>IFERROR(ROUND(S644*(N644/$AV644)/VLOOKUP(M644,职业!$A$4:$G$16,4,FALSE),0),"")</f>
        <v/>
      </c>
      <c r="AQ644" t="str">
        <f>IFERROR(ROUND(S644*(P644/$AV644)/VLOOKUP(O644,职业!$A$4:$G$16,4,FALSE),0),"")</f>
        <v/>
      </c>
      <c r="AR644" t="str">
        <f>IFERROR(ROUND(S644*(R644/$AV644)/VLOOKUP(Q644,职业!$A$4:$G$16,4,FALSE),0),"")</f>
        <v/>
      </c>
      <c r="AS644" t="str">
        <f>IFERROR(ROUND(X644*(U644/$AW644)/VLOOKUP(T644,商品!$A$4:$B$60,2,FALSE),0),"")</f>
        <v/>
      </c>
      <c r="AT644" t="str">
        <f>IFERROR(ROUND(X644*(W644/$AW644)/VLOOKUP(V644,商品!$A$4:$B$60,2,FALSE),0),"")</f>
        <v/>
      </c>
      <c r="AU644">
        <f t="shared" si="205"/>
        <v>0</v>
      </c>
      <c r="AV644">
        <f t="shared" si="206"/>
        <v>0</v>
      </c>
      <c r="AW644">
        <f t="shared" si="207"/>
        <v>0</v>
      </c>
    </row>
    <row r="645" spans="1:49" ht="19.95" customHeight="1" x14ac:dyDescent="0.25">
      <c r="A645" s="16" t="s">
        <v>316</v>
      </c>
      <c r="C645" s="16">
        <v>5</v>
      </c>
      <c r="D645" s="23" t="s">
        <v>174</v>
      </c>
      <c r="E645" s="23" t="s">
        <v>179</v>
      </c>
      <c r="L645" s="15">
        <f>IFERROR(VLOOKUP($D645&amp;$C645,生产方式定位!$A$2:$E$38,2,FALSE)+VLOOKUP($E645&amp;$C645,生产方式定位!$F$3:$J$38,2,FALSE),0)</f>
        <v>0</v>
      </c>
      <c r="S645" s="15">
        <f>IFERROR(VLOOKUP($D645&amp;$C645,生产方式定位!$A$2:$E$38,3,FALSE)+VLOOKUP($E645&amp;$C645,生产方式定位!$F$3:$J$38,3,FALSE),0)</f>
        <v>100</v>
      </c>
      <c r="X645" s="15">
        <f>IFERROR(VLOOKUP($D645&amp;$C645,生产方式定位!$A$2:$E$38,5,FALSE)+VLOOKUP($E645&amp;$C645,生产方式定位!$F$3:$J$38,5,FALSE),"错误")</f>
        <v>100</v>
      </c>
      <c r="Y645" s="26" t="str">
        <f t="shared" si="192"/>
        <v/>
      </c>
      <c r="Z645" s="36" t="str">
        <f t="shared" si="193"/>
        <v/>
      </c>
      <c r="AA645" s="36" t="str">
        <f t="shared" si="194"/>
        <v/>
      </c>
      <c r="AB645" s="27" t="str">
        <f t="shared" si="195"/>
        <v/>
      </c>
      <c r="AC645" s="2" t="str">
        <f t="shared" si="196"/>
        <v/>
      </c>
      <c r="AD645" s="37">
        <f t="shared" si="197"/>
        <v>5</v>
      </c>
      <c r="AE645" t="str">
        <f t="shared" si="198"/>
        <v/>
      </c>
      <c r="AF645" t="str">
        <f t="shared" si="199"/>
        <v/>
      </c>
      <c r="AG645" t="str">
        <f t="shared" si="200"/>
        <v/>
      </c>
      <c r="AH645" t="str">
        <f t="shared" si="201"/>
        <v/>
      </c>
      <c r="AI645" t="str">
        <f t="shared" si="202"/>
        <v/>
      </c>
      <c r="AJ645" t="str">
        <f t="shared" si="203"/>
        <v/>
      </c>
      <c r="AK645" t="str">
        <f t="shared" si="204"/>
        <v/>
      </c>
      <c r="AL645" t="str">
        <f>IFERROR(ROUND(L645*(G645/$AU645)/VLOOKUP(F645,商品!$A$4:$B$60,2,FALSE),0),"")</f>
        <v/>
      </c>
      <c r="AM645" t="str">
        <f>IFERROR(ROUND(L645*(I645/$AU645)/VLOOKUP(H645,商品!$A$4:$B$60,2,FALSE),0),"")</f>
        <v/>
      </c>
      <c r="AN645">
        <f>IFERROR(ROUND(L645*(J645/$AU645)/VLOOKUP("运力",商品!$A$4:$B$60,2,FALSE),0),0)</f>
        <v>0</v>
      </c>
      <c r="AO645">
        <f>IFERROR(ROUND(L645*(K645/$AU645)/VLOOKUP("交易",商品!$A$4:$B$60,2,FALSE),0),0)</f>
        <v>0</v>
      </c>
      <c r="AP645" t="str">
        <f>IFERROR(ROUND(S645*(N645/$AV645)/VLOOKUP(M645,职业!$A$4:$G$16,4,FALSE),0),"")</f>
        <v/>
      </c>
      <c r="AQ645" t="str">
        <f>IFERROR(ROUND(S645*(P645/$AV645)/VLOOKUP(O645,职业!$A$4:$G$16,4,FALSE),0),"")</f>
        <v/>
      </c>
      <c r="AR645" t="str">
        <f>IFERROR(ROUND(S645*(R645/$AV645)/VLOOKUP(Q645,职业!$A$4:$G$16,4,FALSE),0),"")</f>
        <v/>
      </c>
      <c r="AS645" t="str">
        <f>IFERROR(ROUND(X645*(U645/$AW645)/VLOOKUP(T645,商品!$A$4:$B$60,2,FALSE),0),"")</f>
        <v/>
      </c>
      <c r="AT645" t="str">
        <f>IFERROR(ROUND(X645*(W645/$AW645)/VLOOKUP(V645,商品!$A$4:$B$60,2,FALSE),0),"")</f>
        <v/>
      </c>
      <c r="AU645">
        <f t="shared" si="205"/>
        <v>0</v>
      </c>
      <c r="AV645">
        <f t="shared" si="206"/>
        <v>0</v>
      </c>
      <c r="AW645">
        <f t="shared" si="207"/>
        <v>0</v>
      </c>
    </row>
    <row r="646" spans="1:49" ht="19.95" customHeight="1" x14ac:dyDescent="0.25">
      <c r="A646" s="16" t="s">
        <v>316</v>
      </c>
      <c r="C646" s="16">
        <v>6</v>
      </c>
      <c r="D646" s="23" t="s">
        <v>174</v>
      </c>
      <c r="E646" s="23" t="s">
        <v>179</v>
      </c>
      <c r="L646" s="15">
        <f>IFERROR(VLOOKUP($D646&amp;$C646,生产方式定位!$A$2:$E$38,2,FALSE)+VLOOKUP($E646&amp;$C646,生产方式定位!$F$3:$J$38,2,FALSE),0)</f>
        <v>0</v>
      </c>
      <c r="S646" s="15">
        <f>IFERROR(VLOOKUP($D646&amp;$C646,生产方式定位!$A$2:$E$38,3,FALSE)+VLOOKUP($E646&amp;$C646,生产方式定位!$F$3:$J$38,3,FALSE),0)</f>
        <v>100</v>
      </c>
      <c r="X646" s="15">
        <f>IFERROR(VLOOKUP($D646&amp;$C646,生产方式定位!$A$2:$E$38,5,FALSE)+VLOOKUP($E646&amp;$C646,生产方式定位!$F$3:$J$38,5,FALSE),"错误")</f>
        <v>100</v>
      </c>
      <c r="Y646" s="26" t="str">
        <f t="shared" si="192"/>
        <v/>
      </c>
      <c r="Z646" s="36" t="str">
        <f t="shared" si="193"/>
        <v/>
      </c>
      <c r="AA646" s="36" t="str">
        <f t="shared" si="194"/>
        <v/>
      </c>
      <c r="AB646" s="27" t="str">
        <f t="shared" si="195"/>
        <v/>
      </c>
      <c r="AC646" s="2" t="str">
        <f t="shared" si="196"/>
        <v/>
      </c>
      <c r="AD646" s="38">
        <f t="shared" si="197"/>
        <v>6</v>
      </c>
      <c r="AE646" t="str">
        <f t="shared" si="198"/>
        <v/>
      </c>
      <c r="AF646" t="str">
        <f t="shared" si="199"/>
        <v/>
      </c>
      <c r="AG646" t="str">
        <f t="shared" si="200"/>
        <v/>
      </c>
      <c r="AH646" t="str">
        <f t="shared" si="201"/>
        <v/>
      </c>
      <c r="AI646" t="str">
        <f t="shared" si="202"/>
        <v/>
      </c>
      <c r="AJ646" t="str">
        <f t="shared" si="203"/>
        <v/>
      </c>
      <c r="AK646" t="str">
        <f t="shared" si="204"/>
        <v/>
      </c>
      <c r="AL646" t="str">
        <f>IFERROR(ROUND(L646*(G646/$AU646)/VLOOKUP(F646,商品!$A$4:$B$60,2,FALSE),0),"")</f>
        <v/>
      </c>
      <c r="AM646" t="str">
        <f>IFERROR(ROUND(L646*(I646/$AU646)/VLOOKUP(H646,商品!$A$4:$B$60,2,FALSE),0),"")</f>
        <v/>
      </c>
      <c r="AN646">
        <f>IFERROR(ROUND(L646*(J646/$AU646)/VLOOKUP("运力",商品!$A$4:$B$60,2,FALSE),0),0)</f>
        <v>0</v>
      </c>
      <c r="AO646">
        <f>IFERROR(ROUND(L646*(K646/$AU646)/VLOOKUP("交易",商品!$A$4:$B$60,2,FALSE),0),0)</f>
        <v>0</v>
      </c>
      <c r="AP646" t="str">
        <f>IFERROR(ROUND(S646*(N646/$AV646)/VLOOKUP(M646,职业!$A$4:$G$16,4,FALSE),0),"")</f>
        <v/>
      </c>
      <c r="AQ646" t="str">
        <f>IFERROR(ROUND(S646*(P646/$AV646)/VLOOKUP(O646,职业!$A$4:$G$16,4,FALSE),0),"")</f>
        <v/>
      </c>
      <c r="AR646" t="str">
        <f>IFERROR(ROUND(S646*(R646/$AV646)/VLOOKUP(Q646,职业!$A$4:$G$16,4,FALSE),0),"")</f>
        <v/>
      </c>
      <c r="AS646" t="str">
        <f>IFERROR(ROUND(X646*(U646/$AW646)/VLOOKUP(T646,商品!$A$4:$B$60,2,FALSE),0),"")</f>
        <v/>
      </c>
      <c r="AT646" t="str">
        <f>IFERROR(ROUND(X646*(W646/$AW646)/VLOOKUP(V646,商品!$A$4:$B$60,2,FALSE),0),"")</f>
        <v/>
      </c>
      <c r="AU646">
        <f t="shared" si="205"/>
        <v>0</v>
      </c>
      <c r="AV646">
        <f t="shared" si="206"/>
        <v>0</v>
      </c>
      <c r="AW646">
        <f t="shared" si="207"/>
        <v>0</v>
      </c>
    </row>
    <row r="647" spans="1:49" ht="19.95" customHeight="1" x14ac:dyDescent="0.25">
      <c r="A647" s="16" t="s">
        <v>316</v>
      </c>
      <c r="C647" s="16">
        <v>7</v>
      </c>
      <c r="D647" s="23" t="s">
        <v>174</v>
      </c>
      <c r="E647" s="23" t="s">
        <v>179</v>
      </c>
      <c r="L647" s="15">
        <f>IFERROR(VLOOKUP($D647&amp;$C647,生产方式定位!$A$2:$E$38,2,FALSE)+VLOOKUP($E647&amp;$C647,生产方式定位!$F$3:$J$38,2,FALSE),0)</f>
        <v>0</v>
      </c>
      <c r="S647" s="15">
        <f>IFERROR(VLOOKUP($D647&amp;$C647,生产方式定位!$A$2:$E$38,3,FALSE)+VLOOKUP($E647&amp;$C647,生产方式定位!$F$3:$J$38,3,FALSE),0)</f>
        <v>100</v>
      </c>
      <c r="X647" s="15">
        <f>IFERROR(VLOOKUP($D647&amp;$C647,生产方式定位!$A$2:$E$38,5,FALSE)+VLOOKUP($E647&amp;$C647,生产方式定位!$F$3:$J$38,5,FALSE),"错误")</f>
        <v>100</v>
      </c>
      <c r="Y647" s="26" t="str">
        <f t="shared" si="192"/>
        <v/>
      </c>
      <c r="Z647" s="36" t="str">
        <f t="shared" si="193"/>
        <v/>
      </c>
      <c r="AA647" s="36" t="str">
        <f t="shared" si="194"/>
        <v/>
      </c>
      <c r="AB647" s="27" t="str">
        <f t="shared" si="195"/>
        <v/>
      </c>
      <c r="AC647" s="2" t="str">
        <f t="shared" si="196"/>
        <v/>
      </c>
      <c r="AD647" s="38">
        <f t="shared" si="197"/>
        <v>7</v>
      </c>
      <c r="AE647" t="str">
        <f t="shared" si="198"/>
        <v/>
      </c>
      <c r="AF647" t="str">
        <f t="shared" si="199"/>
        <v/>
      </c>
      <c r="AG647" t="str">
        <f t="shared" si="200"/>
        <v/>
      </c>
      <c r="AH647" t="str">
        <f t="shared" si="201"/>
        <v/>
      </c>
      <c r="AI647" t="str">
        <f t="shared" si="202"/>
        <v/>
      </c>
      <c r="AJ647" t="str">
        <f t="shared" si="203"/>
        <v/>
      </c>
      <c r="AK647" t="str">
        <f t="shared" si="204"/>
        <v/>
      </c>
      <c r="AL647" t="str">
        <f>IFERROR(ROUND(L647*(G647/$AU647)/VLOOKUP(F647,商品!$A$4:$B$60,2,FALSE),0),"")</f>
        <v/>
      </c>
      <c r="AM647" t="str">
        <f>IFERROR(ROUND(L647*(I647/$AU647)/VLOOKUP(H647,商品!$A$4:$B$60,2,FALSE),0),"")</f>
        <v/>
      </c>
      <c r="AN647">
        <f>IFERROR(ROUND(L647*(J647/$AU647)/VLOOKUP("运力",商品!$A$4:$B$60,2,FALSE),0),0)</f>
        <v>0</v>
      </c>
      <c r="AO647">
        <f>IFERROR(ROUND(L647*(K647/$AU647)/VLOOKUP("交易",商品!$A$4:$B$60,2,FALSE),0),0)</f>
        <v>0</v>
      </c>
      <c r="AP647" t="str">
        <f>IFERROR(ROUND(S647*(N647/$AV647)/VLOOKUP(M647,职业!$A$4:$G$16,4,FALSE),0),"")</f>
        <v/>
      </c>
      <c r="AQ647" t="str">
        <f>IFERROR(ROUND(S647*(P647/$AV647)/VLOOKUP(O647,职业!$A$4:$G$16,4,FALSE),0),"")</f>
        <v/>
      </c>
      <c r="AR647" t="str">
        <f>IFERROR(ROUND(S647*(R647/$AV647)/VLOOKUP(Q647,职业!$A$4:$G$16,4,FALSE),0),"")</f>
        <v/>
      </c>
      <c r="AS647" t="str">
        <f>IFERROR(ROUND(X647*(U647/$AW647)/VLOOKUP(T647,商品!$A$4:$B$60,2,FALSE),0),"")</f>
        <v/>
      </c>
      <c r="AT647" t="str">
        <f>IFERROR(ROUND(X647*(W647/$AW647)/VLOOKUP(V647,商品!$A$4:$B$60,2,FALSE),0),"")</f>
        <v/>
      </c>
      <c r="AU647">
        <f t="shared" si="205"/>
        <v>0</v>
      </c>
      <c r="AV647">
        <f t="shared" si="206"/>
        <v>0</v>
      </c>
      <c r="AW647">
        <f t="shared" si="207"/>
        <v>0</v>
      </c>
    </row>
    <row r="648" spans="1:49" ht="19.95" customHeight="1" x14ac:dyDescent="0.25">
      <c r="A648" s="16" t="s">
        <v>316</v>
      </c>
      <c r="C648" s="16">
        <v>8</v>
      </c>
      <c r="D648" s="23" t="s">
        <v>174</v>
      </c>
      <c r="E648" s="23" t="s">
        <v>179</v>
      </c>
      <c r="L648" s="15">
        <f>IFERROR(VLOOKUP($D648&amp;$C648,生产方式定位!$A$2:$E$38,2,FALSE)+VLOOKUP($E648&amp;$C648,生产方式定位!$F$3:$J$38,2,FALSE),0)</f>
        <v>0</v>
      </c>
      <c r="S648" s="15">
        <f>IFERROR(VLOOKUP($D648&amp;$C648,生产方式定位!$A$2:$E$38,3,FALSE)+VLOOKUP($E648&amp;$C648,生产方式定位!$F$3:$J$38,3,FALSE),0)</f>
        <v>100</v>
      </c>
      <c r="X648" s="15">
        <f>IFERROR(VLOOKUP($D648&amp;$C648,生产方式定位!$A$2:$E$38,5,FALSE)+VLOOKUP($E648&amp;$C648,生产方式定位!$F$3:$J$38,5,FALSE),"错误")</f>
        <v>100</v>
      </c>
      <c r="Y648" s="26" t="str">
        <f t="shared" si="192"/>
        <v/>
      </c>
      <c r="Z648" s="36" t="str">
        <f t="shared" si="193"/>
        <v/>
      </c>
      <c r="AA648" s="36" t="str">
        <f t="shared" si="194"/>
        <v/>
      </c>
      <c r="AB648" s="27" t="str">
        <f t="shared" si="195"/>
        <v/>
      </c>
      <c r="AC648" s="2" t="str">
        <f t="shared" si="196"/>
        <v/>
      </c>
      <c r="AD648" s="38">
        <f t="shared" si="197"/>
        <v>8</v>
      </c>
      <c r="AE648" t="str">
        <f t="shared" si="198"/>
        <v/>
      </c>
      <c r="AF648" t="str">
        <f t="shared" si="199"/>
        <v/>
      </c>
      <c r="AG648" t="str">
        <f t="shared" si="200"/>
        <v/>
      </c>
      <c r="AH648" t="str">
        <f t="shared" si="201"/>
        <v/>
      </c>
      <c r="AI648" t="str">
        <f t="shared" si="202"/>
        <v/>
      </c>
      <c r="AJ648" t="str">
        <f t="shared" si="203"/>
        <v/>
      </c>
      <c r="AK648" t="str">
        <f t="shared" si="204"/>
        <v/>
      </c>
      <c r="AL648" t="str">
        <f>IFERROR(ROUND(L648*(G648/$AU648)/VLOOKUP(F648,商品!$A$4:$B$60,2,FALSE),0),"")</f>
        <v/>
      </c>
      <c r="AM648" t="str">
        <f>IFERROR(ROUND(L648*(I648/$AU648)/VLOOKUP(H648,商品!$A$4:$B$60,2,FALSE),0),"")</f>
        <v/>
      </c>
      <c r="AN648">
        <f>IFERROR(ROUND(L648*(J648/$AU648)/VLOOKUP("运力",商品!$A$4:$B$60,2,FALSE),0),0)</f>
        <v>0</v>
      </c>
      <c r="AO648">
        <f>IFERROR(ROUND(L648*(K648/$AU648)/VLOOKUP("交易",商品!$A$4:$B$60,2,FALSE),0),0)</f>
        <v>0</v>
      </c>
      <c r="AP648" t="str">
        <f>IFERROR(ROUND(S648*(N648/$AV648)/VLOOKUP(M648,职业!$A$4:$G$16,4,FALSE),0),"")</f>
        <v/>
      </c>
      <c r="AQ648" t="str">
        <f>IFERROR(ROUND(S648*(P648/$AV648)/VLOOKUP(O648,职业!$A$4:$G$16,4,FALSE),0),"")</f>
        <v/>
      </c>
      <c r="AR648" t="str">
        <f>IFERROR(ROUND(S648*(R648/$AV648)/VLOOKUP(Q648,职业!$A$4:$G$16,4,FALSE),0),"")</f>
        <v/>
      </c>
      <c r="AS648" t="str">
        <f>IFERROR(ROUND(X648*(U648/$AW648)/VLOOKUP(T648,商品!$A$4:$B$60,2,FALSE),0),"")</f>
        <v/>
      </c>
      <c r="AT648" t="str">
        <f>IFERROR(ROUND(X648*(W648/$AW648)/VLOOKUP(V648,商品!$A$4:$B$60,2,FALSE),0),"")</f>
        <v/>
      </c>
      <c r="AU648">
        <f t="shared" si="205"/>
        <v>0</v>
      </c>
      <c r="AV648">
        <f t="shared" si="206"/>
        <v>0</v>
      </c>
      <c r="AW648">
        <f t="shared" si="207"/>
        <v>0</v>
      </c>
    </row>
    <row r="649" spans="1:49" ht="19.95" customHeight="1" x14ac:dyDescent="0.25">
      <c r="A649" s="15" t="s">
        <v>318</v>
      </c>
      <c r="C649" s="15">
        <v>1</v>
      </c>
      <c r="D649" s="23" t="s">
        <v>312</v>
      </c>
      <c r="E649" s="23" t="s">
        <v>172</v>
      </c>
      <c r="L649" s="16">
        <f>IFERROR(VLOOKUP($D649&amp;$C649,生产方式定位!$A$2:$E$38,2,FALSE)+VLOOKUP($E649&amp;$C649,生产方式定位!$F$3:$J$38,2,FALSE),0)</f>
        <v>0</v>
      </c>
      <c r="S649" s="16">
        <f>IFERROR(VLOOKUP($D649&amp;$C649,生产方式定位!$A$2:$E$38,3,FALSE)+VLOOKUP($E649&amp;$C649,生产方式定位!$F$3:$J$38,3,FALSE),0)</f>
        <v>100</v>
      </c>
      <c r="X649" s="16">
        <f>IFERROR(VLOOKUP($D649&amp;$C649,生产方式定位!$A$2:$E$38,5,FALSE)+VLOOKUP($E649&amp;$C649,生产方式定位!$F$3:$J$38,5,FALSE),"错误")</f>
        <v>500</v>
      </c>
      <c r="Y649" s="26" t="str">
        <f t="shared" si="192"/>
        <v/>
      </c>
      <c r="Z649" s="36" t="str">
        <f t="shared" si="193"/>
        <v/>
      </c>
      <c r="AA649" s="36" t="str">
        <f t="shared" si="194"/>
        <v/>
      </c>
      <c r="AB649" s="27" t="str">
        <f t="shared" si="195"/>
        <v/>
      </c>
      <c r="AC649" s="2">
        <f t="shared" si="196"/>
        <v>400</v>
      </c>
      <c r="AD649" s="38">
        <f t="shared" si="197"/>
        <v>1</v>
      </c>
      <c r="AE649" t="str">
        <f t="shared" si="198"/>
        <v/>
      </c>
      <c r="AF649" t="str">
        <f t="shared" si="199"/>
        <v/>
      </c>
      <c r="AG649" t="str">
        <f t="shared" si="200"/>
        <v/>
      </c>
      <c r="AH649" t="str">
        <f t="shared" si="201"/>
        <v/>
      </c>
      <c r="AI649" t="str">
        <f t="shared" si="202"/>
        <v/>
      </c>
      <c r="AJ649" t="str">
        <f t="shared" si="203"/>
        <v/>
      </c>
      <c r="AK649" t="str">
        <f t="shared" si="204"/>
        <v/>
      </c>
      <c r="AL649" t="str">
        <f>IFERROR(ROUND(L649*(G649/$AU649)/VLOOKUP(F649,商品!$A$4:$B$60,2,FALSE),0),"")</f>
        <v/>
      </c>
      <c r="AM649" t="str">
        <f>IFERROR(ROUND(L649*(I649/$AU649)/VLOOKUP(H649,商品!$A$4:$B$60,2,FALSE),0),"")</f>
        <v/>
      </c>
      <c r="AN649">
        <f>IFERROR(ROUND(L649*(J649/$AU649)/VLOOKUP("运力",商品!$A$4:$B$60,2,FALSE),0),0)</f>
        <v>0</v>
      </c>
      <c r="AO649">
        <f>IFERROR(ROUND(L649*(K649/$AU649)/VLOOKUP("交易",商品!$A$4:$B$60,2,FALSE),0),0)</f>
        <v>0</v>
      </c>
      <c r="AP649" t="str">
        <f>IFERROR(ROUND(S649*(N649/$AV649)/VLOOKUP(M649,职业!$A$4:$G$16,4,FALSE),0),"")</f>
        <v/>
      </c>
      <c r="AQ649" t="str">
        <f>IFERROR(ROUND(S649*(P649/$AV649)/VLOOKUP(O649,职业!$A$4:$G$16,4,FALSE),0),"")</f>
        <v/>
      </c>
      <c r="AR649" t="str">
        <f>IFERROR(ROUND(S649*(R649/$AV649)/VLOOKUP(Q649,职业!$A$4:$G$16,4,FALSE),0),"")</f>
        <v/>
      </c>
      <c r="AS649" t="str">
        <f>IFERROR(ROUND(X649*(U649/$AW649)/VLOOKUP(T649,商品!$A$4:$B$60,2,FALSE),0),"")</f>
        <v/>
      </c>
      <c r="AT649" t="str">
        <f>IFERROR(ROUND(X649*(W649/$AW649)/VLOOKUP(V649,商品!$A$4:$B$60,2,FALSE),0),"")</f>
        <v/>
      </c>
      <c r="AU649">
        <f t="shared" si="205"/>
        <v>0</v>
      </c>
      <c r="AV649">
        <f t="shared" si="206"/>
        <v>0</v>
      </c>
      <c r="AW649">
        <f t="shared" si="207"/>
        <v>0</v>
      </c>
    </row>
    <row r="650" spans="1:49" ht="19.95" customHeight="1" x14ac:dyDescent="0.25">
      <c r="A650" s="15" t="s">
        <v>318</v>
      </c>
      <c r="C650" s="15">
        <v>2</v>
      </c>
      <c r="D650" s="23" t="s">
        <v>312</v>
      </c>
      <c r="E650" s="23" t="s">
        <v>172</v>
      </c>
      <c r="L650" s="16">
        <f>IFERROR(VLOOKUP($D650&amp;$C650,生产方式定位!$A$2:$E$38,2,FALSE)+VLOOKUP($E650&amp;$C650,生产方式定位!$F$3:$J$38,2,FALSE),0)</f>
        <v>1300</v>
      </c>
      <c r="S650" s="16">
        <f>IFERROR(VLOOKUP($D650&amp;$C650,生产方式定位!$A$2:$E$38,3,FALSE)+VLOOKUP($E650&amp;$C650,生产方式定位!$F$3:$J$38,3,FALSE),0)</f>
        <v>100</v>
      </c>
      <c r="X650" s="16">
        <f>IFERROR(VLOOKUP($D650&amp;$C650,生产方式定位!$A$2:$E$38,5,FALSE)+VLOOKUP($E650&amp;$C650,生产方式定位!$F$3:$J$38,5,FALSE),"错误")</f>
        <v>1860</v>
      </c>
      <c r="Y650" s="26" t="str">
        <f t="shared" si="192"/>
        <v/>
      </c>
      <c r="Z650" s="36" t="str">
        <f t="shared" si="193"/>
        <v/>
      </c>
      <c r="AA650" s="36" t="str">
        <f t="shared" si="194"/>
        <v/>
      </c>
      <c r="AB650" s="27" t="str">
        <f t="shared" si="195"/>
        <v>43%</v>
      </c>
      <c r="AC650" s="2">
        <f t="shared" si="196"/>
        <v>460</v>
      </c>
      <c r="AD650" s="38">
        <f t="shared" si="197"/>
        <v>2</v>
      </c>
      <c r="AE650" t="str">
        <f t="shared" si="198"/>
        <v/>
      </c>
      <c r="AF650" t="str">
        <f t="shared" si="199"/>
        <v/>
      </c>
      <c r="AG650" t="str">
        <f t="shared" si="200"/>
        <v/>
      </c>
      <c r="AH650" t="str">
        <f t="shared" si="201"/>
        <v/>
      </c>
      <c r="AI650" t="str">
        <f t="shared" si="202"/>
        <v/>
      </c>
      <c r="AJ650" t="str">
        <f t="shared" si="203"/>
        <v/>
      </c>
      <c r="AK650" t="str">
        <f t="shared" si="204"/>
        <v/>
      </c>
      <c r="AL650" t="str">
        <f>IFERROR(ROUND(L650*(G650/$AU650)/VLOOKUP(F650,商品!$A$4:$B$60,2,FALSE),0),"")</f>
        <v/>
      </c>
      <c r="AM650" t="str">
        <f>IFERROR(ROUND(L650*(I650/$AU650)/VLOOKUP(H650,商品!$A$4:$B$60,2,FALSE),0),"")</f>
        <v/>
      </c>
      <c r="AN650">
        <f>IFERROR(ROUND(L650*(J650/$AU650)/VLOOKUP("运力",商品!$A$4:$B$60,2,FALSE),0),0)</f>
        <v>0</v>
      </c>
      <c r="AO650">
        <f>IFERROR(ROUND(L650*(K650/$AU650)/VLOOKUP("交易",商品!$A$4:$B$60,2,FALSE),0),0)</f>
        <v>0</v>
      </c>
      <c r="AP650" t="str">
        <f>IFERROR(ROUND(S650*(N650/$AV650)/VLOOKUP(M650,职业!$A$4:$G$16,4,FALSE),0),"")</f>
        <v/>
      </c>
      <c r="AQ650" t="str">
        <f>IFERROR(ROUND(S650*(P650/$AV650)/VLOOKUP(O650,职业!$A$4:$G$16,4,FALSE),0),"")</f>
        <v/>
      </c>
      <c r="AR650" t="str">
        <f>IFERROR(ROUND(S650*(R650/$AV650)/VLOOKUP(Q650,职业!$A$4:$G$16,4,FALSE),0),"")</f>
        <v/>
      </c>
      <c r="AS650" t="str">
        <f>IFERROR(ROUND(X650*(U650/$AW650)/VLOOKUP(T650,商品!$A$4:$B$60,2,FALSE),0),"")</f>
        <v/>
      </c>
      <c r="AT650" t="str">
        <f>IFERROR(ROUND(X650*(W650/$AW650)/VLOOKUP(V650,商品!$A$4:$B$60,2,FALSE),0),"")</f>
        <v/>
      </c>
      <c r="AU650">
        <f t="shared" si="205"/>
        <v>0</v>
      </c>
      <c r="AV650">
        <f t="shared" si="206"/>
        <v>0</v>
      </c>
      <c r="AW650">
        <f t="shared" si="207"/>
        <v>0</v>
      </c>
    </row>
    <row r="651" spans="1:49" ht="19.95" customHeight="1" x14ac:dyDescent="0.25">
      <c r="A651" s="15" t="s">
        <v>318</v>
      </c>
      <c r="C651" s="15">
        <v>3</v>
      </c>
      <c r="D651" s="23" t="s">
        <v>312</v>
      </c>
      <c r="E651" s="23" t="s">
        <v>172</v>
      </c>
      <c r="L651" s="16">
        <f>IFERROR(VLOOKUP($D651&amp;$C651,生产方式定位!$A$2:$E$38,2,FALSE)+VLOOKUP($E651&amp;$C651,生产方式定位!$F$3:$J$38,2,FALSE),0)</f>
        <v>2225</v>
      </c>
      <c r="S651" s="16">
        <f>IFERROR(VLOOKUP($D651&amp;$C651,生产方式定位!$A$2:$E$38,3,FALSE)+VLOOKUP($E651&amp;$C651,生产方式定位!$F$3:$J$38,3,FALSE),0)</f>
        <v>100</v>
      </c>
      <c r="X651" s="16">
        <f>IFERROR(VLOOKUP($D651&amp;$C651,生产方式定位!$A$2:$E$38,5,FALSE)+VLOOKUP($E651&amp;$C651,生产方式定位!$F$3:$J$38,5,FALSE),"错误")</f>
        <v>3130</v>
      </c>
      <c r="Y651" s="26" t="str">
        <f t="shared" si="192"/>
        <v/>
      </c>
      <c r="Z651" s="36" t="str">
        <f t="shared" si="193"/>
        <v/>
      </c>
      <c r="AA651" s="36" t="str">
        <f t="shared" si="194"/>
        <v/>
      </c>
      <c r="AB651" s="27" t="str">
        <f t="shared" si="195"/>
        <v>41%</v>
      </c>
      <c r="AC651" s="2">
        <f t="shared" si="196"/>
        <v>805</v>
      </c>
      <c r="AD651" s="37">
        <f t="shared" si="197"/>
        <v>3</v>
      </c>
      <c r="AE651" t="str">
        <f t="shared" si="198"/>
        <v/>
      </c>
      <c r="AF651" t="str">
        <f t="shared" si="199"/>
        <v/>
      </c>
      <c r="AG651" t="str">
        <f t="shared" si="200"/>
        <v/>
      </c>
      <c r="AH651" t="str">
        <f t="shared" si="201"/>
        <v/>
      </c>
      <c r="AI651" t="str">
        <f t="shared" si="202"/>
        <v/>
      </c>
      <c r="AJ651" t="str">
        <f t="shared" si="203"/>
        <v/>
      </c>
      <c r="AK651" t="str">
        <f t="shared" si="204"/>
        <v/>
      </c>
      <c r="AL651" t="str">
        <f>IFERROR(ROUND(L651*(G651/$AU651)/VLOOKUP(F651,商品!$A$4:$B$60,2,FALSE),0),"")</f>
        <v/>
      </c>
      <c r="AM651" t="str">
        <f>IFERROR(ROUND(L651*(I651/$AU651)/VLOOKUP(H651,商品!$A$4:$B$60,2,FALSE),0),"")</f>
        <v/>
      </c>
      <c r="AN651">
        <f>IFERROR(ROUND(L651*(J651/$AU651)/VLOOKUP("运力",商品!$A$4:$B$60,2,FALSE),0),0)</f>
        <v>0</v>
      </c>
      <c r="AO651">
        <f>IFERROR(ROUND(L651*(K651/$AU651)/VLOOKUP("交易",商品!$A$4:$B$60,2,FALSE),0),0)</f>
        <v>0</v>
      </c>
      <c r="AP651" t="str">
        <f>IFERROR(ROUND(S651*(N651/$AV651)/VLOOKUP(M651,职业!$A$4:$G$16,4,FALSE),0),"")</f>
        <v/>
      </c>
      <c r="AQ651" t="str">
        <f>IFERROR(ROUND(S651*(P651/$AV651)/VLOOKUP(O651,职业!$A$4:$G$16,4,FALSE),0),"")</f>
        <v/>
      </c>
      <c r="AR651" t="str">
        <f>IFERROR(ROUND(S651*(R651/$AV651)/VLOOKUP(Q651,职业!$A$4:$G$16,4,FALSE),0),"")</f>
        <v/>
      </c>
      <c r="AS651" t="str">
        <f>IFERROR(ROUND(X651*(U651/$AW651)/VLOOKUP(T651,商品!$A$4:$B$60,2,FALSE),0),"")</f>
        <v/>
      </c>
      <c r="AT651" t="str">
        <f>IFERROR(ROUND(X651*(W651/$AW651)/VLOOKUP(V651,商品!$A$4:$B$60,2,FALSE),0),"")</f>
        <v/>
      </c>
      <c r="AU651">
        <f t="shared" si="205"/>
        <v>0</v>
      </c>
      <c r="AV651">
        <f t="shared" si="206"/>
        <v>0</v>
      </c>
      <c r="AW651">
        <f t="shared" si="207"/>
        <v>0</v>
      </c>
    </row>
    <row r="652" spans="1:49" ht="19.95" customHeight="1" x14ac:dyDescent="0.25">
      <c r="A652" s="15" t="s">
        <v>318</v>
      </c>
      <c r="C652" s="15">
        <v>4</v>
      </c>
      <c r="D652" s="23" t="s">
        <v>312</v>
      </c>
      <c r="E652" s="23" t="s">
        <v>172</v>
      </c>
      <c r="L652" s="16">
        <f>IFERROR(VLOOKUP($D652&amp;$C652,生产方式定位!$A$2:$E$38,2,FALSE)+VLOOKUP($E652&amp;$C652,生产方式定位!$F$3:$J$38,2,FALSE),0)</f>
        <v>3150</v>
      </c>
      <c r="S652" s="16">
        <f>IFERROR(VLOOKUP($D652&amp;$C652,生产方式定位!$A$2:$E$38,3,FALSE)+VLOOKUP($E652&amp;$C652,生产方式定位!$F$3:$J$38,3,FALSE),0)</f>
        <v>100</v>
      </c>
      <c r="X652" s="16">
        <f>IFERROR(VLOOKUP($D652&amp;$C652,生产方式定位!$A$2:$E$38,5,FALSE)+VLOOKUP($E652&amp;$C652,生产方式定位!$F$3:$J$38,5,FALSE),"错误")</f>
        <v>4400</v>
      </c>
      <c r="Y652" s="26" t="str">
        <f t="shared" si="192"/>
        <v/>
      </c>
      <c r="Z652" s="36" t="str">
        <f t="shared" si="193"/>
        <v/>
      </c>
      <c r="AA652" s="36" t="str">
        <f t="shared" si="194"/>
        <v/>
      </c>
      <c r="AB652" s="27" t="str">
        <f t="shared" si="195"/>
        <v>40%</v>
      </c>
      <c r="AC652" s="2">
        <f t="shared" si="196"/>
        <v>1150</v>
      </c>
      <c r="AD652" s="37">
        <f t="shared" si="197"/>
        <v>4</v>
      </c>
      <c r="AE652" t="str">
        <f t="shared" si="198"/>
        <v/>
      </c>
      <c r="AF652" t="str">
        <f t="shared" si="199"/>
        <v/>
      </c>
      <c r="AG652" t="str">
        <f t="shared" si="200"/>
        <v/>
      </c>
      <c r="AH652" t="str">
        <f t="shared" si="201"/>
        <v/>
      </c>
      <c r="AI652" t="str">
        <f t="shared" si="202"/>
        <v/>
      </c>
      <c r="AJ652" t="str">
        <f t="shared" si="203"/>
        <v/>
      </c>
      <c r="AK652" t="str">
        <f t="shared" si="204"/>
        <v/>
      </c>
      <c r="AL652" t="str">
        <f>IFERROR(ROUND(L652*(G652/$AU652)/VLOOKUP(F652,商品!$A$4:$B$60,2,FALSE),0),"")</f>
        <v/>
      </c>
      <c r="AM652" t="str">
        <f>IFERROR(ROUND(L652*(I652/$AU652)/VLOOKUP(H652,商品!$A$4:$B$60,2,FALSE),0),"")</f>
        <v/>
      </c>
      <c r="AN652">
        <f>IFERROR(ROUND(L652*(J652/$AU652)/VLOOKUP("运力",商品!$A$4:$B$60,2,FALSE),0),0)</f>
        <v>0</v>
      </c>
      <c r="AO652">
        <f>IFERROR(ROUND(L652*(K652/$AU652)/VLOOKUP("交易",商品!$A$4:$B$60,2,FALSE),0),0)</f>
        <v>0</v>
      </c>
      <c r="AP652" t="str">
        <f>IFERROR(ROUND(S652*(N652/$AV652)/VLOOKUP(M652,职业!$A$4:$G$16,4,FALSE),0),"")</f>
        <v/>
      </c>
      <c r="AQ652" t="str">
        <f>IFERROR(ROUND(S652*(P652/$AV652)/VLOOKUP(O652,职业!$A$4:$G$16,4,FALSE),0),"")</f>
        <v/>
      </c>
      <c r="AR652" t="str">
        <f>IFERROR(ROUND(S652*(R652/$AV652)/VLOOKUP(Q652,职业!$A$4:$G$16,4,FALSE),0),"")</f>
        <v/>
      </c>
      <c r="AS652" t="str">
        <f>IFERROR(ROUND(X652*(U652/$AW652)/VLOOKUP(T652,商品!$A$4:$B$60,2,FALSE),0),"")</f>
        <v/>
      </c>
      <c r="AT652" t="str">
        <f>IFERROR(ROUND(X652*(W652/$AW652)/VLOOKUP(V652,商品!$A$4:$B$60,2,FALSE),0),"")</f>
        <v/>
      </c>
      <c r="AU652">
        <f t="shared" si="205"/>
        <v>0</v>
      </c>
      <c r="AV652">
        <f t="shared" si="206"/>
        <v>0</v>
      </c>
      <c r="AW652">
        <f t="shared" si="207"/>
        <v>0</v>
      </c>
    </row>
    <row r="653" spans="1:49" ht="19.95" customHeight="1" x14ac:dyDescent="0.25">
      <c r="A653" s="15" t="s">
        <v>318</v>
      </c>
      <c r="C653" s="15">
        <v>5</v>
      </c>
      <c r="D653" s="23" t="s">
        <v>312</v>
      </c>
      <c r="E653" s="23" t="s">
        <v>172</v>
      </c>
      <c r="L653" s="16">
        <f>IFERROR(VLOOKUP($D653&amp;$C653,生产方式定位!$A$2:$E$38,2,FALSE)+VLOOKUP($E653&amp;$C653,生产方式定位!$F$3:$J$38,2,FALSE),0)</f>
        <v>4075</v>
      </c>
      <c r="S653" s="16">
        <f>IFERROR(VLOOKUP($D653&amp;$C653,生产方式定位!$A$2:$E$38,3,FALSE)+VLOOKUP($E653&amp;$C653,生产方式定位!$F$3:$J$38,3,FALSE),0)</f>
        <v>100</v>
      </c>
      <c r="X653" s="16">
        <f>IFERROR(VLOOKUP($D653&amp;$C653,生产方式定位!$A$2:$E$38,5,FALSE)+VLOOKUP($E653&amp;$C653,生产方式定位!$F$3:$J$38,5,FALSE),"错误")</f>
        <v>5670</v>
      </c>
      <c r="Y653" s="26" t="str">
        <f t="shared" si="192"/>
        <v/>
      </c>
      <c r="Z653" s="36" t="str">
        <f t="shared" si="193"/>
        <v/>
      </c>
      <c r="AA653" s="36" t="str">
        <f t="shared" si="194"/>
        <v/>
      </c>
      <c r="AB653" s="27" t="str">
        <f t="shared" si="195"/>
        <v>39%</v>
      </c>
      <c r="AC653" s="2">
        <f t="shared" si="196"/>
        <v>1495</v>
      </c>
      <c r="AD653" s="37">
        <f t="shared" si="197"/>
        <v>5</v>
      </c>
      <c r="AE653" t="str">
        <f t="shared" si="198"/>
        <v/>
      </c>
      <c r="AF653" t="str">
        <f t="shared" si="199"/>
        <v/>
      </c>
      <c r="AG653" t="str">
        <f t="shared" si="200"/>
        <v/>
      </c>
      <c r="AH653" t="str">
        <f t="shared" si="201"/>
        <v/>
      </c>
      <c r="AI653" t="str">
        <f t="shared" si="202"/>
        <v/>
      </c>
      <c r="AJ653" t="str">
        <f t="shared" si="203"/>
        <v/>
      </c>
      <c r="AK653" t="str">
        <f t="shared" si="204"/>
        <v/>
      </c>
      <c r="AL653" t="str">
        <f>IFERROR(ROUND(L653*(G653/$AU653)/VLOOKUP(F653,商品!$A$4:$B$60,2,FALSE),0),"")</f>
        <v/>
      </c>
      <c r="AM653" t="str">
        <f>IFERROR(ROUND(L653*(I653/$AU653)/VLOOKUP(H653,商品!$A$4:$B$60,2,FALSE),0),"")</f>
        <v/>
      </c>
      <c r="AN653">
        <f>IFERROR(ROUND(L653*(J653/$AU653)/VLOOKUP("运力",商品!$A$4:$B$60,2,FALSE),0),0)</f>
        <v>0</v>
      </c>
      <c r="AO653">
        <f>IFERROR(ROUND(L653*(K653/$AU653)/VLOOKUP("交易",商品!$A$4:$B$60,2,FALSE),0),0)</f>
        <v>0</v>
      </c>
      <c r="AP653" t="str">
        <f>IFERROR(ROUND(S653*(N653/$AV653)/VLOOKUP(M653,职业!$A$4:$G$16,4,FALSE),0),"")</f>
        <v/>
      </c>
      <c r="AQ653" t="str">
        <f>IFERROR(ROUND(S653*(P653/$AV653)/VLOOKUP(O653,职业!$A$4:$G$16,4,FALSE),0),"")</f>
        <v/>
      </c>
      <c r="AR653" t="str">
        <f>IFERROR(ROUND(S653*(R653/$AV653)/VLOOKUP(Q653,职业!$A$4:$G$16,4,FALSE),0),"")</f>
        <v/>
      </c>
      <c r="AS653" t="str">
        <f>IFERROR(ROUND(X653*(U653/$AW653)/VLOOKUP(T653,商品!$A$4:$B$60,2,FALSE),0),"")</f>
        <v/>
      </c>
      <c r="AT653" t="str">
        <f>IFERROR(ROUND(X653*(W653/$AW653)/VLOOKUP(V653,商品!$A$4:$B$60,2,FALSE),0),"")</f>
        <v/>
      </c>
      <c r="AU653">
        <f t="shared" si="205"/>
        <v>0</v>
      </c>
      <c r="AV653">
        <f t="shared" si="206"/>
        <v>0</v>
      </c>
      <c r="AW653">
        <f t="shared" si="207"/>
        <v>0</v>
      </c>
    </row>
    <row r="654" spans="1:49" ht="19.95" customHeight="1" x14ac:dyDescent="0.25">
      <c r="A654" s="16" t="s">
        <v>319</v>
      </c>
      <c r="C654" s="16">
        <v>1</v>
      </c>
      <c r="D654" s="23" t="s">
        <v>312</v>
      </c>
      <c r="E654" s="23" t="s">
        <v>193</v>
      </c>
      <c r="L654" s="15">
        <f>IFERROR(VLOOKUP($D654&amp;$C654,生产方式定位!$A$2:$E$38,2,FALSE)+VLOOKUP($E654&amp;$C654,生产方式定位!$F$3:$J$38,2,FALSE),0)</f>
        <v>0</v>
      </c>
      <c r="S654" s="15">
        <f>IFERROR(VLOOKUP($D654&amp;$C654,生产方式定位!$A$2:$E$38,3,FALSE)+VLOOKUP($E654&amp;$C654,生产方式定位!$F$3:$J$38,3,FALSE),0)</f>
        <v>100</v>
      </c>
      <c r="X654" s="15">
        <f>IFERROR(VLOOKUP($D654&amp;$C654,生产方式定位!$A$2:$E$38,5,FALSE)+VLOOKUP($E654&amp;$C654,生产方式定位!$F$3:$J$38,5,FALSE),"错误")</f>
        <v>500</v>
      </c>
      <c r="Y654" s="26" t="str">
        <f t="shared" si="192"/>
        <v/>
      </c>
      <c r="Z654" s="36" t="str">
        <f t="shared" si="193"/>
        <v/>
      </c>
      <c r="AA654" s="36" t="str">
        <f t="shared" si="194"/>
        <v/>
      </c>
      <c r="AB654" s="27" t="str">
        <f t="shared" si="195"/>
        <v/>
      </c>
      <c r="AC654" s="2">
        <f t="shared" si="196"/>
        <v>400</v>
      </c>
      <c r="AD654" s="37">
        <f t="shared" si="197"/>
        <v>1</v>
      </c>
      <c r="AE654" t="str">
        <f t="shared" si="198"/>
        <v/>
      </c>
      <c r="AF654" t="str">
        <f t="shared" si="199"/>
        <v/>
      </c>
      <c r="AG654" t="str">
        <f t="shared" si="200"/>
        <v/>
      </c>
      <c r="AH654" t="str">
        <f t="shared" si="201"/>
        <v/>
      </c>
      <c r="AI654" t="str">
        <f t="shared" si="202"/>
        <v/>
      </c>
      <c r="AJ654" t="str">
        <f t="shared" si="203"/>
        <v/>
      </c>
      <c r="AK654" t="str">
        <f t="shared" si="204"/>
        <v/>
      </c>
      <c r="AL654" t="str">
        <f>IFERROR(ROUND(L654*(G654/$AU654)/VLOOKUP(F654,商品!$A$4:$B$60,2,FALSE),0),"")</f>
        <v/>
      </c>
      <c r="AM654" t="str">
        <f>IFERROR(ROUND(L654*(I654/$AU654)/VLOOKUP(H654,商品!$A$4:$B$60,2,FALSE),0),"")</f>
        <v/>
      </c>
      <c r="AN654">
        <f>IFERROR(ROUND(L654*(J654/$AU654)/VLOOKUP("运力",商品!$A$4:$B$60,2,FALSE),0),0)</f>
        <v>0</v>
      </c>
      <c r="AO654">
        <f>IFERROR(ROUND(L654*(K654/$AU654)/VLOOKUP("交易",商品!$A$4:$B$60,2,FALSE),0),0)</f>
        <v>0</v>
      </c>
      <c r="AP654" t="str">
        <f>IFERROR(ROUND(S654*(N654/$AV654)/VLOOKUP(M654,职业!$A$4:$G$16,4,FALSE),0),"")</f>
        <v/>
      </c>
      <c r="AQ654" t="str">
        <f>IFERROR(ROUND(S654*(P654/$AV654)/VLOOKUP(O654,职业!$A$4:$G$16,4,FALSE),0),"")</f>
        <v/>
      </c>
      <c r="AR654" t="str">
        <f>IFERROR(ROUND(S654*(R654/$AV654)/VLOOKUP(Q654,职业!$A$4:$G$16,4,FALSE),0),"")</f>
        <v/>
      </c>
      <c r="AS654" t="str">
        <f>IFERROR(ROUND(X654*(U654/$AW654)/VLOOKUP(T654,商品!$A$4:$B$60,2,FALSE),0),"")</f>
        <v/>
      </c>
      <c r="AT654" t="str">
        <f>IFERROR(ROUND(X654*(W654/$AW654)/VLOOKUP(V654,商品!$A$4:$B$60,2,FALSE),0),"")</f>
        <v/>
      </c>
      <c r="AU654">
        <f t="shared" si="205"/>
        <v>0</v>
      </c>
      <c r="AV654">
        <f t="shared" si="206"/>
        <v>0</v>
      </c>
      <c r="AW654">
        <f t="shared" si="207"/>
        <v>0</v>
      </c>
    </row>
    <row r="655" spans="1:49" ht="19.95" customHeight="1" x14ac:dyDescent="0.25">
      <c r="A655" s="16" t="s">
        <v>319</v>
      </c>
      <c r="C655" s="16">
        <v>2</v>
      </c>
      <c r="D655" s="23" t="s">
        <v>312</v>
      </c>
      <c r="E655" s="23" t="s">
        <v>193</v>
      </c>
      <c r="L655" s="15">
        <f>IFERROR(VLOOKUP($D655&amp;$C655,生产方式定位!$A$2:$E$38,2,FALSE)+VLOOKUP($E655&amp;$C655,生产方式定位!$F$3:$J$38,2,FALSE),0)</f>
        <v>1200</v>
      </c>
      <c r="S655" s="15">
        <f>IFERROR(VLOOKUP($D655&amp;$C655,生产方式定位!$A$2:$E$38,3,FALSE)+VLOOKUP($E655&amp;$C655,生产方式定位!$F$3:$J$38,3,FALSE),0)</f>
        <v>5</v>
      </c>
      <c r="X655" s="15">
        <f>IFERROR(VLOOKUP($D655&amp;$C655,生产方式定位!$A$2:$E$38,5,FALSE)+VLOOKUP($E655&amp;$C655,生产方式定位!$F$3:$J$38,5,FALSE),"错误")</f>
        <v>1687</v>
      </c>
      <c r="Y655" s="26" t="str">
        <f t="shared" si="192"/>
        <v/>
      </c>
      <c r="Z655" s="36" t="str">
        <f t="shared" si="193"/>
        <v/>
      </c>
      <c r="AA655" s="36" t="str">
        <f t="shared" si="194"/>
        <v/>
      </c>
      <c r="AB655" s="27" t="str">
        <f t="shared" si="195"/>
        <v>41%</v>
      </c>
      <c r="AC655" s="2">
        <f t="shared" si="196"/>
        <v>482</v>
      </c>
      <c r="AD655" s="37">
        <f t="shared" si="197"/>
        <v>2</v>
      </c>
      <c r="AE655" t="str">
        <f t="shared" si="198"/>
        <v/>
      </c>
      <c r="AF655" t="str">
        <f t="shared" si="199"/>
        <v/>
      </c>
      <c r="AG655" t="str">
        <f t="shared" si="200"/>
        <v/>
      </c>
      <c r="AH655" t="str">
        <f t="shared" si="201"/>
        <v/>
      </c>
      <c r="AI655" t="str">
        <f t="shared" si="202"/>
        <v/>
      </c>
      <c r="AJ655" t="str">
        <f t="shared" si="203"/>
        <v/>
      </c>
      <c r="AK655" t="str">
        <f t="shared" si="204"/>
        <v/>
      </c>
      <c r="AL655" t="str">
        <f>IFERROR(ROUND(L655*(G655/$AU655)/VLOOKUP(F655,商品!$A$4:$B$60,2,FALSE),0),"")</f>
        <v/>
      </c>
      <c r="AM655" t="str">
        <f>IFERROR(ROUND(L655*(I655/$AU655)/VLOOKUP(H655,商品!$A$4:$B$60,2,FALSE),0),"")</f>
        <v/>
      </c>
      <c r="AN655">
        <f>IFERROR(ROUND(L655*(J655/$AU655)/VLOOKUP("运力",商品!$A$4:$B$60,2,FALSE),0),0)</f>
        <v>0</v>
      </c>
      <c r="AO655">
        <f>IFERROR(ROUND(L655*(K655/$AU655)/VLOOKUP("交易",商品!$A$4:$B$60,2,FALSE),0),0)</f>
        <v>0</v>
      </c>
      <c r="AP655" t="str">
        <f>IFERROR(ROUND(S655*(N655/$AV655)/VLOOKUP(M655,职业!$A$4:$G$16,4,FALSE),0),"")</f>
        <v/>
      </c>
      <c r="AQ655" t="str">
        <f>IFERROR(ROUND(S655*(P655/$AV655)/VLOOKUP(O655,职业!$A$4:$G$16,4,FALSE),0),"")</f>
        <v/>
      </c>
      <c r="AR655" t="str">
        <f>IFERROR(ROUND(S655*(R655/$AV655)/VLOOKUP(Q655,职业!$A$4:$G$16,4,FALSE),0),"")</f>
        <v/>
      </c>
      <c r="AS655" t="str">
        <f>IFERROR(ROUND(X655*(U655/$AW655)/VLOOKUP(T655,商品!$A$4:$B$60,2,FALSE),0),"")</f>
        <v/>
      </c>
      <c r="AT655" t="str">
        <f>IFERROR(ROUND(X655*(W655/$AW655)/VLOOKUP(V655,商品!$A$4:$B$60,2,FALSE),0),"")</f>
        <v/>
      </c>
      <c r="AU655">
        <f t="shared" si="205"/>
        <v>0</v>
      </c>
      <c r="AV655">
        <f t="shared" si="206"/>
        <v>0</v>
      </c>
      <c r="AW655">
        <f t="shared" si="207"/>
        <v>0</v>
      </c>
    </row>
    <row r="656" spans="1:49" ht="19.95" customHeight="1" x14ac:dyDescent="0.25">
      <c r="A656" s="16" t="s">
        <v>319</v>
      </c>
      <c r="C656" s="16">
        <v>3</v>
      </c>
      <c r="D656" s="23" t="s">
        <v>312</v>
      </c>
      <c r="E656" s="23" t="s">
        <v>193</v>
      </c>
      <c r="L656" s="15">
        <f>IFERROR(VLOOKUP($D656&amp;$C656,生产方式定位!$A$2:$E$38,2,FALSE)+VLOOKUP($E656&amp;$C656,生产方式定位!$F$3:$J$38,2,FALSE),0)</f>
        <v>2100</v>
      </c>
      <c r="S656" s="15">
        <f>IFERROR(VLOOKUP($D656&amp;$C656,生产方式定位!$A$2:$E$38,3,FALSE)+VLOOKUP($E656&amp;$C656,生产方式定位!$F$3:$J$38,3,FALSE),0)</f>
        <v>10</v>
      </c>
      <c r="X656" s="15">
        <f>IFERROR(VLOOKUP($D656&amp;$C656,生产方式定位!$A$2:$E$38,5,FALSE)+VLOOKUP($E656&amp;$C656,生产方式定位!$F$3:$J$38,5,FALSE),"错误")</f>
        <v>2954</v>
      </c>
      <c r="Y656" s="26" t="str">
        <f t="shared" si="192"/>
        <v/>
      </c>
      <c r="Z656" s="36" t="str">
        <f t="shared" si="193"/>
        <v/>
      </c>
      <c r="AA656" s="36" t="str">
        <f t="shared" si="194"/>
        <v/>
      </c>
      <c r="AB656" s="27" t="str">
        <f t="shared" si="195"/>
        <v>41%</v>
      </c>
      <c r="AC656" s="2">
        <f t="shared" si="196"/>
        <v>844</v>
      </c>
      <c r="AD656" s="37">
        <f t="shared" si="197"/>
        <v>3</v>
      </c>
      <c r="AE656" t="str">
        <f t="shared" si="198"/>
        <v/>
      </c>
      <c r="AF656" t="str">
        <f t="shared" si="199"/>
        <v/>
      </c>
      <c r="AG656" t="str">
        <f t="shared" si="200"/>
        <v/>
      </c>
      <c r="AH656" t="str">
        <f t="shared" si="201"/>
        <v/>
      </c>
      <c r="AI656" t="str">
        <f t="shared" si="202"/>
        <v/>
      </c>
      <c r="AJ656" t="str">
        <f t="shared" si="203"/>
        <v/>
      </c>
      <c r="AK656" t="str">
        <f t="shared" si="204"/>
        <v/>
      </c>
      <c r="AL656" t="str">
        <f>IFERROR(ROUND(L656*(G656/$AU656)/VLOOKUP(F656,商品!$A$4:$B$60,2,FALSE),0),"")</f>
        <v/>
      </c>
      <c r="AM656" t="str">
        <f>IFERROR(ROUND(L656*(I656/$AU656)/VLOOKUP(H656,商品!$A$4:$B$60,2,FALSE),0),"")</f>
        <v/>
      </c>
      <c r="AN656">
        <f>IFERROR(ROUND(L656*(J656/$AU656)/VLOOKUP("运力",商品!$A$4:$B$60,2,FALSE),0),0)</f>
        <v>0</v>
      </c>
      <c r="AO656">
        <f>IFERROR(ROUND(L656*(K656/$AU656)/VLOOKUP("交易",商品!$A$4:$B$60,2,FALSE),0),0)</f>
        <v>0</v>
      </c>
      <c r="AP656" t="str">
        <f>IFERROR(ROUND(S656*(N656/$AV656)/VLOOKUP(M656,职业!$A$4:$G$16,4,FALSE),0),"")</f>
        <v/>
      </c>
      <c r="AQ656" t="str">
        <f>IFERROR(ROUND(S656*(P656/$AV656)/VLOOKUP(O656,职业!$A$4:$G$16,4,FALSE),0),"")</f>
        <v/>
      </c>
      <c r="AR656" t="str">
        <f>IFERROR(ROUND(S656*(R656/$AV656)/VLOOKUP(Q656,职业!$A$4:$G$16,4,FALSE),0),"")</f>
        <v/>
      </c>
      <c r="AS656" t="str">
        <f>IFERROR(ROUND(X656*(U656/$AW656)/VLOOKUP(T656,商品!$A$4:$B$60,2,FALSE),0),"")</f>
        <v/>
      </c>
      <c r="AT656" t="str">
        <f>IFERROR(ROUND(X656*(W656/$AW656)/VLOOKUP(V656,商品!$A$4:$B$60,2,FALSE),0),"")</f>
        <v/>
      </c>
      <c r="AU656">
        <f t="shared" si="205"/>
        <v>0</v>
      </c>
      <c r="AV656">
        <f t="shared" si="206"/>
        <v>0</v>
      </c>
      <c r="AW656">
        <f t="shared" si="207"/>
        <v>0</v>
      </c>
    </row>
    <row r="657" spans="1:49" ht="19.95" customHeight="1" x14ac:dyDescent="0.25">
      <c r="A657" s="16" t="s">
        <v>319</v>
      </c>
      <c r="C657" s="16">
        <v>4</v>
      </c>
      <c r="D657" s="23" t="s">
        <v>312</v>
      </c>
      <c r="E657" s="23" t="s">
        <v>193</v>
      </c>
      <c r="L657" s="15">
        <f>IFERROR(VLOOKUP($D657&amp;$C657,生产方式定位!$A$2:$E$38,2,FALSE)+VLOOKUP($E657&amp;$C657,生产方式定位!$F$3:$J$38,2,FALSE),0)</f>
        <v>3000</v>
      </c>
      <c r="S657" s="15">
        <f>IFERROR(VLOOKUP($D657&amp;$C657,生产方式定位!$A$2:$E$38,3,FALSE)+VLOOKUP($E657&amp;$C657,生产方式定位!$F$3:$J$38,3,FALSE),0)</f>
        <v>15</v>
      </c>
      <c r="X657" s="15">
        <f>IFERROR(VLOOKUP($D657&amp;$C657,生产方式定位!$A$2:$E$38,5,FALSE)+VLOOKUP($E657&amp;$C657,生产方式定位!$F$3:$J$38,5,FALSE),"错误")</f>
        <v>4221</v>
      </c>
      <c r="Y657" s="26" t="str">
        <f t="shared" si="192"/>
        <v/>
      </c>
      <c r="Z657" s="36" t="str">
        <f t="shared" si="193"/>
        <v/>
      </c>
      <c r="AA657" s="36" t="str">
        <f t="shared" si="194"/>
        <v/>
      </c>
      <c r="AB657" s="27" t="str">
        <f t="shared" si="195"/>
        <v>41%</v>
      </c>
      <c r="AC657" s="2">
        <f t="shared" si="196"/>
        <v>1206</v>
      </c>
      <c r="AD657" s="37">
        <f t="shared" si="197"/>
        <v>4</v>
      </c>
      <c r="AE657" t="str">
        <f t="shared" si="198"/>
        <v/>
      </c>
      <c r="AF657" t="str">
        <f t="shared" si="199"/>
        <v/>
      </c>
      <c r="AG657" t="str">
        <f t="shared" si="200"/>
        <v/>
      </c>
      <c r="AH657" t="str">
        <f t="shared" si="201"/>
        <v/>
      </c>
      <c r="AI657" t="str">
        <f t="shared" si="202"/>
        <v/>
      </c>
      <c r="AJ657" t="str">
        <f t="shared" si="203"/>
        <v/>
      </c>
      <c r="AK657" t="str">
        <f t="shared" si="204"/>
        <v/>
      </c>
      <c r="AL657" t="str">
        <f>IFERROR(ROUND(L657*(G657/$AU657)/VLOOKUP(F657,商品!$A$4:$B$60,2,FALSE),0),"")</f>
        <v/>
      </c>
      <c r="AM657" t="str">
        <f>IFERROR(ROUND(L657*(I657/$AU657)/VLOOKUP(H657,商品!$A$4:$B$60,2,FALSE),0),"")</f>
        <v/>
      </c>
      <c r="AN657">
        <f>IFERROR(ROUND(L657*(J657/$AU657)/VLOOKUP("运力",商品!$A$4:$B$60,2,FALSE),0),0)</f>
        <v>0</v>
      </c>
      <c r="AO657">
        <f>IFERROR(ROUND(L657*(K657/$AU657)/VLOOKUP("交易",商品!$A$4:$B$60,2,FALSE),0),0)</f>
        <v>0</v>
      </c>
      <c r="AP657" t="str">
        <f>IFERROR(ROUND(S657*(N657/$AV657)/VLOOKUP(M657,职业!$A$4:$G$16,4,FALSE),0),"")</f>
        <v/>
      </c>
      <c r="AQ657" t="str">
        <f>IFERROR(ROUND(S657*(P657/$AV657)/VLOOKUP(O657,职业!$A$4:$G$16,4,FALSE),0),"")</f>
        <v/>
      </c>
      <c r="AR657" t="str">
        <f>IFERROR(ROUND(S657*(R657/$AV657)/VLOOKUP(Q657,职业!$A$4:$G$16,4,FALSE),0),"")</f>
        <v/>
      </c>
      <c r="AS657" t="str">
        <f>IFERROR(ROUND(X657*(U657/$AW657)/VLOOKUP(T657,商品!$A$4:$B$60,2,FALSE),0),"")</f>
        <v/>
      </c>
      <c r="AT657" t="str">
        <f>IFERROR(ROUND(X657*(W657/$AW657)/VLOOKUP(V657,商品!$A$4:$B$60,2,FALSE),0),"")</f>
        <v/>
      </c>
      <c r="AU657">
        <f t="shared" si="205"/>
        <v>0</v>
      </c>
      <c r="AV657">
        <f t="shared" si="206"/>
        <v>0</v>
      </c>
      <c r="AW657">
        <f t="shared" si="207"/>
        <v>0</v>
      </c>
    </row>
    <row r="658" spans="1:49" ht="19.95" customHeight="1" x14ac:dyDescent="0.25">
      <c r="A658" s="16" t="s">
        <v>319</v>
      </c>
      <c r="C658" s="16">
        <v>5</v>
      </c>
      <c r="D658" s="23" t="s">
        <v>312</v>
      </c>
      <c r="E658" s="23" t="s">
        <v>193</v>
      </c>
      <c r="L658" s="15">
        <f>IFERROR(VLOOKUP($D658&amp;$C658,生产方式定位!$A$2:$E$38,2,FALSE)+VLOOKUP($E658&amp;$C658,生产方式定位!$F$3:$J$38,2,FALSE),0)</f>
        <v>3900</v>
      </c>
      <c r="S658" s="15">
        <f>IFERROR(VLOOKUP($D658&amp;$C658,生产方式定位!$A$2:$E$38,3,FALSE)+VLOOKUP($E658&amp;$C658,生产方式定位!$F$3:$J$38,3,FALSE),0)</f>
        <v>20</v>
      </c>
      <c r="X658" s="15">
        <f>IFERROR(VLOOKUP($D658&amp;$C658,生产方式定位!$A$2:$E$38,5,FALSE)+VLOOKUP($E658&amp;$C658,生产方式定位!$F$3:$J$38,5,FALSE),"错误")</f>
        <v>5488</v>
      </c>
      <c r="Y658" s="26" t="str">
        <f t="shared" si="192"/>
        <v/>
      </c>
      <c r="Z658" s="36" t="str">
        <f t="shared" si="193"/>
        <v/>
      </c>
      <c r="AA658" s="36" t="str">
        <f t="shared" si="194"/>
        <v/>
      </c>
      <c r="AB658" s="27" t="str">
        <f t="shared" si="195"/>
        <v>41%</v>
      </c>
      <c r="AC658" s="2">
        <f t="shared" si="196"/>
        <v>1568</v>
      </c>
      <c r="AD658" s="37">
        <f t="shared" si="197"/>
        <v>5</v>
      </c>
      <c r="AE658" t="str">
        <f t="shared" si="198"/>
        <v/>
      </c>
      <c r="AF658" t="str">
        <f t="shared" si="199"/>
        <v/>
      </c>
      <c r="AG658" t="str">
        <f t="shared" si="200"/>
        <v/>
      </c>
      <c r="AH658" t="str">
        <f t="shared" si="201"/>
        <v/>
      </c>
      <c r="AI658" t="str">
        <f t="shared" si="202"/>
        <v/>
      </c>
      <c r="AJ658" t="str">
        <f t="shared" si="203"/>
        <v/>
      </c>
      <c r="AK658" t="str">
        <f t="shared" si="204"/>
        <v/>
      </c>
      <c r="AL658" t="str">
        <f>IFERROR(ROUND(L658*(G658/$AU658)/VLOOKUP(F658,商品!$A$4:$B$60,2,FALSE),0),"")</f>
        <v/>
      </c>
      <c r="AM658" t="str">
        <f>IFERROR(ROUND(L658*(I658/$AU658)/VLOOKUP(H658,商品!$A$4:$B$60,2,FALSE),0),"")</f>
        <v/>
      </c>
      <c r="AN658">
        <f>IFERROR(ROUND(L658*(J658/$AU658)/VLOOKUP("运力",商品!$A$4:$B$60,2,FALSE),0),0)</f>
        <v>0</v>
      </c>
      <c r="AO658">
        <f>IFERROR(ROUND(L658*(K658/$AU658)/VLOOKUP("交易",商品!$A$4:$B$60,2,FALSE),0),0)</f>
        <v>0</v>
      </c>
      <c r="AP658" t="str">
        <f>IFERROR(ROUND(S658*(N658/$AV658)/VLOOKUP(M658,职业!$A$4:$G$16,4,FALSE),0),"")</f>
        <v/>
      </c>
      <c r="AQ658" t="str">
        <f>IFERROR(ROUND(S658*(P658/$AV658)/VLOOKUP(O658,职业!$A$4:$G$16,4,FALSE),0),"")</f>
        <v/>
      </c>
      <c r="AR658" t="str">
        <f>IFERROR(ROUND(S658*(R658/$AV658)/VLOOKUP(Q658,职业!$A$4:$G$16,4,FALSE),0),"")</f>
        <v/>
      </c>
      <c r="AS658" t="str">
        <f>IFERROR(ROUND(X658*(U658/$AW658)/VLOOKUP(T658,商品!$A$4:$B$60,2,FALSE),0),"")</f>
        <v/>
      </c>
      <c r="AT658" t="str">
        <f>IFERROR(ROUND(X658*(W658/$AW658)/VLOOKUP(V658,商品!$A$4:$B$60,2,FALSE),0),"")</f>
        <v/>
      </c>
      <c r="AU658">
        <f t="shared" si="205"/>
        <v>0</v>
      </c>
      <c r="AV658">
        <f t="shared" si="206"/>
        <v>0</v>
      </c>
      <c r="AW658">
        <f t="shared" si="207"/>
        <v>0</v>
      </c>
    </row>
    <row r="659" spans="1:49" ht="19.95" customHeight="1" x14ac:dyDescent="0.25">
      <c r="A659" s="15" t="s">
        <v>320</v>
      </c>
      <c r="C659" s="15">
        <v>1</v>
      </c>
      <c r="D659" s="23" t="s">
        <v>312</v>
      </c>
      <c r="E659" s="23" t="s">
        <v>524</v>
      </c>
      <c r="L659" s="16">
        <f>IFERROR(VLOOKUP($D659&amp;$C659,生产方式定位!$A$2:$E$38,2,FALSE)+VLOOKUP($E659&amp;$C659,生产方式定位!$F$3:$J$38,2,FALSE),0)</f>
        <v>0</v>
      </c>
      <c r="S659" s="16">
        <f>IFERROR(VLOOKUP($D659&amp;$C659,生产方式定位!$A$2:$E$38,3,FALSE)+VLOOKUP($E659&amp;$C659,生产方式定位!$F$3:$J$38,3,FALSE),0)</f>
        <v>0</v>
      </c>
      <c r="X659" s="16" t="str">
        <f>IFERROR(VLOOKUP($D659&amp;$C659,生产方式定位!$A$2:$E$38,5,FALSE)+VLOOKUP($E659&amp;$C659,生产方式定位!$F$3:$J$38,5,FALSE),"错误")</f>
        <v>错误</v>
      </c>
      <c r="Y659" s="26" t="str">
        <f t="shared" si="192"/>
        <v/>
      </c>
      <c r="Z659" s="36" t="str">
        <f t="shared" si="193"/>
        <v/>
      </c>
      <c r="AA659" s="36" t="str">
        <f t="shared" si="194"/>
        <v/>
      </c>
      <c r="AB659" s="27" t="str">
        <f t="shared" si="195"/>
        <v/>
      </c>
      <c r="AC659" s="2" t="e">
        <f t="shared" si="196"/>
        <v>#VALUE!</v>
      </c>
      <c r="AD659" s="38">
        <f t="shared" si="197"/>
        <v>1</v>
      </c>
      <c r="AE659" t="str">
        <f t="shared" si="198"/>
        <v/>
      </c>
      <c r="AF659" t="str">
        <f t="shared" si="199"/>
        <v/>
      </c>
      <c r="AG659" t="str">
        <f t="shared" si="200"/>
        <v/>
      </c>
      <c r="AH659" t="str">
        <f t="shared" si="201"/>
        <v/>
      </c>
      <c r="AI659" t="str">
        <f t="shared" si="202"/>
        <v/>
      </c>
      <c r="AJ659" t="str">
        <f t="shared" si="203"/>
        <v/>
      </c>
      <c r="AK659" t="str">
        <f t="shared" si="204"/>
        <v/>
      </c>
      <c r="AL659" t="str">
        <f>IFERROR(ROUND(L659*(G659/$AU659)/VLOOKUP(F659,商品!$A$4:$B$60,2,FALSE),0),"")</f>
        <v/>
      </c>
      <c r="AM659" t="str">
        <f>IFERROR(ROUND(L659*(I659/$AU659)/VLOOKUP(H659,商品!$A$4:$B$60,2,FALSE),0),"")</f>
        <v/>
      </c>
      <c r="AN659">
        <f>IFERROR(ROUND(L659*(J659/$AU659)/VLOOKUP("运力",商品!$A$4:$B$60,2,FALSE),0),0)</f>
        <v>0</v>
      </c>
      <c r="AO659">
        <f>IFERROR(ROUND(L659*(K659/$AU659)/VLOOKUP("交易",商品!$A$4:$B$60,2,FALSE),0),0)</f>
        <v>0</v>
      </c>
      <c r="AP659" t="str">
        <f>IFERROR(ROUND(S659*(N659/$AV659)/VLOOKUP(M659,职业!$A$4:$G$16,4,FALSE),0),"")</f>
        <v/>
      </c>
      <c r="AQ659" t="str">
        <f>IFERROR(ROUND(S659*(P659/$AV659)/VLOOKUP(O659,职业!$A$4:$G$16,4,FALSE),0),"")</f>
        <v/>
      </c>
      <c r="AR659" t="str">
        <f>IFERROR(ROUND(S659*(R659/$AV659)/VLOOKUP(Q659,职业!$A$4:$G$16,4,FALSE),0),"")</f>
        <v/>
      </c>
      <c r="AS659" t="str">
        <f>IFERROR(ROUND(X659*(U659/$AW659)/VLOOKUP(T659,商品!$A$4:$B$60,2,FALSE),0),"")</f>
        <v/>
      </c>
      <c r="AT659" t="str">
        <f>IFERROR(ROUND(X659*(W659/$AW659)/VLOOKUP(V659,商品!$A$4:$B$60,2,FALSE),0),"")</f>
        <v/>
      </c>
      <c r="AU659">
        <f t="shared" si="205"/>
        <v>0</v>
      </c>
      <c r="AV659">
        <f t="shared" si="206"/>
        <v>0</v>
      </c>
      <c r="AW659">
        <f t="shared" si="207"/>
        <v>0</v>
      </c>
    </row>
    <row r="660" spans="1:49" ht="19.95" customHeight="1" x14ac:dyDescent="0.25">
      <c r="A660" s="15" t="s">
        <v>320</v>
      </c>
      <c r="C660" s="15">
        <v>2</v>
      </c>
      <c r="D660" s="23" t="s">
        <v>312</v>
      </c>
      <c r="E660" s="23" t="s">
        <v>524</v>
      </c>
      <c r="L660" s="16">
        <f>IFERROR(VLOOKUP($D660&amp;$C660,生产方式定位!$A$2:$E$38,2,FALSE)+VLOOKUP($E660&amp;$C660,生产方式定位!$F$3:$J$38,2,FALSE),0)</f>
        <v>0</v>
      </c>
      <c r="S660" s="16">
        <f>IFERROR(VLOOKUP($D660&amp;$C660,生产方式定位!$A$2:$E$38,3,FALSE)+VLOOKUP($E660&amp;$C660,生产方式定位!$F$3:$J$38,3,FALSE),0)</f>
        <v>0</v>
      </c>
      <c r="X660" s="16" t="str">
        <f>IFERROR(VLOOKUP($D660&amp;$C660,生产方式定位!$A$2:$E$38,5,FALSE)+VLOOKUP($E660&amp;$C660,生产方式定位!$F$3:$J$38,5,FALSE),"错误")</f>
        <v>错误</v>
      </c>
      <c r="Y660" s="26" t="str">
        <f t="shared" si="192"/>
        <v/>
      </c>
      <c r="Z660" s="36" t="str">
        <f t="shared" si="193"/>
        <v/>
      </c>
      <c r="AA660" s="36" t="str">
        <f t="shared" si="194"/>
        <v/>
      </c>
      <c r="AB660" s="27" t="str">
        <f t="shared" si="195"/>
        <v/>
      </c>
      <c r="AC660" s="2" t="e">
        <f t="shared" si="196"/>
        <v>#VALUE!</v>
      </c>
      <c r="AD660" s="38">
        <f t="shared" si="197"/>
        <v>2</v>
      </c>
      <c r="AE660" t="str">
        <f t="shared" si="198"/>
        <v/>
      </c>
      <c r="AF660" t="str">
        <f t="shared" si="199"/>
        <v/>
      </c>
      <c r="AG660" t="str">
        <f t="shared" si="200"/>
        <v/>
      </c>
      <c r="AH660" t="str">
        <f t="shared" si="201"/>
        <v/>
      </c>
      <c r="AI660" t="str">
        <f t="shared" si="202"/>
        <v/>
      </c>
      <c r="AJ660" t="str">
        <f t="shared" si="203"/>
        <v/>
      </c>
      <c r="AK660" t="str">
        <f t="shared" si="204"/>
        <v/>
      </c>
      <c r="AL660" t="str">
        <f>IFERROR(ROUND(L660*(G660/$AU660)/VLOOKUP(F660,商品!$A$4:$B$60,2,FALSE),0),"")</f>
        <v/>
      </c>
      <c r="AM660" t="str">
        <f>IFERROR(ROUND(L660*(I660/$AU660)/VLOOKUP(H660,商品!$A$4:$B$60,2,FALSE),0),"")</f>
        <v/>
      </c>
      <c r="AN660">
        <f>IFERROR(ROUND(L660*(J660/$AU660)/VLOOKUP("运力",商品!$A$4:$B$60,2,FALSE),0),0)</f>
        <v>0</v>
      </c>
      <c r="AO660">
        <f>IFERROR(ROUND(L660*(K660/$AU660)/VLOOKUP("交易",商品!$A$4:$B$60,2,FALSE),0),0)</f>
        <v>0</v>
      </c>
      <c r="AP660" t="str">
        <f>IFERROR(ROUND(S660*(N660/$AV660)/VLOOKUP(M660,职业!$A$4:$G$16,4,FALSE),0),"")</f>
        <v/>
      </c>
      <c r="AQ660" t="str">
        <f>IFERROR(ROUND(S660*(P660/$AV660)/VLOOKUP(O660,职业!$A$4:$G$16,4,FALSE),0),"")</f>
        <v/>
      </c>
      <c r="AR660" t="str">
        <f>IFERROR(ROUND(S660*(R660/$AV660)/VLOOKUP(Q660,职业!$A$4:$G$16,4,FALSE),0),"")</f>
        <v/>
      </c>
      <c r="AS660" t="str">
        <f>IFERROR(ROUND(X660*(U660/$AW660)/VLOOKUP(T660,商品!$A$4:$B$60,2,FALSE),0),"")</f>
        <v/>
      </c>
      <c r="AT660" t="str">
        <f>IFERROR(ROUND(X660*(W660/$AW660)/VLOOKUP(V660,商品!$A$4:$B$60,2,FALSE),0),"")</f>
        <v/>
      </c>
      <c r="AU660">
        <f t="shared" si="205"/>
        <v>0</v>
      </c>
      <c r="AV660">
        <f t="shared" si="206"/>
        <v>0</v>
      </c>
      <c r="AW660">
        <f t="shared" si="207"/>
        <v>0</v>
      </c>
    </row>
    <row r="661" spans="1:49" ht="19.95" customHeight="1" x14ac:dyDescent="0.25">
      <c r="A661" s="15" t="s">
        <v>320</v>
      </c>
      <c r="C661" s="15">
        <v>3</v>
      </c>
      <c r="D661" s="23" t="s">
        <v>312</v>
      </c>
      <c r="E661" s="23" t="s">
        <v>524</v>
      </c>
      <c r="L661" s="16">
        <f>IFERROR(VLOOKUP($D661&amp;$C661,生产方式定位!$A$2:$E$38,2,FALSE)+VLOOKUP($E661&amp;$C661,生产方式定位!$F$3:$J$38,2,FALSE),0)</f>
        <v>0</v>
      </c>
      <c r="S661" s="16">
        <f>IFERROR(VLOOKUP($D661&amp;$C661,生产方式定位!$A$2:$E$38,3,FALSE)+VLOOKUP($E661&amp;$C661,生产方式定位!$F$3:$J$38,3,FALSE),0)</f>
        <v>0</v>
      </c>
      <c r="X661" s="16" t="str">
        <f>IFERROR(VLOOKUP($D661&amp;$C661,生产方式定位!$A$2:$E$38,5,FALSE)+VLOOKUP($E661&amp;$C661,生产方式定位!$F$3:$J$38,5,FALSE),"错误")</f>
        <v>错误</v>
      </c>
      <c r="Y661" s="26" t="str">
        <f t="shared" si="192"/>
        <v/>
      </c>
      <c r="Z661" s="36" t="str">
        <f t="shared" si="193"/>
        <v/>
      </c>
      <c r="AA661" s="36" t="str">
        <f t="shared" si="194"/>
        <v/>
      </c>
      <c r="AB661" s="27" t="str">
        <f t="shared" si="195"/>
        <v/>
      </c>
      <c r="AC661" s="2" t="e">
        <f t="shared" si="196"/>
        <v>#VALUE!</v>
      </c>
      <c r="AD661" s="38">
        <f t="shared" si="197"/>
        <v>3</v>
      </c>
      <c r="AE661" t="str">
        <f t="shared" si="198"/>
        <v/>
      </c>
      <c r="AF661" t="str">
        <f t="shared" si="199"/>
        <v/>
      </c>
      <c r="AG661" t="str">
        <f t="shared" si="200"/>
        <v/>
      </c>
      <c r="AH661" t="str">
        <f t="shared" si="201"/>
        <v/>
      </c>
      <c r="AI661" t="str">
        <f t="shared" si="202"/>
        <v/>
      </c>
      <c r="AJ661" t="str">
        <f t="shared" si="203"/>
        <v/>
      </c>
      <c r="AK661" t="str">
        <f t="shared" si="204"/>
        <v/>
      </c>
      <c r="AL661" t="str">
        <f>IFERROR(ROUND(L661*(G661/$AU661)/VLOOKUP(F661,商品!$A$4:$B$60,2,FALSE),0),"")</f>
        <v/>
      </c>
      <c r="AM661" t="str">
        <f>IFERROR(ROUND(L661*(I661/$AU661)/VLOOKUP(H661,商品!$A$4:$B$60,2,FALSE),0),"")</f>
        <v/>
      </c>
      <c r="AN661">
        <f>IFERROR(ROUND(L661*(J661/$AU661)/VLOOKUP("运力",商品!$A$4:$B$60,2,FALSE),0),0)</f>
        <v>0</v>
      </c>
      <c r="AO661">
        <f>IFERROR(ROUND(L661*(K661/$AU661)/VLOOKUP("交易",商品!$A$4:$B$60,2,FALSE),0),0)</f>
        <v>0</v>
      </c>
      <c r="AP661" t="str">
        <f>IFERROR(ROUND(S661*(N661/$AV661)/VLOOKUP(M661,职业!$A$4:$G$16,4,FALSE),0),"")</f>
        <v/>
      </c>
      <c r="AQ661" t="str">
        <f>IFERROR(ROUND(S661*(P661/$AV661)/VLOOKUP(O661,职业!$A$4:$G$16,4,FALSE),0),"")</f>
        <v/>
      </c>
      <c r="AR661" t="str">
        <f>IFERROR(ROUND(S661*(R661/$AV661)/VLOOKUP(Q661,职业!$A$4:$G$16,4,FALSE),0),"")</f>
        <v/>
      </c>
      <c r="AS661" t="str">
        <f>IFERROR(ROUND(X661*(U661/$AW661)/VLOOKUP(T661,商品!$A$4:$B$60,2,FALSE),0),"")</f>
        <v/>
      </c>
      <c r="AT661" t="str">
        <f>IFERROR(ROUND(X661*(W661/$AW661)/VLOOKUP(V661,商品!$A$4:$B$60,2,FALSE),0),"")</f>
        <v/>
      </c>
      <c r="AU661">
        <f t="shared" si="205"/>
        <v>0</v>
      </c>
      <c r="AV661">
        <f t="shared" si="206"/>
        <v>0</v>
      </c>
      <c r="AW661">
        <f t="shared" si="207"/>
        <v>0</v>
      </c>
    </row>
    <row r="662" spans="1:49" ht="19.95" customHeight="1" x14ac:dyDescent="0.25">
      <c r="A662" s="15" t="s">
        <v>320</v>
      </c>
      <c r="C662" s="15">
        <v>4</v>
      </c>
      <c r="D662" s="23" t="s">
        <v>312</v>
      </c>
      <c r="E662" s="23" t="s">
        <v>524</v>
      </c>
      <c r="L662" s="16">
        <f>IFERROR(VLOOKUP($D662&amp;$C662,生产方式定位!$A$2:$E$38,2,FALSE)+VLOOKUP($E662&amp;$C662,生产方式定位!$F$3:$J$38,2,FALSE),0)</f>
        <v>0</v>
      </c>
      <c r="S662" s="16">
        <f>IFERROR(VLOOKUP($D662&amp;$C662,生产方式定位!$A$2:$E$38,3,FALSE)+VLOOKUP($E662&amp;$C662,生产方式定位!$F$3:$J$38,3,FALSE),0)</f>
        <v>0</v>
      </c>
      <c r="X662" s="16" t="str">
        <f>IFERROR(VLOOKUP($D662&amp;$C662,生产方式定位!$A$2:$E$38,5,FALSE)+VLOOKUP($E662&amp;$C662,生产方式定位!$F$3:$J$38,5,FALSE),"错误")</f>
        <v>错误</v>
      </c>
      <c r="Y662" s="26" t="str">
        <f t="shared" si="192"/>
        <v/>
      </c>
      <c r="Z662" s="36" t="str">
        <f t="shared" si="193"/>
        <v/>
      </c>
      <c r="AA662" s="36" t="str">
        <f t="shared" si="194"/>
        <v/>
      </c>
      <c r="AB662" s="27" t="str">
        <f t="shared" si="195"/>
        <v/>
      </c>
      <c r="AC662" s="2" t="e">
        <f t="shared" si="196"/>
        <v>#VALUE!</v>
      </c>
      <c r="AD662" s="38">
        <f t="shared" si="197"/>
        <v>4</v>
      </c>
      <c r="AE662" t="str">
        <f t="shared" si="198"/>
        <v/>
      </c>
      <c r="AF662" t="str">
        <f t="shared" si="199"/>
        <v/>
      </c>
      <c r="AG662" t="str">
        <f t="shared" si="200"/>
        <v/>
      </c>
      <c r="AH662" t="str">
        <f t="shared" si="201"/>
        <v/>
      </c>
      <c r="AI662" t="str">
        <f t="shared" si="202"/>
        <v/>
      </c>
      <c r="AJ662" t="str">
        <f t="shared" si="203"/>
        <v/>
      </c>
      <c r="AK662" t="str">
        <f t="shared" si="204"/>
        <v/>
      </c>
      <c r="AL662" t="str">
        <f>IFERROR(ROUND(L662*(G662/$AU662)/VLOOKUP(F662,商品!$A$4:$B$60,2,FALSE),0),"")</f>
        <v/>
      </c>
      <c r="AM662" t="str">
        <f>IFERROR(ROUND(L662*(I662/$AU662)/VLOOKUP(H662,商品!$A$4:$B$60,2,FALSE),0),"")</f>
        <v/>
      </c>
      <c r="AN662">
        <f>IFERROR(ROUND(L662*(J662/$AU662)/VLOOKUP("运力",商品!$A$4:$B$60,2,FALSE),0),0)</f>
        <v>0</v>
      </c>
      <c r="AO662">
        <f>IFERROR(ROUND(L662*(K662/$AU662)/VLOOKUP("交易",商品!$A$4:$B$60,2,FALSE),0),0)</f>
        <v>0</v>
      </c>
      <c r="AP662" t="str">
        <f>IFERROR(ROUND(S662*(N662/$AV662)/VLOOKUP(M662,职业!$A$4:$G$16,4,FALSE),0),"")</f>
        <v/>
      </c>
      <c r="AQ662" t="str">
        <f>IFERROR(ROUND(S662*(P662/$AV662)/VLOOKUP(O662,职业!$A$4:$G$16,4,FALSE),0),"")</f>
        <v/>
      </c>
      <c r="AR662" t="str">
        <f>IFERROR(ROUND(S662*(R662/$AV662)/VLOOKUP(Q662,职业!$A$4:$G$16,4,FALSE),0),"")</f>
        <v/>
      </c>
      <c r="AS662" t="str">
        <f>IFERROR(ROUND(X662*(U662/$AW662)/VLOOKUP(T662,商品!$A$4:$B$60,2,FALSE),0),"")</f>
        <v/>
      </c>
      <c r="AT662" t="str">
        <f>IFERROR(ROUND(X662*(W662/$AW662)/VLOOKUP(V662,商品!$A$4:$B$60,2,FALSE),0),"")</f>
        <v/>
      </c>
      <c r="AU662">
        <f t="shared" si="205"/>
        <v>0</v>
      </c>
      <c r="AV662">
        <f t="shared" si="206"/>
        <v>0</v>
      </c>
      <c r="AW662">
        <f t="shared" si="207"/>
        <v>0</v>
      </c>
    </row>
    <row r="663" spans="1:49" ht="19.95" customHeight="1" x14ac:dyDescent="0.25">
      <c r="A663" s="15" t="s">
        <v>320</v>
      </c>
      <c r="C663" s="15">
        <v>5</v>
      </c>
      <c r="D663" s="23" t="s">
        <v>312</v>
      </c>
      <c r="E663" s="23" t="s">
        <v>524</v>
      </c>
      <c r="L663" s="16">
        <f>IFERROR(VLOOKUP($D663&amp;$C663,生产方式定位!$A$2:$E$38,2,FALSE)+VLOOKUP($E663&amp;$C663,生产方式定位!$F$3:$J$38,2,FALSE),0)</f>
        <v>0</v>
      </c>
      <c r="S663" s="16">
        <f>IFERROR(VLOOKUP($D663&amp;$C663,生产方式定位!$A$2:$E$38,3,FALSE)+VLOOKUP($E663&amp;$C663,生产方式定位!$F$3:$J$38,3,FALSE),0)</f>
        <v>0</v>
      </c>
      <c r="X663" s="16" t="str">
        <f>IFERROR(VLOOKUP($D663&amp;$C663,生产方式定位!$A$2:$E$38,5,FALSE)+VLOOKUP($E663&amp;$C663,生产方式定位!$F$3:$J$38,5,FALSE),"错误")</f>
        <v>错误</v>
      </c>
      <c r="Y663" s="26" t="str">
        <f t="shared" si="192"/>
        <v/>
      </c>
      <c r="Z663" s="36" t="str">
        <f t="shared" si="193"/>
        <v/>
      </c>
      <c r="AA663" s="36" t="str">
        <f t="shared" si="194"/>
        <v/>
      </c>
      <c r="AB663" s="27" t="str">
        <f t="shared" si="195"/>
        <v/>
      </c>
      <c r="AC663" s="2" t="e">
        <f t="shared" si="196"/>
        <v>#VALUE!</v>
      </c>
      <c r="AD663" s="38">
        <f t="shared" si="197"/>
        <v>5</v>
      </c>
      <c r="AE663" t="str">
        <f t="shared" si="198"/>
        <v/>
      </c>
      <c r="AF663" t="str">
        <f t="shared" si="199"/>
        <v/>
      </c>
      <c r="AG663" t="str">
        <f t="shared" si="200"/>
        <v/>
      </c>
      <c r="AH663" t="str">
        <f t="shared" si="201"/>
        <v/>
      </c>
      <c r="AI663" t="str">
        <f t="shared" si="202"/>
        <v/>
      </c>
      <c r="AJ663" t="str">
        <f t="shared" si="203"/>
        <v/>
      </c>
      <c r="AK663" t="str">
        <f t="shared" si="204"/>
        <v/>
      </c>
      <c r="AL663" t="str">
        <f>IFERROR(ROUND(L663*(G663/$AU663)/VLOOKUP(F663,商品!$A$4:$B$60,2,FALSE),0),"")</f>
        <v/>
      </c>
      <c r="AM663" t="str">
        <f>IFERROR(ROUND(L663*(I663/$AU663)/VLOOKUP(H663,商品!$A$4:$B$60,2,FALSE),0),"")</f>
        <v/>
      </c>
      <c r="AN663">
        <f>IFERROR(ROUND(L663*(J663/$AU663)/VLOOKUP("运力",商品!$A$4:$B$60,2,FALSE),0),0)</f>
        <v>0</v>
      </c>
      <c r="AO663">
        <f>IFERROR(ROUND(L663*(K663/$AU663)/VLOOKUP("交易",商品!$A$4:$B$60,2,FALSE),0),0)</f>
        <v>0</v>
      </c>
      <c r="AP663" t="str">
        <f>IFERROR(ROUND(S663*(N663/$AV663)/VLOOKUP(M663,职业!$A$4:$G$16,4,FALSE),0),"")</f>
        <v/>
      </c>
      <c r="AQ663" t="str">
        <f>IFERROR(ROUND(S663*(P663/$AV663)/VLOOKUP(O663,职业!$A$4:$G$16,4,FALSE),0),"")</f>
        <v/>
      </c>
      <c r="AR663" t="str">
        <f>IFERROR(ROUND(S663*(R663/$AV663)/VLOOKUP(Q663,职业!$A$4:$G$16,4,FALSE),0),"")</f>
        <v/>
      </c>
      <c r="AS663" t="str">
        <f>IFERROR(ROUND(X663*(U663/$AW663)/VLOOKUP(T663,商品!$A$4:$B$60,2,FALSE),0),"")</f>
        <v/>
      </c>
      <c r="AT663" t="str">
        <f>IFERROR(ROUND(X663*(W663/$AW663)/VLOOKUP(V663,商品!$A$4:$B$60,2,FALSE),0),"")</f>
        <v/>
      </c>
      <c r="AU663">
        <f t="shared" si="205"/>
        <v>0</v>
      </c>
      <c r="AV663">
        <f t="shared" si="206"/>
        <v>0</v>
      </c>
      <c r="AW663">
        <f t="shared" si="207"/>
        <v>0</v>
      </c>
    </row>
    <row r="664" spans="1:49" ht="19.95" customHeight="1" x14ac:dyDescent="0.25">
      <c r="A664" s="16" t="s">
        <v>321</v>
      </c>
      <c r="C664" s="16">
        <v>1</v>
      </c>
      <c r="D664" s="23" t="s">
        <v>312</v>
      </c>
      <c r="E664" s="23" t="s">
        <v>524</v>
      </c>
      <c r="L664" s="15">
        <f>IFERROR(VLOOKUP($D664&amp;$C664,生产方式定位!$A$2:$E$38,2,FALSE)+VLOOKUP($E664&amp;$C664,生产方式定位!$F$3:$J$38,2,FALSE),0)</f>
        <v>0</v>
      </c>
      <c r="S664" s="15">
        <f>IFERROR(VLOOKUP($D664&amp;$C664,生产方式定位!$A$2:$E$38,3,FALSE)+VLOOKUP($E664&amp;$C664,生产方式定位!$F$3:$J$38,3,FALSE),0)</f>
        <v>0</v>
      </c>
      <c r="X664" s="15" t="str">
        <f>IFERROR(VLOOKUP($D664&amp;$C664,生产方式定位!$A$2:$E$38,5,FALSE)+VLOOKUP($E664&amp;$C664,生产方式定位!$F$3:$J$38,5,FALSE),"错误")</f>
        <v>错误</v>
      </c>
      <c r="Y664" s="26" t="str">
        <f t="shared" si="192"/>
        <v/>
      </c>
      <c r="Z664" s="36" t="str">
        <f t="shared" si="193"/>
        <v/>
      </c>
      <c r="AA664" s="36" t="str">
        <f t="shared" si="194"/>
        <v/>
      </c>
      <c r="AB664" s="27" t="str">
        <f t="shared" si="195"/>
        <v/>
      </c>
      <c r="AC664" s="2" t="e">
        <f t="shared" si="196"/>
        <v>#VALUE!</v>
      </c>
      <c r="AD664" s="37">
        <f t="shared" si="197"/>
        <v>1</v>
      </c>
      <c r="AE664" t="str">
        <f t="shared" si="198"/>
        <v/>
      </c>
      <c r="AF664" t="str">
        <f t="shared" si="199"/>
        <v/>
      </c>
      <c r="AG664" t="str">
        <f t="shared" si="200"/>
        <v/>
      </c>
      <c r="AH664" t="str">
        <f t="shared" si="201"/>
        <v/>
      </c>
      <c r="AI664" t="str">
        <f t="shared" si="202"/>
        <v/>
      </c>
      <c r="AJ664" t="str">
        <f t="shared" si="203"/>
        <v/>
      </c>
      <c r="AK664" t="str">
        <f t="shared" si="204"/>
        <v/>
      </c>
      <c r="AL664" t="str">
        <f>IFERROR(ROUND(L664*(G664/$AU664)/VLOOKUP(F664,商品!$A$4:$B$60,2,FALSE),0),"")</f>
        <v/>
      </c>
      <c r="AM664" t="str">
        <f>IFERROR(ROUND(L664*(I664/$AU664)/VLOOKUP(H664,商品!$A$4:$B$60,2,FALSE),0),"")</f>
        <v/>
      </c>
      <c r="AN664">
        <f>IFERROR(ROUND(L664*(J664/$AU664)/VLOOKUP("运力",商品!$A$4:$B$60,2,FALSE),0),0)</f>
        <v>0</v>
      </c>
      <c r="AO664">
        <f>IFERROR(ROUND(L664*(K664/$AU664)/VLOOKUP("交易",商品!$A$4:$B$60,2,FALSE),0),0)</f>
        <v>0</v>
      </c>
      <c r="AP664" t="str">
        <f>IFERROR(ROUND(S664*(N664/$AV664)/VLOOKUP(M664,职业!$A$4:$G$16,4,FALSE),0),"")</f>
        <v/>
      </c>
      <c r="AQ664" t="str">
        <f>IFERROR(ROUND(S664*(P664/$AV664)/VLOOKUP(O664,职业!$A$4:$G$16,4,FALSE),0),"")</f>
        <v/>
      </c>
      <c r="AR664" t="str">
        <f>IFERROR(ROUND(S664*(R664/$AV664)/VLOOKUP(Q664,职业!$A$4:$G$16,4,FALSE),0),"")</f>
        <v/>
      </c>
      <c r="AS664" t="str">
        <f>IFERROR(ROUND(X664*(U664/$AW664)/VLOOKUP(T664,商品!$A$4:$B$60,2,FALSE),0),"")</f>
        <v/>
      </c>
      <c r="AT664" t="str">
        <f>IFERROR(ROUND(X664*(W664/$AW664)/VLOOKUP(V664,商品!$A$4:$B$60,2,FALSE),0),"")</f>
        <v/>
      </c>
      <c r="AU664">
        <f t="shared" si="205"/>
        <v>0</v>
      </c>
      <c r="AV664">
        <f t="shared" si="206"/>
        <v>0</v>
      </c>
      <c r="AW664">
        <f t="shared" si="207"/>
        <v>0</v>
      </c>
    </row>
    <row r="665" spans="1:49" ht="19.95" customHeight="1" x14ac:dyDescent="0.25">
      <c r="A665" s="16" t="s">
        <v>321</v>
      </c>
      <c r="C665" s="16">
        <v>2</v>
      </c>
      <c r="D665" s="23" t="s">
        <v>312</v>
      </c>
      <c r="E665" s="23" t="s">
        <v>524</v>
      </c>
      <c r="L665" s="15">
        <f>IFERROR(VLOOKUP($D665&amp;$C665,生产方式定位!$A$2:$E$38,2,FALSE)+VLOOKUP($E665&amp;$C665,生产方式定位!$F$3:$J$38,2,FALSE),0)</f>
        <v>0</v>
      </c>
      <c r="S665" s="15">
        <f>IFERROR(VLOOKUP($D665&amp;$C665,生产方式定位!$A$2:$E$38,3,FALSE)+VLOOKUP($E665&amp;$C665,生产方式定位!$F$3:$J$38,3,FALSE),0)</f>
        <v>0</v>
      </c>
      <c r="X665" s="15" t="str">
        <f>IFERROR(VLOOKUP($D665&amp;$C665,生产方式定位!$A$2:$E$38,5,FALSE)+VLOOKUP($E665&amp;$C665,生产方式定位!$F$3:$J$38,5,FALSE),"错误")</f>
        <v>错误</v>
      </c>
      <c r="Y665" s="26" t="str">
        <f t="shared" si="192"/>
        <v/>
      </c>
      <c r="Z665" s="36" t="str">
        <f t="shared" si="193"/>
        <v/>
      </c>
      <c r="AA665" s="36" t="str">
        <f t="shared" si="194"/>
        <v/>
      </c>
      <c r="AB665" s="27" t="str">
        <f t="shared" si="195"/>
        <v/>
      </c>
      <c r="AC665" s="2" t="e">
        <f t="shared" si="196"/>
        <v>#VALUE!</v>
      </c>
      <c r="AD665" s="37">
        <f t="shared" si="197"/>
        <v>2</v>
      </c>
      <c r="AE665" t="str">
        <f t="shared" si="198"/>
        <v/>
      </c>
      <c r="AF665" t="str">
        <f t="shared" si="199"/>
        <v/>
      </c>
      <c r="AG665" t="str">
        <f t="shared" si="200"/>
        <v/>
      </c>
      <c r="AH665" t="str">
        <f t="shared" si="201"/>
        <v/>
      </c>
      <c r="AI665" t="str">
        <f t="shared" si="202"/>
        <v/>
      </c>
      <c r="AJ665" t="str">
        <f t="shared" si="203"/>
        <v/>
      </c>
      <c r="AK665" t="str">
        <f t="shared" si="204"/>
        <v/>
      </c>
      <c r="AL665" t="str">
        <f>IFERROR(ROUND(L665*(G665/$AU665)/VLOOKUP(F665,商品!$A$4:$B$60,2,FALSE),0),"")</f>
        <v/>
      </c>
      <c r="AM665" t="str">
        <f>IFERROR(ROUND(L665*(I665/$AU665)/VLOOKUP(H665,商品!$A$4:$B$60,2,FALSE),0),"")</f>
        <v/>
      </c>
      <c r="AN665">
        <f>IFERROR(ROUND(L665*(J665/$AU665)/VLOOKUP("运力",商品!$A$4:$B$60,2,FALSE),0),0)</f>
        <v>0</v>
      </c>
      <c r="AO665">
        <f>IFERROR(ROUND(L665*(K665/$AU665)/VLOOKUP("交易",商品!$A$4:$B$60,2,FALSE),0),0)</f>
        <v>0</v>
      </c>
      <c r="AP665" t="str">
        <f>IFERROR(ROUND(S665*(N665/$AV665)/VLOOKUP(M665,职业!$A$4:$G$16,4,FALSE),0),"")</f>
        <v/>
      </c>
      <c r="AQ665" t="str">
        <f>IFERROR(ROUND(S665*(P665/$AV665)/VLOOKUP(O665,职业!$A$4:$G$16,4,FALSE),0),"")</f>
        <v/>
      </c>
      <c r="AR665" t="str">
        <f>IFERROR(ROUND(S665*(R665/$AV665)/VLOOKUP(Q665,职业!$A$4:$G$16,4,FALSE),0),"")</f>
        <v/>
      </c>
      <c r="AS665" t="str">
        <f>IFERROR(ROUND(X665*(U665/$AW665)/VLOOKUP(T665,商品!$A$4:$B$60,2,FALSE),0),"")</f>
        <v/>
      </c>
      <c r="AT665" t="str">
        <f>IFERROR(ROUND(X665*(W665/$AW665)/VLOOKUP(V665,商品!$A$4:$B$60,2,FALSE),0),"")</f>
        <v/>
      </c>
      <c r="AU665">
        <f t="shared" si="205"/>
        <v>0</v>
      </c>
      <c r="AV665">
        <f t="shared" si="206"/>
        <v>0</v>
      </c>
      <c r="AW665">
        <f t="shared" si="207"/>
        <v>0</v>
      </c>
    </row>
    <row r="666" spans="1:49" ht="19.95" customHeight="1" x14ac:dyDescent="0.25">
      <c r="A666" s="16" t="s">
        <v>321</v>
      </c>
      <c r="C666" s="16">
        <v>3</v>
      </c>
      <c r="D666" s="23" t="s">
        <v>312</v>
      </c>
      <c r="E666" s="23" t="s">
        <v>524</v>
      </c>
      <c r="L666" s="15">
        <f>IFERROR(VLOOKUP($D666&amp;$C666,生产方式定位!$A$2:$E$38,2,FALSE)+VLOOKUP($E666&amp;$C666,生产方式定位!$F$3:$J$38,2,FALSE),0)</f>
        <v>0</v>
      </c>
      <c r="S666" s="15">
        <f>IFERROR(VLOOKUP($D666&amp;$C666,生产方式定位!$A$2:$E$38,3,FALSE)+VLOOKUP($E666&amp;$C666,生产方式定位!$F$3:$J$38,3,FALSE),0)</f>
        <v>0</v>
      </c>
      <c r="X666" s="15" t="str">
        <f>IFERROR(VLOOKUP($D666&amp;$C666,生产方式定位!$A$2:$E$38,5,FALSE)+VLOOKUP($E666&amp;$C666,生产方式定位!$F$3:$J$38,5,FALSE),"错误")</f>
        <v>错误</v>
      </c>
      <c r="Y666" s="26" t="str">
        <f t="shared" si="192"/>
        <v/>
      </c>
      <c r="Z666" s="36" t="str">
        <f t="shared" si="193"/>
        <v/>
      </c>
      <c r="AA666" s="36" t="str">
        <f t="shared" si="194"/>
        <v/>
      </c>
      <c r="AB666" s="27" t="str">
        <f t="shared" si="195"/>
        <v/>
      </c>
      <c r="AC666" s="2" t="e">
        <f t="shared" si="196"/>
        <v>#VALUE!</v>
      </c>
      <c r="AD666" s="37">
        <f t="shared" si="197"/>
        <v>3</v>
      </c>
      <c r="AE666" t="str">
        <f t="shared" si="198"/>
        <v/>
      </c>
      <c r="AF666" t="str">
        <f t="shared" si="199"/>
        <v/>
      </c>
      <c r="AG666" t="str">
        <f t="shared" si="200"/>
        <v/>
      </c>
      <c r="AH666" t="str">
        <f t="shared" si="201"/>
        <v/>
      </c>
      <c r="AI666" t="str">
        <f t="shared" si="202"/>
        <v/>
      </c>
      <c r="AJ666" t="str">
        <f t="shared" si="203"/>
        <v/>
      </c>
      <c r="AK666" t="str">
        <f t="shared" si="204"/>
        <v/>
      </c>
      <c r="AL666" t="str">
        <f>IFERROR(ROUND(L666*(G666/$AU666)/VLOOKUP(F666,商品!$A$4:$B$60,2,FALSE),0),"")</f>
        <v/>
      </c>
      <c r="AM666" t="str">
        <f>IFERROR(ROUND(L666*(I666/$AU666)/VLOOKUP(H666,商品!$A$4:$B$60,2,FALSE),0),"")</f>
        <v/>
      </c>
      <c r="AN666">
        <f>IFERROR(ROUND(L666*(J666/$AU666)/VLOOKUP("运力",商品!$A$4:$B$60,2,FALSE),0),0)</f>
        <v>0</v>
      </c>
      <c r="AO666">
        <f>IFERROR(ROUND(L666*(K666/$AU666)/VLOOKUP("交易",商品!$A$4:$B$60,2,FALSE),0),0)</f>
        <v>0</v>
      </c>
      <c r="AP666" t="str">
        <f>IFERROR(ROUND(S666*(N666/$AV666)/VLOOKUP(M666,职业!$A$4:$G$16,4,FALSE),0),"")</f>
        <v/>
      </c>
      <c r="AQ666" t="str">
        <f>IFERROR(ROUND(S666*(P666/$AV666)/VLOOKUP(O666,职业!$A$4:$G$16,4,FALSE),0),"")</f>
        <v/>
      </c>
      <c r="AR666" t="str">
        <f>IFERROR(ROUND(S666*(R666/$AV666)/VLOOKUP(Q666,职业!$A$4:$G$16,4,FALSE),0),"")</f>
        <v/>
      </c>
      <c r="AS666" t="str">
        <f>IFERROR(ROUND(X666*(U666/$AW666)/VLOOKUP(T666,商品!$A$4:$B$60,2,FALSE),0),"")</f>
        <v/>
      </c>
      <c r="AT666" t="str">
        <f>IFERROR(ROUND(X666*(W666/$AW666)/VLOOKUP(V666,商品!$A$4:$B$60,2,FALSE),0),"")</f>
        <v/>
      </c>
      <c r="AU666">
        <f t="shared" si="205"/>
        <v>0</v>
      </c>
      <c r="AV666">
        <f t="shared" si="206"/>
        <v>0</v>
      </c>
      <c r="AW666">
        <f t="shared" si="207"/>
        <v>0</v>
      </c>
    </row>
    <row r="667" spans="1:49" ht="19.95" customHeight="1" x14ac:dyDescent="0.25">
      <c r="A667" s="16" t="s">
        <v>321</v>
      </c>
      <c r="C667" s="16">
        <v>4</v>
      </c>
      <c r="D667" s="23" t="s">
        <v>312</v>
      </c>
      <c r="E667" s="23" t="s">
        <v>524</v>
      </c>
      <c r="L667" s="15">
        <f>IFERROR(VLOOKUP($D667&amp;$C667,生产方式定位!$A$2:$E$38,2,FALSE)+VLOOKUP($E667&amp;$C667,生产方式定位!$F$3:$J$38,2,FALSE),0)</f>
        <v>0</v>
      </c>
      <c r="S667" s="15">
        <f>IFERROR(VLOOKUP($D667&amp;$C667,生产方式定位!$A$2:$E$38,3,FALSE)+VLOOKUP($E667&amp;$C667,生产方式定位!$F$3:$J$38,3,FALSE),0)</f>
        <v>0</v>
      </c>
      <c r="X667" s="15" t="str">
        <f>IFERROR(VLOOKUP($D667&amp;$C667,生产方式定位!$A$2:$E$38,5,FALSE)+VLOOKUP($E667&amp;$C667,生产方式定位!$F$3:$J$38,5,FALSE),"错误")</f>
        <v>错误</v>
      </c>
      <c r="Y667" s="26" t="str">
        <f t="shared" si="192"/>
        <v/>
      </c>
      <c r="Z667" s="36" t="str">
        <f t="shared" si="193"/>
        <v/>
      </c>
      <c r="AA667" s="36" t="str">
        <f t="shared" si="194"/>
        <v/>
      </c>
      <c r="AB667" s="27" t="str">
        <f t="shared" si="195"/>
        <v/>
      </c>
      <c r="AC667" s="2" t="e">
        <f t="shared" si="196"/>
        <v>#VALUE!</v>
      </c>
      <c r="AD667" s="37">
        <f t="shared" si="197"/>
        <v>4</v>
      </c>
      <c r="AE667" t="str">
        <f t="shared" si="198"/>
        <v/>
      </c>
      <c r="AF667" t="str">
        <f t="shared" si="199"/>
        <v/>
      </c>
      <c r="AG667" t="str">
        <f t="shared" si="200"/>
        <v/>
      </c>
      <c r="AH667" t="str">
        <f t="shared" si="201"/>
        <v/>
      </c>
      <c r="AI667" t="str">
        <f t="shared" si="202"/>
        <v/>
      </c>
      <c r="AJ667" t="str">
        <f t="shared" si="203"/>
        <v/>
      </c>
      <c r="AK667" t="str">
        <f t="shared" si="204"/>
        <v/>
      </c>
      <c r="AL667" t="str">
        <f>IFERROR(ROUND(L667*(G667/$AU667)/VLOOKUP(F667,商品!$A$4:$B$60,2,FALSE),0),"")</f>
        <v/>
      </c>
      <c r="AM667" t="str">
        <f>IFERROR(ROUND(L667*(I667/$AU667)/VLOOKUP(H667,商品!$A$4:$B$60,2,FALSE),0),"")</f>
        <v/>
      </c>
      <c r="AN667">
        <f>IFERROR(ROUND(L667*(J667/$AU667)/VLOOKUP("运力",商品!$A$4:$B$60,2,FALSE),0),0)</f>
        <v>0</v>
      </c>
      <c r="AO667">
        <f>IFERROR(ROUND(L667*(K667/$AU667)/VLOOKUP("交易",商品!$A$4:$B$60,2,FALSE),0),0)</f>
        <v>0</v>
      </c>
      <c r="AP667" t="str">
        <f>IFERROR(ROUND(S667*(N667/$AV667)/VLOOKUP(M667,职业!$A$4:$G$16,4,FALSE),0),"")</f>
        <v/>
      </c>
      <c r="AQ667" t="str">
        <f>IFERROR(ROUND(S667*(P667/$AV667)/VLOOKUP(O667,职业!$A$4:$G$16,4,FALSE),0),"")</f>
        <v/>
      </c>
      <c r="AR667" t="str">
        <f>IFERROR(ROUND(S667*(R667/$AV667)/VLOOKUP(Q667,职业!$A$4:$G$16,4,FALSE),0),"")</f>
        <v/>
      </c>
      <c r="AS667" t="str">
        <f>IFERROR(ROUND(X667*(U667/$AW667)/VLOOKUP(T667,商品!$A$4:$B$60,2,FALSE),0),"")</f>
        <v/>
      </c>
      <c r="AT667" t="str">
        <f>IFERROR(ROUND(X667*(W667/$AW667)/VLOOKUP(V667,商品!$A$4:$B$60,2,FALSE),0),"")</f>
        <v/>
      </c>
      <c r="AU667">
        <f t="shared" si="205"/>
        <v>0</v>
      </c>
      <c r="AV667">
        <f t="shared" si="206"/>
        <v>0</v>
      </c>
      <c r="AW667">
        <f t="shared" si="207"/>
        <v>0</v>
      </c>
    </row>
    <row r="668" spans="1:49" ht="19.95" customHeight="1" x14ac:dyDescent="0.25">
      <c r="A668" s="16" t="s">
        <v>321</v>
      </c>
      <c r="C668" s="16">
        <v>5</v>
      </c>
      <c r="D668" s="23" t="s">
        <v>312</v>
      </c>
      <c r="E668" s="23" t="s">
        <v>524</v>
      </c>
      <c r="L668" s="15">
        <f>IFERROR(VLOOKUP($D668&amp;$C668,生产方式定位!$A$2:$E$38,2,FALSE)+VLOOKUP($E668&amp;$C668,生产方式定位!$F$3:$J$38,2,FALSE),0)</f>
        <v>0</v>
      </c>
      <c r="S668" s="15">
        <f>IFERROR(VLOOKUP($D668&amp;$C668,生产方式定位!$A$2:$E$38,3,FALSE)+VLOOKUP($E668&amp;$C668,生产方式定位!$F$3:$J$38,3,FALSE),0)</f>
        <v>0</v>
      </c>
      <c r="X668" s="15" t="str">
        <f>IFERROR(VLOOKUP($D668&amp;$C668,生产方式定位!$A$2:$E$38,5,FALSE)+VLOOKUP($E668&amp;$C668,生产方式定位!$F$3:$J$38,5,FALSE),"错误")</f>
        <v>错误</v>
      </c>
      <c r="Y668" s="26" t="str">
        <f t="shared" si="192"/>
        <v/>
      </c>
      <c r="Z668" s="36" t="str">
        <f t="shared" si="193"/>
        <v/>
      </c>
      <c r="AA668" s="36" t="str">
        <f t="shared" si="194"/>
        <v/>
      </c>
      <c r="AB668" s="27" t="str">
        <f t="shared" si="195"/>
        <v/>
      </c>
      <c r="AC668" s="2" t="e">
        <f t="shared" si="196"/>
        <v>#VALUE!</v>
      </c>
      <c r="AD668" s="37">
        <f t="shared" si="197"/>
        <v>5</v>
      </c>
      <c r="AE668" t="str">
        <f t="shared" si="198"/>
        <v/>
      </c>
      <c r="AF668" t="str">
        <f t="shared" si="199"/>
        <v/>
      </c>
      <c r="AG668" t="str">
        <f t="shared" si="200"/>
        <v/>
      </c>
      <c r="AH668" t="str">
        <f t="shared" si="201"/>
        <v/>
      </c>
      <c r="AI668" t="str">
        <f t="shared" si="202"/>
        <v/>
      </c>
      <c r="AJ668" t="str">
        <f t="shared" si="203"/>
        <v/>
      </c>
      <c r="AK668" t="str">
        <f t="shared" si="204"/>
        <v/>
      </c>
      <c r="AL668" t="str">
        <f>IFERROR(ROUND(L668*(G668/$AU668)/VLOOKUP(F668,商品!$A$4:$B$60,2,FALSE),0),"")</f>
        <v/>
      </c>
      <c r="AM668" t="str">
        <f>IFERROR(ROUND(L668*(I668/$AU668)/VLOOKUP(H668,商品!$A$4:$B$60,2,FALSE),0),"")</f>
        <v/>
      </c>
      <c r="AN668">
        <f>IFERROR(ROUND(L668*(J668/$AU668)/VLOOKUP("运力",商品!$A$4:$B$60,2,FALSE),0),0)</f>
        <v>0</v>
      </c>
      <c r="AO668">
        <f>IFERROR(ROUND(L668*(K668/$AU668)/VLOOKUP("交易",商品!$A$4:$B$60,2,FALSE),0),0)</f>
        <v>0</v>
      </c>
      <c r="AP668" t="str">
        <f>IFERROR(ROUND(S668*(N668/$AV668)/VLOOKUP(M668,职业!$A$4:$G$16,4,FALSE),0),"")</f>
        <v/>
      </c>
      <c r="AQ668" t="str">
        <f>IFERROR(ROUND(S668*(P668/$AV668)/VLOOKUP(O668,职业!$A$4:$G$16,4,FALSE),0),"")</f>
        <v/>
      </c>
      <c r="AR668" t="str">
        <f>IFERROR(ROUND(S668*(R668/$AV668)/VLOOKUP(Q668,职业!$A$4:$G$16,4,FALSE),0),"")</f>
        <v/>
      </c>
      <c r="AS668" t="str">
        <f>IFERROR(ROUND(X668*(U668/$AW668)/VLOOKUP(T668,商品!$A$4:$B$60,2,FALSE),0),"")</f>
        <v/>
      </c>
      <c r="AT668" t="str">
        <f>IFERROR(ROUND(X668*(W668/$AW668)/VLOOKUP(V668,商品!$A$4:$B$60,2,FALSE),0),"")</f>
        <v/>
      </c>
      <c r="AU668">
        <f t="shared" si="205"/>
        <v>0</v>
      </c>
      <c r="AV668">
        <f t="shared" si="206"/>
        <v>0</v>
      </c>
      <c r="AW668">
        <f t="shared" si="207"/>
        <v>0</v>
      </c>
    </row>
    <row r="669" spans="1:49" ht="19.95" customHeight="1" x14ac:dyDescent="0.25">
      <c r="A669" s="15" t="s">
        <v>322</v>
      </c>
      <c r="C669" s="15">
        <v>1</v>
      </c>
      <c r="D669" s="23" t="s">
        <v>174</v>
      </c>
      <c r="E669" s="23" t="s">
        <v>179</v>
      </c>
      <c r="L669" s="16">
        <f>IFERROR(VLOOKUP($D669&amp;$C669,生产方式定位!$A$2:$E$38,2,FALSE)+VLOOKUP($E669&amp;$C669,生产方式定位!$F$3:$J$38,2,FALSE),0)</f>
        <v>0</v>
      </c>
      <c r="S669" s="16">
        <f>IFERROR(VLOOKUP($D669&amp;$C669,生产方式定位!$A$2:$E$38,3,FALSE)+VLOOKUP($E669&amp;$C669,生产方式定位!$F$3:$J$38,3,FALSE),0)</f>
        <v>100</v>
      </c>
      <c r="X669" s="16">
        <f>IFERROR(VLOOKUP($D669&amp;$C669,生产方式定位!$A$2:$E$38,5,FALSE)+VLOOKUP($E669&amp;$C669,生产方式定位!$F$3:$J$38,5,FALSE),"错误")</f>
        <v>100</v>
      </c>
      <c r="Y669" s="26" t="str">
        <f t="shared" si="192"/>
        <v/>
      </c>
      <c r="Z669" s="36" t="str">
        <f t="shared" si="193"/>
        <v/>
      </c>
      <c r="AA669" s="36" t="str">
        <f t="shared" si="194"/>
        <v/>
      </c>
      <c r="AB669" s="27" t="str">
        <f t="shared" si="195"/>
        <v/>
      </c>
      <c r="AC669" s="2" t="str">
        <f t="shared" si="196"/>
        <v/>
      </c>
      <c r="AD669" s="38">
        <f t="shared" si="197"/>
        <v>1</v>
      </c>
      <c r="AE669" t="str">
        <f t="shared" si="198"/>
        <v/>
      </c>
      <c r="AF669" t="str">
        <f t="shared" si="199"/>
        <v/>
      </c>
      <c r="AG669" t="str">
        <f t="shared" si="200"/>
        <v/>
      </c>
      <c r="AH669" t="str">
        <f t="shared" si="201"/>
        <v/>
      </c>
      <c r="AI669" t="str">
        <f t="shared" si="202"/>
        <v/>
      </c>
      <c r="AJ669" t="str">
        <f t="shared" si="203"/>
        <v/>
      </c>
      <c r="AK669" t="str">
        <f t="shared" si="204"/>
        <v/>
      </c>
      <c r="AL669" t="str">
        <f>IFERROR(ROUND(L669*(G669/$AU669)/VLOOKUP(F669,商品!$A$4:$B$60,2,FALSE),0),"")</f>
        <v/>
      </c>
      <c r="AM669" t="str">
        <f>IFERROR(ROUND(L669*(I669/$AU669)/VLOOKUP(H669,商品!$A$4:$B$60,2,FALSE),0),"")</f>
        <v/>
      </c>
      <c r="AN669">
        <f>IFERROR(ROUND(L669*(J669/$AU669)/VLOOKUP("运力",商品!$A$4:$B$60,2,FALSE),0),0)</f>
        <v>0</v>
      </c>
      <c r="AO669">
        <f>IFERROR(ROUND(L669*(K669/$AU669)/VLOOKUP("交易",商品!$A$4:$B$60,2,FALSE),0),0)</f>
        <v>0</v>
      </c>
      <c r="AP669" t="str">
        <f>IFERROR(ROUND(S669*(N669/$AV669)/VLOOKUP(M669,职业!$A$4:$G$16,4,FALSE),0),"")</f>
        <v/>
      </c>
      <c r="AQ669" t="str">
        <f>IFERROR(ROUND(S669*(P669/$AV669)/VLOOKUP(O669,职业!$A$4:$G$16,4,FALSE),0),"")</f>
        <v/>
      </c>
      <c r="AR669" t="str">
        <f>IFERROR(ROUND(S669*(R669/$AV669)/VLOOKUP(Q669,职业!$A$4:$G$16,4,FALSE),0),"")</f>
        <v/>
      </c>
      <c r="AS669" t="str">
        <f>IFERROR(ROUND(X669*(U669/$AW669)/VLOOKUP(T669,商品!$A$4:$B$60,2,FALSE),0),"")</f>
        <v/>
      </c>
      <c r="AT669" t="str">
        <f>IFERROR(ROUND(X669*(W669/$AW669)/VLOOKUP(V669,商品!$A$4:$B$60,2,FALSE),0),"")</f>
        <v/>
      </c>
      <c r="AU669">
        <f t="shared" si="205"/>
        <v>0</v>
      </c>
      <c r="AV669">
        <f t="shared" si="206"/>
        <v>0</v>
      </c>
      <c r="AW669">
        <f t="shared" si="207"/>
        <v>0</v>
      </c>
    </row>
    <row r="670" spans="1:49" ht="19.95" customHeight="1" x14ac:dyDescent="0.25">
      <c r="A670" s="15" t="s">
        <v>322</v>
      </c>
      <c r="C670" s="15">
        <v>2</v>
      </c>
      <c r="D670" s="23" t="s">
        <v>174</v>
      </c>
      <c r="E670" s="23" t="s">
        <v>179</v>
      </c>
      <c r="L670" s="16">
        <f>IFERROR(VLOOKUP($D670&amp;$C670,生产方式定位!$A$2:$E$38,2,FALSE)+VLOOKUP($E670&amp;$C670,生产方式定位!$F$3:$J$38,2,FALSE),0)</f>
        <v>0</v>
      </c>
      <c r="S670" s="16">
        <f>IFERROR(VLOOKUP($D670&amp;$C670,生产方式定位!$A$2:$E$38,3,FALSE)+VLOOKUP($E670&amp;$C670,生产方式定位!$F$3:$J$38,3,FALSE),0)</f>
        <v>100</v>
      </c>
      <c r="X670" s="16">
        <f>IFERROR(VLOOKUP($D670&amp;$C670,生产方式定位!$A$2:$E$38,5,FALSE)+VLOOKUP($E670&amp;$C670,生产方式定位!$F$3:$J$38,5,FALSE),"错误")</f>
        <v>100</v>
      </c>
      <c r="Y670" s="26" t="str">
        <f t="shared" si="192"/>
        <v/>
      </c>
      <c r="Z670" s="36" t="str">
        <f t="shared" si="193"/>
        <v/>
      </c>
      <c r="AA670" s="36" t="str">
        <f t="shared" si="194"/>
        <v/>
      </c>
      <c r="AB670" s="27" t="str">
        <f t="shared" si="195"/>
        <v/>
      </c>
      <c r="AC670" s="2" t="str">
        <f t="shared" si="196"/>
        <v/>
      </c>
      <c r="AD670" s="38">
        <f t="shared" si="197"/>
        <v>2</v>
      </c>
      <c r="AE670" t="str">
        <f t="shared" si="198"/>
        <v/>
      </c>
      <c r="AF670" t="str">
        <f t="shared" si="199"/>
        <v/>
      </c>
      <c r="AG670" t="str">
        <f t="shared" si="200"/>
        <v/>
      </c>
      <c r="AH670" t="str">
        <f t="shared" si="201"/>
        <v/>
      </c>
      <c r="AI670" t="str">
        <f t="shared" si="202"/>
        <v/>
      </c>
      <c r="AJ670" t="str">
        <f t="shared" si="203"/>
        <v/>
      </c>
      <c r="AK670" t="str">
        <f t="shared" si="204"/>
        <v/>
      </c>
      <c r="AL670" t="str">
        <f>IFERROR(ROUND(L670*(G670/$AU670)/VLOOKUP(F670,商品!$A$4:$B$60,2,FALSE),0),"")</f>
        <v/>
      </c>
      <c r="AM670" t="str">
        <f>IFERROR(ROUND(L670*(I670/$AU670)/VLOOKUP(H670,商品!$A$4:$B$60,2,FALSE),0),"")</f>
        <v/>
      </c>
      <c r="AN670">
        <f>IFERROR(ROUND(L670*(J670/$AU670)/VLOOKUP("运力",商品!$A$4:$B$60,2,FALSE),0),0)</f>
        <v>0</v>
      </c>
      <c r="AO670">
        <f>IFERROR(ROUND(L670*(K670/$AU670)/VLOOKUP("交易",商品!$A$4:$B$60,2,FALSE),0),0)</f>
        <v>0</v>
      </c>
      <c r="AP670" t="str">
        <f>IFERROR(ROUND(S670*(N670/$AV670)/VLOOKUP(M670,职业!$A$4:$G$16,4,FALSE),0),"")</f>
        <v/>
      </c>
      <c r="AQ670" t="str">
        <f>IFERROR(ROUND(S670*(P670/$AV670)/VLOOKUP(O670,职业!$A$4:$G$16,4,FALSE),0),"")</f>
        <v/>
      </c>
      <c r="AR670" t="str">
        <f>IFERROR(ROUND(S670*(R670/$AV670)/VLOOKUP(Q670,职业!$A$4:$G$16,4,FALSE),0),"")</f>
        <v/>
      </c>
      <c r="AS670" t="str">
        <f>IFERROR(ROUND(X670*(U670/$AW670)/VLOOKUP(T670,商品!$A$4:$B$60,2,FALSE),0),"")</f>
        <v/>
      </c>
      <c r="AT670" t="str">
        <f>IFERROR(ROUND(X670*(W670/$AW670)/VLOOKUP(V670,商品!$A$4:$B$60,2,FALSE),0),"")</f>
        <v/>
      </c>
      <c r="AU670">
        <f t="shared" si="205"/>
        <v>0</v>
      </c>
      <c r="AV670">
        <f t="shared" si="206"/>
        <v>0</v>
      </c>
      <c r="AW670">
        <f t="shared" si="207"/>
        <v>0</v>
      </c>
    </row>
    <row r="671" spans="1:49" ht="19.95" customHeight="1" x14ac:dyDescent="0.25">
      <c r="A671" s="15" t="s">
        <v>322</v>
      </c>
      <c r="C671" s="15">
        <v>3</v>
      </c>
      <c r="D671" s="23" t="s">
        <v>174</v>
      </c>
      <c r="E671" s="23" t="s">
        <v>179</v>
      </c>
      <c r="L671" s="16">
        <f>IFERROR(VLOOKUP($D671&amp;$C671,生产方式定位!$A$2:$E$38,2,FALSE)+VLOOKUP($E671&amp;$C671,生产方式定位!$F$3:$J$38,2,FALSE),0)</f>
        <v>0</v>
      </c>
      <c r="S671" s="16">
        <f>IFERROR(VLOOKUP($D671&amp;$C671,生产方式定位!$A$2:$E$38,3,FALSE)+VLOOKUP($E671&amp;$C671,生产方式定位!$F$3:$J$38,3,FALSE),0)</f>
        <v>100</v>
      </c>
      <c r="X671" s="16">
        <f>IFERROR(VLOOKUP($D671&amp;$C671,生产方式定位!$A$2:$E$38,5,FALSE)+VLOOKUP($E671&amp;$C671,生产方式定位!$F$3:$J$38,5,FALSE),"错误")</f>
        <v>100</v>
      </c>
      <c r="Y671" s="26" t="str">
        <f t="shared" si="192"/>
        <v/>
      </c>
      <c r="Z671" s="36" t="str">
        <f t="shared" si="193"/>
        <v/>
      </c>
      <c r="AA671" s="36" t="str">
        <f t="shared" si="194"/>
        <v/>
      </c>
      <c r="AB671" s="27" t="str">
        <f t="shared" si="195"/>
        <v/>
      </c>
      <c r="AC671" s="2" t="str">
        <f t="shared" si="196"/>
        <v/>
      </c>
      <c r="AD671" s="38">
        <f t="shared" si="197"/>
        <v>3</v>
      </c>
      <c r="AE671" t="str">
        <f t="shared" si="198"/>
        <v/>
      </c>
      <c r="AF671" t="str">
        <f t="shared" si="199"/>
        <v/>
      </c>
      <c r="AG671" t="str">
        <f t="shared" si="200"/>
        <v/>
      </c>
      <c r="AH671" t="str">
        <f t="shared" si="201"/>
        <v/>
      </c>
      <c r="AI671" t="str">
        <f t="shared" si="202"/>
        <v/>
      </c>
      <c r="AJ671" t="str">
        <f t="shared" si="203"/>
        <v/>
      </c>
      <c r="AK671" t="str">
        <f t="shared" si="204"/>
        <v/>
      </c>
      <c r="AL671" t="str">
        <f>IFERROR(ROUND(L671*(G671/$AU671)/VLOOKUP(F671,商品!$A$4:$B$60,2,FALSE),0),"")</f>
        <v/>
      </c>
      <c r="AM671" t="str">
        <f>IFERROR(ROUND(L671*(I671/$AU671)/VLOOKUP(H671,商品!$A$4:$B$60,2,FALSE),0),"")</f>
        <v/>
      </c>
      <c r="AN671">
        <f>IFERROR(ROUND(L671*(J671/$AU671)/VLOOKUP("运力",商品!$A$4:$B$60,2,FALSE),0),0)</f>
        <v>0</v>
      </c>
      <c r="AO671">
        <f>IFERROR(ROUND(L671*(K671/$AU671)/VLOOKUP("交易",商品!$A$4:$B$60,2,FALSE),0),0)</f>
        <v>0</v>
      </c>
      <c r="AP671" t="str">
        <f>IFERROR(ROUND(S671*(N671/$AV671)/VLOOKUP(M671,职业!$A$4:$G$16,4,FALSE),0),"")</f>
        <v/>
      </c>
      <c r="AQ671" t="str">
        <f>IFERROR(ROUND(S671*(P671/$AV671)/VLOOKUP(O671,职业!$A$4:$G$16,4,FALSE),0),"")</f>
        <v/>
      </c>
      <c r="AR671" t="str">
        <f>IFERROR(ROUND(S671*(R671/$AV671)/VLOOKUP(Q671,职业!$A$4:$G$16,4,FALSE),0),"")</f>
        <v/>
      </c>
      <c r="AS671" t="str">
        <f>IFERROR(ROUND(X671*(U671/$AW671)/VLOOKUP(T671,商品!$A$4:$B$60,2,FALSE),0),"")</f>
        <v/>
      </c>
      <c r="AT671" t="str">
        <f>IFERROR(ROUND(X671*(W671/$AW671)/VLOOKUP(V671,商品!$A$4:$B$60,2,FALSE),0),"")</f>
        <v/>
      </c>
      <c r="AU671">
        <f t="shared" si="205"/>
        <v>0</v>
      </c>
      <c r="AV671">
        <f t="shared" si="206"/>
        <v>0</v>
      </c>
      <c r="AW671">
        <f t="shared" si="207"/>
        <v>0</v>
      </c>
    </row>
    <row r="672" spans="1:49" ht="19.95" customHeight="1" x14ac:dyDescent="0.25">
      <c r="A672" s="15" t="s">
        <v>322</v>
      </c>
      <c r="C672" s="15">
        <v>4</v>
      </c>
      <c r="D672" s="23" t="s">
        <v>174</v>
      </c>
      <c r="E672" s="23" t="s">
        <v>179</v>
      </c>
      <c r="L672" s="16">
        <f>IFERROR(VLOOKUP($D672&amp;$C672,生产方式定位!$A$2:$E$38,2,FALSE)+VLOOKUP($E672&amp;$C672,生产方式定位!$F$3:$J$38,2,FALSE),0)</f>
        <v>0</v>
      </c>
      <c r="S672" s="16">
        <f>IFERROR(VLOOKUP($D672&amp;$C672,生产方式定位!$A$2:$E$38,3,FALSE)+VLOOKUP($E672&amp;$C672,生产方式定位!$F$3:$J$38,3,FALSE),0)</f>
        <v>100</v>
      </c>
      <c r="X672" s="16">
        <f>IFERROR(VLOOKUP($D672&amp;$C672,生产方式定位!$A$2:$E$38,5,FALSE)+VLOOKUP($E672&amp;$C672,生产方式定位!$F$3:$J$38,5,FALSE),"错误")</f>
        <v>100</v>
      </c>
      <c r="Y672" s="26" t="str">
        <f t="shared" si="192"/>
        <v/>
      </c>
      <c r="Z672" s="36" t="str">
        <f t="shared" si="193"/>
        <v/>
      </c>
      <c r="AA672" s="36" t="str">
        <f t="shared" si="194"/>
        <v/>
      </c>
      <c r="AB672" s="27" t="str">
        <f t="shared" si="195"/>
        <v/>
      </c>
      <c r="AC672" s="2" t="str">
        <f t="shared" si="196"/>
        <v/>
      </c>
      <c r="AD672" s="38">
        <f t="shared" si="197"/>
        <v>4</v>
      </c>
      <c r="AE672" t="str">
        <f t="shared" si="198"/>
        <v/>
      </c>
      <c r="AF672" t="str">
        <f t="shared" si="199"/>
        <v/>
      </c>
      <c r="AG672" t="str">
        <f t="shared" si="200"/>
        <v/>
      </c>
      <c r="AH672" t="str">
        <f t="shared" si="201"/>
        <v/>
      </c>
      <c r="AI672" t="str">
        <f t="shared" si="202"/>
        <v/>
      </c>
      <c r="AJ672" t="str">
        <f t="shared" si="203"/>
        <v/>
      </c>
      <c r="AK672" t="str">
        <f t="shared" si="204"/>
        <v/>
      </c>
      <c r="AL672" t="str">
        <f>IFERROR(ROUND(L672*(G672/$AU672)/VLOOKUP(F672,商品!$A$4:$B$60,2,FALSE),0),"")</f>
        <v/>
      </c>
      <c r="AM672" t="str">
        <f>IFERROR(ROUND(L672*(I672/$AU672)/VLOOKUP(H672,商品!$A$4:$B$60,2,FALSE),0),"")</f>
        <v/>
      </c>
      <c r="AN672">
        <f>IFERROR(ROUND(L672*(J672/$AU672)/VLOOKUP("运力",商品!$A$4:$B$60,2,FALSE),0),0)</f>
        <v>0</v>
      </c>
      <c r="AO672">
        <f>IFERROR(ROUND(L672*(K672/$AU672)/VLOOKUP("交易",商品!$A$4:$B$60,2,FALSE),0),0)</f>
        <v>0</v>
      </c>
      <c r="AP672" t="str">
        <f>IFERROR(ROUND(S672*(N672/$AV672)/VLOOKUP(M672,职业!$A$4:$G$16,4,FALSE),0),"")</f>
        <v/>
      </c>
      <c r="AQ672" t="str">
        <f>IFERROR(ROUND(S672*(P672/$AV672)/VLOOKUP(O672,职业!$A$4:$G$16,4,FALSE),0),"")</f>
        <v/>
      </c>
      <c r="AR672" t="str">
        <f>IFERROR(ROUND(S672*(R672/$AV672)/VLOOKUP(Q672,职业!$A$4:$G$16,4,FALSE),0),"")</f>
        <v/>
      </c>
      <c r="AS672" t="str">
        <f>IFERROR(ROUND(X672*(U672/$AW672)/VLOOKUP(T672,商品!$A$4:$B$60,2,FALSE),0),"")</f>
        <v/>
      </c>
      <c r="AT672" t="str">
        <f>IFERROR(ROUND(X672*(W672/$AW672)/VLOOKUP(V672,商品!$A$4:$B$60,2,FALSE),0),"")</f>
        <v/>
      </c>
      <c r="AU672">
        <f t="shared" si="205"/>
        <v>0</v>
      </c>
      <c r="AV672">
        <f t="shared" si="206"/>
        <v>0</v>
      </c>
      <c r="AW672">
        <f t="shared" si="207"/>
        <v>0</v>
      </c>
    </row>
    <row r="673" spans="1:49" ht="19.95" customHeight="1" x14ac:dyDescent="0.25">
      <c r="A673" s="15" t="s">
        <v>322</v>
      </c>
      <c r="C673" s="15">
        <v>5</v>
      </c>
      <c r="D673" s="23" t="s">
        <v>174</v>
      </c>
      <c r="E673" s="23" t="s">
        <v>179</v>
      </c>
      <c r="L673" s="16">
        <f>IFERROR(VLOOKUP($D673&amp;$C673,生产方式定位!$A$2:$E$38,2,FALSE)+VLOOKUP($E673&amp;$C673,生产方式定位!$F$3:$J$38,2,FALSE),0)</f>
        <v>0</v>
      </c>
      <c r="S673" s="16">
        <f>IFERROR(VLOOKUP($D673&amp;$C673,生产方式定位!$A$2:$E$38,3,FALSE)+VLOOKUP($E673&amp;$C673,生产方式定位!$F$3:$J$38,3,FALSE),0)</f>
        <v>100</v>
      </c>
      <c r="X673" s="16">
        <f>IFERROR(VLOOKUP($D673&amp;$C673,生产方式定位!$A$2:$E$38,5,FALSE)+VLOOKUP($E673&amp;$C673,生产方式定位!$F$3:$J$38,5,FALSE),"错误")</f>
        <v>100</v>
      </c>
      <c r="Y673" s="26" t="str">
        <f t="shared" si="192"/>
        <v/>
      </c>
      <c r="Z673" s="36" t="str">
        <f t="shared" si="193"/>
        <v/>
      </c>
      <c r="AA673" s="36" t="str">
        <f t="shared" si="194"/>
        <v/>
      </c>
      <c r="AB673" s="27" t="str">
        <f t="shared" si="195"/>
        <v/>
      </c>
      <c r="AC673" s="2" t="str">
        <f t="shared" si="196"/>
        <v/>
      </c>
      <c r="AD673" s="38">
        <f t="shared" si="197"/>
        <v>5</v>
      </c>
      <c r="AE673" t="str">
        <f t="shared" si="198"/>
        <v/>
      </c>
      <c r="AF673" t="str">
        <f t="shared" si="199"/>
        <v/>
      </c>
      <c r="AG673" t="str">
        <f t="shared" si="200"/>
        <v/>
      </c>
      <c r="AH673" t="str">
        <f t="shared" si="201"/>
        <v/>
      </c>
      <c r="AI673" t="str">
        <f t="shared" si="202"/>
        <v/>
      </c>
      <c r="AJ673" t="str">
        <f t="shared" si="203"/>
        <v/>
      </c>
      <c r="AK673" t="str">
        <f t="shared" si="204"/>
        <v/>
      </c>
      <c r="AL673" t="str">
        <f>IFERROR(ROUND(L673*(G673/$AU673)/VLOOKUP(F673,商品!$A$4:$B$60,2,FALSE),0),"")</f>
        <v/>
      </c>
      <c r="AM673" t="str">
        <f>IFERROR(ROUND(L673*(I673/$AU673)/VLOOKUP(H673,商品!$A$4:$B$60,2,FALSE),0),"")</f>
        <v/>
      </c>
      <c r="AN673">
        <f>IFERROR(ROUND(L673*(J673/$AU673)/VLOOKUP("运力",商品!$A$4:$B$60,2,FALSE),0),0)</f>
        <v>0</v>
      </c>
      <c r="AO673">
        <f>IFERROR(ROUND(L673*(K673/$AU673)/VLOOKUP("交易",商品!$A$4:$B$60,2,FALSE),0),0)</f>
        <v>0</v>
      </c>
      <c r="AP673" t="str">
        <f>IFERROR(ROUND(S673*(N673/$AV673)/VLOOKUP(M673,职业!$A$4:$G$16,4,FALSE),0),"")</f>
        <v/>
      </c>
      <c r="AQ673" t="str">
        <f>IFERROR(ROUND(S673*(P673/$AV673)/VLOOKUP(O673,职业!$A$4:$G$16,4,FALSE),0),"")</f>
        <v/>
      </c>
      <c r="AR673" t="str">
        <f>IFERROR(ROUND(S673*(R673/$AV673)/VLOOKUP(Q673,职业!$A$4:$G$16,4,FALSE),0),"")</f>
        <v/>
      </c>
      <c r="AS673" t="str">
        <f>IFERROR(ROUND(X673*(U673/$AW673)/VLOOKUP(T673,商品!$A$4:$B$60,2,FALSE),0),"")</f>
        <v/>
      </c>
      <c r="AT673" t="str">
        <f>IFERROR(ROUND(X673*(W673/$AW673)/VLOOKUP(V673,商品!$A$4:$B$60,2,FALSE),0),"")</f>
        <v/>
      </c>
      <c r="AU673">
        <f t="shared" si="205"/>
        <v>0</v>
      </c>
      <c r="AV673">
        <f t="shared" si="206"/>
        <v>0</v>
      </c>
      <c r="AW673">
        <f t="shared" si="207"/>
        <v>0</v>
      </c>
    </row>
    <row r="674" spans="1:49" ht="19.95" customHeight="1" x14ac:dyDescent="0.25">
      <c r="A674" s="15" t="s">
        <v>322</v>
      </c>
      <c r="C674" s="15">
        <v>6</v>
      </c>
      <c r="D674" s="23" t="s">
        <v>174</v>
      </c>
      <c r="E674" s="23" t="s">
        <v>179</v>
      </c>
      <c r="L674" s="16">
        <f>IFERROR(VLOOKUP($D674&amp;$C674,生产方式定位!$A$2:$E$38,2,FALSE)+VLOOKUP($E674&amp;$C674,生产方式定位!$F$3:$J$38,2,FALSE),0)</f>
        <v>0</v>
      </c>
      <c r="S674" s="16">
        <f>IFERROR(VLOOKUP($D674&amp;$C674,生产方式定位!$A$2:$E$38,3,FALSE)+VLOOKUP($E674&amp;$C674,生产方式定位!$F$3:$J$38,3,FALSE),0)</f>
        <v>100</v>
      </c>
      <c r="X674" s="16">
        <f>IFERROR(VLOOKUP($D674&amp;$C674,生产方式定位!$A$2:$E$38,5,FALSE)+VLOOKUP($E674&amp;$C674,生产方式定位!$F$3:$J$38,5,FALSE),"错误")</f>
        <v>100</v>
      </c>
      <c r="Y674" s="26" t="str">
        <f t="shared" si="192"/>
        <v/>
      </c>
      <c r="Z674" s="36" t="str">
        <f t="shared" si="193"/>
        <v/>
      </c>
      <c r="AA674" s="36" t="str">
        <f t="shared" si="194"/>
        <v/>
      </c>
      <c r="AB674" s="27" t="str">
        <f t="shared" si="195"/>
        <v/>
      </c>
      <c r="AC674" s="2" t="str">
        <f t="shared" si="196"/>
        <v/>
      </c>
      <c r="AD674" s="37">
        <f t="shared" si="197"/>
        <v>6</v>
      </c>
      <c r="AE674" t="str">
        <f t="shared" si="198"/>
        <v/>
      </c>
      <c r="AF674" t="str">
        <f t="shared" si="199"/>
        <v/>
      </c>
      <c r="AG674" t="str">
        <f t="shared" si="200"/>
        <v/>
      </c>
      <c r="AH674" t="str">
        <f t="shared" si="201"/>
        <v/>
      </c>
      <c r="AI674" t="str">
        <f t="shared" si="202"/>
        <v/>
      </c>
      <c r="AJ674" t="str">
        <f t="shared" si="203"/>
        <v/>
      </c>
      <c r="AK674" t="str">
        <f t="shared" si="204"/>
        <v/>
      </c>
      <c r="AL674" t="str">
        <f>IFERROR(ROUND(L674*(G674/$AU674)/VLOOKUP(F674,商品!$A$4:$B$60,2,FALSE),0),"")</f>
        <v/>
      </c>
      <c r="AM674" t="str">
        <f>IFERROR(ROUND(L674*(I674/$AU674)/VLOOKUP(H674,商品!$A$4:$B$60,2,FALSE),0),"")</f>
        <v/>
      </c>
      <c r="AN674">
        <f>IFERROR(ROUND(L674*(J674/$AU674)/VLOOKUP("运力",商品!$A$4:$B$60,2,FALSE),0),0)</f>
        <v>0</v>
      </c>
      <c r="AO674">
        <f>IFERROR(ROUND(L674*(K674/$AU674)/VLOOKUP("交易",商品!$A$4:$B$60,2,FALSE),0),0)</f>
        <v>0</v>
      </c>
      <c r="AP674" t="str">
        <f>IFERROR(ROUND(S674*(N674/$AV674)/VLOOKUP(M674,职业!$A$4:$G$16,4,FALSE),0),"")</f>
        <v/>
      </c>
      <c r="AQ674" t="str">
        <f>IFERROR(ROUND(S674*(P674/$AV674)/VLOOKUP(O674,职业!$A$4:$G$16,4,FALSE),0),"")</f>
        <v/>
      </c>
      <c r="AR674" t="str">
        <f>IFERROR(ROUND(S674*(R674/$AV674)/VLOOKUP(Q674,职业!$A$4:$G$16,4,FALSE),0),"")</f>
        <v/>
      </c>
      <c r="AS674" t="str">
        <f>IFERROR(ROUND(X674*(U674/$AW674)/VLOOKUP(T674,商品!$A$4:$B$60,2,FALSE),0),"")</f>
        <v/>
      </c>
      <c r="AT674" t="str">
        <f>IFERROR(ROUND(X674*(W674/$AW674)/VLOOKUP(V674,商品!$A$4:$B$60,2,FALSE),0),"")</f>
        <v/>
      </c>
      <c r="AU674">
        <f t="shared" si="205"/>
        <v>0</v>
      </c>
      <c r="AV674">
        <f t="shared" si="206"/>
        <v>0</v>
      </c>
      <c r="AW674">
        <f t="shared" si="207"/>
        <v>0</v>
      </c>
    </row>
    <row r="675" spans="1:49" ht="19.95" customHeight="1" x14ac:dyDescent="0.25">
      <c r="A675" s="15" t="s">
        <v>322</v>
      </c>
      <c r="C675" s="15">
        <v>7</v>
      </c>
      <c r="D675" s="23" t="s">
        <v>174</v>
      </c>
      <c r="E675" s="23" t="s">
        <v>179</v>
      </c>
      <c r="L675" s="16">
        <f>IFERROR(VLOOKUP($D675&amp;$C675,生产方式定位!$A$2:$E$38,2,FALSE)+VLOOKUP($E675&amp;$C675,生产方式定位!$F$3:$J$38,2,FALSE),0)</f>
        <v>0</v>
      </c>
      <c r="S675" s="16">
        <f>IFERROR(VLOOKUP($D675&amp;$C675,生产方式定位!$A$2:$E$38,3,FALSE)+VLOOKUP($E675&amp;$C675,生产方式定位!$F$3:$J$38,3,FALSE),0)</f>
        <v>100</v>
      </c>
      <c r="X675" s="16">
        <f>IFERROR(VLOOKUP($D675&amp;$C675,生产方式定位!$A$2:$E$38,5,FALSE)+VLOOKUP($E675&amp;$C675,生产方式定位!$F$3:$J$38,5,FALSE),"错误")</f>
        <v>100</v>
      </c>
      <c r="Y675" s="26" t="str">
        <f t="shared" si="192"/>
        <v/>
      </c>
      <c r="Z675" s="36" t="str">
        <f t="shared" si="193"/>
        <v/>
      </c>
      <c r="AA675" s="36" t="str">
        <f t="shared" si="194"/>
        <v/>
      </c>
      <c r="AB675" s="27" t="str">
        <f t="shared" si="195"/>
        <v/>
      </c>
      <c r="AC675" s="2" t="str">
        <f t="shared" si="196"/>
        <v/>
      </c>
      <c r="AD675" s="37">
        <f t="shared" si="197"/>
        <v>7</v>
      </c>
      <c r="AE675" t="str">
        <f t="shared" si="198"/>
        <v/>
      </c>
      <c r="AF675" t="str">
        <f t="shared" si="199"/>
        <v/>
      </c>
      <c r="AG675" t="str">
        <f t="shared" si="200"/>
        <v/>
      </c>
      <c r="AH675" t="str">
        <f t="shared" si="201"/>
        <v/>
      </c>
      <c r="AI675" t="str">
        <f t="shared" si="202"/>
        <v/>
      </c>
      <c r="AJ675" t="str">
        <f t="shared" si="203"/>
        <v/>
      </c>
      <c r="AK675" t="str">
        <f t="shared" si="204"/>
        <v/>
      </c>
      <c r="AL675" t="str">
        <f>IFERROR(ROUND(L675*(G675/$AU675)/VLOOKUP(F675,商品!$A$4:$B$60,2,FALSE),0),"")</f>
        <v/>
      </c>
      <c r="AM675" t="str">
        <f>IFERROR(ROUND(L675*(I675/$AU675)/VLOOKUP(H675,商品!$A$4:$B$60,2,FALSE),0),"")</f>
        <v/>
      </c>
      <c r="AN675">
        <f>IFERROR(ROUND(L675*(J675/$AU675)/VLOOKUP("运力",商品!$A$4:$B$60,2,FALSE),0),0)</f>
        <v>0</v>
      </c>
      <c r="AO675">
        <f>IFERROR(ROUND(L675*(K675/$AU675)/VLOOKUP("交易",商品!$A$4:$B$60,2,FALSE),0),0)</f>
        <v>0</v>
      </c>
      <c r="AP675" t="str">
        <f>IFERROR(ROUND(S675*(N675/$AV675)/VLOOKUP(M675,职业!$A$4:$G$16,4,FALSE),0),"")</f>
        <v/>
      </c>
      <c r="AQ675" t="str">
        <f>IFERROR(ROUND(S675*(P675/$AV675)/VLOOKUP(O675,职业!$A$4:$G$16,4,FALSE),0),"")</f>
        <v/>
      </c>
      <c r="AR675" t="str">
        <f>IFERROR(ROUND(S675*(R675/$AV675)/VLOOKUP(Q675,职业!$A$4:$G$16,4,FALSE),0),"")</f>
        <v/>
      </c>
      <c r="AS675" t="str">
        <f>IFERROR(ROUND(X675*(U675/$AW675)/VLOOKUP(T675,商品!$A$4:$B$60,2,FALSE),0),"")</f>
        <v/>
      </c>
      <c r="AT675" t="str">
        <f>IFERROR(ROUND(X675*(W675/$AW675)/VLOOKUP(V675,商品!$A$4:$B$60,2,FALSE),0),"")</f>
        <v/>
      </c>
      <c r="AU675">
        <f t="shared" si="205"/>
        <v>0</v>
      </c>
      <c r="AV675">
        <f t="shared" si="206"/>
        <v>0</v>
      </c>
      <c r="AW675">
        <f t="shared" si="207"/>
        <v>0</v>
      </c>
    </row>
    <row r="676" spans="1:49" ht="19.95" customHeight="1" x14ac:dyDescent="0.25">
      <c r="A676" s="15" t="s">
        <v>322</v>
      </c>
      <c r="C676" s="15">
        <v>8</v>
      </c>
      <c r="D676" s="23" t="s">
        <v>174</v>
      </c>
      <c r="E676" s="23" t="s">
        <v>179</v>
      </c>
      <c r="L676" s="16">
        <f>IFERROR(VLOOKUP($D676&amp;$C676,生产方式定位!$A$2:$E$38,2,FALSE)+VLOOKUP($E676&amp;$C676,生产方式定位!$F$3:$J$38,2,FALSE),0)</f>
        <v>0</v>
      </c>
      <c r="S676" s="16">
        <f>IFERROR(VLOOKUP($D676&amp;$C676,生产方式定位!$A$2:$E$38,3,FALSE)+VLOOKUP($E676&amp;$C676,生产方式定位!$F$3:$J$38,3,FALSE),0)</f>
        <v>100</v>
      </c>
      <c r="X676" s="16">
        <f>IFERROR(VLOOKUP($D676&amp;$C676,生产方式定位!$A$2:$E$38,5,FALSE)+VLOOKUP($E676&amp;$C676,生产方式定位!$F$3:$J$38,5,FALSE),"错误")</f>
        <v>100</v>
      </c>
      <c r="Y676" s="26" t="str">
        <f t="shared" si="192"/>
        <v/>
      </c>
      <c r="Z676" s="36" t="str">
        <f t="shared" si="193"/>
        <v/>
      </c>
      <c r="AA676" s="36" t="str">
        <f t="shared" si="194"/>
        <v/>
      </c>
      <c r="AB676" s="27" t="str">
        <f t="shared" si="195"/>
        <v/>
      </c>
      <c r="AC676" s="2" t="str">
        <f t="shared" si="196"/>
        <v/>
      </c>
      <c r="AD676" s="37">
        <f t="shared" si="197"/>
        <v>8</v>
      </c>
      <c r="AE676" t="str">
        <f t="shared" si="198"/>
        <v/>
      </c>
      <c r="AF676" t="str">
        <f t="shared" si="199"/>
        <v/>
      </c>
      <c r="AG676" t="str">
        <f t="shared" si="200"/>
        <v/>
      </c>
      <c r="AH676" t="str">
        <f t="shared" si="201"/>
        <v/>
      </c>
      <c r="AI676" t="str">
        <f t="shared" si="202"/>
        <v/>
      </c>
      <c r="AJ676" t="str">
        <f t="shared" si="203"/>
        <v/>
      </c>
      <c r="AK676" t="str">
        <f t="shared" si="204"/>
        <v/>
      </c>
      <c r="AL676" t="str">
        <f>IFERROR(ROUND(L676*(G676/$AU676)/VLOOKUP(F676,商品!$A$4:$B$60,2,FALSE),0),"")</f>
        <v/>
      </c>
      <c r="AM676" t="str">
        <f>IFERROR(ROUND(L676*(I676/$AU676)/VLOOKUP(H676,商品!$A$4:$B$60,2,FALSE),0),"")</f>
        <v/>
      </c>
      <c r="AN676">
        <f>IFERROR(ROUND(L676*(J676/$AU676)/VLOOKUP("运力",商品!$A$4:$B$60,2,FALSE),0),0)</f>
        <v>0</v>
      </c>
      <c r="AO676">
        <f>IFERROR(ROUND(L676*(K676/$AU676)/VLOOKUP("交易",商品!$A$4:$B$60,2,FALSE),0),0)</f>
        <v>0</v>
      </c>
      <c r="AP676" t="str">
        <f>IFERROR(ROUND(S676*(N676/$AV676)/VLOOKUP(M676,职业!$A$4:$G$16,4,FALSE),0),"")</f>
        <v/>
      </c>
      <c r="AQ676" t="str">
        <f>IFERROR(ROUND(S676*(P676/$AV676)/VLOOKUP(O676,职业!$A$4:$G$16,4,FALSE),0),"")</f>
        <v/>
      </c>
      <c r="AR676" t="str">
        <f>IFERROR(ROUND(S676*(R676/$AV676)/VLOOKUP(Q676,职业!$A$4:$G$16,4,FALSE),0),"")</f>
        <v/>
      </c>
      <c r="AS676" t="str">
        <f>IFERROR(ROUND(X676*(U676/$AW676)/VLOOKUP(T676,商品!$A$4:$B$60,2,FALSE),0),"")</f>
        <v/>
      </c>
      <c r="AT676" t="str">
        <f>IFERROR(ROUND(X676*(W676/$AW676)/VLOOKUP(V676,商品!$A$4:$B$60,2,FALSE),0),"")</f>
        <v/>
      </c>
      <c r="AU676">
        <f t="shared" si="205"/>
        <v>0</v>
      </c>
      <c r="AV676">
        <f t="shared" si="206"/>
        <v>0</v>
      </c>
      <c r="AW676">
        <f t="shared" si="207"/>
        <v>0</v>
      </c>
    </row>
    <row r="677" spans="1:49" ht="19.95" customHeight="1" x14ac:dyDescent="0.25">
      <c r="A677" s="16" t="s">
        <v>324</v>
      </c>
      <c r="C677" s="16">
        <v>1</v>
      </c>
      <c r="D677" s="23" t="s">
        <v>312</v>
      </c>
      <c r="E677" s="23" t="s">
        <v>172</v>
      </c>
      <c r="L677" s="15">
        <f>IFERROR(VLOOKUP($D677&amp;$C677,生产方式定位!$A$2:$E$38,2,FALSE)+VLOOKUP($E677&amp;$C677,生产方式定位!$F$3:$J$38,2,FALSE),0)</f>
        <v>0</v>
      </c>
      <c r="S677" s="15">
        <f>IFERROR(VLOOKUP($D677&amp;$C677,生产方式定位!$A$2:$E$38,3,FALSE)+VLOOKUP($E677&amp;$C677,生产方式定位!$F$3:$J$38,3,FALSE),0)</f>
        <v>100</v>
      </c>
      <c r="X677" s="15">
        <f>IFERROR(VLOOKUP($D677&amp;$C677,生产方式定位!$A$2:$E$38,5,FALSE)+VLOOKUP($E677&amp;$C677,生产方式定位!$F$3:$J$38,5,FALSE),"错误")</f>
        <v>500</v>
      </c>
      <c r="Y677" s="26" t="str">
        <f t="shared" si="192"/>
        <v/>
      </c>
      <c r="Z677" s="36" t="str">
        <f t="shared" si="193"/>
        <v/>
      </c>
      <c r="AA677" s="36" t="str">
        <f t="shared" si="194"/>
        <v/>
      </c>
      <c r="AB677" s="27" t="str">
        <f t="shared" si="195"/>
        <v/>
      </c>
      <c r="AC677" s="2">
        <f t="shared" si="196"/>
        <v>400</v>
      </c>
      <c r="AD677" s="37">
        <f t="shared" si="197"/>
        <v>1</v>
      </c>
      <c r="AE677" t="str">
        <f t="shared" si="198"/>
        <v/>
      </c>
      <c r="AF677" t="str">
        <f t="shared" si="199"/>
        <v/>
      </c>
      <c r="AG677" t="str">
        <f t="shared" si="200"/>
        <v/>
      </c>
      <c r="AH677" t="str">
        <f t="shared" si="201"/>
        <v/>
      </c>
      <c r="AI677" t="str">
        <f t="shared" si="202"/>
        <v/>
      </c>
      <c r="AJ677" t="str">
        <f t="shared" si="203"/>
        <v/>
      </c>
      <c r="AK677" t="str">
        <f t="shared" si="204"/>
        <v/>
      </c>
      <c r="AL677" t="str">
        <f>IFERROR(ROUND(L677*(G677/$AU677)/VLOOKUP(F677,商品!$A$4:$B$60,2,FALSE),0),"")</f>
        <v/>
      </c>
      <c r="AM677" t="str">
        <f>IFERROR(ROUND(L677*(I677/$AU677)/VLOOKUP(H677,商品!$A$4:$B$60,2,FALSE),0),"")</f>
        <v/>
      </c>
      <c r="AN677">
        <f>IFERROR(ROUND(L677*(J677/$AU677)/VLOOKUP("运力",商品!$A$4:$B$60,2,FALSE),0),0)</f>
        <v>0</v>
      </c>
      <c r="AO677">
        <f>IFERROR(ROUND(L677*(K677/$AU677)/VLOOKUP("交易",商品!$A$4:$B$60,2,FALSE),0),0)</f>
        <v>0</v>
      </c>
      <c r="AP677" t="str">
        <f>IFERROR(ROUND(S677*(N677/$AV677)/VLOOKUP(M677,职业!$A$4:$G$16,4,FALSE),0),"")</f>
        <v/>
      </c>
      <c r="AQ677" t="str">
        <f>IFERROR(ROUND(S677*(P677/$AV677)/VLOOKUP(O677,职业!$A$4:$G$16,4,FALSE),0),"")</f>
        <v/>
      </c>
      <c r="AR677" t="str">
        <f>IFERROR(ROUND(S677*(R677/$AV677)/VLOOKUP(Q677,职业!$A$4:$G$16,4,FALSE),0),"")</f>
        <v/>
      </c>
      <c r="AS677" t="str">
        <f>IFERROR(ROUND(X677*(U677/$AW677)/VLOOKUP(T677,商品!$A$4:$B$60,2,FALSE),0),"")</f>
        <v/>
      </c>
      <c r="AT677" t="str">
        <f>IFERROR(ROUND(X677*(W677/$AW677)/VLOOKUP(V677,商品!$A$4:$B$60,2,FALSE),0),"")</f>
        <v/>
      </c>
      <c r="AU677">
        <f t="shared" si="205"/>
        <v>0</v>
      </c>
      <c r="AV677">
        <f t="shared" si="206"/>
        <v>0</v>
      </c>
      <c r="AW677">
        <f t="shared" si="207"/>
        <v>0</v>
      </c>
    </row>
    <row r="678" spans="1:49" ht="19.95" customHeight="1" x14ac:dyDescent="0.25">
      <c r="A678" s="16" t="s">
        <v>324</v>
      </c>
      <c r="C678" s="16">
        <v>2</v>
      </c>
      <c r="D678" s="23" t="s">
        <v>312</v>
      </c>
      <c r="E678" s="23" t="s">
        <v>172</v>
      </c>
      <c r="L678" s="15">
        <f>IFERROR(VLOOKUP($D678&amp;$C678,生产方式定位!$A$2:$E$38,2,FALSE)+VLOOKUP($E678&amp;$C678,生产方式定位!$F$3:$J$38,2,FALSE),0)</f>
        <v>1300</v>
      </c>
      <c r="S678" s="15">
        <f>IFERROR(VLOOKUP($D678&amp;$C678,生产方式定位!$A$2:$E$38,3,FALSE)+VLOOKUP($E678&amp;$C678,生产方式定位!$F$3:$J$38,3,FALSE),0)</f>
        <v>100</v>
      </c>
      <c r="X678" s="15">
        <f>IFERROR(VLOOKUP($D678&amp;$C678,生产方式定位!$A$2:$E$38,5,FALSE)+VLOOKUP($E678&amp;$C678,生产方式定位!$F$3:$J$38,5,FALSE),"错误")</f>
        <v>1860</v>
      </c>
      <c r="Y678" s="26" t="str">
        <f t="shared" si="192"/>
        <v/>
      </c>
      <c r="Z678" s="36" t="str">
        <f t="shared" si="193"/>
        <v/>
      </c>
      <c r="AA678" s="36" t="str">
        <f t="shared" si="194"/>
        <v/>
      </c>
      <c r="AB678" s="27" t="str">
        <f t="shared" si="195"/>
        <v>43%</v>
      </c>
      <c r="AC678" s="2">
        <f t="shared" si="196"/>
        <v>460</v>
      </c>
      <c r="AD678" s="37">
        <f t="shared" si="197"/>
        <v>2</v>
      </c>
      <c r="AE678" t="str">
        <f t="shared" si="198"/>
        <v/>
      </c>
      <c r="AF678" t="str">
        <f t="shared" si="199"/>
        <v/>
      </c>
      <c r="AG678" t="str">
        <f t="shared" si="200"/>
        <v/>
      </c>
      <c r="AH678" t="str">
        <f t="shared" si="201"/>
        <v/>
      </c>
      <c r="AI678" t="str">
        <f t="shared" si="202"/>
        <v/>
      </c>
      <c r="AJ678" t="str">
        <f t="shared" si="203"/>
        <v/>
      </c>
      <c r="AK678" t="str">
        <f t="shared" si="204"/>
        <v/>
      </c>
      <c r="AL678" t="str">
        <f>IFERROR(ROUND(L678*(G678/$AU678)/VLOOKUP(F678,商品!$A$4:$B$60,2,FALSE),0),"")</f>
        <v/>
      </c>
      <c r="AM678" t="str">
        <f>IFERROR(ROUND(L678*(I678/$AU678)/VLOOKUP(H678,商品!$A$4:$B$60,2,FALSE),0),"")</f>
        <v/>
      </c>
      <c r="AN678">
        <f>IFERROR(ROUND(L678*(J678/$AU678)/VLOOKUP("运力",商品!$A$4:$B$60,2,FALSE),0),0)</f>
        <v>0</v>
      </c>
      <c r="AO678">
        <f>IFERROR(ROUND(L678*(K678/$AU678)/VLOOKUP("交易",商品!$A$4:$B$60,2,FALSE),0),0)</f>
        <v>0</v>
      </c>
      <c r="AP678" t="str">
        <f>IFERROR(ROUND(S678*(N678/$AV678)/VLOOKUP(M678,职业!$A$4:$G$16,4,FALSE),0),"")</f>
        <v/>
      </c>
      <c r="AQ678" t="str">
        <f>IFERROR(ROUND(S678*(P678/$AV678)/VLOOKUP(O678,职业!$A$4:$G$16,4,FALSE),0),"")</f>
        <v/>
      </c>
      <c r="AR678" t="str">
        <f>IFERROR(ROUND(S678*(R678/$AV678)/VLOOKUP(Q678,职业!$A$4:$G$16,4,FALSE),0),"")</f>
        <v/>
      </c>
      <c r="AS678" t="str">
        <f>IFERROR(ROUND(X678*(U678/$AW678)/VLOOKUP(T678,商品!$A$4:$B$60,2,FALSE),0),"")</f>
        <v/>
      </c>
      <c r="AT678" t="str">
        <f>IFERROR(ROUND(X678*(W678/$AW678)/VLOOKUP(V678,商品!$A$4:$B$60,2,FALSE),0),"")</f>
        <v/>
      </c>
      <c r="AU678">
        <f t="shared" si="205"/>
        <v>0</v>
      </c>
      <c r="AV678">
        <f t="shared" si="206"/>
        <v>0</v>
      </c>
      <c r="AW678">
        <f t="shared" si="207"/>
        <v>0</v>
      </c>
    </row>
    <row r="679" spans="1:49" ht="19.95" customHeight="1" x14ac:dyDescent="0.25">
      <c r="A679" s="16" t="s">
        <v>324</v>
      </c>
      <c r="C679" s="16">
        <v>3</v>
      </c>
      <c r="D679" s="23" t="s">
        <v>312</v>
      </c>
      <c r="E679" s="23" t="s">
        <v>172</v>
      </c>
      <c r="L679" s="15">
        <f>IFERROR(VLOOKUP($D679&amp;$C679,生产方式定位!$A$2:$E$38,2,FALSE)+VLOOKUP($E679&amp;$C679,生产方式定位!$F$3:$J$38,2,FALSE),0)</f>
        <v>2225</v>
      </c>
      <c r="S679" s="15">
        <f>IFERROR(VLOOKUP($D679&amp;$C679,生产方式定位!$A$2:$E$38,3,FALSE)+VLOOKUP($E679&amp;$C679,生产方式定位!$F$3:$J$38,3,FALSE),0)</f>
        <v>100</v>
      </c>
      <c r="X679" s="15">
        <f>IFERROR(VLOOKUP($D679&amp;$C679,生产方式定位!$A$2:$E$38,5,FALSE)+VLOOKUP($E679&amp;$C679,生产方式定位!$F$3:$J$38,5,FALSE),"错误")</f>
        <v>3130</v>
      </c>
      <c r="Y679" s="26" t="str">
        <f t="shared" si="192"/>
        <v/>
      </c>
      <c r="Z679" s="36" t="str">
        <f t="shared" si="193"/>
        <v/>
      </c>
      <c r="AA679" s="36" t="str">
        <f t="shared" si="194"/>
        <v/>
      </c>
      <c r="AB679" s="27" t="str">
        <f t="shared" si="195"/>
        <v>41%</v>
      </c>
      <c r="AC679" s="2">
        <f t="shared" si="196"/>
        <v>805</v>
      </c>
      <c r="AD679" s="38">
        <f t="shared" si="197"/>
        <v>3</v>
      </c>
      <c r="AE679" t="str">
        <f t="shared" si="198"/>
        <v/>
      </c>
      <c r="AF679" t="str">
        <f t="shared" si="199"/>
        <v/>
      </c>
      <c r="AG679" t="str">
        <f t="shared" si="200"/>
        <v/>
      </c>
      <c r="AH679" t="str">
        <f t="shared" si="201"/>
        <v/>
      </c>
      <c r="AI679" t="str">
        <f t="shared" si="202"/>
        <v/>
      </c>
      <c r="AJ679" t="str">
        <f t="shared" si="203"/>
        <v/>
      </c>
      <c r="AK679" t="str">
        <f t="shared" si="204"/>
        <v/>
      </c>
      <c r="AL679" t="str">
        <f>IFERROR(ROUND(L679*(G679/$AU679)/VLOOKUP(F679,商品!$A$4:$B$60,2,FALSE),0),"")</f>
        <v/>
      </c>
      <c r="AM679" t="str">
        <f>IFERROR(ROUND(L679*(I679/$AU679)/VLOOKUP(H679,商品!$A$4:$B$60,2,FALSE),0),"")</f>
        <v/>
      </c>
      <c r="AN679">
        <f>IFERROR(ROUND(L679*(J679/$AU679)/VLOOKUP("运力",商品!$A$4:$B$60,2,FALSE),0),0)</f>
        <v>0</v>
      </c>
      <c r="AO679">
        <f>IFERROR(ROUND(L679*(K679/$AU679)/VLOOKUP("交易",商品!$A$4:$B$60,2,FALSE),0),0)</f>
        <v>0</v>
      </c>
      <c r="AP679" t="str">
        <f>IFERROR(ROUND(S679*(N679/$AV679)/VLOOKUP(M679,职业!$A$4:$G$16,4,FALSE),0),"")</f>
        <v/>
      </c>
      <c r="AQ679" t="str">
        <f>IFERROR(ROUND(S679*(P679/$AV679)/VLOOKUP(O679,职业!$A$4:$G$16,4,FALSE),0),"")</f>
        <v/>
      </c>
      <c r="AR679" t="str">
        <f>IFERROR(ROUND(S679*(R679/$AV679)/VLOOKUP(Q679,职业!$A$4:$G$16,4,FALSE),0),"")</f>
        <v/>
      </c>
      <c r="AS679" t="str">
        <f>IFERROR(ROUND(X679*(U679/$AW679)/VLOOKUP(T679,商品!$A$4:$B$60,2,FALSE),0),"")</f>
        <v/>
      </c>
      <c r="AT679" t="str">
        <f>IFERROR(ROUND(X679*(W679/$AW679)/VLOOKUP(V679,商品!$A$4:$B$60,2,FALSE),0),"")</f>
        <v/>
      </c>
      <c r="AU679">
        <f t="shared" si="205"/>
        <v>0</v>
      </c>
      <c r="AV679">
        <f t="shared" si="206"/>
        <v>0</v>
      </c>
      <c r="AW679">
        <f t="shared" si="207"/>
        <v>0</v>
      </c>
    </row>
    <row r="680" spans="1:49" ht="19.95" customHeight="1" x14ac:dyDescent="0.25">
      <c r="A680" s="16" t="s">
        <v>324</v>
      </c>
      <c r="C680" s="16">
        <v>4</v>
      </c>
      <c r="D680" s="23" t="s">
        <v>312</v>
      </c>
      <c r="E680" s="23" t="s">
        <v>172</v>
      </c>
      <c r="L680" s="15">
        <f>IFERROR(VLOOKUP($D680&amp;$C680,生产方式定位!$A$2:$E$38,2,FALSE)+VLOOKUP($E680&amp;$C680,生产方式定位!$F$3:$J$38,2,FALSE),0)</f>
        <v>3150</v>
      </c>
      <c r="S680" s="15">
        <f>IFERROR(VLOOKUP($D680&amp;$C680,生产方式定位!$A$2:$E$38,3,FALSE)+VLOOKUP($E680&amp;$C680,生产方式定位!$F$3:$J$38,3,FALSE),0)</f>
        <v>100</v>
      </c>
      <c r="X680" s="15">
        <f>IFERROR(VLOOKUP($D680&amp;$C680,生产方式定位!$A$2:$E$38,5,FALSE)+VLOOKUP($E680&amp;$C680,生产方式定位!$F$3:$J$38,5,FALSE),"错误")</f>
        <v>4400</v>
      </c>
      <c r="Y680" s="26" t="str">
        <f t="shared" si="192"/>
        <v/>
      </c>
      <c r="Z680" s="36" t="str">
        <f t="shared" si="193"/>
        <v/>
      </c>
      <c r="AA680" s="36" t="str">
        <f t="shared" si="194"/>
        <v/>
      </c>
      <c r="AB680" s="27" t="str">
        <f t="shared" si="195"/>
        <v>40%</v>
      </c>
      <c r="AC680" s="2">
        <f t="shared" si="196"/>
        <v>1150</v>
      </c>
      <c r="AD680" s="38">
        <f t="shared" si="197"/>
        <v>4</v>
      </c>
      <c r="AE680" t="str">
        <f t="shared" si="198"/>
        <v/>
      </c>
      <c r="AF680" t="str">
        <f t="shared" si="199"/>
        <v/>
      </c>
      <c r="AG680" t="str">
        <f t="shared" si="200"/>
        <v/>
      </c>
      <c r="AH680" t="str">
        <f t="shared" si="201"/>
        <v/>
      </c>
      <c r="AI680" t="str">
        <f t="shared" si="202"/>
        <v/>
      </c>
      <c r="AJ680" t="str">
        <f t="shared" si="203"/>
        <v/>
      </c>
      <c r="AK680" t="str">
        <f t="shared" si="204"/>
        <v/>
      </c>
      <c r="AL680" t="str">
        <f>IFERROR(ROUND(L680*(G680/$AU680)/VLOOKUP(F680,商品!$A$4:$B$60,2,FALSE),0),"")</f>
        <v/>
      </c>
      <c r="AM680" t="str">
        <f>IFERROR(ROUND(L680*(I680/$AU680)/VLOOKUP(H680,商品!$A$4:$B$60,2,FALSE),0),"")</f>
        <v/>
      </c>
      <c r="AN680">
        <f>IFERROR(ROUND(L680*(J680/$AU680)/VLOOKUP("运力",商品!$A$4:$B$60,2,FALSE),0),0)</f>
        <v>0</v>
      </c>
      <c r="AO680">
        <f>IFERROR(ROUND(L680*(K680/$AU680)/VLOOKUP("交易",商品!$A$4:$B$60,2,FALSE),0),0)</f>
        <v>0</v>
      </c>
      <c r="AP680" t="str">
        <f>IFERROR(ROUND(S680*(N680/$AV680)/VLOOKUP(M680,职业!$A$4:$G$16,4,FALSE),0),"")</f>
        <v/>
      </c>
      <c r="AQ680" t="str">
        <f>IFERROR(ROUND(S680*(P680/$AV680)/VLOOKUP(O680,职业!$A$4:$G$16,4,FALSE),0),"")</f>
        <v/>
      </c>
      <c r="AR680" t="str">
        <f>IFERROR(ROUND(S680*(R680/$AV680)/VLOOKUP(Q680,职业!$A$4:$G$16,4,FALSE),0),"")</f>
        <v/>
      </c>
      <c r="AS680" t="str">
        <f>IFERROR(ROUND(X680*(U680/$AW680)/VLOOKUP(T680,商品!$A$4:$B$60,2,FALSE),0),"")</f>
        <v/>
      </c>
      <c r="AT680" t="str">
        <f>IFERROR(ROUND(X680*(W680/$AW680)/VLOOKUP(V680,商品!$A$4:$B$60,2,FALSE),0),"")</f>
        <v/>
      </c>
      <c r="AU680">
        <f t="shared" si="205"/>
        <v>0</v>
      </c>
      <c r="AV680">
        <f t="shared" si="206"/>
        <v>0</v>
      </c>
      <c r="AW680">
        <f t="shared" si="207"/>
        <v>0</v>
      </c>
    </row>
    <row r="681" spans="1:49" ht="19.95" customHeight="1" x14ac:dyDescent="0.25">
      <c r="A681" s="16" t="s">
        <v>324</v>
      </c>
      <c r="C681" s="16">
        <v>5</v>
      </c>
      <c r="D681" s="23" t="s">
        <v>312</v>
      </c>
      <c r="E681" s="23" t="s">
        <v>172</v>
      </c>
      <c r="L681" s="15">
        <f>IFERROR(VLOOKUP($D681&amp;$C681,生产方式定位!$A$2:$E$38,2,FALSE)+VLOOKUP($E681&amp;$C681,生产方式定位!$F$3:$J$38,2,FALSE),0)</f>
        <v>4075</v>
      </c>
      <c r="S681" s="15">
        <f>IFERROR(VLOOKUP($D681&amp;$C681,生产方式定位!$A$2:$E$38,3,FALSE)+VLOOKUP($E681&amp;$C681,生产方式定位!$F$3:$J$38,3,FALSE),0)</f>
        <v>100</v>
      </c>
      <c r="X681" s="15">
        <f>IFERROR(VLOOKUP($D681&amp;$C681,生产方式定位!$A$2:$E$38,5,FALSE)+VLOOKUP($E681&amp;$C681,生产方式定位!$F$3:$J$38,5,FALSE),"错误")</f>
        <v>5670</v>
      </c>
      <c r="Y681" s="26" t="str">
        <f t="shared" si="192"/>
        <v/>
      </c>
      <c r="Z681" s="36" t="str">
        <f t="shared" si="193"/>
        <v/>
      </c>
      <c r="AA681" s="36" t="str">
        <f t="shared" si="194"/>
        <v/>
      </c>
      <c r="AB681" s="27" t="str">
        <f t="shared" si="195"/>
        <v>39%</v>
      </c>
      <c r="AC681" s="2">
        <f t="shared" si="196"/>
        <v>1495</v>
      </c>
      <c r="AD681" s="38">
        <f t="shared" si="197"/>
        <v>5</v>
      </c>
      <c r="AE681" t="str">
        <f t="shared" si="198"/>
        <v/>
      </c>
      <c r="AF681" t="str">
        <f t="shared" si="199"/>
        <v/>
      </c>
      <c r="AG681" t="str">
        <f t="shared" si="200"/>
        <v/>
      </c>
      <c r="AH681" t="str">
        <f t="shared" si="201"/>
        <v/>
      </c>
      <c r="AI681" t="str">
        <f t="shared" si="202"/>
        <v/>
      </c>
      <c r="AJ681" t="str">
        <f t="shared" si="203"/>
        <v/>
      </c>
      <c r="AK681" t="str">
        <f t="shared" si="204"/>
        <v/>
      </c>
      <c r="AL681" t="str">
        <f>IFERROR(ROUND(L681*(G681/$AU681)/VLOOKUP(F681,商品!$A$4:$B$60,2,FALSE),0),"")</f>
        <v/>
      </c>
      <c r="AM681" t="str">
        <f>IFERROR(ROUND(L681*(I681/$AU681)/VLOOKUP(H681,商品!$A$4:$B$60,2,FALSE),0),"")</f>
        <v/>
      </c>
      <c r="AN681">
        <f>IFERROR(ROUND(L681*(J681/$AU681)/VLOOKUP("运力",商品!$A$4:$B$60,2,FALSE),0),0)</f>
        <v>0</v>
      </c>
      <c r="AO681">
        <f>IFERROR(ROUND(L681*(K681/$AU681)/VLOOKUP("交易",商品!$A$4:$B$60,2,FALSE),0),0)</f>
        <v>0</v>
      </c>
      <c r="AP681" t="str">
        <f>IFERROR(ROUND(S681*(N681/$AV681)/VLOOKUP(M681,职业!$A$4:$G$16,4,FALSE),0),"")</f>
        <v/>
      </c>
      <c r="AQ681" t="str">
        <f>IFERROR(ROUND(S681*(P681/$AV681)/VLOOKUP(O681,职业!$A$4:$G$16,4,FALSE),0),"")</f>
        <v/>
      </c>
      <c r="AR681" t="str">
        <f>IFERROR(ROUND(S681*(R681/$AV681)/VLOOKUP(Q681,职业!$A$4:$G$16,4,FALSE),0),"")</f>
        <v/>
      </c>
      <c r="AS681" t="str">
        <f>IFERROR(ROUND(X681*(U681/$AW681)/VLOOKUP(T681,商品!$A$4:$B$60,2,FALSE),0),"")</f>
        <v/>
      </c>
      <c r="AT681" t="str">
        <f>IFERROR(ROUND(X681*(W681/$AW681)/VLOOKUP(V681,商品!$A$4:$B$60,2,FALSE),0),"")</f>
        <v/>
      </c>
      <c r="AU681">
        <f t="shared" si="205"/>
        <v>0</v>
      </c>
      <c r="AV681">
        <f t="shared" si="206"/>
        <v>0</v>
      </c>
      <c r="AW681">
        <f t="shared" si="207"/>
        <v>0</v>
      </c>
    </row>
    <row r="682" spans="1:49" ht="19.95" customHeight="1" x14ac:dyDescent="0.25">
      <c r="A682" s="15" t="s">
        <v>325</v>
      </c>
      <c r="C682" s="15">
        <v>1</v>
      </c>
      <c r="D682" s="23" t="s">
        <v>312</v>
      </c>
      <c r="E682" s="23" t="s">
        <v>193</v>
      </c>
      <c r="L682" s="16">
        <f>IFERROR(VLOOKUP($D682&amp;$C682,生产方式定位!$A$2:$E$38,2,FALSE)+VLOOKUP($E682&amp;$C682,生产方式定位!$F$3:$J$38,2,FALSE),0)</f>
        <v>0</v>
      </c>
      <c r="S682" s="16">
        <f>IFERROR(VLOOKUP($D682&amp;$C682,生产方式定位!$A$2:$E$38,3,FALSE)+VLOOKUP($E682&amp;$C682,生产方式定位!$F$3:$J$38,3,FALSE),0)</f>
        <v>100</v>
      </c>
      <c r="X682" s="16">
        <f>IFERROR(VLOOKUP($D682&amp;$C682,生产方式定位!$A$2:$E$38,5,FALSE)+VLOOKUP($E682&amp;$C682,生产方式定位!$F$3:$J$38,5,FALSE),"错误")</f>
        <v>500</v>
      </c>
      <c r="Y682" s="26" t="str">
        <f t="shared" si="192"/>
        <v/>
      </c>
      <c r="Z682" s="36" t="str">
        <f t="shared" si="193"/>
        <v/>
      </c>
      <c r="AA682" s="36" t="str">
        <f t="shared" si="194"/>
        <v/>
      </c>
      <c r="AB682" s="27" t="str">
        <f t="shared" si="195"/>
        <v/>
      </c>
      <c r="AC682" s="2">
        <f t="shared" si="196"/>
        <v>400</v>
      </c>
      <c r="AD682" s="38">
        <f t="shared" si="197"/>
        <v>1</v>
      </c>
      <c r="AE682" t="str">
        <f t="shared" si="198"/>
        <v/>
      </c>
      <c r="AF682" t="str">
        <f t="shared" si="199"/>
        <v/>
      </c>
      <c r="AG682" t="str">
        <f t="shared" si="200"/>
        <v/>
      </c>
      <c r="AH682" t="str">
        <f t="shared" si="201"/>
        <v/>
      </c>
      <c r="AI682" t="str">
        <f t="shared" si="202"/>
        <v/>
      </c>
      <c r="AJ682" t="str">
        <f t="shared" si="203"/>
        <v/>
      </c>
      <c r="AK682" t="str">
        <f t="shared" si="204"/>
        <v/>
      </c>
      <c r="AL682" t="str">
        <f>IFERROR(ROUND(L682*(G682/$AU682)/VLOOKUP(F682,商品!$A$4:$B$60,2,FALSE),0),"")</f>
        <v/>
      </c>
      <c r="AM682" t="str">
        <f>IFERROR(ROUND(L682*(I682/$AU682)/VLOOKUP(H682,商品!$A$4:$B$60,2,FALSE),0),"")</f>
        <v/>
      </c>
      <c r="AN682">
        <f>IFERROR(ROUND(L682*(J682/$AU682)/VLOOKUP("运力",商品!$A$4:$B$60,2,FALSE),0),0)</f>
        <v>0</v>
      </c>
      <c r="AO682">
        <f>IFERROR(ROUND(L682*(K682/$AU682)/VLOOKUP("交易",商品!$A$4:$B$60,2,FALSE),0),0)</f>
        <v>0</v>
      </c>
      <c r="AP682" t="str">
        <f>IFERROR(ROUND(S682*(N682/$AV682)/VLOOKUP(M682,职业!$A$4:$G$16,4,FALSE),0),"")</f>
        <v/>
      </c>
      <c r="AQ682" t="str">
        <f>IFERROR(ROUND(S682*(P682/$AV682)/VLOOKUP(O682,职业!$A$4:$G$16,4,FALSE),0),"")</f>
        <v/>
      </c>
      <c r="AR682" t="str">
        <f>IFERROR(ROUND(S682*(R682/$AV682)/VLOOKUP(Q682,职业!$A$4:$G$16,4,FALSE),0),"")</f>
        <v/>
      </c>
      <c r="AS682" t="str">
        <f>IFERROR(ROUND(X682*(U682/$AW682)/VLOOKUP(T682,商品!$A$4:$B$60,2,FALSE),0),"")</f>
        <v/>
      </c>
      <c r="AT682" t="str">
        <f>IFERROR(ROUND(X682*(W682/$AW682)/VLOOKUP(V682,商品!$A$4:$B$60,2,FALSE),0),"")</f>
        <v/>
      </c>
      <c r="AU682">
        <f t="shared" si="205"/>
        <v>0</v>
      </c>
      <c r="AV682">
        <f t="shared" si="206"/>
        <v>0</v>
      </c>
      <c r="AW682">
        <f t="shared" si="207"/>
        <v>0</v>
      </c>
    </row>
    <row r="683" spans="1:49" ht="19.95" customHeight="1" x14ac:dyDescent="0.25">
      <c r="A683" s="15" t="s">
        <v>325</v>
      </c>
      <c r="C683" s="15">
        <v>2</v>
      </c>
      <c r="D683" s="23" t="s">
        <v>312</v>
      </c>
      <c r="E683" s="23" t="s">
        <v>193</v>
      </c>
      <c r="L683" s="16">
        <f>IFERROR(VLOOKUP($D683&amp;$C683,生产方式定位!$A$2:$E$38,2,FALSE)+VLOOKUP($E683&amp;$C683,生产方式定位!$F$3:$J$38,2,FALSE),0)</f>
        <v>1200</v>
      </c>
      <c r="S683" s="16">
        <f>IFERROR(VLOOKUP($D683&amp;$C683,生产方式定位!$A$2:$E$38,3,FALSE)+VLOOKUP($E683&amp;$C683,生产方式定位!$F$3:$J$38,3,FALSE),0)</f>
        <v>5</v>
      </c>
      <c r="X683" s="16">
        <f>IFERROR(VLOOKUP($D683&amp;$C683,生产方式定位!$A$2:$E$38,5,FALSE)+VLOOKUP($E683&amp;$C683,生产方式定位!$F$3:$J$38,5,FALSE),"错误")</f>
        <v>1687</v>
      </c>
      <c r="Y683" s="26" t="str">
        <f t="shared" si="192"/>
        <v/>
      </c>
      <c r="Z683" s="36" t="str">
        <f t="shared" si="193"/>
        <v/>
      </c>
      <c r="AA683" s="36" t="str">
        <f t="shared" si="194"/>
        <v/>
      </c>
      <c r="AB683" s="27" t="str">
        <f t="shared" si="195"/>
        <v>41%</v>
      </c>
      <c r="AC683" s="2">
        <f t="shared" si="196"/>
        <v>482</v>
      </c>
      <c r="AD683" s="38">
        <f t="shared" si="197"/>
        <v>2</v>
      </c>
      <c r="AE683" t="str">
        <f t="shared" si="198"/>
        <v/>
      </c>
      <c r="AF683" t="str">
        <f t="shared" si="199"/>
        <v/>
      </c>
      <c r="AG683" t="str">
        <f t="shared" si="200"/>
        <v/>
      </c>
      <c r="AH683" t="str">
        <f t="shared" si="201"/>
        <v/>
      </c>
      <c r="AI683" t="str">
        <f t="shared" si="202"/>
        <v/>
      </c>
      <c r="AJ683" t="str">
        <f t="shared" si="203"/>
        <v/>
      </c>
      <c r="AK683" t="str">
        <f t="shared" si="204"/>
        <v/>
      </c>
      <c r="AL683" t="str">
        <f>IFERROR(ROUND(L683*(G683/$AU683)/VLOOKUP(F683,商品!$A$4:$B$60,2,FALSE),0),"")</f>
        <v/>
      </c>
      <c r="AM683" t="str">
        <f>IFERROR(ROUND(L683*(I683/$AU683)/VLOOKUP(H683,商品!$A$4:$B$60,2,FALSE),0),"")</f>
        <v/>
      </c>
      <c r="AN683">
        <f>IFERROR(ROUND(L683*(J683/$AU683)/VLOOKUP("运力",商品!$A$4:$B$60,2,FALSE),0),0)</f>
        <v>0</v>
      </c>
      <c r="AO683">
        <f>IFERROR(ROUND(L683*(K683/$AU683)/VLOOKUP("交易",商品!$A$4:$B$60,2,FALSE),0),0)</f>
        <v>0</v>
      </c>
      <c r="AP683" t="str">
        <f>IFERROR(ROUND(S683*(N683/$AV683)/VLOOKUP(M683,职业!$A$4:$G$16,4,FALSE),0),"")</f>
        <v/>
      </c>
      <c r="AQ683" t="str">
        <f>IFERROR(ROUND(S683*(P683/$AV683)/VLOOKUP(O683,职业!$A$4:$G$16,4,FALSE),0),"")</f>
        <v/>
      </c>
      <c r="AR683" t="str">
        <f>IFERROR(ROUND(S683*(R683/$AV683)/VLOOKUP(Q683,职业!$A$4:$G$16,4,FALSE),0),"")</f>
        <v/>
      </c>
      <c r="AS683" t="str">
        <f>IFERROR(ROUND(X683*(U683/$AW683)/VLOOKUP(T683,商品!$A$4:$B$60,2,FALSE),0),"")</f>
        <v/>
      </c>
      <c r="AT683" t="str">
        <f>IFERROR(ROUND(X683*(W683/$AW683)/VLOOKUP(V683,商品!$A$4:$B$60,2,FALSE),0),"")</f>
        <v/>
      </c>
      <c r="AU683">
        <f t="shared" si="205"/>
        <v>0</v>
      </c>
      <c r="AV683">
        <f t="shared" si="206"/>
        <v>0</v>
      </c>
      <c r="AW683">
        <f t="shared" si="207"/>
        <v>0</v>
      </c>
    </row>
    <row r="684" spans="1:49" ht="19.95" customHeight="1" x14ac:dyDescent="0.25">
      <c r="A684" s="15" t="s">
        <v>325</v>
      </c>
      <c r="C684" s="15">
        <v>3</v>
      </c>
      <c r="D684" s="23" t="s">
        <v>312</v>
      </c>
      <c r="E684" s="23" t="s">
        <v>193</v>
      </c>
      <c r="L684" s="16">
        <f>IFERROR(VLOOKUP($D684&amp;$C684,生产方式定位!$A$2:$E$38,2,FALSE)+VLOOKUP($E684&amp;$C684,生产方式定位!$F$3:$J$38,2,FALSE),0)</f>
        <v>2100</v>
      </c>
      <c r="S684" s="16">
        <f>IFERROR(VLOOKUP($D684&amp;$C684,生产方式定位!$A$2:$E$38,3,FALSE)+VLOOKUP($E684&amp;$C684,生产方式定位!$F$3:$J$38,3,FALSE),0)</f>
        <v>10</v>
      </c>
      <c r="X684" s="16">
        <f>IFERROR(VLOOKUP($D684&amp;$C684,生产方式定位!$A$2:$E$38,5,FALSE)+VLOOKUP($E684&amp;$C684,生产方式定位!$F$3:$J$38,5,FALSE),"错误")</f>
        <v>2954</v>
      </c>
      <c r="Y684" s="26" t="str">
        <f t="shared" ref="Y684:Y747" si="208">IF(AE684="","",AE684)&amp;IF(AF684="","",","&amp;AF684)&amp;IF(AN684=0,"",",运力*"&amp;AN684)&amp;IF(AO684=0,"",",交易*"&amp;AO684)</f>
        <v/>
      </c>
      <c r="Z684" s="36" t="str">
        <f t="shared" ref="Z684:Z747" si="209">IF(AG684="","",AG684)&amp;IF(AH684="","",","&amp;AH684)&amp;IF(AI684="","",","&amp;AI684)</f>
        <v/>
      </c>
      <c r="AA684" s="36" t="str">
        <f t="shared" ref="AA684:AA747" si="210">IF(AJ684="","",AJ684)&amp;IF(AK684="","",","&amp;AK684)</f>
        <v/>
      </c>
      <c r="AB684" s="27" t="str">
        <f t="shared" ref="AB684:AB747" si="211">IFERROR(ROUND(((X684/L684)-1)*100,0)&amp;"%","")</f>
        <v>41%</v>
      </c>
      <c r="AC684" s="2">
        <f t="shared" ref="AC684:AC747" si="212">IF(X684-S684-L684=0,"",X684-S684-L684)</f>
        <v>844</v>
      </c>
      <c r="AD684" s="38">
        <f t="shared" ref="AD684:AD747" si="213">C684</f>
        <v>3</v>
      </c>
      <c r="AE684" t="str">
        <f t="shared" ref="AE684:AE747" si="214">IF(AL684="","",F684&amp;"*"&amp;AL684)</f>
        <v/>
      </c>
      <c r="AF684" t="str">
        <f t="shared" ref="AF684:AF747" si="215">IF(AM684="","",H684&amp;"*"&amp;AM684)</f>
        <v/>
      </c>
      <c r="AG684" t="str">
        <f t="shared" ref="AG684:AG747" si="216">IF(AP684="","",M684&amp;"*"&amp;AP684)</f>
        <v/>
      </c>
      <c r="AH684" t="str">
        <f t="shared" ref="AH684:AH747" si="217">IF(AQ684="","",O684&amp;"*"&amp;AQ684)</f>
        <v/>
      </c>
      <c r="AI684" t="str">
        <f t="shared" ref="AI684:AI747" si="218">IF(AR684="","",Q684&amp;"*"&amp;AR684)</f>
        <v/>
      </c>
      <c r="AJ684" t="str">
        <f t="shared" ref="AJ684:AJ747" si="219">IF(AS684="","",T684&amp;"*"&amp;AS684)</f>
        <v/>
      </c>
      <c r="AK684" t="str">
        <f t="shared" ref="AK684:AK747" si="220">IF(AT684="","",V684&amp;"*"&amp;AT684)</f>
        <v/>
      </c>
      <c r="AL684" t="str">
        <f>IFERROR(ROUND(L684*(G684/$AU684)/VLOOKUP(F684,商品!$A$4:$B$60,2,FALSE),0),"")</f>
        <v/>
      </c>
      <c r="AM684" t="str">
        <f>IFERROR(ROUND(L684*(I684/$AU684)/VLOOKUP(H684,商品!$A$4:$B$60,2,FALSE),0),"")</f>
        <v/>
      </c>
      <c r="AN684">
        <f>IFERROR(ROUND(L684*(J684/$AU684)/VLOOKUP("运力",商品!$A$4:$B$60,2,FALSE),0),0)</f>
        <v>0</v>
      </c>
      <c r="AO684">
        <f>IFERROR(ROUND(L684*(K684/$AU684)/VLOOKUP("交易",商品!$A$4:$B$60,2,FALSE),0),0)</f>
        <v>0</v>
      </c>
      <c r="AP684" t="str">
        <f>IFERROR(ROUND(S684*(N684/$AV684)/VLOOKUP(M684,职业!$A$4:$G$16,4,FALSE),0),"")</f>
        <v/>
      </c>
      <c r="AQ684" t="str">
        <f>IFERROR(ROUND(S684*(P684/$AV684)/VLOOKUP(O684,职业!$A$4:$G$16,4,FALSE),0),"")</f>
        <v/>
      </c>
      <c r="AR684" t="str">
        <f>IFERROR(ROUND(S684*(R684/$AV684)/VLOOKUP(Q684,职业!$A$4:$G$16,4,FALSE),0),"")</f>
        <v/>
      </c>
      <c r="AS684" t="str">
        <f>IFERROR(ROUND(X684*(U684/$AW684)/VLOOKUP(T684,商品!$A$4:$B$60,2,FALSE),0),"")</f>
        <v/>
      </c>
      <c r="AT684" t="str">
        <f>IFERROR(ROUND(X684*(W684/$AW684)/VLOOKUP(V684,商品!$A$4:$B$60,2,FALSE),0),"")</f>
        <v/>
      </c>
      <c r="AU684">
        <f t="shared" ref="AU684:AU747" si="221">G684+I684+J684+K684</f>
        <v>0</v>
      </c>
      <c r="AV684">
        <f t="shared" ref="AV684:AV747" si="222">ABS(N684)+ABS(P684)+ABS(R684)</f>
        <v>0</v>
      </c>
      <c r="AW684">
        <f t="shared" ref="AW684:AW747" si="223">U684+W684</f>
        <v>0</v>
      </c>
    </row>
    <row r="685" spans="1:49" ht="19.95" customHeight="1" x14ac:dyDescent="0.25">
      <c r="A685" s="15" t="s">
        <v>325</v>
      </c>
      <c r="C685" s="15">
        <v>4</v>
      </c>
      <c r="D685" s="23" t="s">
        <v>312</v>
      </c>
      <c r="E685" s="23" t="s">
        <v>193</v>
      </c>
      <c r="L685" s="16">
        <f>IFERROR(VLOOKUP($D685&amp;$C685,生产方式定位!$A$2:$E$38,2,FALSE)+VLOOKUP($E685&amp;$C685,生产方式定位!$F$3:$J$38,2,FALSE),0)</f>
        <v>3000</v>
      </c>
      <c r="S685" s="16">
        <f>IFERROR(VLOOKUP($D685&amp;$C685,生产方式定位!$A$2:$E$38,3,FALSE)+VLOOKUP($E685&amp;$C685,生产方式定位!$F$3:$J$38,3,FALSE),0)</f>
        <v>15</v>
      </c>
      <c r="X685" s="16">
        <f>IFERROR(VLOOKUP($D685&amp;$C685,生产方式定位!$A$2:$E$38,5,FALSE)+VLOOKUP($E685&amp;$C685,生产方式定位!$F$3:$J$38,5,FALSE),"错误")</f>
        <v>4221</v>
      </c>
      <c r="Y685" s="26" t="str">
        <f t="shared" si="208"/>
        <v/>
      </c>
      <c r="Z685" s="36" t="str">
        <f t="shared" si="209"/>
        <v/>
      </c>
      <c r="AA685" s="36" t="str">
        <f t="shared" si="210"/>
        <v/>
      </c>
      <c r="AB685" s="27" t="str">
        <f t="shared" si="211"/>
        <v>41%</v>
      </c>
      <c r="AC685" s="2">
        <f t="shared" si="212"/>
        <v>1206</v>
      </c>
      <c r="AD685" s="38">
        <f t="shared" si="213"/>
        <v>4</v>
      </c>
      <c r="AE685" t="str">
        <f t="shared" si="214"/>
        <v/>
      </c>
      <c r="AF685" t="str">
        <f t="shared" si="215"/>
        <v/>
      </c>
      <c r="AG685" t="str">
        <f t="shared" si="216"/>
        <v/>
      </c>
      <c r="AH685" t="str">
        <f t="shared" si="217"/>
        <v/>
      </c>
      <c r="AI685" t="str">
        <f t="shared" si="218"/>
        <v/>
      </c>
      <c r="AJ685" t="str">
        <f t="shared" si="219"/>
        <v/>
      </c>
      <c r="AK685" t="str">
        <f t="shared" si="220"/>
        <v/>
      </c>
      <c r="AL685" t="str">
        <f>IFERROR(ROUND(L685*(G685/$AU685)/VLOOKUP(F685,商品!$A$4:$B$60,2,FALSE),0),"")</f>
        <v/>
      </c>
      <c r="AM685" t="str">
        <f>IFERROR(ROUND(L685*(I685/$AU685)/VLOOKUP(H685,商品!$A$4:$B$60,2,FALSE),0),"")</f>
        <v/>
      </c>
      <c r="AN685">
        <f>IFERROR(ROUND(L685*(J685/$AU685)/VLOOKUP("运力",商品!$A$4:$B$60,2,FALSE),0),0)</f>
        <v>0</v>
      </c>
      <c r="AO685">
        <f>IFERROR(ROUND(L685*(K685/$AU685)/VLOOKUP("交易",商品!$A$4:$B$60,2,FALSE),0),0)</f>
        <v>0</v>
      </c>
      <c r="AP685" t="str">
        <f>IFERROR(ROUND(S685*(N685/$AV685)/VLOOKUP(M685,职业!$A$4:$G$16,4,FALSE),0),"")</f>
        <v/>
      </c>
      <c r="AQ685" t="str">
        <f>IFERROR(ROUND(S685*(P685/$AV685)/VLOOKUP(O685,职业!$A$4:$G$16,4,FALSE),0),"")</f>
        <v/>
      </c>
      <c r="AR685" t="str">
        <f>IFERROR(ROUND(S685*(R685/$AV685)/VLOOKUP(Q685,职业!$A$4:$G$16,4,FALSE),0),"")</f>
        <v/>
      </c>
      <c r="AS685" t="str">
        <f>IFERROR(ROUND(X685*(U685/$AW685)/VLOOKUP(T685,商品!$A$4:$B$60,2,FALSE),0),"")</f>
        <v/>
      </c>
      <c r="AT685" t="str">
        <f>IFERROR(ROUND(X685*(W685/$AW685)/VLOOKUP(V685,商品!$A$4:$B$60,2,FALSE),0),"")</f>
        <v/>
      </c>
      <c r="AU685">
        <f t="shared" si="221"/>
        <v>0</v>
      </c>
      <c r="AV685">
        <f t="shared" si="222"/>
        <v>0</v>
      </c>
      <c r="AW685">
        <f t="shared" si="223"/>
        <v>0</v>
      </c>
    </row>
    <row r="686" spans="1:49" ht="19.95" customHeight="1" x14ac:dyDescent="0.25">
      <c r="A686" s="15" t="s">
        <v>325</v>
      </c>
      <c r="C686" s="15">
        <v>5</v>
      </c>
      <c r="D686" s="23" t="s">
        <v>312</v>
      </c>
      <c r="E686" s="23" t="s">
        <v>193</v>
      </c>
      <c r="L686" s="16">
        <f>IFERROR(VLOOKUP($D686&amp;$C686,生产方式定位!$A$2:$E$38,2,FALSE)+VLOOKUP($E686&amp;$C686,生产方式定位!$F$3:$J$38,2,FALSE),0)</f>
        <v>3900</v>
      </c>
      <c r="S686" s="16">
        <f>IFERROR(VLOOKUP($D686&amp;$C686,生产方式定位!$A$2:$E$38,3,FALSE)+VLOOKUP($E686&amp;$C686,生产方式定位!$F$3:$J$38,3,FALSE),0)</f>
        <v>20</v>
      </c>
      <c r="X686" s="16">
        <f>IFERROR(VLOOKUP($D686&amp;$C686,生产方式定位!$A$2:$E$38,5,FALSE)+VLOOKUP($E686&amp;$C686,生产方式定位!$F$3:$J$38,5,FALSE),"错误")</f>
        <v>5488</v>
      </c>
      <c r="Y686" s="26" t="str">
        <f t="shared" si="208"/>
        <v/>
      </c>
      <c r="Z686" s="36" t="str">
        <f t="shared" si="209"/>
        <v/>
      </c>
      <c r="AA686" s="36" t="str">
        <f t="shared" si="210"/>
        <v/>
      </c>
      <c r="AB686" s="27" t="str">
        <f t="shared" si="211"/>
        <v>41%</v>
      </c>
      <c r="AC686" s="2">
        <f t="shared" si="212"/>
        <v>1568</v>
      </c>
      <c r="AD686" s="38">
        <f t="shared" si="213"/>
        <v>5</v>
      </c>
      <c r="AE686" t="str">
        <f t="shared" si="214"/>
        <v/>
      </c>
      <c r="AF686" t="str">
        <f t="shared" si="215"/>
        <v/>
      </c>
      <c r="AG686" t="str">
        <f t="shared" si="216"/>
        <v/>
      </c>
      <c r="AH686" t="str">
        <f t="shared" si="217"/>
        <v/>
      </c>
      <c r="AI686" t="str">
        <f t="shared" si="218"/>
        <v/>
      </c>
      <c r="AJ686" t="str">
        <f t="shared" si="219"/>
        <v/>
      </c>
      <c r="AK686" t="str">
        <f t="shared" si="220"/>
        <v/>
      </c>
      <c r="AL686" t="str">
        <f>IFERROR(ROUND(L686*(G686/$AU686)/VLOOKUP(F686,商品!$A$4:$B$60,2,FALSE),0),"")</f>
        <v/>
      </c>
      <c r="AM686" t="str">
        <f>IFERROR(ROUND(L686*(I686/$AU686)/VLOOKUP(H686,商品!$A$4:$B$60,2,FALSE),0),"")</f>
        <v/>
      </c>
      <c r="AN686">
        <f>IFERROR(ROUND(L686*(J686/$AU686)/VLOOKUP("运力",商品!$A$4:$B$60,2,FALSE),0),0)</f>
        <v>0</v>
      </c>
      <c r="AO686">
        <f>IFERROR(ROUND(L686*(K686/$AU686)/VLOOKUP("交易",商品!$A$4:$B$60,2,FALSE),0),0)</f>
        <v>0</v>
      </c>
      <c r="AP686" t="str">
        <f>IFERROR(ROUND(S686*(N686/$AV686)/VLOOKUP(M686,职业!$A$4:$G$16,4,FALSE),0),"")</f>
        <v/>
      </c>
      <c r="AQ686" t="str">
        <f>IFERROR(ROUND(S686*(P686/$AV686)/VLOOKUP(O686,职业!$A$4:$G$16,4,FALSE),0),"")</f>
        <v/>
      </c>
      <c r="AR686" t="str">
        <f>IFERROR(ROUND(S686*(R686/$AV686)/VLOOKUP(Q686,职业!$A$4:$G$16,4,FALSE),0),"")</f>
        <v/>
      </c>
      <c r="AS686" t="str">
        <f>IFERROR(ROUND(X686*(U686/$AW686)/VLOOKUP(T686,商品!$A$4:$B$60,2,FALSE),0),"")</f>
        <v/>
      </c>
      <c r="AT686" t="str">
        <f>IFERROR(ROUND(X686*(W686/$AW686)/VLOOKUP(V686,商品!$A$4:$B$60,2,FALSE),0),"")</f>
        <v/>
      </c>
      <c r="AU686">
        <f t="shared" si="221"/>
        <v>0</v>
      </c>
      <c r="AV686">
        <f t="shared" si="222"/>
        <v>0</v>
      </c>
      <c r="AW686">
        <f t="shared" si="223"/>
        <v>0</v>
      </c>
    </row>
    <row r="687" spans="1:49" ht="19.95" customHeight="1" x14ac:dyDescent="0.25">
      <c r="A687" s="16" t="s">
        <v>326</v>
      </c>
      <c r="C687" s="16">
        <v>1</v>
      </c>
      <c r="D687" s="23" t="s">
        <v>312</v>
      </c>
      <c r="E687" s="23" t="s">
        <v>175</v>
      </c>
      <c r="L687" s="15">
        <f>IFERROR(VLOOKUP($D687&amp;$C687,生产方式定位!$A$2:$E$38,2,FALSE)+VLOOKUP($E687&amp;$C687,生产方式定位!$F$3:$J$38,2,FALSE),0)</f>
        <v>0</v>
      </c>
      <c r="S687" s="15">
        <f>IFERROR(VLOOKUP($D687&amp;$C687,生产方式定位!$A$2:$E$38,3,FALSE)+VLOOKUP($E687&amp;$C687,生产方式定位!$F$3:$J$38,3,FALSE),0)</f>
        <v>100</v>
      </c>
      <c r="X687" s="15">
        <f>IFERROR(VLOOKUP($D687&amp;$C687,生产方式定位!$A$2:$E$38,5,FALSE)+VLOOKUP($E687&amp;$C687,生产方式定位!$F$3:$J$38,5,FALSE),"错误")</f>
        <v>500</v>
      </c>
      <c r="Y687" s="26" t="str">
        <f t="shared" si="208"/>
        <v/>
      </c>
      <c r="Z687" s="36" t="str">
        <f t="shared" si="209"/>
        <v/>
      </c>
      <c r="AA687" s="36" t="str">
        <f t="shared" si="210"/>
        <v/>
      </c>
      <c r="AB687" s="27" t="str">
        <f t="shared" si="211"/>
        <v/>
      </c>
      <c r="AC687" s="2">
        <f t="shared" si="212"/>
        <v>400</v>
      </c>
      <c r="AD687" s="37">
        <f t="shared" si="213"/>
        <v>1</v>
      </c>
      <c r="AE687" t="str">
        <f t="shared" si="214"/>
        <v/>
      </c>
      <c r="AF687" t="str">
        <f t="shared" si="215"/>
        <v/>
      </c>
      <c r="AG687" t="str">
        <f t="shared" si="216"/>
        <v/>
      </c>
      <c r="AH687" t="str">
        <f t="shared" si="217"/>
        <v/>
      </c>
      <c r="AI687" t="str">
        <f t="shared" si="218"/>
        <v/>
      </c>
      <c r="AJ687" t="str">
        <f t="shared" si="219"/>
        <v/>
      </c>
      <c r="AK687" t="str">
        <f t="shared" si="220"/>
        <v/>
      </c>
      <c r="AL687" t="str">
        <f>IFERROR(ROUND(L687*(G687/$AU687)/VLOOKUP(F687,商品!$A$4:$B$60,2,FALSE),0),"")</f>
        <v/>
      </c>
      <c r="AM687" t="str">
        <f>IFERROR(ROUND(L687*(I687/$AU687)/VLOOKUP(H687,商品!$A$4:$B$60,2,FALSE),0),"")</f>
        <v/>
      </c>
      <c r="AN687">
        <f>IFERROR(ROUND(L687*(J687/$AU687)/VLOOKUP("运力",商品!$A$4:$B$60,2,FALSE),0),0)</f>
        <v>0</v>
      </c>
      <c r="AO687">
        <f>IFERROR(ROUND(L687*(K687/$AU687)/VLOOKUP("交易",商品!$A$4:$B$60,2,FALSE),0),0)</f>
        <v>0</v>
      </c>
      <c r="AP687" t="str">
        <f>IFERROR(ROUND(S687*(N687/$AV687)/VLOOKUP(M687,职业!$A$4:$G$16,4,FALSE),0),"")</f>
        <v/>
      </c>
      <c r="AQ687" t="str">
        <f>IFERROR(ROUND(S687*(P687/$AV687)/VLOOKUP(O687,职业!$A$4:$G$16,4,FALSE),0),"")</f>
        <v/>
      </c>
      <c r="AR687" t="str">
        <f>IFERROR(ROUND(S687*(R687/$AV687)/VLOOKUP(Q687,职业!$A$4:$G$16,4,FALSE),0),"")</f>
        <v/>
      </c>
      <c r="AS687" t="str">
        <f>IFERROR(ROUND(X687*(U687/$AW687)/VLOOKUP(T687,商品!$A$4:$B$60,2,FALSE),0),"")</f>
        <v/>
      </c>
      <c r="AT687" t="str">
        <f>IFERROR(ROUND(X687*(W687/$AW687)/VLOOKUP(V687,商品!$A$4:$B$60,2,FALSE),0),"")</f>
        <v/>
      </c>
      <c r="AU687">
        <f t="shared" si="221"/>
        <v>0</v>
      </c>
      <c r="AV687">
        <f t="shared" si="222"/>
        <v>0</v>
      </c>
      <c r="AW687">
        <f t="shared" si="223"/>
        <v>0</v>
      </c>
    </row>
    <row r="688" spans="1:49" ht="19.95" customHeight="1" x14ac:dyDescent="0.25">
      <c r="A688" s="16" t="s">
        <v>326</v>
      </c>
      <c r="C688" s="16">
        <v>2</v>
      </c>
      <c r="D688" s="23" t="s">
        <v>312</v>
      </c>
      <c r="E688" s="23" t="s">
        <v>175</v>
      </c>
      <c r="F688" s="2" t="s">
        <v>41</v>
      </c>
      <c r="G688" s="2">
        <v>10</v>
      </c>
      <c r="L688" s="15">
        <f>IFERROR(VLOOKUP($D688&amp;$C688,生产方式定位!$A$2:$E$38,2,FALSE)+VLOOKUP($E688&amp;$C688,生产方式定位!$F$3:$J$38,2,FALSE),0)</f>
        <v>850</v>
      </c>
      <c r="S688" s="15">
        <f>IFERROR(VLOOKUP($D688&amp;$C688,生产方式定位!$A$2:$E$38,3,FALSE)+VLOOKUP($E688&amp;$C688,生产方式定位!$F$3:$J$38,3,FALSE),0)</f>
        <v>110</v>
      </c>
      <c r="X688" s="15">
        <f>IFERROR(VLOOKUP($D688&amp;$C688,生产方式定位!$A$2:$E$38,5,FALSE)+VLOOKUP($E688&amp;$C688,生产方式定位!$F$3:$J$38,5,FALSE),"错误")</f>
        <v>1260</v>
      </c>
      <c r="Y688" s="26" t="str">
        <f t="shared" si="208"/>
        <v>工具*21</v>
      </c>
      <c r="Z688" s="36" t="str">
        <f t="shared" si="209"/>
        <v/>
      </c>
      <c r="AA688" s="36" t="str">
        <f t="shared" si="210"/>
        <v/>
      </c>
      <c r="AB688" s="27" t="str">
        <f t="shared" si="211"/>
        <v>48%</v>
      </c>
      <c r="AC688" s="2">
        <f t="shared" si="212"/>
        <v>300</v>
      </c>
      <c r="AD688" s="37">
        <f t="shared" si="213"/>
        <v>2</v>
      </c>
      <c r="AE688" t="str">
        <f t="shared" si="214"/>
        <v>工具*21</v>
      </c>
      <c r="AF688" t="str">
        <f t="shared" si="215"/>
        <v/>
      </c>
      <c r="AG688" t="str">
        <f t="shared" si="216"/>
        <v/>
      </c>
      <c r="AH688" t="str">
        <f t="shared" si="217"/>
        <v/>
      </c>
      <c r="AI688" t="str">
        <f t="shared" si="218"/>
        <v/>
      </c>
      <c r="AJ688" t="str">
        <f t="shared" si="219"/>
        <v/>
      </c>
      <c r="AK688" t="str">
        <f t="shared" si="220"/>
        <v/>
      </c>
      <c r="AL688">
        <f>IFERROR(ROUND(L688*(G688/$AU688)/VLOOKUP(F688,商品!$A$4:$B$60,2,FALSE),0),"")</f>
        <v>21</v>
      </c>
      <c r="AM688" t="str">
        <f>IFERROR(ROUND(L688*(I688/$AU688)/VLOOKUP(H688,商品!$A$4:$B$60,2,FALSE),0),"")</f>
        <v/>
      </c>
      <c r="AN688">
        <f>IFERROR(ROUND(L688*(J688/$AU688)/VLOOKUP("运力",商品!$A$4:$B$60,2,FALSE),0),0)</f>
        <v>0</v>
      </c>
      <c r="AO688">
        <f>IFERROR(ROUND(L688*(K688/$AU688)/VLOOKUP("交易",商品!$A$4:$B$60,2,FALSE),0),0)</f>
        <v>0</v>
      </c>
      <c r="AP688" t="str">
        <f>IFERROR(ROUND(S688*(N688/$AV688)/VLOOKUP(M688,职业!$A$4:$G$16,4,FALSE),0),"")</f>
        <v/>
      </c>
      <c r="AQ688" t="str">
        <f>IFERROR(ROUND(S688*(P688/$AV688)/VLOOKUP(O688,职业!$A$4:$G$16,4,FALSE),0),"")</f>
        <v/>
      </c>
      <c r="AR688" t="str">
        <f>IFERROR(ROUND(S688*(R688/$AV688)/VLOOKUP(Q688,职业!$A$4:$G$16,4,FALSE),0),"")</f>
        <v/>
      </c>
      <c r="AS688" t="str">
        <f>IFERROR(ROUND(X688*(U688/$AW688)/VLOOKUP(T688,商品!$A$4:$B$60,2,FALSE),0),"")</f>
        <v/>
      </c>
      <c r="AT688" t="str">
        <f>IFERROR(ROUND(X688*(W688/$AW688)/VLOOKUP(V688,商品!$A$4:$B$60,2,FALSE),0),"")</f>
        <v/>
      </c>
      <c r="AU688">
        <f t="shared" si="221"/>
        <v>10</v>
      </c>
      <c r="AV688">
        <f t="shared" si="222"/>
        <v>0</v>
      </c>
      <c r="AW688">
        <f t="shared" si="223"/>
        <v>0</v>
      </c>
    </row>
    <row r="689" spans="1:49" ht="19.95" customHeight="1" x14ac:dyDescent="0.25">
      <c r="A689" s="16" t="s">
        <v>326</v>
      </c>
      <c r="C689" s="16">
        <v>3</v>
      </c>
      <c r="D689" s="23" t="s">
        <v>312</v>
      </c>
      <c r="E689" s="23" t="s">
        <v>175</v>
      </c>
      <c r="F689" s="2" t="s">
        <v>41</v>
      </c>
      <c r="G689" s="2">
        <v>10</v>
      </c>
      <c r="L689" s="15">
        <f>IFERROR(VLOOKUP($D689&amp;$C689,生产方式定位!$A$2:$E$38,2,FALSE)+VLOOKUP($E689&amp;$C689,生产方式定位!$F$3:$J$38,2,FALSE),0)</f>
        <v>1700</v>
      </c>
      <c r="S689" s="15">
        <f>IFERROR(VLOOKUP($D689&amp;$C689,生产方式定位!$A$2:$E$38,3,FALSE)+VLOOKUP($E689&amp;$C689,生产方式定位!$F$3:$J$38,3,FALSE),0)</f>
        <v>120</v>
      </c>
      <c r="X689" s="15">
        <f>IFERROR(VLOOKUP($D689&amp;$C689,生产方式定位!$A$2:$E$38,5,FALSE)+VLOOKUP($E689&amp;$C689,生产方式定位!$F$3:$J$38,5,FALSE),"错误")</f>
        <v>2380</v>
      </c>
      <c r="Y689" s="26" t="str">
        <f t="shared" si="208"/>
        <v>工具*43</v>
      </c>
      <c r="Z689" s="36" t="str">
        <f t="shared" si="209"/>
        <v/>
      </c>
      <c r="AA689" s="36" t="str">
        <f t="shared" si="210"/>
        <v/>
      </c>
      <c r="AB689" s="27" t="str">
        <f t="shared" si="211"/>
        <v>40%</v>
      </c>
      <c r="AC689" s="2">
        <f t="shared" si="212"/>
        <v>560</v>
      </c>
      <c r="AD689" s="37">
        <f t="shared" si="213"/>
        <v>3</v>
      </c>
      <c r="AE689" t="str">
        <f t="shared" si="214"/>
        <v>工具*43</v>
      </c>
      <c r="AF689" t="str">
        <f t="shared" si="215"/>
        <v/>
      </c>
      <c r="AG689" t="str">
        <f t="shared" si="216"/>
        <v/>
      </c>
      <c r="AH689" t="str">
        <f t="shared" si="217"/>
        <v/>
      </c>
      <c r="AI689" t="str">
        <f t="shared" si="218"/>
        <v/>
      </c>
      <c r="AJ689" t="str">
        <f t="shared" si="219"/>
        <v/>
      </c>
      <c r="AK689" t="str">
        <f t="shared" si="220"/>
        <v/>
      </c>
      <c r="AL689">
        <f>IFERROR(ROUND(L689*(G689/$AU689)/VLOOKUP(F689,商品!$A$4:$B$60,2,FALSE),0),"")</f>
        <v>43</v>
      </c>
      <c r="AM689" t="str">
        <f>IFERROR(ROUND(L689*(I689/$AU689)/VLOOKUP(H689,商品!$A$4:$B$60,2,FALSE),0),"")</f>
        <v/>
      </c>
      <c r="AN689">
        <f>IFERROR(ROUND(L689*(J689/$AU689)/VLOOKUP("运力",商品!$A$4:$B$60,2,FALSE),0),0)</f>
        <v>0</v>
      </c>
      <c r="AO689">
        <f>IFERROR(ROUND(L689*(K689/$AU689)/VLOOKUP("交易",商品!$A$4:$B$60,2,FALSE),0),0)</f>
        <v>0</v>
      </c>
      <c r="AP689" t="str">
        <f>IFERROR(ROUND(S689*(N689/$AV689)/VLOOKUP(M689,职业!$A$4:$G$16,4,FALSE),0),"")</f>
        <v/>
      </c>
      <c r="AQ689" t="str">
        <f>IFERROR(ROUND(S689*(P689/$AV689)/VLOOKUP(O689,职业!$A$4:$G$16,4,FALSE),0),"")</f>
        <v/>
      </c>
      <c r="AR689" t="str">
        <f>IFERROR(ROUND(S689*(R689/$AV689)/VLOOKUP(Q689,职业!$A$4:$G$16,4,FALSE),0),"")</f>
        <v/>
      </c>
      <c r="AS689" t="str">
        <f>IFERROR(ROUND(X689*(U689/$AW689)/VLOOKUP(T689,商品!$A$4:$B$60,2,FALSE),0),"")</f>
        <v/>
      </c>
      <c r="AT689" t="str">
        <f>IFERROR(ROUND(X689*(W689/$AW689)/VLOOKUP(V689,商品!$A$4:$B$60,2,FALSE),0),"")</f>
        <v/>
      </c>
      <c r="AU689">
        <f t="shared" si="221"/>
        <v>10</v>
      </c>
      <c r="AV689">
        <f t="shared" si="222"/>
        <v>0</v>
      </c>
      <c r="AW689">
        <f t="shared" si="223"/>
        <v>0</v>
      </c>
    </row>
    <row r="690" spans="1:49" ht="19.95" customHeight="1" x14ac:dyDescent="0.25">
      <c r="A690" s="16" t="s">
        <v>326</v>
      </c>
      <c r="C690" s="16">
        <v>4</v>
      </c>
      <c r="D690" s="23" t="s">
        <v>312</v>
      </c>
      <c r="E690" s="23" t="s">
        <v>175</v>
      </c>
      <c r="F690" s="2" t="s">
        <v>45</v>
      </c>
      <c r="G690" s="2">
        <v>5</v>
      </c>
      <c r="H690" s="2" t="s">
        <v>19</v>
      </c>
      <c r="I690" s="2">
        <v>10</v>
      </c>
      <c r="L690" s="15">
        <f>IFERROR(VLOOKUP($D690&amp;$C690,生产方式定位!$A$2:$E$38,2,FALSE)+VLOOKUP($E690&amp;$C690,生产方式定位!$F$3:$J$38,2,FALSE),0)</f>
        <v>2550</v>
      </c>
      <c r="S690" s="15">
        <f>IFERROR(VLOOKUP($D690&amp;$C690,生产方式定位!$A$2:$E$38,3,FALSE)+VLOOKUP($E690&amp;$C690,生产方式定位!$F$3:$J$38,3,FALSE),0)</f>
        <v>130</v>
      </c>
      <c r="X690" s="15">
        <f>IFERROR(VLOOKUP($D690&amp;$C690,生产方式定位!$A$2:$E$38,5,FALSE)+VLOOKUP($E690&amp;$C690,生产方式定位!$F$3:$J$38,5,FALSE),"错误")</f>
        <v>3500</v>
      </c>
      <c r="Y690" s="26" t="str">
        <f t="shared" si="208"/>
        <v>科学引擎*11,煤*57</v>
      </c>
      <c r="Z690" s="36" t="str">
        <f t="shared" si="209"/>
        <v/>
      </c>
      <c r="AA690" s="36" t="str">
        <f t="shared" si="210"/>
        <v/>
      </c>
      <c r="AB690" s="27" t="str">
        <f t="shared" si="211"/>
        <v>37%</v>
      </c>
      <c r="AC690" s="2">
        <f t="shared" si="212"/>
        <v>820</v>
      </c>
      <c r="AD690" s="37">
        <f t="shared" si="213"/>
        <v>4</v>
      </c>
      <c r="AE690" t="str">
        <f t="shared" si="214"/>
        <v>科学引擎*11</v>
      </c>
      <c r="AF690" t="str">
        <f t="shared" si="215"/>
        <v>煤*57</v>
      </c>
      <c r="AG690" t="str">
        <f t="shared" si="216"/>
        <v/>
      </c>
      <c r="AH690" t="str">
        <f t="shared" si="217"/>
        <v/>
      </c>
      <c r="AI690" t="str">
        <f t="shared" si="218"/>
        <v/>
      </c>
      <c r="AJ690" t="str">
        <f t="shared" si="219"/>
        <v/>
      </c>
      <c r="AK690" t="str">
        <f t="shared" si="220"/>
        <v/>
      </c>
      <c r="AL690">
        <f>IFERROR(ROUND(L690*(G690/$AU690)/VLOOKUP(F690,商品!$A$4:$B$60,2,FALSE),0),"")</f>
        <v>11</v>
      </c>
      <c r="AM690">
        <f>IFERROR(ROUND(L690*(I690/$AU690)/VLOOKUP(H690,商品!$A$4:$B$60,2,FALSE),0),"")</f>
        <v>57</v>
      </c>
      <c r="AN690">
        <f>IFERROR(ROUND(L690*(J690/$AU690)/VLOOKUP("运力",商品!$A$4:$B$60,2,FALSE),0),0)</f>
        <v>0</v>
      </c>
      <c r="AO690">
        <f>IFERROR(ROUND(L690*(K690/$AU690)/VLOOKUP("交易",商品!$A$4:$B$60,2,FALSE),0),0)</f>
        <v>0</v>
      </c>
      <c r="AP690" t="str">
        <f>IFERROR(ROUND(S690*(N690/$AV690)/VLOOKUP(M690,职业!$A$4:$G$16,4,FALSE),0),"")</f>
        <v/>
      </c>
      <c r="AQ690" t="str">
        <f>IFERROR(ROUND(S690*(P690/$AV690)/VLOOKUP(O690,职业!$A$4:$G$16,4,FALSE),0),"")</f>
        <v/>
      </c>
      <c r="AR690" t="str">
        <f>IFERROR(ROUND(S690*(R690/$AV690)/VLOOKUP(Q690,职业!$A$4:$G$16,4,FALSE),0),"")</f>
        <v/>
      </c>
      <c r="AS690" t="str">
        <f>IFERROR(ROUND(X690*(U690/$AW690)/VLOOKUP(T690,商品!$A$4:$B$60,2,FALSE),0),"")</f>
        <v/>
      </c>
      <c r="AT690" t="str">
        <f>IFERROR(ROUND(X690*(W690/$AW690)/VLOOKUP(V690,商品!$A$4:$B$60,2,FALSE),0),"")</f>
        <v/>
      </c>
      <c r="AU690">
        <f t="shared" si="221"/>
        <v>15</v>
      </c>
      <c r="AV690">
        <f t="shared" si="222"/>
        <v>0</v>
      </c>
      <c r="AW690">
        <f t="shared" si="223"/>
        <v>0</v>
      </c>
    </row>
    <row r="691" spans="1:49" ht="19.95" customHeight="1" x14ac:dyDescent="0.25">
      <c r="A691" s="16" t="s">
        <v>326</v>
      </c>
      <c r="C691" s="16">
        <v>5</v>
      </c>
      <c r="D691" s="23" t="s">
        <v>312</v>
      </c>
      <c r="E691" s="23" t="s">
        <v>175</v>
      </c>
      <c r="F691" s="2" t="s">
        <v>46</v>
      </c>
      <c r="G691" s="2">
        <v>5</v>
      </c>
      <c r="H691" s="2" t="s">
        <v>19</v>
      </c>
      <c r="I691" s="2">
        <v>10</v>
      </c>
      <c r="L691" s="15">
        <f>IFERROR(VLOOKUP($D691&amp;$C691,生产方式定位!$A$2:$E$38,2,FALSE)+VLOOKUP($E691&amp;$C691,生产方式定位!$F$3:$J$38,2,FALSE),0)</f>
        <v>3400</v>
      </c>
      <c r="S691" s="15">
        <f>IFERROR(VLOOKUP($D691&amp;$C691,生产方式定位!$A$2:$E$38,3,FALSE)+VLOOKUP($E691&amp;$C691,生产方式定位!$F$3:$J$38,3,FALSE),0)</f>
        <v>140</v>
      </c>
      <c r="X691" s="15">
        <f>IFERROR(VLOOKUP($D691&amp;$C691,生产方式定位!$A$2:$E$38,5,FALSE)+VLOOKUP($E691&amp;$C691,生产方式定位!$F$3:$J$38,5,FALSE),"错误")</f>
        <v>4620</v>
      </c>
      <c r="Y691" s="26" t="str">
        <f t="shared" si="208"/>
        <v>魔导引擎*14,煤*76</v>
      </c>
      <c r="Z691" s="36" t="str">
        <f t="shared" si="209"/>
        <v/>
      </c>
      <c r="AA691" s="36" t="str">
        <f t="shared" si="210"/>
        <v/>
      </c>
      <c r="AB691" s="27" t="str">
        <f t="shared" si="211"/>
        <v>36%</v>
      </c>
      <c r="AC691" s="2">
        <f t="shared" si="212"/>
        <v>1080</v>
      </c>
      <c r="AD691" s="37">
        <f t="shared" si="213"/>
        <v>5</v>
      </c>
      <c r="AE691" t="str">
        <f t="shared" si="214"/>
        <v>魔导引擎*14</v>
      </c>
      <c r="AF691" t="str">
        <f t="shared" si="215"/>
        <v>煤*76</v>
      </c>
      <c r="AG691" t="str">
        <f t="shared" si="216"/>
        <v/>
      </c>
      <c r="AH691" t="str">
        <f t="shared" si="217"/>
        <v/>
      </c>
      <c r="AI691" t="str">
        <f t="shared" si="218"/>
        <v/>
      </c>
      <c r="AJ691" t="str">
        <f t="shared" si="219"/>
        <v/>
      </c>
      <c r="AK691" t="str">
        <f t="shared" si="220"/>
        <v/>
      </c>
      <c r="AL691">
        <f>IFERROR(ROUND(L691*(G691/$AU691)/VLOOKUP(F691,商品!$A$4:$B$60,2,FALSE),0),"")</f>
        <v>14</v>
      </c>
      <c r="AM691">
        <f>IFERROR(ROUND(L691*(I691/$AU691)/VLOOKUP(H691,商品!$A$4:$B$60,2,FALSE),0),"")</f>
        <v>76</v>
      </c>
      <c r="AN691">
        <f>IFERROR(ROUND(L691*(J691/$AU691)/VLOOKUP("运力",商品!$A$4:$B$60,2,FALSE),0),0)</f>
        <v>0</v>
      </c>
      <c r="AO691">
        <f>IFERROR(ROUND(L691*(K691/$AU691)/VLOOKUP("交易",商品!$A$4:$B$60,2,FALSE),0),0)</f>
        <v>0</v>
      </c>
      <c r="AP691" t="str">
        <f>IFERROR(ROUND(S691*(N691/$AV691)/VLOOKUP(M691,职业!$A$4:$G$16,4,FALSE),0),"")</f>
        <v/>
      </c>
      <c r="AQ691" t="str">
        <f>IFERROR(ROUND(S691*(P691/$AV691)/VLOOKUP(O691,职业!$A$4:$G$16,4,FALSE),0),"")</f>
        <v/>
      </c>
      <c r="AR691" t="str">
        <f>IFERROR(ROUND(S691*(R691/$AV691)/VLOOKUP(Q691,职业!$A$4:$G$16,4,FALSE),0),"")</f>
        <v/>
      </c>
      <c r="AS691" t="str">
        <f>IFERROR(ROUND(X691*(U691/$AW691)/VLOOKUP(T691,商品!$A$4:$B$60,2,FALSE),0),"")</f>
        <v/>
      </c>
      <c r="AT691" t="str">
        <f>IFERROR(ROUND(X691*(W691/$AW691)/VLOOKUP(V691,商品!$A$4:$B$60,2,FALSE),0),"")</f>
        <v/>
      </c>
      <c r="AU691">
        <f t="shared" si="221"/>
        <v>15</v>
      </c>
      <c r="AV691">
        <f t="shared" si="222"/>
        <v>0</v>
      </c>
      <c r="AW691">
        <f t="shared" si="223"/>
        <v>0</v>
      </c>
    </row>
    <row r="692" spans="1:49" ht="19.95" customHeight="1" x14ac:dyDescent="0.25">
      <c r="A692" s="15" t="s">
        <v>327</v>
      </c>
      <c r="C692" s="15">
        <v>1</v>
      </c>
      <c r="D692" s="23" t="s">
        <v>312</v>
      </c>
      <c r="E692" s="23" t="s">
        <v>177</v>
      </c>
      <c r="L692" s="16">
        <f>IFERROR(VLOOKUP($D692&amp;$C692,生产方式定位!$A$2:$E$38,2,FALSE)+VLOOKUP($E692&amp;$C692,生产方式定位!$F$3:$J$38,2,FALSE),0)</f>
        <v>0</v>
      </c>
      <c r="S692" s="16">
        <f>IFERROR(VLOOKUP($D692&amp;$C692,生产方式定位!$A$2:$E$38,3,FALSE)+VLOOKUP($E692&amp;$C692,生产方式定位!$F$3:$J$38,3,FALSE),0)</f>
        <v>100</v>
      </c>
      <c r="X692" s="16">
        <f>IFERROR(VLOOKUP($D692&amp;$C692,生产方式定位!$A$2:$E$38,5,FALSE)+VLOOKUP($E692&amp;$C692,生产方式定位!$F$3:$J$38,5,FALSE),"错误")</f>
        <v>500</v>
      </c>
      <c r="Y692" s="26" t="str">
        <f t="shared" si="208"/>
        <v/>
      </c>
      <c r="Z692" s="36" t="str">
        <f t="shared" si="209"/>
        <v/>
      </c>
      <c r="AA692" s="36" t="str">
        <f t="shared" si="210"/>
        <v/>
      </c>
      <c r="AB692" s="27" t="str">
        <f t="shared" si="211"/>
        <v/>
      </c>
      <c r="AC692" s="2">
        <f t="shared" si="212"/>
        <v>400</v>
      </c>
      <c r="AD692" s="38">
        <f t="shared" si="213"/>
        <v>1</v>
      </c>
      <c r="AE692" t="str">
        <f t="shared" si="214"/>
        <v/>
      </c>
      <c r="AF692" t="str">
        <f t="shared" si="215"/>
        <v/>
      </c>
      <c r="AG692" t="str">
        <f t="shared" si="216"/>
        <v/>
      </c>
      <c r="AH692" t="str">
        <f t="shared" si="217"/>
        <v/>
      </c>
      <c r="AI692" t="str">
        <f t="shared" si="218"/>
        <v/>
      </c>
      <c r="AJ692" t="str">
        <f t="shared" si="219"/>
        <v/>
      </c>
      <c r="AK692" t="str">
        <f t="shared" si="220"/>
        <v/>
      </c>
      <c r="AL692" t="str">
        <f>IFERROR(ROUND(L692*(G692/$AU692)/VLOOKUP(F692,商品!$A$4:$B$60,2,FALSE),0),"")</f>
        <v/>
      </c>
      <c r="AM692" t="str">
        <f>IFERROR(ROUND(L692*(I692/$AU692)/VLOOKUP(H692,商品!$A$4:$B$60,2,FALSE),0),"")</f>
        <v/>
      </c>
      <c r="AN692">
        <f>IFERROR(ROUND(L692*(J692/$AU692)/VLOOKUP("运力",商品!$A$4:$B$60,2,FALSE),0),0)</f>
        <v>0</v>
      </c>
      <c r="AO692">
        <f>IFERROR(ROUND(L692*(K692/$AU692)/VLOOKUP("交易",商品!$A$4:$B$60,2,FALSE),0),0)</f>
        <v>0</v>
      </c>
      <c r="AP692" t="str">
        <f>IFERROR(ROUND(S692*(N692/$AV692)/VLOOKUP(M692,职业!$A$4:$G$16,4,FALSE),0),"")</f>
        <v/>
      </c>
      <c r="AQ692" t="str">
        <f>IFERROR(ROUND(S692*(P692/$AV692)/VLOOKUP(O692,职业!$A$4:$G$16,4,FALSE),0),"")</f>
        <v/>
      </c>
      <c r="AR692" t="str">
        <f>IFERROR(ROUND(S692*(R692/$AV692)/VLOOKUP(Q692,职业!$A$4:$G$16,4,FALSE),0),"")</f>
        <v/>
      </c>
      <c r="AS692" t="str">
        <f>IFERROR(ROUND(X692*(U692/$AW692)/VLOOKUP(T692,商品!$A$4:$B$60,2,FALSE),0),"")</f>
        <v/>
      </c>
      <c r="AT692" t="str">
        <f>IFERROR(ROUND(X692*(W692/$AW692)/VLOOKUP(V692,商品!$A$4:$B$60,2,FALSE),0),"")</f>
        <v/>
      </c>
      <c r="AU692">
        <f t="shared" si="221"/>
        <v>0</v>
      </c>
      <c r="AV692">
        <f t="shared" si="222"/>
        <v>0</v>
      </c>
      <c r="AW692">
        <f t="shared" si="223"/>
        <v>0</v>
      </c>
    </row>
    <row r="693" spans="1:49" ht="19.95" customHeight="1" x14ac:dyDescent="0.25">
      <c r="A693" s="15" t="s">
        <v>327</v>
      </c>
      <c r="C693" s="15">
        <v>2</v>
      </c>
      <c r="D693" s="23" t="s">
        <v>312</v>
      </c>
      <c r="E693" s="23" t="s">
        <v>177</v>
      </c>
      <c r="F693" s="2" t="s">
        <v>42</v>
      </c>
      <c r="G693" s="2">
        <v>5</v>
      </c>
      <c r="H693" s="2" t="s">
        <v>20</v>
      </c>
      <c r="I693" s="2">
        <v>10</v>
      </c>
      <c r="L693" s="16">
        <f>IFERROR(VLOOKUP($D693&amp;$C693,生产方式定位!$A$2:$E$38,2,FALSE)+VLOOKUP($E693&amp;$C693,生产方式定位!$F$3:$J$38,2,FALSE),0)</f>
        <v>905</v>
      </c>
      <c r="S693" s="16">
        <f>IFERROR(VLOOKUP($D693&amp;$C693,生产方式定位!$A$2:$E$38,3,FALSE)+VLOOKUP($E693&amp;$C693,生产方式定位!$F$3:$J$38,3,FALSE),0)</f>
        <v>115</v>
      </c>
      <c r="X693" s="16">
        <f>IFERROR(VLOOKUP($D693&amp;$C693,生产方式定位!$A$2:$E$38,5,FALSE)+VLOOKUP($E693&amp;$C693,生产方式定位!$F$3:$J$38,5,FALSE),"错误")</f>
        <v>1260</v>
      </c>
      <c r="Y693" s="26" t="str">
        <f t="shared" si="208"/>
        <v>魔偶*8,灵能水晶*20</v>
      </c>
      <c r="Z693" s="36" t="str">
        <f t="shared" si="209"/>
        <v/>
      </c>
      <c r="AA693" s="36" t="str">
        <f t="shared" si="210"/>
        <v/>
      </c>
      <c r="AB693" s="27" t="str">
        <f t="shared" si="211"/>
        <v>39%</v>
      </c>
      <c r="AC693" s="2">
        <f t="shared" si="212"/>
        <v>240</v>
      </c>
      <c r="AD693" s="38">
        <f t="shared" si="213"/>
        <v>2</v>
      </c>
      <c r="AE693" t="str">
        <f t="shared" si="214"/>
        <v>魔偶*8</v>
      </c>
      <c r="AF693" t="str">
        <f t="shared" si="215"/>
        <v>灵能水晶*20</v>
      </c>
      <c r="AG693" t="str">
        <f t="shared" si="216"/>
        <v/>
      </c>
      <c r="AH693" t="str">
        <f t="shared" si="217"/>
        <v/>
      </c>
      <c r="AI693" t="str">
        <f t="shared" si="218"/>
        <v/>
      </c>
      <c r="AJ693" t="str">
        <f t="shared" si="219"/>
        <v/>
      </c>
      <c r="AK693" t="str">
        <f t="shared" si="220"/>
        <v/>
      </c>
      <c r="AL693">
        <f>IFERROR(ROUND(L693*(G693/$AU693)/VLOOKUP(F693,商品!$A$4:$B$60,2,FALSE),0),"")</f>
        <v>8</v>
      </c>
      <c r="AM693">
        <f>IFERROR(ROUND(L693*(I693/$AU693)/VLOOKUP(H693,商品!$A$4:$B$60,2,FALSE),0),"")</f>
        <v>20</v>
      </c>
      <c r="AN693">
        <f>IFERROR(ROUND(L693*(J693/$AU693)/VLOOKUP("运力",商品!$A$4:$B$60,2,FALSE),0),0)</f>
        <v>0</v>
      </c>
      <c r="AO693">
        <f>IFERROR(ROUND(L693*(K693/$AU693)/VLOOKUP("交易",商品!$A$4:$B$60,2,FALSE),0),0)</f>
        <v>0</v>
      </c>
      <c r="AP693" t="str">
        <f>IFERROR(ROUND(S693*(N693/$AV693)/VLOOKUP(M693,职业!$A$4:$G$16,4,FALSE),0),"")</f>
        <v/>
      </c>
      <c r="AQ693" t="str">
        <f>IFERROR(ROUND(S693*(P693/$AV693)/VLOOKUP(O693,职业!$A$4:$G$16,4,FALSE),0),"")</f>
        <v/>
      </c>
      <c r="AR693" t="str">
        <f>IFERROR(ROUND(S693*(R693/$AV693)/VLOOKUP(Q693,职业!$A$4:$G$16,4,FALSE),0),"")</f>
        <v/>
      </c>
      <c r="AS693" t="str">
        <f>IFERROR(ROUND(X693*(U693/$AW693)/VLOOKUP(T693,商品!$A$4:$B$60,2,FALSE),0),"")</f>
        <v/>
      </c>
      <c r="AT693" t="str">
        <f>IFERROR(ROUND(X693*(W693/$AW693)/VLOOKUP(V693,商品!$A$4:$B$60,2,FALSE),0),"")</f>
        <v/>
      </c>
      <c r="AU693">
        <f t="shared" si="221"/>
        <v>15</v>
      </c>
      <c r="AV693">
        <f t="shared" si="222"/>
        <v>0</v>
      </c>
      <c r="AW693">
        <f t="shared" si="223"/>
        <v>0</v>
      </c>
    </row>
    <row r="694" spans="1:49" ht="19.95" customHeight="1" x14ac:dyDescent="0.25">
      <c r="A694" s="15" t="s">
        <v>327</v>
      </c>
      <c r="C694" s="15">
        <v>3</v>
      </c>
      <c r="D694" s="23" t="s">
        <v>312</v>
      </c>
      <c r="E694" s="23" t="s">
        <v>177</v>
      </c>
      <c r="F694" s="2" t="s">
        <v>42</v>
      </c>
      <c r="G694" s="2">
        <v>5</v>
      </c>
      <c r="H694" s="2" t="s">
        <v>20</v>
      </c>
      <c r="I694" s="2">
        <v>10</v>
      </c>
      <c r="L694" s="16">
        <f>IFERROR(VLOOKUP($D694&amp;$C694,生产方式定位!$A$2:$E$38,2,FALSE)+VLOOKUP($E694&amp;$C694,生产方式定位!$F$3:$J$38,2,FALSE),0)</f>
        <v>1810</v>
      </c>
      <c r="S694" s="16">
        <f>IFERROR(VLOOKUP($D694&amp;$C694,生产方式定位!$A$2:$E$38,3,FALSE)+VLOOKUP($E694&amp;$C694,生产方式定位!$F$3:$J$38,3,FALSE),0)</f>
        <v>130</v>
      </c>
      <c r="X694" s="16">
        <f>IFERROR(VLOOKUP($D694&amp;$C694,生产方式定位!$A$2:$E$38,5,FALSE)+VLOOKUP($E694&amp;$C694,生产方式定位!$F$3:$J$38,5,FALSE),"错误")</f>
        <v>2380</v>
      </c>
      <c r="Y694" s="26" t="str">
        <f t="shared" si="208"/>
        <v>魔偶*15,灵能水晶*40</v>
      </c>
      <c r="Z694" s="36" t="str">
        <f t="shared" si="209"/>
        <v/>
      </c>
      <c r="AA694" s="36" t="str">
        <f t="shared" si="210"/>
        <v/>
      </c>
      <c r="AB694" s="27" t="str">
        <f t="shared" si="211"/>
        <v>31%</v>
      </c>
      <c r="AC694" s="2">
        <f t="shared" si="212"/>
        <v>440</v>
      </c>
      <c r="AD694" s="38">
        <f t="shared" si="213"/>
        <v>3</v>
      </c>
      <c r="AE694" t="str">
        <f t="shared" si="214"/>
        <v>魔偶*15</v>
      </c>
      <c r="AF694" t="str">
        <f t="shared" si="215"/>
        <v>灵能水晶*40</v>
      </c>
      <c r="AG694" t="str">
        <f t="shared" si="216"/>
        <v/>
      </c>
      <c r="AH694" t="str">
        <f t="shared" si="217"/>
        <v/>
      </c>
      <c r="AI694" t="str">
        <f t="shared" si="218"/>
        <v/>
      </c>
      <c r="AJ694" t="str">
        <f t="shared" si="219"/>
        <v/>
      </c>
      <c r="AK694" t="str">
        <f t="shared" si="220"/>
        <v/>
      </c>
      <c r="AL694">
        <f>IFERROR(ROUND(L694*(G694/$AU694)/VLOOKUP(F694,商品!$A$4:$B$60,2,FALSE),0),"")</f>
        <v>15</v>
      </c>
      <c r="AM694">
        <f>IFERROR(ROUND(L694*(I694/$AU694)/VLOOKUP(H694,商品!$A$4:$B$60,2,FALSE),0),"")</f>
        <v>40</v>
      </c>
      <c r="AN694">
        <f>IFERROR(ROUND(L694*(J694/$AU694)/VLOOKUP("运力",商品!$A$4:$B$60,2,FALSE),0),0)</f>
        <v>0</v>
      </c>
      <c r="AO694">
        <f>IFERROR(ROUND(L694*(K694/$AU694)/VLOOKUP("交易",商品!$A$4:$B$60,2,FALSE),0),0)</f>
        <v>0</v>
      </c>
      <c r="AP694" t="str">
        <f>IFERROR(ROUND(S694*(N694/$AV694)/VLOOKUP(M694,职业!$A$4:$G$16,4,FALSE),0),"")</f>
        <v/>
      </c>
      <c r="AQ694" t="str">
        <f>IFERROR(ROUND(S694*(P694/$AV694)/VLOOKUP(O694,职业!$A$4:$G$16,4,FALSE),0),"")</f>
        <v/>
      </c>
      <c r="AR694" t="str">
        <f>IFERROR(ROUND(S694*(R694/$AV694)/VLOOKUP(Q694,职业!$A$4:$G$16,4,FALSE),0),"")</f>
        <v/>
      </c>
      <c r="AS694" t="str">
        <f>IFERROR(ROUND(X694*(U694/$AW694)/VLOOKUP(T694,商品!$A$4:$B$60,2,FALSE),0),"")</f>
        <v/>
      </c>
      <c r="AT694" t="str">
        <f>IFERROR(ROUND(X694*(W694/$AW694)/VLOOKUP(V694,商品!$A$4:$B$60,2,FALSE),0),"")</f>
        <v/>
      </c>
      <c r="AU694">
        <f t="shared" si="221"/>
        <v>15</v>
      </c>
      <c r="AV694">
        <f t="shared" si="222"/>
        <v>0</v>
      </c>
      <c r="AW694">
        <f t="shared" si="223"/>
        <v>0</v>
      </c>
    </row>
    <row r="695" spans="1:49" ht="19.95" customHeight="1" x14ac:dyDescent="0.25">
      <c r="A695" s="15" t="s">
        <v>327</v>
      </c>
      <c r="C695" s="15">
        <v>4</v>
      </c>
      <c r="D695" s="23" t="s">
        <v>312</v>
      </c>
      <c r="E695" s="23" t="s">
        <v>177</v>
      </c>
      <c r="F695" s="2" t="s">
        <v>42</v>
      </c>
      <c r="G695" s="2">
        <v>5</v>
      </c>
      <c r="H695" s="2" t="s">
        <v>20</v>
      </c>
      <c r="I695" s="2">
        <v>10</v>
      </c>
      <c r="L695" s="16">
        <f>IFERROR(VLOOKUP($D695&amp;$C695,生产方式定位!$A$2:$E$38,2,FALSE)+VLOOKUP($E695&amp;$C695,生产方式定位!$F$3:$J$38,2,FALSE),0)</f>
        <v>2715</v>
      </c>
      <c r="S695" s="16">
        <f>IFERROR(VLOOKUP($D695&amp;$C695,生产方式定位!$A$2:$E$38,3,FALSE)+VLOOKUP($E695&amp;$C695,生产方式定位!$F$3:$J$38,3,FALSE),0)</f>
        <v>145</v>
      </c>
      <c r="X695" s="16">
        <f>IFERROR(VLOOKUP($D695&amp;$C695,生产方式定位!$A$2:$E$38,5,FALSE)+VLOOKUP($E695&amp;$C695,生产方式定位!$F$3:$J$38,5,FALSE),"错误")</f>
        <v>3500</v>
      </c>
      <c r="Y695" s="26" t="str">
        <f t="shared" si="208"/>
        <v>魔偶*23,灵能水晶*60</v>
      </c>
      <c r="Z695" s="36" t="str">
        <f t="shared" si="209"/>
        <v/>
      </c>
      <c r="AA695" s="36" t="str">
        <f t="shared" si="210"/>
        <v/>
      </c>
      <c r="AB695" s="27" t="str">
        <f t="shared" si="211"/>
        <v>29%</v>
      </c>
      <c r="AC695" s="2">
        <f t="shared" si="212"/>
        <v>640</v>
      </c>
      <c r="AD695" s="38">
        <f t="shared" si="213"/>
        <v>4</v>
      </c>
      <c r="AE695" t="str">
        <f t="shared" si="214"/>
        <v>魔偶*23</v>
      </c>
      <c r="AF695" t="str">
        <f t="shared" si="215"/>
        <v>灵能水晶*60</v>
      </c>
      <c r="AG695" t="str">
        <f t="shared" si="216"/>
        <v/>
      </c>
      <c r="AH695" t="str">
        <f t="shared" si="217"/>
        <v/>
      </c>
      <c r="AI695" t="str">
        <f t="shared" si="218"/>
        <v/>
      </c>
      <c r="AJ695" t="str">
        <f t="shared" si="219"/>
        <v/>
      </c>
      <c r="AK695" t="str">
        <f t="shared" si="220"/>
        <v/>
      </c>
      <c r="AL695">
        <f>IFERROR(ROUND(L695*(G695/$AU695)/VLOOKUP(F695,商品!$A$4:$B$60,2,FALSE),0),"")</f>
        <v>23</v>
      </c>
      <c r="AM695">
        <f>IFERROR(ROUND(L695*(I695/$AU695)/VLOOKUP(H695,商品!$A$4:$B$60,2,FALSE),0),"")</f>
        <v>60</v>
      </c>
      <c r="AN695">
        <f>IFERROR(ROUND(L695*(J695/$AU695)/VLOOKUP("运力",商品!$A$4:$B$60,2,FALSE),0),0)</f>
        <v>0</v>
      </c>
      <c r="AO695">
        <f>IFERROR(ROUND(L695*(K695/$AU695)/VLOOKUP("交易",商品!$A$4:$B$60,2,FALSE),0),0)</f>
        <v>0</v>
      </c>
      <c r="AP695" t="str">
        <f>IFERROR(ROUND(S695*(N695/$AV695)/VLOOKUP(M695,职业!$A$4:$G$16,4,FALSE),0),"")</f>
        <v/>
      </c>
      <c r="AQ695" t="str">
        <f>IFERROR(ROUND(S695*(P695/$AV695)/VLOOKUP(O695,职业!$A$4:$G$16,4,FALSE),0),"")</f>
        <v/>
      </c>
      <c r="AR695" t="str">
        <f>IFERROR(ROUND(S695*(R695/$AV695)/VLOOKUP(Q695,职业!$A$4:$G$16,4,FALSE),0),"")</f>
        <v/>
      </c>
      <c r="AS695" t="str">
        <f>IFERROR(ROUND(X695*(U695/$AW695)/VLOOKUP(T695,商品!$A$4:$B$60,2,FALSE),0),"")</f>
        <v/>
      </c>
      <c r="AT695" t="str">
        <f>IFERROR(ROUND(X695*(W695/$AW695)/VLOOKUP(V695,商品!$A$4:$B$60,2,FALSE),0),"")</f>
        <v/>
      </c>
      <c r="AU695">
        <f t="shared" si="221"/>
        <v>15</v>
      </c>
      <c r="AV695">
        <f t="shared" si="222"/>
        <v>0</v>
      </c>
      <c r="AW695">
        <f t="shared" si="223"/>
        <v>0</v>
      </c>
    </row>
    <row r="696" spans="1:49" ht="19.95" customHeight="1" x14ac:dyDescent="0.25">
      <c r="A696" s="15" t="s">
        <v>327</v>
      </c>
      <c r="C696" s="15">
        <v>5</v>
      </c>
      <c r="D696" s="23" t="s">
        <v>312</v>
      </c>
      <c r="E696" s="23" t="s">
        <v>177</v>
      </c>
      <c r="F696" s="2" t="s">
        <v>42</v>
      </c>
      <c r="G696" s="2">
        <v>5</v>
      </c>
      <c r="H696" s="2" t="s">
        <v>20</v>
      </c>
      <c r="I696" s="2">
        <v>10</v>
      </c>
      <c r="L696" s="16">
        <f>IFERROR(VLOOKUP($D696&amp;$C696,生产方式定位!$A$2:$E$38,2,FALSE)+VLOOKUP($E696&amp;$C696,生产方式定位!$F$3:$J$38,2,FALSE),0)</f>
        <v>3620</v>
      </c>
      <c r="S696" s="16">
        <f>IFERROR(VLOOKUP($D696&amp;$C696,生产方式定位!$A$2:$E$38,3,FALSE)+VLOOKUP($E696&amp;$C696,生产方式定位!$F$3:$J$38,3,FALSE),0)</f>
        <v>160</v>
      </c>
      <c r="X696" s="16">
        <f>IFERROR(VLOOKUP($D696&amp;$C696,生产方式定位!$A$2:$E$38,5,FALSE)+VLOOKUP($E696&amp;$C696,生产方式定位!$F$3:$J$38,5,FALSE),"错误")</f>
        <v>4620</v>
      </c>
      <c r="Y696" s="26" t="str">
        <f t="shared" si="208"/>
        <v>魔偶*30,灵能水晶*80</v>
      </c>
      <c r="Z696" s="36" t="str">
        <f t="shared" si="209"/>
        <v/>
      </c>
      <c r="AA696" s="36" t="str">
        <f t="shared" si="210"/>
        <v/>
      </c>
      <c r="AB696" s="27" t="str">
        <f t="shared" si="211"/>
        <v>28%</v>
      </c>
      <c r="AC696" s="2">
        <f t="shared" si="212"/>
        <v>840</v>
      </c>
      <c r="AD696" s="38">
        <f t="shared" si="213"/>
        <v>5</v>
      </c>
      <c r="AE696" t="str">
        <f t="shared" si="214"/>
        <v>魔偶*30</v>
      </c>
      <c r="AF696" t="str">
        <f t="shared" si="215"/>
        <v>灵能水晶*80</v>
      </c>
      <c r="AG696" t="str">
        <f t="shared" si="216"/>
        <v/>
      </c>
      <c r="AH696" t="str">
        <f t="shared" si="217"/>
        <v/>
      </c>
      <c r="AI696" t="str">
        <f t="shared" si="218"/>
        <v/>
      </c>
      <c r="AJ696" t="str">
        <f t="shared" si="219"/>
        <v/>
      </c>
      <c r="AK696" t="str">
        <f t="shared" si="220"/>
        <v/>
      </c>
      <c r="AL696">
        <f>IFERROR(ROUND(L696*(G696/$AU696)/VLOOKUP(F696,商品!$A$4:$B$60,2,FALSE),0),"")</f>
        <v>30</v>
      </c>
      <c r="AM696">
        <f>IFERROR(ROUND(L696*(I696/$AU696)/VLOOKUP(H696,商品!$A$4:$B$60,2,FALSE),0),"")</f>
        <v>80</v>
      </c>
      <c r="AN696">
        <f>IFERROR(ROUND(L696*(J696/$AU696)/VLOOKUP("运力",商品!$A$4:$B$60,2,FALSE),0),0)</f>
        <v>0</v>
      </c>
      <c r="AO696">
        <f>IFERROR(ROUND(L696*(K696/$AU696)/VLOOKUP("交易",商品!$A$4:$B$60,2,FALSE),0),0)</f>
        <v>0</v>
      </c>
      <c r="AP696" t="str">
        <f>IFERROR(ROUND(S696*(N696/$AV696)/VLOOKUP(M696,职业!$A$4:$G$16,4,FALSE),0),"")</f>
        <v/>
      </c>
      <c r="AQ696" t="str">
        <f>IFERROR(ROUND(S696*(P696/$AV696)/VLOOKUP(O696,职业!$A$4:$G$16,4,FALSE),0),"")</f>
        <v/>
      </c>
      <c r="AR696" t="str">
        <f>IFERROR(ROUND(S696*(R696/$AV696)/VLOOKUP(Q696,职业!$A$4:$G$16,4,FALSE),0),"")</f>
        <v/>
      </c>
      <c r="AS696" t="str">
        <f>IFERROR(ROUND(X696*(U696/$AW696)/VLOOKUP(T696,商品!$A$4:$B$60,2,FALSE),0),"")</f>
        <v/>
      </c>
      <c r="AT696" t="str">
        <f>IFERROR(ROUND(X696*(W696/$AW696)/VLOOKUP(V696,商品!$A$4:$B$60,2,FALSE),0),"")</f>
        <v/>
      </c>
      <c r="AU696">
        <f t="shared" si="221"/>
        <v>15</v>
      </c>
      <c r="AV696">
        <f t="shared" si="222"/>
        <v>0</v>
      </c>
      <c r="AW696">
        <f t="shared" si="223"/>
        <v>0</v>
      </c>
    </row>
    <row r="697" spans="1:49" ht="19.95" customHeight="1" x14ac:dyDescent="0.25">
      <c r="A697" s="16" t="s">
        <v>328</v>
      </c>
      <c r="C697" s="16">
        <v>1</v>
      </c>
      <c r="D697" s="23" t="s">
        <v>174</v>
      </c>
      <c r="E697" s="23" t="s">
        <v>179</v>
      </c>
      <c r="L697" s="15">
        <f>IFERROR(VLOOKUP($D697&amp;$C697,生产方式定位!$A$2:$E$38,2,FALSE)+VLOOKUP($E697&amp;$C697,生产方式定位!$F$3:$J$38,2,FALSE),0)</f>
        <v>0</v>
      </c>
      <c r="S697" s="15">
        <f>IFERROR(VLOOKUP($D697&amp;$C697,生产方式定位!$A$2:$E$38,3,FALSE)+VLOOKUP($E697&amp;$C697,生产方式定位!$F$3:$J$38,3,FALSE),0)</f>
        <v>100</v>
      </c>
      <c r="X697" s="15">
        <f>IFERROR(VLOOKUP($D697&amp;$C697,生产方式定位!$A$2:$E$38,5,FALSE)+VLOOKUP($E697&amp;$C697,生产方式定位!$F$3:$J$38,5,FALSE),"错误")</f>
        <v>100</v>
      </c>
      <c r="Y697" s="26" t="str">
        <f t="shared" si="208"/>
        <v/>
      </c>
      <c r="Z697" s="36" t="str">
        <f t="shared" si="209"/>
        <v/>
      </c>
      <c r="AA697" s="36" t="str">
        <f t="shared" si="210"/>
        <v/>
      </c>
      <c r="AB697" s="27" t="str">
        <f t="shared" si="211"/>
        <v/>
      </c>
      <c r="AC697" s="2" t="str">
        <f t="shared" si="212"/>
        <v/>
      </c>
      <c r="AD697" s="37">
        <f t="shared" si="213"/>
        <v>1</v>
      </c>
      <c r="AE697" t="str">
        <f t="shared" si="214"/>
        <v/>
      </c>
      <c r="AF697" t="str">
        <f t="shared" si="215"/>
        <v/>
      </c>
      <c r="AG697" t="str">
        <f t="shared" si="216"/>
        <v/>
      </c>
      <c r="AH697" t="str">
        <f t="shared" si="217"/>
        <v/>
      </c>
      <c r="AI697" t="str">
        <f t="shared" si="218"/>
        <v/>
      </c>
      <c r="AJ697" t="str">
        <f t="shared" si="219"/>
        <v/>
      </c>
      <c r="AK697" t="str">
        <f t="shared" si="220"/>
        <v/>
      </c>
      <c r="AL697" t="str">
        <f>IFERROR(ROUND(L697*(G697/$AU697)/VLOOKUP(F697,商品!$A$4:$B$60,2,FALSE),0),"")</f>
        <v/>
      </c>
      <c r="AM697" t="str">
        <f>IFERROR(ROUND(L697*(I697/$AU697)/VLOOKUP(H697,商品!$A$4:$B$60,2,FALSE),0),"")</f>
        <v/>
      </c>
      <c r="AN697">
        <f>IFERROR(ROUND(L697*(J697/$AU697)/VLOOKUP("运力",商品!$A$4:$B$60,2,FALSE),0),0)</f>
        <v>0</v>
      </c>
      <c r="AO697">
        <f>IFERROR(ROUND(L697*(K697/$AU697)/VLOOKUP("交易",商品!$A$4:$B$60,2,FALSE),0),0)</f>
        <v>0</v>
      </c>
      <c r="AP697" t="str">
        <f>IFERROR(ROUND(S697*(N697/$AV697)/VLOOKUP(M697,职业!$A$4:$G$16,4,FALSE),0),"")</f>
        <v/>
      </c>
      <c r="AQ697" t="str">
        <f>IFERROR(ROUND(S697*(P697/$AV697)/VLOOKUP(O697,职业!$A$4:$G$16,4,FALSE),0),"")</f>
        <v/>
      </c>
      <c r="AR697" t="str">
        <f>IFERROR(ROUND(S697*(R697/$AV697)/VLOOKUP(Q697,职业!$A$4:$G$16,4,FALSE),0),"")</f>
        <v/>
      </c>
      <c r="AS697" t="str">
        <f>IFERROR(ROUND(X697*(U697/$AW697)/VLOOKUP(T697,商品!$A$4:$B$60,2,FALSE),0),"")</f>
        <v/>
      </c>
      <c r="AT697" t="str">
        <f>IFERROR(ROUND(X697*(W697/$AW697)/VLOOKUP(V697,商品!$A$4:$B$60,2,FALSE),0),"")</f>
        <v/>
      </c>
      <c r="AU697">
        <f t="shared" si="221"/>
        <v>0</v>
      </c>
      <c r="AV697">
        <f t="shared" si="222"/>
        <v>0</v>
      </c>
      <c r="AW697">
        <f t="shared" si="223"/>
        <v>0</v>
      </c>
    </row>
    <row r="698" spans="1:49" ht="19.95" customHeight="1" x14ac:dyDescent="0.25">
      <c r="A698" s="16" t="s">
        <v>328</v>
      </c>
      <c r="C698" s="16">
        <v>2</v>
      </c>
      <c r="D698" s="23" t="s">
        <v>174</v>
      </c>
      <c r="E698" s="23" t="s">
        <v>179</v>
      </c>
      <c r="L698" s="15">
        <f>IFERROR(VLOOKUP($D698&amp;$C698,生产方式定位!$A$2:$E$38,2,FALSE)+VLOOKUP($E698&amp;$C698,生产方式定位!$F$3:$J$38,2,FALSE),0)</f>
        <v>0</v>
      </c>
      <c r="S698" s="15">
        <f>IFERROR(VLOOKUP($D698&amp;$C698,生产方式定位!$A$2:$E$38,3,FALSE)+VLOOKUP($E698&amp;$C698,生产方式定位!$F$3:$J$38,3,FALSE),0)</f>
        <v>100</v>
      </c>
      <c r="X698" s="15">
        <f>IFERROR(VLOOKUP($D698&amp;$C698,生产方式定位!$A$2:$E$38,5,FALSE)+VLOOKUP($E698&amp;$C698,生产方式定位!$F$3:$J$38,5,FALSE),"错误")</f>
        <v>100</v>
      </c>
      <c r="Y698" s="26" t="str">
        <f t="shared" si="208"/>
        <v/>
      </c>
      <c r="Z698" s="36" t="str">
        <f t="shared" si="209"/>
        <v/>
      </c>
      <c r="AA698" s="36" t="str">
        <f t="shared" si="210"/>
        <v/>
      </c>
      <c r="AB698" s="27" t="str">
        <f t="shared" si="211"/>
        <v/>
      </c>
      <c r="AC698" s="2" t="str">
        <f t="shared" si="212"/>
        <v/>
      </c>
      <c r="AD698" s="37">
        <f t="shared" si="213"/>
        <v>2</v>
      </c>
      <c r="AE698" t="str">
        <f t="shared" si="214"/>
        <v/>
      </c>
      <c r="AF698" t="str">
        <f t="shared" si="215"/>
        <v/>
      </c>
      <c r="AG698" t="str">
        <f t="shared" si="216"/>
        <v/>
      </c>
      <c r="AH698" t="str">
        <f t="shared" si="217"/>
        <v/>
      </c>
      <c r="AI698" t="str">
        <f t="shared" si="218"/>
        <v/>
      </c>
      <c r="AJ698" t="str">
        <f t="shared" si="219"/>
        <v/>
      </c>
      <c r="AK698" t="str">
        <f t="shared" si="220"/>
        <v/>
      </c>
      <c r="AL698" t="str">
        <f>IFERROR(ROUND(L698*(G698/$AU698)/VLOOKUP(F698,商品!$A$4:$B$60,2,FALSE),0),"")</f>
        <v/>
      </c>
      <c r="AM698" t="str">
        <f>IFERROR(ROUND(L698*(I698/$AU698)/VLOOKUP(H698,商品!$A$4:$B$60,2,FALSE),0),"")</f>
        <v/>
      </c>
      <c r="AN698">
        <f>IFERROR(ROUND(L698*(J698/$AU698)/VLOOKUP("运力",商品!$A$4:$B$60,2,FALSE),0),0)</f>
        <v>0</v>
      </c>
      <c r="AO698">
        <f>IFERROR(ROUND(L698*(K698/$AU698)/VLOOKUP("交易",商品!$A$4:$B$60,2,FALSE),0),0)</f>
        <v>0</v>
      </c>
      <c r="AP698" t="str">
        <f>IFERROR(ROUND(S698*(N698/$AV698)/VLOOKUP(M698,职业!$A$4:$G$16,4,FALSE),0),"")</f>
        <v/>
      </c>
      <c r="AQ698" t="str">
        <f>IFERROR(ROUND(S698*(P698/$AV698)/VLOOKUP(O698,职业!$A$4:$G$16,4,FALSE),0),"")</f>
        <v/>
      </c>
      <c r="AR698" t="str">
        <f>IFERROR(ROUND(S698*(R698/$AV698)/VLOOKUP(Q698,职业!$A$4:$G$16,4,FALSE),0),"")</f>
        <v/>
      </c>
      <c r="AS698" t="str">
        <f>IFERROR(ROUND(X698*(U698/$AW698)/VLOOKUP(T698,商品!$A$4:$B$60,2,FALSE),0),"")</f>
        <v/>
      </c>
      <c r="AT698" t="str">
        <f>IFERROR(ROUND(X698*(W698/$AW698)/VLOOKUP(V698,商品!$A$4:$B$60,2,FALSE),0),"")</f>
        <v/>
      </c>
      <c r="AU698">
        <f t="shared" si="221"/>
        <v>0</v>
      </c>
      <c r="AV698">
        <f t="shared" si="222"/>
        <v>0</v>
      </c>
      <c r="AW698">
        <f t="shared" si="223"/>
        <v>0</v>
      </c>
    </row>
    <row r="699" spans="1:49" ht="19.95" customHeight="1" x14ac:dyDescent="0.25">
      <c r="A699" s="16" t="s">
        <v>328</v>
      </c>
      <c r="C699" s="16">
        <v>3</v>
      </c>
      <c r="D699" s="23" t="s">
        <v>174</v>
      </c>
      <c r="E699" s="23" t="s">
        <v>179</v>
      </c>
      <c r="L699" s="15">
        <f>IFERROR(VLOOKUP($D699&amp;$C699,生产方式定位!$A$2:$E$38,2,FALSE)+VLOOKUP($E699&amp;$C699,生产方式定位!$F$3:$J$38,2,FALSE),0)</f>
        <v>0</v>
      </c>
      <c r="S699" s="15">
        <f>IFERROR(VLOOKUP($D699&amp;$C699,生产方式定位!$A$2:$E$38,3,FALSE)+VLOOKUP($E699&amp;$C699,生产方式定位!$F$3:$J$38,3,FALSE),0)</f>
        <v>100</v>
      </c>
      <c r="X699" s="15">
        <f>IFERROR(VLOOKUP($D699&amp;$C699,生产方式定位!$A$2:$E$38,5,FALSE)+VLOOKUP($E699&amp;$C699,生产方式定位!$F$3:$J$38,5,FALSE),"错误")</f>
        <v>100</v>
      </c>
      <c r="Y699" s="26" t="str">
        <f t="shared" si="208"/>
        <v/>
      </c>
      <c r="Z699" s="36" t="str">
        <f t="shared" si="209"/>
        <v/>
      </c>
      <c r="AA699" s="36" t="str">
        <f t="shared" si="210"/>
        <v/>
      </c>
      <c r="AB699" s="27" t="str">
        <f t="shared" si="211"/>
        <v/>
      </c>
      <c r="AC699" s="2" t="str">
        <f t="shared" si="212"/>
        <v/>
      </c>
      <c r="AD699" s="37">
        <f t="shared" si="213"/>
        <v>3</v>
      </c>
      <c r="AE699" t="str">
        <f t="shared" si="214"/>
        <v/>
      </c>
      <c r="AF699" t="str">
        <f t="shared" si="215"/>
        <v/>
      </c>
      <c r="AG699" t="str">
        <f t="shared" si="216"/>
        <v/>
      </c>
      <c r="AH699" t="str">
        <f t="shared" si="217"/>
        <v/>
      </c>
      <c r="AI699" t="str">
        <f t="shared" si="218"/>
        <v/>
      </c>
      <c r="AJ699" t="str">
        <f t="shared" si="219"/>
        <v/>
      </c>
      <c r="AK699" t="str">
        <f t="shared" si="220"/>
        <v/>
      </c>
      <c r="AL699" t="str">
        <f>IFERROR(ROUND(L699*(G699/$AU699)/VLOOKUP(F699,商品!$A$4:$B$60,2,FALSE),0),"")</f>
        <v/>
      </c>
      <c r="AM699" t="str">
        <f>IFERROR(ROUND(L699*(I699/$AU699)/VLOOKUP(H699,商品!$A$4:$B$60,2,FALSE),0),"")</f>
        <v/>
      </c>
      <c r="AN699">
        <f>IFERROR(ROUND(L699*(J699/$AU699)/VLOOKUP("运力",商品!$A$4:$B$60,2,FALSE),0),0)</f>
        <v>0</v>
      </c>
      <c r="AO699">
        <f>IFERROR(ROUND(L699*(K699/$AU699)/VLOOKUP("交易",商品!$A$4:$B$60,2,FALSE),0),0)</f>
        <v>0</v>
      </c>
      <c r="AP699" t="str">
        <f>IFERROR(ROUND(S699*(N699/$AV699)/VLOOKUP(M699,职业!$A$4:$G$16,4,FALSE),0),"")</f>
        <v/>
      </c>
      <c r="AQ699" t="str">
        <f>IFERROR(ROUND(S699*(P699/$AV699)/VLOOKUP(O699,职业!$A$4:$G$16,4,FALSE),0),"")</f>
        <v/>
      </c>
      <c r="AR699" t="str">
        <f>IFERROR(ROUND(S699*(R699/$AV699)/VLOOKUP(Q699,职业!$A$4:$G$16,4,FALSE),0),"")</f>
        <v/>
      </c>
      <c r="AS699" t="str">
        <f>IFERROR(ROUND(X699*(U699/$AW699)/VLOOKUP(T699,商品!$A$4:$B$60,2,FALSE),0),"")</f>
        <v/>
      </c>
      <c r="AT699" t="str">
        <f>IFERROR(ROUND(X699*(W699/$AW699)/VLOOKUP(V699,商品!$A$4:$B$60,2,FALSE),0),"")</f>
        <v/>
      </c>
      <c r="AU699">
        <f t="shared" si="221"/>
        <v>0</v>
      </c>
      <c r="AV699">
        <f t="shared" si="222"/>
        <v>0</v>
      </c>
      <c r="AW699">
        <f t="shared" si="223"/>
        <v>0</v>
      </c>
    </row>
    <row r="700" spans="1:49" ht="19.95" customHeight="1" x14ac:dyDescent="0.25">
      <c r="A700" s="16" t="s">
        <v>328</v>
      </c>
      <c r="C700" s="16">
        <v>4</v>
      </c>
      <c r="D700" s="23" t="s">
        <v>174</v>
      </c>
      <c r="E700" s="23" t="s">
        <v>179</v>
      </c>
      <c r="L700" s="15">
        <f>IFERROR(VLOOKUP($D700&amp;$C700,生产方式定位!$A$2:$E$38,2,FALSE)+VLOOKUP($E700&amp;$C700,生产方式定位!$F$3:$J$38,2,FALSE),0)</f>
        <v>0</v>
      </c>
      <c r="S700" s="15">
        <f>IFERROR(VLOOKUP($D700&amp;$C700,生产方式定位!$A$2:$E$38,3,FALSE)+VLOOKUP($E700&amp;$C700,生产方式定位!$F$3:$J$38,3,FALSE),0)</f>
        <v>100</v>
      </c>
      <c r="X700" s="15">
        <f>IFERROR(VLOOKUP($D700&amp;$C700,生产方式定位!$A$2:$E$38,5,FALSE)+VLOOKUP($E700&amp;$C700,生产方式定位!$F$3:$J$38,5,FALSE),"错误")</f>
        <v>100</v>
      </c>
      <c r="Y700" s="26" t="str">
        <f t="shared" si="208"/>
        <v/>
      </c>
      <c r="Z700" s="36" t="str">
        <f t="shared" si="209"/>
        <v/>
      </c>
      <c r="AA700" s="36" t="str">
        <f t="shared" si="210"/>
        <v/>
      </c>
      <c r="AB700" s="27" t="str">
        <f t="shared" si="211"/>
        <v/>
      </c>
      <c r="AC700" s="2" t="str">
        <f t="shared" si="212"/>
        <v/>
      </c>
      <c r="AD700" s="37">
        <f t="shared" si="213"/>
        <v>4</v>
      </c>
      <c r="AE700" t="str">
        <f t="shared" si="214"/>
        <v/>
      </c>
      <c r="AF700" t="str">
        <f t="shared" si="215"/>
        <v/>
      </c>
      <c r="AG700" t="str">
        <f t="shared" si="216"/>
        <v/>
      </c>
      <c r="AH700" t="str">
        <f t="shared" si="217"/>
        <v/>
      </c>
      <c r="AI700" t="str">
        <f t="shared" si="218"/>
        <v/>
      </c>
      <c r="AJ700" t="str">
        <f t="shared" si="219"/>
        <v/>
      </c>
      <c r="AK700" t="str">
        <f t="shared" si="220"/>
        <v/>
      </c>
      <c r="AL700" t="str">
        <f>IFERROR(ROUND(L700*(G700/$AU700)/VLOOKUP(F700,商品!$A$4:$B$60,2,FALSE),0),"")</f>
        <v/>
      </c>
      <c r="AM700" t="str">
        <f>IFERROR(ROUND(L700*(I700/$AU700)/VLOOKUP(H700,商品!$A$4:$B$60,2,FALSE),0),"")</f>
        <v/>
      </c>
      <c r="AN700">
        <f>IFERROR(ROUND(L700*(J700/$AU700)/VLOOKUP("运力",商品!$A$4:$B$60,2,FALSE),0),0)</f>
        <v>0</v>
      </c>
      <c r="AO700">
        <f>IFERROR(ROUND(L700*(K700/$AU700)/VLOOKUP("交易",商品!$A$4:$B$60,2,FALSE),0),0)</f>
        <v>0</v>
      </c>
      <c r="AP700" t="str">
        <f>IFERROR(ROUND(S700*(N700/$AV700)/VLOOKUP(M700,职业!$A$4:$G$16,4,FALSE),0),"")</f>
        <v/>
      </c>
      <c r="AQ700" t="str">
        <f>IFERROR(ROUND(S700*(P700/$AV700)/VLOOKUP(O700,职业!$A$4:$G$16,4,FALSE),0),"")</f>
        <v/>
      </c>
      <c r="AR700" t="str">
        <f>IFERROR(ROUND(S700*(R700/$AV700)/VLOOKUP(Q700,职业!$A$4:$G$16,4,FALSE),0),"")</f>
        <v/>
      </c>
      <c r="AS700" t="str">
        <f>IFERROR(ROUND(X700*(U700/$AW700)/VLOOKUP(T700,商品!$A$4:$B$60,2,FALSE),0),"")</f>
        <v/>
      </c>
      <c r="AT700" t="str">
        <f>IFERROR(ROUND(X700*(W700/$AW700)/VLOOKUP(V700,商品!$A$4:$B$60,2,FALSE),0),"")</f>
        <v/>
      </c>
      <c r="AU700">
        <f t="shared" si="221"/>
        <v>0</v>
      </c>
      <c r="AV700">
        <f t="shared" si="222"/>
        <v>0</v>
      </c>
      <c r="AW700">
        <f t="shared" si="223"/>
        <v>0</v>
      </c>
    </row>
    <row r="701" spans="1:49" ht="19.95" customHeight="1" x14ac:dyDescent="0.25">
      <c r="A701" s="16" t="s">
        <v>328</v>
      </c>
      <c r="C701" s="16">
        <v>5</v>
      </c>
      <c r="D701" s="23" t="s">
        <v>174</v>
      </c>
      <c r="E701" s="23" t="s">
        <v>179</v>
      </c>
      <c r="L701" s="15">
        <f>IFERROR(VLOOKUP($D701&amp;$C701,生产方式定位!$A$2:$E$38,2,FALSE)+VLOOKUP($E701&amp;$C701,生产方式定位!$F$3:$J$38,2,FALSE),0)</f>
        <v>0</v>
      </c>
      <c r="S701" s="15">
        <f>IFERROR(VLOOKUP($D701&amp;$C701,生产方式定位!$A$2:$E$38,3,FALSE)+VLOOKUP($E701&amp;$C701,生产方式定位!$F$3:$J$38,3,FALSE),0)</f>
        <v>100</v>
      </c>
      <c r="X701" s="15">
        <f>IFERROR(VLOOKUP($D701&amp;$C701,生产方式定位!$A$2:$E$38,5,FALSE)+VLOOKUP($E701&amp;$C701,生产方式定位!$F$3:$J$38,5,FALSE),"错误")</f>
        <v>100</v>
      </c>
      <c r="Y701" s="26" t="str">
        <f t="shared" si="208"/>
        <v/>
      </c>
      <c r="Z701" s="36" t="str">
        <f t="shared" si="209"/>
        <v/>
      </c>
      <c r="AA701" s="36" t="str">
        <f t="shared" si="210"/>
        <v/>
      </c>
      <c r="AB701" s="27" t="str">
        <f t="shared" si="211"/>
        <v/>
      </c>
      <c r="AC701" s="2" t="str">
        <f t="shared" si="212"/>
        <v/>
      </c>
      <c r="AD701" s="37">
        <f t="shared" si="213"/>
        <v>5</v>
      </c>
      <c r="AE701" t="str">
        <f t="shared" si="214"/>
        <v/>
      </c>
      <c r="AF701" t="str">
        <f t="shared" si="215"/>
        <v/>
      </c>
      <c r="AG701" t="str">
        <f t="shared" si="216"/>
        <v/>
      </c>
      <c r="AH701" t="str">
        <f t="shared" si="217"/>
        <v/>
      </c>
      <c r="AI701" t="str">
        <f t="shared" si="218"/>
        <v/>
      </c>
      <c r="AJ701" t="str">
        <f t="shared" si="219"/>
        <v/>
      </c>
      <c r="AK701" t="str">
        <f t="shared" si="220"/>
        <v/>
      </c>
      <c r="AL701" t="str">
        <f>IFERROR(ROUND(L701*(G701/$AU701)/VLOOKUP(F701,商品!$A$4:$B$60,2,FALSE),0),"")</f>
        <v/>
      </c>
      <c r="AM701" t="str">
        <f>IFERROR(ROUND(L701*(I701/$AU701)/VLOOKUP(H701,商品!$A$4:$B$60,2,FALSE),0),"")</f>
        <v/>
      </c>
      <c r="AN701">
        <f>IFERROR(ROUND(L701*(J701/$AU701)/VLOOKUP("运力",商品!$A$4:$B$60,2,FALSE),0),0)</f>
        <v>0</v>
      </c>
      <c r="AO701">
        <f>IFERROR(ROUND(L701*(K701/$AU701)/VLOOKUP("交易",商品!$A$4:$B$60,2,FALSE),0),0)</f>
        <v>0</v>
      </c>
      <c r="AP701" t="str">
        <f>IFERROR(ROUND(S701*(N701/$AV701)/VLOOKUP(M701,职业!$A$4:$G$16,4,FALSE),0),"")</f>
        <v/>
      </c>
      <c r="AQ701" t="str">
        <f>IFERROR(ROUND(S701*(P701/$AV701)/VLOOKUP(O701,职业!$A$4:$G$16,4,FALSE),0),"")</f>
        <v/>
      </c>
      <c r="AR701" t="str">
        <f>IFERROR(ROUND(S701*(R701/$AV701)/VLOOKUP(Q701,职业!$A$4:$G$16,4,FALSE),0),"")</f>
        <v/>
      </c>
      <c r="AS701" t="str">
        <f>IFERROR(ROUND(X701*(U701/$AW701)/VLOOKUP(T701,商品!$A$4:$B$60,2,FALSE),0),"")</f>
        <v/>
      </c>
      <c r="AT701" t="str">
        <f>IFERROR(ROUND(X701*(W701/$AW701)/VLOOKUP(V701,商品!$A$4:$B$60,2,FALSE),0),"")</f>
        <v/>
      </c>
      <c r="AU701">
        <f t="shared" si="221"/>
        <v>0</v>
      </c>
      <c r="AV701">
        <f t="shared" si="222"/>
        <v>0</v>
      </c>
      <c r="AW701">
        <f t="shared" si="223"/>
        <v>0</v>
      </c>
    </row>
    <row r="702" spans="1:49" ht="19.95" customHeight="1" x14ac:dyDescent="0.25">
      <c r="A702" s="16" t="s">
        <v>328</v>
      </c>
      <c r="C702" s="16">
        <v>6</v>
      </c>
      <c r="D702" s="23" t="s">
        <v>174</v>
      </c>
      <c r="E702" s="23" t="s">
        <v>179</v>
      </c>
      <c r="L702" s="15">
        <f>IFERROR(VLOOKUP($D702&amp;$C702,生产方式定位!$A$2:$E$38,2,FALSE)+VLOOKUP($E702&amp;$C702,生产方式定位!$F$3:$J$38,2,FALSE),0)</f>
        <v>0</v>
      </c>
      <c r="S702" s="15">
        <f>IFERROR(VLOOKUP($D702&amp;$C702,生产方式定位!$A$2:$E$38,3,FALSE)+VLOOKUP($E702&amp;$C702,生产方式定位!$F$3:$J$38,3,FALSE),0)</f>
        <v>100</v>
      </c>
      <c r="X702" s="15">
        <f>IFERROR(VLOOKUP($D702&amp;$C702,生产方式定位!$A$2:$E$38,5,FALSE)+VLOOKUP($E702&amp;$C702,生产方式定位!$F$3:$J$38,5,FALSE),"错误")</f>
        <v>100</v>
      </c>
      <c r="Y702" s="26" t="str">
        <f t="shared" si="208"/>
        <v/>
      </c>
      <c r="Z702" s="36" t="str">
        <f t="shared" si="209"/>
        <v/>
      </c>
      <c r="AA702" s="36" t="str">
        <f t="shared" si="210"/>
        <v/>
      </c>
      <c r="AB702" s="27" t="str">
        <f t="shared" si="211"/>
        <v/>
      </c>
      <c r="AC702" s="2" t="str">
        <f t="shared" si="212"/>
        <v/>
      </c>
      <c r="AD702" s="38">
        <f t="shared" si="213"/>
        <v>6</v>
      </c>
      <c r="AE702" t="str">
        <f t="shared" si="214"/>
        <v/>
      </c>
      <c r="AF702" t="str">
        <f t="shared" si="215"/>
        <v/>
      </c>
      <c r="AG702" t="str">
        <f t="shared" si="216"/>
        <v/>
      </c>
      <c r="AH702" t="str">
        <f t="shared" si="217"/>
        <v/>
      </c>
      <c r="AI702" t="str">
        <f t="shared" si="218"/>
        <v/>
      </c>
      <c r="AJ702" t="str">
        <f t="shared" si="219"/>
        <v/>
      </c>
      <c r="AK702" t="str">
        <f t="shared" si="220"/>
        <v/>
      </c>
      <c r="AL702" t="str">
        <f>IFERROR(ROUND(L702*(G702/$AU702)/VLOOKUP(F702,商品!$A$4:$B$60,2,FALSE),0),"")</f>
        <v/>
      </c>
      <c r="AM702" t="str">
        <f>IFERROR(ROUND(L702*(I702/$AU702)/VLOOKUP(H702,商品!$A$4:$B$60,2,FALSE),0),"")</f>
        <v/>
      </c>
      <c r="AN702">
        <f>IFERROR(ROUND(L702*(J702/$AU702)/VLOOKUP("运力",商品!$A$4:$B$60,2,FALSE),0),0)</f>
        <v>0</v>
      </c>
      <c r="AO702">
        <f>IFERROR(ROUND(L702*(K702/$AU702)/VLOOKUP("交易",商品!$A$4:$B$60,2,FALSE),0),0)</f>
        <v>0</v>
      </c>
      <c r="AP702" t="str">
        <f>IFERROR(ROUND(S702*(N702/$AV702)/VLOOKUP(M702,职业!$A$4:$G$16,4,FALSE),0),"")</f>
        <v/>
      </c>
      <c r="AQ702" t="str">
        <f>IFERROR(ROUND(S702*(P702/$AV702)/VLOOKUP(O702,职业!$A$4:$G$16,4,FALSE),0),"")</f>
        <v/>
      </c>
      <c r="AR702" t="str">
        <f>IFERROR(ROUND(S702*(R702/$AV702)/VLOOKUP(Q702,职业!$A$4:$G$16,4,FALSE),0),"")</f>
        <v/>
      </c>
      <c r="AS702" t="str">
        <f>IFERROR(ROUND(X702*(U702/$AW702)/VLOOKUP(T702,商品!$A$4:$B$60,2,FALSE),0),"")</f>
        <v/>
      </c>
      <c r="AT702" t="str">
        <f>IFERROR(ROUND(X702*(W702/$AW702)/VLOOKUP(V702,商品!$A$4:$B$60,2,FALSE),0),"")</f>
        <v/>
      </c>
      <c r="AU702">
        <f t="shared" si="221"/>
        <v>0</v>
      </c>
      <c r="AV702">
        <f t="shared" si="222"/>
        <v>0</v>
      </c>
      <c r="AW702">
        <f t="shared" si="223"/>
        <v>0</v>
      </c>
    </row>
    <row r="703" spans="1:49" ht="19.95" customHeight="1" x14ac:dyDescent="0.25">
      <c r="A703" s="16" t="s">
        <v>328</v>
      </c>
      <c r="C703" s="16">
        <v>7</v>
      </c>
      <c r="D703" s="23" t="s">
        <v>174</v>
      </c>
      <c r="E703" s="23" t="s">
        <v>179</v>
      </c>
      <c r="L703" s="15">
        <f>IFERROR(VLOOKUP($D703&amp;$C703,生产方式定位!$A$2:$E$38,2,FALSE)+VLOOKUP($E703&amp;$C703,生产方式定位!$F$3:$J$38,2,FALSE),0)</f>
        <v>0</v>
      </c>
      <c r="S703" s="15">
        <f>IFERROR(VLOOKUP($D703&amp;$C703,生产方式定位!$A$2:$E$38,3,FALSE)+VLOOKUP($E703&amp;$C703,生产方式定位!$F$3:$J$38,3,FALSE),0)</f>
        <v>100</v>
      </c>
      <c r="X703" s="15">
        <f>IFERROR(VLOOKUP($D703&amp;$C703,生产方式定位!$A$2:$E$38,5,FALSE)+VLOOKUP($E703&amp;$C703,生产方式定位!$F$3:$J$38,5,FALSE),"错误")</f>
        <v>100</v>
      </c>
      <c r="Y703" s="26" t="str">
        <f t="shared" si="208"/>
        <v/>
      </c>
      <c r="Z703" s="36" t="str">
        <f t="shared" si="209"/>
        <v/>
      </c>
      <c r="AA703" s="36" t="str">
        <f t="shared" si="210"/>
        <v/>
      </c>
      <c r="AB703" s="27" t="str">
        <f t="shared" si="211"/>
        <v/>
      </c>
      <c r="AC703" s="2" t="str">
        <f t="shared" si="212"/>
        <v/>
      </c>
      <c r="AD703" s="38">
        <f t="shared" si="213"/>
        <v>7</v>
      </c>
      <c r="AE703" t="str">
        <f t="shared" si="214"/>
        <v/>
      </c>
      <c r="AF703" t="str">
        <f t="shared" si="215"/>
        <v/>
      </c>
      <c r="AG703" t="str">
        <f t="shared" si="216"/>
        <v/>
      </c>
      <c r="AH703" t="str">
        <f t="shared" si="217"/>
        <v/>
      </c>
      <c r="AI703" t="str">
        <f t="shared" si="218"/>
        <v/>
      </c>
      <c r="AJ703" t="str">
        <f t="shared" si="219"/>
        <v/>
      </c>
      <c r="AK703" t="str">
        <f t="shared" si="220"/>
        <v/>
      </c>
      <c r="AL703" t="str">
        <f>IFERROR(ROUND(L703*(G703/$AU703)/VLOOKUP(F703,商品!$A$4:$B$60,2,FALSE),0),"")</f>
        <v/>
      </c>
      <c r="AM703" t="str">
        <f>IFERROR(ROUND(L703*(I703/$AU703)/VLOOKUP(H703,商品!$A$4:$B$60,2,FALSE),0),"")</f>
        <v/>
      </c>
      <c r="AN703">
        <f>IFERROR(ROUND(L703*(J703/$AU703)/VLOOKUP("运力",商品!$A$4:$B$60,2,FALSE),0),0)</f>
        <v>0</v>
      </c>
      <c r="AO703">
        <f>IFERROR(ROUND(L703*(K703/$AU703)/VLOOKUP("交易",商品!$A$4:$B$60,2,FALSE),0),0)</f>
        <v>0</v>
      </c>
      <c r="AP703" t="str">
        <f>IFERROR(ROUND(S703*(N703/$AV703)/VLOOKUP(M703,职业!$A$4:$G$16,4,FALSE),0),"")</f>
        <v/>
      </c>
      <c r="AQ703" t="str">
        <f>IFERROR(ROUND(S703*(P703/$AV703)/VLOOKUP(O703,职业!$A$4:$G$16,4,FALSE),0),"")</f>
        <v/>
      </c>
      <c r="AR703" t="str">
        <f>IFERROR(ROUND(S703*(R703/$AV703)/VLOOKUP(Q703,职业!$A$4:$G$16,4,FALSE),0),"")</f>
        <v/>
      </c>
      <c r="AS703" t="str">
        <f>IFERROR(ROUND(X703*(U703/$AW703)/VLOOKUP(T703,商品!$A$4:$B$60,2,FALSE),0),"")</f>
        <v/>
      </c>
      <c r="AT703" t="str">
        <f>IFERROR(ROUND(X703*(W703/$AW703)/VLOOKUP(V703,商品!$A$4:$B$60,2,FALSE),0),"")</f>
        <v/>
      </c>
      <c r="AU703">
        <f t="shared" si="221"/>
        <v>0</v>
      </c>
      <c r="AV703">
        <f t="shared" si="222"/>
        <v>0</v>
      </c>
      <c r="AW703">
        <f t="shared" si="223"/>
        <v>0</v>
      </c>
    </row>
    <row r="704" spans="1:49" ht="19.95" customHeight="1" x14ac:dyDescent="0.25">
      <c r="A704" s="16" t="s">
        <v>328</v>
      </c>
      <c r="C704" s="16">
        <v>8</v>
      </c>
      <c r="D704" s="23" t="s">
        <v>174</v>
      </c>
      <c r="E704" s="23" t="s">
        <v>179</v>
      </c>
      <c r="L704" s="15">
        <f>IFERROR(VLOOKUP($D704&amp;$C704,生产方式定位!$A$2:$E$38,2,FALSE)+VLOOKUP($E704&amp;$C704,生产方式定位!$F$3:$J$38,2,FALSE),0)</f>
        <v>0</v>
      </c>
      <c r="S704" s="15">
        <f>IFERROR(VLOOKUP($D704&amp;$C704,生产方式定位!$A$2:$E$38,3,FALSE)+VLOOKUP($E704&amp;$C704,生产方式定位!$F$3:$J$38,3,FALSE),0)</f>
        <v>100</v>
      </c>
      <c r="X704" s="15">
        <f>IFERROR(VLOOKUP($D704&amp;$C704,生产方式定位!$A$2:$E$38,5,FALSE)+VLOOKUP($E704&amp;$C704,生产方式定位!$F$3:$J$38,5,FALSE),"错误")</f>
        <v>100</v>
      </c>
      <c r="Y704" s="26" t="str">
        <f t="shared" si="208"/>
        <v/>
      </c>
      <c r="Z704" s="36" t="str">
        <f t="shared" si="209"/>
        <v/>
      </c>
      <c r="AA704" s="36" t="str">
        <f t="shared" si="210"/>
        <v/>
      </c>
      <c r="AB704" s="27" t="str">
        <f t="shared" si="211"/>
        <v/>
      </c>
      <c r="AC704" s="2" t="str">
        <f t="shared" si="212"/>
        <v/>
      </c>
      <c r="AD704" s="38">
        <f t="shared" si="213"/>
        <v>8</v>
      </c>
      <c r="AE704" t="str">
        <f t="shared" si="214"/>
        <v/>
      </c>
      <c r="AF704" t="str">
        <f t="shared" si="215"/>
        <v/>
      </c>
      <c r="AG704" t="str">
        <f t="shared" si="216"/>
        <v/>
      </c>
      <c r="AH704" t="str">
        <f t="shared" si="217"/>
        <v/>
      </c>
      <c r="AI704" t="str">
        <f t="shared" si="218"/>
        <v/>
      </c>
      <c r="AJ704" t="str">
        <f t="shared" si="219"/>
        <v/>
      </c>
      <c r="AK704" t="str">
        <f t="shared" si="220"/>
        <v/>
      </c>
      <c r="AL704" t="str">
        <f>IFERROR(ROUND(L704*(G704/$AU704)/VLOOKUP(F704,商品!$A$4:$B$60,2,FALSE),0),"")</f>
        <v/>
      </c>
      <c r="AM704" t="str">
        <f>IFERROR(ROUND(L704*(I704/$AU704)/VLOOKUP(H704,商品!$A$4:$B$60,2,FALSE),0),"")</f>
        <v/>
      </c>
      <c r="AN704">
        <f>IFERROR(ROUND(L704*(J704/$AU704)/VLOOKUP("运力",商品!$A$4:$B$60,2,FALSE),0),0)</f>
        <v>0</v>
      </c>
      <c r="AO704">
        <f>IFERROR(ROUND(L704*(K704/$AU704)/VLOOKUP("交易",商品!$A$4:$B$60,2,FALSE),0),0)</f>
        <v>0</v>
      </c>
      <c r="AP704" t="str">
        <f>IFERROR(ROUND(S704*(N704/$AV704)/VLOOKUP(M704,职业!$A$4:$G$16,4,FALSE),0),"")</f>
        <v/>
      </c>
      <c r="AQ704" t="str">
        <f>IFERROR(ROUND(S704*(P704/$AV704)/VLOOKUP(O704,职业!$A$4:$G$16,4,FALSE),0),"")</f>
        <v/>
      </c>
      <c r="AR704" t="str">
        <f>IFERROR(ROUND(S704*(R704/$AV704)/VLOOKUP(Q704,职业!$A$4:$G$16,4,FALSE),0),"")</f>
        <v/>
      </c>
      <c r="AS704" t="str">
        <f>IFERROR(ROUND(X704*(U704/$AW704)/VLOOKUP(T704,商品!$A$4:$B$60,2,FALSE),0),"")</f>
        <v/>
      </c>
      <c r="AT704" t="str">
        <f>IFERROR(ROUND(X704*(W704/$AW704)/VLOOKUP(V704,商品!$A$4:$B$60,2,FALSE),0),"")</f>
        <v/>
      </c>
      <c r="AU704">
        <f t="shared" si="221"/>
        <v>0</v>
      </c>
      <c r="AV704">
        <f t="shared" si="222"/>
        <v>0</v>
      </c>
      <c r="AW704">
        <f t="shared" si="223"/>
        <v>0</v>
      </c>
    </row>
    <row r="705" spans="1:49" ht="19.95" customHeight="1" x14ac:dyDescent="0.25">
      <c r="A705" s="15" t="s">
        <v>330</v>
      </c>
      <c r="C705" s="15">
        <v>1</v>
      </c>
      <c r="D705" s="23" t="s">
        <v>312</v>
      </c>
      <c r="E705" s="23" t="s">
        <v>172</v>
      </c>
      <c r="L705" s="16">
        <f>IFERROR(VLOOKUP($D705&amp;$C705,生产方式定位!$A$2:$E$38,2,FALSE)+VLOOKUP($E705&amp;$C705,生产方式定位!$F$3:$J$38,2,FALSE),0)</f>
        <v>0</v>
      </c>
      <c r="S705" s="16">
        <f>IFERROR(VLOOKUP($D705&amp;$C705,生产方式定位!$A$2:$E$38,3,FALSE)+VLOOKUP($E705&amp;$C705,生产方式定位!$F$3:$J$38,3,FALSE),0)</f>
        <v>100</v>
      </c>
      <c r="X705" s="16">
        <f>IFERROR(VLOOKUP($D705&amp;$C705,生产方式定位!$A$2:$E$38,5,FALSE)+VLOOKUP($E705&amp;$C705,生产方式定位!$F$3:$J$38,5,FALSE),"错误")</f>
        <v>500</v>
      </c>
      <c r="Y705" s="26" t="str">
        <f t="shared" si="208"/>
        <v/>
      </c>
      <c r="Z705" s="36" t="str">
        <f t="shared" si="209"/>
        <v/>
      </c>
      <c r="AA705" s="36" t="str">
        <f t="shared" si="210"/>
        <v/>
      </c>
      <c r="AB705" s="27" t="str">
        <f t="shared" si="211"/>
        <v/>
      </c>
      <c r="AC705" s="2">
        <f t="shared" si="212"/>
        <v>400</v>
      </c>
      <c r="AD705" s="38">
        <f t="shared" si="213"/>
        <v>1</v>
      </c>
      <c r="AE705" t="str">
        <f t="shared" si="214"/>
        <v/>
      </c>
      <c r="AF705" t="str">
        <f t="shared" si="215"/>
        <v/>
      </c>
      <c r="AG705" t="str">
        <f t="shared" si="216"/>
        <v/>
      </c>
      <c r="AH705" t="str">
        <f t="shared" si="217"/>
        <v/>
      </c>
      <c r="AI705" t="str">
        <f t="shared" si="218"/>
        <v/>
      </c>
      <c r="AJ705" t="str">
        <f t="shared" si="219"/>
        <v/>
      </c>
      <c r="AK705" t="str">
        <f t="shared" si="220"/>
        <v/>
      </c>
      <c r="AL705" t="str">
        <f>IFERROR(ROUND(L705*(G705/$AU705)/VLOOKUP(F705,商品!$A$4:$B$60,2,FALSE),0),"")</f>
        <v/>
      </c>
      <c r="AM705" t="str">
        <f>IFERROR(ROUND(L705*(I705/$AU705)/VLOOKUP(H705,商品!$A$4:$B$60,2,FALSE),0),"")</f>
        <v/>
      </c>
      <c r="AN705">
        <f>IFERROR(ROUND(L705*(J705/$AU705)/VLOOKUP("运力",商品!$A$4:$B$60,2,FALSE),0),0)</f>
        <v>0</v>
      </c>
      <c r="AO705">
        <f>IFERROR(ROUND(L705*(K705/$AU705)/VLOOKUP("交易",商品!$A$4:$B$60,2,FALSE),0),0)</f>
        <v>0</v>
      </c>
      <c r="AP705" t="str">
        <f>IFERROR(ROUND(S705*(N705/$AV705)/VLOOKUP(M705,职业!$A$4:$G$16,4,FALSE),0),"")</f>
        <v/>
      </c>
      <c r="AQ705" t="str">
        <f>IFERROR(ROUND(S705*(P705/$AV705)/VLOOKUP(O705,职业!$A$4:$G$16,4,FALSE),0),"")</f>
        <v/>
      </c>
      <c r="AR705" t="str">
        <f>IFERROR(ROUND(S705*(R705/$AV705)/VLOOKUP(Q705,职业!$A$4:$G$16,4,FALSE),0),"")</f>
        <v/>
      </c>
      <c r="AS705" t="str">
        <f>IFERROR(ROUND(X705*(U705/$AW705)/VLOOKUP(T705,商品!$A$4:$B$60,2,FALSE),0),"")</f>
        <v/>
      </c>
      <c r="AT705" t="str">
        <f>IFERROR(ROUND(X705*(W705/$AW705)/VLOOKUP(V705,商品!$A$4:$B$60,2,FALSE),0),"")</f>
        <v/>
      </c>
      <c r="AU705">
        <f t="shared" si="221"/>
        <v>0</v>
      </c>
      <c r="AV705">
        <f t="shared" si="222"/>
        <v>0</v>
      </c>
      <c r="AW705">
        <f t="shared" si="223"/>
        <v>0</v>
      </c>
    </row>
    <row r="706" spans="1:49" ht="19.95" customHeight="1" x14ac:dyDescent="0.25">
      <c r="A706" s="15" t="s">
        <v>330</v>
      </c>
      <c r="C706" s="15">
        <v>2</v>
      </c>
      <c r="D706" s="23" t="s">
        <v>312</v>
      </c>
      <c r="E706" s="23" t="s">
        <v>172</v>
      </c>
      <c r="L706" s="16">
        <f>IFERROR(VLOOKUP($D706&amp;$C706,生产方式定位!$A$2:$E$38,2,FALSE)+VLOOKUP($E706&amp;$C706,生产方式定位!$F$3:$J$38,2,FALSE),0)</f>
        <v>1300</v>
      </c>
      <c r="S706" s="16">
        <f>IFERROR(VLOOKUP($D706&amp;$C706,生产方式定位!$A$2:$E$38,3,FALSE)+VLOOKUP($E706&amp;$C706,生产方式定位!$F$3:$J$38,3,FALSE),0)</f>
        <v>100</v>
      </c>
      <c r="X706" s="16">
        <f>IFERROR(VLOOKUP($D706&amp;$C706,生产方式定位!$A$2:$E$38,5,FALSE)+VLOOKUP($E706&amp;$C706,生产方式定位!$F$3:$J$38,5,FALSE),"错误")</f>
        <v>1860</v>
      </c>
      <c r="Y706" s="26" t="str">
        <f t="shared" si="208"/>
        <v/>
      </c>
      <c r="Z706" s="36" t="str">
        <f t="shared" si="209"/>
        <v/>
      </c>
      <c r="AA706" s="36" t="str">
        <f t="shared" si="210"/>
        <v/>
      </c>
      <c r="AB706" s="27" t="str">
        <f t="shared" si="211"/>
        <v>43%</v>
      </c>
      <c r="AC706" s="2">
        <f t="shared" si="212"/>
        <v>460</v>
      </c>
      <c r="AD706" s="38">
        <f t="shared" si="213"/>
        <v>2</v>
      </c>
      <c r="AE706" t="str">
        <f t="shared" si="214"/>
        <v/>
      </c>
      <c r="AF706" t="str">
        <f t="shared" si="215"/>
        <v/>
      </c>
      <c r="AG706" t="str">
        <f t="shared" si="216"/>
        <v/>
      </c>
      <c r="AH706" t="str">
        <f t="shared" si="217"/>
        <v/>
      </c>
      <c r="AI706" t="str">
        <f t="shared" si="218"/>
        <v/>
      </c>
      <c r="AJ706" t="str">
        <f t="shared" si="219"/>
        <v/>
      </c>
      <c r="AK706" t="str">
        <f t="shared" si="220"/>
        <v/>
      </c>
      <c r="AL706" t="str">
        <f>IFERROR(ROUND(L706*(G706/$AU706)/VLOOKUP(F706,商品!$A$4:$B$60,2,FALSE),0),"")</f>
        <v/>
      </c>
      <c r="AM706" t="str">
        <f>IFERROR(ROUND(L706*(I706/$AU706)/VLOOKUP(H706,商品!$A$4:$B$60,2,FALSE),0),"")</f>
        <v/>
      </c>
      <c r="AN706">
        <f>IFERROR(ROUND(L706*(J706/$AU706)/VLOOKUP("运力",商品!$A$4:$B$60,2,FALSE),0),0)</f>
        <v>0</v>
      </c>
      <c r="AO706">
        <f>IFERROR(ROUND(L706*(K706/$AU706)/VLOOKUP("交易",商品!$A$4:$B$60,2,FALSE),0),0)</f>
        <v>0</v>
      </c>
      <c r="AP706" t="str">
        <f>IFERROR(ROUND(S706*(N706/$AV706)/VLOOKUP(M706,职业!$A$4:$G$16,4,FALSE),0),"")</f>
        <v/>
      </c>
      <c r="AQ706" t="str">
        <f>IFERROR(ROUND(S706*(P706/$AV706)/VLOOKUP(O706,职业!$A$4:$G$16,4,FALSE),0),"")</f>
        <v/>
      </c>
      <c r="AR706" t="str">
        <f>IFERROR(ROUND(S706*(R706/$AV706)/VLOOKUP(Q706,职业!$A$4:$G$16,4,FALSE),0),"")</f>
        <v/>
      </c>
      <c r="AS706" t="str">
        <f>IFERROR(ROUND(X706*(U706/$AW706)/VLOOKUP(T706,商品!$A$4:$B$60,2,FALSE),0),"")</f>
        <v/>
      </c>
      <c r="AT706" t="str">
        <f>IFERROR(ROUND(X706*(W706/$AW706)/VLOOKUP(V706,商品!$A$4:$B$60,2,FALSE),0),"")</f>
        <v/>
      </c>
      <c r="AU706">
        <f t="shared" si="221"/>
        <v>0</v>
      </c>
      <c r="AV706">
        <f t="shared" si="222"/>
        <v>0</v>
      </c>
      <c r="AW706">
        <f t="shared" si="223"/>
        <v>0</v>
      </c>
    </row>
    <row r="707" spans="1:49" ht="19.95" customHeight="1" x14ac:dyDescent="0.25">
      <c r="A707" s="15" t="s">
        <v>330</v>
      </c>
      <c r="C707" s="15">
        <v>3</v>
      </c>
      <c r="D707" s="23" t="s">
        <v>312</v>
      </c>
      <c r="E707" s="23" t="s">
        <v>172</v>
      </c>
      <c r="L707" s="16">
        <f>IFERROR(VLOOKUP($D707&amp;$C707,生产方式定位!$A$2:$E$38,2,FALSE)+VLOOKUP($E707&amp;$C707,生产方式定位!$F$3:$J$38,2,FALSE),0)</f>
        <v>2225</v>
      </c>
      <c r="S707" s="16">
        <f>IFERROR(VLOOKUP($D707&amp;$C707,生产方式定位!$A$2:$E$38,3,FALSE)+VLOOKUP($E707&amp;$C707,生产方式定位!$F$3:$J$38,3,FALSE),0)</f>
        <v>100</v>
      </c>
      <c r="X707" s="16">
        <f>IFERROR(VLOOKUP($D707&amp;$C707,生产方式定位!$A$2:$E$38,5,FALSE)+VLOOKUP($E707&amp;$C707,生产方式定位!$F$3:$J$38,5,FALSE),"错误")</f>
        <v>3130</v>
      </c>
      <c r="Y707" s="26" t="str">
        <f t="shared" si="208"/>
        <v/>
      </c>
      <c r="Z707" s="36" t="str">
        <f t="shared" si="209"/>
        <v/>
      </c>
      <c r="AA707" s="36" t="str">
        <f t="shared" si="210"/>
        <v/>
      </c>
      <c r="AB707" s="27" t="str">
        <f t="shared" si="211"/>
        <v>41%</v>
      </c>
      <c r="AC707" s="2">
        <f t="shared" si="212"/>
        <v>805</v>
      </c>
      <c r="AD707" s="37">
        <f t="shared" si="213"/>
        <v>3</v>
      </c>
      <c r="AE707" t="str">
        <f t="shared" si="214"/>
        <v/>
      </c>
      <c r="AF707" t="str">
        <f t="shared" si="215"/>
        <v/>
      </c>
      <c r="AG707" t="str">
        <f t="shared" si="216"/>
        <v/>
      </c>
      <c r="AH707" t="str">
        <f t="shared" si="217"/>
        <v/>
      </c>
      <c r="AI707" t="str">
        <f t="shared" si="218"/>
        <v/>
      </c>
      <c r="AJ707" t="str">
        <f t="shared" si="219"/>
        <v/>
      </c>
      <c r="AK707" t="str">
        <f t="shared" si="220"/>
        <v/>
      </c>
      <c r="AL707" t="str">
        <f>IFERROR(ROUND(L707*(G707/$AU707)/VLOOKUP(F707,商品!$A$4:$B$60,2,FALSE),0),"")</f>
        <v/>
      </c>
      <c r="AM707" t="str">
        <f>IFERROR(ROUND(L707*(I707/$AU707)/VLOOKUP(H707,商品!$A$4:$B$60,2,FALSE),0),"")</f>
        <v/>
      </c>
      <c r="AN707">
        <f>IFERROR(ROUND(L707*(J707/$AU707)/VLOOKUP("运力",商品!$A$4:$B$60,2,FALSE),0),0)</f>
        <v>0</v>
      </c>
      <c r="AO707">
        <f>IFERROR(ROUND(L707*(K707/$AU707)/VLOOKUP("交易",商品!$A$4:$B$60,2,FALSE),0),0)</f>
        <v>0</v>
      </c>
      <c r="AP707" t="str">
        <f>IFERROR(ROUND(S707*(N707/$AV707)/VLOOKUP(M707,职业!$A$4:$G$16,4,FALSE),0),"")</f>
        <v/>
      </c>
      <c r="AQ707" t="str">
        <f>IFERROR(ROUND(S707*(P707/$AV707)/VLOOKUP(O707,职业!$A$4:$G$16,4,FALSE),0),"")</f>
        <v/>
      </c>
      <c r="AR707" t="str">
        <f>IFERROR(ROUND(S707*(R707/$AV707)/VLOOKUP(Q707,职业!$A$4:$G$16,4,FALSE),0),"")</f>
        <v/>
      </c>
      <c r="AS707" t="str">
        <f>IFERROR(ROUND(X707*(U707/$AW707)/VLOOKUP(T707,商品!$A$4:$B$60,2,FALSE),0),"")</f>
        <v/>
      </c>
      <c r="AT707" t="str">
        <f>IFERROR(ROUND(X707*(W707/$AW707)/VLOOKUP(V707,商品!$A$4:$B$60,2,FALSE),0),"")</f>
        <v/>
      </c>
      <c r="AU707">
        <f t="shared" si="221"/>
        <v>0</v>
      </c>
      <c r="AV707">
        <f t="shared" si="222"/>
        <v>0</v>
      </c>
      <c r="AW707">
        <f t="shared" si="223"/>
        <v>0</v>
      </c>
    </row>
    <row r="708" spans="1:49" ht="19.95" customHeight="1" x14ac:dyDescent="0.25">
      <c r="A708" s="15" t="s">
        <v>330</v>
      </c>
      <c r="C708" s="15">
        <v>4</v>
      </c>
      <c r="D708" s="23" t="s">
        <v>312</v>
      </c>
      <c r="E708" s="23" t="s">
        <v>172</v>
      </c>
      <c r="L708" s="16">
        <f>IFERROR(VLOOKUP($D708&amp;$C708,生产方式定位!$A$2:$E$38,2,FALSE)+VLOOKUP($E708&amp;$C708,生产方式定位!$F$3:$J$38,2,FALSE),0)</f>
        <v>3150</v>
      </c>
      <c r="S708" s="16">
        <f>IFERROR(VLOOKUP($D708&amp;$C708,生产方式定位!$A$2:$E$38,3,FALSE)+VLOOKUP($E708&amp;$C708,生产方式定位!$F$3:$J$38,3,FALSE),0)</f>
        <v>100</v>
      </c>
      <c r="X708" s="16">
        <f>IFERROR(VLOOKUP($D708&amp;$C708,生产方式定位!$A$2:$E$38,5,FALSE)+VLOOKUP($E708&amp;$C708,生产方式定位!$F$3:$J$38,5,FALSE),"错误")</f>
        <v>4400</v>
      </c>
      <c r="Y708" s="26" t="str">
        <f t="shared" si="208"/>
        <v/>
      </c>
      <c r="Z708" s="36" t="str">
        <f t="shared" si="209"/>
        <v/>
      </c>
      <c r="AA708" s="36" t="str">
        <f t="shared" si="210"/>
        <v/>
      </c>
      <c r="AB708" s="27" t="str">
        <f t="shared" si="211"/>
        <v>40%</v>
      </c>
      <c r="AC708" s="2">
        <f t="shared" si="212"/>
        <v>1150</v>
      </c>
      <c r="AD708" s="37">
        <f t="shared" si="213"/>
        <v>4</v>
      </c>
      <c r="AE708" t="str">
        <f t="shared" si="214"/>
        <v/>
      </c>
      <c r="AF708" t="str">
        <f t="shared" si="215"/>
        <v/>
      </c>
      <c r="AG708" t="str">
        <f t="shared" si="216"/>
        <v/>
      </c>
      <c r="AH708" t="str">
        <f t="shared" si="217"/>
        <v/>
      </c>
      <c r="AI708" t="str">
        <f t="shared" si="218"/>
        <v/>
      </c>
      <c r="AJ708" t="str">
        <f t="shared" si="219"/>
        <v/>
      </c>
      <c r="AK708" t="str">
        <f t="shared" si="220"/>
        <v/>
      </c>
      <c r="AL708" t="str">
        <f>IFERROR(ROUND(L708*(G708/$AU708)/VLOOKUP(F708,商品!$A$4:$B$60,2,FALSE),0),"")</f>
        <v/>
      </c>
      <c r="AM708" t="str">
        <f>IFERROR(ROUND(L708*(I708/$AU708)/VLOOKUP(H708,商品!$A$4:$B$60,2,FALSE),0),"")</f>
        <v/>
      </c>
      <c r="AN708">
        <f>IFERROR(ROUND(L708*(J708/$AU708)/VLOOKUP("运力",商品!$A$4:$B$60,2,FALSE),0),0)</f>
        <v>0</v>
      </c>
      <c r="AO708">
        <f>IFERROR(ROUND(L708*(K708/$AU708)/VLOOKUP("交易",商品!$A$4:$B$60,2,FALSE),0),0)</f>
        <v>0</v>
      </c>
      <c r="AP708" t="str">
        <f>IFERROR(ROUND(S708*(N708/$AV708)/VLOOKUP(M708,职业!$A$4:$G$16,4,FALSE),0),"")</f>
        <v/>
      </c>
      <c r="AQ708" t="str">
        <f>IFERROR(ROUND(S708*(P708/$AV708)/VLOOKUP(O708,职业!$A$4:$G$16,4,FALSE),0),"")</f>
        <v/>
      </c>
      <c r="AR708" t="str">
        <f>IFERROR(ROUND(S708*(R708/$AV708)/VLOOKUP(Q708,职业!$A$4:$G$16,4,FALSE),0),"")</f>
        <v/>
      </c>
      <c r="AS708" t="str">
        <f>IFERROR(ROUND(X708*(U708/$AW708)/VLOOKUP(T708,商品!$A$4:$B$60,2,FALSE),0),"")</f>
        <v/>
      </c>
      <c r="AT708" t="str">
        <f>IFERROR(ROUND(X708*(W708/$AW708)/VLOOKUP(V708,商品!$A$4:$B$60,2,FALSE),0),"")</f>
        <v/>
      </c>
      <c r="AU708">
        <f t="shared" si="221"/>
        <v>0</v>
      </c>
      <c r="AV708">
        <f t="shared" si="222"/>
        <v>0</v>
      </c>
      <c r="AW708">
        <f t="shared" si="223"/>
        <v>0</v>
      </c>
    </row>
    <row r="709" spans="1:49" ht="19.95" customHeight="1" x14ac:dyDescent="0.25">
      <c r="A709" s="15" t="s">
        <v>330</v>
      </c>
      <c r="C709" s="15">
        <v>5</v>
      </c>
      <c r="D709" s="23" t="s">
        <v>312</v>
      </c>
      <c r="E709" s="23" t="s">
        <v>172</v>
      </c>
      <c r="L709" s="16">
        <f>IFERROR(VLOOKUP($D709&amp;$C709,生产方式定位!$A$2:$E$38,2,FALSE)+VLOOKUP($E709&amp;$C709,生产方式定位!$F$3:$J$38,2,FALSE),0)</f>
        <v>4075</v>
      </c>
      <c r="S709" s="16">
        <f>IFERROR(VLOOKUP($D709&amp;$C709,生产方式定位!$A$2:$E$38,3,FALSE)+VLOOKUP($E709&amp;$C709,生产方式定位!$F$3:$J$38,3,FALSE),0)</f>
        <v>100</v>
      </c>
      <c r="X709" s="16">
        <f>IFERROR(VLOOKUP($D709&amp;$C709,生产方式定位!$A$2:$E$38,5,FALSE)+VLOOKUP($E709&amp;$C709,生产方式定位!$F$3:$J$38,5,FALSE),"错误")</f>
        <v>5670</v>
      </c>
      <c r="Y709" s="26" t="str">
        <f t="shared" si="208"/>
        <v/>
      </c>
      <c r="Z709" s="36" t="str">
        <f t="shared" si="209"/>
        <v/>
      </c>
      <c r="AA709" s="36" t="str">
        <f t="shared" si="210"/>
        <v/>
      </c>
      <c r="AB709" s="27" t="str">
        <f t="shared" si="211"/>
        <v>39%</v>
      </c>
      <c r="AC709" s="2">
        <f t="shared" si="212"/>
        <v>1495</v>
      </c>
      <c r="AD709" s="37">
        <f t="shared" si="213"/>
        <v>5</v>
      </c>
      <c r="AE709" t="str">
        <f t="shared" si="214"/>
        <v/>
      </c>
      <c r="AF709" t="str">
        <f t="shared" si="215"/>
        <v/>
      </c>
      <c r="AG709" t="str">
        <f t="shared" si="216"/>
        <v/>
      </c>
      <c r="AH709" t="str">
        <f t="shared" si="217"/>
        <v/>
      </c>
      <c r="AI709" t="str">
        <f t="shared" si="218"/>
        <v/>
      </c>
      <c r="AJ709" t="str">
        <f t="shared" si="219"/>
        <v/>
      </c>
      <c r="AK709" t="str">
        <f t="shared" si="220"/>
        <v/>
      </c>
      <c r="AL709" t="str">
        <f>IFERROR(ROUND(L709*(G709/$AU709)/VLOOKUP(F709,商品!$A$4:$B$60,2,FALSE),0),"")</f>
        <v/>
      </c>
      <c r="AM709" t="str">
        <f>IFERROR(ROUND(L709*(I709/$AU709)/VLOOKUP(H709,商品!$A$4:$B$60,2,FALSE),0),"")</f>
        <v/>
      </c>
      <c r="AN709">
        <f>IFERROR(ROUND(L709*(J709/$AU709)/VLOOKUP("运力",商品!$A$4:$B$60,2,FALSE),0),0)</f>
        <v>0</v>
      </c>
      <c r="AO709">
        <f>IFERROR(ROUND(L709*(K709/$AU709)/VLOOKUP("交易",商品!$A$4:$B$60,2,FALSE),0),0)</f>
        <v>0</v>
      </c>
      <c r="AP709" t="str">
        <f>IFERROR(ROUND(S709*(N709/$AV709)/VLOOKUP(M709,职业!$A$4:$G$16,4,FALSE),0),"")</f>
        <v/>
      </c>
      <c r="AQ709" t="str">
        <f>IFERROR(ROUND(S709*(P709/$AV709)/VLOOKUP(O709,职业!$A$4:$G$16,4,FALSE),0),"")</f>
        <v/>
      </c>
      <c r="AR709" t="str">
        <f>IFERROR(ROUND(S709*(R709/$AV709)/VLOOKUP(Q709,职业!$A$4:$G$16,4,FALSE),0),"")</f>
        <v/>
      </c>
      <c r="AS709" t="str">
        <f>IFERROR(ROUND(X709*(U709/$AW709)/VLOOKUP(T709,商品!$A$4:$B$60,2,FALSE),0),"")</f>
        <v/>
      </c>
      <c r="AT709" t="str">
        <f>IFERROR(ROUND(X709*(W709/$AW709)/VLOOKUP(V709,商品!$A$4:$B$60,2,FALSE),0),"")</f>
        <v/>
      </c>
      <c r="AU709">
        <f t="shared" si="221"/>
        <v>0</v>
      </c>
      <c r="AV709">
        <f t="shared" si="222"/>
        <v>0</v>
      </c>
      <c r="AW709">
        <f t="shared" si="223"/>
        <v>0</v>
      </c>
    </row>
    <row r="710" spans="1:49" ht="19.95" customHeight="1" x14ac:dyDescent="0.25">
      <c r="A710" s="16" t="s">
        <v>331</v>
      </c>
      <c r="C710" s="16">
        <v>1</v>
      </c>
      <c r="D710" s="23" t="s">
        <v>312</v>
      </c>
      <c r="E710" s="23" t="s">
        <v>193</v>
      </c>
      <c r="L710" s="15">
        <f>IFERROR(VLOOKUP($D710&amp;$C710,生产方式定位!$A$2:$E$38,2,FALSE)+VLOOKUP($E710&amp;$C710,生产方式定位!$F$3:$J$38,2,FALSE),0)</f>
        <v>0</v>
      </c>
      <c r="S710" s="15">
        <f>IFERROR(VLOOKUP($D710&amp;$C710,生产方式定位!$A$2:$E$38,3,FALSE)+VLOOKUP($E710&amp;$C710,生产方式定位!$F$3:$J$38,3,FALSE),0)</f>
        <v>100</v>
      </c>
      <c r="X710" s="15">
        <f>IFERROR(VLOOKUP($D710&amp;$C710,生产方式定位!$A$2:$E$38,5,FALSE)+VLOOKUP($E710&amp;$C710,生产方式定位!$F$3:$J$38,5,FALSE),"错误")</f>
        <v>500</v>
      </c>
      <c r="Y710" s="26" t="str">
        <f t="shared" si="208"/>
        <v/>
      </c>
      <c r="Z710" s="36" t="str">
        <f t="shared" si="209"/>
        <v/>
      </c>
      <c r="AA710" s="36" t="str">
        <f t="shared" si="210"/>
        <v/>
      </c>
      <c r="AB710" s="27" t="str">
        <f t="shared" si="211"/>
        <v/>
      </c>
      <c r="AC710" s="2">
        <f t="shared" si="212"/>
        <v>400</v>
      </c>
      <c r="AD710" s="37">
        <f t="shared" si="213"/>
        <v>1</v>
      </c>
      <c r="AE710" t="str">
        <f t="shared" si="214"/>
        <v/>
      </c>
      <c r="AF710" t="str">
        <f t="shared" si="215"/>
        <v/>
      </c>
      <c r="AG710" t="str">
        <f t="shared" si="216"/>
        <v/>
      </c>
      <c r="AH710" t="str">
        <f t="shared" si="217"/>
        <v/>
      </c>
      <c r="AI710" t="str">
        <f t="shared" si="218"/>
        <v/>
      </c>
      <c r="AJ710" t="str">
        <f t="shared" si="219"/>
        <v/>
      </c>
      <c r="AK710" t="str">
        <f t="shared" si="220"/>
        <v/>
      </c>
      <c r="AL710" t="str">
        <f>IFERROR(ROUND(L710*(G710/$AU710)/VLOOKUP(F710,商品!$A$4:$B$60,2,FALSE),0),"")</f>
        <v/>
      </c>
      <c r="AM710" t="str">
        <f>IFERROR(ROUND(L710*(I710/$AU710)/VLOOKUP(H710,商品!$A$4:$B$60,2,FALSE),0),"")</f>
        <v/>
      </c>
      <c r="AN710">
        <f>IFERROR(ROUND(L710*(J710/$AU710)/VLOOKUP("运力",商品!$A$4:$B$60,2,FALSE),0),0)</f>
        <v>0</v>
      </c>
      <c r="AO710">
        <f>IFERROR(ROUND(L710*(K710/$AU710)/VLOOKUP("交易",商品!$A$4:$B$60,2,FALSE),0),0)</f>
        <v>0</v>
      </c>
      <c r="AP710" t="str">
        <f>IFERROR(ROUND(S710*(N710/$AV710)/VLOOKUP(M710,职业!$A$4:$G$16,4,FALSE),0),"")</f>
        <v/>
      </c>
      <c r="AQ710" t="str">
        <f>IFERROR(ROUND(S710*(P710/$AV710)/VLOOKUP(O710,职业!$A$4:$G$16,4,FALSE),0),"")</f>
        <v/>
      </c>
      <c r="AR710" t="str">
        <f>IFERROR(ROUND(S710*(R710/$AV710)/VLOOKUP(Q710,职业!$A$4:$G$16,4,FALSE),0),"")</f>
        <v/>
      </c>
      <c r="AS710" t="str">
        <f>IFERROR(ROUND(X710*(U710/$AW710)/VLOOKUP(T710,商品!$A$4:$B$60,2,FALSE),0),"")</f>
        <v/>
      </c>
      <c r="AT710" t="str">
        <f>IFERROR(ROUND(X710*(W710/$AW710)/VLOOKUP(V710,商品!$A$4:$B$60,2,FALSE),0),"")</f>
        <v/>
      </c>
      <c r="AU710">
        <f t="shared" si="221"/>
        <v>0</v>
      </c>
      <c r="AV710">
        <f t="shared" si="222"/>
        <v>0</v>
      </c>
      <c r="AW710">
        <f t="shared" si="223"/>
        <v>0</v>
      </c>
    </row>
    <row r="711" spans="1:49" ht="19.95" customHeight="1" x14ac:dyDescent="0.25">
      <c r="A711" s="16" t="s">
        <v>331</v>
      </c>
      <c r="C711" s="16">
        <v>2</v>
      </c>
      <c r="D711" s="23" t="s">
        <v>312</v>
      </c>
      <c r="E711" s="23" t="s">
        <v>193</v>
      </c>
      <c r="L711" s="15">
        <f>IFERROR(VLOOKUP($D711&amp;$C711,生产方式定位!$A$2:$E$38,2,FALSE)+VLOOKUP($E711&amp;$C711,生产方式定位!$F$3:$J$38,2,FALSE),0)</f>
        <v>1200</v>
      </c>
      <c r="S711" s="15">
        <f>IFERROR(VLOOKUP($D711&amp;$C711,生产方式定位!$A$2:$E$38,3,FALSE)+VLOOKUP($E711&amp;$C711,生产方式定位!$F$3:$J$38,3,FALSE),0)</f>
        <v>5</v>
      </c>
      <c r="X711" s="15">
        <f>IFERROR(VLOOKUP($D711&amp;$C711,生产方式定位!$A$2:$E$38,5,FALSE)+VLOOKUP($E711&amp;$C711,生产方式定位!$F$3:$J$38,5,FALSE),"错误")</f>
        <v>1687</v>
      </c>
      <c r="Y711" s="26" t="str">
        <f t="shared" si="208"/>
        <v/>
      </c>
      <c r="Z711" s="36" t="str">
        <f t="shared" si="209"/>
        <v/>
      </c>
      <c r="AA711" s="36" t="str">
        <f t="shared" si="210"/>
        <v/>
      </c>
      <c r="AB711" s="27" t="str">
        <f t="shared" si="211"/>
        <v>41%</v>
      </c>
      <c r="AC711" s="2">
        <f t="shared" si="212"/>
        <v>482</v>
      </c>
      <c r="AD711" s="37">
        <f t="shared" si="213"/>
        <v>2</v>
      </c>
      <c r="AE711" t="str">
        <f t="shared" si="214"/>
        <v/>
      </c>
      <c r="AF711" t="str">
        <f t="shared" si="215"/>
        <v/>
      </c>
      <c r="AG711" t="str">
        <f t="shared" si="216"/>
        <v/>
      </c>
      <c r="AH711" t="str">
        <f t="shared" si="217"/>
        <v/>
      </c>
      <c r="AI711" t="str">
        <f t="shared" si="218"/>
        <v/>
      </c>
      <c r="AJ711" t="str">
        <f t="shared" si="219"/>
        <v/>
      </c>
      <c r="AK711" t="str">
        <f t="shared" si="220"/>
        <v/>
      </c>
      <c r="AL711" t="str">
        <f>IFERROR(ROUND(L711*(G711/$AU711)/VLOOKUP(F711,商品!$A$4:$B$60,2,FALSE),0),"")</f>
        <v/>
      </c>
      <c r="AM711" t="str">
        <f>IFERROR(ROUND(L711*(I711/$AU711)/VLOOKUP(H711,商品!$A$4:$B$60,2,FALSE),0),"")</f>
        <v/>
      </c>
      <c r="AN711">
        <f>IFERROR(ROUND(L711*(J711/$AU711)/VLOOKUP("运力",商品!$A$4:$B$60,2,FALSE),0),0)</f>
        <v>0</v>
      </c>
      <c r="AO711">
        <f>IFERROR(ROUND(L711*(K711/$AU711)/VLOOKUP("交易",商品!$A$4:$B$60,2,FALSE),0),0)</f>
        <v>0</v>
      </c>
      <c r="AP711" t="str">
        <f>IFERROR(ROUND(S711*(N711/$AV711)/VLOOKUP(M711,职业!$A$4:$G$16,4,FALSE),0),"")</f>
        <v/>
      </c>
      <c r="AQ711" t="str">
        <f>IFERROR(ROUND(S711*(P711/$AV711)/VLOOKUP(O711,职业!$A$4:$G$16,4,FALSE),0),"")</f>
        <v/>
      </c>
      <c r="AR711" t="str">
        <f>IFERROR(ROUND(S711*(R711/$AV711)/VLOOKUP(Q711,职业!$A$4:$G$16,4,FALSE),0),"")</f>
        <v/>
      </c>
      <c r="AS711" t="str">
        <f>IFERROR(ROUND(X711*(U711/$AW711)/VLOOKUP(T711,商品!$A$4:$B$60,2,FALSE),0),"")</f>
        <v/>
      </c>
      <c r="AT711" t="str">
        <f>IFERROR(ROUND(X711*(W711/$AW711)/VLOOKUP(V711,商品!$A$4:$B$60,2,FALSE),0),"")</f>
        <v/>
      </c>
      <c r="AU711">
        <f t="shared" si="221"/>
        <v>0</v>
      </c>
      <c r="AV711">
        <f t="shared" si="222"/>
        <v>0</v>
      </c>
      <c r="AW711">
        <f t="shared" si="223"/>
        <v>0</v>
      </c>
    </row>
    <row r="712" spans="1:49" ht="19.95" customHeight="1" x14ac:dyDescent="0.25">
      <c r="A712" s="16" t="s">
        <v>331</v>
      </c>
      <c r="C712" s="16">
        <v>3</v>
      </c>
      <c r="D712" s="23" t="s">
        <v>312</v>
      </c>
      <c r="E712" s="23" t="s">
        <v>193</v>
      </c>
      <c r="L712" s="15">
        <f>IFERROR(VLOOKUP($D712&amp;$C712,生产方式定位!$A$2:$E$38,2,FALSE)+VLOOKUP($E712&amp;$C712,生产方式定位!$F$3:$J$38,2,FALSE),0)</f>
        <v>2100</v>
      </c>
      <c r="S712" s="15">
        <f>IFERROR(VLOOKUP($D712&amp;$C712,生产方式定位!$A$2:$E$38,3,FALSE)+VLOOKUP($E712&amp;$C712,生产方式定位!$F$3:$J$38,3,FALSE),0)</f>
        <v>10</v>
      </c>
      <c r="X712" s="15">
        <f>IFERROR(VLOOKUP($D712&amp;$C712,生产方式定位!$A$2:$E$38,5,FALSE)+VLOOKUP($E712&amp;$C712,生产方式定位!$F$3:$J$38,5,FALSE),"错误")</f>
        <v>2954</v>
      </c>
      <c r="Y712" s="26" t="str">
        <f t="shared" si="208"/>
        <v/>
      </c>
      <c r="Z712" s="36" t="str">
        <f t="shared" si="209"/>
        <v/>
      </c>
      <c r="AA712" s="36" t="str">
        <f t="shared" si="210"/>
        <v/>
      </c>
      <c r="AB712" s="27" t="str">
        <f t="shared" si="211"/>
        <v>41%</v>
      </c>
      <c r="AC712" s="2">
        <f t="shared" si="212"/>
        <v>844</v>
      </c>
      <c r="AD712" s="37">
        <f t="shared" si="213"/>
        <v>3</v>
      </c>
      <c r="AE712" t="str">
        <f t="shared" si="214"/>
        <v/>
      </c>
      <c r="AF712" t="str">
        <f t="shared" si="215"/>
        <v/>
      </c>
      <c r="AG712" t="str">
        <f t="shared" si="216"/>
        <v/>
      </c>
      <c r="AH712" t="str">
        <f t="shared" si="217"/>
        <v/>
      </c>
      <c r="AI712" t="str">
        <f t="shared" si="218"/>
        <v/>
      </c>
      <c r="AJ712" t="str">
        <f t="shared" si="219"/>
        <v/>
      </c>
      <c r="AK712" t="str">
        <f t="shared" si="220"/>
        <v/>
      </c>
      <c r="AL712" t="str">
        <f>IFERROR(ROUND(L712*(G712/$AU712)/VLOOKUP(F712,商品!$A$4:$B$60,2,FALSE),0),"")</f>
        <v/>
      </c>
      <c r="AM712" t="str">
        <f>IFERROR(ROUND(L712*(I712/$AU712)/VLOOKUP(H712,商品!$A$4:$B$60,2,FALSE),0),"")</f>
        <v/>
      </c>
      <c r="AN712">
        <f>IFERROR(ROUND(L712*(J712/$AU712)/VLOOKUP("运力",商品!$A$4:$B$60,2,FALSE),0),0)</f>
        <v>0</v>
      </c>
      <c r="AO712">
        <f>IFERROR(ROUND(L712*(K712/$AU712)/VLOOKUP("交易",商品!$A$4:$B$60,2,FALSE),0),0)</f>
        <v>0</v>
      </c>
      <c r="AP712" t="str">
        <f>IFERROR(ROUND(S712*(N712/$AV712)/VLOOKUP(M712,职业!$A$4:$G$16,4,FALSE),0),"")</f>
        <v/>
      </c>
      <c r="AQ712" t="str">
        <f>IFERROR(ROUND(S712*(P712/$AV712)/VLOOKUP(O712,职业!$A$4:$G$16,4,FALSE),0),"")</f>
        <v/>
      </c>
      <c r="AR712" t="str">
        <f>IFERROR(ROUND(S712*(R712/$AV712)/VLOOKUP(Q712,职业!$A$4:$G$16,4,FALSE),0),"")</f>
        <v/>
      </c>
      <c r="AS712" t="str">
        <f>IFERROR(ROUND(X712*(U712/$AW712)/VLOOKUP(T712,商品!$A$4:$B$60,2,FALSE),0),"")</f>
        <v/>
      </c>
      <c r="AT712" t="str">
        <f>IFERROR(ROUND(X712*(W712/$AW712)/VLOOKUP(V712,商品!$A$4:$B$60,2,FALSE),0),"")</f>
        <v/>
      </c>
      <c r="AU712">
        <f t="shared" si="221"/>
        <v>0</v>
      </c>
      <c r="AV712">
        <f t="shared" si="222"/>
        <v>0</v>
      </c>
      <c r="AW712">
        <f t="shared" si="223"/>
        <v>0</v>
      </c>
    </row>
    <row r="713" spans="1:49" ht="19.95" customHeight="1" x14ac:dyDescent="0.25">
      <c r="A713" s="16" t="s">
        <v>331</v>
      </c>
      <c r="C713" s="16">
        <v>4</v>
      </c>
      <c r="D713" s="23" t="s">
        <v>312</v>
      </c>
      <c r="E713" s="23" t="s">
        <v>193</v>
      </c>
      <c r="L713" s="15">
        <f>IFERROR(VLOOKUP($D713&amp;$C713,生产方式定位!$A$2:$E$38,2,FALSE)+VLOOKUP($E713&amp;$C713,生产方式定位!$F$3:$J$38,2,FALSE),0)</f>
        <v>3000</v>
      </c>
      <c r="S713" s="15">
        <f>IFERROR(VLOOKUP($D713&amp;$C713,生产方式定位!$A$2:$E$38,3,FALSE)+VLOOKUP($E713&amp;$C713,生产方式定位!$F$3:$J$38,3,FALSE),0)</f>
        <v>15</v>
      </c>
      <c r="X713" s="15">
        <f>IFERROR(VLOOKUP($D713&amp;$C713,生产方式定位!$A$2:$E$38,5,FALSE)+VLOOKUP($E713&amp;$C713,生产方式定位!$F$3:$J$38,5,FALSE),"错误")</f>
        <v>4221</v>
      </c>
      <c r="Y713" s="26" t="str">
        <f t="shared" si="208"/>
        <v/>
      </c>
      <c r="Z713" s="36" t="str">
        <f t="shared" si="209"/>
        <v/>
      </c>
      <c r="AA713" s="36" t="str">
        <f t="shared" si="210"/>
        <v/>
      </c>
      <c r="AB713" s="27" t="str">
        <f t="shared" si="211"/>
        <v>41%</v>
      </c>
      <c r="AC713" s="2">
        <f t="shared" si="212"/>
        <v>1206</v>
      </c>
      <c r="AD713" s="37">
        <f t="shared" si="213"/>
        <v>4</v>
      </c>
      <c r="AE713" t="str">
        <f t="shared" si="214"/>
        <v/>
      </c>
      <c r="AF713" t="str">
        <f t="shared" si="215"/>
        <v/>
      </c>
      <c r="AG713" t="str">
        <f t="shared" si="216"/>
        <v/>
      </c>
      <c r="AH713" t="str">
        <f t="shared" si="217"/>
        <v/>
      </c>
      <c r="AI713" t="str">
        <f t="shared" si="218"/>
        <v/>
      </c>
      <c r="AJ713" t="str">
        <f t="shared" si="219"/>
        <v/>
      </c>
      <c r="AK713" t="str">
        <f t="shared" si="220"/>
        <v/>
      </c>
      <c r="AL713" t="str">
        <f>IFERROR(ROUND(L713*(G713/$AU713)/VLOOKUP(F713,商品!$A$4:$B$60,2,FALSE),0),"")</f>
        <v/>
      </c>
      <c r="AM713" t="str">
        <f>IFERROR(ROUND(L713*(I713/$AU713)/VLOOKUP(H713,商品!$A$4:$B$60,2,FALSE),0),"")</f>
        <v/>
      </c>
      <c r="AN713">
        <f>IFERROR(ROUND(L713*(J713/$AU713)/VLOOKUP("运力",商品!$A$4:$B$60,2,FALSE),0),0)</f>
        <v>0</v>
      </c>
      <c r="AO713">
        <f>IFERROR(ROUND(L713*(K713/$AU713)/VLOOKUP("交易",商品!$A$4:$B$60,2,FALSE),0),0)</f>
        <v>0</v>
      </c>
      <c r="AP713" t="str">
        <f>IFERROR(ROUND(S713*(N713/$AV713)/VLOOKUP(M713,职业!$A$4:$G$16,4,FALSE),0),"")</f>
        <v/>
      </c>
      <c r="AQ713" t="str">
        <f>IFERROR(ROUND(S713*(P713/$AV713)/VLOOKUP(O713,职业!$A$4:$G$16,4,FALSE),0),"")</f>
        <v/>
      </c>
      <c r="AR713" t="str">
        <f>IFERROR(ROUND(S713*(R713/$AV713)/VLOOKUP(Q713,职业!$A$4:$G$16,4,FALSE),0),"")</f>
        <v/>
      </c>
      <c r="AS713" t="str">
        <f>IFERROR(ROUND(X713*(U713/$AW713)/VLOOKUP(T713,商品!$A$4:$B$60,2,FALSE),0),"")</f>
        <v/>
      </c>
      <c r="AT713" t="str">
        <f>IFERROR(ROUND(X713*(W713/$AW713)/VLOOKUP(V713,商品!$A$4:$B$60,2,FALSE),0),"")</f>
        <v/>
      </c>
      <c r="AU713">
        <f t="shared" si="221"/>
        <v>0</v>
      </c>
      <c r="AV713">
        <f t="shared" si="222"/>
        <v>0</v>
      </c>
      <c r="AW713">
        <f t="shared" si="223"/>
        <v>0</v>
      </c>
    </row>
    <row r="714" spans="1:49" ht="19.95" customHeight="1" x14ac:dyDescent="0.25">
      <c r="A714" s="16" t="s">
        <v>331</v>
      </c>
      <c r="C714" s="16">
        <v>5</v>
      </c>
      <c r="D714" s="23" t="s">
        <v>312</v>
      </c>
      <c r="E714" s="23" t="s">
        <v>193</v>
      </c>
      <c r="L714" s="15">
        <f>IFERROR(VLOOKUP($D714&amp;$C714,生产方式定位!$A$2:$E$38,2,FALSE)+VLOOKUP($E714&amp;$C714,生产方式定位!$F$3:$J$38,2,FALSE),0)</f>
        <v>3900</v>
      </c>
      <c r="S714" s="15">
        <f>IFERROR(VLOOKUP($D714&amp;$C714,生产方式定位!$A$2:$E$38,3,FALSE)+VLOOKUP($E714&amp;$C714,生产方式定位!$F$3:$J$38,3,FALSE),0)</f>
        <v>20</v>
      </c>
      <c r="X714" s="15">
        <f>IFERROR(VLOOKUP($D714&amp;$C714,生产方式定位!$A$2:$E$38,5,FALSE)+VLOOKUP($E714&amp;$C714,生产方式定位!$F$3:$J$38,5,FALSE),"错误")</f>
        <v>5488</v>
      </c>
      <c r="Y714" s="26" t="str">
        <f t="shared" si="208"/>
        <v/>
      </c>
      <c r="Z714" s="36" t="str">
        <f t="shared" si="209"/>
        <v/>
      </c>
      <c r="AA714" s="36" t="str">
        <f t="shared" si="210"/>
        <v/>
      </c>
      <c r="AB714" s="27" t="str">
        <f t="shared" si="211"/>
        <v>41%</v>
      </c>
      <c r="AC714" s="2">
        <f t="shared" si="212"/>
        <v>1568</v>
      </c>
      <c r="AD714" s="37">
        <f t="shared" si="213"/>
        <v>5</v>
      </c>
      <c r="AE714" t="str">
        <f t="shared" si="214"/>
        <v/>
      </c>
      <c r="AF714" t="str">
        <f t="shared" si="215"/>
        <v/>
      </c>
      <c r="AG714" t="str">
        <f t="shared" si="216"/>
        <v/>
      </c>
      <c r="AH714" t="str">
        <f t="shared" si="217"/>
        <v/>
      </c>
      <c r="AI714" t="str">
        <f t="shared" si="218"/>
        <v/>
      </c>
      <c r="AJ714" t="str">
        <f t="shared" si="219"/>
        <v/>
      </c>
      <c r="AK714" t="str">
        <f t="shared" si="220"/>
        <v/>
      </c>
      <c r="AL714" t="str">
        <f>IFERROR(ROUND(L714*(G714/$AU714)/VLOOKUP(F714,商品!$A$4:$B$60,2,FALSE),0),"")</f>
        <v/>
      </c>
      <c r="AM714" t="str">
        <f>IFERROR(ROUND(L714*(I714/$AU714)/VLOOKUP(H714,商品!$A$4:$B$60,2,FALSE),0),"")</f>
        <v/>
      </c>
      <c r="AN714">
        <f>IFERROR(ROUND(L714*(J714/$AU714)/VLOOKUP("运力",商品!$A$4:$B$60,2,FALSE),0),0)</f>
        <v>0</v>
      </c>
      <c r="AO714">
        <f>IFERROR(ROUND(L714*(K714/$AU714)/VLOOKUP("交易",商品!$A$4:$B$60,2,FALSE),0),0)</f>
        <v>0</v>
      </c>
      <c r="AP714" t="str">
        <f>IFERROR(ROUND(S714*(N714/$AV714)/VLOOKUP(M714,职业!$A$4:$G$16,4,FALSE),0),"")</f>
        <v/>
      </c>
      <c r="AQ714" t="str">
        <f>IFERROR(ROUND(S714*(P714/$AV714)/VLOOKUP(O714,职业!$A$4:$G$16,4,FALSE),0),"")</f>
        <v/>
      </c>
      <c r="AR714" t="str">
        <f>IFERROR(ROUND(S714*(R714/$AV714)/VLOOKUP(Q714,职业!$A$4:$G$16,4,FALSE),0),"")</f>
        <v/>
      </c>
      <c r="AS714" t="str">
        <f>IFERROR(ROUND(X714*(U714/$AW714)/VLOOKUP(T714,商品!$A$4:$B$60,2,FALSE),0),"")</f>
        <v/>
      </c>
      <c r="AT714" t="str">
        <f>IFERROR(ROUND(X714*(W714/$AW714)/VLOOKUP(V714,商品!$A$4:$B$60,2,FALSE),0),"")</f>
        <v/>
      </c>
      <c r="AU714">
        <f t="shared" si="221"/>
        <v>0</v>
      </c>
      <c r="AV714">
        <f t="shared" si="222"/>
        <v>0</v>
      </c>
      <c r="AW714">
        <f t="shared" si="223"/>
        <v>0</v>
      </c>
    </row>
    <row r="715" spans="1:49" ht="19.95" customHeight="1" x14ac:dyDescent="0.25">
      <c r="A715" s="15" t="s">
        <v>332</v>
      </c>
      <c r="C715" s="15">
        <v>1</v>
      </c>
      <c r="D715" s="23" t="s">
        <v>312</v>
      </c>
      <c r="E715" s="23" t="s">
        <v>175</v>
      </c>
      <c r="L715" s="16">
        <f>IFERROR(VLOOKUP($D715&amp;$C715,生产方式定位!$A$2:$E$38,2,FALSE)+VLOOKUP($E715&amp;$C715,生产方式定位!$F$3:$J$38,2,FALSE),0)</f>
        <v>0</v>
      </c>
      <c r="S715" s="16">
        <f>IFERROR(VLOOKUP($D715&amp;$C715,生产方式定位!$A$2:$E$38,3,FALSE)+VLOOKUP($E715&amp;$C715,生产方式定位!$F$3:$J$38,3,FALSE),0)</f>
        <v>100</v>
      </c>
      <c r="X715" s="16">
        <f>IFERROR(VLOOKUP($D715&amp;$C715,生产方式定位!$A$2:$E$38,5,FALSE)+VLOOKUP($E715&amp;$C715,生产方式定位!$F$3:$J$38,5,FALSE),"错误")</f>
        <v>500</v>
      </c>
      <c r="Y715" s="26" t="str">
        <f t="shared" si="208"/>
        <v/>
      </c>
      <c r="Z715" s="36" t="str">
        <f t="shared" si="209"/>
        <v/>
      </c>
      <c r="AA715" s="36" t="str">
        <f t="shared" si="210"/>
        <v/>
      </c>
      <c r="AB715" s="27" t="str">
        <f t="shared" si="211"/>
        <v/>
      </c>
      <c r="AC715" s="2">
        <f t="shared" si="212"/>
        <v>400</v>
      </c>
      <c r="AD715" s="38">
        <f t="shared" si="213"/>
        <v>1</v>
      </c>
      <c r="AE715" t="str">
        <f t="shared" si="214"/>
        <v/>
      </c>
      <c r="AF715" t="str">
        <f t="shared" si="215"/>
        <v/>
      </c>
      <c r="AG715" t="str">
        <f t="shared" si="216"/>
        <v/>
      </c>
      <c r="AH715" t="str">
        <f t="shared" si="217"/>
        <v/>
      </c>
      <c r="AI715" t="str">
        <f t="shared" si="218"/>
        <v/>
      </c>
      <c r="AJ715" t="str">
        <f t="shared" si="219"/>
        <v/>
      </c>
      <c r="AK715" t="str">
        <f t="shared" si="220"/>
        <v/>
      </c>
      <c r="AL715" t="str">
        <f>IFERROR(ROUND(L715*(G715/$AU715)/VLOOKUP(F715,商品!$A$4:$B$60,2,FALSE),0),"")</f>
        <v/>
      </c>
      <c r="AM715" t="str">
        <f>IFERROR(ROUND(L715*(I715/$AU715)/VLOOKUP(H715,商品!$A$4:$B$60,2,FALSE),0),"")</f>
        <v/>
      </c>
      <c r="AN715">
        <f>IFERROR(ROUND(L715*(J715/$AU715)/VLOOKUP("运力",商品!$A$4:$B$60,2,FALSE),0),0)</f>
        <v>0</v>
      </c>
      <c r="AO715">
        <f>IFERROR(ROUND(L715*(K715/$AU715)/VLOOKUP("交易",商品!$A$4:$B$60,2,FALSE),0),0)</f>
        <v>0</v>
      </c>
      <c r="AP715" t="str">
        <f>IFERROR(ROUND(S715*(N715/$AV715)/VLOOKUP(M715,职业!$A$4:$G$16,4,FALSE),0),"")</f>
        <v/>
      </c>
      <c r="AQ715" t="str">
        <f>IFERROR(ROUND(S715*(P715/$AV715)/VLOOKUP(O715,职业!$A$4:$G$16,4,FALSE),0),"")</f>
        <v/>
      </c>
      <c r="AR715" t="str">
        <f>IFERROR(ROUND(S715*(R715/$AV715)/VLOOKUP(Q715,职业!$A$4:$G$16,4,FALSE),0),"")</f>
        <v/>
      </c>
      <c r="AS715" t="str">
        <f>IFERROR(ROUND(X715*(U715/$AW715)/VLOOKUP(T715,商品!$A$4:$B$60,2,FALSE),0),"")</f>
        <v/>
      </c>
      <c r="AT715" t="str">
        <f>IFERROR(ROUND(X715*(W715/$AW715)/VLOOKUP(V715,商品!$A$4:$B$60,2,FALSE),0),"")</f>
        <v/>
      </c>
      <c r="AU715">
        <f t="shared" si="221"/>
        <v>0</v>
      </c>
      <c r="AV715">
        <f t="shared" si="222"/>
        <v>0</v>
      </c>
      <c r="AW715">
        <f t="shared" si="223"/>
        <v>0</v>
      </c>
    </row>
    <row r="716" spans="1:49" ht="19.95" customHeight="1" x14ac:dyDescent="0.25">
      <c r="A716" s="15" t="s">
        <v>332</v>
      </c>
      <c r="C716" s="15">
        <v>2</v>
      </c>
      <c r="D716" s="23" t="s">
        <v>312</v>
      </c>
      <c r="E716" s="23" t="s">
        <v>175</v>
      </c>
      <c r="F716" s="2" t="s">
        <v>41</v>
      </c>
      <c r="G716" s="2">
        <v>10</v>
      </c>
      <c r="L716" s="16">
        <f>IFERROR(VLOOKUP($D716&amp;$C716,生产方式定位!$A$2:$E$38,2,FALSE)+VLOOKUP($E716&amp;$C716,生产方式定位!$F$3:$J$38,2,FALSE),0)</f>
        <v>850</v>
      </c>
      <c r="S716" s="16">
        <f>IFERROR(VLOOKUP($D716&amp;$C716,生产方式定位!$A$2:$E$38,3,FALSE)+VLOOKUP($E716&amp;$C716,生产方式定位!$F$3:$J$38,3,FALSE),0)</f>
        <v>110</v>
      </c>
      <c r="X716" s="16">
        <f>IFERROR(VLOOKUP($D716&amp;$C716,生产方式定位!$A$2:$E$38,5,FALSE)+VLOOKUP($E716&amp;$C716,生产方式定位!$F$3:$J$38,5,FALSE),"错误")</f>
        <v>1260</v>
      </c>
      <c r="Y716" s="26" t="str">
        <f t="shared" si="208"/>
        <v>工具*21</v>
      </c>
      <c r="Z716" s="36" t="str">
        <f t="shared" si="209"/>
        <v/>
      </c>
      <c r="AA716" s="36" t="str">
        <f t="shared" si="210"/>
        <v/>
      </c>
      <c r="AB716" s="27" t="str">
        <f t="shared" si="211"/>
        <v>48%</v>
      </c>
      <c r="AC716" s="2">
        <f t="shared" si="212"/>
        <v>300</v>
      </c>
      <c r="AD716" s="38">
        <f t="shared" si="213"/>
        <v>2</v>
      </c>
      <c r="AE716" t="str">
        <f t="shared" si="214"/>
        <v>工具*21</v>
      </c>
      <c r="AF716" t="str">
        <f t="shared" si="215"/>
        <v/>
      </c>
      <c r="AG716" t="str">
        <f t="shared" si="216"/>
        <v/>
      </c>
      <c r="AH716" t="str">
        <f t="shared" si="217"/>
        <v/>
      </c>
      <c r="AI716" t="str">
        <f t="shared" si="218"/>
        <v/>
      </c>
      <c r="AJ716" t="str">
        <f t="shared" si="219"/>
        <v/>
      </c>
      <c r="AK716" t="str">
        <f t="shared" si="220"/>
        <v/>
      </c>
      <c r="AL716">
        <f>IFERROR(ROUND(L716*(G716/$AU716)/VLOOKUP(F716,商品!$A$4:$B$60,2,FALSE),0),"")</f>
        <v>21</v>
      </c>
      <c r="AM716" t="str">
        <f>IFERROR(ROUND(L716*(I716/$AU716)/VLOOKUP(H716,商品!$A$4:$B$60,2,FALSE),0),"")</f>
        <v/>
      </c>
      <c r="AN716">
        <f>IFERROR(ROUND(L716*(J716/$AU716)/VLOOKUP("运力",商品!$A$4:$B$60,2,FALSE),0),0)</f>
        <v>0</v>
      </c>
      <c r="AO716">
        <f>IFERROR(ROUND(L716*(K716/$AU716)/VLOOKUP("交易",商品!$A$4:$B$60,2,FALSE),0),0)</f>
        <v>0</v>
      </c>
      <c r="AP716" t="str">
        <f>IFERROR(ROUND(S716*(N716/$AV716)/VLOOKUP(M716,职业!$A$4:$G$16,4,FALSE),0),"")</f>
        <v/>
      </c>
      <c r="AQ716" t="str">
        <f>IFERROR(ROUND(S716*(P716/$AV716)/VLOOKUP(O716,职业!$A$4:$G$16,4,FALSE),0),"")</f>
        <v/>
      </c>
      <c r="AR716" t="str">
        <f>IFERROR(ROUND(S716*(R716/$AV716)/VLOOKUP(Q716,职业!$A$4:$G$16,4,FALSE),0),"")</f>
        <v/>
      </c>
      <c r="AS716" t="str">
        <f>IFERROR(ROUND(X716*(U716/$AW716)/VLOOKUP(T716,商品!$A$4:$B$60,2,FALSE),0),"")</f>
        <v/>
      </c>
      <c r="AT716" t="str">
        <f>IFERROR(ROUND(X716*(W716/$AW716)/VLOOKUP(V716,商品!$A$4:$B$60,2,FALSE),0),"")</f>
        <v/>
      </c>
      <c r="AU716">
        <f t="shared" si="221"/>
        <v>10</v>
      </c>
      <c r="AV716">
        <f t="shared" si="222"/>
        <v>0</v>
      </c>
      <c r="AW716">
        <f t="shared" si="223"/>
        <v>0</v>
      </c>
    </row>
    <row r="717" spans="1:49" ht="19.95" customHeight="1" x14ac:dyDescent="0.25">
      <c r="A717" s="15" t="s">
        <v>332</v>
      </c>
      <c r="C717" s="15">
        <v>3</v>
      </c>
      <c r="D717" s="23" t="s">
        <v>312</v>
      </c>
      <c r="E717" s="23" t="s">
        <v>175</v>
      </c>
      <c r="F717" s="2" t="s">
        <v>41</v>
      </c>
      <c r="G717" s="2">
        <v>10</v>
      </c>
      <c r="L717" s="16">
        <f>IFERROR(VLOOKUP($D717&amp;$C717,生产方式定位!$A$2:$E$38,2,FALSE)+VLOOKUP($E717&amp;$C717,生产方式定位!$F$3:$J$38,2,FALSE),0)</f>
        <v>1700</v>
      </c>
      <c r="S717" s="16">
        <f>IFERROR(VLOOKUP($D717&amp;$C717,生产方式定位!$A$2:$E$38,3,FALSE)+VLOOKUP($E717&amp;$C717,生产方式定位!$F$3:$J$38,3,FALSE),0)</f>
        <v>120</v>
      </c>
      <c r="X717" s="16">
        <f>IFERROR(VLOOKUP($D717&amp;$C717,生产方式定位!$A$2:$E$38,5,FALSE)+VLOOKUP($E717&amp;$C717,生产方式定位!$F$3:$J$38,5,FALSE),"错误")</f>
        <v>2380</v>
      </c>
      <c r="Y717" s="26" t="str">
        <f t="shared" si="208"/>
        <v>工具*43</v>
      </c>
      <c r="Z717" s="36" t="str">
        <f t="shared" si="209"/>
        <v/>
      </c>
      <c r="AA717" s="36" t="str">
        <f t="shared" si="210"/>
        <v/>
      </c>
      <c r="AB717" s="27" t="str">
        <f t="shared" si="211"/>
        <v>40%</v>
      </c>
      <c r="AC717" s="2">
        <f t="shared" si="212"/>
        <v>560</v>
      </c>
      <c r="AD717" s="38">
        <f t="shared" si="213"/>
        <v>3</v>
      </c>
      <c r="AE717" t="str">
        <f t="shared" si="214"/>
        <v>工具*43</v>
      </c>
      <c r="AF717" t="str">
        <f t="shared" si="215"/>
        <v/>
      </c>
      <c r="AG717" t="str">
        <f t="shared" si="216"/>
        <v/>
      </c>
      <c r="AH717" t="str">
        <f t="shared" si="217"/>
        <v/>
      </c>
      <c r="AI717" t="str">
        <f t="shared" si="218"/>
        <v/>
      </c>
      <c r="AJ717" t="str">
        <f t="shared" si="219"/>
        <v/>
      </c>
      <c r="AK717" t="str">
        <f t="shared" si="220"/>
        <v/>
      </c>
      <c r="AL717">
        <f>IFERROR(ROUND(L717*(G717/$AU717)/VLOOKUP(F717,商品!$A$4:$B$60,2,FALSE),0),"")</f>
        <v>43</v>
      </c>
      <c r="AM717" t="str">
        <f>IFERROR(ROUND(L717*(I717/$AU717)/VLOOKUP(H717,商品!$A$4:$B$60,2,FALSE),0),"")</f>
        <v/>
      </c>
      <c r="AN717">
        <f>IFERROR(ROUND(L717*(J717/$AU717)/VLOOKUP("运力",商品!$A$4:$B$60,2,FALSE),0),0)</f>
        <v>0</v>
      </c>
      <c r="AO717">
        <f>IFERROR(ROUND(L717*(K717/$AU717)/VLOOKUP("交易",商品!$A$4:$B$60,2,FALSE),0),0)</f>
        <v>0</v>
      </c>
      <c r="AP717" t="str">
        <f>IFERROR(ROUND(S717*(N717/$AV717)/VLOOKUP(M717,职业!$A$4:$G$16,4,FALSE),0),"")</f>
        <v/>
      </c>
      <c r="AQ717" t="str">
        <f>IFERROR(ROUND(S717*(P717/$AV717)/VLOOKUP(O717,职业!$A$4:$G$16,4,FALSE),0),"")</f>
        <v/>
      </c>
      <c r="AR717" t="str">
        <f>IFERROR(ROUND(S717*(R717/$AV717)/VLOOKUP(Q717,职业!$A$4:$G$16,4,FALSE),0),"")</f>
        <v/>
      </c>
      <c r="AS717" t="str">
        <f>IFERROR(ROUND(X717*(U717/$AW717)/VLOOKUP(T717,商品!$A$4:$B$60,2,FALSE),0),"")</f>
        <v/>
      </c>
      <c r="AT717" t="str">
        <f>IFERROR(ROUND(X717*(W717/$AW717)/VLOOKUP(V717,商品!$A$4:$B$60,2,FALSE),0),"")</f>
        <v/>
      </c>
      <c r="AU717">
        <f t="shared" si="221"/>
        <v>10</v>
      </c>
      <c r="AV717">
        <f t="shared" si="222"/>
        <v>0</v>
      </c>
      <c r="AW717">
        <f t="shared" si="223"/>
        <v>0</v>
      </c>
    </row>
    <row r="718" spans="1:49" ht="19.95" customHeight="1" x14ac:dyDescent="0.25">
      <c r="A718" s="15" t="s">
        <v>332</v>
      </c>
      <c r="C718" s="15">
        <v>4</v>
      </c>
      <c r="D718" s="23" t="s">
        <v>312</v>
      </c>
      <c r="E718" s="23" t="s">
        <v>175</v>
      </c>
      <c r="F718" s="2" t="s">
        <v>45</v>
      </c>
      <c r="G718" s="2">
        <v>5</v>
      </c>
      <c r="H718" s="2" t="s">
        <v>19</v>
      </c>
      <c r="I718" s="2">
        <v>10</v>
      </c>
      <c r="L718" s="16">
        <f>IFERROR(VLOOKUP($D718&amp;$C718,生产方式定位!$A$2:$E$38,2,FALSE)+VLOOKUP($E718&amp;$C718,生产方式定位!$F$3:$J$38,2,FALSE),0)</f>
        <v>2550</v>
      </c>
      <c r="S718" s="16">
        <f>IFERROR(VLOOKUP($D718&amp;$C718,生产方式定位!$A$2:$E$38,3,FALSE)+VLOOKUP($E718&amp;$C718,生产方式定位!$F$3:$J$38,3,FALSE),0)</f>
        <v>130</v>
      </c>
      <c r="X718" s="16">
        <f>IFERROR(VLOOKUP($D718&amp;$C718,生产方式定位!$A$2:$E$38,5,FALSE)+VLOOKUP($E718&amp;$C718,生产方式定位!$F$3:$J$38,5,FALSE),"错误")</f>
        <v>3500</v>
      </c>
      <c r="Y718" s="26" t="str">
        <f t="shared" si="208"/>
        <v>科学引擎*11,煤*57</v>
      </c>
      <c r="Z718" s="36" t="str">
        <f t="shared" si="209"/>
        <v/>
      </c>
      <c r="AA718" s="36" t="str">
        <f t="shared" si="210"/>
        <v/>
      </c>
      <c r="AB718" s="27" t="str">
        <f t="shared" si="211"/>
        <v>37%</v>
      </c>
      <c r="AC718" s="2">
        <f t="shared" si="212"/>
        <v>820</v>
      </c>
      <c r="AD718" s="38">
        <f t="shared" si="213"/>
        <v>4</v>
      </c>
      <c r="AE718" t="str">
        <f t="shared" si="214"/>
        <v>科学引擎*11</v>
      </c>
      <c r="AF718" t="str">
        <f t="shared" si="215"/>
        <v>煤*57</v>
      </c>
      <c r="AG718" t="str">
        <f t="shared" si="216"/>
        <v/>
      </c>
      <c r="AH718" t="str">
        <f t="shared" si="217"/>
        <v/>
      </c>
      <c r="AI718" t="str">
        <f t="shared" si="218"/>
        <v/>
      </c>
      <c r="AJ718" t="str">
        <f t="shared" si="219"/>
        <v/>
      </c>
      <c r="AK718" t="str">
        <f t="shared" si="220"/>
        <v/>
      </c>
      <c r="AL718">
        <f>IFERROR(ROUND(L718*(G718/$AU718)/VLOOKUP(F718,商品!$A$4:$B$60,2,FALSE),0),"")</f>
        <v>11</v>
      </c>
      <c r="AM718">
        <f>IFERROR(ROUND(L718*(I718/$AU718)/VLOOKUP(H718,商品!$A$4:$B$60,2,FALSE),0),"")</f>
        <v>57</v>
      </c>
      <c r="AN718">
        <f>IFERROR(ROUND(L718*(J718/$AU718)/VLOOKUP("运力",商品!$A$4:$B$60,2,FALSE),0),0)</f>
        <v>0</v>
      </c>
      <c r="AO718">
        <f>IFERROR(ROUND(L718*(K718/$AU718)/VLOOKUP("交易",商品!$A$4:$B$60,2,FALSE),0),0)</f>
        <v>0</v>
      </c>
      <c r="AP718" t="str">
        <f>IFERROR(ROUND(S718*(N718/$AV718)/VLOOKUP(M718,职业!$A$4:$G$16,4,FALSE),0),"")</f>
        <v/>
      </c>
      <c r="AQ718" t="str">
        <f>IFERROR(ROUND(S718*(P718/$AV718)/VLOOKUP(O718,职业!$A$4:$G$16,4,FALSE),0),"")</f>
        <v/>
      </c>
      <c r="AR718" t="str">
        <f>IFERROR(ROUND(S718*(R718/$AV718)/VLOOKUP(Q718,职业!$A$4:$G$16,4,FALSE),0),"")</f>
        <v/>
      </c>
      <c r="AS718" t="str">
        <f>IFERROR(ROUND(X718*(U718/$AW718)/VLOOKUP(T718,商品!$A$4:$B$60,2,FALSE),0),"")</f>
        <v/>
      </c>
      <c r="AT718" t="str">
        <f>IFERROR(ROUND(X718*(W718/$AW718)/VLOOKUP(V718,商品!$A$4:$B$60,2,FALSE),0),"")</f>
        <v/>
      </c>
      <c r="AU718">
        <f t="shared" si="221"/>
        <v>15</v>
      </c>
      <c r="AV718">
        <f t="shared" si="222"/>
        <v>0</v>
      </c>
      <c r="AW718">
        <f t="shared" si="223"/>
        <v>0</v>
      </c>
    </row>
    <row r="719" spans="1:49" ht="19.95" customHeight="1" x14ac:dyDescent="0.25">
      <c r="A719" s="15" t="s">
        <v>332</v>
      </c>
      <c r="C719" s="15">
        <v>5</v>
      </c>
      <c r="D719" s="23" t="s">
        <v>312</v>
      </c>
      <c r="E719" s="23" t="s">
        <v>175</v>
      </c>
      <c r="F719" s="2" t="s">
        <v>46</v>
      </c>
      <c r="G719" s="2">
        <v>5</v>
      </c>
      <c r="H719" s="2" t="s">
        <v>19</v>
      </c>
      <c r="I719" s="2">
        <v>10</v>
      </c>
      <c r="L719" s="16">
        <f>IFERROR(VLOOKUP($D719&amp;$C719,生产方式定位!$A$2:$E$38,2,FALSE)+VLOOKUP($E719&amp;$C719,生产方式定位!$F$3:$J$38,2,FALSE),0)</f>
        <v>3400</v>
      </c>
      <c r="S719" s="16">
        <f>IFERROR(VLOOKUP($D719&amp;$C719,生产方式定位!$A$2:$E$38,3,FALSE)+VLOOKUP($E719&amp;$C719,生产方式定位!$F$3:$J$38,3,FALSE),0)</f>
        <v>140</v>
      </c>
      <c r="X719" s="16">
        <f>IFERROR(VLOOKUP($D719&amp;$C719,生产方式定位!$A$2:$E$38,5,FALSE)+VLOOKUP($E719&amp;$C719,生产方式定位!$F$3:$J$38,5,FALSE),"错误")</f>
        <v>4620</v>
      </c>
      <c r="Y719" s="26" t="str">
        <f t="shared" si="208"/>
        <v>魔导引擎*14,煤*76</v>
      </c>
      <c r="Z719" s="36" t="str">
        <f t="shared" si="209"/>
        <v/>
      </c>
      <c r="AA719" s="36" t="str">
        <f t="shared" si="210"/>
        <v/>
      </c>
      <c r="AB719" s="27" t="str">
        <f t="shared" si="211"/>
        <v>36%</v>
      </c>
      <c r="AC719" s="2">
        <f t="shared" si="212"/>
        <v>1080</v>
      </c>
      <c r="AD719" s="38">
        <f t="shared" si="213"/>
        <v>5</v>
      </c>
      <c r="AE719" t="str">
        <f t="shared" si="214"/>
        <v>魔导引擎*14</v>
      </c>
      <c r="AF719" t="str">
        <f t="shared" si="215"/>
        <v>煤*76</v>
      </c>
      <c r="AG719" t="str">
        <f t="shared" si="216"/>
        <v/>
      </c>
      <c r="AH719" t="str">
        <f t="shared" si="217"/>
        <v/>
      </c>
      <c r="AI719" t="str">
        <f t="shared" si="218"/>
        <v/>
      </c>
      <c r="AJ719" t="str">
        <f t="shared" si="219"/>
        <v/>
      </c>
      <c r="AK719" t="str">
        <f t="shared" si="220"/>
        <v/>
      </c>
      <c r="AL719">
        <f>IFERROR(ROUND(L719*(G719/$AU719)/VLOOKUP(F719,商品!$A$4:$B$60,2,FALSE),0),"")</f>
        <v>14</v>
      </c>
      <c r="AM719">
        <f>IFERROR(ROUND(L719*(I719/$AU719)/VLOOKUP(H719,商品!$A$4:$B$60,2,FALSE),0),"")</f>
        <v>76</v>
      </c>
      <c r="AN719">
        <f>IFERROR(ROUND(L719*(J719/$AU719)/VLOOKUP("运力",商品!$A$4:$B$60,2,FALSE),0),0)</f>
        <v>0</v>
      </c>
      <c r="AO719">
        <f>IFERROR(ROUND(L719*(K719/$AU719)/VLOOKUP("交易",商品!$A$4:$B$60,2,FALSE),0),0)</f>
        <v>0</v>
      </c>
      <c r="AP719" t="str">
        <f>IFERROR(ROUND(S719*(N719/$AV719)/VLOOKUP(M719,职业!$A$4:$G$16,4,FALSE),0),"")</f>
        <v/>
      </c>
      <c r="AQ719" t="str">
        <f>IFERROR(ROUND(S719*(P719/$AV719)/VLOOKUP(O719,职业!$A$4:$G$16,4,FALSE),0),"")</f>
        <v/>
      </c>
      <c r="AR719" t="str">
        <f>IFERROR(ROUND(S719*(R719/$AV719)/VLOOKUP(Q719,职业!$A$4:$G$16,4,FALSE),0),"")</f>
        <v/>
      </c>
      <c r="AS719" t="str">
        <f>IFERROR(ROUND(X719*(U719/$AW719)/VLOOKUP(T719,商品!$A$4:$B$60,2,FALSE),0),"")</f>
        <v/>
      </c>
      <c r="AT719" t="str">
        <f>IFERROR(ROUND(X719*(W719/$AW719)/VLOOKUP(V719,商品!$A$4:$B$60,2,FALSE),0),"")</f>
        <v/>
      </c>
      <c r="AU719">
        <f t="shared" si="221"/>
        <v>15</v>
      </c>
      <c r="AV719">
        <f t="shared" si="222"/>
        <v>0</v>
      </c>
      <c r="AW719">
        <f t="shared" si="223"/>
        <v>0</v>
      </c>
    </row>
    <row r="720" spans="1:49" ht="19.95" customHeight="1" x14ac:dyDescent="0.25">
      <c r="A720" s="16" t="s">
        <v>333</v>
      </c>
      <c r="C720" s="16">
        <v>1</v>
      </c>
      <c r="D720" s="23" t="s">
        <v>312</v>
      </c>
      <c r="E720" s="23" t="s">
        <v>177</v>
      </c>
      <c r="L720" s="15">
        <f>IFERROR(VLOOKUP($D720&amp;$C720,生产方式定位!$A$2:$E$38,2,FALSE)+VLOOKUP($E720&amp;$C720,生产方式定位!$F$3:$J$38,2,FALSE),0)</f>
        <v>0</v>
      </c>
      <c r="S720" s="15">
        <f>IFERROR(VLOOKUP($D720&amp;$C720,生产方式定位!$A$2:$E$38,3,FALSE)+VLOOKUP($E720&amp;$C720,生产方式定位!$F$3:$J$38,3,FALSE),0)</f>
        <v>100</v>
      </c>
      <c r="X720" s="15">
        <f>IFERROR(VLOOKUP($D720&amp;$C720,生产方式定位!$A$2:$E$38,5,FALSE)+VLOOKUP($E720&amp;$C720,生产方式定位!$F$3:$J$38,5,FALSE),"错误")</f>
        <v>500</v>
      </c>
      <c r="Y720" s="26" t="str">
        <f t="shared" si="208"/>
        <v/>
      </c>
      <c r="Z720" s="36" t="str">
        <f t="shared" si="209"/>
        <v/>
      </c>
      <c r="AA720" s="36" t="str">
        <f t="shared" si="210"/>
        <v/>
      </c>
      <c r="AB720" s="27" t="str">
        <f t="shared" si="211"/>
        <v/>
      </c>
      <c r="AC720" s="2">
        <f t="shared" si="212"/>
        <v>400</v>
      </c>
      <c r="AD720" s="37">
        <f t="shared" si="213"/>
        <v>1</v>
      </c>
      <c r="AE720" t="str">
        <f t="shared" si="214"/>
        <v/>
      </c>
      <c r="AF720" t="str">
        <f t="shared" si="215"/>
        <v/>
      </c>
      <c r="AG720" t="str">
        <f t="shared" si="216"/>
        <v/>
      </c>
      <c r="AH720" t="str">
        <f t="shared" si="217"/>
        <v/>
      </c>
      <c r="AI720" t="str">
        <f t="shared" si="218"/>
        <v/>
      </c>
      <c r="AJ720" t="str">
        <f t="shared" si="219"/>
        <v/>
      </c>
      <c r="AK720" t="str">
        <f t="shared" si="220"/>
        <v/>
      </c>
      <c r="AL720" t="str">
        <f>IFERROR(ROUND(L720*(G720/$AU720)/VLOOKUP(F720,商品!$A$4:$B$60,2,FALSE),0),"")</f>
        <v/>
      </c>
      <c r="AM720" t="str">
        <f>IFERROR(ROUND(L720*(I720/$AU720)/VLOOKUP(H720,商品!$A$4:$B$60,2,FALSE),0),"")</f>
        <v/>
      </c>
      <c r="AN720">
        <f>IFERROR(ROUND(L720*(J720/$AU720)/VLOOKUP("运力",商品!$A$4:$B$60,2,FALSE),0),0)</f>
        <v>0</v>
      </c>
      <c r="AO720">
        <f>IFERROR(ROUND(L720*(K720/$AU720)/VLOOKUP("交易",商品!$A$4:$B$60,2,FALSE),0),0)</f>
        <v>0</v>
      </c>
      <c r="AP720" t="str">
        <f>IFERROR(ROUND(S720*(N720/$AV720)/VLOOKUP(M720,职业!$A$4:$G$16,4,FALSE),0),"")</f>
        <v/>
      </c>
      <c r="AQ720" t="str">
        <f>IFERROR(ROUND(S720*(P720/$AV720)/VLOOKUP(O720,职业!$A$4:$G$16,4,FALSE),0),"")</f>
        <v/>
      </c>
      <c r="AR720" t="str">
        <f>IFERROR(ROUND(S720*(R720/$AV720)/VLOOKUP(Q720,职业!$A$4:$G$16,4,FALSE),0),"")</f>
        <v/>
      </c>
      <c r="AS720" t="str">
        <f>IFERROR(ROUND(X720*(U720/$AW720)/VLOOKUP(T720,商品!$A$4:$B$60,2,FALSE),0),"")</f>
        <v/>
      </c>
      <c r="AT720" t="str">
        <f>IFERROR(ROUND(X720*(W720/$AW720)/VLOOKUP(V720,商品!$A$4:$B$60,2,FALSE),0),"")</f>
        <v/>
      </c>
      <c r="AU720">
        <f t="shared" si="221"/>
        <v>0</v>
      </c>
      <c r="AV720">
        <f t="shared" si="222"/>
        <v>0</v>
      </c>
      <c r="AW720">
        <f t="shared" si="223"/>
        <v>0</v>
      </c>
    </row>
    <row r="721" spans="1:49" ht="19.95" customHeight="1" x14ac:dyDescent="0.25">
      <c r="A721" s="16" t="s">
        <v>333</v>
      </c>
      <c r="C721" s="16">
        <v>2</v>
      </c>
      <c r="D721" s="23" t="s">
        <v>312</v>
      </c>
      <c r="E721" s="23" t="s">
        <v>177</v>
      </c>
      <c r="F721" s="2" t="s">
        <v>42</v>
      </c>
      <c r="G721" s="2">
        <v>5</v>
      </c>
      <c r="H721" s="2" t="s">
        <v>20</v>
      </c>
      <c r="I721" s="2">
        <v>10</v>
      </c>
      <c r="L721" s="15">
        <f>IFERROR(VLOOKUP($D721&amp;$C721,生产方式定位!$A$2:$E$38,2,FALSE)+VLOOKUP($E721&amp;$C721,生产方式定位!$F$3:$J$38,2,FALSE),0)</f>
        <v>905</v>
      </c>
      <c r="S721" s="15">
        <f>IFERROR(VLOOKUP($D721&amp;$C721,生产方式定位!$A$2:$E$38,3,FALSE)+VLOOKUP($E721&amp;$C721,生产方式定位!$F$3:$J$38,3,FALSE),0)</f>
        <v>115</v>
      </c>
      <c r="X721" s="15">
        <f>IFERROR(VLOOKUP($D721&amp;$C721,生产方式定位!$A$2:$E$38,5,FALSE)+VLOOKUP($E721&amp;$C721,生产方式定位!$F$3:$J$38,5,FALSE),"错误")</f>
        <v>1260</v>
      </c>
      <c r="Y721" s="26" t="str">
        <f t="shared" si="208"/>
        <v>魔偶*8,灵能水晶*20</v>
      </c>
      <c r="Z721" s="36" t="str">
        <f t="shared" si="209"/>
        <v/>
      </c>
      <c r="AA721" s="36" t="str">
        <f t="shared" si="210"/>
        <v/>
      </c>
      <c r="AB721" s="27" t="str">
        <f t="shared" si="211"/>
        <v>39%</v>
      </c>
      <c r="AC721" s="2">
        <f t="shared" si="212"/>
        <v>240</v>
      </c>
      <c r="AD721" s="37">
        <f t="shared" si="213"/>
        <v>2</v>
      </c>
      <c r="AE721" t="str">
        <f t="shared" si="214"/>
        <v>魔偶*8</v>
      </c>
      <c r="AF721" t="str">
        <f t="shared" si="215"/>
        <v>灵能水晶*20</v>
      </c>
      <c r="AG721" t="str">
        <f t="shared" si="216"/>
        <v/>
      </c>
      <c r="AH721" t="str">
        <f t="shared" si="217"/>
        <v/>
      </c>
      <c r="AI721" t="str">
        <f t="shared" si="218"/>
        <v/>
      </c>
      <c r="AJ721" t="str">
        <f t="shared" si="219"/>
        <v/>
      </c>
      <c r="AK721" t="str">
        <f t="shared" si="220"/>
        <v/>
      </c>
      <c r="AL721">
        <f>IFERROR(ROUND(L721*(G721/$AU721)/VLOOKUP(F721,商品!$A$4:$B$60,2,FALSE),0),"")</f>
        <v>8</v>
      </c>
      <c r="AM721">
        <f>IFERROR(ROUND(L721*(I721/$AU721)/VLOOKUP(H721,商品!$A$4:$B$60,2,FALSE),0),"")</f>
        <v>20</v>
      </c>
      <c r="AN721">
        <f>IFERROR(ROUND(L721*(J721/$AU721)/VLOOKUP("运力",商品!$A$4:$B$60,2,FALSE),0),0)</f>
        <v>0</v>
      </c>
      <c r="AO721">
        <f>IFERROR(ROUND(L721*(K721/$AU721)/VLOOKUP("交易",商品!$A$4:$B$60,2,FALSE),0),0)</f>
        <v>0</v>
      </c>
      <c r="AP721" t="str">
        <f>IFERROR(ROUND(S721*(N721/$AV721)/VLOOKUP(M721,职业!$A$4:$G$16,4,FALSE),0),"")</f>
        <v/>
      </c>
      <c r="AQ721" t="str">
        <f>IFERROR(ROUND(S721*(P721/$AV721)/VLOOKUP(O721,职业!$A$4:$G$16,4,FALSE),0),"")</f>
        <v/>
      </c>
      <c r="AR721" t="str">
        <f>IFERROR(ROUND(S721*(R721/$AV721)/VLOOKUP(Q721,职业!$A$4:$G$16,4,FALSE),0),"")</f>
        <v/>
      </c>
      <c r="AS721" t="str">
        <f>IFERROR(ROUND(X721*(U721/$AW721)/VLOOKUP(T721,商品!$A$4:$B$60,2,FALSE),0),"")</f>
        <v/>
      </c>
      <c r="AT721" t="str">
        <f>IFERROR(ROUND(X721*(W721/$AW721)/VLOOKUP(V721,商品!$A$4:$B$60,2,FALSE),0),"")</f>
        <v/>
      </c>
      <c r="AU721">
        <f t="shared" si="221"/>
        <v>15</v>
      </c>
      <c r="AV721">
        <f t="shared" si="222"/>
        <v>0</v>
      </c>
      <c r="AW721">
        <f t="shared" si="223"/>
        <v>0</v>
      </c>
    </row>
    <row r="722" spans="1:49" ht="19.95" customHeight="1" x14ac:dyDescent="0.25">
      <c r="A722" s="16" t="s">
        <v>333</v>
      </c>
      <c r="C722" s="16">
        <v>3</v>
      </c>
      <c r="D722" s="23" t="s">
        <v>312</v>
      </c>
      <c r="E722" s="23" t="s">
        <v>177</v>
      </c>
      <c r="F722" s="2" t="s">
        <v>42</v>
      </c>
      <c r="G722" s="2">
        <v>5</v>
      </c>
      <c r="H722" s="2" t="s">
        <v>20</v>
      </c>
      <c r="I722" s="2">
        <v>10</v>
      </c>
      <c r="L722" s="15">
        <f>IFERROR(VLOOKUP($D722&amp;$C722,生产方式定位!$A$2:$E$38,2,FALSE)+VLOOKUP($E722&amp;$C722,生产方式定位!$F$3:$J$38,2,FALSE),0)</f>
        <v>1810</v>
      </c>
      <c r="S722" s="15">
        <f>IFERROR(VLOOKUP($D722&amp;$C722,生产方式定位!$A$2:$E$38,3,FALSE)+VLOOKUP($E722&amp;$C722,生产方式定位!$F$3:$J$38,3,FALSE),0)</f>
        <v>130</v>
      </c>
      <c r="X722" s="15">
        <f>IFERROR(VLOOKUP($D722&amp;$C722,生产方式定位!$A$2:$E$38,5,FALSE)+VLOOKUP($E722&amp;$C722,生产方式定位!$F$3:$J$38,5,FALSE),"错误")</f>
        <v>2380</v>
      </c>
      <c r="Y722" s="26" t="str">
        <f t="shared" si="208"/>
        <v>魔偶*15,灵能水晶*40</v>
      </c>
      <c r="Z722" s="36" t="str">
        <f t="shared" si="209"/>
        <v/>
      </c>
      <c r="AA722" s="36" t="str">
        <f t="shared" si="210"/>
        <v/>
      </c>
      <c r="AB722" s="27" t="str">
        <f t="shared" si="211"/>
        <v>31%</v>
      </c>
      <c r="AC722" s="2">
        <f t="shared" si="212"/>
        <v>440</v>
      </c>
      <c r="AD722" s="37">
        <f t="shared" si="213"/>
        <v>3</v>
      </c>
      <c r="AE722" t="str">
        <f t="shared" si="214"/>
        <v>魔偶*15</v>
      </c>
      <c r="AF722" t="str">
        <f t="shared" si="215"/>
        <v>灵能水晶*40</v>
      </c>
      <c r="AG722" t="str">
        <f t="shared" si="216"/>
        <v/>
      </c>
      <c r="AH722" t="str">
        <f t="shared" si="217"/>
        <v/>
      </c>
      <c r="AI722" t="str">
        <f t="shared" si="218"/>
        <v/>
      </c>
      <c r="AJ722" t="str">
        <f t="shared" si="219"/>
        <v/>
      </c>
      <c r="AK722" t="str">
        <f t="shared" si="220"/>
        <v/>
      </c>
      <c r="AL722">
        <f>IFERROR(ROUND(L722*(G722/$AU722)/VLOOKUP(F722,商品!$A$4:$B$60,2,FALSE),0),"")</f>
        <v>15</v>
      </c>
      <c r="AM722">
        <f>IFERROR(ROUND(L722*(I722/$AU722)/VLOOKUP(H722,商品!$A$4:$B$60,2,FALSE),0),"")</f>
        <v>40</v>
      </c>
      <c r="AN722">
        <f>IFERROR(ROUND(L722*(J722/$AU722)/VLOOKUP("运力",商品!$A$4:$B$60,2,FALSE),0),0)</f>
        <v>0</v>
      </c>
      <c r="AO722">
        <f>IFERROR(ROUND(L722*(K722/$AU722)/VLOOKUP("交易",商品!$A$4:$B$60,2,FALSE),0),0)</f>
        <v>0</v>
      </c>
      <c r="AP722" t="str">
        <f>IFERROR(ROUND(S722*(N722/$AV722)/VLOOKUP(M722,职业!$A$4:$G$16,4,FALSE),0),"")</f>
        <v/>
      </c>
      <c r="AQ722" t="str">
        <f>IFERROR(ROUND(S722*(P722/$AV722)/VLOOKUP(O722,职业!$A$4:$G$16,4,FALSE),0),"")</f>
        <v/>
      </c>
      <c r="AR722" t="str">
        <f>IFERROR(ROUND(S722*(R722/$AV722)/VLOOKUP(Q722,职业!$A$4:$G$16,4,FALSE),0),"")</f>
        <v/>
      </c>
      <c r="AS722" t="str">
        <f>IFERROR(ROUND(X722*(U722/$AW722)/VLOOKUP(T722,商品!$A$4:$B$60,2,FALSE),0),"")</f>
        <v/>
      </c>
      <c r="AT722" t="str">
        <f>IFERROR(ROUND(X722*(W722/$AW722)/VLOOKUP(V722,商品!$A$4:$B$60,2,FALSE),0),"")</f>
        <v/>
      </c>
      <c r="AU722">
        <f t="shared" si="221"/>
        <v>15</v>
      </c>
      <c r="AV722">
        <f t="shared" si="222"/>
        <v>0</v>
      </c>
      <c r="AW722">
        <f t="shared" si="223"/>
        <v>0</v>
      </c>
    </row>
    <row r="723" spans="1:49" ht="19.95" customHeight="1" x14ac:dyDescent="0.25">
      <c r="A723" s="16" t="s">
        <v>333</v>
      </c>
      <c r="C723" s="16">
        <v>4</v>
      </c>
      <c r="D723" s="23" t="s">
        <v>312</v>
      </c>
      <c r="E723" s="23" t="s">
        <v>177</v>
      </c>
      <c r="F723" s="2" t="s">
        <v>42</v>
      </c>
      <c r="G723" s="2">
        <v>5</v>
      </c>
      <c r="H723" s="2" t="s">
        <v>20</v>
      </c>
      <c r="I723" s="2">
        <v>10</v>
      </c>
      <c r="L723" s="15">
        <f>IFERROR(VLOOKUP($D723&amp;$C723,生产方式定位!$A$2:$E$38,2,FALSE)+VLOOKUP($E723&amp;$C723,生产方式定位!$F$3:$J$38,2,FALSE),0)</f>
        <v>2715</v>
      </c>
      <c r="S723" s="15">
        <f>IFERROR(VLOOKUP($D723&amp;$C723,生产方式定位!$A$2:$E$38,3,FALSE)+VLOOKUP($E723&amp;$C723,生产方式定位!$F$3:$J$38,3,FALSE),0)</f>
        <v>145</v>
      </c>
      <c r="X723" s="15">
        <f>IFERROR(VLOOKUP($D723&amp;$C723,生产方式定位!$A$2:$E$38,5,FALSE)+VLOOKUP($E723&amp;$C723,生产方式定位!$F$3:$J$38,5,FALSE),"错误")</f>
        <v>3500</v>
      </c>
      <c r="Y723" s="26" t="str">
        <f t="shared" si="208"/>
        <v>魔偶*23,灵能水晶*60</v>
      </c>
      <c r="Z723" s="36" t="str">
        <f t="shared" si="209"/>
        <v/>
      </c>
      <c r="AA723" s="36" t="str">
        <f t="shared" si="210"/>
        <v/>
      </c>
      <c r="AB723" s="27" t="str">
        <f t="shared" si="211"/>
        <v>29%</v>
      </c>
      <c r="AC723" s="2">
        <f t="shared" si="212"/>
        <v>640</v>
      </c>
      <c r="AD723" s="37">
        <f t="shared" si="213"/>
        <v>4</v>
      </c>
      <c r="AE723" t="str">
        <f t="shared" si="214"/>
        <v>魔偶*23</v>
      </c>
      <c r="AF723" t="str">
        <f t="shared" si="215"/>
        <v>灵能水晶*60</v>
      </c>
      <c r="AG723" t="str">
        <f t="shared" si="216"/>
        <v/>
      </c>
      <c r="AH723" t="str">
        <f t="shared" si="217"/>
        <v/>
      </c>
      <c r="AI723" t="str">
        <f t="shared" si="218"/>
        <v/>
      </c>
      <c r="AJ723" t="str">
        <f t="shared" si="219"/>
        <v/>
      </c>
      <c r="AK723" t="str">
        <f t="shared" si="220"/>
        <v/>
      </c>
      <c r="AL723">
        <f>IFERROR(ROUND(L723*(G723/$AU723)/VLOOKUP(F723,商品!$A$4:$B$60,2,FALSE),0),"")</f>
        <v>23</v>
      </c>
      <c r="AM723">
        <f>IFERROR(ROUND(L723*(I723/$AU723)/VLOOKUP(H723,商品!$A$4:$B$60,2,FALSE),0),"")</f>
        <v>60</v>
      </c>
      <c r="AN723">
        <f>IFERROR(ROUND(L723*(J723/$AU723)/VLOOKUP("运力",商品!$A$4:$B$60,2,FALSE),0),0)</f>
        <v>0</v>
      </c>
      <c r="AO723">
        <f>IFERROR(ROUND(L723*(K723/$AU723)/VLOOKUP("交易",商品!$A$4:$B$60,2,FALSE),0),0)</f>
        <v>0</v>
      </c>
      <c r="AP723" t="str">
        <f>IFERROR(ROUND(S723*(N723/$AV723)/VLOOKUP(M723,职业!$A$4:$G$16,4,FALSE),0),"")</f>
        <v/>
      </c>
      <c r="AQ723" t="str">
        <f>IFERROR(ROUND(S723*(P723/$AV723)/VLOOKUP(O723,职业!$A$4:$G$16,4,FALSE),0),"")</f>
        <v/>
      </c>
      <c r="AR723" t="str">
        <f>IFERROR(ROUND(S723*(R723/$AV723)/VLOOKUP(Q723,职业!$A$4:$G$16,4,FALSE),0),"")</f>
        <v/>
      </c>
      <c r="AS723" t="str">
        <f>IFERROR(ROUND(X723*(U723/$AW723)/VLOOKUP(T723,商品!$A$4:$B$60,2,FALSE),0),"")</f>
        <v/>
      </c>
      <c r="AT723" t="str">
        <f>IFERROR(ROUND(X723*(W723/$AW723)/VLOOKUP(V723,商品!$A$4:$B$60,2,FALSE),0),"")</f>
        <v/>
      </c>
      <c r="AU723">
        <f t="shared" si="221"/>
        <v>15</v>
      </c>
      <c r="AV723">
        <f t="shared" si="222"/>
        <v>0</v>
      </c>
      <c r="AW723">
        <f t="shared" si="223"/>
        <v>0</v>
      </c>
    </row>
    <row r="724" spans="1:49" ht="19.95" customHeight="1" x14ac:dyDescent="0.25">
      <c r="A724" s="16" t="s">
        <v>333</v>
      </c>
      <c r="C724" s="16">
        <v>5</v>
      </c>
      <c r="D724" s="23" t="s">
        <v>312</v>
      </c>
      <c r="E724" s="23" t="s">
        <v>177</v>
      </c>
      <c r="F724" s="2" t="s">
        <v>42</v>
      </c>
      <c r="G724" s="2">
        <v>5</v>
      </c>
      <c r="H724" s="2" t="s">
        <v>20</v>
      </c>
      <c r="I724" s="2">
        <v>10</v>
      </c>
      <c r="L724" s="15">
        <f>IFERROR(VLOOKUP($D724&amp;$C724,生产方式定位!$A$2:$E$38,2,FALSE)+VLOOKUP($E724&amp;$C724,生产方式定位!$F$3:$J$38,2,FALSE),0)</f>
        <v>3620</v>
      </c>
      <c r="S724" s="15">
        <f>IFERROR(VLOOKUP($D724&amp;$C724,生产方式定位!$A$2:$E$38,3,FALSE)+VLOOKUP($E724&amp;$C724,生产方式定位!$F$3:$J$38,3,FALSE),0)</f>
        <v>160</v>
      </c>
      <c r="X724" s="15">
        <f>IFERROR(VLOOKUP($D724&amp;$C724,生产方式定位!$A$2:$E$38,5,FALSE)+VLOOKUP($E724&amp;$C724,生产方式定位!$F$3:$J$38,5,FALSE),"错误")</f>
        <v>4620</v>
      </c>
      <c r="Y724" s="26" t="str">
        <f t="shared" si="208"/>
        <v>魔偶*30,灵能水晶*80</v>
      </c>
      <c r="Z724" s="36" t="str">
        <f t="shared" si="209"/>
        <v/>
      </c>
      <c r="AA724" s="36" t="str">
        <f t="shared" si="210"/>
        <v/>
      </c>
      <c r="AB724" s="27" t="str">
        <f t="shared" si="211"/>
        <v>28%</v>
      </c>
      <c r="AC724" s="2">
        <f t="shared" si="212"/>
        <v>840</v>
      </c>
      <c r="AD724" s="37">
        <f t="shared" si="213"/>
        <v>5</v>
      </c>
      <c r="AE724" t="str">
        <f t="shared" si="214"/>
        <v>魔偶*30</v>
      </c>
      <c r="AF724" t="str">
        <f t="shared" si="215"/>
        <v>灵能水晶*80</v>
      </c>
      <c r="AG724" t="str">
        <f t="shared" si="216"/>
        <v/>
      </c>
      <c r="AH724" t="str">
        <f t="shared" si="217"/>
        <v/>
      </c>
      <c r="AI724" t="str">
        <f t="shared" si="218"/>
        <v/>
      </c>
      <c r="AJ724" t="str">
        <f t="shared" si="219"/>
        <v/>
      </c>
      <c r="AK724" t="str">
        <f t="shared" si="220"/>
        <v/>
      </c>
      <c r="AL724">
        <f>IFERROR(ROUND(L724*(G724/$AU724)/VLOOKUP(F724,商品!$A$4:$B$60,2,FALSE),0),"")</f>
        <v>30</v>
      </c>
      <c r="AM724">
        <f>IFERROR(ROUND(L724*(I724/$AU724)/VLOOKUP(H724,商品!$A$4:$B$60,2,FALSE),0),"")</f>
        <v>80</v>
      </c>
      <c r="AN724">
        <f>IFERROR(ROUND(L724*(J724/$AU724)/VLOOKUP("运力",商品!$A$4:$B$60,2,FALSE),0),0)</f>
        <v>0</v>
      </c>
      <c r="AO724">
        <f>IFERROR(ROUND(L724*(K724/$AU724)/VLOOKUP("交易",商品!$A$4:$B$60,2,FALSE),0),0)</f>
        <v>0</v>
      </c>
      <c r="AP724" t="str">
        <f>IFERROR(ROUND(S724*(N724/$AV724)/VLOOKUP(M724,职业!$A$4:$G$16,4,FALSE),0),"")</f>
        <v/>
      </c>
      <c r="AQ724" t="str">
        <f>IFERROR(ROUND(S724*(P724/$AV724)/VLOOKUP(O724,职业!$A$4:$G$16,4,FALSE),0),"")</f>
        <v/>
      </c>
      <c r="AR724" t="str">
        <f>IFERROR(ROUND(S724*(R724/$AV724)/VLOOKUP(Q724,职业!$A$4:$G$16,4,FALSE),0),"")</f>
        <v/>
      </c>
      <c r="AS724" t="str">
        <f>IFERROR(ROUND(X724*(U724/$AW724)/VLOOKUP(T724,商品!$A$4:$B$60,2,FALSE),0),"")</f>
        <v/>
      </c>
      <c r="AT724" t="str">
        <f>IFERROR(ROUND(X724*(W724/$AW724)/VLOOKUP(V724,商品!$A$4:$B$60,2,FALSE),0),"")</f>
        <v/>
      </c>
      <c r="AU724">
        <f t="shared" si="221"/>
        <v>15</v>
      </c>
      <c r="AV724">
        <f t="shared" si="222"/>
        <v>0</v>
      </c>
      <c r="AW724">
        <f t="shared" si="223"/>
        <v>0</v>
      </c>
    </row>
    <row r="725" spans="1:49" ht="19.95" customHeight="1" x14ac:dyDescent="0.25">
      <c r="A725" s="15" t="s">
        <v>334</v>
      </c>
      <c r="C725" s="15">
        <v>1</v>
      </c>
      <c r="D725" s="23" t="s">
        <v>174</v>
      </c>
      <c r="E725" s="23" t="s">
        <v>179</v>
      </c>
      <c r="L725" s="16">
        <f>IFERROR(VLOOKUP($D725&amp;$C725,生产方式定位!$A$2:$E$38,2,FALSE)+VLOOKUP($E725&amp;$C725,生产方式定位!$F$3:$J$38,2,FALSE),0)</f>
        <v>0</v>
      </c>
      <c r="S725" s="16">
        <f>IFERROR(VLOOKUP($D725&amp;$C725,生产方式定位!$A$2:$E$38,3,FALSE)+VLOOKUP($E725&amp;$C725,生产方式定位!$F$3:$J$38,3,FALSE),0)</f>
        <v>100</v>
      </c>
      <c r="X725" s="16">
        <f>IFERROR(VLOOKUP($D725&amp;$C725,生产方式定位!$A$2:$E$38,5,FALSE)+VLOOKUP($E725&amp;$C725,生产方式定位!$F$3:$J$38,5,FALSE),"错误")</f>
        <v>100</v>
      </c>
      <c r="Y725" s="26" t="str">
        <f t="shared" si="208"/>
        <v/>
      </c>
      <c r="Z725" s="36" t="str">
        <f t="shared" si="209"/>
        <v/>
      </c>
      <c r="AA725" s="36" t="str">
        <f t="shared" si="210"/>
        <v/>
      </c>
      <c r="AB725" s="27" t="str">
        <f t="shared" si="211"/>
        <v/>
      </c>
      <c r="AC725" s="2" t="str">
        <f t="shared" si="212"/>
        <v/>
      </c>
      <c r="AD725" s="38">
        <f t="shared" si="213"/>
        <v>1</v>
      </c>
      <c r="AE725" t="str">
        <f t="shared" si="214"/>
        <v/>
      </c>
      <c r="AF725" t="str">
        <f t="shared" si="215"/>
        <v/>
      </c>
      <c r="AG725" t="str">
        <f t="shared" si="216"/>
        <v/>
      </c>
      <c r="AH725" t="str">
        <f t="shared" si="217"/>
        <v/>
      </c>
      <c r="AI725" t="str">
        <f t="shared" si="218"/>
        <v/>
      </c>
      <c r="AJ725" t="str">
        <f t="shared" si="219"/>
        <v/>
      </c>
      <c r="AK725" t="str">
        <f t="shared" si="220"/>
        <v/>
      </c>
      <c r="AL725" t="str">
        <f>IFERROR(ROUND(L725*(G725/$AU725)/VLOOKUP(F725,商品!$A$4:$B$60,2,FALSE),0),"")</f>
        <v/>
      </c>
      <c r="AM725" t="str">
        <f>IFERROR(ROUND(L725*(I725/$AU725)/VLOOKUP(H725,商品!$A$4:$B$60,2,FALSE),0),"")</f>
        <v/>
      </c>
      <c r="AN725">
        <f>IFERROR(ROUND(L725*(J725/$AU725)/VLOOKUP("运力",商品!$A$4:$B$60,2,FALSE),0),0)</f>
        <v>0</v>
      </c>
      <c r="AO725">
        <f>IFERROR(ROUND(L725*(K725/$AU725)/VLOOKUP("交易",商品!$A$4:$B$60,2,FALSE),0),0)</f>
        <v>0</v>
      </c>
      <c r="AP725" t="str">
        <f>IFERROR(ROUND(S725*(N725/$AV725)/VLOOKUP(M725,职业!$A$4:$G$16,4,FALSE),0),"")</f>
        <v/>
      </c>
      <c r="AQ725" t="str">
        <f>IFERROR(ROUND(S725*(P725/$AV725)/VLOOKUP(O725,职业!$A$4:$G$16,4,FALSE),0),"")</f>
        <v/>
      </c>
      <c r="AR725" t="str">
        <f>IFERROR(ROUND(S725*(R725/$AV725)/VLOOKUP(Q725,职业!$A$4:$G$16,4,FALSE),0),"")</f>
        <v/>
      </c>
      <c r="AS725" t="str">
        <f>IFERROR(ROUND(X725*(U725/$AW725)/VLOOKUP(T725,商品!$A$4:$B$60,2,FALSE),0),"")</f>
        <v/>
      </c>
      <c r="AT725" t="str">
        <f>IFERROR(ROUND(X725*(W725/$AW725)/VLOOKUP(V725,商品!$A$4:$B$60,2,FALSE),0),"")</f>
        <v/>
      </c>
      <c r="AU725">
        <f t="shared" si="221"/>
        <v>0</v>
      </c>
      <c r="AV725">
        <f t="shared" si="222"/>
        <v>0</v>
      </c>
      <c r="AW725">
        <f t="shared" si="223"/>
        <v>0</v>
      </c>
    </row>
    <row r="726" spans="1:49" ht="19.95" customHeight="1" x14ac:dyDescent="0.25">
      <c r="A726" s="15" t="s">
        <v>334</v>
      </c>
      <c r="C726" s="15">
        <v>2</v>
      </c>
      <c r="D726" s="23" t="s">
        <v>174</v>
      </c>
      <c r="E726" s="23" t="s">
        <v>179</v>
      </c>
      <c r="L726" s="16">
        <f>IFERROR(VLOOKUP($D726&amp;$C726,生产方式定位!$A$2:$E$38,2,FALSE)+VLOOKUP($E726&amp;$C726,生产方式定位!$F$3:$J$38,2,FALSE),0)</f>
        <v>0</v>
      </c>
      <c r="S726" s="16">
        <f>IFERROR(VLOOKUP($D726&amp;$C726,生产方式定位!$A$2:$E$38,3,FALSE)+VLOOKUP($E726&amp;$C726,生产方式定位!$F$3:$J$38,3,FALSE),0)</f>
        <v>100</v>
      </c>
      <c r="X726" s="16">
        <f>IFERROR(VLOOKUP($D726&amp;$C726,生产方式定位!$A$2:$E$38,5,FALSE)+VLOOKUP($E726&amp;$C726,生产方式定位!$F$3:$J$38,5,FALSE),"错误")</f>
        <v>100</v>
      </c>
      <c r="Y726" s="26" t="str">
        <f t="shared" si="208"/>
        <v/>
      </c>
      <c r="Z726" s="36" t="str">
        <f t="shared" si="209"/>
        <v/>
      </c>
      <c r="AA726" s="36" t="str">
        <f t="shared" si="210"/>
        <v/>
      </c>
      <c r="AB726" s="27" t="str">
        <f t="shared" si="211"/>
        <v/>
      </c>
      <c r="AC726" s="2" t="str">
        <f t="shared" si="212"/>
        <v/>
      </c>
      <c r="AD726" s="38">
        <f t="shared" si="213"/>
        <v>2</v>
      </c>
      <c r="AE726" t="str">
        <f t="shared" si="214"/>
        <v/>
      </c>
      <c r="AF726" t="str">
        <f t="shared" si="215"/>
        <v/>
      </c>
      <c r="AG726" t="str">
        <f t="shared" si="216"/>
        <v/>
      </c>
      <c r="AH726" t="str">
        <f t="shared" si="217"/>
        <v/>
      </c>
      <c r="AI726" t="str">
        <f t="shared" si="218"/>
        <v/>
      </c>
      <c r="AJ726" t="str">
        <f t="shared" si="219"/>
        <v/>
      </c>
      <c r="AK726" t="str">
        <f t="shared" si="220"/>
        <v/>
      </c>
      <c r="AL726" t="str">
        <f>IFERROR(ROUND(L726*(G726/$AU726)/VLOOKUP(F726,商品!$A$4:$B$60,2,FALSE),0),"")</f>
        <v/>
      </c>
      <c r="AM726" t="str">
        <f>IFERROR(ROUND(L726*(I726/$AU726)/VLOOKUP(H726,商品!$A$4:$B$60,2,FALSE),0),"")</f>
        <v/>
      </c>
      <c r="AN726">
        <f>IFERROR(ROUND(L726*(J726/$AU726)/VLOOKUP("运力",商品!$A$4:$B$60,2,FALSE),0),0)</f>
        <v>0</v>
      </c>
      <c r="AO726">
        <f>IFERROR(ROUND(L726*(K726/$AU726)/VLOOKUP("交易",商品!$A$4:$B$60,2,FALSE),0),0)</f>
        <v>0</v>
      </c>
      <c r="AP726" t="str">
        <f>IFERROR(ROUND(S726*(N726/$AV726)/VLOOKUP(M726,职业!$A$4:$G$16,4,FALSE),0),"")</f>
        <v/>
      </c>
      <c r="AQ726" t="str">
        <f>IFERROR(ROUND(S726*(P726/$AV726)/VLOOKUP(O726,职业!$A$4:$G$16,4,FALSE),0),"")</f>
        <v/>
      </c>
      <c r="AR726" t="str">
        <f>IFERROR(ROUND(S726*(R726/$AV726)/VLOOKUP(Q726,职业!$A$4:$G$16,4,FALSE),0),"")</f>
        <v/>
      </c>
      <c r="AS726" t="str">
        <f>IFERROR(ROUND(X726*(U726/$AW726)/VLOOKUP(T726,商品!$A$4:$B$60,2,FALSE),0),"")</f>
        <v/>
      </c>
      <c r="AT726" t="str">
        <f>IFERROR(ROUND(X726*(W726/$AW726)/VLOOKUP(V726,商品!$A$4:$B$60,2,FALSE),0),"")</f>
        <v/>
      </c>
      <c r="AU726">
        <f t="shared" si="221"/>
        <v>0</v>
      </c>
      <c r="AV726">
        <f t="shared" si="222"/>
        <v>0</v>
      </c>
      <c r="AW726">
        <f t="shared" si="223"/>
        <v>0</v>
      </c>
    </row>
    <row r="727" spans="1:49" ht="19.95" customHeight="1" x14ac:dyDescent="0.25">
      <c r="A727" s="15" t="s">
        <v>334</v>
      </c>
      <c r="C727" s="15">
        <v>3</v>
      </c>
      <c r="D727" s="23" t="s">
        <v>174</v>
      </c>
      <c r="E727" s="23" t="s">
        <v>179</v>
      </c>
      <c r="L727" s="16">
        <f>IFERROR(VLOOKUP($D727&amp;$C727,生产方式定位!$A$2:$E$38,2,FALSE)+VLOOKUP($E727&amp;$C727,生产方式定位!$F$3:$J$38,2,FALSE),0)</f>
        <v>0</v>
      </c>
      <c r="S727" s="16">
        <f>IFERROR(VLOOKUP($D727&amp;$C727,生产方式定位!$A$2:$E$38,3,FALSE)+VLOOKUP($E727&amp;$C727,生产方式定位!$F$3:$J$38,3,FALSE),0)</f>
        <v>100</v>
      </c>
      <c r="X727" s="16">
        <f>IFERROR(VLOOKUP($D727&amp;$C727,生产方式定位!$A$2:$E$38,5,FALSE)+VLOOKUP($E727&amp;$C727,生产方式定位!$F$3:$J$38,5,FALSE),"错误")</f>
        <v>100</v>
      </c>
      <c r="Y727" s="26" t="str">
        <f t="shared" si="208"/>
        <v/>
      </c>
      <c r="Z727" s="36" t="str">
        <f t="shared" si="209"/>
        <v/>
      </c>
      <c r="AA727" s="36" t="str">
        <f t="shared" si="210"/>
        <v/>
      </c>
      <c r="AB727" s="27" t="str">
        <f t="shared" si="211"/>
        <v/>
      </c>
      <c r="AC727" s="2" t="str">
        <f t="shared" si="212"/>
        <v/>
      </c>
      <c r="AD727" s="38">
        <f t="shared" si="213"/>
        <v>3</v>
      </c>
      <c r="AE727" t="str">
        <f t="shared" si="214"/>
        <v/>
      </c>
      <c r="AF727" t="str">
        <f t="shared" si="215"/>
        <v/>
      </c>
      <c r="AG727" t="str">
        <f t="shared" si="216"/>
        <v/>
      </c>
      <c r="AH727" t="str">
        <f t="shared" si="217"/>
        <v/>
      </c>
      <c r="AI727" t="str">
        <f t="shared" si="218"/>
        <v/>
      </c>
      <c r="AJ727" t="str">
        <f t="shared" si="219"/>
        <v/>
      </c>
      <c r="AK727" t="str">
        <f t="shared" si="220"/>
        <v/>
      </c>
      <c r="AL727" t="str">
        <f>IFERROR(ROUND(L727*(G727/$AU727)/VLOOKUP(F727,商品!$A$4:$B$60,2,FALSE),0),"")</f>
        <v/>
      </c>
      <c r="AM727" t="str">
        <f>IFERROR(ROUND(L727*(I727/$AU727)/VLOOKUP(H727,商品!$A$4:$B$60,2,FALSE),0),"")</f>
        <v/>
      </c>
      <c r="AN727">
        <f>IFERROR(ROUND(L727*(J727/$AU727)/VLOOKUP("运力",商品!$A$4:$B$60,2,FALSE),0),0)</f>
        <v>0</v>
      </c>
      <c r="AO727">
        <f>IFERROR(ROUND(L727*(K727/$AU727)/VLOOKUP("交易",商品!$A$4:$B$60,2,FALSE),0),0)</f>
        <v>0</v>
      </c>
      <c r="AP727" t="str">
        <f>IFERROR(ROUND(S727*(N727/$AV727)/VLOOKUP(M727,职业!$A$4:$G$16,4,FALSE),0),"")</f>
        <v/>
      </c>
      <c r="AQ727" t="str">
        <f>IFERROR(ROUND(S727*(P727/$AV727)/VLOOKUP(O727,职业!$A$4:$G$16,4,FALSE),0),"")</f>
        <v/>
      </c>
      <c r="AR727" t="str">
        <f>IFERROR(ROUND(S727*(R727/$AV727)/VLOOKUP(Q727,职业!$A$4:$G$16,4,FALSE),0),"")</f>
        <v/>
      </c>
      <c r="AS727" t="str">
        <f>IFERROR(ROUND(X727*(U727/$AW727)/VLOOKUP(T727,商品!$A$4:$B$60,2,FALSE),0),"")</f>
        <v/>
      </c>
      <c r="AT727" t="str">
        <f>IFERROR(ROUND(X727*(W727/$AW727)/VLOOKUP(V727,商品!$A$4:$B$60,2,FALSE),0),"")</f>
        <v/>
      </c>
      <c r="AU727">
        <f t="shared" si="221"/>
        <v>0</v>
      </c>
      <c r="AV727">
        <f t="shared" si="222"/>
        <v>0</v>
      </c>
      <c r="AW727">
        <f t="shared" si="223"/>
        <v>0</v>
      </c>
    </row>
    <row r="728" spans="1:49" ht="19.95" customHeight="1" x14ac:dyDescent="0.25">
      <c r="A728" s="15" t="s">
        <v>334</v>
      </c>
      <c r="C728" s="15">
        <v>4</v>
      </c>
      <c r="D728" s="23" t="s">
        <v>174</v>
      </c>
      <c r="E728" s="23" t="s">
        <v>179</v>
      </c>
      <c r="L728" s="16">
        <f>IFERROR(VLOOKUP($D728&amp;$C728,生产方式定位!$A$2:$E$38,2,FALSE)+VLOOKUP($E728&amp;$C728,生产方式定位!$F$3:$J$38,2,FALSE),0)</f>
        <v>0</v>
      </c>
      <c r="S728" s="16">
        <f>IFERROR(VLOOKUP($D728&amp;$C728,生产方式定位!$A$2:$E$38,3,FALSE)+VLOOKUP($E728&amp;$C728,生产方式定位!$F$3:$J$38,3,FALSE),0)</f>
        <v>100</v>
      </c>
      <c r="X728" s="16">
        <f>IFERROR(VLOOKUP($D728&amp;$C728,生产方式定位!$A$2:$E$38,5,FALSE)+VLOOKUP($E728&amp;$C728,生产方式定位!$F$3:$J$38,5,FALSE),"错误")</f>
        <v>100</v>
      </c>
      <c r="Y728" s="26" t="str">
        <f t="shared" si="208"/>
        <v/>
      </c>
      <c r="Z728" s="36" t="str">
        <f t="shared" si="209"/>
        <v/>
      </c>
      <c r="AA728" s="36" t="str">
        <f t="shared" si="210"/>
        <v/>
      </c>
      <c r="AB728" s="27" t="str">
        <f t="shared" si="211"/>
        <v/>
      </c>
      <c r="AC728" s="2" t="str">
        <f t="shared" si="212"/>
        <v/>
      </c>
      <c r="AD728" s="38">
        <f t="shared" si="213"/>
        <v>4</v>
      </c>
      <c r="AE728" t="str">
        <f t="shared" si="214"/>
        <v/>
      </c>
      <c r="AF728" t="str">
        <f t="shared" si="215"/>
        <v/>
      </c>
      <c r="AG728" t="str">
        <f t="shared" si="216"/>
        <v/>
      </c>
      <c r="AH728" t="str">
        <f t="shared" si="217"/>
        <v/>
      </c>
      <c r="AI728" t="str">
        <f t="shared" si="218"/>
        <v/>
      </c>
      <c r="AJ728" t="str">
        <f t="shared" si="219"/>
        <v/>
      </c>
      <c r="AK728" t="str">
        <f t="shared" si="220"/>
        <v/>
      </c>
      <c r="AL728" t="str">
        <f>IFERROR(ROUND(L728*(G728/$AU728)/VLOOKUP(F728,商品!$A$4:$B$60,2,FALSE),0),"")</f>
        <v/>
      </c>
      <c r="AM728" t="str">
        <f>IFERROR(ROUND(L728*(I728/$AU728)/VLOOKUP(H728,商品!$A$4:$B$60,2,FALSE),0),"")</f>
        <v/>
      </c>
      <c r="AN728">
        <f>IFERROR(ROUND(L728*(J728/$AU728)/VLOOKUP("运力",商品!$A$4:$B$60,2,FALSE),0),0)</f>
        <v>0</v>
      </c>
      <c r="AO728">
        <f>IFERROR(ROUND(L728*(K728/$AU728)/VLOOKUP("交易",商品!$A$4:$B$60,2,FALSE),0),0)</f>
        <v>0</v>
      </c>
      <c r="AP728" t="str">
        <f>IFERROR(ROUND(S728*(N728/$AV728)/VLOOKUP(M728,职业!$A$4:$G$16,4,FALSE),0),"")</f>
        <v/>
      </c>
      <c r="AQ728" t="str">
        <f>IFERROR(ROUND(S728*(P728/$AV728)/VLOOKUP(O728,职业!$A$4:$G$16,4,FALSE),0),"")</f>
        <v/>
      </c>
      <c r="AR728" t="str">
        <f>IFERROR(ROUND(S728*(R728/$AV728)/VLOOKUP(Q728,职业!$A$4:$G$16,4,FALSE),0),"")</f>
        <v/>
      </c>
      <c r="AS728" t="str">
        <f>IFERROR(ROUND(X728*(U728/$AW728)/VLOOKUP(T728,商品!$A$4:$B$60,2,FALSE),0),"")</f>
        <v/>
      </c>
      <c r="AT728" t="str">
        <f>IFERROR(ROUND(X728*(W728/$AW728)/VLOOKUP(V728,商品!$A$4:$B$60,2,FALSE),0),"")</f>
        <v/>
      </c>
      <c r="AU728">
        <f t="shared" si="221"/>
        <v>0</v>
      </c>
      <c r="AV728">
        <f t="shared" si="222"/>
        <v>0</v>
      </c>
      <c r="AW728">
        <f t="shared" si="223"/>
        <v>0</v>
      </c>
    </row>
    <row r="729" spans="1:49" ht="19.95" customHeight="1" x14ac:dyDescent="0.25">
      <c r="A729" s="15" t="s">
        <v>334</v>
      </c>
      <c r="C729" s="15">
        <v>5</v>
      </c>
      <c r="D729" s="23" t="s">
        <v>174</v>
      </c>
      <c r="E729" s="23" t="s">
        <v>179</v>
      </c>
      <c r="L729" s="16">
        <f>IFERROR(VLOOKUP($D729&amp;$C729,生产方式定位!$A$2:$E$38,2,FALSE)+VLOOKUP($E729&amp;$C729,生产方式定位!$F$3:$J$38,2,FALSE),0)</f>
        <v>0</v>
      </c>
      <c r="S729" s="16">
        <f>IFERROR(VLOOKUP($D729&amp;$C729,生产方式定位!$A$2:$E$38,3,FALSE)+VLOOKUP($E729&amp;$C729,生产方式定位!$F$3:$J$38,3,FALSE),0)</f>
        <v>100</v>
      </c>
      <c r="X729" s="16">
        <f>IFERROR(VLOOKUP($D729&amp;$C729,生产方式定位!$A$2:$E$38,5,FALSE)+VLOOKUP($E729&amp;$C729,生产方式定位!$F$3:$J$38,5,FALSE),"错误")</f>
        <v>100</v>
      </c>
      <c r="Y729" s="26" t="str">
        <f t="shared" si="208"/>
        <v/>
      </c>
      <c r="Z729" s="36" t="str">
        <f t="shared" si="209"/>
        <v/>
      </c>
      <c r="AA729" s="36" t="str">
        <f t="shared" si="210"/>
        <v/>
      </c>
      <c r="AB729" s="27" t="str">
        <f t="shared" si="211"/>
        <v/>
      </c>
      <c r="AC729" s="2" t="str">
        <f t="shared" si="212"/>
        <v/>
      </c>
      <c r="AD729" s="38">
        <f t="shared" si="213"/>
        <v>5</v>
      </c>
      <c r="AE729" t="str">
        <f t="shared" si="214"/>
        <v/>
      </c>
      <c r="AF729" t="str">
        <f t="shared" si="215"/>
        <v/>
      </c>
      <c r="AG729" t="str">
        <f t="shared" si="216"/>
        <v/>
      </c>
      <c r="AH729" t="str">
        <f t="shared" si="217"/>
        <v/>
      </c>
      <c r="AI729" t="str">
        <f t="shared" si="218"/>
        <v/>
      </c>
      <c r="AJ729" t="str">
        <f t="shared" si="219"/>
        <v/>
      </c>
      <c r="AK729" t="str">
        <f t="shared" si="220"/>
        <v/>
      </c>
      <c r="AL729" t="str">
        <f>IFERROR(ROUND(L729*(G729/$AU729)/VLOOKUP(F729,商品!$A$4:$B$60,2,FALSE),0),"")</f>
        <v/>
      </c>
      <c r="AM729" t="str">
        <f>IFERROR(ROUND(L729*(I729/$AU729)/VLOOKUP(H729,商品!$A$4:$B$60,2,FALSE),0),"")</f>
        <v/>
      </c>
      <c r="AN729">
        <f>IFERROR(ROUND(L729*(J729/$AU729)/VLOOKUP("运力",商品!$A$4:$B$60,2,FALSE),0),0)</f>
        <v>0</v>
      </c>
      <c r="AO729">
        <f>IFERROR(ROUND(L729*(K729/$AU729)/VLOOKUP("交易",商品!$A$4:$B$60,2,FALSE),0),0)</f>
        <v>0</v>
      </c>
      <c r="AP729" t="str">
        <f>IFERROR(ROUND(S729*(N729/$AV729)/VLOOKUP(M729,职业!$A$4:$G$16,4,FALSE),0),"")</f>
        <v/>
      </c>
      <c r="AQ729" t="str">
        <f>IFERROR(ROUND(S729*(P729/$AV729)/VLOOKUP(O729,职业!$A$4:$G$16,4,FALSE),0),"")</f>
        <v/>
      </c>
      <c r="AR729" t="str">
        <f>IFERROR(ROUND(S729*(R729/$AV729)/VLOOKUP(Q729,职业!$A$4:$G$16,4,FALSE),0),"")</f>
        <v/>
      </c>
      <c r="AS729" t="str">
        <f>IFERROR(ROUND(X729*(U729/$AW729)/VLOOKUP(T729,商品!$A$4:$B$60,2,FALSE),0),"")</f>
        <v/>
      </c>
      <c r="AT729" t="str">
        <f>IFERROR(ROUND(X729*(W729/$AW729)/VLOOKUP(V729,商品!$A$4:$B$60,2,FALSE),0),"")</f>
        <v/>
      </c>
      <c r="AU729">
        <f t="shared" si="221"/>
        <v>0</v>
      </c>
      <c r="AV729">
        <f t="shared" si="222"/>
        <v>0</v>
      </c>
      <c r="AW729">
        <f t="shared" si="223"/>
        <v>0</v>
      </c>
    </row>
    <row r="730" spans="1:49" ht="19.95" customHeight="1" x14ac:dyDescent="0.25">
      <c r="A730" s="15" t="s">
        <v>334</v>
      </c>
      <c r="C730" s="15">
        <v>6</v>
      </c>
      <c r="D730" s="23" t="s">
        <v>174</v>
      </c>
      <c r="E730" s="23" t="s">
        <v>179</v>
      </c>
      <c r="L730" s="16">
        <f>IFERROR(VLOOKUP($D730&amp;$C730,生产方式定位!$A$2:$E$38,2,FALSE)+VLOOKUP($E730&amp;$C730,生产方式定位!$F$3:$J$38,2,FALSE),0)</f>
        <v>0</v>
      </c>
      <c r="S730" s="16">
        <f>IFERROR(VLOOKUP($D730&amp;$C730,生产方式定位!$A$2:$E$38,3,FALSE)+VLOOKUP($E730&amp;$C730,生产方式定位!$F$3:$J$38,3,FALSE),0)</f>
        <v>100</v>
      </c>
      <c r="X730" s="16">
        <f>IFERROR(VLOOKUP($D730&amp;$C730,生产方式定位!$A$2:$E$38,5,FALSE)+VLOOKUP($E730&amp;$C730,生产方式定位!$F$3:$J$38,5,FALSE),"错误")</f>
        <v>100</v>
      </c>
      <c r="Y730" s="26" t="str">
        <f t="shared" si="208"/>
        <v/>
      </c>
      <c r="Z730" s="36" t="str">
        <f t="shared" si="209"/>
        <v/>
      </c>
      <c r="AA730" s="36" t="str">
        <f t="shared" si="210"/>
        <v/>
      </c>
      <c r="AB730" s="27" t="str">
        <f t="shared" si="211"/>
        <v/>
      </c>
      <c r="AC730" s="2" t="str">
        <f t="shared" si="212"/>
        <v/>
      </c>
      <c r="AD730" s="37">
        <f t="shared" si="213"/>
        <v>6</v>
      </c>
      <c r="AE730" t="str">
        <f t="shared" si="214"/>
        <v/>
      </c>
      <c r="AF730" t="str">
        <f t="shared" si="215"/>
        <v/>
      </c>
      <c r="AG730" t="str">
        <f t="shared" si="216"/>
        <v/>
      </c>
      <c r="AH730" t="str">
        <f t="shared" si="217"/>
        <v/>
      </c>
      <c r="AI730" t="str">
        <f t="shared" si="218"/>
        <v/>
      </c>
      <c r="AJ730" t="str">
        <f t="shared" si="219"/>
        <v/>
      </c>
      <c r="AK730" t="str">
        <f t="shared" si="220"/>
        <v/>
      </c>
      <c r="AL730" t="str">
        <f>IFERROR(ROUND(L730*(G730/$AU730)/VLOOKUP(F730,商品!$A$4:$B$60,2,FALSE),0),"")</f>
        <v/>
      </c>
      <c r="AM730" t="str">
        <f>IFERROR(ROUND(L730*(I730/$AU730)/VLOOKUP(H730,商品!$A$4:$B$60,2,FALSE),0),"")</f>
        <v/>
      </c>
      <c r="AN730">
        <f>IFERROR(ROUND(L730*(J730/$AU730)/VLOOKUP("运力",商品!$A$4:$B$60,2,FALSE),0),0)</f>
        <v>0</v>
      </c>
      <c r="AO730">
        <f>IFERROR(ROUND(L730*(K730/$AU730)/VLOOKUP("交易",商品!$A$4:$B$60,2,FALSE),0),0)</f>
        <v>0</v>
      </c>
      <c r="AP730" t="str">
        <f>IFERROR(ROUND(S730*(N730/$AV730)/VLOOKUP(M730,职业!$A$4:$G$16,4,FALSE),0),"")</f>
        <v/>
      </c>
      <c r="AQ730" t="str">
        <f>IFERROR(ROUND(S730*(P730/$AV730)/VLOOKUP(O730,职业!$A$4:$G$16,4,FALSE),0),"")</f>
        <v/>
      </c>
      <c r="AR730" t="str">
        <f>IFERROR(ROUND(S730*(R730/$AV730)/VLOOKUP(Q730,职业!$A$4:$G$16,4,FALSE),0),"")</f>
        <v/>
      </c>
      <c r="AS730" t="str">
        <f>IFERROR(ROUND(X730*(U730/$AW730)/VLOOKUP(T730,商品!$A$4:$B$60,2,FALSE),0),"")</f>
        <v/>
      </c>
      <c r="AT730" t="str">
        <f>IFERROR(ROUND(X730*(W730/$AW730)/VLOOKUP(V730,商品!$A$4:$B$60,2,FALSE),0),"")</f>
        <v/>
      </c>
      <c r="AU730">
        <f t="shared" si="221"/>
        <v>0</v>
      </c>
      <c r="AV730">
        <f t="shared" si="222"/>
        <v>0</v>
      </c>
      <c r="AW730">
        <f t="shared" si="223"/>
        <v>0</v>
      </c>
    </row>
    <row r="731" spans="1:49" ht="19.95" customHeight="1" x14ac:dyDescent="0.25">
      <c r="A731" s="15" t="s">
        <v>334</v>
      </c>
      <c r="C731" s="15">
        <v>7</v>
      </c>
      <c r="D731" s="23" t="s">
        <v>174</v>
      </c>
      <c r="E731" s="23" t="s">
        <v>179</v>
      </c>
      <c r="L731" s="16">
        <f>IFERROR(VLOOKUP($D731&amp;$C731,生产方式定位!$A$2:$E$38,2,FALSE)+VLOOKUP($E731&amp;$C731,生产方式定位!$F$3:$J$38,2,FALSE),0)</f>
        <v>0</v>
      </c>
      <c r="S731" s="16">
        <f>IFERROR(VLOOKUP($D731&amp;$C731,生产方式定位!$A$2:$E$38,3,FALSE)+VLOOKUP($E731&amp;$C731,生产方式定位!$F$3:$J$38,3,FALSE),0)</f>
        <v>100</v>
      </c>
      <c r="X731" s="16">
        <f>IFERROR(VLOOKUP($D731&amp;$C731,生产方式定位!$A$2:$E$38,5,FALSE)+VLOOKUP($E731&amp;$C731,生产方式定位!$F$3:$J$38,5,FALSE),"错误")</f>
        <v>100</v>
      </c>
      <c r="Y731" s="26" t="str">
        <f t="shared" si="208"/>
        <v/>
      </c>
      <c r="Z731" s="36" t="str">
        <f t="shared" si="209"/>
        <v/>
      </c>
      <c r="AA731" s="36" t="str">
        <f t="shared" si="210"/>
        <v/>
      </c>
      <c r="AB731" s="27" t="str">
        <f t="shared" si="211"/>
        <v/>
      </c>
      <c r="AC731" s="2" t="str">
        <f t="shared" si="212"/>
        <v/>
      </c>
      <c r="AD731" s="37">
        <f t="shared" si="213"/>
        <v>7</v>
      </c>
      <c r="AE731" t="str">
        <f t="shared" si="214"/>
        <v/>
      </c>
      <c r="AF731" t="str">
        <f t="shared" si="215"/>
        <v/>
      </c>
      <c r="AG731" t="str">
        <f t="shared" si="216"/>
        <v/>
      </c>
      <c r="AH731" t="str">
        <f t="shared" si="217"/>
        <v/>
      </c>
      <c r="AI731" t="str">
        <f t="shared" si="218"/>
        <v/>
      </c>
      <c r="AJ731" t="str">
        <f t="shared" si="219"/>
        <v/>
      </c>
      <c r="AK731" t="str">
        <f t="shared" si="220"/>
        <v/>
      </c>
      <c r="AL731" t="str">
        <f>IFERROR(ROUND(L731*(G731/$AU731)/VLOOKUP(F731,商品!$A$4:$B$60,2,FALSE),0),"")</f>
        <v/>
      </c>
      <c r="AM731" t="str">
        <f>IFERROR(ROUND(L731*(I731/$AU731)/VLOOKUP(H731,商品!$A$4:$B$60,2,FALSE),0),"")</f>
        <v/>
      </c>
      <c r="AN731">
        <f>IFERROR(ROUND(L731*(J731/$AU731)/VLOOKUP("运力",商品!$A$4:$B$60,2,FALSE),0),0)</f>
        <v>0</v>
      </c>
      <c r="AO731">
        <f>IFERROR(ROUND(L731*(K731/$AU731)/VLOOKUP("交易",商品!$A$4:$B$60,2,FALSE),0),0)</f>
        <v>0</v>
      </c>
      <c r="AP731" t="str">
        <f>IFERROR(ROUND(S731*(N731/$AV731)/VLOOKUP(M731,职业!$A$4:$G$16,4,FALSE),0),"")</f>
        <v/>
      </c>
      <c r="AQ731" t="str">
        <f>IFERROR(ROUND(S731*(P731/$AV731)/VLOOKUP(O731,职业!$A$4:$G$16,4,FALSE),0),"")</f>
        <v/>
      </c>
      <c r="AR731" t="str">
        <f>IFERROR(ROUND(S731*(R731/$AV731)/VLOOKUP(Q731,职业!$A$4:$G$16,4,FALSE),0),"")</f>
        <v/>
      </c>
      <c r="AS731" t="str">
        <f>IFERROR(ROUND(X731*(U731/$AW731)/VLOOKUP(T731,商品!$A$4:$B$60,2,FALSE),0),"")</f>
        <v/>
      </c>
      <c r="AT731" t="str">
        <f>IFERROR(ROUND(X731*(W731/$AW731)/VLOOKUP(V731,商品!$A$4:$B$60,2,FALSE),0),"")</f>
        <v/>
      </c>
      <c r="AU731">
        <f t="shared" si="221"/>
        <v>0</v>
      </c>
      <c r="AV731">
        <f t="shared" si="222"/>
        <v>0</v>
      </c>
      <c r="AW731">
        <f t="shared" si="223"/>
        <v>0</v>
      </c>
    </row>
    <row r="732" spans="1:49" ht="19.95" customHeight="1" x14ac:dyDescent="0.25">
      <c r="A732" s="15" t="s">
        <v>334</v>
      </c>
      <c r="C732" s="15">
        <v>8</v>
      </c>
      <c r="D732" s="23" t="s">
        <v>174</v>
      </c>
      <c r="E732" s="23" t="s">
        <v>179</v>
      </c>
      <c r="L732" s="16">
        <f>IFERROR(VLOOKUP($D732&amp;$C732,生产方式定位!$A$2:$E$38,2,FALSE)+VLOOKUP($E732&amp;$C732,生产方式定位!$F$3:$J$38,2,FALSE),0)</f>
        <v>0</v>
      </c>
      <c r="S732" s="16">
        <f>IFERROR(VLOOKUP($D732&amp;$C732,生产方式定位!$A$2:$E$38,3,FALSE)+VLOOKUP($E732&amp;$C732,生产方式定位!$F$3:$J$38,3,FALSE),0)</f>
        <v>100</v>
      </c>
      <c r="X732" s="16">
        <f>IFERROR(VLOOKUP($D732&amp;$C732,生产方式定位!$A$2:$E$38,5,FALSE)+VLOOKUP($E732&amp;$C732,生产方式定位!$F$3:$J$38,5,FALSE),"错误")</f>
        <v>100</v>
      </c>
      <c r="Y732" s="26" t="str">
        <f t="shared" si="208"/>
        <v/>
      </c>
      <c r="Z732" s="36" t="str">
        <f t="shared" si="209"/>
        <v/>
      </c>
      <c r="AA732" s="36" t="str">
        <f t="shared" si="210"/>
        <v/>
      </c>
      <c r="AB732" s="27" t="str">
        <f t="shared" si="211"/>
        <v/>
      </c>
      <c r="AC732" s="2" t="str">
        <f t="shared" si="212"/>
        <v/>
      </c>
      <c r="AD732" s="37">
        <f t="shared" si="213"/>
        <v>8</v>
      </c>
      <c r="AE732" t="str">
        <f t="shared" si="214"/>
        <v/>
      </c>
      <c r="AF732" t="str">
        <f t="shared" si="215"/>
        <v/>
      </c>
      <c r="AG732" t="str">
        <f t="shared" si="216"/>
        <v/>
      </c>
      <c r="AH732" t="str">
        <f t="shared" si="217"/>
        <v/>
      </c>
      <c r="AI732" t="str">
        <f t="shared" si="218"/>
        <v/>
      </c>
      <c r="AJ732" t="str">
        <f t="shared" si="219"/>
        <v/>
      </c>
      <c r="AK732" t="str">
        <f t="shared" si="220"/>
        <v/>
      </c>
      <c r="AL732" t="str">
        <f>IFERROR(ROUND(L732*(G732/$AU732)/VLOOKUP(F732,商品!$A$4:$B$60,2,FALSE),0),"")</f>
        <v/>
      </c>
      <c r="AM732" t="str">
        <f>IFERROR(ROUND(L732*(I732/$AU732)/VLOOKUP(H732,商品!$A$4:$B$60,2,FALSE),0),"")</f>
        <v/>
      </c>
      <c r="AN732">
        <f>IFERROR(ROUND(L732*(J732/$AU732)/VLOOKUP("运力",商品!$A$4:$B$60,2,FALSE),0),0)</f>
        <v>0</v>
      </c>
      <c r="AO732">
        <f>IFERROR(ROUND(L732*(K732/$AU732)/VLOOKUP("交易",商品!$A$4:$B$60,2,FALSE),0),0)</f>
        <v>0</v>
      </c>
      <c r="AP732" t="str">
        <f>IFERROR(ROUND(S732*(N732/$AV732)/VLOOKUP(M732,职业!$A$4:$G$16,4,FALSE),0),"")</f>
        <v/>
      </c>
      <c r="AQ732" t="str">
        <f>IFERROR(ROUND(S732*(P732/$AV732)/VLOOKUP(O732,职业!$A$4:$G$16,4,FALSE),0),"")</f>
        <v/>
      </c>
      <c r="AR732" t="str">
        <f>IFERROR(ROUND(S732*(R732/$AV732)/VLOOKUP(Q732,职业!$A$4:$G$16,4,FALSE),0),"")</f>
        <v/>
      </c>
      <c r="AS732" t="str">
        <f>IFERROR(ROUND(X732*(U732/$AW732)/VLOOKUP(T732,商品!$A$4:$B$60,2,FALSE),0),"")</f>
        <v/>
      </c>
      <c r="AT732" t="str">
        <f>IFERROR(ROUND(X732*(W732/$AW732)/VLOOKUP(V732,商品!$A$4:$B$60,2,FALSE),0),"")</f>
        <v/>
      </c>
      <c r="AU732">
        <f t="shared" si="221"/>
        <v>0</v>
      </c>
      <c r="AV732">
        <f t="shared" si="222"/>
        <v>0</v>
      </c>
      <c r="AW732">
        <f t="shared" si="223"/>
        <v>0</v>
      </c>
    </row>
    <row r="733" spans="1:49" ht="19.95" customHeight="1" x14ac:dyDescent="0.25">
      <c r="A733" s="16" t="s">
        <v>336</v>
      </c>
      <c r="C733" s="16">
        <v>1</v>
      </c>
      <c r="D733" s="23" t="s">
        <v>312</v>
      </c>
      <c r="E733" s="23" t="s">
        <v>172</v>
      </c>
      <c r="L733" s="15">
        <f>IFERROR(VLOOKUP($D733&amp;$C733,生产方式定位!$A$2:$E$38,2,FALSE)+VLOOKUP($E733&amp;$C733,生产方式定位!$F$3:$J$38,2,FALSE),0)</f>
        <v>0</v>
      </c>
      <c r="S733" s="15">
        <f>IFERROR(VLOOKUP($D733&amp;$C733,生产方式定位!$A$2:$E$38,3,FALSE)+VLOOKUP($E733&amp;$C733,生产方式定位!$F$3:$J$38,3,FALSE),0)</f>
        <v>100</v>
      </c>
      <c r="X733" s="15">
        <f>IFERROR(VLOOKUP($D733&amp;$C733,生产方式定位!$A$2:$E$38,5,FALSE)+VLOOKUP($E733&amp;$C733,生产方式定位!$F$3:$J$38,5,FALSE),"错误")</f>
        <v>500</v>
      </c>
      <c r="Y733" s="26" t="str">
        <f t="shared" si="208"/>
        <v/>
      </c>
      <c r="Z733" s="36" t="str">
        <f t="shared" si="209"/>
        <v/>
      </c>
      <c r="AA733" s="36" t="str">
        <f t="shared" si="210"/>
        <v/>
      </c>
      <c r="AB733" s="27" t="str">
        <f t="shared" si="211"/>
        <v/>
      </c>
      <c r="AC733" s="2">
        <f t="shared" si="212"/>
        <v>400</v>
      </c>
      <c r="AD733" s="37">
        <f t="shared" si="213"/>
        <v>1</v>
      </c>
      <c r="AE733" t="str">
        <f t="shared" si="214"/>
        <v/>
      </c>
      <c r="AF733" t="str">
        <f t="shared" si="215"/>
        <v/>
      </c>
      <c r="AG733" t="str">
        <f t="shared" si="216"/>
        <v/>
      </c>
      <c r="AH733" t="str">
        <f t="shared" si="217"/>
        <v/>
      </c>
      <c r="AI733" t="str">
        <f t="shared" si="218"/>
        <v/>
      </c>
      <c r="AJ733" t="str">
        <f t="shared" si="219"/>
        <v/>
      </c>
      <c r="AK733" t="str">
        <f t="shared" si="220"/>
        <v/>
      </c>
      <c r="AL733" t="str">
        <f>IFERROR(ROUND(L733*(G733/$AU733)/VLOOKUP(F733,商品!$A$4:$B$60,2,FALSE),0),"")</f>
        <v/>
      </c>
      <c r="AM733" t="str">
        <f>IFERROR(ROUND(L733*(I733/$AU733)/VLOOKUP(H733,商品!$A$4:$B$60,2,FALSE),0),"")</f>
        <v/>
      </c>
      <c r="AN733">
        <f>IFERROR(ROUND(L733*(J733/$AU733)/VLOOKUP("运力",商品!$A$4:$B$60,2,FALSE),0),0)</f>
        <v>0</v>
      </c>
      <c r="AO733">
        <f>IFERROR(ROUND(L733*(K733/$AU733)/VLOOKUP("交易",商品!$A$4:$B$60,2,FALSE),0),0)</f>
        <v>0</v>
      </c>
      <c r="AP733" t="str">
        <f>IFERROR(ROUND(S733*(N733/$AV733)/VLOOKUP(M733,职业!$A$4:$G$16,4,FALSE),0),"")</f>
        <v/>
      </c>
      <c r="AQ733" t="str">
        <f>IFERROR(ROUND(S733*(P733/$AV733)/VLOOKUP(O733,职业!$A$4:$G$16,4,FALSE),0),"")</f>
        <v/>
      </c>
      <c r="AR733" t="str">
        <f>IFERROR(ROUND(S733*(R733/$AV733)/VLOOKUP(Q733,职业!$A$4:$G$16,4,FALSE),0),"")</f>
        <v/>
      </c>
      <c r="AS733" t="str">
        <f>IFERROR(ROUND(X733*(U733/$AW733)/VLOOKUP(T733,商品!$A$4:$B$60,2,FALSE),0),"")</f>
        <v/>
      </c>
      <c r="AT733" t="str">
        <f>IFERROR(ROUND(X733*(W733/$AW733)/VLOOKUP(V733,商品!$A$4:$B$60,2,FALSE),0),"")</f>
        <v/>
      </c>
      <c r="AU733">
        <f t="shared" si="221"/>
        <v>0</v>
      </c>
      <c r="AV733">
        <f t="shared" si="222"/>
        <v>0</v>
      </c>
      <c r="AW733">
        <f t="shared" si="223"/>
        <v>0</v>
      </c>
    </row>
    <row r="734" spans="1:49" ht="19.95" customHeight="1" x14ac:dyDescent="0.25">
      <c r="A734" s="16" t="s">
        <v>336</v>
      </c>
      <c r="C734" s="16">
        <v>2</v>
      </c>
      <c r="D734" s="23" t="s">
        <v>312</v>
      </c>
      <c r="E734" s="23" t="s">
        <v>172</v>
      </c>
      <c r="L734" s="15">
        <f>IFERROR(VLOOKUP($D734&amp;$C734,生产方式定位!$A$2:$E$38,2,FALSE)+VLOOKUP($E734&amp;$C734,生产方式定位!$F$3:$J$38,2,FALSE),0)</f>
        <v>1300</v>
      </c>
      <c r="S734" s="15">
        <f>IFERROR(VLOOKUP($D734&amp;$C734,生产方式定位!$A$2:$E$38,3,FALSE)+VLOOKUP($E734&amp;$C734,生产方式定位!$F$3:$J$38,3,FALSE),0)</f>
        <v>100</v>
      </c>
      <c r="X734" s="15">
        <f>IFERROR(VLOOKUP($D734&amp;$C734,生产方式定位!$A$2:$E$38,5,FALSE)+VLOOKUP($E734&amp;$C734,生产方式定位!$F$3:$J$38,5,FALSE),"错误")</f>
        <v>1860</v>
      </c>
      <c r="Y734" s="26" t="str">
        <f t="shared" si="208"/>
        <v/>
      </c>
      <c r="Z734" s="36" t="str">
        <f t="shared" si="209"/>
        <v/>
      </c>
      <c r="AA734" s="36" t="str">
        <f t="shared" si="210"/>
        <v/>
      </c>
      <c r="AB734" s="27" t="str">
        <f t="shared" si="211"/>
        <v>43%</v>
      </c>
      <c r="AC734" s="2">
        <f t="shared" si="212"/>
        <v>460</v>
      </c>
      <c r="AD734" s="37">
        <f t="shared" si="213"/>
        <v>2</v>
      </c>
      <c r="AE734" t="str">
        <f t="shared" si="214"/>
        <v/>
      </c>
      <c r="AF734" t="str">
        <f t="shared" si="215"/>
        <v/>
      </c>
      <c r="AG734" t="str">
        <f t="shared" si="216"/>
        <v/>
      </c>
      <c r="AH734" t="str">
        <f t="shared" si="217"/>
        <v/>
      </c>
      <c r="AI734" t="str">
        <f t="shared" si="218"/>
        <v/>
      </c>
      <c r="AJ734" t="str">
        <f t="shared" si="219"/>
        <v/>
      </c>
      <c r="AK734" t="str">
        <f t="shared" si="220"/>
        <v/>
      </c>
      <c r="AL734" t="str">
        <f>IFERROR(ROUND(L734*(G734/$AU734)/VLOOKUP(F734,商品!$A$4:$B$60,2,FALSE),0),"")</f>
        <v/>
      </c>
      <c r="AM734" t="str">
        <f>IFERROR(ROUND(L734*(I734/$AU734)/VLOOKUP(H734,商品!$A$4:$B$60,2,FALSE),0),"")</f>
        <v/>
      </c>
      <c r="AN734">
        <f>IFERROR(ROUND(L734*(J734/$AU734)/VLOOKUP("运力",商品!$A$4:$B$60,2,FALSE),0),0)</f>
        <v>0</v>
      </c>
      <c r="AO734">
        <f>IFERROR(ROUND(L734*(K734/$AU734)/VLOOKUP("交易",商品!$A$4:$B$60,2,FALSE),0),0)</f>
        <v>0</v>
      </c>
      <c r="AP734" t="str">
        <f>IFERROR(ROUND(S734*(N734/$AV734)/VLOOKUP(M734,职业!$A$4:$G$16,4,FALSE),0),"")</f>
        <v/>
      </c>
      <c r="AQ734" t="str">
        <f>IFERROR(ROUND(S734*(P734/$AV734)/VLOOKUP(O734,职业!$A$4:$G$16,4,FALSE),0),"")</f>
        <v/>
      </c>
      <c r="AR734" t="str">
        <f>IFERROR(ROUND(S734*(R734/$AV734)/VLOOKUP(Q734,职业!$A$4:$G$16,4,FALSE),0),"")</f>
        <v/>
      </c>
      <c r="AS734" t="str">
        <f>IFERROR(ROUND(X734*(U734/$AW734)/VLOOKUP(T734,商品!$A$4:$B$60,2,FALSE),0),"")</f>
        <v/>
      </c>
      <c r="AT734" t="str">
        <f>IFERROR(ROUND(X734*(W734/$AW734)/VLOOKUP(V734,商品!$A$4:$B$60,2,FALSE),0),"")</f>
        <v/>
      </c>
      <c r="AU734">
        <f t="shared" si="221"/>
        <v>0</v>
      </c>
      <c r="AV734">
        <f t="shared" si="222"/>
        <v>0</v>
      </c>
      <c r="AW734">
        <f t="shared" si="223"/>
        <v>0</v>
      </c>
    </row>
    <row r="735" spans="1:49" ht="19.95" customHeight="1" x14ac:dyDescent="0.25">
      <c r="A735" s="16" t="s">
        <v>336</v>
      </c>
      <c r="C735" s="16">
        <v>3</v>
      </c>
      <c r="D735" s="23" t="s">
        <v>312</v>
      </c>
      <c r="E735" s="23" t="s">
        <v>172</v>
      </c>
      <c r="L735" s="15">
        <f>IFERROR(VLOOKUP($D735&amp;$C735,生产方式定位!$A$2:$E$38,2,FALSE)+VLOOKUP($E735&amp;$C735,生产方式定位!$F$3:$J$38,2,FALSE),0)</f>
        <v>2225</v>
      </c>
      <c r="S735" s="15">
        <f>IFERROR(VLOOKUP($D735&amp;$C735,生产方式定位!$A$2:$E$38,3,FALSE)+VLOOKUP($E735&amp;$C735,生产方式定位!$F$3:$J$38,3,FALSE),0)</f>
        <v>100</v>
      </c>
      <c r="X735" s="15">
        <f>IFERROR(VLOOKUP($D735&amp;$C735,生产方式定位!$A$2:$E$38,5,FALSE)+VLOOKUP($E735&amp;$C735,生产方式定位!$F$3:$J$38,5,FALSE),"错误")</f>
        <v>3130</v>
      </c>
      <c r="Y735" s="26" t="str">
        <f t="shared" si="208"/>
        <v/>
      </c>
      <c r="Z735" s="36" t="str">
        <f t="shared" si="209"/>
        <v/>
      </c>
      <c r="AA735" s="36" t="str">
        <f t="shared" si="210"/>
        <v/>
      </c>
      <c r="AB735" s="27" t="str">
        <f t="shared" si="211"/>
        <v>41%</v>
      </c>
      <c r="AC735" s="2">
        <f t="shared" si="212"/>
        <v>805</v>
      </c>
      <c r="AD735" s="38">
        <f t="shared" si="213"/>
        <v>3</v>
      </c>
      <c r="AE735" t="str">
        <f t="shared" si="214"/>
        <v/>
      </c>
      <c r="AF735" t="str">
        <f t="shared" si="215"/>
        <v/>
      </c>
      <c r="AG735" t="str">
        <f t="shared" si="216"/>
        <v/>
      </c>
      <c r="AH735" t="str">
        <f t="shared" si="217"/>
        <v/>
      </c>
      <c r="AI735" t="str">
        <f t="shared" si="218"/>
        <v/>
      </c>
      <c r="AJ735" t="str">
        <f t="shared" si="219"/>
        <v/>
      </c>
      <c r="AK735" t="str">
        <f t="shared" si="220"/>
        <v/>
      </c>
      <c r="AL735" t="str">
        <f>IFERROR(ROUND(L735*(G735/$AU735)/VLOOKUP(F735,商品!$A$4:$B$60,2,FALSE),0),"")</f>
        <v/>
      </c>
      <c r="AM735" t="str">
        <f>IFERROR(ROUND(L735*(I735/$AU735)/VLOOKUP(H735,商品!$A$4:$B$60,2,FALSE),0),"")</f>
        <v/>
      </c>
      <c r="AN735">
        <f>IFERROR(ROUND(L735*(J735/$AU735)/VLOOKUP("运力",商品!$A$4:$B$60,2,FALSE),0),0)</f>
        <v>0</v>
      </c>
      <c r="AO735">
        <f>IFERROR(ROUND(L735*(K735/$AU735)/VLOOKUP("交易",商品!$A$4:$B$60,2,FALSE),0),0)</f>
        <v>0</v>
      </c>
      <c r="AP735" t="str">
        <f>IFERROR(ROUND(S735*(N735/$AV735)/VLOOKUP(M735,职业!$A$4:$G$16,4,FALSE),0),"")</f>
        <v/>
      </c>
      <c r="AQ735" t="str">
        <f>IFERROR(ROUND(S735*(P735/$AV735)/VLOOKUP(O735,职业!$A$4:$G$16,4,FALSE),0),"")</f>
        <v/>
      </c>
      <c r="AR735" t="str">
        <f>IFERROR(ROUND(S735*(R735/$AV735)/VLOOKUP(Q735,职业!$A$4:$G$16,4,FALSE),0),"")</f>
        <v/>
      </c>
      <c r="AS735" t="str">
        <f>IFERROR(ROUND(X735*(U735/$AW735)/VLOOKUP(T735,商品!$A$4:$B$60,2,FALSE),0),"")</f>
        <v/>
      </c>
      <c r="AT735" t="str">
        <f>IFERROR(ROUND(X735*(W735/$AW735)/VLOOKUP(V735,商品!$A$4:$B$60,2,FALSE),0),"")</f>
        <v/>
      </c>
      <c r="AU735">
        <f t="shared" si="221"/>
        <v>0</v>
      </c>
      <c r="AV735">
        <f t="shared" si="222"/>
        <v>0</v>
      </c>
      <c r="AW735">
        <f t="shared" si="223"/>
        <v>0</v>
      </c>
    </row>
    <row r="736" spans="1:49" ht="19.95" customHeight="1" x14ac:dyDescent="0.25">
      <c r="A736" s="16" t="s">
        <v>336</v>
      </c>
      <c r="C736" s="16">
        <v>4</v>
      </c>
      <c r="D736" s="23" t="s">
        <v>312</v>
      </c>
      <c r="E736" s="23" t="s">
        <v>172</v>
      </c>
      <c r="L736" s="15">
        <f>IFERROR(VLOOKUP($D736&amp;$C736,生产方式定位!$A$2:$E$38,2,FALSE)+VLOOKUP($E736&amp;$C736,生产方式定位!$F$3:$J$38,2,FALSE),0)</f>
        <v>3150</v>
      </c>
      <c r="S736" s="15">
        <f>IFERROR(VLOOKUP($D736&amp;$C736,生产方式定位!$A$2:$E$38,3,FALSE)+VLOOKUP($E736&amp;$C736,生产方式定位!$F$3:$J$38,3,FALSE),0)</f>
        <v>100</v>
      </c>
      <c r="X736" s="15">
        <f>IFERROR(VLOOKUP($D736&amp;$C736,生产方式定位!$A$2:$E$38,5,FALSE)+VLOOKUP($E736&amp;$C736,生产方式定位!$F$3:$J$38,5,FALSE),"错误")</f>
        <v>4400</v>
      </c>
      <c r="Y736" s="26" t="str">
        <f t="shared" si="208"/>
        <v/>
      </c>
      <c r="Z736" s="36" t="str">
        <f t="shared" si="209"/>
        <v/>
      </c>
      <c r="AA736" s="36" t="str">
        <f t="shared" si="210"/>
        <v/>
      </c>
      <c r="AB736" s="27" t="str">
        <f t="shared" si="211"/>
        <v>40%</v>
      </c>
      <c r="AC736" s="2">
        <f t="shared" si="212"/>
        <v>1150</v>
      </c>
      <c r="AD736" s="38">
        <f t="shared" si="213"/>
        <v>4</v>
      </c>
      <c r="AE736" t="str">
        <f t="shared" si="214"/>
        <v/>
      </c>
      <c r="AF736" t="str">
        <f t="shared" si="215"/>
        <v/>
      </c>
      <c r="AG736" t="str">
        <f t="shared" si="216"/>
        <v/>
      </c>
      <c r="AH736" t="str">
        <f t="shared" si="217"/>
        <v/>
      </c>
      <c r="AI736" t="str">
        <f t="shared" si="218"/>
        <v/>
      </c>
      <c r="AJ736" t="str">
        <f t="shared" si="219"/>
        <v/>
      </c>
      <c r="AK736" t="str">
        <f t="shared" si="220"/>
        <v/>
      </c>
      <c r="AL736" t="str">
        <f>IFERROR(ROUND(L736*(G736/$AU736)/VLOOKUP(F736,商品!$A$4:$B$60,2,FALSE),0),"")</f>
        <v/>
      </c>
      <c r="AM736" t="str">
        <f>IFERROR(ROUND(L736*(I736/$AU736)/VLOOKUP(H736,商品!$A$4:$B$60,2,FALSE),0),"")</f>
        <v/>
      </c>
      <c r="AN736">
        <f>IFERROR(ROUND(L736*(J736/$AU736)/VLOOKUP("运力",商品!$A$4:$B$60,2,FALSE),0),0)</f>
        <v>0</v>
      </c>
      <c r="AO736">
        <f>IFERROR(ROUND(L736*(K736/$AU736)/VLOOKUP("交易",商品!$A$4:$B$60,2,FALSE),0),0)</f>
        <v>0</v>
      </c>
      <c r="AP736" t="str">
        <f>IFERROR(ROUND(S736*(N736/$AV736)/VLOOKUP(M736,职业!$A$4:$G$16,4,FALSE),0),"")</f>
        <v/>
      </c>
      <c r="AQ736" t="str">
        <f>IFERROR(ROUND(S736*(P736/$AV736)/VLOOKUP(O736,职业!$A$4:$G$16,4,FALSE),0),"")</f>
        <v/>
      </c>
      <c r="AR736" t="str">
        <f>IFERROR(ROUND(S736*(R736/$AV736)/VLOOKUP(Q736,职业!$A$4:$G$16,4,FALSE),0),"")</f>
        <v/>
      </c>
      <c r="AS736" t="str">
        <f>IFERROR(ROUND(X736*(U736/$AW736)/VLOOKUP(T736,商品!$A$4:$B$60,2,FALSE),0),"")</f>
        <v/>
      </c>
      <c r="AT736" t="str">
        <f>IFERROR(ROUND(X736*(W736/$AW736)/VLOOKUP(V736,商品!$A$4:$B$60,2,FALSE),0),"")</f>
        <v/>
      </c>
      <c r="AU736">
        <f t="shared" si="221"/>
        <v>0</v>
      </c>
      <c r="AV736">
        <f t="shared" si="222"/>
        <v>0</v>
      </c>
      <c r="AW736">
        <f t="shared" si="223"/>
        <v>0</v>
      </c>
    </row>
    <row r="737" spans="1:49" ht="19.95" customHeight="1" x14ac:dyDescent="0.25">
      <c r="A737" s="16" t="s">
        <v>336</v>
      </c>
      <c r="C737" s="16">
        <v>5</v>
      </c>
      <c r="D737" s="23" t="s">
        <v>312</v>
      </c>
      <c r="E737" s="23" t="s">
        <v>172</v>
      </c>
      <c r="L737" s="15">
        <f>IFERROR(VLOOKUP($D737&amp;$C737,生产方式定位!$A$2:$E$38,2,FALSE)+VLOOKUP($E737&amp;$C737,生产方式定位!$F$3:$J$38,2,FALSE),0)</f>
        <v>4075</v>
      </c>
      <c r="S737" s="15">
        <f>IFERROR(VLOOKUP($D737&amp;$C737,生产方式定位!$A$2:$E$38,3,FALSE)+VLOOKUP($E737&amp;$C737,生产方式定位!$F$3:$J$38,3,FALSE),0)</f>
        <v>100</v>
      </c>
      <c r="X737" s="15">
        <f>IFERROR(VLOOKUP($D737&amp;$C737,生产方式定位!$A$2:$E$38,5,FALSE)+VLOOKUP($E737&amp;$C737,生产方式定位!$F$3:$J$38,5,FALSE),"错误")</f>
        <v>5670</v>
      </c>
      <c r="Y737" s="26" t="str">
        <f t="shared" si="208"/>
        <v/>
      </c>
      <c r="Z737" s="36" t="str">
        <f t="shared" si="209"/>
        <v/>
      </c>
      <c r="AA737" s="36" t="str">
        <f t="shared" si="210"/>
        <v/>
      </c>
      <c r="AB737" s="27" t="str">
        <f t="shared" si="211"/>
        <v>39%</v>
      </c>
      <c r="AC737" s="2">
        <f t="shared" si="212"/>
        <v>1495</v>
      </c>
      <c r="AD737" s="38">
        <f t="shared" si="213"/>
        <v>5</v>
      </c>
      <c r="AE737" t="str">
        <f t="shared" si="214"/>
        <v/>
      </c>
      <c r="AF737" t="str">
        <f t="shared" si="215"/>
        <v/>
      </c>
      <c r="AG737" t="str">
        <f t="shared" si="216"/>
        <v/>
      </c>
      <c r="AH737" t="str">
        <f t="shared" si="217"/>
        <v/>
      </c>
      <c r="AI737" t="str">
        <f t="shared" si="218"/>
        <v/>
      </c>
      <c r="AJ737" t="str">
        <f t="shared" si="219"/>
        <v/>
      </c>
      <c r="AK737" t="str">
        <f t="shared" si="220"/>
        <v/>
      </c>
      <c r="AL737" t="str">
        <f>IFERROR(ROUND(L737*(G737/$AU737)/VLOOKUP(F737,商品!$A$4:$B$60,2,FALSE),0),"")</f>
        <v/>
      </c>
      <c r="AM737" t="str">
        <f>IFERROR(ROUND(L737*(I737/$AU737)/VLOOKUP(H737,商品!$A$4:$B$60,2,FALSE),0),"")</f>
        <v/>
      </c>
      <c r="AN737">
        <f>IFERROR(ROUND(L737*(J737/$AU737)/VLOOKUP("运力",商品!$A$4:$B$60,2,FALSE),0),0)</f>
        <v>0</v>
      </c>
      <c r="AO737">
        <f>IFERROR(ROUND(L737*(K737/$AU737)/VLOOKUP("交易",商品!$A$4:$B$60,2,FALSE),0),0)</f>
        <v>0</v>
      </c>
      <c r="AP737" t="str">
        <f>IFERROR(ROUND(S737*(N737/$AV737)/VLOOKUP(M737,职业!$A$4:$G$16,4,FALSE),0),"")</f>
        <v/>
      </c>
      <c r="AQ737" t="str">
        <f>IFERROR(ROUND(S737*(P737/$AV737)/VLOOKUP(O737,职业!$A$4:$G$16,4,FALSE),0),"")</f>
        <v/>
      </c>
      <c r="AR737" t="str">
        <f>IFERROR(ROUND(S737*(R737/$AV737)/VLOOKUP(Q737,职业!$A$4:$G$16,4,FALSE),0),"")</f>
        <v/>
      </c>
      <c r="AS737" t="str">
        <f>IFERROR(ROUND(X737*(U737/$AW737)/VLOOKUP(T737,商品!$A$4:$B$60,2,FALSE),0),"")</f>
        <v/>
      </c>
      <c r="AT737" t="str">
        <f>IFERROR(ROUND(X737*(W737/$AW737)/VLOOKUP(V737,商品!$A$4:$B$60,2,FALSE),0),"")</f>
        <v/>
      </c>
      <c r="AU737">
        <f t="shared" si="221"/>
        <v>0</v>
      </c>
      <c r="AV737">
        <f t="shared" si="222"/>
        <v>0</v>
      </c>
      <c r="AW737">
        <f t="shared" si="223"/>
        <v>0</v>
      </c>
    </row>
    <row r="738" spans="1:49" ht="19.95" customHeight="1" x14ac:dyDescent="0.25">
      <c r="A738" s="15" t="s">
        <v>337</v>
      </c>
      <c r="C738" s="15">
        <v>1</v>
      </c>
      <c r="D738" s="23" t="s">
        <v>312</v>
      </c>
      <c r="E738" s="23" t="s">
        <v>193</v>
      </c>
      <c r="L738" s="16">
        <f>IFERROR(VLOOKUP($D738&amp;$C738,生产方式定位!$A$2:$E$38,2,FALSE)+VLOOKUP($E738&amp;$C738,生产方式定位!$F$3:$J$38,2,FALSE),0)</f>
        <v>0</v>
      </c>
      <c r="S738" s="16">
        <f>IFERROR(VLOOKUP($D738&amp;$C738,生产方式定位!$A$2:$E$38,3,FALSE)+VLOOKUP($E738&amp;$C738,生产方式定位!$F$3:$J$38,3,FALSE),0)</f>
        <v>100</v>
      </c>
      <c r="X738" s="16">
        <f>IFERROR(VLOOKUP($D738&amp;$C738,生产方式定位!$A$2:$E$38,5,FALSE)+VLOOKUP($E738&amp;$C738,生产方式定位!$F$3:$J$38,5,FALSE),"错误")</f>
        <v>500</v>
      </c>
      <c r="Y738" s="26" t="str">
        <f t="shared" si="208"/>
        <v/>
      </c>
      <c r="Z738" s="36" t="str">
        <f t="shared" si="209"/>
        <v/>
      </c>
      <c r="AA738" s="36" t="str">
        <f t="shared" si="210"/>
        <v/>
      </c>
      <c r="AB738" s="27" t="str">
        <f t="shared" si="211"/>
        <v/>
      </c>
      <c r="AC738" s="2">
        <f t="shared" si="212"/>
        <v>400</v>
      </c>
      <c r="AD738" s="38">
        <f t="shared" si="213"/>
        <v>1</v>
      </c>
      <c r="AE738" t="str">
        <f t="shared" si="214"/>
        <v/>
      </c>
      <c r="AF738" t="str">
        <f t="shared" si="215"/>
        <v/>
      </c>
      <c r="AG738" t="str">
        <f t="shared" si="216"/>
        <v/>
      </c>
      <c r="AH738" t="str">
        <f t="shared" si="217"/>
        <v/>
      </c>
      <c r="AI738" t="str">
        <f t="shared" si="218"/>
        <v/>
      </c>
      <c r="AJ738" t="str">
        <f t="shared" si="219"/>
        <v/>
      </c>
      <c r="AK738" t="str">
        <f t="shared" si="220"/>
        <v/>
      </c>
      <c r="AL738" t="str">
        <f>IFERROR(ROUND(L738*(G738/$AU738)/VLOOKUP(F738,商品!$A$4:$B$60,2,FALSE),0),"")</f>
        <v/>
      </c>
      <c r="AM738" t="str">
        <f>IFERROR(ROUND(L738*(I738/$AU738)/VLOOKUP(H738,商品!$A$4:$B$60,2,FALSE),0),"")</f>
        <v/>
      </c>
      <c r="AN738">
        <f>IFERROR(ROUND(L738*(J738/$AU738)/VLOOKUP("运力",商品!$A$4:$B$60,2,FALSE),0),0)</f>
        <v>0</v>
      </c>
      <c r="AO738">
        <f>IFERROR(ROUND(L738*(K738/$AU738)/VLOOKUP("交易",商品!$A$4:$B$60,2,FALSE),0),0)</f>
        <v>0</v>
      </c>
      <c r="AP738" t="str">
        <f>IFERROR(ROUND(S738*(N738/$AV738)/VLOOKUP(M738,职业!$A$4:$G$16,4,FALSE),0),"")</f>
        <v/>
      </c>
      <c r="AQ738" t="str">
        <f>IFERROR(ROUND(S738*(P738/$AV738)/VLOOKUP(O738,职业!$A$4:$G$16,4,FALSE),0),"")</f>
        <v/>
      </c>
      <c r="AR738" t="str">
        <f>IFERROR(ROUND(S738*(R738/$AV738)/VLOOKUP(Q738,职业!$A$4:$G$16,4,FALSE),0),"")</f>
        <v/>
      </c>
      <c r="AS738" t="str">
        <f>IFERROR(ROUND(X738*(U738/$AW738)/VLOOKUP(T738,商品!$A$4:$B$60,2,FALSE),0),"")</f>
        <v/>
      </c>
      <c r="AT738" t="str">
        <f>IFERROR(ROUND(X738*(W738/$AW738)/VLOOKUP(V738,商品!$A$4:$B$60,2,FALSE),0),"")</f>
        <v/>
      </c>
      <c r="AU738">
        <f t="shared" si="221"/>
        <v>0</v>
      </c>
      <c r="AV738">
        <f t="shared" si="222"/>
        <v>0</v>
      </c>
      <c r="AW738">
        <f t="shared" si="223"/>
        <v>0</v>
      </c>
    </row>
    <row r="739" spans="1:49" ht="19.95" customHeight="1" x14ac:dyDescent="0.25">
      <c r="A739" s="15" t="s">
        <v>337</v>
      </c>
      <c r="C739" s="15">
        <v>2</v>
      </c>
      <c r="D739" s="23" t="s">
        <v>312</v>
      </c>
      <c r="E739" s="23" t="s">
        <v>193</v>
      </c>
      <c r="L739" s="16">
        <f>IFERROR(VLOOKUP($D739&amp;$C739,生产方式定位!$A$2:$E$38,2,FALSE)+VLOOKUP($E739&amp;$C739,生产方式定位!$F$3:$J$38,2,FALSE),0)</f>
        <v>1200</v>
      </c>
      <c r="S739" s="16">
        <f>IFERROR(VLOOKUP($D739&amp;$C739,生产方式定位!$A$2:$E$38,3,FALSE)+VLOOKUP($E739&amp;$C739,生产方式定位!$F$3:$J$38,3,FALSE),0)</f>
        <v>5</v>
      </c>
      <c r="X739" s="16">
        <f>IFERROR(VLOOKUP($D739&amp;$C739,生产方式定位!$A$2:$E$38,5,FALSE)+VLOOKUP($E739&amp;$C739,生产方式定位!$F$3:$J$38,5,FALSE),"错误")</f>
        <v>1687</v>
      </c>
      <c r="Y739" s="26" t="str">
        <f t="shared" si="208"/>
        <v/>
      </c>
      <c r="Z739" s="36" t="str">
        <f t="shared" si="209"/>
        <v/>
      </c>
      <c r="AA739" s="36" t="str">
        <f t="shared" si="210"/>
        <v/>
      </c>
      <c r="AB739" s="27" t="str">
        <f t="shared" si="211"/>
        <v>41%</v>
      </c>
      <c r="AC739" s="2">
        <f t="shared" si="212"/>
        <v>482</v>
      </c>
      <c r="AD739" s="38">
        <f t="shared" si="213"/>
        <v>2</v>
      </c>
      <c r="AE739" t="str">
        <f t="shared" si="214"/>
        <v/>
      </c>
      <c r="AF739" t="str">
        <f t="shared" si="215"/>
        <v/>
      </c>
      <c r="AG739" t="str">
        <f t="shared" si="216"/>
        <v/>
      </c>
      <c r="AH739" t="str">
        <f t="shared" si="217"/>
        <v/>
      </c>
      <c r="AI739" t="str">
        <f t="shared" si="218"/>
        <v/>
      </c>
      <c r="AJ739" t="str">
        <f t="shared" si="219"/>
        <v/>
      </c>
      <c r="AK739" t="str">
        <f t="shared" si="220"/>
        <v/>
      </c>
      <c r="AL739" t="str">
        <f>IFERROR(ROUND(L739*(G739/$AU739)/VLOOKUP(F739,商品!$A$4:$B$60,2,FALSE),0),"")</f>
        <v/>
      </c>
      <c r="AM739" t="str">
        <f>IFERROR(ROUND(L739*(I739/$AU739)/VLOOKUP(H739,商品!$A$4:$B$60,2,FALSE),0),"")</f>
        <v/>
      </c>
      <c r="AN739">
        <f>IFERROR(ROUND(L739*(J739/$AU739)/VLOOKUP("运力",商品!$A$4:$B$60,2,FALSE),0),0)</f>
        <v>0</v>
      </c>
      <c r="AO739">
        <f>IFERROR(ROUND(L739*(K739/$AU739)/VLOOKUP("交易",商品!$A$4:$B$60,2,FALSE),0),0)</f>
        <v>0</v>
      </c>
      <c r="AP739" t="str">
        <f>IFERROR(ROUND(S739*(N739/$AV739)/VLOOKUP(M739,职业!$A$4:$G$16,4,FALSE),0),"")</f>
        <v/>
      </c>
      <c r="AQ739" t="str">
        <f>IFERROR(ROUND(S739*(P739/$AV739)/VLOOKUP(O739,职业!$A$4:$G$16,4,FALSE),0),"")</f>
        <v/>
      </c>
      <c r="AR739" t="str">
        <f>IFERROR(ROUND(S739*(R739/$AV739)/VLOOKUP(Q739,职业!$A$4:$G$16,4,FALSE),0),"")</f>
        <v/>
      </c>
      <c r="AS739" t="str">
        <f>IFERROR(ROUND(X739*(U739/$AW739)/VLOOKUP(T739,商品!$A$4:$B$60,2,FALSE),0),"")</f>
        <v/>
      </c>
      <c r="AT739" t="str">
        <f>IFERROR(ROUND(X739*(W739/$AW739)/VLOOKUP(V739,商品!$A$4:$B$60,2,FALSE),0),"")</f>
        <v/>
      </c>
      <c r="AU739">
        <f t="shared" si="221"/>
        <v>0</v>
      </c>
      <c r="AV739">
        <f t="shared" si="222"/>
        <v>0</v>
      </c>
      <c r="AW739">
        <f t="shared" si="223"/>
        <v>0</v>
      </c>
    </row>
    <row r="740" spans="1:49" ht="19.95" customHeight="1" x14ac:dyDescent="0.25">
      <c r="A740" s="15" t="s">
        <v>337</v>
      </c>
      <c r="C740" s="15">
        <v>3</v>
      </c>
      <c r="D740" s="23" t="s">
        <v>312</v>
      </c>
      <c r="E740" s="23" t="s">
        <v>193</v>
      </c>
      <c r="L740" s="16">
        <f>IFERROR(VLOOKUP($D740&amp;$C740,生产方式定位!$A$2:$E$38,2,FALSE)+VLOOKUP($E740&amp;$C740,生产方式定位!$F$3:$J$38,2,FALSE),0)</f>
        <v>2100</v>
      </c>
      <c r="S740" s="16">
        <f>IFERROR(VLOOKUP($D740&amp;$C740,生产方式定位!$A$2:$E$38,3,FALSE)+VLOOKUP($E740&amp;$C740,生产方式定位!$F$3:$J$38,3,FALSE),0)</f>
        <v>10</v>
      </c>
      <c r="X740" s="16">
        <f>IFERROR(VLOOKUP($D740&amp;$C740,生产方式定位!$A$2:$E$38,5,FALSE)+VLOOKUP($E740&amp;$C740,生产方式定位!$F$3:$J$38,5,FALSE),"错误")</f>
        <v>2954</v>
      </c>
      <c r="Y740" s="26" t="str">
        <f t="shared" si="208"/>
        <v/>
      </c>
      <c r="Z740" s="36" t="str">
        <f t="shared" si="209"/>
        <v/>
      </c>
      <c r="AA740" s="36" t="str">
        <f t="shared" si="210"/>
        <v/>
      </c>
      <c r="AB740" s="27" t="str">
        <f t="shared" si="211"/>
        <v>41%</v>
      </c>
      <c r="AC740" s="2">
        <f t="shared" si="212"/>
        <v>844</v>
      </c>
      <c r="AD740" s="38">
        <f t="shared" si="213"/>
        <v>3</v>
      </c>
      <c r="AE740" t="str">
        <f t="shared" si="214"/>
        <v/>
      </c>
      <c r="AF740" t="str">
        <f t="shared" si="215"/>
        <v/>
      </c>
      <c r="AG740" t="str">
        <f t="shared" si="216"/>
        <v/>
      </c>
      <c r="AH740" t="str">
        <f t="shared" si="217"/>
        <v/>
      </c>
      <c r="AI740" t="str">
        <f t="shared" si="218"/>
        <v/>
      </c>
      <c r="AJ740" t="str">
        <f t="shared" si="219"/>
        <v/>
      </c>
      <c r="AK740" t="str">
        <f t="shared" si="220"/>
        <v/>
      </c>
      <c r="AL740" t="str">
        <f>IFERROR(ROUND(L740*(G740/$AU740)/VLOOKUP(F740,商品!$A$4:$B$60,2,FALSE),0),"")</f>
        <v/>
      </c>
      <c r="AM740" t="str">
        <f>IFERROR(ROUND(L740*(I740/$AU740)/VLOOKUP(H740,商品!$A$4:$B$60,2,FALSE),0),"")</f>
        <v/>
      </c>
      <c r="AN740">
        <f>IFERROR(ROUND(L740*(J740/$AU740)/VLOOKUP("运力",商品!$A$4:$B$60,2,FALSE),0),0)</f>
        <v>0</v>
      </c>
      <c r="AO740">
        <f>IFERROR(ROUND(L740*(K740/$AU740)/VLOOKUP("交易",商品!$A$4:$B$60,2,FALSE),0),0)</f>
        <v>0</v>
      </c>
      <c r="AP740" t="str">
        <f>IFERROR(ROUND(S740*(N740/$AV740)/VLOOKUP(M740,职业!$A$4:$G$16,4,FALSE),0),"")</f>
        <v/>
      </c>
      <c r="AQ740" t="str">
        <f>IFERROR(ROUND(S740*(P740/$AV740)/VLOOKUP(O740,职业!$A$4:$G$16,4,FALSE),0),"")</f>
        <v/>
      </c>
      <c r="AR740" t="str">
        <f>IFERROR(ROUND(S740*(R740/$AV740)/VLOOKUP(Q740,职业!$A$4:$G$16,4,FALSE),0),"")</f>
        <v/>
      </c>
      <c r="AS740" t="str">
        <f>IFERROR(ROUND(X740*(U740/$AW740)/VLOOKUP(T740,商品!$A$4:$B$60,2,FALSE),0),"")</f>
        <v/>
      </c>
      <c r="AT740" t="str">
        <f>IFERROR(ROUND(X740*(W740/$AW740)/VLOOKUP(V740,商品!$A$4:$B$60,2,FALSE),0),"")</f>
        <v/>
      </c>
      <c r="AU740">
        <f t="shared" si="221"/>
        <v>0</v>
      </c>
      <c r="AV740">
        <f t="shared" si="222"/>
        <v>0</v>
      </c>
      <c r="AW740">
        <f t="shared" si="223"/>
        <v>0</v>
      </c>
    </row>
    <row r="741" spans="1:49" ht="19.95" customHeight="1" x14ac:dyDescent="0.25">
      <c r="A741" s="15" t="s">
        <v>337</v>
      </c>
      <c r="C741" s="15">
        <v>4</v>
      </c>
      <c r="D741" s="23" t="s">
        <v>312</v>
      </c>
      <c r="E741" s="23" t="s">
        <v>193</v>
      </c>
      <c r="L741" s="16">
        <f>IFERROR(VLOOKUP($D741&amp;$C741,生产方式定位!$A$2:$E$38,2,FALSE)+VLOOKUP($E741&amp;$C741,生产方式定位!$F$3:$J$38,2,FALSE),0)</f>
        <v>3000</v>
      </c>
      <c r="S741" s="16">
        <f>IFERROR(VLOOKUP($D741&amp;$C741,生产方式定位!$A$2:$E$38,3,FALSE)+VLOOKUP($E741&amp;$C741,生产方式定位!$F$3:$J$38,3,FALSE),0)</f>
        <v>15</v>
      </c>
      <c r="X741" s="16">
        <f>IFERROR(VLOOKUP($D741&amp;$C741,生产方式定位!$A$2:$E$38,5,FALSE)+VLOOKUP($E741&amp;$C741,生产方式定位!$F$3:$J$38,5,FALSE),"错误")</f>
        <v>4221</v>
      </c>
      <c r="Y741" s="26" t="str">
        <f t="shared" si="208"/>
        <v/>
      </c>
      <c r="Z741" s="36" t="str">
        <f t="shared" si="209"/>
        <v/>
      </c>
      <c r="AA741" s="36" t="str">
        <f t="shared" si="210"/>
        <v/>
      </c>
      <c r="AB741" s="27" t="str">
        <f t="shared" si="211"/>
        <v>41%</v>
      </c>
      <c r="AC741" s="2">
        <f t="shared" si="212"/>
        <v>1206</v>
      </c>
      <c r="AD741" s="38">
        <f t="shared" si="213"/>
        <v>4</v>
      </c>
      <c r="AE741" t="str">
        <f t="shared" si="214"/>
        <v/>
      </c>
      <c r="AF741" t="str">
        <f t="shared" si="215"/>
        <v/>
      </c>
      <c r="AG741" t="str">
        <f t="shared" si="216"/>
        <v/>
      </c>
      <c r="AH741" t="str">
        <f t="shared" si="217"/>
        <v/>
      </c>
      <c r="AI741" t="str">
        <f t="shared" si="218"/>
        <v/>
      </c>
      <c r="AJ741" t="str">
        <f t="shared" si="219"/>
        <v/>
      </c>
      <c r="AK741" t="str">
        <f t="shared" si="220"/>
        <v/>
      </c>
      <c r="AL741" t="str">
        <f>IFERROR(ROUND(L741*(G741/$AU741)/VLOOKUP(F741,商品!$A$4:$B$60,2,FALSE),0),"")</f>
        <v/>
      </c>
      <c r="AM741" t="str">
        <f>IFERROR(ROUND(L741*(I741/$AU741)/VLOOKUP(H741,商品!$A$4:$B$60,2,FALSE),0),"")</f>
        <v/>
      </c>
      <c r="AN741">
        <f>IFERROR(ROUND(L741*(J741/$AU741)/VLOOKUP("运力",商品!$A$4:$B$60,2,FALSE),0),0)</f>
        <v>0</v>
      </c>
      <c r="AO741">
        <f>IFERROR(ROUND(L741*(K741/$AU741)/VLOOKUP("交易",商品!$A$4:$B$60,2,FALSE),0),0)</f>
        <v>0</v>
      </c>
      <c r="AP741" t="str">
        <f>IFERROR(ROUND(S741*(N741/$AV741)/VLOOKUP(M741,职业!$A$4:$G$16,4,FALSE),0),"")</f>
        <v/>
      </c>
      <c r="AQ741" t="str">
        <f>IFERROR(ROUND(S741*(P741/$AV741)/VLOOKUP(O741,职业!$A$4:$G$16,4,FALSE),0),"")</f>
        <v/>
      </c>
      <c r="AR741" t="str">
        <f>IFERROR(ROUND(S741*(R741/$AV741)/VLOOKUP(Q741,职业!$A$4:$G$16,4,FALSE),0),"")</f>
        <v/>
      </c>
      <c r="AS741" t="str">
        <f>IFERROR(ROUND(X741*(U741/$AW741)/VLOOKUP(T741,商品!$A$4:$B$60,2,FALSE),0),"")</f>
        <v/>
      </c>
      <c r="AT741" t="str">
        <f>IFERROR(ROUND(X741*(W741/$AW741)/VLOOKUP(V741,商品!$A$4:$B$60,2,FALSE),0),"")</f>
        <v/>
      </c>
      <c r="AU741">
        <f t="shared" si="221"/>
        <v>0</v>
      </c>
      <c r="AV741">
        <f t="shared" si="222"/>
        <v>0</v>
      </c>
      <c r="AW741">
        <f t="shared" si="223"/>
        <v>0</v>
      </c>
    </row>
    <row r="742" spans="1:49" ht="19.95" customHeight="1" x14ac:dyDescent="0.25">
      <c r="A742" s="15" t="s">
        <v>337</v>
      </c>
      <c r="C742" s="15">
        <v>5</v>
      </c>
      <c r="D742" s="23" t="s">
        <v>312</v>
      </c>
      <c r="E742" s="23" t="s">
        <v>193</v>
      </c>
      <c r="L742" s="16">
        <f>IFERROR(VLOOKUP($D742&amp;$C742,生产方式定位!$A$2:$E$38,2,FALSE)+VLOOKUP($E742&amp;$C742,生产方式定位!$F$3:$J$38,2,FALSE),0)</f>
        <v>3900</v>
      </c>
      <c r="S742" s="16">
        <f>IFERROR(VLOOKUP($D742&amp;$C742,生产方式定位!$A$2:$E$38,3,FALSE)+VLOOKUP($E742&amp;$C742,生产方式定位!$F$3:$J$38,3,FALSE),0)</f>
        <v>20</v>
      </c>
      <c r="X742" s="16">
        <f>IFERROR(VLOOKUP($D742&amp;$C742,生产方式定位!$A$2:$E$38,5,FALSE)+VLOOKUP($E742&amp;$C742,生产方式定位!$F$3:$J$38,5,FALSE),"错误")</f>
        <v>5488</v>
      </c>
      <c r="Y742" s="26" t="str">
        <f t="shared" si="208"/>
        <v/>
      </c>
      <c r="Z742" s="36" t="str">
        <f t="shared" si="209"/>
        <v/>
      </c>
      <c r="AA742" s="36" t="str">
        <f t="shared" si="210"/>
        <v/>
      </c>
      <c r="AB742" s="27" t="str">
        <f t="shared" si="211"/>
        <v>41%</v>
      </c>
      <c r="AC742" s="2">
        <f t="shared" si="212"/>
        <v>1568</v>
      </c>
      <c r="AD742" s="38">
        <f t="shared" si="213"/>
        <v>5</v>
      </c>
      <c r="AE742" t="str">
        <f t="shared" si="214"/>
        <v/>
      </c>
      <c r="AF742" t="str">
        <f t="shared" si="215"/>
        <v/>
      </c>
      <c r="AG742" t="str">
        <f t="shared" si="216"/>
        <v/>
      </c>
      <c r="AH742" t="str">
        <f t="shared" si="217"/>
        <v/>
      </c>
      <c r="AI742" t="str">
        <f t="shared" si="218"/>
        <v/>
      </c>
      <c r="AJ742" t="str">
        <f t="shared" si="219"/>
        <v/>
      </c>
      <c r="AK742" t="str">
        <f t="shared" si="220"/>
        <v/>
      </c>
      <c r="AL742" t="str">
        <f>IFERROR(ROUND(L742*(G742/$AU742)/VLOOKUP(F742,商品!$A$4:$B$60,2,FALSE),0),"")</f>
        <v/>
      </c>
      <c r="AM742" t="str">
        <f>IFERROR(ROUND(L742*(I742/$AU742)/VLOOKUP(H742,商品!$A$4:$B$60,2,FALSE),0),"")</f>
        <v/>
      </c>
      <c r="AN742">
        <f>IFERROR(ROUND(L742*(J742/$AU742)/VLOOKUP("运力",商品!$A$4:$B$60,2,FALSE),0),0)</f>
        <v>0</v>
      </c>
      <c r="AO742">
        <f>IFERROR(ROUND(L742*(K742/$AU742)/VLOOKUP("交易",商品!$A$4:$B$60,2,FALSE),0),0)</f>
        <v>0</v>
      </c>
      <c r="AP742" t="str">
        <f>IFERROR(ROUND(S742*(N742/$AV742)/VLOOKUP(M742,职业!$A$4:$G$16,4,FALSE),0),"")</f>
        <v/>
      </c>
      <c r="AQ742" t="str">
        <f>IFERROR(ROUND(S742*(P742/$AV742)/VLOOKUP(O742,职业!$A$4:$G$16,4,FALSE),0),"")</f>
        <v/>
      </c>
      <c r="AR742" t="str">
        <f>IFERROR(ROUND(S742*(R742/$AV742)/VLOOKUP(Q742,职业!$A$4:$G$16,4,FALSE),0),"")</f>
        <v/>
      </c>
      <c r="AS742" t="str">
        <f>IFERROR(ROUND(X742*(U742/$AW742)/VLOOKUP(T742,商品!$A$4:$B$60,2,FALSE),0),"")</f>
        <v/>
      </c>
      <c r="AT742" t="str">
        <f>IFERROR(ROUND(X742*(W742/$AW742)/VLOOKUP(V742,商品!$A$4:$B$60,2,FALSE),0),"")</f>
        <v/>
      </c>
      <c r="AU742">
        <f t="shared" si="221"/>
        <v>0</v>
      </c>
      <c r="AV742">
        <f t="shared" si="222"/>
        <v>0</v>
      </c>
      <c r="AW742">
        <f t="shared" si="223"/>
        <v>0</v>
      </c>
    </row>
    <row r="743" spans="1:49" ht="19.95" customHeight="1" x14ac:dyDescent="0.25">
      <c r="A743" s="16" t="s">
        <v>338</v>
      </c>
      <c r="C743" s="16">
        <v>1</v>
      </c>
      <c r="D743" s="23" t="s">
        <v>312</v>
      </c>
      <c r="E743" s="23" t="s">
        <v>175</v>
      </c>
      <c r="L743" s="15">
        <f>IFERROR(VLOOKUP($D743&amp;$C743,生产方式定位!$A$2:$E$38,2,FALSE)+VLOOKUP($E743&amp;$C743,生产方式定位!$F$3:$J$38,2,FALSE),0)</f>
        <v>0</v>
      </c>
      <c r="S743" s="15">
        <f>IFERROR(VLOOKUP($D743&amp;$C743,生产方式定位!$A$2:$E$38,3,FALSE)+VLOOKUP($E743&amp;$C743,生产方式定位!$F$3:$J$38,3,FALSE),0)</f>
        <v>100</v>
      </c>
      <c r="X743" s="15">
        <f>IFERROR(VLOOKUP($D743&amp;$C743,生产方式定位!$A$2:$E$38,5,FALSE)+VLOOKUP($E743&amp;$C743,生产方式定位!$F$3:$J$38,5,FALSE),"错误")</f>
        <v>500</v>
      </c>
      <c r="Y743" s="26" t="str">
        <f t="shared" si="208"/>
        <v/>
      </c>
      <c r="Z743" s="36" t="str">
        <f t="shared" si="209"/>
        <v/>
      </c>
      <c r="AA743" s="36" t="str">
        <f t="shared" si="210"/>
        <v/>
      </c>
      <c r="AB743" s="27" t="str">
        <f t="shared" si="211"/>
        <v/>
      </c>
      <c r="AC743" s="2">
        <f t="shared" si="212"/>
        <v>400</v>
      </c>
      <c r="AD743" s="37">
        <f t="shared" si="213"/>
        <v>1</v>
      </c>
      <c r="AE743" t="str">
        <f t="shared" si="214"/>
        <v/>
      </c>
      <c r="AF743" t="str">
        <f t="shared" si="215"/>
        <v/>
      </c>
      <c r="AG743" t="str">
        <f t="shared" si="216"/>
        <v/>
      </c>
      <c r="AH743" t="str">
        <f t="shared" si="217"/>
        <v/>
      </c>
      <c r="AI743" t="str">
        <f t="shared" si="218"/>
        <v/>
      </c>
      <c r="AJ743" t="str">
        <f t="shared" si="219"/>
        <v/>
      </c>
      <c r="AK743" t="str">
        <f t="shared" si="220"/>
        <v/>
      </c>
      <c r="AL743" t="str">
        <f>IFERROR(ROUND(L743*(G743/$AU743)/VLOOKUP(F743,商品!$A$4:$B$60,2,FALSE),0),"")</f>
        <v/>
      </c>
      <c r="AM743" t="str">
        <f>IFERROR(ROUND(L743*(I743/$AU743)/VLOOKUP(H743,商品!$A$4:$B$60,2,FALSE),0),"")</f>
        <v/>
      </c>
      <c r="AN743">
        <f>IFERROR(ROUND(L743*(J743/$AU743)/VLOOKUP("运力",商品!$A$4:$B$60,2,FALSE),0),0)</f>
        <v>0</v>
      </c>
      <c r="AO743">
        <f>IFERROR(ROUND(L743*(K743/$AU743)/VLOOKUP("交易",商品!$A$4:$B$60,2,FALSE),0),0)</f>
        <v>0</v>
      </c>
      <c r="AP743" t="str">
        <f>IFERROR(ROUND(S743*(N743/$AV743)/VLOOKUP(M743,职业!$A$4:$G$16,4,FALSE),0),"")</f>
        <v/>
      </c>
      <c r="AQ743" t="str">
        <f>IFERROR(ROUND(S743*(P743/$AV743)/VLOOKUP(O743,职业!$A$4:$G$16,4,FALSE),0),"")</f>
        <v/>
      </c>
      <c r="AR743" t="str">
        <f>IFERROR(ROUND(S743*(R743/$AV743)/VLOOKUP(Q743,职业!$A$4:$G$16,4,FALSE),0),"")</f>
        <v/>
      </c>
      <c r="AS743" t="str">
        <f>IFERROR(ROUND(X743*(U743/$AW743)/VLOOKUP(T743,商品!$A$4:$B$60,2,FALSE),0),"")</f>
        <v/>
      </c>
      <c r="AT743" t="str">
        <f>IFERROR(ROUND(X743*(W743/$AW743)/VLOOKUP(V743,商品!$A$4:$B$60,2,FALSE),0),"")</f>
        <v/>
      </c>
      <c r="AU743">
        <f t="shared" si="221"/>
        <v>0</v>
      </c>
      <c r="AV743">
        <f t="shared" si="222"/>
        <v>0</v>
      </c>
      <c r="AW743">
        <f t="shared" si="223"/>
        <v>0</v>
      </c>
    </row>
    <row r="744" spans="1:49" ht="19.95" customHeight="1" x14ac:dyDescent="0.25">
      <c r="A744" s="16" t="s">
        <v>338</v>
      </c>
      <c r="C744" s="16">
        <v>2</v>
      </c>
      <c r="D744" s="23" t="s">
        <v>312</v>
      </c>
      <c r="E744" s="23" t="s">
        <v>175</v>
      </c>
      <c r="F744" s="2" t="s">
        <v>41</v>
      </c>
      <c r="G744" s="2">
        <v>10</v>
      </c>
      <c r="L744" s="15">
        <f>IFERROR(VLOOKUP($D744&amp;$C744,生产方式定位!$A$2:$E$38,2,FALSE)+VLOOKUP($E744&amp;$C744,生产方式定位!$F$3:$J$38,2,FALSE),0)</f>
        <v>850</v>
      </c>
      <c r="S744" s="15">
        <f>IFERROR(VLOOKUP($D744&amp;$C744,生产方式定位!$A$2:$E$38,3,FALSE)+VLOOKUP($E744&amp;$C744,生产方式定位!$F$3:$J$38,3,FALSE),0)</f>
        <v>110</v>
      </c>
      <c r="X744" s="15">
        <f>IFERROR(VLOOKUP($D744&amp;$C744,生产方式定位!$A$2:$E$38,5,FALSE)+VLOOKUP($E744&amp;$C744,生产方式定位!$F$3:$J$38,5,FALSE),"错误")</f>
        <v>1260</v>
      </c>
      <c r="Y744" s="26" t="str">
        <f t="shared" si="208"/>
        <v>工具*21</v>
      </c>
      <c r="Z744" s="36" t="str">
        <f t="shared" si="209"/>
        <v/>
      </c>
      <c r="AA744" s="36" t="str">
        <f t="shared" si="210"/>
        <v/>
      </c>
      <c r="AB744" s="27" t="str">
        <f t="shared" si="211"/>
        <v>48%</v>
      </c>
      <c r="AC744" s="2">
        <f t="shared" si="212"/>
        <v>300</v>
      </c>
      <c r="AD744" s="37">
        <f t="shared" si="213"/>
        <v>2</v>
      </c>
      <c r="AE744" t="str">
        <f t="shared" si="214"/>
        <v>工具*21</v>
      </c>
      <c r="AF744" t="str">
        <f t="shared" si="215"/>
        <v/>
      </c>
      <c r="AG744" t="str">
        <f t="shared" si="216"/>
        <v/>
      </c>
      <c r="AH744" t="str">
        <f t="shared" si="217"/>
        <v/>
      </c>
      <c r="AI744" t="str">
        <f t="shared" si="218"/>
        <v/>
      </c>
      <c r="AJ744" t="str">
        <f t="shared" si="219"/>
        <v/>
      </c>
      <c r="AK744" t="str">
        <f t="shared" si="220"/>
        <v/>
      </c>
      <c r="AL744">
        <f>IFERROR(ROUND(L744*(G744/$AU744)/VLOOKUP(F744,商品!$A$4:$B$60,2,FALSE),0),"")</f>
        <v>21</v>
      </c>
      <c r="AM744" t="str">
        <f>IFERROR(ROUND(L744*(I744/$AU744)/VLOOKUP(H744,商品!$A$4:$B$60,2,FALSE),0),"")</f>
        <v/>
      </c>
      <c r="AN744">
        <f>IFERROR(ROUND(L744*(J744/$AU744)/VLOOKUP("运力",商品!$A$4:$B$60,2,FALSE),0),0)</f>
        <v>0</v>
      </c>
      <c r="AO744">
        <f>IFERROR(ROUND(L744*(K744/$AU744)/VLOOKUP("交易",商品!$A$4:$B$60,2,FALSE),0),0)</f>
        <v>0</v>
      </c>
      <c r="AP744" t="str">
        <f>IFERROR(ROUND(S744*(N744/$AV744)/VLOOKUP(M744,职业!$A$4:$G$16,4,FALSE),0),"")</f>
        <v/>
      </c>
      <c r="AQ744" t="str">
        <f>IFERROR(ROUND(S744*(P744/$AV744)/VLOOKUP(O744,职业!$A$4:$G$16,4,FALSE),0),"")</f>
        <v/>
      </c>
      <c r="AR744" t="str">
        <f>IFERROR(ROUND(S744*(R744/$AV744)/VLOOKUP(Q744,职业!$A$4:$G$16,4,FALSE),0),"")</f>
        <v/>
      </c>
      <c r="AS744" t="str">
        <f>IFERROR(ROUND(X744*(U744/$AW744)/VLOOKUP(T744,商品!$A$4:$B$60,2,FALSE),0),"")</f>
        <v/>
      </c>
      <c r="AT744" t="str">
        <f>IFERROR(ROUND(X744*(W744/$AW744)/VLOOKUP(V744,商品!$A$4:$B$60,2,FALSE),0),"")</f>
        <v/>
      </c>
      <c r="AU744">
        <f t="shared" si="221"/>
        <v>10</v>
      </c>
      <c r="AV744">
        <f t="shared" si="222"/>
        <v>0</v>
      </c>
      <c r="AW744">
        <f t="shared" si="223"/>
        <v>0</v>
      </c>
    </row>
    <row r="745" spans="1:49" ht="19.95" customHeight="1" x14ac:dyDescent="0.25">
      <c r="A745" s="16" t="s">
        <v>338</v>
      </c>
      <c r="C745" s="16">
        <v>3</v>
      </c>
      <c r="D745" s="23" t="s">
        <v>312</v>
      </c>
      <c r="E745" s="23" t="s">
        <v>175</v>
      </c>
      <c r="F745" s="2" t="s">
        <v>41</v>
      </c>
      <c r="G745" s="2">
        <v>10</v>
      </c>
      <c r="L745" s="15">
        <f>IFERROR(VLOOKUP($D745&amp;$C745,生产方式定位!$A$2:$E$38,2,FALSE)+VLOOKUP($E745&amp;$C745,生产方式定位!$F$3:$J$38,2,FALSE),0)</f>
        <v>1700</v>
      </c>
      <c r="S745" s="15">
        <f>IFERROR(VLOOKUP($D745&amp;$C745,生产方式定位!$A$2:$E$38,3,FALSE)+VLOOKUP($E745&amp;$C745,生产方式定位!$F$3:$J$38,3,FALSE),0)</f>
        <v>120</v>
      </c>
      <c r="X745" s="15">
        <f>IFERROR(VLOOKUP($D745&amp;$C745,生产方式定位!$A$2:$E$38,5,FALSE)+VLOOKUP($E745&amp;$C745,生产方式定位!$F$3:$J$38,5,FALSE),"错误")</f>
        <v>2380</v>
      </c>
      <c r="Y745" s="26" t="str">
        <f t="shared" si="208"/>
        <v>工具*43</v>
      </c>
      <c r="Z745" s="36" t="str">
        <f t="shared" si="209"/>
        <v/>
      </c>
      <c r="AA745" s="36" t="str">
        <f t="shared" si="210"/>
        <v/>
      </c>
      <c r="AB745" s="27" t="str">
        <f t="shared" si="211"/>
        <v>40%</v>
      </c>
      <c r="AC745" s="2">
        <f t="shared" si="212"/>
        <v>560</v>
      </c>
      <c r="AD745" s="37">
        <f t="shared" si="213"/>
        <v>3</v>
      </c>
      <c r="AE745" t="str">
        <f t="shared" si="214"/>
        <v>工具*43</v>
      </c>
      <c r="AF745" t="str">
        <f t="shared" si="215"/>
        <v/>
      </c>
      <c r="AG745" t="str">
        <f t="shared" si="216"/>
        <v/>
      </c>
      <c r="AH745" t="str">
        <f t="shared" si="217"/>
        <v/>
      </c>
      <c r="AI745" t="str">
        <f t="shared" si="218"/>
        <v/>
      </c>
      <c r="AJ745" t="str">
        <f t="shared" si="219"/>
        <v/>
      </c>
      <c r="AK745" t="str">
        <f t="shared" si="220"/>
        <v/>
      </c>
      <c r="AL745">
        <f>IFERROR(ROUND(L745*(G745/$AU745)/VLOOKUP(F745,商品!$A$4:$B$60,2,FALSE),0),"")</f>
        <v>43</v>
      </c>
      <c r="AM745" t="str">
        <f>IFERROR(ROUND(L745*(I745/$AU745)/VLOOKUP(H745,商品!$A$4:$B$60,2,FALSE),0),"")</f>
        <v/>
      </c>
      <c r="AN745">
        <f>IFERROR(ROUND(L745*(J745/$AU745)/VLOOKUP("运力",商品!$A$4:$B$60,2,FALSE),0),0)</f>
        <v>0</v>
      </c>
      <c r="AO745">
        <f>IFERROR(ROUND(L745*(K745/$AU745)/VLOOKUP("交易",商品!$A$4:$B$60,2,FALSE),0),0)</f>
        <v>0</v>
      </c>
      <c r="AP745" t="str">
        <f>IFERROR(ROUND(S745*(N745/$AV745)/VLOOKUP(M745,职业!$A$4:$G$16,4,FALSE),0),"")</f>
        <v/>
      </c>
      <c r="AQ745" t="str">
        <f>IFERROR(ROUND(S745*(P745/$AV745)/VLOOKUP(O745,职业!$A$4:$G$16,4,FALSE),0),"")</f>
        <v/>
      </c>
      <c r="AR745" t="str">
        <f>IFERROR(ROUND(S745*(R745/$AV745)/VLOOKUP(Q745,职业!$A$4:$G$16,4,FALSE),0),"")</f>
        <v/>
      </c>
      <c r="AS745" t="str">
        <f>IFERROR(ROUND(X745*(U745/$AW745)/VLOOKUP(T745,商品!$A$4:$B$60,2,FALSE),0),"")</f>
        <v/>
      </c>
      <c r="AT745" t="str">
        <f>IFERROR(ROUND(X745*(W745/$AW745)/VLOOKUP(V745,商品!$A$4:$B$60,2,FALSE),0),"")</f>
        <v/>
      </c>
      <c r="AU745">
        <f t="shared" si="221"/>
        <v>10</v>
      </c>
      <c r="AV745">
        <f t="shared" si="222"/>
        <v>0</v>
      </c>
      <c r="AW745">
        <f t="shared" si="223"/>
        <v>0</v>
      </c>
    </row>
    <row r="746" spans="1:49" ht="19.95" customHeight="1" x14ac:dyDescent="0.25">
      <c r="A746" s="16" t="s">
        <v>338</v>
      </c>
      <c r="C746" s="16">
        <v>4</v>
      </c>
      <c r="D746" s="23" t="s">
        <v>312</v>
      </c>
      <c r="E746" s="23" t="s">
        <v>175</v>
      </c>
      <c r="F746" s="2" t="s">
        <v>45</v>
      </c>
      <c r="G746" s="2">
        <v>5</v>
      </c>
      <c r="H746" s="2" t="s">
        <v>19</v>
      </c>
      <c r="I746" s="2">
        <v>10</v>
      </c>
      <c r="L746" s="15">
        <f>IFERROR(VLOOKUP($D746&amp;$C746,生产方式定位!$A$2:$E$38,2,FALSE)+VLOOKUP($E746&amp;$C746,生产方式定位!$F$3:$J$38,2,FALSE),0)</f>
        <v>2550</v>
      </c>
      <c r="S746" s="15">
        <f>IFERROR(VLOOKUP($D746&amp;$C746,生产方式定位!$A$2:$E$38,3,FALSE)+VLOOKUP($E746&amp;$C746,生产方式定位!$F$3:$J$38,3,FALSE),0)</f>
        <v>130</v>
      </c>
      <c r="X746" s="15">
        <f>IFERROR(VLOOKUP($D746&amp;$C746,生产方式定位!$A$2:$E$38,5,FALSE)+VLOOKUP($E746&amp;$C746,生产方式定位!$F$3:$J$38,5,FALSE),"错误")</f>
        <v>3500</v>
      </c>
      <c r="Y746" s="26" t="str">
        <f t="shared" si="208"/>
        <v>科学引擎*11,煤*57</v>
      </c>
      <c r="Z746" s="36" t="str">
        <f t="shared" si="209"/>
        <v/>
      </c>
      <c r="AA746" s="36" t="str">
        <f t="shared" si="210"/>
        <v/>
      </c>
      <c r="AB746" s="27" t="str">
        <f t="shared" si="211"/>
        <v>37%</v>
      </c>
      <c r="AC746" s="2">
        <f t="shared" si="212"/>
        <v>820</v>
      </c>
      <c r="AD746" s="37">
        <f t="shared" si="213"/>
        <v>4</v>
      </c>
      <c r="AE746" t="str">
        <f t="shared" si="214"/>
        <v>科学引擎*11</v>
      </c>
      <c r="AF746" t="str">
        <f t="shared" si="215"/>
        <v>煤*57</v>
      </c>
      <c r="AG746" t="str">
        <f t="shared" si="216"/>
        <v/>
      </c>
      <c r="AH746" t="str">
        <f t="shared" si="217"/>
        <v/>
      </c>
      <c r="AI746" t="str">
        <f t="shared" si="218"/>
        <v/>
      </c>
      <c r="AJ746" t="str">
        <f t="shared" si="219"/>
        <v/>
      </c>
      <c r="AK746" t="str">
        <f t="shared" si="220"/>
        <v/>
      </c>
      <c r="AL746">
        <f>IFERROR(ROUND(L746*(G746/$AU746)/VLOOKUP(F746,商品!$A$4:$B$60,2,FALSE),0),"")</f>
        <v>11</v>
      </c>
      <c r="AM746">
        <f>IFERROR(ROUND(L746*(I746/$AU746)/VLOOKUP(H746,商品!$A$4:$B$60,2,FALSE),0),"")</f>
        <v>57</v>
      </c>
      <c r="AN746">
        <f>IFERROR(ROUND(L746*(J746/$AU746)/VLOOKUP("运力",商品!$A$4:$B$60,2,FALSE),0),0)</f>
        <v>0</v>
      </c>
      <c r="AO746">
        <f>IFERROR(ROUND(L746*(K746/$AU746)/VLOOKUP("交易",商品!$A$4:$B$60,2,FALSE),0),0)</f>
        <v>0</v>
      </c>
      <c r="AP746" t="str">
        <f>IFERROR(ROUND(S746*(N746/$AV746)/VLOOKUP(M746,职业!$A$4:$G$16,4,FALSE),0),"")</f>
        <v/>
      </c>
      <c r="AQ746" t="str">
        <f>IFERROR(ROUND(S746*(P746/$AV746)/VLOOKUP(O746,职业!$A$4:$G$16,4,FALSE),0),"")</f>
        <v/>
      </c>
      <c r="AR746" t="str">
        <f>IFERROR(ROUND(S746*(R746/$AV746)/VLOOKUP(Q746,职业!$A$4:$G$16,4,FALSE),0),"")</f>
        <v/>
      </c>
      <c r="AS746" t="str">
        <f>IFERROR(ROUND(X746*(U746/$AW746)/VLOOKUP(T746,商品!$A$4:$B$60,2,FALSE),0),"")</f>
        <v/>
      </c>
      <c r="AT746" t="str">
        <f>IFERROR(ROUND(X746*(W746/$AW746)/VLOOKUP(V746,商品!$A$4:$B$60,2,FALSE),0),"")</f>
        <v/>
      </c>
      <c r="AU746">
        <f t="shared" si="221"/>
        <v>15</v>
      </c>
      <c r="AV746">
        <f t="shared" si="222"/>
        <v>0</v>
      </c>
      <c r="AW746">
        <f t="shared" si="223"/>
        <v>0</v>
      </c>
    </row>
    <row r="747" spans="1:49" ht="19.95" customHeight="1" x14ac:dyDescent="0.25">
      <c r="A747" s="16" t="s">
        <v>338</v>
      </c>
      <c r="C747" s="16">
        <v>5</v>
      </c>
      <c r="D747" s="23" t="s">
        <v>312</v>
      </c>
      <c r="E747" s="23" t="s">
        <v>175</v>
      </c>
      <c r="F747" s="2" t="s">
        <v>46</v>
      </c>
      <c r="G747" s="2">
        <v>5</v>
      </c>
      <c r="H747" s="2" t="s">
        <v>19</v>
      </c>
      <c r="I747" s="2">
        <v>10</v>
      </c>
      <c r="L747" s="15">
        <f>IFERROR(VLOOKUP($D747&amp;$C747,生产方式定位!$A$2:$E$38,2,FALSE)+VLOOKUP($E747&amp;$C747,生产方式定位!$F$3:$J$38,2,FALSE),0)</f>
        <v>3400</v>
      </c>
      <c r="S747" s="15">
        <f>IFERROR(VLOOKUP($D747&amp;$C747,生产方式定位!$A$2:$E$38,3,FALSE)+VLOOKUP($E747&amp;$C747,生产方式定位!$F$3:$J$38,3,FALSE),0)</f>
        <v>140</v>
      </c>
      <c r="X747" s="15">
        <f>IFERROR(VLOOKUP($D747&amp;$C747,生产方式定位!$A$2:$E$38,5,FALSE)+VLOOKUP($E747&amp;$C747,生产方式定位!$F$3:$J$38,5,FALSE),"错误")</f>
        <v>4620</v>
      </c>
      <c r="Y747" s="26" t="str">
        <f t="shared" si="208"/>
        <v>魔导引擎*14,煤*76</v>
      </c>
      <c r="Z747" s="36" t="str">
        <f t="shared" si="209"/>
        <v/>
      </c>
      <c r="AA747" s="36" t="str">
        <f t="shared" si="210"/>
        <v/>
      </c>
      <c r="AB747" s="27" t="str">
        <f t="shared" si="211"/>
        <v>36%</v>
      </c>
      <c r="AC747" s="2">
        <f t="shared" si="212"/>
        <v>1080</v>
      </c>
      <c r="AD747" s="37">
        <f t="shared" si="213"/>
        <v>5</v>
      </c>
      <c r="AE747" t="str">
        <f t="shared" si="214"/>
        <v>魔导引擎*14</v>
      </c>
      <c r="AF747" t="str">
        <f t="shared" si="215"/>
        <v>煤*76</v>
      </c>
      <c r="AG747" t="str">
        <f t="shared" si="216"/>
        <v/>
      </c>
      <c r="AH747" t="str">
        <f t="shared" si="217"/>
        <v/>
      </c>
      <c r="AI747" t="str">
        <f t="shared" si="218"/>
        <v/>
      </c>
      <c r="AJ747" t="str">
        <f t="shared" si="219"/>
        <v/>
      </c>
      <c r="AK747" t="str">
        <f t="shared" si="220"/>
        <v/>
      </c>
      <c r="AL747">
        <f>IFERROR(ROUND(L747*(G747/$AU747)/VLOOKUP(F747,商品!$A$4:$B$60,2,FALSE),0),"")</f>
        <v>14</v>
      </c>
      <c r="AM747">
        <f>IFERROR(ROUND(L747*(I747/$AU747)/VLOOKUP(H747,商品!$A$4:$B$60,2,FALSE),0),"")</f>
        <v>76</v>
      </c>
      <c r="AN747">
        <f>IFERROR(ROUND(L747*(J747/$AU747)/VLOOKUP("运力",商品!$A$4:$B$60,2,FALSE),0),0)</f>
        <v>0</v>
      </c>
      <c r="AO747">
        <f>IFERROR(ROUND(L747*(K747/$AU747)/VLOOKUP("交易",商品!$A$4:$B$60,2,FALSE),0),0)</f>
        <v>0</v>
      </c>
      <c r="AP747" t="str">
        <f>IFERROR(ROUND(S747*(N747/$AV747)/VLOOKUP(M747,职业!$A$4:$G$16,4,FALSE),0),"")</f>
        <v/>
      </c>
      <c r="AQ747" t="str">
        <f>IFERROR(ROUND(S747*(P747/$AV747)/VLOOKUP(O747,职业!$A$4:$G$16,4,FALSE),0),"")</f>
        <v/>
      </c>
      <c r="AR747" t="str">
        <f>IFERROR(ROUND(S747*(R747/$AV747)/VLOOKUP(Q747,职业!$A$4:$G$16,4,FALSE),0),"")</f>
        <v/>
      </c>
      <c r="AS747" t="str">
        <f>IFERROR(ROUND(X747*(U747/$AW747)/VLOOKUP(T747,商品!$A$4:$B$60,2,FALSE),0),"")</f>
        <v/>
      </c>
      <c r="AT747" t="str">
        <f>IFERROR(ROUND(X747*(W747/$AW747)/VLOOKUP(V747,商品!$A$4:$B$60,2,FALSE),0),"")</f>
        <v/>
      </c>
      <c r="AU747">
        <f t="shared" si="221"/>
        <v>15</v>
      </c>
      <c r="AV747">
        <f t="shared" si="222"/>
        <v>0</v>
      </c>
      <c r="AW747">
        <f t="shared" si="223"/>
        <v>0</v>
      </c>
    </row>
    <row r="748" spans="1:49" ht="19.95" customHeight="1" x14ac:dyDescent="0.25">
      <c r="A748" s="15" t="s">
        <v>339</v>
      </c>
      <c r="C748" s="15">
        <v>1</v>
      </c>
      <c r="D748" s="23" t="s">
        <v>312</v>
      </c>
      <c r="E748" s="23" t="s">
        <v>177</v>
      </c>
      <c r="L748" s="16">
        <f>IFERROR(VLOOKUP($D748&amp;$C748,生产方式定位!$A$2:$E$38,2,FALSE)+VLOOKUP($E748&amp;$C748,生产方式定位!$F$3:$J$38,2,FALSE),0)</f>
        <v>0</v>
      </c>
      <c r="S748" s="16">
        <f>IFERROR(VLOOKUP($D748&amp;$C748,生产方式定位!$A$2:$E$38,3,FALSE)+VLOOKUP($E748&amp;$C748,生产方式定位!$F$3:$J$38,3,FALSE),0)</f>
        <v>100</v>
      </c>
      <c r="X748" s="16">
        <f>IFERROR(VLOOKUP($D748&amp;$C748,生产方式定位!$A$2:$E$38,5,FALSE)+VLOOKUP($E748&amp;$C748,生产方式定位!$F$3:$J$38,5,FALSE),"错误")</f>
        <v>500</v>
      </c>
      <c r="Y748" s="26" t="str">
        <f t="shared" ref="Y748:Y811" si="224">IF(AE748="","",AE748)&amp;IF(AF748="","",","&amp;AF748)&amp;IF(AN748=0,"",",运力*"&amp;AN748)&amp;IF(AO748=0,"",",交易*"&amp;AO748)</f>
        <v/>
      </c>
      <c r="Z748" s="36" t="str">
        <f t="shared" ref="Z748:Z811" si="225">IF(AG748="","",AG748)&amp;IF(AH748="","",","&amp;AH748)&amp;IF(AI748="","",","&amp;AI748)</f>
        <v/>
      </c>
      <c r="AA748" s="36" t="str">
        <f t="shared" ref="AA748:AA811" si="226">IF(AJ748="","",AJ748)&amp;IF(AK748="","",","&amp;AK748)</f>
        <v/>
      </c>
      <c r="AB748" s="27" t="str">
        <f t="shared" ref="AB748:AB811" si="227">IFERROR(ROUND(((X748/L748)-1)*100,0)&amp;"%","")</f>
        <v/>
      </c>
      <c r="AC748" s="2">
        <f t="shared" ref="AC748:AC811" si="228">IF(X748-S748-L748=0,"",X748-S748-L748)</f>
        <v>400</v>
      </c>
      <c r="AD748" s="38">
        <f t="shared" ref="AD748:AD811" si="229">C748</f>
        <v>1</v>
      </c>
      <c r="AE748" t="str">
        <f t="shared" ref="AE748:AE811" si="230">IF(AL748="","",F748&amp;"*"&amp;AL748)</f>
        <v/>
      </c>
      <c r="AF748" t="str">
        <f t="shared" ref="AF748:AF811" si="231">IF(AM748="","",H748&amp;"*"&amp;AM748)</f>
        <v/>
      </c>
      <c r="AG748" t="str">
        <f t="shared" ref="AG748:AG811" si="232">IF(AP748="","",M748&amp;"*"&amp;AP748)</f>
        <v/>
      </c>
      <c r="AH748" t="str">
        <f t="shared" ref="AH748:AH811" si="233">IF(AQ748="","",O748&amp;"*"&amp;AQ748)</f>
        <v/>
      </c>
      <c r="AI748" t="str">
        <f t="shared" ref="AI748:AI811" si="234">IF(AR748="","",Q748&amp;"*"&amp;AR748)</f>
        <v/>
      </c>
      <c r="AJ748" t="str">
        <f t="shared" ref="AJ748:AJ811" si="235">IF(AS748="","",T748&amp;"*"&amp;AS748)</f>
        <v/>
      </c>
      <c r="AK748" t="str">
        <f t="shared" ref="AK748:AK811" si="236">IF(AT748="","",V748&amp;"*"&amp;AT748)</f>
        <v/>
      </c>
      <c r="AL748" t="str">
        <f>IFERROR(ROUND(L748*(G748/$AU748)/VLOOKUP(F748,商品!$A$4:$B$60,2,FALSE),0),"")</f>
        <v/>
      </c>
      <c r="AM748" t="str">
        <f>IFERROR(ROUND(L748*(I748/$AU748)/VLOOKUP(H748,商品!$A$4:$B$60,2,FALSE),0),"")</f>
        <v/>
      </c>
      <c r="AN748">
        <f>IFERROR(ROUND(L748*(J748/$AU748)/VLOOKUP("运力",商品!$A$4:$B$60,2,FALSE),0),0)</f>
        <v>0</v>
      </c>
      <c r="AO748">
        <f>IFERROR(ROUND(L748*(K748/$AU748)/VLOOKUP("交易",商品!$A$4:$B$60,2,FALSE),0),0)</f>
        <v>0</v>
      </c>
      <c r="AP748" t="str">
        <f>IFERROR(ROUND(S748*(N748/$AV748)/VLOOKUP(M748,职业!$A$4:$G$16,4,FALSE),0),"")</f>
        <v/>
      </c>
      <c r="AQ748" t="str">
        <f>IFERROR(ROUND(S748*(P748/$AV748)/VLOOKUP(O748,职业!$A$4:$G$16,4,FALSE),0),"")</f>
        <v/>
      </c>
      <c r="AR748" t="str">
        <f>IFERROR(ROUND(S748*(R748/$AV748)/VLOOKUP(Q748,职业!$A$4:$G$16,4,FALSE),0),"")</f>
        <v/>
      </c>
      <c r="AS748" t="str">
        <f>IFERROR(ROUND(X748*(U748/$AW748)/VLOOKUP(T748,商品!$A$4:$B$60,2,FALSE),0),"")</f>
        <v/>
      </c>
      <c r="AT748" t="str">
        <f>IFERROR(ROUND(X748*(W748/$AW748)/VLOOKUP(V748,商品!$A$4:$B$60,2,FALSE),0),"")</f>
        <v/>
      </c>
      <c r="AU748">
        <f t="shared" ref="AU748:AU811" si="237">G748+I748+J748+K748</f>
        <v>0</v>
      </c>
      <c r="AV748">
        <f t="shared" ref="AV748:AV811" si="238">ABS(N748)+ABS(P748)+ABS(R748)</f>
        <v>0</v>
      </c>
      <c r="AW748">
        <f t="shared" ref="AW748:AW811" si="239">U748+W748</f>
        <v>0</v>
      </c>
    </row>
    <row r="749" spans="1:49" ht="19.95" customHeight="1" x14ac:dyDescent="0.25">
      <c r="A749" s="15" t="s">
        <v>339</v>
      </c>
      <c r="C749" s="15">
        <v>2</v>
      </c>
      <c r="D749" s="23" t="s">
        <v>312</v>
      </c>
      <c r="E749" s="23" t="s">
        <v>177</v>
      </c>
      <c r="F749" s="2" t="s">
        <v>42</v>
      </c>
      <c r="G749" s="2">
        <v>5</v>
      </c>
      <c r="H749" s="2" t="s">
        <v>20</v>
      </c>
      <c r="I749" s="2">
        <v>10</v>
      </c>
      <c r="L749" s="16">
        <f>IFERROR(VLOOKUP($D749&amp;$C749,生产方式定位!$A$2:$E$38,2,FALSE)+VLOOKUP($E749&amp;$C749,生产方式定位!$F$3:$J$38,2,FALSE),0)</f>
        <v>905</v>
      </c>
      <c r="S749" s="16">
        <f>IFERROR(VLOOKUP($D749&amp;$C749,生产方式定位!$A$2:$E$38,3,FALSE)+VLOOKUP($E749&amp;$C749,生产方式定位!$F$3:$J$38,3,FALSE),0)</f>
        <v>115</v>
      </c>
      <c r="X749" s="16">
        <f>IFERROR(VLOOKUP($D749&amp;$C749,生产方式定位!$A$2:$E$38,5,FALSE)+VLOOKUP($E749&amp;$C749,生产方式定位!$F$3:$J$38,5,FALSE),"错误")</f>
        <v>1260</v>
      </c>
      <c r="Y749" s="26" t="str">
        <f t="shared" si="224"/>
        <v>魔偶*8,灵能水晶*20</v>
      </c>
      <c r="Z749" s="36" t="str">
        <f t="shared" si="225"/>
        <v/>
      </c>
      <c r="AA749" s="36" t="str">
        <f t="shared" si="226"/>
        <v/>
      </c>
      <c r="AB749" s="27" t="str">
        <f t="shared" si="227"/>
        <v>39%</v>
      </c>
      <c r="AC749" s="2">
        <f t="shared" si="228"/>
        <v>240</v>
      </c>
      <c r="AD749" s="38">
        <f t="shared" si="229"/>
        <v>2</v>
      </c>
      <c r="AE749" t="str">
        <f t="shared" si="230"/>
        <v>魔偶*8</v>
      </c>
      <c r="AF749" t="str">
        <f t="shared" si="231"/>
        <v>灵能水晶*20</v>
      </c>
      <c r="AG749" t="str">
        <f t="shared" si="232"/>
        <v/>
      </c>
      <c r="AH749" t="str">
        <f t="shared" si="233"/>
        <v/>
      </c>
      <c r="AI749" t="str">
        <f t="shared" si="234"/>
        <v/>
      </c>
      <c r="AJ749" t="str">
        <f t="shared" si="235"/>
        <v/>
      </c>
      <c r="AK749" t="str">
        <f t="shared" si="236"/>
        <v/>
      </c>
      <c r="AL749">
        <f>IFERROR(ROUND(L749*(G749/$AU749)/VLOOKUP(F749,商品!$A$4:$B$60,2,FALSE),0),"")</f>
        <v>8</v>
      </c>
      <c r="AM749">
        <f>IFERROR(ROUND(L749*(I749/$AU749)/VLOOKUP(H749,商品!$A$4:$B$60,2,FALSE),0),"")</f>
        <v>20</v>
      </c>
      <c r="AN749">
        <f>IFERROR(ROUND(L749*(J749/$AU749)/VLOOKUP("运力",商品!$A$4:$B$60,2,FALSE),0),0)</f>
        <v>0</v>
      </c>
      <c r="AO749">
        <f>IFERROR(ROUND(L749*(K749/$AU749)/VLOOKUP("交易",商品!$A$4:$B$60,2,FALSE),0),0)</f>
        <v>0</v>
      </c>
      <c r="AP749" t="str">
        <f>IFERROR(ROUND(S749*(N749/$AV749)/VLOOKUP(M749,职业!$A$4:$G$16,4,FALSE),0),"")</f>
        <v/>
      </c>
      <c r="AQ749" t="str">
        <f>IFERROR(ROUND(S749*(P749/$AV749)/VLOOKUP(O749,职业!$A$4:$G$16,4,FALSE),0),"")</f>
        <v/>
      </c>
      <c r="AR749" t="str">
        <f>IFERROR(ROUND(S749*(R749/$AV749)/VLOOKUP(Q749,职业!$A$4:$G$16,4,FALSE),0),"")</f>
        <v/>
      </c>
      <c r="AS749" t="str">
        <f>IFERROR(ROUND(X749*(U749/$AW749)/VLOOKUP(T749,商品!$A$4:$B$60,2,FALSE),0),"")</f>
        <v/>
      </c>
      <c r="AT749" t="str">
        <f>IFERROR(ROUND(X749*(W749/$AW749)/VLOOKUP(V749,商品!$A$4:$B$60,2,FALSE),0),"")</f>
        <v/>
      </c>
      <c r="AU749">
        <f t="shared" si="237"/>
        <v>15</v>
      </c>
      <c r="AV749">
        <f t="shared" si="238"/>
        <v>0</v>
      </c>
      <c r="AW749">
        <f t="shared" si="239"/>
        <v>0</v>
      </c>
    </row>
    <row r="750" spans="1:49" ht="19.95" customHeight="1" x14ac:dyDescent="0.25">
      <c r="A750" s="15" t="s">
        <v>339</v>
      </c>
      <c r="C750" s="15">
        <v>3</v>
      </c>
      <c r="D750" s="23" t="s">
        <v>312</v>
      </c>
      <c r="E750" s="23" t="s">
        <v>177</v>
      </c>
      <c r="F750" s="2" t="s">
        <v>42</v>
      </c>
      <c r="G750" s="2">
        <v>5</v>
      </c>
      <c r="H750" s="2" t="s">
        <v>20</v>
      </c>
      <c r="I750" s="2">
        <v>10</v>
      </c>
      <c r="L750" s="16">
        <f>IFERROR(VLOOKUP($D750&amp;$C750,生产方式定位!$A$2:$E$38,2,FALSE)+VLOOKUP($E750&amp;$C750,生产方式定位!$F$3:$J$38,2,FALSE),0)</f>
        <v>1810</v>
      </c>
      <c r="S750" s="16">
        <f>IFERROR(VLOOKUP($D750&amp;$C750,生产方式定位!$A$2:$E$38,3,FALSE)+VLOOKUP($E750&amp;$C750,生产方式定位!$F$3:$J$38,3,FALSE),0)</f>
        <v>130</v>
      </c>
      <c r="X750" s="16">
        <f>IFERROR(VLOOKUP($D750&amp;$C750,生产方式定位!$A$2:$E$38,5,FALSE)+VLOOKUP($E750&amp;$C750,生产方式定位!$F$3:$J$38,5,FALSE),"错误")</f>
        <v>2380</v>
      </c>
      <c r="Y750" s="26" t="str">
        <f t="shared" si="224"/>
        <v>魔偶*15,灵能水晶*40</v>
      </c>
      <c r="Z750" s="36" t="str">
        <f t="shared" si="225"/>
        <v/>
      </c>
      <c r="AA750" s="36" t="str">
        <f t="shared" si="226"/>
        <v/>
      </c>
      <c r="AB750" s="27" t="str">
        <f t="shared" si="227"/>
        <v>31%</v>
      </c>
      <c r="AC750" s="2">
        <f t="shared" si="228"/>
        <v>440</v>
      </c>
      <c r="AD750" s="38">
        <f t="shared" si="229"/>
        <v>3</v>
      </c>
      <c r="AE750" t="str">
        <f t="shared" si="230"/>
        <v>魔偶*15</v>
      </c>
      <c r="AF750" t="str">
        <f t="shared" si="231"/>
        <v>灵能水晶*40</v>
      </c>
      <c r="AG750" t="str">
        <f t="shared" si="232"/>
        <v/>
      </c>
      <c r="AH750" t="str">
        <f t="shared" si="233"/>
        <v/>
      </c>
      <c r="AI750" t="str">
        <f t="shared" si="234"/>
        <v/>
      </c>
      <c r="AJ750" t="str">
        <f t="shared" si="235"/>
        <v/>
      </c>
      <c r="AK750" t="str">
        <f t="shared" si="236"/>
        <v/>
      </c>
      <c r="AL750">
        <f>IFERROR(ROUND(L750*(G750/$AU750)/VLOOKUP(F750,商品!$A$4:$B$60,2,FALSE),0),"")</f>
        <v>15</v>
      </c>
      <c r="AM750">
        <f>IFERROR(ROUND(L750*(I750/$AU750)/VLOOKUP(H750,商品!$A$4:$B$60,2,FALSE),0),"")</f>
        <v>40</v>
      </c>
      <c r="AN750">
        <f>IFERROR(ROUND(L750*(J750/$AU750)/VLOOKUP("运力",商品!$A$4:$B$60,2,FALSE),0),0)</f>
        <v>0</v>
      </c>
      <c r="AO750">
        <f>IFERROR(ROUND(L750*(K750/$AU750)/VLOOKUP("交易",商品!$A$4:$B$60,2,FALSE),0),0)</f>
        <v>0</v>
      </c>
      <c r="AP750" t="str">
        <f>IFERROR(ROUND(S750*(N750/$AV750)/VLOOKUP(M750,职业!$A$4:$G$16,4,FALSE),0),"")</f>
        <v/>
      </c>
      <c r="AQ750" t="str">
        <f>IFERROR(ROUND(S750*(P750/$AV750)/VLOOKUP(O750,职业!$A$4:$G$16,4,FALSE),0),"")</f>
        <v/>
      </c>
      <c r="AR750" t="str">
        <f>IFERROR(ROUND(S750*(R750/$AV750)/VLOOKUP(Q750,职业!$A$4:$G$16,4,FALSE),0),"")</f>
        <v/>
      </c>
      <c r="AS750" t="str">
        <f>IFERROR(ROUND(X750*(U750/$AW750)/VLOOKUP(T750,商品!$A$4:$B$60,2,FALSE),0),"")</f>
        <v/>
      </c>
      <c r="AT750" t="str">
        <f>IFERROR(ROUND(X750*(W750/$AW750)/VLOOKUP(V750,商品!$A$4:$B$60,2,FALSE),0),"")</f>
        <v/>
      </c>
      <c r="AU750">
        <f t="shared" si="237"/>
        <v>15</v>
      </c>
      <c r="AV750">
        <f t="shared" si="238"/>
        <v>0</v>
      </c>
      <c r="AW750">
        <f t="shared" si="239"/>
        <v>0</v>
      </c>
    </row>
    <row r="751" spans="1:49" ht="19.95" customHeight="1" x14ac:dyDescent="0.25">
      <c r="A751" s="15" t="s">
        <v>339</v>
      </c>
      <c r="C751" s="15">
        <v>4</v>
      </c>
      <c r="D751" s="23" t="s">
        <v>312</v>
      </c>
      <c r="E751" s="23" t="s">
        <v>177</v>
      </c>
      <c r="F751" s="2" t="s">
        <v>42</v>
      </c>
      <c r="G751" s="2">
        <v>5</v>
      </c>
      <c r="H751" s="2" t="s">
        <v>20</v>
      </c>
      <c r="I751" s="2">
        <v>10</v>
      </c>
      <c r="L751" s="16">
        <f>IFERROR(VLOOKUP($D751&amp;$C751,生产方式定位!$A$2:$E$38,2,FALSE)+VLOOKUP($E751&amp;$C751,生产方式定位!$F$3:$J$38,2,FALSE),0)</f>
        <v>2715</v>
      </c>
      <c r="S751" s="16">
        <f>IFERROR(VLOOKUP($D751&amp;$C751,生产方式定位!$A$2:$E$38,3,FALSE)+VLOOKUP($E751&amp;$C751,生产方式定位!$F$3:$J$38,3,FALSE),0)</f>
        <v>145</v>
      </c>
      <c r="X751" s="16">
        <f>IFERROR(VLOOKUP($D751&amp;$C751,生产方式定位!$A$2:$E$38,5,FALSE)+VLOOKUP($E751&amp;$C751,生产方式定位!$F$3:$J$38,5,FALSE),"错误")</f>
        <v>3500</v>
      </c>
      <c r="Y751" s="26" t="str">
        <f t="shared" si="224"/>
        <v>魔偶*23,灵能水晶*60</v>
      </c>
      <c r="Z751" s="36" t="str">
        <f t="shared" si="225"/>
        <v/>
      </c>
      <c r="AA751" s="36" t="str">
        <f t="shared" si="226"/>
        <v/>
      </c>
      <c r="AB751" s="27" t="str">
        <f t="shared" si="227"/>
        <v>29%</v>
      </c>
      <c r="AC751" s="2">
        <f t="shared" si="228"/>
        <v>640</v>
      </c>
      <c r="AD751" s="38">
        <f t="shared" si="229"/>
        <v>4</v>
      </c>
      <c r="AE751" t="str">
        <f t="shared" si="230"/>
        <v>魔偶*23</v>
      </c>
      <c r="AF751" t="str">
        <f t="shared" si="231"/>
        <v>灵能水晶*60</v>
      </c>
      <c r="AG751" t="str">
        <f t="shared" si="232"/>
        <v/>
      </c>
      <c r="AH751" t="str">
        <f t="shared" si="233"/>
        <v/>
      </c>
      <c r="AI751" t="str">
        <f t="shared" si="234"/>
        <v/>
      </c>
      <c r="AJ751" t="str">
        <f t="shared" si="235"/>
        <v/>
      </c>
      <c r="AK751" t="str">
        <f t="shared" si="236"/>
        <v/>
      </c>
      <c r="AL751">
        <f>IFERROR(ROUND(L751*(G751/$AU751)/VLOOKUP(F751,商品!$A$4:$B$60,2,FALSE),0),"")</f>
        <v>23</v>
      </c>
      <c r="AM751">
        <f>IFERROR(ROUND(L751*(I751/$AU751)/VLOOKUP(H751,商品!$A$4:$B$60,2,FALSE),0),"")</f>
        <v>60</v>
      </c>
      <c r="AN751">
        <f>IFERROR(ROUND(L751*(J751/$AU751)/VLOOKUP("运力",商品!$A$4:$B$60,2,FALSE),0),0)</f>
        <v>0</v>
      </c>
      <c r="AO751">
        <f>IFERROR(ROUND(L751*(K751/$AU751)/VLOOKUP("交易",商品!$A$4:$B$60,2,FALSE),0),0)</f>
        <v>0</v>
      </c>
      <c r="AP751" t="str">
        <f>IFERROR(ROUND(S751*(N751/$AV751)/VLOOKUP(M751,职业!$A$4:$G$16,4,FALSE),0),"")</f>
        <v/>
      </c>
      <c r="AQ751" t="str">
        <f>IFERROR(ROUND(S751*(P751/$AV751)/VLOOKUP(O751,职业!$A$4:$G$16,4,FALSE),0),"")</f>
        <v/>
      </c>
      <c r="AR751" t="str">
        <f>IFERROR(ROUND(S751*(R751/$AV751)/VLOOKUP(Q751,职业!$A$4:$G$16,4,FALSE),0),"")</f>
        <v/>
      </c>
      <c r="AS751" t="str">
        <f>IFERROR(ROUND(X751*(U751/$AW751)/VLOOKUP(T751,商品!$A$4:$B$60,2,FALSE),0),"")</f>
        <v/>
      </c>
      <c r="AT751" t="str">
        <f>IFERROR(ROUND(X751*(W751/$AW751)/VLOOKUP(V751,商品!$A$4:$B$60,2,FALSE),0),"")</f>
        <v/>
      </c>
      <c r="AU751">
        <f t="shared" si="237"/>
        <v>15</v>
      </c>
      <c r="AV751">
        <f t="shared" si="238"/>
        <v>0</v>
      </c>
      <c r="AW751">
        <f t="shared" si="239"/>
        <v>0</v>
      </c>
    </row>
    <row r="752" spans="1:49" ht="19.95" customHeight="1" x14ac:dyDescent="0.25">
      <c r="A752" s="15" t="s">
        <v>339</v>
      </c>
      <c r="C752" s="15">
        <v>5</v>
      </c>
      <c r="D752" s="23" t="s">
        <v>312</v>
      </c>
      <c r="E752" s="23" t="s">
        <v>177</v>
      </c>
      <c r="F752" s="2" t="s">
        <v>42</v>
      </c>
      <c r="G752" s="2">
        <v>5</v>
      </c>
      <c r="H752" s="2" t="s">
        <v>20</v>
      </c>
      <c r="I752" s="2">
        <v>10</v>
      </c>
      <c r="L752" s="16">
        <f>IFERROR(VLOOKUP($D752&amp;$C752,生产方式定位!$A$2:$E$38,2,FALSE)+VLOOKUP($E752&amp;$C752,生产方式定位!$F$3:$J$38,2,FALSE),0)</f>
        <v>3620</v>
      </c>
      <c r="S752" s="16">
        <f>IFERROR(VLOOKUP($D752&amp;$C752,生产方式定位!$A$2:$E$38,3,FALSE)+VLOOKUP($E752&amp;$C752,生产方式定位!$F$3:$J$38,3,FALSE),0)</f>
        <v>160</v>
      </c>
      <c r="X752" s="16">
        <f>IFERROR(VLOOKUP($D752&amp;$C752,生产方式定位!$A$2:$E$38,5,FALSE)+VLOOKUP($E752&amp;$C752,生产方式定位!$F$3:$J$38,5,FALSE),"错误")</f>
        <v>4620</v>
      </c>
      <c r="Y752" s="26" t="str">
        <f t="shared" si="224"/>
        <v>魔偶*30,灵能水晶*80</v>
      </c>
      <c r="Z752" s="36" t="str">
        <f t="shared" si="225"/>
        <v/>
      </c>
      <c r="AA752" s="36" t="str">
        <f t="shared" si="226"/>
        <v/>
      </c>
      <c r="AB752" s="27" t="str">
        <f t="shared" si="227"/>
        <v>28%</v>
      </c>
      <c r="AC752" s="2">
        <f t="shared" si="228"/>
        <v>840</v>
      </c>
      <c r="AD752" s="38">
        <f t="shared" si="229"/>
        <v>5</v>
      </c>
      <c r="AE752" t="str">
        <f t="shared" si="230"/>
        <v>魔偶*30</v>
      </c>
      <c r="AF752" t="str">
        <f t="shared" si="231"/>
        <v>灵能水晶*80</v>
      </c>
      <c r="AG752" t="str">
        <f t="shared" si="232"/>
        <v/>
      </c>
      <c r="AH752" t="str">
        <f t="shared" si="233"/>
        <v/>
      </c>
      <c r="AI752" t="str">
        <f t="shared" si="234"/>
        <v/>
      </c>
      <c r="AJ752" t="str">
        <f t="shared" si="235"/>
        <v/>
      </c>
      <c r="AK752" t="str">
        <f t="shared" si="236"/>
        <v/>
      </c>
      <c r="AL752">
        <f>IFERROR(ROUND(L752*(G752/$AU752)/VLOOKUP(F752,商品!$A$4:$B$60,2,FALSE),0),"")</f>
        <v>30</v>
      </c>
      <c r="AM752">
        <f>IFERROR(ROUND(L752*(I752/$AU752)/VLOOKUP(H752,商品!$A$4:$B$60,2,FALSE),0),"")</f>
        <v>80</v>
      </c>
      <c r="AN752">
        <f>IFERROR(ROUND(L752*(J752/$AU752)/VLOOKUP("运力",商品!$A$4:$B$60,2,FALSE),0),0)</f>
        <v>0</v>
      </c>
      <c r="AO752">
        <f>IFERROR(ROUND(L752*(K752/$AU752)/VLOOKUP("交易",商品!$A$4:$B$60,2,FALSE),0),0)</f>
        <v>0</v>
      </c>
      <c r="AP752" t="str">
        <f>IFERROR(ROUND(S752*(N752/$AV752)/VLOOKUP(M752,职业!$A$4:$G$16,4,FALSE),0),"")</f>
        <v/>
      </c>
      <c r="AQ752" t="str">
        <f>IFERROR(ROUND(S752*(P752/$AV752)/VLOOKUP(O752,职业!$A$4:$G$16,4,FALSE),0),"")</f>
        <v/>
      </c>
      <c r="AR752" t="str">
        <f>IFERROR(ROUND(S752*(R752/$AV752)/VLOOKUP(Q752,职业!$A$4:$G$16,4,FALSE),0),"")</f>
        <v/>
      </c>
      <c r="AS752" t="str">
        <f>IFERROR(ROUND(X752*(U752/$AW752)/VLOOKUP(T752,商品!$A$4:$B$60,2,FALSE),0),"")</f>
        <v/>
      </c>
      <c r="AT752" t="str">
        <f>IFERROR(ROUND(X752*(W752/$AW752)/VLOOKUP(V752,商品!$A$4:$B$60,2,FALSE),0),"")</f>
        <v/>
      </c>
      <c r="AU752">
        <f t="shared" si="237"/>
        <v>15</v>
      </c>
      <c r="AV752">
        <f t="shared" si="238"/>
        <v>0</v>
      </c>
      <c r="AW752">
        <f t="shared" si="239"/>
        <v>0</v>
      </c>
    </row>
    <row r="753" spans="1:49" ht="19.95" customHeight="1" x14ac:dyDescent="0.25">
      <c r="A753" s="16" t="s">
        <v>340</v>
      </c>
      <c r="C753" s="16">
        <v>1</v>
      </c>
      <c r="D753" s="23" t="s">
        <v>174</v>
      </c>
      <c r="E753" s="23" t="s">
        <v>179</v>
      </c>
      <c r="L753" s="15">
        <f>IFERROR(VLOOKUP($D753&amp;$C753,生产方式定位!$A$2:$E$38,2,FALSE)+VLOOKUP($E753&amp;$C753,生产方式定位!$F$3:$J$38,2,FALSE),0)</f>
        <v>0</v>
      </c>
      <c r="S753" s="15">
        <f>IFERROR(VLOOKUP($D753&amp;$C753,生产方式定位!$A$2:$E$38,3,FALSE)+VLOOKUP($E753&amp;$C753,生产方式定位!$F$3:$J$38,3,FALSE),0)</f>
        <v>100</v>
      </c>
      <c r="X753" s="15">
        <f>IFERROR(VLOOKUP($D753&amp;$C753,生产方式定位!$A$2:$E$38,5,FALSE)+VLOOKUP($E753&amp;$C753,生产方式定位!$F$3:$J$38,5,FALSE),"错误")</f>
        <v>100</v>
      </c>
      <c r="Y753" s="26" t="str">
        <f t="shared" si="224"/>
        <v/>
      </c>
      <c r="Z753" s="36" t="str">
        <f t="shared" si="225"/>
        <v/>
      </c>
      <c r="AA753" s="36" t="str">
        <f t="shared" si="226"/>
        <v/>
      </c>
      <c r="AB753" s="27" t="str">
        <f t="shared" si="227"/>
        <v/>
      </c>
      <c r="AC753" s="2" t="str">
        <f t="shared" si="228"/>
        <v/>
      </c>
      <c r="AD753" s="37">
        <f t="shared" si="229"/>
        <v>1</v>
      </c>
      <c r="AE753" t="str">
        <f t="shared" si="230"/>
        <v/>
      </c>
      <c r="AF753" t="str">
        <f t="shared" si="231"/>
        <v/>
      </c>
      <c r="AG753" t="str">
        <f t="shared" si="232"/>
        <v/>
      </c>
      <c r="AH753" t="str">
        <f t="shared" si="233"/>
        <v/>
      </c>
      <c r="AI753" t="str">
        <f t="shared" si="234"/>
        <v/>
      </c>
      <c r="AJ753" t="str">
        <f t="shared" si="235"/>
        <v/>
      </c>
      <c r="AK753" t="str">
        <f t="shared" si="236"/>
        <v/>
      </c>
      <c r="AL753" t="str">
        <f>IFERROR(ROUND(L753*(G753/$AU753)/VLOOKUP(F753,商品!$A$4:$B$60,2,FALSE),0),"")</f>
        <v/>
      </c>
      <c r="AM753" t="str">
        <f>IFERROR(ROUND(L753*(I753/$AU753)/VLOOKUP(H753,商品!$A$4:$B$60,2,FALSE),0),"")</f>
        <v/>
      </c>
      <c r="AN753">
        <f>IFERROR(ROUND(L753*(J753/$AU753)/VLOOKUP("运力",商品!$A$4:$B$60,2,FALSE),0),0)</f>
        <v>0</v>
      </c>
      <c r="AO753">
        <f>IFERROR(ROUND(L753*(K753/$AU753)/VLOOKUP("交易",商品!$A$4:$B$60,2,FALSE),0),0)</f>
        <v>0</v>
      </c>
      <c r="AP753" t="str">
        <f>IFERROR(ROUND(S753*(N753/$AV753)/VLOOKUP(M753,职业!$A$4:$G$16,4,FALSE),0),"")</f>
        <v/>
      </c>
      <c r="AQ753" t="str">
        <f>IFERROR(ROUND(S753*(P753/$AV753)/VLOOKUP(O753,职业!$A$4:$G$16,4,FALSE),0),"")</f>
        <v/>
      </c>
      <c r="AR753" t="str">
        <f>IFERROR(ROUND(S753*(R753/$AV753)/VLOOKUP(Q753,职业!$A$4:$G$16,4,FALSE),0),"")</f>
        <v/>
      </c>
      <c r="AS753" t="str">
        <f>IFERROR(ROUND(X753*(U753/$AW753)/VLOOKUP(T753,商品!$A$4:$B$60,2,FALSE),0),"")</f>
        <v/>
      </c>
      <c r="AT753" t="str">
        <f>IFERROR(ROUND(X753*(W753/$AW753)/VLOOKUP(V753,商品!$A$4:$B$60,2,FALSE),0),"")</f>
        <v/>
      </c>
      <c r="AU753">
        <f t="shared" si="237"/>
        <v>0</v>
      </c>
      <c r="AV753">
        <f t="shared" si="238"/>
        <v>0</v>
      </c>
      <c r="AW753">
        <f t="shared" si="239"/>
        <v>0</v>
      </c>
    </row>
    <row r="754" spans="1:49" ht="19.95" customHeight="1" x14ac:dyDescent="0.25">
      <c r="A754" s="16" t="s">
        <v>340</v>
      </c>
      <c r="C754" s="16">
        <v>2</v>
      </c>
      <c r="D754" s="23" t="s">
        <v>174</v>
      </c>
      <c r="E754" s="23" t="s">
        <v>179</v>
      </c>
      <c r="L754" s="15">
        <f>IFERROR(VLOOKUP($D754&amp;$C754,生产方式定位!$A$2:$E$38,2,FALSE)+VLOOKUP($E754&amp;$C754,生产方式定位!$F$3:$J$38,2,FALSE),0)</f>
        <v>0</v>
      </c>
      <c r="S754" s="15">
        <f>IFERROR(VLOOKUP($D754&amp;$C754,生产方式定位!$A$2:$E$38,3,FALSE)+VLOOKUP($E754&amp;$C754,生产方式定位!$F$3:$J$38,3,FALSE),0)</f>
        <v>100</v>
      </c>
      <c r="X754" s="15">
        <f>IFERROR(VLOOKUP($D754&amp;$C754,生产方式定位!$A$2:$E$38,5,FALSE)+VLOOKUP($E754&amp;$C754,生产方式定位!$F$3:$J$38,5,FALSE),"错误")</f>
        <v>100</v>
      </c>
      <c r="Y754" s="26" t="str">
        <f t="shared" si="224"/>
        <v/>
      </c>
      <c r="Z754" s="36" t="str">
        <f t="shared" si="225"/>
        <v/>
      </c>
      <c r="AA754" s="36" t="str">
        <f t="shared" si="226"/>
        <v/>
      </c>
      <c r="AB754" s="27" t="str">
        <f t="shared" si="227"/>
        <v/>
      </c>
      <c r="AC754" s="2" t="str">
        <f t="shared" si="228"/>
        <v/>
      </c>
      <c r="AD754" s="37">
        <f t="shared" si="229"/>
        <v>2</v>
      </c>
      <c r="AE754" t="str">
        <f t="shared" si="230"/>
        <v/>
      </c>
      <c r="AF754" t="str">
        <f t="shared" si="231"/>
        <v/>
      </c>
      <c r="AG754" t="str">
        <f t="shared" si="232"/>
        <v/>
      </c>
      <c r="AH754" t="str">
        <f t="shared" si="233"/>
        <v/>
      </c>
      <c r="AI754" t="str">
        <f t="shared" si="234"/>
        <v/>
      </c>
      <c r="AJ754" t="str">
        <f t="shared" si="235"/>
        <v/>
      </c>
      <c r="AK754" t="str">
        <f t="shared" si="236"/>
        <v/>
      </c>
      <c r="AL754" t="str">
        <f>IFERROR(ROUND(L754*(G754/$AU754)/VLOOKUP(F754,商品!$A$4:$B$60,2,FALSE),0),"")</f>
        <v/>
      </c>
      <c r="AM754" t="str">
        <f>IFERROR(ROUND(L754*(I754/$AU754)/VLOOKUP(H754,商品!$A$4:$B$60,2,FALSE),0),"")</f>
        <v/>
      </c>
      <c r="AN754">
        <f>IFERROR(ROUND(L754*(J754/$AU754)/VLOOKUP("运力",商品!$A$4:$B$60,2,FALSE),0),0)</f>
        <v>0</v>
      </c>
      <c r="AO754">
        <f>IFERROR(ROUND(L754*(K754/$AU754)/VLOOKUP("交易",商品!$A$4:$B$60,2,FALSE),0),0)</f>
        <v>0</v>
      </c>
      <c r="AP754" t="str">
        <f>IFERROR(ROUND(S754*(N754/$AV754)/VLOOKUP(M754,职业!$A$4:$G$16,4,FALSE),0),"")</f>
        <v/>
      </c>
      <c r="AQ754" t="str">
        <f>IFERROR(ROUND(S754*(P754/$AV754)/VLOOKUP(O754,职业!$A$4:$G$16,4,FALSE),0),"")</f>
        <v/>
      </c>
      <c r="AR754" t="str">
        <f>IFERROR(ROUND(S754*(R754/$AV754)/VLOOKUP(Q754,职业!$A$4:$G$16,4,FALSE),0),"")</f>
        <v/>
      </c>
      <c r="AS754" t="str">
        <f>IFERROR(ROUND(X754*(U754/$AW754)/VLOOKUP(T754,商品!$A$4:$B$60,2,FALSE),0),"")</f>
        <v/>
      </c>
      <c r="AT754" t="str">
        <f>IFERROR(ROUND(X754*(W754/$AW754)/VLOOKUP(V754,商品!$A$4:$B$60,2,FALSE),0),"")</f>
        <v/>
      </c>
      <c r="AU754">
        <f t="shared" si="237"/>
        <v>0</v>
      </c>
      <c r="AV754">
        <f t="shared" si="238"/>
        <v>0</v>
      </c>
      <c r="AW754">
        <f t="shared" si="239"/>
        <v>0</v>
      </c>
    </row>
    <row r="755" spans="1:49" ht="19.95" customHeight="1" x14ac:dyDescent="0.25">
      <c r="A755" s="16" t="s">
        <v>340</v>
      </c>
      <c r="C755" s="16">
        <v>3</v>
      </c>
      <c r="D755" s="23" t="s">
        <v>174</v>
      </c>
      <c r="E755" s="23" t="s">
        <v>179</v>
      </c>
      <c r="L755" s="15">
        <f>IFERROR(VLOOKUP($D755&amp;$C755,生产方式定位!$A$2:$E$38,2,FALSE)+VLOOKUP($E755&amp;$C755,生产方式定位!$F$3:$J$38,2,FALSE),0)</f>
        <v>0</v>
      </c>
      <c r="S755" s="15">
        <f>IFERROR(VLOOKUP($D755&amp;$C755,生产方式定位!$A$2:$E$38,3,FALSE)+VLOOKUP($E755&amp;$C755,生产方式定位!$F$3:$J$38,3,FALSE),0)</f>
        <v>100</v>
      </c>
      <c r="X755" s="15">
        <f>IFERROR(VLOOKUP($D755&amp;$C755,生产方式定位!$A$2:$E$38,5,FALSE)+VLOOKUP($E755&amp;$C755,生产方式定位!$F$3:$J$38,5,FALSE),"错误")</f>
        <v>100</v>
      </c>
      <c r="Y755" s="26" t="str">
        <f t="shared" si="224"/>
        <v/>
      </c>
      <c r="Z755" s="36" t="str">
        <f t="shared" si="225"/>
        <v/>
      </c>
      <c r="AA755" s="36" t="str">
        <f t="shared" si="226"/>
        <v/>
      </c>
      <c r="AB755" s="27" t="str">
        <f t="shared" si="227"/>
        <v/>
      </c>
      <c r="AC755" s="2" t="str">
        <f t="shared" si="228"/>
        <v/>
      </c>
      <c r="AD755" s="37">
        <f t="shared" si="229"/>
        <v>3</v>
      </c>
      <c r="AE755" t="str">
        <f t="shared" si="230"/>
        <v/>
      </c>
      <c r="AF755" t="str">
        <f t="shared" si="231"/>
        <v/>
      </c>
      <c r="AG755" t="str">
        <f t="shared" si="232"/>
        <v/>
      </c>
      <c r="AH755" t="str">
        <f t="shared" si="233"/>
        <v/>
      </c>
      <c r="AI755" t="str">
        <f t="shared" si="234"/>
        <v/>
      </c>
      <c r="AJ755" t="str">
        <f t="shared" si="235"/>
        <v/>
      </c>
      <c r="AK755" t="str">
        <f t="shared" si="236"/>
        <v/>
      </c>
      <c r="AL755" t="str">
        <f>IFERROR(ROUND(L755*(G755/$AU755)/VLOOKUP(F755,商品!$A$4:$B$60,2,FALSE),0),"")</f>
        <v/>
      </c>
      <c r="AM755" t="str">
        <f>IFERROR(ROUND(L755*(I755/$AU755)/VLOOKUP(H755,商品!$A$4:$B$60,2,FALSE),0),"")</f>
        <v/>
      </c>
      <c r="AN755">
        <f>IFERROR(ROUND(L755*(J755/$AU755)/VLOOKUP("运力",商品!$A$4:$B$60,2,FALSE),0),0)</f>
        <v>0</v>
      </c>
      <c r="AO755">
        <f>IFERROR(ROUND(L755*(K755/$AU755)/VLOOKUP("交易",商品!$A$4:$B$60,2,FALSE),0),0)</f>
        <v>0</v>
      </c>
      <c r="AP755" t="str">
        <f>IFERROR(ROUND(S755*(N755/$AV755)/VLOOKUP(M755,职业!$A$4:$G$16,4,FALSE),0),"")</f>
        <v/>
      </c>
      <c r="AQ755" t="str">
        <f>IFERROR(ROUND(S755*(P755/$AV755)/VLOOKUP(O755,职业!$A$4:$G$16,4,FALSE),0),"")</f>
        <v/>
      </c>
      <c r="AR755" t="str">
        <f>IFERROR(ROUND(S755*(R755/$AV755)/VLOOKUP(Q755,职业!$A$4:$G$16,4,FALSE),0),"")</f>
        <v/>
      </c>
      <c r="AS755" t="str">
        <f>IFERROR(ROUND(X755*(U755/$AW755)/VLOOKUP(T755,商品!$A$4:$B$60,2,FALSE),0),"")</f>
        <v/>
      </c>
      <c r="AT755" t="str">
        <f>IFERROR(ROUND(X755*(W755/$AW755)/VLOOKUP(V755,商品!$A$4:$B$60,2,FALSE),0),"")</f>
        <v/>
      </c>
      <c r="AU755">
        <f t="shared" si="237"/>
        <v>0</v>
      </c>
      <c r="AV755">
        <f t="shared" si="238"/>
        <v>0</v>
      </c>
      <c r="AW755">
        <f t="shared" si="239"/>
        <v>0</v>
      </c>
    </row>
    <row r="756" spans="1:49" ht="19.95" customHeight="1" x14ac:dyDescent="0.25">
      <c r="A756" s="16" t="s">
        <v>340</v>
      </c>
      <c r="C756" s="16">
        <v>4</v>
      </c>
      <c r="D756" s="23" t="s">
        <v>174</v>
      </c>
      <c r="E756" s="23" t="s">
        <v>179</v>
      </c>
      <c r="L756" s="15">
        <f>IFERROR(VLOOKUP($D756&amp;$C756,生产方式定位!$A$2:$E$38,2,FALSE)+VLOOKUP($E756&amp;$C756,生产方式定位!$F$3:$J$38,2,FALSE),0)</f>
        <v>0</v>
      </c>
      <c r="S756" s="15">
        <f>IFERROR(VLOOKUP($D756&amp;$C756,生产方式定位!$A$2:$E$38,3,FALSE)+VLOOKUP($E756&amp;$C756,生产方式定位!$F$3:$J$38,3,FALSE),0)</f>
        <v>100</v>
      </c>
      <c r="X756" s="15">
        <f>IFERROR(VLOOKUP($D756&amp;$C756,生产方式定位!$A$2:$E$38,5,FALSE)+VLOOKUP($E756&amp;$C756,生产方式定位!$F$3:$J$38,5,FALSE),"错误")</f>
        <v>100</v>
      </c>
      <c r="Y756" s="26" t="str">
        <f t="shared" si="224"/>
        <v/>
      </c>
      <c r="Z756" s="36" t="str">
        <f t="shared" si="225"/>
        <v/>
      </c>
      <c r="AA756" s="36" t="str">
        <f t="shared" si="226"/>
        <v/>
      </c>
      <c r="AB756" s="27" t="str">
        <f t="shared" si="227"/>
        <v/>
      </c>
      <c r="AC756" s="2" t="str">
        <f t="shared" si="228"/>
        <v/>
      </c>
      <c r="AD756" s="37">
        <f t="shared" si="229"/>
        <v>4</v>
      </c>
      <c r="AE756" t="str">
        <f t="shared" si="230"/>
        <v/>
      </c>
      <c r="AF756" t="str">
        <f t="shared" si="231"/>
        <v/>
      </c>
      <c r="AG756" t="str">
        <f t="shared" si="232"/>
        <v/>
      </c>
      <c r="AH756" t="str">
        <f t="shared" si="233"/>
        <v/>
      </c>
      <c r="AI756" t="str">
        <f t="shared" si="234"/>
        <v/>
      </c>
      <c r="AJ756" t="str">
        <f t="shared" si="235"/>
        <v/>
      </c>
      <c r="AK756" t="str">
        <f t="shared" si="236"/>
        <v/>
      </c>
      <c r="AL756" t="str">
        <f>IFERROR(ROUND(L756*(G756/$AU756)/VLOOKUP(F756,商品!$A$4:$B$60,2,FALSE),0),"")</f>
        <v/>
      </c>
      <c r="AM756" t="str">
        <f>IFERROR(ROUND(L756*(I756/$AU756)/VLOOKUP(H756,商品!$A$4:$B$60,2,FALSE),0),"")</f>
        <v/>
      </c>
      <c r="AN756">
        <f>IFERROR(ROUND(L756*(J756/$AU756)/VLOOKUP("运力",商品!$A$4:$B$60,2,FALSE),0),0)</f>
        <v>0</v>
      </c>
      <c r="AO756">
        <f>IFERROR(ROUND(L756*(K756/$AU756)/VLOOKUP("交易",商品!$A$4:$B$60,2,FALSE),0),0)</f>
        <v>0</v>
      </c>
      <c r="AP756" t="str">
        <f>IFERROR(ROUND(S756*(N756/$AV756)/VLOOKUP(M756,职业!$A$4:$G$16,4,FALSE),0),"")</f>
        <v/>
      </c>
      <c r="AQ756" t="str">
        <f>IFERROR(ROUND(S756*(P756/$AV756)/VLOOKUP(O756,职业!$A$4:$G$16,4,FALSE),0),"")</f>
        <v/>
      </c>
      <c r="AR756" t="str">
        <f>IFERROR(ROUND(S756*(R756/$AV756)/VLOOKUP(Q756,职业!$A$4:$G$16,4,FALSE),0),"")</f>
        <v/>
      </c>
      <c r="AS756" t="str">
        <f>IFERROR(ROUND(X756*(U756/$AW756)/VLOOKUP(T756,商品!$A$4:$B$60,2,FALSE),0),"")</f>
        <v/>
      </c>
      <c r="AT756" t="str">
        <f>IFERROR(ROUND(X756*(W756/$AW756)/VLOOKUP(V756,商品!$A$4:$B$60,2,FALSE),0),"")</f>
        <v/>
      </c>
      <c r="AU756">
        <f t="shared" si="237"/>
        <v>0</v>
      </c>
      <c r="AV756">
        <f t="shared" si="238"/>
        <v>0</v>
      </c>
      <c r="AW756">
        <f t="shared" si="239"/>
        <v>0</v>
      </c>
    </row>
    <row r="757" spans="1:49" ht="19.95" customHeight="1" x14ac:dyDescent="0.25">
      <c r="A757" s="16" t="s">
        <v>340</v>
      </c>
      <c r="C757" s="16">
        <v>5</v>
      </c>
      <c r="D757" s="23" t="s">
        <v>174</v>
      </c>
      <c r="E757" s="23" t="s">
        <v>179</v>
      </c>
      <c r="L757" s="15">
        <f>IFERROR(VLOOKUP($D757&amp;$C757,生产方式定位!$A$2:$E$38,2,FALSE)+VLOOKUP($E757&amp;$C757,生产方式定位!$F$3:$J$38,2,FALSE),0)</f>
        <v>0</v>
      </c>
      <c r="S757" s="15">
        <f>IFERROR(VLOOKUP($D757&amp;$C757,生产方式定位!$A$2:$E$38,3,FALSE)+VLOOKUP($E757&amp;$C757,生产方式定位!$F$3:$J$38,3,FALSE),0)</f>
        <v>100</v>
      </c>
      <c r="X757" s="15">
        <f>IFERROR(VLOOKUP($D757&amp;$C757,生产方式定位!$A$2:$E$38,5,FALSE)+VLOOKUP($E757&amp;$C757,生产方式定位!$F$3:$J$38,5,FALSE),"错误")</f>
        <v>100</v>
      </c>
      <c r="Y757" s="26" t="str">
        <f t="shared" si="224"/>
        <v/>
      </c>
      <c r="Z757" s="36" t="str">
        <f t="shared" si="225"/>
        <v/>
      </c>
      <c r="AA757" s="36" t="str">
        <f t="shared" si="226"/>
        <v/>
      </c>
      <c r="AB757" s="27" t="str">
        <f t="shared" si="227"/>
        <v/>
      </c>
      <c r="AC757" s="2" t="str">
        <f t="shared" si="228"/>
        <v/>
      </c>
      <c r="AD757" s="37">
        <f t="shared" si="229"/>
        <v>5</v>
      </c>
      <c r="AE757" t="str">
        <f t="shared" si="230"/>
        <v/>
      </c>
      <c r="AF757" t="str">
        <f t="shared" si="231"/>
        <v/>
      </c>
      <c r="AG757" t="str">
        <f t="shared" si="232"/>
        <v/>
      </c>
      <c r="AH757" t="str">
        <f t="shared" si="233"/>
        <v/>
      </c>
      <c r="AI757" t="str">
        <f t="shared" si="234"/>
        <v/>
      </c>
      <c r="AJ757" t="str">
        <f t="shared" si="235"/>
        <v/>
      </c>
      <c r="AK757" t="str">
        <f t="shared" si="236"/>
        <v/>
      </c>
      <c r="AL757" t="str">
        <f>IFERROR(ROUND(L757*(G757/$AU757)/VLOOKUP(F757,商品!$A$4:$B$60,2,FALSE),0),"")</f>
        <v/>
      </c>
      <c r="AM757" t="str">
        <f>IFERROR(ROUND(L757*(I757/$AU757)/VLOOKUP(H757,商品!$A$4:$B$60,2,FALSE),0),"")</f>
        <v/>
      </c>
      <c r="AN757">
        <f>IFERROR(ROUND(L757*(J757/$AU757)/VLOOKUP("运力",商品!$A$4:$B$60,2,FALSE),0),0)</f>
        <v>0</v>
      </c>
      <c r="AO757">
        <f>IFERROR(ROUND(L757*(K757/$AU757)/VLOOKUP("交易",商品!$A$4:$B$60,2,FALSE),0),0)</f>
        <v>0</v>
      </c>
      <c r="AP757" t="str">
        <f>IFERROR(ROUND(S757*(N757/$AV757)/VLOOKUP(M757,职业!$A$4:$G$16,4,FALSE),0),"")</f>
        <v/>
      </c>
      <c r="AQ757" t="str">
        <f>IFERROR(ROUND(S757*(P757/$AV757)/VLOOKUP(O757,职业!$A$4:$G$16,4,FALSE),0),"")</f>
        <v/>
      </c>
      <c r="AR757" t="str">
        <f>IFERROR(ROUND(S757*(R757/$AV757)/VLOOKUP(Q757,职业!$A$4:$G$16,4,FALSE),0),"")</f>
        <v/>
      </c>
      <c r="AS757" t="str">
        <f>IFERROR(ROUND(X757*(U757/$AW757)/VLOOKUP(T757,商品!$A$4:$B$60,2,FALSE),0),"")</f>
        <v/>
      </c>
      <c r="AT757" t="str">
        <f>IFERROR(ROUND(X757*(W757/$AW757)/VLOOKUP(V757,商品!$A$4:$B$60,2,FALSE),0),"")</f>
        <v/>
      </c>
      <c r="AU757">
        <f t="shared" si="237"/>
        <v>0</v>
      </c>
      <c r="AV757">
        <f t="shared" si="238"/>
        <v>0</v>
      </c>
      <c r="AW757">
        <f t="shared" si="239"/>
        <v>0</v>
      </c>
    </row>
    <row r="758" spans="1:49" ht="19.95" customHeight="1" x14ac:dyDescent="0.25">
      <c r="A758" s="16" t="s">
        <v>340</v>
      </c>
      <c r="C758" s="16">
        <v>6</v>
      </c>
      <c r="D758" s="23" t="s">
        <v>174</v>
      </c>
      <c r="E758" s="23" t="s">
        <v>179</v>
      </c>
      <c r="L758" s="15">
        <f>IFERROR(VLOOKUP($D758&amp;$C758,生产方式定位!$A$2:$E$38,2,FALSE)+VLOOKUP($E758&amp;$C758,生产方式定位!$F$3:$J$38,2,FALSE),0)</f>
        <v>0</v>
      </c>
      <c r="S758" s="15">
        <f>IFERROR(VLOOKUP($D758&amp;$C758,生产方式定位!$A$2:$E$38,3,FALSE)+VLOOKUP($E758&amp;$C758,生产方式定位!$F$3:$J$38,3,FALSE),0)</f>
        <v>100</v>
      </c>
      <c r="X758" s="15">
        <f>IFERROR(VLOOKUP($D758&amp;$C758,生产方式定位!$A$2:$E$38,5,FALSE)+VLOOKUP($E758&amp;$C758,生产方式定位!$F$3:$J$38,5,FALSE),"错误")</f>
        <v>100</v>
      </c>
      <c r="Y758" s="26" t="str">
        <f t="shared" si="224"/>
        <v/>
      </c>
      <c r="Z758" s="36" t="str">
        <f t="shared" si="225"/>
        <v/>
      </c>
      <c r="AA758" s="36" t="str">
        <f t="shared" si="226"/>
        <v/>
      </c>
      <c r="AB758" s="27" t="str">
        <f t="shared" si="227"/>
        <v/>
      </c>
      <c r="AC758" s="2" t="str">
        <f t="shared" si="228"/>
        <v/>
      </c>
      <c r="AD758" s="38">
        <f t="shared" si="229"/>
        <v>6</v>
      </c>
      <c r="AE758" t="str">
        <f t="shared" si="230"/>
        <v/>
      </c>
      <c r="AF758" t="str">
        <f t="shared" si="231"/>
        <v/>
      </c>
      <c r="AG758" t="str">
        <f t="shared" si="232"/>
        <v/>
      </c>
      <c r="AH758" t="str">
        <f t="shared" si="233"/>
        <v/>
      </c>
      <c r="AI758" t="str">
        <f t="shared" si="234"/>
        <v/>
      </c>
      <c r="AJ758" t="str">
        <f t="shared" si="235"/>
        <v/>
      </c>
      <c r="AK758" t="str">
        <f t="shared" si="236"/>
        <v/>
      </c>
      <c r="AL758" t="str">
        <f>IFERROR(ROUND(L758*(G758/$AU758)/VLOOKUP(F758,商品!$A$4:$B$60,2,FALSE),0),"")</f>
        <v/>
      </c>
      <c r="AM758" t="str">
        <f>IFERROR(ROUND(L758*(I758/$AU758)/VLOOKUP(H758,商品!$A$4:$B$60,2,FALSE),0),"")</f>
        <v/>
      </c>
      <c r="AN758">
        <f>IFERROR(ROUND(L758*(J758/$AU758)/VLOOKUP("运力",商品!$A$4:$B$60,2,FALSE),0),0)</f>
        <v>0</v>
      </c>
      <c r="AO758">
        <f>IFERROR(ROUND(L758*(K758/$AU758)/VLOOKUP("交易",商品!$A$4:$B$60,2,FALSE),0),0)</f>
        <v>0</v>
      </c>
      <c r="AP758" t="str">
        <f>IFERROR(ROUND(S758*(N758/$AV758)/VLOOKUP(M758,职业!$A$4:$G$16,4,FALSE),0),"")</f>
        <v/>
      </c>
      <c r="AQ758" t="str">
        <f>IFERROR(ROUND(S758*(P758/$AV758)/VLOOKUP(O758,职业!$A$4:$G$16,4,FALSE),0),"")</f>
        <v/>
      </c>
      <c r="AR758" t="str">
        <f>IFERROR(ROUND(S758*(R758/$AV758)/VLOOKUP(Q758,职业!$A$4:$G$16,4,FALSE),0),"")</f>
        <v/>
      </c>
      <c r="AS758" t="str">
        <f>IFERROR(ROUND(X758*(U758/$AW758)/VLOOKUP(T758,商品!$A$4:$B$60,2,FALSE),0),"")</f>
        <v/>
      </c>
      <c r="AT758" t="str">
        <f>IFERROR(ROUND(X758*(W758/$AW758)/VLOOKUP(V758,商品!$A$4:$B$60,2,FALSE),0),"")</f>
        <v/>
      </c>
      <c r="AU758">
        <f t="shared" si="237"/>
        <v>0</v>
      </c>
      <c r="AV758">
        <f t="shared" si="238"/>
        <v>0</v>
      </c>
      <c r="AW758">
        <f t="shared" si="239"/>
        <v>0</v>
      </c>
    </row>
    <row r="759" spans="1:49" ht="19.95" customHeight="1" x14ac:dyDescent="0.25">
      <c r="A759" s="16" t="s">
        <v>340</v>
      </c>
      <c r="C759" s="16">
        <v>7</v>
      </c>
      <c r="D759" s="23" t="s">
        <v>174</v>
      </c>
      <c r="E759" s="23" t="s">
        <v>179</v>
      </c>
      <c r="L759" s="15">
        <f>IFERROR(VLOOKUP($D759&amp;$C759,生产方式定位!$A$2:$E$38,2,FALSE)+VLOOKUP($E759&amp;$C759,生产方式定位!$F$3:$J$38,2,FALSE),0)</f>
        <v>0</v>
      </c>
      <c r="S759" s="15">
        <f>IFERROR(VLOOKUP($D759&amp;$C759,生产方式定位!$A$2:$E$38,3,FALSE)+VLOOKUP($E759&amp;$C759,生产方式定位!$F$3:$J$38,3,FALSE),0)</f>
        <v>100</v>
      </c>
      <c r="X759" s="15">
        <f>IFERROR(VLOOKUP($D759&amp;$C759,生产方式定位!$A$2:$E$38,5,FALSE)+VLOOKUP($E759&amp;$C759,生产方式定位!$F$3:$J$38,5,FALSE),"错误")</f>
        <v>100</v>
      </c>
      <c r="Y759" s="26" t="str">
        <f t="shared" si="224"/>
        <v/>
      </c>
      <c r="Z759" s="36" t="str">
        <f t="shared" si="225"/>
        <v/>
      </c>
      <c r="AA759" s="36" t="str">
        <f t="shared" si="226"/>
        <v/>
      </c>
      <c r="AB759" s="27" t="str">
        <f t="shared" si="227"/>
        <v/>
      </c>
      <c r="AC759" s="2" t="str">
        <f t="shared" si="228"/>
        <v/>
      </c>
      <c r="AD759" s="38">
        <f t="shared" si="229"/>
        <v>7</v>
      </c>
      <c r="AE759" t="str">
        <f t="shared" si="230"/>
        <v/>
      </c>
      <c r="AF759" t="str">
        <f t="shared" si="231"/>
        <v/>
      </c>
      <c r="AG759" t="str">
        <f t="shared" si="232"/>
        <v/>
      </c>
      <c r="AH759" t="str">
        <f t="shared" si="233"/>
        <v/>
      </c>
      <c r="AI759" t="str">
        <f t="shared" si="234"/>
        <v/>
      </c>
      <c r="AJ759" t="str">
        <f t="shared" si="235"/>
        <v/>
      </c>
      <c r="AK759" t="str">
        <f t="shared" si="236"/>
        <v/>
      </c>
      <c r="AL759" t="str">
        <f>IFERROR(ROUND(L759*(G759/$AU759)/VLOOKUP(F759,商品!$A$4:$B$60,2,FALSE),0),"")</f>
        <v/>
      </c>
      <c r="AM759" t="str">
        <f>IFERROR(ROUND(L759*(I759/$AU759)/VLOOKUP(H759,商品!$A$4:$B$60,2,FALSE),0),"")</f>
        <v/>
      </c>
      <c r="AN759">
        <f>IFERROR(ROUND(L759*(J759/$AU759)/VLOOKUP("运力",商品!$A$4:$B$60,2,FALSE),0),0)</f>
        <v>0</v>
      </c>
      <c r="AO759">
        <f>IFERROR(ROUND(L759*(K759/$AU759)/VLOOKUP("交易",商品!$A$4:$B$60,2,FALSE),0),0)</f>
        <v>0</v>
      </c>
      <c r="AP759" t="str">
        <f>IFERROR(ROUND(S759*(N759/$AV759)/VLOOKUP(M759,职业!$A$4:$G$16,4,FALSE),0),"")</f>
        <v/>
      </c>
      <c r="AQ759" t="str">
        <f>IFERROR(ROUND(S759*(P759/$AV759)/VLOOKUP(O759,职业!$A$4:$G$16,4,FALSE),0),"")</f>
        <v/>
      </c>
      <c r="AR759" t="str">
        <f>IFERROR(ROUND(S759*(R759/$AV759)/VLOOKUP(Q759,职业!$A$4:$G$16,4,FALSE),0),"")</f>
        <v/>
      </c>
      <c r="AS759" t="str">
        <f>IFERROR(ROUND(X759*(U759/$AW759)/VLOOKUP(T759,商品!$A$4:$B$60,2,FALSE),0),"")</f>
        <v/>
      </c>
      <c r="AT759" t="str">
        <f>IFERROR(ROUND(X759*(W759/$AW759)/VLOOKUP(V759,商品!$A$4:$B$60,2,FALSE),0),"")</f>
        <v/>
      </c>
      <c r="AU759">
        <f t="shared" si="237"/>
        <v>0</v>
      </c>
      <c r="AV759">
        <f t="shared" si="238"/>
        <v>0</v>
      </c>
      <c r="AW759">
        <f t="shared" si="239"/>
        <v>0</v>
      </c>
    </row>
    <row r="760" spans="1:49" ht="19.95" customHeight="1" x14ac:dyDescent="0.25">
      <c r="A760" s="16" t="s">
        <v>340</v>
      </c>
      <c r="C760" s="16">
        <v>8</v>
      </c>
      <c r="D760" s="23" t="s">
        <v>174</v>
      </c>
      <c r="E760" s="23" t="s">
        <v>179</v>
      </c>
      <c r="L760" s="15">
        <f>IFERROR(VLOOKUP($D760&amp;$C760,生产方式定位!$A$2:$E$38,2,FALSE)+VLOOKUP($E760&amp;$C760,生产方式定位!$F$3:$J$38,2,FALSE),0)</f>
        <v>0</v>
      </c>
      <c r="S760" s="15">
        <f>IFERROR(VLOOKUP($D760&amp;$C760,生产方式定位!$A$2:$E$38,3,FALSE)+VLOOKUP($E760&amp;$C760,生产方式定位!$F$3:$J$38,3,FALSE),0)</f>
        <v>100</v>
      </c>
      <c r="X760" s="15">
        <f>IFERROR(VLOOKUP($D760&amp;$C760,生产方式定位!$A$2:$E$38,5,FALSE)+VLOOKUP($E760&amp;$C760,生产方式定位!$F$3:$J$38,5,FALSE),"错误")</f>
        <v>100</v>
      </c>
      <c r="Y760" s="26" t="str">
        <f t="shared" si="224"/>
        <v/>
      </c>
      <c r="Z760" s="36" t="str">
        <f t="shared" si="225"/>
        <v/>
      </c>
      <c r="AA760" s="36" t="str">
        <f t="shared" si="226"/>
        <v/>
      </c>
      <c r="AB760" s="27" t="str">
        <f t="shared" si="227"/>
        <v/>
      </c>
      <c r="AC760" s="2" t="str">
        <f t="shared" si="228"/>
        <v/>
      </c>
      <c r="AD760" s="38">
        <f t="shared" si="229"/>
        <v>8</v>
      </c>
      <c r="AE760" t="str">
        <f t="shared" si="230"/>
        <v/>
      </c>
      <c r="AF760" t="str">
        <f t="shared" si="231"/>
        <v/>
      </c>
      <c r="AG760" t="str">
        <f t="shared" si="232"/>
        <v/>
      </c>
      <c r="AH760" t="str">
        <f t="shared" si="233"/>
        <v/>
      </c>
      <c r="AI760" t="str">
        <f t="shared" si="234"/>
        <v/>
      </c>
      <c r="AJ760" t="str">
        <f t="shared" si="235"/>
        <v/>
      </c>
      <c r="AK760" t="str">
        <f t="shared" si="236"/>
        <v/>
      </c>
      <c r="AL760" t="str">
        <f>IFERROR(ROUND(L760*(G760/$AU760)/VLOOKUP(F760,商品!$A$4:$B$60,2,FALSE),0),"")</f>
        <v/>
      </c>
      <c r="AM760" t="str">
        <f>IFERROR(ROUND(L760*(I760/$AU760)/VLOOKUP(H760,商品!$A$4:$B$60,2,FALSE),0),"")</f>
        <v/>
      </c>
      <c r="AN760">
        <f>IFERROR(ROUND(L760*(J760/$AU760)/VLOOKUP("运力",商品!$A$4:$B$60,2,FALSE),0),0)</f>
        <v>0</v>
      </c>
      <c r="AO760">
        <f>IFERROR(ROUND(L760*(K760/$AU760)/VLOOKUP("交易",商品!$A$4:$B$60,2,FALSE),0),0)</f>
        <v>0</v>
      </c>
      <c r="AP760" t="str">
        <f>IFERROR(ROUND(S760*(N760/$AV760)/VLOOKUP(M760,职业!$A$4:$G$16,4,FALSE),0),"")</f>
        <v/>
      </c>
      <c r="AQ760" t="str">
        <f>IFERROR(ROUND(S760*(P760/$AV760)/VLOOKUP(O760,职业!$A$4:$G$16,4,FALSE),0),"")</f>
        <v/>
      </c>
      <c r="AR760" t="str">
        <f>IFERROR(ROUND(S760*(R760/$AV760)/VLOOKUP(Q760,职业!$A$4:$G$16,4,FALSE),0),"")</f>
        <v/>
      </c>
      <c r="AS760" t="str">
        <f>IFERROR(ROUND(X760*(U760/$AW760)/VLOOKUP(T760,商品!$A$4:$B$60,2,FALSE),0),"")</f>
        <v/>
      </c>
      <c r="AT760" t="str">
        <f>IFERROR(ROUND(X760*(W760/$AW760)/VLOOKUP(V760,商品!$A$4:$B$60,2,FALSE),0),"")</f>
        <v/>
      </c>
      <c r="AU760">
        <f t="shared" si="237"/>
        <v>0</v>
      </c>
      <c r="AV760">
        <f t="shared" si="238"/>
        <v>0</v>
      </c>
      <c r="AW760">
        <f t="shared" si="239"/>
        <v>0</v>
      </c>
    </row>
    <row r="761" spans="1:49" ht="19.95" customHeight="1" x14ac:dyDescent="0.25">
      <c r="A761" s="15" t="s">
        <v>342</v>
      </c>
      <c r="C761" s="15">
        <v>1</v>
      </c>
      <c r="D761" s="23" t="s">
        <v>312</v>
      </c>
      <c r="E761" s="23" t="s">
        <v>172</v>
      </c>
      <c r="L761" s="16">
        <f>IFERROR(VLOOKUP($D761&amp;$C761,生产方式定位!$A$2:$E$38,2,FALSE)+VLOOKUP($E761&amp;$C761,生产方式定位!$F$3:$J$38,2,FALSE),0)</f>
        <v>0</v>
      </c>
      <c r="S761" s="16">
        <f>IFERROR(VLOOKUP($D761&amp;$C761,生产方式定位!$A$2:$E$38,3,FALSE)+VLOOKUP($E761&amp;$C761,生产方式定位!$F$3:$J$38,3,FALSE),0)</f>
        <v>100</v>
      </c>
      <c r="X761" s="16">
        <f>IFERROR(VLOOKUP($D761&amp;$C761,生产方式定位!$A$2:$E$38,5,FALSE)+VLOOKUP($E761&amp;$C761,生产方式定位!$F$3:$J$38,5,FALSE),"错误")</f>
        <v>500</v>
      </c>
      <c r="Y761" s="26" t="str">
        <f t="shared" si="224"/>
        <v/>
      </c>
      <c r="Z761" s="36" t="str">
        <f t="shared" si="225"/>
        <v/>
      </c>
      <c r="AA761" s="36" t="str">
        <f t="shared" si="226"/>
        <v/>
      </c>
      <c r="AB761" s="27" t="str">
        <f t="shared" si="227"/>
        <v/>
      </c>
      <c r="AC761" s="2">
        <f t="shared" si="228"/>
        <v>400</v>
      </c>
      <c r="AD761" s="38">
        <f t="shared" si="229"/>
        <v>1</v>
      </c>
      <c r="AE761" t="str">
        <f t="shared" si="230"/>
        <v/>
      </c>
      <c r="AF761" t="str">
        <f t="shared" si="231"/>
        <v/>
      </c>
      <c r="AG761" t="str">
        <f t="shared" si="232"/>
        <v/>
      </c>
      <c r="AH761" t="str">
        <f t="shared" si="233"/>
        <v/>
      </c>
      <c r="AI761" t="str">
        <f t="shared" si="234"/>
        <v/>
      </c>
      <c r="AJ761" t="str">
        <f t="shared" si="235"/>
        <v/>
      </c>
      <c r="AK761" t="str">
        <f t="shared" si="236"/>
        <v/>
      </c>
      <c r="AL761" t="str">
        <f>IFERROR(ROUND(L761*(G761/$AU761)/VLOOKUP(F761,商品!$A$4:$B$60,2,FALSE),0),"")</f>
        <v/>
      </c>
      <c r="AM761" t="str">
        <f>IFERROR(ROUND(L761*(I761/$AU761)/VLOOKUP(H761,商品!$A$4:$B$60,2,FALSE),0),"")</f>
        <v/>
      </c>
      <c r="AN761">
        <f>IFERROR(ROUND(L761*(J761/$AU761)/VLOOKUP("运力",商品!$A$4:$B$60,2,FALSE),0),0)</f>
        <v>0</v>
      </c>
      <c r="AO761">
        <f>IFERROR(ROUND(L761*(K761/$AU761)/VLOOKUP("交易",商品!$A$4:$B$60,2,FALSE),0),0)</f>
        <v>0</v>
      </c>
      <c r="AP761" t="str">
        <f>IFERROR(ROUND(S761*(N761/$AV761)/VLOOKUP(M761,职业!$A$4:$G$16,4,FALSE),0),"")</f>
        <v/>
      </c>
      <c r="AQ761" t="str">
        <f>IFERROR(ROUND(S761*(P761/$AV761)/VLOOKUP(O761,职业!$A$4:$G$16,4,FALSE),0),"")</f>
        <v/>
      </c>
      <c r="AR761" t="str">
        <f>IFERROR(ROUND(S761*(R761/$AV761)/VLOOKUP(Q761,职业!$A$4:$G$16,4,FALSE),0),"")</f>
        <v/>
      </c>
      <c r="AS761" t="str">
        <f>IFERROR(ROUND(X761*(U761/$AW761)/VLOOKUP(T761,商品!$A$4:$B$60,2,FALSE),0),"")</f>
        <v/>
      </c>
      <c r="AT761" t="str">
        <f>IFERROR(ROUND(X761*(W761/$AW761)/VLOOKUP(V761,商品!$A$4:$B$60,2,FALSE),0),"")</f>
        <v/>
      </c>
      <c r="AU761">
        <f t="shared" si="237"/>
        <v>0</v>
      </c>
      <c r="AV761">
        <f t="shared" si="238"/>
        <v>0</v>
      </c>
      <c r="AW761">
        <f t="shared" si="239"/>
        <v>0</v>
      </c>
    </row>
    <row r="762" spans="1:49" ht="19.95" customHeight="1" x14ac:dyDescent="0.25">
      <c r="A762" s="15" t="s">
        <v>342</v>
      </c>
      <c r="C762" s="15">
        <v>2</v>
      </c>
      <c r="D762" s="23" t="s">
        <v>312</v>
      </c>
      <c r="E762" s="23" t="s">
        <v>172</v>
      </c>
      <c r="L762" s="16">
        <f>IFERROR(VLOOKUP($D762&amp;$C762,生产方式定位!$A$2:$E$38,2,FALSE)+VLOOKUP($E762&amp;$C762,生产方式定位!$F$3:$J$38,2,FALSE),0)</f>
        <v>1300</v>
      </c>
      <c r="S762" s="16">
        <f>IFERROR(VLOOKUP($D762&amp;$C762,生产方式定位!$A$2:$E$38,3,FALSE)+VLOOKUP($E762&amp;$C762,生产方式定位!$F$3:$J$38,3,FALSE),0)</f>
        <v>100</v>
      </c>
      <c r="X762" s="16">
        <f>IFERROR(VLOOKUP($D762&amp;$C762,生产方式定位!$A$2:$E$38,5,FALSE)+VLOOKUP($E762&amp;$C762,生产方式定位!$F$3:$J$38,5,FALSE),"错误")</f>
        <v>1860</v>
      </c>
      <c r="Y762" s="26" t="str">
        <f t="shared" si="224"/>
        <v/>
      </c>
      <c r="Z762" s="36" t="str">
        <f t="shared" si="225"/>
        <v/>
      </c>
      <c r="AA762" s="36" t="str">
        <f t="shared" si="226"/>
        <v/>
      </c>
      <c r="AB762" s="27" t="str">
        <f t="shared" si="227"/>
        <v>43%</v>
      </c>
      <c r="AC762" s="2">
        <f t="shared" si="228"/>
        <v>460</v>
      </c>
      <c r="AD762" s="38">
        <f t="shared" si="229"/>
        <v>2</v>
      </c>
      <c r="AE762" t="str">
        <f t="shared" si="230"/>
        <v/>
      </c>
      <c r="AF762" t="str">
        <f t="shared" si="231"/>
        <v/>
      </c>
      <c r="AG762" t="str">
        <f t="shared" si="232"/>
        <v/>
      </c>
      <c r="AH762" t="str">
        <f t="shared" si="233"/>
        <v/>
      </c>
      <c r="AI762" t="str">
        <f t="shared" si="234"/>
        <v/>
      </c>
      <c r="AJ762" t="str">
        <f t="shared" si="235"/>
        <v/>
      </c>
      <c r="AK762" t="str">
        <f t="shared" si="236"/>
        <v/>
      </c>
      <c r="AL762" t="str">
        <f>IFERROR(ROUND(L762*(G762/$AU762)/VLOOKUP(F762,商品!$A$4:$B$60,2,FALSE),0),"")</f>
        <v/>
      </c>
      <c r="AM762" t="str">
        <f>IFERROR(ROUND(L762*(I762/$AU762)/VLOOKUP(H762,商品!$A$4:$B$60,2,FALSE),0),"")</f>
        <v/>
      </c>
      <c r="AN762">
        <f>IFERROR(ROUND(L762*(J762/$AU762)/VLOOKUP("运力",商品!$A$4:$B$60,2,FALSE),0),0)</f>
        <v>0</v>
      </c>
      <c r="AO762">
        <f>IFERROR(ROUND(L762*(K762/$AU762)/VLOOKUP("交易",商品!$A$4:$B$60,2,FALSE),0),0)</f>
        <v>0</v>
      </c>
      <c r="AP762" t="str">
        <f>IFERROR(ROUND(S762*(N762/$AV762)/VLOOKUP(M762,职业!$A$4:$G$16,4,FALSE),0),"")</f>
        <v/>
      </c>
      <c r="AQ762" t="str">
        <f>IFERROR(ROUND(S762*(P762/$AV762)/VLOOKUP(O762,职业!$A$4:$G$16,4,FALSE),0),"")</f>
        <v/>
      </c>
      <c r="AR762" t="str">
        <f>IFERROR(ROUND(S762*(R762/$AV762)/VLOOKUP(Q762,职业!$A$4:$G$16,4,FALSE),0),"")</f>
        <v/>
      </c>
      <c r="AS762" t="str">
        <f>IFERROR(ROUND(X762*(U762/$AW762)/VLOOKUP(T762,商品!$A$4:$B$60,2,FALSE),0),"")</f>
        <v/>
      </c>
      <c r="AT762" t="str">
        <f>IFERROR(ROUND(X762*(W762/$AW762)/VLOOKUP(V762,商品!$A$4:$B$60,2,FALSE),0),"")</f>
        <v/>
      </c>
      <c r="AU762">
        <f t="shared" si="237"/>
        <v>0</v>
      </c>
      <c r="AV762">
        <f t="shared" si="238"/>
        <v>0</v>
      </c>
      <c r="AW762">
        <f t="shared" si="239"/>
        <v>0</v>
      </c>
    </row>
    <row r="763" spans="1:49" ht="19.95" customHeight="1" x14ac:dyDescent="0.25">
      <c r="A763" s="15" t="s">
        <v>342</v>
      </c>
      <c r="C763" s="15">
        <v>3</v>
      </c>
      <c r="D763" s="23" t="s">
        <v>312</v>
      </c>
      <c r="E763" s="23" t="s">
        <v>172</v>
      </c>
      <c r="L763" s="16">
        <f>IFERROR(VLOOKUP($D763&amp;$C763,生产方式定位!$A$2:$E$38,2,FALSE)+VLOOKUP($E763&amp;$C763,生产方式定位!$F$3:$J$38,2,FALSE),0)</f>
        <v>2225</v>
      </c>
      <c r="S763" s="16">
        <f>IFERROR(VLOOKUP($D763&amp;$C763,生产方式定位!$A$2:$E$38,3,FALSE)+VLOOKUP($E763&amp;$C763,生产方式定位!$F$3:$J$38,3,FALSE),0)</f>
        <v>100</v>
      </c>
      <c r="X763" s="16">
        <f>IFERROR(VLOOKUP($D763&amp;$C763,生产方式定位!$A$2:$E$38,5,FALSE)+VLOOKUP($E763&amp;$C763,生产方式定位!$F$3:$J$38,5,FALSE),"错误")</f>
        <v>3130</v>
      </c>
      <c r="Y763" s="26" t="str">
        <f t="shared" si="224"/>
        <v/>
      </c>
      <c r="Z763" s="36" t="str">
        <f t="shared" si="225"/>
        <v/>
      </c>
      <c r="AA763" s="36" t="str">
        <f t="shared" si="226"/>
        <v/>
      </c>
      <c r="AB763" s="27" t="str">
        <f t="shared" si="227"/>
        <v>41%</v>
      </c>
      <c r="AC763" s="2">
        <f t="shared" si="228"/>
        <v>805</v>
      </c>
      <c r="AD763" s="37">
        <f t="shared" si="229"/>
        <v>3</v>
      </c>
      <c r="AE763" t="str">
        <f t="shared" si="230"/>
        <v/>
      </c>
      <c r="AF763" t="str">
        <f t="shared" si="231"/>
        <v/>
      </c>
      <c r="AG763" t="str">
        <f t="shared" si="232"/>
        <v/>
      </c>
      <c r="AH763" t="str">
        <f t="shared" si="233"/>
        <v/>
      </c>
      <c r="AI763" t="str">
        <f t="shared" si="234"/>
        <v/>
      </c>
      <c r="AJ763" t="str">
        <f t="shared" si="235"/>
        <v/>
      </c>
      <c r="AK763" t="str">
        <f t="shared" si="236"/>
        <v/>
      </c>
      <c r="AL763" t="str">
        <f>IFERROR(ROUND(L763*(G763/$AU763)/VLOOKUP(F763,商品!$A$4:$B$60,2,FALSE),0),"")</f>
        <v/>
      </c>
      <c r="AM763" t="str">
        <f>IFERROR(ROUND(L763*(I763/$AU763)/VLOOKUP(H763,商品!$A$4:$B$60,2,FALSE),0),"")</f>
        <v/>
      </c>
      <c r="AN763">
        <f>IFERROR(ROUND(L763*(J763/$AU763)/VLOOKUP("运力",商品!$A$4:$B$60,2,FALSE),0),0)</f>
        <v>0</v>
      </c>
      <c r="AO763">
        <f>IFERROR(ROUND(L763*(K763/$AU763)/VLOOKUP("交易",商品!$A$4:$B$60,2,FALSE),0),0)</f>
        <v>0</v>
      </c>
      <c r="AP763" t="str">
        <f>IFERROR(ROUND(S763*(N763/$AV763)/VLOOKUP(M763,职业!$A$4:$G$16,4,FALSE),0),"")</f>
        <v/>
      </c>
      <c r="AQ763" t="str">
        <f>IFERROR(ROUND(S763*(P763/$AV763)/VLOOKUP(O763,职业!$A$4:$G$16,4,FALSE),0),"")</f>
        <v/>
      </c>
      <c r="AR763" t="str">
        <f>IFERROR(ROUND(S763*(R763/$AV763)/VLOOKUP(Q763,职业!$A$4:$G$16,4,FALSE),0),"")</f>
        <v/>
      </c>
      <c r="AS763" t="str">
        <f>IFERROR(ROUND(X763*(U763/$AW763)/VLOOKUP(T763,商品!$A$4:$B$60,2,FALSE),0),"")</f>
        <v/>
      </c>
      <c r="AT763" t="str">
        <f>IFERROR(ROUND(X763*(W763/$AW763)/VLOOKUP(V763,商品!$A$4:$B$60,2,FALSE),0),"")</f>
        <v/>
      </c>
      <c r="AU763">
        <f t="shared" si="237"/>
        <v>0</v>
      </c>
      <c r="AV763">
        <f t="shared" si="238"/>
        <v>0</v>
      </c>
      <c r="AW763">
        <f t="shared" si="239"/>
        <v>0</v>
      </c>
    </row>
    <row r="764" spans="1:49" ht="19.95" customHeight="1" x14ac:dyDescent="0.25">
      <c r="A764" s="15" t="s">
        <v>342</v>
      </c>
      <c r="C764" s="15">
        <v>4</v>
      </c>
      <c r="D764" s="23" t="s">
        <v>312</v>
      </c>
      <c r="E764" s="23" t="s">
        <v>172</v>
      </c>
      <c r="L764" s="16">
        <f>IFERROR(VLOOKUP($D764&amp;$C764,生产方式定位!$A$2:$E$38,2,FALSE)+VLOOKUP($E764&amp;$C764,生产方式定位!$F$3:$J$38,2,FALSE),0)</f>
        <v>3150</v>
      </c>
      <c r="S764" s="16">
        <f>IFERROR(VLOOKUP($D764&amp;$C764,生产方式定位!$A$2:$E$38,3,FALSE)+VLOOKUP($E764&amp;$C764,生产方式定位!$F$3:$J$38,3,FALSE),0)</f>
        <v>100</v>
      </c>
      <c r="X764" s="16">
        <f>IFERROR(VLOOKUP($D764&amp;$C764,生产方式定位!$A$2:$E$38,5,FALSE)+VLOOKUP($E764&amp;$C764,生产方式定位!$F$3:$J$38,5,FALSE),"错误")</f>
        <v>4400</v>
      </c>
      <c r="Y764" s="26" t="str">
        <f t="shared" si="224"/>
        <v/>
      </c>
      <c r="Z764" s="36" t="str">
        <f t="shared" si="225"/>
        <v/>
      </c>
      <c r="AA764" s="36" t="str">
        <f t="shared" si="226"/>
        <v/>
      </c>
      <c r="AB764" s="27" t="str">
        <f t="shared" si="227"/>
        <v>40%</v>
      </c>
      <c r="AC764" s="2">
        <f t="shared" si="228"/>
        <v>1150</v>
      </c>
      <c r="AD764" s="37">
        <f t="shared" si="229"/>
        <v>4</v>
      </c>
      <c r="AE764" t="str">
        <f t="shared" si="230"/>
        <v/>
      </c>
      <c r="AF764" t="str">
        <f t="shared" si="231"/>
        <v/>
      </c>
      <c r="AG764" t="str">
        <f t="shared" si="232"/>
        <v/>
      </c>
      <c r="AH764" t="str">
        <f t="shared" si="233"/>
        <v/>
      </c>
      <c r="AI764" t="str">
        <f t="shared" si="234"/>
        <v/>
      </c>
      <c r="AJ764" t="str">
        <f t="shared" si="235"/>
        <v/>
      </c>
      <c r="AK764" t="str">
        <f t="shared" si="236"/>
        <v/>
      </c>
      <c r="AL764" t="str">
        <f>IFERROR(ROUND(L764*(G764/$AU764)/VLOOKUP(F764,商品!$A$4:$B$60,2,FALSE),0),"")</f>
        <v/>
      </c>
      <c r="AM764" t="str">
        <f>IFERROR(ROUND(L764*(I764/$AU764)/VLOOKUP(H764,商品!$A$4:$B$60,2,FALSE),0),"")</f>
        <v/>
      </c>
      <c r="AN764">
        <f>IFERROR(ROUND(L764*(J764/$AU764)/VLOOKUP("运力",商品!$A$4:$B$60,2,FALSE),0),0)</f>
        <v>0</v>
      </c>
      <c r="AO764">
        <f>IFERROR(ROUND(L764*(K764/$AU764)/VLOOKUP("交易",商品!$A$4:$B$60,2,FALSE),0),0)</f>
        <v>0</v>
      </c>
      <c r="AP764" t="str">
        <f>IFERROR(ROUND(S764*(N764/$AV764)/VLOOKUP(M764,职业!$A$4:$G$16,4,FALSE),0),"")</f>
        <v/>
      </c>
      <c r="AQ764" t="str">
        <f>IFERROR(ROUND(S764*(P764/$AV764)/VLOOKUP(O764,职业!$A$4:$G$16,4,FALSE),0),"")</f>
        <v/>
      </c>
      <c r="AR764" t="str">
        <f>IFERROR(ROUND(S764*(R764/$AV764)/VLOOKUP(Q764,职业!$A$4:$G$16,4,FALSE),0),"")</f>
        <v/>
      </c>
      <c r="AS764" t="str">
        <f>IFERROR(ROUND(X764*(U764/$AW764)/VLOOKUP(T764,商品!$A$4:$B$60,2,FALSE),0),"")</f>
        <v/>
      </c>
      <c r="AT764" t="str">
        <f>IFERROR(ROUND(X764*(W764/$AW764)/VLOOKUP(V764,商品!$A$4:$B$60,2,FALSE),0),"")</f>
        <v/>
      </c>
      <c r="AU764">
        <f t="shared" si="237"/>
        <v>0</v>
      </c>
      <c r="AV764">
        <f t="shared" si="238"/>
        <v>0</v>
      </c>
      <c r="AW764">
        <f t="shared" si="239"/>
        <v>0</v>
      </c>
    </row>
    <row r="765" spans="1:49" ht="19.95" customHeight="1" x14ac:dyDescent="0.25">
      <c r="A765" s="15" t="s">
        <v>342</v>
      </c>
      <c r="C765" s="15">
        <v>5</v>
      </c>
      <c r="D765" s="23" t="s">
        <v>312</v>
      </c>
      <c r="E765" s="23" t="s">
        <v>172</v>
      </c>
      <c r="L765" s="16">
        <f>IFERROR(VLOOKUP($D765&amp;$C765,生产方式定位!$A$2:$E$38,2,FALSE)+VLOOKUP($E765&amp;$C765,生产方式定位!$F$3:$J$38,2,FALSE),0)</f>
        <v>4075</v>
      </c>
      <c r="S765" s="16">
        <f>IFERROR(VLOOKUP($D765&amp;$C765,生产方式定位!$A$2:$E$38,3,FALSE)+VLOOKUP($E765&amp;$C765,生产方式定位!$F$3:$J$38,3,FALSE),0)</f>
        <v>100</v>
      </c>
      <c r="X765" s="16">
        <f>IFERROR(VLOOKUP($D765&amp;$C765,生产方式定位!$A$2:$E$38,5,FALSE)+VLOOKUP($E765&amp;$C765,生产方式定位!$F$3:$J$38,5,FALSE),"错误")</f>
        <v>5670</v>
      </c>
      <c r="Y765" s="26" t="str">
        <f t="shared" si="224"/>
        <v/>
      </c>
      <c r="Z765" s="36" t="str">
        <f t="shared" si="225"/>
        <v/>
      </c>
      <c r="AA765" s="36" t="str">
        <f t="shared" si="226"/>
        <v/>
      </c>
      <c r="AB765" s="27" t="str">
        <f t="shared" si="227"/>
        <v>39%</v>
      </c>
      <c r="AC765" s="2">
        <f t="shared" si="228"/>
        <v>1495</v>
      </c>
      <c r="AD765" s="37">
        <f t="shared" si="229"/>
        <v>5</v>
      </c>
      <c r="AE765" t="str">
        <f t="shared" si="230"/>
        <v/>
      </c>
      <c r="AF765" t="str">
        <f t="shared" si="231"/>
        <v/>
      </c>
      <c r="AG765" t="str">
        <f t="shared" si="232"/>
        <v/>
      </c>
      <c r="AH765" t="str">
        <f t="shared" si="233"/>
        <v/>
      </c>
      <c r="AI765" t="str">
        <f t="shared" si="234"/>
        <v/>
      </c>
      <c r="AJ765" t="str">
        <f t="shared" si="235"/>
        <v/>
      </c>
      <c r="AK765" t="str">
        <f t="shared" si="236"/>
        <v/>
      </c>
      <c r="AL765" t="str">
        <f>IFERROR(ROUND(L765*(G765/$AU765)/VLOOKUP(F765,商品!$A$4:$B$60,2,FALSE),0),"")</f>
        <v/>
      </c>
      <c r="AM765" t="str">
        <f>IFERROR(ROUND(L765*(I765/$AU765)/VLOOKUP(H765,商品!$A$4:$B$60,2,FALSE),0),"")</f>
        <v/>
      </c>
      <c r="AN765">
        <f>IFERROR(ROUND(L765*(J765/$AU765)/VLOOKUP("运力",商品!$A$4:$B$60,2,FALSE),0),0)</f>
        <v>0</v>
      </c>
      <c r="AO765">
        <f>IFERROR(ROUND(L765*(K765/$AU765)/VLOOKUP("交易",商品!$A$4:$B$60,2,FALSE),0),0)</f>
        <v>0</v>
      </c>
      <c r="AP765" t="str">
        <f>IFERROR(ROUND(S765*(N765/$AV765)/VLOOKUP(M765,职业!$A$4:$G$16,4,FALSE),0),"")</f>
        <v/>
      </c>
      <c r="AQ765" t="str">
        <f>IFERROR(ROUND(S765*(P765/$AV765)/VLOOKUP(O765,职业!$A$4:$G$16,4,FALSE),0),"")</f>
        <v/>
      </c>
      <c r="AR765" t="str">
        <f>IFERROR(ROUND(S765*(R765/$AV765)/VLOOKUP(Q765,职业!$A$4:$G$16,4,FALSE),0),"")</f>
        <v/>
      </c>
      <c r="AS765" t="str">
        <f>IFERROR(ROUND(X765*(U765/$AW765)/VLOOKUP(T765,商品!$A$4:$B$60,2,FALSE),0),"")</f>
        <v/>
      </c>
      <c r="AT765" t="str">
        <f>IFERROR(ROUND(X765*(W765/$AW765)/VLOOKUP(V765,商品!$A$4:$B$60,2,FALSE),0),"")</f>
        <v/>
      </c>
      <c r="AU765">
        <f t="shared" si="237"/>
        <v>0</v>
      </c>
      <c r="AV765">
        <f t="shared" si="238"/>
        <v>0</v>
      </c>
      <c r="AW765">
        <f t="shared" si="239"/>
        <v>0</v>
      </c>
    </row>
    <row r="766" spans="1:49" ht="19.95" customHeight="1" x14ac:dyDescent="0.25">
      <c r="A766" s="16" t="s">
        <v>343</v>
      </c>
      <c r="C766" s="16">
        <v>1</v>
      </c>
      <c r="D766" s="23" t="s">
        <v>312</v>
      </c>
      <c r="E766" s="23" t="s">
        <v>193</v>
      </c>
      <c r="L766" s="15">
        <f>IFERROR(VLOOKUP($D766&amp;$C766,生产方式定位!$A$2:$E$38,2,FALSE)+VLOOKUP($E766&amp;$C766,生产方式定位!$F$3:$J$38,2,FALSE),0)</f>
        <v>0</v>
      </c>
      <c r="S766" s="15">
        <f>IFERROR(VLOOKUP($D766&amp;$C766,生产方式定位!$A$2:$E$38,3,FALSE)+VLOOKUP($E766&amp;$C766,生产方式定位!$F$3:$J$38,3,FALSE),0)</f>
        <v>100</v>
      </c>
      <c r="X766" s="15">
        <f>IFERROR(VLOOKUP($D766&amp;$C766,生产方式定位!$A$2:$E$38,5,FALSE)+VLOOKUP($E766&amp;$C766,生产方式定位!$F$3:$J$38,5,FALSE),"错误")</f>
        <v>500</v>
      </c>
      <c r="Y766" s="26" t="str">
        <f t="shared" si="224"/>
        <v/>
      </c>
      <c r="Z766" s="36" t="str">
        <f t="shared" si="225"/>
        <v/>
      </c>
      <c r="AA766" s="36" t="str">
        <f t="shared" si="226"/>
        <v/>
      </c>
      <c r="AB766" s="27" t="str">
        <f t="shared" si="227"/>
        <v/>
      </c>
      <c r="AC766" s="2">
        <f t="shared" si="228"/>
        <v>400</v>
      </c>
      <c r="AD766" s="37">
        <f t="shared" si="229"/>
        <v>1</v>
      </c>
      <c r="AE766" t="str">
        <f t="shared" si="230"/>
        <v/>
      </c>
      <c r="AF766" t="str">
        <f t="shared" si="231"/>
        <v/>
      </c>
      <c r="AG766" t="str">
        <f t="shared" si="232"/>
        <v/>
      </c>
      <c r="AH766" t="str">
        <f t="shared" si="233"/>
        <v/>
      </c>
      <c r="AI766" t="str">
        <f t="shared" si="234"/>
        <v/>
      </c>
      <c r="AJ766" t="str">
        <f t="shared" si="235"/>
        <v/>
      </c>
      <c r="AK766" t="str">
        <f t="shared" si="236"/>
        <v/>
      </c>
      <c r="AL766" t="str">
        <f>IFERROR(ROUND(L766*(G766/$AU766)/VLOOKUP(F766,商品!$A$4:$B$60,2,FALSE),0),"")</f>
        <v/>
      </c>
      <c r="AM766" t="str">
        <f>IFERROR(ROUND(L766*(I766/$AU766)/VLOOKUP(H766,商品!$A$4:$B$60,2,FALSE),0),"")</f>
        <v/>
      </c>
      <c r="AN766">
        <f>IFERROR(ROUND(L766*(J766/$AU766)/VLOOKUP("运力",商品!$A$4:$B$60,2,FALSE),0),0)</f>
        <v>0</v>
      </c>
      <c r="AO766">
        <f>IFERROR(ROUND(L766*(K766/$AU766)/VLOOKUP("交易",商品!$A$4:$B$60,2,FALSE),0),0)</f>
        <v>0</v>
      </c>
      <c r="AP766" t="str">
        <f>IFERROR(ROUND(S766*(N766/$AV766)/VLOOKUP(M766,职业!$A$4:$G$16,4,FALSE),0),"")</f>
        <v/>
      </c>
      <c r="AQ766" t="str">
        <f>IFERROR(ROUND(S766*(P766/$AV766)/VLOOKUP(O766,职业!$A$4:$G$16,4,FALSE),0),"")</f>
        <v/>
      </c>
      <c r="AR766" t="str">
        <f>IFERROR(ROUND(S766*(R766/$AV766)/VLOOKUP(Q766,职业!$A$4:$G$16,4,FALSE),0),"")</f>
        <v/>
      </c>
      <c r="AS766" t="str">
        <f>IFERROR(ROUND(X766*(U766/$AW766)/VLOOKUP(T766,商品!$A$4:$B$60,2,FALSE),0),"")</f>
        <v/>
      </c>
      <c r="AT766" t="str">
        <f>IFERROR(ROUND(X766*(W766/$AW766)/VLOOKUP(V766,商品!$A$4:$B$60,2,FALSE),0),"")</f>
        <v/>
      </c>
      <c r="AU766">
        <f t="shared" si="237"/>
        <v>0</v>
      </c>
      <c r="AV766">
        <f t="shared" si="238"/>
        <v>0</v>
      </c>
      <c r="AW766">
        <f t="shared" si="239"/>
        <v>0</v>
      </c>
    </row>
    <row r="767" spans="1:49" ht="19.95" customHeight="1" x14ac:dyDescent="0.25">
      <c r="A767" s="16" t="s">
        <v>343</v>
      </c>
      <c r="C767" s="16">
        <v>2</v>
      </c>
      <c r="D767" s="23" t="s">
        <v>312</v>
      </c>
      <c r="E767" s="23" t="s">
        <v>193</v>
      </c>
      <c r="L767" s="15">
        <f>IFERROR(VLOOKUP($D767&amp;$C767,生产方式定位!$A$2:$E$38,2,FALSE)+VLOOKUP($E767&amp;$C767,生产方式定位!$F$3:$J$38,2,FALSE),0)</f>
        <v>1200</v>
      </c>
      <c r="S767" s="15">
        <f>IFERROR(VLOOKUP($D767&amp;$C767,生产方式定位!$A$2:$E$38,3,FALSE)+VLOOKUP($E767&amp;$C767,生产方式定位!$F$3:$J$38,3,FALSE),0)</f>
        <v>5</v>
      </c>
      <c r="X767" s="15">
        <f>IFERROR(VLOOKUP($D767&amp;$C767,生产方式定位!$A$2:$E$38,5,FALSE)+VLOOKUP($E767&amp;$C767,生产方式定位!$F$3:$J$38,5,FALSE),"错误")</f>
        <v>1687</v>
      </c>
      <c r="Y767" s="26" t="str">
        <f t="shared" si="224"/>
        <v/>
      </c>
      <c r="Z767" s="36" t="str">
        <f t="shared" si="225"/>
        <v/>
      </c>
      <c r="AA767" s="36" t="str">
        <f t="shared" si="226"/>
        <v/>
      </c>
      <c r="AB767" s="27" t="str">
        <f t="shared" si="227"/>
        <v>41%</v>
      </c>
      <c r="AC767" s="2">
        <f t="shared" si="228"/>
        <v>482</v>
      </c>
      <c r="AD767" s="37">
        <f t="shared" si="229"/>
        <v>2</v>
      </c>
      <c r="AE767" t="str">
        <f t="shared" si="230"/>
        <v/>
      </c>
      <c r="AF767" t="str">
        <f t="shared" si="231"/>
        <v/>
      </c>
      <c r="AG767" t="str">
        <f t="shared" si="232"/>
        <v/>
      </c>
      <c r="AH767" t="str">
        <f t="shared" si="233"/>
        <v/>
      </c>
      <c r="AI767" t="str">
        <f t="shared" si="234"/>
        <v/>
      </c>
      <c r="AJ767" t="str">
        <f t="shared" si="235"/>
        <v/>
      </c>
      <c r="AK767" t="str">
        <f t="shared" si="236"/>
        <v/>
      </c>
      <c r="AL767" t="str">
        <f>IFERROR(ROUND(L767*(G767/$AU767)/VLOOKUP(F767,商品!$A$4:$B$60,2,FALSE),0),"")</f>
        <v/>
      </c>
      <c r="AM767" t="str">
        <f>IFERROR(ROUND(L767*(I767/$AU767)/VLOOKUP(H767,商品!$A$4:$B$60,2,FALSE),0),"")</f>
        <v/>
      </c>
      <c r="AN767">
        <f>IFERROR(ROUND(L767*(J767/$AU767)/VLOOKUP("运力",商品!$A$4:$B$60,2,FALSE),0),0)</f>
        <v>0</v>
      </c>
      <c r="AO767">
        <f>IFERROR(ROUND(L767*(K767/$AU767)/VLOOKUP("交易",商品!$A$4:$B$60,2,FALSE),0),0)</f>
        <v>0</v>
      </c>
      <c r="AP767" t="str">
        <f>IFERROR(ROUND(S767*(N767/$AV767)/VLOOKUP(M767,职业!$A$4:$G$16,4,FALSE),0),"")</f>
        <v/>
      </c>
      <c r="AQ767" t="str">
        <f>IFERROR(ROUND(S767*(P767/$AV767)/VLOOKUP(O767,职业!$A$4:$G$16,4,FALSE),0),"")</f>
        <v/>
      </c>
      <c r="AR767" t="str">
        <f>IFERROR(ROUND(S767*(R767/$AV767)/VLOOKUP(Q767,职业!$A$4:$G$16,4,FALSE),0),"")</f>
        <v/>
      </c>
      <c r="AS767" t="str">
        <f>IFERROR(ROUND(X767*(U767/$AW767)/VLOOKUP(T767,商品!$A$4:$B$60,2,FALSE),0),"")</f>
        <v/>
      </c>
      <c r="AT767" t="str">
        <f>IFERROR(ROUND(X767*(W767/$AW767)/VLOOKUP(V767,商品!$A$4:$B$60,2,FALSE),0),"")</f>
        <v/>
      </c>
      <c r="AU767">
        <f t="shared" si="237"/>
        <v>0</v>
      </c>
      <c r="AV767">
        <f t="shared" si="238"/>
        <v>0</v>
      </c>
      <c r="AW767">
        <f t="shared" si="239"/>
        <v>0</v>
      </c>
    </row>
    <row r="768" spans="1:49" ht="19.95" customHeight="1" x14ac:dyDescent="0.25">
      <c r="A768" s="16" t="s">
        <v>343</v>
      </c>
      <c r="C768" s="16">
        <v>3</v>
      </c>
      <c r="D768" s="23" t="s">
        <v>312</v>
      </c>
      <c r="E768" s="23" t="s">
        <v>193</v>
      </c>
      <c r="L768" s="15">
        <f>IFERROR(VLOOKUP($D768&amp;$C768,生产方式定位!$A$2:$E$38,2,FALSE)+VLOOKUP($E768&amp;$C768,生产方式定位!$F$3:$J$38,2,FALSE),0)</f>
        <v>2100</v>
      </c>
      <c r="S768" s="15">
        <f>IFERROR(VLOOKUP($D768&amp;$C768,生产方式定位!$A$2:$E$38,3,FALSE)+VLOOKUP($E768&amp;$C768,生产方式定位!$F$3:$J$38,3,FALSE),0)</f>
        <v>10</v>
      </c>
      <c r="X768" s="15">
        <f>IFERROR(VLOOKUP($D768&amp;$C768,生产方式定位!$A$2:$E$38,5,FALSE)+VLOOKUP($E768&amp;$C768,生产方式定位!$F$3:$J$38,5,FALSE),"错误")</f>
        <v>2954</v>
      </c>
      <c r="Y768" s="26" t="str">
        <f t="shared" si="224"/>
        <v/>
      </c>
      <c r="Z768" s="36" t="str">
        <f t="shared" si="225"/>
        <v/>
      </c>
      <c r="AA768" s="36" t="str">
        <f t="shared" si="226"/>
        <v/>
      </c>
      <c r="AB768" s="27" t="str">
        <f t="shared" si="227"/>
        <v>41%</v>
      </c>
      <c r="AC768" s="2">
        <f t="shared" si="228"/>
        <v>844</v>
      </c>
      <c r="AD768" s="37">
        <f t="shared" si="229"/>
        <v>3</v>
      </c>
      <c r="AE768" t="str">
        <f t="shared" si="230"/>
        <v/>
      </c>
      <c r="AF768" t="str">
        <f t="shared" si="231"/>
        <v/>
      </c>
      <c r="AG768" t="str">
        <f t="shared" si="232"/>
        <v/>
      </c>
      <c r="AH768" t="str">
        <f t="shared" si="233"/>
        <v/>
      </c>
      <c r="AI768" t="str">
        <f t="shared" si="234"/>
        <v/>
      </c>
      <c r="AJ768" t="str">
        <f t="shared" si="235"/>
        <v/>
      </c>
      <c r="AK768" t="str">
        <f t="shared" si="236"/>
        <v/>
      </c>
      <c r="AL768" t="str">
        <f>IFERROR(ROUND(L768*(G768/$AU768)/VLOOKUP(F768,商品!$A$4:$B$60,2,FALSE),0),"")</f>
        <v/>
      </c>
      <c r="AM768" t="str">
        <f>IFERROR(ROUND(L768*(I768/$AU768)/VLOOKUP(H768,商品!$A$4:$B$60,2,FALSE),0),"")</f>
        <v/>
      </c>
      <c r="AN768">
        <f>IFERROR(ROUND(L768*(J768/$AU768)/VLOOKUP("运力",商品!$A$4:$B$60,2,FALSE),0),0)</f>
        <v>0</v>
      </c>
      <c r="AO768">
        <f>IFERROR(ROUND(L768*(K768/$AU768)/VLOOKUP("交易",商品!$A$4:$B$60,2,FALSE),0),0)</f>
        <v>0</v>
      </c>
      <c r="AP768" t="str">
        <f>IFERROR(ROUND(S768*(N768/$AV768)/VLOOKUP(M768,职业!$A$4:$G$16,4,FALSE),0),"")</f>
        <v/>
      </c>
      <c r="AQ768" t="str">
        <f>IFERROR(ROUND(S768*(P768/$AV768)/VLOOKUP(O768,职业!$A$4:$G$16,4,FALSE),0),"")</f>
        <v/>
      </c>
      <c r="AR768" t="str">
        <f>IFERROR(ROUND(S768*(R768/$AV768)/VLOOKUP(Q768,职业!$A$4:$G$16,4,FALSE),0),"")</f>
        <v/>
      </c>
      <c r="AS768" t="str">
        <f>IFERROR(ROUND(X768*(U768/$AW768)/VLOOKUP(T768,商品!$A$4:$B$60,2,FALSE),0),"")</f>
        <v/>
      </c>
      <c r="AT768" t="str">
        <f>IFERROR(ROUND(X768*(W768/$AW768)/VLOOKUP(V768,商品!$A$4:$B$60,2,FALSE),0),"")</f>
        <v/>
      </c>
      <c r="AU768">
        <f t="shared" si="237"/>
        <v>0</v>
      </c>
      <c r="AV768">
        <f t="shared" si="238"/>
        <v>0</v>
      </c>
      <c r="AW768">
        <f t="shared" si="239"/>
        <v>0</v>
      </c>
    </row>
    <row r="769" spans="1:49" ht="19.95" customHeight="1" x14ac:dyDescent="0.25">
      <c r="A769" s="16" t="s">
        <v>343</v>
      </c>
      <c r="C769" s="16">
        <v>4</v>
      </c>
      <c r="D769" s="23" t="s">
        <v>312</v>
      </c>
      <c r="E769" s="23" t="s">
        <v>193</v>
      </c>
      <c r="L769" s="15">
        <f>IFERROR(VLOOKUP($D769&amp;$C769,生产方式定位!$A$2:$E$38,2,FALSE)+VLOOKUP($E769&amp;$C769,生产方式定位!$F$3:$J$38,2,FALSE),0)</f>
        <v>3000</v>
      </c>
      <c r="S769" s="15">
        <f>IFERROR(VLOOKUP($D769&amp;$C769,生产方式定位!$A$2:$E$38,3,FALSE)+VLOOKUP($E769&amp;$C769,生产方式定位!$F$3:$J$38,3,FALSE),0)</f>
        <v>15</v>
      </c>
      <c r="X769" s="15">
        <f>IFERROR(VLOOKUP($D769&amp;$C769,生产方式定位!$A$2:$E$38,5,FALSE)+VLOOKUP($E769&amp;$C769,生产方式定位!$F$3:$J$38,5,FALSE),"错误")</f>
        <v>4221</v>
      </c>
      <c r="Y769" s="26" t="str">
        <f t="shared" si="224"/>
        <v/>
      </c>
      <c r="Z769" s="36" t="str">
        <f t="shared" si="225"/>
        <v/>
      </c>
      <c r="AA769" s="36" t="str">
        <f t="shared" si="226"/>
        <v/>
      </c>
      <c r="AB769" s="27" t="str">
        <f t="shared" si="227"/>
        <v>41%</v>
      </c>
      <c r="AC769" s="2">
        <f t="shared" si="228"/>
        <v>1206</v>
      </c>
      <c r="AD769" s="37">
        <f t="shared" si="229"/>
        <v>4</v>
      </c>
      <c r="AE769" t="str">
        <f t="shared" si="230"/>
        <v/>
      </c>
      <c r="AF769" t="str">
        <f t="shared" si="231"/>
        <v/>
      </c>
      <c r="AG769" t="str">
        <f t="shared" si="232"/>
        <v/>
      </c>
      <c r="AH769" t="str">
        <f t="shared" si="233"/>
        <v/>
      </c>
      <c r="AI769" t="str">
        <f t="shared" si="234"/>
        <v/>
      </c>
      <c r="AJ769" t="str">
        <f t="shared" si="235"/>
        <v/>
      </c>
      <c r="AK769" t="str">
        <f t="shared" si="236"/>
        <v/>
      </c>
      <c r="AL769" t="str">
        <f>IFERROR(ROUND(L769*(G769/$AU769)/VLOOKUP(F769,商品!$A$4:$B$60,2,FALSE),0),"")</f>
        <v/>
      </c>
      <c r="AM769" t="str">
        <f>IFERROR(ROUND(L769*(I769/$AU769)/VLOOKUP(H769,商品!$A$4:$B$60,2,FALSE),0),"")</f>
        <v/>
      </c>
      <c r="AN769">
        <f>IFERROR(ROUND(L769*(J769/$AU769)/VLOOKUP("运力",商品!$A$4:$B$60,2,FALSE),0),0)</f>
        <v>0</v>
      </c>
      <c r="AO769">
        <f>IFERROR(ROUND(L769*(K769/$AU769)/VLOOKUP("交易",商品!$A$4:$B$60,2,FALSE),0),0)</f>
        <v>0</v>
      </c>
      <c r="AP769" t="str">
        <f>IFERROR(ROUND(S769*(N769/$AV769)/VLOOKUP(M769,职业!$A$4:$G$16,4,FALSE),0),"")</f>
        <v/>
      </c>
      <c r="AQ769" t="str">
        <f>IFERROR(ROUND(S769*(P769/$AV769)/VLOOKUP(O769,职业!$A$4:$G$16,4,FALSE),0),"")</f>
        <v/>
      </c>
      <c r="AR769" t="str">
        <f>IFERROR(ROUND(S769*(R769/$AV769)/VLOOKUP(Q769,职业!$A$4:$G$16,4,FALSE),0),"")</f>
        <v/>
      </c>
      <c r="AS769" t="str">
        <f>IFERROR(ROUND(X769*(U769/$AW769)/VLOOKUP(T769,商品!$A$4:$B$60,2,FALSE),0),"")</f>
        <v/>
      </c>
      <c r="AT769" t="str">
        <f>IFERROR(ROUND(X769*(W769/$AW769)/VLOOKUP(V769,商品!$A$4:$B$60,2,FALSE),0),"")</f>
        <v/>
      </c>
      <c r="AU769">
        <f t="shared" si="237"/>
        <v>0</v>
      </c>
      <c r="AV769">
        <f t="shared" si="238"/>
        <v>0</v>
      </c>
      <c r="AW769">
        <f t="shared" si="239"/>
        <v>0</v>
      </c>
    </row>
    <row r="770" spans="1:49" ht="19.95" customHeight="1" x14ac:dyDescent="0.25">
      <c r="A770" s="16" t="s">
        <v>343</v>
      </c>
      <c r="C770" s="16">
        <v>5</v>
      </c>
      <c r="D770" s="23" t="s">
        <v>312</v>
      </c>
      <c r="E770" s="23" t="s">
        <v>193</v>
      </c>
      <c r="L770" s="15">
        <f>IFERROR(VLOOKUP($D770&amp;$C770,生产方式定位!$A$2:$E$38,2,FALSE)+VLOOKUP($E770&amp;$C770,生产方式定位!$F$3:$J$38,2,FALSE),0)</f>
        <v>3900</v>
      </c>
      <c r="S770" s="15">
        <f>IFERROR(VLOOKUP($D770&amp;$C770,生产方式定位!$A$2:$E$38,3,FALSE)+VLOOKUP($E770&amp;$C770,生产方式定位!$F$3:$J$38,3,FALSE),0)</f>
        <v>20</v>
      </c>
      <c r="X770" s="15">
        <f>IFERROR(VLOOKUP($D770&amp;$C770,生产方式定位!$A$2:$E$38,5,FALSE)+VLOOKUP($E770&amp;$C770,生产方式定位!$F$3:$J$38,5,FALSE),"错误")</f>
        <v>5488</v>
      </c>
      <c r="Y770" s="26" t="str">
        <f t="shared" si="224"/>
        <v/>
      </c>
      <c r="Z770" s="36" t="str">
        <f t="shared" si="225"/>
        <v/>
      </c>
      <c r="AA770" s="36" t="str">
        <f t="shared" si="226"/>
        <v/>
      </c>
      <c r="AB770" s="27" t="str">
        <f t="shared" si="227"/>
        <v>41%</v>
      </c>
      <c r="AC770" s="2">
        <f t="shared" si="228"/>
        <v>1568</v>
      </c>
      <c r="AD770" s="37">
        <f t="shared" si="229"/>
        <v>5</v>
      </c>
      <c r="AE770" t="str">
        <f t="shared" si="230"/>
        <v/>
      </c>
      <c r="AF770" t="str">
        <f t="shared" si="231"/>
        <v/>
      </c>
      <c r="AG770" t="str">
        <f t="shared" si="232"/>
        <v/>
      </c>
      <c r="AH770" t="str">
        <f t="shared" si="233"/>
        <v/>
      </c>
      <c r="AI770" t="str">
        <f t="shared" si="234"/>
        <v/>
      </c>
      <c r="AJ770" t="str">
        <f t="shared" si="235"/>
        <v/>
      </c>
      <c r="AK770" t="str">
        <f t="shared" si="236"/>
        <v/>
      </c>
      <c r="AL770" t="str">
        <f>IFERROR(ROUND(L770*(G770/$AU770)/VLOOKUP(F770,商品!$A$4:$B$60,2,FALSE),0),"")</f>
        <v/>
      </c>
      <c r="AM770" t="str">
        <f>IFERROR(ROUND(L770*(I770/$AU770)/VLOOKUP(H770,商品!$A$4:$B$60,2,FALSE),0),"")</f>
        <v/>
      </c>
      <c r="AN770">
        <f>IFERROR(ROUND(L770*(J770/$AU770)/VLOOKUP("运力",商品!$A$4:$B$60,2,FALSE),0),0)</f>
        <v>0</v>
      </c>
      <c r="AO770">
        <f>IFERROR(ROUND(L770*(K770/$AU770)/VLOOKUP("交易",商品!$A$4:$B$60,2,FALSE),0),0)</f>
        <v>0</v>
      </c>
      <c r="AP770" t="str">
        <f>IFERROR(ROUND(S770*(N770/$AV770)/VLOOKUP(M770,职业!$A$4:$G$16,4,FALSE),0),"")</f>
        <v/>
      </c>
      <c r="AQ770" t="str">
        <f>IFERROR(ROUND(S770*(P770/$AV770)/VLOOKUP(O770,职业!$A$4:$G$16,4,FALSE),0),"")</f>
        <v/>
      </c>
      <c r="AR770" t="str">
        <f>IFERROR(ROUND(S770*(R770/$AV770)/VLOOKUP(Q770,职业!$A$4:$G$16,4,FALSE),0),"")</f>
        <v/>
      </c>
      <c r="AS770" t="str">
        <f>IFERROR(ROUND(X770*(U770/$AW770)/VLOOKUP(T770,商品!$A$4:$B$60,2,FALSE),0),"")</f>
        <v/>
      </c>
      <c r="AT770" t="str">
        <f>IFERROR(ROUND(X770*(W770/$AW770)/VLOOKUP(V770,商品!$A$4:$B$60,2,FALSE),0),"")</f>
        <v/>
      </c>
      <c r="AU770">
        <f t="shared" si="237"/>
        <v>0</v>
      </c>
      <c r="AV770">
        <f t="shared" si="238"/>
        <v>0</v>
      </c>
      <c r="AW770">
        <f t="shared" si="239"/>
        <v>0</v>
      </c>
    </row>
    <row r="771" spans="1:49" ht="19.95" customHeight="1" x14ac:dyDescent="0.25">
      <c r="A771" s="15" t="s">
        <v>344</v>
      </c>
      <c r="C771" s="15">
        <v>1</v>
      </c>
      <c r="D771" s="23" t="s">
        <v>312</v>
      </c>
      <c r="E771" s="23" t="s">
        <v>175</v>
      </c>
      <c r="L771" s="16">
        <f>IFERROR(VLOOKUP($D771&amp;$C771,生产方式定位!$A$2:$E$38,2,FALSE)+VLOOKUP($E771&amp;$C771,生产方式定位!$F$3:$J$38,2,FALSE),0)</f>
        <v>0</v>
      </c>
      <c r="S771" s="16">
        <f>IFERROR(VLOOKUP($D771&amp;$C771,生产方式定位!$A$2:$E$38,3,FALSE)+VLOOKUP($E771&amp;$C771,生产方式定位!$F$3:$J$38,3,FALSE),0)</f>
        <v>100</v>
      </c>
      <c r="X771" s="16">
        <f>IFERROR(VLOOKUP($D771&amp;$C771,生产方式定位!$A$2:$E$38,5,FALSE)+VLOOKUP($E771&amp;$C771,生产方式定位!$F$3:$J$38,5,FALSE),"错误")</f>
        <v>500</v>
      </c>
      <c r="Y771" s="26" t="str">
        <f t="shared" si="224"/>
        <v/>
      </c>
      <c r="Z771" s="36" t="str">
        <f t="shared" si="225"/>
        <v/>
      </c>
      <c r="AA771" s="36" t="str">
        <f t="shared" si="226"/>
        <v/>
      </c>
      <c r="AB771" s="27" t="str">
        <f t="shared" si="227"/>
        <v/>
      </c>
      <c r="AC771" s="2">
        <f t="shared" si="228"/>
        <v>400</v>
      </c>
      <c r="AD771" s="38">
        <f t="shared" si="229"/>
        <v>1</v>
      </c>
      <c r="AE771" t="str">
        <f t="shared" si="230"/>
        <v/>
      </c>
      <c r="AF771" t="str">
        <f t="shared" si="231"/>
        <v/>
      </c>
      <c r="AG771" t="str">
        <f t="shared" si="232"/>
        <v/>
      </c>
      <c r="AH771" t="str">
        <f t="shared" si="233"/>
        <v/>
      </c>
      <c r="AI771" t="str">
        <f t="shared" si="234"/>
        <v/>
      </c>
      <c r="AJ771" t="str">
        <f t="shared" si="235"/>
        <v/>
      </c>
      <c r="AK771" t="str">
        <f t="shared" si="236"/>
        <v/>
      </c>
      <c r="AL771" t="str">
        <f>IFERROR(ROUND(L771*(G771/$AU771)/VLOOKUP(F771,商品!$A$4:$B$60,2,FALSE),0),"")</f>
        <v/>
      </c>
      <c r="AM771" t="str">
        <f>IFERROR(ROUND(L771*(I771/$AU771)/VLOOKUP(H771,商品!$A$4:$B$60,2,FALSE),0),"")</f>
        <v/>
      </c>
      <c r="AN771">
        <f>IFERROR(ROUND(L771*(J771/$AU771)/VLOOKUP("运力",商品!$A$4:$B$60,2,FALSE),0),0)</f>
        <v>0</v>
      </c>
      <c r="AO771">
        <f>IFERROR(ROUND(L771*(K771/$AU771)/VLOOKUP("交易",商品!$A$4:$B$60,2,FALSE),0),0)</f>
        <v>0</v>
      </c>
      <c r="AP771" t="str">
        <f>IFERROR(ROUND(S771*(N771/$AV771)/VLOOKUP(M771,职业!$A$4:$G$16,4,FALSE),0),"")</f>
        <v/>
      </c>
      <c r="AQ771" t="str">
        <f>IFERROR(ROUND(S771*(P771/$AV771)/VLOOKUP(O771,职业!$A$4:$G$16,4,FALSE),0),"")</f>
        <v/>
      </c>
      <c r="AR771" t="str">
        <f>IFERROR(ROUND(S771*(R771/$AV771)/VLOOKUP(Q771,职业!$A$4:$G$16,4,FALSE),0),"")</f>
        <v/>
      </c>
      <c r="AS771" t="str">
        <f>IFERROR(ROUND(X771*(U771/$AW771)/VLOOKUP(T771,商品!$A$4:$B$60,2,FALSE),0),"")</f>
        <v/>
      </c>
      <c r="AT771" t="str">
        <f>IFERROR(ROUND(X771*(W771/$AW771)/VLOOKUP(V771,商品!$A$4:$B$60,2,FALSE),0),"")</f>
        <v/>
      </c>
      <c r="AU771">
        <f t="shared" si="237"/>
        <v>0</v>
      </c>
      <c r="AV771">
        <f t="shared" si="238"/>
        <v>0</v>
      </c>
      <c r="AW771">
        <f t="shared" si="239"/>
        <v>0</v>
      </c>
    </row>
    <row r="772" spans="1:49" ht="19.95" customHeight="1" x14ac:dyDescent="0.25">
      <c r="A772" s="15" t="s">
        <v>344</v>
      </c>
      <c r="C772" s="15">
        <v>2</v>
      </c>
      <c r="D772" s="23" t="s">
        <v>312</v>
      </c>
      <c r="E772" s="23" t="s">
        <v>175</v>
      </c>
      <c r="F772" s="2" t="s">
        <v>41</v>
      </c>
      <c r="G772" s="2">
        <v>10</v>
      </c>
      <c r="L772" s="16">
        <f>IFERROR(VLOOKUP($D772&amp;$C772,生产方式定位!$A$2:$E$38,2,FALSE)+VLOOKUP($E772&amp;$C772,生产方式定位!$F$3:$J$38,2,FALSE),0)</f>
        <v>850</v>
      </c>
      <c r="S772" s="16">
        <f>IFERROR(VLOOKUP($D772&amp;$C772,生产方式定位!$A$2:$E$38,3,FALSE)+VLOOKUP($E772&amp;$C772,生产方式定位!$F$3:$J$38,3,FALSE),0)</f>
        <v>110</v>
      </c>
      <c r="X772" s="16">
        <f>IFERROR(VLOOKUP($D772&amp;$C772,生产方式定位!$A$2:$E$38,5,FALSE)+VLOOKUP($E772&amp;$C772,生产方式定位!$F$3:$J$38,5,FALSE),"错误")</f>
        <v>1260</v>
      </c>
      <c r="Y772" s="26" t="str">
        <f t="shared" si="224"/>
        <v>工具*21</v>
      </c>
      <c r="Z772" s="36" t="str">
        <f t="shared" si="225"/>
        <v/>
      </c>
      <c r="AA772" s="36" t="str">
        <f t="shared" si="226"/>
        <v/>
      </c>
      <c r="AB772" s="27" t="str">
        <f t="shared" si="227"/>
        <v>48%</v>
      </c>
      <c r="AC772" s="2">
        <f t="shared" si="228"/>
        <v>300</v>
      </c>
      <c r="AD772" s="38">
        <f t="shared" si="229"/>
        <v>2</v>
      </c>
      <c r="AE772" t="str">
        <f t="shared" si="230"/>
        <v>工具*21</v>
      </c>
      <c r="AF772" t="str">
        <f t="shared" si="231"/>
        <v/>
      </c>
      <c r="AG772" t="str">
        <f t="shared" si="232"/>
        <v/>
      </c>
      <c r="AH772" t="str">
        <f t="shared" si="233"/>
        <v/>
      </c>
      <c r="AI772" t="str">
        <f t="shared" si="234"/>
        <v/>
      </c>
      <c r="AJ772" t="str">
        <f t="shared" si="235"/>
        <v/>
      </c>
      <c r="AK772" t="str">
        <f t="shared" si="236"/>
        <v/>
      </c>
      <c r="AL772">
        <f>IFERROR(ROUND(L772*(G772/$AU772)/VLOOKUP(F772,商品!$A$4:$B$60,2,FALSE),0),"")</f>
        <v>21</v>
      </c>
      <c r="AM772" t="str">
        <f>IFERROR(ROUND(L772*(I772/$AU772)/VLOOKUP(H772,商品!$A$4:$B$60,2,FALSE),0),"")</f>
        <v/>
      </c>
      <c r="AN772">
        <f>IFERROR(ROUND(L772*(J772/$AU772)/VLOOKUP("运力",商品!$A$4:$B$60,2,FALSE),0),0)</f>
        <v>0</v>
      </c>
      <c r="AO772">
        <f>IFERROR(ROUND(L772*(K772/$AU772)/VLOOKUP("交易",商品!$A$4:$B$60,2,FALSE),0),0)</f>
        <v>0</v>
      </c>
      <c r="AP772" t="str">
        <f>IFERROR(ROUND(S772*(N772/$AV772)/VLOOKUP(M772,职业!$A$4:$G$16,4,FALSE),0),"")</f>
        <v/>
      </c>
      <c r="AQ772" t="str">
        <f>IFERROR(ROUND(S772*(P772/$AV772)/VLOOKUP(O772,职业!$A$4:$G$16,4,FALSE),0),"")</f>
        <v/>
      </c>
      <c r="AR772" t="str">
        <f>IFERROR(ROUND(S772*(R772/$AV772)/VLOOKUP(Q772,职业!$A$4:$G$16,4,FALSE),0),"")</f>
        <v/>
      </c>
      <c r="AS772" t="str">
        <f>IFERROR(ROUND(X772*(U772/$AW772)/VLOOKUP(T772,商品!$A$4:$B$60,2,FALSE),0),"")</f>
        <v/>
      </c>
      <c r="AT772" t="str">
        <f>IFERROR(ROUND(X772*(W772/$AW772)/VLOOKUP(V772,商品!$A$4:$B$60,2,FALSE),0),"")</f>
        <v/>
      </c>
      <c r="AU772">
        <f t="shared" si="237"/>
        <v>10</v>
      </c>
      <c r="AV772">
        <f t="shared" si="238"/>
        <v>0</v>
      </c>
      <c r="AW772">
        <f t="shared" si="239"/>
        <v>0</v>
      </c>
    </row>
    <row r="773" spans="1:49" ht="19.95" customHeight="1" x14ac:dyDescent="0.25">
      <c r="A773" s="15" t="s">
        <v>344</v>
      </c>
      <c r="C773" s="15">
        <v>3</v>
      </c>
      <c r="D773" s="23" t="s">
        <v>312</v>
      </c>
      <c r="E773" s="23" t="s">
        <v>175</v>
      </c>
      <c r="F773" s="2" t="s">
        <v>41</v>
      </c>
      <c r="G773" s="2">
        <v>10</v>
      </c>
      <c r="L773" s="16">
        <f>IFERROR(VLOOKUP($D773&amp;$C773,生产方式定位!$A$2:$E$38,2,FALSE)+VLOOKUP($E773&amp;$C773,生产方式定位!$F$3:$J$38,2,FALSE),0)</f>
        <v>1700</v>
      </c>
      <c r="S773" s="16">
        <f>IFERROR(VLOOKUP($D773&amp;$C773,生产方式定位!$A$2:$E$38,3,FALSE)+VLOOKUP($E773&amp;$C773,生产方式定位!$F$3:$J$38,3,FALSE),0)</f>
        <v>120</v>
      </c>
      <c r="X773" s="16">
        <f>IFERROR(VLOOKUP($D773&amp;$C773,生产方式定位!$A$2:$E$38,5,FALSE)+VLOOKUP($E773&amp;$C773,生产方式定位!$F$3:$J$38,5,FALSE),"错误")</f>
        <v>2380</v>
      </c>
      <c r="Y773" s="26" t="str">
        <f t="shared" si="224"/>
        <v>工具*43</v>
      </c>
      <c r="Z773" s="36" t="str">
        <f t="shared" si="225"/>
        <v/>
      </c>
      <c r="AA773" s="36" t="str">
        <f t="shared" si="226"/>
        <v/>
      </c>
      <c r="AB773" s="27" t="str">
        <f t="shared" si="227"/>
        <v>40%</v>
      </c>
      <c r="AC773" s="2">
        <f t="shared" si="228"/>
        <v>560</v>
      </c>
      <c r="AD773" s="38">
        <f t="shared" si="229"/>
        <v>3</v>
      </c>
      <c r="AE773" t="str">
        <f t="shared" si="230"/>
        <v>工具*43</v>
      </c>
      <c r="AF773" t="str">
        <f t="shared" si="231"/>
        <v/>
      </c>
      <c r="AG773" t="str">
        <f t="shared" si="232"/>
        <v/>
      </c>
      <c r="AH773" t="str">
        <f t="shared" si="233"/>
        <v/>
      </c>
      <c r="AI773" t="str">
        <f t="shared" si="234"/>
        <v/>
      </c>
      <c r="AJ773" t="str">
        <f t="shared" si="235"/>
        <v/>
      </c>
      <c r="AK773" t="str">
        <f t="shared" si="236"/>
        <v/>
      </c>
      <c r="AL773">
        <f>IFERROR(ROUND(L773*(G773/$AU773)/VLOOKUP(F773,商品!$A$4:$B$60,2,FALSE),0),"")</f>
        <v>43</v>
      </c>
      <c r="AM773" t="str">
        <f>IFERROR(ROUND(L773*(I773/$AU773)/VLOOKUP(H773,商品!$A$4:$B$60,2,FALSE),0),"")</f>
        <v/>
      </c>
      <c r="AN773">
        <f>IFERROR(ROUND(L773*(J773/$AU773)/VLOOKUP("运力",商品!$A$4:$B$60,2,FALSE),0),0)</f>
        <v>0</v>
      </c>
      <c r="AO773">
        <f>IFERROR(ROUND(L773*(K773/$AU773)/VLOOKUP("交易",商品!$A$4:$B$60,2,FALSE),0),0)</f>
        <v>0</v>
      </c>
      <c r="AP773" t="str">
        <f>IFERROR(ROUND(S773*(N773/$AV773)/VLOOKUP(M773,职业!$A$4:$G$16,4,FALSE),0),"")</f>
        <v/>
      </c>
      <c r="AQ773" t="str">
        <f>IFERROR(ROUND(S773*(P773/$AV773)/VLOOKUP(O773,职业!$A$4:$G$16,4,FALSE),0),"")</f>
        <v/>
      </c>
      <c r="AR773" t="str">
        <f>IFERROR(ROUND(S773*(R773/$AV773)/VLOOKUP(Q773,职业!$A$4:$G$16,4,FALSE),0),"")</f>
        <v/>
      </c>
      <c r="AS773" t="str">
        <f>IFERROR(ROUND(X773*(U773/$AW773)/VLOOKUP(T773,商品!$A$4:$B$60,2,FALSE),0),"")</f>
        <v/>
      </c>
      <c r="AT773" t="str">
        <f>IFERROR(ROUND(X773*(W773/$AW773)/VLOOKUP(V773,商品!$A$4:$B$60,2,FALSE),0),"")</f>
        <v/>
      </c>
      <c r="AU773">
        <f t="shared" si="237"/>
        <v>10</v>
      </c>
      <c r="AV773">
        <f t="shared" si="238"/>
        <v>0</v>
      </c>
      <c r="AW773">
        <f t="shared" si="239"/>
        <v>0</v>
      </c>
    </row>
    <row r="774" spans="1:49" ht="19.95" customHeight="1" x14ac:dyDescent="0.25">
      <c r="A774" s="15" t="s">
        <v>344</v>
      </c>
      <c r="C774" s="15">
        <v>4</v>
      </c>
      <c r="D774" s="23" t="s">
        <v>312</v>
      </c>
      <c r="E774" s="23" t="s">
        <v>175</v>
      </c>
      <c r="F774" s="2" t="s">
        <v>45</v>
      </c>
      <c r="G774" s="2">
        <v>5</v>
      </c>
      <c r="H774" s="2" t="s">
        <v>19</v>
      </c>
      <c r="I774" s="2">
        <v>10</v>
      </c>
      <c r="L774" s="16">
        <f>IFERROR(VLOOKUP($D774&amp;$C774,生产方式定位!$A$2:$E$38,2,FALSE)+VLOOKUP($E774&amp;$C774,生产方式定位!$F$3:$J$38,2,FALSE),0)</f>
        <v>2550</v>
      </c>
      <c r="S774" s="16">
        <f>IFERROR(VLOOKUP($D774&amp;$C774,生产方式定位!$A$2:$E$38,3,FALSE)+VLOOKUP($E774&amp;$C774,生产方式定位!$F$3:$J$38,3,FALSE),0)</f>
        <v>130</v>
      </c>
      <c r="X774" s="16">
        <f>IFERROR(VLOOKUP($D774&amp;$C774,生产方式定位!$A$2:$E$38,5,FALSE)+VLOOKUP($E774&amp;$C774,生产方式定位!$F$3:$J$38,5,FALSE),"错误")</f>
        <v>3500</v>
      </c>
      <c r="Y774" s="26" t="str">
        <f t="shared" si="224"/>
        <v>科学引擎*11,煤*57</v>
      </c>
      <c r="Z774" s="36" t="str">
        <f t="shared" si="225"/>
        <v/>
      </c>
      <c r="AA774" s="36" t="str">
        <f t="shared" si="226"/>
        <v/>
      </c>
      <c r="AB774" s="27" t="str">
        <f t="shared" si="227"/>
        <v>37%</v>
      </c>
      <c r="AC774" s="2">
        <f t="shared" si="228"/>
        <v>820</v>
      </c>
      <c r="AD774" s="38">
        <f t="shared" si="229"/>
        <v>4</v>
      </c>
      <c r="AE774" t="str">
        <f t="shared" si="230"/>
        <v>科学引擎*11</v>
      </c>
      <c r="AF774" t="str">
        <f t="shared" si="231"/>
        <v>煤*57</v>
      </c>
      <c r="AG774" t="str">
        <f t="shared" si="232"/>
        <v/>
      </c>
      <c r="AH774" t="str">
        <f t="shared" si="233"/>
        <v/>
      </c>
      <c r="AI774" t="str">
        <f t="shared" si="234"/>
        <v/>
      </c>
      <c r="AJ774" t="str">
        <f t="shared" si="235"/>
        <v/>
      </c>
      <c r="AK774" t="str">
        <f t="shared" si="236"/>
        <v/>
      </c>
      <c r="AL774">
        <f>IFERROR(ROUND(L774*(G774/$AU774)/VLOOKUP(F774,商品!$A$4:$B$60,2,FALSE),0),"")</f>
        <v>11</v>
      </c>
      <c r="AM774">
        <f>IFERROR(ROUND(L774*(I774/$AU774)/VLOOKUP(H774,商品!$A$4:$B$60,2,FALSE),0),"")</f>
        <v>57</v>
      </c>
      <c r="AN774">
        <f>IFERROR(ROUND(L774*(J774/$AU774)/VLOOKUP("运力",商品!$A$4:$B$60,2,FALSE),0),0)</f>
        <v>0</v>
      </c>
      <c r="AO774">
        <f>IFERROR(ROUND(L774*(K774/$AU774)/VLOOKUP("交易",商品!$A$4:$B$60,2,FALSE),0),0)</f>
        <v>0</v>
      </c>
      <c r="AP774" t="str">
        <f>IFERROR(ROUND(S774*(N774/$AV774)/VLOOKUP(M774,职业!$A$4:$G$16,4,FALSE),0),"")</f>
        <v/>
      </c>
      <c r="AQ774" t="str">
        <f>IFERROR(ROUND(S774*(P774/$AV774)/VLOOKUP(O774,职业!$A$4:$G$16,4,FALSE),0),"")</f>
        <v/>
      </c>
      <c r="AR774" t="str">
        <f>IFERROR(ROUND(S774*(R774/$AV774)/VLOOKUP(Q774,职业!$A$4:$G$16,4,FALSE),0),"")</f>
        <v/>
      </c>
      <c r="AS774" t="str">
        <f>IFERROR(ROUND(X774*(U774/$AW774)/VLOOKUP(T774,商品!$A$4:$B$60,2,FALSE),0),"")</f>
        <v/>
      </c>
      <c r="AT774" t="str">
        <f>IFERROR(ROUND(X774*(W774/$AW774)/VLOOKUP(V774,商品!$A$4:$B$60,2,FALSE),0),"")</f>
        <v/>
      </c>
      <c r="AU774">
        <f t="shared" si="237"/>
        <v>15</v>
      </c>
      <c r="AV774">
        <f t="shared" si="238"/>
        <v>0</v>
      </c>
      <c r="AW774">
        <f t="shared" si="239"/>
        <v>0</v>
      </c>
    </row>
    <row r="775" spans="1:49" ht="19.95" customHeight="1" x14ac:dyDescent="0.25">
      <c r="A775" s="15" t="s">
        <v>344</v>
      </c>
      <c r="C775" s="15">
        <v>5</v>
      </c>
      <c r="D775" s="23" t="s">
        <v>312</v>
      </c>
      <c r="E775" s="23" t="s">
        <v>175</v>
      </c>
      <c r="F775" s="2" t="s">
        <v>46</v>
      </c>
      <c r="G775" s="2">
        <v>5</v>
      </c>
      <c r="H775" s="2" t="s">
        <v>19</v>
      </c>
      <c r="I775" s="2">
        <v>10</v>
      </c>
      <c r="L775" s="16">
        <f>IFERROR(VLOOKUP($D775&amp;$C775,生产方式定位!$A$2:$E$38,2,FALSE)+VLOOKUP($E775&amp;$C775,生产方式定位!$F$3:$J$38,2,FALSE),0)</f>
        <v>3400</v>
      </c>
      <c r="S775" s="16">
        <f>IFERROR(VLOOKUP($D775&amp;$C775,生产方式定位!$A$2:$E$38,3,FALSE)+VLOOKUP($E775&amp;$C775,生产方式定位!$F$3:$J$38,3,FALSE),0)</f>
        <v>140</v>
      </c>
      <c r="X775" s="16">
        <f>IFERROR(VLOOKUP($D775&amp;$C775,生产方式定位!$A$2:$E$38,5,FALSE)+VLOOKUP($E775&amp;$C775,生产方式定位!$F$3:$J$38,5,FALSE),"错误")</f>
        <v>4620</v>
      </c>
      <c r="Y775" s="26" t="str">
        <f t="shared" si="224"/>
        <v>魔导引擎*14,煤*76</v>
      </c>
      <c r="Z775" s="36" t="str">
        <f t="shared" si="225"/>
        <v/>
      </c>
      <c r="AA775" s="36" t="str">
        <f t="shared" si="226"/>
        <v/>
      </c>
      <c r="AB775" s="27" t="str">
        <f t="shared" si="227"/>
        <v>36%</v>
      </c>
      <c r="AC775" s="2">
        <f t="shared" si="228"/>
        <v>1080</v>
      </c>
      <c r="AD775" s="38">
        <f t="shared" si="229"/>
        <v>5</v>
      </c>
      <c r="AE775" t="str">
        <f t="shared" si="230"/>
        <v>魔导引擎*14</v>
      </c>
      <c r="AF775" t="str">
        <f t="shared" si="231"/>
        <v>煤*76</v>
      </c>
      <c r="AG775" t="str">
        <f t="shared" si="232"/>
        <v/>
      </c>
      <c r="AH775" t="str">
        <f t="shared" si="233"/>
        <v/>
      </c>
      <c r="AI775" t="str">
        <f t="shared" si="234"/>
        <v/>
      </c>
      <c r="AJ775" t="str">
        <f t="shared" si="235"/>
        <v/>
      </c>
      <c r="AK775" t="str">
        <f t="shared" si="236"/>
        <v/>
      </c>
      <c r="AL775">
        <f>IFERROR(ROUND(L775*(G775/$AU775)/VLOOKUP(F775,商品!$A$4:$B$60,2,FALSE),0),"")</f>
        <v>14</v>
      </c>
      <c r="AM775">
        <f>IFERROR(ROUND(L775*(I775/$AU775)/VLOOKUP(H775,商品!$A$4:$B$60,2,FALSE),0),"")</f>
        <v>76</v>
      </c>
      <c r="AN775">
        <f>IFERROR(ROUND(L775*(J775/$AU775)/VLOOKUP("运力",商品!$A$4:$B$60,2,FALSE),0),0)</f>
        <v>0</v>
      </c>
      <c r="AO775">
        <f>IFERROR(ROUND(L775*(K775/$AU775)/VLOOKUP("交易",商品!$A$4:$B$60,2,FALSE),0),0)</f>
        <v>0</v>
      </c>
      <c r="AP775" t="str">
        <f>IFERROR(ROUND(S775*(N775/$AV775)/VLOOKUP(M775,职业!$A$4:$G$16,4,FALSE),0),"")</f>
        <v/>
      </c>
      <c r="AQ775" t="str">
        <f>IFERROR(ROUND(S775*(P775/$AV775)/VLOOKUP(O775,职业!$A$4:$G$16,4,FALSE),0),"")</f>
        <v/>
      </c>
      <c r="AR775" t="str">
        <f>IFERROR(ROUND(S775*(R775/$AV775)/VLOOKUP(Q775,职业!$A$4:$G$16,4,FALSE),0),"")</f>
        <v/>
      </c>
      <c r="AS775" t="str">
        <f>IFERROR(ROUND(X775*(U775/$AW775)/VLOOKUP(T775,商品!$A$4:$B$60,2,FALSE),0),"")</f>
        <v/>
      </c>
      <c r="AT775" t="str">
        <f>IFERROR(ROUND(X775*(W775/$AW775)/VLOOKUP(V775,商品!$A$4:$B$60,2,FALSE),0),"")</f>
        <v/>
      </c>
      <c r="AU775">
        <f t="shared" si="237"/>
        <v>15</v>
      </c>
      <c r="AV775">
        <f t="shared" si="238"/>
        <v>0</v>
      </c>
      <c r="AW775">
        <f t="shared" si="239"/>
        <v>0</v>
      </c>
    </row>
    <row r="776" spans="1:49" ht="19.95" customHeight="1" x14ac:dyDescent="0.25">
      <c r="A776" s="16" t="s">
        <v>345</v>
      </c>
      <c r="C776" s="16">
        <v>1</v>
      </c>
      <c r="D776" s="23" t="s">
        <v>312</v>
      </c>
      <c r="E776" s="23" t="s">
        <v>177</v>
      </c>
      <c r="L776" s="15">
        <f>IFERROR(VLOOKUP($D776&amp;$C776,生产方式定位!$A$2:$E$38,2,FALSE)+VLOOKUP($E776&amp;$C776,生产方式定位!$F$3:$J$38,2,FALSE),0)</f>
        <v>0</v>
      </c>
      <c r="S776" s="15">
        <f>IFERROR(VLOOKUP($D776&amp;$C776,生产方式定位!$A$2:$E$38,3,FALSE)+VLOOKUP($E776&amp;$C776,生产方式定位!$F$3:$J$38,3,FALSE),0)</f>
        <v>100</v>
      </c>
      <c r="X776" s="15">
        <f>IFERROR(VLOOKUP($D776&amp;$C776,生产方式定位!$A$2:$E$38,5,FALSE)+VLOOKUP($E776&amp;$C776,生产方式定位!$F$3:$J$38,5,FALSE),"错误")</f>
        <v>500</v>
      </c>
      <c r="Y776" s="26" t="str">
        <f t="shared" si="224"/>
        <v/>
      </c>
      <c r="Z776" s="36" t="str">
        <f t="shared" si="225"/>
        <v/>
      </c>
      <c r="AA776" s="36" t="str">
        <f t="shared" si="226"/>
        <v/>
      </c>
      <c r="AB776" s="27" t="str">
        <f t="shared" si="227"/>
        <v/>
      </c>
      <c r="AC776" s="2">
        <f t="shared" si="228"/>
        <v>400</v>
      </c>
      <c r="AD776" s="37">
        <f t="shared" si="229"/>
        <v>1</v>
      </c>
      <c r="AE776" t="str">
        <f t="shared" si="230"/>
        <v/>
      </c>
      <c r="AF776" t="str">
        <f t="shared" si="231"/>
        <v/>
      </c>
      <c r="AG776" t="str">
        <f t="shared" si="232"/>
        <v/>
      </c>
      <c r="AH776" t="str">
        <f t="shared" si="233"/>
        <v/>
      </c>
      <c r="AI776" t="str">
        <f t="shared" si="234"/>
        <v/>
      </c>
      <c r="AJ776" t="str">
        <f t="shared" si="235"/>
        <v/>
      </c>
      <c r="AK776" t="str">
        <f t="shared" si="236"/>
        <v/>
      </c>
      <c r="AL776" t="str">
        <f>IFERROR(ROUND(L776*(G776/$AU776)/VLOOKUP(F776,商品!$A$4:$B$60,2,FALSE),0),"")</f>
        <v/>
      </c>
      <c r="AM776" t="str">
        <f>IFERROR(ROUND(L776*(I776/$AU776)/VLOOKUP(H776,商品!$A$4:$B$60,2,FALSE),0),"")</f>
        <v/>
      </c>
      <c r="AN776">
        <f>IFERROR(ROUND(L776*(J776/$AU776)/VLOOKUP("运力",商品!$A$4:$B$60,2,FALSE),0),0)</f>
        <v>0</v>
      </c>
      <c r="AO776">
        <f>IFERROR(ROUND(L776*(K776/$AU776)/VLOOKUP("交易",商品!$A$4:$B$60,2,FALSE),0),0)</f>
        <v>0</v>
      </c>
      <c r="AP776" t="str">
        <f>IFERROR(ROUND(S776*(N776/$AV776)/VLOOKUP(M776,职业!$A$4:$G$16,4,FALSE),0),"")</f>
        <v/>
      </c>
      <c r="AQ776" t="str">
        <f>IFERROR(ROUND(S776*(P776/$AV776)/VLOOKUP(O776,职业!$A$4:$G$16,4,FALSE),0),"")</f>
        <v/>
      </c>
      <c r="AR776" t="str">
        <f>IFERROR(ROUND(S776*(R776/$AV776)/VLOOKUP(Q776,职业!$A$4:$G$16,4,FALSE),0),"")</f>
        <v/>
      </c>
      <c r="AS776" t="str">
        <f>IFERROR(ROUND(X776*(U776/$AW776)/VLOOKUP(T776,商品!$A$4:$B$60,2,FALSE),0),"")</f>
        <v/>
      </c>
      <c r="AT776" t="str">
        <f>IFERROR(ROUND(X776*(W776/$AW776)/VLOOKUP(V776,商品!$A$4:$B$60,2,FALSE),0),"")</f>
        <v/>
      </c>
      <c r="AU776">
        <f t="shared" si="237"/>
        <v>0</v>
      </c>
      <c r="AV776">
        <f t="shared" si="238"/>
        <v>0</v>
      </c>
      <c r="AW776">
        <f t="shared" si="239"/>
        <v>0</v>
      </c>
    </row>
    <row r="777" spans="1:49" ht="19.95" customHeight="1" x14ac:dyDescent="0.25">
      <c r="A777" s="16" t="s">
        <v>345</v>
      </c>
      <c r="C777" s="16">
        <v>2</v>
      </c>
      <c r="D777" s="23" t="s">
        <v>312</v>
      </c>
      <c r="E777" s="23" t="s">
        <v>177</v>
      </c>
      <c r="F777" s="2" t="s">
        <v>42</v>
      </c>
      <c r="G777" s="2">
        <v>5</v>
      </c>
      <c r="H777" s="2" t="s">
        <v>20</v>
      </c>
      <c r="I777" s="2">
        <v>10</v>
      </c>
      <c r="L777" s="15">
        <f>IFERROR(VLOOKUP($D777&amp;$C777,生产方式定位!$A$2:$E$38,2,FALSE)+VLOOKUP($E777&amp;$C777,生产方式定位!$F$3:$J$38,2,FALSE),0)</f>
        <v>905</v>
      </c>
      <c r="S777" s="15">
        <f>IFERROR(VLOOKUP($D777&amp;$C777,生产方式定位!$A$2:$E$38,3,FALSE)+VLOOKUP($E777&amp;$C777,生产方式定位!$F$3:$J$38,3,FALSE),0)</f>
        <v>115</v>
      </c>
      <c r="X777" s="15">
        <f>IFERROR(VLOOKUP($D777&amp;$C777,生产方式定位!$A$2:$E$38,5,FALSE)+VLOOKUP($E777&amp;$C777,生产方式定位!$F$3:$J$38,5,FALSE),"错误")</f>
        <v>1260</v>
      </c>
      <c r="Y777" s="26" t="str">
        <f t="shared" si="224"/>
        <v>魔偶*8,灵能水晶*20</v>
      </c>
      <c r="Z777" s="36" t="str">
        <f t="shared" si="225"/>
        <v/>
      </c>
      <c r="AA777" s="36" t="str">
        <f t="shared" si="226"/>
        <v/>
      </c>
      <c r="AB777" s="27" t="str">
        <f t="shared" si="227"/>
        <v>39%</v>
      </c>
      <c r="AC777" s="2">
        <f t="shared" si="228"/>
        <v>240</v>
      </c>
      <c r="AD777" s="37">
        <f t="shared" si="229"/>
        <v>2</v>
      </c>
      <c r="AE777" t="str">
        <f t="shared" si="230"/>
        <v>魔偶*8</v>
      </c>
      <c r="AF777" t="str">
        <f t="shared" si="231"/>
        <v>灵能水晶*20</v>
      </c>
      <c r="AG777" t="str">
        <f t="shared" si="232"/>
        <v/>
      </c>
      <c r="AH777" t="str">
        <f t="shared" si="233"/>
        <v/>
      </c>
      <c r="AI777" t="str">
        <f t="shared" si="234"/>
        <v/>
      </c>
      <c r="AJ777" t="str">
        <f t="shared" si="235"/>
        <v/>
      </c>
      <c r="AK777" t="str">
        <f t="shared" si="236"/>
        <v/>
      </c>
      <c r="AL777">
        <f>IFERROR(ROUND(L777*(G777/$AU777)/VLOOKUP(F777,商品!$A$4:$B$60,2,FALSE),0),"")</f>
        <v>8</v>
      </c>
      <c r="AM777">
        <f>IFERROR(ROUND(L777*(I777/$AU777)/VLOOKUP(H777,商品!$A$4:$B$60,2,FALSE),0),"")</f>
        <v>20</v>
      </c>
      <c r="AN777">
        <f>IFERROR(ROUND(L777*(J777/$AU777)/VLOOKUP("运力",商品!$A$4:$B$60,2,FALSE),0),0)</f>
        <v>0</v>
      </c>
      <c r="AO777">
        <f>IFERROR(ROUND(L777*(K777/$AU777)/VLOOKUP("交易",商品!$A$4:$B$60,2,FALSE),0),0)</f>
        <v>0</v>
      </c>
      <c r="AP777" t="str">
        <f>IFERROR(ROUND(S777*(N777/$AV777)/VLOOKUP(M777,职业!$A$4:$G$16,4,FALSE),0),"")</f>
        <v/>
      </c>
      <c r="AQ777" t="str">
        <f>IFERROR(ROUND(S777*(P777/$AV777)/VLOOKUP(O777,职业!$A$4:$G$16,4,FALSE),0),"")</f>
        <v/>
      </c>
      <c r="AR777" t="str">
        <f>IFERROR(ROUND(S777*(R777/$AV777)/VLOOKUP(Q777,职业!$A$4:$G$16,4,FALSE),0),"")</f>
        <v/>
      </c>
      <c r="AS777" t="str">
        <f>IFERROR(ROUND(X777*(U777/$AW777)/VLOOKUP(T777,商品!$A$4:$B$60,2,FALSE),0),"")</f>
        <v/>
      </c>
      <c r="AT777" t="str">
        <f>IFERROR(ROUND(X777*(W777/$AW777)/VLOOKUP(V777,商品!$A$4:$B$60,2,FALSE),0),"")</f>
        <v/>
      </c>
      <c r="AU777">
        <f t="shared" si="237"/>
        <v>15</v>
      </c>
      <c r="AV777">
        <f t="shared" si="238"/>
        <v>0</v>
      </c>
      <c r="AW777">
        <f t="shared" si="239"/>
        <v>0</v>
      </c>
    </row>
    <row r="778" spans="1:49" ht="19.95" customHeight="1" x14ac:dyDescent="0.25">
      <c r="A778" s="16" t="s">
        <v>345</v>
      </c>
      <c r="C778" s="16">
        <v>3</v>
      </c>
      <c r="D778" s="23" t="s">
        <v>312</v>
      </c>
      <c r="E778" s="23" t="s">
        <v>177</v>
      </c>
      <c r="F778" s="2" t="s">
        <v>42</v>
      </c>
      <c r="G778" s="2">
        <v>5</v>
      </c>
      <c r="H778" s="2" t="s">
        <v>20</v>
      </c>
      <c r="I778" s="2">
        <v>10</v>
      </c>
      <c r="L778" s="15">
        <f>IFERROR(VLOOKUP($D778&amp;$C778,生产方式定位!$A$2:$E$38,2,FALSE)+VLOOKUP($E778&amp;$C778,生产方式定位!$F$3:$J$38,2,FALSE),0)</f>
        <v>1810</v>
      </c>
      <c r="S778" s="15">
        <f>IFERROR(VLOOKUP($D778&amp;$C778,生产方式定位!$A$2:$E$38,3,FALSE)+VLOOKUP($E778&amp;$C778,生产方式定位!$F$3:$J$38,3,FALSE),0)</f>
        <v>130</v>
      </c>
      <c r="X778" s="15">
        <f>IFERROR(VLOOKUP($D778&amp;$C778,生产方式定位!$A$2:$E$38,5,FALSE)+VLOOKUP($E778&amp;$C778,生产方式定位!$F$3:$J$38,5,FALSE),"错误")</f>
        <v>2380</v>
      </c>
      <c r="Y778" s="26" t="str">
        <f t="shared" si="224"/>
        <v>魔偶*15,灵能水晶*40</v>
      </c>
      <c r="Z778" s="36" t="str">
        <f t="shared" si="225"/>
        <v/>
      </c>
      <c r="AA778" s="36" t="str">
        <f t="shared" si="226"/>
        <v/>
      </c>
      <c r="AB778" s="27" t="str">
        <f t="shared" si="227"/>
        <v>31%</v>
      </c>
      <c r="AC778" s="2">
        <f t="shared" si="228"/>
        <v>440</v>
      </c>
      <c r="AD778" s="37">
        <f t="shared" si="229"/>
        <v>3</v>
      </c>
      <c r="AE778" t="str">
        <f t="shared" si="230"/>
        <v>魔偶*15</v>
      </c>
      <c r="AF778" t="str">
        <f t="shared" si="231"/>
        <v>灵能水晶*40</v>
      </c>
      <c r="AG778" t="str">
        <f t="shared" si="232"/>
        <v/>
      </c>
      <c r="AH778" t="str">
        <f t="shared" si="233"/>
        <v/>
      </c>
      <c r="AI778" t="str">
        <f t="shared" si="234"/>
        <v/>
      </c>
      <c r="AJ778" t="str">
        <f t="shared" si="235"/>
        <v/>
      </c>
      <c r="AK778" t="str">
        <f t="shared" si="236"/>
        <v/>
      </c>
      <c r="AL778">
        <f>IFERROR(ROUND(L778*(G778/$AU778)/VLOOKUP(F778,商品!$A$4:$B$60,2,FALSE),0),"")</f>
        <v>15</v>
      </c>
      <c r="AM778">
        <f>IFERROR(ROUND(L778*(I778/$AU778)/VLOOKUP(H778,商品!$A$4:$B$60,2,FALSE),0),"")</f>
        <v>40</v>
      </c>
      <c r="AN778">
        <f>IFERROR(ROUND(L778*(J778/$AU778)/VLOOKUP("运力",商品!$A$4:$B$60,2,FALSE),0),0)</f>
        <v>0</v>
      </c>
      <c r="AO778">
        <f>IFERROR(ROUND(L778*(K778/$AU778)/VLOOKUP("交易",商品!$A$4:$B$60,2,FALSE),0),0)</f>
        <v>0</v>
      </c>
      <c r="AP778" t="str">
        <f>IFERROR(ROUND(S778*(N778/$AV778)/VLOOKUP(M778,职业!$A$4:$G$16,4,FALSE),0),"")</f>
        <v/>
      </c>
      <c r="AQ778" t="str">
        <f>IFERROR(ROUND(S778*(P778/$AV778)/VLOOKUP(O778,职业!$A$4:$G$16,4,FALSE),0),"")</f>
        <v/>
      </c>
      <c r="AR778" t="str">
        <f>IFERROR(ROUND(S778*(R778/$AV778)/VLOOKUP(Q778,职业!$A$4:$G$16,4,FALSE),0),"")</f>
        <v/>
      </c>
      <c r="AS778" t="str">
        <f>IFERROR(ROUND(X778*(U778/$AW778)/VLOOKUP(T778,商品!$A$4:$B$60,2,FALSE),0),"")</f>
        <v/>
      </c>
      <c r="AT778" t="str">
        <f>IFERROR(ROUND(X778*(W778/$AW778)/VLOOKUP(V778,商品!$A$4:$B$60,2,FALSE),0),"")</f>
        <v/>
      </c>
      <c r="AU778">
        <f t="shared" si="237"/>
        <v>15</v>
      </c>
      <c r="AV778">
        <f t="shared" si="238"/>
        <v>0</v>
      </c>
      <c r="AW778">
        <f t="shared" si="239"/>
        <v>0</v>
      </c>
    </row>
    <row r="779" spans="1:49" ht="19.95" customHeight="1" x14ac:dyDescent="0.25">
      <c r="A779" s="16" t="s">
        <v>345</v>
      </c>
      <c r="C779" s="16">
        <v>4</v>
      </c>
      <c r="D779" s="23" t="s">
        <v>312</v>
      </c>
      <c r="E779" s="23" t="s">
        <v>177</v>
      </c>
      <c r="F779" s="2" t="s">
        <v>42</v>
      </c>
      <c r="G779" s="2">
        <v>5</v>
      </c>
      <c r="H779" s="2" t="s">
        <v>20</v>
      </c>
      <c r="I779" s="2">
        <v>10</v>
      </c>
      <c r="L779" s="15">
        <f>IFERROR(VLOOKUP($D779&amp;$C779,生产方式定位!$A$2:$E$38,2,FALSE)+VLOOKUP($E779&amp;$C779,生产方式定位!$F$3:$J$38,2,FALSE),0)</f>
        <v>2715</v>
      </c>
      <c r="S779" s="15">
        <f>IFERROR(VLOOKUP($D779&amp;$C779,生产方式定位!$A$2:$E$38,3,FALSE)+VLOOKUP($E779&amp;$C779,生产方式定位!$F$3:$J$38,3,FALSE),0)</f>
        <v>145</v>
      </c>
      <c r="X779" s="15">
        <f>IFERROR(VLOOKUP($D779&amp;$C779,生产方式定位!$A$2:$E$38,5,FALSE)+VLOOKUP($E779&amp;$C779,生产方式定位!$F$3:$J$38,5,FALSE),"错误")</f>
        <v>3500</v>
      </c>
      <c r="Y779" s="26" t="str">
        <f t="shared" si="224"/>
        <v>魔偶*23,灵能水晶*60</v>
      </c>
      <c r="Z779" s="36" t="str">
        <f t="shared" si="225"/>
        <v/>
      </c>
      <c r="AA779" s="36" t="str">
        <f t="shared" si="226"/>
        <v/>
      </c>
      <c r="AB779" s="27" t="str">
        <f t="shared" si="227"/>
        <v>29%</v>
      </c>
      <c r="AC779" s="2">
        <f t="shared" si="228"/>
        <v>640</v>
      </c>
      <c r="AD779" s="37">
        <f t="shared" si="229"/>
        <v>4</v>
      </c>
      <c r="AE779" t="str">
        <f t="shared" si="230"/>
        <v>魔偶*23</v>
      </c>
      <c r="AF779" t="str">
        <f t="shared" si="231"/>
        <v>灵能水晶*60</v>
      </c>
      <c r="AG779" t="str">
        <f t="shared" si="232"/>
        <v/>
      </c>
      <c r="AH779" t="str">
        <f t="shared" si="233"/>
        <v/>
      </c>
      <c r="AI779" t="str">
        <f t="shared" si="234"/>
        <v/>
      </c>
      <c r="AJ779" t="str">
        <f t="shared" si="235"/>
        <v/>
      </c>
      <c r="AK779" t="str">
        <f t="shared" si="236"/>
        <v/>
      </c>
      <c r="AL779">
        <f>IFERROR(ROUND(L779*(G779/$AU779)/VLOOKUP(F779,商品!$A$4:$B$60,2,FALSE),0),"")</f>
        <v>23</v>
      </c>
      <c r="AM779">
        <f>IFERROR(ROUND(L779*(I779/$AU779)/VLOOKUP(H779,商品!$A$4:$B$60,2,FALSE),0),"")</f>
        <v>60</v>
      </c>
      <c r="AN779">
        <f>IFERROR(ROUND(L779*(J779/$AU779)/VLOOKUP("运力",商品!$A$4:$B$60,2,FALSE),0),0)</f>
        <v>0</v>
      </c>
      <c r="AO779">
        <f>IFERROR(ROUND(L779*(K779/$AU779)/VLOOKUP("交易",商品!$A$4:$B$60,2,FALSE),0),0)</f>
        <v>0</v>
      </c>
      <c r="AP779" t="str">
        <f>IFERROR(ROUND(S779*(N779/$AV779)/VLOOKUP(M779,职业!$A$4:$G$16,4,FALSE),0),"")</f>
        <v/>
      </c>
      <c r="AQ779" t="str">
        <f>IFERROR(ROUND(S779*(P779/$AV779)/VLOOKUP(O779,职业!$A$4:$G$16,4,FALSE),0),"")</f>
        <v/>
      </c>
      <c r="AR779" t="str">
        <f>IFERROR(ROUND(S779*(R779/$AV779)/VLOOKUP(Q779,职业!$A$4:$G$16,4,FALSE),0),"")</f>
        <v/>
      </c>
      <c r="AS779" t="str">
        <f>IFERROR(ROUND(X779*(U779/$AW779)/VLOOKUP(T779,商品!$A$4:$B$60,2,FALSE),0),"")</f>
        <v/>
      </c>
      <c r="AT779" t="str">
        <f>IFERROR(ROUND(X779*(W779/$AW779)/VLOOKUP(V779,商品!$A$4:$B$60,2,FALSE),0),"")</f>
        <v/>
      </c>
      <c r="AU779">
        <f t="shared" si="237"/>
        <v>15</v>
      </c>
      <c r="AV779">
        <f t="shared" si="238"/>
        <v>0</v>
      </c>
      <c r="AW779">
        <f t="shared" si="239"/>
        <v>0</v>
      </c>
    </row>
    <row r="780" spans="1:49" ht="19.95" customHeight="1" x14ac:dyDescent="0.25">
      <c r="A780" s="16" t="s">
        <v>345</v>
      </c>
      <c r="C780" s="16">
        <v>5</v>
      </c>
      <c r="D780" s="23" t="s">
        <v>312</v>
      </c>
      <c r="E780" s="23" t="s">
        <v>177</v>
      </c>
      <c r="F780" s="2" t="s">
        <v>42</v>
      </c>
      <c r="G780" s="2">
        <v>5</v>
      </c>
      <c r="H780" s="2" t="s">
        <v>20</v>
      </c>
      <c r="I780" s="2">
        <v>10</v>
      </c>
      <c r="L780" s="15">
        <f>IFERROR(VLOOKUP($D780&amp;$C780,生产方式定位!$A$2:$E$38,2,FALSE)+VLOOKUP($E780&amp;$C780,生产方式定位!$F$3:$J$38,2,FALSE),0)</f>
        <v>3620</v>
      </c>
      <c r="S780" s="15">
        <f>IFERROR(VLOOKUP($D780&amp;$C780,生产方式定位!$A$2:$E$38,3,FALSE)+VLOOKUP($E780&amp;$C780,生产方式定位!$F$3:$J$38,3,FALSE),0)</f>
        <v>160</v>
      </c>
      <c r="X780" s="15">
        <f>IFERROR(VLOOKUP($D780&amp;$C780,生产方式定位!$A$2:$E$38,5,FALSE)+VLOOKUP($E780&amp;$C780,生产方式定位!$F$3:$J$38,5,FALSE),"错误")</f>
        <v>4620</v>
      </c>
      <c r="Y780" s="26" t="str">
        <f t="shared" si="224"/>
        <v>魔偶*30,灵能水晶*80</v>
      </c>
      <c r="Z780" s="36" t="str">
        <f t="shared" si="225"/>
        <v/>
      </c>
      <c r="AA780" s="36" t="str">
        <f t="shared" si="226"/>
        <v/>
      </c>
      <c r="AB780" s="27" t="str">
        <f t="shared" si="227"/>
        <v>28%</v>
      </c>
      <c r="AC780" s="2">
        <f t="shared" si="228"/>
        <v>840</v>
      </c>
      <c r="AD780" s="37">
        <f t="shared" si="229"/>
        <v>5</v>
      </c>
      <c r="AE780" t="str">
        <f t="shared" si="230"/>
        <v>魔偶*30</v>
      </c>
      <c r="AF780" t="str">
        <f t="shared" si="231"/>
        <v>灵能水晶*80</v>
      </c>
      <c r="AG780" t="str">
        <f t="shared" si="232"/>
        <v/>
      </c>
      <c r="AH780" t="str">
        <f t="shared" si="233"/>
        <v/>
      </c>
      <c r="AI780" t="str">
        <f t="shared" si="234"/>
        <v/>
      </c>
      <c r="AJ780" t="str">
        <f t="shared" si="235"/>
        <v/>
      </c>
      <c r="AK780" t="str">
        <f t="shared" si="236"/>
        <v/>
      </c>
      <c r="AL780">
        <f>IFERROR(ROUND(L780*(G780/$AU780)/VLOOKUP(F780,商品!$A$4:$B$60,2,FALSE),0),"")</f>
        <v>30</v>
      </c>
      <c r="AM780">
        <f>IFERROR(ROUND(L780*(I780/$AU780)/VLOOKUP(H780,商品!$A$4:$B$60,2,FALSE),0),"")</f>
        <v>80</v>
      </c>
      <c r="AN780">
        <f>IFERROR(ROUND(L780*(J780/$AU780)/VLOOKUP("运力",商品!$A$4:$B$60,2,FALSE),0),0)</f>
        <v>0</v>
      </c>
      <c r="AO780">
        <f>IFERROR(ROUND(L780*(K780/$AU780)/VLOOKUP("交易",商品!$A$4:$B$60,2,FALSE),0),0)</f>
        <v>0</v>
      </c>
      <c r="AP780" t="str">
        <f>IFERROR(ROUND(S780*(N780/$AV780)/VLOOKUP(M780,职业!$A$4:$G$16,4,FALSE),0),"")</f>
        <v/>
      </c>
      <c r="AQ780" t="str">
        <f>IFERROR(ROUND(S780*(P780/$AV780)/VLOOKUP(O780,职业!$A$4:$G$16,4,FALSE),0),"")</f>
        <v/>
      </c>
      <c r="AR780" t="str">
        <f>IFERROR(ROUND(S780*(R780/$AV780)/VLOOKUP(Q780,职业!$A$4:$G$16,4,FALSE),0),"")</f>
        <v/>
      </c>
      <c r="AS780" t="str">
        <f>IFERROR(ROUND(X780*(U780/$AW780)/VLOOKUP(T780,商品!$A$4:$B$60,2,FALSE),0),"")</f>
        <v/>
      </c>
      <c r="AT780" t="str">
        <f>IFERROR(ROUND(X780*(W780/$AW780)/VLOOKUP(V780,商品!$A$4:$B$60,2,FALSE),0),"")</f>
        <v/>
      </c>
      <c r="AU780">
        <f t="shared" si="237"/>
        <v>15</v>
      </c>
      <c r="AV780">
        <f t="shared" si="238"/>
        <v>0</v>
      </c>
      <c r="AW780">
        <f t="shared" si="239"/>
        <v>0</v>
      </c>
    </row>
    <row r="781" spans="1:49" ht="19.95" customHeight="1" x14ac:dyDescent="0.25">
      <c r="A781" s="15" t="s">
        <v>346</v>
      </c>
      <c r="C781" s="15">
        <v>1</v>
      </c>
      <c r="D781" s="23" t="s">
        <v>174</v>
      </c>
      <c r="E781" s="23" t="s">
        <v>179</v>
      </c>
      <c r="L781" s="16">
        <f>IFERROR(VLOOKUP($D781&amp;$C781,生产方式定位!$A$2:$E$38,2,FALSE)+VLOOKUP($E781&amp;$C781,生产方式定位!$F$3:$J$38,2,FALSE),0)</f>
        <v>0</v>
      </c>
      <c r="S781" s="16">
        <f>IFERROR(VLOOKUP($D781&amp;$C781,生产方式定位!$A$2:$E$38,3,FALSE)+VLOOKUP($E781&amp;$C781,生产方式定位!$F$3:$J$38,3,FALSE),0)</f>
        <v>100</v>
      </c>
      <c r="X781" s="16">
        <f>IFERROR(VLOOKUP($D781&amp;$C781,生产方式定位!$A$2:$E$38,5,FALSE)+VLOOKUP($E781&amp;$C781,生产方式定位!$F$3:$J$38,5,FALSE),"错误")</f>
        <v>100</v>
      </c>
      <c r="Y781" s="26" t="str">
        <f t="shared" si="224"/>
        <v/>
      </c>
      <c r="Z781" s="36" t="str">
        <f t="shared" si="225"/>
        <v/>
      </c>
      <c r="AA781" s="36" t="str">
        <f t="shared" si="226"/>
        <v/>
      </c>
      <c r="AB781" s="27" t="str">
        <f t="shared" si="227"/>
        <v/>
      </c>
      <c r="AC781" s="2" t="str">
        <f t="shared" si="228"/>
        <v/>
      </c>
      <c r="AD781" s="38">
        <f t="shared" si="229"/>
        <v>1</v>
      </c>
      <c r="AE781" t="str">
        <f t="shared" si="230"/>
        <v/>
      </c>
      <c r="AF781" t="str">
        <f t="shared" si="231"/>
        <v/>
      </c>
      <c r="AG781" t="str">
        <f t="shared" si="232"/>
        <v/>
      </c>
      <c r="AH781" t="str">
        <f t="shared" si="233"/>
        <v/>
      </c>
      <c r="AI781" t="str">
        <f t="shared" si="234"/>
        <v/>
      </c>
      <c r="AJ781" t="str">
        <f t="shared" si="235"/>
        <v/>
      </c>
      <c r="AK781" t="str">
        <f t="shared" si="236"/>
        <v/>
      </c>
      <c r="AL781" t="str">
        <f>IFERROR(ROUND(L781*(G781/$AU781)/VLOOKUP(F781,商品!$A$4:$B$60,2,FALSE),0),"")</f>
        <v/>
      </c>
      <c r="AM781" t="str">
        <f>IFERROR(ROUND(L781*(I781/$AU781)/VLOOKUP(H781,商品!$A$4:$B$60,2,FALSE),0),"")</f>
        <v/>
      </c>
      <c r="AN781">
        <f>IFERROR(ROUND(L781*(J781/$AU781)/VLOOKUP("运力",商品!$A$4:$B$60,2,FALSE),0),0)</f>
        <v>0</v>
      </c>
      <c r="AO781">
        <f>IFERROR(ROUND(L781*(K781/$AU781)/VLOOKUP("交易",商品!$A$4:$B$60,2,FALSE),0),0)</f>
        <v>0</v>
      </c>
      <c r="AP781" t="str">
        <f>IFERROR(ROUND(S781*(N781/$AV781)/VLOOKUP(M781,职业!$A$4:$G$16,4,FALSE),0),"")</f>
        <v/>
      </c>
      <c r="AQ781" t="str">
        <f>IFERROR(ROUND(S781*(P781/$AV781)/VLOOKUP(O781,职业!$A$4:$G$16,4,FALSE),0),"")</f>
        <v/>
      </c>
      <c r="AR781" t="str">
        <f>IFERROR(ROUND(S781*(R781/$AV781)/VLOOKUP(Q781,职业!$A$4:$G$16,4,FALSE),0),"")</f>
        <v/>
      </c>
      <c r="AS781" t="str">
        <f>IFERROR(ROUND(X781*(U781/$AW781)/VLOOKUP(T781,商品!$A$4:$B$60,2,FALSE),0),"")</f>
        <v/>
      </c>
      <c r="AT781" t="str">
        <f>IFERROR(ROUND(X781*(W781/$AW781)/VLOOKUP(V781,商品!$A$4:$B$60,2,FALSE),0),"")</f>
        <v/>
      </c>
      <c r="AU781">
        <f t="shared" si="237"/>
        <v>0</v>
      </c>
      <c r="AV781">
        <f t="shared" si="238"/>
        <v>0</v>
      </c>
      <c r="AW781">
        <f t="shared" si="239"/>
        <v>0</v>
      </c>
    </row>
    <row r="782" spans="1:49" ht="19.95" customHeight="1" x14ac:dyDescent="0.25">
      <c r="A782" s="15" t="s">
        <v>346</v>
      </c>
      <c r="C782" s="15">
        <v>2</v>
      </c>
      <c r="D782" s="23" t="s">
        <v>174</v>
      </c>
      <c r="E782" s="23" t="s">
        <v>179</v>
      </c>
      <c r="L782" s="16">
        <f>IFERROR(VLOOKUP($D782&amp;$C782,生产方式定位!$A$2:$E$38,2,FALSE)+VLOOKUP($E782&amp;$C782,生产方式定位!$F$3:$J$38,2,FALSE),0)</f>
        <v>0</v>
      </c>
      <c r="S782" s="16">
        <f>IFERROR(VLOOKUP($D782&amp;$C782,生产方式定位!$A$2:$E$38,3,FALSE)+VLOOKUP($E782&amp;$C782,生产方式定位!$F$3:$J$38,3,FALSE),0)</f>
        <v>100</v>
      </c>
      <c r="X782" s="16">
        <f>IFERROR(VLOOKUP($D782&amp;$C782,生产方式定位!$A$2:$E$38,5,FALSE)+VLOOKUP($E782&amp;$C782,生产方式定位!$F$3:$J$38,5,FALSE),"错误")</f>
        <v>100</v>
      </c>
      <c r="Y782" s="26" t="str">
        <f t="shared" si="224"/>
        <v/>
      </c>
      <c r="Z782" s="36" t="str">
        <f t="shared" si="225"/>
        <v/>
      </c>
      <c r="AA782" s="36" t="str">
        <f t="shared" si="226"/>
        <v/>
      </c>
      <c r="AB782" s="27" t="str">
        <f t="shared" si="227"/>
        <v/>
      </c>
      <c r="AC782" s="2" t="str">
        <f t="shared" si="228"/>
        <v/>
      </c>
      <c r="AD782" s="38">
        <f t="shared" si="229"/>
        <v>2</v>
      </c>
      <c r="AE782" t="str">
        <f t="shared" si="230"/>
        <v/>
      </c>
      <c r="AF782" t="str">
        <f t="shared" si="231"/>
        <v/>
      </c>
      <c r="AG782" t="str">
        <f t="shared" si="232"/>
        <v/>
      </c>
      <c r="AH782" t="str">
        <f t="shared" si="233"/>
        <v/>
      </c>
      <c r="AI782" t="str">
        <f t="shared" si="234"/>
        <v/>
      </c>
      <c r="AJ782" t="str">
        <f t="shared" si="235"/>
        <v/>
      </c>
      <c r="AK782" t="str">
        <f t="shared" si="236"/>
        <v/>
      </c>
      <c r="AL782" t="str">
        <f>IFERROR(ROUND(L782*(G782/$AU782)/VLOOKUP(F782,商品!$A$4:$B$60,2,FALSE),0),"")</f>
        <v/>
      </c>
      <c r="AM782" t="str">
        <f>IFERROR(ROUND(L782*(I782/$AU782)/VLOOKUP(H782,商品!$A$4:$B$60,2,FALSE),0),"")</f>
        <v/>
      </c>
      <c r="AN782">
        <f>IFERROR(ROUND(L782*(J782/$AU782)/VLOOKUP("运力",商品!$A$4:$B$60,2,FALSE),0),0)</f>
        <v>0</v>
      </c>
      <c r="AO782">
        <f>IFERROR(ROUND(L782*(K782/$AU782)/VLOOKUP("交易",商品!$A$4:$B$60,2,FALSE),0),0)</f>
        <v>0</v>
      </c>
      <c r="AP782" t="str">
        <f>IFERROR(ROUND(S782*(N782/$AV782)/VLOOKUP(M782,职业!$A$4:$G$16,4,FALSE),0),"")</f>
        <v/>
      </c>
      <c r="AQ782" t="str">
        <f>IFERROR(ROUND(S782*(P782/$AV782)/VLOOKUP(O782,职业!$A$4:$G$16,4,FALSE),0),"")</f>
        <v/>
      </c>
      <c r="AR782" t="str">
        <f>IFERROR(ROUND(S782*(R782/$AV782)/VLOOKUP(Q782,职业!$A$4:$G$16,4,FALSE),0),"")</f>
        <v/>
      </c>
      <c r="AS782" t="str">
        <f>IFERROR(ROUND(X782*(U782/$AW782)/VLOOKUP(T782,商品!$A$4:$B$60,2,FALSE),0),"")</f>
        <v/>
      </c>
      <c r="AT782" t="str">
        <f>IFERROR(ROUND(X782*(W782/$AW782)/VLOOKUP(V782,商品!$A$4:$B$60,2,FALSE),0),"")</f>
        <v/>
      </c>
      <c r="AU782">
        <f t="shared" si="237"/>
        <v>0</v>
      </c>
      <c r="AV782">
        <f t="shared" si="238"/>
        <v>0</v>
      </c>
      <c r="AW782">
        <f t="shared" si="239"/>
        <v>0</v>
      </c>
    </row>
    <row r="783" spans="1:49" ht="19.95" customHeight="1" x14ac:dyDescent="0.25">
      <c r="A783" s="15" t="s">
        <v>346</v>
      </c>
      <c r="C783" s="15">
        <v>3</v>
      </c>
      <c r="D783" s="23" t="s">
        <v>174</v>
      </c>
      <c r="E783" s="23" t="s">
        <v>179</v>
      </c>
      <c r="L783" s="16">
        <f>IFERROR(VLOOKUP($D783&amp;$C783,生产方式定位!$A$2:$E$38,2,FALSE)+VLOOKUP($E783&amp;$C783,生产方式定位!$F$3:$J$38,2,FALSE),0)</f>
        <v>0</v>
      </c>
      <c r="S783" s="16">
        <f>IFERROR(VLOOKUP($D783&amp;$C783,生产方式定位!$A$2:$E$38,3,FALSE)+VLOOKUP($E783&amp;$C783,生产方式定位!$F$3:$J$38,3,FALSE),0)</f>
        <v>100</v>
      </c>
      <c r="X783" s="16">
        <f>IFERROR(VLOOKUP($D783&amp;$C783,生产方式定位!$A$2:$E$38,5,FALSE)+VLOOKUP($E783&amp;$C783,生产方式定位!$F$3:$J$38,5,FALSE),"错误")</f>
        <v>100</v>
      </c>
      <c r="Y783" s="26" t="str">
        <f t="shared" si="224"/>
        <v/>
      </c>
      <c r="Z783" s="36" t="str">
        <f t="shared" si="225"/>
        <v/>
      </c>
      <c r="AA783" s="36" t="str">
        <f t="shared" si="226"/>
        <v/>
      </c>
      <c r="AB783" s="27" t="str">
        <f t="shared" si="227"/>
        <v/>
      </c>
      <c r="AC783" s="2" t="str">
        <f t="shared" si="228"/>
        <v/>
      </c>
      <c r="AD783" s="38">
        <f t="shared" si="229"/>
        <v>3</v>
      </c>
      <c r="AE783" t="str">
        <f t="shared" si="230"/>
        <v/>
      </c>
      <c r="AF783" t="str">
        <f t="shared" si="231"/>
        <v/>
      </c>
      <c r="AG783" t="str">
        <f t="shared" si="232"/>
        <v/>
      </c>
      <c r="AH783" t="str">
        <f t="shared" si="233"/>
        <v/>
      </c>
      <c r="AI783" t="str">
        <f t="shared" si="234"/>
        <v/>
      </c>
      <c r="AJ783" t="str">
        <f t="shared" si="235"/>
        <v/>
      </c>
      <c r="AK783" t="str">
        <f t="shared" si="236"/>
        <v/>
      </c>
      <c r="AL783" t="str">
        <f>IFERROR(ROUND(L783*(G783/$AU783)/VLOOKUP(F783,商品!$A$4:$B$60,2,FALSE),0),"")</f>
        <v/>
      </c>
      <c r="AM783" t="str">
        <f>IFERROR(ROUND(L783*(I783/$AU783)/VLOOKUP(H783,商品!$A$4:$B$60,2,FALSE),0),"")</f>
        <v/>
      </c>
      <c r="AN783">
        <f>IFERROR(ROUND(L783*(J783/$AU783)/VLOOKUP("运力",商品!$A$4:$B$60,2,FALSE),0),0)</f>
        <v>0</v>
      </c>
      <c r="AO783">
        <f>IFERROR(ROUND(L783*(K783/$AU783)/VLOOKUP("交易",商品!$A$4:$B$60,2,FALSE),0),0)</f>
        <v>0</v>
      </c>
      <c r="AP783" t="str">
        <f>IFERROR(ROUND(S783*(N783/$AV783)/VLOOKUP(M783,职业!$A$4:$G$16,4,FALSE),0),"")</f>
        <v/>
      </c>
      <c r="AQ783" t="str">
        <f>IFERROR(ROUND(S783*(P783/$AV783)/VLOOKUP(O783,职业!$A$4:$G$16,4,FALSE),0),"")</f>
        <v/>
      </c>
      <c r="AR783" t="str">
        <f>IFERROR(ROUND(S783*(R783/$AV783)/VLOOKUP(Q783,职业!$A$4:$G$16,4,FALSE),0),"")</f>
        <v/>
      </c>
      <c r="AS783" t="str">
        <f>IFERROR(ROUND(X783*(U783/$AW783)/VLOOKUP(T783,商品!$A$4:$B$60,2,FALSE),0),"")</f>
        <v/>
      </c>
      <c r="AT783" t="str">
        <f>IFERROR(ROUND(X783*(W783/$AW783)/VLOOKUP(V783,商品!$A$4:$B$60,2,FALSE),0),"")</f>
        <v/>
      </c>
      <c r="AU783">
        <f t="shared" si="237"/>
        <v>0</v>
      </c>
      <c r="AV783">
        <f t="shared" si="238"/>
        <v>0</v>
      </c>
      <c r="AW783">
        <f t="shared" si="239"/>
        <v>0</v>
      </c>
    </row>
    <row r="784" spans="1:49" ht="19.95" customHeight="1" x14ac:dyDescent="0.25">
      <c r="A784" s="15" t="s">
        <v>346</v>
      </c>
      <c r="C784" s="15">
        <v>4</v>
      </c>
      <c r="D784" s="23" t="s">
        <v>174</v>
      </c>
      <c r="E784" s="23" t="s">
        <v>179</v>
      </c>
      <c r="L784" s="16">
        <f>IFERROR(VLOOKUP($D784&amp;$C784,生产方式定位!$A$2:$E$38,2,FALSE)+VLOOKUP($E784&amp;$C784,生产方式定位!$F$3:$J$38,2,FALSE),0)</f>
        <v>0</v>
      </c>
      <c r="S784" s="16">
        <f>IFERROR(VLOOKUP($D784&amp;$C784,生产方式定位!$A$2:$E$38,3,FALSE)+VLOOKUP($E784&amp;$C784,生产方式定位!$F$3:$J$38,3,FALSE),0)</f>
        <v>100</v>
      </c>
      <c r="X784" s="16">
        <f>IFERROR(VLOOKUP($D784&amp;$C784,生产方式定位!$A$2:$E$38,5,FALSE)+VLOOKUP($E784&amp;$C784,生产方式定位!$F$3:$J$38,5,FALSE),"错误")</f>
        <v>100</v>
      </c>
      <c r="Y784" s="26" t="str">
        <f t="shared" si="224"/>
        <v/>
      </c>
      <c r="Z784" s="36" t="str">
        <f t="shared" si="225"/>
        <v/>
      </c>
      <c r="AA784" s="36" t="str">
        <f t="shared" si="226"/>
        <v/>
      </c>
      <c r="AB784" s="27" t="str">
        <f t="shared" si="227"/>
        <v/>
      </c>
      <c r="AC784" s="2" t="str">
        <f t="shared" si="228"/>
        <v/>
      </c>
      <c r="AD784" s="38">
        <f t="shared" si="229"/>
        <v>4</v>
      </c>
      <c r="AE784" t="str">
        <f t="shared" si="230"/>
        <v/>
      </c>
      <c r="AF784" t="str">
        <f t="shared" si="231"/>
        <v/>
      </c>
      <c r="AG784" t="str">
        <f t="shared" si="232"/>
        <v/>
      </c>
      <c r="AH784" t="str">
        <f t="shared" si="233"/>
        <v/>
      </c>
      <c r="AI784" t="str">
        <f t="shared" si="234"/>
        <v/>
      </c>
      <c r="AJ784" t="str">
        <f t="shared" si="235"/>
        <v/>
      </c>
      <c r="AK784" t="str">
        <f t="shared" si="236"/>
        <v/>
      </c>
      <c r="AL784" t="str">
        <f>IFERROR(ROUND(L784*(G784/$AU784)/VLOOKUP(F784,商品!$A$4:$B$60,2,FALSE),0),"")</f>
        <v/>
      </c>
      <c r="AM784" t="str">
        <f>IFERROR(ROUND(L784*(I784/$AU784)/VLOOKUP(H784,商品!$A$4:$B$60,2,FALSE),0),"")</f>
        <v/>
      </c>
      <c r="AN784">
        <f>IFERROR(ROUND(L784*(J784/$AU784)/VLOOKUP("运力",商品!$A$4:$B$60,2,FALSE),0),0)</f>
        <v>0</v>
      </c>
      <c r="AO784">
        <f>IFERROR(ROUND(L784*(K784/$AU784)/VLOOKUP("交易",商品!$A$4:$B$60,2,FALSE),0),0)</f>
        <v>0</v>
      </c>
      <c r="AP784" t="str">
        <f>IFERROR(ROUND(S784*(N784/$AV784)/VLOOKUP(M784,职业!$A$4:$G$16,4,FALSE),0),"")</f>
        <v/>
      </c>
      <c r="AQ784" t="str">
        <f>IFERROR(ROUND(S784*(P784/$AV784)/VLOOKUP(O784,职业!$A$4:$G$16,4,FALSE),0),"")</f>
        <v/>
      </c>
      <c r="AR784" t="str">
        <f>IFERROR(ROUND(S784*(R784/$AV784)/VLOOKUP(Q784,职业!$A$4:$G$16,4,FALSE),0),"")</f>
        <v/>
      </c>
      <c r="AS784" t="str">
        <f>IFERROR(ROUND(X784*(U784/$AW784)/VLOOKUP(T784,商品!$A$4:$B$60,2,FALSE),0),"")</f>
        <v/>
      </c>
      <c r="AT784" t="str">
        <f>IFERROR(ROUND(X784*(W784/$AW784)/VLOOKUP(V784,商品!$A$4:$B$60,2,FALSE),0),"")</f>
        <v/>
      </c>
      <c r="AU784">
        <f t="shared" si="237"/>
        <v>0</v>
      </c>
      <c r="AV784">
        <f t="shared" si="238"/>
        <v>0</v>
      </c>
      <c r="AW784">
        <f t="shared" si="239"/>
        <v>0</v>
      </c>
    </row>
    <row r="785" spans="1:49" ht="19.95" customHeight="1" x14ac:dyDescent="0.25">
      <c r="A785" s="15" t="s">
        <v>346</v>
      </c>
      <c r="C785" s="15">
        <v>5</v>
      </c>
      <c r="D785" s="23" t="s">
        <v>174</v>
      </c>
      <c r="E785" s="23" t="s">
        <v>179</v>
      </c>
      <c r="L785" s="16">
        <f>IFERROR(VLOOKUP($D785&amp;$C785,生产方式定位!$A$2:$E$38,2,FALSE)+VLOOKUP($E785&amp;$C785,生产方式定位!$F$3:$J$38,2,FALSE),0)</f>
        <v>0</v>
      </c>
      <c r="S785" s="16">
        <f>IFERROR(VLOOKUP($D785&amp;$C785,生产方式定位!$A$2:$E$38,3,FALSE)+VLOOKUP($E785&amp;$C785,生产方式定位!$F$3:$J$38,3,FALSE),0)</f>
        <v>100</v>
      </c>
      <c r="X785" s="16">
        <f>IFERROR(VLOOKUP($D785&amp;$C785,生产方式定位!$A$2:$E$38,5,FALSE)+VLOOKUP($E785&amp;$C785,生产方式定位!$F$3:$J$38,5,FALSE),"错误")</f>
        <v>100</v>
      </c>
      <c r="Y785" s="26" t="str">
        <f t="shared" si="224"/>
        <v/>
      </c>
      <c r="Z785" s="36" t="str">
        <f t="shared" si="225"/>
        <v/>
      </c>
      <c r="AA785" s="36" t="str">
        <f t="shared" si="226"/>
        <v/>
      </c>
      <c r="AB785" s="27" t="str">
        <f t="shared" si="227"/>
        <v/>
      </c>
      <c r="AC785" s="2" t="str">
        <f t="shared" si="228"/>
        <v/>
      </c>
      <c r="AD785" s="38">
        <f t="shared" si="229"/>
        <v>5</v>
      </c>
      <c r="AE785" t="str">
        <f t="shared" si="230"/>
        <v/>
      </c>
      <c r="AF785" t="str">
        <f t="shared" si="231"/>
        <v/>
      </c>
      <c r="AG785" t="str">
        <f t="shared" si="232"/>
        <v/>
      </c>
      <c r="AH785" t="str">
        <f t="shared" si="233"/>
        <v/>
      </c>
      <c r="AI785" t="str">
        <f t="shared" si="234"/>
        <v/>
      </c>
      <c r="AJ785" t="str">
        <f t="shared" si="235"/>
        <v/>
      </c>
      <c r="AK785" t="str">
        <f t="shared" si="236"/>
        <v/>
      </c>
      <c r="AL785" t="str">
        <f>IFERROR(ROUND(L785*(G785/$AU785)/VLOOKUP(F785,商品!$A$4:$B$60,2,FALSE),0),"")</f>
        <v/>
      </c>
      <c r="AM785" t="str">
        <f>IFERROR(ROUND(L785*(I785/$AU785)/VLOOKUP(H785,商品!$A$4:$B$60,2,FALSE),0),"")</f>
        <v/>
      </c>
      <c r="AN785">
        <f>IFERROR(ROUND(L785*(J785/$AU785)/VLOOKUP("运力",商品!$A$4:$B$60,2,FALSE),0),0)</f>
        <v>0</v>
      </c>
      <c r="AO785">
        <f>IFERROR(ROUND(L785*(K785/$AU785)/VLOOKUP("交易",商品!$A$4:$B$60,2,FALSE),0),0)</f>
        <v>0</v>
      </c>
      <c r="AP785" t="str">
        <f>IFERROR(ROUND(S785*(N785/$AV785)/VLOOKUP(M785,职业!$A$4:$G$16,4,FALSE),0),"")</f>
        <v/>
      </c>
      <c r="AQ785" t="str">
        <f>IFERROR(ROUND(S785*(P785/$AV785)/VLOOKUP(O785,职业!$A$4:$G$16,4,FALSE),0),"")</f>
        <v/>
      </c>
      <c r="AR785" t="str">
        <f>IFERROR(ROUND(S785*(R785/$AV785)/VLOOKUP(Q785,职业!$A$4:$G$16,4,FALSE),0),"")</f>
        <v/>
      </c>
      <c r="AS785" t="str">
        <f>IFERROR(ROUND(X785*(U785/$AW785)/VLOOKUP(T785,商品!$A$4:$B$60,2,FALSE),0),"")</f>
        <v/>
      </c>
      <c r="AT785" t="str">
        <f>IFERROR(ROUND(X785*(W785/$AW785)/VLOOKUP(V785,商品!$A$4:$B$60,2,FALSE),0),"")</f>
        <v/>
      </c>
      <c r="AU785">
        <f t="shared" si="237"/>
        <v>0</v>
      </c>
      <c r="AV785">
        <f t="shared" si="238"/>
        <v>0</v>
      </c>
      <c r="AW785">
        <f t="shared" si="239"/>
        <v>0</v>
      </c>
    </row>
    <row r="786" spans="1:49" ht="19.95" customHeight="1" x14ac:dyDescent="0.25">
      <c r="A786" s="15" t="s">
        <v>346</v>
      </c>
      <c r="C786" s="15">
        <v>6</v>
      </c>
      <c r="D786" s="23" t="s">
        <v>174</v>
      </c>
      <c r="E786" s="23" t="s">
        <v>179</v>
      </c>
      <c r="L786" s="16">
        <f>IFERROR(VLOOKUP($D786&amp;$C786,生产方式定位!$A$2:$E$38,2,FALSE)+VLOOKUP($E786&amp;$C786,生产方式定位!$F$3:$J$38,2,FALSE),0)</f>
        <v>0</v>
      </c>
      <c r="S786" s="16">
        <f>IFERROR(VLOOKUP($D786&amp;$C786,生产方式定位!$A$2:$E$38,3,FALSE)+VLOOKUP($E786&amp;$C786,生产方式定位!$F$3:$J$38,3,FALSE),0)</f>
        <v>100</v>
      </c>
      <c r="X786" s="16">
        <f>IFERROR(VLOOKUP($D786&amp;$C786,生产方式定位!$A$2:$E$38,5,FALSE)+VLOOKUP($E786&amp;$C786,生产方式定位!$F$3:$J$38,5,FALSE),"错误")</f>
        <v>100</v>
      </c>
      <c r="Y786" s="26" t="str">
        <f t="shared" si="224"/>
        <v/>
      </c>
      <c r="Z786" s="36" t="str">
        <f t="shared" si="225"/>
        <v/>
      </c>
      <c r="AA786" s="36" t="str">
        <f t="shared" si="226"/>
        <v/>
      </c>
      <c r="AB786" s="27" t="str">
        <f t="shared" si="227"/>
        <v/>
      </c>
      <c r="AC786" s="2" t="str">
        <f t="shared" si="228"/>
        <v/>
      </c>
      <c r="AD786" s="37">
        <f t="shared" si="229"/>
        <v>6</v>
      </c>
      <c r="AE786" t="str">
        <f t="shared" si="230"/>
        <v/>
      </c>
      <c r="AF786" t="str">
        <f t="shared" si="231"/>
        <v/>
      </c>
      <c r="AG786" t="str">
        <f t="shared" si="232"/>
        <v/>
      </c>
      <c r="AH786" t="str">
        <f t="shared" si="233"/>
        <v/>
      </c>
      <c r="AI786" t="str">
        <f t="shared" si="234"/>
        <v/>
      </c>
      <c r="AJ786" t="str">
        <f t="shared" si="235"/>
        <v/>
      </c>
      <c r="AK786" t="str">
        <f t="shared" si="236"/>
        <v/>
      </c>
      <c r="AL786" t="str">
        <f>IFERROR(ROUND(L786*(G786/$AU786)/VLOOKUP(F786,商品!$A$4:$B$60,2,FALSE),0),"")</f>
        <v/>
      </c>
      <c r="AM786" t="str">
        <f>IFERROR(ROUND(L786*(I786/$AU786)/VLOOKUP(H786,商品!$A$4:$B$60,2,FALSE),0),"")</f>
        <v/>
      </c>
      <c r="AN786">
        <f>IFERROR(ROUND(L786*(J786/$AU786)/VLOOKUP("运力",商品!$A$4:$B$60,2,FALSE),0),0)</f>
        <v>0</v>
      </c>
      <c r="AO786">
        <f>IFERROR(ROUND(L786*(K786/$AU786)/VLOOKUP("交易",商品!$A$4:$B$60,2,FALSE),0),0)</f>
        <v>0</v>
      </c>
      <c r="AP786" t="str">
        <f>IFERROR(ROUND(S786*(N786/$AV786)/VLOOKUP(M786,职业!$A$4:$G$16,4,FALSE),0),"")</f>
        <v/>
      </c>
      <c r="AQ786" t="str">
        <f>IFERROR(ROUND(S786*(P786/$AV786)/VLOOKUP(O786,职业!$A$4:$G$16,4,FALSE),0),"")</f>
        <v/>
      </c>
      <c r="AR786" t="str">
        <f>IFERROR(ROUND(S786*(R786/$AV786)/VLOOKUP(Q786,职业!$A$4:$G$16,4,FALSE),0),"")</f>
        <v/>
      </c>
      <c r="AS786" t="str">
        <f>IFERROR(ROUND(X786*(U786/$AW786)/VLOOKUP(T786,商品!$A$4:$B$60,2,FALSE),0),"")</f>
        <v/>
      </c>
      <c r="AT786" t="str">
        <f>IFERROR(ROUND(X786*(W786/$AW786)/VLOOKUP(V786,商品!$A$4:$B$60,2,FALSE),0),"")</f>
        <v/>
      </c>
      <c r="AU786">
        <f t="shared" si="237"/>
        <v>0</v>
      </c>
      <c r="AV786">
        <f t="shared" si="238"/>
        <v>0</v>
      </c>
      <c r="AW786">
        <f t="shared" si="239"/>
        <v>0</v>
      </c>
    </row>
    <row r="787" spans="1:49" ht="19.95" customHeight="1" x14ac:dyDescent="0.25">
      <c r="A787" s="15" t="s">
        <v>346</v>
      </c>
      <c r="C787" s="15">
        <v>7</v>
      </c>
      <c r="D787" s="23" t="s">
        <v>174</v>
      </c>
      <c r="E787" s="23" t="s">
        <v>179</v>
      </c>
      <c r="L787" s="16">
        <f>IFERROR(VLOOKUP($D787&amp;$C787,生产方式定位!$A$2:$E$38,2,FALSE)+VLOOKUP($E787&amp;$C787,生产方式定位!$F$3:$J$38,2,FALSE),0)</f>
        <v>0</v>
      </c>
      <c r="S787" s="16">
        <f>IFERROR(VLOOKUP($D787&amp;$C787,生产方式定位!$A$2:$E$38,3,FALSE)+VLOOKUP($E787&amp;$C787,生产方式定位!$F$3:$J$38,3,FALSE),0)</f>
        <v>100</v>
      </c>
      <c r="X787" s="16">
        <f>IFERROR(VLOOKUP($D787&amp;$C787,生产方式定位!$A$2:$E$38,5,FALSE)+VLOOKUP($E787&amp;$C787,生产方式定位!$F$3:$J$38,5,FALSE),"错误")</f>
        <v>100</v>
      </c>
      <c r="Y787" s="26" t="str">
        <f t="shared" si="224"/>
        <v/>
      </c>
      <c r="Z787" s="36" t="str">
        <f t="shared" si="225"/>
        <v/>
      </c>
      <c r="AA787" s="36" t="str">
        <f t="shared" si="226"/>
        <v/>
      </c>
      <c r="AB787" s="27" t="str">
        <f t="shared" si="227"/>
        <v/>
      </c>
      <c r="AC787" s="2" t="str">
        <f t="shared" si="228"/>
        <v/>
      </c>
      <c r="AD787" s="37">
        <f t="shared" si="229"/>
        <v>7</v>
      </c>
      <c r="AE787" t="str">
        <f t="shared" si="230"/>
        <v/>
      </c>
      <c r="AF787" t="str">
        <f t="shared" si="231"/>
        <v/>
      </c>
      <c r="AG787" t="str">
        <f t="shared" si="232"/>
        <v/>
      </c>
      <c r="AH787" t="str">
        <f t="shared" si="233"/>
        <v/>
      </c>
      <c r="AI787" t="str">
        <f t="shared" si="234"/>
        <v/>
      </c>
      <c r="AJ787" t="str">
        <f t="shared" si="235"/>
        <v/>
      </c>
      <c r="AK787" t="str">
        <f t="shared" si="236"/>
        <v/>
      </c>
      <c r="AL787" t="str">
        <f>IFERROR(ROUND(L787*(G787/$AU787)/VLOOKUP(F787,商品!$A$4:$B$60,2,FALSE),0),"")</f>
        <v/>
      </c>
      <c r="AM787" t="str">
        <f>IFERROR(ROUND(L787*(I787/$AU787)/VLOOKUP(H787,商品!$A$4:$B$60,2,FALSE),0),"")</f>
        <v/>
      </c>
      <c r="AN787">
        <f>IFERROR(ROUND(L787*(J787/$AU787)/VLOOKUP("运力",商品!$A$4:$B$60,2,FALSE),0),0)</f>
        <v>0</v>
      </c>
      <c r="AO787">
        <f>IFERROR(ROUND(L787*(K787/$AU787)/VLOOKUP("交易",商品!$A$4:$B$60,2,FALSE),0),0)</f>
        <v>0</v>
      </c>
      <c r="AP787" t="str">
        <f>IFERROR(ROUND(S787*(N787/$AV787)/VLOOKUP(M787,职业!$A$4:$G$16,4,FALSE),0),"")</f>
        <v/>
      </c>
      <c r="AQ787" t="str">
        <f>IFERROR(ROUND(S787*(P787/$AV787)/VLOOKUP(O787,职业!$A$4:$G$16,4,FALSE),0),"")</f>
        <v/>
      </c>
      <c r="AR787" t="str">
        <f>IFERROR(ROUND(S787*(R787/$AV787)/VLOOKUP(Q787,职业!$A$4:$G$16,4,FALSE),0),"")</f>
        <v/>
      </c>
      <c r="AS787" t="str">
        <f>IFERROR(ROUND(X787*(U787/$AW787)/VLOOKUP(T787,商品!$A$4:$B$60,2,FALSE),0),"")</f>
        <v/>
      </c>
      <c r="AT787" t="str">
        <f>IFERROR(ROUND(X787*(W787/$AW787)/VLOOKUP(V787,商品!$A$4:$B$60,2,FALSE),0),"")</f>
        <v/>
      </c>
      <c r="AU787">
        <f t="shared" si="237"/>
        <v>0</v>
      </c>
      <c r="AV787">
        <f t="shared" si="238"/>
        <v>0</v>
      </c>
      <c r="AW787">
        <f t="shared" si="239"/>
        <v>0</v>
      </c>
    </row>
    <row r="788" spans="1:49" ht="19.95" customHeight="1" x14ac:dyDescent="0.25">
      <c r="A788" s="15" t="s">
        <v>346</v>
      </c>
      <c r="C788" s="15">
        <v>8</v>
      </c>
      <c r="D788" s="23" t="s">
        <v>174</v>
      </c>
      <c r="E788" s="23" t="s">
        <v>179</v>
      </c>
      <c r="L788" s="16">
        <f>IFERROR(VLOOKUP($D788&amp;$C788,生产方式定位!$A$2:$E$38,2,FALSE)+VLOOKUP($E788&amp;$C788,生产方式定位!$F$3:$J$38,2,FALSE),0)</f>
        <v>0</v>
      </c>
      <c r="S788" s="16">
        <f>IFERROR(VLOOKUP($D788&amp;$C788,生产方式定位!$A$2:$E$38,3,FALSE)+VLOOKUP($E788&amp;$C788,生产方式定位!$F$3:$J$38,3,FALSE),0)</f>
        <v>100</v>
      </c>
      <c r="X788" s="16">
        <f>IFERROR(VLOOKUP($D788&amp;$C788,生产方式定位!$A$2:$E$38,5,FALSE)+VLOOKUP($E788&amp;$C788,生产方式定位!$F$3:$J$38,5,FALSE),"错误")</f>
        <v>100</v>
      </c>
      <c r="Y788" s="26" t="str">
        <f t="shared" si="224"/>
        <v/>
      </c>
      <c r="Z788" s="36" t="str">
        <f t="shared" si="225"/>
        <v/>
      </c>
      <c r="AA788" s="36" t="str">
        <f t="shared" si="226"/>
        <v/>
      </c>
      <c r="AB788" s="27" t="str">
        <f t="shared" si="227"/>
        <v/>
      </c>
      <c r="AC788" s="2" t="str">
        <f t="shared" si="228"/>
        <v/>
      </c>
      <c r="AD788" s="37">
        <f t="shared" si="229"/>
        <v>8</v>
      </c>
      <c r="AE788" t="str">
        <f t="shared" si="230"/>
        <v/>
      </c>
      <c r="AF788" t="str">
        <f t="shared" si="231"/>
        <v/>
      </c>
      <c r="AG788" t="str">
        <f t="shared" si="232"/>
        <v/>
      </c>
      <c r="AH788" t="str">
        <f t="shared" si="233"/>
        <v/>
      </c>
      <c r="AI788" t="str">
        <f t="shared" si="234"/>
        <v/>
      </c>
      <c r="AJ788" t="str">
        <f t="shared" si="235"/>
        <v/>
      </c>
      <c r="AK788" t="str">
        <f t="shared" si="236"/>
        <v/>
      </c>
      <c r="AL788" t="str">
        <f>IFERROR(ROUND(L788*(G788/$AU788)/VLOOKUP(F788,商品!$A$4:$B$60,2,FALSE),0),"")</f>
        <v/>
      </c>
      <c r="AM788" t="str">
        <f>IFERROR(ROUND(L788*(I788/$AU788)/VLOOKUP(H788,商品!$A$4:$B$60,2,FALSE),0),"")</f>
        <v/>
      </c>
      <c r="AN788">
        <f>IFERROR(ROUND(L788*(J788/$AU788)/VLOOKUP("运力",商品!$A$4:$B$60,2,FALSE),0),0)</f>
        <v>0</v>
      </c>
      <c r="AO788">
        <f>IFERROR(ROUND(L788*(K788/$AU788)/VLOOKUP("交易",商品!$A$4:$B$60,2,FALSE),0),0)</f>
        <v>0</v>
      </c>
      <c r="AP788" t="str">
        <f>IFERROR(ROUND(S788*(N788/$AV788)/VLOOKUP(M788,职业!$A$4:$G$16,4,FALSE),0),"")</f>
        <v/>
      </c>
      <c r="AQ788" t="str">
        <f>IFERROR(ROUND(S788*(P788/$AV788)/VLOOKUP(O788,职业!$A$4:$G$16,4,FALSE),0),"")</f>
        <v/>
      </c>
      <c r="AR788" t="str">
        <f>IFERROR(ROUND(S788*(R788/$AV788)/VLOOKUP(Q788,职业!$A$4:$G$16,4,FALSE),0),"")</f>
        <v/>
      </c>
      <c r="AS788" t="str">
        <f>IFERROR(ROUND(X788*(U788/$AW788)/VLOOKUP(T788,商品!$A$4:$B$60,2,FALSE),0),"")</f>
        <v/>
      </c>
      <c r="AT788" t="str">
        <f>IFERROR(ROUND(X788*(W788/$AW788)/VLOOKUP(V788,商品!$A$4:$B$60,2,FALSE),0),"")</f>
        <v/>
      </c>
      <c r="AU788">
        <f t="shared" si="237"/>
        <v>0</v>
      </c>
      <c r="AV788">
        <f t="shared" si="238"/>
        <v>0</v>
      </c>
      <c r="AW788">
        <f t="shared" si="239"/>
        <v>0</v>
      </c>
    </row>
    <row r="789" spans="1:49" ht="19.95" customHeight="1" x14ac:dyDescent="0.25">
      <c r="A789" s="16" t="s">
        <v>348</v>
      </c>
      <c r="C789" s="16">
        <v>1</v>
      </c>
      <c r="D789" s="23" t="s">
        <v>171</v>
      </c>
      <c r="E789" s="23" t="s">
        <v>172</v>
      </c>
      <c r="L789" s="15">
        <f>IFERROR(VLOOKUP($D789&amp;$C789,生产方式定位!$A$2:$E$38,2,FALSE)+VLOOKUP($E789&amp;$C789,生产方式定位!$F$3:$J$38,2,FALSE),0)</f>
        <v>300</v>
      </c>
      <c r="S789" s="15">
        <f>IFERROR(VLOOKUP($D789&amp;$C789,生产方式定位!$A$2:$E$38,3,FALSE)+VLOOKUP($E789&amp;$C789,生产方式定位!$F$3:$J$38,3,FALSE),0)</f>
        <v>100</v>
      </c>
      <c r="X789" s="15">
        <f>IFERROR(VLOOKUP($D789&amp;$C789,生产方式定位!$A$2:$E$38,5,FALSE)+VLOOKUP($E789&amp;$C789,生产方式定位!$F$3:$J$38,5,FALSE),"错误")</f>
        <v>520</v>
      </c>
      <c r="Y789" s="26" t="str">
        <f t="shared" si="224"/>
        <v/>
      </c>
      <c r="Z789" s="36" t="str">
        <f t="shared" si="225"/>
        <v/>
      </c>
      <c r="AA789" s="36" t="str">
        <f t="shared" si="226"/>
        <v/>
      </c>
      <c r="AB789" s="27" t="str">
        <f t="shared" si="227"/>
        <v>73%</v>
      </c>
      <c r="AC789" s="2">
        <f t="shared" si="228"/>
        <v>120</v>
      </c>
      <c r="AD789" s="37">
        <f t="shared" si="229"/>
        <v>1</v>
      </c>
      <c r="AE789" t="str">
        <f t="shared" si="230"/>
        <v/>
      </c>
      <c r="AF789" t="str">
        <f t="shared" si="231"/>
        <v/>
      </c>
      <c r="AG789" t="str">
        <f t="shared" si="232"/>
        <v/>
      </c>
      <c r="AH789" t="str">
        <f t="shared" si="233"/>
        <v/>
      </c>
      <c r="AI789" t="str">
        <f t="shared" si="234"/>
        <v/>
      </c>
      <c r="AJ789" t="str">
        <f t="shared" si="235"/>
        <v/>
      </c>
      <c r="AK789" t="str">
        <f t="shared" si="236"/>
        <v/>
      </c>
      <c r="AL789" t="str">
        <f>IFERROR(ROUND(L789*(G789/$AU789)/VLOOKUP(F789,商品!$A$4:$B$60,2,FALSE),0),"")</f>
        <v/>
      </c>
      <c r="AM789" t="str">
        <f>IFERROR(ROUND(L789*(I789/$AU789)/VLOOKUP(H789,商品!$A$4:$B$60,2,FALSE),0),"")</f>
        <v/>
      </c>
      <c r="AN789">
        <f>IFERROR(ROUND(L789*(J789/$AU789)/VLOOKUP("运力",商品!$A$4:$B$60,2,FALSE),0),0)</f>
        <v>0</v>
      </c>
      <c r="AO789">
        <f>IFERROR(ROUND(L789*(K789/$AU789)/VLOOKUP("交易",商品!$A$4:$B$60,2,FALSE),0),0)</f>
        <v>0</v>
      </c>
      <c r="AP789" t="str">
        <f>IFERROR(ROUND(S789*(N789/$AV789)/VLOOKUP(M789,职业!$A$4:$G$16,4,FALSE),0),"")</f>
        <v/>
      </c>
      <c r="AQ789" t="str">
        <f>IFERROR(ROUND(S789*(P789/$AV789)/VLOOKUP(O789,职业!$A$4:$G$16,4,FALSE),0),"")</f>
        <v/>
      </c>
      <c r="AR789" t="str">
        <f>IFERROR(ROUND(S789*(R789/$AV789)/VLOOKUP(Q789,职业!$A$4:$G$16,4,FALSE),0),"")</f>
        <v/>
      </c>
      <c r="AS789" t="str">
        <f>IFERROR(ROUND(X789*(U789/$AW789)/VLOOKUP(T789,商品!$A$4:$B$60,2,FALSE),0),"")</f>
        <v/>
      </c>
      <c r="AT789" t="str">
        <f>IFERROR(ROUND(X789*(W789/$AW789)/VLOOKUP(V789,商品!$A$4:$B$60,2,FALSE),0),"")</f>
        <v/>
      </c>
      <c r="AU789">
        <f t="shared" si="237"/>
        <v>0</v>
      </c>
      <c r="AV789">
        <f t="shared" si="238"/>
        <v>0</v>
      </c>
      <c r="AW789">
        <f t="shared" si="239"/>
        <v>0</v>
      </c>
    </row>
    <row r="790" spans="1:49" ht="19.95" customHeight="1" x14ac:dyDescent="0.25">
      <c r="A790" s="16" t="s">
        <v>348</v>
      </c>
      <c r="C790" s="16">
        <v>2</v>
      </c>
      <c r="D790" s="23" t="s">
        <v>171</v>
      </c>
      <c r="E790" s="23" t="s">
        <v>172</v>
      </c>
      <c r="L790" s="15">
        <f>IFERROR(VLOOKUP($D790&amp;$C790,生产方式定位!$A$2:$E$38,2,FALSE)+VLOOKUP($E790&amp;$C790,生产方式定位!$F$3:$J$38,2,FALSE),0)</f>
        <v>1100</v>
      </c>
      <c r="S790" s="15">
        <f>IFERROR(VLOOKUP($D790&amp;$C790,生产方式定位!$A$2:$E$38,3,FALSE)+VLOOKUP($E790&amp;$C790,生产方式定位!$F$3:$J$38,3,FALSE),0)</f>
        <v>100</v>
      </c>
      <c r="X790" s="15">
        <f>IFERROR(VLOOKUP($D790&amp;$C790,生产方式定位!$A$2:$E$38,5,FALSE)+VLOOKUP($E790&amp;$C790,生产方式定位!$F$3:$J$38,5,FALSE),"错误")</f>
        <v>1510</v>
      </c>
      <c r="Y790" s="26" t="str">
        <f t="shared" si="224"/>
        <v/>
      </c>
      <c r="Z790" s="36" t="str">
        <f t="shared" si="225"/>
        <v/>
      </c>
      <c r="AA790" s="36" t="str">
        <f t="shared" si="226"/>
        <v/>
      </c>
      <c r="AB790" s="27" t="str">
        <f t="shared" si="227"/>
        <v>37%</v>
      </c>
      <c r="AC790" s="2">
        <f t="shared" si="228"/>
        <v>310</v>
      </c>
      <c r="AD790" s="37">
        <f t="shared" si="229"/>
        <v>2</v>
      </c>
      <c r="AE790" t="str">
        <f t="shared" si="230"/>
        <v/>
      </c>
      <c r="AF790" t="str">
        <f t="shared" si="231"/>
        <v/>
      </c>
      <c r="AG790" t="str">
        <f t="shared" si="232"/>
        <v/>
      </c>
      <c r="AH790" t="str">
        <f t="shared" si="233"/>
        <v/>
      </c>
      <c r="AI790" t="str">
        <f t="shared" si="234"/>
        <v/>
      </c>
      <c r="AJ790" t="str">
        <f t="shared" si="235"/>
        <v/>
      </c>
      <c r="AK790" t="str">
        <f t="shared" si="236"/>
        <v/>
      </c>
      <c r="AL790" t="str">
        <f>IFERROR(ROUND(L790*(G790/$AU790)/VLOOKUP(F790,商品!$A$4:$B$60,2,FALSE),0),"")</f>
        <v/>
      </c>
      <c r="AM790" t="str">
        <f>IFERROR(ROUND(L790*(I790/$AU790)/VLOOKUP(H790,商品!$A$4:$B$60,2,FALSE),0),"")</f>
        <v/>
      </c>
      <c r="AN790">
        <f>IFERROR(ROUND(L790*(J790/$AU790)/VLOOKUP("运力",商品!$A$4:$B$60,2,FALSE),0),0)</f>
        <v>0</v>
      </c>
      <c r="AO790">
        <f>IFERROR(ROUND(L790*(K790/$AU790)/VLOOKUP("交易",商品!$A$4:$B$60,2,FALSE),0),0)</f>
        <v>0</v>
      </c>
      <c r="AP790" t="str">
        <f>IFERROR(ROUND(S790*(N790/$AV790)/VLOOKUP(M790,职业!$A$4:$G$16,4,FALSE),0),"")</f>
        <v/>
      </c>
      <c r="AQ790" t="str">
        <f>IFERROR(ROUND(S790*(P790/$AV790)/VLOOKUP(O790,职业!$A$4:$G$16,4,FALSE),0),"")</f>
        <v/>
      </c>
      <c r="AR790" t="str">
        <f>IFERROR(ROUND(S790*(R790/$AV790)/VLOOKUP(Q790,职业!$A$4:$G$16,4,FALSE),0),"")</f>
        <v/>
      </c>
      <c r="AS790" t="str">
        <f>IFERROR(ROUND(X790*(U790/$AW790)/VLOOKUP(T790,商品!$A$4:$B$60,2,FALSE),0),"")</f>
        <v/>
      </c>
      <c r="AT790" t="str">
        <f>IFERROR(ROUND(X790*(W790/$AW790)/VLOOKUP(V790,商品!$A$4:$B$60,2,FALSE),0),"")</f>
        <v/>
      </c>
      <c r="AU790">
        <f t="shared" si="237"/>
        <v>0</v>
      </c>
      <c r="AV790">
        <f t="shared" si="238"/>
        <v>0</v>
      </c>
      <c r="AW790">
        <f t="shared" si="239"/>
        <v>0</v>
      </c>
    </row>
    <row r="791" spans="1:49" ht="19.95" customHeight="1" x14ac:dyDescent="0.25">
      <c r="A791" s="16" t="s">
        <v>348</v>
      </c>
      <c r="C791" s="16">
        <v>3</v>
      </c>
      <c r="D791" s="23" t="s">
        <v>171</v>
      </c>
      <c r="E791" s="23" t="s">
        <v>172</v>
      </c>
      <c r="L791" s="15">
        <f>IFERROR(VLOOKUP($D791&amp;$C791,生产方式定位!$A$2:$E$38,2,FALSE)+VLOOKUP($E791&amp;$C791,生产方式定位!$F$3:$J$38,2,FALSE),0)</f>
        <v>1525</v>
      </c>
      <c r="S791" s="15">
        <f>IFERROR(VLOOKUP($D791&amp;$C791,生产方式定位!$A$2:$E$38,3,FALSE)+VLOOKUP($E791&amp;$C791,生产方式定位!$F$3:$J$38,3,FALSE),0)</f>
        <v>100</v>
      </c>
      <c r="X791" s="15">
        <f>IFERROR(VLOOKUP($D791&amp;$C791,生产方式定位!$A$2:$E$38,5,FALSE)+VLOOKUP($E791&amp;$C791,生产方式定位!$F$3:$J$38,5,FALSE),"错误")</f>
        <v>2050</v>
      </c>
      <c r="Y791" s="26" t="str">
        <f t="shared" si="224"/>
        <v/>
      </c>
      <c r="Z791" s="36" t="str">
        <f t="shared" si="225"/>
        <v/>
      </c>
      <c r="AA791" s="36" t="str">
        <f t="shared" si="226"/>
        <v/>
      </c>
      <c r="AB791" s="27" t="str">
        <f t="shared" si="227"/>
        <v>34%</v>
      </c>
      <c r="AC791" s="2">
        <f t="shared" si="228"/>
        <v>425</v>
      </c>
      <c r="AD791" s="38">
        <f t="shared" si="229"/>
        <v>3</v>
      </c>
      <c r="AE791" t="str">
        <f t="shared" si="230"/>
        <v/>
      </c>
      <c r="AF791" t="str">
        <f t="shared" si="231"/>
        <v/>
      </c>
      <c r="AG791" t="str">
        <f t="shared" si="232"/>
        <v/>
      </c>
      <c r="AH791" t="str">
        <f t="shared" si="233"/>
        <v/>
      </c>
      <c r="AI791" t="str">
        <f t="shared" si="234"/>
        <v/>
      </c>
      <c r="AJ791" t="str">
        <f t="shared" si="235"/>
        <v/>
      </c>
      <c r="AK791" t="str">
        <f t="shared" si="236"/>
        <v/>
      </c>
      <c r="AL791" t="str">
        <f>IFERROR(ROUND(L791*(G791/$AU791)/VLOOKUP(F791,商品!$A$4:$B$60,2,FALSE),0),"")</f>
        <v/>
      </c>
      <c r="AM791" t="str">
        <f>IFERROR(ROUND(L791*(I791/$AU791)/VLOOKUP(H791,商品!$A$4:$B$60,2,FALSE),0),"")</f>
        <v/>
      </c>
      <c r="AN791">
        <f>IFERROR(ROUND(L791*(J791/$AU791)/VLOOKUP("运力",商品!$A$4:$B$60,2,FALSE),0),0)</f>
        <v>0</v>
      </c>
      <c r="AO791">
        <f>IFERROR(ROUND(L791*(K791/$AU791)/VLOOKUP("交易",商品!$A$4:$B$60,2,FALSE),0),0)</f>
        <v>0</v>
      </c>
      <c r="AP791" t="str">
        <f>IFERROR(ROUND(S791*(N791/$AV791)/VLOOKUP(M791,职业!$A$4:$G$16,4,FALSE),0),"")</f>
        <v/>
      </c>
      <c r="AQ791" t="str">
        <f>IFERROR(ROUND(S791*(P791/$AV791)/VLOOKUP(O791,职业!$A$4:$G$16,4,FALSE),0),"")</f>
        <v/>
      </c>
      <c r="AR791" t="str">
        <f>IFERROR(ROUND(S791*(R791/$AV791)/VLOOKUP(Q791,职业!$A$4:$G$16,4,FALSE),0),"")</f>
        <v/>
      </c>
      <c r="AS791" t="str">
        <f>IFERROR(ROUND(X791*(U791/$AW791)/VLOOKUP(T791,商品!$A$4:$B$60,2,FALSE),0),"")</f>
        <v/>
      </c>
      <c r="AT791" t="str">
        <f>IFERROR(ROUND(X791*(W791/$AW791)/VLOOKUP(V791,商品!$A$4:$B$60,2,FALSE),0),"")</f>
        <v/>
      </c>
      <c r="AU791">
        <f t="shared" si="237"/>
        <v>0</v>
      </c>
      <c r="AV791">
        <f t="shared" si="238"/>
        <v>0</v>
      </c>
      <c r="AW791">
        <f t="shared" si="239"/>
        <v>0</v>
      </c>
    </row>
    <row r="792" spans="1:49" ht="19.95" customHeight="1" x14ac:dyDescent="0.25">
      <c r="A792" s="16" t="s">
        <v>348</v>
      </c>
      <c r="C792" s="16">
        <v>4</v>
      </c>
      <c r="D792" s="23" t="s">
        <v>171</v>
      </c>
      <c r="E792" s="23" t="s">
        <v>172</v>
      </c>
      <c r="L792" s="15">
        <f>IFERROR(VLOOKUP($D792&amp;$C792,生产方式定位!$A$2:$E$38,2,FALSE)+VLOOKUP($E792&amp;$C792,生产方式定位!$F$3:$J$38,2,FALSE),0)</f>
        <v>1950</v>
      </c>
      <c r="S792" s="15">
        <f>IFERROR(VLOOKUP($D792&amp;$C792,生产方式定位!$A$2:$E$38,3,FALSE)+VLOOKUP($E792&amp;$C792,生产方式定位!$F$3:$J$38,3,FALSE),0)</f>
        <v>100</v>
      </c>
      <c r="X792" s="15">
        <f>IFERROR(VLOOKUP($D792&amp;$C792,生产方式定位!$A$2:$E$38,5,FALSE)+VLOOKUP($E792&amp;$C792,生产方式定位!$F$3:$J$38,5,FALSE),"错误")</f>
        <v>2590</v>
      </c>
      <c r="Y792" s="26" t="str">
        <f t="shared" si="224"/>
        <v/>
      </c>
      <c r="Z792" s="36" t="str">
        <f t="shared" si="225"/>
        <v/>
      </c>
      <c r="AA792" s="36" t="str">
        <f t="shared" si="226"/>
        <v/>
      </c>
      <c r="AB792" s="27" t="str">
        <f t="shared" si="227"/>
        <v>33%</v>
      </c>
      <c r="AC792" s="2">
        <f t="shared" si="228"/>
        <v>540</v>
      </c>
      <c r="AD792" s="38">
        <f t="shared" si="229"/>
        <v>4</v>
      </c>
      <c r="AE792" t="str">
        <f t="shared" si="230"/>
        <v/>
      </c>
      <c r="AF792" t="str">
        <f t="shared" si="231"/>
        <v/>
      </c>
      <c r="AG792" t="str">
        <f t="shared" si="232"/>
        <v/>
      </c>
      <c r="AH792" t="str">
        <f t="shared" si="233"/>
        <v/>
      </c>
      <c r="AI792" t="str">
        <f t="shared" si="234"/>
        <v/>
      </c>
      <c r="AJ792" t="str">
        <f t="shared" si="235"/>
        <v/>
      </c>
      <c r="AK792" t="str">
        <f t="shared" si="236"/>
        <v/>
      </c>
      <c r="AL792" t="str">
        <f>IFERROR(ROUND(L792*(G792/$AU792)/VLOOKUP(F792,商品!$A$4:$B$60,2,FALSE),0),"")</f>
        <v/>
      </c>
      <c r="AM792" t="str">
        <f>IFERROR(ROUND(L792*(I792/$AU792)/VLOOKUP(H792,商品!$A$4:$B$60,2,FALSE),0),"")</f>
        <v/>
      </c>
      <c r="AN792">
        <f>IFERROR(ROUND(L792*(J792/$AU792)/VLOOKUP("运力",商品!$A$4:$B$60,2,FALSE),0),0)</f>
        <v>0</v>
      </c>
      <c r="AO792">
        <f>IFERROR(ROUND(L792*(K792/$AU792)/VLOOKUP("交易",商品!$A$4:$B$60,2,FALSE),0),0)</f>
        <v>0</v>
      </c>
      <c r="AP792" t="str">
        <f>IFERROR(ROUND(S792*(N792/$AV792)/VLOOKUP(M792,职业!$A$4:$G$16,4,FALSE),0),"")</f>
        <v/>
      </c>
      <c r="AQ792" t="str">
        <f>IFERROR(ROUND(S792*(P792/$AV792)/VLOOKUP(O792,职业!$A$4:$G$16,4,FALSE),0),"")</f>
        <v/>
      </c>
      <c r="AR792" t="str">
        <f>IFERROR(ROUND(S792*(R792/$AV792)/VLOOKUP(Q792,职业!$A$4:$G$16,4,FALSE),0),"")</f>
        <v/>
      </c>
      <c r="AS792" t="str">
        <f>IFERROR(ROUND(X792*(U792/$AW792)/VLOOKUP(T792,商品!$A$4:$B$60,2,FALSE),0),"")</f>
        <v/>
      </c>
      <c r="AT792" t="str">
        <f>IFERROR(ROUND(X792*(W792/$AW792)/VLOOKUP(V792,商品!$A$4:$B$60,2,FALSE),0),"")</f>
        <v/>
      </c>
      <c r="AU792">
        <f t="shared" si="237"/>
        <v>0</v>
      </c>
      <c r="AV792">
        <f t="shared" si="238"/>
        <v>0</v>
      </c>
      <c r="AW792">
        <f t="shared" si="239"/>
        <v>0</v>
      </c>
    </row>
    <row r="793" spans="1:49" ht="19.95" customHeight="1" x14ac:dyDescent="0.25">
      <c r="A793" s="16" t="s">
        <v>348</v>
      </c>
      <c r="C793" s="16">
        <v>5</v>
      </c>
      <c r="D793" s="23" t="s">
        <v>171</v>
      </c>
      <c r="E793" s="23" t="s">
        <v>172</v>
      </c>
      <c r="L793" s="15">
        <f>IFERROR(VLOOKUP($D793&amp;$C793,生产方式定位!$A$2:$E$38,2,FALSE)+VLOOKUP($E793&amp;$C793,生产方式定位!$F$3:$J$38,2,FALSE),0)</f>
        <v>2375</v>
      </c>
      <c r="S793" s="15">
        <f>IFERROR(VLOOKUP($D793&amp;$C793,生产方式定位!$A$2:$E$38,3,FALSE)+VLOOKUP($E793&amp;$C793,生产方式定位!$F$3:$J$38,3,FALSE),0)</f>
        <v>100</v>
      </c>
      <c r="X793" s="15">
        <f>IFERROR(VLOOKUP($D793&amp;$C793,生产方式定位!$A$2:$E$38,5,FALSE)+VLOOKUP($E793&amp;$C793,生产方式定位!$F$3:$J$38,5,FALSE),"错误")</f>
        <v>3130</v>
      </c>
      <c r="Y793" s="26" t="str">
        <f t="shared" si="224"/>
        <v/>
      </c>
      <c r="Z793" s="36" t="str">
        <f t="shared" si="225"/>
        <v/>
      </c>
      <c r="AA793" s="36" t="str">
        <f t="shared" si="226"/>
        <v/>
      </c>
      <c r="AB793" s="27" t="str">
        <f t="shared" si="227"/>
        <v>32%</v>
      </c>
      <c r="AC793" s="2">
        <f t="shared" si="228"/>
        <v>655</v>
      </c>
      <c r="AD793" s="38">
        <f t="shared" si="229"/>
        <v>5</v>
      </c>
      <c r="AE793" t="str">
        <f t="shared" si="230"/>
        <v/>
      </c>
      <c r="AF793" t="str">
        <f t="shared" si="231"/>
        <v/>
      </c>
      <c r="AG793" t="str">
        <f t="shared" si="232"/>
        <v/>
      </c>
      <c r="AH793" t="str">
        <f t="shared" si="233"/>
        <v/>
      </c>
      <c r="AI793" t="str">
        <f t="shared" si="234"/>
        <v/>
      </c>
      <c r="AJ793" t="str">
        <f t="shared" si="235"/>
        <v/>
      </c>
      <c r="AK793" t="str">
        <f t="shared" si="236"/>
        <v/>
      </c>
      <c r="AL793" t="str">
        <f>IFERROR(ROUND(L793*(G793/$AU793)/VLOOKUP(F793,商品!$A$4:$B$60,2,FALSE),0),"")</f>
        <v/>
      </c>
      <c r="AM793" t="str">
        <f>IFERROR(ROUND(L793*(I793/$AU793)/VLOOKUP(H793,商品!$A$4:$B$60,2,FALSE),0),"")</f>
        <v/>
      </c>
      <c r="AN793">
        <f>IFERROR(ROUND(L793*(J793/$AU793)/VLOOKUP("运力",商品!$A$4:$B$60,2,FALSE),0),0)</f>
        <v>0</v>
      </c>
      <c r="AO793">
        <f>IFERROR(ROUND(L793*(K793/$AU793)/VLOOKUP("交易",商品!$A$4:$B$60,2,FALSE),0),0)</f>
        <v>0</v>
      </c>
      <c r="AP793" t="str">
        <f>IFERROR(ROUND(S793*(N793/$AV793)/VLOOKUP(M793,职业!$A$4:$G$16,4,FALSE),0),"")</f>
        <v/>
      </c>
      <c r="AQ793" t="str">
        <f>IFERROR(ROUND(S793*(P793/$AV793)/VLOOKUP(O793,职业!$A$4:$G$16,4,FALSE),0),"")</f>
        <v/>
      </c>
      <c r="AR793" t="str">
        <f>IFERROR(ROUND(S793*(R793/$AV793)/VLOOKUP(Q793,职业!$A$4:$G$16,4,FALSE),0),"")</f>
        <v/>
      </c>
      <c r="AS793" t="str">
        <f>IFERROR(ROUND(X793*(U793/$AW793)/VLOOKUP(T793,商品!$A$4:$B$60,2,FALSE),0),"")</f>
        <v/>
      </c>
      <c r="AT793" t="str">
        <f>IFERROR(ROUND(X793*(W793/$AW793)/VLOOKUP(V793,商品!$A$4:$B$60,2,FALSE),0),"")</f>
        <v/>
      </c>
      <c r="AU793">
        <f t="shared" si="237"/>
        <v>0</v>
      </c>
      <c r="AV793">
        <f t="shared" si="238"/>
        <v>0</v>
      </c>
      <c r="AW793">
        <f t="shared" si="239"/>
        <v>0</v>
      </c>
    </row>
    <row r="794" spans="1:49" ht="19.95" customHeight="1" x14ac:dyDescent="0.25">
      <c r="A794" s="15" t="s">
        <v>349</v>
      </c>
      <c r="C794" s="15">
        <v>1</v>
      </c>
      <c r="D794" s="23" t="s">
        <v>174</v>
      </c>
      <c r="E794" s="23" t="s">
        <v>175</v>
      </c>
      <c r="L794" s="16">
        <f>IFERROR(VLOOKUP($D794&amp;$C794,生产方式定位!$A$2:$E$38,2,FALSE)+VLOOKUP($E794&amp;$C794,生产方式定位!$F$3:$J$38,2,FALSE),0)</f>
        <v>0</v>
      </c>
      <c r="S794" s="16">
        <f>IFERROR(VLOOKUP($D794&amp;$C794,生产方式定位!$A$2:$E$38,3,FALSE)+VLOOKUP($E794&amp;$C794,生产方式定位!$F$3:$J$38,3,FALSE),0)</f>
        <v>0</v>
      </c>
      <c r="X794" s="16">
        <f>IFERROR(VLOOKUP($D794&amp;$C794,生产方式定位!$A$2:$E$38,5,FALSE)+VLOOKUP($E794&amp;$C794,生产方式定位!$F$3:$J$38,5,FALSE),"错误")</f>
        <v>0</v>
      </c>
      <c r="Y794" s="26" t="str">
        <f t="shared" si="224"/>
        <v/>
      </c>
      <c r="Z794" s="36" t="str">
        <f t="shared" si="225"/>
        <v/>
      </c>
      <c r="AA794" s="36" t="str">
        <f t="shared" si="226"/>
        <v/>
      </c>
      <c r="AB794" s="27" t="str">
        <f t="shared" si="227"/>
        <v/>
      </c>
      <c r="AC794" s="2" t="str">
        <f t="shared" si="228"/>
        <v/>
      </c>
      <c r="AD794" s="38">
        <f t="shared" si="229"/>
        <v>1</v>
      </c>
      <c r="AE794" t="str">
        <f t="shared" si="230"/>
        <v/>
      </c>
      <c r="AF794" t="str">
        <f t="shared" si="231"/>
        <v/>
      </c>
      <c r="AG794" t="str">
        <f t="shared" si="232"/>
        <v/>
      </c>
      <c r="AH794" t="str">
        <f t="shared" si="233"/>
        <v/>
      </c>
      <c r="AI794" t="str">
        <f t="shared" si="234"/>
        <v/>
      </c>
      <c r="AJ794" t="str">
        <f t="shared" si="235"/>
        <v/>
      </c>
      <c r="AK794" t="str">
        <f t="shared" si="236"/>
        <v/>
      </c>
      <c r="AL794" t="str">
        <f>IFERROR(ROUND(L794*(G794/$AU794)/VLOOKUP(F794,商品!$A$4:$B$60,2,FALSE),0),"")</f>
        <v/>
      </c>
      <c r="AM794" t="str">
        <f>IFERROR(ROUND(L794*(I794/$AU794)/VLOOKUP(H794,商品!$A$4:$B$60,2,FALSE),0),"")</f>
        <v/>
      </c>
      <c r="AN794">
        <f>IFERROR(ROUND(L794*(J794/$AU794)/VLOOKUP("运力",商品!$A$4:$B$60,2,FALSE),0),0)</f>
        <v>0</v>
      </c>
      <c r="AO794">
        <f>IFERROR(ROUND(L794*(K794/$AU794)/VLOOKUP("交易",商品!$A$4:$B$60,2,FALSE),0),0)</f>
        <v>0</v>
      </c>
      <c r="AP794" t="str">
        <f>IFERROR(ROUND(S794*(N794/$AV794)/VLOOKUP(M794,职业!$A$4:$G$16,4,FALSE),0),"")</f>
        <v/>
      </c>
      <c r="AQ794" t="str">
        <f>IFERROR(ROUND(S794*(P794/$AV794)/VLOOKUP(O794,职业!$A$4:$G$16,4,FALSE),0),"")</f>
        <v/>
      </c>
      <c r="AR794" t="str">
        <f>IFERROR(ROUND(S794*(R794/$AV794)/VLOOKUP(Q794,职业!$A$4:$G$16,4,FALSE),0),"")</f>
        <v/>
      </c>
      <c r="AS794" t="str">
        <f>IFERROR(ROUND(X794*(U794/$AW794)/VLOOKUP(T794,商品!$A$4:$B$60,2,FALSE),0),"")</f>
        <v/>
      </c>
      <c r="AT794" t="str">
        <f>IFERROR(ROUND(X794*(W794/$AW794)/VLOOKUP(V794,商品!$A$4:$B$60,2,FALSE),0),"")</f>
        <v/>
      </c>
      <c r="AU794">
        <f t="shared" si="237"/>
        <v>0</v>
      </c>
      <c r="AV794">
        <f t="shared" si="238"/>
        <v>0</v>
      </c>
      <c r="AW794">
        <f t="shared" si="239"/>
        <v>0</v>
      </c>
    </row>
    <row r="795" spans="1:49" ht="19.95" customHeight="1" x14ac:dyDescent="0.25">
      <c r="A795" s="15" t="s">
        <v>349</v>
      </c>
      <c r="C795" s="15">
        <v>2</v>
      </c>
      <c r="D795" s="23" t="s">
        <v>174</v>
      </c>
      <c r="E795" s="23" t="s">
        <v>175</v>
      </c>
      <c r="L795" s="16">
        <f>IFERROR(VLOOKUP($D795&amp;$C795,生产方式定位!$A$2:$E$38,2,FALSE)+VLOOKUP($E795&amp;$C795,生产方式定位!$F$3:$J$38,2,FALSE),0)</f>
        <v>50</v>
      </c>
      <c r="S795" s="16">
        <f>IFERROR(VLOOKUP($D795&amp;$C795,生产方式定位!$A$2:$E$38,3,FALSE)+VLOOKUP($E795&amp;$C795,生产方式定位!$F$3:$J$38,3,FALSE),0)</f>
        <v>10</v>
      </c>
      <c r="X795" s="16">
        <f>IFERROR(VLOOKUP($D795&amp;$C795,生产方式定位!$A$2:$E$38,5,FALSE)+VLOOKUP($E795&amp;$C795,生产方式定位!$F$3:$J$38,5,FALSE),"错误")</f>
        <v>0</v>
      </c>
      <c r="Y795" s="26" t="str">
        <f t="shared" si="224"/>
        <v/>
      </c>
      <c r="Z795" s="36" t="str">
        <f t="shared" si="225"/>
        <v/>
      </c>
      <c r="AA795" s="36" t="str">
        <f t="shared" si="226"/>
        <v/>
      </c>
      <c r="AB795" s="27" t="str">
        <f t="shared" si="227"/>
        <v>-100%</v>
      </c>
      <c r="AC795" s="2">
        <f t="shared" si="228"/>
        <v>-60</v>
      </c>
      <c r="AD795" s="38">
        <f t="shared" si="229"/>
        <v>2</v>
      </c>
      <c r="AE795" t="str">
        <f t="shared" si="230"/>
        <v/>
      </c>
      <c r="AF795" t="str">
        <f t="shared" si="231"/>
        <v/>
      </c>
      <c r="AG795" t="str">
        <f t="shared" si="232"/>
        <v/>
      </c>
      <c r="AH795" t="str">
        <f t="shared" si="233"/>
        <v/>
      </c>
      <c r="AI795" t="str">
        <f t="shared" si="234"/>
        <v/>
      </c>
      <c r="AJ795" t="str">
        <f t="shared" si="235"/>
        <v/>
      </c>
      <c r="AK795" t="str">
        <f t="shared" si="236"/>
        <v/>
      </c>
      <c r="AL795" t="str">
        <f>IFERROR(ROUND(L795*(G795/$AU795)/VLOOKUP(F795,商品!$A$4:$B$60,2,FALSE),0),"")</f>
        <v/>
      </c>
      <c r="AM795" t="str">
        <f>IFERROR(ROUND(L795*(I795/$AU795)/VLOOKUP(H795,商品!$A$4:$B$60,2,FALSE),0),"")</f>
        <v/>
      </c>
      <c r="AN795">
        <f>IFERROR(ROUND(L795*(J795/$AU795)/VLOOKUP("运力",商品!$A$4:$B$60,2,FALSE),0),0)</f>
        <v>0</v>
      </c>
      <c r="AO795">
        <f>IFERROR(ROUND(L795*(K795/$AU795)/VLOOKUP("交易",商品!$A$4:$B$60,2,FALSE),0),0)</f>
        <v>0</v>
      </c>
      <c r="AP795" t="str">
        <f>IFERROR(ROUND(S795*(N795/$AV795)/VLOOKUP(M795,职业!$A$4:$G$16,4,FALSE),0),"")</f>
        <v/>
      </c>
      <c r="AQ795" t="str">
        <f>IFERROR(ROUND(S795*(P795/$AV795)/VLOOKUP(O795,职业!$A$4:$G$16,4,FALSE),0),"")</f>
        <v/>
      </c>
      <c r="AR795" t="str">
        <f>IFERROR(ROUND(S795*(R795/$AV795)/VLOOKUP(Q795,职业!$A$4:$G$16,4,FALSE),0),"")</f>
        <v/>
      </c>
      <c r="AS795" t="str">
        <f>IFERROR(ROUND(X795*(U795/$AW795)/VLOOKUP(T795,商品!$A$4:$B$60,2,FALSE),0),"")</f>
        <v/>
      </c>
      <c r="AT795" t="str">
        <f>IFERROR(ROUND(X795*(W795/$AW795)/VLOOKUP(V795,商品!$A$4:$B$60,2,FALSE),0),"")</f>
        <v/>
      </c>
      <c r="AU795">
        <f t="shared" si="237"/>
        <v>0</v>
      </c>
      <c r="AV795">
        <f t="shared" si="238"/>
        <v>0</v>
      </c>
      <c r="AW795">
        <f t="shared" si="239"/>
        <v>0</v>
      </c>
    </row>
    <row r="796" spans="1:49" ht="19.95" customHeight="1" x14ac:dyDescent="0.25">
      <c r="A796" s="15" t="s">
        <v>349</v>
      </c>
      <c r="C796" s="15">
        <v>3</v>
      </c>
      <c r="D796" s="23" t="s">
        <v>174</v>
      </c>
      <c r="E796" s="23" t="s">
        <v>175</v>
      </c>
      <c r="L796" s="16">
        <f>IFERROR(VLOOKUP($D796&amp;$C796,生产方式定位!$A$2:$E$38,2,FALSE)+VLOOKUP($E796&amp;$C796,生产方式定位!$F$3:$J$38,2,FALSE),0)</f>
        <v>100</v>
      </c>
      <c r="S796" s="16">
        <f>IFERROR(VLOOKUP($D796&amp;$C796,生产方式定位!$A$2:$E$38,3,FALSE)+VLOOKUP($E796&amp;$C796,生产方式定位!$F$3:$J$38,3,FALSE),0)</f>
        <v>20</v>
      </c>
      <c r="X796" s="16">
        <f>IFERROR(VLOOKUP($D796&amp;$C796,生产方式定位!$A$2:$E$38,5,FALSE)+VLOOKUP($E796&amp;$C796,生产方式定位!$F$3:$J$38,5,FALSE),"错误")</f>
        <v>0</v>
      </c>
      <c r="Y796" s="26" t="str">
        <f t="shared" si="224"/>
        <v/>
      </c>
      <c r="Z796" s="36" t="str">
        <f t="shared" si="225"/>
        <v/>
      </c>
      <c r="AA796" s="36" t="str">
        <f t="shared" si="226"/>
        <v/>
      </c>
      <c r="AB796" s="27" t="str">
        <f t="shared" si="227"/>
        <v>-100%</v>
      </c>
      <c r="AC796" s="2">
        <f t="shared" si="228"/>
        <v>-120</v>
      </c>
      <c r="AD796" s="38">
        <f t="shared" si="229"/>
        <v>3</v>
      </c>
      <c r="AE796" t="str">
        <f t="shared" si="230"/>
        <v/>
      </c>
      <c r="AF796" t="str">
        <f t="shared" si="231"/>
        <v/>
      </c>
      <c r="AG796" t="str">
        <f t="shared" si="232"/>
        <v/>
      </c>
      <c r="AH796" t="str">
        <f t="shared" si="233"/>
        <v/>
      </c>
      <c r="AI796" t="str">
        <f t="shared" si="234"/>
        <v/>
      </c>
      <c r="AJ796" t="str">
        <f t="shared" si="235"/>
        <v/>
      </c>
      <c r="AK796" t="str">
        <f t="shared" si="236"/>
        <v/>
      </c>
      <c r="AL796" t="str">
        <f>IFERROR(ROUND(L796*(G796/$AU796)/VLOOKUP(F796,商品!$A$4:$B$60,2,FALSE),0),"")</f>
        <v/>
      </c>
      <c r="AM796" t="str">
        <f>IFERROR(ROUND(L796*(I796/$AU796)/VLOOKUP(H796,商品!$A$4:$B$60,2,FALSE),0),"")</f>
        <v/>
      </c>
      <c r="AN796">
        <f>IFERROR(ROUND(L796*(J796/$AU796)/VLOOKUP("运力",商品!$A$4:$B$60,2,FALSE),0),0)</f>
        <v>0</v>
      </c>
      <c r="AO796">
        <f>IFERROR(ROUND(L796*(K796/$AU796)/VLOOKUP("交易",商品!$A$4:$B$60,2,FALSE),0),0)</f>
        <v>0</v>
      </c>
      <c r="AP796" t="str">
        <f>IFERROR(ROUND(S796*(N796/$AV796)/VLOOKUP(M796,职业!$A$4:$G$16,4,FALSE),0),"")</f>
        <v/>
      </c>
      <c r="AQ796" t="str">
        <f>IFERROR(ROUND(S796*(P796/$AV796)/VLOOKUP(O796,职业!$A$4:$G$16,4,FALSE),0),"")</f>
        <v/>
      </c>
      <c r="AR796" t="str">
        <f>IFERROR(ROUND(S796*(R796/$AV796)/VLOOKUP(Q796,职业!$A$4:$G$16,4,FALSE),0),"")</f>
        <v/>
      </c>
      <c r="AS796" t="str">
        <f>IFERROR(ROUND(X796*(U796/$AW796)/VLOOKUP(T796,商品!$A$4:$B$60,2,FALSE),0),"")</f>
        <v/>
      </c>
      <c r="AT796" t="str">
        <f>IFERROR(ROUND(X796*(W796/$AW796)/VLOOKUP(V796,商品!$A$4:$B$60,2,FALSE),0),"")</f>
        <v/>
      </c>
      <c r="AU796">
        <f t="shared" si="237"/>
        <v>0</v>
      </c>
      <c r="AV796">
        <f t="shared" si="238"/>
        <v>0</v>
      </c>
      <c r="AW796">
        <f t="shared" si="239"/>
        <v>0</v>
      </c>
    </row>
    <row r="797" spans="1:49" ht="19.95" customHeight="1" x14ac:dyDescent="0.25">
      <c r="A797" s="15" t="s">
        <v>349</v>
      </c>
      <c r="C797" s="15">
        <v>4</v>
      </c>
      <c r="D797" s="23" t="s">
        <v>174</v>
      </c>
      <c r="E797" s="23" t="s">
        <v>175</v>
      </c>
      <c r="L797" s="16">
        <f>IFERROR(VLOOKUP($D797&amp;$C797,生产方式定位!$A$2:$E$38,2,FALSE)+VLOOKUP($E797&amp;$C797,生产方式定位!$F$3:$J$38,2,FALSE),0)</f>
        <v>150</v>
      </c>
      <c r="S797" s="16">
        <f>IFERROR(VLOOKUP($D797&amp;$C797,生产方式定位!$A$2:$E$38,3,FALSE)+VLOOKUP($E797&amp;$C797,生产方式定位!$F$3:$J$38,3,FALSE),0)</f>
        <v>30</v>
      </c>
      <c r="X797" s="16">
        <f>IFERROR(VLOOKUP($D797&amp;$C797,生产方式定位!$A$2:$E$38,5,FALSE)+VLOOKUP($E797&amp;$C797,生产方式定位!$F$3:$J$38,5,FALSE),"错误")</f>
        <v>0</v>
      </c>
      <c r="Y797" s="26" t="str">
        <f t="shared" si="224"/>
        <v/>
      </c>
      <c r="Z797" s="36" t="str">
        <f t="shared" si="225"/>
        <v/>
      </c>
      <c r="AA797" s="36" t="str">
        <f t="shared" si="226"/>
        <v/>
      </c>
      <c r="AB797" s="27" t="str">
        <f t="shared" si="227"/>
        <v>-100%</v>
      </c>
      <c r="AC797" s="2">
        <f t="shared" si="228"/>
        <v>-180</v>
      </c>
      <c r="AD797" s="38">
        <f t="shared" si="229"/>
        <v>4</v>
      </c>
      <c r="AE797" t="str">
        <f t="shared" si="230"/>
        <v/>
      </c>
      <c r="AF797" t="str">
        <f t="shared" si="231"/>
        <v/>
      </c>
      <c r="AG797" t="str">
        <f t="shared" si="232"/>
        <v/>
      </c>
      <c r="AH797" t="str">
        <f t="shared" si="233"/>
        <v/>
      </c>
      <c r="AI797" t="str">
        <f t="shared" si="234"/>
        <v/>
      </c>
      <c r="AJ797" t="str">
        <f t="shared" si="235"/>
        <v/>
      </c>
      <c r="AK797" t="str">
        <f t="shared" si="236"/>
        <v/>
      </c>
      <c r="AL797" t="str">
        <f>IFERROR(ROUND(L797*(G797/$AU797)/VLOOKUP(F797,商品!$A$4:$B$60,2,FALSE),0),"")</f>
        <v/>
      </c>
      <c r="AM797" t="str">
        <f>IFERROR(ROUND(L797*(I797/$AU797)/VLOOKUP(H797,商品!$A$4:$B$60,2,FALSE),0),"")</f>
        <v/>
      </c>
      <c r="AN797">
        <f>IFERROR(ROUND(L797*(J797/$AU797)/VLOOKUP("运力",商品!$A$4:$B$60,2,FALSE),0),0)</f>
        <v>0</v>
      </c>
      <c r="AO797">
        <f>IFERROR(ROUND(L797*(K797/$AU797)/VLOOKUP("交易",商品!$A$4:$B$60,2,FALSE),0),0)</f>
        <v>0</v>
      </c>
      <c r="AP797" t="str">
        <f>IFERROR(ROUND(S797*(N797/$AV797)/VLOOKUP(M797,职业!$A$4:$G$16,4,FALSE),0),"")</f>
        <v/>
      </c>
      <c r="AQ797" t="str">
        <f>IFERROR(ROUND(S797*(P797/$AV797)/VLOOKUP(O797,职业!$A$4:$G$16,4,FALSE),0),"")</f>
        <v/>
      </c>
      <c r="AR797" t="str">
        <f>IFERROR(ROUND(S797*(R797/$AV797)/VLOOKUP(Q797,职业!$A$4:$G$16,4,FALSE),0),"")</f>
        <v/>
      </c>
      <c r="AS797" t="str">
        <f>IFERROR(ROUND(X797*(U797/$AW797)/VLOOKUP(T797,商品!$A$4:$B$60,2,FALSE),0),"")</f>
        <v/>
      </c>
      <c r="AT797" t="str">
        <f>IFERROR(ROUND(X797*(W797/$AW797)/VLOOKUP(V797,商品!$A$4:$B$60,2,FALSE),0),"")</f>
        <v/>
      </c>
      <c r="AU797">
        <f t="shared" si="237"/>
        <v>0</v>
      </c>
      <c r="AV797">
        <f t="shared" si="238"/>
        <v>0</v>
      </c>
      <c r="AW797">
        <f t="shared" si="239"/>
        <v>0</v>
      </c>
    </row>
    <row r="798" spans="1:49" ht="19.95" customHeight="1" x14ac:dyDescent="0.25">
      <c r="A798" s="15" t="s">
        <v>349</v>
      </c>
      <c r="C798" s="15">
        <v>5</v>
      </c>
      <c r="D798" s="23" t="s">
        <v>174</v>
      </c>
      <c r="E798" s="23" t="s">
        <v>175</v>
      </c>
      <c r="L798" s="16">
        <f>IFERROR(VLOOKUP($D798&amp;$C798,生产方式定位!$A$2:$E$38,2,FALSE)+VLOOKUP($E798&amp;$C798,生产方式定位!$F$3:$J$38,2,FALSE),0)</f>
        <v>200</v>
      </c>
      <c r="S798" s="16">
        <f>IFERROR(VLOOKUP($D798&amp;$C798,生产方式定位!$A$2:$E$38,3,FALSE)+VLOOKUP($E798&amp;$C798,生产方式定位!$F$3:$J$38,3,FALSE),0)</f>
        <v>40</v>
      </c>
      <c r="X798" s="16">
        <f>IFERROR(VLOOKUP($D798&amp;$C798,生产方式定位!$A$2:$E$38,5,FALSE)+VLOOKUP($E798&amp;$C798,生产方式定位!$F$3:$J$38,5,FALSE),"错误")</f>
        <v>0</v>
      </c>
      <c r="Y798" s="26" t="str">
        <f t="shared" si="224"/>
        <v/>
      </c>
      <c r="Z798" s="36" t="str">
        <f t="shared" si="225"/>
        <v/>
      </c>
      <c r="AA798" s="36" t="str">
        <f t="shared" si="226"/>
        <v/>
      </c>
      <c r="AB798" s="27" t="str">
        <f t="shared" si="227"/>
        <v>-100%</v>
      </c>
      <c r="AC798" s="2">
        <f t="shared" si="228"/>
        <v>-240</v>
      </c>
      <c r="AD798" s="38">
        <f t="shared" si="229"/>
        <v>5</v>
      </c>
      <c r="AE798" t="str">
        <f t="shared" si="230"/>
        <v/>
      </c>
      <c r="AF798" t="str">
        <f t="shared" si="231"/>
        <v/>
      </c>
      <c r="AG798" t="str">
        <f t="shared" si="232"/>
        <v/>
      </c>
      <c r="AH798" t="str">
        <f t="shared" si="233"/>
        <v/>
      </c>
      <c r="AI798" t="str">
        <f t="shared" si="234"/>
        <v/>
      </c>
      <c r="AJ798" t="str">
        <f t="shared" si="235"/>
        <v/>
      </c>
      <c r="AK798" t="str">
        <f t="shared" si="236"/>
        <v/>
      </c>
      <c r="AL798" t="str">
        <f>IFERROR(ROUND(L798*(G798/$AU798)/VLOOKUP(F798,商品!$A$4:$B$60,2,FALSE),0),"")</f>
        <v/>
      </c>
      <c r="AM798" t="str">
        <f>IFERROR(ROUND(L798*(I798/$AU798)/VLOOKUP(H798,商品!$A$4:$B$60,2,FALSE),0),"")</f>
        <v/>
      </c>
      <c r="AN798">
        <f>IFERROR(ROUND(L798*(J798/$AU798)/VLOOKUP("运力",商品!$A$4:$B$60,2,FALSE),0),0)</f>
        <v>0</v>
      </c>
      <c r="AO798">
        <f>IFERROR(ROUND(L798*(K798/$AU798)/VLOOKUP("交易",商品!$A$4:$B$60,2,FALSE),0),0)</f>
        <v>0</v>
      </c>
      <c r="AP798" t="str">
        <f>IFERROR(ROUND(S798*(N798/$AV798)/VLOOKUP(M798,职业!$A$4:$G$16,4,FALSE),0),"")</f>
        <v/>
      </c>
      <c r="AQ798" t="str">
        <f>IFERROR(ROUND(S798*(P798/$AV798)/VLOOKUP(O798,职业!$A$4:$G$16,4,FALSE),0),"")</f>
        <v/>
      </c>
      <c r="AR798" t="str">
        <f>IFERROR(ROUND(S798*(R798/$AV798)/VLOOKUP(Q798,职业!$A$4:$G$16,4,FALSE),0),"")</f>
        <v/>
      </c>
      <c r="AS798" t="str">
        <f>IFERROR(ROUND(X798*(U798/$AW798)/VLOOKUP(T798,商品!$A$4:$B$60,2,FALSE),0),"")</f>
        <v/>
      </c>
      <c r="AT798" t="str">
        <f>IFERROR(ROUND(X798*(W798/$AW798)/VLOOKUP(V798,商品!$A$4:$B$60,2,FALSE),0),"")</f>
        <v/>
      </c>
      <c r="AU798">
        <f t="shared" si="237"/>
        <v>0</v>
      </c>
      <c r="AV798">
        <f t="shared" si="238"/>
        <v>0</v>
      </c>
      <c r="AW798">
        <f t="shared" si="239"/>
        <v>0</v>
      </c>
    </row>
    <row r="799" spans="1:49" ht="19.95" customHeight="1" x14ac:dyDescent="0.25">
      <c r="A799" s="16" t="s">
        <v>350</v>
      </c>
      <c r="C799" s="16">
        <v>1</v>
      </c>
      <c r="D799" s="23" t="s">
        <v>171</v>
      </c>
      <c r="E799" s="23" t="s">
        <v>175</v>
      </c>
      <c r="L799" s="15">
        <f>IFERROR(VLOOKUP($D799&amp;$C799,生产方式定位!$A$2:$E$38,2,FALSE)+VLOOKUP($E799&amp;$C799,生产方式定位!$F$3:$J$38,2,FALSE),0)</f>
        <v>300</v>
      </c>
      <c r="S799" s="15">
        <f>IFERROR(VLOOKUP($D799&amp;$C799,生产方式定位!$A$2:$E$38,3,FALSE)+VLOOKUP($E799&amp;$C799,生产方式定位!$F$3:$J$38,3,FALSE),0)</f>
        <v>100</v>
      </c>
      <c r="X799" s="15">
        <f>IFERROR(VLOOKUP($D799&amp;$C799,生产方式定位!$A$2:$E$38,5,FALSE)+VLOOKUP($E799&amp;$C799,生产方式定位!$F$3:$J$38,5,FALSE),"错误")</f>
        <v>520</v>
      </c>
      <c r="Y799" s="26" t="str">
        <f t="shared" si="224"/>
        <v/>
      </c>
      <c r="Z799" s="36" t="str">
        <f t="shared" si="225"/>
        <v/>
      </c>
      <c r="AA799" s="36" t="str">
        <f t="shared" si="226"/>
        <v/>
      </c>
      <c r="AB799" s="27" t="str">
        <f t="shared" si="227"/>
        <v>73%</v>
      </c>
      <c r="AC799" s="2">
        <f t="shared" si="228"/>
        <v>120</v>
      </c>
      <c r="AD799" s="37">
        <f t="shared" si="229"/>
        <v>1</v>
      </c>
      <c r="AE799" t="str">
        <f t="shared" si="230"/>
        <v/>
      </c>
      <c r="AF799" t="str">
        <f t="shared" si="231"/>
        <v/>
      </c>
      <c r="AG799" t="str">
        <f t="shared" si="232"/>
        <v/>
      </c>
      <c r="AH799" t="str">
        <f t="shared" si="233"/>
        <v/>
      </c>
      <c r="AI799" t="str">
        <f t="shared" si="234"/>
        <v/>
      </c>
      <c r="AJ799" t="str">
        <f t="shared" si="235"/>
        <v/>
      </c>
      <c r="AK799" t="str">
        <f t="shared" si="236"/>
        <v/>
      </c>
      <c r="AL799" t="str">
        <f>IFERROR(ROUND(L799*(G799/$AU799)/VLOOKUP(F799,商品!$A$4:$B$60,2,FALSE),0),"")</f>
        <v/>
      </c>
      <c r="AM799" t="str">
        <f>IFERROR(ROUND(L799*(I799/$AU799)/VLOOKUP(H799,商品!$A$4:$B$60,2,FALSE),0),"")</f>
        <v/>
      </c>
      <c r="AN799">
        <f>IFERROR(ROUND(L799*(J799/$AU799)/VLOOKUP("运力",商品!$A$4:$B$60,2,FALSE),0),0)</f>
        <v>0</v>
      </c>
      <c r="AO799">
        <f>IFERROR(ROUND(L799*(K799/$AU799)/VLOOKUP("交易",商品!$A$4:$B$60,2,FALSE),0),0)</f>
        <v>0</v>
      </c>
      <c r="AP799" t="str">
        <f>IFERROR(ROUND(S799*(N799/$AV799)/VLOOKUP(M799,职业!$A$4:$G$16,4,FALSE),0),"")</f>
        <v/>
      </c>
      <c r="AQ799" t="str">
        <f>IFERROR(ROUND(S799*(P799/$AV799)/VLOOKUP(O799,职业!$A$4:$G$16,4,FALSE),0),"")</f>
        <v/>
      </c>
      <c r="AR799" t="str">
        <f>IFERROR(ROUND(S799*(R799/$AV799)/VLOOKUP(Q799,职业!$A$4:$G$16,4,FALSE),0),"")</f>
        <v/>
      </c>
      <c r="AS799" t="str">
        <f>IFERROR(ROUND(X799*(U799/$AW799)/VLOOKUP(T799,商品!$A$4:$B$60,2,FALSE),0),"")</f>
        <v/>
      </c>
      <c r="AT799" t="str">
        <f>IFERROR(ROUND(X799*(W799/$AW799)/VLOOKUP(V799,商品!$A$4:$B$60,2,FALSE),0),"")</f>
        <v/>
      </c>
      <c r="AU799">
        <f t="shared" si="237"/>
        <v>0</v>
      </c>
      <c r="AV799">
        <f t="shared" si="238"/>
        <v>0</v>
      </c>
      <c r="AW799">
        <f t="shared" si="239"/>
        <v>0</v>
      </c>
    </row>
    <row r="800" spans="1:49" ht="19.95" customHeight="1" x14ac:dyDescent="0.25">
      <c r="A800" s="16" t="s">
        <v>350</v>
      </c>
      <c r="C800" s="16">
        <v>2</v>
      </c>
      <c r="D800" s="23" t="s">
        <v>171</v>
      </c>
      <c r="E800" s="23" t="s">
        <v>175</v>
      </c>
      <c r="F800" s="2" t="s">
        <v>41</v>
      </c>
      <c r="G800" s="2">
        <v>10</v>
      </c>
      <c r="L800" s="15">
        <f>IFERROR(VLOOKUP($D800&amp;$C800,生产方式定位!$A$2:$E$38,2,FALSE)+VLOOKUP($E800&amp;$C800,生产方式定位!$F$3:$J$38,2,FALSE),0)</f>
        <v>650</v>
      </c>
      <c r="S800" s="15">
        <f>IFERROR(VLOOKUP($D800&amp;$C800,生产方式定位!$A$2:$E$38,3,FALSE)+VLOOKUP($E800&amp;$C800,生产方式定位!$F$3:$J$38,3,FALSE),0)</f>
        <v>110</v>
      </c>
      <c r="X800" s="15">
        <f>IFERROR(VLOOKUP($D800&amp;$C800,生产方式定位!$A$2:$E$38,5,FALSE)+VLOOKUP($E800&amp;$C800,生产方式定位!$F$3:$J$38,5,FALSE),"错误")</f>
        <v>910</v>
      </c>
      <c r="Y800" s="26" t="str">
        <f t="shared" si="224"/>
        <v>工具*16</v>
      </c>
      <c r="Z800" s="36" t="str">
        <f t="shared" si="225"/>
        <v/>
      </c>
      <c r="AA800" s="36" t="str">
        <f t="shared" si="226"/>
        <v/>
      </c>
      <c r="AB800" s="27" t="str">
        <f t="shared" si="227"/>
        <v>40%</v>
      </c>
      <c r="AC800" s="2">
        <f t="shared" si="228"/>
        <v>150</v>
      </c>
      <c r="AD800" s="37">
        <f t="shared" si="229"/>
        <v>2</v>
      </c>
      <c r="AE800" t="str">
        <f t="shared" si="230"/>
        <v>工具*16</v>
      </c>
      <c r="AF800" t="str">
        <f t="shared" si="231"/>
        <v/>
      </c>
      <c r="AG800" t="str">
        <f t="shared" si="232"/>
        <v/>
      </c>
      <c r="AH800" t="str">
        <f t="shared" si="233"/>
        <v/>
      </c>
      <c r="AI800" t="str">
        <f t="shared" si="234"/>
        <v/>
      </c>
      <c r="AJ800" t="str">
        <f t="shared" si="235"/>
        <v/>
      </c>
      <c r="AK800" t="str">
        <f t="shared" si="236"/>
        <v/>
      </c>
      <c r="AL800">
        <f>IFERROR(ROUND(L800*(G800/$AU800)/VLOOKUP(F800,商品!$A$4:$B$60,2,FALSE),0),"")</f>
        <v>16</v>
      </c>
      <c r="AM800" t="str">
        <f>IFERROR(ROUND(L800*(I800/$AU800)/VLOOKUP(H800,商品!$A$4:$B$60,2,FALSE),0),"")</f>
        <v/>
      </c>
      <c r="AN800">
        <f>IFERROR(ROUND(L800*(J800/$AU800)/VLOOKUP("运力",商品!$A$4:$B$60,2,FALSE),0),0)</f>
        <v>0</v>
      </c>
      <c r="AO800">
        <f>IFERROR(ROUND(L800*(K800/$AU800)/VLOOKUP("交易",商品!$A$4:$B$60,2,FALSE),0),0)</f>
        <v>0</v>
      </c>
      <c r="AP800" t="str">
        <f>IFERROR(ROUND(S800*(N800/$AV800)/VLOOKUP(M800,职业!$A$4:$G$16,4,FALSE),0),"")</f>
        <v/>
      </c>
      <c r="AQ800" t="str">
        <f>IFERROR(ROUND(S800*(P800/$AV800)/VLOOKUP(O800,职业!$A$4:$G$16,4,FALSE),0),"")</f>
        <v/>
      </c>
      <c r="AR800" t="str">
        <f>IFERROR(ROUND(S800*(R800/$AV800)/VLOOKUP(Q800,职业!$A$4:$G$16,4,FALSE),0),"")</f>
        <v/>
      </c>
      <c r="AS800" t="str">
        <f>IFERROR(ROUND(X800*(U800/$AW800)/VLOOKUP(T800,商品!$A$4:$B$60,2,FALSE),0),"")</f>
        <v/>
      </c>
      <c r="AT800" t="str">
        <f>IFERROR(ROUND(X800*(W800/$AW800)/VLOOKUP(V800,商品!$A$4:$B$60,2,FALSE),0),"")</f>
        <v/>
      </c>
      <c r="AU800">
        <f t="shared" si="237"/>
        <v>10</v>
      </c>
      <c r="AV800">
        <f t="shared" si="238"/>
        <v>0</v>
      </c>
      <c r="AW800">
        <f t="shared" si="239"/>
        <v>0</v>
      </c>
    </row>
    <row r="801" spans="1:49" ht="19.95" customHeight="1" x14ac:dyDescent="0.25">
      <c r="A801" s="16" t="s">
        <v>350</v>
      </c>
      <c r="C801" s="16">
        <v>3</v>
      </c>
      <c r="D801" s="23" t="s">
        <v>171</v>
      </c>
      <c r="E801" s="23" t="s">
        <v>175</v>
      </c>
      <c r="F801" s="2" t="s">
        <v>41</v>
      </c>
      <c r="G801" s="2">
        <v>10</v>
      </c>
      <c r="L801" s="15">
        <f>IFERROR(VLOOKUP($D801&amp;$C801,生产方式定位!$A$2:$E$38,2,FALSE)+VLOOKUP($E801&amp;$C801,生产方式定位!$F$3:$J$38,2,FALSE),0)</f>
        <v>1000</v>
      </c>
      <c r="S801" s="15">
        <f>IFERROR(VLOOKUP($D801&amp;$C801,生产方式定位!$A$2:$E$38,3,FALSE)+VLOOKUP($E801&amp;$C801,生产方式定位!$F$3:$J$38,3,FALSE),0)</f>
        <v>120</v>
      </c>
      <c r="X801" s="15">
        <f>IFERROR(VLOOKUP($D801&amp;$C801,生产方式定位!$A$2:$E$38,5,FALSE)+VLOOKUP($E801&amp;$C801,生产方式定位!$F$3:$J$38,5,FALSE),"错误")</f>
        <v>1300</v>
      </c>
      <c r="Y801" s="26" t="str">
        <f t="shared" si="224"/>
        <v>工具*25</v>
      </c>
      <c r="Z801" s="36" t="str">
        <f t="shared" si="225"/>
        <v/>
      </c>
      <c r="AA801" s="36" t="str">
        <f t="shared" si="226"/>
        <v/>
      </c>
      <c r="AB801" s="27" t="str">
        <f t="shared" si="227"/>
        <v>30%</v>
      </c>
      <c r="AC801" s="2">
        <f t="shared" si="228"/>
        <v>180</v>
      </c>
      <c r="AD801" s="37">
        <f t="shared" si="229"/>
        <v>3</v>
      </c>
      <c r="AE801" t="str">
        <f t="shared" si="230"/>
        <v>工具*25</v>
      </c>
      <c r="AF801" t="str">
        <f t="shared" si="231"/>
        <v/>
      </c>
      <c r="AG801" t="str">
        <f t="shared" si="232"/>
        <v/>
      </c>
      <c r="AH801" t="str">
        <f t="shared" si="233"/>
        <v/>
      </c>
      <c r="AI801" t="str">
        <f t="shared" si="234"/>
        <v/>
      </c>
      <c r="AJ801" t="str">
        <f t="shared" si="235"/>
        <v/>
      </c>
      <c r="AK801" t="str">
        <f t="shared" si="236"/>
        <v/>
      </c>
      <c r="AL801">
        <f>IFERROR(ROUND(L801*(G801/$AU801)/VLOOKUP(F801,商品!$A$4:$B$60,2,FALSE),0),"")</f>
        <v>25</v>
      </c>
      <c r="AM801" t="str">
        <f>IFERROR(ROUND(L801*(I801/$AU801)/VLOOKUP(H801,商品!$A$4:$B$60,2,FALSE),0),"")</f>
        <v/>
      </c>
      <c r="AN801">
        <f>IFERROR(ROUND(L801*(J801/$AU801)/VLOOKUP("运力",商品!$A$4:$B$60,2,FALSE),0),0)</f>
        <v>0</v>
      </c>
      <c r="AO801">
        <f>IFERROR(ROUND(L801*(K801/$AU801)/VLOOKUP("交易",商品!$A$4:$B$60,2,FALSE),0),0)</f>
        <v>0</v>
      </c>
      <c r="AP801" t="str">
        <f>IFERROR(ROUND(S801*(N801/$AV801)/VLOOKUP(M801,职业!$A$4:$G$16,4,FALSE),0),"")</f>
        <v/>
      </c>
      <c r="AQ801" t="str">
        <f>IFERROR(ROUND(S801*(P801/$AV801)/VLOOKUP(O801,职业!$A$4:$G$16,4,FALSE),0),"")</f>
        <v/>
      </c>
      <c r="AR801" t="str">
        <f>IFERROR(ROUND(S801*(R801/$AV801)/VLOOKUP(Q801,职业!$A$4:$G$16,4,FALSE),0),"")</f>
        <v/>
      </c>
      <c r="AS801" t="str">
        <f>IFERROR(ROUND(X801*(U801/$AW801)/VLOOKUP(T801,商品!$A$4:$B$60,2,FALSE),0),"")</f>
        <v/>
      </c>
      <c r="AT801" t="str">
        <f>IFERROR(ROUND(X801*(W801/$AW801)/VLOOKUP(V801,商品!$A$4:$B$60,2,FALSE),0),"")</f>
        <v/>
      </c>
      <c r="AU801">
        <f t="shared" si="237"/>
        <v>10</v>
      </c>
      <c r="AV801">
        <f t="shared" si="238"/>
        <v>0</v>
      </c>
      <c r="AW801">
        <f t="shared" si="239"/>
        <v>0</v>
      </c>
    </row>
    <row r="802" spans="1:49" ht="19.95" customHeight="1" x14ac:dyDescent="0.25">
      <c r="A802" s="16" t="s">
        <v>350</v>
      </c>
      <c r="C802" s="16">
        <v>4</v>
      </c>
      <c r="D802" s="23" t="s">
        <v>171</v>
      </c>
      <c r="E802" s="23" t="s">
        <v>175</v>
      </c>
      <c r="F802" s="2" t="s">
        <v>45</v>
      </c>
      <c r="G802" s="2">
        <v>5</v>
      </c>
      <c r="H802" s="2" t="s">
        <v>19</v>
      </c>
      <c r="I802" s="2">
        <v>10</v>
      </c>
      <c r="L802" s="15">
        <f>IFERROR(VLOOKUP($D802&amp;$C802,生产方式定位!$A$2:$E$38,2,FALSE)+VLOOKUP($E802&amp;$C802,生产方式定位!$F$3:$J$38,2,FALSE),0)</f>
        <v>1350</v>
      </c>
      <c r="S802" s="15">
        <f>IFERROR(VLOOKUP($D802&amp;$C802,生产方式定位!$A$2:$E$38,3,FALSE)+VLOOKUP($E802&amp;$C802,生产方式定位!$F$3:$J$38,3,FALSE),0)</f>
        <v>130</v>
      </c>
      <c r="X802" s="15">
        <f>IFERROR(VLOOKUP($D802&amp;$C802,生产方式定位!$A$2:$E$38,5,FALSE)+VLOOKUP($E802&amp;$C802,生产方式定位!$F$3:$J$38,5,FALSE),"错误")</f>
        <v>1690</v>
      </c>
      <c r="Y802" s="26" t="str">
        <f t="shared" si="224"/>
        <v>科学引擎*6,煤*30</v>
      </c>
      <c r="Z802" s="36" t="str">
        <f t="shared" si="225"/>
        <v/>
      </c>
      <c r="AA802" s="36" t="str">
        <f t="shared" si="226"/>
        <v/>
      </c>
      <c r="AB802" s="27" t="str">
        <f t="shared" si="227"/>
        <v>25%</v>
      </c>
      <c r="AC802" s="2">
        <f t="shared" si="228"/>
        <v>210</v>
      </c>
      <c r="AD802" s="37">
        <f t="shared" si="229"/>
        <v>4</v>
      </c>
      <c r="AE802" t="str">
        <f t="shared" si="230"/>
        <v>科学引擎*6</v>
      </c>
      <c r="AF802" t="str">
        <f t="shared" si="231"/>
        <v>煤*30</v>
      </c>
      <c r="AG802" t="str">
        <f t="shared" si="232"/>
        <v/>
      </c>
      <c r="AH802" t="str">
        <f t="shared" si="233"/>
        <v/>
      </c>
      <c r="AI802" t="str">
        <f t="shared" si="234"/>
        <v/>
      </c>
      <c r="AJ802" t="str">
        <f t="shared" si="235"/>
        <v/>
      </c>
      <c r="AK802" t="str">
        <f t="shared" si="236"/>
        <v/>
      </c>
      <c r="AL802">
        <f>IFERROR(ROUND(L802*(G802/$AU802)/VLOOKUP(F802,商品!$A$4:$B$60,2,FALSE),0),"")</f>
        <v>6</v>
      </c>
      <c r="AM802">
        <f>IFERROR(ROUND(L802*(I802/$AU802)/VLOOKUP(H802,商品!$A$4:$B$60,2,FALSE),0),"")</f>
        <v>30</v>
      </c>
      <c r="AN802">
        <f>IFERROR(ROUND(L802*(J802/$AU802)/VLOOKUP("运力",商品!$A$4:$B$60,2,FALSE),0),0)</f>
        <v>0</v>
      </c>
      <c r="AO802">
        <f>IFERROR(ROUND(L802*(K802/$AU802)/VLOOKUP("交易",商品!$A$4:$B$60,2,FALSE),0),0)</f>
        <v>0</v>
      </c>
      <c r="AP802" t="str">
        <f>IFERROR(ROUND(S802*(N802/$AV802)/VLOOKUP(M802,职业!$A$4:$G$16,4,FALSE),0),"")</f>
        <v/>
      </c>
      <c r="AQ802" t="str">
        <f>IFERROR(ROUND(S802*(P802/$AV802)/VLOOKUP(O802,职业!$A$4:$G$16,4,FALSE),0),"")</f>
        <v/>
      </c>
      <c r="AR802" t="str">
        <f>IFERROR(ROUND(S802*(R802/$AV802)/VLOOKUP(Q802,职业!$A$4:$G$16,4,FALSE),0),"")</f>
        <v/>
      </c>
      <c r="AS802" t="str">
        <f>IFERROR(ROUND(X802*(U802/$AW802)/VLOOKUP(T802,商品!$A$4:$B$60,2,FALSE),0),"")</f>
        <v/>
      </c>
      <c r="AT802" t="str">
        <f>IFERROR(ROUND(X802*(W802/$AW802)/VLOOKUP(V802,商品!$A$4:$B$60,2,FALSE),0),"")</f>
        <v/>
      </c>
      <c r="AU802">
        <f t="shared" si="237"/>
        <v>15</v>
      </c>
      <c r="AV802">
        <f t="shared" si="238"/>
        <v>0</v>
      </c>
      <c r="AW802">
        <f t="shared" si="239"/>
        <v>0</v>
      </c>
    </row>
    <row r="803" spans="1:49" ht="19.95" customHeight="1" x14ac:dyDescent="0.25">
      <c r="A803" s="16" t="s">
        <v>350</v>
      </c>
      <c r="C803" s="16">
        <v>5</v>
      </c>
      <c r="D803" s="23" t="s">
        <v>171</v>
      </c>
      <c r="E803" s="23" t="s">
        <v>175</v>
      </c>
      <c r="F803" s="2" t="s">
        <v>46</v>
      </c>
      <c r="G803" s="2">
        <v>5</v>
      </c>
      <c r="H803" s="2" t="s">
        <v>19</v>
      </c>
      <c r="I803" s="2">
        <v>10</v>
      </c>
      <c r="L803" s="15">
        <f>IFERROR(VLOOKUP($D803&amp;$C803,生产方式定位!$A$2:$E$38,2,FALSE)+VLOOKUP($E803&amp;$C803,生产方式定位!$F$3:$J$38,2,FALSE),0)</f>
        <v>1700</v>
      </c>
      <c r="S803" s="15">
        <f>IFERROR(VLOOKUP($D803&amp;$C803,生产方式定位!$A$2:$E$38,3,FALSE)+VLOOKUP($E803&amp;$C803,生产方式定位!$F$3:$J$38,3,FALSE),0)</f>
        <v>140</v>
      </c>
      <c r="X803" s="15">
        <f>IFERROR(VLOOKUP($D803&amp;$C803,生产方式定位!$A$2:$E$38,5,FALSE)+VLOOKUP($E803&amp;$C803,生产方式定位!$F$3:$J$38,5,FALSE),"错误")</f>
        <v>2080</v>
      </c>
      <c r="Y803" s="26" t="str">
        <f t="shared" si="224"/>
        <v>魔导引擎*7,煤*38</v>
      </c>
      <c r="Z803" s="36" t="str">
        <f t="shared" si="225"/>
        <v/>
      </c>
      <c r="AA803" s="36" t="str">
        <f t="shared" si="226"/>
        <v/>
      </c>
      <c r="AB803" s="27" t="str">
        <f t="shared" si="227"/>
        <v>22%</v>
      </c>
      <c r="AC803" s="2">
        <f t="shared" si="228"/>
        <v>240</v>
      </c>
      <c r="AD803" s="37">
        <f t="shared" si="229"/>
        <v>5</v>
      </c>
      <c r="AE803" t="str">
        <f t="shared" si="230"/>
        <v>魔导引擎*7</v>
      </c>
      <c r="AF803" t="str">
        <f t="shared" si="231"/>
        <v>煤*38</v>
      </c>
      <c r="AG803" t="str">
        <f t="shared" si="232"/>
        <v/>
      </c>
      <c r="AH803" t="str">
        <f t="shared" si="233"/>
        <v/>
      </c>
      <c r="AI803" t="str">
        <f t="shared" si="234"/>
        <v/>
      </c>
      <c r="AJ803" t="str">
        <f t="shared" si="235"/>
        <v/>
      </c>
      <c r="AK803" t="str">
        <f t="shared" si="236"/>
        <v/>
      </c>
      <c r="AL803">
        <f>IFERROR(ROUND(L803*(G803/$AU803)/VLOOKUP(F803,商品!$A$4:$B$60,2,FALSE),0),"")</f>
        <v>7</v>
      </c>
      <c r="AM803">
        <f>IFERROR(ROUND(L803*(I803/$AU803)/VLOOKUP(H803,商品!$A$4:$B$60,2,FALSE),0),"")</f>
        <v>38</v>
      </c>
      <c r="AN803">
        <f>IFERROR(ROUND(L803*(J803/$AU803)/VLOOKUP("运力",商品!$A$4:$B$60,2,FALSE),0),0)</f>
        <v>0</v>
      </c>
      <c r="AO803">
        <f>IFERROR(ROUND(L803*(K803/$AU803)/VLOOKUP("交易",商品!$A$4:$B$60,2,FALSE),0),0)</f>
        <v>0</v>
      </c>
      <c r="AP803" t="str">
        <f>IFERROR(ROUND(S803*(N803/$AV803)/VLOOKUP(M803,职业!$A$4:$G$16,4,FALSE),0),"")</f>
        <v/>
      </c>
      <c r="AQ803" t="str">
        <f>IFERROR(ROUND(S803*(P803/$AV803)/VLOOKUP(O803,职业!$A$4:$G$16,4,FALSE),0),"")</f>
        <v/>
      </c>
      <c r="AR803" t="str">
        <f>IFERROR(ROUND(S803*(R803/$AV803)/VLOOKUP(Q803,职业!$A$4:$G$16,4,FALSE),0),"")</f>
        <v/>
      </c>
      <c r="AS803" t="str">
        <f>IFERROR(ROUND(X803*(U803/$AW803)/VLOOKUP(T803,商品!$A$4:$B$60,2,FALSE),0),"")</f>
        <v/>
      </c>
      <c r="AT803" t="str">
        <f>IFERROR(ROUND(X803*(W803/$AW803)/VLOOKUP(V803,商品!$A$4:$B$60,2,FALSE),0),"")</f>
        <v/>
      </c>
      <c r="AU803">
        <f t="shared" si="237"/>
        <v>15</v>
      </c>
      <c r="AV803">
        <f t="shared" si="238"/>
        <v>0</v>
      </c>
      <c r="AW803">
        <f t="shared" si="239"/>
        <v>0</v>
      </c>
    </row>
    <row r="804" spans="1:49" ht="19.95" customHeight="1" x14ac:dyDescent="0.25">
      <c r="A804" s="15" t="s">
        <v>351</v>
      </c>
      <c r="C804" s="15">
        <v>1</v>
      </c>
      <c r="D804" s="23" t="s">
        <v>174</v>
      </c>
      <c r="E804" s="23" t="s">
        <v>177</v>
      </c>
      <c r="L804" s="16">
        <f>IFERROR(VLOOKUP($D804&amp;$C804,生产方式定位!$A$2:$E$38,2,FALSE)+VLOOKUP($E804&amp;$C804,生产方式定位!$F$3:$J$38,2,FALSE),0)</f>
        <v>0</v>
      </c>
      <c r="S804" s="16">
        <f>IFERROR(VLOOKUP($D804&amp;$C804,生产方式定位!$A$2:$E$38,3,FALSE)+VLOOKUP($E804&amp;$C804,生产方式定位!$F$3:$J$38,3,FALSE),0)</f>
        <v>0</v>
      </c>
      <c r="X804" s="16">
        <f>IFERROR(VLOOKUP($D804&amp;$C804,生产方式定位!$A$2:$E$38,5,FALSE)+VLOOKUP($E804&amp;$C804,生产方式定位!$F$3:$J$38,5,FALSE),"错误")</f>
        <v>0</v>
      </c>
      <c r="Y804" s="26" t="str">
        <f t="shared" si="224"/>
        <v/>
      </c>
      <c r="Z804" s="36" t="str">
        <f t="shared" si="225"/>
        <v/>
      </c>
      <c r="AA804" s="36" t="str">
        <f t="shared" si="226"/>
        <v/>
      </c>
      <c r="AB804" s="27" t="str">
        <f t="shared" si="227"/>
        <v/>
      </c>
      <c r="AC804" s="2" t="str">
        <f t="shared" si="228"/>
        <v/>
      </c>
      <c r="AD804" s="38">
        <f t="shared" si="229"/>
        <v>1</v>
      </c>
      <c r="AE804" t="str">
        <f t="shared" si="230"/>
        <v/>
      </c>
      <c r="AF804" t="str">
        <f t="shared" si="231"/>
        <v/>
      </c>
      <c r="AG804" t="str">
        <f t="shared" si="232"/>
        <v/>
      </c>
      <c r="AH804" t="str">
        <f t="shared" si="233"/>
        <v/>
      </c>
      <c r="AI804" t="str">
        <f t="shared" si="234"/>
        <v/>
      </c>
      <c r="AJ804" t="str">
        <f t="shared" si="235"/>
        <v/>
      </c>
      <c r="AK804" t="str">
        <f t="shared" si="236"/>
        <v/>
      </c>
      <c r="AL804" t="str">
        <f>IFERROR(ROUND(L804*(G804/$AU804)/VLOOKUP(F804,商品!$A$4:$B$60,2,FALSE),0),"")</f>
        <v/>
      </c>
      <c r="AM804" t="str">
        <f>IFERROR(ROUND(L804*(I804/$AU804)/VLOOKUP(H804,商品!$A$4:$B$60,2,FALSE),0),"")</f>
        <v/>
      </c>
      <c r="AN804">
        <f>IFERROR(ROUND(L804*(J804/$AU804)/VLOOKUP("运力",商品!$A$4:$B$60,2,FALSE),0),0)</f>
        <v>0</v>
      </c>
      <c r="AO804">
        <f>IFERROR(ROUND(L804*(K804/$AU804)/VLOOKUP("交易",商品!$A$4:$B$60,2,FALSE),0),0)</f>
        <v>0</v>
      </c>
      <c r="AP804" t="str">
        <f>IFERROR(ROUND(S804*(N804/$AV804)/VLOOKUP(M804,职业!$A$4:$G$16,4,FALSE),0),"")</f>
        <v/>
      </c>
      <c r="AQ804" t="str">
        <f>IFERROR(ROUND(S804*(P804/$AV804)/VLOOKUP(O804,职业!$A$4:$G$16,4,FALSE),0),"")</f>
        <v/>
      </c>
      <c r="AR804" t="str">
        <f>IFERROR(ROUND(S804*(R804/$AV804)/VLOOKUP(Q804,职业!$A$4:$G$16,4,FALSE),0),"")</f>
        <v/>
      </c>
      <c r="AS804" t="str">
        <f>IFERROR(ROUND(X804*(U804/$AW804)/VLOOKUP(T804,商品!$A$4:$B$60,2,FALSE),0),"")</f>
        <v/>
      </c>
      <c r="AT804" t="str">
        <f>IFERROR(ROUND(X804*(W804/$AW804)/VLOOKUP(V804,商品!$A$4:$B$60,2,FALSE),0),"")</f>
        <v/>
      </c>
      <c r="AU804">
        <f t="shared" si="237"/>
        <v>0</v>
      </c>
      <c r="AV804">
        <f t="shared" si="238"/>
        <v>0</v>
      </c>
      <c r="AW804">
        <f t="shared" si="239"/>
        <v>0</v>
      </c>
    </row>
    <row r="805" spans="1:49" ht="19.95" customHeight="1" x14ac:dyDescent="0.25">
      <c r="A805" s="15" t="s">
        <v>351</v>
      </c>
      <c r="C805" s="15">
        <v>2</v>
      </c>
      <c r="D805" s="23" t="s">
        <v>174</v>
      </c>
      <c r="E805" s="23" t="s">
        <v>177</v>
      </c>
      <c r="F805" s="2" t="s">
        <v>42</v>
      </c>
      <c r="G805" s="2">
        <v>5</v>
      </c>
      <c r="H805" s="2" t="s">
        <v>20</v>
      </c>
      <c r="I805" s="2">
        <v>10</v>
      </c>
      <c r="L805" s="16">
        <f>IFERROR(VLOOKUP($D805&amp;$C805,生产方式定位!$A$2:$E$38,2,FALSE)+VLOOKUP($E805&amp;$C805,生产方式定位!$F$3:$J$38,2,FALSE),0)</f>
        <v>105</v>
      </c>
      <c r="S805" s="16">
        <f>IFERROR(VLOOKUP($D805&amp;$C805,生产方式定位!$A$2:$E$38,3,FALSE)+VLOOKUP($E805&amp;$C805,生产方式定位!$F$3:$J$38,3,FALSE),0)</f>
        <v>15</v>
      </c>
      <c r="X805" s="16">
        <f>IFERROR(VLOOKUP($D805&amp;$C805,生产方式定位!$A$2:$E$38,5,FALSE)+VLOOKUP($E805&amp;$C805,生产方式定位!$F$3:$J$38,5,FALSE),"错误")</f>
        <v>0</v>
      </c>
      <c r="Y805" s="26" t="str">
        <f t="shared" si="224"/>
        <v>魔偶*1,灵能水晶*2</v>
      </c>
      <c r="Z805" s="36" t="str">
        <f t="shared" si="225"/>
        <v/>
      </c>
      <c r="AA805" s="36" t="str">
        <f t="shared" si="226"/>
        <v/>
      </c>
      <c r="AB805" s="27" t="str">
        <f t="shared" si="227"/>
        <v>-100%</v>
      </c>
      <c r="AC805" s="2">
        <f t="shared" si="228"/>
        <v>-120</v>
      </c>
      <c r="AD805" s="38">
        <f t="shared" si="229"/>
        <v>2</v>
      </c>
      <c r="AE805" t="str">
        <f t="shared" si="230"/>
        <v>魔偶*1</v>
      </c>
      <c r="AF805" t="str">
        <f t="shared" si="231"/>
        <v>灵能水晶*2</v>
      </c>
      <c r="AG805" t="str">
        <f t="shared" si="232"/>
        <v/>
      </c>
      <c r="AH805" t="str">
        <f t="shared" si="233"/>
        <v/>
      </c>
      <c r="AI805" t="str">
        <f t="shared" si="234"/>
        <v/>
      </c>
      <c r="AJ805" t="str">
        <f t="shared" si="235"/>
        <v/>
      </c>
      <c r="AK805" t="str">
        <f t="shared" si="236"/>
        <v/>
      </c>
      <c r="AL805">
        <f>IFERROR(ROUND(L805*(G805/$AU805)/VLOOKUP(F805,商品!$A$4:$B$60,2,FALSE),0),"")</f>
        <v>1</v>
      </c>
      <c r="AM805">
        <f>IFERROR(ROUND(L805*(I805/$AU805)/VLOOKUP(H805,商品!$A$4:$B$60,2,FALSE),0),"")</f>
        <v>2</v>
      </c>
      <c r="AN805">
        <f>IFERROR(ROUND(L805*(J805/$AU805)/VLOOKUP("运力",商品!$A$4:$B$60,2,FALSE),0),0)</f>
        <v>0</v>
      </c>
      <c r="AO805">
        <f>IFERROR(ROUND(L805*(K805/$AU805)/VLOOKUP("交易",商品!$A$4:$B$60,2,FALSE),0),0)</f>
        <v>0</v>
      </c>
      <c r="AP805" t="str">
        <f>IFERROR(ROUND(S805*(N805/$AV805)/VLOOKUP(M805,职业!$A$4:$G$16,4,FALSE),0),"")</f>
        <v/>
      </c>
      <c r="AQ805" t="str">
        <f>IFERROR(ROUND(S805*(P805/$AV805)/VLOOKUP(O805,职业!$A$4:$G$16,4,FALSE),0),"")</f>
        <v/>
      </c>
      <c r="AR805" t="str">
        <f>IFERROR(ROUND(S805*(R805/$AV805)/VLOOKUP(Q805,职业!$A$4:$G$16,4,FALSE),0),"")</f>
        <v/>
      </c>
      <c r="AS805" t="str">
        <f>IFERROR(ROUND(X805*(U805/$AW805)/VLOOKUP(T805,商品!$A$4:$B$60,2,FALSE),0),"")</f>
        <v/>
      </c>
      <c r="AT805" t="str">
        <f>IFERROR(ROUND(X805*(W805/$AW805)/VLOOKUP(V805,商品!$A$4:$B$60,2,FALSE),0),"")</f>
        <v/>
      </c>
      <c r="AU805">
        <f t="shared" si="237"/>
        <v>15</v>
      </c>
      <c r="AV805">
        <f t="shared" si="238"/>
        <v>0</v>
      </c>
      <c r="AW805">
        <f t="shared" si="239"/>
        <v>0</v>
      </c>
    </row>
    <row r="806" spans="1:49" ht="19.95" customHeight="1" x14ac:dyDescent="0.25">
      <c r="A806" s="15" t="s">
        <v>351</v>
      </c>
      <c r="C806" s="15">
        <v>3</v>
      </c>
      <c r="D806" s="23" t="s">
        <v>174</v>
      </c>
      <c r="E806" s="23" t="s">
        <v>177</v>
      </c>
      <c r="F806" s="2" t="s">
        <v>42</v>
      </c>
      <c r="G806" s="2">
        <v>5</v>
      </c>
      <c r="H806" s="2" t="s">
        <v>20</v>
      </c>
      <c r="I806" s="2">
        <v>10</v>
      </c>
      <c r="L806" s="16">
        <f>IFERROR(VLOOKUP($D806&amp;$C806,生产方式定位!$A$2:$E$38,2,FALSE)+VLOOKUP($E806&amp;$C806,生产方式定位!$F$3:$J$38,2,FALSE),0)</f>
        <v>210</v>
      </c>
      <c r="S806" s="16">
        <f>IFERROR(VLOOKUP($D806&amp;$C806,生产方式定位!$A$2:$E$38,3,FALSE)+VLOOKUP($E806&amp;$C806,生产方式定位!$F$3:$J$38,3,FALSE),0)</f>
        <v>30</v>
      </c>
      <c r="X806" s="16">
        <f>IFERROR(VLOOKUP($D806&amp;$C806,生产方式定位!$A$2:$E$38,5,FALSE)+VLOOKUP($E806&amp;$C806,生产方式定位!$F$3:$J$38,5,FALSE),"错误")</f>
        <v>0</v>
      </c>
      <c r="Y806" s="26" t="str">
        <f t="shared" si="224"/>
        <v>魔偶*2,灵能水晶*5</v>
      </c>
      <c r="Z806" s="36" t="str">
        <f t="shared" si="225"/>
        <v/>
      </c>
      <c r="AA806" s="36" t="str">
        <f t="shared" si="226"/>
        <v/>
      </c>
      <c r="AB806" s="27" t="str">
        <f t="shared" si="227"/>
        <v>-100%</v>
      </c>
      <c r="AC806" s="2">
        <f t="shared" si="228"/>
        <v>-240</v>
      </c>
      <c r="AD806" s="38">
        <f t="shared" si="229"/>
        <v>3</v>
      </c>
      <c r="AE806" t="str">
        <f t="shared" si="230"/>
        <v>魔偶*2</v>
      </c>
      <c r="AF806" t="str">
        <f t="shared" si="231"/>
        <v>灵能水晶*5</v>
      </c>
      <c r="AG806" t="str">
        <f t="shared" si="232"/>
        <v/>
      </c>
      <c r="AH806" t="str">
        <f t="shared" si="233"/>
        <v/>
      </c>
      <c r="AI806" t="str">
        <f t="shared" si="234"/>
        <v/>
      </c>
      <c r="AJ806" t="str">
        <f t="shared" si="235"/>
        <v/>
      </c>
      <c r="AK806" t="str">
        <f t="shared" si="236"/>
        <v/>
      </c>
      <c r="AL806">
        <f>IFERROR(ROUND(L806*(G806/$AU806)/VLOOKUP(F806,商品!$A$4:$B$60,2,FALSE),0),"")</f>
        <v>2</v>
      </c>
      <c r="AM806">
        <f>IFERROR(ROUND(L806*(I806/$AU806)/VLOOKUP(H806,商品!$A$4:$B$60,2,FALSE),0),"")</f>
        <v>5</v>
      </c>
      <c r="AN806">
        <f>IFERROR(ROUND(L806*(J806/$AU806)/VLOOKUP("运力",商品!$A$4:$B$60,2,FALSE),0),0)</f>
        <v>0</v>
      </c>
      <c r="AO806">
        <f>IFERROR(ROUND(L806*(K806/$AU806)/VLOOKUP("交易",商品!$A$4:$B$60,2,FALSE),0),0)</f>
        <v>0</v>
      </c>
      <c r="AP806" t="str">
        <f>IFERROR(ROUND(S806*(N806/$AV806)/VLOOKUP(M806,职业!$A$4:$G$16,4,FALSE),0),"")</f>
        <v/>
      </c>
      <c r="AQ806" t="str">
        <f>IFERROR(ROUND(S806*(P806/$AV806)/VLOOKUP(O806,职业!$A$4:$G$16,4,FALSE),0),"")</f>
        <v/>
      </c>
      <c r="AR806" t="str">
        <f>IFERROR(ROUND(S806*(R806/$AV806)/VLOOKUP(Q806,职业!$A$4:$G$16,4,FALSE),0),"")</f>
        <v/>
      </c>
      <c r="AS806" t="str">
        <f>IFERROR(ROUND(X806*(U806/$AW806)/VLOOKUP(T806,商品!$A$4:$B$60,2,FALSE),0),"")</f>
        <v/>
      </c>
      <c r="AT806" t="str">
        <f>IFERROR(ROUND(X806*(W806/$AW806)/VLOOKUP(V806,商品!$A$4:$B$60,2,FALSE),0),"")</f>
        <v/>
      </c>
      <c r="AU806">
        <f t="shared" si="237"/>
        <v>15</v>
      </c>
      <c r="AV806">
        <f t="shared" si="238"/>
        <v>0</v>
      </c>
      <c r="AW806">
        <f t="shared" si="239"/>
        <v>0</v>
      </c>
    </row>
    <row r="807" spans="1:49" ht="19.95" customHeight="1" x14ac:dyDescent="0.25">
      <c r="A807" s="15" t="s">
        <v>351</v>
      </c>
      <c r="C807" s="15">
        <v>4</v>
      </c>
      <c r="D807" s="23" t="s">
        <v>174</v>
      </c>
      <c r="E807" s="23" t="s">
        <v>177</v>
      </c>
      <c r="F807" s="2" t="s">
        <v>42</v>
      </c>
      <c r="G807" s="2">
        <v>5</v>
      </c>
      <c r="H807" s="2" t="s">
        <v>20</v>
      </c>
      <c r="I807" s="2">
        <v>10</v>
      </c>
      <c r="L807" s="16">
        <f>IFERROR(VLOOKUP($D807&amp;$C807,生产方式定位!$A$2:$E$38,2,FALSE)+VLOOKUP($E807&amp;$C807,生产方式定位!$F$3:$J$38,2,FALSE),0)</f>
        <v>315</v>
      </c>
      <c r="S807" s="16">
        <f>IFERROR(VLOOKUP($D807&amp;$C807,生产方式定位!$A$2:$E$38,3,FALSE)+VLOOKUP($E807&amp;$C807,生产方式定位!$F$3:$J$38,3,FALSE),0)</f>
        <v>45</v>
      </c>
      <c r="X807" s="16">
        <f>IFERROR(VLOOKUP($D807&amp;$C807,生产方式定位!$A$2:$E$38,5,FALSE)+VLOOKUP($E807&amp;$C807,生产方式定位!$F$3:$J$38,5,FALSE),"错误")</f>
        <v>0</v>
      </c>
      <c r="Y807" s="26" t="str">
        <f t="shared" si="224"/>
        <v>魔偶*3,灵能水晶*7</v>
      </c>
      <c r="Z807" s="36" t="str">
        <f t="shared" si="225"/>
        <v/>
      </c>
      <c r="AA807" s="36" t="str">
        <f t="shared" si="226"/>
        <v/>
      </c>
      <c r="AB807" s="27" t="str">
        <f t="shared" si="227"/>
        <v>-100%</v>
      </c>
      <c r="AC807" s="2">
        <f t="shared" si="228"/>
        <v>-360</v>
      </c>
      <c r="AD807" s="38">
        <f t="shared" si="229"/>
        <v>4</v>
      </c>
      <c r="AE807" t="str">
        <f t="shared" si="230"/>
        <v>魔偶*3</v>
      </c>
      <c r="AF807" t="str">
        <f t="shared" si="231"/>
        <v>灵能水晶*7</v>
      </c>
      <c r="AG807" t="str">
        <f t="shared" si="232"/>
        <v/>
      </c>
      <c r="AH807" t="str">
        <f t="shared" si="233"/>
        <v/>
      </c>
      <c r="AI807" t="str">
        <f t="shared" si="234"/>
        <v/>
      </c>
      <c r="AJ807" t="str">
        <f t="shared" si="235"/>
        <v/>
      </c>
      <c r="AK807" t="str">
        <f t="shared" si="236"/>
        <v/>
      </c>
      <c r="AL807">
        <f>IFERROR(ROUND(L807*(G807/$AU807)/VLOOKUP(F807,商品!$A$4:$B$60,2,FALSE),0),"")</f>
        <v>3</v>
      </c>
      <c r="AM807">
        <f>IFERROR(ROUND(L807*(I807/$AU807)/VLOOKUP(H807,商品!$A$4:$B$60,2,FALSE),0),"")</f>
        <v>7</v>
      </c>
      <c r="AN807">
        <f>IFERROR(ROUND(L807*(J807/$AU807)/VLOOKUP("运力",商品!$A$4:$B$60,2,FALSE),0),0)</f>
        <v>0</v>
      </c>
      <c r="AO807">
        <f>IFERROR(ROUND(L807*(K807/$AU807)/VLOOKUP("交易",商品!$A$4:$B$60,2,FALSE),0),0)</f>
        <v>0</v>
      </c>
      <c r="AP807" t="str">
        <f>IFERROR(ROUND(S807*(N807/$AV807)/VLOOKUP(M807,职业!$A$4:$G$16,4,FALSE),0),"")</f>
        <v/>
      </c>
      <c r="AQ807" t="str">
        <f>IFERROR(ROUND(S807*(P807/$AV807)/VLOOKUP(O807,职业!$A$4:$G$16,4,FALSE),0),"")</f>
        <v/>
      </c>
      <c r="AR807" t="str">
        <f>IFERROR(ROUND(S807*(R807/$AV807)/VLOOKUP(Q807,职业!$A$4:$G$16,4,FALSE),0),"")</f>
        <v/>
      </c>
      <c r="AS807" t="str">
        <f>IFERROR(ROUND(X807*(U807/$AW807)/VLOOKUP(T807,商品!$A$4:$B$60,2,FALSE),0),"")</f>
        <v/>
      </c>
      <c r="AT807" t="str">
        <f>IFERROR(ROUND(X807*(W807/$AW807)/VLOOKUP(V807,商品!$A$4:$B$60,2,FALSE),0),"")</f>
        <v/>
      </c>
      <c r="AU807">
        <f t="shared" si="237"/>
        <v>15</v>
      </c>
      <c r="AV807">
        <f t="shared" si="238"/>
        <v>0</v>
      </c>
      <c r="AW807">
        <f t="shared" si="239"/>
        <v>0</v>
      </c>
    </row>
    <row r="808" spans="1:49" ht="19.95" customHeight="1" x14ac:dyDescent="0.25">
      <c r="A808" s="15" t="s">
        <v>351</v>
      </c>
      <c r="C808" s="15">
        <v>5</v>
      </c>
      <c r="D808" s="23" t="s">
        <v>174</v>
      </c>
      <c r="E808" s="23" t="s">
        <v>177</v>
      </c>
      <c r="F808" s="2" t="s">
        <v>42</v>
      </c>
      <c r="G808" s="2">
        <v>5</v>
      </c>
      <c r="H808" s="2" t="s">
        <v>20</v>
      </c>
      <c r="I808" s="2">
        <v>10</v>
      </c>
      <c r="L808" s="16">
        <f>IFERROR(VLOOKUP($D808&amp;$C808,生产方式定位!$A$2:$E$38,2,FALSE)+VLOOKUP($E808&amp;$C808,生产方式定位!$F$3:$J$38,2,FALSE),0)</f>
        <v>420</v>
      </c>
      <c r="S808" s="16">
        <f>IFERROR(VLOOKUP($D808&amp;$C808,生产方式定位!$A$2:$E$38,3,FALSE)+VLOOKUP($E808&amp;$C808,生产方式定位!$F$3:$J$38,3,FALSE),0)</f>
        <v>60</v>
      </c>
      <c r="X808" s="16">
        <f>IFERROR(VLOOKUP($D808&amp;$C808,生产方式定位!$A$2:$E$38,5,FALSE)+VLOOKUP($E808&amp;$C808,生产方式定位!$F$3:$J$38,5,FALSE),"错误")</f>
        <v>0</v>
      </c>
      <c r="Y808" s="26" t="str">
        <f t="shared" si="224"/>
        <v>魔偶*4,灵能水晶*9</v>
      </c>
      <c r="Z808" s="36" t="str">
        <f t="shared" si="225"/>
        <v/>
      </c>
      <c r="AA808" s="36" t="str">
        <f t="shared" si="226"/>
        <v/>
      </c>
      <c r="AB808" s="27" t="str">
        <f t="shared" si="227"/>
        <v>-100%</v>
      </c>
      <c r="AC808" s="2">
        <f t="shared" si="228"/>
        <v>-480</v>
      </c>
      <c r="AD808" s="38">
        <f t="shared" si="229"/>
        <v>5</v>
      </c>
      <c r="AE808" t="str">
        <f t="shared" si="230"/>
        <v>魔偶*4</v>
      </c>
      <c r="AF808" t="str">
        <f t="shared" si="231"/>
        <v>灵能水晶*9</v>
      </c>
      <c r="AG808" t="str">
        <f t="shared" si="232"/>
        <v/>
      </c>
      <c r="AH808" t="str">
        <f t="shared" si="233"/>
        <v/>
      </c>
      <c r="AI808" t="str">
        <f t="shared" si="234"/>
        <v/>
      </c>
      <c r="AJ808" t="str">
        <f t="shared" si="235"/>
        <v/>
      </c>
      <c r="AK808" t="str">
        <f t="shared" si="236"/>
        <v/>
      </c>
      <c r="AL808">
        <f>IFERROR(ROUND(L808*(G808/$AU808)/VLOOKUP(F808,商品!$A$4:$B$60,2,FALSE),0),"")</f>
        <v>4</v>
      </c>
      <c r="AM808">
        <f>IFERROR(ROUND(L808*(I808/$AU808)/VLOOKUP(H808,商品!$A$4:$B$60,2,FALSE),0),"")</f>
        <v>9</v>
      </c>
      <c r="AN808">
        <f>IFERROR(ROUND(L808*(J808/$AU808)/VLOOKUP("运力",商品!$A$4:$B$60,2,FALSE),0),0)</f>
        <v>0</v>
      </c>
      <c r="AO808">
        <f>IFERROR(ROUND(L808*(K808/$AU808)/VLOOKUP("交易",商品!$A$4:$B$60,2,FALSE),0),0)</f>
        <v>0</v>
      </c>
      <c r="AP808" t="str">
        <f>IFERROR(ROUND(S808*(N808/$AV808)/VLOOKUP(M808,职业!$A$4:$G$16,4,FALSE),0),"")</f>
        <v/>
      </c>
      <c r="AQ808" t="str">
        <f>IFERROR(ROUND(S808*(P808/$AV808)/VLOOKUP(O808,职业!$A$4:$G$16,4,FALSE),0),"")</f>
        <v/>
      </c>
      <c r="AR808" t="str">
        <f>IFERROR(ROUND(S808*(R808/$AV808)/VLOOKUP(Q808,职业!$A$4:$G$16,4,FALSE),0),"")</f>
        <v/>
      </c>
      <c r="AS808" t="str">
        <f>IFERROR(ROUND(X808*(U808/$AW808)/VLOOKUP(T808,商品!$A$4:$B$60,2,FALSE),0),"")</f>
        <v/>
      </c>
      <c r="AT808" t="str">
        <f>IFERROR(ROUND(X808*(W808/$AW808)/VLOOKUP(V808,商品!$A$4:$B$60,2,FALSE),0),"")</f>
        <v/>
      </c>
      <c r="AU808">
        <f t="shared" si="237"/>
        <v>15</v>
      </c>
      <c r="AV808">
        <f t="shared" si="238"/>
        <v>0</v>
      </c>
      <c r="AW808">
        <f t="shared" si="239"/>
        <v>0</v>
      </c>
    </row>
    <row r="809" spans="1:49" ht="19.95" customHeight="1" x14ac:dyDescent="0.25">
      <c r="A809" s="15" t="s">
        <v>351</v>
      </c>
      <c r="C809" s="15">
        <v>6</v>
      </c>
      <c r="D809" s="23" t="s">
        <v>174</v>
      </c>
      <c r="E809" s="23" t="s">
        <v>179</v>
      </c>
      <c r="L809" s="16">
        <f>IFERROR(VLOOKUP($D809&amp;$C809,生产方式定位!$A$2:$E$38,2,FALSE)+VLOOKUP($E809&amp;$C809,生产方式定位!$F$3:$J$38,2,FALSE),0)</f>
        <v>0</v>
      </c>
      <c r="S809" s="16">
        <f>IFERROR(VLOOKUP($D809&amp;$C809,生产方式定位!$A$2:$E$38,3,FALSE)+VLOOKUP($E809&amp;$C809,生产方式定位!$F$3:$J$38,3,FALSE),0)</f>
        <v>100</v>
      </c>
      <c r="X809" s="16">
        <f>IFERROR(VLOOKUP($D809&amp;$C809,生产方式定位!$A$2:$E$38,5,FALSE)+VLOOKUP($E809&amp;$C809,生产方式定位!$F$3:$J$38,5,FALSE),"错误")</f>
        <v>100</v>
      </c>
      <c r="Y809" s="26" t="str">
        <f t="shared" si="224"/>
        <v/>
      </c>
      <c r="Z809" s="36" t="str">
        <f t="shared" si="225"/>
        <v/>
      </c>
      <c r="AA809" s="36" t="str">
        <f t="shared" si="226"/>
        <v/>
      </c>
      <c r="AB809" s="27" t="str">
        <f t="shared" si="227"/>
        <v/>
      </c>
      <c r="AC809" s="2" t="str">
        <f t="shared" si="228"/>
        <v/>
      </c>
      <c r="AD809" s="37">
        <f t="shared" si="229"/>
        <v>6</v>
      </c>
      <c r="AE809" t="str">
        <f t="shared" si="230"/>
        <v/>
      </c>
      <c r="AF809" t="str">
        <f t="shared" si="231"/>
        <v/>
      </c>
      <c r="AG809" t="str">
        <f t="shared" si="232"/>
        <v/>
      </c>
      <c r="AH809" t="str">
        <f t="shared" si="233"/>
        <v/>
      </c>
      <c r="AI809" t="str">
        <f t="shared" si="234"/>
        <v/>
      </c>
      <c r="AJ809" t="str">
        <f t="shared" si="235"/>
        <v/>
      </c>
      <c r="AK809" t="str">
        <f t="shared" si="236"/>
        <v/>
      </c>
      <c r="AL809" t="str">
        <f>IFERROR(ROUND(L809*(G809/$AU809)/VLOOKUP(F809,商品!$A$4:$B$60,2,FALSE),0),"")</f>
        <v/>
      </c>
      <c r="AM809" t="str">
        <f>IFERROR(ROUND(L809*(I809/$AU809)/VLOOKUP(H809,商品!$A$4:$B$60,2,FALSE),0),"")</f>
        <v/>
      </c>
      <c r="AN809">
        <f>IFERROR(ROUND(L809*(J809/$AU809)/VLOOKUP("运力",商品!$A$4:$B$60,2,FALSE),0),0)</f>
        <v>0</v>
      </c>
      <c r="AO809">
        <f>IFERROR(ROUND(L809*(K809/$AU809)/VLOOKUP("交易",商品!$A$4:$B$60,2,FALSE),0),0)</f>
        <v>0</v>
      </c>
      <c r="AP809" t="str">
        <f>IFERROR(ROUND(S809*(N809/$AV809)/VLOOKUP(M809,职业!$A$4:$G$16,4,FALSE),0),"")</f>
        <v/>
      </c>
      <c r="AQ809" t="str">
        <f>IFERROR(ROUND(S809*(P809/$AV809)/VLOOKUP(O809,职业!$A$4:$G$16,4,FALSE),0),"")</f>
        <v/>
      </c>
      <c r="AR809" t="str">
        <f>IFERROR(ROUND(S809*(R809/$AV809)/VLOOKUP(Q809,职业!$A$4:$G$16,4,FALSE),0),"")</f>
        <v/>
      </c>
      <c r="AS809" t="str">
        <f>IFERROR(ROUND(X809*(U809/$AW809)/VLOOKUP(T809,商品!$A$4:$B$60,2,FALSE),0),"")</f>
        <v/>
      </c>
      <c r="AT809" t="str">
        <f>IFERROR(ROUND(X809*(W809/$AW809)/VLOOKUP(V809,商品!$A$4:$B$60,2,FALSE),0),"")</f>
        <v/>
      </c>
      <c r="AU809">
        <f t="shared" si="237"/>
        <v>0</v>
      </c>
      <c r="AV809">
        <f t="shared" si="238"/>
        <v>0</v>
      </c>
      <c r="AW809">
        <f t="shared" si="239"/>
        <v>0</v>
      </c>
    </row>
    <row r="810" spans="1:49" ht="19.95" customHeight="1" x14ac:dyDescent="0.25">
      <c r="A810" s="15" t="s">
        <v>351</v>
      </c>
      <c r="C810" s="15">
        <v>7</v>
      </c>
      <c r="D810" s="23" t="s">
        <v>174</v>
      </c>
      <c r="E810" s="23" t="s">
        <v>179</v>
      </c>
      <c r="L810" s="16">
        <f>IFERROR(VLOOKUP($D810&amp;$C810,生产方式定位!$A$2:$E$38,2,FALSE)+VLOOKUP($E810&amp;$C810,生产方式定位!$F$3:$J$38,2,FALSE),0)</f>
        <v>0</v>
      </c>
      <c r="S810" s="16">
        <f>IFERROR(VLOOKUP($D810&amp;$C810,生产方式定位!$A$2:$E$38,3,FALSE)+VLOOKUP($E810&amp;$C810,生产方式定位!$F$3:$J$38,3,FALSE),0)</f>
        <v>100</v>
      </c>
      <c r="X810" s="16">
        <f>IFERROR(VLOOKUP($D810&amp;$C810,生产方式定位!$A$2:$E$38,5,FALSE)+VLOOKUP($E810&amp;$C810,生产方式定位!$F$3:$J$38,5,FALSE),"错误")</f>
        <v>100</v>
      </c>
      <c r="Y810" s="26" t="str">
        <f t="shared" si="224"/>
        <v/>
      </c>
      <c r="Z810" s="36" t="str">
        <f t="shared" si="225"/>
        <v/>
      </c>
      <c r="AA810" s="36" t="str">
        <f t="shared" si="226"/>
        <v/>
      </c>
      <c r="AB810" s="27" t="str">
        <f t="shared" si="227"/>
        <v/>
      </c>
      <c r="AC810" s="2" t="str">
        <f t="shared" si="228"/>
        <v/>
      </c>
      <c r="AD810" s="37">
        <f t="shared" si="229"/>
        <v>7</v>
      </c>
      <c r="AE810" t="str">
        <f t="shared" si="230"/>
        <v/>
      </c>
      <c r="AF810" t="str">
        <f t="shared" si="231"/>
        <v/>
      </c>
      <c r="AG810" t="str">
        <f t="shared" si="232"/>
        <v/>
      </c>
      <c r="AH810" t="str">
        <f t="shared" si="233"/>
        <v/>
      </c>
      <c r="AI810" t="str">
        <f t="shared" si="234"/>
        <v/>
      </c>
      <c r="AJ810" t="str">
        <f t="shared" si="235"/>
        <v/>
      </c>
      <c r="AK810" t="str">
        <f t="shared" si="236"/>
        <v/>
      </c>
      <c r="AL810" t="str">
        <f>IFERROR(ROUND(L810*(G810/$AU810)/VLOOKUP(F810,商品!$A$4:$B$60,2,FALSE),0),"")</f>
        <v/>
      </c>
      <c r="AM810" t="str">
        <f>IFERROR(ROUND(L810*(I810/$AU810)/VLOOKUP(H810,商品!$A$4:$B$60,2,FALSE),0),"")</f>
        <v/>
      </c>
      <c r="AN810">
        <f>IFERROR(ROUND(L810*(J810/$AU810)/VLOOKUP("运力",商品!$A$4:$B$60,2,FALSE),0),0)</f>
        <v>0</v>
      </c>
      <c r="AO810">
        <f>IFERROR(ROUND(L810*(K810/$AU810)/VLOOKUP("交易",商品!$A$4:$B$60,2,FALSE),0),0)</f>
        <v>0</v>
      </c>
      <c r="AP810" t="str">
        <f>IFERROR(ROUND(S810*(N810/$AV810)/VLOOKUP(M810,职业!$A$4:$G$16,4,FALSE),0),"")</f>
        <v/>
      </c>
      <c r="AQ810" t="str">
        <f>IFERROR(ROUND(S810*(P810/$AV810)/VLOOKUP(O810,职业!$A$4:$G$16,4,FALSE),0),"")</f>
        <v/>
      </c>
      <c r="AR810" t="str">
        <f>IFERROR(ROUND(S810*(R810/$AV810)/VLOOKUP(Q810,职业!$A$4:$G$16,4,FALSE),0),"")</f>
        <v/>
      </c>
      <c r="AS810" t="str">
        <f>IFERROR(ROUND(X810*(U810/$AW810)/VLOOKUP(T810,商品!$A$4:$B$60,2,FALSE),0),"")</f>
        <v/>
      </c>
      <c r="AT810" t="str">
        <f>IFERROR(ROUND(X810*(W810/$AW810)/VLOOKUP(V810,商品!$A$4:$B$60,2,FALSE),0),"")</f>
        <v/>
      </c>
      <c r="AU810">
        <f t="shared" si="237"/>
        <v>0</v>
      </c>
      <c r="AV810">
        <f t="shared" si="238"/>
        <v>0</v>
      </c>
      <c r="AW810">
        <f t="shared" si="239"/>
        <v>0</v>
      </c>
    </row>
    <row r="811" spans="1:49" ht="19.95" customHeight="1" x14ac:dyDescent="0.25">
      <c r="A811" s="15" t="s">
        <v>351</v>
      </c>
      <c r="C811" s="15">
        <v>8</v>
      </c>
      <c r="D811" s="23" t="s">
        <v>174</v>
      </c>
      <c r="E811" s="23" t="s">
        <v>179</v>
      </c>
      <c r="L811" s="16">
        <f>IFERROR(VLOOKUP($D811&amp;$C811,生产方式定位!$A$2:$E$38,2,FALSE)+VLOOKUP($E811&amp;$C811,生产方式定位!$F$3:$J$38,2,FALSE),0)</f>
        <v>0</v>
      </c>
      <c r="S811" s="16">
        <f>IFERROR(VLOOKUP($D811&amp;$C811,生产方式定位!$A$2:$E$38,3,FALSE)+VLOOKUP($E811&amp;$C811,生产方式定位!$F$3:$J$38,3,FALSE),0)</f>
        <v>100</v>
      </c>
      <c r="X811" s="16">
        <f>IFERROR(VLOOKUP($D811&amp;$C811,生产方式定位!$A$2:$E$38,5,FALSE)+VLOOKUP($E811&amp;$C811,生产方式定位!$F$3:$J$38,5,FALSE),"错误")</f>
        <v>100</v>
      </c>
      <c r="Y811" s="26" t="str">
        <f t="shared" si="224"/>
        <v/>
      </c>
      <c r="Z811" s="36" t="str">
        <f t="shared" si="225"/>
        <v/>
      </c>
      <c r="AA811" s="36" t="str">
        <f t="shared" si="226"/>
        <v/>
      </c>
      <c r="AB811" s="27" t="str">
        <f t="shared" si="227"/>
        <v/>
      </c>
      <c r="AC811" s="2" t="str">
        <f t="shared" si="228"/>
        <v/>
      </c>
      <c r="AD811" s="37">
        <f t="shared" si="229"/>
        <v>8</v>
      </c>
      <c r="AE811" t="str">
        <f t="shared" si="230"/>
        <v/>
      </c>
      <c r="AF811" t="str">
        <f t="shared" si="231"/>
        <v/>
      </c>
      <c r="AG811" t="str">
        <f t="shared" si="232"/>
        <v/>
      </c>
      <c r="AH811" t="str">
        <f t="shared" si="233"/>
        <v/>
      </c>
      <c r="AI811" t="str">
        <f t="shared" si="234"/>
        <v/>
      </c>
      <c r="AJ811" t="str">
        <f t="shared" si="235"/>
        <v/>
      </c>
      <c r="AK811" t="str">
        <f t="shared" si="236"/>
        <v/>
      </c>
      <c r="AL811" t="str">
        <f>IFERROR(ROUND(L811*(G811/$AU811)/VLOOKUP(F811,商品!$A$4:$B$60,2,FALSE),0),"")</f>
        <v/>
      </c>
      <c r="AM811" t="str">
        <f>IFERROR(ROUND(L811*(I811/$AU811)/VLOOKUP(H811,商品!$A$4:$B$60,2,FALSE),0),"")</f>
        <v/>
      </c>
      <c r="AN811">
        <f>IFERROR(ROUND(L811*(J811/$AU811)/VLOOKUP("运力",商品!$A$4:$B$60,2,FALSE),0),0)</f>
        <v>0</v>
      </c>
      <c r="AO811">
        <f>IFERROR(ROUND(L811*(K811/$AU811)/VLOOKUP("交易",商品!$A$4:$B$60,2,FALSE),0),0)</f>
        <v>0</v>
      </c>
      <c r="AP811" t="str">
        <f>IFERROR(ROUND(S811*(N811/$AV811)/VLOOKUP(M811,职业!$A$4:$G$16,4,FALSE),0),"")</f>
        <v/>
      </c>
      <c r="AQ811" t="str">
        <f>IFERROR(ROUND(S811*(P811/$AV811)/VLOOKUP(O811,职业!$A$4:$G$16,4,FALSE),0),"")</f>
        <v/>
      </c>
      <c r="AR811" t="str">
        <f>IFERROR(ROUND(S811*(R811/$AV811)/VLOOKUP(Q811,职业!$A$4:$G$16,4,FALSE),0),"")</f>
        <v/>
      </c>
      <c r="AS811" t="str">
        <f>IFERROR(ROUND(X811*(U811/$AW811)/VLOOKUP(T811,商品!$A$4:$B$60,2,FALSE),0),"")</f>
        <v/>
      </c>
      <c r="AT811" t="str">
        <f>IFERROR(ROUND(X811*(W811/$AW811)/VLOOKUP(V811,商品!$A$4:$B$60,2,FALSE),0),"")</f>
        <v/>
      </c>
      <c r="AU811">
        <f t="shared" si="237"/>
        <v>0</v>
      </c>
      <c r="AV811">
        <f t="shared" si="238"/>
        <v>0</v>
      </c>
      <c r="AW811">
        <f t="shared" si="239"/>
        <v>0</v>
      </c>
    </row>
    <row r="812" spans="1:49" ht="19.95" customHeight="1" x14ac:dyDescent="0.25">
      <c r="A812" s="16" t="s">
        <v>353</v>
      </c>
      <c r="C812" s="16">
        <v>1</v>
      </c>
      <c r="D812" s="23" t="s">
        <v>171</v>
      </c>
      <c r="E812" s="23" t="s">
        <v>172</v>
      </c>
      <c r="L812" s="15">
        <f>IFERROR(VLOOKUP($D812&amp;$C812,生产方式定位!$A$2:$E$38,2,FALSE)+VLOOKUP($E812&amp;$C812,生产方式定位!$F$3:$J$38,2,FALSE),0)</f>
        <v>300</v>
      </c>
      <c r="S812" s="15">
        <f>IFERROR(VLOOKUP($D812&amp;$C812,生产方式定位!$A$2:$E$38,3,FALSE)+VLOOKUP($E812&amp;$C812,生产方式定位!$F$3:$J$38,3,FALSE),0)</f>
        <v>100</v>
      </c>
      <c r="X812" s="15">
        <f>IFERROR(VLOOKUP($D812&amp;$C812,生产方式定位!$A$2:$E$38,5,FALSE)+VLOOKUP($E812&amp;$C812,生产方式定位!$F$3:$J$38,5,FALSE),"错误")</f>
        <v>520</v>
      </c>
      <c r="Y812" s="26" t="str">
        <f t="shared" ref="Y812:Y875" si="240">IF(AE812="","",AE812)&amp;IF(AF812="","",","&amp;AF812)&amp;IF(AN812=0,"",",运力*"&amp;AN812)&amp;IF(AO812=0,"",",交易*"&amp;AO812)</f>
        <v/>
      </c>
      <c r="Z812" s="36" t="str">
        <f t="shared" ref="Z812:Z875" si="241">IF(AG812="","",AG812)&amp;IF(AH812="","",","&amp;AH812)&amp;IF(AI812="","",","&amp;AI812)</f>
        <v/>
      </c>
      <c r="AA812" s="36" t="str">
        <f t="shared" ref="AA812:AA875" si="242">IF(AJ812="","",AJ812)&amp;IF(AK812="","",","&amp;AK812)</f>
        <v/>
      </c>
      <c r="AB812" s="27" t="str">
        <f t="shared" ref="AB812:AB875" si="243">IFERROR(ROUND(((X812/L812)-1)*100,0)&amp;"%","")</f>
        <v>73%</v>
      </c>
      <c r="AC812" s="2">
        <f t="shared" ref="AC812:AC875" si="244">IF(X812-S812-L812=0,"",X812-S812-L812)</f>
        <v>120</v>
      </c>
      <c r="AD812" s="37">
        <f t="shared" ref="AD812:AD875" si="245">C812</f>
        <v>1</v>
      </c>
      <c r="AE812" t="str">
        <f t="shared" ref="AE812:AE875" si="246">IF(AL812="","",F812&amp;"*"&amp;AL812)</f>
        <v/>
      </c>
      <c r="AF812" t="str">
        <f t="shared" ref="AF812:AF875" si="247">IF(AM812="","",H812&amp;"*"&amp;AM812)</f>
        <v/>
      </c>
      <c r="AG812" t="str">
        <f t="shared" ref="AG812:AG875" si="248">IF(AP812="","",M812&amp;"*"&amp;AP812)</f>
        <v/>
      </c>
      <c r="AH812" t="str">
        <f t="shared" ref="AH812:AH875" si="249">IF(AQ812="","",O812&amp;"*"&amp;AQ812)</f>
        <v/>
      </c>
      <c r="AI812" t="str">
        <f t="shared" ref="AI812:AI875" si="250">IF(AR812="","",Q812&amp;"*"&amp;AR812)</f>
        <v/>
      </c>
      <c r="AJ812" t="str">
        <f t="shared" ref="AJ812:AJ875" si="251">IF(AS812="","",T812&amp;"*"&amp;AS812)</f>
        <v/>
      </c>
      <c r="AK812" t="str">
        <f t="shared" ref="AK812:AK875" si="252">IF(AT812="","",V812&amp;"*"&amp;AT812)</f>
        <v/>
      </c>
      <c r="AL812" t="str">
        <f>IFERROR(ROUND(L812*(G812/$AU812)/VLOOKUP(F812,商品!$A$4:$B$60,2,FALSE),0),"")</f>
        <v/>
      </c>
      <c r="AM812" t="str">
        <f>IFERROR(ROUND(L812*(I812/$AU812)/VLOOKUP(H812,商品!$A$4:$B$60,2,FALSE),0),"")</f>
        <v/>
      </c>
      <c r="AN812">
        <f>IFERROR(ROUND(L812*(J812/$AU812)/VLOOKUP("运力",商品!$A$4:$B$60,2,FALSE),0),0)</f>
        <v>0</v>
      </c>
      <c r="AO812">
        <f>IFERROR(ROUND(L812*(K812/$AU812)/VLOOKUP("交易",商品!$A$4:$B$60,2,FALSE),0),0)</f>
        <v>0</v>
      </c>
      <c r="AP812" t="str">
        <f>IFERROR(ROUND(S812*(N812/$AV812)/VLOOKUP(M812,职业!$A$4:$G$16,4,FALSE),0),"")</f>
        <v/>
      </c>
      <c r="AQ812" t="str">
        <f>IFERROR(ROUND(S812*(P812/$AV812)/VLOOKUP(O812,职业!$A$4:$G$16,4,FALSE),0),"")</f>
        <v/>
      </c>
      <c r="AR812" t="str">
        <f>IFERROR(ROUND(S812*(R812/$AV812)/VLOOKUP(Q812,职业!$A$4:$G$16,4,FALSE),0),"")</f>
        <v/>
      </c>
      <c r="AS812" t="str">
        <f>IFERROR(ROUND(X812*(U812/$AW812)/VLOOKUP(T812,商品!$A$4:$B$60,2,FALSE),0),"")</f>
        <v/>
      </c>
      <c r="AT812" t="str">
        <f>IFERROR(ROUND(X812*(W812/$AW812)/VLOOKUP(V812,商品!$A$4:$B$60,2,FALSE),0),"")</f>
        <v/>
      </c>
      <c r="AU812">
        <f t="shared" ref="AU812:AU875" si="253">G812+I812+J812+K812</f>
        <v>0</v>
      </c>
      <c r="AV812">
        <f t="shared" ref="AV812:AV875" si="254">ABS(N812)+ABS(P812)+ABS(R812)</f>
        <v>0</v>
      </c>
      <c r="AW812">
        <f t="shared" ref="AW812:AW875" si="255">U812+W812</f>
        <v>0</v>
      </c>
    </row>
    <row r="813" spans="1:49" ht="19.95" customHeight="1" x14ac:dyDescent="0.25">
      <c r="A813" s="16" t="s">
        <v>353</v>
      </c>
      <c r="C813" s="16">
        <v>2</v>
      </c>
      <c r="D813" s="23" t="s">
        <v>171</v>
      </c>
      <c r="E813" s="23" t="s">
        <v>172</v>
      </c>
      <c r="L813" s="15">
        <f>IFERROR(VLOOKUP($D813&amp;$C813,生产方式定位!$A$2:$E$38,2,FALSE)+VLOOKUP($E813&amp;$C813,生产方式定位!$F$3:$J$38,2,FALSE),0)</f>
        <v>1100</v>
      </c>
      <c r="S813" s="15">
        <f>IFERROR(VLOOKUP($D813&amp;$C813,生产方式定位!$A$2:$E$38,3,FALSE)+VLOOKUP($E813&amp;$C813,生产方式定位!$F$3:$J$38,3,FALSE),0)</f>
        <v>100</v>
      </c>
      <c r="X813" s="15">
        <f>IFERROR(VLOOKUP($D813&amp;$C813,生产方式定位!$A$2:$E$38,5,FALSE)+VLOOKUP($E813&amp;$C813,生产方式定位!$F$3:$J$38,5,FALSE),"错误")</f>
        <v>1510</v>
      </c>
      <c r="Y813" s="26" t="str">
        <f t="shared" si="240"/>
        <v/>
      </c>
      <c r="Z813" s="36" t="str">
        <f t="shared" si="241"/>
        <v/>
      </c>
      <c r="AA813" s="36" t="str">
        <f t="shared" si="242"/>
        <v/>
      </c>
      <c r="AB813" s="27" t="str">
        <f t="shared" si="243"/>
        <v>37%</v>
      </c>
      <c r="AC813" s="2">
        <f t="shared" si="244"/>
        <v>310</v>
      </c>
      <c r="AD813" s="37">
        <f t="shared" si="245"/>
        <v>2</v>
      </c>
      <c r="AE813" t="str">
        <f t="shared" si="246"/>
        <v/>
      </c>
      <c r="AF813" t="str">
        <f t="shared" si="247"/>
        <v/>
      </c>
      <c r="AG813" t="str">
        <f t="shared" si="248"/>
        <v/>
      </c>
      <c r="AH813" t="str">
        <f t="shared" si="249"/>
        <v/>
      </c>
      <c r="AI813" t="str">
        <f t="shared" si="250"/>
        <v/>
      </c>
      <c r="AJ813" t="str">
        <f t="shared" si="251"/>
        <v/>
      </c>
      <c r="AK813" t="str">
        <f t="shared" si="252"/>
        <v/>
      </c>
      <c r="AL813" t="str">
        <f>IFERROR(ROUND(L813*(G813/$AU813)/VLOOKUP(F813,商品!$A$4:$B$60,2,FALSE),0),"")</f>
        <v/>
      </c>
      <c r="AM813" t="str">
        <f>IFERROR(ROUND(L813*(I813/$AU813)/VLOOKUP(H813,商品!$A$4:$B$60,2,FALSE),0),"")</f>
        <v/>
      </c>
      <c r="AN813">
        <f>IFERROR(ROUND(L813*(J813/$AU813)/VLOOKUP("运力",商品!$A$4:$B$60,2,FALSE),0),0)</f>
        <v>0</v>
      </c>
      <c r="AO813">
        <f>IFERROR(ROUND(L813*(K813/$AU813)/VLOOKUP("交易",商品!$A$4:$B$60,2,FALSE),0),0)</f>
        <v>0</v>
      </c>
      <c r="AP813" t="str">
        <f>IFERROR(ROUND(S813*(N813/$AV813)/VLOOKUP(M813,职业!$A$4:$G$16,4,FALSE),0),"")</f>
        <v/>
      </c>
      <c r="AQ813" t="str">
        <f>IFERROR(ROUND(S813*(P813/$AV813)/VLOOKUP(O813,职业!$A$4:$G$16,4,FALSE),0),"")</f>
        <v/>
      </c>
      <c r="AR813" t="str">
        <f>IFERROR(ROUND(S813*(R813/$AV813)/VLOOKUP(Q813,职业!$A$4:$G$16,4,FALSE),0),"")</f>
        <v/>
      </c>
      <c r="AS813" t="str">
        <f>IFERROR(ROUND(X813*(U813/$AW813)/VLOOKUP(T813,商品!$A$4:$B$60,2,FALSE),0),"")</f>
        <v/>
      </c>
      <c r="AT813" t="str">
        <f>IFERROR(ROUND(X813*(W813/$AW813)/VLOOKUP(V813,商品!$A$4:$B$60,2,FALSE),0),"")</f>
        <v/>
      </c>
      <c r="AU813">
        <f t="shared" si="253"/>
        <v>0</v>
      </c>
      <c r="AV813">
        <f t="shared" si="254"/>
        <v>0</v>
      </c>
      <c r="AW813">
        <f t="shared" si="255"/>
        <v>0</v>
      </c>
    </row>
    <row r="814" spans="1:49" ht="19.95" customHeight="1" x14ac:dyDescent="0.25">
      <c r="A814" s="16" t="s">
        <v>353</v>
      </c>
      <c r="C814" s="16">
        <v>3</v>
      </c>
      <c r="D814" s="23" t="s">
        <v>171</v>
      </c>
      <c r="E814" s="23" t="s">
        <v>172</v>
      </c>
      <c r="L814" s="15">
        <f>IFERROR(VLOOKUP($D814&amp;$C814,生产方式定位!$A$2:$E$38,2,FALSE)+VLOOKUP($E814&amp;$C814,生产方式定位!$F$3:$J$38,2,FALSE),0)</f>
        <v>1525</v>
      </c>
      <c r="S814" s="15">
        <f>IFERROR(VLOOKUP($D814&amp;$C814,生产方式定位!$A$2:$E$38,3,FALSE)+VLOOKUP($E814&amp;$C814,生产方式定位!$F$3:$J$38,3,FALSE),0)</f>
        <v>100</v>
      </c>
      <c r="X814" s="15">
        <f>IFERROR(VLOOKUP($D814&amp;$C814,生产方式定位!$A$2:$E$38,5,FALSE)+VLOOKUP($E814&amp;$C814,生产方式定位!$F$3:$J$38,5,FALSE),"错误")</f>
        <v>2050</v>
      </c>
      <c r="Y814" s="26" t="str">
        <f t="shared" si="240"/>
        <v/>
      </c>
      <c r="Z814" s="36" t="str">
        <f t="shared" si="241"/>
        <v/>
      </c>
      <c r="AA814" s="36" t="str">
        <f t="shared" si="242"/>
        <v/>
      </c>
      <c r="AB814" s="27" t="str">
        <f t="shared" si="243"/>
        <v>34%</v>
      </c>
      <c r="AC814" s="2">
        <f t="shared" si="244"/>
        <v>425</v>
      </c>
      <c r="AD814" s="38">
        <f t="shared" si="245"/>
        <v>3</v>
      </c>
      <c r="AE814" t="str">
        <f t="shared" si="246"/>
        <v/>
      </c>
      <c r="AF814" t="str">
        <f t="shared" si="247"/>
        <v/>
      </c>
      <c r="AG814" t="str">
        <f t="shared" si="248"/>
        <v/>
      </c>
      <c r="AH814" t="str">
        <f t="shared" si="249"/>
        <v/>
      </c>
      <c r="AI814" t="str">
        <f t="shared" si="250"/>
        <v/>
      </c>
      <c r="AJ814" t="str">
        <f t="shared" si="251"/>
        <v/>
      </c>
      <c r="AK814" t="str">
        <f t="shared" si="252"/>
        <v/>
      </c>
      <c r="AL814" t="str">
        <f>IFERROR(ROUND(L814*(G814/$AU814)/VLOOKUP(F814,商品!$A$4:$B$60,2,FALSE),0),"")</f>
        <v/>
      </c>
      <c r="AM814" t="str">
        <f>IFERROR(ROUND(L814*(I814/$AU814)/VLOOKUP(H814,商品!$A$4:$B$60,2,FALSE),0),"")</f>
        <v/>
      </c>
      <c r="AN814">
        <f>IFERROR(ROUND(L814*(J814/$AU814)/VLOOKUP("运力",商品!$A$4:$B$60,2,FALSE),0),0)</f>
        <v>0</v>
      </c>
      <c r="AO814">
        <f>IFERROR(ROUND(L814*(K814/$AU814)/VLOOKUP("交易",商品!$A$4:$B$60,2,FALSE),0),0)</f>
        <v>0</v>
      </c>
      <c r="AP814" t="str">
        <f>IFERROR(ROUND(S814*(N814/$AV814)/VLOOKUP(M814,职业!$A$4:$G$16,4,FALSE),0),"")</f>
        <v/>
      </c>
      <c r="AQ814" t="str">
        <f>IFERROR(ROUND(S814*(P814/$AV814)/VLOOKUP(O814,职业!$A$4:$G$16,4,FALSE),0),"")</f>
        <v/>
      </c>
      <c r="AR814" t="str">
        <f>IFERROR(ROUND(S814*(R814/$AV814)/VLOOKUP(Q814,职业!$A$4:$G$16,4,FALSE),0),"")</f>
        <v/>
      </c>
      <c r="AS814" t="str">
        <f>IFERROR(ROUND(X814*(U814/$AW814)/VLOOKUP(T814,商品!$A$4:$B$60,2,FALSE),0),"")</f>
        <v/>
      </c>
      <c r="AT814" t="str">
        <f>IFERROR(ROUND(X814*(W814/$AW814)/VLOOKUP(V814,商品!$A$4:$B$60,2,FALSE),0),"")</f>
        <v/>
      </c>
      <c r="AU814">
        <f t="shared" si="253"/>
        <v>0</v>
      </c>
      <c r="AV814">
        <f t="shared" si="254"/>
        <v>0</v>
      </c>
      <c r="AW814">
        <f t="shared" si="255"/>
        <v>0</v>
      </c>
    </row>
    <row r="815" spans="1:49" ht="19.95" customHeight="1" x14ac:dyDescent="0.25">
      <c r="A815" s="16" t="s">
        <v>353</v>
      </c>
      <c r="C815" s="16">
        <v>4</v>
      </c>
      <c r="D815" s="23" t="s">
        <v>171</v>
      </c>
      <c r="E815" s="23" t="s">
        <v>172</v>
      </c>
      <c r="L815" s="15">
        <f>IFERROR(VLOOKUP($D815&amp;$C815,生产方式定位!$A$2:$E$38,2,FALSE)+VLOOKUP($E815&amp;$C815,生产方式定位!$F$3:$J$38,2,FALSE),0)</f>
        <v>1950</v>
      </c>
      <c r="S815" s="15">
        <f>IFERROR(VLOOKUP($D815&amp;$C815,生产方式定位!$A$2:$E$38,3,FALSE)+VLOOKUP($E815&amp;$C815,生产方式定位!$F$3:$J$38,3,FALSE),0)</f>
        <v>100</v>
      </c>
      <c r="X815" s="15">
        <f>IFERROR(VLOOKUP($D815&amp;$C815,生产方式定位!$A$2:$E$38,5,FALSE)+VLOOKUP($E815&amp;$C815,生产方式定位!$F$3:$J$38,5,FALSE),"错误")</f>
        <v>2590</v>
      </c>
      <c r="Y815" s="26" t="str">
        <f t="shared" si="240"/>
        <v/>
      </c>
      <c r="Z815" s="36" t="str">
        <f t="shared" si="241"/>
        <v/>
      </c>
      <c r="AA815" s="36" t="str">
        <f t="shared" si="242"/>
        <v/>
      </c>
      <c r="AB815" s="27" t="str">
        <f t="shared" si="243"/>
        <v>33%</v>
      </c>
      <c r="AC815" s="2">
        <f t="shared" si="244"/>
        <v>540</v>
      </c>
      <c r="AD815" s="38">
        <f t="shared" si="245"/>
        <v>4</v>
      </c>
      <c r="AE815" t="str">
        <f t="shared" si="246"/>
        <v/>
      </c>
      <c r="AF815" t="str">
        <f t="shared" si="247"/>
        <v/>
      </c>
      <c r="AG815" t="str">
        <f t="shared" si="248"/>
        <v/>
      </c>
      <c r="AH815" t="str">
        <f t="shared" si="249"/>
        <v/>
      </c>
      <c r="AI815" t="str">
        <f t="shared" si="250"/>
        <v/>
      </c>
      <c r="AJ815" t="str">
        <f t="shared" si="251"/>
        <v/>
      </c>
      <c r="AK815" t="str">
        <f t="shared" si="252"/>
        <v/>
      </c>
      <c r="AL815" t="str">
        <f>IFERROR(ROUND(L815*(G815/$AU815)/VLOOKUP(F815,商品!$A$4:$B$60,2,FALSE),0),"")</f>
        <v/>
      </c>
      <c r="AM815" t="str">
        <f>IFERROR(ROUND(L815*(I815/$AU815)/VLOOKUP(H815,商品!$A$4:$B$60,2,FALSE),0),"")</f>
        <v/>
      </c>
      <c r="AN815">
        <f>IFERROR(ROUND(L815*(J815/$AU815)/VLOOKUP("运力",商品!$A$4:$B$60,2,FALSE),0),0)</f>
        <v>0</v>
      </c>
      <c r="AO815">
        <f>IFERROR(ROUND(L815*(K815/$AU815)/VLOOKUP("交易",商品!$A$4:$B$60,2,FALSE),0),0)</f>
        <v>0</v>
      </c>
      <c r="AP815" t="str">
        <f>IFERROR(ROUND(S815*(N815/$AV815)/VLOOKUP(M815,职业!$A$4:$G$16,4,FALSE),0),"")</f>
        <v/>
      </c>
      <c r="AQ815" t="str">
        <f>IFERROR(ROUND(S815*(P815/$AV815)/VLOOKUP(O815,职业!$A$4:$G$16,4,FALSE),0),"")</f>
        <v/>
      </c>
      <c r="AR815" t="str">
        <f>IFERROR(ROUND(S815*(R815/$AV815)/VLOOKUP(Q815,职业!$A$4:$G$16,4,FALSE),0),"")</f>
        <v/>
      </c>
      <c r="AS815" t="str">
        <f>IFERROR(ROUND(X815*(U815/$AW815)/VLOOKUP(T815,商品!$A$4:$B$60,2,FALSE),0),"")</f>
        <v/>
      </c>
      <c r="AT815" t="str">
        <f>IFERROR(ROUND(X815*(W815/$AW815)/VLOOKUP(V815,商品!$A$4:$B$60,2,FALSE),0),"")</f>
        <v/>
      </c>
      <c r="AU815">
        <f t="shared" si="253"/>
        <v>0</v>
      </c>
      <c r="AV815">
        <f t="shared" si="254"/>
        <v>0</v>
      </c>
      <c r="AW815">
        <f t="shared" si="255"/>
        <v>0</v>
      </c>
    </row>
    <row r="816" spans="1:49" ht="19.95" customHeight="1" x14ac:dyDescent="0.25">
      <c r="A816" s="16" t="s">
        <v>353</v>
      </c>
      <c r="C816" s="16">
        <v>5</v>
      </c>
      <c r="D816" s="23" t="s">
        <v>171</v>
      </c>
      <c r="E816" s="23" t="s">
        <v>172</v>
      </c>
      <c r="L816" s="15">
        <f>IFERROR(VLOOKUP($D816&amp;$C816,生产方式定位!$A$2:$E$38,2,FALSE)+VLOOKUP($E816&amp;$C816,生产方式定位!$F$3:$J$38,2,FALSE),0)</f>
        <v>2375</v>
      </c>
      <c r="S816" s="15">
        <f>IFERROR(VLOOKUP($D816&amp;$C816,生产方式定位!$A$2:$E$38,3,FALSE)+VLOOKUP($E816&amp;$C816,生产方式定位!$F$3:$J$38,3,FALSE),0)</f>
        <v>100</v>
      </c>
      <c r="X816" s="15">
        <f>IFERROR(VLOOKUP($D816&amp;$C816,生产方式定位!$A$2:$E$38,5,FALSE)+VLOOKUP($E816&amp;$C816,生产方式定位!$F$3:$J$38,5,FALSE),"错误")</f>
        <v>3130</v>
      </c>
      <c r="Y816" s="26" t="str">
        <f t="shared" si="240"/>
        <v/>
      </c>
      <c r="Z816" s="36" t="str">
        <f t="shared" si="241"/>
        <v/>
      </c>
      <c r="AA816" s="36" t="str">
        <f t="shared" si="242"/>
        <v/>
      </c>
      <c r="AB816" s="27" t="str">
        <f t="shared" si="243"/>
        <v>32%</v>
      </c>
      <c r="AC816" s="2">
        <f t="shared" si="244"/>
        <v>655</v>
      </c>
      <c r="AD816" s="38">
        <f t="shared" si="245"/>
        <v>5</v>
      </c>
      <c r="AE816" t="str">
        <f t="shared" si="246"/>
        <v/>
      </c>
      <c r="AF816" t="str">
        <f t="shared" si="247"/>
        <v/>
      </c>
      <c r="AG816" t="str">
        <f t="shared" si="248"/>
        <v/>
      </c>
      <c r="AH816" t="str">
        <f t="shared" si="249"/>
        <v/>
      </c>
      <c r="AI816" t="str">
        <f t="shared" si="250"/>
        <v/>
      </c>
      <c r="AJ816" t="str">
        <f t="shared" si="251"/>
        <v/>
      </c>
      <c r="AK816" t="str">
        <f t="shared" si="252"/>
        <v/>
      </c>
      <c r="AL816" t="str">
        <f>IFERROR(ROUND(L816*(G816/$AU816)/VLOOKUP(F816,商品!$A$4:$B$60,2,FALSE),0),"")</f>
        <v/>
      </c>
      <c r="AM816" t="str">
        <f>IFERROR(ROUND(L816*(I816/$AU816)/VLOOKUP(H816,商品!$A$4:$B$60,2,FALSE),0),"")</f>
        <v/>
      </c>
      <c r="AN816">
        <f>IFERROR(ROUND(L816*(J816/$AU816)/VLOOKUP("运力",商品!$A$4:$B$60,2,FALSE),0),0)</f>
        <v>0</v>
      </c>
      <c r="AO816">
        <f>IFERROR(ROUND(L816*(K816/$AU816)/VLOOKUP("交易",商品!$A$4:$B$60,2,FALSE),0),0)</f>
        <v>0</v>
      </c>
      <c r="AP816" t="str">
        <f>IFERROR(ROUND(S816*(N816/$AV816)/VLOOKUP(M816,职业!$A$4:$G$16,4,FALSE),0),"")</f>
        <v/>
      </c>
      <c r="AQ816" t="str">
        <f>IFERROR(ROUND(S816*(P816/$AV816)/VLOOKUP(O816,职业!$A$4:$G$16,4,FALSE),0),"")</f>
        <v/>
      </c>
      <c r="AR816" t="str">
        <f>IFERROR(ROUND(S816*(R816/$AV816)/VLOOKUP(Q816,职业!$A$4:$G$16,4,FALSE),0),"")</f>
        <v/>
      </c>
      <c r="AS816" t="str">
        <f>IFERROR(ROUND(X816*(U816/$AW816)/VLOOKUP(T816,商品!$A$4:$B$60,2,FALSE),0),"")</f>
        <v/>
      </c>
      <c r="AT816" t="str">
        <f>IFERROR(ROUND(X816*(W816/$AW816)/VLOOKUP(V816,商品!$A$4:$B$60,2,FALSE),0),"")</f>
        <v/>
      </c>
      <c r="AU816">
        <f t="shared" si="253"/>
        <v>0</v>
      </c>
      <c r="AV816">
        <f t="shared" si="254"/>
        <v>0</v>
      </c>
      <c r="AW816">
        <f t="shared" si="255"/>
        <v>0</v>
      </c>
    </row>
    <row r="817" spans="1:49" ht="19.95" customHeight="1" x14ac:dyDescent="0.25">
      <c r="A817" s="15" t="s">
        <v>354</v>
      </c>
      <c r="C817" s="15">
        <v>1</v>
      </c>
      <c r="D817" s="23" t="s">
        <v>174</v>
      </c>
      <c r="E817" s="23" t="s">
        <v>175</v>
      </c>
      <c r="L817" s="16">
        <f>IFERROR(VLOOKUP($D817&amp;$C817,生产方式定位!$A$2:$E$38,2,FALSE)+VLOOKUP($E817&amp;$C817,生产方式定位!$F$3:$J$38,2,FALSE),0)</f>
        <v>0</v>
      </c>
      <c r="S817" s="16">
        <f>IFERROR(VLOOKUP($D817&amp;$C817,生产方式定位!$A$2:$E$38,3,FALSE)+VLOOKUP($E817&amp;$C817,生产方式定位!$F$3:$J$38,3,FALSE),0)</f>
        <v>0</v>
      </c>
      <c r="X817" s="16">
        <f>IFERROR(VLOOKUP($D817&amp;$C817,生产方式定位!$A$2:$E$38,5,FALSE)+VLOOKUP($E817&amp;$C817,生产方式定位!$F$3:$J$38,5,FALSE),"错误")</f>
        <v>0</v>
      </c>
      <c r="Y817" s="26" t="str">
        <f t="shared" si="240"/>
        <v/>
      </c>
      <c r="Z817" s="36" t="str">
        <f t="shared" si="241"/>
        <v/>
      </c>
      <c r="AA817" s="36" t="str">
        <f t="shared" si="242"/>
        <v/>
      </c>
      <c r="AB817" s="27" t="str">
        <f t="shared" si="243"/>
        <v/>
      </c>
      <c r="AC817" s="2" t="str">
        <f t="shared" si="244"/>
        <v/>
      </c>
      <c r="AD817" s="38">
        <f t="shared" si="245"/>
        <v>1</v>
      </c>
      <c r="AE817" t="str">
        <f t="shared" si="246"/>
        <v/>
      </c>
      <c r="AF817" t="str">
        <f t="shared" si="247"/>
        <v/>
      </c>
      <c r="AG817" t="str">
        <f t="shared" si="248"/>
        <v/>
      </c>
      <c r="AH817" t="str">
        <f t="shared" si="249"/>
        <v/>
      </c>
      <c r="AI817" t="str">
        <f t="shared" si="250"/>
        <v/>
      </c>
      <c r="AJ817" t="str">
        <f t="shared" si="251"/>
        <v/>
      </c>
      <c r="AK817" t="str">
        <f t="shared" si="252"/>
        <v/>
      </c>
      <c r="AL817" t="str">
        <f>IFERROR(ROUND(L817*(G817/$AU817)/VLOOKUP(F817,商品!$A$4:$B$60,2,FALSE),0),"")</f>
        <v/>
      </c>
      <c r="AM817" t="str">
        <f>IFERROR(ROUND(L817*(I817/$AU817)/VLOOKUP(H817,商品!$A$4:$B$60,2,FALSE),0),"")</f>
        <v/>
      </c>
      <c r="AN817">
        <f>IFERROR(ROUND(L817*(J817/$AU817)/VLOOKUP("运力",商品!$A$4:$B$60,2,FALSE),0),0)</f>
        <v>0</v>
      </c>
      <c r="AO817">
        <f>IFERROR(ROUND(L817*(K817/$AU817)/VLOOKUP("交易",商品!$A$4:$B$60,2,FALSE),0),0)</f>
        <v>0</v>
      </c>
      <c r="AP817" t="str">
        <f>IFERROR(ROUND(S817*(N817/$AV817)/VLOOKUP(M817,职业!$A$4:$G$16,4,FALSE),0),"")</f>
        <v/>
      </c>
      <c r="AQ817" t="str">
        <f>IFERROR(ROUND(S817*(P817/$AV817)/VLOOKUP(O817,职业!$A$4:$G$16,4,FALSE),0),"")</f>
        <v/>
      </c>
      <c r="AR817" t="str">
        <f>IFERROR(ROUND(S817*(R817/$AV817)/VLOOKUP(Q817,职业!$A$4:$G$16,4,FALSE),0),"")</f>
        <v/>
      </c>
      <c r="AS817" t="str">
        <f>IFERROR(ROUND(X817*(U817/$AW817)/VLOOKUP(T817,商品!$A$4:$B$60,2,FALSE),0),"")</f>
        <v/>
      </c>
      <c r="AT817" t="str">
        <f>IFERROR(ROUND(X817*(W817/$AW817)/VLOOKUP(V817,商品!$A$4:$B$60,2,FALSE),0),"")</f>
        <v/>
      </c>
      <c r="AU817">
        <f t="shared" si="253"/>
        <v>0</v>
      </c>
      <c r="AV817">
        <f t="shared" si="254"/>
        <v>0</v>
      </c>
      <c r="AW817">
        <f t="shared" si="255"/>
        <v>0</v>
      </c>
    </row>
    <row r="818" spans="1:49" ht="19.95" customHeight="1" x14ac:dyDescent="0.25">
      <c r="A818" s="15" t="s">
        <v>354</v>
      </c>
      <c r="C818" s="15">
        <v>2</v>
      </c>
      <c r="D818" s="23" t="s">
        <v>174</v>
      </c>
      <c r="E818" s="23" t="s">
        <v>175</v>
      </c>
      <c r="L818" s="16">
        <f>IFERROR(VLOOKUP($D818&amp;$C818,生产方式定位!$A$2:$E$38,2,FALSE)+VLOOKUP($E818&amp;$C818,生产方式定位!$F$3:$J$38,2,FALSE),0)</f>
        <v>50</v>
      </c>
      <c r="S818" s="16">
        <f>IFERROR(VLOOKUP($D818&amp;$C818,生产方式定位!$A$2:$E$38,3,FALSE)+VLOOKUP($E818&amp;$C818,生产方式定位!$F$3:$J$38,3,FALSE),0)</f>
        <v>10</v>
      </c>
      <c r="X818" s="16">
        <f>IFERROR(VLOOKUP($D818&amp;$C818,生产方式定位!$A$2:$E$38,5,FALSE)+VLOOKUP($E818&amp;$C818,生产方式定位!$F$3:$J$38,5,FALSE),"错误")</f>
        <v>0</v>
      </c>
      <c r="Y818" s="26" t="str">
        <f t="shared" si="240"/>
        <v/>
      </c>
      <c r="Z818" s="36" t="str">
        <f t="shared" si="241"/>
        <v/>
      </c>
      <c r="AA818" s="36" t="str">
        <f t="shared" si="242"/>
        <v/>
      </c>
      <c r="AB818" s="27" t="str">
        <f t="shared" si="243"/>
        <v>-100%</v>
      </c>
      <c r="AC818" s="2">
        <f t="shared" si="244"/>
        <v>-60</v>
      </c>
      <c r="AD818" s="38">
        <f t="shared" si="245"/>
        <v>2</v>
      </c>
      <c r="AE818" t="str">
        <f t="shared" si="246"/>
        <v/>
      </c>
      <c r="AF818" t="str">
        <f t="shared" si="247"/>
        <v/>
      </c>
      <c r="AG818" t="str">
        <f t="shared" si="248"/>
        <v/>
      </c>
      <c r="AH818" t="str">
        <f t="shared" si="249"/>
        <v/>
      </c>
      <c r="AI818" t="str">
        <f t="shared" si="250"/>
        <v/>
      </c>
      <c r="AJ818" t="str">
        <f t="shared" si="251"/>
        <v/>
      </c>
      <c r="AK818" t="str">
        <f t="shared" si="252"/>
        <v/>
      </c>
      <c r="AL818" t="str">
        <f>IFERROR(ROUND(L818*(G818/$AU818)/VLOOKUP(F818,商品!$A$4:$B$60,2,FALSE),0),"")</f>
        <v/>
      </c>
      <c r="AM818" t="str">
        <f>IFERROR(ROUND(L818*(I818/$AU818)/VLOOKUP(H818,商品!$A$4:$B$60,2,FALSE),0),"")</f>
        <v/>
      </c>
      <c r="AN818">
        <f>IFERROR(ROUND(L818*(J818/$AU818)/VLOOKUP("运力",商品!$A$4:$B$60,2,FALSE),0),0)</f>
        <v>0</v>
      </c>
      <c r="AO818">
        <f>IFERROR(ROUND(L818*(K818/$AU818)/VLOOKUP("交易",商品!$A$4:$B$60,2,FALSE),0),0)</f>
        <v>0</v>
      </c>
      <c r="AP818" t="str">
        <f>IFERROR(ROUND(S818*(N818/$AV818)/VLOOKUP(M818,职业!$A$4:$G$16,4,FALSE),0),"")</f>
        <v/>
      </c>
      <c r="AQ818" t="str">
        <f>IFERROR(ROUND(S818*(P818/$AV818)/VLOOKUP(O818,职业!$A$4:$G$16,4,FALSE),0),"")</f>
        <v/>
      </c>
      <c r="AR818" t="str">
        <f>IFERROR(ROUND(S818*(R818/$AV818)/VLOOKUP(Q818,职业!$A$4:$G$16,4,FALSE),0),"")</f>
        <v/>
      </c>
      <c r="AS818" t="str">
        <f>IFERROR(ROUND(X818*(U818/$AW818)/VLOOKUP(T818,商品!$A$4:$B$60,2,FALSE),0),"")</f>
        <v/>
      </c>
      <c r="AT818" t="str">
        <f>IFERROR(ROUND(X818*(W818/$AW818)/VLOOKUP(V818,商品!$A$4:$B$60,2,FALSE),0),"")</f>
        <v/>
      </c>
      <c r="AU818">
        <f t="shared" si="253"/>
        <v>0</v>
      </c>
      <c r="AV818">
        <f t="shared" si="254"/>
        <v>0</v>
      </c>
      <c r="AW818">
        <f t="shared" si="255"/>
        <v>0</v>
      </c>
    </row>
    <row r="819" spans="1:49" ht="19.95" customHeight="1" x14ac:dyDescent="0.25">
      <c r="A819" s="15" t="s">
        <v>354</v>
      </c>
      <c r="C819" s="15">
        <v>3</v>
      </c>
      <c r="D819" s="23" t="s">
        <v>174</v>
      </c>
      <c r="E819" s="23" t="s">
        <v>175</v>
      </c>
      <c r="L819" s="16">
        <f>IFERROR(VLOOKUP($D819&amp;$C819,生产方式定位!$A$2:$E$38,2,FALSE)+VLOOKUP($E819&amp;$C819,生产方式定位!$F$3:$J$38,2,FALSE),0)</f>
        <v>100</v>
      </c>
      <c r="S819" s="16">
        <f>IFERROR(VLOOKUP($D819&amp;$C819,生产方式定位!$A$2:$E$38,3,FALSE)+VLOOKUP($E819&amp;$C819,生产方式定位!$F$3:$J$38,3,FALSE),0)</f>
        <v>20</v>
      </c>
      <c r="X819" s="16">
        <f>IFERROR(VLOOKUP($D819&amp;$C819,生产方式定位!$A$2:$E$38,5,FALSE)+VLOOKUP($E819&amp;$C819,生产方式定位!$F$3:$J$38,5,FALSE),"错误")</f>
        <v>0</v>
      </c>
      <c r="Y819" s="26" t="str">
        <f t="shared" si="240"/>
        <v/>
      </c>
      <c r="Z819" s="36" t="str">
        <f t="shared" si="241"/>
        <v/>
      </c>
      <c r="AA819" s="36" t="str">
        <f t="shared" si="242"/>
        <v/>
      </c>
      <c r="AB819" s="27" t="str">
        <f t="shared" si="243"/>
        <v>-100%</v>
      </c>
      <c r="AC819" s="2">
        <f t="shared" si="244"/>
        <v>-120</v>
      </c>
      <c r="AD819" s="38">
        <f t="shared" si="245"/>
        <v>3</v>
      </c>
      <c r="AE819" t="str">
        <f t="shared" si="246"/>
        <v/>
      </c>
      <c r="AF819" t="str">
        <f t="shared" si="247"/>
        <v/>
      </c>
      <c r="AG819" t="str">
        <f t="shared" si="248"/>
        <v/>
      </c>
      <c r="AH819" t="str">
        <f t="shared" si="249"/>
        <v/>
      </c>
      <c r="AI819" t="str">
        <f t="shared" si="250"/>
        <v/>
      </c>
      <c r="AJ819" t="str">
        <f t="shared" si="251"/>
        <v/>
      </c>
      <c r="AK819" t="str">
        <f t="shared" si="252"/>
        <v/>
      </c>
      <c r="AL819" t="str">
        <f>IFERROR(ROUND(L819*(G819/$AU819)/VLOOKUP(F819,商品!$A$4:$B$60,2,FALSE),0),"")</f>
        <v/>
      </c>
      <c r="AM819" t="str">
        <f>IFERROR(ROUND(L819*(I819/$AU819)/VLOOKUP(H819,商品!$A$4:$B$60,2,FALSE),0),"")</f>
        <v/>
      </c>
      <c r="AN819">
        <f>IFERROR(ROUND(L819*(J819/$AU819)/VLOOKUP("运力",商品!$A$4:$B$60,2,FALSE),0),0)</f>
        <v>0</v>
      </c>
      <c r="AO819">
        <f>IFERROR(ROUND(L819*(K819/$AU819)/VLOOKUP("交易",商品!$A$4:$B$60,2,FALSE),0),0)</f>
        <v>0</v>
      </c>
      <c r="AP819" t="str">
        <f>IFERROR(ROUND(S819*(N819/$AV819)/VLOOKUP(M819,职业!$A$4:$G$16,4,FALSE),0),"")</f>
        <v/>
      </c>
      <c r="AQ819" t="str">
        <f>IFERROR(ROUND(S819*(P819/$AV819)/VLOOKUP(O819,职业!$A$4:$G$16,4,FALSE),0),"")</f>
        <v/>
      </c>
      <c r="AR819" t="str">
        <f>IFERROR(ROUND(S819*(R819/$AV819)/VLOOKUP(Q819,职业!$A$4:$G$16,4,FALSE),0),"")</f>
        <v/>
      </c>
      <c r="AS819" t="str">
        <f>IFERROR(ROUND(X819*(U819/$AW819)/VLOOKUP(T819,商品!$A$4:$B$60,2,FALSE),0),"")</f>
        <v/>
      </c>
      <c r="AT819" t="str">
        <f>IFERROR(ROUND(X819*(W819/$AW819)/VLOOKUP(V819,商品!$A$4:$B$60,2,FALSE),0),"")</f>
        <v/>
      </c>
      <c r="AU819">
        <f t="shared" si="253"/>
        <v>0</v>
      </c>
      <c r="AV819">
        <f t="shared" si="254"/>
        <v>0</v>
      </c>
      <c r="AW819">
        <f t="shared" si="255"/>
        <v>0</v>
      </c>
    </row>
    <row r="820" spans="1:49" ht="19.95" customHeight="1" x14ac:dyDescent="0.25">
      <c r="A820" s="15" t="s">
        <v>354</v>
      </c>
      <c r="C820" s="15">
        <v>4</v>
      </c>
      <c r="D820" s="23" t="s">
        <v>174</v>
      </c>
      <c r="E820" s="23" t="s">
        <v>175</v>
      </c>
      <c r="L820" s="16">
        <f>IFERROR(VLOOKUP($D820&amp;$C820,生产方式定位!$A$2:$E$38,2,FALSE)+VLOOKUP($E820&amp;$C820,生产方式定位!$F$3:$J$38,2,FALSE),0)</f>
        <v>150</v>
      </c>
      <c r="S820" s="16">
        <f>IFERROR(VLOOKUP($D820&amp;$C820,生产方式定位!$A$2:$E$38,3,FALSE)+VLOOKUP($E820&amp;$C820,生产方式定位!$F$3:$J$38,3,FALSE),0)</f>
        <v>30</v>
      </c>
      <c r="X820" s="16">
        <f>IFERROR(VLOOKUP($D820&amp;$C820,生产方式定位!$A$2:$E$38,5,FALSE)+VLOOKUP($E820&amp;$C820,生产方式定位!$F$3:$J$38,5,FALSE),"错误")</f>
        <v>0</v>
      </c>
      <c r="Y820" s="26" t="str">
        <f t="shared" si="240"/>
        <v/>
      </c>
      <c r="Z820" s="36" t="str">
        <f t="shared" si="241"/>
        <v/>
      </c>
      <c r="AA820" s="36" t="str">
        <f t="shared" si="242"/>
        <v/>
      </c>
      <c r="AB820" s="27" t="str">
        <f t="shared" si="243"/>
        <v>-100%</v>
      </c>
      <c r="AC820" s="2">
        <f t="shared" si="244"/>
        <v>-180</v>
      </c>
      <c r="AD820" s="38">
        <f t="shared" si="245"/>
        <v>4</v>
      </c>
      <c r="AE820" t="str">
        <f t="shared" si="246"/>
        <v/>
      </c>
      <c r="AF820" t="str">
        <f t="shared" si="247"/>
        <v/>
      </c>
      <c r="AG820" t="str">
        <f t="shared" si="248"/>
        <v/>
      </c>
      <c r="AH820" t="str">
        <f t="shared" si="249"/>
        <v/>
      </c>
      <c r="AI820" t="str">
        <f t="shared" si="250"/>
        <v/>
      </c>
      <c r="AJ820" t="str">
        <f t="shared" si="251"/>
        <v/>
      </c>
      <c r="AK820" t="str">
        <f t="shared" si="252"/>
        <v/>
      </c>
      <c r="AL820" t="str">
        <f>IFERROR(ROUND(L820*(G820/$AU820)/VLOOKUP(F820,商品!$A$4:$B$60,2,FALSE),0),"")</f>
        <v/>
      </c>
      <c r="AM820" t="str">
        <f>IFERROR(ROUND(L820*(I820/$AU820)/VLOOKUP(H820,商品!$A$4:$B$60,2,FALSE),0),"")</f>
        <v/>
      </c>
      <c r="AN820">
        <f>IFERROR(ROUND(L820*(J820/$AU820)/VLOOKUP("运力",商品!$A$4:$B$60,2,FALSE),0),0)</f>
        <v>0</v>
      </c>
      <c r="AO820">
        <f>IFERROR(ROUND(L820*(K820/$AU820)/VLOOKUP("交易",商品!$A$4:$B$60,2,FALSE),0),0)</f>
        <v>0</v>
      </c>
      <c r="AP820" t="str">
        <f>IFERROR(ROUND(S820*(N820/$AV820)/VLOOKUP(M820,职业!$A$4:$G$16,4,FALSE),0),"")</f>
        <v/>
      </c>
      <c r="AQ820" t="str">
        <f>IFERROR(ROUND(S820*(P820/$AV820)/VLOOKUP(O820,职业!$A$4:$G$16,4,FALSE),0),"")</f>
        <v/>
      </c>
      <c r="AR820" t="str">
        <f>IFERROR(ROUND(S820*(R820/$AV820)/VLOOKUP(Q820,职业!$A$4:$G$16,4,FALSE),0),"")</f>
        <v/>
      </c>
      <c r="AS820" t="str">
        <f>IFERROR(ROUND(X820*(U820/$AW820)/VLOOKUP(T820,商品!$A$4:$B$60,2,FALSE),0),"")</f>
        <v/>
      </c>
      <c r="AT820" t="str">
        <f>IFERROR(ROUND(X820*(W820/$AW820)/VLOOKUP(V820,商品!$A$4:$B$60,2,FALSE),0),"")</f>
        <v/>
      </c>
      <c r="AU820">
        <f t="shared" si="253"/>
        <v>0</v>
      </c>
      <c r="AV820">
        <f t="shared" si="254"/>
        <v>0</v>
      </c>
      <c r="AW820">
        <f t="shared" si="255"/>
        <v>0</v>
      </c>
    </row>
    <row r="821" spans="1:49" ht="19.95" customHeight="1" x14ac:dyDescent="0.25">
      <c r="A821" s="15" t="s">
        <v>354</v>
      </c>
      <c r="C821" s="15">
        <v>5</v>
      </c>
      <c r="D821" s="23" t="s">
        <v>174</v>
      </c>
      <c r="E821" s="23" t="s">
        <v>175</v>
      </c>
      <c r="L821" s="16">
        <f>IFERROR(VLOOKUP($D821&amp;$C821,生产方式定位!$A$2:$E$38,2,FALSE)+VLOOKUP($E821&amp;$C821,生产方式定位!$F$3:$J$38,2,FALSE),0)</f>
        <v>200</v>
      </c>
      <c r="S821" s="16">
        <f>IFERROR(VLOOKUP($D821&amp;$C821,生产方式定位!$A$2:$E$38,3,FALSE)+VLOOKUP($E821&amp;$C821,生产方式定位!$F$3:$J$38,3,FALSE),0)</f>
        <v>40</v>
      </c>
      <c r="X821" s="16">
        <f>IFERROR(VLOOKUP($D821&amp;$C821,生产方式定位!$A$2:$E$38,5,FALSE)+VLOOKUP($E821&amp;$C821,生产方式定位!$F$3:$J$38,5,FALSE),"错误")</f>
        <v>0</v>
      </c>
      <c r="Y821" s="26" t="str">
        <f t="shared" si="240"/>
        <v/>
      </c>
      <c r="Z821" s="36" t="str">
        <f t="shared" si="241"/>
        <v/>
      </c>
      <c r="AA821" s="36" t="str">
        <f t="shared" si="242"/>
        <v/>
      </c>
      <c r="AB821" s="27" t="str">
        <f t="shared" si="243"/>
        <v>-100%</v>
      </c>
      <c r="AC821" s="2">
        <f t="shared" si="244"/>
        <v>-240</v>
      </c>
      <c r="AD821" s="38">
        <f t="shared" si="245"/>
        <v>5</v>
      </c>
      <c r="AE821" t="str">
        <f t="shared" si="246"/>
        <v/>
      </c>
      <c r="AF821" t="str">
        <f t="shared" si="247"/>
        <v/>
      </c>
      <c r="AG821" t="str">
        <f t="shared" si="248"/>
        <v/>
      </c>
      <c r="AH821" t="str">
        <f t="shared" si="249"/>
        <v/>
      </c>
      <c r="AI821" t="str">
        <f t="shared" si="250"/>
        <v/>
      </c>
      <c r="AJ821" t="str">
        <f t="shared" si="251"/>
        <v/>
      </c>
      <c r="AK821" t="str">
        <f t="shared" si="252"/>
        <v/>
      </c>
      <c r="AL821" t="str">
        <f>IFERROR(ROUND(L821*(G821/$AU821)/VLOOKUP(F821,商品!$A$4:$B$60,2,FALSE),0),"")</f>
        <v/>
      </c>
      <c r="AM821" t="str">
        <f>IFERROR(ROUND(L821*(I821/$AU821)/VLOOKUP(H821,商品!$A$4:$B$60,2,FALSE),0),"")</f>
        <v/>
      </c>
      <c r="AN821">
        <f>IFERROR(ROUND(L821*(J821/$AU821)/VLOOKUP("运力",商品!$A$4:$B$60,2,FALSE),0),0)</f>
        <v>0</v>
      </c>
      <c r="AO821">
        <f>IFERROR(ROUND(L821*(K821/$AU821)/VLOOKUP("交易",商品!$A$4:$B$60,2,FALSE),0),0)</f>
        <v>0</v>
      </c>
      <c r="AP821" t="str">
        <f>IFERROR(ROUND(S821*(N821/$AV821)/VLOOKUP(M821,职业!$A$4:$G$16,4,FALSE),0),"")</f>
        <v/>
      </c>
      <c r="AQ821" t="str">
        <f>IFERROR(ROUND(S821*(P821/$AV821)/VLOOKUP(O821,职业!$A$4:$G$16,4,FALSE),0),"")</f>
        <v/>
      </c>
      <c r="AR821" t="str">
        <f>IFERROR(ROUND(S821*(R821/$AV821)/VLOOKUP(Q821,职业!$A$4:$G$16,4,FALSE),0),"")</f>
        <v/>
      </c>
      <c r="AS821" t="str">
        <f>IFERROR(ROUND(X821*(U821/$AW821)/VLOOKUP(T821,商品!$A$4:$B$60,2,FALSE),0),"")</f>
        <v/>
      </c>
      <c r="AT821" t="str">
        <f>IFERROR(ROUND(X821*(W821/$AW821)/VLOOKUP(V821,商品!$A$4:$B$60,2,FALSE),0),"")</f>
        <v/>
      </c>
      <c r="AU821">
        <f t="shared" si="253"/>
        <v>0</v>
      </c>
      <c r="AV821">
        <f t="shared" si="254"/>
        <v>0</v>
      </c>
      <c r="AW821">
        <f t="shared" si="255"/>
        <v>0</v>
      </c>
    </row>
    <row r="822" spans="1:49" ht="19.95" customHeight="1" x14ac:dyDescent="0.25">
      <c r="A822" s="16" t="s">
        <v>355</v>
      </c>
      <c r="C822" s="16">
        <v>1</v>
      </c>
      <c r="D822" s="23" t="s">
        <v>171</v>
      </c>
      <c r="E822" s="23" t="s">
        <v>175</v>
      </c>
      <c r="L822" s="15">
        <f>IFERROR(VLOOKUP($D822&amp;$C822,生产方式定位!$A$2:$E$38,2,FALSE)+VLOOKUP($E822&amp;$C822,生产方式定位!$F$3:$J$38,2,FALSE),0)</f>
        <v>300</v>
      </c>
      <c r="S822" s="15">
        <f>IFERROR(VLOOKUP($D822&amp;$C822,生产方式定位!$A$2:$E$38,3,FALSE)+VLOOKUP($E822&amp;$C822,生产方式定位!$F$3:$J$38,3,FALSE),0)</f>
        <v>100</v>
      </c>
      <c r="X822" s="15">
        <f>IFERROR(VLOOKUP($D822&amp;$C822,生产方式定位!$A$2:$E$38,5,FALSE)+VLOOKUP($E822&amp;$C822,生产方式定位!$F$3:$J$38,5,FALSE),"错误")</f>
        <v>520</v>
      </c>
      <c r="Y822" s="26" t="str">
        <f t="shared" si="240"/>
        <v/>
      </c>
      <c r="Z822" s="36" t="str">
        <f t="shared" si="241"/>
        <v/>
      </c>
      <c r="AA822" s="36" t="str">
        <f t="shared" si="242"/>
        <v/>
      </c>
      <c r="AB822" s="27" t="str">
        <f t="shared" si="243"/>
        <v>73%</v>
      </c>
      <c r="AC822" s="2">
        <f t="shared" si="244"/>
        <v>120</v>
      </c>
      <c r="AD822" s="37">
        <f t="shared" si="245"/>
        <v>1</v>
      </c>
      <c r="AE822" t="str">
        <f t="shared" si="246"/>
        <v/>
      </c>
      <c r="AF822" t="str">
        <f t="shared" si="247"/>
        <v/>
      </c>
      <c r="AG822" t="str">
        <f t="shared" si="248"/>
        <v/>
      </c>
      <c r="AH822" t="str">
        <f t="shared" si="249"/>
        <v/>
      </c>
      <c r="AI822" t="str">
        <f t="shared" si="250"/>
        <v/>
      </c>
      <c r="AJ822" t="str">
        <f t="shared" si="251"/>
        <v/>
      </c>
      <c r="AK822" t="str">
        <f t="shared" si="252"/>
        <v/>
      </c>
      <c r="AL822" t="str">
        <f>IFERROR(ROUND(L822*(G822/$AU822)/VLOOKUP(F822,商品!$A$4:$B$60,2,FALSE),0),"")</f>
        <v/>
      </c>
      <c r="AM822" t="str">
        <f>IFERROR(ROUND(L822*(I822/$AU822)/VLOOKUP(H822,商品!$A$4:$B$60,2,FALSE),0),"")</f>
        <v/>
      </c>
      <c r="AN822">
        <f>IFERROR(ROUND(L822*(J822/$AU822)/VLOOKUP("运力",商品!$A$4:$B$60,2,FALSE),0),0)</f>
        <v>0</v>
      </c>
      <c r="AO822">
        <f>IFERROR(ROUND(L822*(K822/$AU822)/VLOOKUP("交易",商品!$A$4:$B$60,2,FALSE),0),0)</f>
        <v>0</v>
      </c>
      <c r="AP822" t="str">
        <f>IFERROR(ROUND(S822*(N822/$AV822)/VLOOKUP(M822,职业!$A$4:$G$16,4,FALSE),0),"")</f>
        <v/>
      </c>
      <c r="AQ822" t="str">
        <f>IFERROR(ROUND(S822*(P822/$AV822)/VLOOKUP(O822,职业!$A$4:$G$16,4,FALSE),0),"")</f>
        <v/>
      </c>
      <c r="AR822" t="str">
        <f>IFERROR(ROUND(S822*(R822/$AV822)/VLOOKUP(Q822,职业!$A$4:$G$16,4,FALSE),0),"")</f>
        <v/>
      </c>
      <c r="AS822" t="str">
        <f>IFERROR(ROUND(X822*(U822/$AW822)/VLOOKUP(T822,商品!$A$4:$B$60,2,FALSE),0),"")</f>
        <v/>
      </c>
      <c r="AT822" t="str">
        <f>IFERROR(ROUND(X822*(W822/$AW822)/VLOOKUP(V822,商品!$A$4:$B$60,2,FALSE),0),"")</f>
        <v/>
      </c>
      <c r="AU822">
        <f t="shared" si="253"/>
        <v>0</v>
      </c>
      <c r="AV822">
        <f t="shared" si="254"/>
        <v>0</v>
      </c>
      <c r="AW822">
        <f t="shared" si="255"/>
        <v>0</v>
      </c>
    </row>
    <row r="823" spans="1:49" ht="19.95" customHeight="1" x14ac:dyDescent="0.25">
      <c r="A823" s="16" t="s">
        <v>355</v>
      </c>
      <c r="C823" s="16">
        <v>2</v>
      </c>
      <c r="D823" s="23" t="s">
        <v>171</v>
      </c>
      <c r="E823" s="23" t="s">
        <v>175</v>
      </c>
      <c r="F823" s="2" t="s">
        <v>41</v>
      </c>
      <c r="G823" s="2">
        <v>10</v>
      </c>
      <c r="L823" s="15">
        <f>IFERROR(VLOOKUP($D823&amp;$C823,生产方式定位!$A$2:$E$38,2,FALSE)+VLOOKUP($E823&amp;$C823,生产方式定位!$F$3:$J$38,2,FALSE),0)</f>
        <v>650</v>
      </c>
      <c r="S823" s="15">
        <f>IFERROR(VLOOKUP($D823&amp;$C823,生产方式定位!$A$2:$E$38,3,FALSE)+VLOOKUP($E823&amp;$C823,生产方式定位!$F$3:$J$38,3,FALSE),0)</f>
        <v>110</v>
      </c>
      <c r="X823" s="15">
        <f>IFERROR(VLOOKUP($D823&amp;$C823,生产方式定位!$A$2:$E$38,5,FALSE)+VLOOKUP($E823&amp;$C823,生产方式定位!$F$3:$J$38,5,FALSE),"错误")</f>
        <v>910</v>
      </c>
      <c r="Y823" s="26" t="str">
        <f t="shared" si="240"/>
        <v>工具*16</v>
      </c>
      <c r="Z823" s="36" t="str">
        <f t="shared" si="241"/>
        <v/>
      </c>
      <c r="AA823" s="36" t="str">
        <f t="shared" si="242"/>
        <v/>
      </c>
      <c r="AB823" s="27" t="str">
        <f t="shared" si="243"/>
        <v>40%</v>
      </c>
      <c r="AC823" s="2">
        <f t="shared" si="244"/>
        <v>150</v>
      </c>
      <c r="AD823" s="37">
        <f t="shared" si="245"/>
        <v>2</v>
      </c>
      <c r="AE823" t="str">
        <f t="shared" si="246"/>
        <v>工具*16</v>
      </c>
      <c r="AF823" t="str">
        <f t="shared" si="247"/>
        <v/>
      </c>
      <c r="AG823" t="str">
        <f t="shared" si="248"/>
        <v/>
      </c>
      <c r="AH823" t="str">
        <f t="shared" si="249"/>
        <v/>
      </c>
      <c r="AI823" t="str">
        <f t="shared" si="250"/>
        <v/>
      </c>
      <c r="AJ823" t="str">
        <f t="shared" si="251"/>
        <v/>
      </c>
      <c r="AK823" t="str">
        <f t="shared" si="252"/>
        <v/>
      </c>
      <c r="AL823">
        <f>IFERROR(ROUND(L823*(G823/$AU823)/VLOOKUP(F823,商品!$A$4:$B$60,2,FALSE),0),"")</f>
        <v>16</v>
      </c>
      <c r="AM823" t="str">
        <f>IFERROR(ROUND(L823*(I823/$AU823)/VLOOKUP(H823,商品!$A$4:$B$60,2,FALSE),0),"")</f>
        <v/>
      </c>
      <c r="AN823">
        <f>IFERROR(ROUND(L823*(J823/$AU823)/VLOOKUP("运力",商品!$A$4:$B$60,2,FALSE),0),0)</f>
        <v>0</v>
      </c>
      <c r="AO823">
        <f>IFERROR(ROUND(L823*(K823/$AU823)/VLOOKUP("交易",商品!$A$4:$B$60,2,FALSE),0),0)</f>
        <v>0</v>
      </c>
      <c r="AP823" t="str">
        <f>IFERROR(ROUND(S823*(N823/$AV823)/VLOOKUP(M823,职业!$A$4:$G$16,4,FALSE),0),"")</f>
        <v/>
      </c>
      <c r="AQ823" t="str">
        <f>IFERROR(ROUND(S823*(P823/$AV823)/VLOOKUP(O823,职业!$A$4:$G$16,4,FALSE),0),"")</f>
        <v/>
      </c>
      <c r="AR823" t="str">
        <f>IFERROR(ROUND(S823*(R823/$AV823)/VLOOKUP(Q823,职业!$A$4:$G$16,4,FALSE),0),"")</f>
        <v/>
      </c>
      <c r="AS823" t="str">
        <f>IFERROR(ROUND(X823*(U823/$AW823)/VLOOKUP(T823,商品!$A$4:$B$60,2,FALSE),0),"")</f>
        <v/>
      </c>
      <c r="AT823" t="str">
        <f>IFERROR(ROUND(X823*(W823/$AW823)/VLOOKUP(V823,商品!$A$4:$B$60,2,FALSE),0),"")</f>
        <v/>
      </c>
      <c r="AU823">
        <f t="shared" si="253"/>
        <v>10</v>
      </c>
      <c r="AV823">
        <f t="shared" si="254"/>
        <v>0</v>
      </c>
      <c r="AW823">
        <f t="shared" si="255"/>
        <v>0</v>
      </c>
    </row>
    <row r="824" spans="1:49" ht="19.95" customHeight="1" x14ac:dyDescent="0.25">
      <c r="A824" s="16" t="s">
        <v>355</v>
      </c>
      <c r="C824" s="16">
        <v>3</v>
      </c>
      <c r="D824" s="23" t="s">
        <v>171</v>
      </c>
      <c r="E824" s="23" t="s">
        <v>175</v>
      </c>
      <c r="F824" s="2" t="s">
        <v>41</v>
      </c>
      <c r="G824" s="2">
        <v>10</v>
      </c>
      <c r="L824" s="15">
        <f>IFERROR(VLOOKUP($D824&amp;$C824,生产方式定位!$A$2:$E$38,2,FALSE)+VLOOKUP($E824&amp;$C824,生产方式定位!$F$3:$J$38,2,FALSE),0)</f>
        <v>1000</v>
      </c>
      <c r="S824" s="15">
        <f>IFERROR(VLOOKUP($D824&amp;$C824,生产方式定位!$A$2:$E$38,3,FALSE)+VLOOKUP($E824&amp;$C824,生产方式定位!$F$3:$J$38,3,FALSE),0)</f>
        <v>120</v>
      </c>
      <c r="X824" s="15">
        <f>IFERROR(VLOOKUP($D824&amp;$C824,生产方式定位!$A$2:$E$38,5,FALSE)+VLOOKUP($E824&amp;$C824,生产方式定位!$F$3:$J$38,5,FALSE),"错误")</f>
        <v>1300</v>
      </c>
      <c r="Y824" s="26" t="str">
        <f t="shared" si="240"/>
        <v>工具*25</v>
      </c>
      <c r="Z824" s="36" t="str">
        <f t="shared" si="241"/>
        <v/>
      </c>
      <c r="AA824" s="36" t="str">
        <f t="shared" si="242"/>
        <v/>
      </c>
      <c r="AB824" s="27" t="str">
        <f t="shared" si="243"/>
        <v>30%</v>
      </c>
      <c r="AC824" s="2">
        <f t="shared" si="244"/>
        <v>180</v>
      </c>
      <c r="AD824" s="37">
        <f t="shared" si="245"/>
        <v>3</v>
      </c>
      <c r="AE824" t="str">
        <f t="shared" si="246"/>
        <v>工具*25</v>
      </c>
      <c r="AF824" t="str">
        <f t="shared" si="247"/>
        <v/>
      </c>
      <c r="AG824" t="str">
        <f t="shared" si="248"/>
        <v/>
      </c>
      <c r="AH824" t="str">
        <f t="shared" si="249"/>
        <v/>
      </c>
      <c r="AI824" t="str">
        <f t="shared" si="250"/>
        <v/>
      </c>
      <c r="AJ824" t="str">
        <f t="shared" si="251"/>
        <v/>
      </c>
      <c r="AK824" t="str">
        <f t="shared" si="252"/>
        <v/>
      </c>
      <c r="AL824">
        <f>IFERROR(ROUND(L824*(G824/$AU824)/VLOOKUP(F824,商品!$A$4:$B$60,2,FALSE),0),"")</f>
        <v>25</v>
      </c>
      <c r="AM824" t="str">
        <f>IFERROR(ROUND(L824*(I824/$AU824)/VLOOKUP(H824,商品!$A$4:$B$60,2,FALSE),0),"")</f>
        <v/>
      </c>
      <c r="AN824">
        <f>IFERROR(ROUND(L824*(J824/$AU824)/VLOOKUP("运力",商品!$A$4:$B$60,2,FALSE),0),0)</f>
        <v>0</v>
      </c>
      <c r="AO824">
        <f>IFERROR(ROUND(L824*(K824/$AU824)/VLOOKUP("交易",商品!$A$4:$B$60,2,FALSE),0),0)</f>
        <v>0</v>
      </c>
      <c r="AP824" t="str">
        <f>IFERROR(ROUND(S824*(N824/$AV824)/VLOOKUP(M824,职业!$A$4:$G$16,4,FALSE),0),"")</f>
        <v/>
      </c>
      <c r="AQ824" t="str">
        <f>IFERROR(ROUND(S824*(P824/$AV824)/VLOOKUP(O824,职业!$A$4:$G$16,4,FALSE),0),"")</f>
        <v/>
      </c>
      <c r="AR824" t="str">
        <f>IFERROR(ROUND(S824*(R824/$AV824)/VLOOKUP(Q824,职业!$A$4:$G$16,4,FALSE),0),"")</f>
        <v/>
      </c>
      <c r="AS824" t="str">
        <f>IFERROR(ROUND(X824*(U824/$AW824)/VLOOKUP(T824,商品!$A$4:$B$60,2,FALSE),0),"")</f>
        <v/>
      </c>
      <c r="AT824" t="str">
        <f>IFERROR(ROUND(X824*(W824/$AW824)/VLOOKUP(V824,商品!$A$4:$B$60,2,FALSE),0),"")</f>
        <v/>
      </c>
      <c r="AU824">
        <f t="shared" si="253"/>
        <v>10</v>
      </c>
      <c r="AV824">
        <f t="shared" si="254"/>
        <v>0</v>
      </c>
      <c r="AW824">
        <f t="shared" si="255"/>
        <v>0</v>
      </c>
    </row>
    <row r="825" spans="1:49" ht="19.95" customHeight="1" x14ac:dyDescent="0.25">
      <c r="A825" s="16" t="s">
        <v>355</v>
      </c>
      <c r="C825" s="16">
        <v>4</v>
      </c>
      <c r="D825" s="23" t="s">
        <v>171</v>
      </c>
      <c r="E825" s="23" t="s">
        <v>175</v>
      </c>
      <c r="F825" s="2" t="s">
        <v>45</v>
      </c>
      <c r="G825" s="2">
        <v>5</v>
      </c>
      <c r="H825" s="2" t="s">
        <v>19</v>
      </c>
      <c r="I825" s="2">
        <v>10</v>
      </c>
      <c r="L825" s="15">
        <f>IFERROR(VLOOKUP($D825&amp;$C825,生产方式定位!$A$2:$E$38,2,FALSE)+VLOOKUP($E825&amp;$C825,生产方式定位!$F$3:$J$38,2,FALSE),0)</f>
        <v>1350</v>
      </c>
      <c r="S825" s="15">
        <f>IFERROR(VLOOKUP($D825&amp;$C825,生产方式定位!$A$2:$E$38,3,FALSE)+VLOOKUP($E825&amp;$C825,生产方式定位!$F$3:$J$38,3,FALSE),0)</f>
        <v>130</v>
      </c>
      <c r="X825" s="15">
        <f>IFERROR(VLOOKUP($D825&amp;$C825,生产方式定位!$A$2:$E$38,5,FALSE)+VLOOKUP($E825&amp;$C825,生产方式定位!$F$3:$J$38,5,FALSE),"错误")</f>
        <v>1690</v>
      </c>
      <c r="Y825" s="26" t="str">
        <f t="shared" si="240"/>
        <v>科学引擎*6,煤*30</v>
      </c>
      <c r="Z825" s="36" t="str">
        <f t="shared" si="241"/>
        <v/>
      </c>
      <c r="AA825" s="36" t="str">
        <f t="shared" si="242"/>
        <v/>
      </c>
      <c r="AB825" s="27" t="str">
        <f t="shared" si="243"/>
        <v>25%</v>
      </c>
      <c r="AC825" s="2">
        <f t="shared" si="244"/>
        <v>210</v>
      </c>
      <c r="AD825" s="37">
        <f t="shared" si="245"/>
        <v>4</v>
      </c>
      <c r="AE825" t="str">
        <f t="shared" si="246"/>
        <v>科学引擎*6</v>
      </c>
      <c r="AF825" t="str">
        <f t="shared" si="247"/>
        <v>煤*30</v>
      </c>
      <c r="AG825" t="str">
        <f t="shared" si="248"/>
        <v/>
      </c>
      <c r="AH825" t="str">
        <f t="shared" si="249"/>
        <v/>
      </c>
      <c r="AI825" t="str">
        <f t="shared" si="250"/>
        <v/>
      </c>
      <c r="AJ825" t="str">
        <f t="shared" si="251"/>
        <v/>
      </c>
      <c r="AK825" t="str">
        <f t="shared" si="252"/>
        <v/>
      </c>
      <c r="AL825">
        <f>IFERROR(ROUND(L825*(G825/$AU825)/VLOOKUP(F825,商品!$A$4:$B$60,2,FALSE),0),"")</f>
        <v>6</v>
      </c>
      <c r="AM825">
        <f>IFERROR(ROUND(L825*(I825/$AU825)/VLOOKUP(H825,商品!$A$4:$B$60,2,FALSE),0),"")</f>
        <v>30</v>
      </c>
      <c r="AN825">
        <f>IFERROR(ROUND(L825*(J825/$AU825)/VLOOKUP("运力",商品!$A$4:$B$60,2,FALSE),0),0)</f>
        <v>0</v>
      </c>
      <c r="AO825">
        <f>IFERROR(ROUND(L825*(K825/$AU825)/VLOOKUP("交易",商品!$A$4:$B$60,2,FALSE),0),0)</f>
        <v>0</v>
      </c>
      <c r="AP825" t="str">
        <f>IFERROR(ROUND(S825*(N825/$AV825)/VLOOKUP(M825,职业!$A$4:$G$16,4,FALSE),0),"")</f>
        <v/>
      </c>
      <c r="AQ825" t="str">
        <f>IFERROR(ROUND(S825*(P825/$AV825)/VLOOKUP(O825,职业!$A$4:$G$16,4,FALSE),0),"")</f>
        <v/>
      </c>
      <c r="AR825" t="str">
        <f>IFERROR(ROUND(S825*(R825/$AV825)/VLOOKUP(Q825,职业!$A$4:$G$16,4,FALSE),0),"")</f>
        <v/>
      </c>
      <c r="AS825" t="str">
        <f>IFERROR(ROUND(X825*(U825/$AW825)/VLOOKUP(T825,商品!$A$4:$B$60,2,FALSE),0),"")</f>
        <v/>
      </c>
      <c r="AT825" t="str">
        <f>IFERROR(ROUND(X825*(W825/$AW825)/VLOOKUP(V825,商品!$A$4:$B$60,2,FALSE),0),"")</f>
        <v/>
      </c>
      <c r="AU825">
        <f t="shared" si="253"/>
        <v>15</v>
      </c>
      <c r="AV825">
        <f t="shared" si="254"/>
        <v>0</v>
      </c>
      <c r="AW825">
        <f t="shared" si="255"/>
        <v>0</v>
      </c>
    </row>
    <row r="826" spans="1:49" ht="19.95" customHeight="1" x14ac:dyDescent="0.25">
      <c r="A826" s="16" t="s">
        <v>355</v>
      </c>
      <c r="C826" s="16">
        <v>5</v>
      </c>
      <c r="D826" s="23" t="s">
        <v>171</v>
      </c>
      <c r="E826" s="23" t="s">
        <v>175</v>
      </c>
      <c r="F826" s="2" t="s">
        <v>46</v>
      </c>
      <c r="G826" s="2">
        <v>5</v>
      </c>
      <c r="H826" s="2" t="s">
        <v>19</v>
      </c>
      <c r="I826" s="2">
        <v>10</v>
      </c>
      <c r="L826" s="15">
        <f>IFERROR(VLOOKUP($D826&amp;$C826,生产方式定位!$A$2:$E$38,2,FALSE)+VLOOKUP($E826&amp;$C826,生产方式定位!$F$3:$J$38,2,FALSE),0)</f>
        <v>1700</v>
      </c>
      <c r="S826" s="15">
        <f>IFERROR(VLOOKUP($D826&amp;$C826,生产方式定位!$A$2:$E$38,3,FALSE)+VLOOKUP($E826&amp;$C826,生产方式定位!$F$3:$J$38,3,FALSE),0)</f>
        <v>140</v>
      </c>
      <c r="X826" s="15">
        <f>IFERROR(VLOOKUP($D826&amp;$C826,生产方式定位!$A$2:$E$38,5,FALSE)+VLOOKUP($E826&amp;$C826,生产方式定位!$F$3:$J$38,5,FALSE),"错误")</f>
        <v>2080</v>
      </c>
      <c r="Y826" s="26" t="str">
        <f t="shared" si="240"/>
        <v>魔导引擎*7,煤*38</v>
      </c>
      <c r="Z826" s="36" t="str">
        <f t="shared" si="241"/>
        <v/>
      </c>
      <c r="AA826" s="36" t="str">
        <f t="shared" si="242"/>
        <v/>
      </c>
      <c r="AB826" s="27" t="str">
        <f t="shared" si="243"/>
        <v>22%</v>
      </c>
      <c r="AC826" s="2">
        <f t="shared" si="244"/>
        <v>240</v>
      </c>
      <c r="AD826" s="37">
        <f t="shared" si="245"/>
        <v>5</v>
      </c>
      <c r="AE826" t="str">
        <f t="shared" si="246"/>
        <v>魔导引擎*7</v>
      </c>
      <c r="AF826" t="str">
        <f t="shared" si="247"/>
        <v>煤*38</v>
      </c>
      <c r="AG826" t="str">
        <f t="shared" si="248"/>
        <v/>
      </c>
      <c r="AH826" t="str">
        <f t="shared" si="249"/>
        <v/>
      </c>
      <c r="AI826" t="str">
        <f t="shared" si="250"/>
        <v/>
      </c>
      <c r="AJ826" t="str">
        <f t="shared" si="251"/>
        <v/>
      </c>
      <c r="AK826" t="str">
        <f t="shared" si="252"/>
        <v/>
      </c>
      <c r="AL826">
        <f>IFERROR(ROUND(L826*(G826/$AU826)/VLOOKUP(F826,商品!$A$4:$B$60,2,FALSE),0),"")</f>
        <v>7</v>
      </c>
      <c r="AM826">
        <f>IFERROR(ROUND(L826*(I826/$AU826)/VLOOKUP(H826,商品!$A$4:$B$60,2,FALSE),0),"")</f>
        <v>38</v>
      </c>
      <c r="AN826">
        <f>IFERROR(ROUND(L826*(J826/$AU826)/VLOOKUP("运力",商品!$A$4:$B$60,2,FALSE),0),0)</f>
        <v>0</v>
      </c>
      <c r="AO826">
        <f>IFERROR(ROUND(L826*(K826/$AU826)/VLOOKUP("交易",商品!$A$4:$B$60,2,FALSE),0),0)</f>
        <v>0</v>
      </c>
      <c r="AP826" t="str">
        <f>IFERROR(ROUND(S826*(N826/$AV826)/VLOOKUP(M826,职业!$A$4:$G$16,4,FALSE),0),"")</f>
        <v/>
      </c>
      <c r="AQ826" t="str">
        <f>IFERROR(ROUND(S826*(P826/$AV826)/VLOOKUP(O826,职业!$A$4:$G$16,4,FALSE),0),"")</f>
        <v/>
      </c>
      <c r="AR826" t="str">
        <f>IFERROR(ROUND(S826*(R826/$AV826)/VLOOKUP(Q826,职业!$A$4:$G$16,4,FALSE),0),"")</f>
        <v/>
      </c>
      <c r="AS826" t="str">
        <f>IFERROR(ROUND(X826*(U826/$AW826)/VLOOKUP(T826,商品!$A$4:$B$60,2,FALSE),0),"")</f>
        <v/>
      </c>
      <c r="AT826" t="str">
        <f>IFERROR(ROUND(X826*(W826/$AW826)/VLOOKUP(V826,商品!$A$4:$B$60,2,FALSE),0),"")</f>
        <v/>
      </c>
      <c r="AU826">
        <f t="shared" si="253"/>
        <v>15</v>
      </c>
      <c r="AV826">
        <f t="shared" si="254"/>
        <v>0</v>
      </c>
      <c r="AW826">
        <f t="shared" si="255"/>
        <v>0</v>
      </c>
    </row>
    <row r="827" spans="1:49" ht="19.95" customHeight="1" x14ac:dyDescent="0.25">
      <c r="A827" s="15" t="s">
        <v>356</v>
      </c>
      <c r="C827" s="15">
        <v>1</v>
      </c>
      <c r="D827" s="23" t="s">
        <v>174</v>
      </c>
      <c r="E827" s="23" t="s">
        <v>177</v>
      </c>
      <c r="L827" s="16">
        <f>IFERROR(VLOOKUP($D827&amp;$C827,生产方式定位!$A$2:$E$38,2,FALSE)+VLOOKUP($E827&amp;$C827,生产方式定位!$F$3:$J$38,2,FALSE),0)</f>
        <v>0</v>
      </c>
      <c r="S827" s="16">
        <f>IFERROR(VLOOKUP($D827&amp;$C827,生产方式定位!$A$2:$E$38,3,FALSE)+VLOOKUP($E827&amp;$C827,生产方式定位!$F$3:$J$38,3,FALSE),0)</f>
        <v>0</v>
      </c>
      <c r="X827" s="16">
        <f>IFERROR(VLOOKUP($D827&amp;$C827,生产方式定位!$A$2:$E$38,5,FALSE)+VLOOKUP($E827&amp;$C827,生产方式定位!$F$3:$J$38,5,FALSE),"错误")</f>
        <v>0</v>
      </c>
      <c r="Y827" s="26" t="str">
        <f t="shared" si="240"/>
        <v/>
      </c>
      <c r="Z827" s="36" t="str">
        <f t="shared" si="241"/>
        <v/>
      </c>
      <c r="AA827" s="36" t="str">
        <f t="shared" si="242"/>
        <v/>
      </c>
      <c r="AB827" s="27" t="str">
        <f t="shared" si="243"/>
        <v/>
      </c>
      <c r="AC827" s="2" t="str">
        <f t="shared" si="244"/>
        <v/>
      </c>
      <c r="AD827" s="38">
        <f t="shared" si="245"/>
        <v>1</v>
      </c>
      <c r="AE827" t="str">
        <f t="shared" si="246"/>
        <v/>
      </c>
      <c r="AF827" t="str">
        <f t="shared" si="247"/>
        <v/>
      </c>
      <c r="AG827" t="str">
        <f t="shared" si="248"/>
        <v/>
      </c>
      <c r="AH827" t="str">
        <f t="shared" si="249"/>
        <v/>
      </c>
      <c r="AI827" t="str">
        <f t="shared" si="250"/>
        <v/>
      </c>
      <c r="AJ827" t="str">
        <f t="shared" si="251"/>
        <v/>
      </c>
      <c r="AK827" t="str">
        <f t="shared" si="252"/>
        <v/>
      </c>
      <c r="AL827" t="str">
        <f>IFERROR(ROUND(L827*(G827/$AU827)/VLOOKUP(F827,商品!$A$4:$B$60,2,FALSE),0),"")</f>
        <v/>
      </c>
      <c r="AM827" t="str">
        <f>IFERROR(ROUND(L827*(I827/$AU827)/VLOOKUP(H827,商品!$A$4:$B$60,2,FALSE),0),"")</f>
        <v/>
      </c>
      <c r="AN827">
        <f>IFERROR(ROUND(L827*(J827/$AU827)/VLOOKUP("运力",商品!$A$4:$B$60,2,FALSE),0),0)</f>
        <v>0</v>
      </c>
      <c r="AO827">
        <f>IFERROR(ROUND(L827*(K827/$AU827)/VLOOKUP("交易",商品!$A$4:$B$60,2,FALSE),0),0)</f>
        <v>0</v>
      </c>
      <c r="AP827" t="str">
        <f>IFERROR(ROUND(S827*(N827/$AV827)/VLOOKUP(M827,职业!$A$4:$G$16,4,FALSE),0),"")</f>
        <v/>
      </c>
      <c r="AQ827" t="str">
        <f>IFERROR(ROUND(S827*(P827/$AV827)/VLOOKUP(O827,职业!$A$4:$G$16,4,FALSE),0),"")</f>
        <v/>
      </c>
      <c r="AR827" t="str">
        <f>IFERROR(ROUND(S827*(R827/$AV827)/VLOOKUP(Q827,职业!$A$4:$G$16,4,FALSE),0),"")</f>
        <v/>
      </c>
      <c r="AS827" t="str">
        <f>IFERROR(ROUND(X827*(U827/$AW827)/VLOOKUP(T827,商品!$A$4:$B$60,2,FALSE),0),"")</f>
        <v/>
      </c>
      <c r="AT827" t="str">
        <f>IFERROR(ROUND(X827*(W827/$AW827)/VLOOKUP(V827,商品!$A$4:$B$60,2,FALSE),0),"")</f>
        <v/>
      </c>
      <c r="AU827">
        <f t="shared" si="253"/>
        <v>0</v>
      </c>
      <c r="AV827">
        <f t="shared" si="254"/>
        <v>0</v>
      </c>
      <c r="AW827">
        <f t="shared" si="255"/>
        <v>0</v>
      </c>
    </row>
    <row r="828" spans="1:49" ht="19.95" customHeight="1" x14ac:dyDescent="0.25">
      <c r="A828" s="15" t="s">
        <v>356</v>
      </c>
      <c r="C828" s="15">
        <v>2</v>
      </c>
      <c r="D828" s="23" t="s">
        <v>174</v>
      </c>
      <c r="E828" s="23" t="s">
        <v>177</v>
      </c>
      <c r="F828" s="2" t="s">
        <v>42</v>
      </c>
      <c r="G828" s="2">
        <v>5</v>
      </c>
      <c r="H828" s="2" t="s">
        <v>20</v>
      </c>
      <c r="I828" s="2">
        <v>10</v>
      </c>
      <c r="L828" s="16">
        <f>IFERROR(VLOOKUP($D828&amp;$C828,生产方式定位!$A$2:$E$38,2,FALSE)+VLOOKUP($E828&amp;$C828,生产方式定位!$F$3:$J$38,2,FALSE),0)</f>
        <v>105</v>
      </c>
      <c r="S828" s="16">
        <f>IFERROR(VLOOKUP($D828&amp;$C828,生产方式定位!$A$2:$E$38,3,FALSE)+VLOOKUP($E828&amp;$C828,生产方式定位!$F$3:$J$38,3,FALSE),0)</f>
        <v>15</v>
      </c>
      <c r="X828" s="16">
        <f>IFERROR(VLOOKUP($D828&amp;$C828,生产方式定位!$A$2:$E$38,5,FALSE)+VLOOKUP($E828&amp;$C828,生产方式定位!$F$3:$J$38,5,FALSE),"错误")</f>
        <v>0</v>
      </c>
      <c r="Y828" s="26" t="str">
        <f t="shared" si="240"/>
        <v>魔偶*1,灵能水晶*2</v>
      </c>
      <c r="Z828" s="36" t="str">
        <f t="shared" si="241"/>
        <v/>
      </c>
      <c r="AA828" s="36" t="str">
        <f t="shared" si="242"/>
        <v/>
      </c>
      <c r="AB828" s="27" t="str">
        <f t="shared" si="243"/>
        <v>-100%</v>
      </c>
      <c r="AC828" s="2">
        <f t="shared" si="244"/>
        <v>-120</v>
      </c>
      <c r="AD828" s="38">
        <f t="shared" si="245"/>
        <v>2</v>
      </c>
      <c r="AE828" t="str">
        <f t="shared" si="246"/>
        <v>魔偶*1</v>
      </c>
      <c r="AF828" t="str">
        <f t="shared" si="247"/>
        <v>灵能水晶*2</v>
      </c>
      <c r="AG828" t="str">
        <f t="shared" si="248"/>
        <v/>
      </c>
      <c r="AH828" t="str">
        <f t="shared" si="249"/>
        <v/>
      </c>
      <c r="AI828" t="str">
        <f t="shared" si="250"/>
        <v/>
      </c>
      <c r="AJ828" t="str">
        <f t="shared" si="251"/>
        <v/>
      </c>
      <c r="AK828" t="str">
        <f t="shared" si="252"/>
        <v/>
      </c>
      <c r="AL828">
        <f>IFERROR(ROUND(L828*(G828/$AU828)/VLOOKUP(F828,商品!$A$4:$B$60,2,FALSE),0),"")</f>
        <v>1</v>
      </c>
      <c r="AM828">
        <f>IFERROR(ROUND(L828*(I828/$AU828)/VLOOKUP(H828,商品!$A$4:$B$60,2,FALSE),0),"")</f>
        <v>2</v>
      </c>
      <c r="AN828">
        <f>IFERROR(ROUND(L828*(J828/$AU828)/VLOOKUP("运力",商品!$A$4:$B$60,2,FALSE),0),0)</f>
        <v>0</v>
      </c>
      <c r="AO828">
        <f>IFERROR(ROUND(L828*(K828/$AU828)/VLOOKUP("交易",商品!$A$4:$B$60,2,FALSE),0),0)</f>
        <v>0</v>
      </c>
      <c r="AP828" t="str">
        <f>IFERROR(ROUND(S828*(N828/$AV828)/VLOOKUP(M828,职业!$A$4:$G$16,4,FALSE),0),"")</f>
        <v/>
      </c>
      <c r="AQ828" t="str">
        <f>IFERROR(ROUND(S828*(P828/$AV828)/VLOOKUP(O828,职业!$A$4:$G$16,4,FALSE),0),"")</f>
        <v/>
      </c>
      <c r="AR828" t="str">
        <f>IFERROR(ROUND(S828*(R828/$AV828)/VLOOKUP(Q828,职业!$A$4:$G$16,4,FALSE),0),"")</f>
        <v/>
      </c>
      <c r="AS828" t="str">
        <f>IFERROR(ROUND(X828*(U828/$AW828)/VLOOKUP(T828,商品!$A$4:$B$60,2,FALSE),0),"")</f>
        <v/>
      </c>
      <c r="AT828" t="str">
        <f>IFERROR(ROUND(X828*(W828/$AW828)/VLOOKUP(V828,商品!$A$4:$B$60,2,FALSE),0),"")</f>
        <v/>
      </c>
      <c r="AU828">
        <f t="shared" si="253"/>
        <v>15</v>
      </c>
      <c r="AV828">
        <f t="shared" si="254"/>
        <v>0</v>
      </c>
      <c r="AW828">
        <f t="shared" si="255"/>
        <v>0</v>
      </c>
    </row>
    <row r="829" spans="1:49" ht="19.95" customHeight="1" x14ac:dyDescent="0.25">
      <c r="A829" s="15" t="s">
        <v>356</v>
      </c>
      <c r="C829" s="15">
        <v>3</v>
      </c>
      <c r="D829" s="23" t="s">
        <v>174</v>
      </c>
      <c r="E829" s="23" t="s">
        <v>177</v>
      </c>
      <c r="F829" s="2" t="s">
        <v>42</v>
      </c>
      <c r="G829" s="2">
        <v>5</v>
      </c>
      <c r="H829" s="2" t="s">
        <v>20</v>
      </c>
      <c r="I829" s="2">
        <v>10</v>
      </c>
      <c r="L829" s="16">
        <f>IFERROR(VLOOKUP($D829&amp;$C829,生产方式定位!$A$2:$E$38,2,FALSE)+VLOOKUP($E829&amp;$C829,生产方式定位!$F$3:$J$38,2,FALSE),0)</f>
        <v>210</v>
      </c>
      <c r="S829" s="16">
        <f>IFERROR(VLOOKUP($D829&amp;$C829,生产方式定位!$A$2:$E$38,3,FALSE)+VLOOKUP($E829&amp;$C829,生产方式定位!$F$3:$J$38,3,FALSE),0)</f>
        <v>30</v>
      </c>
      <c r="X829" s="16">
        <f>IFERROR(VLOOKUP($D829&amp;$C829,生产方式定位!$A$2:$E$38,5,FALSE)+VLOOKUP($E829&amp;$C829,生产方式定位!$F$3:$J$38,5,FALSE),"错误")</f>
        <v>0</v>
      </c>
      <c r="Y829" s="26" t="str">
        <f t="shared" si="240"/>
        <v>魔偶*2,灵能水晶*5</v>
      </c>
      <c r="Z829" s="36" t="str">
        <f t="shared" si="241"/>
        <v/>
      </c>
      <c r="AA829" s="36" t="str">
        <f t="shared" si="242"/>
        <v/>
      </c>
      <c r="AB829" s="27" t="str">
        <f t="shared" si="243"/>
        <v>-100%</v>
      </c>
      <c r="AC829" s="2">
        <f t="shared" si="244"/>
        <v>-240</v>
      </c>
      <c r="AD829" s="38">
        <f t="shared" si="245"/>
        <v>3</v>
      </c>
      <c r="AE829" t="str">
        <f t="shared" si="246"/>
        <v>魔偶*2</v>
      </c>
      <c r="AF829" t="str">
        <f t="shared" si="247"/>
        <v>灵能水晶*5</v>
      </c>
      <c r="AG829" t="str">
        <f t="shared" si="248"/>
        <v/>
      </c>
      <c r="AH829" t="str">
        <f t="shared" si="249"/>
        <v/>
      </c>
      <c r="AI829" t="str">
        <f t="shared" si="250"/>
        <v/>
      </c>
      <c r="AJ829" t="str">
        <f t="shared" si="251"/>
        <v/>
      </c>
      <c r="AK829" t="str">
        <f t="shared" si="252"/>
        <v/>
      </c>
      <c r="AL829">
        <f>IFERROR(ROUND(L829*(G829/$AU829)/VLOOKUP(F829,商品!$A$4:$B$60,2,FALSE),0),"")</f>
        <v>2</v>
      </c>
      <c r="AM829">
        <f>IFERROR(ROUND(L829*(I829/$AU829)/VLOOKUP(H829,商品!$A$4:$B$60,2,FALSE),0),"")</f>
        <v>5</v>
      </c>
      <c r="AN829">
        <f>IFERROR(ROUND(L829*(J829/$AU829)/VLOOKUP("运力",商品!$A$4:$B$60,2,FALSE),0),0)</f>
        <v>0</v>
      </c>
      <c r="AO829">
        <f>IFERROR(ROUND(L829*(K829/$AU829)/VLOOKUP("交易",商品!$A$4:$B$60,2,FALSE),0),0)</f>
        <v>0</v>
      </c>
      <c r="AP829" t="str">
        <f>IFERROR(ROUND(S829*(N829/$AV829)/VLOOKUP(M829,职业!$A$4:$G$16,4,FALSE),0),"")</f>
        <v/>
      </c>
      <c r="AQ829" t="str">
        <f>IFERROR(ROUND(S829*(P829/$AV829)/VLOOKUP(O829,职业!$A$4:$G$16,4,FALSE),0),"")</f>
        <v/>
      </c>
      <c r="AR829" t="str">
        <f>IFERROR(ROUND(S829*(R829/$AV829)/VLOOKUP(Q829,职业!$A$4:$G$16,4,FALSE),0),"")</f>
        <v/>
      </c>
      <c r="AS829" t="str">
        <f>IFERROR(ROUND(X829*(U829/$AW829)/VLOOKUP(T829,商品!$A$4:$B$60,2,FALSE),0),"")</f>
        <v/>
      </c>
      <c r="AT829" t="str">
        <f>IFERROR(ROUND(X829*(W829/$AW829)/VLOOKUP(V829,商品!$A$4:$B$60,2,FALSE),0),"")</f>
        <v/>
      </c>
      <c r="AU829">
        <f t="shared" si="253"/>
        <v>15</v>
      </c>
      <c r="AV829">
        <f t="shared" si="254"/>
        <v>0</v>
      </c>
      <c r="AW829">
        <f t="shared" si="255"/>
        <v>0</v>
      </c>
    </row>
    <row r="830" spans="1:49" ht="19.95" customHeight="1" x14ac:dyDescent="0.25">
      <c r="A830" s="15" t="s">
        <v>356</v>
      </c>
      <c r="C830" s="15">
        <v>4</v>
      </c>
      <c r="D830" s="23" t="s">
        <v>174</v>
      </c>
      <c r="E830" s="23" t="s">
        <v>177</v>
      </c>
      <c r="F830" s="2" t="s">
        <v>42</v>
      </c>
      <c r="G830" s="2">
        <v>5</v>
      </c>
      <c r="H830" s="2" t="s">
        <v>20</v>
      </c>
      <c r="I830" s="2">
        <v>10</v>
      </c>
      <c r="L830" s="16">
        <f>IFERROR(VLOOKUP($D830&amp;$C830,生产方式定位!$A$2:$E$38,2,FALSE)+VLOOKUP($E830&amp;$C830,生产方式定位!$F$3:$J$38,2,FALSE),0)</f>
        <v>315</v>
      </c>
      <c r="S830" s="16">
        <f>IFERROR(VLOOKUP($D830&amp;$C830,生产方式定位!$A$2:$E$38,3,FALSE)+VLOOKUP($E830&amp;$C830,生产方式定位!$F$3:$J$38,3,FALSE),0)</f>
        <v>45</v>
      </c>
      <c r="X830" s="16">
        <f>IFERROR(VLOOKUP($D830&amp;$C830,生产方式定位!$A$2:$E$38,5,FALSE)+VLOOKUP($E830&amp;$C830,生产方式定位!$F$3:$J$38,5,FALSE),"错误")</f>
        <v>0</v>
      </c>
      <c r="Y830" s="26" t="str">
        <f t="shared" si="240"/>
        <v>魔偶*3,灵能水晶*7</v>
      </c>
      <c r="Z830" s="36" t="str">
        <f t="shared" si="241"/>
        <v/>
      </c>
      <c r="AA830" s="36" t="str">
        <f t="shared" si="242"/>
        <v/>
      </c>
      <c r="AB830" s="27" t="str">
        <f t="shared" si="243"/>
        <v>-100%</v>
      </c>
      <c r="AC830" s="2">
        <f t="shared" si="244"/>
        <v>-360</v>
      </c>
      <c r="AD830" s="38">
        <f t="shared" si="245"/>
        <v>4</v>
      </c>
      <c r="AE830" t="str">
        <f t="shared" si="246"/>
        <v>魔偶*3</v>
      </c>
      <c r="AF830" t="str">
        <f t="shared" si="247"/>
        <v>灵能水晶*7</v>
      </c>
      <c r="AG830" t="str">
        <f t="shared" si="248"/>
        <v/>
      </c>
      <c r="AH830" t="str">
        <f t="shared" si="249"/>
        <v/>
      </c>
      <c r="AI830" t="str">
        <f t="shared" si="250"/>
        <v/>
      </c>
      <c r="AJ830" t="str">
        <f t="shared" si="251"/>
        <v/>
      </c>
      <c r="AK830" t="str">
        <f t="shared" si="252"/>
        <v/>
      </c>
      <c r="AL830">
        <f>IFERROR(ROUND(L830*(G830/$AU830)/VLOOKUP(F830,商品!$A$4:$B$60,2,FALSE),0),"")</f>
        <v>3</v>
      </c>
      <c r="AM830">
        <f>IFERROR(ROUND(L830*(I830/$AU830)/VLOOKUP(H830,商品!$A$4:$B$60,2,FALSE),0),"")</f>
        <v>7</v>
      </c>
      <c r="AN830">
        <f>IFERROR(ROUND(L830*(J830/$AU830)/VLOOKUP("运力",商品!$A$4:$B$60,2,FALSE),0),0)</f>
        <v>0</v>
      </c>
      <c r="AO830">
        <f>IFERROR(ROUND(L830*(K830/$AU830)/VLOOKUP("交易",商品!$A$4:$B$60,2,FALSE),0),0)</f>
        <v>0</v>
      </c>
      <c r="AP830" t="str">
        <f>IFERROR(ROUND(S830*(N830/$AV830)/VLOOKUP(M830,职业!$A$4:$G$16,4,FALSE),0),"")</f>
        <v/>
      </c>
      <c r="AQ830" t="str">
        <f>IFERROR(ROUND(S830*(P830/$AV830)/VLOOKUP(O830,职业!$A$4:$G$16,4,FALSE),0),"")</f>
        <v/>
      </c>
      <c r="AR830" t="str">
        <f>IFERROR(ROUND(S830*(R830/$AV830)/VLOOKUP(Q830,职业!$A$4:$G$16,4,FALSE),0),"")</f>
        <v/>
      </c>
      <c r="AS830" t="str">
        <f>IFERROR(ROUND(X830*(U830/$AW830)/VLOOKUP(T830,商品!$A$4:$B$60,2,FALSE),0),"")</f>
        <v/>
      </c>
      <c r="AT830" t="str">
        <f>IFERROR(ROUND(X830*(W830/$AW830)/VLOOKUP(V830,商品!$A$4:$B$60,2,FALSE),0),"")</f>
        <v/>
      </c>
      <c r="AU830">
        <f t="shared" si="253"/>
        <v>15</v>
      </c>
      <c r="AV830">
        <f t="shared" si="254"/>
        <v>0</v>
      </c>
      <c r="AW830">
        <f t="shared" si="255"/>
        <v>0</v>
      </c>
    </row>
    <row r="831" spans="1:49" ht="19.95" customHeight="1" x14ac:dyDescent="0.25">
      <c r="A831" s="15" t="s">
        <v>356</v>
      </c>
      <c r="C831" s="15">
        <v>5</v>
      </c>
      <c r="D831" s="23" t="s">
        <v>174</v>
      </c>
      <c r="E831" s="23" t="s">
        <v>177</v>
      </c>
      <c r="F831" s="2" t="s">
        <v>42</v>
      </c>
      <c r="G831" s="2">
        <v>5</v>
      </c>
      <c r="H831" s="2" t="s">
        <v>20</v>
      </c>
      <c r="I831" s="2">
        <v>10</v>
      </c>
      <c r="L831" s="16">
        <f>IFERROR(VLOOKUP($D831&amp;$C831,生产方式定位!$A$2:$E$38,2,FALSE)+VLOOKUP($E831&amp;$C831,生产方式定位!$F$3:$J$38,2,FALSE),0)</f>
        <v>420</v>
      </c>
      <c r="S831" s="16">
        <f>IFERROR(VLOOKUP($D831&amp;$C831,生产方式定位!$A$2:$E$38,3,FALSE)+VLOOKUP($E831&amp;$C831,生产方式定位!$F$3:$J$38,3,FALSE),0)</f>
        <v>60</v>
      </c>
      <c r="X831" s="16">
        <f>IFERROR(VLOOKUP($D831&amp;$C831,生产方式定位!$A$2:$E$38,5,FALSE)+VLOOKUP($E831&amp;$C831,生产方式定位!$F$3:$J$38,5,FALSE),"错误")</f>
        <v>0</v>
      </c>
      <c r="Y831" s="26" t="str">
        <f t="shared" si="240"/>
        <v>魔偶*4,灵能水晶*9</v>
      </c>
      <c r="Z831" s="36" t="str">
        <f t="shared" si="241"/>
        <v/>
      </c>
      <c r="AA831" s="36" t="str">
        <f t="shared" si="242"/>
        <v/>
      </c>
      <c r="AB831" s="27" t="str">
        <f t="shared" si="243"/>
        <v>-100%</v>
      </c>
      <c r="AC831" s="2">
        <f t="shared" si="244"/>
        <v>-480</v>
      </c>
      <c r="AD831" s="38">
        <f t="shared" si="245"/>
        <v>5</v>
      </c>
      <c r="AE831" t="str">
        <f t="shared" si="246"/>
        <v>魔偶*4</v>
      </c>
      <c r="AF831" t="str">
        <f t="shared" si="247"/>
        <v>灵能水晶*9</v>
      </c>
      <c r="AG831" t="str">
        <f t="shared" si="248"/>
        <v/>
      </c>
      <c r="AH831" t="str">
        <f t="shared" si="249"/>
        <v/>
      </c>
      <c r="AI831" t="str">
        <f t="shared" si="250"/>
        <v/>
      </c>
      <c r="AJ831" t="str">
        <f t="shared" si="251"/>
        <v/>
      </c>
      <c r="AK831" t="str">
        <f t="shared" si="252"/>
        <v/>
      </c>
      <c r="AL831">
        <f>IFERROR(ROUND(L831*(G831/$AU831)/VLOOKUP(F831,商品!$A$4:$B$60,2,FALSE),0),"")</f>
        <v>4</v>
      </c>
      <c r="AM831">
        <f>IFERROR(ROUND(L831*(I831/$AU831)/VLOOKUP(H831,商品!$A$4:$B$60,2,FALSE),0),"")</f>
        <v>9</v>
      </c>
      <c r="AN831">
        <f>IFERROR(ROUND(L831*(J831/$AU831)/VLOOKUP("运力",商品!$A$4:$B$60,2,FALSE),0),0)</f>
        <v>0</v>
      </c>
      <c r="AO831">
        <f>IFERROR(ROUND(L831*(K831/$AU831)/VLOOKUP("交易",商品!$A$4:$B$60,2,FALSE),0),0)</f>
        <v>0</v>
      </c>
      <c r="AP831" t="str">
        <f>IFERROR(ROUND(S831*(N831/$AV831)/VLOOKUP(M831,职业!$A$4:$G$16,4,FALSE),0),"")</f>
        <v/>
      </c>
      <c r="AQ831" t="str">
        <f>IFERROR(ROUND(S831*(P831/$AV831)/VLOOKUP(O831,职业!$A$4:$G$16,4,FALSE),0),"")</f>
        <v/>
      </c>
      <c r="AR831" t="str">
        <f>IFERROR(ROUND(S831*(R831/$AV831)/VLOOKUP(Q831,职业!$A$4:$G$16,4,FALSE),0),"")</f>
        <v/>
      </c>
      <c r="AS831" t="str">
        <f>IFERROR(ROUND(X831*(U831/$AW831)/VLOOKUP(T831,商品!$A$4:$B$60,2,FALSE),0),"")</f>
        <v/>
      </c>
      <c r="AT831" t="str">
        <f>IFERROR(ROUND(X831*(W831/$AW831)/VLOOKUP(V831,商品!$A$4:$B$60,2,FALSE),0),"")</f>
        <v/>
      </c>
      <c r="AU831">
        <f t="shared" si="253"/>
        <v>15</v>
      </c>
      <c r="AV831">
        <f t="shared" si="254"/>
        <v>0</v>
      </c>
      <c r="AW831">
        <f t="shared" si="255"/>
        <v>0</v>
      </c>
    </row>
    <row r="832" spans="1:49" ht="19.95" customHeight="1" x14ac:dyDescent="0.25">
      <c r="A832" s="15" t="s">
        <v>356</v>
      </c>
      <c r="C832" s="15">
        <v>6</v>
      </c>
      <c r="D832" s="23" t="s">
        <v>174</v>
      </c>
      <c r="E832" s="23" t="s">
        <v>179</v>
      </c>
      <c r="L832" s="16">
        <f>IFERROR(VLOOKUP($D832&amp;$C832,生产方式定位!$A$2:$E$38,2,FALSE)+VLOOKUP($E832&amp;$C832,生产方式定位!$F$3:$J$38,2,FALSE),0)</f>
        <v>0</v>
      </c>
      <c r="S832" s="16">
        <f>IFERROR(VLOOKUP($D832&amp;$C832,生产方式定位!$A$2:$E$38,3,FALSE)+VLOOKUP($E832&amp;$C832,生产方式定位!$F$3:$J$38,3,FALSE),0)</f>
        <v>100</v>
      </c>
      <c r="X832" s="16">
        <f>IFERROR(VLOOKUP($D832&amp;$C832,生产方式定位!$A$2:$E$38,5,FALSE)+VLOOKUP($E832&amp;$C832,生产方式定位!$F$3:$J$38,5,FALSE),"错误")</f>
        <v>100</v>
      </c>
      <c r="Y832" s="26" t="str">
        <f t="shared" si="240"/>
        <v/>
      </c>
      <c r="Z832" s="36" t="str">
        <f t="shared" si="241"/>
        <v/>
      </c>
      <c r="AA832" s="36" t="str">
        <f t="shared" si="242"/>
        <v/>
      </c>
      <c r="AB832" s="27" t="str">
        <f t="shared" si="243"/>
        <v/>
      </c>
      <c r="AC832" s="2" t="str">
        <f t="shared" si="244"/>
        <v/>
      </c>
      <c r="AD832" s="37">
        <f t="shared" si="245"/>
        <v>6</v>
      </c>
      <c r="AE832" t="str">
        <f t="shared" si="246"/>
        <v/>
      </c>
      <c r="AF832" t="str">
        <f t="shared" si="247"/>
        <v/>
      </c>
      <c r="AG832" t="str">
        <f t="shared" si="248"/>
        <v/>
      </c>
      <c r="AH832" t="str">
        <f t="shared" si="249"/>
        <v/>
      </c>
      <c r="AI832" t="str">
        <f t="shared" si="250"/>
        <v/>
      </c>
      <c r="AJ832" t="str">
        <f t="shared" si="251"/>
        <v/>
      </c>
      <c r="AK832" t="str">
        <f t="shared" si="252"/>
        <v/>
      </c>
      <c r="AL832" t="str">
        <f>IFERROR(ROUND(L832*(G832/$AU832)/VLOOKUP(F832,商品!$A$4:$B$60,2,FALSE),0),"")</f>
        <v/>
      </c>
      <c r="AM832" t="str">
        <f>IFERROR(ROUND(L832*(I832/$AU832)/VLOOKUP(H832,商品!$A$4:$B$60,2,FALSE),0),"")</f>
        <v/>
      </c>
      <c r="AN832">
        <f>IFERROR(ROUND(L832*(J832/$AU832)/VLOOKUP("运力",商品!$A$4:$B$60,2,FALSE),0),0)</f>
        <v>0</v>
      </c>
      <c r="AO832">
        <f>IFERROR(ROUND(L832*(K832/$AU832)/VLOOKUP("交易",商品!$A$4:$B$60,2,FALSE),0),0)</f>
        <v>0</v>
      </c>
      <c r="AP832" t="str">
        <f>IFERROR(ROUND(S832*(N832/$AV832)/VLOOKUP(M832,职业!$A$4:$G$16,4,FALSE),0),"")</f>
        <v/>
      </c>
      <c r="AQ832" t="str">
        <f>IFERROR(ROUND(S832*(P832/$AV832)/VLOOKUP(O832,职业!$A$4:$G$16,4,FALSE),0),"")</f>
        <v/>
      </c>
      <c r="AR832" t="str">
        <f>IFERROR(ROUND(S832*(R832/$AV832)/VLOOKUP(Q832,职业!$A$4:$G$16,4,FALSE),0),"")</f>
        <v/>
      </c>
      <c r="AS832" t="str">
        <f>IFERROR(ROUND(X832*(U832/$AW832)/VLOOKUP(T832,商品!$A$4:$B$60,2,FALSE),0),"")</f>
        <v/>
      </c>
      <c r="AT832" t="str">
        <f>IFERROR(ROUND(X832*(W832/$AW832)/VLOOKUP(V832,商品!$A$4:$B$60,2,FALSE),0),"")</f>
        <v/>
      </c>
      <c r="AU832">
        <f t="shared" si="253"/>
        <v>0</v>
      </c>
      <c r="AV832">
        <f t="shared" si="254"/>
        <v>0</v>
      </c>
      <c r="AW832">
        <f t="shared" si="255"/>
        <v>0</v>
      </c>
    </row>
    <row r="833" spans="1:49" ht="19.95" customHeight="1" x14ac:dyDescent="0.25">
      <c r="A833" s="15" t="s">
        <v>356</v>
      </c>
      <c r="C833" s="15">
        <v>7</v>
      </c>
      <c r="D833" s="23" t="s">
        <v>174</v>
      </c>
      <c r="E833" s="23" t="s">
        <v>179</v>
      </c>
      <c r="L833" s="16">
        <f>IFERROR(VLOOKUP($D833&amp;$C833,生产方式定位!$A$2:$E$38,2,FALSE)+VLOOKUP($E833&amp;$C833,生产方式定位!$F$3:$J$38,2,FALSE),0)</f>
        <v>0</v>
      </c>
      <c r="S833" s="16">
        <f>IFERROR(VLOOKUP($D833&amp;$C833,生产方式定位!$A$2:$E$38,3,FALSE)+VLOOKUP($E833&amp;$C833,生产方式定位!$F$3:$J$38,3,FALSE),0)</f>
        <v>100</v>
      </c>
      <c r="X833" s="16">
        <f>IFERROR(VLOOKUP($D833&amp;$C833,生产方式定位!$A$2:$E$38,5,FALSE)+VLOOKUP($E833&amp;$C833,生产方式定位!$F$3:$J$38,5,FALSE),"错误")</f>
        <v>100</v>
      </c>
      <c r="Y833" s="26" t="str">
        <f t="shared" si="240"/>
        <v/>
      </c>
      <c r="Z833" s="36" t="str">
        <f t="shared" si="241"/>
        <v/>
      </c>
      <c r="AA833" s="36" t="str">
        <f t="shared" si="242"/>
        <v/>
      </c>
      <c r="AB833" s="27" t="str">
        <f t="shared" si="243"/>
        <v/>
      </c>
      <c r="AC833" s="2" t="str">
        <f t="shared" si="244"/>
        <v/>
      </c>
      <c r="AD833" s="37">
        <f t="shared" si="245"/>
        <v>7</v>
      </c>
      <c r="AE833" t="str">
        <f t="shared" si="246"/>
        <v/>
      </c>
      <c r="AF833" t="str">
        <f t="shared" si="247"/>
        <v/>
      </c>
      <c r="AG833" t="str">
        <f t="shared" si="248"/>
        <v/>
      </c>
      <c r="AH833" t="str">
        <f t="shared" si="249"/>
        <v/>
      </c>
      <c r="AI833" t="str">
        <f t="shared" si="250"/>
        <v/>
      </c>
      <c r="AJ833" t="str">
        <f t="shared" si="251"/>
        <v/>
      </c>
      <c r="AK833" t="str">
        <f t="shared" si="252"/>
        <v/>
      </c>
      <c r="AL833" t="str">
        <f>IFERROR(ROUND(L833*(G833/$AU833)/VLOOKUP(F833,商品!$A$4:$B$60,2,FALSE),0),"")</f>
        <v/>
      </c>
      <c r="AM833" t="str">
        <f>IFERROR(ROUND(L833*(I833/$AU833)/VLOOKUP(H833,商品!$A$4:$B$60,2,FALSE),0),"")</f>
        <v/>
      </c>
      <c r="AN833">
        <f>IFERROR(ROUND(L833*(J833/$AU833)/VLOOKUP("运力",商品!$A$4:$B$60,2,FALSE),0),0)</f>
        <v>0</v>
      </c>
      <c r="AO833">
        <f>IFERROR(ROUND(L833*(K833/$AU833)/VLOOKUP("交易",商品!$A$4:$B$60,2,FALSE),0),0)</f>
        <v>0</v>
      </c>
      <c r="AP833" t="str">
        <f>IFERROR(ROUND(S833*(N833/$AV833)/VLOOKUP(M833,职业!$A$4:$G$16,4,FALSE),0),"")</f>
        <v/>
      </c>
      <c r="AQ833" t="str">
        <f>IFERROR(ROUND(S833*(P833/$AV833)/VLOOKUP(O833,职业!$A$4:$G$16,4,FALSE),0),"")</f>
        <v/>
      </c>
      <c r="AR833" t="str">
        <f>IFERROR(ROUND(S833*(R833/$AV833)/VLOOKUP(Q833,职业!$A$4:$G$16,4,FALSE),0),"")</f>
        <v/>
      </c>
      <c r="AS833" t="str">
        <f>IFERROR(ROUND(X833*(U833/$AW833)/VLOOKUP(T833,商品!$A$4:$B$60,2,FALSE),0),"")</f>
        <v/>
      </c>
      <c r="AT833" t="str">
        <f>IFERROR(ROUND(X833*(W833/$AW833)/VLOOKUP(V833,商品!$A$4:$B$60,2,FALSE),0),"")</f>
        <v/>
      </c>
      <c r="AU833">
        <f t="shared" si="253"/>
        <v>0</v>
      </c>
      <c r="AV833">
        <f t="shared" si="254"/>
        <v>0</v>
      </c>
      <c r="AW833">
        <f t="shared" si="255"/>
        <v>0</v>
      </c>
    </row>
    <row r="834" spans="1:49" ht="19.95" customHeight="1" x14ac:dyDescent="0.25">
      <c r="A834" s="15" t="s">
        <v>356</v>
      </c>
      <c r="C834" s="15">
        <v>8</v>
      </c>
      <c r="D834" s="23" t="s">
        <v>174</v>
      </c>
      <c r="E834" s="23" t="s">
        <v>179</v>
      </c>
      <c r="L834" s="16">
        <f>IFERROR(VLOOKUP($D834&amp;$C834,生产方式定位!$A$2:$E$38,2,FALSE)+VLOOKUP($E834&amp;$C834,生产方式定位!$F$3:$J$38,2,FALSE),0)</f>
        <v>0</v>
      </c>
      <c r="S834" s="16">
        <f>IFERROR(VLOOKUP($D834&amp;$C834,生产方式定位!$A$2:$E$38,3,FALSE)+VLOOKUP($E834&amp;$C834,生产方式定位!$F$3:$J$38,3,FALSE),0)</f>
        <v>100</v>
      </c>
      <c r="X834" s="16">
        <f>IFERROR(VLOOKUP($D834&amp;$C834,生产方式定位!$A$2:$E$38,5,FALSE)+VLOOKUP($E834&amp;$C834,生产方式定位!$F$3:$J$38,5,FALSE),"错误")</f>
        <v>100</v>
      </c>
      <c r="Y834" s="26" t="str">
        <f t="shared" si="240"/>
        <v/>
      </c>
      <c r="Z834" s="36" t="str">
        <f t="shared" si="241"/>
        <v/>
      </c>
      <c r="AA834" s="36" t="str">
        <f t="shared" si="242"/>
        <v/>
      </c>
      <c r="AB834" s="27" t="str">
        <f t="shared" si="243"/>
        <v/>
      </c>
      <c r="AC834" s="2" t="str">
        <f t="shared" si="244"/>
        <v/>
      </c>
      <c r="AD834" s="37">
        <f t="shared" si="245"/>
        <v>8</v>
      </c>
      <c r="AE834" t="str">
        <f t="shared" si="246"/>
        <v/>
      </c>
      <c r="AF834" t="str">
        <f t="shared" si="247"/>
        <v/>
      </c>
      <c r="AG834" t="str">
        <f t="shared" si="248"/>
        <v/>
      </c>
      <c r="AH834" t="str">
        <f t="shared" si="249"/>
        <v/>
      </c>
      <c r="AI834" t="str">
        <f t="shared" si="250"/>
        <v/>
      </c>
      <c r="AJ834" t="str">
        <f t="shared" si="251"/>
        <v/>
      </c>
      <c r="AK834" t="str">
        <f t="shared" si="252"/>
        <v/>
      </c>
      <c r="AL834" t="str">
        <f>IFERROR(ROUND(L834*(G834/$AU834)/VLOOKUP(F834,商品!$A$4:$B$60,2,FALSE),0),"")</f>
        <v/>
      </c>
      <c r="AM834" t="str">
        <f>IFERROR(ROUND(L834*(I834/$AU834)/VLOOKUP(H834,商品!$A$4:$B$60,2,FALSE),0),"")</f>
        <v/>
      </c>
      <c r="AN834">
        <f>IFERROR(ROUND(L834*(J834/$AU834)/VLOOKUP("运力",商品!$A$4:$B$60,2,FALSE),0),0)</f>
        <v>0</v>
      </c>
      <c r="AO834">
        <f>IFERROR(ROUND(L834*(K834/$AU834)/VLOOKUP("交易",商品!$A$4:$B$60,2,FALSE),0),0)</f>
        <v>0</v>
      </c>
      <c r="AP834" t="str">
        <f>IFERROR(ROUND(S834*(N834/$AV834)/VLOOKUP(M834,职业!$A$4:$G$16,4,FALSE),0),"")</f>
        <v/>
      </c>
      <c r="AQ834" t="str">
        <f>IFERROR(ROUND(S834*(P834/$AV834)/VLOOKUP(O834,职业!$A$4:$G$16,4,FALSE),0),"")</f>
        <v/>
      </c>
      <c r="AR834" t="str">
        <f>IFERROR(ROUND(S834*(R834/$AV834)/VLOOKUP(Q834,职业!$A$4:$G$16,4,FALSE),0),"")</f>
        <v/>
      </c>
      <c r="AS834" t="str">
        <f>IFERROR(ROUND(X834*(U834/$AW834)/VLOOKUP(T834,商品!$A$4:$B$60,2,FALSE),0),"")</f>
        <v/>
      </c>
      <c r="AT834" t="str">
        <f>IFERROR(ROUND(X834*(W834/$AW834)/VLOOKUP(V834,商品!$A$4:$B$60,2,FALSE),0),"")</f>
        <v/>
      </c>
      <c r="AU834">
        <f t="shared" si="253"/>
        <v>0</v>
      </c>
      <c r="AV834">
        <f t="shared" si="254"/>
        <v>0</v>
      </c>
      <c r="AW834">
        <f t="shared" si="255"/>
        <v>0</v>
      </c>
    </row>
    <row r="835" spans="1:49" ht="19.95" customHeight="1" x14ac:dyDescent="0.25">
      <c r="A835" s="16" t="s">
        <v>358</v>
      </c>
      <c r="C835" s="16">
        <v>1</v>
      </c>
      <c r="D835" s="23" t="s">
        <v>171</v>
      </c>
      <c r="E835" s="23" t="s">
        <v>172</v>
      </c>
      <c r="L835" s="15">
        <f>IFERROR(VLOOKUP($D835&amp;$C835,生产方式定位!$A$2:$E$38,2,FALSE)+VLOOKUP($E835&amp;$C835,生产方式定位!$F$3:$J$38,2,FALSE),0)</f>
        <v>300</v>
      </c>
      <c r="S835" s="15">
        <f>IFERROR(VLOOKUP($D835&amp;$C835,生产方式定位!$A$2:$E$38,3,FALSE)+VLOOKUP($E835&amp;$C835,生产方式定位!$F$3:$J$38,3,FALSE),0)</f>
        <v>100</v>
      </c>
      <c r="X835" s="15">
        <f>IFERROR(VLOOKUP($D835&amp;$C835,生产方式定位!$A$2:$E$38,5,FALSE)+VLOOKUP($E835&amp;$C835,生产方式定位!$F$3:$J$38,5,FALSE),"错误")</f>
        <v>520</v>
      </c>
      <c r="Y835" s="26" t="str">
        <f t="shared" si="240"/>
        <v/>
      </c>
      <c r="Z835" s="36" t="str">
        <f t="shared" si="241"/>
        <v/>
      </c>
      <c r="AA835" s="36" t="str">
        <f t="shared" si="242"/>
        <v/>
      </c>
      <c r="AB835" s="27" t="str">
        <f t="shared" si="243"/>
        <v>73%</v>
      </c>
      <c r="AC835" s="2">
        <f t="shared" si="244"/>
        <v>120</v>
      </c>
      <c r="AD835" s="37">
        <f t="shared" si="245"/>
        <v>1</v>
      </c>
      <c r="AE835" t="str">
        <f t="shared" si="246"/>
        <v/>
      </c>
      <c r="AF835" t="str">
        <f t="shared" si="247"/>
        <v/>
      </c>
      <c r="AG835" t="str">
        <f t="shared" si="248"/>
        <v/>
      </c>
      <c r="AH835" t="str">
        <f t="shared" si="249"/>
        <v/>
      </c>
      <c r="AI835" t="str">
        <f t="shared" si="250"/>
        <v/>
      </c>
      <c r="AJ835" t="str">
        <f t="shared" si="251"/>
        <v/>
      </c>
      <c r="AK835" t="str">
        <f t="shared" si="252"/>
        <v/>
      </c>
      <c r="AL835" t="str">
        <f>IFERROR(ROUND(L835*(G835/$AU835)/VLOOKUP(F835,商品!$A$4:$B$60,2,FALSE),0),"")</f>
        <v/>
      </c>
      <c r="AM835" t="str">
        <f>IFERROR(ROUND(L835*(I835/$AU835)/VLOOKUP(H835,商品!$A$4:$B$60,2,FALSE),0),"")</f>
        <v/>
      </c>
      <c r="AN835">
        <f>IFERROR(ROUND(L835*(J835/$AU835)/VLOOKUP("运力",商品!$A$4:$B$60,2,FALSE),0),0)</f>
        <v>0</v>
      </c>
      <c r="AO835">
        <f>IFERROR(ROUND(L835*(K835/$AU835)/VLOOKUP("交易",商品!$A$4:$B$60,2,FALSE),0),0)</f>
        <v>0</v>
      </c>
      <c r="AP835" t="str">
        <f>IFERROR(ROUND(S835*(N835/$AV835)/VLOOKUP(M835,职业!$A$4:$G$16,4,FALSE),0),"")</f>
        <v/>
      </c>
      <c r="AQ835" t="str">
        <f>IFERROR(ROUND(S835*(P835/$AV835)/VLOOKUP(O835,职业!$A$4:$G$16,4,FALSE),0),"")</f>
        <v/>
      </c>
      <c r="AR835" t="str">
        <f>IFERROR(ROUND(S835*(R835/$AV835)/VLOOKUP(Q835,职业!$A$4:$G$16,4,FALSE),0),"")</f>
        <v/>
      </c>
      <c r="AS835" t="str">
        <f>IFERROR(ROUND(X835*(U835/$AW835)/VLOOKUP(T835,商品!$A$4:$B$60,2,FALSE),0),"")</f>
        <v/>
      </c>
      <c r="AT835" t="str">
        <f>IFERROR(ROUND(X835*(W835/$AW835)/VLOOKUP(V835,商品!$A$4:$B$60,2,FALSE),0),"")</f>
        <v/>
      </c>
      <c r="AU835">
        <f t="shared" si="253"/>
        <v>0</v>
      </c>
      <c r="AV835">
        <f t="shared" si="254"/>
        <v>0</v>
      </c>
      <c r="AW835">
        <f t="shared" si="255"/>
        <v>0</v>
      </c>
    </row>
    <row r="836" spans="1:49" ht="19.95" customHeight="1" x14ac:dyDescent="0.25">
      <c r="A836" s="16" t="s">
        <v>358</v>
      </c>
      <c r="C836" s="16">
        <v>2</v>
      </c>
      <c r="D836" s="23" t="s">
        <v>171</v>
      </c>
      <c r="E836" s="23" t="s">
        <v>172</v>
      </c>
      <c r="L836" s="15">
        <f>IFERROR(VLOOKUP($D836&amp;$C836,生产方式定位!$A$2:$E$38,2,FALSE)+VLOOKUP($E836&amp;$C836,生产方式定位!$F$3:$J$38,2,FALSE),0)</f>
        <v>1100</v>
      </c>
      <c r="S836" s="15">
        <f>IFERROR(VLOOKUP($D836&amp;$C836,生产方式定位!$A$2:$E$38,3,FALSE)+VLOOKUP($E836&amp;$C836,生产方式定位!$F$3:$J$38,3,FALSE),0)</f>
        <v>100</v>
      </c>
      <c r="X836" s="15">
        <f>IFERROR(VLOOKUP($D836&amp;$C836,生产方式定位!$A$2:$E$38,5,FALSE)+VLOOKUP($E836&amp;$C836,生产方式定位!$F$3:$J$38,5,FALSE),"错误")</f>
        <v>1510</v>
      </c>
      <c r="Y836" s="26" t="str">
        <f t="shared" si="240"/>
        <v/>
      </c>
      <c r="Z836" s="36" t="str">
        <f t="shared" si="241"/>
        <v/>
      </c>
      <c r="AA836" s="36" t="str">
        <f t="shared" si="242"/>
        <v/>
      </c>
      <c r="AB836" s="27" t="str">
        <f t="shared" si="243"/>
        <v>37%</v>
      </c>
      <c r="AC836" s="2">
        <f t="shared" si="244"/>
        <v>310</v>
      </c>
      <c r="AD836" s="37">
        <f t="shared" si="245"/>
        <v>2</v>
      </c>
      <c r="AE836" t="str">
        <f t="shared" si="246"/>
        <v/>
      </c>
      <c r="AF836" t="str">
        <f t="shared" si="247"/>
        <v/>
      </c>
      <c r="AG836" t="str">
        <f t="shared" si="248"/>
        <v/>
      </c>
      <c r="AH836" t="str">
        <f t="shared" si="249"/>
        <v/>
      </c>
      <c r="AI836" t="str">
        <f t="shared" si="250"/>
        <v/>
      </c>
      <c r="AJ836" t="str">
        <f t="shared" si="251"/>
        <v/>
      </c>
      <c r="AK836" t="str">
        <f t="shared" si="252"/>
        <v/>
      </c>
      <c r="AL836" t="str">
        <f>IFERROR(ROUND(L836*(G836/$AU836)/VLOOKUP(F836,商品!$A$4:$B$60,2,FALSE),0),"")</f>
        <v/>
      </c>
      <c r="AM836" t="str">
        <f>IFERROR(ROUND(L836*(I836/$AU836)/VLOOKUP(H836,商品!$A$4:$B$60,2,FALSE),0),"")</f>
        <v/>
      </c>
      <c r="AN836">
        <f>IFERROR(ROUND(L836*(J836/$AU836)/VLOOKUP("运力",商品!$A$4:$B$60,2,FALSE),0),0)</f>
        <v>0</v>
      </c>
      <c r="AO836">
        <f>IFERROR(ROUND(L836*(K836/$AU836)/VLOOKUP("交易",商品!$A$4:$B$60,2,FALSE),0),0)</f>
        <v>0</v>
      </c>
      <c r="AP836" t="str">
        <f>IFERROR(ROUND(S836*(N836/$AV836)/VLOOKUP(M836,职业!$A$4:$G$16,4,FALSE),0),"")</f>
        <v/>
      </c>
      <c r="AQ836" t="str">
        <f>IFERROR(ROUND(S836*(P836/$AV836)/VLOOKUP(O836,职业!$A$4:$G$16,4,FALSE),0),"")</f>
        <v/>
      </c>
      <c r="AR836" t="str">
        <f>IFERROR(ROUND(S836*(R836/$AV836)/VLOOKUP(Q836,职业!$A$4:$G$16,4,FALSE),0),"")</f>
        <v/>
      </c>
      <c r="AS836" t="str">
        <f>IFERROR(ROUND(X836*(U836/$AW836)/VLOOKUP(T836,商品!$A$4:$B$60,2,FALSE),0),"")</f>
        <v/>
      </c>
      <c r="AT836" t="str">
        <f>IFERROR(ROUND(X836*(W836/$AW836)/VLOOKUP(V836,商品!$A$4:$B$60,2,FALSE),0),"")</f>
        <v/>
      </c>
      <c r="AU836">
        <f t="shared" si="253"/>
        <v>0</v>
      </c>
      <c r="AV836">
        <f t="shared" si="254"/>
        <v>0</v>
      </c>
      <c r="AW836">
        <f t="shared" si="255"/>
        <v>0</v>
      </c>
    </row>
    <row r="837" spans="1:49" ht="19.95" customHeight="1" x14ac:dyDescent="0.25">
      <c r="A837" s="16" t="s">
        <v>358</v>
      </c>
      <c r="C837" s="16">
        <v>3</v>
      </c>
      <c r="D837" s="23" t="s">
        <v>171</v>
      </c>
      <c r="E837" s="23" t="s">
        <v>172</v>
      </c>
      <c r="L837" s="15">
        <f>IFERROR(VLOOKUP($D837&amp;$C837,生产方式定位!$A$2:$E$38,2,FALSE)+VLOOKUP($E837&amp;$C837,生产方式定位!$F$3:$J$38,2,FALSE),0)</f>
        <v>1525</v>
      </c>
      <c r="S837" s="15">
        <f>IFERROR(VLOOKUP($D837&amp;$C837,生产方式定位!$A$2:$E$38,3,FALSE)+VLOOKUP($E837&amp;$C837,生产方式定位!$F$3:$J$38,3,FALSE),0)</f>
        <v>100</v>
      </c>
      <c r="X837" s="15">
        <f>IFERROR(VLOOKUP($D837&amp;$C837,生产方式定位!$A$2:$E$38,5,FALSE)+VLOOKUP($E837&amp;$C837,生产方式定位!$F$3:$J$38,5,FALSE),"错误")</f>
        <v>2050</v>
      </c>
      <c r="Y837" s="26" t="str">
        <f t="shared" si="240"/>
        <v/>
      </c>
      <c r="Z837" s="36" t="str">
        <f t="shared" si="241"/>
        <v/>
      </c>
      <c r="AA837" s="36" t="str">
        <f t="shared" si="242"/>
        <v/>
      </c>
      <c r="AB837" s="27" t="str">
        <f t="shared" si="243"/>
        <v>34%</v>
      </c>
      <c r="AC837" s="2">
        <f t="shared" si="244"/>
        <v>425</v>
      </c>
      <c r="AD837" s="38">
        <f t="shared" si="245"/>
        <v>3</v>
      </c>
      <c r="AE837" t="str">
        <f t="shared" si="246"/>
        <v/>
      </c>
      <c r="AF837" t="str">
        <f t="shared" si="247"/>
        <v/>
      </c>
      <c r="AG837" t="str">
        <f t="shared" si="248"/>
        <v/>
      </c>
      <c r="AH837" t="str">
        <f t="shared" si="249"/>
        <v/>
      </c>
      <c r="AI837" t="str">
        <f t="shared" si="250"/>
        <v/>
      </c>
      <c r="AJ837" t="str">
        <f t="shared" si="251"/>
        <v/>
      </c>
      <c r="AK837" t="str">
        <f t="shared" si="252"/>
        <v/>
      </c>
      <c r="AL837" t="str">
        <f>IFERROR(ROUND(L837*(G837/$AU837)/VLOOKUP(F837,商品!$A$4:$B$60,2,FALSE),0),"")</f>
        <v/>
      </c>
      <c r="AM837" t="str">
        <f>IFERROR(ROUND(L837*(I837/$AU837)/VLOOKUP(H837,商品!$A$4:$B$60,2,FALSE),0),"")</f>
        <v/>
      </c>
      <c r="AN837">
        <f>IFERROR(ROUND(L837*(J837/$AU837)/VLOOKUP("运力",商品!$A$4:$B$60,2,FALSE),0),0)</f>
        <v>0</v>
      </c>
      <c r="AO837">
        <f>IFERROR(ROUND(L837*(K837/$AU837)/VLOOKUP("交易",商品!$A$4:$B$60,2,FALSE),0),0)</f>
        <v>0</v>
      </c>
      <c r="AP837" t="str">
        <f>IFERROR(ROUND(S837*(N837/$AV837)/VLOOKUP(M837,职业!$A$4:$G$16,4,FALSE),0),"")</f>
        <v/>
      </c>
      <c r="AQ837" t="str">
        <f>IFERROR(ROUND(S837*(P837/$AV837)/VLOOKUP(O837,职业!$A$4:$G$16,4,FALSE),0),"")</f>
        <v/>
      </c>
      <c r="AR837" t="str">
        <f>IFERROR(ROUND(S837*(R837/$AV837)/VLOOKUP(Q837,职业!$A$4:$G$16,4,FALSE),0),"")</f>
        <v/>
      </c>
      <c r="AS837" t="str">
        <f>IFERROR(ROUND(X837*(U837/$AW837)/VLOOKUP(T837,商品!$A$4:$B$60,2,FALSE),0),"")</f>
        <v/>
      </c>
      <c r="AT837" t="str">
        <f>IFERROR(ROUND(X837*(W837/$AW837)/VLOOKUP(V837,商品!$A$4:$B$60,2,FALSE),0),"")</f>
        <v/>
      </c>
      <c r="AU837">
        <f t="shared" si="253"/>
        <v>0</v>
      </c>
      <c r="AV837">
        <f t="shared" si="254"/>
        <v>0</v>
      </c>
      <c r="AW837">
        <f t="shared" si="255"/>
        <v>0</v>
      </c>
    </row>
    <row r="838" spans="1:49" ht="19.95" customHeight="1" x14ac:dyDescent="0.25">
      <c r="A838" s="16" t="s">
        <v>358</v>
      </c>
      <c r="C838" s="16">
        <v>4</v>
      </c>
      <c r="D838" s="23" t="s">
        <v>171</v>
      </c>
      <c r="E838" s="23" t="s">
        <v>172</v>
      </c>
      <c r="L838" s="15">
        <f>IFERROR(VLOOKUP($D838&amp;$C838,生产方式定位!$A$2:$E$38,2,FALSE)+VLOOKUP($E838&amp;$C838,生产方式定位!$F$3:$J$38,2,FALSE),0)</f>
        <v>1950</v>
      </c>
      <c r="S838" s="15">
        <f>IFERROR(VLOOKUP($D838&amp;$C838,生产方式定位!$A$2:$E$38,3,FALSE)+VLOOKUP($E838&amp;$C838,生产方式定位!$F$3:$J$38,3,FALSE),0)</f>
        <v>100</v>
      </c>
      <c r="X838" s="15">
        <f>IFERROR(VLOOKUP($D838&amp;$C838,生产方式定位!$A$2:$E$38,5,FALSE)+VLOOKUP($E838&amp;$C838,生产方式定位!$F$3:$J$38,5,FALSE),"错误")</f>
        <v>2590</v>
      </c>
      <c r="Y838" s="26" t="str">
        <f t="shared" si="240"/>
        <v/>
      </c>
      <c r="Z838" s="36" t="str">
        <f t="shared" si="241"/>
        <v/>
      </c>
      <c r="AA838" s="36" t="str">
        <f t="shared" si="242"/>
        <v/>
      </c>
      <c r="AB838" s="27" t="str">
        <f t="shared" si="243"/>
        <v>33%</v>
      </c>
      <c r="AC838" s="2">
        <f t="shared" si="244"/>
        <v>540</v>
      </c>
      <c r="AD838" s="38">
        <f t="shared" si="245"/>
        <v>4</v>
      </c>
      <c r="AE838" t="str">
        <f t="shared" si="246"/>
        <v/>
      </c>
      <c r="AF838" t="str">
        <f t="shared" si="247"/>
        <v/>
      </c>
      <c r="AG838" t="str">
        <f t="shared" si="248"/>
        <v/>
      </c>
      <c r="AH838" t="str">
        <f t="shared" si="249"/>
        <v/>
      </c>
      <c r="AI838" t="str">
        <f t="shared" si="250"/>
        <v/>
      </c>
      <c r="AJ838" t="str">
        <f t="shared" si="251"/>
        <v/>
      </c>
      <c r="AK838" t="str">
        <f t="shared" si="252"/>
        <v/>
      </c>
      <c r="AL838" t="str">
        <f>IFERROR(ROUND(L838*(G838/$AU838)/VLOOKUP(F838,商品!$A$4:$B$60,2,FALSE),0),"")</f>
        <v/>
      </c>
      <c r="AM838" t="str">
        <f>IFERROR(ROUND(L838*(I838/$AU838)/VLOOKUP(H838,商品!$A$4:$B$60,2,FALSE),0),"")</f>
        <v/>
      </c>
      <c r="AN838">
        <f>IFERROR(ROUND(L838*(J838/$AU838)/VLOOKUP("运力",商品!$A$4:$B$60,2,FALSE),0),0)</f>
        <v>0</v>
      </c>
      <c r="AO838">
        <f>IFERROR(ROUND(L838*(K838/$AU838)/VLOOKUP("交易",商品!$A$4:$B$60,2,FALSE),0),0)</f>
        <v>0</v>
      </c>
      <c r="AP838" t="str">
        <f>IFERROR(ROUND(S838*(N838/$AV838)/VLOOKUP(M838,职业!$A$4:$G$16,4,FALSE),0),"")</f>
        <v/>
      </c>
      <c r="AQ838" t="str">
        <f>IFERROR(ROUND(S838*(P838/$AV838)/VLOOKUP(O838,职业!$A$4:$G$16,4,FALSE),0),"")</f>
        <v/>
      </c>
      <c r="AR838" t="str">
        <f>IFERROR(ROUND(S838*(R838/$AV838)/VLOOKUP(Q838,职业!$A$4:$G$16,4,FALSE),0),"")</f>
        <v/>
      </c>
      <c r="AS838" t="str">
        <f>IFERROR(ROUND(X838*(U838/$AW838)/VLOOKUP(T838,商品!$A$4:$B$60,2,FALSE),0),"")</f>
        <v/>
      </c>
      <c r="AT838" t="str">
        <f>IFERROR(ROUND(X838*(W838/$AW838)/VLOOKUP(V838,商品!$A$4:$B$60,2,FALSE),0),"")</f>
        <v/>
      </c>
      <c r="AU838">
        <f t="shared" si="253"/>
        <v>0</v>
      </c>
      <c r="AV838">
        <f t="shared" si="254"/>
        <v>0</v>
      </c>
      <c r="AW838">
        <f t="shared" si="255"/>
        <v>0</v>
      </c>
    </row>
    <row r="839" spans="1:49" ht="19.95" customHeight="1" x14ac:dyDescent="0.25">
      <c r="A839" s="16" t="s">
        <v>358</v>
      </c>
      <c r="C839" s="16">
        <v>5</v>
      </c>
      <c r="D839" s="23" t="s">
        <v>171</v>
      </c>
      <c r="E839" s="23" t="s">
        <v>172</v>
      </c>
      <c r="L839" s="15">
        <f>IFERROR(VLOOKUP($D839&amp;$C839,生产方式定位!$A$2:$E$38,2,FALSE)+VLOOKUP($E839&amp;$C839,生产方式定位!$F$3:$J$38,2,FALSE),0)</f>
        <v>2375</v>
      </c>
      <c r="S839" s="15">
        <f>IFERROR(VLOOKUP($D839&amp;$C839,生产方式定位!$A$2:$E$38,3,FALSE)+VLOOKUP($E839&amp;$C839,生产方式定位!$F$3:$J$38,3,FALSE),0)</f>
        <v>100</v>
      </c>
      <c r="X839" s="15">
        <f>IFERROR(VLOOKUP($D839&amp;$C839,生产方式定位!$A$2:$E$38,5,FALSE)+VLOOKUP($E839&amp;$C839,生产方式定位!$F$3:$J$38,5,FALSE),"错误")</f>
        <v>3130</v>
      </c>
      <c r="Y839" s="26" t="str">
        <f t="shared" si="240"/>
        <v/>
      </c>
      <c r="Z839" s="36" t="str">
        <f t="shared" si="241"/>
        <v/>
      </c>
      <c r="AA839" s="36" t="str">
        <f t="shared" si="242"/>
        <v/>
      </c>
      <c r="AB839" s="27" t="str">
        <f t="shared" si="243"/>
        <v>32%</v>
      </c>
      <c r="AC839" s="2">
        <f t="shared" si="244"/>
        <v>655</v>
      </c>
      <c r="AD839" s="38">
        <f t="shared" si="245"/>
        <v>5</v>
      </c>
      <c r="AE839" t="str">
        <f t="shared" si="246"/>
        <v/>
      </c>
      <c r="AF839" t="str">
        <f t="shared" si="247"/>
        <v/>
      </c>
      <c r="AG839" t="str">
        <f t="shared" si="248"/>
        <v/>
      </c>
      <c r="AH839" t="str">
        <f t="shared" si="249"/>
        <v/>
      </c>
      <c r="AI839" t="str">
        <f t="shared" si="250"/>
        <v/>
      </c>
      <c r="AJ839" t="str">
        <f t="shared" si="251"/>
        <v/>
      </c>
      <c r="AK839" t="str">
        <f t="shared" si="252"/>
        <v/>
      </c>
      <c r="AL839" t="str">
        <f>IFERROR(ROUND(L839*(G839/$AU839)/VLOOKUP(F839,商品!$A$4:$B$60,2,FALSE),0),"")</f>
        <v/>
      </c>
      <c r="AM839" t="str">
        <f>IFERROR(ROUND(L839*(I839/$AU839)/VLOOKUP(H839,商品!$A$4:$B$60,2,FALSE),0),"")</f>
        <v/>
      </c>
      <c r="AN839">
        <f>IFERROR(ROUND(L839*(J839/$AU839)/VLOOKUP("运力",商品!$A$4:$B$60,2,FALSE),0),0)</f>
        <v>0</v>
      </c>
      <c r="AO839">
        <f>IFERROR(ROUND(L839*(K839/$AU839)/VLOOKUP("交易",商品!$A$4:$B$60,2,FALSE),0),0)</f>
        <v>0</v>
      </c>
      <c r="AP839" t="str">
        <f>IFERROR(ROUND(S839*(N839/$AV839)/VLOOKUP(M839,职业!$A$4:$G$16,4,FALSE),0),"")</f>
        <v/>
      </c>
      <c r="AQ839" t="str">
        <f>IFERROR(ROUND(S839*(P839/$AV839)/VLOOKUP(O839,职业!$A$4:$G$16,4,FALSE),0),"")</f>
        <v/>
      </c>
      <c r="AR839" t="str">
        <f>IFERROR(ROUND(S839*(R839/$AV839)/VLOOKUP(Q839,职业!$A$4:$G$16,4,FALSE),0),"")</f>
        <v/>
      </c>
      <c r="AS839" t="str">
        <f>IFERROR(ROUND(X839*(U839/$AW839)/VLOOKUP(T839,商品!$A$4:$B$60,2,FALSE),0),"")</f>
        <v/>
      </c>
      <c r="AT839" t="str">
        <f>IFERROR(ROUND(X839*(W839/$AW839)/VLOOKUP(V839,商品!$A$4:$B$60,2,FALSE),0),"")</f>
        <v/>
      </c>
      <c r="AU839">
        <f t="shared" si="253"/>
        <v>0</v>
      </c>
      <c r="AV839">
        <f t="shared" si="254"/>
        <v>0</v>
      </c>
      <c r="AW839">
        <f t="shared" si="255"/>
        <v>0</v>
      </c>
    </row>
    <row r="840" spans="1:49" ht="19.95" customHeight="1" x14ac:dyDescent="0.25">
      <c r="A840" s="15" t="s">
        <v>359</v>
      </c>
      <c r="C840" s="15">
        <v>1</v>
      </c>
      <c r="D840" s="23" t="s">
        <v>174</v>
      </c>
      <c r="E840" s="23" t="s">
        <v>175</v>
      </c>
      <c r="L840" s="16">
        <f>IFERROR(VLOOKUP($D840&amp;$C840,生产方式定位!$A$2:$E$38,2,FALSE)+VLOOKUP($E840&amp;$C840,生产方式定位!$F$3:$J$38,2,FALSE),0)</f>
        <v>0</v>
      </c>
      <c r="S840" s="16">
        <f>IFERROR(VLOOKUP($D840&amp;$C840,生产方式定位!$A$2:$E$38,3,FALSE)+VLOOKUP($E840&amp;$C840,生产方式定位!$F$3:$J$38,3,FALSE),0)</f>
        <v>0</v>
      </c>
      <c r="X840" s="16">
        <f>IFERROR(VLOOKUP($D840&amp;$C840,生产方式定位!$A$2:$E$38,5,FALSE)+VLOOKUP($E840&amp;$C840,生产方式定位!$F$3:$J$38,5,FALSE),"错误")</f>
        <v>0</v>
      </c>
      <c r="Y840" s="26" t="str">
        <f t="shared" si="240"/>
        <v/>
      </c>
      <c r="Z840" s="36" t="str">
        <f t="shared" si="241"/>
        <v/>
      </c>
      <c r="AA840" s="36" t="str">
        <f t="shared" si="242"/>
        <v/>
      </c>
      <c r="AB840" s="27" t="str">
        <f t="shared" si="243"/>
        <v/>
      </c>
      <c r="AC840" s="2" t="str">
        <f t="shared" si="244"/>
        <v/>
      </c>
      <c r="AD840" s="38">
        <f t="shared" si="245"/>
        <v>1</v>
      </c>
      <c r="AE840" t="str">
        <f t="shared" si="246"/>
        <v/>
      </c>
      <c r="AF840" t="str">
        <f t="shared" si="247"/>
        <v/>
      </c>
      <c r="AG840" t="str">
        <f t="shared" si="248"/>
        <v/>
      </c>
      <c r="AH840" t="str">
        <f t="shared" si="249"/>
        <v/>
      </c>
      <c r="AI840" t="str">
        <f t="shared" si="250"/>
        <v/>
      </c>
      <c r="AJ840" t="str">
        <f t="shared" si="251"/>
        <v/>
      </c>
      <c r="AK840" t="str">
        <f t="shared" si="252"/>
        <v/>
      </c>
      <c r="AL840" t="str">
        <f>IFERROR(ROUND(L840*(G840/$AU840)/VLOOKUP(F840,商品!$A$4:$B$60,2,FALSE),0),"")</f>
        <v/>
      </c>
      <c r="AM840" t="str">
        <f>IFERROR(ROUND(L840*(I840/$AU840)/VLOOKUP(H840,商品!$A$4:$B$60,2,FALSE),0),"")</f>
        <v/>
      </c>
      <c r="AN840">
        <f>IFERROR(ROUND(L840*(J840/$AU840)/VLOOKUP("运力",商品!$A$4:$B$60,2,FALSE),0),0)</f>
        <v>0</v>
      </c>
      <c r="AO840">
        <f>IFERROR(ROUND(L840*(K840/$AU840)/VLOOKUP("交易",商品!$A$4:$B$60,2,FALSE),0),0)</f>
        <v>0</v>
      </c>
      <c r="AP840" t="str">
        <f>IFERROR(ROUND(S840*(N840/$AV840)/VLOOKUP(M840,职业!$A$4:$G$16,4,FALSE),0),"")</f>
        <v/>
      </c>
      <c r="AQ840" t="str">
        <f>IFERROR(ROUND(S840*(P840/$AV840)/VLOOKUP(O840,职业!$A$4:$G$16,4,FALSE),0),"")</f>
        <v/>
      </c>
      <c r="AR840" t="str">
        <f>IFERROR(ROUND(S840*(R840/$AV840)/VLOOKUP(Q840,职业!$A$4:$G$16,4,FALSE),0),"")</f>
        <v/>
      </c>
      <c r="AS840" t="str">
        <f>IFERROR(ROUND(X840*(U840/$AW840)/VLOOKUP(T840,商品!$A$4:$B$60,2,FALSE),0),"")</f>
        <v/>
      </c>
      <c r="AT840" t="str">
        <f>IFERROR(ROUND(X840*(W840/$AW840)/VLOOKUP(V840,商品!$A$4:$B$60,2,FALSE),0),"")</f>
        <v/>
      </c>
      <c r="AU840">
        <f t="shared" si="253"/>
        <v>0</v>
      </c>
      <c r="AV840">
        <f t="shared" si="254"/>
        <v>0</v>
      </c>
      <c r="AW840">
        <f t="shared" si="255"/>
        <v>0</v>
      </c>
    </row>
    <row r="841" spans="1:49" ht="19.95" customHeight="1" x14ac:dyDescent="0.25">
      <c r="A841" s="15" t="s">
        <v>359</v>
      </c>
      <c r="C841" s="15">
        <v>2</v>
      </c>
      <c r="D841" s="23" t="s">
        <v>174</v>
      </c>
      <c r="E841" s="23" t="s">
        <v>175</v>
      </c>
      <c r="L841" s="16">
        <f>IFERROR(VLOOKUP($D841&amp;$C841,生产方式定位!$A$2:$E$38,2,FALSE)+VLOOKUP($E841&amp;$C841,生产方式定位!$F$3:$J$38,2,FALSE),0)</f>
        <v>50</v>
      </c>
      <c r="S841" s="16">
        <f>IFERROR(VLOOKUP($D841&amp;$C841,生产方式定位!$A$2:$E$38,3,FALSE)+VLOOKUP($E841&amp;$C841,生产方式定位!$F$3:$J$38,3,FALSE),0)</f>
        <v>10</v>
      </c>
      <c r="X841" s="16">
        <f>IFERROR(VLOOKUP($D841&amp;$C841,生产方式定位!$A$2:$E$38,5,FALSE)+VLOOKUP($E841&amp;$C841,生产方式定位!$F$3:$J$38,5,FALSE),"错误")</f>
        <v>0</v>
      </c>
      <c r="Y841" s="26" t="str">
        <f t="shared" si="240"/>
        <v/>
      </c>
      <c r="Z841" s="36" t="str">
        <f t="shared" si="241"/>
        <v/>
      </c>
      <c r="AA841" s="36" t="str">
        <f t="shared" si="242"/>
        <v/>
      </c>
      <c r="AB841" s="27" t="str">
        <f t="shared" si="243"/>
        <v>-100%</v>
      </c>
      <c r="AC841" s="2">
        <f t="shared" si="244"/>
        <v>-60</v>
      </c>
      <c r="AD841" s="38">
        <f t="shared" si="245"/>
        <v>2</v>
      </c>
      <c r="AE841" t="str">
        <f t="shared" si="246"/>
        <v/>
      </c>
      <c r="AF841" t="str">
        <f t="shared" si="247"/>
        <v/>
      </c>
      <c r="AG841" t="str">
        <f t="shared" si="248"/>
        <v/>
      </c>
      <c r="AH841" t="str">
        <f t="shared" si="249"/>
        <v/>
      </c>
      <c r="AI841" t="str">
        <f t="shared" si="250"/>
        <v/>
      </c>
      <c r="AJ841" t="str">
        <f t="shared" si="251"/>
        <v/>
      </c>
      <c r="AK841" t="str">
        <f t="shared" si="252"/>
        <v/>
      </c>
      <c r="AL841" t="str">
        <f>IFERROR(ROUND(L841*(G841/$AU841)/VLOOKUP(F841,商品!$A$4:$B$60,2,FALSE),0),"")</f>
        <v/>
      </c>
      <c r="AM841" t="str">
        <f>IFERROR(ROUND(L841*(I841/$AU841)/VLOOKUP(H841,商品!$A$4:$B$60,2,FALSE),0),"")</f>
        <v/>
      </c>
      <c r="AN841">
        <f>IFERROR(ROUND(L841*(J841/$AU841)/VLOOKUP("运力",商品!$A$4:$B$60,2,FALSE),0),0)</f>
        <v>0</v>
      </c>
      <c r="AO841">
        <f>IFERROR(ROUND(L841*(K841/$AU841)/VLOOKUP("交易",商品!$A$4:$B$60,2,FALSE),0),0)</f>
        <v>0</v>
      </c>
      <c r="AP841" t="str">
        <f>IFERROR(ROUND(S841*(N841/$AV841)/VLOOKUP(M841,职业!$A$4:$G$16,4,FALSE),0),"")</f>
        <v/>
      </c>
      <c r="AQ841" t="str">
        <f>IFERROR(ROUND(S841*(P841/$AV841)/VLOOKUP(O841,职业!$A$4:$G$16,4,FALSE),0),"")</f>
        <v/>
      </c>
      <c r="AR841" t="str">
        <f>IFERROR(ROUND(S841*(R841/$AV841)/VLOOKUP(Q841,职业!$A$4:$G$16,4,FALSE),0),"")</f>
        <v/>
      </c>
      <c r="AS841" t="str">
        <f>IFERROR(ROUND(X841*(U841/$AW841)/VLOOKUP(T841,商品!$A$4:$B$60,2,FALSE),0),"")</f>
        <v/>
      </c>
      <c r="AT841" t="str">
        <f>IFERROR(ROUND(X841*(W841/$AW841)/VLOOKUP(V841,商品!$A$4:$B$60,2,FALSE),0),"")</f>
        <v/>
      </c>
      <c r="AU841">
        <f t="shared" si="253"/>
        <v>0</v>
      </c>
      <c r="AV841">
        <f t="shared" si="254"/>
        <v>0</v>
      </c>
      <c r="AW841">
        <f t="shared" si="255"/>
        <v>0</v>
      </c>
    </row>
    <row r="842" spans="1:49" ht="19.95" customHeight="1" x14ac:dyDescent="0.25">
      <c r="A842" s="15" t="s">
        <v>359</v>
      </c>
      <c r="C842" s="15">
        <v>3</v>
      </c>
      <c r="D842" s="23" t="s">
        <v>174</v>
      </c>
      <c r="E842" s="23" t="s">
        <v>175</v>
      </c>
      <c r="L842" s="16">
        <f>IFERROR(VLOOKUP($D842&amp;$C842,生产方式定位!$A$2:$E$38,2,FALSE)+VLOOKUP($E842&amp;$C842,生产方式定位!$F$3:$J$38,2,FALSE),0)</f>
        <v>100</v>
      </c>
      <c r="S842" s="16">
        <f>IFERROR(VLOOKUP($D842&amp;$C842,生产方式定位!$A$2:$E$38,3,FALSE)+VLOOKUP($E842&amp;$C842,生产方式定位!$F$3:$J$38,3,FALSE),0)</f>
        <v>20</v>
      </c>
      <c r="X842" s="16">
        <f>IFERROR(VLOOKUP($D842&amp;$C842,生产方式定位!$A$2:$E$38,5,FALSE)+VLOOKUP($E842&amp;$C842,生产方式定位!$F$3:$J$38,5,FALSE),"错误")</f>
        <v>0</v>
      </c>
      <c r="Y842" s="26" t="str">
        <f t="shared" si="240"/>
        <v/>
      </c>
      <c r="Z842" s="36" t="str">
        <f t="shared" si="241"/>
        <v/>
      </c>
      <c r="AA842" s="36" t="str">
        <f t="shared" si="242"/>
        <v/>
      </c>
      <c r="AB842" s="27" t="str">
        <f t="shared" si="243"/>
        <v>-100%</v>
      </c>
      <c r="AC842" s="2">
        <f t="shared" si="244"/>
        <v>-120</v>
      </c>
      <c r="AD842" s="38">
        <f t="shared" si="245"/>
        <v>3</v>
      </c>
      <c r="AE842" t="str">
        <f t="shared" si="246"/>
        <v/>
      </c>
      <c r="AF842" t="str">
        <f t="shared" si="247"/>
        <v/>
      </c>
      <c r="AG842" t="str">
        <f t="shared" si="248"/>
        <v/>
      </c>
      <c r="AH842" t="str">
        <f t="shared" si="249"/>
        <v/>
      </c>
      <c r="AI842" t="str">
        <f t="shared" si="250"/>
        <v/>
      </c>
      <c r="AJ842" t="str">
        <f t="shared" si="251"/>
        <v/>
      </c>
      <c r="AK842" t="str">
        <f t="shared" si="252"/>
        <v/>
      </c>
      <c r="AL842" t="str">
        <f>IFERROR(ROUND(L842*(G842/$AU842)/VLOOKUP(F842,商品!$A$4:$B$60,2,FALSE),0),"")</f>
        <v/>
      </c>
      <c r="AM842" t="str">
        <f>IFERROR(ROUND(L842*(I842/$AU842)/VLOOKUP(H842,商品!$A$4:$B$60,2,FALSE),0),"")</f>
        <v/>
      </c>
      <c r="AN842">
        <f>IFERROR(ROUND(L842*(J842/$AU842)/VLOOKUP("运力",商品!$A$4:$B$60,2,FALSE),0),0)</f>
        <v>0</v>
      </c>
      <c r="AO842">
        <f>IFERROR(ROUND(L842*(K842/$AU842)/VLOOKUP("交易",商品!$A$4:$B$60,2,FALSE),0),0)</f>
        <v>0</v>
      </c>
      <c r="AP842" t="str">
        <f>IFERROR(ROUND(S842*(N842/$AV842)/VLOOKUP(M842,职业!$A$4:$G$16,4,FALSE),0),"")</f>
        <v/>
      </c>
      <c r="AQ842" t="str">
        <f>IFERROR(ROUND(S842*(P842/$AV842)/VLOOKUP(O842,职业!$A$4:$G$16,4,FALSE),0),"")</f>
        <v/>
      </c>
      <c r="AR842" t="str">
        <f>IFERROR(ROUND(S842*(R842/$AV842)/VLOOKUP(Q842,职业!$A$4:$G$16,4,FALSE),0),"")</f>
        <v/>
      </c>
      <c r="AS842" t="str">
        <f>IFERROR(ROUND(X842*(U842/$AW842)/VLOOKUP(T842,商品!$A$4:$B$60,2,FALSE),0),"")</f>
        <v/>
      </c>
      <c r="AT842" t="str">
        <f>IFERROR(ROUND(X842*(W842/$AW842)/VLOOKUP(V842,商品!$A$4:$B$60,2,FALSE),0),"")</f>
        <v/>
      </c>
      <c r="AU842">
        <f t="shared" si="253"/>
        <v>0</v>
      </c>
      <c r="AV842">
        <f t="shared" si="254"/>
        <v>0</v>
      </c>
      <c r="AW842">
        <f t="shared" si="255"/>
        <v>0</v>
      </c>
    </row>
    <row r="843" spans="1:49" ht="19.95" customHeight="1" x14ac:dyDescent="0.25">
      <c r="A843" s="15" t="s">
        <v>359</v>
      </c>
      <c r="C843" s="15">
        <v>4</v>
      </c>
      <c r="D843" s="23" t="s">
        <v>174</v>
      </c>
      <c r="E843" s="23" t="s">
        <v>175</v>
      </c>
      <c r="L843" s="16">
        <f>IFERROR(VLOOKUP($D843&amp;$C843,生产方式定位!$A$2:$E$38,2,FALSE)+VLOOKUP($E843&amp;$C843,生产方式定位!$F$3:$J$38,2,FALSE),0)</f>
        <v>150</v>
      </c>
      <c r="S843" s="16">
        <f>IFERROR(VLOOKUP($D843&amp;$C843,生产方式定位!$A$2:$E$38,3,FALSE)+VLOOKUP($E843&amp;$C843,生产方式定位!$F$3:$J$38,3,FALSE),0)</f>
        <v>30</v>
      </c>
      <c r="X843" s="16">
        <f>IFERROR(VLOOKUP($D843&amp;$C843,生产方式定位!$A$2:$E$38,5,FALSE)+VLOOKUP($E843&amp;$C843,生产方式定位!$F$3:$J$38,5,FALSE),"错误")</f>
        <v>0</v>
      </c>
      <c r="Y843" s="26" t="str">
        <f t="shared" si="240"/>
        <v/>
      </c>
      <c r="Z843" s="36" t="str">
        <f t="shared" si="241"/>
        <v/>
      </c>
      <c r="AA843" s="36" t="str">
        <f t="shared" si="242"/>
        <v/>
      </c>
      <c r="AB843" s="27" t="str">
        <f t="shared" si="243"/>
        <v>-100%</v>
      </c>
      <c r="AC843" s="2">
        <f t="shared" si="244"/>
        <v>-180</v>
      </c>
      <c r="AD843" s="38">
        <f t="shared" si="245"/>
        <v>4</v>
      </c>
      <c r="AE843" t="str">
        <f t="shared" si="246"/>
        <v/>
      </c>
      <c r="AF843" t="str">
        <f t="shared" si="247"/>
        <v/>
      </c>
      <c r="AG843" t="str">
        <f t="shared" si="248"/>
        <v/>
      </c>
      <c r="AH843" t="str">
        <f t="shared" si="249"/>
        <v/>
      </c>
      <c r="AI843" t="str">
        <f t="shared" si="250"/>
        <v/>
      </c>
      <c r="AJ843" t="str">
        <f t="shared" si="251"/>
        <v/>
      </c>
      <c r="AK843" t="str">
        <f t="shared" si="252"/>
        <v/>
      </c>
      <c r="AL843" t="str">
        <f>IFERROR(ROUND(L843*(G843/$AU843)/VLOOKUP(F843,商品!$A$4:$B$60,2,FALSE),0),"")</f>
        <v/>
      </c>
      <c r="AM843" t="str">
        <f>IFERROR(ROUND(L843*(I843/$AU843)/VLOOKUP(H843,商品!$A$4:$B$60,2,FALSE),0),"")</f>
        <v/>
      </c>
      <c r="AN843">
        <f>IFERROR(ROUND(L843*(J843/$AU843)/VLOOKUP("运力",商品!$A$4:$B$60,2,FALSE),0),0)</f>
        <v>0</v>
      </c>
      <c r="AO843">
        <f>IFERROR(ROUND(L843*(K843/$AU843)/VLOOKUP("交易",商品!$A$4:$B$60,2,FALSE),0),0)</f>
        <v>0</v>
      </c>
      <c r="AP843" t="str">
        <f>IFERROR(ROUND(S843*(N843/$AV843)/VLOOKUP(M843,职业!$A$4:$G$16,4,FALSE),0),"")</f>
        <v/>
      </c>
      <c r="AQ843" t="str">
        <f>IFERROR(ROUND(S843*(P843/$AV843)/VLOOKUP(O843,职业!$A$4:$G$16,4,FALSE),0),"")</f>
        <v/>
      </c>
      <c r="AR843" t="str">
        <f>IFERROR(ROUND(S843*(R843/$AV843)/VLOOKUP(Q843,职业!$A$4:$G$16,4,FALSE),0),"")</f>
        <v/>
      </c>
      <c r="AS843" t="str">
        <f>IFERROR(ROUND(X843*(U843/$AW843)/VLOOKUP(T843,商品!$A$4:$B$60,2,FALSE),0),"")</f>
        <v/>
      </c>
      <c r="AT843" t="str">
        <f>IFERROR(ROUND(X843*(W843/$AW843)/VLOOKUP(V843,商品!$A$4:$B$60,2,FALSE),0),"")</f>
        <v/>
      </c>
      <c r="AU843">
        <f t="shared" si="253"/>
        <v>0</v>
      </c>
      <c r="AV843">
        <f t="shared" si="254"/>
        <v>0</v>
      </c>
      <c r="AW843">
        <f t="shared" si="255"/>
        <v>0</v>
      </c>
    </row>
    <row r="844" spans="1:49" ht="19.95" customHeight="1" x14ac:dyDescent="0.25">
      <c r="A844" s="15" t="s">
        <v>359</v>
      </c>
      <c r="C844" s="15">
        <v>5</v>
      </c>
      <c r="D844" s="23" t="s">
        <v>174</v>
      </c>
      <c r="E844" s="23" t="s">
        <v>175</v>
      </c>
      <c r="L844" s="16">
        <f>IFERROR(VLOOKUP($D844&amp;$C844,生产方式定位!$A$2:$E$38,2,FALSE)+VLOOKUP($E844&amp;$C844,生产方式定位!$F$3:$J$38,2,FALSE),0)</f>
        <v>200</v>
      </c>
      <c r="S844" s="16">
        <f>IFERROR(VLOOKUP($D844&amp;$C844,生产方式定位!$A$2:$E$38,3,FALSE)+VLOOKUP($E844&amp;$C844,生产方式定位!$F$3:$J$38,3,FALSE),0)</f>
        <v>40</v>
      </c>
      <c r="X844" s="16">
        <f>IFERROR(VLOOKUP($D844&amp;$C844,生产方式定位!$A$2:$E$38,5,FALSE)+VLOOKUP($E844&amp;$C844,生产方式定位!$F$3:$J$38,5,FALSE),"错误")</f>
        <v>0</v>
      </c>
      <c r="Y844" s="26" t="str">
        <f t="shared" si="240"/>
        <v/>
      </c>
      <c r="Z844" s="36" t="str">
        <f t="shared" si="241"/>
        <v/>
      </c>
      <c r="AA844" s="36" t="str">
        <f t="shared" si="242"/>
        <v/>
      </c>
      <c r="AB844" s="27" t="str">
        <f t="shared" si="243"/>
        <v>-100%</v>
      </c>
      <c r="AC844" s="2">
        <f t="shared" si="244"/>
        <v>-240</v>
      </c>
      <c r="AD844" s="38">
        <f t="shared" si="245"/>
        <v>5</v>
      </c>
      <c r="AE844" t="str">
        <f t="shared" si="246"/>
        <v/>
      </c>
      <c r="AF844" t="str">
        <f t="shared" si="247"/>
        <v/>
      </c>
      <c r="AG844" t="str">
        <f t="shared" si="248"/>
        <v/>
      </c>
      <c r="AH844" t="str">
        <f t="shared" si="249"/>
        <v/>
      </c>
      <c r="AI844" t="str">
        <f t="shared" si="250"/>
        <v/>
      </c>
      <c r="AJ844" t="str">
        <f t="shared" si="251"/>
        <v/>
      </c>
      <c r="AK844" t="str">
        <f t="shared" si="252"/>
        <v/>
      </c>
      <c r="AL844" t="str">
        <f>IFERROR(ROUND(L844*(G844/$AU844)/VLOOKUP(F844,商品!$A$4:$B$60,2,FALSE),0),"")</f>
        <v/>
      </c>
      <c r="AM844" t="str">
        <f>IFERROR(ROUND(L844*(I844/$AU844)/VLOOKUP(H844,商品!$A$4:$B$60,2,FALSE),0),"")</f>
        <v/>
      </c>
      <c r="AN844">
        <f>IFERROR(ROUND(L844*(J844/$AU844)/VLOOKUP("运力",商品!$A$4:$B$60,2,FALSE),0),0)</f>
        <v>0</v>
      </c>
      <c r="AO844">
        <f>IFERROR(ROUND(L844*(K844/$AU844)/VLOOKUP("交易",商品!$A$4:$B$60,2,FALSE),0),0)</f>
        <v>0</v>
      </c>
      <c r="AP844" t="str">
        <f>IFERROR(ROUND(S844*(N844/$AV844)/VLOOKUP(M844,职业!$A$4:$G$16,4,FALSE),0),"")</f>
        <v/>
      </c>
      <c r="AQ844" t="str">
        <f>IFERROR(ROUND(S844*(P844/$AV844)/VLOOKUP(O844,职业!$A$4:$G$16,4,FALSE),0),"")</f>
        <v/>
      </c>
      <c r="AR844" t="str">
        <f>IFERROR(ROUND(S844*(R844/$AV844)/VLOOKUP(Q844,职业!$A$4:$G$16,4,FALSE),0),"")</f>
        <v/>
      </c>
      <c r="AS844" t="str">
        <f>IFERROR(ROUND(X844*(U844/$AW844)/VLOOKUP(T844,商品!$A$4:$B$60,2,FALSE),0),"")</f>
        <v/>
      </c>
      <c r="AT844" t="str">
        <f>IFERROR(ROUND(X844*(W844/$AW844)/VLOOKUP(V844,商品!$A$4:$B$60,2,FALSE),0),"")</f>
        <v/>
      </c>
      <c r="AU844">
        <f t="shared" si="253"/>
        <v>0</v>
      </c>
      <c r="AV844">
        <f t="shared" si="254"/>
        <v>0</v>
      </c>
      <c r="AW844">
        <f t="shared" si="255"/>
        <v>0</v>
      </c>
    </row>
    <row r="845" spans="1:49" ht="19.95" customHeight="1" x14ac:dyDescent="0.25">
      <c r="A845" s="16" t="s">
        <v>360</v>
      </c>
      <c r="C845" s="16">
        <v>1</v>
      </c>
      <c r="D845" s="23" t="s">
        <v>171</v>
      </c>
      <c r="E845" s="23" t="s">
        <v>524</v>
      </c>
      <c r="L845" s="15">
        <f>IFERROR(VLOOKUP($D845&amp;$C845,生产方式定位!$A$2:$E$38,2,FALSE)+VLOOKUP($E845&amp;$C845,生产方式定位!$F$3:$J$38,2,FALSE),0)</f>
        <v>0</v>
      </c>
      <c r="S845" s="15">
        <f>IFERROR(VLOOKUP($D845&amp;$C845,生产方式定位!$A$2:$E$38,3,FALSE)+VLOOKUP($E845&amp;$C845,生产方式定位!$F$3:$J$38,3,FALSE),0)</f>
        <v>0</v>
      </c>
      <c r="X845" s="15" t="str">
        <f>IFERROR(VLOOKUP($D845&amp;$C845,生产方式定位!$A$2:$E$38,5,FALSE)+VLOOKUP($E845&amp;$C845,生产方式定位!$F$3:$J$38,5,FALSE),"错误")</f>
        <v>错误</v>
      </c>
      <c r="Y845" s="26" t="str">
        <f t="shared" si="240"/>
        <v/>
      </c>
      <c r="Z845" s="36" t="str">
        <f t="shared" si="241"/>
        <v/>
      </c>
      <c r="AA845" s="36" t="str">
        <f t="shared" si="242"/>
        <v/>
      </c>
      <c r="AB845" s="27" t="str">
        <f t="shared" si="243"/>
        <v/>
      </c>
      <c r="AC845" s="2" t="e">
        <f t="shared" si="244"/>
        <v>#VALUE!</v>
      </c>
      <c r="AD845" s="37">
        <f t="shared" si="245"/>
        <v>1</v>
      </c>
      <c r="AE845" t="str">
        <f t="shared" si="246"/>
        <v/>
      </c>
      <c r="AF845" t="str">
        <f t="shared" si="247"/>
        <v/>
      </c>
      <c r="AG845" t="str">
        <f t="shared" si="248"/>
        <v/>
      </c>
      <c r="AH845" t="str">
        <f t="shared" si="249"/>
        <v/>
      </c>
      <c r="AI845" t="str">
        <f t="shared" si="250"/>
        <v/>
      </c>
      <c r="AJ845" t="str">
        <f t="shared" si="251"/>
        <v/>
      </c>
      <c r="AK845" t="str">
        <f t="shared" si="252"/>
        <v/>
      </c>
      <c r="AL845" t="str">
        <f>IFERROR(ROUND(L845*(G845/$AU845)/VLOOKUP(F845,商品!$A$4:$B$60,2,FALSE),0),"")</f>
        <v/>
      </c>
      <c r="AM845" t="str">
        <f>IFERROR(ROUND(L845*(I845/$AU845)/VLOOKUP(H845,商品!$A$4:$B$60,2,FALSE),0),"")</f>
        <v/>
      </c>
      <c r="AN845">
        <f>IFERROR(ROUND(L845*(J845/$AU845)/VLOOKUP("运力",商品!$A$4:$B$60,2,FALSE),0),0)</f>
        <v>0</v>
      </c>
      <c r="AO845">
        <f>IFERROR(ROUND(L845*(K845/$AU845)/VLOOKUP("交易",商品!$A$4:$B$60,2,FALSE),0),0)</f>
        <v>0</v>
      </c>
      <c r="AP845" t="str">
        <f>IFERROR(ROUND(S845*(N845/$AV845)/VLOOKUP(M845,职业!$A$4:$G$16,4,FALSE),0),"")</f>
        <v/>
      </c>
      <c r="AQ845" t="str">
        <f>IFERROR(ROUND(S845*(P845/$AV845)/VLOOKUP(O845,职业!$A$4:$G$16,4,FALSE),0),"")</f>
        <v/>
      </c>
      <c r="AR845" t="str">
        <f>IFERROR(ROUND(S845*(R845/$AV845)/VLOOKUP(Q845,职业!$A$4:$G$16,4,FALSE),0),"")</f>
        <v/>
      </c>
      <c r="AS845" t="str">
        <f>IFERROR(ROUND(X845*(U845/$AW845)/VLOOKUP(T845,商品!$A$4:$B$60,2,FALSE),0),"")</f>
        <v/>
      </c>
      <c r="AT845" t="str">
        <f>IFERROR(ROUND(X845*(W845/$AW845)/VLOOKUP(V845,商品!$A$4:$B$60,2,FALSE),0),"")</f>
        <v/>
      </c>
      <c r="AU845">
        <f t="shared" si="253"/>
        <v>0</v>
      </c>
      <c r="AV845">
        <f t="shared" si="254"/>
        <v>0</v>
      </c>
      <c r="AW845">
        <f t="shared" si="255"/>
        <v>0</v>
      </c>
    </row>
    <row r="846" spans="1:49" ht="19.95" customHeight="1" x14ac:dyDescent="0.25">
      <c r="A846" s="16" t="s">
        <v>360</v>
      </c>
      <c r="C846" s="16">
        <v>2</v>
      </c>
      <c r="D846" s="23" t="s">
        <v>171</v>
      </c>
      <c r="E846" s="23" t="s">
        <v>524</v>
      </c>
      <c r="L846" s="15">
        <f>IFERROR(VLOOKUP($D846&amp;$C846,生产方式定位!$A$2:$E$38,2,FALSE)+VLOOKUP($E846&amp;$C846,生产方式定位!$F$3:$J$38,2,FALSE),0)</f>
        <v>0</v>
      </c>
      <c r="S846" s="15">
        <f>IFERROR(VLOOKUP($D846&amp;$C846,生产方式定位!$A$2:$E$38,3,FALSE)+VLOOKUP($E846&amp;$C846,生产方式定位!$F$3:$J$38,3,FALSE),0)</f>
        <v>0</v>
      </c>
      <c r="X846" s="15" t="str">
        <f>IFERROR(VLOOKUP($D846&amp;$C846,生产方式定位!$A$2:$E$38,5,FALSE)+VLOOKUP($E846&amp;$C846,生产方式定位!$F$3:$J$38,5,FALSE),"错误")</f>
        <v>错误</v>
      </c>
      <c r="Y846" s="26" t="str">
        <f t="shared" si="240"/>
        <v/>
      </c>
      <c r="Z846" s="36" t="str">
        <f t="shared" si="241"/>
        <v/>
      </c>
      <c r="AA846" s="36" t="str">
        <f t="shared" si="242"/>
        <v/>
      </c>
      <c r="AB846" s="27" t="str">
        <f t="shared" si="243"/>
        <v/>
      </c>
      <c r="AC846" s="2" t="e">
        <f t="shared" si="244"/>
        <v>#VALUE!</v>
      </c>
      <c r="AD846" s="37">
        <f t="shared" si="245"/>
        <v>2</v>
      </c>
      <c r="AE846" t="str">
        <f t="shared" si="246"/>
        <v/>
      </c>
      <c r="AF846" t="str">
        <f t="shared" si="247"/>
        <v/>
      </c>
      <c r="AG846" t="str">
        <f t="shared" si="248"/>
        <v/>
      </c>
      <c r="AH846" t="str">
        <f t="shared" si="249"/>
        <v/>
      </c>
      <c r="AI846" t="str">
        <f t="shared" si="250"/>
        <v/>
      </c>
      <c r="AJ846" t="str">
        <f t="shared" si="251"/>
        <v/>
      </c>
      <c r="AK846" t="str">
        <f t="shared" si="252"/>
        <v/>
      </c>
      <c r="AL846" t="str">
        <f>IFERROR(ROUND(L846*(G846/$AU846)/VLOOKUP(F846,商品!$A$4:$B$60,2,FALSE),0),"")</f>
        <v/>
      </c>
      <c r="AM846" t="str">
        <f>IFERROR(ROUND(L846*(I846/$AU846)/VLOOKUP(H846,商品!$A$4:$B$60,2,FALSE),0),"")</f>
        <v/>
      </c>
      <c r="AN846">
        <f>IFERROR(ROUND(L846*(J846/$AU846)/VLOOKUP("运力",商品!$A$4:$B$60,2,FALSE),0),0)</f>
        <v>0</v>
      </c>
      <c r="AO846">
        <f>IFERROR(ROUND(L846*(K846/$AU846)/VLOOKUP("交易",商品!$A$4:$B$60,2,FALSE),0),0)</f>
        <v>0</v>
      </c>
      <c r="AP846" t="str">
        <f>IFERROR(ROUND(S846*(N846/$AV846)/VLOOKUP(M846,职业!$A$4:$G$16,4,FALSE),0),"")</f>
        <v/>
      </c>
      <c r="AQ846" t="str">
        <f>IFERROR(ROUND(S846*(P846/$AV846)/VLOOKUP(O846,职业!$A$4:$G$16,4,FALSE),0),"")</f>
        <v/>
      </c>
      <c r="AR846" t="str">
        <f>IFERROR(ROUND(S846*(R846/$AV846)/VLOOKUP(Q846,职业!$A$4:$G$16,4,FALSE),0),"")</f>
        <v/>
      </c>
      <c r="AS846" t="str">
        <f>IFERROR(ROUND(X846*(U846/$AW846)/VLOOKUP(T846,商品!$A$4:$B$60,2,FALSE),0),"")</f>
        <v/>
      </c>
      <c r="AT846" t="str">
        <f>IFERROR(ROUND(X846*(W846/$AW846)/VLOOKUP(V846,商品!$A$4:$B$60,2,FALSE),0),"")</f>
        <v/>
      </c>
      <c r="AU846">
        <f t="shared" si="253"/>
        <v>0</v>
      </c>
      <c r="AV846">
        <f t="shared" si="254"/>
        <v>0</v>
      </c>
      <c r="AW846">
        <f t="shared" si="255"/>
        <v>0</v>
      </c>
    </row>
    <row r="847" spans="1:49" ht="19.95" customHeight="1" x14ac:dyDescent="0.25">
      <c r="A847" s="16" t="s">
        <v>360</v>
      </c>
      <c r="C847" s="16">
        <v>3</v>
      </c>
      <c r="D847" s="23" t="s">
        <v>171</v>
      </c>
      <c r="E847" s="23" t="s">
        <v>524</v>
      </c>
      <c r="L847" s="15">
        <f>IFERROR(VLOOKUP($D847&amp;$C847,生产方式定位!$A$2:$E$38,2,FALSE)+VLOOKUP($E847&amp;$C847,生产方式定位!$F$3:$J$38,2,FALSE),0)</f>
        <v>0</v>
      </c>
      <c r="S847" s="15">
        <f>IFERROR(VLOOKUP($D847&amp;$C847,生产方式定位!$A$2:$E$38,3,FALSE)+VLOOKUP($E847&amp;$C847,生产方式定位!$F$3:$J$38,3,FALSE),0)</f>
        <v>0</v>
      </c>
      <c r="X847" s="15" t="str">
        <f>IFERROR(VLOOKUP($D847&amp;$C847,生产方式定位!$A$2:$E$38,5,FALSE)+VLOOKUP($E847&amp;$C847,生产方式定位!$F$3:$J$38,5,FALSE),"错误")</f>
        <v>错误</v>
      </c>
      <c r="Y847" s="26" t="str">
        <f t="shared" si="240"/>
        <v/>
      </c>
      <c r="Z847" s="36" t="str">
        <f t="shared" si="241"/>
        <v/>
      </c>
      <c r="AA847" s="36" t="str">
        <f t="shared" si="242"/>
        <v/>
      </c>
      <c r="AB847" s="27" t="str">
        <f t="shared" si="243"/>
        <v/>
      </c>
      <c r="AC847" s="2" t="e">
        <f t="shared" si="244"/>
        <v>#VALUE!</v>
      </c>
      <c r="AD847" s="37">
        <f t="shared" si="245"/>
        <v>3</v>
      </c>
      <c r="AE847" t="str">
        <f t="shared" si="246"/>
        <v/>
      </c>
      <c r="AF847" t="str">
        <f t="shared" si="247"/>
        <v/>
      </c>
      <c r="AG847" t="str">
        <f t="shared" si="248"/>
        <v/>
      </c>
      <c r="AH847" t="str">
        <f t="shared" si="249"/>
        <v/>
      </c>
      <c r="AI847" t="str">
        <f t="shared" si="250"/>
        <v/>
      </c>
      <c r="AJ847" t="str">
        <f t="shared" si="251"/>
        <v/>
      </c>
      <c r="AK847" t="str">
        <f t="shared" si="252"/>
        <v/>
      </c>
      <c r="AL847" t="str">
        <f>IFERROR(ROUND(L847*(G847/$AU847)/VLOOKUP(F847,商品!$A$4:$B$60,2,FALSE),0),"")</f>
        <v/>
      </c>
      <c r="AM847" t="str">
        <f>IFERROR(ROUND(L847*(I847/$AU847)/VLOOKUP(H847,商品!$A$4:$B$60,2,FALSE),0),"")</f>
        <v/>
      </c>
      <c r="AN847">
        <f>IFERROR(ROUND(L847*(J847/$AU847)/VLOOKUP("运力",商品!$A$4:$B$60,2,FALSE),0),0)</f>
        <v>0</v>
      </c>
      <c r="AO847">
        <f>IFERROR(ROUND(L847*(K847/$AU847)/VLOOKUP("交易",商品!$A$4:$B$60,2,FALSE),0),0)</f>
        <v>0</v>
      </c>
      <c r="AP847" t="str">
        <f>IFERROR(ROUND(S847*(N847/$AV847)/VLOOKUP(M847,职业!$A$4:$G$16,4,FALSE),0),"")</f>
        <v/>
      </c>
      <c r="AQ847" t="str">
        <f>IFERROR(ROUND(S847*(P847/$AV847)/VLOOKUP(O847,职业!$A$4:$G$16,4,FALSE),0),"")</f>
        <v/>
      </c>
      <c r="AR847" t="str">
        <f>IFERROR(ROUND(S847*(R847/$AV847)/VLOOKUP(Q847,职业!$A$4:$G$16,4,FALSE),0),"")</f>
        <v/>
      </c>
      <c r="AS847" t="str">
        <f>IFERROR(ROUND(X847*(U847/$AW847)/VLOOKUP(T847,商品!$A$4:$B$60,2,FALSE),0),"")</f>
        <v/>
      </c>
      <c r="AT847" t="str">
        <f>IFERROR(ROUND(X847*(W847/$AW847)/VLOOKUP(V847,商品!$A$4:$B$60,2,FALSE),0),"")</f>
        <v/>
      </c>
      <c r="AU847">
        <f t="shared" si="253"/>
        <v>0</v>
      </c>
      <c r="AV847">
        <f t="shared" si="254"/>
        <v>0</v>
      </c>
      <c r="AW847">
        <f t="shared" si="255"/>
        <v>0</v>
      </c>
    </row>
    <row r="848" spans="1:49" ht="19.95" customHeight="1" x14ac:dyDescent="0.25">
      <c r="A848" s="16" t="s">
        <v>360</v>
      </c>
      <c r="C848" s="16">
        <v>4</v>
      </c>
      <c r="D848" s="23" t="s">
        <v>171</v>
      </c>
      <c r="E848" s="23" t="s">
        <v>524</v>
      </c>
      <c r="L848" s="15">
        <f>IFERROR(VLOOKUP($D848&amp;$C848,生产方式定位!$A$2:$E$38,2,FALSE)+VLOOKUP($E848&amp;$C848,生产方式定位!$F$3:$J$38,2,FALSE),0)</f>
        <v>0</v>
      </c>
      <c r="S848" s="15">
        <f>IFERROR(VLOOKUP($D848&amp;$C848,生产方式定位!$A$2:$E$38,3,FALSE)+VLOOKUP($E848&amp;$C848,生产方式定位!$F$3:$J$38,3,FALSE),0)</f>
        <v>0</v>
      </c>
      <c r="X848" s="15" t="str">
        <f>IFERROR(VLOOKUP($D848&amp;$C848,生产方式定位!$A$2:$E$38,5,FALSE)+VLOOKUP($E848&amp;$C848,生产方式定位!$F$3:$J$38,5,FALSE),"错误")</f>
        <v>错误</v>
      </c>
      <c r="Y848" s="26" t="str">
        <f t="shared" si="240"/>
        <v/>
      </c>
      <c r="Z848" s="36" t="str">
        <f t="shared" si="241"/>
        <v/>
      </c>
      <c r="AA848" s="36" t="str">
        <f t="shared" si="242"/>
        <v/>
      </c>
      <c r="AB848" s="27" t="str">
        <f t="shared" si="243"/>
        <v/>
      </c>
      <c r="AC848" s="2" t="e">
        <f t="shared" si="244"/>
        <v>#VALUE!</v>
      </c>
      <c r="AD848" s="37">
        <f t="shared" si="245"/>
        <v>4</v>
      </c>
      <c r="AE848" t="str">
        <f t="shared" si="246"/>
        <v/>
      </c>
      <c r="AF848" t="str">
        <f t="shared" si="247"/>
        <v/>
      </c>
      <c r="AG848" t="str">
        <f t="shared" si="248"/>
        <v/>
      </c>
      <c r="AH848" t="str">
        <f t="shared" si="249"/>
        <v/>
      </c>
      <c r="AI848" t="str">
        <f t="shared" si="250"/>
        <v/>
      </c>
      <c r="AJ848" t="str">
        <f t="shared" si="251"/>
        <v/>
      </c>
      <c r="AK848" t="str">
        <f t="shared" si="252"/>
        <v/>
      </c>
      <c r="AL848" t="str">
        <f>IFERROR(ROUND(L848*(G848/$AU848)/VLOOKUP(F848,商品!$A$4:$B$60,2,FALSE),0),"")</f>
        <v/>
      </c>
      <c r="AM848" t="str">
        <f>IFERROR(ROUND(L848*(I848/$AU848)/VLOOKUP(H848,商品!$A$4:$B$60,2,FALSE),0),"")</f>
        <v/>
      </c>
      <c r="AN848">
        <f>IFERROR(ROUND(L848*(J848/$AU848)/VLOOKUP("运力",商品!$A$4:$B$60,2,FALSE),0),0)</f>
        <v>0</v>
      </c>
      <c r="AO848">
        <f>IFERROR(ROUND(L848*(K848/$AU848)/VLOOKUP("交易",商品!$A$4:$B$60,2,FALSE),0),0)</f>
        <v>0</v>
      </c>
      <c r="AP848" t="str">
        <f>IFERROR(ROUND(S848*(N848/$AV848)/VLOOKUP(M848,职业!$A$4:$G$16,4,FALSE),0),"")</f>
        <v/>
      </c>
      <c r="AQ848" t="str">
        <f>IFERROR(ROUND(S848*(P848/$AV848)/VLOOKUP(O848,职业!$A$4:$G$16,4,FALSE),0),"")</f>
        <v/>
      </c>
      <c r="AR848" t="str">
        <f>IFERROR(ROUND(S848*(R848/$AV848)/VLOOKUP(Q848,职业!$A$4:$G$16,4,FALSE),0),"")</f>
        <v/>
      </c>
      <c r="AS848" t="str">
        <f>IFERROR(ROUND(X848*(U848/$AW848)/VLOOKUP(T848,商品!$A$4:$B$60,2,FALSE),0),"")</f>
        <v/>
      </c>
      <c r="AT848" t="str">
        <f>IFERROR(ROUND(X848*(W848/$AW848)/VLOOKUP(V848,商品!$A$4:$B$60,2,FALSE),0),"")</f>
        <v/>
      </c>
      <c r="AU848">
        <f t="shared" si="253"/>
        <v>0</v>
      </c>
      <c r="AV848">
        <f t="shared" si="254"/>
        <v>0</v>
      </c>
      <c r="AW848">
        <f t="shared" si="255"/>
        <v>0</v>
      </c>
    </row>
    <row r="849" spans="1:49" ht="19.95" customHeight="1" x14ac:dyDescent="0.25">
      <c r="A849" s="16" t="s">
        <v>360</v>
      </c>
      <c r="C849" s="16">
        <v>5</v>
      </c>
      <c r="D849" s="23" t="s">
        <v>171</v>
      </c>
      <c r="E849" s="23" t="s">
        <v>524</v>
      </c>
      <c r="L849" s="15">
        <f>IFERROR(VLOOKUP($D849&amp;$C849,生产方式定位!$A$2:$E$38,2,FALSE)+VLOOKUP($E849&amp;$C849,生产方式定位!$F$3:$J$38,2,FALSE),0)</f>
        <v>0</v>
      </c>
      <c r="S849" s="15">
        <f>IFERROR(VLOOKUP($D849&amp;$C849,生产方式定位!$A$2:$E$38,3,FALSE)+VLOOKUP($E849&amp;$C849,生产方式定位!$F$3:$J$38,3,FALSE),0)</f>
        <v>0</v>
      </c>
      <c r="X849" s="15" t="str">
        <f>IFERROR(VLOOKUP($D849&amp;$C849,生产方式定位!$A$2:$E$38,5,FALSE)+VLOOKUP($E849&amp;$C849,生产方式定位!$F$3:$J$38,5,FALSE),"错误")</f>
        <v>错误</v>
      </c>
      <c r="Y849" s="26" t="str">
        <f t="shared" si="240"/>
        <v/>
      </c>
      <c r="Z849" s="36" t="str">
        <f t="shared" si="241"/>
        <v/>
      </c>
      <c r="AA849" s="36" t="str">
        <f t="shared" si="242"/>
        <v/>
      </c>
      <c r="AB849" s="27" t="str">
        <f t="shared" si="243"/>
        <v/>
      </c>
      <c r="AC849" s="2" t="e">
        <f t="shared" si="244"/>
        <v>#VALUE!</v>
      </c>
      <c r="AD849" s="37">
        <f t="shared" si="245"/>
        <v>5</v>
      </c>
      <c r="AE849" t="str">
        <f t="shared" si="246"/>
        <v/>
      </c>
      <c r="AF849" t="str">
        <f t="shared" si="247"/>
        <v/>
      </c>
      <c r="AG849" t="str">
        <f t="shared" si="248"/>
        <v/>
      </c>
      <c r="AH849" t="str">
        <f t="shared" si="249"/>
        <v/>
      </c>
      <c r="AI849" t="str">
        <f t="shared" si="250"/>
        <v/>
      </c>
      <c r="AJ849" t="str">
        <f t="shared" si="251"/>
        <v/>
      </c>
      <c r="AK849" t="str">
        <f t="shared" si="252"/>
        <v/>
      </c>
      <c r="AL849" t="str">
        <f>IFERROR(ROUND(L849*(G849/$AU849)/VLOOKUP(F849,商品!$A$4:$B$60,2,FALSE),0),"")</f>
        <v/>
      </c>
      <c r="AM849" t="str">
        <f>IFERROR(ROUND(L849*(I849/$AU849)/VLOOKUP(H849,商品!$A$4:$B$60,2,FALSE),0),"")</f>
        <v/>
      </c>
      <c r="AN849">
        <f>IFERROR(ROUND(L849*(J849/$AU849)/VLOOKUP("运力",商品!$A$4:$B$60,2,FALSE),0),0)</f>
        <v>0</v>
      </c>
      <c r="AO849">
        <f>IFERROR(ROUND(L849*(K849/$AU849)/VLOOKUP("交易",商品!$A$4:$B$60,2,FALSE),0),0)</f>
        <v>0</v>
      </c>
      <c r="AP849" t="str">
        <f>IFERROR(ROUND(S849*(N849/$AV849)/VLOOKUP(M849,职业!$A$4:$G$16,4,FALSE),0),"")</f>
        <v/>
      </c>
      <c r="AQ849" t="str">
        <f>IFERROR(ROUND(S849*(P849/$AV849)/VLOOKUP(O849,职业!$A$4:$G$16,4,FALSE),0),"")</f>
        <v/>
      </c>
      <c r="AR849" t="str">
        <f>IFERROR(ROUND(S849*(R849/$AV849)/VLOOKUP(Q849,职业!$A$4:$G$16,4,FALSE),0),"")</f>
        <v/>
      </c>
      <c r="AS849" t="str">
        <f>IFERROR(ROUND(X849*(U849/$AW849)/VLOOKUP(T849,商品!$A$4:$B$60,2,FALSE),0),"")</f>
        <v/>
      </c>
      <c r="AT849" t="str">
        <f>IFERROR(ROUND(X849*(W849/$AW849)/VLOOKUP(V849,商品!$A$4:$B$60,2,FALSE),0),"")</f>
        <v/>
      </c>
      <c r="AU849">
        <f t="shared" si="253"/>
        <v>0</v>
      </c>
      <c r="AV849">
        <f t="shared" si="254"/>
        <v>0</v>
      </c>
      <c r="AW849">
        <f t="shared" si="255"/>
        <v>0</v>
      </c>
    </row>
    <row r="850" spans="1:49" ht="19.95" customHeight="1" x14ac:dyDescent="0.25">
      <c r="A850" s="15" t="s">
        <v>361</v>
      </c>
      <c r="C850" s="15">
        <v>1</v>
      </c>
      <c r="D850" s="23" t="s">
        <v>174</v>
      </c>
      <c r="E850" s="23" t="s">
        <v>179</v>
      </c>
      <c r="L850" s="16">
        <f>IFERROR(VLOOKUP($D850&amp;$C850,生产方式定位!$A$2:$E$38,2,FALSE)+VLOOKUP($E850&amp;$C850,生产方式定位!$F$3:$J$38,2,FALSE),0)</f>
        <v>0</v>
      </c>
      <c r="S850" s="16">
        <f>IFERROR(VLOOKUP($D850&amp;$C850,生产方式定位!$A$2:$E$38,3,FALSE)+VLOOKUP($E850&amp;$C850,生产方式定位!$F$3:$J$38,3,FALSE),0)</f>
        <v>100</v>
      </c>
      <c r="X850" s="16">
        <f>IFERROR(VLOOKUP($D850&amp;$C850,生产方式定位!$A$2:$E$38,5,FALSE)+VLOOKUP($E850&amp;$C850,生产方式定位!$F$3:$J$38,5,FALSE),"错误")</f>
        <v>100</v>
      </c>
      <c r="Y850" s="26" t="str">
        <f t="shared" si="240"/>
        <v/>
      </c>
      <c r="Z850" s="36" t="str">
        <f t="shared" si="241"/>
        <v/>
      </c>
      <c r="AA850" s="36" t="str">
        <f t="shared" si="242"/>
        <v/>
      </c>
      <c r="AB850" s="27" t="str">
        <f t="shared" si="243"/>
        <v/>
      </c>
      <c r="AC850" s="2" t="str">
        <f t="shared" si="244"/>
        <v/>
      </c>
      <c r="AD850" s="38">
        <f t="shared" si="245"/>
        <v>1</v>
      </c>
      <c r="AE850" t="str">
        <f t="shared" si="246"/>
        <v/>
      </c>
      <c r="AF850" t="str">
        <f t="shared" si="247"/>
        <v/>
      </c>
      <c r="AG850" t="str">
        <f t="shared" si="248"/>
        <v/>
      </c>
      <c r="AH850" t="str">
        <f t="shared" si="249"/>
        <v/>
      </c>
      <c r="AI850" t="str">
        <f t="shared" si="250"/>
        <v/>
      </c>
      <c r="AJ850" t="str">
        <f t="shared" si="251"/>
        <v/>
      </c>
      <c r="AK850" t="str">
        <f t="shared" si="252"/>
        <v/>
      </c>
      <c r="AL850" t="str">
        <f>IFERROR(ROUND(L850*(G850/$AU850)/VLOOKUP(F850,商品!$A$4:$B$60,2,FALSE),0),"")</f>
        <v/>
      </c>
      <c r="AM850" t="str">
        <f>IFERROR(ROUND(L850*(I850/$AU850)/VLOOKUP(H850,商品!$A$4:$B$60,2,FALSE),0),"")</f>
        <v/>
      </c>
      <c r="AN850">
        <f>IFERROR(ROUND(L850*(J850/$AU850)/VLOOKUP("运力",商品!$A$4:$B$60,2,FALSE),0),0)</f>
        <v>0</v>
      </c>
      <c r="AO850">
        <f>IFERROR(ROUND(L850*(K850/$AU850)/VLOOKUP("交易",商品!$A$4:$B$60,2,FALSE),0),0)</f>
        <v>0</v>
      </c>
      <c r="AP850" t="str">
        <f>IFERROR(ROUND(S850*(N850/$AV850)/VLOOKUP(M850,职业!$A$4:$G$16,4,FALSE),0),"")</f>
        <v/>
      </c>
      <c r="AQ850" t="str">
        <f>IFERROR(ROUND(S850*(P850/$AV850)/VLOOKUP(O850,职业!$A$4:$G$16,4,FALSE),0),"")</f>
        <v/>
      </c>
      <c r="AR850" t="str">
        <f>IFERROR(ROUND(S850*(R850/$AV850)/VLOOKUP(Q850,职业!$A$4:$G$16,4,FALSE),0),"")</f>
        <v/>
      </c>
      <c r="AS850" t="str">
        <f>IFERROR(ROUND(X850*(U850/$AW850)/VLOOKUP(T850,商品!$A$4:$B$60,2,FALSE),0),"")</f>
        <v/>
      </c>
      <c r="AT850" t="str">
        <f>IFERROR(ROUND(X850*(W850/$AW850)/VLOOKUP(V850,商品!$A$4:$B$60,2,FALSE),0),"")</f>
        <v/>
      </c>
      <c r="AU850">
        <f t="shared" si="253"/>
        <v>0</v>
      </c>
      <c r="AV850">
        <f t="shared" si="254"/>
        <v>0</v>
      </c>
      <c r="AW850">
        <f t="shared" si="255"/>
        <v>0</v>
      </c>
    </row>
    <row r="851" spans="1:49" ht="19.95" customHeight="1" x14ac:dyDescent="0.25">
      <c r="A851" s="15" t="s">
        <v>361</v>
      </c>
      <c r="C851" s="15">
        <v>2</v>
      </c>
      <c r="D851" s="23" t="s">
        <v>174</v>
      </c>
      <c r="E851" s="23" t="s">
        <v>179</v>
      </c>
      <c r="L851" s="16">
        <f>IFERROR(VLOOKUP($D851&amp;$C851,生产方式定位!$A$2:$E$38,2,FALSE)+VLOOKUP($E851&amp;$C851,生产方式定位!$F$3:$J$38,2,FALSE),0)</f>
        <v>0</v>
      </c>
      <c r="S851" s="16">
        <f>IFERROR(VLOOKUP($D851&amp;$C851,生产方式定位!$A$2:$E$38,3,FALSE)+VLOOKUP($E851&amp;$C851,生产方式定位!$F$3:$J$38,3,FALSE),0)</f>
        <v>100</v>
      </c>
      <c r="X851" s="16">
        <f>IFERROR(VLOOKUP($D851&amp;$C851,生产方式定位!$A$2:$E$38,5,FALSE)+VLOOKUP($E851&amp;$C851,生产方式定位!$F$3:$J$38,5,FALSE),"错误")</f>
        <v>100</v>
      </c>
      <c r="Y851" s="26" t="str">
        <f t="shared" si="240"/>
        <v/>
      </c>
      <c r="Z851" s="36" t="str">
        <f t="shared" si="241"/>
        <v/>
      </c>
      <c r="AA851" s="36" t="str">
        <f t="shared" si="242"/>
        <v/>
      </c>
      <c r="AB851" s="27" t="str">
        <f t="shared" si="243"/>
        <v/>
      </c>
      <c r="AC851" s="2" t="str">
        <f t="shared" si="244"/>
        <v/>
      </c>
      <c r="AD851" s="38">
        <f t="shared" si="245"/>
        <v>2</v>
      </c>
      <c r="AE851" t="str">
        <f t="shared" si="246"/>
        <v/>
      </c>
      <c r="AF851" t="str">
        <f t="shared" si="247"/>
        <v/>
      </c>
      <c r="AG851" t="str">
        <f t="shared" si="248"/>
        <v/>
      </c>
      <c r="AH851" t="str">
        <f t="shared" si="249"/>
        <v/>
      </c>
      <c r="AI851" t="str">
        <f t="shared" si="250"/>
        <v/>
      </c>
      <c r="AJ851" t="str">
        <f t="shared" si="251"/>
        <v/>
      </c>
      <c r="AK851" t="str">
        <f t="shared" si="252"/>
        <v/>
      </c>
      <c r="AL851" t="str">
        <f>IFERROR(ROUND(L851*(G851/$AU851)/VLOOKUP(F851,商品!$A$4:$B$60,2,FALSE),0),"")</f>
        <v/>
      </c>
      <c r="AM851" t="str">
        <f>IFERROR(ROUND(L851*(I851/$AU851)/VLOOKUP(H851,商品!$A$4:$B$60,2,FALSE),0),"")</f>
        <v/>
      </c>
      <c r="AN851">
        <f>IFERROR(ROUND(L851*(J851/$AU851)/VLOOKUP("运力",商品!$A$4:$B$60,2,FALSE),0),0)</f>
        <v>0</v>
      </c>
      <c r="AO851">
        <f>IFERROR(ROUND(L851*(K851/$AU851)/VLOOKUP("交易",商品!$A$4:$B$60,2,FALSE),0),0)</f>
        <v>0</v>
      </c>
      <c r="AP851" t="str">
        <f>IFERROR(ROUND(S851*(N851/$AV851)/VLOOKUP(M851,职业!$A$4:$G$16,4,FALSE),0),"")</f>
        <v/>
      </c>
      <c r="AQ851" t="str">
        <f>IFERROR(ROUND(S851*(P851/$AV851)/VLOOKUP(O851,职业!$A$4:$G$16,4,FALSE),0),"")</f>
        <v/>
      </c>
      <c r="AR851" t="str">
        <f>IFERROR(ROUND(S851*(R851/$AV851)/VLOOKUP(Q851,职业!$A$4:$G$16,4,FALSE),0),"")</f>
        <v/>
      </c>
      <c r="AS851" t="str">
        <f>IFERROR(ROUND(X851*(U851/$AW851)/VLOOKUP(T851,商品!$A$4:$B$60,2,FALSE),0),"")</f>
        <v/>
      </c>
      <c r="AT851" t="str">
        <f>IFERROR(ROUND(X851*(W851/$AW851)/VLOOKUP(V851,商品!$A$4:$B$60,2,FALSE),0),"")</f>
        <v/>
      </c>
      <c r="AU851">
        <f t="shared" si="253"/>
        <v>0</v>
      </c>
      <c r="AV851">
        <f t="shared" si="254"/>
        <v>0</v>
      </c>
      <c r="AW851">
        <f t="shared" si="255"/>
        <v>0</v>
      </c>
    </row>
    <row r="852" spans="1:49" ht="19.95" customHeight="1" x14ac:dyDescent="0.25">
      <c r="A852" s="15" t="s">
        <v>361</v>
      </c>
      <c r="C852" s="15">
        <v>3</v>
      </c>
      <c r="D852" s="23" t="s">
        <v>174</v>
      </c>
      <c r="E852" s="23" t="s">
        <v>179</v>
      </c>
      <c r="L852" s="16">
        <f>IFERROR(VLOOKUP($D852&amp;$C852,生产方式定位!$A$2:$E$38,2,FALSE)+VLOOKUP($E852&amp;$C852,生产方式定位!$F$3:$J$38,2,FALSE),0)</f>
        <v>0</v>
      </c>
      <c r="S852" s="16">
        <f>IFERROR(VLOOKUP($D852&amp;$C852,生产方式定位!$A$2:$E$38,3,FALSE)+VLOOKUP($E852&amp;$C852,生产方式定位!$F$3:$J$38,3,FALSE),0)</f>
        <v>100</v>
      </c>
      <c r="X852" s="16">
        <f>IFERROR(VLOOKUP($D852&amp;$C852,生产方式定位!$A$2:$E$38,5,FALSE)+VLOOKUP($E852&amp;$C852,生产方式定位!$F$3:$J$38,5,FALSE),"错误")</f>
        <v>100</v>
      </c>
      <c r="Y852" s="26" t="str">
        <f t="shared" si="240"/>
        <v/>
      </c>
      <c r="Z852" s="36" t="str">
        <f t="shared" si="241"/>
        <v/>
      </c>
      <c r="AA852" s="36" t="str">
        <f t="shared" si="242"/>
        <v/>
      </c>
      <c r="AB852" s="27" t="str">
        <f t="shared" si="243"/>
        <v/>
      </c>
      <c r="AC852" s="2" t="str">
        <f t="shared" si="244"/>
        <v/>
      </c>
      <c r="AD852" s="38">
        <f t="shared" si="245"/>
        <v>3</v>
      </c>
      <c r="AE852" t="str">
        <f t="shared" si="246"/>
        <v/>
      </c>
      <c r="AF852" t="str">
        <f t="shared" si="247"/>
        <v/>
      </c>
      <c r="AG852" t="str">
        <f t="shared" si="248"/>
        <v/>
      </c>
      <c r="AH852" t="str">
        <f t="shared" si="249"/>
        <v/>
      </c>
      <c r="AI852" t="str">
        <f t="shared" si="250"/>
        <v/>
      </c>
      <c r="AJ852" t="str">
        <f t="shared" si="251"/>
        <v/>
      </c>
      <c r="AK852" t="str">
        <f t="shared" si="252"/>
        <v/>
      </c>
      <c r="AL852" t="str">
        <f>IFERROR(ROUND(L852*(G852/$AU852)/VLOOKUP(F852,商品!$A$4:$B$60,2,FALSE),0),"")</f>
        <v/>
      </c>
      <c r="AM852" t="str">
        <f>IFERROR(ROUND(L852*(I852/$AU852)/VLOOKUP(H852,商品!$A$4:$B$60,2,FALSE),0),"")</f>
        <v/>
      </c>
      <c r="AN852">
        <f>IFERROR(ROUND(L852*(J852/$AU852)/VLOOKUP("运力",商品!$A$4:$B$60,2,FALSE),0),0)</f>
        <v>0</v>
      </c>
      <c r="AO852">
        <f>IFERROR(ROUND(L852*(K852/$AU852)/VLOOKUP("交易",商品!$A$4:$B$60,2,FALSE),0),0)</f>
        <v>0</v>
      </c>
      <c r="AP852" t="str">
        <f>IFERROR(ROUND(S852*(N852/$AV852)/VLOOKUP(M852,职业!$A$4:$G$16,4,FALSE),0),"")</f>
        <v/>
      </c>
      <c r="AQ852" t="str">
        <f>IFERROR(ROUND(S852*(P852/$AV852)/VLOOKUP(O852,职业!$A$4:$G$16,4,FALSE),0),"")</f>
        <v/>
      </c>
      <c r="AR852" t="str">
        <f>IFERROR(ROUND(S852*(R852/$AV852)/VLOOKUP(Q852,职业!$A$4:$G$16,4,FALSE),0),"")</f>
        <v/>
      </c>
      <c r="AS852" t="str">
        <f>IFERROR(ROUND(X852*(U852/$AW852)/VLOOKUP(T852,商品!$A$4:$B$60,2,FALSE),0),"")</f>
        <v/>
      </c>
      <c r="AT852" t="str">
        <f>IFERROR(ROUND(X852*(W852/$AW852)/VLOOKUP(V852,商品!$A$4:$B$60,2,FALSE),0),"")</f>
        <v/>
      </c>
      <c r="AU852">
        <f t="shared" si="253"/>
        <v>0</v>
      </c>
      <c r="AV852">
        <f t="shared" si="254"/>
        <v>0</v>
      </c>
      <c r="AW852">
        <f t="shared" si="255"/>
        <v>0</v>
      </c>
    </row>
    <row r="853" spans="1:49" ht="19.95" customHeight="1" x14ac:dyDescent="0.25">
      <c r="A853" s="15" t="s">
        <v>361</v>
      </c>
      <c r="C853" s="15">
        <v>4</v>
      </c>
      <c r="D853" s="23" t="s">
        <v>174</v>
      </c>
      <c r="E853" s="23" t="s">
        <v>179</v>
      </c>
      <c r="L853" s="16">
        <f>IFERROR(VLOOKUP($D853&amp;$C853,生产方式定位!$A$2:$E$38,2,FALSE)+VLOOKUP($E853&amp;$C853,生产方式定位!$F$3:$J$38,2,FALSE),0)</f>
        <v>0</v>
      </c>
      <c r="S853" s="16">
        <f>IFERROR(VLOOKUP($D853&amp;$C853,生产方式定位!$A$2:$E$38,3,FALSE)+VLOOKUP($E853&amp;$C853,生产方式定位!$F$3:$J$38,3,FALSE),0)</f>
        <v>100</v>
      </c>
      <c r="X853" s="16">
        <f>IFERROR(VLOOKUP($D853&amp;$C853,生产方式定位!$A$2:$E$38,5,FALSE)+VLOOKUP($E853&amp;$C853,生产方式定位!$F$3:$J$38,5,FALSE),"错误")</f>
        <v>100</v>
      </c>
      <c r="Y853" s="26" t="str">
        <f t="shared" si="240"/>
        <v/>
      </c>
      <c r="Z853" s="36" t="str">
        <f t="shared" si="241"/>
        <v/>
      </c>
      <c r="AA853" s="36" t="str">
        <f t="shared" si="242"/>
        <v/>
      </c>
      <c r="AB853" s="27" t="str">
        <f t="shared" si="243"/>
        <v/>
      </c>
      <c r="AC853" s="2" t="str">
        <f t="shared" si="244"/>
        <v/>
      </c>
      <c r="AD853" s="38">
        <f t="shared" si="245"/>
        <v>4</v>
      </c>
      <c r="AE853" t="str">
        <f t="shared" si="246"/>
        <v/>
      </c>
      <c r="AF853" t="str">
        <f t="shared" si="247"/>
        <v/>
      </c>
      <c r="AG853" t="str">
        <f t="shared" si="248"/>
        <v/>
      </c>
      <c r="AH853" t="str">
        <f t="shared" si="249"/>
        <v/>
      </c>
      <c r="AI853" t="str">
        <f t="shared" si="250"/>
        <v/>
      </c>
      <c r="AJ853" t="str">
        <f t="shared" si="251"/>
        <v/>
      </c>
      <c r="AK853" t="str">
        <f t="shared" si="252"/>
        <v/>
      </c>
      <c r="AL853" t="str">
        <f>IFERROR(ROUND(L853*(G853/$AU853)/VLOOKUP(F853,商品!$A$4:$B$60,2,FALSE),0),"")</f>
        <v/>
      </c>
      <c r="AM853" t="str">
        <f>IFERROR(ROUND(L853*(I853/$AU853)/VLOOKUP(H853,商品!$A$4:$B$60,2,FALSE),0),"")</f>
        <v/>
      </c>
      <c r="AN853">
        <f>IFERROR(ROUND(L853*(J853/$AU853)/VLOOKUP("运力",商品!$A$4:$B$60,2,FALSE),0),0)</f>
        <v>0</v>
      </c>
      <c r="AO853">
        <f>IFERROR(ROUND(L853*(K853/$AU853)/VLOOKUP("交易",商品!$A$4:$B$60,2,FALSE),0),0)</f>
        <v>0</v>
      </c>
      <c r="AP853" t="str">
        <f>IFERROR(ROUND(S853*(N853/$AV853)/VLOOKUP(M853,职业!$A$4:$G$16,4,FALSE),0),"")</f>
        <v/>
      </c>
      <c r="AQ853" t="str">
        <f>IFERROR(ROUND(S853*(P853/$AV853)/VLOOKUP(O853,职业!$A$4:$G$16,4,FALSE),0),"")</f>
        <v/>
      </c>
      <c r="AR853" t="str">
        <f>IFERROR(ROUND(S853*(R853/$AV853)/VLOOKUP(Q853,职业!$A$4:$G$16,4,FALSE),0),"")</f>
        <v/>
      </c>
      <c r="AS853" t="str">
        <f>IFERROR(ROUND(X853*(U853/$AW853)/VLOOKUP(T853,商品!$A$4:$B$60,2,FALSE),0),"")</f>
        <v/>
      </c>
      <c r="AT853" t="str">
        <f>IFERROR(ROUND(X853*(W853/$AW853)/VLOOKUP(V853,商品!$A$4:$B$60,2,FALSE),0),"")</f>
        <v/>
      </c>
      <c r="AU853">
        <f t="shared" si="253"/>
        <v>0</v>
      </c>
      <c r="AV853">
        <f t="shared" si="254"/>
        <v>0</v>
      </c>
      <c r="AW853">
        <f t="shared" si="255"/>
        <v>0</v>
      </c>
    </row>
    <row r="854" spans="1:49" ht="19.95" customHeight="1" x14ac:dyDescent="0.25">
      <c r="A854" s="15" t="s">
        <v>361</v>
      </c>
      <c r="C854" s="15">
        <v>5</v>
      </c>
      <c r="D854" s="23" t="s">
        <v>174</v>
      </c>
      <c r="E854" s="23" t="s">
        <v>179</v>
      </c>
      <c r="L854" s="16">
        <f>IFERROR(VLOOKUP($D854&amp;$C854,生产方式定位!$A$2:$E$38,2,FALSE)+VLOOKUP($E854&amp;$C854,生产方式定位!$F$3:$J$38,2,FALSE),0)</f>
        <v>0</v>
      </c>
      <c r="S854" s="16">
        <f>IFERROR(VLOOKUP($D854&amp;$C854,生产方式定位!$A$2:$E$38,3,FALSE)+VLOOKUP($E854&amp;$C854,生产方式定位!$F$3:$J$38,3,FALSE),0)</f>
        <v>100</v>
      </c>
      <c r="X854" s="16">
        <f>IFERROR(VLOOKUP($D854&amp;$C854,生产方式定位!$A$2:$E$38,5,FALSE)+VLOOKUP($E854&amp;$C854,生产方式定位!$F$3:$J$38,5,FALSE),"错误")</f>
        <v>100</v>
      </c>
      <c r="Y854" s="26" t="str">
        <f t="shared" si="240"/>
        <v/>
      </c>
      <c r="Z854" s="36" t="str">
        <f t="shared" si="241"/>
        <v/>
      </c>
      <c r="AA854" s="36" t="str">
        <f t="shared" si="242"/>
        <v/>
      </c>
      <c r="AB854" s="27" t="str">
        <f t="shared" si="243"/>
        <v/>
      </c>
      <c r="AC854" s="2" t="str">
        <f t="shared" si="244"/>
        <v/>
      </c>
      <c r="AD854" s="38">
        <f t="shared" si="245"/>
        <v>5</v>
      </c>
      <c r="AE854" t="str">
        <f t="shared" si="246"/>
        <v/>
      </c>
      <c r="AF854" t="str">
        <f t="shared" si="247"/>
        <v/>
      </c>
      <c r="AG854" t="str">
        <f t="shared" si="248"/>
        <v/>
      </c>
      <c r="AH854" t="str">
        <f t="shared" si="249"/>
        <v/>
      </c>
      <c r="AI854" t="str">
        <f t="shared" si="250"/>
        <v/>
      </c>
      <c r="AJ854" t="str">
        <f t="shared" si="251"/>
        <v/>
      </c>
      <c r="AK854" t="str">
        <f t="shared" si="252"/>
        <v/>
      </c>
      <c r="AL854" t="str">
        <f>IFERROR(ROUND(L854*(G854/$AU854)/VLOOKUP(F854,商品!$A$4:$B$60,2,FALSE),0),"")</f>
        <v/>
      </c>
      <c r="AM854" t="str">
        <f>IFERROR(ROUND(L854*(I854/$AU854)/VLOOKUP(H854,商品!$A$4:$B$60,2,FALSE),0),"")</f>
        <v/>
      </c>
      <c r="AN854">
        <f>IFERROR(ROUND(L854*(J854/$AU854)/VLOOKUP("运力",商品!$A$4:$B$60,2,FALSE),0),0)</f>
        <v>0</v>
      </c>
      <c r="AO854">
        <f>IFERROR(ROUND(L854*(K854/$AU854)/VLOOKUP("交易",商品!$A$4:$B$60,2,FALSE),0),0)</f>
        <v>0</v>
      </c>
      <c r="AP854" t="str">
        <f>IFERROR(ROUND(S854*(N854/$AV854)/VLOOKUP(M854,职业!$A$4:$G$16,4,FALSE),0),"")</f>
        <v/>
      </c>
      <c r="AQ854" t="str">
        <f>IFERROR(ROUND(S854*(P854/$AV854)/VLOOKUP(O854,职业!$A$4:$G$16,4,FALSE),0),"")</f>
        <v/>
      </c>
      <c r="AR854" t="str">
        <f>IFERROR(ROUND(S854*(R854/$AV854)/VLOOKUP(Q854,职业!$A$4:$G$16,4,FALSE),0),"")</f>
        <v/>
      </c>
      <c r="AS854" t="str">
        <f>IFERROR(ROUND(X854*(U854/$AW854)/VLOOKUP(T854,商品!$A$4:$B$60,2,FALSE),0),"")</f>
        <v/>
      </c>
      <c r="AT854" t="str">
        <f>IFERROR(ROUND(X854*(W854/$AW854)/VLOOKUP(V854,商品!$A$4:$B$60,2,FALSE),0),"")</f>
        <v/>
      </c>
      <c r="AU854">
        <f t="shared" si="253"/>
        <v>0</v>
      </c>
      <c r="AV854">
        <f t="shared" si="254"/>
        <v>0</v>
      </c>
      <c r="AW854">
        <f t="shared" si="255"/>
        <v>0</v>
      </c>
    </row>
    <row r="855" spans="1:49" ht="19.95" customHeight="1" x14ac:dyDescent="0.25">
      <c r="A855" s="15" t="s">
        <v>361</v>
      </c>
      <c r="C855" s="15">
        <v>6</v>
      </c>
      <c r="D855" s="23" t="s">
        <v>174</v>
      </c>
      <c r="E855" s="23" t="s">
        <v>179</v>
      </c>
      <c r="L855" s="16">
        <f>IFERROR(VLOOKUP($D855&amp;$C855,生产方式定位!$A$2:$E$38,2,FALSE)+VLOOKUP($E855&amp;$C855,生产方式定位!$F$3:$J$38,2,FALSE),0)</f>
        <v>0</v>
      </c>
      <c r="S855" s="16">
        <f>IFERROR(VLOOKUP($D855&amp;$C855,生产方式定位!$A$2:$E$38,3,FALSE)+VLOOKUP($E855&amp;$C855,生产方式定位!$F$3:$J$38,3,FALSE),0)</f>
        <v>100</v>
      </c>
      <c r="X855" s="16">
        <f>IFERROR(VLOOKUP($D855&amp;$C855,生产方式定位!$A$2:$E$38,5,FALSE)+VLOOKUP($E855&amp;$C855,生产方式定位!$F$3:$J$38,5,FALSE),"错误")</f>
        <v>100</v>
      </c>
      <c r="Y855" s="26" t="str">
        <f t="shared" si="240"/>
        <v/>
      </c>
      <c r="Z855" s="36" t="str">
        <f t="shared" si="241"/>
        <v/>
      </c>
      <c r="AA855" s="36" t="str">
        <f t="shared" si="242"/>
        <v/>
      </c>
      <c r="AB855" s="27" t="str">
        <f t="shared" si="243"/>
        <v/>
      </c>
      <c r="AC855" s="2" t="str">
        <f t="shared" si="244"/>
        <v/>
      </c>
      <c r="AD855" s="37">
        <f t="shared" si="245"/>
        <v>6</v>
      </c>
      <c r="AE855" t="str">
        <f t="shared" si="246"/>
        <v/>
      </c>
      <c r="AF855" t="str">
        <f t="shared" si="247"/>
        <v/>
      </c>
      <c r="AG855" t="str">
        <f t="shared" si="248"/>
        <v/>
      </c>
      <c r="AH855" t="str">
        <f t="shared" si="249"/>
        <v/>
      </c>
      <c r="AI855" t="str">
        <f t="shared" si="250"/>
        <v/>
      </c>
      <c r="AJ855" t="str">
        <f t="shared" si="251"/>
        <v/>
      </c>
      <c r="AK855" t="str">
        <f t="shared" si="252"/>
        <v/>
      </c>
      <c r="AL855" t="str">
        <f>IFERROR(ROUND(L855*(G855/$AU855)/VLOOKUP(F855,商品!$A$4:$B$60,2,FALSE),0),"")</f>
        <v/>
      </c>
      <c r="AM855" t="str">
        <f>IFERROR(ROUND(L855*(I855/$AU855)/VLOOKUP(H855,商品!$A$4:$B$60,2,FALSE),0),"")</f>
        <v/>
      </c>
      <c r="AN855">
        <f>IFERROR(ROUND(L855*(J855/$AU855)/VLOOKUP("运力",商品!$A$4:$B$60,2,FALSE),0),0)</f>
        <v>0</v>
      </c>
      <c r="AO855">
        <f>IFERROR(ROUND(L855*(K855/$AU855)/VLOOKUP("交易",商品!$A$4:$B$60,2,FALSE),0),0)</f>
        <v>0</v>
      </c>
      <c r="AP855" t="str">
        <f>IFERROR(ROUND(S855*(N855/$AV855)/VLOOKUP(M855,职业!$A$4:$G$16,4,FALSE),0),"")</f>
        <v/>
      </c>
      <c r="AQ855" t="str">
        <f>IFERROR(ROUND(S855*(P855/$AV855)/VLOOKUP(O855,职业!$A$4:$G$16,4,FALSE),0),"")</f>
        <v/>
      </c>
      <c r="AR855" t="str">
        <f>IFERROR(ROUND(S855*(R855/$AV855)/VLOOKUP(Q855,职业!$A$4:$G$16,4,FALSE),0),"")</f>
        <v/>
      </c>
      <c r="AS855" t="str">
        <f>IFERROR(ROUND(X855*(U855/$AW855)/VLOOKUP(T855,商品!$A$4:$B$60,2,FALSE),0),"")</f>
        <v/>
      </c>
      <c r="AT855" t="str">
        <f>IFERROR(ROUND(X855*(W855/$AW855)/VLOOKUP(V855,商品!$A$4:$B$60,2,FALSE),0),"")</f>
        <v/>
      </c>
      <c r="AU855">
        <f t="shared" si="253"/>
        <v>0</v>
      </c>
      <c r="AV855">
        <f t="shared" si="254"/>
        <v>0</v>
      </c>
      <c r="AW855">
        <f t="shared" si="255"/>
        <v>0</v>
      </c>
    </row>
    <row r="856" spans="1:49" ht="19.95" customHeight="1" x14ac:dyDescent="0.25">
      <c r="A856" s="15" t="s">
        <v>361</v>
      </c>
      <c r="C856" s="15">
        <v>7</v>
      </c>
      <c r="D856" s="23" t="s">
        <v>174</v>
      </c>
      <c r="E856" s="23" t="s">
        <v>179</v>
      </c>
      <c r="L856" s="16">
        <f>IFERROR(VLOOKUP($D856&amp;$C856,生产方式定位!$A$2:$E$38,2,FALSE)+VLOOKUP($E856&amp;$C856,生产方式定位!$F$3:$J$38,2,FALSE),0)</f>
        <v>0</v>
      </c>
      <c r="S856" s="16">
        <f>IFERROR(VLOOKUP($D856&amp;$C856,生产方式定位!$A$2:$E$38,3,FALSE)+VLOOKUP($E856&amp;$C856,生产方式定位!$F$3:$J$38,3,FALSE),0)</f>
        <v>100</v>
      </c>
      <c r="X856" s="16">
        <f>IFERROR(VLOOKUP($D856&amp;$C856,生产方式定位!$A$2:$E$38,5,FALSE)+VLOOKUP($E856&amp;$C856,生产方式定位!$F$3:$J$38,5,FALSE),"错误")</f>
        <v>100</v>
      </c>
      <c r="Y856" s="26" t="str">
        <f t="shared" si="240"/>
        <v/>
      </c>
      <c r="Z856" s="36" t="str">
        <f t="shared" si="241"/>
        <v/>
      </c>
      <c r="AA856" s="36" t="str">
        <f t="shared" si="242"/>
        <v/>
      </c>
      <c r="AB856" s="27" t="str">
        <f t="shared" si="243"/>
        <v/>
      </c>
      <c r="AC856" s="2" t="str">
        <f t="shared" si="244"/>
        <v/>
      </c>
      <c r="AD856" s="37">
        <f t="shared" si="245"/>
        <v>7</v>
      </c>
      <c r="AE856" t="str">
        <f t="shared" si="246"/>
        <v/>
      </c>
      <c r="AF856" t="str">
        <f t="shared" si="247"/>
        <v/>
      </c>
      <c r="AG856" t="str">
        <f t="shared" si="248"/>
        <v/>
      </c>
      <c r="AH856" t="str">
        <f t="shared" si="249"/>
        <v/>
      </c>
      <c r="AI856" t="str">
        <f t="shared" si="250"/>
        <v/>
      </c>
      <c r="AJ856" t="str">
        <f t="shared" si="251"/>
        <v/>
      </c>
      <c r="AK856" t="str">
        <f t="shared" si="252"/>
        <v/>
      </c>
      <c r="AL856" t="str">
        <f>IFERROR(ROUND(L856*(G856/$AU856)/VLOOKUP(F856,商品!$A$4:$B$60,2,FALSE),0),"")</f>
        <v/>
      </c>
      <c r="AM856" t="str">
        <f>IFERROR(ROUND(L856*(I856/$AU856)/VLOOKUP(H856,商品!$A$4:$B$60,2,FALSE),0),"")</f>
        <v/>
      </c>
      <c r="AN856">
        <f>IFERROR(ROUND(L856*(J856/$AU856)/VLOOKUP("运力",商品!$A$4:$B$60,2,FALSE),0),0)</f>
        <v>0</v>
      </c>
      <c r="AO856">
        <f>IFERROR(ROUND(L856*(K856/$AU856)/VLOOKUP("交易",商品!$A$4:$B$60,2,FALSE),0),0)</f>
        <v>0</v>
      </c>
      <c r="AP856" t="str">
        <f>IFERROR(ROUND(S856*(N856/$AV856)/VLOOKUP(M856,职业!$A$4:$G$16,4,FALSE),0),"")</f>
        <v/>
      </c>
      <c r="AQ856" t="str">
        <f>IFERROR(ROUND(S856*(P856/$AV856)/VLOOKUP(O856,职业!$A$4:$G$16,4,FALSE),0),"")</f>
        <v/>
      </c>
      <c r="AR856" t="str">
        <f>IFERROR(ROUND(S856*(R856/$AV856)/VLOOKUP(Q856,职业!$A$4:$G$16,4,FALSE),0),"")</f>
        <v/>
      </c>
      <c r="AS856" t="str">
        <f>IFERROR(ROUND(X856*(U856/$AW856)/VLOOKUP(T856,商品!$A$4:$B$60,2,FALSE),0),"")</f>
        <v/>
      </c>
      <c r="AT856" t="str">
        <f>IFERROR(ROUND(X856*(W856/$AW856)/VLOOKUP(V856,商品!$A$4:$B$60,2,FALSE),0),"")</f>
        <v/>
      </c>
      <c r="AU856">
        <f t="shared" si="253"/>
        <v>0</v>
      </c>
      <c r="AV856">
        <f t="shared" si="254"/>
        <v>0</v>
      </c>
      <c r="AW856">
        <f t="shared" si="255"/>
        <v>0</v>
      </c>
    </row>
    <row r="857" spans="1:49" ht="19.95" customHeight="1" x14ac:dyDescent="0.25">
      <c r="A857" s="15" t="s">
        <v>361</v>
      </c>
      <c r="C857" s="15">
        <v>8</v>
      </c>
      <c r="D857" s="23" t="s">
        <v>174</v>
      </c>
      <c r="E857" s="23" t="s">
        <v>179</v>
      </c>
      <c r="L857" s="16">
        <f>IFERROR(VLOOKUP($D857&amp;$C857,生产方式定位!$A$2:$E$38,2,FALSE)+VLOOKUP($E857&amp;$C857,生产方式定位!$F$3:$J$38,2,FALSE),0)</f>
        <v>0</v>
      </c>
      <c r="S857" s="16">
        <f>IFERROR(VLOOKUP($D857&amp;$C857,生产方式定位!$A$2:$E$38,3,FALSE)+VLOOKUP($E857&amp;$C857,生产方式定位!$F$3:$J$38,3,FALSE),0)</f>
        <v>100</v>
      </c>
      <c r="X857" s="16">
        <f>IFERROR(VLOOKUP($D857&amp;$C857,生产方式定位!$A$2:$E$38,5,FALSE)+VLOOKUP($E857&amp;$C857,生产方式定位!$F$3:$J$38,5,FALSE),"错误")</f>
        <v>100</v>
      </c>
      <c r="Y857" s="26" t="str">
        <f t="shared" si="240"/>
        <v/>
      </c>
      <c r="Z857" s="36" t="str">
        <f t="shared" si="241"/>
        <v/>
      </c>
      <c r="AA857" s="36" t="str">
        <f t="shared" si="242"/>
        <v/>
      </c>
      <c r="AB857" s="27" t="str">
        <f t="shared" si="243"/>
        <v/>
      </c>
      <c r="AC857" s="2" t="str">
        <f t="shared" si="244"/>
        <v/>
      </c>
      <c r="AD857" s="37">
        <f t="shared" si="245"/>
        <v>8</v>
      </c>
      <c r="AE857" t="str">
        <f t="shared" si="246"/>
        <v/>
      </c>
      <c r="AF857" t="str">
        <f t="shared" si="247"/>
        <v/>
      </c>
      <c r="AG857" t="str">
        <f t="shared" si="248"/>
        <v/>
      </c>
      <c r="AH857" t="str">
        <f t="shared" si="249"/>
        <v/>
      </c>
      <c r="AI857" t="str">
        <f t="shared" si="250"/>
        <v/>
      </c>
      <c r="AJ857" t="str">
        <f t="shared" si="251"/>
        <v/>
      </c>
      <c r="AK857" t="str">
        <f t="shared" si="252"/>
        <v/>
      </c>
      <c r="AL857" t="str">
        <f>IFERROR(ROUND(L857*(G857/$AU857)/VLOOKUP(F857,商品!$A$4:$B$60,2,FALSE),0),"")</f>
        <v/>
      </c>
      <c r="AM857" t="str">
        <f>IFERROR(ROUND(L857*(I857/$AU857)/VLOOKUP(H857,商品!$A$4:$B$60,2,FALSE),0),"")</f>
        <v/>
      </c>
      <c r="AN857">
        <f>IFERROR(ROUND(L857*(J857/$AU857)/VLOOKUP("运力",商品!$A$4:$B$60,2,FALSE),0),0)</f>
        <v>0</v>
      </c>
      <c r="AO857">
        <f>IFERROR(ROUND(L857*(K857/$AU857)/VLOOKUP("交易",商品!$A$4:$B$60,2,FALSE),0),0)</f>
        <v>0</v>
      </c>
      <c r="AP857" t="str">
        <f>IFERROR(ROUND(S857*(N857/$AV857)/VLOOKUP(M857,职业!$A$4:$G$16,4,FALSE),0),"")</f>
        <v/>
      </c>
      <c r="AQ857" t="str">
        <f>IFERROR(ROUND(S857*(P857/$AV857)/VLOOKUP(O857,职业!$A$4:$G$16,4,FALSE),0),"")</f>
        <v/>
      </c>
      <c r="AR857" t="str">
        <f>IFERROR(ROUND(S857*(R857/$AV857)/VLOOKUP(Q857,职业!$A$4:$G$16,4,FALSE),0),"")</f>
        <v/>
      </c>
      <c r="AS857" t="str">
        <f>IFERROR(ROUND(X857*(U857/$AW857)/VLOOKUP(T857,商品!$A$4:$B$60,2,FALSE),0),"")</f>
        <v/>
      </c>
      <c r="AT857" t="str">
        <f>IFERROR(ROUND(X857*(W857/$AW857)/VLOOKUP(V857,商品!$A$4:$B$60,2,FALSE),0),"")</f>
        <v/>
      </c>
      <c r="AU857">
        <f t="shared" si="253"/>
        <v>0</v>
      </c>
      <c r="AV857">
        <f t="shared" si="254"/>
        <v>0</v>
      </c>
      <c r="AW857">
        <f t="shared" si="255"/>
        <v>0</v>
      </c>
    </row>
    <row r="858" spans="1:49" ht="19.95" customHeight="1" x14ac:dyDescent="0.25">
      <c r="A858" s="16" t="s">
        <v>363</v>
      </c>
      <c r="C858" s="16">
        <v>1</v>
      </c>
      <c r="D858" s="23" t="s">
        <v>171</v>
      </c>
      <c r="E858" s="23" t="s">
        <v>172</v>
      </c>
      <c r="F858" s="2" t="s">
        <v>41</v>
      </c>
      <c r="G858" s="2">
        <v>20</v>
      </c>
      <c r="J858" s="24">
        <v>5</v>
      </c>
      <c r="K858" s="25">
        <v>5</v>
      </c>
      <c r="L858" s="15">
        <f>IFERROR(VLOOKUP($D858&amp;$C858,生产方式定位!$A$2:$E$38,2,FALSE)+VLOOKUP($E858&amp;$C858,生产方式定位!$F$3:$J$38,2,FALSE),0)</f>
        <v>300</v>
      </c>
      <c r="M858" s="2" t="s">
        <v>80</v>
      </c>
      <c r="N858" s="2">
        <v>100</v>
      </c>
      <c r="S858" s="15">
        <f>IFERROR(VLOOKUP($D858&amp;$C858,生产方式定位!$A$2:$E$38,3,FALSE)+VLOOKUP($E858&amp;$C858,生产方式定位!$F$3:$J$38,3,FALSE),0)</f>
        <v>100</v>
      </c>
      <c r="X858" s="15">
        <f>IFERROR(VLOOKUP($D858&amp;$C858,生产方式定位!$A$2:$E$38,5,FALSE)+VLOOKUP($E858&amp;$C858,生产方式定位!$F$3:$J$38,5,FALSE),"错误")</f>
        <v>520</v>
      </c>
      <c r="Y858" s="26" t="str">
        <f t="shared" si="240"/>
        <v>工具*5,运力*5,交易*5</v>
      </c>
      <c r="Z858" s="36" t="str">
        <f t="shared" si="241"/>
        <v>劳工*4525</v>
      </c>
      <c r="AA858" s="36" t="str">
        <f t="shared" si="242"/>
        <v/>
      </c>
      <c r="AB858" s="27" t="str">
        <f t="shared" si="243"/>
        <v>73%</v>
      </c>
      <c r="AC858" s="2">
        <f t="shared" si="244"/>
        <v>120</v>
      </c>
      <c r="AD858" s="37">
        <f t="shared" si="245"/>
        <v>1</v>
      </c>
      <c r="AE858" t="str">
        <f t="shared" si="246"/>
        <v>工具*5</v>
      </c>
      <c r="AF858" t="str">
        <f t="shared" si="247"/>
        <v/>
      </c>
      <c r="AG858" t="str">
        <f t="shared" si="248"/>
        <v>劳工*4525</v>
      </c>
      <c r="AH858" t="str">
        <f t="shared" si="249"/>
        <v/>
      </c>
      <c r="AI858" t="str">
        <f t="shared" si="250"/>
        <v/>
      </c>
      <c r="AJ858" t="str">
        <f t="shared" si="251"/>
        <v/>
      </c>
      <c r="AK858" t="str">
        <f t="shared" si="252"/>
        <v/>
      </c>
      <c r="AL858">
        <f>IFERROR(ROUND(L858*(G858/$AU858)/VLOOKUP(F858,商品!$A$4:$B$60,2,FALSE),0),"")</f>
        <v>5</v>
      </c>
      <c r="AM858" t="str">
        <f>IFERROR(ROUND(L858*(I858/$AU858)/VLOOKUP(H858,商品!$A$4:$B$60,2,FALSE),0),"")</f>
        <v/>
      </c>
      <c r="AN858">
        <f>IFERROR(ROUND(L858*(J858/$AU858)/VLOOKUP("运力",商品!$A$4:$B$60,2,FALSE),0),0)</f>
        <v>5</v>
      </c>
      <c r="AO858">
        <f>IFERROR(ROUND(L858*(K858/$AU858)/VLOOKUP("交易",商品!$A$4:$B$60,2,FALSE),0),0)</f>
        <v>5</v>
      </c>
      <c r="AP858">
        <f>IFERROR(ROUND(S858*(N858/$AV858)/VLOOKUP(M858,职业!$A$4:$G$16,4,FALSE),0),"")</f>
        <v>4525</v>
      </c>
      <c r="AQ858" t="str">
        <f>IFERROR(ROUND(S858*(P858/$AV858)/VLOOKUP(O858,职业!$A$4:$G$16,4,FALSE),0),"")</f>
        <v/>
      </c>
      <c r="AR858" t="str">
        <f>IFERROR(ROUND(S858*(R858/$AV858)/VLOOKUP(Q858,职业!$A$4:$G$16,4,FALSE),0),"")</f>
        <v/>
      </c>
      <c r="AS858" t="str">
        <f>IFERROR(ROUND(X858*(U858/$AW858)/VLOOKUP(T858,商品!$A$4:$B$60,2,FALSE),0),"")</f>
        <v/>
      </c>
      <c r="AT858" t="str">
        <f>IFERROR(ROUND(X858*(W858/$AW858)/VLOOKUP(V858,商品!$A$4:$B$60,2,FALSE),0),"")</f>
        <v/>
      </c>
      <c r="AU858">
        <f t="shared" si="253"/>
        <v>30</v>
      </c>
      <c r="AV858">
        <f t="shared" si="254"/>
        <v>100</v>
      </c>
      <c r="AW858">
        <f t="shared" si="255"/>
        <v>0</v>
      </c>
    </row>
    <row r="859" spans="1:49" ht="19.95" customHeight="1" x14ac:dyDescent="0.25">
      <c r="A859" s="16" t="s">
        <v>363</v>
      </c>
      <c r="C859" s="16">
        <v>2</v>
      </c>
      <c r="D859" s="23" t="s">
        <v>171</v>
      </c>
      <c r="E859" s="23" t="s">
        <v>172</v>
      </c>
      <c r="F859" s="2" t="s">
        <v>41</v>
      </c>
      <c r="G859" s="2">
        <v>10</v>
      </c>
      <c r="H859" s="2" t="s">
        <v>38</v>
      </c>
      <c r="I859" s="2">
        <v>15</v>
      </c>
      <c r="J859" s="24">
        <v>5</v>
      </c>
      <c r="K859" s="25">
        <v>5</v>
      </c>
      <c r="L859" s="15">
        <f>IFERROR(VLOOKUP($D859&amp;$C859,生产方式定位!$A$2:$E$38,2,FALSE)+VLOOKUP($E859&amp;$C859,生产方式定位!$F$3:$J$38,2,FALSE),0)</f>
        <v>1100</v>
      </c>
      <c r="M859" s="2" t="s">
        <v>80</v>
      </c>
      <c r="N859" s="2">
        <v>100</v>
      </c>
      <c r="O859" s="2" t="s">
        <v>73</v>
      </c>
      <c r="P859" s="2">
        <v>4</v>
      </c>
      <c r="S859" s="15">
        <f>IFERROR(VLOOKUP($D859&amp;$C859,生产方式定位!$A$2:$E$38,3,FALSE)+VLOOKUP($E859&amp;$C859,生产方式定位!$F$3:$J$38,3,FALSE),0)</f>
        <v>100</v>
      </c>
      <c r="X859" s="15">
        <f>IFERROR(VLOOKUP($D859&amp;$C859,生产方式定位!$A$2:$E$38,5,FALSE)+VLOOKUP($E859&amp;$C859,生产方式定位!$F$3:$J$38,5,FALSE),"错误")</f>
        <v>1510</v>
      </c>
      <c r="Y859" s="26" t="str">
        <f t="shared" si="240"/>
        <v>工具*8,肥料*8,运力*16,交易*16</v>
      </c>
      <c r="Z859" s="36" t="str">
        <f t="shared" si="241"/>
        <v>劳工*4351,工程师*58</v>
      </c>
      <c r="AA859" s="36" t="str">
        <f t="shared" si="242"/>
        <v/>
      </c>
      <c r="AB859" s="27" t="str">
        <f t="shared" si="243"/>
        <v>37%</v>
      </c>
      <c r="AC859" s="2">
        <f t="shared" si="244"/>
        <v>310</v>
      </c>
      <c r="AD859" s="37">
        <f t="shared" si="245"/>
        <v>2</v>
      </c>
      <c r="AE859" t="str">
        <f t="shared" si="246"/>
        <v>工具*8</v>
      </c>
      <c r="AF859" t="str">
        <f t="shared" si="247"/>
        <v>肥料*8</v>
      </c>
      <c r="AG859" t="str">
        <f t="shared" si="248"/>
        <v>劳工*4351</v>
      </c>
      <c r="AH859" t="str">
        <f t="shared" si="249"/>
        <v>工程师*58</v>
      </c>
      <c r="AI859" t="str">
        <f t="shared" si="250"/>
        <v/>
      </c>
      <c r="AJ859" t="str">
        <f t="shared" si="251"/>
        <v/>
      </c>
      <c r="AK859" t="str">
        <f t="shared" si="252"/>
        <v/>
      </c>
      <c r="AL859">
        <f>IFERROR(ROUND(L859*(G859/$AU859)/VLOOKUP(F859,商品!$A$4:$B$60,2,FALSE),0),"")</f>
        <v>8</v>
      </c>
      <c r="AM859">
        <f>IFERROR(ROUND(L859*(I859/$AU859)/VLOOKUP(H859,商品!$A$4:$B$60,2,FALSE),0),"")</f>
        <v>8</v>
      </c>
      <c r="AN859">
        <f>IFERROR(ROUND(L859*(J859/$AU859)/VLOOKUP("运力",商品!$A$4:$B$60,2,FALSE),0),0)</f>
        <v>16</v>
      </c>
      <c r="AO859">
        <f>IFERROR(ROUND(L859*(K859/$AU859)/VLOOKUP("交易",商品!$A$4:$B$60,2,FALSE),0),0)</f>
        <v>16</v>
      </c>
      <c r="AP859">
        <f>IFERROR(ROUND(S859*(N859/$AV859)/VLOOKUP(M859,职业!$A$4:$G$16,4,FALSE),0),"")</f>
        <v>4351</v>
      </c>
      <c r="AQ859">
        <f>IFERROR(ROUND(S859*(P859/$AV859)/VLOOKUP(O859,职业!$A$4:$G$16,4,FALSE),0),"")</f>
        <v>58</v>
      </c>
      <c r="AR859" t="str">
        <f>IFERROR(ROUND(S859*(R859/$AV859)/VLOOKUP(Q859,职业!$A$4:$G$16,4,FALSE),0),"")</f>
        <v/>
      </c>
      <c r="AS859" t="str">
        <f>IFERROR(ROUND(X859*(U859/$AW859)/VLOOKUP(T859,商品!$A$4:$B$60,2,FALSE),0),"")</f>
        <v/>
      </c>
      <c r="AT859" t="str">
        <f>IFERROR(ROUND(X859*(W859/$AW859)/VLOOKUP(V859,商品!$A$4:$B$60,2,FALSE),0),"")</f>
        <v/>
      </c>
      <c r="AU859">
        <f t="shared" si="253"/>
        <v>35</v>
      </c>
      <c r="AV859">
        <f t="shared" si="254"/>
        <v>104</v>
      </c>
      <c r="AW859">
        <f t="shared" si="255"/>
        <v>0</v>
      </c>
    </row>
    <row r="860" spans="1:49" ht="19.95" customHeight="1" x14ac:dyDescent="0.25">
      <c r="A860" s="16" t="s">
        <v>363</v>
      </c>
      <c r="C860" s="16">
        <v>3</v>
      </c>
      <c r="D860" s="23" t="s">
        <v>171</v>
      </c>
      <c r="E860" s="23" t="s">
        <v>172</v>
      </c>
      <c r="F860" s="2" t="s">
        <v>41</v>
      </c>
      <c r="G860" s="2">
        <v>10</v>
      </c>
      <c r="H860" s="2" t="s">
        <v>38</v>
      </c>
      <c r="I860" s="2">
        <v>15</v>
      </c>
      <c r="J860" s="24">
        <v>5</v>
      </c>
      <c r="K860" s="25">
        <v>5</v>
      </c>
      <c r="L860" s="15">
        <f>IFERROR(VLOOKUP($D860&amp;$C860,生产方式定位!$A$2:$E$38,2,FALSE)+VLOOKUP($E860&amp;$C860,生产方式定位!$F$3:$J$38,2,FALSE),0)</f>
        <v>1525</v>
      </c>
      <c r="M860" s="2" t="s">
        <v>80</v>
      </c>
      <c r="N860" s="2">
        <v>100</v>
      </c>
      <c r="O860" s="2" t="s">
        <v>73</v>
      </c>
      <c r="P860" s="2">
        <v>7</v>
      </c>
      <c r="S860" s="15">
        <f>IFERROR(VLOOKUP($D860&amp;$C860,生产方式定位!$A$2:$E$38,3,FALSE)+VLOOKUP($E860&amp;$C860,生产方式定位!$F$3:$J$38,3,FALSE),0)</f>
        <v>100</v>
      </c>
      <c r="X860" s="15">
        <f>IFERROR(VLOOKUP($D860&amp;$C860,生产方式定位!$A$2:$E$38,5,FALSE)+VLOOKUP($E860&amp;$C860,生产方式定位!$F$3:$J$38,5,FALSE),"错误")</f>
        <v>2050</v>
      </c>
      <c r="Y860" s="26" t="str">
        <f t="shared" si="240"/>
        <v>工具*11,肥料*11,运力*22,交易*22</v>
      </c>
      <c r="Z860" s="36" t="str">
        <f t="shared" si="241"/>
        <v>劳工*4229,工程师*99</v>
      </c>
      <c r="AA860" s="36" t="str">
        <f t="shared" si="242"/>
        <v/>
      </c>
      <c r="AB860" s="27" t="str">
        <f t="shared" si="243"/>
        <v>34%</v>
      </c>
      <c r="AC860" s="2">
        <f t="shared" si="244"/>
        <v>425</v>
      </c>
      <c r="AD860" s="38">
        <f t="shared" si="245"/>
        <v>3</v>
      </c>
      <c r="AE860" t="str">
        <f t="shared" si="246"/>
        <v>工具*11</v>
      </c>
      <c r="AF860" t="str">
        <f t="shared" si="247"/>
        <v>肥料*11</v>
      </c>
      <c r="AG860" t="str">
        <f t="shared" si="248"/>
        <v>劳工*4229</v>
      </c>
      <c r="AH860" t="str">
        <f t="shared" si="249"/>
        <v>工程师*99</v>
      </c>
      <c r="AI860" t="str">
        <f t="shared" si="250"/>
        <v/>
      </c>
      <c r="AJ860" t="str">
        <f t="shared" si="251"/>
        <v/>
      </c>
      <c r="AK860" t="str">
        <f t="shared" si="252"/>
        <v/>
      </c>
      <c r="AL860">
        <f>IFERROR(ROUND(L860*(G860/$AU860)/VLOOKUP(F860,商品!$A$4:$B$60,2,FALSE),0),"")</f>
        <v>11</v>
      </c>
      <c r="AM860">
        <f>IFERROR(ROUND(L860*(I860/$AU860)/VLOOKUP(H860,商品!$A$4:$B$60,2,FALSE),0),"")</f>
        <v>11</v>
      </c>
      <c r="AN860">
        <f>IFERROR(ROUND(L860*(J860/$AU860)/VLOOKUP("运力",商品!$A$4:$B$60,2,FALSE),0),0)</f>
        <v>22</v>
      </c>
      <c r="AO860">
        <f>IFERROR(ROUND(L860*(K860/$AU860)/VLOOKUP("交易",商品!$A$4:$B$60,2,FALSE),0),0)</f>
        <v>22</v>
      </c>
      <c r="AP860">
        <f>IFERROR(ROUND(S860*(N860/$AV860)/VLOOKUP(M860,职业!$A$4:$G$16,4,FALSE),0),"")</f>
        <v>4229</v>
      </c>
      <c r="AQ860">
        <f>IFERROR(ROUND(S860*(P860/$AV860)/VLOOKUP(O860,职业!$A$4:$G$16,4,FALSE),0),"")</f>
        <v>99</v>
      </c>
      <c r="AR860" t="str">
        <f>IFERROR(ROUND(S860*(R860/$AV860)/VLOOKUP(Q860,职业!$A$4:$G$16,4,FALSE),0),"")</f>
        <v/>
      </c>
      <c r="AS860" t="str">
        <f>IFERROR(ROUND(X860*(U860/$AW860)/VLOOKUP(T860,商品!$A$4:$B$60,2,FALSE),0),"")</f>
        <v/>
      </c>
      <c r="AT860" t="str">
        <f>IFERROR(ROUND(X860*(W860/$AW860)/VLOOKUP(V860,商品!$A$4:$B$60,2,FALSE),0),"")</f>
        <v/>
      </c>
      <c r="AU860">
        <f t="shared" si="253"/>
        <v>35</v>
      </c>
      <c r="AV860">
        <f t="shared" si="254"/>
        <v>107</v>
      </c>
      <c r="AW860">
        <f t="shared" si="255"/>
        <v>0</v>
      </c>
    </row>
    <row r="861" spans="1:49" ht="19.95" customHeight="1" x14ac:dyDescent="0.25">
      <c r="A861" s="16" t="s">
        <v>363</v>
      </c>
      <c r="C861" s="16">
        <v>4</v>
      </c>
      <c r="D861" s="23" t="s">
        <v>171</v>
      </c>
      <c r="E861" s="23" t="s">
        <v>172</v>
      </c>
      <c r="F861" s="2" t="s">
        <v>41</v>
      </c>
      <c r="G861" s="2">
        <v>10</v>
      </c>
      <c r="H861" s="2" t="s">
        <v>38</v>
      </c>
      <c r="I861" s="2">
        <v>15</v>
      </c>
      <c r="J861" s="24">
        <v>5</v>
      </c>
      <c r="K861" s="25">
        <v>5</v>
      </c>
      <c r="L861" s="15">
        <f>IFERROR(VLOOKUP($D861&amp;$C861,生产方式定位!$A$2:$E$38,2,FALSE)+VLOOKUP($E861&amp;$C861,生产方式定位!$F$3:$J$38,2,FALSE),0)</f>
        <v>1950</v>
      </c>
      <c r="M861" s="2" t="s">
        <v>80</v>
      </c>
      <c r="N861" s="2">
        <v>100</v>
      </c>
      <c r="O861" s="2" t="s">
        <v>73</v>
      </c>
      <c r="P861" s="2">
        <v>12</v>
      </c>
      <c r="S861" s="15">
        <f>IFERROR(VLOOKUP($D861&amp;$C861,生产方式定位!$A$2:$E$38,3,FALSE)+VLOOKUP($E861&amp;$C861,生产方式定位!$F$3:$J$38,3,FALSE),0)</f>
        <v>100</v>
      </c>
      <c r="X861" s="15">
        <f>IFERROR(VLOOKUP($D861&amp;$C861,生产方式定位!$A$2:$E$38,5,FALSE)+VLOOKUP($E861&amp;$C861,生产方式定位!$F$3:$J$38,5,FALSE),"错误")</f>
        <v>2590</v>
      </c>
      <c r="Y861" s="26" t="str">
        <f t="shared" si="240"/>
        <v>工具*14,肥料*14,运力*28,交易*28</v>
      </c>
      <c r="Z861" s="36" t="str">
        <f t="shared" si="241"/>
        <v>劳工*4040,工程师*162</v>
      </c>
      <c r="AA861" s="36" t="str">
        <f t="shared" si="242"/>
        <v/>
      </c>
      <c r="AB861" s="27" t="str">
        <f t="shared" si="243"/>
        <v>33%</v>
      </c>
      <c r="AC861" s="2">
        <f t="shared" si="244"/>
        <v>540</v>
      </c>
      <c r="AD861" s="38">
        <f t="shared" si="245"/>
        <v>4</v>
      </c>
      <c r="AE861" t="str">
        <f t="shared" si="246"/>
        <v>工具*14</v>
      </c>
      <c r="AF861" t="str">
        <f t="shared" si="247"/>
        <v>肥料*14</v>
      </c>
      <c r="AG861" t="str">
        <f t="shared" si="248"/>
        <v>劳工*4040</v>
      </c>
      <c r="AH861" t="str">
        <f t="shared" si="249"/>
        <v>工程师*162</v>
      </c>
      <c r="AI861" t="str">
        <f t="shared" si="250"/>
        <v/>
      </c>
      <c r="AJ861" t="str">
        <f t="shared" si="251"/>
        <v/>
      </c>
      <c r="AK861" t="str">
        <f t="shared" si="252"/>
        <v/>
      </c>
      <c r="AL861">
        <f>IFERROR(ROUND(L861*(G861/$AU861)/VLOOKUP(F861,商品!$A$4:$B$60,2,FALSE),0),"")</f>
        <v>14</v>
      </c>
      <c r="AM861">
        <f>IFERROR(ROUND(L861*(I861/$AU861)/VLOOKUP(H861,商品!$A$4:$B$60,2,FALSE),0),"")</f>
        <v>14</v>
      </c>
      <c r="AN861">
        <f>IFERROR(ROUND(L861*(J861/$AU861)/VLOOKUP("运力",商品!$A$4:$B$60,2,FALSE),0),0)</f>
        <v>28</v>
      </c>
      <c r="AO861">
        <f>IFERROR(ROUND(L861*(K861/$AU861)/VLOOKUP("交易",商品!$A$4:$B$60,2,FALSE),0),0)</f>
        <v>28</v>
      </c>
      <c r="AP861">
        <f>IFERROR(ROUND(S861*(N861/$AV861)/VLOOKUP(M861,职业!$A$4:$G$16,4,FALSE),0),"")</f>
        <v>4040</v>
      </c>
      <c r="AQ861">
        <f>IFERROR(ROUND(S861*(P861/$AV861)/VLOOKUP(O861,职业!$A$4:$G$16,4,FALSE),0),"")</f>
        <v>162</v>
      </c>
      <c r="AR861" t="str">
        <f>IFERROR(ROUND(S861*(R861/$AV861)/VLOOKUP(Q861,职业!$A$4:$G$16,4,FALSE),0),"")</f>
        <v/>
      </c>
      <c r="AS861" t="str">
        <f>IFERROR(ROUND(X861*(U861/$AW861)/VLOOKUP(T861,商品!$A$4:$B$60,2,FALSE),0),"")</f>
        <v/>
      </c>
      <c r="AT861" t="str">
        <f>IFERROR(ROUND(X861*(W861/$AW861)/VLOOKUP(V861,商品!$A$4:$B$60,2,FALSE),0),"")</f>
        <v/>
      </c>
      <c r="AU861">
        <f t="shared" si="253"/>
        <v>35</v>
      </c>
      <c r="AV861">
        <f t="shared" si="254"/>
        <v>112</v>
      </c>
      <c r="AW861">
        <f t="shared" si="255"/>
        <v>0</v>
      </c>
    </row>
    <row r="862" spans="1:49" ht="19.95" customHeight="1" x14ac:dyDescent="0.25">
      <c r="A862" s="16" t="s">
        <v>363</v>
      </c>
      <c r="C862" s="16">
        <v>5</v>
      </c>
      <c r="D862" s="23" t="s">
        <v>171</v>
      </c>
      <c r="E862" s="23" t="s">
        <v>172</v>
      </c>
      <c r="F862" s="2" t="s">
        <v>41</v>
      </c>
      <c r="G862" s="2">
        <v>10</v>
      </c>
      <c r="H862" s="2" t="s">
        <v>38</v>
      </c>
      <c r="I862" s="2">
        <v>15</v>
      </c>
      <c r="J862" s="24">
        <v>5</v>
      </c>
      <c r="K862" s="25">
        <v>5</v>
      </c>
      <c r="L862" s="15">
        <f>IFERROR(VLOOKUP($D862&amp;$C862,生产方式定位!$A$2:$E$38,2,FALSE)+VLOOKUP($E862&amp;$C862,生产方式定位!$F$3:$J$38,2,FALSE),0)</f>
        <v>2375</v>
      </c>
      <c r="M862" s="2" t="s">
        <v>80</v>
      </c>
      <c r="N862" s="2">
        <v>100</v>
      </c>
      <c r="O862" s="2" t="s">
        <v>73</v>
      </c>
      <c r="P862" s="2">
        <v>15</v>
      </c>
      <c r="S862" s="15">
        <f>IFERROR(VLOOKUP($D862&amp;$C862,生产方式定位!$A$2:$E$38,3,FALSE)+VLOOKUP($E862&amp;$C862,生产方式定位!$F$3:$J$38,3,FALSE),0)</f>
        <v>100</v>
      </c>
      <c r="X862" s="15">
        <f>IFERROR(VLOOKUP($D862&amp;$C862,生产方式定位!$A$2:$E$38,5,FALSE)+VLOOKUP($E862&amp;$C862,生产方式定位!$F$3:$J$38,5,FALSE),"错误")</f>
        <v>3130</v>
      </c>
      <c r="Y862" s="26" t="str">
        <f t="shared" si="240"/>
        <v>工具*17,肥料*17,运力*34,交易*34</v>
      </c>
      <c r="Z862" s="36" t="str">
        <f t="shared" si="241"/>
        <v>劳工*3935,工程师*197</v>
      </c>
      <c r="AA862" s="36" t="str">
        <f t="shared" si="242"/>
        <v/>
      </c>
      <c r="AB862" s="27" t="str">
        <f t="shared" si="243"/>
        <v>32%</v>
      </c>
      <c r="AC862" s="2">
        <f t="shared" si="244"/>
        <v>655</v>
      </c>
      <c r="AD862" s="38">
        <f t="shared" si="245"/>
        <v>5</v>
      </c>
      <c r="AE862" t="str">
        <f t="shared" si="246"/>
        <v>工具*17</v>
      </c>
      <c r="AF862" t="str">
        <f t="shared" si="247"/>
        <v>肥料*17</v>
      </c>
      <c r="AG862" t="str">
        <f t="shared" si="248"/>
        <v>劳工*3935</v>
      </c>
      <c r="AH862" t="str">
        <f t="shared" si="249"/>
        <v>工程师*197</v>
      </c>
      <c r="AI862" t="str">
        <f t="shared" si="250"/>
        <v/>
      </c>
      <c r="AJ862" t="str">
        <f t="shared" si="251"/>
        <v/>
      </c>
      <c r="AK862" t="str">
        <f t="shared" si="252"/>
        <v/>
      </c>
      <c r="AL862">
        <f>IFERROR(ROUND(L862*(G862/$AU862)/VLOOKUP(F862,商品!$A$4:$B$60,2,FALSE),0),"")</f>
        <v>17</v>
      </c>
      <c r="AM862">
        <f>IFERROR(ROUND(L862*(I862/$AU862)/VLOOKUP(H862,商品!$A$4:$B$60,2,FALSE),0),"")</f>
        <v>17</v>
      </c>
      <c r="AN862">
        <f>IFERROR(ROUND(L862*(J862/$AU862)/VLOOKUP("运力",商品!$A$4:$B$60,2,FALSE),0),0)</f>
        <v>34</v>
      </c>
      <c r="AO862">
        <f>IFERROR(ROUND(L862*(K862/$AU862)/VLOOKUP("交易",商品!$A$4:$B$60,2,FALSE),0),0)</f>
        <v>34</v>
      </c>
      <c r="AP862">
        <f>IFERROR(ROUND(S862*(N862/$AV862)/VLOOKUP(M862,职业!$A$4:$G$16,4,FALSE),0),"")</f>
        <v>3935</v>
      </c>
      <c r="AQ862">
        <f>IFERROR(ROUND(S862*(P862/$AV862)/VLOOKUP(O862,职业!$A$4:$G$16,4,FALSE),0),"")</f>
        <v>197</v>
      </c>
      <c r="AR862" t="str">
        <f>IFERROR(ROUND(S862*(R862/$AV862)/VLOOKUP(Q862,职业!$A$4:$G$16,4,FALSE),0),"")</f>
        <v/>
      </c>
      <c r="AS862" t="str">
        <f>IFERROR(ROUND(X862*(U862/$AW862)/VLOOKUP(T862,商品!$A$4:$B$60,2,FALSE),0),"")</f>
        <v/>
      </c>
      <c r="AT862" t="str">
        <f>IFERROR(ROUND(X862*(W862/$AW862)/VLOOKUP(V862,商品!$A$4:$B$60,2,FALSE),0),"")</f>
        <v/>
      </c>
      <c r="AU862">
        <f t="shared" si="253"/>
        <v>35</v>
      </c>
      <c r="AV862">
        <f t="shared" si="254"/>
        <v>115</v>
      </c>
      <c r="AW862">
        <f t="shared" si="255"/>
        <v>0</v>
      </c>
    </row>
    <row r="863" spans="1:49" ht="19.95" customHeight="1" x14ac:dyDescent="0.25">
      <c r="A863" s="15" t="s">
        <v>364</v>
      </c>
      <c r="C863" s="15">
        <v>1</v>
      </c>
      <c r="D863" s="23" t="s">
        <v>174</v>
      </c>
      <c r="E863" s="23" t="s">
        <v>175</v>
      </c>
      <c r="L863" s="16">
        <f>IFERROR(VLOOKUP($D863&amp;$C863,生产方式定位!$A$2:$E$38,2,FALSE)+VLOOKUP($E863&amp;$C863,生产方式定位!$F$3:$J$38,2,FALSE),0)</f>
        <v>0</v>
      </c>
      <c r="S863" s="16">
        <f>IFERROR(VLOOKUP($D863&amp;$C863,生产方式定位!$A$2:$E$38,3,FALSE)+VLOOKUP($E863&amp;$C863,生产方式定位!$F$3:$J$38,3,FALSE),0)</f>
        <v>0</v>
      </c>
      <c r="X863" s="16">
        <f>IFERROR(VLOOKUP($D863&amp;$C863,生产方式定位!$A$2:$E$38,5,FALSE)+VLOOKUP($E863&amp;$C863,生产方式定位!$F$3:$J$38,5,FALSE),"错误")</f>
        <v>0</v>
      </c>
      <c r="Y863" s="26" t="str">
        <f t="shared" si="240"/>
        <v/>
      </c>
      <c r="Z863" s="36" t="str">
        <f t="shared" si="241"/>
        <v/>
      </c>
      <c r="AA863" s="36" t="str">
        <f t="shared" si="242"/>
        <v/>
      </c>
      <c r="AB863" s="27" t="str">
        <f t="shared" si="243"/>
        <v/>
      </c>
      <c r="AC863" s="2" t="str">
        <f t="shared" si="244"/>
        <v/>
      </c>
      <c r="AD863" s="38">
        <f t="shared" si="245"/>
        <v>1</v>
      </c>
      <c r="AE863" t="str">
        <f t="shared" si="246"/>
        <v/>
      </c>
      <c r="AF863" t="str">
        <f t="shared" si="247"/>
        <v/>
      </c>
      <c r="AG863" t="str">
        <f t="shared" si="248"/>
        <v/>
      </c>
      <c r="AH863" t="str">
        <f t="shared" si="249"/>
        <v/>
      </c>
      <c r="AI863" t="str">
        <f t="shared" si="250"/>
        <v/>
      </c>
      <c r="AJ863" t="str">
        <f t="shared" si="251"/>
        <v/>
      </c>
      <c r="AK863" t="str">
        <f t="shared" si="252"/>
        <v/>
      </c>
      <c r="AL863" t="str">
        <f>IFERROR(ROUND(L863*(G863/$AU863)/VLOOKUP(F863,商品!$A$4:$B$60,2,FALSE),0),"")</f>
        <v/>
      </c>
      <c r="AM863" t="str">
        <f>IFERROR(ROUND(L863*(I863/$AU863)/VLOOKUP(H863,商品!$A$4:$B$60,2,FALSE),0),"")</f>
        <v/>
      </c>
      <c r="AN863">
        <f>IFERROR(ROUND(L863*(J863/$AU863)/VLOOKUP("运力",商品!$A$4:$B$60,2,FALSE),0),0)</f>
        <v>0</v>
      </c>
      <c r="AO863">
        <f>IFERROR(ROUND(L863*(K863/$AU863)/VLOOKUP("交易",商品!$A$4:$B$60,2,FALSE),0),0)</f>
        <v>0</v>
      </c>
      <c r="AP863" t="str">
        <f>IFERROR(ROUND(S863*(N863/$AV863)/VLOOKUP(M863,职业!$A$4:$G$16,4,FALSE),0),"")</f>
        <v/>
      </c>
      <c r="AQ863" t="str">
        <f>IFERROR(ROUND(S863*(P863/$AV863)/VLOOKUP(O863,职业!$A$4:$G$16,4,FALSE),0),"")</f>
        <v/>
      </c>
      <c r="AR863" t="str">
        <f>IFERROR(ROUND(S863*(R863/$AV863)/VLOOKUP(Q863,职业!$A$4:$G$16,4,FALSE),0),"")</f>
        <v/>
      </c>
      <c r="AS863" t="str">
        <f>IFERROR(ROUND(X863*(U863/$AW863)/VLOOKUP(T863,商品!$A$4:$B$60,2,FALSE),0),"")</f>
        <v/>
      </c>
      <c r="AT863" t="str">
        <f>IFERROR(ROUND(X863*(W863/$AW863)/VLOOKUP(V863,商品!$A$4:$B$60,2,FALSE),0),"")</f>
        <v/>
      </c>
      <c r="AU863">
        <f t="shared" si="253"/>
        <v>0</v>
      </c>
      <c r="AV863">
        <f t="shared" si="254"/>
        <v>0</v>
      </c>
      <c r="AW863">
        <f t="shared" si="255"/>
        <v>0</v>
      </c>
    </row>
    <row r="864" spans="1:49" ht="19.95" customHeight="1" x14ac:dyDescent="0.25">
      <c r="A864" s="15" t="s">
        <v>364</v>
      </c>
      <c r="C864" s="15">
        <v>2</v>
      </c>
      <c r="D864" s="23" t="s">
        <v>174</v>
      </c>
      <c r="E864" s="23" t="s">
        <v>175</v>
      </c>
      <c r="F864" s="2" t="s">
        <v>41</v>
      </c>
      <c r="G864" s="2">
        <v>10</v>
      </c>
      <c r="L864" s="16">
        <f>IFERROR(VLOOKUP($D864&amp;$C864,生产方式定位!$A$2:$E$38,2,FALSE)+VLOOKUP($E864&amp;$C864,生产方式定位!$F$3:$J$38,2,FALSE),0)</f>
        <v>50</v>
      </c>
      <c r="S864" s="16">
        <f>IFERROR(VLOOKUP($D864&amp;$C864,生产方式定位!$A$2:$E$38,3,FALSE)+VLOOKUP($E864&amp;$C864,生产方式定位!$F$3:$J$38,3,FALSE),0)</f>
        <v>10</v>
      </c>
      <c r="X864" s="16">
        <f>IFERROR(VLOOKUP($D864&amp;$C864,生产方式定位!$A$2:$E$38,5,FALSE)+VLOOKUP($E864&amp;$C864,生产方式定位!$F$3:$J$38,5,FALSE),"错误")</f>
        <v>0</v>
      </c>
      <c r="Y864" s="26" t="str">
        <f t="shared" si="240"/>
        <v>工具*1</v>
      </c>
      <c r="Z864" s="36" t="str">
        <f t="shared" si="241"/>
        <v/>
      </c>
      <c r="AA864" s="36" t="str">
        <f t="shared" si="242"/>
        <v/>
      </c>
      <c r="AB864" s="27" t="str">
        <f t="shared" si="243"/>
        <v>-100%</v>
      </c>
      <c r="AC864" s="2">
        <f t="shared" si="244"/>
        <v>-60</v>
      </c>
      <c r="AD864" s="38">
        <f t="shared" si="245"/>
        <v>2</v>
      </c>
      <c r="AE864" t="str">
        <f t="shared" si="246"/>
        <v>工具*1</v>
      </c>
      <c r="AF864" t="str">
        <f t="shared" si="247"/>
        <v/>
      </c>
      <c r="AG864" t="str">
        <f t="shared" si="248"/>
        <v/>
      </c>
      <c r="AH864" t="str">
        <f t="shared" si="249"/>
        <v/>
      </c>
      <c r="AI864" t="str">
        <f t="shared" si="250"/>
        <v/>
      </c>
      <c r="AJ864" t="str">
        <f t="shared" si="251"/>
        <v/>
      </c>
      <c r="AK864" t="str">
        <f t="shared" si="252"/>
        <v/>
      </c>
      <c r="AL864">
        <f>IFERROR(ROUND(L864*(G864/$AU864)/VLOOKUP(F864,商品!$A$4:$B$60,2,FALSE),0),"")</f>
        <v>1</v>
      </c>
      <c r="AM864" t="str">
        <f>IFERROR(ROUND(L864*(I864/$AU864)/VLOOKUP(H864,商品!$A$4:$B$60,2,FALSE),0),"")</f>
        <v/>
      </c>
      <c r="AN864">
        <f>IFERROR(ROUND(L864*(J864/$AU864)/VLOOKUP("运力",商品!$A$4:$B$60,2,FALSE),0),0)</f>
        <v>0</v>
      </c>
      <c r="AO864">
        <f>IFERROR(ROUND(L864*(K864/$AU864)/VLOOKUP("交易",商品!$A$4:$B$60,2,FALSE),0),0)</f>
        <v>0</v>
      </c>
      <c r="AP864" t="str">
        <f>IFERROR(ROUND(S864*(N864/$AV864)/VLOOKUP(M864,职业!$A$4:$G$16,4,FALSE),0),"")</f>
        <v/>
      </c>
      <c r="AQ864" t="str">
        <f>IFERROR(ROUND(S864*(P864/$AV864)/VLOOKUP(O864,职业!$A$4:$G$16,4,FALSE),0),"")</f>
        <v/>
      </c>
      <c r="AR864" t="str">
        <f>IFERROR(ROUND(S864*(R864/$AV864)/VLOOKUP(Q864,职业!$A$4:$G$16,4,FALSE),0),"")</f>
        <v/>
      </c>
      <c r="AS864" t="str">
        <f>IFERROR(ROUND(X864*(U864/$AW864)/VLOOKUP(T864,商品!$A$4:$B$60,2,FALSE),0),"")</f>
        <v/>
      </c>
      <c r="AT864" t="str">
        <f>IFERROR(ROUND(X864*(W864/$AW864)/VLOOKUP(V864,商品!$A$4:$B$60,2,FALSE),0),"")</f>
        <v/>
      </c>
      <c r="AU864">
        <f t="shared" si="253"/>
        <v>10</v>
      </c>
      <c r="AV864">
        <f t="shared" si="254"/>
        <v>0</v>
      </c>
      <c r="AW864">
        <f t="shared" si="255"/>
        <v>0</v>
      </c>
    </row>
    <row r="865" spans="1:49" ht="19.95" customHeight="1" x14ac:dyDescent="0.25">
      <c r="A865" s="15" t="s">
        <v>364</v>
      </c>
      <c r="C865" s="15">
        <v>3</v>
      </c>
      <c r="D865" s="23" t="s">
        <v>174</v>
      </c>
      <c r="E865" s="23" t="s">
        <v>175</v>
      </c>
      <c r="F865" s="2" t="s">
        <v>41</v>
      </c>
      <c r="G865" s="2">
        <v>10</v>
      </c>
      <c r="L865" s="16">
        <f>IFERROR(VLOOKUP($D865&amp;$C865,生产方式定位!$A$2:$E$38,2,FALSE)+VLOOKUP($E865&amp;$C865,生产方式定位!$F$3:$J$38,2,FALSE),0)</f>
        <v>100</v>
      </c>
      <c r="S865" s="16">
        <f>IFERROR(VLOOKUP($D865&amp;$C865,生产方式定位!$A$2:$E$38,3,FALSE)+VLOOKUP($E865&amp;$C865,生产方式定位!$F$3:$J$38,3,FALSE),0)</f>
        <v>20</v>
      </c>
      <c r="X865" s="16">
        <f>IFERROR(VLOOKUP($D865&amp;$C865,生产方式定位!$A$2:$E$38,5,FALSE)+VLOOKUP($E865&amp;$C865,生产方式定位!$F$3:$J$38,5,FALSE),"错误")</f>
        <v>0</v>
      </c>
      <c r="Y865" s="26" t="str">
        <f t="shared" si="240"/>
        <v>工具*3</v>
      </c>
      <c r="Z865" s="36" t="str">
        <f t="shared" si="241"/>
        <v/>
      </c>
      <c r="AA865" s="36" t="str">
        <f t="shared" si="242"/>
        <v/>
      </c>
      <c r="AB865" s="27" t="str">
        <f t="shared" si="243"/>
        <v>-100%</v>
      </c>
      <c r="AC865" s="2">
        <f t="shared" si="244"/>
        <v>-120</v>
      </c>
      <c r="AD865" s="38">
        <f t="shared" si="245"/>
        <v>3</v>
      </c>
      <c r="AE865" t="str">
        <f t="shared" si="246"/>
        <v>工具*3</v>
      </c>
      <c r="AF865" t="str">
        <f t="shared" si="247"/>
        <v/>
      </c>
      <c r="AG865" t="str">
        <f t="shared" si="248"/>
        <v/>
      </c>
      <c r="AH865" t="str">
        <f t="shared" si="249"/>
        <v/>
      </c>
      <c r="AI865" t="str">
        <f t="shared" si="250"/>
        <v/>
      </c>
      <c r="AJ865" t="str">
        <f t="shared" si="251"/>
        <v/>
      </c>
      <c r="AK865" t="str">
        <f t="shared" si="252"/>
        <v/>
      </c>
      <c r="AL865">
        <f>IFERROR(ROUND(L865*(G865/$AU865)/VLOOKUP(F865,商品!$A$4:$B$60,2,FALSE),0),"")</f>
        <v>3</v>
      </c>
      <c r="AM865" t="str">
        <f>IFERROR(ROUND(L865*(I865/$AU865)/VLOOKUP(H865,商品!$A$4:$B$60,2,FALSE),0),"")</f>
        <v/>
      </c>
      <c r="AN865">
        <f>IFERROR(ROUND(L865*(J865/$AU865)/VLOOKUP("运力",商品!$A$4:$B$60,2,FALSE),0),0)</f>
        <v>0</v>
      </c>
      <c r="AO865">
        <f>IFERROR(ROUND(L865*(K865/$AU865)/VLOOKUP("交易",商品!$A$4:$B$60,2,FALSE),0),0)</f>
        <v>0</v>
      </c>
      <c r="AP865" t="str">
        <f>IFERROR(ROUND(S865*(N865/$AV865)/VLOOKUP(M865,职业!$A$4:$G$16,4,FALSE),0),"")</f>
        <v/>
      </c>
      <c r="AQ865" t="str">
        <f>IFERROR(ROUND(S865*(P865/$AV865)/VLOOKUP(O865,职业!$A$4:$G$16,4,FALSE),0),"")</f>
        <v/>
      </c>
      <c r="AR865" t="str">
        <f>IFERROR(ROUND(S865*(R865/$AV865)/VLOOKUP(Q865,职业!$A$4:$G$16,4,FALSE),0),"")</f>
        <v/>
      </c>
      <c r="AS865" t="str">
        <f>IFERROR(ROUND(X865*(U865/$AW865)/VLOOKUP(T865,商品!$A$4:$B$60,2,FALSE),0),"")</f>
        <v/>
      </c>
      <c r="AT865" t="str">
        <f>IFERROR(ROUND(X865*(W865/$AW865)/VLOOKUP(V865,商品!$A$4:$B$60,2,FALSE),0),"")</f>
        <v/>
      </c>
      <c r="AU865">
        <f t="shared" si="253"/>
        <v>10</v>
      </c>
      <c r="AV865">
        <f t="shared" si="254"/>
        <v>0</v>
      </c>
      <c r="AW865">
        <f t="shared" si="255"/>
        <v>0</v>
      </c>
    </row>
    <row r="866" spans="1:49" ht="19.95" customHeight="1" x14ac:dyDescent="0.25">
      <c r="A866" s="15" t="s">
        <v>364</v>
      </c>
      <c r="C866" s="15">
        <v>4</v>
      </c>
      <c r="D866" s="23" t="s">
        <v>174</v>
      </c>
      <c r="E866" s="23" t="s">
        <v>175</v>
      </c>
      <c r="F866" s="2" t="s">
        <v>45</v>
      </c>
      <c r="G866" s="2">
        <v>5</v>
      </c>
      <c r="H866" s="2" t="s">
        <v>19</v>
      </c>
      <c r="I866" s="2">
        <v>10</v>
      </c>
      <c r="L866" s="16">
        <f>IFERROR(VLOOKUP($D866&amp;$C866,生产方式定位!$A$2:$E$38,2,FALSE)+VLOOKUP($E866&amp;$C866,生产方式定位!$F$3:$J$38,2,FALSE),0)</f>
        <v>150</v>
      </c>
      <c r="S866" s="16">
        <f>IFERROR(VLOOKUP($D866&amp;$C866,生产方式定位!$A$2:$E$38,3,FALSE)+VLOOKUP($E866&amp;$C866,生产方式定位!$F$3:$J$38,3,FALSE),0)</f>
        <v>30</v>
      </c>
      <c r="X866" s="16">
        <f>IFERROR(VLOOKUP($D866&amp;$C866,生产方式定位!$A$2:$E$38,5,FALSE)+VLOOKUP($E866&amp;$C866,生产方式定位!$F$3:$J$38,5,FALSE),"错误")</f>
        <v>0</v>
      </c>
      <c r="Y866" s="26" t="str">
        <f t="shared" si="240"/>
        <v>科学引擎*1,煤*3</v>
      </c>
      <c r="Z866" s="36" t="str">
        <f t="shared" si="241"/>
        <v/>
      </c>
      <c r="AA866" s="36" t="str">
        <f t="shared" si="242"/>
        <v/>
      </c>
      <c r="AB866" s="27" t="str">
        <f t="shared" si="243"/>
        <v>-100%</v>
      </c>
      <c r="AC866" s="2">
        <f t="shared" si="244"/>
        <v>-180</v>
      </c>
      <c r="AD866" s="38">
        <f t="shared" si="245"/>
        <v>4</v>
      </c>
      <c r="AE866" t="str">
        <f t="shared" si="246"/>
        <v>科学引擎*1</v>
      </c>
      <c r="AF866" t="str">
        <f t="shared" si="247"/>
        <v>煤*3</v>
      </c>
      <c r="AG866" t="str">
        <f t="shared" si="248"/>
        <v/>
      </c>
      <c r="AH866" t="str">
        <f t="shared" si="249"/>
        <v/>
      </c>
      <c r="AI866" t="str">
        <f t="shared" si="250"/>
        <v/>
      </c>
      <c r="AJ866" t="str">
        <f t="shared" si="251"/>
        <v/>
      </c>
      <c r="AK866" t="str">
        <f t="shared" si="252"/>
        <v/>
      </c>
      <c r="AL866">
        <f>IFERROR(ROUND(L866*(G866/$AU866)/VLOOKUP(F866,商品!$A$4:$B$60,2,FALSE),0),"")</f>
        <v>1</v>
      </c>
      <c r="AM866">
        <f>IFERROR(ROUND(L866*(I866/$AU866)/VLOOKUP(H866,商品!$A$4:$B$60,2,FALSE),0),"")</f>
        <v>3</v>
      </c>
      <c r="AN866">
        <f>IFERROR(ROUND(L866*(J866/$AU866)/VLOOKUP("运力",商品!$A$4:$B$60,2,FALSE),0),0)</f>
        <v>0</v>
      </c>
      <c r="AO866">
        <f>IFERROR(ROUND(L866*(K866/$AU866)/VLOOKUP("交易",商品!$A$4:$B$60,2,FALSE),0),0)</f>
        <v>0</v>
      </c>
      <c r="AP866" t="str">
        <f>IFERROR(ROUND(S866*(N866/$AV866)/VLOOKUP(M866,职业!$A$4:$G$16,4,FALSE),0),"")</f>
        <v/>
      </c>
      <c r="AQ866" t="str">
        <f>IFERROR(ROUND(S866*(P866/$AV866)/VLOOKUP(O866,职业!$A$4:$G$16,4,FALSE),0),"")</f>
        <v/>
      </c>
      <c r="AR866" t="str">
        <f>IFERROR(ROUND(S866*(R866/$AV866)/VLOOKUP(Q866,职业!$A$4:$G$16,4,FALSE),0),"")</f>
        <v/>
      </c>
      <c r="AS866" t="str">
        <f>IFERROR(ROUND(X866*(U866/$AW866)/VLOOKUP(T866,商品!$A$4:$B$60,2,FALSE),0),"")</f>
        <v/>
      </c>
      <c r="AT866" t="str">
        <f>IFERROR(ROUND(X866*(W866/$AW866)/VLOOKUP(V866,商品!$A$4:$B$60,2,FALSE),0),"")</f>
        <v/>
      </c>
      <c r="AU866">
        <f t="shared" si="253"/>
        <v>15</v>
      </c>
      <c r="AV866">
        <f t="shared" si="254"/>
        <v>0</v>
      </c>
      <c r="AW866">
        <f t="shared" si="255"/>
        <v>0</v>
      </c>
    </row>
    <row r="867" spans="1:49" ht="19.95" customHeight="1" x14ac:dyDescent="0.25">
      <c r="A867" s="15" t="s">
        <v>364</v>
      </c>
      <c r="C867" s="15">
        <v>5</v>
      </c>
      <c r="D867" s="23" t="s">
        <v>174</v>
      </c>
      <c r="E867" s="23" t="s">
        <v>175</v>
      </c>
      <c r="F867" s="2" t="s">
        <v>46</v>
      </c>
      <c r="G867" s="2">
        <v>5</v>
      </c>
      <c r="H867" s="2" t="s">
        <v>19</v>
      </c>
      <c r="I867" s="2">
        <v>10</v>
      </c>
      <c r="L867" s="16">
        <f>IFERROR(VLOOKUP($D867&amp;$C867,生产方式定位!$A$2:$E$38,2,FALSE)+VLOOKUP($E867&amp;$C867,生产方式定位!$F$3:$J$38,2,FALSE),0)</f>
        <v>200</v>
      </c>
      <c r="S867" s="16">
        <f>IFERROR(VLOOKUP($D867&amp;$C867,生产方式定位!$A$2:$E$38,3,FALSE)+VLOOKUP($E867&amp;$C867,生产方式定位!$F$3:$J$38,3,FALSE),0)</f>
        <v>40</v>
      </c>
      <c r="X867" s="16">
        <f>IFERROR(VLOOKUP($D867&amp;$C867,生产方式定位!$A$2:$E$38,5,FALSE)+VLOOKUP($E867&amp;$C867,生产方式定位!$F$3:$J$38,5,FALSE),"错误")</f>
        <v>0</v>
      </c>
      <c r="Y867" s="26" t="str">
        <f t="shared" si="240"/>
        <v>魔导引擎*1,煤*4</v>
      </c>
      <c r="Z867" s="36" t="str">
        <f t="shared" si="241"/>
        <v/>
      </c>
      <c r="AA867" s="36" t="str">
        <f t="shared" si="242"/>
        <v/>
      </c>
      <c r="AB867" s="27" t="str">
        <f t="shared" si="243"/>
        <v>-100%</v>
      </c>
      <c r="AC867" s="2">
        <f t="shared" si="244"/>
        <v>-240</v>
      </c>
      <c r="AD867" s="38">
        <f t="shared" si="245"/>
        <v>5</v>
      </c>
      <c r="AE867" t="str">
        <f t="shared" si="246"/>
        <v>魔导引擎*1</v>
      </c>
      <c r="AF867" t="str">
        <f t="shared" si="247"/>
        <v>煤*4</v>
      </c>
      <c r="AG867" t="str">
        <f t="shared" si="248"/>
        <v/>
      </c>
      <c r="AH867" t="str">
        <f t="shared" si="249"/>
        <v/>
      </c>
      <c r="AI867" t="str">
        <f t="shared" si="250"/>
        <v/>
      </c>
      <c r="AJ867" t="str">
        <f t="shared" si="251"/>
        <v/>
      </c>
      <c r="AK867" t="str">
        <f t="shared" si="252"/>
        <v/>
      </c>
      <c r="AL867">
        <f>IFERROR(ROUND(L867*(G867/$AU867)/VLOOKUP(F867,商品!$A$4:$B$60,2,FALSE),0),"")</f>
        <v>1</v>
      </c>
      <c r="AM867">
        <f>IFERROR(ROUND(L867*(I867/$AU867)/VLOOKUP(H867,商品!$A$4:$B$60,2,FALSE),0),"")</f>
        <v>4</v>
      </c>
      <c r="AN867">
        <f>IFERROR(ROUND(L867*(J867/$AU867)/VLOOKUP("运力",商品!$A$4:$B$60,2,FALSE),0),0)</f>
        <v>0</v>
      </c>
      <c r="AO867">
        <f>IFERROR(ROUND(L867*(K867/$AU867)/VLOOKUP("交易",商品!$A$4:$B$60,2,FALSE),0),0)</f>
        <v>0</v>
      </c>
      <c r="AP867" t="str">
        <f>IFERROR(ROUND(S867*(N867/$AV867)/VLOOKUP(M867,职业!$A$4:$G$16,4,FALSE),0),"")</f>
        <v/>
      </c>
      <c r="AQ867" t="str">
        <f>IFERROR(ROUND(S867*(P867/$AV867)/VLOOKUP(O867,职业!$A$4:$G$16,4,FALSE),0),"")</f>
        <v/>
      </c>
      <c r="AR867" t="str">
        <f>IFERROR(ROUND(S867*(R867/$AV867)/VLOOKUP(Q867,职业!$A$4:$G$16,4,FALSE),0),"")</f>
        <v/>
      </c>
      <c r="AS867" t="str">
        <f>IFERROR(ROUND(X867*(U867/$AW867)/VLOOKUP(T867,商品!$A$4:$B$60,2,FALSE),0),"")</f>
        <v/>
      </c>
      <c r="AT867" t="str">
        <f>IFERROR(ROUND(X867*(W867/$AW867)/VLOOKUP(V867,商品!$A$4:$B$60,2,FALSE),0),"")</f>
        <v/>
      </c>
      <c r="AU867">
        <f t="shared" si="253"/>
        <v>15</v>
      </c>
      <c r="AV867">
        <f t="shared" si="254"/>
        <v>0</v>
      </c>
      <c r="AW867">
        <f t="shared" si="255"/>
        <v>0</v>
      </c>
    </row>
    <row r="868" spans="1:49" ht="19.95" customHeight="1" x14ac:dyDescent="0.25">
      <c r="A868" s="16" t="s">
        <v>365</v>
      </c>
      <c r="C868" s="16">
        <v>1</v>
      </c>
      <c r="D868" s="23" t="s">
        <v>171</v>
      </c>
      <c r="E868" s="23" t="s">
        <v>177</v>
      </c>
      <c r="L868" s="15">
        <f>IFERROR(VLOOKUP($D868&amp;$C868,生产方式定位!$A$2:$E$38,2,FALSE)+VLOOKUP($E868&amp;$C868,生产方式定位!$F$3:$J$38,2,FALSE),0)</f>
        <v>300</v>
      </c>
      <c r="S868" s="15">
        <f>IFERROR(VLOOKUP($D868&amp;$C868,生产方式定位!$A$2:$E$38,3,FALSE)+VLOOKUP($E868&amp;$C868,生产方式定位!$F$3:$J$38,3,FALSE),0)</f>
        <v>100</v>
      </c>
      <c r="X868" s="15">
        <f>IFERROR(VLOOKUP($D868&amp;$C868,生产方式定位!$A$2:$E$38,5,FALSE)+VLOOKUP($E868&amp;$C868,生产方式定位!$F$3:$J$38,5,FALSE),"错误")</f>
        <v>520</v>
      </c>
      <c r="Y868" s="26" t="str">
        <f t="shared" si="240"/>
        <v/>
      </c>
      <c r="Z868" s="36" t="str">
        <f t="shared" si="241"/>
        <v/>
      </c>
      <c r="AA868" s="36" t="str">
        <f t="shared" si="242"/>
        <v/>
      </c>
      <c r="AB868" s="27" t="str">
        <f t="shared" si="243"/>
        <v>73%</v>
      </c>
      <c r="AC868" s="2">
        <f t="shared" si="244"/>
        <v>120</v>
      </c>
      <c r="AD868" s="37">
        <f t="shared" si="245"/>
        <v>1</v>
      </c>
      <c r="AE868" t="str">
        <f t="shared" si="246"/>
        <v/>
      </c>
      <c r="AF868" t="str">
        <f t="shared" si="247"/>
        <v/>
      </c>
      <c r="AG868" t="str">
        <f t="shared" si="248"/>
        <v/>
      </c>
      <c r="AH868" t="str">
        <f t="shared" si="249"/>
        <v/>
      </c>
      <c r="AI868" t="str">
        <f t="shared" si="250"/>
        <v/>
      </c>
      <c r="AJ868" t="str">
        <f t="shared" si="251"/>
        <v/>
      </c>
      <c r="AK868" t="str">
        <f t="shared" si="252"/>
        <v/>
      </c>
      <c r="AL868" t="str">
        <f>IFERROR(ROUND(L868*(G868/$AU868)/VLOOKUP(F868,商品!$A$4:$B$60,2,FALSE),0),"")</f>
        <v/>
      </c>
      <c r="AM868" t="str">
        <f>IFERROR(ROUND(L868*(I868/$AU868)/VLOOKUP(H868,商品!$A$4:$B$60,2,FALSE),0),"")</f>
        <v/>
      </c>
      <c r="AN868">
        <f>IFERROR(ROUND(L868*(J868/$AU868)/VLOOKUP("运力",商品!$A$4:$B$60,2,FALSE),0),0)</f>
        <v>0</v>
      </c>
      <c r="AO868">
        <f>IFERROR(ROUND(L868*(K868/$AU868)/VLOOKUP("交易",商品!$A$4:$B$60,2,FALSE),0),0)</f>
        <v>0</v>
      </c>
      <c r="AP868" t="str">
        <f>IFERROR(ROUND(S868*(N868/$AV868)/VLOOKUP(M868,职业!$A$4:$G$16,4,FALSE),0),"")</f>
        <v/>
      </c>
      <c r="AQ868" t="str">
        <f>IFERROR(ROUND(S868*(P868/$AV868)/VLOOKUP(O868,职业!$A$4:$G$16,4,FALSE),0),"")</f>
        <v/>
      </c>
      <c r="AR868" t="str">
        <f>IFERROR(ROUND(S868*(R868/$AV868)/VLOOKUP(Q868,职业!$A$4:$G$16,4,FALSE),0),"")</f>
        <v/>
      </c>
      <c r="AS868" t="str">
        <f>IFERROR(ROUND(X868*(U868/$AW868)/VLOOKUP(T868,商品!$A$4:$B$60,2,FALSE),0),"")</f>
        <v/>
      </c>
      <c r="AT868" t="str">
        <f>IFERROR(ROUND(X868*(W868/$AW868)/VLOOKUP(V868,商品!$A$4:$B$60,2,FALSE),0),"")</f>
        <v/>
      </c>
      <c r="AU868">
        <f t="shared" si="253"/>
        <v>0</v>
      </c>
      <c r="AV868">
        <f t="shared" si="254"/>
        <v>0</v>
      </c>
      <c r="AW868">
        <f t="shared" si="255"/>
        <v>0</v>
      </c>
    </row>
    <row r="869" spans="1:49" ht="19.95" customHeight="1" x14ac:dyDescent="0.25">
      <c r="A869" s="16" t="s">
        <v>365</v>
      </c>
      <c r="C869" s="16">
        <v>2</v>
      </c>
      <c r="D869" s="23" t="s">
        <v>171</v>
      </c>
      <c r="E869" s="23" t="s">
        <v>177</v>
      </c>
      <c r="F869" s="2" t="s">
        <v>42</v>
      </c>
      <c r="G869" s="2">
        <v>5</v>
      </c>
      <c r="H869" s="2" t="s">
        <v>20</v>
      </c>
      <c r="I869" s="2">
        <v>10</v>
      </c>
      <c r="L869" s="15">
        <f>IFERROR(VLOOKUP($D869&amp;$C869,生产方式定位!$A$2:$E$38,2,FALSE)+VLOOKUP($E869&amp;$C869,生产方式定位!$F$3:$J$38,2,FALSE),0)</f>
        <v>705</v>
      </c>
      <c r="S869" s="15">
        <f>IFERROR(VLOOKUP($D869&amp;$C869,生产方式定位!$A$2:$E$38,3,FALSE)+VLOOKUP($E869&amp;$C869,生产方式定位!$F$3:$J$38,3,FALSE),0)</f>
        <v>115</v>
      </c>
      <c r="X869" s="15">
        <f>IFERROR(VLOOKUP($D869&amp;$C869,生产方式定位!$A$2:$E$38,5,FALSE)+VLOOKUP($E869&amp;$C869,生产方式定位!$F$3:$J$38,5,FALSE),"错误")</f>
        <v>910</v>
      </c>
      <c r="Y869" s="26" t="str">
        <f t="shared" si="240"/>
        <v>魔偶*6,灵能水晶*16</v>
      </c>
      <c r="Z869" s="36" t="str">
        <f t="shared" si="241"/>
        <v/>
      </c>
      <c r="AA869" s="36" t="str">
        <f t="shared" si="242"/>
        <v/>
      </c>
      <c r="AB869" s="27" t="str">
        <f t="shared" si="243"/>
        <v>29%</v>
      </c>
      <c r="AC869" s="2">
        <f t="shared" si="244"/>
        <v>90</v>
      </c>
      <c r="AD869" s="37">
        <f t="shared" si="245"/>
        <v>2</v>
      </c>
      <c r="AE869" t="str">
        <f t="shared" si="246"/>
        <v>魔偶*6</v>
      </c>
      <c r="AF869" t="str">
        <f t="shared" si="247"/>
        <v>灵能水晶*16</v>
      </c>
      <c r="AG869" t="str">
        <f t="shared" si="248"/>
        <v/>
      </c>
      <c r="AH869" t="str">
        <f t="shared" si="249"/>
        <v/>
      </c>
      <c r="AI869" t="str">
        <f t="shared" si="250"/>
        <v/>
      </c>
      <c r="AJ869" t="str">
        <f t="shared" si="251"/>
        <v/>
      </c>
      <c r="AK869" t="str">
        <f t="shared" si="252"/>
        <v/>
      </c>
      <c r="AL869">
        <f>IFERROR(ROUND(L869*(G869/$AU869)/VLOOKUP(F869,商品!$A$4:$B$60,2,FALSE),0),"")</f>
        <v>6</v>
      </c>
      <c r="AM869">
        <f>IFERROR(ROUND(L869*(I869/$AU869)/VLOOKUP(H869,商品!$A$4:$B$60,2,FALSE),0),"")</f>
        <v>16</v>
      </c>
      <c r="AN869">
        <f>IFERROR(ROUND(L869*(J869/$AU869)/VLOOKUP("运力",商品!$A$4:$B$60,2,FALSE),0),0)</f>
        <v>0</v>
      </c>
      <c r="AO869">
        <f>IFERROR(ROUND(L869*(K869/$AU869)/VLOOKUP("交易",商品!$A$4:$B$60,2,FALSE),0),0)</f>
        <v>0</v>
      </c>
      <c r="AP869" t="str">
        <f>IFERROR(ROUND(S869*(N869/$AV869)/VLOOKUP(M869,职业!$A$4:$G$16,4,FALSE),0),"")</f>
        <v/>
      </c>
      <c r="AQ869" t="str">
        <f>IFERROR(ROUND(S869*(P869/$AV869)/VLOOKUP(O869,职业!$A$4:$G$16,4,FALSE),0),"")</f>
        <v/>
      </c>
      <c r="AR869" t="str">
        <f>IFERROR(ROUND(S869*(R869/$AV869)/VLOOKUP(Q869,职业!$A$4:$G$16,4,FALSE),0),"")</f>
        <v/>
      </c>
      <c r="AS869" t="str">
        <f>IFERROR(ROUND(X869*(U869/$AW869)/VLOOKUP(T869,商品!$A$4:$B$60,2,FALSE),0),"")</f>
        <v/>
      </c>
      <c r="AT869" t="str">
        <f>IFERROR(ROUND(X869*(W869/$AW869)/VLOOKUP(V869,商品!$A$4:$B$60,2,FALSE),0),"")</f>
        <v/>
      </c>
      <c r="AU869">
        <f t="shared" si="253"/>
        <v>15</v>
      </c>
      <c r="AV869">
        <f t="shared" si="254"/>
        <v>0</v>
      </c>
      <c r="AW869">
        <f t="shared" si="255"/>
        <v>0</v>
      </c>
    </row>
    <row r="870" spans="1:49" ht="19.95" customHeight="1" x14ac:dyDescent="0.25">
      <c r="A870" s="16" t="s">
        <v>365</v>
      </c>
      <c r="C870" s="16">
        <v>3</v>
      </c>
      <c r="D870" s="23" t="s">
        <v>171</v>
      </c>
      <c r="E870" s="23" t="s">
        <v>177</v>
      </c>
      <c r="F870" s="2" t="s">
        <v>42</v>
      </c>
      <c r="G870" s="2">
        <v>5</v>
      </c>
      <c r="H870" s="2" t="s">
        <v>20</v>
      </c>
      <c r="I870" s="2">
        <v>10</v>
      </c>
      <c r="L870" s="15">
        <f>IFERROR(VLOOKUP($D870&amp;$C870,生产方式定位!$A$2:$E$38,2,FALSE)+VLOOKUP($E870&amp;$C870,生产方式定位!$F$3:$J$38,2,FALSE),0)</f>
        <v>1110</v>
      </c>
      <c r="S870" s="15">
        <f>IFERROR(VLOOKUP($D870&amp;$C870,生产方式定位!$A$2:$E$38,3,FALSE)+VLOOKUP($E870&amp;$C870,生产方式定位!$F$3:$J$38,3,FALSE),0)</f>
        <v>130</v>
      </c>
      <c r="X870" s="15">
        <f>IFERROR(VLOOKUP($D870&amp;$C870,生产方式定位!$A$2:$E$38,5,FALSE)+VLOOKUP($E870&amp;$C870,生产方式定位!$F$3:$J$38,5,FALSE),"错误")</f>
        <v>1300</v>
      </c>
      <c r="Y870" s="26" t="str">
        <f t="shared" si="240"/>
        <v>魔偶*9,灵能水晶*25</v>
      </c>
      <c r="Z870" s="36" t="str">
        <f t="shared" si="241"/>
        <v/>
      </c>
      <c r="AA870" s="36" t="str">
        <f t="shared" si="242"/>
        <v/>
      </c>
      <c r="AB870" s="27" t="str">
        <f t="shared" si="243"/>
        <v>17%</v>
      </c>
      <c r="AC870" s="2">
        <f t="shared" si="244"/>
        <v>60</v>
      </c>
      <c r="AD870" s="37">
        <f t="shared" si="245"/>
        <v>3</v>
      </c>
      <c r="AE870" t="str">
        <f t="shared" si="246"/>
        <v>魔偶*9</v>
      </c>
      <c r="AF870" t="str">
        <f t="shared" si="247"/>
        <v>灵能水晶*25</v>
      </c>
      <c r="AG870" t="str">
        <f t="shared" si="248"/>
        <v/>
      </c>
      <c r="AH870" t="str">
        <f t="shared" si="249"/>
        <v/>
      </c>
      <c r="AI870" t="str">
        <f t="shared" si="250"/>
        <v/>
      </c>
      <c r="AJ870" t="str">
        <f t="shared" si="251"/>
        <v/>
      </c>
      <c r="AK870" t="str">
        <f t="shared" si="252"/>
        <v/>
      </c>
      <c r="AL870">
        <f>IFERROR(ROUND(L870*(G870/$AU870)/VLOOKUP(F870,商品!$A$4:$B$60,2,FALSE),0),"")</f>
        <v>9</v>
      </c>
      <c r="AM870">
        <f>IFERROR(ROUND(L870*(I870/$AU870)/VLOOKUP(H870,商品!$A$4:$B$60,2,FALSE),0),"")</f>
        <v>25</v>
      </c>
      <c r="AN870">
        <f>IFERROR(ROUND(L870*(J870/$AU870)/VLOOKUP("运力",商品!$A$4:$B$60,2,FALSE),0),0)</f>
        <v>0</v>
      </c>
      <c r="AO870">
        <f>IFERROR(ROUND(L870*(K870/$AU870)/VLOOKUP("交易",商品!$A$4:$B$60,2,FALSE),0),0)</f>
        <v>0</v>
      </c>
      <c r="AP870" t="str">
        <f>IFERROR(ROUND(S870*(N870/$AV870)/VLOOKUP(M870,职业!$A$4:$G$16,4,FALSE),0),"")</f>
        <v/>
      </c>
      <c r="AQ870" t="str">
        <f>IFERROR(ROUND(S870*(P870/$AV870)/VLOOKUP(O870,职业!$A$4:$G$16,4,FALSE),0),"")</f>
        <v/>
      </c>
      <c r="AR870" t="str">
        <f>IFERROR(ROUND(S870*(R870/$AV870)/VLOOKUP(Q870,职业!$A$4:$G$16,4,FALSE),0),"")</f>
        <v/>
      </c>
      <c r="AS870" t="str">
        <f>IFERROR(ROUND(X870*(U870/$AW870)/VLOOKUP(T870,商品!$A$4:$B$60,2,FALSE),0),"")</f>
        <v/>
      </c>
      <c r="AT870" t="str">
        <f>IFERROR(ROUND(X870*(W870/$AW870)/VLOOKUP(V870,商品!$A$4:$B$60,2,FALSE),0),"")</f>
        <v/>
      </c>
      <c r="AU870">
        <f t="shared" si="253"/>
        <v>15</v>
      </c>
      <c r="AV870">
        <f t="shared" si="254"/>
        <v>0</v>
      </c>
      <c r="AW870">
        <f t="shared" si="255"/>
        <v>0</v>
      </c>
    </row>
    <row r="871" spans="1:49" ht="19.95" customHeight="1" x14ac:dyDescent="0.25">
      <c r="A871" s="16" t="s">
        <v>365</v>
      </c>
      <c r="C871" s="16">
        <v>4</v>
      </c>
      <c r="D871" s="23" t="s">
        <v>171</v>
      </c>
      <c r="E871" s="23" t="s">
        <v>177</v>
      </c>
      <c r="F871" s="2" t="s">
        <v>42</v>
      </c>
      <c r="G871" s="2">
        <v>5</v>
      </c>
      <c r="H871" s="2" t="s">
        <v>20</v>
      </c>
      <c r="I871" s="2">
        <v>10</v>
      </c>
      <c r="L871" s="15">
        <f>IFERROR(VLOOKUP($D871&amp;$C871,生产方式定位!$A$2:$E$38,2,FALSE)+VLOOKUP($E871&amp;$C871,生产方式定位!$F$3:$J$38,2,FALSE),0)</f>
        <v>1515</v>
      </c>
      <c r="S871" s="15">
        <f>IFERROR(VLOOKUP($D871&amp;$C871,生产方式定位!$A$2:$E$38,3,FALSE)+VLOOKUP($E871&amp;$C871,生产方式定位!$F$3:$J$38,3,FALSE),0)</f>
        <v>145</v>
      </c>
      <c r="X871" s="15">
        <f>IFERROR(VLOOKUP($D871&amp;$C871,生产方式定位!$A$2:$E$38,5,FALSE)+VLOOKUP($E871&amp;$C871,生产方式定位!$F$3:$J$38,5,FALSE),"错误")</f>
        <v>1690</v>
      </c>
      <c r="Y871" s="26" t="str">
        <f t="shared" si="240"/>
        <v>魔偶*13,灵能水晶*34</v>
      </c>
      <c r="Z871" s="36" t="str">
        <f t="shared" si="241"/>
        <v/>
      </c>
      <c r="AA871" s="36" t="str">
        <f t="shared" si="242"/>
        <v/>
      </c>
      <c r="AB871" s="27" t="str">
        <f t="shared" si="243"/>
        <v>12%</v>
      </c>
      <c r="AC871" s="2">
        <f t="shared" si="244"/>
        <v>30</v>
      </c>
      <c r="AD871" s="37">
        <f t="shared" si="245"/>
        <v>4</v>
      </c>
      <c r="AE871" t="str">
        <f t="shared" si="246"/>
        <v>魔偶*13</v>
      </c>
      <c r="AF871" t="str">
        <f t="shared" si="247"/>
        <v>灵能水晶*34</v>
      </c>
      <c r="AG871" t="str">
        <f t="shared" si="248"/>
        <v/>
      </c>
      <c r="AH871" t="str">
        <f t="shared" si="249"/>
        <v/>
      </c>
      <c r="AI871" t="str">
        <f t="shared" si="250"/>
        <v/>
      </c>
      <c r="AJ871" t="str">
        <f t="shared" si="251"/>
        <v/>
      </c>
      <c r="AK871" t="str">
        <f t="shared" si="252"/>
        <v/>
      </c>
      <c r="AL871">
        <f>IFERROR(ROUND(L871*(G871/$AU871)/VLOOKUP(F871,商品!$A$4:$B$60,2,FALSE),0),"")</f>
        <v>13</v>
      </c>
      <c r="AM871">
        <f>IFERROR(ROUND(L871*(I871/$AU871)/VLOOKUP(H871,商品!$A$4:$B$60,2,FALSE),0),"")</f>
        <v>34</v>
      </c>
      <c r="AN871">
        <f>IFERROR(ROUND(L871*(J871/$AU871)/VLOOKUP("运力",商品!$A$4:$B$60,2,FALSE),0),0)</f>
        <v>0</v>
      </c>
      <c r="AO871">
        <f>IFERROR(ROUND(L871*(K871/$AU871)/VLOOKUP("交易",商品!$A$4:$B$60,2,FALSE),0),0)</f>
        <v>0</v>
      </c>
      <c r="AP871" t="str">
        <f>IFERROR(ROUND(S871*(N871/$AV871)/VLOOKUP(M871,职业!$A$4:$G$16,4,FALSE),0),"")</f>
        <v/>
      </c>
      <c r="AQ871" t="str">
        <f>IFERROR(ROUND(S871*(P871/$AV871)/VLOOKUP(O871,职业!$A$4:$G$16,4,FALSE),0),"")</f>
        <v/>
      </c>
      <c r="AR871" t="str">
        <f>IFERROR(ROUND(S871*(R871/$AV871)/VLOOKUP(Q871,职业!$A$4:$G$16,4,FALSE),0),"")</f>
        <v/>
      </c>
      <c r="AS871" t="str">
        <f>IFERROR(ROUND(X871*(U871/$AW871)/VLOOKUP(T871,商品!$A$4:$B$60,2,FALSE),0),"")</f>
        <v/>
      </c>
      <c r="AT871" t="str">
        <f>IFERROR(ROUND(X871*(W871/$AW871)/VLOOKUP(V871,商品!$A$4:$B$60,2,FALSE),0),"")</f>
        <v/>
      </c>
      <c r="AU871">
        <f t="shared" si="253"/>
        <v>15</v>
      </c>
      <c r="AV871">
        <f t="shared" si="254"/>
        <v>0</v>
      </c>
      <c r="AW871">
        <f t="shared" si="255"/>
        <v>0</v>
      </c>
    </row>
    <row r="872" spans="1:49" ht="19.95" customHeight="1" x14ac:dyDescent="0.25">
      <c r="A872" s="16" t="s">
        <v>365</v>
      </c>
      <c r="C872" s="16">
        <v>5</v>
      </c>
      <c r="D872" s="23" t="s">
        <v>171</v>
      </c>
      <c r="E872" s="23" t="s">
        <v>177</v>
      </c>
      <c r="F872" s="2" t="s">
        <v>42</v>
      </c>
      <c r="G872" s="2">
        <v>5</v>
      </c>
      <c r="H872" s="2" t="s">
        <v>20</v>
      </c>
      <c r="I872" s="2">
        <v>10</v>
      </c>
      <c r="L872" s="15">
        <f>IFERROR(VLOOKUP($D872&amp;$C872,生产方式定位!$A$2:$E$38,2,FALSE)+VLOOKUP($E872&amp;$C872,生产方式定位!$F$3:$J$38,2,FALSE),0)</f>
        <v>1920</v>
      </c>
      <c r="S872" s="15">
        <f>IFERROR(VLOOKUP($D872&amp;$C872,生产方式定位!$A$2:$E$38,3,FALSE)+VLOOKUP($E872&amp;$C872,生产方式定位!$F$3:$J$38,3,FALSE),0)</f>
        <v>160</v>
      </c>
      <c r="X872" s="15">
        <f>IFERROR(VLOOKUP($D872&amp;$C872,生产方式定位!$A$2:$E$38,5,FALSE)+VLOOKUP($E872&amp;$C872,生产方式定位!$F$3:$J$38,5,FALSE),"错误")</f>
        <v>2080</v>
      </c>
      <c r="Y872" s="26" t="str">
        <f t="shared" si="240"/>
        <v>魔偶*16,灵能水晶*43</v>
      </c>
      <c r="Z872" s="36" t="str">
        <f t="shared" si="241"/>
        <v/>
      </c>
      <c r="AA872" s="36" t="str">
        <f t="shared" si="242"/>
        <v/>
      </c>
      <c r="AB872" s="27" t="str">
        <f t="shared" si="243"/>
        <v>8%</v>
      </c>
      <c r="AC872" s="2" t="str">
        <f t="shared" si="244"/>
        <v/>
      </c>
      <c r="AD872" s="37">
        <f t="shared" si="245"/>
        <v>5</v>
      </c>
      <c r="AE872" t="str">
        <f t="shared" si="246"/>
        <v>魔偶*16</v>
      </c>
      <c r="AF872" t="str">
        <f t="shared" si="247"/>
        <v>灵能水晶*43</v>
      </c>
      <c r="AG872" t="str">
        <f t="shared" si="248"/>
        <v/>
      </c>
      <c r="AH872" t="str">
        <f t="shared" si="249"/>
        <v/>
      </c>
      <c r="AI872" t="str">
        <f t="shared" si="250"/>
        <v/>
      </c>
      <c r="AJ872" t="str">
        <f t="shared" si="251"/>
        <v/>
      </c>
      <c r="AK872" t="str">
        <f t="shared" si="252"/>
        <v/>
      </c>
      <c r="AL872">
        <f>IFERROR(ROUND(L872*(G872/$AU872)/VLOOKUP(F872,商品!$A$4:$B$60,2,FALSE),0),"")</f>
        <v>16</v>
      </c>
      <c r="AM872">
        <f>IFERROR(ROUND(L872*(I872/$AU872)/VLOOKUP(H872,商品!$A$4:$B$60,2,FALSE),0),"")</f>
        <v>43</v>
      </c>
      <c r="AN872">
        <f>IFERROR(ROUND(L872*(J872/$AU872)/VLOOKUP("运力",商品!$A$4:$B$60,2,FALSE),0),0)</f>
        <v>0</v>
      </c>
      <c r="AO872">
        <f>IFERROR(ROUND(L872*(K872/$AU872)/VLOOKUP("交易",商品!$A$4:$B$60,2,FALSE),0),0)</f>
        <v>0</v>
      </c>
      <c r="AP872" t="str">
        <f>IFERROR(ROUND(S872*(N872/$AV872)/VLOOKUP(M872,职业!$A$4:$G$16,4,FALSE),0),"")</f>
        <v/>
      </c>
      <c r="AQ872" t="str">
        <f>IFERROR(ROUND(S872*(P872/$AV872)/VLOOKUP(O872,职业!$A$4:$G$16,4,FALSE),0),"")</f>
        <v/>
      </c>
      <c r="AR872" t="str">
        <f>IFERROR(ROUND(S872*(R872/$AV872)/VLOOKUP(Q872,职业!$A$4:$G$16,4,FALSE),0),"")</f>
        <v/>
      </c>
      <c r="AS872" t="str">
        <f>IFERROR(ROUND(X872*(U872/$AW872)/VLOOKUP(T872,商品!$A$4:$B$60,2,FALSE),0),"")</f>
        <v/>
      </c>
      <c r="AT872" t="str">
        <f>IFERROR(ROUND(X872*(W872/$AW872)/VLOOKUP(V872,商品!$A$4:$B$60,2,FALSE),0),"")</f>
        <v/>
      </c>
      <c r="AU872">
        <f t="shared" si="253"/>
        <v>15</v>
      </c>
      <c r="AV872">
        <f t="shared" si="254"/>
        <v>0</v>
      </c>
      <c r="AW872">
        <f t="shared" si="255"/>
        <v>0</v>
      </c>
    </row>
    <row r="873" spans="1:49" ht="19.95" customHeight="1" x14ac:dyDescent="0.25">
      <c r="A873" s="15" t="s">
        <v>366</v>
      </c>
      <c r="C873" s="15">
        <v>1</v>
      </c>
      <c r="D873" s="23" t="s">
        <v>174</v>
      </c>
      <c r="E873" s="23" t="s">
        <v>179</v>
      </c>
      <c r="L873" s="16">
        <f>IFERROR(VLOOKUP($D873&amp;$C873,生产方式定位!$A$2:$E$38,2,FALSE)+VLOOKUP($E873&amp;$C873,生产方式定位!$F$3:$J$38,2,FALSE),0)</f>
        <v>0</v>
      </c>
      <c r="S873" s="16">
        <f>IFERROR(VLOOKUP($D873&amp;$C873,生产方式定位!$A$2:$E$38,3,FALSE)+VLOOKUP($E873&amp;$C873,生产方式定位!$F$3:$J$38,3,FALSE),0)</f>
        <v>100</v>
      </c>
      <c r="X873" s="16">
        <f>IFERROR(VLOOKUP($D873&amp;$C873,生产方式定位!$A$2:$E$38,5,FALSE)+VLOOKUP($E873&amp;$C873,生产方式定位!$F$3:$J$38,5,FALSE),"错误")</f>
        <v>100</v>
      </c>
      <c r="Y873" s="26" t="str">
        <f t="shared" si="240"/>
        <v/>
      </c>
      <c r="Z873" s="36" t="str">
        <f t="shared" si="241"/>
        <v/>
      </c>
      <c r="AA873" s="36" t="str">
        <f t="shared" si="242"/>
        <v/>
      </c>
      <c r="AB873" s="27" t="str">
        <f t="shared" si="243"/>
        <v/>
      </c>
      <c r="AC873" s="2" t="str">
        <f t="shared" si="244"/>
        <v/>
      </c>
      <c r="AD873" s="38">
        <f t="shared" si="245"/>
        <v>1</v>
      </c>
      <c r="AE873" t="str">
        <f t="shared" si="246"/>
        <v/>
      </c>
      <c r="AF873" t="str">
        <f t="shared" si="247"/>
        <v/>
      </c>
      <c r="AG873" t="str">
        <f t="shared" si="248"/>
        <v/>
      </c>
      <c r="AH873" t="str">
        <f t="shared" si="249"/>
        <v/>
      </c>
      <c r="AI873" t="str">
        <f t="shared" si="250"/>
        <v/>
      </c>
      <c r="AJ873" t="str">
        <f t="shared" si="251"/>
        <v/>
      </c>
      <c r="AK873" t="str">
        <f t="shared" si="252"/>
        <v/>
      </c>
      <c r="AL873" t="str">
        <f>IFERROR(ROUND(L873*(G873/$AU873)/VLOOKUP(F873,商品!$A$4:$B$60,2,FALSE),0),"")</f>
        <v/>
      </c>
      <c r="AM873" t="str">
        <f>IFERROR(ROUND(L873*(I873/$AU873)/VLOOKUP(H873,商品!$A$4:$B$60,2,FALSE),0),"")</f>
        <v/>
      </c>
      <c r="AN873">
        <f>IFERROR(ROUND(L873*(J873/$AU873)/VLOOKUP("运力",商品!$A$4:$B$60,2,FALSE),0),0)</f>
        <v>0</v>
      </c>
      <c r="AO873">
        <f>IFERROR(ROUND(L873*(K873/$AU873)/VLOOKUP("交易",商品!$A$4:$B$60,2,FALSE),0),0)</f>
        <v>0</v>
      </c>
      <c r="AP873" t="str">
        <f>IFERROR(ROUND(S873*(N873/$AV873)/VLOOKUP(M873,职业!$A$4:$G$16,4,FALSE),0),"")</f>
        <v/>
      </c>
      <c r="AQ873" t="str">
        <f>IFERROR(ROUND(S873*(P873/$AV873)/VLOOKUP(O873,职业!$A$4:$G$16,4,FALSE),0),"")</f>
        <v/>
      </c>
      <c r="AR873" t="str">
        <f>IFERROR(ROUND(S873*(R873/$AV873)/VLOOKUP(Q873,职业!$A$4:$G$16,4,FALSE),0),"")</f>
        <v/>
      </c>
      <c r="AS873" t="str">
        <f>IFERROR(ROUND(X873*(U873/$AW873)/VLOOKUP(T873,商品!$A$4:$B$60,2,FALSE),0),"")</f>
        <v/>
      </c>
      <c r="AT873" t="str">
        <f>IFERROR(ROUND(X873*(W873/$AW873)/VLOOKUP(V873,商品!$A$4:$B$60,2,FALSE),0),"")</f>
        <v/>
      </c>
      <c r="AU873">
        <f t="shared" si="253"/>
        <v>0</v>
      </c>
      <c r="AV873">
        <f t="shared" si="254"/>
        <v>0</v>
      </c>
      <c r="AW873">
        <f t="shared" si="255"/>
        <v>0</v>
      </c>
    </row>
    <row r="874" spans="1:49" ht="19.95" customHeight="1" x14ac:dyDescent="0.25">
      <c r="A874" s="15" t="s">
        <v>366</v>
      </c>
      <c r="C874" s="15">
        <v>2</v>
      </c>
      <c r="D874" s="23" t="s">
        <v>174</v>
      </c>
      <c r="E874" s="23" t="s">
        <v>179</v>
      </c>
      <c r="L874" s="16">
        <f>IFERROR(VLOOKUP($D874&amp;$C874,生产方式定位!$A$2:$E$38,2,FALSE)+VLOOKUP($E874&amp;$C874,生产方式定位!$F$3:$J$38,2,FALSE),0)</f>
        <v>0</v>
      </c>
      <c r="S874" s="16">
        <f>IFERROR(VLOOKUP($D874&amp;$C874,生产方式定位!$A$2:$E$38,3,FALSE)+VLOOKUP($E874&amp;$C874,生产方式定位!$F$3:$J$38,3,FALSE),0)</f>
        <v>100</v>
      </c>
      <c r="X874" s="16">
        <f>IFERROR(VLOOKUP($D874&amp;$C874,生产方式定位!$A$2:$E$38,5,FALSE)+VLOOKUP($E874&amp;$C874,生产方式定位!$F$3:$J$38,5,FALSE),"错误")</f>
        <v>100</v>
      </c>
      <c r="Y874" s="26" t="str">
        <f t="shared" si="240"/>
        <v/>
      </c>
      <c r="Z874" s="36" t="str">
        <f t="shared" si="241"/>
        <v/>
      </c>
      <c r="AA874" s="36" t="str">
        <f t="shared" si="242"/>
        <v/>
      </c>
      <c r="AB874" s="27" t="str">
        <f t="shared" si="243"/>
        <v/>
      </c>
      <c r="AC874" s="2" t="str">
        <f t="shared" si="244"/>
        <v/>
      </c>
      <c r="AD874" s="38">
        <f t="shared" si="245"/>
        <v>2</v>
      </c>
      <c r="AE874" t="str">
        <f t="shared" si="246"/>
        <v/>
      </c>
      <c r="AF874" t="str">
        <f t="shared" si="247"/>
        <v/>
      </c>
      <c r="AG874" t="str">
        <f t="shared" si="248"/>
        <v/>
      </c>
      <c r="AH874" t="str">
        <f t="shared" si="249"/>
        <v/>
      </c>
      <c r="AI874" t="str">
        <f t="shared" si="250"/>
        <v/>
      </c>
      <c r="AJ874" t="str">
        <f t="shared" si="251"/>
        <v/>
      </c>
      <c r="AK874" t="str">
        <f t="shared" si="252"/>
        <v/>
      </c>
      <c r="AL874" t="str">
        <f>IFERROR(ROUND(L874*(G874/$AU874)/VLOOKUP(F874,商品!$A$4:$B$60,2,FALSE),0),"")</f>
        <v/>
      </c>
      <c r="AM874" t="str">
        <f>IFERROR(ROUND(L874*(I874/$AU874)/VLOOKUP(H874,商品!$A$4:$B$60,2,FALSE),0),"")</f>
        <v/>
      </c>
      <c r="AN874">
        <f>IFERROR(ROUND(L874*(J874/$AU874)/VLOOKUP("运力",商品!$A$4:$B$60,2,FALSE),0),0)</f>
        <v>0</v>
      </c>
      <c r="AO874">
        <f>IFERROR(ROUND(L874*(K874/$AU874)/VLOOKUP("交易",商品!$A$4:$B$60,2,FALSE),0),0)</f>
        <v>0</v>
      </c>
      <c r="AP874" t="str">
        <f>IFERROR(ROUND(S874*(N874/$AV874)/VLOOKUP(M874,职业!$A$4:$G$16,4,FALSE),0),"")</f>
        <v/>
      </c>
      <c r="AQ874" t="str">
        <f>IFERROR(ROUND(S874*(P874/$AV874)/VLOOKUP(O874,职业!$A$4:$G$16,4,FALSE),0),"")</f>
        <v/>
      </c>
      <c r="AR874" t="str">
        <f>IFERROR(ROUND(S874*(R874/$AV874)/VLOOKUP(Q874,职业!$A$4:$G$16,4,FALSE),0),"")</f>
        <v/>
      </c>
      <c r="AS874" t="str">
        <f>IFERROR(ROUND(X874*(U874/$AW874)/VLOOKUP(T874,商品!$A$4:$B$60,2,FALSE),0),"")</f>
        <v/>
      </c>
      <c r="AT874" t="str">
        <f>IFERROR(ROUND(X874*(W874/$AW874)/VLOOKUP(V874,商品!$A$4:$B$60,2,FALSE),0),"")</f>
        <v/>
      </c>
      <c r="AU874">
        <f t="shared" si="253"/>
        <v>0</v>
      </c>
      <c r="AV874">
        <f t="shared" si="254"/>
        <v>0</v>
      </c>
      <c r="AW874">
        <f t="shared" si="255"/>
        <v>0</v>
      </c>
    </row>
    <row r="875" spans="1:49" ht="19.95" customHeight="1" x14ac:dyDescent="0.25">
      <c r="A875" s="15" t="s">
        <v>366</v>
      </c>
      <c r="C875" s="15">
        <v>3</v>
      </c>
      <c r="D875" s="23" t="s">
        <v>174</v>
      </c>
      <c r="E875" s="23" t="s">
        <v>179</v>
      </c>
      <c r="L875" s="16">
        <f>IFERROR(VLOOKUP($D875&amp;$C875,生产方式定位!$A$2:$E$38,2,FALSE)+VLOOKUP($E875&amp;$C875,生产方式定位!$F$3:$J$38,2,FALSE),0)</f>
        <v>0</v>
      </c>
      <c r="S875" s="16">
        <f>IFERROR(VLOOKUP($D875&amp;$C875,生产方式定位!$A$2:$E$38,3,FALSE)+VLOOKUP($E875&amp;$C875,生产方式定位!$F$3:$J$38,3,FALSE),0)</f>
        <v>100</v>
      </c>
      <c r="X875" s="16">
        <f>IFERROR(VLOOKUP($D875&amp;$C875,生产方式定位!$A$2:$E$38,5,FALSE)+VLOOKUP($E875&amp;$C875,生产方式定位!$F$3:$J$38,5,FALSE),"错误")</f>
        <v>100</v>
      </c>
      <c r="Y875" s="26" t="str">
        <f t="shared" si="240"/>
        <v/>
      </c>
      <c r="Z875" s="36" t="str">
        <f t="shared" si="241"/>
        <v/>
      </c>
      <c r="AA875" s="36" t="str">
        <f t="shared" si="242"/>
        <v/>
      </c>
      <c r="AB875" s="27" t="str">
        <f t="shared" si="243"/>
        <v/>
      </c>
      <c r="AC875" s="2" t="str">
        <f t="shared" si="244"/>
        <v/>
      </c>
      <c r="AD875" s="38">
        <f t="shared" si="245"/>
        <v>3</v>
      </c>
      <c r="AE875" t="str">
        <f t="shared" si="246"/>
        <v/>
      </c>
      <c r="AF875" t="str">
        <f t="shared" si="247"/>
        <v/>
      </c>
      <c r="AG875" t="str">
        <f t="shared" si="248"/>
        <v/>
      </c>
      <c r="AH875" t="str">
        <f t="shared" si="249"/>
        <v/>
      </c>
      <c r="AI875" t="str">
        <f t="shared" si="250"/>
        <v/>
      </c>
      <c r="AJ875" t="str">
        <f t="shared" si="251"/>
        <v/>
      </c>
      <c r="AK875" t="str">
        <f t="shared" si="252"/>
        <v/>
      </c>
      <c r="AL875" t="str">
        <f>IFERROR(ROUND(L875*(G875/$AU875)/VLOOKUP(F875,商品!$A$4:$B$60,2,FALSE),0),"")</f>
        <v/>
      </c>
      <c r="AM875" t="str">
        <f>IFERROR(ROUND(L875*(I875/$AU875)/VLOOKUP(H875,商品!$A$4:$B$60,2,FALSE),0),"")</f>
        <v/>
      </c>
      <c r="AN875">
        <f>IFERROR(ROUND(L875*(J875/$AU875)/VLOOKUP("运力",商品!$A$4:$B$60,2,FALSE),0),0)</f>
        <v>0</v>
      </c>
      <c r="AO875">
        <f>IFERROR(ROUND(L875*(K875/$AU875)/VLOOKUP("交易",商品!$A$4:$B$60,2,FALSE),0),0)</f>
        <v>0</v>
      </c>
      <c r="AP875" t="str">
        <f>IFERROR(ROUND(S875*(N875/$AV875)/VLOOKUP(M875,职业!$A$4:$G$16,4,FALSE),0),"")</f>
        <v/>
      </c>
      <c r="AQ875" t="str">
        <f>IFERROR(ROUND(S875*(P875/$AV875)/VLOOKUP(O875,职业!$A$4:$G$16,4,FALSE),0),"")</f>
        <v/>
      </c>
      <c r="AR875" t="str">
        <f>IFERROR(ROUND(S875*(R875/$AV875)/VLOOKUP(Q875,职业!$A$4:$G$16,4,FALSE),0),"")</f>
        <v/>
      </c>
      <c r="AS875" t="str">
        <f>IFERROR(ROUND(X875*(U875/$AW875)/VLOOKUP(T875,商品!$A$4:$B$60,2,FALSE),0),"")</f>
        <v/>
      </c>
      <c r="AT875" t="str">
        <f>IFERROR(ROUND(X875*(W875/$AW875)/VLOOKUP(V875,商品!$A$4:$B$60,2,FALSE),0),"")</f>
        <v/>
      </c>
      <c r="AU875">
        <f t="shared" si="253"/>
        <v>0</v>
      </c>
      <c r="AV875">
        <f t="shared" si="254"/>
        <v>0</v>
      </c>
      <c r="AW875">
        <f t="shared" si="255"/>
        <v>0</v>
      </c>
    </row>
    <row r="876" spans="1:49" ht="19.95" customHeight="1" x14ac:dyDescent="0.25">
      <c r="A876" s="15" t="s">
        <v>366</v>
      </c>
      <c r="C876" s="15">
        <v>4</v>
      </c>
      <c r="D876" s="23" t="s">
        <v>174</v>
      </c>
      <c r="E876" s="23" t="s">
        <v>179</v>
      </c>
      <c r="L876" s="16">
        <f>IFERROR(VLOOKUP($D876&amp;$C876,生产方式定位!$A$2:$E$38,2,FALSE)+VLOOKUP($E876&amp;$C876,生产方式定位!$F$3:$J$38,2,FALSE),0)</f>
        <v>0</v>
      </c>
      <c r="S876" s="16">
        <f>IFERROR(VLOOKUP($D876&amp;$C876,生产方式定位!$A$2:$E$38,3,FALSE)+VLOOKUP($E876&amp;$C876,生产方式定位!$F$3:$J$38,3,FALSE),0)</f>
        <v>100</v>
      </c>
      <c r="X876" s="16">
        <f>IFERROR(VLOOKUP($D876&amp;$C876,生产方式定位!$A$2:$E$38,5,FALSE)+VLOOKUP($E876&amp;$C876,生产方式定位!$F$3:$J$38,5,FALSE),"错误")</f>
        <v>100</v>
      </c>
      <c r="Y876" s="26" t="str">
        <f t="shared" ref="Y876:Y939" si="256">IF(AE876="","",AE876)&amp;IF(AF876="","",","&amp;AF876)&amp;IF(AN876=0,"",",运力*"&amp;AN876)&amp;IF(AO876=0,"",",交易*"&amp;AO876)</f>
        <v/>
      </c>
      <c r="Z876" s="36" t="str">
        <f t="shared" ref="Z876:Z939" si="257">IF(AG876="","",AG876)&amp;IF(AH876="","",","&amp;AH876)&amp;IF(AI876="","",","&amp;AI876)</f>
        <v/>
      </c>
      <c r="AA876" s="36" t="str">
        <f t="shared" ref="AA876:AA939" si="258">IF(AJ876="","",AJ876)&amp;IF(AK876="","",","&amp;AK876)</f>
        <v/>
      </c>
      <c r="AB876" s="27" t="str">
        <f t="shared" ref="AB876:AB939" si="259">IFERROR(ROUND(((X876/L876)-1)*100,0)&amp;"%","")</f>
        <v/>
      </c>
      <c r="AC876" s="2" t="str">
        <f t="shared" ref="AC876:AC939" si="260">IF(X876-S876-L876=0,"",X876-S876-L876)</f>
        <v/>
      </c>
      <c r="AD876" s="38">
        <f t="shared" ref="AD876:AD939" si="261">C876</f>
        <v>4</v>
      </c>
      <c r="AE876" t="str">
        <f t="shared" ref="AE876:AE939" si="262">IF(AL876="","",F876&amp;"*"&amp;AL876)</f>
        <v/>
      </c>
      <c r="AF876" t="str">
        <f t="shared" ref="AF876:AF939" si="263">IF(AM876="","",H876&amp;"*"&amp;AM876)</f>
        <v/>
      </c>
      <c r="AG876" t="str">
        <f t="shared" ref="AG876:AG939" si="264">IF(AP876="","",M876&amp;"*"&amp;AP876)</f>
        <v/>
      </c>
      <c r="AH876" t="str">
        <f t="shared" ref="AH876:AH939" si="265">IF(AQ876="","",O876&amp;"*"&amp;AQ876)</f>
        <v/>
      </c>
      <c r="AI876" t="str">
        <f t="shared" ref="AI876:AI939" si="266">IF(AR876="","",Q876&amp;"*"&amp;AR876)</f>
        <v/>
      </c>
      <c r="AJ876" t="str">
        <f t="shared" ref="AJ876:AJ939" si="267">IF(AS876="","",T876&amp;"*"&amp;AS876)</f>
        <v/>
      </c>
      <c r="AK876" t="str">
        <f t="shared" ref="AK876:AK939" si="268">IF(AT876="","",V876&amp;"*"&amp;AT876)</f>
        <v/>
      </c>
      <c r="AL876" t="str">
        <f>IFERROR(ROUND(L876*(G876/$AU876)/VLOOKUP(F876,商品!$A$4:$B$60,2,FALSE),0),"")</f>
        <v/>
      </c>
      <c r="AM876" t="str">
        <f>IFERROR(ROUND(L876*(I876/$AU876)/VLOOKUP(H876,商品!$A$4:$B$60,2,FALSE),0),"")</f>
        <v/>
      </c>
      <c r="AN876">
        <f>IFERROR(ROUND(L876*(J876/$AU876)/VLOOKUP("运力",商品!$A$4:$B$60,2,FALSE),0),0)</f>
        <v>0</v>
      </c>
      <c r="AO876">
        <f>IFERROR(ROUND(L876*(K876/$AU876)/VLOOKUP("交易",商品!$A$4:$B$60,2,FALSE),0),0)</f>
        <v>0</v>
      </c>
      <c r="AP876" t="str">
        <f>IFERROR(ROUND(S876*(N876/$AV876)/VLOOKUP(M876,职业!$A$4:$G$16,4,FALSE),0),"")</f>
        <v/>
      </c>
      <c r="AQ876" t="str">
        <f>IFERROR(ROUND(S876*(P876/$AV876)/VLOOKUP(O876,职业!$A$4:$G$16,4,FALSE),0),"")</f>
        <v/>
      </c>
      <c r="AR876" t="str">
        <f>IFERROR(ROUND(S876*(R876/$AV876)/VLOOKUP(Q876,职业!$A$4:$G$16,4,FALSE),0),"")</f>
        <v/>
      </c>
      <c r="AS876" t="str">
        <f>IFERROR(ROUND(X876*(U876/$AW876)/VLOOKUP(T876,商品!$A$4:$B$60,2,FALSE),0),"")</f>
        <v/>
      </c>
      <c r="AT876" t="str">
        <f>IFERROR(ROUND(X876*(W876/$AW876)/VLOOKUP(V876,商品!$A$4:$B$60,2,FALSE),0),"")</f>
        <v/>
      </c>
      <c r="AU876">
        <f t="shared" ref="AU876:AU939" si="269">G876+I876+J876+K876</f>
        <v>0</v>
      </c>
      <c r="AV876">
        <f t="shared" ref="AV876:AV939" si="270">ABS(N876)+ABS(P876)+ABS(R876)</f>
        <v>0</v>
      </c>
      <c r="AW876">
        <f t="shared" ref="AW876:AW939" si="271">U876+W876</f>
        <v>0</v>
      </c>
    </row>
    <row r="877" spans="1:49" ht="19.95" customHeight="1" x14ac:dyDescent="0.25">
      <c r="A877" s="15" t="s">
        <v>366</v>
      </c>
      <c r="C877" s="15">
        <v>5</v>
      </c>
      <c r="D877" s="23" t="s">
        <v>174</v>
      </c>
      <c r="E877" s="23" t="s">
        <v>179</v>
      </c>
      <c r="L877" s="16">
        <f>IFERROR(VLOOKUP($D877&amp;$C877,生产方式定位!$A$2:$E$38,2,FALSE)+VLOOKUP($E877&amp;$C877,生产方式定位!$F$3:$J$38,2,FALSE),0)</f>
        <v>0</v>
      </c>
      <c r="S877" s="16">
        <f>IFERROR(VLOOKUP($D877&amp;$C877,生产方式定位!$A$2:$E$38,3,FALSE)+VLOOKUP($E877&amp;$C877,生产方式定位!$F$3:$J$38,3,FALSE),0)</f>
        <v>100</v>
      </c>
      <c r="X877" s="16">
        <f>IFERROR(VLOOKUP($D877&amp;$C877,生产方式定位!$A$2:$E$38,5,FALSE)+VLOOKUP($E877&amp;$C877,生产方式定位!$F$3:$J$38,5,FALSE),"错误")</f>
        <v>100</v>
      </c>
      <c r="Y877" s="26" t="str">
        <f t="shared" si="256"/>
        <v/>
      </c>
      <c r="Z877" s="36" t="str">
        <f t="shared" si="257"/>
        <v/>
      </c>
      <c r="AA877" s="36" t="str">
        <f t="shared" si="258"/>
        <v/>
      </c>
      <c r="AB877" s="27" t="str">
        <f t="shared" si="259"/>
        <v/>
      </c>
      <c r="AC877" s="2" t="str">
        <f t="shared" si="260"/>
        <v/>
      </c>
      <c r="AD877" s="38">
        <f t="shared" si="261"/>
        <v>5</v>
      </c>
      <c r="AE877" t="str">
        <f t="shared" si="262"/>
        <v/>
      </c>
      <c r="AF877" t="str">
        <f t="shared" si="263"/>
        <v/>
      </c>
      <c r="AG877" t="str">
        <f t="shared" si="264"/>
        <v/>
      </c>
      <c r="AH877" t="str">
        <f t="shared" si="265"/>
        <v/>
      </c>
      <c r="AI877" t="str">
        <f t="shared" si="266"/>
        <v/>
      </c>
      <c r="AJ877" t="str">
        <f t="shared" si="267"/>
        <v/>
      </c>
      <c r="AK877" t="str">
        <f t="shared" si="268"/>
        <v/>
      </c>
      <c r="AL877" t="str">
        <f>IFERROR(ROUND(L877*(G877/$AU877)/VLOOKUP(F877,商品!$A$4:$B$60,2,FALSE),0),"")</f>
        <v/>
      </c>
      <c r="AM877" t="str">
        <f>IFERROR(ROUND(L877*(I877/$AU877)/VLOOKUP(H877,商品!$A$4:$B$60,2,FALSE),0),"")</f>
        <v/>
      </c>
      <c r="AN877">
        <f>IFERROR(ROUND(L877*(J877/$AU877)/VLOOKUP("运力",商品!$A$4:$B$60,2,FALSE),0),0)</f>
        <v>0</v>
      </c>
      <c r="AO877">
        <f>IFERROR(ROUND(L877*(K877/$AU877)/VLOOKUP("交易",商品!$A$4:$B$60,2,FALSE),0),0)</f>
        <v>0</v>
      </c>
      <c r="AP877" t="str">
        <f>IFERROR(ROUND(S877*(N877/$AV877)/VLOOKUP(M877,职业!$A$4:$G$16,4,FALSE),0),"")</f>
        <v/>
      </c>
      <c r="AQ877" t="str">
        <f>IFERROR(ROUND(S877*(P877/$AV877)/VLOOKUP(O877,职业!$A$4:$G$16,4,FALSE),0),"")</f>
        <v/>
      </c>
      <c r="AR877" t="str">
        <f>IFERROR(ROUND(S877*(R877/$AV877)/VLOOKUP(Q877,职业!$A$4:$G$16,4,FALSE),0),"")</f>
        <v/>
      </c>
      <c r="AS877" t="str">
        <f>IFERROR(ROUND(X877*(U877/$AW877)/VLOOKUP(T877,商品!$A$4:$B$60,2,FALSE),0),"")</f>
        <v/>
      </c>
      <c r="AT877" t="str">
        <f>IFERROR(ROUND(X877*(W877/$AW877)/VLOOKUP(V877,商品!$A$4:$B$60,2,FALSE),0),"")</f>
        <v/>
      </c>
      <c r="AU877">
        <f t="shared" si="269"/>
        <v>0</v>
      </c>
      <c r="AV877">
        <f t="shared" si="270"/>
        <v>0</v>
      </c>
      <c r="AW877">
        <f t="shared" si="271"/>
        <v>0</v>
      </c>
    </row>
    <row r="878" spans="1:49" ht="19.95" customHeight="1" x14ac:dyDescent="0.25">
      <c r="A878" s="15" t="s">
        <v>366</v>
      </c>
      <c r="C878" s="15">
        <v>6</v>
      </c>
      <c r="D878" s="23" t="s">
        <v>174</v>
      </c>
      <c r="E878" s="23" t="s">
        <v>179</v>
      </c>
      <c r="L878" s="16">
        <f>IFERROR(VLOOKUP($D878&amp;$C878,生产方式定位!$A$2:$E$38,2,FALSE)+VLOOKUP($E878&amp;$C878,生产方式定位!$F$3:$J$38,2,FALSE),0)</f>
        <v>0</v>
      </c>
      <c r="S878" s="16">
        <f>IFERROR(VLOOKUP($D878&amp;$C878,生产方式定位!$A$2:$E$38,3,FALSE)+VLOOKUP($E878&amp;$C878,生产方式定位!$F$3:$J$38,3,FALSE),0)</f>
        <v>100</v>
      </c>
      <c r="X878" s="16">
        <f>IFERROR(VLOOKUP($D878&amp;$C878,生产方式定位!$A$2:$E$38,5,FALSE)+VLOOKUP($E878&amp;$C878,生产方式定位!$F$3:$J$38,5,FALSE),"错误")</f>
        <v>100</v>
      </c>
      <c r="Y878" s="26" t="str">
        <f t="shared" si="256"/>
        <v/>
      </c>
      <c r="Z878" s="36" t="str">
        <f t="shared" si="257"/>
        <v/>
      </c>
      <c r="AA878" s="36" t="str">
        <f t="shared" si="258"/>
        <v/>
      </c>
      <c r="AB878" s="27" t="str">
        <f t="shared" si="259"/>
        <v/>
      </c>
      <c r="AC878" s="2" t="str">
        <f t="shared" si="260"/>
        <v/>
      </c>
      <c r="AD878" s="37">
        <f t="shared" si="261"/>
        <v>6</v>
      </c>
      <c r="AE878" t="str">
        <f t="shared" si="262"/>
        <v/>
      </c>
      <c r="AF878" t="str">
        <f t="shared" si="263"/>
        <v/>
      </c>
      <c r="AG878" t="str">
        <f t="shared" si="264"/>
        <v/>
      </c>
      <c r="AH878" t="str">
        <f t="shared" si="265"/>
        <v/>
      </c>
      <c r="AI878" t="str">
        <f t="shared" si="266"/>
        <v/>
      </c>
      <c r="AJ878" t="str">
        <f t="shared" si="267"/>
        <v/>
      </c>
      <c r="AK878" t="str">
        <f t="shared" si="268"/>
        <v/>
      </c>
      <c r="AL878" t="str">
        <f>IFERROR(ROUND(L878*(G878/$AU878)/VLOOKUP(F878,商品!$A$4:$B$60,2,FALSE),0),"")</f>
        <v/>
      </c>
      <c r="AM878" t="str">
        <f>IFERROR(ROUND(L878*(I878/$AU878)/VLOOKUP(H878,商品!$A$4:$B$60,2,FALSE),0),"")</f>
        <v/>
      </c>
      <c r="AN878">
        <f>IFERROR(ROUND(L878*(J878/$AU878)/VLOOKUP("运力",商品!$A$4:$B$60,2,FALSE),0),0)</f>
        <v>0</v>
      </c>
      <c r="AO878">
        <f>IFERROR(ROUND(L878*(K878/$AU878)/VLOOKUP("交易",商品!$A$4:$B$60,2,FALSE),0),0)</f>
        <v>0</v>
      </c>
      <c r="AP878" t="str">
        <f>IFERROR(ROUND(S878*(N878/$AV878)/VLOOKUP(M878,职业!$A$4:$G$16,4,FALSE),0),"")</f>
        <v/>
      </c>
      <c r="AQ878" t="str">
        <f>IFERROR(ROUND(S878*(P878/$AV878)/VLOOKUP(O878,职业!$A$4:$G$16,4,FALSE),0),"")</f>
        <v/>
      </c>
      <c r="AR878" t="str">
        <f>IFERROR(ROUND(S878*(R878/$AV878)/VLOOKUP(Q878,职业!$A$4:$G$16,4,FALSE),0),"")</f>
        <v/>
      </c>
      <c r="AS878" t="str">
        <f>IFERROR(ROUND(X878*(U878/$AW878)/VLOOKUP(T878,商品!$A$4:$B$60,2,FALSE),0),"")</f>
        <v/>
      </c>
      <c r="AT878" t="str">
        <f>IFERROR(ROUND(X878*(W878/$AW878)/VLOOKUP(V878,商品!$A$4:$B$60,2,FALSE),0),"")</f>
        <v/>
      </c>
      <c r="AU878">
        <f t="shared" si="269"/>
        <v>0</v>
      </c>
      <c r="AV878">
        <f t="shared" si="270"/>
        <v>0</v>
      </c>
      <c r="AW878">
        <f t="shared" si="271"/>
        <v>0</v>
      </c>
    </row>
    <row r="879" spans="1:49" ht="19.95" customHeight="1" x14ac:dyDescent="0.25">
      <c r="A879" s="15" t="s">
        <v>366</v>
      </c>
      <c r="C879" s="15">
        <v>7</v>
      </c>
      <c r="D879" s="23" t="s">
        <v>174</v>
      </c>
      <c r="E879" s="23" t="s">
        <v>179</v>
      </c>
      <c r="L879" s="16">
        <f>IFERROR(VLOOKUP($D879&amp;$C879,生产方式定位!$A$2:$E$38,2,FALSE)+VLOOKUP($E879&amp;$C879,生产方式定位!$F$3:$J$38,2,FALSE),0)</f>
        <v>0</v>
      </c>
      <c r="S879" s="16">
        <f>IFERROR(VLOOKUP($D879&amp;$C879,生产方式定位!$A$2:$E$38,3,FALSE)+VLOOKUP($E879&amp;$C879,生产方式定位!$F$3:$J$38,3,FALSE),0)</f>
        <v>100</v>
      </c>
      <c r="X879" s="16">
        <f>IFERROR(VLOOKUP($D879&amp;$C879,生产方式定位!$A$2:$E$38,5,FALSE)+VLOOKUP($E879&amp;$C879,生产方式定位!$F$3:$J$38,5,FALSE),"错误")</f>
        <v>100</v>
      </c>
      <c r="Y879" s="26" t="str">
        <f t="shared" si="256"/>
        <v/>
      </c>
      <c r="Z879" s="36" t="str">
        <f t="shared" si="257"/>
        <v/>
      </c>
      <c r="AA879" s="36" t="str">
        <f t="shared" si="258"/>
        <v/>
      </c>
      <c r="AB879" s="27" t="str">
        <f t="shared" si="259"/>
        <v/>
      </c>
      <c r="AC879" s="2" t="str">
        <f t="shared" si="260"/>
        <v/>
      </c>
      <c r="AD879" s="37">
        <f t="shared" si="261"/>
        <v>7</v>
      </c>
      <c r="AE879" t="str">
        <f t="shared" si="262"/>
        <v/>
      </c>
      <c r="AF879" t="str">
        <f t="shared" si="263"/>
        <v/>
      </c>
      <c r="AG879" t="str">
        <f t="shared" si="264"/>
        <v/>
      </c>
      <c r="AH879" t="str">
        <f t="shared" si="265"/>
        <v/>
      </c>
      <c r="AI879" t="str">
        <f t="shared" si="266"/>
        <v/>
      </c>
      <c r="AJ879" t="str">
        <f t="shared" si="267"/>
        <v/>
      </c>
      <c r="AK879" t="str">
        <f t="shared" si="268"/>
        <v/>
      </c>
      <c r="AL879" t="str">
        <f>IFERROR(ROUND(L879*(G879/$AU879)/VLOOKUP(F879,商品!$A$4:$B$60,2,FALSE),0),"")</f>
        <v/>
      </c>
      <c r="AM879" t="str">
        <f>IFERROR(ROUND(L879*(I879/$AU879)/VLOOKUP(H879,商品!$A$4:$B$60,2,FALSE),0),"")</f>
        <v/>
      </c>
      <c r="AN879">
        <f>IFERROR(ROUND(L879*(J879/$AU879)/VLOOKUP("运力",商品!$A$4:$B$60,2,FALSE),0),0)</f>
        <v>0</v>
      </c>
      <c r="AO879">
        <f>IFERROR(ROUND(L879*(K879/$AU879)/VLOOKUP("交易",商品!$A$4:$B$60,2,FALSE),0),0)</f>
        <v>0</v>
      </c>
      <c r="AP879" t="str">
        <f>IFERROR(ROUND(S879*(N879/$AV879)/VLOOKUP(M879,职业!$A$4:$G$16,4,FALSE),0),"")</f>
        <v/>
      </c>
      <c r="AQ879" t="str">
        <f>IFERROR(ROUND(S879*(P879/$AV879)/VLOOKUP(O879,职业!$A$4:$G$16,4,FALSE),0),"")</f>
        <v/>
      </c>
      <c r="AR879" t="str">
        <f>IFERROR(ROUND(S879*(R879/$AV879)/VLOOKUP(Q879,职业!$A$4:$G$16,4,FALSE),0),"")</f>
        <v/>
      </c>
      <c r="AS879" t="str">
        <f>IFERROR(ROUND(X879*(U879/$AW879)/VLOOKUP(T879,商品!$A$4:$B$60,2,FALSE),0),"")</f>
        <v/>
      </c>
      <c r="AT879" t="str">
        <f>IFERROR(ROUND(X879*(W879/$AW879)/VLOOKUP(V879,商品!$A$4:$B$60,2,FALSE),0),"")</f>
        <v/>
      </c>
      <c r="AU879">
        <f t="shared" si="269"/>
        <v>0</v>
      </c>
      <c r="AV879">
        <f t="shared" si="270"/>
        <v>0</v>
      </c>
      <c r="AW879">
        <f t="shared" si="271"/>
        <v>0</v>
      </c>
    </row>
    <row r="880" spans="1:49" ht="19.95" customHeight="1" x14ac:dyDescent="0.25">
      <c r="A880" s="15" t="s">
        <v>366</v>
      </c>
      <c r="C880" s="15">
        <v>8</v>
      </c>
      <c r="D880" s="23" t="s">
        <v>174</v>
      </c>
      <c r="E880" s="23" t="s">
        <v>179</v>
      </c>
      <c r="L880" s="16">
        <f>IFERROR(VLOOKUP($D880&amp;$C880,生产方式定位!$A$2:$E$38,2,FALSE)+VLOOKUP($E880&amp;$C880,生产方式定位!$F$3:$J$38,2,FALSE),0)</f>
        <v>0</v>
      </c>
      <c r="S880" s="16">
        <f>IFERROR(VLOOKUP($D880&amp;$C880,生产方式定位!$A$2:$E$38,3,FALSE)+VLOOKUP($E880&amp;$C880,生产方式定位!$F$3:$J$38,3,FALSE),0)</f>
        <v>100</v>
      </c>
      <c r="X880" s="16">
        <f>IFERROR(VLOOKUP($D880&amp;$C880,生产方式定位!$A$2:$E$38,5,FALSE)+VLOOKUP($E880&amp;$C880,生产方式定位!$F$3:$J$38,5,FALSE),"错误")</f>
        <v>100</v>
      </c>
      <c r="Y880" s="26" t="str">
        <f t="shared" si="256"/>
        <v/>
      </c>
      <c r="Z880" s="36" t="str">
        <f t="shared" si="257"/>
        <v/>
      </c>
      <c r="AA880" s="36" t="str">
        <f t="shared" si="258"/>
        <v/>
      </c>
      <c r="AB880" s="27" t="str">
        <f t="shared" si="259"/>
        <v/>
      </c>
      <c r="AC880" s="2" t="str">
        <f t="shared" si="260"/>
        <v/>
      </c>
      <c r="AD880" s="37">
        <f t="shared" si="261"/>
        <v>8</v>
      </c>
      <c r="AE880" t="str">
        <f t="shared" si="262"/>
        <v/>
      </c>
      <c r="AF880" t="str">
        <f t="shared" si="263"/>
        <v/>
      </c>
      <c r="AG880" t="str">
        <f t="shared" si="264"/>
        <v/>
      </c>
      <c r="AH880" t="str">
        <f t="shared" si="265"/>
        <v/>
      </c>
      <c r="AI880" t="str">
        <f t="shared" si="266"/>
        <v/>
      </c>
      <c r="AJ880" t="str">
        <f t="shared" si="267"/>
        <v/>
      </c>
      <c r="AK880" t="str">
        <f t="shared" si="268"/>
        <v/>
      </c>
      <c r="AL880" t="str">
        <f>IFERROR(ROUND(L880*(G880/$AU880)/VLOOKUP(F880,商品!$A$4:$B$60,2,FALSE),0),"")</f>
        <v/>
      </c>
      <c r="AM880" t="str">
        <f>IFERROR(ROUND(L880*(I880/$AU880)/VLOOKUP(H880,商品!$A$4:$B$60,2,FALSE),0),"")</f>
        <v/>
      </c>
      <c r="AN880">
        <f>IFERROR(ROUND(L880*(J880/$AU880)/VLOOKUP("运力",商品!$A$4:$B$60,2,FALSE),0),0)</f>
        <v>0</v>
      </c>
      <c r="AO880">
        <f>IFERROR(ROUND(L880*(K880/$AU880)/VLOOKUP("交易",商品!$A$4:$B$60,2,FALSE),0),0)</f>
        <v>0</v>
      </c>
      <c r="AP880" t="str">
        <f>IFERROR(ROUND(S880*(N880/$AV880)/VLOOKUP(M880,职业!$A$4:$G$16,4,FALSE),0),"")</f>
        <v/>
      </c>
      <c r="AQ880" t="str">
        <f>IFERROR(ROUND(S880*(P880/$AV880)/VLOOKUP(O880,职业!$A$4:$G$16,4,FALSE),0),"")</f>
        <v/>
      </c>
      <c r="AR880" t="str">
        <f>IFERROR(ROUND(S880*(R880/$AV880)/VLOOKUP(Q880,职业!$A$4:$G$16,4,FALSE),0),"")</f>
        <v/>
      </c>
      <c r="AS880" t="str">
        <f>IFERROR(ROUND(X880*(U880/$AW880)/VLOOKUP(T880,商品!$A$4:$B$60,2,FALSE),0),"")</f>
        <v/>
      </c>
      <c r="AT880" t="str">
        <f>IFERROR(ROUND(X880*(W880/$AW880)/VLOOKUP(V880,商品!$A$4:$B$60,2,FALSE),0),"")</f>
        <v/>
      </c>
      <c r="AU880">
        <f t="shared" si="269"/>
        <v>0</v>
      </c>
      <c r="AV880">
        <f t="shared" si="270"/>
        <v>0</v>
      </c>
      <c r="AW880">
        <f t="shared" si="271"/>
        <v>0</v>
      </c>
    </row>
    <row r="881" spans="1:49" ht="19.95" customHeight="1" x14ac:dyDescent="0.25">
      <c r="A881" s="16" t="s">
        <v>368</v>
      </c>
      <c r="C881" s="16">
        <v>1</v>
      </c>
      <c r="D881" s="23" t="s">
        <v>171</v>
      </c>
      <c r="E881" s="23" t="s">
        <v>172</v>
      </c>
      <c r="F881" s="2" t="s">
        <v>41</v>
      </c>
      <c r="G881" s="2">
        <v>20</v>
      </c>
      <c r="J881" s="24">
        <v>5</v>
      </c>
      <c r="K881" s="25">
        <v>5</v>
      </c>
      <c r="L881" s="15">
        <f>IFERROR(VLOOKUP($D881&amp;$C881,生产方式定位!$A$2:$E$38,2,FALSE)+VLOOKUP($E881&amp;$C881,生产方式定位!$F$3:$J$38,2,FALSE),0)</f>
        <v>300</v>
      </c>
      <c r="S881" s="15">
        <f>IFERROR(VLOOKUP($D881&amp;$C881,生产方式定位!$A$2:$E$38,3,FALSE)+VLOOKUP($E881&amp;$C881,生产方式定位!$F$3:$J$38,3,FALSE),0)</f>
        <v>100</v>
      </c>
      <c r="X881" s="15">
        <f>IFERROR(VLOOKUP($D881&amp;$C881,生产方式定位!$A$2:$E$38,5,FALSE)+VLOOKUP($E881&amp;$C881,生产方式定位!$F$3:$J$38,5,FALSE),"错误")</f>
        <v>520</v>
      </c>
      <c r="Y881" s="26" t="str">
        <f t="shared" si="256"/>
        <v>工具*5,运力*5,交易*5</v>
      </c>
      <c r="Z881" s="36" t="str">
        <f t="shared" si="257"/>
        <v/>
      </c>
      <c r="AA881" s="36" t="str">
        <f t="shared" si="258"/>
        <v/>
      </c>
      <c r="AB881" s="27" t="str">
        <f t="shared" si="259"/>
        <v>73%</v>
      </c>
      <c r="AC881" s="2">
        <f t="shared" si="260"/>
        <v>120</v>
      </c>
      <c r="AD881" s="37">
        <f t="shared" si="261"/>
        <v>1</v>
      </c>
      <c r="AE881" t="str">
        <f t="shared" si="262"/>
        <v>工具*5</v>
      </c>
      <c r="AF881" t="str">
        <f t="shared" si="263"/>
        <v/>
      </c>
      <c r="AG881" t="str">
        <f t="shared" si="264"/>
        <v/>
      </c>
      <c r="AH881" t="str">
        <f t="shared" si="265"/>
        <v/>
      </c>
      <c r="AI881" t="str">
        <f t="shared" si="266"/>
        <v/>
      </c>
      <c r="AJ881" t="str">
        <f t="shared" si="267"/>
        <v/>
      </c>
      <c r="AK881" t="str">
        <f t="shared" si="268"/>
        <v/>
      </c>
      <c r="AL881">
        <f>IFERROR(ROUND(L881*(G881/$AU881)/VLOOKUP(F881,商品!$A$4:$B$60,2,FALSE),0),"")</f>
        <v>5</v>
      </c>
      <c r="AM881" t="str">
        <f>IFERROR(ROUND(L881*(I881/$AU881)/VLOOKUP(H881,商品!$A$4:$B$60,2,FALSE),0),"")</f>
        <v/>
      </c>
      <c r="AN881">
        <f>IFERROR(ROUND(L881*(J881/$AU881)/VLOOKUP("运力",商品!$A$4:$B$60,2,FALSE),0),0)</f>
        <v>5</v>
      </c>
      <c r="AO881">
        <f>IFERROR(ROUND(L881*(K881/$AU881)/VLOOKUP("交易",商品!$A$4:$B$60,2,FALSE),0),0)</f>
        <v>5</v>
      </c>
      <c r="AP881" t="str">
        <f>IFERROR(ROUND(S881*(N881/$AV881)/VLOOKUP(M881,职业!$A$4:$G$16,4,FALSE),0),"")</f>
        <v/>
      </c>
      <c r="AQ881" t="str">
        <f>IFERROR(ROUND(S881*(P881/$AV881)/VLOOKUP(O881,职业!$A$4:$G$16,4,FALSE),0),"")</f>
        <v/>
      </c>
      <c r="AR881" t="str">
        <f>IFERROR(ROUND(S881*(R881/$AV881)/VLOOKUP(Q881,职业!$A$4:$G$16,4,FALSE),0),"")</f>
        <v/>
      </c>
      <c r="AS881" t="str">
        <f>IFERROR(ROUND(X881*(U881/$AW881)/VLOOKUP(T881,商品!$A$4:$B$60,2,FALSE),0),"")</f>
        <v/>
      </c>
      <c r="AT881" t="str">
        <f>IFERROR(ROUND(X881*(W881/$AW881)/VLOOKUP(V881,商品!$A$4:$B$60,2,FALSE),0),"")</f>
        <v/>
      </c>
      <c r="AU881">
        <f t="shared" si="269"/>
        <v>30</v>
      </c>
      <c r="AV881">
        <f t="shared" si="270"/>
        <v>0</v>
      </c>
      <c r="AW881">
        <f t="shared" si="271"/>
        <v>0</v>
      </c>
    </row>
    <row r="882" spans="1:49" ht="19.95" customHeight="1" x14ac:dyDescent="0.25">
      <c r="A882" s="16" t="s">
        <v>368</v>
      </c>
      <c r="C882" s="16">
        <v>2</v>
      </c>
      <c r="D882" s="23" t="s">
        <v>171</v>
      </c>
      <c r="E882" s="23" t="s">
        <v>172</v>
      </c>
      <c r="F882" s="2" t="s">
        <v>41</v>
      </c>
      <c r="G882" s="2">
        <v>10</v>
      </c>
      <c r="H882" s="2" t="s">
        <v>38</v>
      </c>
      <c r="I882" s="2">
        <v>15</v>
      </c>
      <c r="J882" s="24">
        <v>5</v>
      </c>
      <c r="K882" s="25">
        <v>5</v>
      </c>
      <c r="L882" s="15">
        <f>IFERROR(VLOOKUP($D882&amp;$C882,生产方式定位!$A$2:$E$38,2,FALSE)+VLOOKUP($E882&amp;$C882,生产方式定位!$F$3:$J$38,2,FALSE),0)</f>
        <v>1100</v>
      </c>
      <c r="S882" s="15">
        <f>IFERROR(VLOOKUP($D882&amp;$C882,生产方式定位!$A$2:$E$38,3,FALSE)+VLOOKUP($E882&amp;$C882,生产方式定位!$F$3:$J$38,3,FALSE),0)</f>
        <v>100</v>
      </c>
      <c r="X882" s="15">
        <f>IFERROR(VLOOKUP($D882&amp;$C882,生产方式定位!$A$2:$E$38,5,FALSE)+VLOOKUP($E882&amp;$C882,生产方式定位!$F$3:$J$38,5,FALSE),"错误")</f>
        <v>1510</v>
      </c>
      <c r="Y882" s="26" t="str">
        <f t="shared" si="256"/>
        <v>工具*8,肥料*8,运力*16,交易*16</v>
      </c>
      <c r="Z882" s="36" t="str">
        <f t="shared" si="257"/>
        <v/>
      </c>
      <c r="AA882" s="36" t="str">
        <f t="shared" si="258"/>
        <v/>
      </c>
      <c r="AB882" s="27" t="str">
        <f t="shared" si="259"/>
        <v>37%</v>
      </c>
      <c r="AC882" s="2">
        <f t="shared" si="260"/>
        <v>310</v>
      </c>
      <c r="AD882" s="37">
        <f t="shared" si="261"/>
        <v>2</v>
      </c>
      <c r="AE882" t="str">
        <f t="shared" si="262"/>
        <v>工具*8</v>
      </c>
      <c r="AF882" t="str">
        <f t="shared" si="263"/>
        <v>肥料*8</v>
      </c>
      <c r="AG882" t="str">
        <f t="shared" si="264"/>
        <v/>
      </c>
      <c r="AH882" t="str">
        <f t="shared" si="265"/>
        <v/>
      </c>
      <c r="AI882" t="str">
        <f t="shared" si="266"/>
        <v/>
      </c>
      <c r="AJ882" t="str">
        <f t="shared" si="267"/>
        <v/>
      </c>
      <c r="AK882" t="str">
        <f t="shared" si="268"/>
        <v/>
      </c>
      <c r="AL882">
        <f>IFERROR(ROUND(L882*(G882/$AU882)/VLOOKUP(F882,商品!$A$4:$B$60,2,FALSE),0),"")</f>
        <v>8</v>
      </c>
      <c r="AM882">
        <f>IFERROR(ROUND(L882*(I882/$AU882)/VLOOKUP(H882,商品!$A$4:$B$60,2,FALSE),0),"")</f>
        <v>8</v>
      </c>
      <c r="AN882">
        <f>IFERROR(ROUND(L882*(J882/$AU882)/VLOOKUP("运力",商品!$A$4:$B$60,2,FALSE),0),0)</f>
        <v>16</v>
      </c>
      <c r="AO882">
        <f>IFERROR(ROUND(L882*(K882/$AU882)/VLOOKUP("交易",商品!$A$4:$B$60,2,FALSE),0),0)</f>
        <v>16</v>
      </c>
      <c r="AP882" t="str">
        <f>IFERROR(ROUND(S882*(N882/$AV882)/VLOOKUP(M882,职业!$A$4:$G$16,4,FALSE),0),"")</f>
        <v/>
      </c>
      <c r="AQ882" t="str">
        <f>IFERROR(ROUND(S882*(P882/$AV882)/VLOOKUP(O882,职业!$A$4:$G$16,4,FALSE),0),"")</f>
        <v/>
      </c>
      <c r="AR882" t="str">
        <f>IFERROR(ROUND(S882*(R882/$AV882)/VLOOKUP(Q882,职业!$A$4:$G$16,4,FALSE),0),"")</f>
        <v/>
      </c>
      <c r="AS882" t="str">
        <f>IFERROR(ROUND(X882*(U882/$AW882)/VLOOKUP(T882,商品!$A$4:$B$60,2,FALSE),0),"")</f>
        <v/>
      </c>
      <c r="AT882" t="str">
        <f>IFERROR(ROUND(X882*(W882/$AW882)/VLOOKUP(V882,商品!$A$4:$B$60,2,FALSE),0),"")</f>
        <v/>
      </c>
      <c r="AU882">
        <f t="shared" si="269"/>
        <v>35</v>
      </c>
      <c r="AV882">
        <f t="shared" si="270"/>
        <v>0</v>
      </c>
      <c r="AW882">
        <f t="shared" si="271"/>
        <v>0</v>
      </c>
    </row>
    <row r="883" spans="1:49" ht="19.95" customHeight="1" x14ac:dyDescent="0.25">
      <c r="A883" s="16" t="s">
        <v>368</v>
      </c>
      <c r="C883" s="16">
        <v>3</v>
      </c>
      <c r="D883" s="23" t="s">
        <v>171</v>
      </c>
      <c r="E883" s="23" t="s">
        <v>172</v>
      </c>
      <c r="F883" s="2" t="s">
        <v>41</v>
      </c>
      <c r="G883" s="2">
        <v>10</v>
      </c>
      <c r="H883" s="2" t="s">
        <v>38</v>
      </c>
      <c r="I883" s="2">
        <v>15</v>
      </c>
      <c r="J883" s="24">
        <v>5</v>
      </c>
      <c r="K883" s="25">
        <v>5</v>
      </c>
      <c r="L883" s="15">
        <f>IFERROR(VLOOKUP($D883&amp;$C883,生产方式定位!$A$2:$E$38,2,FALSE)+VLOOKUP($E883&amp;$C883,生产方式定位!$F$3:$J$38,2,FALSE),0)</f>
        <v>1525</v>
      </c>
      <c r="S883" s="15">
        <f>IFERROR(VLOOKUP($D883&amp;$C883,生产方式定位!$A$2:$E$38,3,FALSE)+VLOOKUP($E883&amp;$C883,生产方式定位!$F$3:$J$38,3,FALSE),0)</f>
        <v>100</v>
      </c>
      <c r="X883" s="15">
        <f>IFERROR(VLOOKUP($D883&amp;$C883,生产方式定位!$A$2:$E$38,5,FALSE)+VLOOKUP($E883&amp;$C883,生产方式定位!$F$3:$J$38,5,FALSE),"错误")</f>
        <v>2050</v>
      </c>
      <c r="Y883" s="26" t="str">
        <f t="shared" si="256"/>
        <v>工具*11,肥料*11,运力*22,交易*22</v>
      </c>
      <c r="Z883" s="36" t="str">
        <f t="shared" si="257"/>
        <v/>
      </c>
      <c r="AA883" s="36" t="str">
        <f t="shared" si="258"/>
        <v/>
      </c>
      <c r="AB883" s="27" t="str">
        <f t="shared" si="259"/>
        <v>34%</v>
      </c>
      <c r="AC883" s="2">
        <f t="shared" si="260"/>
        <v>425</v>
      </c>
      <c r="AD883" s="38">
        <f t="shared" si="261"/>
        <v>3</v>
      </c>
      <c r="AE883" t="str">
        <f t="shared" si="262"/>
        <v>工具*11</v>
      </c>
      <c r="AF883" t="str">
        <f t="shared" si="263"/>
        <v>肥料*11</v>
      </c>
      <c r="AG883" t="str">
        <f t="shared" si="264"/>
        <v/>
      </c>
      <c r="AH883" t="str">
        <f t="shared" si="265"/>
        <v/>
      </c>
      <c r="AI883" t="str">
        <f t="shared" si="266"/>
        <v/>
      </c>
      <c r="AJ883" t="str">
        <f t="shared" si="267"/>
        <v/>
      </c>
      <c r="AK883" t="str">
        <f t="shared" si="268"/>
        <v/>
      </c>
      <c r="AL883">
        <f>IFERROR(ROUND(L883*(G883/$AU883)/VLOOKUP(F883,商品!$A$4:$B$60,2,FALSE),0),"")</f>
        <v>11</v>
      </c>
      <c r="AM883">
        <f>IFERROR(ROUND(L883*(I883/$AU883)/VLOOKUP(H883,商品!$A$4:$B$60,2,FALSE),0),"")</f>
        <v>11</v>
      </c>
      <c r="AN883">
        <f>IFERROR(ROUND(L883*(J883/$AU883)/VLOOKUP("运力",商品!$A$4:$B$60,2,FALSE),0),0)</f>
        <v>22</v>
      </c>
      <c r="AO883">
        <f>IFERROR(ROUND(L883*(K883/$AU883)/VLOOKUP("交易",商品!$A$4:$B$60,2,FALSE),0),0)</f>
        <v>22</v>
      </c>
      <c r="AP883" t="str">
        <f>IFERROR(ROUND(S883*(N883/$AV883)/VLOOKUP(M883,职业!$A$4:$G$16,4,FALSE),0),"")</f>
        <v/>
      </c>
      <c r="AQ883" t="str">
        <f>IFERROR(ROUND(S883*(P883/$AV883)/VLOOKUP(O883,职业!$A$4:$G$16,4,FALSE),0),"")</f>
        <v/>
      </c>
      <c r="AR883" t="str">
        <f>IFERROR(ROUND(S883*(R883/$AV883)/VLOOKUP(Q883,职业!$A$4:$G$16,4,FALSE),0),"")</f>
        <v/>
      </c>
      <c r="AS883" t="str">
        <f>IFERROR(ROUND(X883*(U883/$AW883)/VLOOKUP(T883,商品!$A$4:$B$60,2,FALSE),0),"")</f>
        <v/>
      </c>
      <c r="AT883" t="str">
        <f>IFERROR(ROUND(X883*(W883/$AW883)/VLOOKUP(V883,商品!$A$4:$B$60,2,FALSE),0),"")</f>
        <v/>
      </c>
      <c r="AU883">
        <f t="shared" si="269"/>
        <v>35</v>
      </c>
      <c r="AV883">
        <f t="shared" si="270"/>
        <v>0</v>
      </c>
      <c r="AW883">
        <f t="shared" si="271"/>
        <v>0</v>
      </c>
    </row>
    <row r="884" spans="1:49" ht="19.95" customHeight="1" x14ac:dyDescent="0.25">
      <c r="A884" s="16" t="s">
        <v>368</v>
      </c>
      <c r="C884" s="16">
        <v>4</v>
      </c>
      <c r="D884" s="23" t="s">
        <v>171</v>
      </c>
      <c r="E884" s="23" t="s">
        <v>172</v>
      </c>
      <c r="F884" s="2" t="s">
        <v>41</v>
      </c>
      <c r="G884" s="2">
        <v>10</v>
      </c>
      <c r="H884" s="2" t="s">
        <v>38</v>
      </c>
      <c r="I884" s="2">
        <v>15</v>
      </c>
      <c r="J884" s="24">
        <v>5</v>
      </c>
      <c r="K884" s="25">
        <v>5</v>
      </c>
      <c r="L884" s="15">
        <f>IFERROR(VLOOKUP($D884&amp;$C884,生产方式定位!$A$2:$E$38,2,FALSE)+VLOOKUP($E884&amp;$C884,生产方式定位!$F$3:$J$38,2,FALSE),0)</f>
        <v>1950</v>
      </c>
      <c r="S884" s="15">
        <f>IFERROR(VLOOKUP($D884&amp;$C884,生产方式定位!$A$2:$E$38,3,FALSE)+VLOOKUP($E884&amp;$C884,生产方式定位!$F$3:$J$38,3,FALSE),0)</f>
        <v>100</v>
      </c>
      <c r="X884" s="15">
        <f>IFERROR(VLOOKUP($D884&amp;$C884,生产方式定位!$A$2:$E$38,5,FALSE)+VLOOKUP($E884&amp;$C884,生产方式定位!$F$3:$J$38,5,FALSE),"错误")</f>
        <v>2590</v>
      </c>
      <c r="Y884" s="26" t="str">
        <f t="shared" si="256"/>
        <v>工具*14,肥料*14,运力*28,交易*28</v>
      </c>
      <c r="Z884" s="36" t="str">
        <f t="shared" si="257"/>
        <v/>
      </c>
      <c r="AA884" s="36" t="str">
        <f t="shared" si="258"/>
        <v/>
      </c>
      <c r="AB884" s="27" t="str">
        <f t="shared" si="259"/>
        <v>33%</v>
      </c>
      <c r="AC884" s="2">
        <f t="shared" si="260"/>
        <v>540</v>
      </c>
      <c r="AD884" s="38">
        <f t="shared" si="261"/>
        <v>4</v>
      </c>
      <c r="AE884" t="str">
        <f t="shared" si="262"/>
        <v>工具*14</v>
      </c>
      <c r="AF884" t="str">
        <f t="shared" si="263"/>
        <v>肥料*14</v>
      </c>
      <c r="AG884" t="str">
        <f t="shared" si="264"/>
        <v/>
      </c>
      <c r="AH884" t="str">
        <f t="shared" si="265"/>
        <v/>
      </c>
      <c r="AI884" t="str">
        <f t="shared" si="266"/>
        <v/>
      </c>
      <c r="AJ884" t="str">
        <f t="shared" si="267"/>
        <v/>
      </c>
      <c r="AK884" t="str">
        <f t="shared" si="268"/>
        <v/>
      </c>
      <c r="AL884">
        <f>IFERROR(ROUND(L884*(G884/$AU884)/VLOOKUP(F884,商品!$A$4:$B$60,2,FALSE),0),"")</f>
        <v>14</v>
      </c>
      <c r="AM884">
        <f>IFERROR(ROUND(L884*(I884/$AU884)/VLOOKUP(H884,商品!$A$4:$B$60,2,FALSE),0),"")</f>
        <v>14</v>
      </c>
      <c r="AN884">
        <f>IFERROR(ROUND(L884*(J884/$AU884)/VLOOKUP("运力",商品!$A$4:$B$60,2,FALSE),0),0)</f>
        <v>28</v>
      </c>
      <c r="AO884">
        <f>IFERROR(ROUND(L884*(K884/$AU884)/VLOOKUP("交易",商品!$A$4:$B$60,2,FALSE),0),0)</f>
        <v>28</v>
      </c>
      <c r="AP884" t="str">
        <f>IFERROR(ROUND(S884*(N884/$AV884)/VLOOKUP(M884,职业!$A$4:$G$16,4,FALSE),0),"")</f>
        <v/>
      </c>
      <c r="AQ884" t="str">
        <f>IFERROR(ROUND(S884*(P884/$AV884)/VLOOKUP(O884,职业!$A$4:$G$16,4,FALSE),0),"")</f>
        <v/>
      </c>
      <c r="AR884" t="str">
        <f>IFERROR(ROUND(S884*(R884/$AV884)/VLOOKUP(Q884,职业!$A$4:$G$16,4,FALSE),0),"")</f>
        <v/>
      </c>
      <c r="AS884" t="str">
        <f>IFERROR(ROUND(X884*(U884/$AW884)/VLOOKUP(T884,商品!$A$4:$B$60,2,FALSE),0),"")</f>
        <v/>
      </c>
      <c r="AT884" t="str">
        <f>IFERROR(ROUND(X884*(W884/$AW884)/VLOOKUP(V884,商品!$A$4:$B$60,2,FALSE),0),"")</f>
        <v/>
      </c>
      <c r="AU884">
        <f t="shared" si="269"/>
        <v>35</v>
      </c>
      <c r="AV884">
        <f t="shared" si="270"/>
        <v>0</v>
      </c>
      <c r="AW884">
        <f t="shared" si="271"/>
        <v>0</v>
      </c>
    </row>
    <row r="885" spans="1:49" ht="19.95" customHeight="1" x14ac:dyDescent="0.25">
      <c r="A885" s="16" t="s">
        <v>368</v>
      </c>
      <c r="C885" s="16">
        <v>5</v>
      </c>
      <c r="D885" s="23" t="s">
        <v>171</v>
      </c>
      <c r="E885" s="23" t="s">
        <v>172</v>
      </c>
      <c r="F885" s="2" t="s">
        <v>41</v>
      </c>
      <c r="G885" s="2">
        <v>10</v>
      </c>
      <c r="H885" s="2" t="s">
        <v>38</v>
      </c>
      <c r="I885" s="2">
        <v>15</v>
      </c>
      <c r="J885" s="24">
        <v>5</v>
      </c>
      <c r="K885" s="25">
        <v>5</v>
      </c>
      <c r="L885" s="15">
        <f>IFERROR(VLOOKUP($D885&amp;$C885,生产方式定位!$A$2:$E$38,2,FALSE)+VLOOKUP($E885&amp;$C885,生产方式定位!$F$3:$J$38,2,FALSE),0)</f>
        <v>2375</v>
      </c>
      <c r="S885" s="15">
        <f>IFERROR(VLOOKUP($D885&amp;$C885,生产方式定位!$A$2:$E$38,3,FALSE)+VLOOKUP($E885&amp;$C885,生产方式定位!$F$3:$J$38,3,FALSE),0)</f>
        <v>100</v>
      </c>
      <c r="X885" s="15">
        <f>IFERROR(VLOOKUP($D885&amp;$C885,生产方式定位!$A$2:$E$38,5,FALSE)+VLOOKUP($E885&amp;$C885,生产方式定位!$F$3:$J$38,5,FALSE),"错误")</f>
        <v>3130</v>
      </c>
      <c r="Y885" s="26" t="str">
        <f t="shared" si="256"/>
        <v>工具*17,肥料*17,运力*34,交易*34</v>
      </c>
      <c r="Z885" s="36" t="str">
        <f t="shared" si="257"/>
        <v/>
      </c>
      <c r="AA885" s="36" t="str">
        <f t="shared" si="258"/>
        <v/>
      </c>
      <c r="AB885" s="27" t="str">
        <f t="shared" si="259"/>
        <v>32%</v>
      </c>
      <c r="AC885" s="2">
        <f t="shared" si="260"/>
        <v>655</v>
      </c>
      <c r="AD885" s="38">
        <f t="shared" si="261"/>
        <v>5</v>
      </c>
      <c r="AE885" t="str">
        <f t="shared" si="262"/>
        <v>工具*17</v>
      </c>
      <c r="AF885" t="str">
        <f t="shared" si="263"/>
        <v>肥料*17</v>
      </c>
      <c r="AG885" t="str">
        <f t="shared" si="264"/>
        <v/>
      </c>
      <c r="AH885" t="str">
        <f t="shared" si="265"/>
        <v/>
      </c>
      <c r="AI885" t="str">
        <f t="shared" si="266"/>
        <v/>
      </c>
      <c r="AJ885" t="str">
        <f t="shared" si="267"/>
        <v/>
      </c>
      <c r="AK885" t="str">
        <f t="shared" si="268"/>
        <v/>
      </c>
      <c r="AL885">
        <f>IFERROR(ROUND(L885*(G885/$AU885)/VLOOKUP(F885,商品!$A$4:$B$60,2,FALSE),0),"")</f>
        <v>17</v>
      </c>
      <c r="AM885">
        <f>IFERROR(ROUND(L885*(I885/$AU885)/VLOOKUP(H885,商品!$A$4:$B$60,2,FALSE),0),"")</f>
        <v>17</v>
      </c>
      <c r="AN885">
        <f>IFERROR(ROUND(L885*(J885/$AU885)/VLOOKUP("运力",商品!$A$4:$B$60,2,FALSE),0),0)</f>
        <v>34</v>
      </c>
      <c r="AO885">
        <f>IFERROR(ROUND(L885*(K885/$AU885)/VLOOKUP("交易",商品!$A$4:$B$60,2,FALSE),0),0)</f>
        <v>34</v>
      </c>
      <c r="AP885" t="str">
        <f>IFERROR(ROUND(S885*(N885/$AV885)/VLOOKUP(M885,职业!$A$4:$G$16,4,FALSE),0),"")</f>
        <v/>
      </c>
      <c r="AQ885" t="str">
        <f>IFERROR(ROUND(S885*(P885/$AV885)/VLOOKUP(O885,职业!$A$4:$G$16,4,FALSE),0),"")</f>
        <v/>
      </c>
      <c r="AR885" t="str">
        <f>IFERROR(ROUND(S885*(R885/$AV885)/VLOOKUP(Q885,职业!$A$4:$G$16,4,FALSE),0),"")</f>
        <v/>
      </c>
      <c r="AS885" t="str">
        <f>IFERROR(ROUND(X885*(U885/$AW885)/VLOOKUP(T885,商品!$A$4:$B$60,2,FALSE),0),"")</f>
        <v/>
      </c>
      <c r="AT885" t="str">
        <f>IFERROR(ROUND(X885*(W885/$AW885)/VLOOKUP(V885,商品!$A$4:$B$60,2,FALSE),0),"")</f>
        <v/>
      </c>
      <c r="AU885">
        <f t="shared" si="269"/>
        <v>35</v>
      </c>
      <c r="AV885">
        <f t="shared" si="270"/>
        <v>0</v>
      </c>
      <c r="AW885">
        <f t="shared" si="271"/>
        <v>0</v>
      </c>
    </row>
    <row r="886" spans="1:49" ht="19.95" customHeight="1" x14ac:dyDescent="0.25">
      <c r="A886" s="15" t="s">
        <v>369</v>
      </c>
      <c r="C886" s="15">
        <v>1</v>
      </c>
      <c r="D886" s="23" t="s">
        <v>174</v>
      </c>
      <c r="E886" s="23" t="s">
        <v>175</v>
      </c>
      <c r="L886" s="16">
        <f>IFERROR(VLOOKUP($D886&amp;$C886,生产方式定位!$A$2:$E$38,2,FALSE)+VLOOKUP($E886&amp;$C886,生产方式定位!$F$3:$J$38,2,FALSE),0)</f>
        <v>0</v>
      </c>
      <c r="S886" s="16">
        <f>IFERROR(VLOOKUP($D886&amp;$C886,生产方式定位!$A$2:$E$38,3,FALSE)+VLOOKUP($E886&amp;$C886,生产方式定位!$F$3:$J$38,3,FALSE),0)</f>
        <v>0</v>
      </c>
      <c r="X886" s="16">
        <f>IFERROR(VLOOKUP($D886&amp;$C886,生产方式定位!$A$2:$E$38,5,FALSE)+VLOOKUP($E886&amp;$C886,生产方式定位!$F$3:$J$38,5,FALSE),"错误")</f>
        <v>0</v>
      </c>
      <c r="Y886" s="26" t="str">
        <f t="shared" si="256"/>
        <v/>
      </c>
      <c r="Z886" s="36" t="str">
        <f t="shared" si="257"/>
        <v/>
      </c>
      <c r="AA886" s="36" t="str">
        <f t="shared" si="258"/>
        <v/>
      </c>
      <c r="AB886" s="27" t="str">
        <f t="shared" si="259"/>
        <v/>
      </c>
      <c r="AC886" s="2" t="str">
        <f t="shared" si="260"/>
        <v/>
      </c>
      <c r="AD886" s="38">
        <f t="shared" si="261"/>
        <v>1</v>
      </c>
      <c r="AE886" t="str">
        <f t="shared" si="262"/>
        <v/>
      </c>
      <c r="AF886" t="str">
        <f t="shared" si="263"/>
        <v/>
      </c>
      <c r="AG886" t="str">
        <f t="shared" si="264"/>
        <v/>
      </c>
      <c r="AH886" t="str">
        <f t="shared" si="265"/>
        <v/>
      </c>
      <c r="AI886" t="str">
        <f t="shared" si="266"/>
        <v/>
      </c>
      <c r="AJ886" t="str">
        <f t="shared" si="267"/>
        <v/>
      </c>
      <c r="AK886" t="str">
        <f t="shared" si="268"/>
        <v/>
      </c>
      <c r="AL886" t="str">
        <f>IFERROR(ROUND(L886*(G886/$AU886)/VLOOKUP(F886,商品!$A$4:$B$60,2,FALSE),0),"")</f>
        <v/>
      </c>
      <c r="AM886" t="str">
        <f>IFERROR(ROUND(L886*(I886/$AU886)/VLOOKUP(H886,商品!$A$4:$B$60,2,FALSE),0),"")</f>
        <v/>
      </c>
      <c r="AN886">
        <f>IFERROR(ROUND(L886*(J886/$AU886)/VLOOKUP("运力",商品!$A$4:$B$60,2,FALSE),0),0)</f>
        <v>0</v>
      </c>
      <c r="AO886">
        <f>IFERROR(ROUND(L886*(K886/$AU886)/VLOOKUP("交易",商品!$A$4:$B$60,2,FALSE),0),0)</f>
        <v>0</v>
      </c>
      <c r="AP886" t="str">
        <f>IFERROR(ROUND(S886*(N886/$AV886)/VLOOKUP(M886,职业!$A$4:$G$16,4,FALSE),0),"")</f>
        <v/>
      </c>
      <c r="AQ886" t="str">
        <f>IFERROR(ROUND(S886*(P886/$AV886)/VLOOKUP(O886,职业!$A$4:$G$16,4,FALSE),0),"")</f>
        <v/>
      </c>
      <c r="AR886" t="str">
        <f>IFERROR(ROUND(S886*(R886/$AV886)/VLOOKUP(Q886,职业!$A$4:$G$16,4,FALSE),0),"")</f>
        <v/>
      </c>
      <c r="AS886" t="str">
        <f>IFERROR(ROUND(X886*(U886/$AW886)/VLOOKUP(T886,商品!$A$4:$B$60,2,FALSE),0),"")</f>
        <v/>
      </c>
      <c r="AT886" t="str">
        <f>IFERROR(ROUND(X886*(W886/$AW886)/VLOOKUP(V886,商品!$A$4:$B$60,2,FALSE),0),"")</f>
        <v/>
      </c>
      <c r="AU886">
        <f t="shared" si="269"/>
        <v>0</v>
      </c>
      <c r="AV886">
        <f t="shared" si="270"/>
        <v>0</v>
      </c>
      <c r="AW886">
        <f t="shared" si="271"/>
        <v>0</v>
      </c>
    </row>
    <row r="887" spans="1:49" ht="19.95" customHeight="1" x14ac:dyDescent="0.25">
      <c r="A887" s="15" t="s">
        <v>369</v>
      </c>
      <c r="C887" s="15">
        <v>2</v>
      </c>
      <c r="D887" s="23" t="s">
        <v>174</v>
      </c>
      <c r="E887" s="23" t="s">
        <v>175</v>
      </c>
      <c r="F887" s="2" t="s">
        <v>41</v>
      </c>
      <c r="G887" s="2">
        <v>10</v>
      </c>
      <c r="L887" s="16">
        <f>IFERROR(VLOOKUP($D887&amp;$C887,生产方式定位!$A$2:$E$38,2,FALSE)+VLOOKUP($E887&amp;$C887,生产方式定位!$F$3:$J$38,2,FALSE),0)</f>
        <v>50</v>
      </c>
      <c r="S887" s="16">
        <f>IFERROR(VLOOKUP($D887&amp;$C887,生产方式定位!$A$2:$E$38,3,FALSE)+VLOOKUP($E887&amp;$C887,生产方式定位!$F$3:$J$38,3,FALSE),0)</f>
        <v>10</v>
      </c>
      <c r="X887" s="16">
        <f>IFERROR(VLOOKUP($D887&amp;$C887,生产方式定位!$A$2:$E$38,5,FALSE)+VLOOKUP($E887&amp;$C887,生产方式定位!$F$3:$J$38,5,FALSE),"错误")</f>
        <v>0</v>
      </c>
      <c r="Y887" s="26" t="str">
        <f t="shared" si="256"/>
        <v>工具*1</v>
      </c>
      <c r="Z887" s="36" t="str">
        <f t="shared" si="257"/>
        <v/>
      </c>
      <c r="AA887" s="36" t="str">
        <f t="shared" si="258"/>
        <v/>
      </c>
      <c r="AB887" s="27" t="str">
        <f t="shared" si="259"/>
        <v>-100%</v>
      </c>
      <c r="AC887" s="2">
        <f t="shared" si="260"/>
        <v>-60</v>
      </c>
      <c r="AD887" s="38">
        <f t="shared" si="261"/>
        <v>2</v>
      </c>
      <c r="AE887" t="str">
        <f t="shared" si="262"/>
        <v>工具*1</v>
      </c>
      <c r="AF887" t="str">
        <f t="shared" si="263"/>
        <v/>
      </c>
      <c r="AG887" t="str">
        <f t="shared" si="264"/>
        <v/>
      </c>
      <c r="AH887" t="str">
        <f t="shared" si="265"/>
        <v/>
      </c>
      <c r="AI887" t="str">
        <f t="shared" si="266"/>
        <v/>
      </c>
      <c r="AJ887" t="str">
        <f t="shared" si="267"/>
        <v/>
      </c>
      <c r="AK887" t="str">
        <f t="shared" si="268"/>
        <v/>
      </c>
      <c r="AL887">
        <f>IFERROR(ROUND(L887*(G887/$AU887)/VLOOKUP(F887,商品!$A$4:$B$60,2,FALSE),0),"")</f>
        <v>1</v>
      </c>
      <c r="AM887" t="str">
        <f>IFERROR(ROUND(L887*(I887/$AU887)/VLOOKUP(H887,商品!$A$4:$B$60,2,FALSE),0),"")</f>
        <v/>
      </c>
      <c r="AN887">
        <f>IFERROR(ROUND(L887*(J887/$AU887)/VLOOKUP("运力",商品!$A$4:$B$60,2,FALSE),0),0)</f>
        <v>0</v>
      </c>
      <c r="AO887">
        <f>IFERROR(ROUND(L887*(K887/$AU887)/VLOOKUP("交易",商品!$A$4:$B$60,2,FALSE),0),0)</f>
        <v>0</v>
      </c>
      <c r="AP887" t="str">
        <f>IFERROR(ROUND(S887*(N887/$AV887)/VLOOKUP(M887,职业!$A$4:$G$16,4,FALSE),0),"")</f>
        <v/>
      </c>
      <c r="AQ887" t="str">
        <f>IFERROR(ROUND(S887*(P887/$AV887)/VLOOKUP(O887,职业!$A$4:$G$16,4,FALSE),0),"")</f>
        <v/>
      </c>
      <c r="AR887" t="str">
        <f>IFERROR(ROUND(S887*(R887/$AV887)/VLOOKUP(Q887,职业!$A$4:$G$16,4,FALSE),0),"")</f>
        <v/>
      </c>
      <c r="AS887" t="str">
        <f>IFERROR(ROUND(X887*(U887/$AW887)/VLOOKUP(T887,商品!$A$4:$B$60,2,FALSE),0),"")</f>
        <v/>
      </c>
      <c r="AT887" t="str">
        <f>IFERROR(ROUND(X887*(W887/$AW887)/VLOOKUP(V887,商品!$A$4:$B$60,2,FALSE),0),"")</f>
        <v/>
      </c>
      <c r="AU887">
        <f t="shared" si="269"/>
        <v>10</v>
      </c>
      <c r="AV887">
        <f t="shared" si="270"/>
        <v>0</v>
      </c>
      <c r="AW887">
        <f t="shared" si="271"/>
        <v>0</v>
      </c>
    </row>
    <row r="888" spans="1:49" ht="19.95" customHeight="1" x14ac:dyDescent="0.25">
      <c r="A888" s="15" t="s">
        <v>369</v>
      </c>
      <c r="C888" s="15">
        <v>3</v>
      </c>
      <c r="D888" s="23" t="s">
        <v>174</v>
      </c>
      <c r="E888" s="23" t="s">
        <v>175</v>
      </c>
      <c r="F888" s="2" t="s">
        <v>41</v>
      </c>
      <c r="G888" s="2">
        <v>10</v>
      </c>
      <c r="L888" s="16">
        <f>IFERROR(VLOOKUP($D888&amp;$C888,生产方式定位!$A$2:$E$38,2,FALSE)+VLOOKUP($E888&amp;$C888,生产方式定位!$F$3:$J$38,2,FALSE),0)</f>
        <v>100</v>
      </c>
      <c r="S888" s="16">
        <f>IFERROR(VLOOKUP($D888&amp;$C888,生产方式定位!$A$2:$E$38,3,FALSE)+VLOOKUP($E888&amp;$C888,生产方式定位!$F$3:$J$38,3,FALSE),0)</f>
        <v>20</v>
      </c>
      <c r="X888" s="16">
        <f>IFERROR(VLOOKUP($D888&amp;$C888,生产方式定位!$A$2:$E$38,5,FALSE)+VLOOKUP($E888&amp;$C888,生产方式定位!$F$3:$J$38,5,FALSE),"错误")</f>
        <v>0</v>
      </c>
      <c r="Y888" s="26" t="str">
        <f t="shared" si="256"/>
        <v>工具*3</v>
      </c>
      <c r="Z888" s="36" t="str">
        <f t="shared" si="257"/>
        <v/>
      </c>
      <c r="AA888" s="36" t="str">
        <f t="shared" si="258"/>
        <v/>
      </c>
      <c r="AB888" s="27" t="str">
        <f t="shared" si="259"/>
        <v>-100%</v>
      </c>
      <c r="AC888" s="2">
        <f t="shared" si="260"/>
        <v>-120</v>
      </c>
      <c r="AD888" s="38">
        <f t="shared" si="261"/>
        <v>3</v>
      </c>
      <c r="AE888" t="str">
        <f t="shared" si="262"/>
        <v>工具*3</v>
      </c>
      <c r="AF888" t="str">
        <f t="shared" si="263"/>
        <v/>
      </c>
      <c r="AG888" t="str">
        <f t="shared" si="264"/>
        <v/>
      </c>
      <c r="AH888" t="str">
        <f t="shared" si="265"/>
        <v/>
      </c>
      <c r="AI888" t="str">
        <f t="shared" si="266"/>
        <v/>
      </c>
      <c r="AJ888" t="str">
        <f t="shared" si="267"/>
        <v/>
      </c>
      <c r="AK888" t="str">
        <f t="shared" si="268"/>
        <v/>
      </c>
      <c r="AL888">
        <f>IFERROR(ROUND(L888*(G888/$AU888)/VLOOKUP(F888,商品!$A$4:$B$60,2,FALSE),0),"")</f>
        <v>3</v>
      </c>
      <c r="AM888" t="str">
        <f>IFERROR(ROUND(L888*(I888/$AU888)/VLOOKUP(H888,商品!$A$4:$B$60,2,FALSE),0),"")</f>
        <v/>
      </c>
      <c r="AN888">
        <f>IFERROR(ROUND(L888*(J888/$AU888)/VLOOKUP("运力",商品!$A$4:$B$60,2,FALSE),0),0)</f>
        <v>0</v>
      </c>
      <c r="AO888">
        <f>IFERROR(ROUND(L888*(K888/$AU888)/VLOOKUP("交易",商品!$A$4:$B$60,2,FALSE),0),0)</f>
        <v>0</v>
      </c>
      <c r="AP888" t="str">
        <f>IFERROR(ROUND(S888*(N888/$AV888)/VLOOKUP(M888,职业!$A$4:$G$16,4,FALSE),0),"")</f>
        <v/>
      </c>
      <c r="AQ888" t="str">
        <f>IFERROR(ROUND(S888*(P888/$AV888)/VLOOKUP(O888,职业!$A$4:$G$16,4,FALSE),0),"")</f>
        <v/>
      </c>
      <c r="AR888" t="str">
        <f>IFERROR(ROUND(S888*(R888/$AV888)/VLOOKUP(Q888,职业!$A$4:$G$16,4,FALSE),0),"")</f>
        <v/>
      </c>
      <c r="AS888" t="str">
        <f>IFERROR(ROUND(X888*(U888/$AW888)/VLOOKUP(T888,商品!$A$4:$B$60,2,FALSE),0),"")</f>
        <v/>
      </c>
      <c r="AT888" t="str">
        <f>IFERROR(ROUND(X888*(W888/$AW888)/VLOOKUP(V888,商品!$A$4:$B$60,2,FALSE),0),"")</f>
        <v/>
      </c>
      <c r="AU888">
        <f t="shared" si="269"/>
        <v>10</v>
      </c>
      <c r="AV888">
        <f t="shared" si="270"/>
        <v>0</v>
      </c>
      <c r="AW888">
        <f t="shared" si="271"/>
        <v>0</v>
      </c>
    </row>
    <row r="889" spans="1:49" ht="19.95" customHeight="1" x14ac:dyDescent="0.25">
      <c r="A889" s="15" t="s">
        <v>369</v>
      </c>
      <c r="C889" s="15">
        <v>4</v>
      </c>
      <c r="D889" s="23" t="s">
        <v>174</v>
      </c>
      <c r="E889" s="23" t="s">
        <v>175</v>
      </c>
      <c r="F889" s="2" t="s">
        <v>45</v>
      </c>
      <c r="G889" s="2">
        <v>5</v>
      </c>
      <c r="H889" s="2" t="s">
        <v>19</v>
      </c>
      <c r="I889" s="2">
        <v>10</v>
      </c>
      <c r="L889" s="16">
        <f>IFERROR(VLOOKUP($D889&amp;$C889,生产方式定位!$A$2:$E$38,2,FALSE)+VLOOKUP($E889&amp;$C889,生产方式定位!$F$3:$J$38,2,FALSE),0)</f>
        <v>150</v>
      </c>
      <c r="S889" s="16">
        <f>IFERROR(VLOOKUP($D889&amp;$C889,生产方式定位!$A$2:$E$38,3,FALSE)+VLOOKUP($E889&amp;$C889,生产方式定位!$F$3:$J$38,3,FALSE),0)</f>
        <v>30</v>
      </c>
      <c r="X889" s="16">
        <f>IFERROR(VLOOKUP($D889&amp;$C889,生产方式定位!$A$2:$E$38,5,FALSE)+VLOOKUP($E889&amp;$C889,生产方式定位!$F$3:$J$38,5,FALSE),"错误")</f>
        <v>0</v>
      </c>
      <c r="Y889" s="26" t="str">
        <f t="shared" si="256"/>
        <v>科学引擎*1,煤*3</v>
      </c>
      <c r="Z889" s="36" t="str">
        <f t="shared" si="257"/>
        <v/>
      </c>
      <c r="AA889" s="36" t="str">
        <f t="shared" si="258"/>
        <v/>
      </c>
      <c r="AB889" s="27" t="str">
        <f t="shared" si="259"/>
        <v>-100%</v>
      </c>
      <c r="AC889" s="2">
        <f t="shared" si="260"/>
        <v>-180</v>
      </c>
      <c r="AD889" s="38">
        <f t="shared" si="261"/>
        <v>4</v>
      </c>
      <c r="AE889" t="str">
        <f t="shared" si="262"/>
        <v>科学引擎*1</v>
      </c>
      <c r="AF889" t="str">
        <f t="shared" si="263"/>
        <v>煤*3</v>
      </c>
      <c r="AG889" t="str">
        <f t="shared" si="264"/>
        <v/>
      </c>
      <c r="AH889" t="str">
        <f t="shared" si="265"/>
        <v/>
      </c>
      <c r="AI889" t="str">
        <f t="shared" si="266"/>
        <v/>
      </c>
      <c r="AJ889" t="str">
        <f t="shared" si="267"/>
        <v/>
      </c>
      <c r="AK889" t="str">
        <f t="shared" si="268"/>
        <v/>
      </c>
      <c r="AL889">
        <f>IFERROR(ROUND(L889*(G889/$AU889)/VLOOKUP(F889,商品!$A$4:$B$60,2,FALSE),0),"")</f>
        <v>1</v>
      </c>
      <c r="AM889">
        <f>IFERROR(ROUND(L889*(I889/$AU889)/VLOOKUP(H889,商品!$A$4:$B$60,2,FALSE),0),"")</f>
        <v>3</v>
      </c>
      <c r="AN889">
        <f>IFERROR(ROUND(L889*(J889/$AU889)/VLOOKUP("运力",商品!$A$4:$B$60,2,FALSE),0),0)</f>
        <v>0</v>
      </c>
      <c r="AO889">
        <f>IFERROR(ROUND(L889*(K889/$AU889)/VLOOKUP("交易",商品!$A$4:$B$60,2,FALSE),0),0)</f>
        <v>0</v>
      </c>
      <c r="AP889" t="str">
        <f>IFERROR(ROUND(S889*(N889/$AV889)/VLOOKUP(M889,职业!$A$4:$G$16,4,FALSE),0),"")</f>
        <v/>
      </c>
      <c r="AQ889" t="str">
        <f>IFERROR(ROUND(S889*(P889/$AV889)/VLOOKUP(O889,职业!$A$4:$G$16,4,FALSE),0),"")</f>
        <v/>
      </c>
      <c r="AR889" t="str">
        <f>IFERROR(ROUND(S889*(R889/$AV889)/VLOOKUP(Q889,职业!$A$4:$G$16,4,FALSE),0),"")</f>
        <v/>
      </c>
      <c r="AS889" t="str">
        <f>IFERROR(ROUND(X889*(U889/$AW889)/VLOOKUP(T889,商品!$A$4:$B$60,2,FALSE),0),"")</f>
        <v/>
      </c>
      <c r="AT889" t="str">
        <f>IFERROR(ROUND(X889*(W889/$AW889)/VLOOKUP(V889,商品!$A$4:$B$60,2,FALSE),0),"")</f>
        <v/>
      </c>
      <c r="AU889">
        <f t="shared" si="269"/>
        <v>15</v>
      </c>
      <c r="AV889">
        <f t="shared" si="270"/>
        <v>0</v>
      </c>
      <c r="AW889">
        <f t="shared" si="271"/>
        <v>0</v>
      </c>
    </row>
    <row r="890" spans="1:49" ht="19.95" customHeight="1" x14ac:dyDescent="0.25">
      <c r="A890" s="15" t="s">
        <v>369</v>
      </c>
      <c r="C890" s="15">
        <v>5</v>
      </c>
      <c r="D890" s="23" t="s">
        <v>174</v>
      </c>
      <c r="E890" s="23" t="s">
        <v>175</v>
      </c>
      <c r="F890" s="2" t="s">
        <v>46</v>
      </c>
      <c r="G890" s="2">
        <v>5</v>
      </c>
      <c r="H890" s="2" t="s">
        <v>19</v>
      </c>
      <c r="I890" s="2">
        <v>10</v>
      </c>
      <c r="L890" s="16">
        <f>IFERROR(VLOOKUP($D890&amp;$C890,生产方式定位!$A$2:$E$38,2,FALSE)+VLOOKUP($E890&amp;$C890,生产方式定位!$F$3:$J$38,2,FALSE),0)</f>
        <v>200</v>
      </c>
      <c r="S890" s="16">
        <f>IFERROR(VLOOKUP($D890&amp;$C890,生产方式定位!$A$2:$E$38,3,FALSE)+VLOOKUP($E890&amp;$C890,生产方式定位!$F$3:$J$38,3,FALSE),0)</f>
        <v>40</v>
      </c>
      <c r="X890" s="16">
        <f>IFERROR(VLOOKUP($D890&amp;$C890,生产方式定位!$A$2:$E$38,5,FALSE)+VLOOKUP($E890&amp;$C890,生产方式定位!$F$3:$J$38,5,FALSE),"错误")</f>
        <v>0</v>
      </c>
      <c r="Y890" s="26" t="str">
        <f t="shared" si="256"/>
        <v>魔导引擎*1,煤*4</v>
      </c>
      <c r="Z890" s="36" t="str">
        <f t="shared" si="257"/>
        <v/>
      </c>
      <c r="AA890" s="36" t="str">
        <f t="shared" si="258"/>
        <v/>
      </c>
      <c r="AB890" s="27" t="str">
        <f t="shared" si="259"/>
        <v>-100%</v>
      </c>
      <c r="AC890" s="2">
        <f t="shared" si="260"/>
        <v>-240</v>
      </c>
      <c r="AD890" s="38">
        <f t="shared" si="261"/>
        <v>5</v>
      </c>
      <c r="AE890" t="str">
        <f t="shared" si="262"/>
        <v>魔导引擎*1</v>
      </c>
      <c r="AF890" t="str">
        <f t="shared" si="263"/>
        <v>煤*4</v>
      </c>
      <c r="AG890" t="str">
        <f t="shared" si="264"/>
        <v/>
      </c>
      <c r="AH890" t="str">
        <f t="shared" si="265"/>
        <v/>
      </c>
      <c r="AI890" t="str">
        <f t="shared" si="266"/>
        <v/>
      </c>
      <c r="AJ890" t="str">
        <f t="shared" si="267"/>
        <v/>
      </c>
      <c r="AK890" t="str">
        <f t="shared" si="268"/>
        <v/>
      </c>
      <c r="AL890">
        <f>IFERROR(ROUND(L890*(G890/$AU890)/VLOOKUP(F890,商品!$A$4:$B$60,2,FALSE),0),"")</f>
        <v>1</v>
      </c>
      <c r="AM890">
        <f>IFERROR(ROUND(L890*(I890/$AU890)/VLOOKUP(H890,商品!$A$4:$B$60,2,FALSE),0),"")</f>
        <v>4</v>
      </c>
      <c r="AN890">
        <f>IFERROR(ROUND(L890*(J890/$AU890)/VLOOKUP("运力",商品!$A$4:$B$60,2,FALSE),0),0)</f>
        <v>0</v>
      </c>
      <c r="AO890">
        <f>IFERROR(ROUND(L890*(K890/$AU890)/VLOOKUP("交易",商品!$A$4:$B$60,2,FALSE),0),0)</f>
        <v>0</v>
      </c>
      <c r="AP890" t="str">
        <f>IFERROR(ROUND(S890*(N890/$AV890)/VLOOKUP(M890,职业!$A$4:$G$16,4,FALSE),0),"")</f>
        <v/>
      </c>
      <c r="AQ890" t="str">
        <f>IFERROR(ROUND(S890*(P890/$AV890)/VLOOKUP(O890,职业!$A$4:$G$16,4,FALSE),0),"")</f>
        <v/>
      </c>
      <c r="AR890" t="str">
        <f>IFERROR(ROUND(S890*(R890/$AV890)/VLOOKUP(Q890,职业!$A$4:$G$16,4,FALSE),0),"")</f>
        <v/>
      </c>
      <c r="AS890" t="str">
        <f>IFERROR(ROUND(X890*(U890/$AW890)/VLOOKUP(T890,商品!$A$4:$B$60,2,FALSE),0),"")</f>
        <v/>
      </c>
      <c r="AT890" t="str">
        <f>IFERROR(ROUND(X890*(W890/$AW890)/VLOOKUP(V890,商品!$A$4:$B$60,2,FALSE),0),"")</f>
        <v/>
      </c>
      <c r="AU890">
        <f t="shared" si="269"/>
        <v>15</v>
      </c>
      <c r="AV890">
        <f t="shared" si="270"/>
        <v>0</v>
      </c>
      <c r="AW890">
        <f t="shared" si="271"/>
        <v>0</v>
      </c>
    </row>
    <row r="891" spans="1:49" ht="19.95" customHeight="1" x14ac:dyDescent="0.25">
      <c r="A891" s="16" t="s">
        <v>370</v>
      </c>
      <c r="C891" s="16">
        <v>1</v>
      </c>
      <c r="D891" s="23" t="s">
        <v>171</v>
      </c>
      <c r="E891" s="23" t="s">
        <v>177</v>
      </c>
      <c r="L891" s="15">
        <f>IFERROR(VLOOKUP($D891&amp;$C891,生产方式定位!$A$2:$E$38,2,FALSE)+VLOOKUP($E891&amp;$C891,生产方式定位!$F$3:$J$38,2,FALSE),0)</f>
        <v>300</v>
      </c>
      <c r="S891" s="15">
        <f>IFERROR(VLOOKUP($D891&amp;$C891,生产方式定位!$A$2:$E$38,3,FALSE)+VLOOKUP($E891&amp;$C891,生产方式定位!$F$3:$J$38,3,FALSE),0)</f>
        <v>100</v>
      </c>
      <c r="X891" s="15">
        <f>IFERROR(VLOOKUP($D891&amp;$C891,生产方式定位!$A$2:$E$38,5,FALSE)+VLOOKUP($E891&amp;$C891,生产方式定位!$F$3:$J$38,5,FALSE),"错误")</f>
        <v>520</v>
      </c>
      <c r="Y891" s="26" t="str">
        <f t="shared" si="256"/>
        <v/>
      </c>
      <c r="Z891" s="36" t="str">
        <f t="shared" si="257"/>
        <v/>
      </c>
      <c r="AA891" s="36" t="str">
        <f t="shared" si="258"/>
        <v/>
      </c>
      <c r="AB891" s="27" t="str">
        <f t="shared" si="259"/>
        <v>73%</v>
      </c>
      <c r="AC891" s="2">
        <f t="shared" si="260"/>
        <v>120</v>
      </c>
      <c r="AD891" s="37">
        <f t="shared" si="261"/>
        <v>1</v>
      </c>
      <c r="AE891" t="str">
        <f t="shared" si="262"/>
        <v/>
      </c>
      <c r="AF891" t="str">
        <f t="shared" si="263"/>
        <v/>
      </c>
      <c r="AG891" t="str">
        <f t="shared" si="264"/>
        <v/>
      </c>
      <c r="AH891" t="str">
        <f t="shared" si="265"/>
        <v/>
      </c>
      <c r="AI891" t="str">
        <f t="shared" si="266"/>
        <v/>
      </c>
      <c r="AJ891" t="str">
        <f t="shared" si="267"/>
        <v/>
      </c>
      <c r="AK891" t="str">
        <f t="shared" si="268"/>
        <v/>
      </c>
      <c r="AL891" t="str">
        <f>IFERROR(ROUND(L891*(G891/$AU891)/VLOOKUP(F891,商品!$A$4:$B$60,2,FALSE),0),"")</f>
        <v/>
      </c>
      <c r="AM891" t="str">
        <f>IFERROR(ROUND(L891*(I891/$AU891)/VLOOKUP(H891,商品!$A$4:$B$60,2,FALSE),0),"")</f>
        <v/>
      </c>
      <c r="AN891">
        <f>IFERROR(ROUND(L891*(J891/$AU891)/VLOOKUP("运力",商品!$A$4:$B$60,2,FALSE),0),0)</f>
        <v>0</v>
      </c>
      <c r="AO891">
        <f>IFERROR(ROUND(L891*(K891/$AU891)/VLOOKUP("交易",商品!$A$4:$B$60,2,FALSE),0),0)</f>
        <v>0</v>
      </c>
      <c r="AP891" t="str">
        <f>IFERROR(ROUND(S891*(N891/$AV891)/VLOOKUP(M891,职业!$A$4:$G$16,4,FALSE),0),"")</f>
        <v/>
      </c>
      <c r="AQ891" t="str">
        <f>IFERROR(ROUND(S891*(P891/$AV891)/VLOOKUP(O891,职业!$A$4:$G$16,4,FALSE),0),"")</f>
        <v/>
      </c>
      <c r="AR891" t="str">
        <f>IFERROR(ROUND(S891*(R891/$AV891)/VLOOKUP(Q891,职业!$A$4:$G$16,4,FALSE),0),"")</f>
        <v/>
      </c>
      <c r="AS891" t="str">
        <f>IFERROR(ROUND(X891*(U891/$AW891)/VLOOKUP(T891,商品!$A$4:$B$60,2,FALSE),0),"")</f>
        <v/>
      </c>
      <c r="AT891" t="str">
        <f>IFERROR(ROUND(X891*(W891/$AW891)/VLOOKUP(V891,商品!$A$4:$B$60,2,FALSE),0),"")</f>
        <v/>
      </c>
      <c r="AU891">
        <f t="shared" si="269"/>
        <v>0</v>
      </c>
      <c r="AV891">
        <f t="shared" si="270"/>
        <v>0</v>
      </c>
      <c r="AW891">
        <f t="shared" si="271"/>
        <v>0</v>
      </c>
    </row>
    <row r="892" spans="1:49" ht="19.95" customHeight="1" x14ac:dyDescent="0.25">
      <c r="A892" s="16" t="s">
        <v>370</v>
      </c>
      <c r="C892" s="16">
        <v>2</v>
      </c>
      <c r="D892" s="23" t="s">
        <v>171</v>
      </c>
      <c r="E892" s="23" t="s">
        <v>177</v>
      </c>
      <c r="F892" s="2" t="s">
        <v>42</v>
      </c>
      <c r="G892" s="2">
        <v>5</v>
      </c>
      <c r="H892" s="2" t="s">
        <v>20</v>
      </c>
      <c r="I892" s="2">
        <v>10</v>
      </c>
      <c r="L892" s="15">
        <f>IFERROR(VLOOKUP($D892&amp;$C892,生产方式定位!$A$2:$E$38,2,FALSE)+VLOOKUP($E892&amp;$C892,生产方式定位!$F$3:$J$38,2,FALSE),0)</f>
        <v>705</v>
      </c>
      <c r="S892" s="15">
        <f>IFERROR(VLOOKUP($D892&amp;$C892,生产方式定位!$A$2:$E$38,3,FALSE)+VLOOKUP($E892&amp;$C892,生产方式定位!$F$3:$J$38,3,FALSE),0)</f>
        <v>115</v>
      </c>
      <c r="X892" s="15">
        <f>IFERROR(VLOOKUP($D892&amp;$C892,生产方式定位!$A$2:$E$38,5,FALSE)+VLOOKUP($E892&amp;$C892,生产方式定位!$F$3:$J$38,5,FALSE),"错误")</f>
        <v>910</v>
      </c>
      <c r="Y892" s="26" t="str">
        <f t="shared" si="256"/>
        <v>魔偶*6,灵能水晶*16</v>
      </c>
      <c r="Z892" s="36" t="str">
        <f t="shared" si="257"/>
        <v/>
      </c>
      <c r="AA892" s="36" t="str">
        <f t="shared" si="258"/>
        <v/>
      </c>
      <c r="AB892" s="27" t="str">
        <f t="shared" si="259"/>
        <v>29%</v>
      </c>
      <c r="AC892" s="2">
        <f t="shared" si="260"/>
        <v>90</v>
      </c>
      <c r="AD892" s="37">
        <f t="shared" si="261"/>
        <v>2</v>
      </c>
      <c r="AE892" t="str">
        <f t="shared" si="262"/>
        <v>魔偶*6</v>
      </c>
      <c r="AF892" t="str">
        <f t="shared" si="263"/>
        <v>灵能水晶*16</v>
      </c>
      <c r="AG892" t="str">
        <f t="shared" si="264"/>
        <v/>
      </c>
      <c r="AH892" t="str">
        <f t="shared" si="265"/>
        <v/>
      </c>
      <c r="AI892" t="str">
        <f t="shared" si="266"/>
        <v/>
      </c>
      <c r="AJ892" t="str">
        <f t="shared" si="267"/>
        <v/>
      </c>
      <c r="AK892" t="str">
        <f t="shared" si="268"/>
        <v/>
      </c>
      <c r="AL892">
        <f>IFERROR(ROUND(L892*(G892/$AU892)/VLOOKUP(F892,商品!$A$4:$B$60,2,FALSE),0),"")</f>
        <v>6</v>
      </c>
      <c r="AM892">
        <f>IFERROR(ROUND(L892*(I892/$AU892)/VLOOKUP(H892,商品!$A$4:$B$60,2,FALSE),0),"")</f>
        <v>16</v>
      </c>
      <c r="AN892">
        <f>IFERROR(ROUND(L892*(J892/$AU892)/VLOOKUP("运力",商品!$A$4:$B$60,2,FALSE),0),0)</f>
        <v>0</v>
      </c>
      <c r="AO892">
        <f>IFERROR(ROUND(L892*(K892/$AU892)/VLOOKUP("交易",商品!$A$4:$B$60,2,FALSE),0),0)</f>
        <v>0</v>
      </c>
      <c r="AP892" t="str">
        <f>IFERROR(ROUND(S892*(N892/$AV892)/VLOOKUP(M892,职业!$A$4:$G$16,4,FALSE),0),"")</f>
        <v/>
      </c>
      <c r="AQ892" t="str">
        <f>IFERROR(ROUND(S892*(P892/$AV892)/VLOOKUP(O892,职业!$A$4:$G$16,4,FALSE),0),"")</f>
        <v/>
      </c>
      <c r="AR892" t="str">
        <f>IFERROR(ROUND(S892*(R892/$AV892)/VLOOKUP(Q892,职业!$A$4:$G$16,4,FALSE),0),"")</f>
        <v/>
      </c>
      <c r="AS892" t="str">
        <f>IFERROR(ROUND(X892*(U892/$AW892)/VLOOKUP(T892,商品!$A$4:$B$60,2,FALSE),0),"")</f>
        <v/>
      </c>
      <c r="AT892" t="str">
        <f>IFERROR(ROUND(X892*(W892/$AW892)/VLOOKUP(V892,商品!$A$4:$B$60,2,FALSE),0),"")</f>
        <v/>
      </c>
      <c r="AU892">
        <f t="shared" si="269"/>
        <v>15</v>
      </c>
      <c r="AV892">
        <f t="shared" si="270"/>
        <v>0</v>
      </c>
      <c r="AW892">
        <f t="shared" si="271"/>
        <v>0</v>
      </c>
    </row>
    <row r="893" spans="1:49" ht="19.95" customHeight="1" x14ac:dyDescent="0.25">
      <c r="A893" s="16" t="s">
        <v>370</v>
      </c>
      <c r="C893" s="16">
        <v>3</v>
      </c>
      <c r="D893" s="23" t="s">
        <v>171</v>
      </c>
      <c r="E893" s="23" t="s">
        <v>177</v>
      </c>
      <c r="F893" s="2" t="s">
        <v>42</v>
      </c>
      <c r="G893" s="2">
        <v>5</v>
      </c>
      <c r="H893" s="2" t="s">
        <v>20</v>
      </c>
      <c r="I893" s="2">
        <v>10</v>
      </c>
      <c r="L893" s="15">
        <f>IFERROR(VLOOKUP($D893&amp;$C893,生产方式定位!$A$2:$E$38,2,FALSE)+VLOOKUP($E893&amp;$C893,生产方式定位!$F$3:$J$38,2,FALSE),0)</f>
        <v>1110</v>
      </c>
      <c r="S893" s="15">
        <f>IFERROR(VLOOKUP($D893&amp;$C893,生产方式定位!$A$2:$E$38,3,FALSE)+VLOOKUP($E893&amp;$C893,生产方式定位!$F$3:$J$38,3,FALSE),0)</f>
        <v>130</v>
      </c>
      <c r="X893" s="15">
        <f>IFERROR(VLOOKUP($D893&amp;$C893,生产方式定位!$A$2:$E$38,5,FALSE)+VLOOKUP($E893&amp;$C893,生产方式定位!$F$3:$J$38,5,FALSE),"错误")</f>
        <v>1300</v>
      </c>
      <c r="Y893" s="26" t="str">
        <f t="shared" si="256"/>
        <v>魔偶*9,灵能水晶*25</v>
      </c>
      <c r="Z893" s="36" t="str">
        <f t="shared" si="257"/>
        <v/>
      </c>
      <c r="AA893" s="36" t="str">
        <f t="shared" si="258"/>
        <v/>
      </c>
      <c r="AB893" s="27" t="str">
        <f t="shared" si="259"/>
        <v>17%</v>
      </c>
      <c r="AC893" s="2">
        <f t="shared" si="260"/>
        <v>60</v>
      </c>
      <c r="AD893" s="37">
        <f t="shared" si="261"/>
        <v>3</v>
      </c>
      <c r="AE893" t="str">
        <f t="shared" si="262"/>
        <v>魔偶*9</v>
      </c>
      <c r="AF893" t="str">
        <f t="shared" si="263"/>
        <v>灵能水晶*25</v>
      </c>
      <c r="AG893" t="str">
        <f t="shared" si="264"/>
        <v/>
      </c>
      <c r="AH893" t="str">
        <f t="shared" si="265"/>
        <v/>
      </c>
      <c r="AI893" t="str">
        <f t="shared" si="266"/>
        <v/>
      </c>
      <c r="AJ893" t="str">
        <f t="shared" si="267"/>
        <v/>
      </c>
      <c r="AK893" t="str">
        <f t="shared" si="268"/>
        <v/>
      </c>
      <c r="AL893">
        <f>IFERROR(ROUND(L893*(G893/$AU893)/VLOOKUP(F893,商品!$A$4:$B$60,2,FALSE),0),"")</f>
        <v>9</v>
      </c>
      <c r="AM893">
        <f>IFERROR(ROUND(L893*(I893/$AU893)/VLOOKUP(H893,商品!$A$4:$B$60,2,FALSE),0),"")</f>
        <v>25</v>
      </c>
      <c r="AN893">
        <f>IFERROR(ROUND(L893*(J893/$AU893)/VLOOKUP("运力",商品!$A$4:$B$60,2,FALSE),0),0)</f>
        <v>0</v>
      </c>
      <c r="AO893">
        <f>IFERROR(ROUND(L893*(K893/$AU893)/VLOOKUP("交易",商品!$A$4:$B$60,2,FALSE),0),0)</f>
        <v>0</v>
      </c>
      <c r="AP893" t="str">
        <f>IFERROR(ROUND(S893*(N893/$AV893)/VLOOKUP(M893,职业!$A$4:$G$16,4,FALSE),0),"")</f>
        <v/>
      </c>
      <c r="AQ893" t="str">
        <f>IFERROR(ROUND(S893*(P893/$AV893)/VLOOKUP(O893,职业!$A$4:$G$16,4,FALSE),0),"")</f>
        <v/>
      </c>
      <c r="AR893" t="str">
        <f>IFERROR(ROUND(S893*(R893/$AV893)/VLOOKUP(Q893,职业!$A$4:$G$16,4,FALSE),0),"")</f>
        <v/>
      </c>
      <c r="AS893" t="str">
        <f>IFERROR(ROUND(X893*(U893/$AW893)/VLOOKUP(T893,商品!$A$4:$B$60,2,FALSE),0),"")</f>
        <v/>
      </c>
      <c r="AT893" t="str">
        <f>IFERROR(ROUND(X893*(W893/$AW893)/VLOOKUP(V893,商品!$A$4:$B$60,2,FALSE),0),"")</f>
        <v/>
      </c>
      <c r="AU893">
        <f t="shared" si="269"/>
        <v>15</v>
      </c>
      <c r="AV893">
        <f t="shared" si="270"/>
        <v>0</v>
      </c>
      <c r="AW893">
        <f t="shared" si="271"/>
        <v>0</v>
      </c>
    </row>
    <row r="894" spans="1:49" ht="19.95" customHeight="1" x14ac:dyDescent="0.25">
      <c r="A894" s="16" t="s">
        <v>370</v>
      </c>
      <c r="C894" s="16">
        <v>4</v>
      </c>
      <c r="D894" s="23" t="s">
        <v>171</v>
      </c>
      <c r="E894" s="23" t="s">
        <v>177</v>
      </c>
      <c r="F894" s="2" t="s">
        <v>42</v>
      </c>
      <c r="G894" s="2">
        <v>5</v>
      </c>
      <c r="H894" s="2" t="s">
        <v>20</v>
      </c>
      <c r="I894" s="2">
        <v>10</v>
      </c>
      <c r="L894" s="15">
        <f>IFERROR(VLOOKUP($D894&amp;$C894,生产方式定位!$A$2:$E$38,2,FALSE)+VLOOKUP($E894&amp;$C894,生产方式定位!$F$3:$J$38,2,FALSE),0)</f>
        <v>1515</v>
      </c>
      <c r="S894" s="15">
        <f>IFERROR(VLOOKUP($D894&amp;$C894,生产方式定位!$A$2:$E$38,3,FALSE)+VLOOKUP($E894&amp;$C894,生产方式定位!$F$3:$J$38,3,FALSE),0)</f>
        <v>145</v>
      </c>
      <c r="X894" s="15">
        <f>IFERROR(VLOOKUP($D894&amp;$C894,生产方式定位!$A$2:$E$38,5,FALSE)+VLOOKUP($E894&amp;$C894,生产方式定位!$F$3:$J$38,5,FALSE),"错误")</f>
        <v>1690</v>
      </c>
      <c r="Y894" s="26" t="str">
        <f t="shared" si="256"/>
        <v>魔偶*13,灵能水晶*34</v>
      </c>
      <c r="Z894" s="36" t="str">
        <f t="shared" si="257"/>
        <v/>
      </c>
      <c r="AA894" s="36" t="str">
        <f t="shared" si="258"/>
        <v/>
      </c>
      <c r="AB894" s="27" t="str">
        <f t="shared" si="259"/>
        <v>12%</v>
      </c>
      <c r="AC894" s="2">
        <f t="shared" si="260"/>
        <v>30</v>
      </c>
      <c r="AD894" s="37">
        <f t="shared" si="261"/>
        <v>4</v>
      </c>
      <c r="AE894" t="str">
        <f t="shared" si="262"/>
        <v>魔偶*13</v>
      </c>
      <c r="AF894" t="str">
        <f t="shared" si="263"/>
        <v>灵能水晶*34</v>
      </c>
      <c r="AG894" t="str">
        <f t="shared" si="264"/>
        <v/>
      </c>
      <c r="AH894" t="str">
        <f t="shared" si="265"/>
        <v/>
      </c>
      <c r="AI894" t="str">
        <f t="shared" si="266"/>
        <v/>
      </c>
      <c r="AJ894" t="str">
        <f t="shared" si="267"/>
        <v/>
      </c>
      <c r="AK894" t="str">
        <f t="shared" si="268"/>
        <v/>
      </c>
      <c r="AL894">
        <f>IFERROR(ROUND(L894*(G894/$AU894)/VLOOKUP(F894,商品!$A$4:$B$60,2,FALSE),0),"")</f>
        <v>13</v>
      </c>
      <c r="AM894">
        <f>IFERROR(ROUND(L894*(I894/$AU894)/VLOOKUP(H894,商品!$A$4:$B$60,2,FALSE),0),"")</f>
        <v>34</v>
      </c>
      <c r="AN894">
        <f>IFERROR(ROUND(L894*(J894/$AU894)/VLOOKUP("运力",商品!$A$4:$B$60,2,FALSE),0),0)</f>
        <v>0</v>
      </c>
      <c r="AO894">
        <f>IFERROR(ROUND(L894*(K894/$AU894)/VLOOKUP("交易",商品!$A$4:$B$60,2,FALSE),0),0)</f>
        <v>0</v>
      </c>
      <c r="AP894" t="str">
        <f>IFERROR(ROUND(S894*(N894/$AV894)/VLOOKUP(M894,职业!$A$4:$G$16,4,FALSE),0),"")</f>
        <v/>
      </c>
      <c r="AQ894" t="str">
        <f>IFERROR(ROUND(S894*(P894/$AV894)/VLOOKUP(O894,职业!$A$4:$G$16,4,FALSE),0),"")</f>
        <v/>
      </c>
      <c r="AR894" t="str">
        <f>IFERROR(ROUND(S894*(R894/$AV894)/VLOOKUP(Q894,职业!$A$4:$G$16,4,FALSE),0),"")</f>
        <v/>
      </c>
      <c r="AS894" t="str">
        <f>IFERROR(ROUND(X894*(U894/$AW894)/VLOOKUP(T894,商品!$A$4:$B$60,2,FALSE),0),"")</f>
        <v/>
      </c>
      <c r="AT894" t="str">
        <f>IFERROR(ROUND(X894*(W894/$AW894)/VLOOKUP(V894,商品!$A$4:$B$60,2,FALSE),0),"")</f>
        <v/>
      </c>
      <c r="AU894">
        <f t="shared" si="269"/>
        <v>15</v>
      </c>
      <c r="AV894">
        <f t="shared" si="270"/>
        <v>0</v>
      </c>
      <c r="AW894">
        <f t="shared" si="271"/>
        <v>0</v>
      </c>
    </row>
    <row r="895" spans="1:49" ht="19.95" customHeight="1" x14ac:dyDescent="0.25">
      <c r="A895" s="16" t="s">
        <v>370</v>
      </c>
      <c r="C895" s="16">
        <v>5</v>
      </c>
      <c r="D895" s="23" t="s">
        <v>171</v>
      </c>
      <c r="E895" s="23" t="s">
        <v>177</v>
      </c>
      <c r="F895" s="2" t="s">
        <v>42</v>
      </c>
      <c r="G895" s="2">
        <v>5</v>
      </c>
      <c r="H895" s="2" t="s">
        <v>20</v>
      </c>
      <c r="I895" s="2">
        <v>10</v>
      </c>
      <c r="L895" s="15">
        <f>IFERROR(VLOOKUP($D895&amp;$C895,生产方式定位!$A$2:$E$38,2,FALSE)+VLOOKUP($E895&amp;$C895,生产方式定位!$F$3:$J$38,2,FALSE),0)</f>
        <v>1920</v>
      </c>
      <c r="S895" s="15">
        <f>IFERROR(VLOOKUP($D895&amp;$C895,生产方式定位!$A$2:$E$38,3,FALSE)+VLOOKUP($E895&amp;$C895,生产方式定位!$F$3:$J$38,3,FALSE),0)</f>
        <v>160</v>
      </c>
      <c r="X895" s="15">
        <f>IFERROR(VLOOKUP($D895&amp;$C895,生产方式定位!$A$2:$E$38,5,FALSE)+VLOOKUP($E895&amp;$C895,生产方式定位!$F$3:$J$38,5,FALSE),"错误")</f>
        <v>2080</v>
      </c>
      <c r="Y895" s="26" t="str">
        <f t="shared" si="256"/>
        <v>魔偶*16,灵能水晶*43</v>
      </c>
      <c r="Z895" s="36" t="str">
        <f t="shared" si="257"/>
        <v/>
      </c>
      <c r="AA895" s="36" t="str">
        <f t="shared" si="258"/>
        <v/>
      </c>
      <c r="AB895" s="27" t="str">
        <f t="shared" si="259"/>
        <v>8%</v>
      </c>
      <c r="AC895" s="2" t="str">
        <f t="shared" si="260"/>
        <v/>
      </c>
      <c r="AD895" s="37">
        <f t="shared" si="261"/>
        <v>5</v>
      </c>
      <c r="AE895" t="str">
        <f t="shared" si="262"/>
        <v>魔偶*16</v>
      </c>
      <c r="AF895" t="str">
        <f t="shared" si="263"/>
        <v>灵能水晶*43</v>
      </c>
      <c r="AG895" t="str">
        <f t="shared" si="264"/>
        <v/>
      </c>
      <c r="AH895" t="str">
        <f t="shared" si="265"/>
        <v/>
      </c>
      <c r="AI895" t="str">
        <f t="shared" si="266"/>
        <v/>
      </c>
      <c r="AJ895" t="str">
        <f t="shared" si="267"/>
        <v/>
      </c>
      <c r="AK895" t="str">
        <f t="shared" si="268"/>
        <v/>
      </c>
      <c r="AL895">
        <f>IFERROR(ROUND(L895*(G895/$AU895)/VLOOKUP(F895,商品!$A$4:$B$60,2,FALSE),0),"")</f>
        <v>16</v>
      </c>
      <c r="AM895">
        <f>IFERROR(ROUND(L895*(I895/$AU895)/VLOOKUP(H895,商品!$A$4:$B$60,2,FALSE),0),"")</f>
        <v>43</v>
      </c>
      <c r="AN895">
        <f>IFERROR(ROUND(L895*(J895/$AU895)/VLOOKUP("运力",商品!$A$4:$B$60,2,FALSE),0),0)</f>
        <v>0</v>
      </c>
      <c r="AO895">
        <f>IFERROR(ROUND(L895*(K895/$AU895)/VLOOKUP("交易",商品!$A$4:$B$60,2,FALSE),0),0)</f>
        <v>0</v>
      </c>
      <c r="AP895" t="str">
        <f>IFERROR(ROUND(S895*(N895/$AV895)/VLOOKUP(M895,职业!$A$4:$G$16,4,FALSE),0),"")</f>
        <v/>
      </c>
      <c r="AQ895" t="str">
        <f>IFERROR(ROUND(S895*(P895/$AV895)/VLOOKUP(O895,职业!$A$4:$G$16,4,FALSE),0),"")</f>
        <v/>
      </c>
      <c r="AR895" t="str">
        <f>IFERROR(ROUND(S895*(R895/$AV895)/VLOOKUP(Q895,职业!$A$4:$G$16,4,FALSE),0),"")</f>
        <v/>
      </c>
      <c r="AS895" t="str">
        <f>IFERROR(ROUND(X895*(U895/$AW895)/VLOOKUP(T895,商品!$A$4:$B$60,2,FALSE),0),"")</f>
        <v/>
      </c>
      <c r="AT895" t="str">
        <f>IFERROR(ROUND(X895*(W895/$AW895)/VLOOKUP(V895,商品!$A$4:$B$60,2,FALSE),0),"")</f>
        <v/>
      </c>
      <c r="AU895">
        <f t="shared" si="269"/>
        <v>15</v>
      </c>
      <c r="AV895">
        <f t="shared" si="270"/>
        <v>0</v>
      </c>
      <c r="AW895">
        <f t="shared" si="271"/>
        <v>0</v>
      </c>
    </row>
    <row r="896" spans="1:49" ht="19.95" customHeight="1" x14ac:dyDescent="0.25">
      <c r="A896" s="15" t="s">
        <v>371</v>
      </c>
      <c r="C896" s="15">
        <v>1</v>
      </c>
      <c r="D896" s="23" t="s">
        <v>174</v>
      </c>
      <c r="E896" s="23" t="s">
        <v>179</v>
      </c>
      <c r="L896" s="16">
        <f>IFERROR(VLOOKUP($D896&amp;$C896,生产方式定位!$A$2:$E$38,2,FALSE)+VLOOKUP($E896&amp;$C896,生产方式定位!$F$3:$J$38,2,FALSE),0)</f>
        <v>0</v>
      </c>
      <c r="S896" s="16">
        <f>IFERROR(VLOOKUP($D896&amp;$C896,生产方式定位!$A$2:$E$38,3,FALSE)+VLOOKUP($E896&amp;$C896,生产方式定位!$F$3:$J$38,3,FALSE),0)</f>
        <v>100</v>
      </c>
      <c r="X896" s="16">
        <f>IFERROR(VLOOKUP($D896&amp;$C896,生产方式定位!$A$2:$E$38,5,FALSE)+VLOOKUP($E896&amp;$C896,生产方式定位!$F$3:$J$38,5,FALSE),"错误")</f>
        <v>100</v>
      </c>
      <c r="Y896" s="26" t="str">
        <f t="shared" si="256"/>
        <v/>
      </c>
      <c r="Z896" s="36" t="str">
        <f t="shared" si="257"/>
        <v/>
      </c>
      <c r="AA896" s="36" t="str">
        <f t="shared" si="258"/>
        <v/>
      </c>
      <c r="AB896" s="27" t="str">
        <f t="shared" si="259"/>
        <v/>
      </c>
      <c r="AC896" s="2" t="str">
        <f t="shared" si="260"/>
        <v/>
      </c>
      <c r="AD896" s="38">
        <f t="shared" si="261"/>
        <v>1</v>
      </c>
      <c r="AE896" t="str">
        <f t="shared" si="262"/>
        <v/>
      </c>
      <c r="AF896" t="str">
        <f t="shared" si="263"/>
        <v/>
      </c>
      <c r="AG896" t="str">
        <f t="shared" si="264"/>
        <v/>
      </c>
      <c r="AH896" t="str">
        <f t="shared" si="265"/>
        <v/>
      </c>
      <c r="AI896" t="str">
        <f t="shared" si="266"/>
        <v/>
      </c>
      <c r="AJ896" t="str">
        <f t="shared" si="267"/>
        <v/>
      </c>
      <c r="AK896" t="str">
        <f t="shared" si="268"/>
        <v/>
      </c>
      <c r="AL896" t="str">
        <f>IFERROR(ROUND(L896*(G896/$AU896)/VLOOKUP(F896,商品!$A$4:$B$60,2,FALSE),0),"")</f>
        <v/>
      </c>
      <c r="AM896" t="str">
        <f>IFERROR(ROUND(L896*(I896/$AU896)/VLOOKUP(H896,商品!$A$4:$B$60,2,FALSE),0),"")</f>
        <v/>
      </c>
      <c r="AN896">
        <f>IFERROR(ROUND(L896*(J896/$AU896)/VLOOKUP("运力",商品!$A$4:$B$60,2,FALSE),0),0)</f>
        <v>0</v>
      </c>
      <c r="AO896">
        <f>IFERROR(ROUND(L896*(K896/$AU896)/VLOOKUP("交易",商品!$A$4:$B$60,2,FALSE),0),0)</f>
        <v>0</v>
      </c>
      <c r="AP896" t="str">
        <f>IFERROR(ROUND(S896*(N896/$AV896)/VLOOKUP(M896,职业!$A$4:$G$16,4,FALSE),0),"")</f>
        <v/>
      </c>
      <c r="AQ896" t="str">
        <f>IFERROR(ROUND(S896*(P896/$AV896)/VLOOKUP(O896,职业!$A$4:$G$16,4,FALSE),0),"")</f>
        <v/>
      </c>
      <c r="AR896" t="str">
        <f>IFERROR(ROUND(S896*(R896/$AV896)/VLOOKUP(Q896,职业!$A$4:$G$16,4,FALSE),0),"")</f>
        <v/>
      </c>
      <c r="AS896" t="str">
        <f>IFERROR(ROUND(X896*(U896/$AW896)/VLOOKUP(T896,商品!$A$4:$B$60,2,FALSE),0),"")</f>
        <v/>
      </c>
      <c r="AT896" t="str">
        <f>IFERROR(ROUND(X896*(W896/$AW896)/VLOOKUP(V896,商品!$A$4:$B$60,2,FALSE),0),"")</f>
        <v/>
      </c>
      <c r="AU896">
        <f t="shared" si="269"/>
        <v>0</v>
      </c>
      <c r="AV896">
        <f t="shared" si="270"/>
        <v>0</v>
      </c>
      <c r="AW896">
        <f t="shared" si="271"/>
        <v>0</v>
      </c>
    </row>
    <row r="897" spans="1:49" ht="19.95" customHeight="1" x14ac:dyDescent="0.25">
      <c r="A897" s="15" t="s">
        <v>371</v>
      </c>
      <c r="C897" s="15">
        <v>2</v>
      </c>
      <c r="D897" s="23" t="s">
        <v>174</v>
      </c>
      <c r="E897" s="23" t="s">
        <v>179</v>
      </c>
      <c r="L897" s="16">
        <f>IFERROR(VLOOKUP($D897&amp;$C897,生产方式定位!$A$2:$E$38,2,FALSE)+VLOOKUP($E897&amp;$C897,生产方式定位!$F$3:$J$38,2,FALSE),0)</f>
        <v>0</v>
      </c>
      <c r="S897" s="16">
        <f>IFERROR(VLOOKUP($D897&amp;$C897,生产方式定位!$A$2:$E$38,3,FALSE)+VLOOKUP($E897&amp;$C897,生产方式定位!$F$3:$J$38,3,FALSE),0)</f>
        <v>100</v>
      </c>
      <c r="X897" s="16">
        <f>IFERROR(VLOOKUP($D897&amp;$C897,生产方式定位!$A$2:$E$38,5,FALSE)+VLOOKUP($E897&amp;$C897,生产方式定位!$F$3:$J$38,5,FALSE),"错误")</f>
        <v>100</v>
      </c>
      <c r="Y897" s="26" t="str">
        <f t="shared" si="256"/>
        <v/>
      </c>
      <c r="Z897" s="36" t="str">
        <f t="shared" si="257"/>
        <v/>
      </c>
      <c r="AA897" s="36" t="str">
        <f t="shared" si="258"/>
        <v/>
      </c>
      <c r="AB897" s="27" t="str">
        <f t="shared" si="259"/>
        <v/>
      </c>
      <c r="AC897" s="2" t="str">
        <f t="shared" si="260"/>
        <v/>
      </c>
      <c r="AD897" s="38">
        <f t="shared" si="261"/>
        <v>2</v>
      </c>
      <c r="AE897" t="str">
        <f t="shared" si="262"/>
        <v/>
      </c>
      <c r="AF897" t="str">
        <f t="shared" si="263"/>
        <v/>
      </c>
      <c r="AG897" t="str">
        <f t="shared" si="264"/>
        <v/>
      </c>
      <c r="AH897" t="str">
        <f t="shared" si="265"/>
        <v/>
      </c>
      <c r="AI897" t="str">
        <f t="shared" si="266"/>
        <v/>
      </c>
      <c r="AJ897" t="str">
        <f t="shared" si="267"/>
        <v/>
      </c>
      <c r="AK897" t="str">
        <f t="shared" si="268"/>
        <v/>
      </c>
      <c r="AL897" t="str">
        <f>IFERROR(ROUND(L897*(G897/$AU897)/VLOOKUP(F897,商品!$A$4:$B$60,2,FALSE),0),"")</f>
        <v/>
      </c>
      <c r="AM897" t="str">
        <f>IFERROR(ROUND(L897*(I897/$AU897)/VLOOKUP(H897,商品!$A$4:$B$60,2,FALSE),0),"")</f>
        <v/>
      </c>
      <c r="AN897">
        <f>IFERROR(ROUND(L897*(J897/$AU897)/VLOOKUP("运力",商品!$A$4:$B$60,2,FALSE),0),0)</f>
        <v>0</v>
      </c>
      <c r="AO897">
        <f>IFERROR(ROUND(L897*(K897/$AU897)/VLOOKUP("交易",商品!$A$4:$B$60,2,FALSE),0),0)</f>
        <v>0</v>
      </c>
      <c r="AP897" t="str">
        <f>IFERROR(ROUND(S897*(N897/$AV897)/VLOOKUP(M897,职业!$A$4:$G$16,4,FALSE),0),"")</f>
        <v/>
      </c>
      <c r="AQ897" t="str">
        <f>IFERROR(ROUND(S897*(P897/$AV897)/VLOOKUP(O897,职业!$A$4:$G$16,4,FALSE),0),"")</f>
        <v/>
      </c>
      <c r="AR897" t="str">
        <f>IFERROR(ROUND(S897*(R897/$AV897)/VLOOKUP(Q897,职业!$A$4:$G$16,4,FALSE),0),"")</f>
        <v/>
      </c>
      <c r="AS897" t="str">
        <f>IFERROR(ROUND(X897*(U897/$AW897)/VLOOKUP(T897,商品!$A$4:$B$60,2,FALSE),0),"")</f>
        <v/>
      </c>
      <c r="AT897" t="str">
        <f>IFERROR(ROUND(X897*(W897/$AW897)/VLOOKUP(V897,商品!$A$4:$B$60,2,FALSE),0),"")</f>
        <v/>
      </c>
      <c r="AU897">
        <f t="shared" si="269"/>
        <v>0</v>
      </c>
      <c r="AV897">
        <f t="shared" si="270"/>
        <v>0</v>
      </c>
      <c r="AW897">
        <f t="shared" si="271"/>
        <v>0</v>
      </c>
    </row>
    <row r="898" spans="1:49" ht="19.95" customHeight="1" x14ac:dyDescent="0.25">
      <c r="A898" s="15" t="s">
        <v>371</v>
      </c>
      <c r="C898" s="15">
        <v>3</v>
      </c>
      <c r="D898" s="23" t="s">
        <v>174</v>
      </c>
      <c r="E898" s="23" t="s">
        <v>179</v>
      </c>
      <c r="L898" s="16">
        <f>IFERROR(VLOOKUP($D898&amp;$C898,生产方式定位!$A$2:$E$38,2,FALSE)+VLOOKUP($E898&amp;$C898,生产方式定位!$F$3:$J$38,2,FALSE),0)</f>
        <v>0</v>
      </c>
      <c r="S898" s="16">
        <f>IFERROR(VLOOKUP($D898&amp;$C898,生产方式定位!$A$2:$E$38,3,FALSE)+VLOOKUP($E898&amp;$C898,生产方式定位!$F$3:$J$38,3,FALSE),0)</f>
        <v>100</v>
      </c>
      <c r="X898" s="16">
        <f>IFERROR(VLOOKUP($D898&amp;$C898,生产方式定位!$A$2:$E$38,5,FALSE)+VLOOKUP($E898&amp;$C898,生产方式定位!$F$3:$J$38,5,FALSE),"错误")</f>
        <v>100</v>
      </c>
      <c r="Y898" s="26" t="str">
        <f t="shared" si="256"/>
        <v/>
      </c>
      <c r="Z898" s="36" t="str">
        <f t="shared" si="257"/>
        <v/>
      </c>
      <c r="AA898" s="36" t="str">
        <f t="shared" si="258"/>
        <v/>
      </c>
      <c r="AB898" s="27" t="str">
        <f t="shared" si="259"/>
        <v/>
      </c>
      <c r="AC898" s="2" t="str">
        <f t="shared" si="260"/>
        <v/>
      </c>
      <c r="AD898" s="38">
        <f t="shared" si="261"/>
        <v>3</v>
      </c>
      <c r="AE898" t="str">
        <f t="shared" si="262"/>
        <v/>
      </c>
      <c r="AF898" t="str">
        <f t="shared" si="263"/>
        <v/>
      </c>
      <c r="AG898" t="str">
        <f t="shared" si="264"/>
        <v/>
      </c>
      <c r="AH898" t="str">
        <f t="shared" si="265"/>
        <v/>
      </c>
      <c r="AI898" t="str">
        <f t="shared" si="266"/>
        <v/>
      </c>
      <c r="AJ898" t="str">
        <f t="shared" si="267"/>
        <v/>
      </c>
      <c r="AK898" t="str">
        <f t="shared" si="268"/>
        <v/>
      </c>
      <c r="AL898" t="str">
        <f>IFERROR(ROUND(L898*(G898/$AU898)/VLOOKUP(F898,商品!$A$4:$B$60,2,FALSE),0),"")</f>
        <v/>
      </c>
      <c r="AM898" t="str">
        <f>IFERROR(ROUND(L898*(I898/$AU898)/VLOOKUP(H898,商品!$A$4:$B$60,2,FALSE),0),"")</f>
        <v/>
      </c>
      <c r="AN898">
        <f>IFERROR(ROUND(L898*(J898/$AU898)/VLOOKUP("运力",商品!$A$4:$B$60,2,FALSE),0),0)</f>
        <v>0</v>
      </c>
      <c r="AO898">
        <f>IFERROR(ROUND(L898*(K898/$AU898)/VLOOKUP("交易",商品!$A$4:$B$60,2,FALSE),0),0)</f>
        <v>0</v>
      </c>
      <c r="AP898" t="str">
        <f>IFERROR(ROUND(S898*(N898/$AV898)/VLOOKUP(M898,职业!$A$4:$G$16,4,FALSE),0),"")</f>
        <v/>
      </c>
      <c r="AQ898" t="str">
        <f>IFERROR(ROUND(S898*(P898/$AV898)/VLOOKUP(O898,职业!$A$4:$G$16,4,FALSE),0),"")</f>
        <v/>
      </c>
      <c r="AR898" t="str">
        <f>IFERROR(ROUND(S898*(R898/$AV898)/VLOOKUP(Q898,职业!$A$4:$G$16,4,FALSE),0),"")</f>
        <v/>
      </c>
      <c r="AS898" t="str">
        <f>IFERROR(ROUND(X898*(U898/$AW898)/VLOOKUP(T898,商品!$A$4:$B$60,2,FALSE),0),"")</f>
        <v/>
      </c>
      <c r="AT898" t="str">
        <f>IFERROR(ROUND(X898*(W898/$AW898)/VLOOKUP(V898,商品!$A$4:$B$60,2,FALSE),0),"")</f>
        <v/>
      </c>
      <c r="AU898">
        <f t="shared" si="269"/>
        <v>0</v>
      </c>
      <c r="AV898">
        <f t="shared" si="270"/>
        <v>0</v>
      </c>
      <c r="AW898">
        <f t="shared" si="271"/>
        <v>0</v>
      </c>
    </row>
    <row r="899" spans="1:49" ht="19.95" customHeight="1" x14ac:dyDescent="0.25">
      <c r="A899" s="15" t="s">
        <v>371</v>
      </c>
      <c r="C899" s="15">
        <v>4</v>
      </c>
      <c r="D899" s="23" t="s">
        <v>174</v>
      </c>
      <c r="E899" s="23" t="s">
        <v>179</v>
      </c>
      <c r="L899" s="16">
        <f>IFERROR(VLOOKUP($D899&amp;$C899,生产方式定位!$A$2:$E$38,2,FALSE)+VLOOKUP($E899&amp;$C899,生产方式定位!$F$3:$J$38,2,FALSE),0)</f>
        <v>0</v>
      </c>
      <c r="S899" s="16">
        <f>IFERROR(VLOOKUP($D899&amp;$C899,生产方式定位!$A$2:$E$38,3,FALSE)+VLOOKUP($E899&amp;$C899,生产方式定位!$F$3:$J$38,3,FALSE),0)</f>
        <v>100</v>
      </c>
      <c r="X899" s="16">
        <f>IFERROR(VLOOKUP($D899&amp;$C899,生产方式定位!$A$2:$E$38,5,FALSE)+VLOOKUP($E899&amp;$C899,生产方式定位!$F$3:$J$38,5,FALSE),"错误")</f>
        <v>100</v>
      </c>
      <c r="Y899" s="26" t="str">
        <f t="shared" si="256"/>
        <v/>
      </c>
      <c r="Z899" s="36" t="str">
        <f t="shared" si="257"/>
        <v/>
      </c>
      <c r="AA899" s="36" t="str">
        <f t="shared" si="258"/>
        <v/>
      </c>
      <c r="AB899" s="27" t="str">
        <f t="shared" si="259"/>
        <v/>
      </c>
      <c r="AC899" s="2" t="str">
        <f t="shared" si="260"/>
        <v/>
      </c>
      <c r="AD899" s="38">
        <f t="shared" si="261"/>
        <v>4</v>
      </c>
      <c r="AE899" t="str">
        <f t="shared" si="262"/>
        <v/>
      </c>
      <c r="AF899" t="str">
        <f t="shared" si="263"/>
        <v/>
      </c>
      <c r="AG899" t="str">
        <f t="shared" si="264"/>
        <v/>
      </c>
      <c r="AH899" t="str">
        <f t="shared" si="265"/>
        <v/>
      </c>
      <c r="AI899" t="str">
        <f t="shared" si="266"/>
        <v/>
      </c>
      <c r="AJ899" t="str">
        <f t="shared" si="267"/>
        <v/>
      </c>
      <c r="AK899" t="str">
        <f t="shared" si="268"/>
        <v/>
      </c>
      <c r="AL899" t="str">
        <f>IFERROR(ROUND(L899*(G899/$AU899)/VLOOKUP(F899,商品!$A$4:$B$60,2,FALSE),0),"")</f>
        <v/>
      </c>
      <c r="AM899" t="str">
        <f>IFERROR(ROUND(L899*(I899/$AU899)/VLOOKUP(H899,商品!$A$4:$B$60,2,FALSE),0),"")</f>
        <v/>
      </c>
      <c r="AN899">
        <f>IFERROR(ROUND(L899*(J899/$AU899)/VLOOKUP("运力",商品!$A$4:$B$60,2,FALSE),0),0)</f>
        <v>0</v>
      </c>
      <c r="AO899">
        <f>IFERROR(ROUND(L899*(K899/$AU899)/VLOOKUP("交易",商品!$A$4:$B$60,2,FALSE),0),0)</f>
        <v>0</v>
      </c>
      <c r="AP899" t="str">
        <f>IFERROR(ROUND(S899*(N899/$AV899)/VLOOKUP(M899,职业!$A$4:$G$16,4,FALSE),0),"")</f>
        <v/>
      </c>
      <c r="AQ899" t="str">
        <f>IFERROR(ROUND(S899*(P899/$AV899)/VLOOKUP(O899,职业!$A$4:$G$16,4,FALSE),0),"")</f>
        <v/>
      </c>
      <c r="AR899" t="str">
        <f>IFERROR(ROUND(S899*(R899/$AV899)/VLOOKUP(Q899,职业!$A$4:$G$16,4,FALSE),0),"")</f>
        <v/>
      </c>
      <c r="AS899" t="str">
        <f>IFERROR(ROUND(X899*(U899/$AW899)/VLOOKUP(T899,商品!$A$4:$B$60,2,FALSE),0),"")</f>
        <v/>
      </c>
      <c r="AT899" t="str">
        <f>IFERROR(ROUND(X899*(W899/$AW899)/VLOOKUP(V899,商品!$A$4:$B$60,2,FALSE),0),"")</f>
        <v/>
      </c>
      <c r="AU899">
        <f t="shared" si="269"/>
        <v>0</v>
      </c>
      <c r="AV899">
        <f t="shared" si="270"/>
        <v>0</v>
      </c>
      <c r="AW899">
        <f t="shared" si="271"/>
        <v>0</v>
      </c>
    </row>
    <row r="900" spans="1:49" ht="19.95" customHeight="1" x14ac:dyDescent="0.25">
      <c r="A900" s="15" t="s">
        <v>371</v>
      </c>
      <c r="C900" s="15">
        <v>5</v>
      </c>
      <c r="D900" s="23" t="s">
        <v>174</v>
      </c>
      <c r="E900" s="23" t="s">
        <v>179</v>
      </c>
      <c r="L900" s="16">
        <f>IFERROR(VLOOKUP($D900&amp;$C900,生产方式定位!$A$2:$E$38,2,FALSE)+VLOOKUP($E900&amp;$C900,生产方式定位!$F$3:$J$38,2,FALSE),0)</f>
        <v>0</v>
      </c>
      <c r="S900" s="16">
        <f>IFERROR(VLOOKUP($D900&amp;$C900,生产方式定位!$A$2:$E$38,3,FALSE)+VLOOKUP($E900&amp;$C900,生产方式定位!$F$3:$J$38,3,FALSE),0)</f>
        <v>100</v>
      </c>
      <c r="X900" s="16">
        <f>IFERROR(VLOOKUP($D900&amp;$C900,生产方式定位!$A$2:$E$38,5,FALSE)+VLOOKUP($E900&amp;$C900,生产方式定位!$F$3:$J$38,5,FALSE),"错误")</f>
        <v>100</v>
      </c>
      <c r="Y900" s="26" t="str">
        <f t="shared" si="256"/>
        <v/>
      </c>
      <c r="Z900" s="36" t="str">
        <f t="shared" si="257"/>
        <v/>
      </c>
      <c r="AA900" s="36" t="str">
        <f t="shared" si="258"/>
        <v/>
      </c>
      <c r="AB900" s="27" t="str">
        <f t="shared" si="259"/>
        <v/>
      </c>
      <c r="AC900" s="2" t="str">
        <f t="shared" si="260"/>
        <v/>
      </c>
      <c r="AD900" s="38">
        <f t="shared" si="261"/>
        <v>5</v>
      </c>
      <c r="AE900" t="str">
        <f t="shared" si="262"/>
        <v/>
      </c>
      <c r="AF900" t="str">
        <f t="shared" si="263"/>
        <v/>
      </c>
      <c r="AG900" t="str">
        <f t="shared" si="264"/>
        <v/>
      </c>
      <c r="AH900" t="str">
        <f t="shared" si="265"/>
        <v/>
      </c>
      <c r="AI900" t="str">
        <f t="shared" si="266"/>
        <v/>
      </c>
      <c r="AJ900" t="str">
        <f t="shared" si="267"/>
        <v/>
      </c>
      <c r="AK900" t="str">
        <f t="shared" si="268"/>
        <v/>
      </c>
      <c r="AL900" t="str">
        <f>IFERROR(ROUND(L900*(G900/$AU900)/VLOOKUP(F900,商品!$A$4:$B$60,2,FALSE),0),"")</f>
        <v/>
      </c>
      <c r="AM900" t="str">
        <f>IFERROR(ROUND(L900*(I900/$AU900)/VLOOKUP(H900,商品!$A$4:$B$60,2,FALSE),0),"")</f>
        <v/>
      </c>
      <c r="AN900">
        <f>IFERROR(ROUND(L900*(J900/$AU900)/VLOOKUP("运力",商品!$A$4:$B$60,2,FALSE),0),0)</f>
        <v>0</v>
      </c>
      <c r="AO900">
        <f>IFERROR(ROUND(L900*(K900/$AU900)/VLOOKUP("交易",商品!$A$4:$B$60,2,FALSE),0),0)</f>
        <v>0</v>
      </c>
      <c r="AP900" t="str">
        <f>IFERROR(ROUND(S900*(N900/$AV900)/VLOOKUP(M900,职业!$A$4:$G$16,4,FALSE),0),"")</f>
        <v/>
      </c>
      <c r="AQ900" t="str">
        <f>IFERROR(ROUND(S900*(P900/$AV900)/VLOOKUP(O900,职业!$A$4:$G$16,4,FALSE),0),"")</f>
        <v/>
      </c>
      <c r="AR900" t="str">
        <f>IFERROR(ROUND(S900*(R900/$AV900)/VLOOKUP(Q900,职业!$A$4:$G$16,4,FALSE),0),"")</f>
        <v/>
      </c>
      <c r="AS900" t="str">
        <f>IFERROR(ROUND(X900*(U900/$AW900)/VLOOKUP(T900,商品!$A$4:$B$60,2,FALSE),0),"")</f>
        <v/>
      </c>
      <c r="AT900" t="str">
        <f>IFERROR(ROUND(X900*(W900/$AW900)/VLOOKUP(V900,商品!$A$4:$B$60,2,FALSE),0),"")</f>
        <v/>
      </c>
      <c r="AU900">
        <f t="shared" si="269"/>
        <v>0</v>
      </c>
      <c r="AV900">
        <f t="shared" si="270"/>
        <v>0</v>
      </c>
      <c r="AW900">
        <f t="shared" si="271"/>
        <v>0</v>
      </c>
    </row>
    <row r="901" spans="1:49" ht="19.95" customHeight="1" x14ac:dyDescent="0.25">
      <c r="A901" s="15" t="s">
        <v>371</v>
      </c>
      <c r="C901" s="15">
        <v>6</v>
      </c>
      <c r="D901" s="23" t="s">
        <v>174</v>
      </c>
      <c r="E901" s="23" t="s">
        <v>179</v>
      </c>
      <c r="L901" s="16">
        <f>IFERROR(VLOOKUP($D901&amp;$C901,生产方式定位!$A$2:$E$38,2,FALSE)+VLOOKUP($E901&amp;$C901,生产方式定位!$F$3:$J$38,2,FALSE),0)</f>
        <v>0</v>
      </c>
      <c r="S901" s="16">
        <f>IFERROR(VLOOKUP($D901&amp;$C901,生产方式定位!$A$2:$E$38,3,FALSE)+VLOOKUP($E901&amp;$C901,生产方式定位!$F$3:$J$38,3,FALSE),0)</f>
        <v>100</v>
      </c>
      <c r="X901" s="16">
        <f>IFERROR(VLOOKUP($D901&amp;$C901,生产方式定位!$A$2:$E$38,5,FALSE)+VLOOKUP($E901&amp;$C901,生产方式定位!$F$3:$J$38,5,FALSE),"错误")</f>
        <v>100</v>
      </c>
      <c r="Y901" s="26" t="str">
        <f t="shared" si="256"/>
        <v/>
      </c>
      <c r="Z901" s="36" t="str">
        <f t="shared" si="257"/>
        <v/>
      </c>
      <c r="AA901" s="36" t="str">
        <f t="shared" si="258"/>
        <v/>
      </c>
      <c r="AB901" s="27" t="str">
        <f t="shared" si="259"/>
        <v/>
      </c>
      <c r="AC901" s="2" t="str">
        <f t="shared" si="260"/>
        <v/>
      </c>
      <c r="AD901" s="37">
        <f t="shared" si="261"/>
        <v>6</v>
      </c>
      <c r="AE901" t="str">
        <f t="shared" si="262"/>
        <v/>
      </c>
      <c r="AF901" t="str">
        <f t="shared" si="263"/>
        <v/>
      </c>
      <c r="AG901" t="str">
        <f t="shared" si="264"/>
        <v/>
      </c>
      <c r="AH901" t="str">
        <f t="shared" si="265"/>
        <v/>
      </c>
      <c r="AI901" t="str">
        <f t="shared" si="266"/>
        <v/>
      </c>
      <c r="AJ901" t="str">
        <f t="shared" si="267"/>
        <v/>
      </c>
      <c r="AK901" t="str">
        <f t="shared" si="268"/>
        <v/>
      </c>
      <c r="AL901" t="str">
        <f>IFERROR(ROUND(L901*(G901/$AU901)/VLOOKUP(F901,商品!$A$4:$B$60,2,FALSE),0),"")</f>
        <v/>
      </c>
      <c r="AM901" t="str">
        <f>IFERROR(ROUND(L901*(I901/$AU901)/VLOOKUP(H901,商品!$A$4:$B$60,2,FALSE),0),"")</f>
        <v/>
      </c>
      <c r="AN901">
        <f>IFERROR(ROUND(L901*(J901/$AU901)/VLOOKUP("运力",商品!$A$4:$B$60,2,FALSE),0),0)</f>
        <v>0</v>
      </c>
      <c r="AO901">
        <f>IFERROR(ROUND(L901*(K901/$AU901)/VLOOKUP("交易",商品!$A$4:$B$60,2,FALSE),0),0)</f>
        <v>0</v>
      </c>
      <c r="AP901" t="str">
        <f>IFERROR(ROUND(S901*(N901/$AV901)/VLOOKUP(M901,职业!$A$4:$G$16,4,FALSE),0),"")</f>
        <v/>
      </c>
      <c r="AQ901" t="str">
        <f>IFERROR(ROUND(S901*(P901/$AV901)/VLOOKUP(O901,职业!$A$4:$G$16,4,FALSE),0),"")</f>
        <v/>
      </c>
      <c r="AR901" t="str">
        <f>IFERROR(ROUND(S901*(R901/$AV901)/VLOOKUP(Q901,职业!$A$4:$G$16,4,FALSE),0),"")</f>
        <v/>
      </c>
      <c r="AS901" t="str">
        <f>IFERROR(ROUND(X901*(U901/$AW901)/VLOOKUP(T901,商品!$A$4:$B$60,2,FALSE),0),"")</f>
        <v/>
      </c>
      <c r="AT901" t="str">
        <f>IFERROR(ROUND(X901*(W901/$AW901)/VLOOKUP(V901,商品!$A$4:$B$60,2,FALSE),0),"")</f>
        <v/>
      </c>
      <c r="AU901">
        <f t="shared" si="269"/>
        <v>0</v>
      </c>
      <c r="AV901">
        <f t="shared" si="270"/>
        <v>0</v>
      </c>
      <c r="AW901">
        <f t="shared" si="271"/>
        <v>0</v>
      </c>
    </row>
    <row r="902" spans="1:49" ht="19.95" customHeight="1" x14ac:dyDescent="0.25">
      <c r="A902" s="15" t="s">
        <v>371</v>
      </c>
      <c r="C902" s="15">
        <v>7</v>
      </c>
      <c r="D902" s="23" t="s">
        <v>174</v>
      </c>
      <c r="E902" s="23" t="s">
        <v>179</v>
      </c>
      <c r="L902" s="16">
        <f>IFERROR(VLOOKUP($D902&amp;$C902,生产方式定位!$A$2:$E$38,2,FALSE)+VLOOKUP($E902&amp;$C902,生产方式定位!$F$3:$J$38,2,FALSE),0)</f>
        <v>0</v>
      </c>
      <c r="S902" s="16">
        <f>IFERROR(VLOOKUP($D902&amp;$C902,生产方式定位!$A$2:$E$38,3,FALSE)+VLOOKUP($E902&amp;$C902,生产方式定位!$F$3:$J$38,3,FALSE),0)</f>
        <v>100</v>
      </c>
      <c r="X902" s="16">
        <f>IFERROR(VLOOKUP($D902&amp;$C902,生产方式定位!$A$2:$E$38,5,FALSE)+VLOOKUP($E902&amp;$C902,生产方式定位!$F$3:$J$38,5,FALSE),"错误")</f>
        <v>100</v>
      </c>
      <c r="Y902" s="26" t="str">
        <f t="shared" si="256"/>
        <v/>
      </c>
      <c r="Z902" s="36" t="str">
        <f t="shared" si="257"/>
        <v/>
      </c>
      <c r="AA902" s="36" t="str">
        <f t="shared" si="258"/>
        <v/>
      </c>
      <c r="AB902" s="27" t="str">
        <f t="shared" si="259"/>
        <v/>
      </c>
      <c r="AC902" s="2" t="str">
        <f t="shared" si="260"/>
        <v/>
      </c>
      <c r="AD902" s="37">
        <f t="shared" si="261"/>
        <v>7</v>
      </c>
      <c r="AE902" t="str">
        <f t="shared" si="262"/>
        <v/>
      </c>
      <c r="AF902" t="str">
        <f t="shared" si="263"/>
        <v/>
      </c>
      <c r="AG902" t="str">
        <f t="shared" si="264"/>
        <v/>
      </c>
      <c r="AH902" t="str">
        <f t="shared" si="265"/>
        <v/>
      </c>
      <c r="AI902" t="str">
        <f t="shared" si="266"/>
        <v/>
      </c>
      <c r="AJ902" t="str">
        <f t="shared" si="267"/>
        <v/>
      </c>
      <c r="AK902" t="str">
        <f t="shared" si="268"/>
        <v/>
      </c>
      <c r="AL902" t="str">
        <f>IFERROR(ROUND(L902*(G902/$AU902)/VLOOKUP(F902,商品!$A$4:$B$60,2,FALSE),0),"")</f>
        <v/>
      </c>
      <c r="AM902" t="str">
        <f>IFERROR(ROUND(L902*(I902/$AU902)/VLOOKUP(H902,商品!$A$4:$B$60,2,FALSE),0),"")</f>
        <v/>
      </c>
      <c r="AN902">
        <f>IFERROR(ROUND(L902*(J902/$AU902)/VLOOKUP("运力",商品!$A$4:$B$60,2,FALSE),0),0)</f>
        <v>0</v>
      </c>
      <c r="AO902">
        <f>IFERROR(ROUND(L902*(K902/$AU902)/VLOOKUP("交易",商品!$A$4:$B$60,2,FALSE),0),0)</f>
        <v>0</v>
      </c>
      <c r="AP902" t="str">
        <f>IFERROR(ROUND(S902*(N902/$AV902)/VLOOKUP(M902,职业!$A$4:$G$16,4,FALSE),0),"")</f>
        <v/>
      </c>
      <c r="AQ902" t="str">
        <f>IFERROR(ROUND(S902*(P902/$AV902)/VLOOKUP(O902,职业!$A$4:$G$16,4,FALSE),0),"")</f>
        <v/>
      </c>
      <c r="AR902" t="str">
        <f>IFERROR(ROUND(S902*(R902/$AV902)/VLOOKUP(Q902,职业!$A$4:$G$16,4,FALSE),0),"")</f>
        <v/>
      </c>
      <c r="AS902" t="str">
        <f>IFERROR(ROUND(X902*(U902/$AW902)/VLOOKUP(T902,商品!$A$4:$B$60,2,FALSE),0),"")</f>
        <v/>
      </c>
      <c r="AT902" t="str">
        <f>IFERROR(ROUND(X902*(W902/$AW902)/VLOOKUP(V902,商品!$A$4:$B$60,2,FALSE),0),"")</f>
        <v/>
      </c>
      <c r="AU902">
        <f t="shared" si="269"/>
        <v>0</v>
      </c>
      <c r="AV902">
        <f t="shared" si="270"/>
        <v>0</v>
      </c>
      <c r="AW902">
        <f t="shared" si="271"/>
        <v>0</v>
      </c>
    </row>
    <row r="903" spans="1:49" ht="19.95" customHeight="1" x14ac:dyDescent="0.25">
      <c r="A903" s="15" t="s">
        <v>371</v>
      </c>
      <c r="C903" s="15">
        <v>8</v>
      </c>
      <c r="D903" s="23" t="s">
        <v>174</v>
      </c>
      <c r="E903" s="23" t="s">
        <v>179</v>
      </c>
      <c r="L903" s="16">
        <f>IFERROR(VLOOKUP($D903&amp;$C903,生产方式定位!$A$2:$E$38,2,FALSE)+VLOOKUP($E903&amp;$C903,生产方式定位!$F$3:$J$38,2,FALSE),0)</f>
        <v>0</v>
      </c>
      <c r="S903" s="16">
        <f>IFERROR(VLOOKUP($D903&amp;$C903,生产方式定位!$A$2:$E$38,3,FALSE)+VLOOKUP($E903&amp;$C903,生产方式定位!$F$3:$J$38,3,FALSE),0)</f>
        <v>100</v>
      </c>
      <c r="X903" s="16">
        <f>IFERROR(VLOOKUP($D903&amp;$C903,生产方式定位!$A$2:$E$38,5,FALSE)+VLOOKUP($E903&amp;$C903,生产方式定位!$F$3:$J$38,5,FALSE),"错误")</f>
        <v>100</v>
      </c>
      <c r="Y903" s="26" t="str">
        <f t="shared" si="256"/>
        <v/>
      </c>
      <c r="Z903" s="36" t="str">
        <f t="shared" si="257"/>
        <v/>
      </c>
      <c r="AA903" s="36" t="str">
        <f t="shared" si="258"/>
        <v/>
      </c>
      <c r="AB903" s="27" t="str">
        <f t="shared" si="259"/>
        <v/>
      </c>
      <c r="AC903" s="2" t="str">
        <f t="shared" si="260"/>
        <v/>
      </c>
      <c r="AD903" s="37">
        <f t="shared" si="261"/>
        <v>8</v>
      </c>
      <c r="AE903" t="str">
        <f t="shared" si="262"/>
        <v/>
      </c>
      <c r="AF903" t="str">
        <f t="shared" si="263"/>
        <v/>
      </c>
      <c r="AG903" t="str">
        <f t="shared" si="264"/>
        <v/>
      </c>
      <c r="AH903" t="str">
        <f t="shared" si="265"/>
        <v/>
      </c>
      <c r="AI903" t="str">
        <f t="shared" si="266"/>
        <v/>
      </c>
      <c r="AJ903" t="str">
        <f t="shared" si="267"/>
        <v/>
      </c>
      <c r="AK903" t="str">
        <f t="shared" si="268"/>
        <v/>
      </c>
      <c r="AL903" t="str">
        <f>IFERROR(ROUND(L903*(G903/$AU903)/VLOOKUP(F903,商品!$A$4:$B$60,2,FALSE),0),"")</f>
        <v/>
      </c>
      <c r="AM903" t="str">
        <f>IFERROR(ROUND(L903*(I903/$AU903)/VLOOKUP(H903,商品!$A$4:$B$60,2,FALSE),0),"")</f>
        <v/>
      </c>
      <c r="AN903">
        <f>IFERROR(ROUND(L903*(J903/$AU903)/VLOOKUP("运力",商品!$A$4:$B$60,2,FALSE),0),0)</f>
        <v>0</v>
      </c>
      <c r="AO903">
        <f>IFERROR(ROUND(L903*(K903/$AU903)/VLOOKUP("交易",商品!$A$4:$B$60,2,FALSE),0),0)</f>
        <v>0</v>
      </c>
      <c r="AP903" t="str">
        <f>IFERROR(ROUND(S903*(N903/$AV903)/VLOOKUP(M903,职业!$A$4:$G$16,4,FALSE),0),"")</f>
        <v/>
      </c>
      <c r="AQ903" t="str">
        <f>IFERROR(ROUND(S903*(P903/$AV903)/VLOOKUP(O903,职业!$A$4:$G$16,4,FALSE),0),"")</f>
        <v/>
      </c>
      <c r="AR903" t="str">
        <f>IFERROR(ROUND(S903*(R903/$AV903)/VLOOKUP(Q903,职业!$A$4:$G$16,4,FALSE),0),"")</f>
        <v/>
      </c>
      <c r="AS903" t="str">
        <f>IFERROR(ROUND(X903*(U903/$AW903)/VLOOKUP(T903,商品!$A$4:$B$60,2,FALSE),0),"")</f>
        <v/>
      </c>
      <c r="AT903" t="str">
        <f>IFERROR(ROUND(X903*(W903/$AW903)/VLOOKUP(V903,商品!$A$4:$B$60,2,FALSE),0),"")</f>
        <v/>
      </c>
      <c r="AU903">
        <f t="shared" si="269"/>
        <v>0</v>
      </c>
      <c r="AV903">
        <f t="shared" si="270"/>
        <v>0</v>
      </c>
      <c r="AW903">
        <f t="shared" si="271"/>
        <v>0</v>
      </c>
    </row>
    <row r="904" spans="1:49" ht="19.95" customHeight="1" x14ac:dyDescent="0.25">
      <c r="A904" s="16" t="s">
        <v>373</v>
      </c>
      <c r="C904" s="16">
        <v>1</v>
      </c>
      <c r="D904" s="23" t="s">
        <v>171</v>
      </c>
      <c r="E904" s="23" t="s">
        <v>172</v>
      </c>
      <c r="F904" s="2" t="s">
        <v>41</v>
      </c>
      <c r="G904" s="2">
        <v>20</v>
      </c>
      <c r="J904" s="24">
        <v>5</v>
      </c>
      <c r="K904" s="25">
        <v>5</v>
      </c>
      <c r="L904" s="15">
        <f>IFERROR(VLOOKUP($D904&amp;$C904,生产方式定位!$A$2:$E$38,2,FALSE)+VLOOKUP($E904&amp;$C904,生产方式定位!$F$3:$J$38,2,FALSE),0)</f>
        <v>300</v>
      </c>
      <c r="S904" s="15">
        <f>IFERROR(VLOOKUP($D904&amp;$C904,生产方式定位!$A$2:$E$38,3,FALSE)+VLOOKUP($E904&amp;$C904,生产方式定位!$F$3:$J$38,3,FALSE),0)</f>
        <v>100</v>
      </c>
      <c r="X904" s="15">
        <f>IFERROR(VLOOKUP($D904&amp;$C904,生产方式定位!$A$2:$E$38,5,FALSE)+VLOOKUP($E904&amp;$C904,生产方式定位!$F$3:$J$38,5,FALSE),"错误")</f>
        <v>520</v>
      </c>
      <c r="Y904" s="26" t="str">
        <f t="shared" si="256"/>
        <v>工具*5,运力*5,交易*5</v>
      </c>
      <c r="Z904" s="36" t="str">
        <f t="shared" si="257"/>
        <v/>
      </c>
      <c r="AA904" s="36" t="str">
        <f t="shared" si="258"/>
        <v/>
      </c>
      <c r="AB904" s="27" t="str">
        <f t="shared" si="259"/>
        <v>73%</v>
      </c>
      <c r="AC904" s="2">
        <f t="shared" si="260"/>
        <v>120</v>
      </c>
      <c r="AD904" s="37">
        <f t="shared" si="261"/>
        <v>1</v>
      </c>
      <c r="AE904" t="str">
        <f t="shared" si="262"/>
        <v>工具*5</v>
      </c>
      <c r="AF904" t="str">
        <f t="shared" si="263"/>
        <v/>
      </c>
      <c r="AG904" t="str">
        <f t="shared" si="264"/>
        <v/>
      </c>
      <c r="AH904" t="str">
        <f t="shared" si="265"/>
        <v/>
      </c>
      <c r="AI904" t="str">
        <f t="shared" si="266"/>
        <v/>
      </c>
      <c r="AJ904" t="str">
        <f t="shared" si="267"/>
        <v/>
      </c>
      <c r="AK904" t="str">
        <f t="shared" si="268"/>
        <v/>
      </c>
      <c r="AL904">
        <f>IFERROR(ROUND(L904*(G904/$AU904)/VLOOKUP(F904,商品!$A$4:$B$60,2,FALSE),0),"")</f>
        <v>5</v>
      </c>
      <c r="AM904" t="str">
        <f>IFERROR(ROUND(L904*(I904/$AU904)/VLOOKUP(H904,商品!$A$4:$B$60,2,FALSE),0),"")</f>
        <v/>
      </c>
      <c r="AN904">
        <f>IFERROR(ROUND(L904*(J904/$AU904)/VLOOKUP("运力",商品!$A$4:$B$60,2,FALSE),0),0)</f>
        <v>5</v>
      </c>
      <c r="AO904">
        <f>IFERROR(ROUND(L904*(K904/$AU904)/VLOOKUP("交易",商品!$A$4:$B$60,2,FALSE),0),0)</f>
        <v>5</v>
      </c>
      <c r="AP904" t="str">
        <f>IFERROR(ROUND(S904*(N904/$AV904)/VLOOKUP(M904,职业!$A$4:$G$16,4,FALSE),0),"")</f>
        <v/>
      </c>
      <c r="AQ904" t="str">
        <f>IFERROR(ROUND(S904*(P904/$AV904)/VLOOKUP(O904,职业!$A$4:$G$16,4,FALSE),0),"")</f>
        <v/>
      </c>
      <c r="AR904" t="str">
        <f>IFERROR(ROUND(S904*(R904/$AV904)/VLOOKUP(Q904,职业!$A$4:$G$16,4,FALSE),0),"")</f>
        <v/>
      </c>
      <c r="AS904" t="str">
        <f>IFERROR(ROUND(X904*(U904/$AW904)/VLOOKUP(T904,商品!$A$4:$B$60,2,FALSE),0),"")</f>
        <v/>
      </c>
      <c r="AT904" t="str">
        <f>IFERROR(ROUND(X904*(W904/$AW904)/VLOOKUP(V904,商品!$A$4:$B$60,2,FALSE),0),"")</f>
        <v/>
      </c>
      <c r="AU904">
        <f t="shared" si="269"/>
        <v>30</v>
      </c>
      <c r="AV904">
        <f t="shared" si="270"/>
        <v>0</v>
      </c>
      <c r="AW904">
        <f t="shared" si="271"/>
        <v>0</v>
      </c>
    </row>
    <row r="905" spans="1:49" ht="19.95" customHeight="1" x14ac:dyDescent="0.25">
      <c r="A905" s="16" t="s">
        <v>373</v>
      </c>
      <c r="C905" s="16">
        <v>2</v>
      </c>
      <c r="D905" s="23" t="s">
        <v>171</v>
      </c>
      <c r="E905" s="23" t="s">
        <v>172</v>
      </c>
      <c r="F905" s="2" t="s">
        <v>41</v>
      </c>
      <c r="G905" s="2">
        <v>10</v>
      </c>
      <c r="H905" s="2" t="s">
        <v>38</v>
      </c>
      <c r="I905" s="2">
        <v>15</v>
      </c>
      <c r="J905" s="24">
        <v>5</v>
      </c>
      <c r="K905" s="25">
        <v>5</v>
      </c>
      <c r="L905" s="15">
        <f>IFERROR(VLOOKUP($D905&amp;$C905,生产方式定位!$A$2:$E$38,2,FALSE)+VLOOKUP($E905&amp;$C905,生产方式定位!$F$3:$J$38,2,FALSE),0)</f>
        <v>1100</v>
      </c>
      <c r="S905" s="15">
        <f>IFERROR(VLOOKUP($D905&amp;$C905,生产方式定位!$A$2:$E$38,3,FALSE)+VLOOKUP($E905&amp;$C905,生产方式定位!$F$3:$J$38,3,FALSE),0)</f>
        <v>100</v>
      </c>
      <c r="X905" s="15">
        <f>IFERROR(VLOOKUP($D905&amp;$C905,生产方式定位!$A$2:$E$38,5,FALSE)+VLOOKUP($E905&amp;$C905,生产方式定位!$F$3:$J$38,5,FALSE),"错误")</f>
        <v>1510</v>
      </c>
      <c r="Y905" s="26" t="str">
        <f t="shared" si="256"/>
        <v>工具*8,肥料*8,运力*16,交易*16</v>
      </c>
      <c r="Z905" s="36" t="str">
        <f t="shared" si="257"/>
        <v/>
      </c>
      <c r="AA905" s="36" t="str">
        <f t="shared" si="258"/>
        <v/>
      </c>
      <c r="AB905" s="27" t="str">
        <f t="shared" si="259"/>
        <v>37%</v>
      </c>
      <c r="AC905" s="2">
        <f t="shared" si="260"/>
        <v>310</v>
      </c>
      <c r="AD905" s="37">
        <f t="shared" si="261"/>
        <v>2</v>
      </c>
      <c r="AE905" t="str">
        <f t="shared" si="262"/>
        <v>工具*8</v>
      </c>
      <c r="AF905" t="str">
        <f t="shared" si="263"/>
        <v>肥料*8</v>
      </c>
      <c r="AG905" t="str">
        <f t="shared" si="264"/>
        <v/>
      </c>
      <c r="AH905" t="str">
        <f t="shared" si="265"/>
        <v/>
      </c>
      <c r="AI905" t="str">
        <f t="shared" si="266"/>
        <v/>
      </c>
      <c r="AJ905" t="str">
        <f t="shared" si="267"/>
        <v/>
      </c>
      <c r="AK905" t="str">
        <f t="shared" si="268"/>
        <v/>
      </c>
      <c r="AL905">
        <f>IFERROR(ROUND(L905*(G905/$AU905)/VLOOKUP(F905,商品!$A$4:$B$60,2,FALSE),0),"")</f>
        <v>8</v>
      </c>
      <c r="AM905">
        <f>IFERROR(ROUND(L905*(I905/$AU905)/VLOOKUP(H905,商品!$A$4:$B$60,2,FALSE),0),"")</f>
        <v>8</v>
      </c>
      <c r="AN905">
        <f>IFERROR(ROUND(L905*(J905/$AU905)/VLOOKUP("运力",商品!$A$4:$B$60,2,FALSE),0),0)</f>
        <v>16</v>
      </c>
      <c r="AO905">
        <f>IFERROR(ROUND(L905*(K905/$AU905)/VLOOKUP("交易",商品!$A$4:$B$60,2,FALSE),0),0)</f>
        <v>16</v>
      </c>
      <c r="AP905" t="str">
        <f>IFERROR(ROUND(S905*(N905/$AV905)/VLOOKUP(M905,职业!$A$4:$G$16,4,FALSE),0),"")</f>
        <v/>
      </c>
      <c r="AQ905" t="str">
        <f>IFERROR(ROUND(S905*(P905/$AV905)/VLOOKUP(O905,职业!$A$4:$G$16,4,FALSE),0),"")</f>
        <v/>
      </c>
      <c r="AR905" t="str">
        <f>IFERROR(ROUND(S905*(R905/$AV905)/VLOOKUP(Q905,职业!$A$4:$G$16,4,FALSE),0),"")</f>
        <v/>
      </c>
      <c r="AS905" t="str">
        <f>IFERROR(ROUND(X905*(U905/$AW905)/VLOOKUP(T905,商品!$A$4:$B$60,2,FALSE),0),"")</f>
        <v/>
      </c>
      <c r="AT905" t="str">
        <f>IFERROR(ROUND(X905*(W905/$AW905)/VLOOKUP(V905,商品!$A$4:$B$60,2,FALSE),0),"")</f>
        <v/>
      </c>
      <c r="AU905">
        <f t="shared" si="269"/>
        <v>35</v>
      </c>
      <c r="AV905">
        <f t="shared" si="270"/>
        <v>0</v>
      </c>
      <c r="AW905">
        <f t="shared" si="271"/>
        <v>0</v>
      </c>
    </row>
    <row r="906" spans="1:49" ht="19.95" customHeight="1" x14ac:dyDescent="0.25">
      <c r="A906" s="16" t="s">
        <v>373</v>
      </c>
      <c r="C906" s="16">
        <v>3</v>
      </c>
      <c r="D906" s="23" t="s">
        <v>171</v>
      </c>
      <c r="E906" s="23" t="s">
        <v>172</v>
      </c>
      <c r="F906" s="2" t="s">
        <v>41</v>
      </c>
      <c r="G906" s="2">
        <v>10</v>
      </c>
      <c r="H906" s="2" t="s">
        <v>38</v>
      </c>
      <c r="I906" s="2">
        <v>15</v>
      </c>
      <c r="J906" s="24">
        <v>5</v>
      </c>
      <c r="K906" s="25">
        <v>5</v>
      </c>
      <c r="L906" s="15">
        <f>IFERROR(VLOOKUP($D906&amp;$C906,生产方式定位!$A$2:$E$38,2,FALSE)+VLOOKUP($E906&amp;$C906,生产方式定位!$F$3:$J$38,2,FALSE),0)</f>
        <v>1525</v>
      </c>
      <c r="S906" s="15">
        <f>IFERROR(VLOOKUP($D906&amp;$C906,生产方式定位!$A$2:$E$38,3,FALSE)+VLOOKUP($E906&amp;$C906,生产方式定位!$F$3:$J$38,3,FALSE),0)</f>
        <v>100</v>
      </c>
      <c r="X906" s="15">
        <f>IFERROR(VLOOKUP($D906&amp;$C906,生产方式定位!$A$2:$E$38,5,FALSE)+VLOOKUP($E906&amp;$C906,生产方式定位!$F$3:$J$38,5,FALSE),"错误")</f>
        <v>2050</v>
      </c>
      <c r="Y906" s="26" t="str">
        <f t="shared" si="256"/>
        <v>工具*11,肥料*11,运力*22,交易*22</v>
      </c>
      <c r="Z906" s="36" t="str">
        <f t="shared" si="257"/>
        <v/>
      </c>
      <c r="AA906" s="36" t="str">
        <f t="shared" si="258"/>
        <v/>
      </c>
      <c r="AB906" s="27" t="str">
        <f t="shared" si="259"/>
        <v>34%</v>
      </c>
      <c r="AC906" s="2">
        <f t="shared" si="260"/>
        <v>425</v>
      </c>
      <c r="AD906" s="38">
        <f t="shared" si="261"/>
        <v>3</v>
      </c>
      <c r="AE906" t="str">
        <f t="shared" si="262"/>
        <v>工具*11</v>
      </c>
      <c r="AF906" t="str">
        <f t="shared" si="263"/>
        <v>肥料*11</v>
      </c>
      <c r="AG906" t="str">
        <f t="shared" si="264"/>
        <v/>
      </c>
      <c r="AH906" t="str">
        <f t="shared" si="265"/>
        <v/>
      </c>
      <c r="AI906" t="str">
        <f t="shared" si="266"/>
        <v/>
      </c>
      <c r="AJ906" t="str">
        <f t="shared" si="267"/>
        <v/>
      </c>
      <c r="AK906" t="str">
        <f t="shared" si="268"/>
        <v/>
      </c>
      <c r="AL906">
        <f>IFERROR(ROUND(L906*(G906/$AU906)/VLOOKUP(F906,商品!$A$4:$B$60,2,FALSE),0),"")</f>
        <v>11</v>
      </c>
      <c r="AM906">
        <f>IFERROR(ROUND(L906*(I906/$AU906)/VLOOKUP(H906,商品!$A$4:$B$60,2,FALSE),0),"")</f>
        <v>11</v>
      </c>
      <c r="AN906">
        <f>IFERROR(ROUND(L906*(J906/$AU906)/VLOOKUP("运力",商品!$A$4:$B$60,2,FALSE),0),0)</f>
        <v>22</v>
      </c>
      <c r="AO906">
        <f>IFERROR(ROUND(L906*(K906/$AU906)/VLOOKUP("交易",商品!$A$4:$B$60,2,FALSE),0),0)</f>
        <v>22</v>
      </c>
      <c r="AP906" t="str">
        <f>IFERROR(ROUND(S906*(N906/$AV906)/VLOOKUP(M906,职业!$A$4:$G$16,4,FALSE),0),"")</f>
        <v/>
      </c>
      <c r="AQ906" t="str">
        <f>IFERROR(ROUND(S906*(P906/$AV906)/VLOOKUP(O906,职业!$A$4:$G$16,4,FALSE),0),"")</f>
        <v/>
      </c>
      <c r="AR906" t="str">
        <f>IFERROR(ROUND(S906*(R906/$AV906)/VLOOKUP(Q906,职业!$A$4:$G$16,4,FALSE),0),"")</f>
        <v/>
      </c>
      <c r="AS906" t="str">
        <f>IFERROR(ROUND(X906*(U906/$AW906)/VLOOKUP(T906,商品!$A$4:$B$60,2,FALSE),0),"")</f>
        <v/>
      </c>
      <c r="AT906" t="str">
        <f>IFERROR(ROUND(X906*(W906/$AW906)/VLOOKUP(V906,商品!$A$4:$B$60,2,FALSE),0),"")</f>
        <v/>
      </c>
      <c r="AU906">
        <f t="shared" si="269"/>
        <v>35</v>
      </c>
      <c r="AV906">
        <f t="shared" si="270"/>
        <v>0</v>
      </c>
      <c r="AW906">
        <f t="shared" si="271"/>
        <v>0</v>
      </c>
    </row>
    <row r="907" spans="1:49" ht="19.95" customHeight="1" x14ac:dyDescent="0.25">
      <c r="A907" s="16" t="s">
        <v>373</v>
      </c>
      <c r="C907" s="16">
        <v>4</v>
      </c>
      <c r="D907" s="23" t="s">
        <v>171</v>
      </c>
      <c r="E907" s="23" t="s">
        <v>172</v>
      </c>
      <c r="F907" s="2" t="s">
        <v>41</v>
      </c>
      <c r="G907" s="2">
        <v>10</v>
      </c>
      <c r="H907" s="2" t="s">
        <v>38</v>
      </c>
      <c r="I907" s="2">
        <v>15</v>
      </c>
      <c r="J907" s="24">
        <v>5</v>
      </c>
      <c r="K907" s="25">
        <v>5</v>
      </c>
      <c r="L907" s="15">
        <f>IFERROR(VLOOKUP($D907&amp;$C907,生产方式定位!$A$2:$E$38,2,FALSE)+VLOOKUP($E907&amp;$C907,生产方式定位!$F$3:$J$38,2,FALSE),0)</f>
        <v>1950</v>
      </c>
      <c r="S907" s="15">
        <f>IFERROR(VLOOKUP($D907&amp;$C907,生产方式定位!$A$2:$E$38,3,FALSE)+VLOOKUP($E907&amp;$C907,生产方式定位!$F$3:$J$38,3,FALSE),0)</f>
        <v>100</v>
      </c>
      <c r="X907" s="15">
        <f>IFERROR(VLOOKUP($D907&amp;$C907,生产方式定位!$A$2:$E$38,5,FALSE)+VLOOKUP($E907&amp;$C907,生产方式定位!$F$3:$J$38,5,FALSE),"错误")</f>
        <v>2590</v>
      </c>
      <c r="Y907" s="26" t="str">
        <f t="shared" si="256"/>
        <v>工具*14,肥料*14,运力*28,交易*28</v>
      </c>
      <c r="Z907" s="36" t="str">
        <f t="shared" si="257"/>
        <v/>
      </c>
      <c r="AA907" s="36" t="str">
        <f t="shared" si="258"/>
        <v/>
      </c>
      <c r="AB907" s="27" t="str">
        <f t="shared" si="259"/>
        <v>33%</v>
      </c>
      <c r="AC907" s="2">
        <f t="shared" si="260"/>
        <v>540</v>
      </c>
      <c r="AD907" s="38">
        <f t="shared" si="261"/>
        <v>4</v>
      </c>
      <c r="AE907" t="str">
        <f t="shared" si="262"/>
        <v>工具*14</v>
      </c>
      <c r="AF907" t="str">
        <f t="shared" si="263"/>
        <v>肥料*14</v>
      </c>
      <c r="AG907" t="str">
        <f t="shared" si="264"/>
        <v/>
      </c>
      <c r="AH907" t="str">
        <f t="shared" si="265"/>
        <v/>
      </c>
      <c r="AI907" t="str">
        <f t="shared" si="266"/>
        <v/>
      </c>
      <c r="AJ907" t="str">
        <f t="shared" si="267"/>
        <v/>
      </c>
      <c r="AK907" t="str">
        <f t="shared" si="268"/>
        <v/>
      </c>
      <c r="AL907">
        <f>IFERROR(ROUND(L907*(G907/$AU907)/VLOOKUP(F907,商品!$A$4:$B$60,2,FALSE),0),"")</f>
        <v>14</v>
      </c>
      <c r="AM907">
        <f>IFERROR(ROUND(L907*(I907/$AU907)/VLOOKUP(H907,商品!$A$4:$B$60,2,FALSE),0),"")</f>
        <v>14</v>
      </c>
      <c r="AN907">
        <f>IFERROR(ROUND(L907*(J907/$AU907)/VLOOKUP("运力",商品!$A$4:$B$60,2,FALSE),0),0)</f>
        <v>28</v>
      </c>
      <c r="AO907">
        <f>IFERROR(ROUND(L907*(K907/$AU907)/VLOOKUP("交易",商品!$A$4:$B$60,2,FALSE),0),0)</f>
        <v>28</v>
      </c>
      <c r="AP907" t="str">
        <f>IFERROR(ROUND(S907*(N907/$AV907)/VLOOKUP(M907,职业!$A$4:$G$16,4,FALSE),0),"")</f>
        <v/>
      </c>
      <c r="AQ907" t="str">
        <f>IFERROR(ROUND(S907*(P907/$AV907)/VLOOKUP(O907,职业!$A$4:$G$16,4,FALSE),0),"")</f>
        <v/>
      </c>
      <c r="AR907" t="str">
        <f>IFERROR(ROUND(S907*(R907/$AV907)/VLOOKUP(Q907,职业!$A$4:$G$16,4,FALSE),0),"")</f>
        <v/>
      </c>
      <c r="AS907" t="str">
        <f>IFERROR(ROUND(X907*(U907/$AW907)/VLOOKUP(T907,商品!$A$4:$B$60,2,FALSE),0),"")</f>
        <v/>
      </c>
      <c r="AT907" t="str">
        <f>IFERROR(ROUND(X907*(W907/$AW907)/VLOOKUP(V907,商品!$A$4:$B$60,2,FALSE),0),"")</f>
        <v/>
      </c>
      <c r="AU907">
        <f t="shared" si="269"/>
        <v>35</v>
      </c>
      <c r="AV907">
        <f t="shared" si="270"/>
        <v>0</v>
      </c>
      <c r="AW907">
        <f t="shared" si="271"/>
        <v>0</v>
      </c>
    </row>
    <row r="908" spans="1:49" ht="19.95" customHeight="1" x14ac:dyDescent="0.25">
      <c r="A908" s="16" t="s">
        <v>373</v>
      </c>
      <c r="C908" s="16">
        <v>5</v>
      </c>
      <c r="D908" s="23" t="s">
        <v>171</v>
      </c>
      <c r="E908" s="23" t="s">
        <v>172</v>
      </c>
      <c r="F908" s="2" t="s">
        <v>41</v>
      </c>
      <c r="G908" s="2">
        <v>10</v>
      </c>
      <c r="H908" s="2" t="s">
        <v>38</v>
      </c>
      <c r="I908" s="2">
        <v>15</v>
      </c>
      <c r="J908" s="24">
        <v>5</v>
      </c>
      <c r="K908" s="25">
        <v>5</v>
      </c>
      <c r="L908" s="15">
        <f>IFERROR(VLOOKUP($D908&amp;$C908,生产方式定位!$A$2:$E$38,2,FALSE)+VLOOKUP($E908&amp;$C908,生产方式定位!$F$3:$J$38,2,FALSE),0)</f>
        <v>2375</v>
      </c>
      <c r="S908" s="15">
        <f>IFERROR(VLOOKUP($D908&amp;$C908,生产方式定位!$A$2:$E$38,3,FALSE)+VLOOKUP($E908&amp;$C908,生产方式定位!$F$3:$J$38,3,FALSE),0)</f>
        <v>100</v>
      </c>
      <c r="X908" s="15">
        <f>IFERROR(VLOOKUP($D908&amp;$C908,生产方式定位!$A$2:$E$38,5,FALSE)+VLOOKUP($E908&amp;$C908,生产方式定位!$F$3:$J$38,5,FALSE),"错误")</f>
        <v>3130</v>
      </c>
      <c r="Y908" s="26" t="str">
        <f t="shared" si="256"/>
        <v>工具*17,肥料*17,运力*34,交易*34</v>
      </c>
      <c r="Z908" s="36" t="str">
        <f t="shared" si="257"/>
        <v/>
      </c>
      <c r="AA908" s="36" t="str">
        <f t="shared" si="258"/>
        <v/>
      </c>
      <c r="AB908" s="27" t="str">
        <f t="shared" si="259"/>
        <v>32%</v>
      </c>
      <c r="AC908" s="2">
        <f t="shared" si="260"/>
        <v>655</v>
      </c>
      <c r="AD908" s="38">
        <f t="shared" si="261"/>
        <v>5</v>
      </c>
      <c r="AE908" t="str">
        <f t="shared" si="262"/>
        <v>工具*17</v>
      </c>
      <c r="AF908" t="str">
        <f t="shared" si="263"/>
        <v>肥料*17</v>
      </c>
      <c r="AG908" t="str">
        <f t="shared" si="264"/>
        <v/>
      </c>
      <c r="AH908" t="str">
        <f t="shared" si="265"/>
        <v/>
      </c>
      <c r="AI908" t="str">
        <f t="shared" si="266"/>
        <v/>
      </c>
      <c r="AJ908" t="str">
        <f t="shared" si="267"/>
        <v/>
      </c>
      <c r="AK908" t="str">
        <f t="shared" si="268"/>
        <v/>
      </c>
      <c r="AL908">
        <f>IFERROR(ROUND(L908*(G908/$AU908)/VLOOKUP(F908,商品!$A$4:$B$60,2,FALSE),0),"")</f>
        <v>17</v>
      </c>
      <c r="AM908">
        <f>IFERROR(ROUND(L908*(I908/$AU908)/VLOOKUP(H908,商品!$A$4:$B$60,2,FALSE),0),"")</f>
        <v>17</v>
      </c>
      <c r="AN908">
        <f>IFERROR(ROUND(L908*(J908/$AU908)/VLOOKUP("运力",商品!$A$4:$B$60,2,FALSE),0),0)</f>
        <v>34</v>
      </c>
      <c r="AO908">
        <f>IFERROR(ROUND(L908*(K908/$AU908)/VLOOKUP("交易",商品!$A$4:$B$60,2,FALSE),0),0)</f>
        <v>34</v>
      </c>
      <c r="AP908" t="str">
        <f>IFERROR(ROUND(S908*(N908/$AV908)/VLOOKUP(M908,职业!$A$4:$G$16,4,FALSE),0),"")</f>
        <v/>
      </c>
      <c r="AQ908" t="str">
        <f>IFERROR(ROUND(S908*(P908/$AV908)/VLOOKUP(O908,职业!$A$4:$G$16,4,FALSE),0),"")</f>
        <v/>
      </c>
      <c r="AR908" t="str">
        <f>IFERROR(ROUND(S908*(R908/$AV908)/VLOOKUP(Q908,职业!$A$4:$G$16,4,FALSE),0),"")</f>
        <v/>
      </c>
      <c r="AS908" t="str">
        <f>IFERROR(ROUND(X908*(U908/$AW908)/VLOOKUP(T908,商品!$A$4:$B$60,2,FALSE),0),"")</f>
        <v/>
      </c>
      <c r="AT908" t="str">
        <f>IFERROR(ROUND(X908*(W908/$AW908)/VLOOKUP(V908,商品!$A$4:$B$60,2,FALSE),0),"")</f>
        <v/>
      </c>
      <c r="AU908">
        <f t="shared" si="269"/>
        <v>35</v>
      </c>
      <c r="AV908">
        <f t="shared" si="270"/>
        <v>0</v>
      </c>
      <c r="AW908">
        <f t="shared" si="271"/>
        <v>0</v>
      </c>
    </row>
    <row r="909" spans="1:49" ht="19.95" customHeight="1" x14ac:dyDescent="0.25">
      <c r="A909" s="15" t="s">
        <v>374</v>
      </c>
      <c r="C909" s="15">
        <v>1</v>
      </c>
      <c r="D909" s="23" t="s">
        <v>174</v>
      </c>
      <c r="E909" s="23" t="s">
        <v>175</v>
      </c>
      <c r="L909" s="16">
        <f>IFERROR(VLOOKUP($D909&amp;$C909,生产方式定位!$A$2:$E$38,2,FALSE)+VLOOKUP($E909&amp;$C909,生产方式定位!$F$3:$J$38,2,FALSE),0)</f>
        <v>0</v>
      </c>
      <c r="S909" s="16">
        <f>IFERROR(VLOOKUP($D909&amp;$C909,生产方式定位!$A$2:$E$38,3,FALSE)+VLOOKUP($E909&amp;$C909,生产方式定位!$F$3:$J$38,3,FALSE),0)</f>
        <v>0</v>
      </c>
      <c r="X909" s="16">
        <f>IFERROR(VLOOKUP($D909&amp;$C909,生产方式定位!$A$2:$E$38,5,FALSE)+VLOOKUP($E909&amp;$C909,生产方式定位!$F$3:$J$38,5,FALSE),"错误")</f>
        <v>0</v>
      </c>
      <c r="Y909" s="26" t="str">
        <f t="shared" si="256"/>
        <v/>
      </c>
      <c r="Z909" s="36" t="str">
        <f t="shared" si="257"/>
        <v/>
      </c>
      <c r="AA909" s="36" t="str">
        <f t="shared" si="258"/>
        <v/>
      </c>
      <c r="AB909" s="27" t="str">
        <f t="shared" si="259"/>
        <v/>
      </c>
      <c r="AC909" s="2" t="str">
        <f t="shared" si="260"/>
        <v/>
      </c>
      <c r="AD909" s="38">
        <f t="shared" si="261"/>
        <v>1</v>
      </c>
      <c r="AE909" t="str">
        <f t="shared" si="262"/>
        <v/>
      </c>
      <c r="AF909" t="str">
        <f t="shared" si="263"/>
        <v/>
      </c>
      <c r="AG909" t="str">
        <f t="shared" si="264"/>
        <v/>
      </c>
      <c r="AH909" t="str">
        <f t="shared" si="265"/>
        <v/>
      </c>
      <c r="AI909" t="str">
        <f t="shared" si="266"/>
        <v/>
      </c>
      <c r="AJ909" t="str">
        <f t="shared" si="267"/>
        <v/>
      </c>
      <c r="AK909" t="str">
        <f t="shared" si="268"/>
        <v/>
      </c>
      <c r="AL909" t="str">
        <f>IFERROR(ROUND(L909*(G909/$AU909)/VLOOKUP(F909,商品!$A$4:$B$60,2,FALSE),0),"")</f>
        <v/>
      </c>
      <c r="AM909" t="str">
        <f>IFERROR(ROUND(L909*(I909/$AU909)/VLOOKUP(H909,商品!$A$4:$B$60,2,FALSE),0),"")</f>
        <v/>
      </c>
      <c r="AN909">
        <f>IFERROR(ROUND(L909*(J909/$AU909)/VLOOKUP("运力",商品!$A$4:$B$60,2,FALSE),0),0)</f>
        <v>0</v>
      </c>
      <c r="AO909">
        <f>IFERROR(ROUND(L909*(K909/$AU909)/VLOOKUP("交易",商品!$A$4:$B$60,2,FALSE),0),0)</f>
        <v>0</v>
      </c>
      <c r="AP909" t="str">
        <f>IFERROR(ROUND(S909*(N909/$AV909)/VLOOKUP(M909,职业!$A$4:$G$16,4,FALSE),0),"")</f>
        <v/>
      </c>
      <c r="AQ909" t="str">
        <f>IFERROR(ROUND(S909*(P909/$AV909)/VLOOKUP(O909,职业!$A$4:$G$16,4,FALSE),0),"")</f>
        <v/>
      </c>
      <c r="AR909" t="str">
        <f>IFERROR(ROUND(S909*(R909/$AV909)/VLOOKUP(Q909,职业!$A$4:$G$16,4,FALSE),0),"")</f>
        <v/>
      </c>
      <c r="AS909" t="str">
        <f>IFERROR(ROUND(X909*(U909/$AW909)/VLOOKUP(T909,商品!$A$4:$B$60,2,FALSE),0),"")</f>
        <v/>
      </c>
      <c r="AT909" t="str">
        <f>IFERROR(ROUND(X909*(W909/$AW909)/VLOOKUP(V909,商品!$A$4:$B$60,2,FALSE),0),"")</f>
        <v/>
      </c>
      <c r="AU909">
        <f t="shared" si="269"/>
        <v>0</v>
      </c>
      <c r="AV909">
        <f t="shared" si="270"/>
        <v>0</v>
      </c>
      <c r="AW909">
        <f t="shared" si="271"/>
        <v>0</v>
      </c>
    </row>
    <row r="910" spans="1:49" ht="19.95" customHeight="1" x14ac:dyDescent="0.25">
      <c r="A910" s="15" t="s">
        <v>374</v>
      </c>
      <c r="C910" s="15">
        <v>2</v>
      </c>
      <c r="D910" s="23" t="s">
        <v>174</v>
      </c>
      <c r="E910" s="23" t="s">
        <v>175</v>
      </c>
      <c r="F910" s="2" t="s">
        <v>41</v>
      </c>
      <c r="G910" s="2">
        <v>10</v>
      </c>
      <c r="L910" s="16">
        <f>IFERROR(VLOOKUP($D910&amp;$C910,生产方式定位!$A$2:$E$38,2,FALSE)+VLOOKUP($E910&amp;$C910,生产方式定位!$F$3:$J$38,2,FALSE),0)</f>
        <v>50</v>
      </c>
      <c r="S910" s="16">
        <f>IFERROR(VLOOKUP($D910&amp;$C910,生产方式定位!$A$2:$E$38,3,FALSE)+VLOOKUP($E910&amp;$C910,生产方式定位!$F$3:$J$38,3,FALSE),0)</f>
        <v>10</v>
      </c>
      <c r="X910" s="16">
        <f>IFERROR(VLOOKUP($D910&amp;$C910,生产方式定位!$A$2:$E$38,5,FALSE)+VLOOKUP($E910&amp;$C910,生产方式定位!$F$3:$J$38,5,FALSE),"错误")</f>
        <v>0</v>
      </c>
      <c r="Y910" s="26" t="str">
        <f t="shared" si="256"/>
        <v>工具*1</v>
      </c>
      <c r="Z910" s="36" t="str">
        <f t="shared" si="257"/>
        <v/>
      </c>
      <c r="AA910" s="36" t="str">
        <f t="shared" si="258"/>
        <v/>
      </c>
      <c r="AB910" s="27" t="str">
        <f t="shared" si="259"/>
        <v>-100%</v>
      </c>
      <c r="AC910" s="2">
        <f t="shared" si="260"/>
        <v>-60</v>
      </c>
      <c r="AD910" s="38">
        <f t="shared" si="261"/>
        <v>2</v>
      </c>
      <c r="AE910" t="str">
        <f t="shared" si="262"/>
        <v>工具*1</v>
      </c>
      <c r="AF910" t="str">
        <f t="shared" si="263"/>
        <v/>
      </c>
      <c r="AG910" t="str">
        <f t="shared" si="264"/>
        <v/>
      </c>
      <c r="AH910" t="str">
        <f t="shared" si="265"/>
        <v/>
      </c>
      <c r="AI910" t="str">
        <f t="shared" si="266"/>
        <v/>
      </c>
      <c r="AJ910" t="str">
        <f t="shared" si="267"/>
        <v/>
      </c>
      <c r="AK910" t="str">
        <f t="shared" si="268"/>
        <v/>
      </c>
      <c r="AL910">
        <f>IFERROR(ROUND(L910*(G910/$AU910)/VLOOKUP(F910,商品!$A$4:$B$60,2,FALSE),0),"")</f>
        <v>1</v>
      </c>
      <c r="AM910" t="str">
        <f>IFERROR(ROUND(L910*(I910/$AU910)/VLOOKUP(H910,商品!$A$4:$B$60,2,FALSE),0),"")</f>
        <v/>
      </c>
      <c r="AN910">
        <f>IFERROR(ROUND(L910*(J910/$AU910)/VLOOKUP("运力",商品!$A$4:$B$60,2,FALSE),0),0)</f>
        <v>0</v>
      </c>
      <c r="AO910">
        <f>IFERROR(ROUND(L910*(K910/$AU910)/VLOOKUP("交易",商品!$A$4:$B$60,2,FALSE),0),0)</f>
        <v>0</v>
      </c>
      <c r="AP910" t="str">
        <f>IFERROR(ROUND(S910*(N910/$AV910)/VLOOKUP(M910,职业!$A$4:$G$16,4,FALSE),0),"")</f>
        <v/>
      </c>
      <c r="AQ910" t="str">
        <f>IFERROR(ROUND(S910*(P910/$AV910)/VLOOKUP(O910,职业!$A$4:$G$16,4,FALSE),0),"")</f>
        <v/>
      </c>
      <c r="AR910" t="str">
        <f>IFERROR(ROUND(S910*(R910/$AV910)/VLOOKUP(Q910,职业!$A$4:$G$16,4,FALSE),0),"")</f>
        <v/>
      </c>
      <c r="AS910" t="str">
        <f>IFERROR(ROUND(X910*(U910/$AW910)/VLOOKUP(T910,商品!$A$4:$B$60,2,FALSE),0),"")</f>
        <v/>
      </c>
      <c r="AT910" t="str">
        <f>IFERROR(ROUND(X910*(W910/$AW910)/VLOOKUP(V910,商品!$A$4:$B$60,2,FALSE),0),"")</f>
        <v/>
      </c>
      <c r="AU910">
        <f t="shared" si="269"/>
        <v>10</v>
      </c>
      <c r="AV910">
        <f t="shared" si="270"/>
        <v>0</v>
      </c>
      <c r="AW910">
        <f t="shared" si="271"/>
        <v>0</v>
      </c>
    </row>
    <row r="911" spans="1:49" ht="19.95" customHeight="1" x14ac:dyDescent="0.25">
      <c r="A911" s="15" t="s">
        <v>374</v>
      </c>
      <c r="C911" s="15">
        <v>3</v>
      </c>
      <c r="D911" s="23" t="s">
        <v>174</v>
      </c>
      <c r="E911" s="23" t="s">
        <v>175</v>
      </c>
      <c r="F911" s="2" t="s">
        <v>41</v>
      </c>
      <c r="G911" s="2">
        <v>10</v>
      </c>
      <c r="L911" s="16">
        <f>IFERROR(VLOOKUP($D911&amp;$C911,生产方式定位!$A$2:$E$38,2,FALSE)+VLOOKUP($E911&amp;$C911,生产方式定位!$F$3:$J$38,2,FALSE),0)</f>
        <v>100</v>
      </c>
      <c r="S911" s="16">
        <f>IFERROR(VLOOKUP($D911&amp;$C911,生产方式定位!$A$2:$E$38,3,FALSE)+VLOOKUP($E911&amp;$C911,生产方式定位!$F$3:$J$38,3,FALSE),0)</f>
        <v>20</v>
      </c>
      <c r="X911" s="16">
        <f>IFERROR(VLOOKUP($D911&amp;$C911,生产方式定位!$A$2:$E$38,5,FALSE)+VLOOKUP($E911&amp;$C911,生产方式定位!$F$3:$J$38,5,FALSE),"错误")</f>
        <v>0</v>
      </c>
      <c r="Y911" s="26" t="str">
        <f t="shared" si="256"/>
        <v>工具*3</v>
      </c>
      <c r="Z911" s="36" t="str">
        <f t="shared" si="257"/>
        <v/>
      </c>
      <c r="AA911" s="36" t="str">
        <f t="shared" si="258"/>
        <v/>
      </c>
      <c r="AB911" s="27" t="str">
        <f t="shared" si="259"/>
        <v>-100%</v>
      </c>
      <c r="AC911" s="2">
        <f t="shared" si="260"/>
        <v>-120</v>
      </c>
      <c r="AD911" s="38">
        <f t="shared" si="261"/>
        <v>3</v>
      </c>
      <c r="AE911" t="str">
        <f t="shared" si="262"/>
        <v>工具*3</v>
      </c>
      <c r="AF911" t="str">
        <f t="shared" si="263"/>
        <v/>
      </c>
      <c r="AG911" t="str">
        <f t="shared" si="264"/>
        <v/>
      </c>
      <c r="AH911" t="str">
        <f t="shared" si="265"/>
        <v/>
      </c>
      <c r="AI911" t="str">
        <f t="shared" si="266"/>
        <v/>
      </c>
      <c r="AJ911" t="str">
        <f t="shared" si="267"/>
        <v/>
      </c>
      <c r="AK911" t="str">
        <f t="shared" si="268"/>
        <v/>
      </c>
      <c r="AL911">
        <f>IFERROR(ROUND(L911*(G911/$AU911)/VLOOKUP(F911,商品!$A$4:$B$60,2,FALSE),0),"")</f>
        <v>3</v>
      </c>
      <c r="AM911" t="str">
        <f>IFERROR(ROUND(L911*(I911/$AU911)/VLOOKUP(H911,商品!$A$4:$B$60,2,FALSE),0),"")</f>
        <v/>
      </c>
      <c r="AN911">
        <f>IFERROR(ROUND(L911*(J911/$AU911)/VLOOKUP("运力",商品!$A$4:$B$60,2,FALSE),0),0)</f>
        <v>0</v>
      </c>
      <c r="AO911">
        <f>IFERROR(ROUND(L911*(K911/$AU911)/VLOOKUP("交易",商品!$A$4:$B$60,2,FALSE),0),0)</f>
        <v>0</v>
      </c>
      <c r="AP911" t="str">
        <f>IFERROR(ROUND(S911*(N911/$AV911)/VLOOKUP(M911,职业!$A$4:$G$16,4,FALSE),0),"")</f>
        <v/>
      </c>
      <c r="AQ911" t="str">
        <f>IFERROR(ROUND(S911*(P911/$AV911)/VLOOKUP(O911,职业!$A$4:$G$16,4,FALSE),0),"")</f>
        <v/>
      </c>
      <c r="AR911" t="str">
        <f>IFERROR(ROUND(S911*(R911/$AV911)/VLOOKUP(Q911,职业!$A$4:$G$16,4,FALSE),0),"")</f>
        <v/>
      </c>
      <c r="AS911" t="str">
        <f>IFERROR(ROUND(X911*(U911/$AW911)/VLOOKUP(T911,商品!$A$4:$B$60,2,FALSE),0),"")</f>
        <v/>
      </c>
      <c r="AT911" t="str">
        <f>IFERROR(ROUND(X911*(W911/$AW911)/VLOOKUP(V911,商品!$A$4:$B$60,2,FALSE),0),"")</f>
        <v/>
      </c>
      <c r="AU911">
        <f t="shared" si="269"/>
        <v>10</v>
      </c>
      <c r="AV911">
        <f t="shared" si="270"/>
        <v>0</v>
      </c>
      <c r="AW911">
        <f t="shared" si="271"/>
        <v>0</v>
      </c>
    </row>
    <row r="912" spans="1:49" ht="19.95" customHeight="1" x14ac:dyDescent="0.25">
      <c r="A912" s="15" t="s">
        <v>374</v>
      </c>
      <c r="C912" s="15">
        <v>4</v>
      </c>
      <c r="D912" s="23" t="s">
        <v>174</v>
      </c>
      <c r="E912" s="23" t="s">
        <v>175</v>
      </c>
      <c r="F912" s="2" t="s">
        <v>45</v>
      </c>
      <c r="G912" s="2">
        <v>5</v>
      </c>
      <c r="H912" s="2" t="s">
        <v>19</v>
      </c>
      <c r="I912" s="2">
        <v>10</v>
      </c>
      <c r="L912" s="16">
        <f>IFERROR(VLOOKUP($D912&amp;$C912,生产方式定位!$A$2:$E$38,2,FALSE)+VLOOKUP($E912&amp;$C912,生产方式定位!$F$3:$J$38,2,FALSE),0)</f>
        <v>150</v>
      </c>
      <c r="S912" s="16">
        <f>IFERROR(VLOOKUP($D912&amp;$C912,生产方式定位!$A$2:$E$38,3,FALSE)+VLOOKUP($E912&amp;$C912,生产方式定位!$F$3:$J$38,3,FALSE),0)</f>
        <v>30</v>
      </c>
      <c r="X912" s="16">
        <f>IFERROR(VLOOKUP($D912&amp;$C912,生产方式定位!$A$2:$E$38,5,FALSE)+VLOOKUP($E912&amp;$C912,生产方式定位!$F$3:$J$38,5,FALSE),"错误")</f>
        <v>0</v>
      </c>
      <c r="Y912" s="26" t="str">
        <f t="shared" si="256"/>
        <v>科学引擎*1,煤*3</v>
      </c>
      <c r="Z912" s="36" t="str">
        <f t="shared" si="257"/>
        <v/>
      </c>
      <c r="AA912" s="36" t="str">
        <f t="shared" si="258"/>
        <v/>
      </c>
      <c r="AB912" s="27" t="str">
        <f t="shared" si="259"/>
        <v>-100%</v>
      </c>
      <c r="AC912" s="2">
        <f t="shared" si="260"/>
        <v>-180</v>
      </c>
      <c r="AD912" s="38">
        <f t="shared" si="261"/>
        <v>4</v>
      </c>
      <c r="AE912" t="str">
        <f t="shared" si="262"/>
        <v>科学引擎*1</v>
      </c>
      <c r="AF912" t="str">
        <f t="shared" si="263"/>
        <v>煤*3</v>
      </c>
      <c r="AG912" t="str">
        <f t="shared" si="264"/>
        <v/>
      </c>
      <c r="AH912" t="str">
        <f t="shared" si="265"/>
        <v/>
      </c>
      <c r="AI912" t="str">
        <f t="shared" si="266"/>
        <v/>
      </c>
      <c r="AJ912" t="str">
        <f t="shared" si="267"/>
        <v/>
      </c>
      <c r="AK912" t="str">
        <f t="shared" si="268"/>
        <v/>
      </c>
      <c r="AL912">
        <f>IFERROR(ROUND(L912*(G912/$AU912)/VLOOKUP(F912,商品!$A$4:$B$60,2,FALSE),0),"")</f>
        <v>1</v>
      </c>
      <c r="AM912">
        <f>IFERROR(ROUND(L912*(I912/$AU912)/VLOOKUP(H912,商品!$A$4:$B$60,2,FALSE),0),"")</f>
        <v>3</v>
      </c>
      <c r="AN912">
        <f>IFERROR(ROUND(L912*(J912/$AU912)/VLOOKUP("运力",商品!$A$4:$B$60,2,FALSE),0),0)</f>
        <v>0</v>
      </c>
      <c r="AO912">
        <f>IFERROR(ROUND(L912*(K912/$AU912)/VLOOKUP("交易",商品!$A$4:$B$60,2,FALSE),0),0)</f>
        <v>0</v>
      </c>
      <c r="AP912" t="str">
        <f>IFERROR(ROUND(S912*(N912/$AV912)/VLOOKUP(M912,职业!$A$4:$G$16,4,FALSE),0),"")</f>
        <v/>
      </c>
      <c r="AQ912" t="str">
        <f>IFERROR(ROUND(S912*(P912/$AV912)/VLOOKUP(O912,职业!$A$4:$G$16,4,FALSE),0),"")</f>
        <v/>
      </c>
      <c r="AR912" t="str">
        <f>IFERROR(ROUND(S912*(R912/$AV912)/VLOOKUP(Q912,职业!$A$4:$G$16,4,FALSE),0),"")</f>
        <v/>
      </c>
      <c r="AS912" t="str">
        <f>IFERROR(ROUND(X912*(U912/$AW912)/VLOOKUP(T912,商品!$A$4:$B$60,2,FALSE),0),"")</f>
        <v/>
      </c>
      <c r="AT912" t="str">
        <f>IFERROR(ROUND(X912*(W912/$AW912)/VLOOKUP(V912,商品!$A$4:$B$60,2,FALSE),0),"")</f>
        <v/>
      </c>
      <c r="AU912">
        <f t="shared" si="269"/>
        <v>15</v>
      </c>
      <c r="AV912">
        <f t="shared" si="270"/>
        <v>0</v>
      </c>
      <c r="AW912">
        <f t="shared" si="271"/>
        <v>0</v>
      </c>
    </row>
    <row r="913" spans="1:49" ht="19.95" customHeight="1" x14ac:dyDescent="0.25">
      <c r="A913" s="15" t="s">
        <v>374</v>
      </c>
      <c r="C913" s="15">
        <v>5</v>
      </c>
      <c r="D913" s="23" t="s">
        <v>174</v>
      </c>
      <c r="E913" s="23" t="s">
        <v>175</v>
      </c>
      <c r="F913" s="2" t="s">
        <v>46</v>
      </c>
      <c r="G913" s="2">
        <v>5</v>
      </c>
      <c r="H913" s="2" t="s">
        <v>19</v>
      </c>
      <c r="I913" s="2">
        <v>10</v>
      </c>
      <c r="L913" s="16">
        <f>IFERROR(VLOOKUP($D913&amp;$C913,生产方式定位!$A$2:$E$38,2,FALSE)+VLOOKUP($E913&amp;$C913,生产方式定位!$F$3:$J$38,2,FALSE),0)</f>
        <v>200</v>
      </c>
      <c r="S913" s="16">
        <f>IFERROR(VLOOKUP($D913&amp;$C913,生产方式定位!$A$2:$E$38,3,FALSE)+VLOOKUP($E913&amp;$C913,生产方式定位!$F$3:$J$38,3,FALSE),0)</f>
        <v>40</v>
      </c>
      <c r="X913" s="16">
        <f>IFERROR(VLOOKUP($D913&amp;$C913,生产方式定位!$A$2:$E$38,5,FALSE)+VLOOKUP($E913&amp;$C913,生产方式定位!$F$3:$J$38,5,FALSE),"错误")</f>
        <v>0</v>
      </c>
      <c r="Y913" s="26" t="str">
        <f t="shared" si="256"/>
        <v>魔导引擎*1,煤*4</v>
      </c>
      <c r="Z913" s="36" t="str">
        <f t="shared" si="257"/>
        <v/>
      </c>
      <c r="AA913" s="36" t="str">
        <f t="shared" si="258"/>
        <v/>
      </c>
      <c r="AB913" s="27" t="str">
        <f t="shared" si="259"/>
        <v>-100%</v>
      </c>
      <c r="AC913" s="2">
        <f t="shared" si="260"/>
        <v>-240</v>
      </c>
      <c r="AD913" s="38">
        <f t="shared" si="261"/>
        <v>5</v>
      </c>
      <c r="AE913" t="str">
        <f t="shared" si="262"/>
        <v>魔导引擎*1</v>
      </c>
      <c r="AF913" t="str">
        <f t="shared" si="263"/>
        <v>煤*4</v>
      </c>
      <c r="AG913" t="str">
        <f t="shared" si="264"/>
        <v/>
      </c>
      <c r="AH913" t="str">
        <f t="shared" si="265"/>
        <v/>
      </c>
      <c r="AI913" t="str">
        <f t="shared" si="266"/>
        <v/>
      </c>
      <c r="AJ913" t="str">
        <f t="shared" si="267"/>
        <v/>
      </c>
      <c r="AK913" t="str">
        <f t="shared" si="268"/>
        <v/>
      </c>
      <c r="AL913">
        <f>IFERROR(ROUND(L913*(G913/$AU913)/VLOOKUP(F913,商品!$A$4:$B$60,2,FALSE),0),"")</f>
        <v>1</v>
      </c>
      <c r="AM913">
        <f>IFERROR(ROUND(L913*(I913/$AU913)/VLOOKUP(H913,商品!$A$4:$B$60,2,FALSE),0),"")</f>
        <v>4</v>
      </c>
      <c r="AN913">
        <f>IFERROR(ROUND(L913*(J913/$AU913)/VLOOKUP("运力",商品!$A$4:$B$60,2,FALSE),0),0)</f>
        <v>0</v>
      </c>
      <c r="AO913">
        <f>IFERROR(ROUND(L913*(K913/$AU913)/VLOOKUP("交易",商品!$A$4:$B$60,2,FALSE),0),0)</f>
        <v>0</v>
      </c>
      <c r="AP913" t="str">
        <f>IFERROR(ROUND(S913*(N913/$AV913)/VLOOKUP(M913,职业!$A$4:$G$16,4,FALSE),0),"")</f>
        <v/>
      </c>
      <c r="AQ913" t="str">
        <f>IFERROR(ROUND(S913*(P913/$AV913)/VLOOKUP(O913,职业!$A$4:$G$16,4,FALSE),0),"")</f>
        <v/>
      </c>
      <c r="AR913" t="str">
        <f>IFERROR(ROUND(S913*(R913/$AV913)/VLOOKUP(Q913,职业!$A$4:$G$16,4,FALSE),0),"")</f>
        <v/>
      </c>
      <c r="AS913" t="str">
        <f>IFERROR(ROUND(X913*(U913/$AW913)/VLOOKUP(T913,商品!$A$4:$B$60,2,FALSE),0),"")</f>
        <v/>
      </c>
      <c r="AT913" t="str">
        <f>IFERROR(ROUND(X913*(W913/$AW913)/VLOOKUP(V913,商品!$A$4:$B$60,2,FALSE),0),"")</f>
        <v/>
      </c>
      <c r="AU913">
        <f t="shared" si="269"/>
        <v>15</v>
      </c>
      <c r="AV913">
        <f t="shared" si="270"/>
        <v>0</v>
      </c>
      <c r="AW913">
        <f t="shared" si="271"/>
        <v>0</v>
      </c>
    </row>
    <row r="914" spans="1:49" ht="19.95" customHeight="1" x14ac:dyDescent="0.25">
      <c r="A914" s="16" t="s">
        <v>375</v>
      </c>
      <c r="C914" s="16">
        <v>1</v>
      </c>
      <c r="D914" s="23" t="s">
        <v>171</v>
      </c>
      <c r="E914" s="23" t="s">
        <v>177</v>
      </c>
      <c r="L914" s="15">
        <f>IFERROR(VLOOKUP($D914&amp;$C914,生产方式定位!$A$2:$E$38,2,FALSE)+VLOOKUP($E914&amp;$C914,生产方式定位!$F$3:$J$38,2,FALSE),0)</f>
        <v>300</v>
      </c>
      <c r="S914" s="15">
        <f>IFERROR(VLOOKUP($D914&amp;$C914,生产方式定位!$A$2:$E$38,3,FALSE)+VLOOKUP($E914&amp;$C914,生产方式定位!$F$3:$J$38,3,FALSE),0)</f>
        <v>100</v>
      </c>
      <c r="X914" s="15">
        <f>IFERROR(VLOOKUP($D914&amp;$C914,生产方式定位!$A$2:$E$38,5,FALSE)+VLOOKUP($E914&amp;$C914,生产方式定位!$F$3:$J$38,5,FALSE),"错误")</f>
        <v>520</v>
      </c>
      <c r="Y914" s="26" t="str">
        <f t="shared" si="256"/>
        <v/>
      </c>
      <c r="Z914" s="36" t="str">
        <f t="shared" si="257"/>
        <v/>
      </c>
      <c r="AA914" s="36" t="str">
        <f t="shared" si="258"/>
        <v/>
      </c>
      <c r="AB914" s="27" t="str">
        <f t="shared" si="259"/>
        <v>73%</v>
      </c>
      <c r="AC914" s="2">
        <f t="shared" si="260"/>
        <v>120</v>
      </c>
      <c r="AD914" s="37">
        <f t="shared" si="261"/>
        <v>1</v>
      </c>
      <c r="AE914" t="str">
        <f t="shared" si="262"/>
        <v/>
      </c>
      <c r="AF914" t="str">
        <f t="shared" si="263"/>
        <v/>
      </c>
      <c r="AG914" t="str">
        <f t="shared" si="264"/>
        <v/>
      </c>
      <c r="AH914" t="str">
        <f t="shared" si="265"/>
        <v/>
      </c>
      <c r="AI914" t="str">
        <f t="shared" si="266"/>
        <v/>
      </c>
      <c r="AJ914" t="str">
        <f t="shared" si="267"/>
        <v/>
      </c>
      <c r="AK914" t="str">
        <f t="shared" si="268"/>
        <v/>
      </c>
      <c r="AL914" t="str">
        <f>IFERROR(ROUND(L914*(G914/$AU914)/VLOOKUP(F914,商品!$A$4:$B$60,2,FALSE),0),"")</f>
        <v/>
      </c>
      <c r="AM914" t="str">
        <f>IFERROR(ROUND(L914*(I914/$AU914)/VLOOKUP(H914,商品!$A$4:$B$60,2,FALSE),0),"")</f>
        <v/>
      </c>
      <c r="AN914">
        <f>IFERROR(ROUND(L914*(J914/$AU914)/VLOOKUP("运力",商品!$A$4:$B$60,2,FALSE),0),0)</f>
        <v>0</v>
      </c>
      <c r="AO914">
        <f>IFERROR(ROUND(L914*(K914/$AU914)/VLOOKUP("交易",商品!$A$4:$B$60,2,FALSE),0),0)</f>
        <v>0</v>
      </c>
      <c r="AP914" t="str">
        <f>IFERROR(ROUND(S914*(N914/$AV914)/VLOOKUP(M914,职业!$A$4:$G$16,4,FALSE),0),"")</f>
        <v/>
      </c>
      <c r="AQ914" t="str">
        <f>IFERROR(ROUND(S914*(P914/$AV914)/VLOOKUP(O914,职业!$A$4:$G$16,4,FALSE),0),"")</f>
        <v/>
      </c>
      <c r="AR914" t="str">
        <f>IFERROR(ROUND(S914*(R914/$AV914)/VLOOKUP(Q914,职业!$A$4:$G$16,4,FALSE),0),"")</f>
        <v/>
      </c>
      <c r="AS914" t="str">
        <f>IFERROR(ROUND(X914*(U914/$AW914)/VLOOKUP(T914,商品!$A$4:$B$60,2,FALSE),0),"")</f>
        <v/>
      </c>
      <c r="AT914" t="str">
        <f>IFERROR(ROUND(X914*(W914/$AW914)/VLOOKUP(V914,商品!$A$4:$B$60,2,FALSE),0),"")</f>
        <v/>
      </c>
      <c r="AU914">
        <f t="shared" si="269"/>
        <v>0</v>
      </c>
      <c r="AV914">
        <f t="shared" si="270"/>
        <v>0</v>
      </c>
      <c r="AW914">
        <f t="shared" si="271"/>
        <v>0</v>
      </c>
    </row>
    <row r="915" spans="1:49" ht="19.95" customHeight="1" x14ac:dyDescent="0.25">
      <c r="A915" s="16" t="s">
        <v>375</v>
      </c>
      <c r="C915" s="16">
        <v>2</v>
      </c>
      <c r="D915" s="23" t="s">
        <v>171</v>
      </c>
      <c r="E915" s="23" t="s">
        <v>177</v>
      </c>
      <c r="F915" s="2" t="s">
        <v>42</v>
      </c>
      <c r="G915" s="2">
        <v>5</v>
      </c>
      <c r="H915" s="2" t="s">
        <v>20</v>
      </c>
      <c r="I915" s="2">
        <v>10</v>
      </c>
      <c r="L915" s="15">
        <f>IFERROR(VLOOKUP($D915&amp;$C915,生产方式定位!$A$2:$E$38,2,FALSE)+VLOOKUP($E915&amp;$C915,生产方式定位!$F$3:$J$38,2,FALSE),0)</f>
        <v>705</v>
      </c>
      <c r="S915" s="15">
        <f>IFERROR(VLOOKUP($D915&amp;$C915,生产方式定位!$A$2:$E$38,3,FALSE)+VLOOKUP($E915&amp;$C915,生产方式定位!$F$3:$J$38,3,FALSE),0)</f>
        <v>115</v>
      </c>
      <c r="X915" s="15">
        <f>IFERROR(VLOOKUP($D915&amp;$C915,生产方式定位!$A$2:$E$38,5,FALSE)+VLOOKUP($E915&amp;$C915,生产方式定位!$F$3:$J$38,5,FALSE),"错误")</f>
        <v>910</v>
      </c>
      <c r="Y915" s="26" t="str">
        <f t="shared" si="256"/>
        <v>魔偶*6,灵能水晶*16</v>
      </c>
      <c r="Z915" s="36" t="str">
        <f t="shared" si="257"/>
        <v/>
      </c>
      <c r="AA915" s="36" t="str">
        <f t="shared" si="258"/>
        <v/>
      </c>
      <c r="AB915" s="27" t="str">
        <f t="shared" si="259"/>
        <v>29%</v>
      </c>
      <c r="AC915" s="2">
        <f t="shared" si="260"/>
        <v>90</v>
      </c>
      <c r="AD915" s="37">
        <f t="shared" si="261"/>
        <v>2</v>
      </c>
      <c r="AE915" t="str">
        <f t="shared" si="262"/>
        <v>魔偶*6</v>
      </c>
      <c r="AF915" t="str">
        <f t="shared" si="263"/>
        <v>灵能水晶*16</v>
      </c>
      <c r="AG915" t="str">
        <f t="shared" si="264"/>
        <v/>
      </c>
      <c r="AH915" t="str">
        <f t="shared" si="265"/>
        <v/>
      </c>
      <c r="AI915" t="str">
        <f t="shared" si="266"/>
        <v/>
      </c>
      <c r="AJ915" t="str">
        <f t="shared" si="267"/>
        <v/>
      </c>
      <c r="AK915" t="str">
        <f t="shared" si="268"/>
        <v/>
      </c>
      <c r="AL915">
        <f>IFERROR(ROUND(L915*(G915/$AU915)/VLOOKUP(F915,商品!$A$4:$B$60,2,FALSE),0),"")</f>
        <v>6</v>
      </c>
      <c r="AM915">
        <f>IFERROR(ROUND(L915*(I915/$AU915)/VLOOKUP(H915,商品!$A$4:$B$60,2,FALSE),0),"")</f>
        <v>16</v>
      </c>
      <c r="AN915">
        <f>IFERROR(ROUND(L915*(J915/$AU915)/VLOOKUP("运力",商品!$A$4:$B$60,2,FALSE),0),0)</f>
        <v>0</v>
      </c>
      <c r="AO915">
        <f>IFERROR(ROUND(L915*(K915/$AU915)/VLOOKUP("交易",商品!$A$4:$B$60,2,FALSE),0),0)</f>
        <v>0</v>
      </c>
      <c r="AP915" t="str">
        <f>IFERROR(ROUND(S915*(N915/$AV915)/VLOOKUP(M915,职业!$A$4:$G$16,4,FALSE),0),"")</f>
        <v/>
      </c>
      <c r="AQ915" t="str">
        <f>IFERROR(ROUND(S915*(P915/$AV915)/VLOOKUP(O915,职业!$A$4:$G$16,4,FALSE),0),"")</f>
        <v/>
      </c>
      <c r="AR915" t="str">
        <f>IFERROR(ROUND(S915*(R915/$AV915)/VLOOKUP(Q915,职业!$A$4:$G$16,4,FALSE),0),"")</f>
        <v/>
      </c>
      <c r="AS915" t="str">
        <f>IFERROR(ROUND(X915*(U915/$AW915)/VLOOKUP(T915,商品!$A$4:$B$60,2,FALSE),0),"")</f>
        <v/>
      </c>
      <c r="AT915" t="str">
        <f>IFERROR(ROUND(X915*(W915/$AW915)/VLOOKUP(V915,商品!$A$4:$B$60,2,FALSE),0),"")</f>
        <v/>
      </c>
      <c r="AU915">
        <f t="shared" si="269"/>
        <v>15</v>
      </c>
      <c r="AV915">
        <f t="shared" si="270"/>
        <v>0</v>
      </c>
      <c r="AW915">
        <f t="shared" si="271"/>
        <v>0</v>
      </c>
    </row>
    <row r="916" spans="1:49" ht="19.95" customHeight="1" x14ac:dyDescent="0.25">
      <c r="A916" s="16" t="s">
        <v>375</v>
      </c>
      <c r="C916" s="16">
        <v>3</v>
      </c>
      <c r="D916" s="23" t="s">
        <v>171</v>
      </c>
      <c r="E916" s="23" t="s">
        <v>177</v>
      </c>
      <c r="F916" s="2" t="s">
        <v>42</v>
      </c>
      <c r="G916" s="2">
        <v>5</v>
      </c>
      <c r="H916" s="2" t="s">
        <v>20</v>
      </c>
      <c r="I916" s="2">
        <v>10</v>
      </c>
      <c r="L916" s="15">
        <f>IFERROR(VLOOKUP($D916&amp;$C916,生产方式定位!$A$2:$E$38,2,FALSE)+VLOOKUP($E916&amp;$C916,生产方式定位!$F$3:$J$38,2,FALSE),0)</f>
        <v>1110</v>
      </c>
      <c r="S916" s="15">
        <f>IFERROR(VLOOKUP($D916&amp;$C916,生产方式定位!$A$2:$E$38,3,FALSE)+VLOOKUP($E916&amp;$C916,生产方式定位!$F$3:$J$38,3,FALSE),0)</f>
        <v>130</v>
      </c>
      <c r="X916" s="15">
        <f>IFERROR(VLOOKUP($D916&amp;$C916,生产方式定位!$A$2:$E$38,5,FALSE)+VLOOKUP($E916&amp;$C916,生产方式定位!$F$3:$J$38,5,FALSE),"错误")</f>
        <v>1300</v>
      </c>
      <c r="Y916" s="26" t="str">
        <f t="shared" si="256"/>
        <v>魔偶*9,灵能水晶*25</v>
      </c>
      <c r="Z916" s="36" t="str">
        <f t="shared" si="257"/>
        <v/>
      </c>
      <c r="AA916" s="36" t="str">
        <f t="shared" si="258"/>
        <v/>
      </c>
      <c r="AB916" s="27" t="str">
        <f t="shared" si="259"/>
        <v>17%</v>
      </c>
      <c r="AC916" s="2">
        <f t="shared" si="260"/>
        <v>60</v>
      </c>
      <c r="AD916" s="37">
        <f t="shared" si="261"/>
        <v>3</v>
      </c>
      <c r="AE916" t="str">
        <f t="shared" si="262"/>
        <v>魔偶*9</v>
      </c>
      <c r="AF916" t="str">
        <f t="shared" si="263"/>
        <v>灵能水晶*25</v>
      </c>
      <c r="AG916" t="str">
        <f t="shared" si="264"/>
        <v/>
      </c>
      <c r="AH916" t="str">
        <f t="shared" si="265"/>
        <v/>
      </c>
      <c r="AI916" t="str">
        <f t="shared" si="266"/>
        <v/>
      </c>
      <c r="AJ916" t="str">
        <f t="shared" si="267"/>
        <v/>
      </c>
      <c r="AK916" t="str">
        <f t="shared" si="268"/>
        <v/>
      </c>
      <c r="AL916">
        <f>IFERROR(ROUND(L916*(G916/$AU916)/VLOOKUP(F916,商品!$A$4:$B$60,2,FALSE),0),"")</f>
        <v>9</v>
      </c>
      <c r="AM916">
        <f>IFERROR(ROUND(L916*(I916/$AU916)/VLOOKUP(H916,商品!$A$4:$B$60,2,FALSE),0),"")</f>
        <v>25</v>
      </c>
      <c r="AN916">
        <f>IFERROR(ROUND(L916*(J916/$AU916)/VLOOKUP("运力",商品!$A$4:$B$60,2,FALSE),0),0)</f>
        <v>0</v>
      </c>
      <c r="AO916">
        <f>IFERROR(ROUND(L916*(K916/$AU916)/VLOOKUP("交易",商品!$A$4:$B$60,2,FALSE),0),0)</f>
        <v>0</v>
      </c>
      <c r="AP916" t="str">
        <f>IFERROR(ROUND(S916*(N916/$AV916)/VLOOKUP(M916,职业!$A$4:$G$16,4,FALSE),0),"")</f>
        <v/>
      </c>
      <c r="AQ916" t="str">
        <f>IFERROR(ROUND(S916*(P916/$AV916)/VLOOKUP(O916,职业!$A$4:$G$16,4,FALSE),0),"")</f>
        <v/>
      </c>
      <c r="AR916" t="str">
        <f>IFERROR(ROUND(S916*(R916/$AV916)/VLOOKUP(Q916,职业!$A$4:$G$16,4,FALSE),0),"")</f>
        <v/>
      </c>
      <c r="AS916" t="str">
        <f>IFERROR(ROUND(X916*(U916/$AW916)/VLOOKUP(T916,商品!$A$4:$B$60,2,FALSE),0),"")</f>
        <v/>
      </c>
      <c r="AT916" t="str">
        <f>IFERROR(ROUND(X916*(W916/$AW916)/VLOOKUP(V916,商品!$A$4:$B$60,2,FALSE),0),"")</f>
        <v/>
      </c>
      <c r="AU916">
        <f t="shared" si="269"/>
        <v>15</v>
      </c>
      <c r="AV916">
        <f t="shared" si="270"/>
        <v>0</v>
      </c>
      <c r="AW916">
        <f t="shared" si="271"/>
        <v>0</v>
      </c>
    </row>
    <row r="917" spans="1:49" ht="19.95" customHeight="1" x14ac:dyDescent="0.25">
      <c r="A917" s="16" t="s">
        <v>375</v>
      </c>
      <c r="C917" s="16">
        <v>4</v>
      </c>
      <c r="D917" s="23" t="s">
        <v>171</v>
      </c>
      <c r="E917" s="23" t="s">
        <v>177</v>
      </c>
      <c r="F917" s="2" t="s">
        <v>42</v>
      </c>
      <c r="G917" s="2">
        <v>5</v>
      </c>
      <c r="H917" s="2" t="s">
        <v>20</v>
      </c>
      <c r="I917" s="2">
        <v>10</v>
      </c>
      <c r="L917" s="15">
        <f>IFERROR(VLOOKUP($D917&amp;$C917,生产方式定位!$A$2:$E$38,2,FALSE)+VLOOKUP($E917&amp;$C917,生产方式定位!$F$3:$J$38,2,FALSE),0)</f>
        <v>1515</v>
      </c>
      <c r="S917" s="15">
        <f>IFERROR(VLOOKUP($D917&amp;$C917,生产方式定位!$A$2:$E$38,3,FALSE)+VLOOKUP($E917&amp;$C917,生产方式定位!$F$3:$J$38,3,FALSE),0)</f>
        <v>145</v>
      </c>
      <c r="X917" s="15">
        <f>IFERROR(VLOOKUP($D917&amp;$C917,生产方式定位!$A$2:$E$38,5,FALSE)+VLOOKUP($E917&amp;$C917,生产方式定位!$F$3:$J$38,5,FALSE),"错误")</f>
        <v>1690</v>
      </c>
      <c r="Y917" s="26" t="str">
        <f t="shared" si="256"/>
        <v>魔偶*13,灵能水晶*34</v>
      </c>
      <c r="Z917" s="36" t="str">
        <f t="shared" si="257"/>
        <v/>
      </c>
      <c r="AA917" s="36" t="str">
        <f t="shared" si="258"/>
        <v/>
      </c>
      <c r="AB917" s="27" t="str">
        <f t="shared" si="259"/>
        <v>12%</v>
      </c>
      <c r="AC917" s="2">
        <f t="shared" si="260"/>
        <v>30</v>
      </c>
      <c r="AD917" s="37">
        <f t="shared" si="261"/>
        <v>4</v>
      </c>
      <c r="AE917" t="str">
        <f t="shared" si="262"/>
        <v>魔偶*13</v>
      </c>
      <c r="AF917" t="str">
        <f t="shared" si="263"/>
        <v>灵能水晶*34</v>
      </c>
      <c r="AG917" t="str">
        <f t="shared" si="264"/>
        <v/>
      </c>
      <c r="AH917" t="str">
        <f t="shared" si="265"/>
        <v/>
      </c>
      <c r="AI917" t="str">
        <f t="shared" si="266"/>
        <v/>
      </c>
      <c r="AJ917" t="str">
        <f t="shared" si="267"/>
        <v/>
      </c>
      <c r="AK917" t="str">
        <f t="shared" si="268"/>
        <v/>
      </c>
      <c r="AL917">
        <f>IFERROR(ROUND(L917*(G917/$AU917)/VLOOKUP(F917,商品!$A$4:$B$60,2,FALSE),0),"")</f>
        <v>13</v>
      </c>
      <c r="AM917">
        <f>IFERROR(ROUND(L917*(I917/$AU917)/VLOOKUP(H917,商品!$A$4:$B$60,2,FALSE),0),"")</f>
        <v>34</v>
      </c>
      <c r="AN917">
        <f>IFERROR(ROUND(L917*(J917/$AU917)/VLOOKUP("运力",商品!$A$4:$B$60,2,FALSE),0),0)</f>
        <v>0</v>
      </c>
      <c r="AO917">
        <f>IFERROR(ROUND(L917*(K917/$AU917)/VLOOKUP("交易",商品!$A$4:$B$60,2,FALSE),0),0)</f>
        <v>0</v>
      </c>
      <c r="AP917" t="str">
        <f>IFERROR(ROUND(S917*(N917/$AV917)/VLOOKUP(M917,职业!$A$4:$G$16,4,FALSE),0),"")</f>
        <v/>
      </c>
      <c r="AQ917" t="str">
        <f>IFERROR(ROUND(S917*(P917/$AV917)/VLOOKUP(O917,职业!$A$4:$G$16,4,FALSE),0),"")</f>
        <v/>
      </c>
      <c r="AR917" t="str">
        <f>IFERROR(ROUND(S917*(R917/$AV917)/VLOOKUP(Q917,职业!$A$4:$G$16,4,FALSE),0),"")</f>
        <v/>
      </c>
      <c r="AS917" t="str">
        <f>IFERROR(ROUND(X917*(U917/$AW917)/VLOOKUP(T917,商品!$A$4:$B$60,2,FALSE),0),"")</f>
        <v/>
      </c>
      <c r="AT917" t="str">
        <f>IFERROR(ROUND(X917*(W917/$AW917)/VLOOKUP(V917,商品!$A$4:$B$60,2,FALSE),0),"")</f>
        <v/>
      </c>
      <c r="AU917">
        <f t="shared" si="269"/>
        <v>15</v>
      </c>
      <c r="AV917">
        <f t="shared" si="270"/>
        <v>0</v>
      </c>
      <c r="AW917">
        <f t="shared" si="271"/>
        <v>0</v>
      </c>
    </row>
    <row r="918" spans="1:49" ht="19.95" customHeight="1" x14ac:dyDescent="0.25">
      <c r="A918" s="16" t="s">
        <v>375</v>
      </c>
      <c r="C918" s="16">
        <v>5</v>
      </c>
      <c r="D918" s="23" t="s">
        <v>171</v>
      </c>
      <c r="E918" s="23" t="s">
        <v>177</v>
      </c>
      <c r="F918" s="2" t="s">
        <v>42</v>
      </c>
      <c r="G918" s="2">
        <v>5</v>
      </c>
      <c r="H918" s="2" t="s">
        <v>20</v>
      </c>
      <c r="I918" s="2">
        <v>10</v>
      </c>
      <c r="L918" s="15">
        <f>IFERROR(VLOOKUP($D918&amp;$C918,生产方式定位!$A$2:$E$38,2,FALSE)+VLOOKUP($E918&amp;$C918,生产方式定位!$F$3:$J$38,2,FALSE),0)</f>
        <v>1920</v>
      </c>
      <c r="S918" s="15">
        <f>IFERROR(VLOOKUP($D918&amp;$C918,生产方式定位!$A$2:$E$38,3,FALSE)+VLOOKUP($E918&amp;$C918,生产方式定位!$F$3:$J$38,3,FALSE),0)</f>
        <v>160</v>
      </c>
      <c r="X918" s="15">
        <f>IFERROR(VLOOKUP($D918&amp;$C918,生产方式定位!$A$2:$E$38,5,FALSE)+VLOOKUP($E918&amp;$C918,生产方式定位!$F$3:$J$38,5,FALSE),"错误")</f>
        <v>2080</v>
      </c>
      <c r="Y918" s="26" t="str">
        <f t="shared" si="256"/>
        <v>魔偶*16,灵能水晶*43</v>
      </c>
      <c r="Z918" s="36" t="str">
        <f t="shared" si="257"/>
        <v/>
      </c>
      <c r="AA918" s="36" t="str">
        <f t="shared" si="258"/>
        <v/>
      </c>
      <c r="AB918" s="27" t="str">
        <f t="shared" si="259"/>
        <v>8%</v>
      </c>
      <c r="AC918" s="2" t="str">
        <f t="shared" si="260"/>
        <v/>
      </c>
      <c r="AD918" s="37">
        <f t="shared" si="261"/>
        <v>5</v>
      </c>
      <c r="AE918" t="str">
        <f t="shared" si="262"/>
        <v>魔偶*16</v>
      </c>
      <c r="AF918" t="str">
        <f t="shared" si="263"/>
        <v>灵能水晶*43</v>
      </c>
      <c r="AG918" t="str">
        <f t="shared" si="264"/>
        <v/>
      </c>
      <c r="AH918" t="str">
        <f t="shared" si="265"/>
        <v/>
      </c>
      <c r="AI918" t="str">
        <f t="shared" si="266"/>
        <v/>
      </c>
      <c r="AJ918" t="str">
        <f t="shared" si="267"/>
        <v/>
      </c>
      <c r="AK918" t="str">
        <f t="shared" si="268"/>
        <v/>
      </c>
      <c r="AL918">
        <f>IFERROR(ROUND(L918*(G918/$AU918)/VLOOKUP(F918,商品!$A$4:$B$60,2,FALSE),0),"")</f>
        <v>16</v>
      </c>
      <c r="AM918">
        <f>IFERROR(ROUND(L918*(I918/$AU918)/VLOOKUP(H918,商品!$A$4:$B$60,2,FALSE),0),"")</f>
        <v>43</v>
      </c>
      <c r="AN918">
        <f>IFERROR(ROUND(L918*(J918/$AU918)/VLOOKUP("运力",商品!$A$4:$B$60,2,FALSE),0),0)</f>
        <v>0</v>
      </c>
      <c r="AO918">
        <f>IFERROR(ROUND(L918*(K918/$AU918)/VLOOKUP("交易",商品!$A$4:$B$60,2,FALSE),0),0)</f>
        <v>0</v>
      </c>
      <c r="AP918" t="str">
        <f>IFERROR(ROUND(S918*(N918/$AV918)/VLOOKUP(M918,职业!$A$4:$G$16,4,FALSE),0),"")</f>
        <v/>
      </c>
      <c r="AQ918" t="str">
        <f>IFERROR(ROUND(S918*(P918/$AV918)/VLOOKUP(O918,职业!$A$4:$G$16,4,FALSE),0),"")</f>
        <v/>
      </c>
      <c r="AR918" t="str">
        <f>IFERROR(ROUND(S918*(R918/$AV918)/VLOOKUP(Q918,职业!$A$4:$G$16,4,FALSE),0),"")</f>
        <v/>
      </c>
      <c r="AS918" t="str">
        <f>IFERROR(ROUND(X918*(U918/$AW918)/VLOOKUP(T918,商品!$A$4:$B$60,2,FALSE),0),"")</f>
        <v/>
      </c>
      <c r="AT918" t="str">
        <f>IFERROR(ROUND(X918*(W918/$AW918)/VLOOKUP(V918,商品!$A$4:$B$60,2,FALSE),0),"")</f>
        <v/>
      </c>
      <c r="AU918">
        <f t="shared" si="269"/>
        <v>15</v>
      </c>
      <c r="AV918">
        <f t="shared" si="270"/>
        <v>0</v>
      </c>
      <c r="AW918">
        <f t="shared" si="271"/>
        <v>0</v>
      </c>
    </row>
    <row r="919" spans="1:49" ht="19.95" customHeight="1" x14ac:dyDescent="0.25">
      <c r="A919" s="15" t="s">
        <v>376</v>
      </c>
      <c r="C919" s="15">
        <v>1</v>
      </c>
      <c r="D919" s="23" t="s">
        <v>174</v>
      </c>
      <c r="E919" s="23" t="s">
        <v>179</v>
      </c>
      <c r="L919" s="16">
        <f>IFERROR(VLOOKUP($D919&amp;$C919,生产方式定位!$A$2:$E$38,2,FALSE)+VLOOKUP($E919&amp;$C919,生产方式定位!$F$3:$J$38,2,FALSE),0)</f>
        <v>0</v>
      </c>
      <c r="S919" s="16">
        <f>IFERROR(VLOOKUP($D919&amp;$C919,生产方式定位!$A$2:$E$38,3,FALSE)+VLOOKUP($E919&amp;$C919,生产方式定位!$F$3:$J$38,3,FALSE),0)</f>
        <v>100</v>
      </c>
      <c r="X919" s="16">
        <f>IFERROR(VLOOKUP($D919&amp;$C919,生产方式定位!$A$2:$E$38,5,FALSE)+VLOOKUP($E919&amp;$C919,生产方式定位!$F$3:$J$38,5,FALSE),"错误")</f>
        <v>100</v>
      </c>
      <c r="Y919" s="26" t="str">
        <f t="shared" si="256"/>
        <v/>
      </c>
      <c r="Z919" s="36" t="str">
        <f t="shared" si="257"/>
        <v/>
      </c>
      <c r="AA919" s="36" t="str">
        <f t="shared" si="258"/>
        <v/>
      </c>
      <c r="AB919" s="27" t="str">
        <f t="shared" si="259"/>
        <v/>
      </c>
      <c r="AC919" s="2" t="str">
        <f t="shared" si="260"/>
        <v/>
      </c>
      <c r="AD919" s="38">
        <f t="shared" si="261"/>
        <v>1</v>
      </c>
      <c r="AE919" t="str">
        <f t="shared" si="262"/>
        <v/>
      </c>
      <c r="AF919" t="str">
        <f t="shared" si="263"/>
        <v/>
      </c>
      <c r="AG919" t="str">
        <f t="shared" si="264"/>
        <v/>
      </c>
      <c r="AH919" t="str">
        <f t="shared" si="265"/>
        <v/>
      </c>
      <c r="AI919" t="str">
        <f t="shared" si="266"/>
        <v/>
      </c>
      <c r="AJ919" t="str">
        <f t="shared" si="267"/>
        <v/>
      </c>
      <c r="AK919" t="str">
        <f t="shared" si="268"/>
        <v/>
      </c>
      <c r="AL919" t="str">
        <f>IFERROR(ROUND(L919*(G919/$AU919)/VLOOKUP(F919,商品!$A$4:$B$60,2,FALSE),0),"")</f>
        <v/>
      </c>
      <c r="AM919" t="str">
        <f>IFERROR(ROUND(L919*(I919/$AU919)/VLOOKUP(H919,商品!$A$4:$B$60,2,FALSE),0),"")</f>
        <v/>
      </c>
      <c r="AN919">
        <f>IFERROR(ROUND(L919*(J919/$AU919)/VLOOKUP("运力",商品!$A$4:$B$60,2,FALSE),0),0)</f>
        <v>0</v>
      </c>
      <c r="AO919">
        <f>IFERROR(ROUND(L919*(K919/$AU919)/VLOOKUP("交易",商品!$A$4:$B$60,2,FALSE),0),0)</f>
        <v>0</v>
      </c>
      <c r="AP919" t="str">
        <f>IFERROR(ROUND(S919*(N919/$AV919)/VLOOKUP(M919,职业!$A$4:$G$16,4,FALSE),0),"")</f>
        <v/>
      </c>
      <c r="AQ919" t="str">
        <f>IFERROR(ROUND(S919*(P919/$AV919)/VLOOKUP(O919,职业!$A$4:$G$16,4,FALSE),0),"")</f>
        <v/>
      </c>
      <c r="AR919" t="str">
        <f>IFERROR(ROUND(S919*(R919/$AV919)/VLOOKUP(Q919,职业!$A$4:$G$16,4,FALSE),0),"")</f>
        <v/>
      </c>
      <c r="AS919" t="str">
        <f>IFERROR(ROUND(X919*(U919/$AW919)/VLOOKUP(T919,商品!$A$4:$B$60,2,FALSE),0),"")</f>
        <v/>
      </c>
      <c r="AT919" t="str">
        <f>IFERROR(ROUND(X919*(W919/$AW919)/VLOOKUP(V919,商品!$A$4:$B$60,2,FALSE),0),"")</f>
        <v/>
      </c>
      <c r="AU919">
        <f t="shared" si="269"/>
        <v>0</v>
      </c>
      <c r="AV919">
        <f t="shared" si="270"/>
        <v>0</v>
      </c>
      <c r="AW919">
        <f t="shared" si="271"/>
        <v>0</v>
      </c>
    </row>
    <row r="920" spans="1:49" ht="19.95" customHeight="1" x14ac:dyDescent="0.25">
      <c r="A920" s="15" t="s">
        <v>376</v>
      </c>
      <c r="C920" s="15">
        <v>2</v>
      </c>
      <c r="D920" s="23" t="s">
        <v>174</v>
      </c>
      <c r="E920" s="23" t="s">
        <v>179</v>
      </c>
      <c r="L920" s="16">
        <f>IFERROR(VLOOKUP($D920&amp;$C920,生产方式定位!$A$2:$E$38,2,FALSE)+VLOOKUP($E920&amp;$C920,生产方式定位!$F$3:$J$38,2,FALSE),0)</f>
        <v>0</v>
      </c>
      <c r="S920" s="16">
        <f>IFERROR(VLOOKUP($D920&amp;$C920,生产方式定位!$A$2:$E$38,3,FALSE)+VLOOKUP($E920&amp;$C920,生产方式定位!$F$3:$J$38,3,FALSE),0)</f>
        <v>100</v>
      </c>
      <c r="X920" s="16">
        <f>IFERROR(VLOOKUP($D920&amp;$C920,生产方式定位!$A$2:$E$38,5,FALSE)+VLOOKUP($E920&amp;$C920,生产方式定位!$F$3:$J$38,5,FALSE),"错误")</f>
        <v>100</v>
      </c>
      <c r="Y920" s="26" t="str">
        <f t="shared" si="256"/>
        <v/>
      </c>
      <c r="Z920" s="36" t="str">
        <f t="shared" si="257"/>
        <v/>
      </c>
      <c r="AA920" s="36" t="str">
        <f t="shared" si="258"/>
        <v/>
      </c>
      <c r="AB920" s="27" t="str">
        <f t="shared" si="259"/>
        <v/>
      </c>
      <c r="AC920" s="2" t="str">
        <f t="shared" si="260"/>
        <v/>
      </c>
      <c r="AD920" s="38">
        <f t="shared" si="261"/>
        <v>2</v>
      </c>
      <c r="AE920" t="str">
        <f t="shared" si="262"/>
        <v/>
      </c>
      <c r="AF920" t="str">
        <f t="shared" si="263"/>
        <v/>
      </c>
      <c r="AG920" t="str">
        <f t="shared" si="264"/>
        <v/>
      </c>
      <c r="AH920" t="str">
        <f t="shared" si="265"/>
        <v/>
      </c>
      <c r="AI920" t="str">
        <f t="shared" si="266"/>
        <v/>
      </c>
      <c r="AJ920" t="str">
        <f t="shared" si="267"/>
        <v/>
      </c>
      <c r="AK920" t="str">
        <f t="shared" si="268"/>
        <v/>
      </c>
      <c r="AL920" t="str">
        <f>IFERROR(ROUND(L920*(G920/$AU920)/VLOOKUP(F920,商品!$A$4:$B$60,2,FALSE),0),"")</f>
        <v/>
      </c>
      <c r="AM920" t="str">
        <f>IFERROR(ROUND(L920*(I920/$AU920)/VLOOKUP(H920,商品!$A$4:$B$60,2,FALSE),0),"")</f>
        <v/>
      </c>
      <c r="AN920">
        <f>IFERROR(ROUND(L920*(J920/$AU920)/VLOOKUP("运力",商品!$A$4:$B$60,2,FALSE),0),0)</f>
        <v>0</v>
      </c>
      <c r="AO920">
        <f>IFERROR(ROUND(L920*(K920/$AU920)/VLOOKUP("交易",商品!$A$4:$B$60,2,FALSE),0),0)</f>
        <v>0</v>
      </c>
      <c r="AP920" t="str">
        <f>IFERROR(ROUND(S920*(N920/$AV920)/VLOOKUP(M920,职业!$A$4:$G$16,4,FALSE),0),"")</f>
        <v/>
      </c>
      <c r="AQ920" t="str">
        <f>IFERROR(ROUND(S920*(P920/$AV920)/VLOOKUP(O920,职业!$A$4:$G$16,4,FALSE),0),"")</f>
        <v/>
      </c>
      <c r="AR920" t="str">
        <f>IFERROR(ROUND(S920*(R920/$AV920)/VLOOKUP(Q920,职业!$A$4:$G$16,4,FALSE),0),"")</f>
        <v/>
      </c>
      <c r="AS920" t="str">
        <f>IFERROR(ROUND(X920*(U920/$AW920)/VLOOKUP(T920,商品!$A$4:$B$60,2,FALSE),0),"")</f>
        <v/>
      </c>
      <c r="AT920" t="str">
        <f>IFERROR(ROUND(X920*(W920/$AW920)/VLOOKUP(V920,商品!$A$4:$B$60,2,FALSE),0),"")</f>
        <v/>
      </c>
      <c r="AU920">
        <f t="shared" si="269"/>
        <v>0</v>
      </c>
      <c r="AV920">
        <f t="shared" si="270"/>
        <v>0</v>
      </c>
      <c r="AW920">
        <f t="shared" si="271"/>
        <v>0</v>
      </c>
    </row>
    <row r="921" spans="1:49" ht="19.95" customHeight="1" x14ac:dyDescent="0.25">
      <c r="A921" s="15" t="s">
        <v>376</v>
      </c>
      <c r="C921" s="15">
        <v>3</v>
      </c>
      <c r="D921" s="23" t="s">
        <v>174</v>
      </c>
      <c r="E921" s="23" t="s">
        <v>179</v>
      </c>
      <c r="L921" s="16">
        <f>IFERROR(VLOOKUP($D921&amp;$C921,生产方式定位!$A$2:$E$38,2,FALSE)+VLOOKUP($E921&amp;$C921,生产方式定位!$F$3:$J$38,2,FALSE),0)</f>
        <v>0</v>
      </c>
      <c r="S921" s="16">
        <f>IFERROR(VLOOKUP($D921&amp;$C921,生产方式定位!$A$2:$E$38,3,FALSE)+VLOOKUP($E921&amp;$C921,生产方式定位!$F$3:$J$38,3,FALSE),0)</f>
        <v>100</v>
      </c>
      <c r="X921" s="16">
        <f>IFERROR(VLOOKUP($D921&amp;$C921,生产方式定位!$A$2:$E$38,5,FALSE)+VLOOKUP($E921&amp;$C921,生产方式定位!$F$3:$J$38,5,FALSE),"错误")</f>
        <v>100</v>
      </c>
      <c r="Y921" s="26" t="str">
        <f t="shared" si="256"/>
        <v/>
      </c>
      <c r="Z921" s="36" t="str">
        <f t="shared" si="257"/>
        <v/>
      </c>
      <c r="AA921" s="36" t="str">
        <f t="shared" si="258"/>
        <v/>
      </c>
      <c r="AB921" s="27" t="str">
        <f t="shared" si="259"/>
        <v/>
      </c>
      <c r="AC921" s="2" t="str">
        <f t="shared" si="260"/>
        <v/>
      </c>
      <c r="AD921" s="38">
        <f t="shared" si="261"/>
        <v>3</v>
      </c>
      <c r="AE921" t="str">
        <f t="shared" si="262"/>
        <v/>
      </c>
      <c r="AF921" t="str">
        <f t="shared" si="263"/>
        <v/>
      </c>
      <c r="AG921" t="str">
        <f t="shared" si="264"/>
        <v/>
      </c>
      <c r="AH921" t="str">
        <f t="shared" si="265"/>
        <v/>
      </c>
      <c r="AI921" t="str">
        <f t="shared" si="266"/>
        <v/>
      </c>
      <c r="AJ921" t="str">
        <f t="shared" si="267"/>
        <v/>
      </c>
      <c r="AK921" t="str">
        <f t="shared" si="268"/>
        <v/>
      </c>
      <c r="AL921" t="str">
        <f>IFERROR(ROUND(L921*(G921/$AU921)/VLOOKUP(F921,商品!$A$4:$B$60,2,FALSE),0),"")</f>
        <v/>
      </c>
      <c r="AM921" t="str">
        <f>IFERROR(ROUND(L921*(I921/$AU921)/VLOOKUP(H921,商品!$A$4:$B$60,2,FALSE),0),"")</f>
        <v/>
      </c>
      <c r="AN921">
        <f>IFERROR(ROUND(L921*(J921/$AU921)/VLOOKUP("运力",商品!$A$4:$B$60,2,FALSE),0),0)</f>
        <v>0</v>
      </c>
      <c r="AO921">
        <f>IFERROR(ROUND(L921*(K921/$AU921)/VLOOKUP("交易",商品!$A$4:$B$60,2,FALSE),0),0)</f>
        <v>0</v>
      </c>
      <c r="AP921" t="str">
        <f>IFERROR(ROUND(S921*(N921/$AV921)/VLOOKUP(M921,职业!$A$4:$G$16,4,FALSE),0),"")</f>
        <v/>
      </c>
      <c r="AQ921" t="str">
        <f>IFERROR(ROUND(S921*(P921/$AV921)/VLOOKUP(O921,职业!$A$4:$G$16,4,FALSE),0),"")</f>
        <v/>
      </c>
      <c r="AR921" t="str">
        <f>IFERROR(ROUND(S921*(R921/$AV921)/VLOOKUP(Q921,职业!$A$4:$G$16,4,FALSE),0),"")</f>
        <v/>
      </c>
      <c r="AS921" t="str">
        <f>IFERROR(ROUND(X921*(U921/$AW921)/VLOOKUP(T921,商品!$A$4:$B$60,2,FALSE),0),"")</f>
        <v/>
      </c>
      <c r="AT921" t="str">
        <f>IFERROR(ROUND(X921*(W921/$AW921)/VLOOKUP(V921,商品!$A$4:$B$60,2,FALSE),0),"")</f>
        <v/>
      </c>
      <c r="AU921">
        <f t="shared" si="269"/>
        <v>0</v>
      </c>
      <c r="AV921">
        <f t="shared" si="270"/>
        <v>0</v>
      </c>
      <c r="AW921">
        <f t="shared" si="271"/>
        <v>0</v>
      </c>
    </row>
    <row r="922" spans="1:49" ht="19.95" customHeight="1" x14ac:dyDescent="0.25">
      <c r="A922" s="15" t="s">
        <v>376</v>
      </c>
      <c r="C922" s="15">
        <v>4</v>
      </c>
      <c r="D922" s="23" t="s">
        <v>174</v>
      </c>
      <c r="E922" s="23" t="s">
        <v>179</v>
      </c>
      <c r="L922" s="16">
        <f>IFERROR(VLOOKUP($D922&amp;$C922,生产方式定位!$A$2:$E$38,2,FALSE)+VLOOKUP($E922&amp;$C922,生产方式定位!$F$3:$J$38,2,FALSE),0)</f>
        <v>0</v>
      </c>
      <c r="S922" s="16">
        <f>IFERROR(VLOOKUP($D922&amp;$C922,生产方式定位!$A$2:$E$38,3,FALSE)+VLOOKUP($E922&amp;$C922,生产方式定位!$F$3:$J$38,3,FALSE),0)</f>
        <v>100</v>
      </c>
      <c r="X922" s="16">
        <f>IFERROR(VLOOKUP($D922&amp;$C922,生产方式定位!$A$2:$E$38,5,FALSE)+VLOOKUP($E922&amp;$C922,生产方式定位!$F$3:$J$38,5,FALSE),"错误")</f>
        <v>100</v>
      </c>
      <c r="Y922" s="26" t="str">
        <f t="shared" si="256"/>
        <v/>
      </c>
      <c r="Z922" s="36" t="str">
        <f t="shared" si="257"/>
        <v/>
      </c>
      <c r="AA922" s="36" t="str">
        <f t="shared" si="258"/>
        <v/>
      </c>
      <c r="AB922" s="27" t="str">
        <f t="shared" si="259"/>
        <v/>
      </c>
      <c r="AC922" s="2" t="str">
        <f t="shared" si="260"/>
        <v/>
      </c>
      <c r="AD922" s="38">
        <f t="shared" si="261"/>
        <v>4</v>
      </c>
      <c r="AE922" t="str">
        <f t="shared" si="262"/>
        <v/>
      </c>
      <c r="AF922" t="str">
        <f t="shared" si="263"/>
        <v/>
      </c>
      <c r="AG922" t="str">
        <f t="shared" si="264"/>
        <v/>
      </c>
      <c r="AH922" t="str">
        <f t="shared" si="265"/>
        <v/>
      </c>
      <c r="AI922" t="str">
        <f t="shared" si="266"/>
        <v/>
      </c>
      <c r="AJ922" t="str">
        <f t="shared" si="267"/>
        <v/>
      </c>
      <c r="AK922" t="str">
        <f t="shared" si="268"/>
        <v/>
      </c>
      <c r="AL922" t="str">
        <f>IFERROR(ROUND(L922*(G922/$AU922)/VLOOKUP(F922,商品!$A$4:$B$60,2,FALSE),0),"")</f>
        <v/>
      </c>
      <c r="AM922" t="str">
        <f>IFERROR(ROUND(L922*(I922/$AU922)/VLOOKUP(H922,商品!$A$4:$B$60,2,FALSE),0),"")</f>
        <v/>
      </c>
      <c r="AN922">
        <f>IFERROR(ROUND(L922*(J922/$AU922)/VLOOKUP("运力",商品!$A$4:$B$60,2,FALSE),0),0)</f>
        <v>0</v>
      </c>
      <c r="AO922">
        <f>IFERROR(ROUND(L922*(K922/$AU922)/VLOOKUP("交易",商品!$A$4:$B$60,2,FALSE),0),0)</f>
        <v>0</v>
      </c>
      <c r="AP922" t="str">
        <f>IFERROR(ROUND(S922*(N922/$AV922)/VLOOKUP(M922,职业!$A$4:$G$16,4,FALSE),0),"")</f>
        <v/>
      </c>
      <c r="AQ922" t="str">
        <f>IFERROR(ROUND(S922*(P922/$AV922)/VLOOKUP(O922,职业!$A$4:$G$16,4,FALSE),0),"")</f>
        <v/>
      </c>
      <c r="AR922" t="str">
        <f>IFERROR(ROUND(S922*(R922/$AV922)/VLOOKUP(Q922,职业!$A$4:$G$16,4,FALSE),0),"")</f>
        <v/>
      </c>
      <c r="AS922" t="str">
        <f>IFERROR(ROUND(X922*(U922/$AW922)/VLOOKUP(T922,商品!$A$4:$B$60,2,FALSE),0),"")</f>
        <v/>
      </c>
      <c r="AT922" t="str">
        <f>IFERROR(ROUND(X922*(W922/$AW922)/VLOOKUP(V922,商品!$A$4:$B$60,2,FALSE),0),"")</f>
        <v/>
      </c>
      <c r="AU922">
        <f t="shared" si="269"/>
        <v>0</v>
      </c>
      <c r="AV922">
        <f t="shared" si="270"/>
        <v>0</v>
      </c>
      <c r="AW922">
        <f t="shared" si="271"/>
        <v>0</v>
      </c>
    </row>
    <row r="923" spans="1:49" ht="19.95" customHeight="1" x14ac:dyDescent="0.25">
      <c r="A923" s="15" t="s">
        <v>376</v>
      </c>
      <c r="C923" s="15">
        <v>5</v>
      </c>
      <c r="D923" s="23" t="s">
        <v>174</v>
      </c>
      <c r="E923" s="23" t="s">
        <v>179</v>
      </c>
      <c r="L923" s="16">
        <f>IFERROR(VLOOKUP($D923&amp;$C923,生产方式定位!$A$2:$E$38,2,FALSE)+VLOOKUP($E923&amp;$C923,生产方式定位!$F$3:$J$38,2,FALSE),0)</f>
        <v>0</v>
      </c>
      <c r="S923" s="16">
        <f>IFERROR(VLOOKUP($D923&amp;$C923,生产方式定位!$A$2:$E$38,3,FALSE)+VLOOKUP($E923&amp;$C923,生产方式定位!$F$3:$J$38,3,FALSE),0)</f>
        <v>100</v>
      </c>
      <c r="X923" s="16">
        <f>IFERROR(VLOOKUP($D923&amp;$C923,生产方式定位!$A$2:$E$38,5,FALSE)+VLOOKUP($E923&amp;$C923,生产方式定位!$F$3:$J$38,5,FALSE),"错误")</f>
        <v>100</v>
      </c>
      <c r="Y923" s="26" t="str">
        <f t="shared" si="256"/>
        <v/>
      </c>
      <c r="Z923" s="36" t="str">
        <f t="shared" si="257"/>
        <v/>
      </c>
      <c r="AA923" s="36" t="str">
        <f t="shared" si="258"/>
        <v/>
      </c>
      <c r="AB923" s="27" t="str">
        <f t="shared" si="259"/>
        <v/>
      </c>
      <c r="AC923" s="2" t="str">
        <f t="shared" si="260"/>
        <v/>
      </c>
      <c r="AD923" s="38">
        <f t="shared" si="261"/>
        <v>5</v>
      </c>
      <c r="AE923" t="str">
        <f t="shared" si="262"/>
        <v/>
      </c>
      <c r="AF923" t="str">
        <f t="shared" si="263"/>
        <v/>
      </c>
      <c r="AG923" t="str">
        <f t="shared" si="264"/>
        <v/>
      </c>
      <c r="AH923" t="str">
        <f t="shared" si="265"/>
        <v/>
      </c>
      <c r="AI923" t="str">
        <f t="shared" si="266"/>
        <v/>
      </c>
      <c r="AJ923" t="str">
        <f t="shared" si="267"/>
        <v/>
      </c>
      <c r="AK923" t="str">
        <f t="shared" si="268"/>
        <v/>
      </c>
      <c r="AL923" t="str">
        <f>IFERROR(ROUND(L923*(G923/$AU923)/VLOOKUP(F923,商品!$A$4:$B$60,2,FALSE),0),"")</f>
        <v/>
      </c>
      <c r="AM923" t="str">
        <f>IFERROR(ROUND(L923*(I923/$AU923)/VLOOKUP(H923,商品!$A$4:$B$60,2,FALSE),0),"")</f>
        <v/>
      </c>
      <c r="AN923">
        <f>IFERROR(ROUND(L923*(J923/$AU923)/VLOOKUP("运力",商品!$A$4:$B$60,2,FALSE),0),0)</f>
        <v>0</v>
      </c>
      <c r="AO923">
        <f>IFERROR(ROUND(L923*(K923/$AU923)/VLOOKUP("交易",商品!$A$4:$B$60,2,FALSE),0),0)</f>
        <v>0</v>
      </c>
      <c r="AP923" t="str">
        <f>IFERROR(ROUND(S923*(N923/$AV923)/VLOOKUP(M923,职业!$A$4:$G$16,4,FALSE),0),"")</f>
        <v/>
      </c>
      <c r="AQ923" t="str">
        <f>IFERROR(ROUND(S923*(P923/$AV923)/VLOOKUP(O923,职业!$A$4:$G$16,4,FALSE),0),"")</f>
        <v/>
      </c>
      <c r="AR923" t="str">
        <f>IFERROR(ROUND(S923*(R923/$AV923)/VLOOKUP(Q923,职业!$A$4:$G$16,4,FALSE),0),"")</f>
        <v/>
      </c>
      <c r="AS923" t="str">
        <f>IFERROR(ROUND(X923*(U923/$AW923)/VLOOKUP(T923,商品!$A$4:$B$60,2,FALSE),0),"")</f>
        <v/>
      </c>
      <c r="AT923" t="str">
        <f>IFERROR(ROUND(X923*(W923/$AW923)/VLOOKUP(V923,商品!$A$4:$B$60,2,FALSE),0),"")</f>
        <v/>
      </c>
      <c r="AU923">
        <f t="shared" si="269"/>
        <v>0</v>
      </c>
      <c r="AV923">
        <f t="shared" si="270"/>
        <v>0</v>
      </c>
      <c r="AW923">
        <f t="shared" si="271"/>
        <v>0</v>
      </c>
    </row>
    <row r="924" spans="1:49" ht="19.95" customHeight="1" x14ac:dyDescent="0.25">
      <c r="A924" s="15" t="s">
        <v>376</v>
      </c>
      <c r="C924" s="15">
        <v>6</v>
      </c>
      <c r="D924" s="23" t="s">
        <v>174</v>
      </c>
      <c r="E924" s="23" t="s">
        <v>179</v>
      </c>
      <c r="L924" s="16">
        <f>IFERROR(VLOOKUP($D924&amp;$C924,生产方式定位!$A$2:$E$38,2,FALSE)+VLOOKUP($E924&amp;$C924,生产方式定位!$F$3:$J$38,2,FALSE),0)</f>
        <v>0</v>
      </c>
      <c r="S924" s="16">
        <f>IFERROR(VLOOKUP($D924&amp;$C924,生产方式定位!$A$2:$E$38,3,FALSE)+VLOOKUP($E924&amp;$C924,生产方式定位!$F$3:$J$38,3,FALSE),0)</f>
        <v>100</v>
      </c>
      <c r="X924" s="16">
        <f>IFERROR(VLOOKUP($D924&amp;$C924,生产方式定位!$A$2:$E$38,5,FALSE)+VLOOKUP($E924&amp;$C924,生产方式定位!$F$3:$J$38,5,FALSE),"错误")</f>
        <v>100</v>
      </c>
      <c r="Y924" s="26" t="str">
        <f t="shared" si="256"/>
        <v/>
      </c>
      <c r="Z924" s="36" t="str">
        <f t="shared" si="257"/>
        <v/>
      </c>
      <c r="AA924" s="36" t="str">
        <f t="shared" si="258"/>
        <v/>
      </c>
      <c r="AB924" s="27" t="str">
        <f t="shared" si="259"/>
        <v/>
      </c>
      <c r="AC924" s="2" t="str">
        <f t="shared" si="260"/>
        <v/>
      </c>
      <c r="AD924" s="37">
        <f t="shared" si="261"/>
        <v>6</v>
      </c>
      <c r="AE924" t="str">
        <f t="shared" si="262"/>
        <v/>
      </c>
      <c r="AF924" t="str">
        <f t="shared" si="263"/>
        <v/>
      </c>
      <c r="AG924" t="str">
        <f t="shared" si="264"/>
        <v/>
      </c>
      <c r="AH924" t="str">
        <f t="shared" si="265"/>
        <v/>
      </c>
      <c r="AI924" t="str">
        <f t="shared" si="266"/>
        <v/>
      </c>
      <c r="AJ924" t="str">
        <f t="shared" si="267"/>
        <v/>
      </c>
      <c r="AK924" t="str">
        <f t="shared" si="268"/>
        <v/>
      </c>
      <c r="AL924" t="str">
        <f>IFERROR(ROUND(L924*(G924/$AU924)/VLOOKUP(F924,商品!$A$4:$B$60,2,FALSE),0),"")</f>
        <v/>
      </c>
      <c r="AM924" t="str">
        <f>IFERROR(ROUND(L924*(I924/$AU924)/VLOOKUP(H924,商品!$A$4:$B$60,2,FALSE),0),"")</f>
        <v/>
      </c>
      <c r="AN924">
        <f>IFERROR(ROUND(L924*(J924/$AU924)/VLOOKUP("运力",商品!$A$4:$B$60,2,FALSE),0),0)</f>
        <v>0</v>
      </c>
      <c r="AO924">
        <f>IFERROR(ROUND(L924*(K924/$AU924)/VLOOKUP("交易",商品!$A$4:$B$60,2,FALSE),0),0)</f>
        <v>0</v>
      </c>
      <c r="AP924" t="str">
        <f>IFERROR(ROUND(S924*(N924/$AV924)/VLOOKUP(M924,职业!$A$4:$G$16,4,FALSE),0),"")</f>
        <v/>
      </c>
      <c r="AQ924" t="str">
        <f>IFERROR(ROUND(S924*(P924/$AV924)/VLOOKUP(O924,职业!$A$4:$G$16,4,FALSE),0),"")</f>
        <v/>
      </c>
      <c r="AR924" t="str">
        <f>IFERROR(ROUND(S924*(R924/$AV924)/VLOOKUP(Q924,职业!$A$4:$G$16,4,FALSE),0),"")</f>
        <v/>
      </c>
      <c r="AS924" t="str">
        <f>IFERROR(ROUND(X924*(U924/$AW924)/VLOOKUP(T924,商品!$A$4:$B$60,2,FALSE),0),"")</f>
        <v/>
      </c>
      <c r="AT924" t="str">
        <f>IFERROR(ROUND(X924*(W924/$AW924)/VLOOKUP(V924,商品!$A$4:$B$60,2,FALSE),0),"")</f>
        <v/>
      </c>
      <c r="AU924">
        <f t="shared" si="269"/>
        <v>0</v>
      </c>
      <c r="AV924">
        <f t="shared" si="270"/>
        <v>0</v>
      </c>
      <c r="AW924">
        <f t="shared" si="271"/>
        <v>0</v>
      </c>
    </row>
    <row r="925" spans="1:49" ht="19.95" customHeight="1" x14ac:dyDescent="0.25">
      <c r="A925" s="15" t="s">
        <v>376</v>
      </c>
      <c r="C925" s="15">
        <v>7</v>
      </c>
      <c r="D925" s="23" t="s">
        <v>174</v>
      </c>
      <c r="E925" s="23" t="s">
        <v>179</v>
      </c>
      <c r="L925" s="16">
        <f>IFERROR(VLOOKUP($D925&amp;$C925,生产方式定位!$A$2:$E$38,2,FALSE)+VLOOKUP($E925&amp;$C925,生产方式定位!$F$3:$J$38,2,FALSE),0)</f>
        <v>0</v>
      </c>
      <c r="S925" s="16">
        <f>IFERROR(VLOOKUP($D925&amp;$C925,生产方式定位!$A$2:$E$38,3,FALSE)+VLOOKUP($E925&amp;$C925,生产方式定位!$F$3:$J$38,3,FALSE),0)</f>
        <v>100</v>
      </c>
      <c r="X925" s="16">
        <f>IFERROR(VLOOKUP($D925&amp;$C925,生产方式定位!$A$2:$E$38,5,FALSE)+VLOOKUP($E925&amp;$C925,生产方式定位!$F$3:$J$38,5,FALSE),"错误")</f>
        <v>100</v>
      </c>
      <c r="Y925" s="26" t="str">
        <f t="shared" si="256"/>
        <v/>
      </c>
      <c r="Z925" s="36" t="str">
        <f t="shared" si="257"/>
        <v/>
      </c>
      <c r="AA925" s="36" t="str">
        <f t="shared" si="258"/>
        <v/>
      </c>
      <c r="AB925" s="27" t="str">
        <f t="shared" si="259"/>
        <v/>
      </c>
      <c r="AC925" s="2" t="str">
        <f t="shared" si="260"/>
        <v/>
      </c>
      <c r="AD925" s="37">
        <f t="shared" si="261"/>
        <v>7</v>
      </c>
      <c r="AE925" t="str">
        <f t="shared" si="262"/>
        <v/>
      </c>
      <c r="AF925" t="str">
        <f t="shared" si="263"/>
        <v/>
      </c>
      <c r="AG925" t="str">
        <f t="shared" si="264"/>
        <v/>
      </c>
      <c r="AH925" t="str">
        <f t="shared" si="265"/>
        <v/>
      </c>
      <c r="AI925" t="str">
        <f t="shared" si="266"/>
        <v/>
      </c>
      <c r="AJ925" t="str">
        <f t="shared" si="267"/>
        <v/>
      </c>
      <c r="AK925" t="str">
        <f t="shared" si="268"/>
        <v/>
      </c>
      <c r="AL925" t="str">
        <f>IFERROR(ROUND(L925*(G925/$AU925)/VLOOKUP(F925,商品!$A$4:$B$60,2,FALSE),0),"")</f>
        <v/>
      </c>
      <c r="AM925" t="str">
        <f>IFERROR(ROUND(L925*(I925/$AU925)/VLOOKUP(H925,商品!$A$4:$B$60,2,FALSE),0),"")</f>
        <v/>
      </c>
      <c r="AN925">
        <f>IFERROR(ROUND(L925*(J925/$AU925)/VLOOKUP("运力",商品!$A$4:$B$60,2,FALSE),0),0)</f>
        <v>0</v>
      </c>
      <c r="AO925">
        <f>IFERROR(ROUND(L925*(K925/$AU925)/VLOOKUP("交易",商品!$A$4:$B$60,2,FALSE),0),0)</f>
        <v>0</v>
      </c>
      <c r="AP925" t="str">
        <f>IFERROR(ROUND(S925*(N925/$AV925)/VLOOKUP(M925,职业!$A$4:$G$16,4,FALSE),0),"")</f>
        <v/>
      </c>
      <c r="AQ925" t="str">
        <f>IFERROR(ROUND(S925*(P925/$AV925)/VLOOKUP(O925,职业!$A$4:$G$16,4,FALSE),0),"")</f>
        <v/>
      </c>
      <c r="AR925" t="str">
        <f>IFERROR(ROUND(S925*(R925/$AV925)/VLOOKUP(Q925,职业!$A$4:$G$16,4,FALSE),0),"")</f>
        <v/>
      </c>
      <c r="AS925" t="str">
        <f>IFERROR(ROUND(X925*(U925/$AW925)/VLOOKUP(T925,商品!$A$4:$B$60,2,FALSE),0),"")</f>
        <v/>
      </c>
      <c r="AT925" t="str">
        <f>IFERROR(ROUND(X925*(W925/$AW925)/VLOOKUP(V925,商品!$A$4:$B$60,2,FALSE),0),"")</f>
        <v/>
      </c>
      <c r="AU925">
        <f t="shared" si="269"/>
        <v>0</v>
      </c>
      <c r="AV925">
        <f t="shared" si="270"/>
        <v>0</v>
      </c>
      <c r="AW925">
        <f t="shared" si="271"/>
        <v>0</v>
      </c>
    </row>
    <row r="926" spans="1:49" ht="19.95" customHeight="1" x14ac:dyDescent="0.25">
      <c r="A926" s="15" t="s">
        <v>376</v>
      </c>
      <c r="C926" s="15">
        <v>8</v>
      </c>
      <c r="D926" s="23" t="s">
        <v>174</v>
      </c>
      <c r="E926" s="23" t="s">
        <v>179</v>
      </c>
      <c r="L926" s="16">
        <f>IFERROR(VLOOKUP($D926&amp;$C926,生产方式定位!$A$2:$E$38,2,FALSE)+VLOOKUP($E926&amp;$C926,生产方式定位!$F$3:$J$38,2,FALSE),0)</f>
        <v>0</v>
      </c>
      <c r="S926" s="16">
        <f>IFERROR(VLOOKUP($D926&amp;$C926,生产方式定位!$A$2:$E$38,3,FALSE)+VLOOKUP($E926&amp;$C926,生产方式定位!$F$3:$J$38,3,FALSE),0)</f>
        <v>100</v>
      </c>
      <c r="X926" s="16">
        <f>IFERROR(VLOOKUP($D926&amp;$C926,生产方式定位!$A$2:$E$38,5,FALSE)+VLOOKUP($E926&amp;$C926,生产方式定位!$F$3:$J$38,5,FALSE),"错误")</f>
        <v>100</v>
      </c>
      <c r="Y926" s="26" t="str">
        <f t="shared" si="256"/>
        <v/>
      </c>
      <c r="Z926" s="36" t="str">
        <f t="shared" si="257"/>
        <v/>
      </c>
      <c r="AA926" s="36" t="str">
        <f t="shared" si="258"/>
        <v/>
      </c>
      <c r="AB926" s="27" t="str">
        <f t="shared" si="259"/>
        <v/>
      </c>
      <c r="AC926" s="2" t="str">
        <f t="shared" si="260"/>
        <v/>
      </c>
      <c r="AD926" s="37">
        <f t="shared" si="261"/>
        <v>8</v>
      </c>
      <c r="AE926" t="str">
        <f t="shared" si="262"/>
        <v/>
      </c>
      <c r="AF926" t="str">
        <f t="shared" si="263"/>
        <v/>
      </c>
      <c r="AG926" t="str">
        <f t="shared" si="264"/>
        <v/>
      </c>
      <c r="AH926" t="str">
        <f t="shared" si="265"/>
        <v/>
      </c>
      <c r="AI926" t="str">
        <f t="shared" si="266"/>
        <v/>
      </c>
      <c r="AJ926" t="str">
        <f t="shared" si="267"/>
        <v/>
      </c>
      <c r="AK926" t="str">
        <f t="shared" si="268"/>
        <v/>
      </c>
      <c r="AL926" t="str">
        <f>IFERROR(ROUND(L926*(G926/$AU926)/VLOOKUP(F926,商品!$A$4:$B$60,2,FALSE),0),"")</f>
        <v/>
      </c>
      <c r="AM926" t="str">
        <f>IFERROR(ROUND(L926*(I926/$AU926)/VLOOKUP(H926,商品!$A$4:$B$60,2,FALSE),0),"")</f>
        <v/>
      </c>
      <c r="AN926">
        <f>IFERROR(ROUND(L926*(J926/$AU926)/VLOOKUP("运力",商品!$A$4:$B$60,2,FALSE),0),0)</f>
        <v>0</v>
      </c>
      <c r="AO926">
        <f>IFERROR(ROUND(L926*(K926/$AU926)/VLOOKUP("交易",商品!$A$4:$B$60,2,FALSE),0),0)</f>
        <v>0</v>
      </c>
      <c r="AP926" t="str">
        <f>IFERROR(ROUND(S926*(N926/$AV926)/VLOOKUP(M926,职业!$A$4:$G$16,4,FALSE),0),"")</f>
        <v/>
      </c>
      <c r="AQ926" t="str">
        <f>IFERROR(ROUND(S926*(P926/$AV926)/VLOOKUP(O926,职业!$A$4:$G$16,4,FALSE),0),"")</f>
        <v/>
      </c>
      <c r="AR926" t="str">
        <f>IFERROR(ROUND(S926*(R926/$AV926)/VLOOKUP(Q926,职业!$A$4:$G$16,4,FALSE),0),"")</f>
        <v/>
      </c>
      <c r="AS926" t="str">
        <f>IFERROR(ROUND(X926*(U926/$AW926)/VLOOKUP(T926,商品!$A$4:$B$60,2,FALSE),0),"")</f>
        <v/>
      </c>
      <c r="AT926" t="str">
        <f>IFERROR(ROUND(X926*(W926/$AW926)/VLOOKUP(V926,商品!$A$4:$B$60,2,FALSE),0),"")</f>
        <v/>
      </c>
      <c r="AU926">
        <f t="shared" si="269"/>
        <v>0</v>
      </c>
      <c r="AV926">
        <f t="shared" si="270"/>
        <v>0</v>
      </c>
      <c r="AW926">
        <f t="shared" si="271"/>
        <v>0</v>
      </c>
    </row>
    <row r="927" spans="1:49" ht="19.95" customHeight="1" x14ac:dyDescent="0.25">
      <c r="A927" s="16" t="s">
        <v>378</v>
      </c>
      <c r="C927" s="16">
        <v>1</v>
      </c>
      <c r="D927" s="23" t="s">
        <v>171</v>
      </c>
      <c r="E927" s="23" t="s">
        <v>172</v>
      </c>
      <c r="F927" s="2" t="s">
        <v>41</v>
      </c>
      <c r="G927" s="2">
        <v>20</v>
      </c>
      <c r="J927" s="24">
        <v>5</v>
      </c>
      <c r="K927" s="25">
        <v>5</v>
      </c>
      <c r="L927" s="15">
        <f>IFERROR(VLOOKUP($D927&amp;$C927,生产方式定位!$A$2:$E$38,2,FALSE)+VLOOKUP($E927&amp;$C927,生产方式定位!$F$3:$J$38,2,FALSE),0)</f>
        <v>300</v>
      </c>
      <c r="S927" s="15">
        <f>IFERROR(VLOOKUP($D927&amp;$C927,生产方式定位!$A$2:$E$38,3,FALSE)+VLOOKUP($E927&amp;$C927,生产方式定位!$F$3:$J$38,3,FALSE),0)</f>
        <v>100</v>
      </c>
      <c r="X927" s="15">
        <f>IFERROR(VLOOKUP($D927&amp;$C927,生产方式定位!$A$2:$E$38,5,FALSE)+VLOOKUP($E927&amp;$C927,生产方式定位!$F$3:$J$38,5,FALSE),"错误")</f>
        <v>520</v>
      </c>
      <c r="Y927" s="26" t="str">
        <f t="shared" si="256"/>
        <v>工具*5,运力*5,交易*5</v>
      </c>
      <c r="Z927" s="36" t="str">
        <f t="shared" si="257"/>
        <v/>
      </c>
      <c r="AA927" s="36" t="str">
        <f t="shared" si="258"/>
        <v/>
      </c>
      <c r="AB927" s="27" t="str">
        <f t="shared" si="259"/>
        <v>73%</v>
      </c>
      <c r="AC927" s="2">
        <f t="shared" si="260"/>
        <v>120</v>
      </c>
      <c r="AD927" s="37">
        <f t="shared" si="261"/>
        <v>1</v>
      </c>
      <c r="AE927" t="str">
        <f t="shared" si="262"/>
        <v>工具*5</v>
      </c>
      <c r="AF927" t="str">
        <f t="shared" si="263"/>
        <v/>
      </c>
      <c r="AG927" t="str">
        <f t="shared" si="264"/>
        <v/>
      </c>
      <c r="AH927" t="str">
        <f t="shared" si="265"/>
        <v/>
      </c>
      <c r="AI927" t="str">
        <f t="shared" si="266"/>
        <v/>
      </c>
      <c r="AJ927" t="str">
        <f t="shared" si="267"/>
        <v/>
      </c>
      <c r="AK927" t="str">
        <f t="shared" si="268"/>
        <v/>
      </c>
      <c r="AL927">
        <f>IFERROR(ROUND(L927*(G927/$AU927)/VLOOKUP(F927,商品!$A$4:$B$60,2,FALSE),0),"")</f>
        <v>5</v>
      </c>
      <c r="AM927" t="str">
        <f>IFERROR(ROUND(L927*(I927/$AU927)/VLOOKUP(H927,商品!$A$4:$B$60,2,FALSE),0),"")</f>
        <v/>
      </c>
      <c r="AN927">
        <f>IFERROR(ROUND(L927*(J927/$AU927)/VLOOKUP("运力",商品!$A$4:$B$60,2,FALSE),0),0)</f>
        <v>5</v>
      </c>
      <c r="AO927">
        <f>IFERROR(ROUND(L927*(K927/$AU927)/VLOOKUP("交易",商品!$A$4:$B$60,2,FALSE),0),0)</f>
        <v>5</v>
      </c>
      <c r="AP927" t="str">
        <f>IFERROR(ROUND(S927*(N927/$AV927)/VLOOKUP(M927,职业!$A$4:$G$16,4,FALSE),0),"")</f>
        <v/>
      </c>
      <c r="AQ927" t="str">
        <f>IFERROR(ROUND(S927*(P927/$AV927)/VLOOKUP(O927,职业!$A$4:$G$16,4,FALSE),0),"")</f>
        <v/>
      </c>
      <c r="AR927" t="str">
        <f>IFERROR(ROUND(S927*(R927/$AV927)/VLOOKUP(Q927,职业!$A$4:$G$16,4,FALSE),0),"")</f>
        <v/>
      </c>
      <c r="AS927" t="str">
        <f>IFERROR(ROUND(X927*(U927/$AW927)/VLOOKUP(T927,商品!$A$4:$B$60,2,FALSE),0),"")</f>
        <v/>
      </c>
      <c r="AT927" t="str">
        <f>IFERROR(ROUND(X927*(W927/$AW927)/VLOOKUP(V927,商品!$A$4:$B$60,2,FALSE),0),"")</f>
        <v/>
      </c>
      <c r="AU927">
        <f t="shared" si="269"/>
        <v>30</v>
      </c>
      <c r="AV927">
        <f t="shared" si="270"/>
        <v>0</v>
      </c>
      <c r="AW927">
        <f t="shared" si="271"/>
        <v>0</v>
      </c>
    </row>
    <row r="928" spans="1:49" ht="19.95" customHeight="1" x14ac:dyDescent="0.25">
      <c r="A928" s="16" t="s">
        <v>378</v>
      </c>
      <c r="C928" s="16">
        <v>2</v>
      </c>
      <c r="D928" s="23" t="s">
        <v>171</v>
      </c>
      <c r="E928" s="23" t="s">
        <v>172</v>
      </c>
      <c r="F928" s="2" t="s">
        <v>41</v>
      </c>
      <c r="G928" s="2">
        <v>10</v>
      </c>
      <c r="H928" s="2" t="s">
        <v>38</v>
      </c>
      <c r="I928" s="2">
        <v>15</v>
      </c>
      <c r="J928" s="24">
        <v>5</v>
      </c>
      <c r="K928" s="25">
        <v>5</v>
      </c>
      <c r="L928" s="15">
        <f>IFERROR(VLOOKUP($D928&amp;$C928,生产方式定位!$A$2:$E$38,2,FALSE)+VLOOKUP($E928&amp;$C928,生产方式定位!$F$3:$J$38,2,FALSE),0)</f>
        <v>1100</v>
      </c>
      <c r="S928" s="15">
        <f>IFERROR(VLOOKUP($D928&amp;$C928,生产方式定位!$A$2:$E$38,3,FALSE)+VLOOKUP($E928&amp;$C928,生产方式定位!$F$3:$J$38,3,FALSE),0)</f>
        <v>100</v>
      </c>
      <c r="X928" s="15">
        <f>IFERROR(VLOOKUP($D928&amp;$C928,生产方式定位!$A$2:$E$38,5,FALSE)+VLOOKUP($E928&amp;$C928,生产方式定位!$F$3:$J$38,5,FALSE),"错误")</f>
        <v>1510</v>
      </c>
      <c r="Y928" s="26" t="str">
        <f t="shared" si="256"/>
        <v>工具*8,肥料*8,运力*16,交易*16</v>
      </c>
      <c r="Z928" s="36" t="str">
        <f t="shared" si="257"/>
        <v/>
      </c>
      <c r="AA928" s="36" t="str">
        <f t="shared" si="258"/>
        <v/>
      </c>
      <c r="AB928" s="27" t="str">
        <f t="shared" si="259"/>
        <v>37%</v>
      </c>
      <c r="AC928" s="2">
        <f t="shared" si="260"/>
        <v>310</v>
      </c>
      <c r="AD928" s="37">
        <f t="shared" si="261"/>
        <v>2</v>
      </c>
      <c r="AE928" t="str">
        <f t="shared" si="262"/>
        <v>工具*8</v>
      </c>
      <c r="AF928" t="str">
        <f t="shared" si="263"/>
        <v>肥料*8</v>
      </c>
      <c r="AG928" t="str">
        <f t="shared" si="264"/>
        <v/>
      </c>
      <c r="AH928" t="str">
        <f t="shared" si="265"/>
        <v/>
      </c>
      <c r="AI928" t="str">
        <f t="shared" si="266"/>
        <v/>
      </c>
      <c r="AJ928" t="str">
        <f t="shared" si="267"/>
        <v/>
      </c>
      <c r="AK928" t="str">
        <f t="shared" si="268"/>
        <v/>
      </c>
      <c r="AL928">
        <f>IFERROR(ROUND(L928*(G928/$AU928)/VLOOKUP(F928,商品!$A$4:$B$60,2,FALSE),0),"")</f>
        <v>8</v>
      </c>
      <c r="AM928">
        <f>IFERROR(ROUND(L928*(I928/$AU928)/VLOOKUP(H928,商品!$A$4:$B$60,2,FALSE),0),"")</f>
        <v>8</v>
      </c>
      <c r="AN928">
        <f>IFERROR(ROUND(L928*(J928/$AU928)/VLOOKUP("运力",商品!$A$4:$B$60,2,FALSE),0),0)</f>
        <v>16</v>
      </c>
      <c r="AO928">
        <f>IFERROR(ROUND(L928*(K928/$AU928)/VLOOKUP("交易",商品!$A$4:$B$60,2,FALSE),0),0)</f>
        <v>16</v>
      </c>
      <c r="AP928" t="str">
        <f>IFERROR(ROUND(S928*(N928/$AV928)/VLOOKUP(M928,职业!$A$4:$G$16,4,FALSE),0),"")</f>
        <v/>
      </c>
      <c r="AQ928" t="str">
        <f>IFERROR(ROUND(S928*(P928/$AV928)/VLOOKUP(O928,职业!$A$4:$G$16,4,FALSE),0),"")</f>
        <v/>
      </c>
      <c r="AR928" t="str">
        <f>IFERROR(ROUND(S928*(R928/$AV928)/VLOOKUP(Q928,职业!$A$4:$G$16,4,FALSE),0),"")</f>
        <v/>
      </c>
      <c r="AS928" t="str">
        <f>IFERROR(ROUND(X928*(U928/$AW928)/VLOOKUP(T928,商品!$A$4:$B$60,2,FALSE),0),"")</f>
        <v/>
      </c>
      <c r="AT928" t="str">
        <f>IFERROR(ROUND(X928*(W928/$AW928)/VLOOKUP(V928,商品!$A$4:$B$60,2,FALSE),0),"")</f>
        <v/>
      </c>
      <c r="AU928">
        <f t="shared" si="269"/>
        <v>35</v>
      </c>
      <c r="AV928">
        <f t="shared" si="270"/>
        <v>0</v>
      </c>
      <c r="AW928">
        <f t="shared" si="271"/>
        <v>0</v>
      </c>
    </row>
    <row r="929" spans="1:49" ht="19.95" customHeight="1" x14ac:dyDescent="0.25">
      <c r="A929" s="16" t="s">
        <v>378</v>
      </c>
      <c r="C929" s="16">
        <v>3</v>
      </c>
      <c r="D929" s="23" t="s">
        <v>171</v>
      </c>
      <c r="E929" s="23" t="s">
        <v>172</v>
      </c>
      <c r="F929" s="2" t="s">
        <v>41</v>
      </c>
      <c r="G929" s="2">
        <v>10</v>
      </c>
      <c r="H929" s="2" t="s">
        <v>38</v>
      </c>
      <c r="I929" s="2">
        <v>15</v>
      </c>
      <c r="J929" s="24">
        <v>5</v>
      </c>
      <c r="K929" s="25">
        <v>5</v>
      </c>
      <c r="L929" s="15">
        <f>IFERROR(VLOOKUP($D929&amp;$C929,生产方式定位!$A$2:$E$38,2,FALSE)+VLOOKUP($E929&amp;$C929,生产方式定位!$F$3:$J$38,2,FALSE),0)</f>
        <v>1525</v>
      </c>
      <c r="S929" s="15">
        <f>IFERROR(VLOOKUP($D929&amp;$C929,生产方式定位!$A$2:$E$38,3,FALSE)+VLOOKUP($E929&amp;$C929,生产方式定位!$F$3:$J$38,3,FALSE),0)</f>
        <v>100</v>
      </c>
      <c r="X929" s="15">
        <f>IFERROR(VLOOKUP($D929&amp;$C929,生产方式定位!$A$2:$E$38,5,FALSE)+VLOOKUP($E929&amp;$C929,生产方式定位!$F$3:$J$38,5,FALSE),"错误")</f>
        <v>2050</v>
      </c>
      <c r="Y929" s="26" t="str">
        <f t="shared" si="256"/>
        <v>工具*11,肥料*11,运力*22,交易*22</v>
      </c>
      <c r="Z929" s="36" t="str">
        <f t="shared" si="257"/>
        <v/>
      </c>
      <c r="AA929" s="36" t="str">
        <f t="shared" si="258"/>
        <v/>
      </c>
      <c r="AB929" s="27" t="str">
        <f t="shared" si="259"/>
        <v>34%</v>
      </c>
      <c r="AC929" s="2">
        <f t="shared" si="260"/>
        <v>425</v>
      </c>
      <c r="AD929" s="38">
        <f t="shared" si="261"/>
        <v>3</v>
      </c>
      <c r="AE929" t="str">
        <f t="shared" si="262"/>
        <v>工具*11</v>
      </c>
      <c r="AF929" t="str">
        <f t="shared" si="263"/>
        <v>肥料*11</v>
      </c>
      <c r="AG929" t="str">
        <f t="shared" si="264"/>
        <v/>
      </c>
      <c r="AH929" t="str">
        <f t="shared" si="265"/>
        <v/>
      </c>
      <c r="AI929" t="str">
        <f t="shared" si="266"/>
        <v/>
      </c>
      <c r="AJ929" t="str">
        <f t="shared" si="267"/>
        <v/>
      </c>
      <c r="AK929" t="str">
        <f t="shared" si="268"/>
        <v/>
      </c>
      <c r="AL929">
        <f>IFERROR(ROUND(L929*(G929/$AU929)/VLOOKUP(F929,商品!$A$4:$B$60,2,FALSE),0),"")</f>
        <v>11</v>
      </c>
      <c r="AM929">
        <f>IFERROR(ROUND(L929*(I929/$AU929)/VLOOKUP(H929,商品!$A$4:$B$60,2,FALSE),0),"")</f>
        <v>11</v>
      </c>
      <c r="AN929">
        <f>IFERROR(ROUND(L929*(J929/$AU929)/VLOOKUP("运力",商品!$A$4:$B$60,2,FALSE),0),0)</f>
        <v>22</v>
      </c>
      <c r="AO929">
        <f>IFERROR(ROUND(L929*(K929/$AU929)/VLOOKUP("交易",商品!$A$4:$B$60,2,FALSE),0),0)</f>
        <v>22</v>
      </c>
      <c r="AP929" t="str">
        <f>IFERROR(ROUND(S929*(N929/$AV929)/VLOOKUP(M929,职业!$A$4:$G$16,4,FALSE),0),"")</f>
        <v/>
      </c>
      <c r="AQ929" t="str">
        <f>IFERROR(ROUND(S929*(P929/$AV929)/VLOOKUP(O929,职业!$A$4:$G$16,4,FALSE),0),"")</f>
        <v/>
      </c>
      <c r="AR929" t="str">
        <f>IFERROR(ROUND(S929*(R929/$AV929)/VLOOKUP(Q929,职业!$A$4:$G$16,4,FALSE),0),"")</f>
        <v/>
      </c>
      <c r="AS929" t="str">
        <f>IFERROR(ROUND(X929*(U929/$AW929)/VLOOKUP(T929,商品!$A$4:$B$60,2,FALSE),0),"")</f>
        <v/>
      </c>
      <c r="AT929" t="str">
        <f>IFERROR(ROUND(X929*(W929/$AW929)/VLOOKUP(V929,商品!$A$4:$B$60,2,FALSE),0),"")</f>
        <v/>
      </c>
      <c r="AU929">
        <f t="shared" si="269"/>
        <v>35</v>
      </c>
      <c r="AV929">
        <f t="shared" si="270"/>
        <v>0</v>
      </c>
      <c r="AW929">
        <f t="shared" si="271"/>
        <v>0</v>
      </c>
    </row>
    <row r="930" spans="1:49" ht="19.95" customHeight="1" x14ac:dyDescent="0.25">
      <c r="A930" s="16" t="s">
        <v>378</v>
      </c>
      <c r="C930" s="16">
        <v>4</v>
      </c>
      <c r="D930" s="23" t="s">
        <v>171</v>
      </c>
      <c r="E930" s="23" t="s">
        <v>172</v>
      </c>
      <c r="F930" s="2" t="s">
        <v>41</v>
      </c>
      <c r="G930" s="2">
        <v>10</v>
      </c>
      <c r="H930" s="2" t="s">
        <v>38</v>
      </c>
      <c r="I930" s="2">
        <v>15</v>
      </c>
      <c r="J930" s="24">
        <v>5</v>
      </c>
      <c r="K930" s="25">
        <v>5</v>
      </c>
      <c r="L930" s="15">
        <f>IFERROR(VLOOKUP($D930&amp;$C930,生产方式定位!$A$2:$E$38,2,FALSE)+VLOOKUP($E930&amp;$C930,生产方式定位!$F$3:$J$38,2,FALSE),0)</f>
        <v>1950</v>
      </c>
      <c r="S930" s="15">
        <f>IFERROR(VLOOKUP($D930&amp;$C930,生产方式定位!$A$2:$E$38,3,FALSE)+VLOOKUP($E930&amp;$C930,生产方式定位!$F$3:$J$38,3,FALSE),0)</f>
        <v>100</v>
      </c>
      <c r="X930" s="15">
        <f>IFERROR(VLOOKUP($D930&amp;$C930,生产方式定位!$A$2:$E$38,5,FALSE)+VLOOKUP($E930&amp;$C930,生产方式定位!$F$3:$J$38,5,FALSE),"错误")</f>
        <v>2590</v>
      </c>
      <c r="Y930" s="26" t="str">
        <f t="shared" si="256"/>
        <v>工具*14,肥料*14,运力*28,交易*28</v>
      </c>
      <c r="Z930" s="36" t="str">
        <f t="shared" si="257"/>
        <v/>
      </c>
      <c r="AA930" s="36" t="str">
        <f t="shared" si="258"/>
        <v/>
      </c>
      <c r="AB930" s="27" t="str">
        <f t="shared" si="259"/>
        <v>33%</v>
      </c>
      <c r="AC930" s="2">
        <f t="shared" si="260"/>
        <v>540</v>
      </c>
      <c r="AD930" s="38">
        <f t="shared" si="261"/>
        <v>4</v>
      </c>
      <c r="AE930" t="str">
        <f t="shared" si="262"/>
        <v>工具*14</v>
      </c>
      <c r="AF930" t="str">
        <f t="shared" si="263"/>
        <v>肥料*14</v>
      </c>
      <c r="AG930" t="str">
        <f t="shared" si="264"/>
        <v/>
      </c>
      <c r="AH930" t="str">
        <f t="shared" si="265"/>
        <v/>
      </c>
      <c r="AI930" t="str">
        <f t="shared" si="266"/>
        <v/>
      </c>
      <c r="AJ930" t="str">
        <f t="shared" si="267"/>
        <v/>
      </c>
      <c r="AK930" t="str">
        <f t="shared" si="268"/>
        <v/>
      </c>
      <c r="AL930">
        <f>IFERROR(ROUND(L930*(G930/$AU930)/VLOOKUP(F930,商品!$A$4:$B$60,2,FALSE),0),"")</f>
        <v>14</v>
      </c>
      <c r="AM930">
        <f>IFERROR(ROUND(L930*(I930/$AU930)/VLOOKUP(H930,商品!$A$4:$B$60,2,FALSE),0),"")</f>
        <v>14</v>
      </c>
      <c r="AN930">
        <f>IFERROR(ROUND(L930*(J930/$AU930)/VLOOKUP("运力",商品!$A$4:$B$60,2,FALSE),0),0)</f>
        <v>28</v>
      </c>
      <c r="AO930">
        <f>IFERROR(ROUND(L930*(K930/$AU930)/VLOOKUP("交易",商品!$A$4:$B$60,2,FALSE),0),0)</f>
        <v>28</v>
      </c>
      <c r="AP930" t="str">
        <f>IFERROR(ROUND(S930*(N930/$AV930)/VLOOKUP(M930,职业!$A$4:$G$16,4,FALSE),0),"")</f>
        <v/>
      </c>
      <c r="AQ930" t="str">
        <f>IFERROR(ROUND(S930*(P930/$AV930)/VLOOKUP(O930,职业!$A$4:$G$16,4,FALSE),0),"")</f>
        <v/>
      </c>
      <c r="AR930" t="str">
        <f>IFERROR(ROUND(S930*(R930/$AV930)/VLOOKUP(Q930,职业!$A$4:$G$16,4,FALSE),0),"")</f>
        <v/>
      </c>
      <c r="AS930" t="str">
        <f>IFERROR(ROUND(X930*(U930/$AW930)/VLOOKUP(T930,商品!$A$4:$B$60,2,FALSE),0),"")</f>
        <v/>
      </c>
      <c r="AT930" t="str">
        <f>IFERROR(ROUND(X930*(W930/$AW930)/VLOOKUP(V930,商品!$A$4:$B$60,2,FALSE),0),"")</f>
        <v/>
      </c>
      <c r="AU930">
        <f t="shared" si="269"/>
        <v>35</v>
      </c>
      <c r="AV930">
        <f t="shared" si="270"/>
        <v>0</v>
      </c>
      <c r="AW930">
        <f t="shared" si="271"/>
        <v>0</v>
      </c>
    </row>
    <row r="931" spans="1:49" ht="19.95" customHeight="1" x14ac:dyDescent="0.25">
      <c r="A931" s="16" t="s">
        <v>378</v>
      </c>
      <c r="C931" s="16">
        <v>5</v>
      </c>
      <c r="D931" s="23" t="s">
        <v>171</v>
      </c>
      <c r="E931" s="23" t="s">
        <v>172</v>
      </c>
      <c r="F931" s="2" t="s">
        <v>41</v>
      </c>
      <c r="G931" s="2">
        <v>10</v>
      </c>
      <c r="H931" s="2" t="s">
        <v>38</v>
      </c>
      <c r="I931" s="2">
        <v>15</v>
      </c>
      <c r="J931" s="24">
        <v>5</v>
      </c>
      <c r="K931" s="25">
        <v>5</v>
      </c>
      <c r="L931" s="15">
        <f>IFERROR(VLOOKUP($D931&amp;$C931,生产方式定位!$A$2:$E$38,2,FALSE)+VLOOKUP($E931&amp;$C931,生产方式定位!$F$3:$J$38,2,FALSE),0)</f>
        <v>2375</v>
      </c>
      <c r="S931" s="15">
        <f>IFERROR(VLOOKUP($D931&amp;$C931,生产方式定位!$A$2:$E$38,3,FALSE)+VLOOKUP($E931&amp;$C931,生产方式定位!$F$3:$J$38,3,FALSE),0)</f>
        <v>100</v>
      </c>
      <c r="X931" s="15">
        <f>IFERROR(VLOOKUP($D931&amp;$C931,生产方式定位!$A$2:$E$38,5,FALSE)+VLOOKUP($E931&amp;$C931,生产方式定位!$F$3:$J$38,5,FALSE),"错误")</f>
        <v>3130</v>
      </c>
      <c r="Y931" s="26" t="str">
        <f t="shared" si="256"/>
        <v>工具*17,肥料*17,运力*34,交易*34</v>
      </c>
      <c r="Z931" s="36" t="str">
        <f t="shared" si="257"/>
        <v/>
      </c>
      <c r="AA931" s="36" t="str">
        <f t="shared" si="258"/>
        <v/>
      </c>
      <c r="AB931" s="27" t="str">
        <f t="shared" si="259"/>
        <v>32%</v>
      </c>
      <c r="AC931" s="2">
        <f t="shared" si="260"/>
        <v>655</v>
      </c>
      <c r="AD931" s="38">
        <f t="shared" si="261"/>
        <v>5</v>
      </c>
      <c r="AE931" t="str">
        <f t="shared" si="262"/>
        <v>工具*17</v>
      </c>
      <c r="AF931" t="str">
        <f t="shared" si="263"/>
        <v>肥料*17</v>
      </c>
      <c r="AG931" t="str">
        <f t="shared" si="264"/>
        <v/>
      </c>
      <c r="AH931" t="str">
        <f t="shared" si="265"/>
        <v/>
      </c>
      <c r="AI931" t="str">
        <f t="shared" si="266"/>
        <v/>
      </c>
      <c r="AJ931" t="str">
        <f t="shared" si="267"/>
        <v/>
      </c>
      <c r="AK931" t="str">
        <f t="shared" si="268"/>
        <v/>
      </c>
      <c r="AL931">
        <f>IFERROR(ROUND(L931*(G931/$AU931)/VLOOKUP(F931,商品!$A$4:$B$60,2,FALSE),0),"")</f>
        <v>17</v>
      </c>
      <c r="AM931">
        <f>IFERROR(ROUND(L931*(I931/$AU931)/VLOOKUP(H931,商品!$A$4:$B$60,2,FALSE),0),"")</f>
        <v>17</v>
      </c>
      <c r="AN931">
        <f>IFERROR(ROUND(L931*(J931/$AU931)/VLOOKUP("运力",商品!$A$4:$B$60,2,FALSE),0),0)</f>
        <v>34</v>
      </c>
      <c r="AO931">
        <f>IFERROR(ROUND(L931*(K931/$AU931)/VLOOKUP("交易",商品!$A$4:$B$60,2,FALSE),0),0)</f>
        <v>34</v>
      </c>
      <c r="AP931" t="str">
        <f>IFERROR(ROUND(S931*(N931/$AV931)/VLOOKUP(M931,职业!$A$4:$G$16,4,FALSE),0),"")</f>
        <v/>
      </c>
      <c r="AQ931" t="str">
        <f>IFERROR(ROUND(S931*(P931/$AV931)/VLOOKUP(O931,职业!$A$4:$G$16,4,FALSE),0),"")</f>
        <v/>
      </c>
      <c r="AR931" t="str">
        <f>IFERROR(ROUND(S931*(R931/$AV931)/VLOOKUP(Q931,职业!$A$4:$G$16,4,FALSE),0),"")</f>
        <v/>
      </c>
      <c r="AS931" t="str">
        <f>IFERROR(ROUND(X931*(U931/$AW931)/VLOOKUP(T931,商品!$A$4:$B$60,2,FALSE),0),"")</f>
        <v/>
      </c>
      <c r="AT931" t="str">
        <f>IFERROR(ROUND(X931*(W931/$AW931)/VLOOKUP(V931,商品!$A$4:$B$60,2,FALSE),0),"")</f>
        <v/>
      </c>
      <c r="AU931">
        <f t="shared" si="269"/>
        <v>35</v>
      </c>
      <c r="AV931">
        <f t="shared" si="270"/>
        <v>0</v>
      </c>
      <c r="AW931">
        <f t="shared" si="271"/>
        <v>0</v>
      </c>
    </row>
    <row r="932" spans="1:49" ht="19.95" customHeight="1" x14ac:dyDescent="0.25">
      <c r="A932" s="15" t="s">
        <v>379</v>
      </c>
      <c r="C932" s="15">
        <v>1</v>
      </c>
      <c r="D932" s="23" t="s">
        <v>174</v>
      </c>
      <c r="E932" s="23" t="s">
        <v>175</v>
      </c>
      <c r="L932" s="16">
        <f>IFERROR(VLOOKUP($D932&amp;$C932,生产方式定位!$A$2:$E$38,2,FALSE)+VLOOKUP($E932&amp;$C932,生产方式定位!$F$3:$J$38,2,FALSE),0)</f>
        <v>0</v>
      </c>
      <c r="S932" s="16">
        <f>IFERROR(VLOOKUP($D932&amp;$C932,生产方式定位!$A$2:$E$38,3,FALSE)+VLOOKUP($E932&amp;$C932,生产方式定位!$F$3:$J$38,3,FALSE),0)</f>
        <v>0</v>
      </c>
      <c r="X932" s="16">
        <f>IFERROR(VLOOKUP($D932&amp;$C932,生产方式定位!$A$2:$E$38,5,FALSE)+VLOOKUP($E932&amp;$C932,生产方式定位!$F$3:$J$38,5,FALSE),"错误")</f>
        <v>0</v>
      </c>
      <c r="Y932" s="26" t="str">
        <f t="shared" si="256"/>
        <v/>
      </c>
      <c r="Z932" s="36" t="str">
        <f t="shared" si="257"/>
        <v/>
      </c>
      <c r="AA932" s="36" t="str">
        <f t="shared" si="258"/>
        <v/>
      </c>
      <c r="AB932" s="27" t="str">
        <f t="shared" si="259"/>
        <v/>
      </c>
      <c r="AC932" s="2" t="str">
        <f t="shared" si="260"/>
        <v/>
      </c>
      <c r="AD932" s="38">
        <f t="shared" si="261"/>
        <v>1</v>
      </c>
      <c r="AE932" t="str">
        <f t="shared" si="262"/>
        <v/>
      </c>
      <c r="AF932" t="str">
        <f t="shared" si="263"/>
        <v/>
      </c>
      <c r="AG932" t="str">
        <f t="shared" si="264"/>
        <v/>
      </c>
      <c r="AH932" t="str">
        <f t="shared" si="265"/>
        <v/>
      </c>
      <c r="AI932" t="str">
        <f t="shared" si="266"/>
        <v/>
      </c>
      <c r="AJ932" t="str">
        <f t="shared" si="267"/>
        <v/>
      </c>
      <c r="AK932" t="str">
        <f t="shared" si="268"/>
        <v/>
      </c>
      <c r="AL932" t="str">
        <f>IFERROR(ROUND(L932*(G932/$AU932)/VLOOKUP(F932,商品!$A$4:$B$60,2,FALSE),0),"")</f>
        <v/>
      </c>
      <c r="AM932" t="str">
        <f>IFERROR(ROUND(L932*(I932/$AU932)/VLOOKUP(H932,商品!$A$4:$B$60,2,FALSE),0),"")</f>
        <v/>
      </c>
      <c r="AN932">
        <f>IFERROR(ROUND(L932*(J932/$AU932)/VLOOKUP("运力",商品!$A$4:$B$60,2,FALSE),0),0)</f>
        <v>0</v>
      </c>
      <c r="AO932">
        <f>IFERROR(ROUND(L932*(K932/$AU932)/VLOOKUP("交易",商品!$A$4:$B$60,2,FALSE),0),0)</f>
        <v>0</v>
      </c>
      <c r="AP932" t="str">
        <f>IFERROR(ROUND(S932*(N932/$AV932)/VLOOKUP(M932,职业!$A$4:$G$16,4,FALSE),0),"")</f>
        <v/>
      </c>
      <c r="AQ932" t="str">
        <f>IFERROR(ROUND(S932*(P932/$AV932)/VLOOKUP(O932,职业!$A$4:$G$16,4,FALSE),0),"")</f>
        <v/>
      </c>
      <c r="AR932" t="str">
        <f>IFERROR(ROUND(S932*(R932/$AV932)/VLOOKUP(Q932,职业!$A$4:$G$16,4,FALSE),0),"")</f>
        <v/>
      </c>
      <c r="AS932" t="str">
        <f>IFERROR(ROUND(X932*(U932/$AW932)/VLOOKUP(T932,商品!$A$4:$B$60,2,FALSE),0),"")</f>
        <v/>
      </c>
      <c r="AT932" t="str">
        <f>IFERROR(ROUND(X932*(W932/$AW932)/VLOOKUP(V932,商品!$A$4:$B$60,2,FALSE),0),"")</f>
        <v/>
      </c>
      <c r="AU932">
        <f t="shared" si="269"/>
        <v>0</v>
      </c>
      <c r="AV932">
        <f t="shared" si="270"/>
        <v>0</v>
      </c>
      <c r="AW932">
        <f t="shared" si="271"/>
        <v>0</v>
      </c>
    </row>
    <row r="933" spans="1:49" ht="19.95" customHeight="1" x14ac:dyDescent="0.25">
      <c r="A933" s="15" t="s">
        <v>379</v>
      </c>
      <c r="C933" s="15">
        <v>2</v>
      </c>
      <c r="D933" s="23" t="s">
        <v>174</v>
      </c>
      <c r="E933" s="23" t="s">
        <v>175</v>
      </c>
      <c r="F933" s="2" t="s">
        <v>41</v>
      </c>
      <c r="G933" s="2">
        <v>10</v>
      </c>
      <c r="L933" s="16">
        <f>IFERROR(VLOOKUP($D933&amp;$C933,生产方式定位!$A$2:$E$38,2,FALSE)+VLOOKUP($E933&amp;$C933,生产方式定位!$F$3:$J$38,2,FALSE),0)</f>
        <v>50</v>
      </c>
      <c r="S933" s="16">
        <f>IFERROR(VLOOKUP($D933&amp;$C933,生产方式定位!$A$2:$E$38,3,FALSE)+VLOOKUP($E933&amp;$C933,生产方式定位!$F$3:$J$38,3,FALSE),0)</f>
        <v>10</v>
      </c>
      <c r="X933" s="16">
        <f>IFERROR(VLOOKUP($D933&amp;$C933,生产方式定位!$A$2:$E$38,5,FALSE)+VLOOKUP($E933&amp;$C933,生产方式定位!$F$3:$J$38,5,FALSE),"错误")</f>
        <v>0</v>
      </c>
      <c r="Y933" s="26" t="str">
        <f t="shared" si="256"/>
        <v>工具*1</v>
      </c>
      <c r="Z933" s="36" t="str">
        <f t="shared" si="257"/>
        <v/>
      </c>
      <c r="AA933" s="36" t="str">
        <f t="shared" si="258"/>
        <v/>
      </c>
      <c r="AB933" s="27" t="str">
        <f t="shared" si="259"/>
        <v>-100%</v>
      </c>
      <c r="AC933" s="2">
        <f t="shared" si="260"/>
        <v>-60</v>
      </c>
      <c r="AD933" s="38">
        <f t="shared" si="261"/>
        <v>2</v>
      </c>
      <c r="AE933" t="str">
        <f t="shared" si="262"/>
        <v>工具*1</v>
      </c>
      <c r="AF933" t="str">
        <f t="shared" si="263"/>
        <v/>
      </c>
      <c r="AG933" t="str">
        <f t="shared" si="264"/>
        <v/>
      </c>
      <c r="AH933" t="str">
        <f t="shared" si="265"/>
        <v/>
      </c>
      <c r="AI933" t="str">
        <f t="shared" si="266"/>
        <v/>
      </c>
      <c r="AJ933" t="str">
        <f t="shared" si="267"/>
        <v/>
      </c>
      <c r="AK933" t="str">
        <f t="shared" si="268"/>
        <v/>
      </c>
      <c r="AL933">
        <f>IFERROR(ROUND(L933*(G933/$AU933)/VLOOKUP(F933,商品!$A$4:$B$60,2,FALSE),0),"")</f>
        <v>1</v>
      </c>
      <c r="AM933" t="str">
        <f>IFERROR(ROUND(L933*(I933/$AU933)/VLOOKUP(H933,商品!$A$4:$B$60,2,FALSE),0),"")</f>
        <v/>
      </c>
      <c r="AN933">
        <f>IFERROR(ROUND(L933*(J933/$AU933)/VLOOKUP("运力",商品!$A$4:$B$60,2,FALSE),0),0)</f>
        <v>0</v>
      </c>
      <c r="AO933">
        <f>IFERROR(ROUND(L933*(K933/$AU933)/VLOOKUP("交易",商品!$A$4:$B$60,2,FALSE),0),0)</f>
        <v>0</v>
      </c>
      <c r="AP933" t="str">
        <f>IFERROR(ROUND(S933*(N933/$AV933)/VLOOKUP(M933,职业!$A$4:$G$16,4,FALSE),0),"")</f>
        <v/>
      </c>
      <c r="AQ933" t="str">
        <f>IFERROR(ROUND(S933*(P933/$AV933)/VLOOKUP(O933,职业!$A$4:$G$16,4,FALSE),0),"")</f>
        <v/>
      </c>
      <c r="AR933" t="str">
        <f>IFERROR(ROUND(S933*(R933/$AV933)/VLOOKUP(Q933,职业!$A$4:$G$16,4,FALSE),0),"")</f>
        <v/>
      </c>
      <c r="AS933" t="str">
        <f>IFERROR(ROUND(X933*(U933/$AW933)/VLOOKUP(T933,商品!$A$4:$B$60,2,FALSE),0),"")</f>
        <v/>
      </c>
      <c r="AT933" t="str">
        <f>IFERROR(ROUND(X933*(W933/$AW933)/VLOOKUP(V933,商品!$A$4:$B$60,2,FALSE),0),"")</f>
        <v/>
      </c>
      <c r="AU933">
        <f t="shared" si="269"/>
        <v>10</v>
      </c>
      <c r="AV933">
        <f t="shared" si="270"/>
        <v>0</v>
      </c>
      <c r="AW933">
        <f t="shared" si="271"/>
        <v>0</v>
      </c>
    </row>
    <row r="934" spans="1:49" ht="19.95" customHeight="1" x14ac:dyDescent="0.25">
      <c r="A934" s="15" t="s">
        <v>379</v>
      </c>
      <c r="C934" s="15">
        <v>3</v>
      </c>
      <c r="D934" s="23" t="s">
        <v>174</v>
      </c>
      <c r="E934" s="23" t="s">
        <v>175</v>
      </c>
      <c r="F934" s="2" t="s">
        <v>41</v>
      </c>
      <c r="G934" s="2">
        <v>10</v>
      </c>
      <c r="L934" s="16">
        <f>IFERROR(VLOOKUP($D934&amp;$C934,生产方式定位!$A$2:$E$38,2,FALSE)+VLOOKUP($E934&amp;$C934,生产方式定位!$F$3:$J$38,2,FALSE),0)</f>
        <v>100</v>
      </c>
      <c r="S934" s="16">
        <f>IFERROR(VLOOKUP($D934&amp;$C934,生产方式定位!$A$2:$E$38,3,FALSE)+VLOOKUP($E934&amp;$C934,生产方式定位!$F$3:$J$38,3,FALSE),0)</f>
        <v>20</v>
      </c>
      <c r="X934" s="16">
        <f>IFERROR(VLOOKUP($D934&amp;$C934,生产方式定位!$A$2:$E$38,5,FALSE)+VLOOKUP($E934&amp;$C934,生产方式定位!$F$3:$J$38,5,FALSE),"错误")</f>
        <v>0</v>
      </c>
      <c r="Y934" s="26" t="str">
        <f t="shared" si="256"/>
        <v>工具*3</v>
      </c>
      <c r="Z934" s="36" t="str">
        <f t="shared" si="257"/>
        <v/>
      </c>
      <c r="AA934" s="36" t="str">
        <f t="shared" si="258"/>
        <v/>
      </c>
      <c r="AB934" s="27" t="str">
        <f t="shared" si="259"/>
        <v>-100%</v>
      </c>
      <c r="AC934" s="2">
        <f t="shared" si="260"/>
        <v>-120</v>
      </c>
      <c r="AD934" s="38">
        <f t="shared" si="261"/>
        <v>3</v>
      </c>
      <c r="AE934" t="str">
        <f t="shared" si="262"/>
        <v>工具*3</v>
      </c>
      <c r="AF934" t="str">
        <f t="shared" si="263"/>
        <v/>
      </c>
      <c r="AG934" t="str">
        <f t="shared" si="264"/>
        <v/>
      </c>
      <c r="AH934" t="str">
        <f t="shared" si="265"/>
        <v/>
      </c>
      <c r="AI934" t="str">
        <f t="shared" si="266"/>
        <v/>
      </c>
      <c r="AJ934" t="str">
        <f t="shared" si="267"/>
        <v/>
      </c>
      <c r="AK934" t="str">
        <f t="shared" si="268"/>
        <v/>
      </c>
      <c r="AL934">
        <f>IFERROR(ROUND(L934*(G934/$AU934)/VLOOKUP(F934,商品!$A$4:$B$60,2,FALSE),0),"")</f>
        <v>3</v>
      </c>
      <c r="AM934" t="str">
        <f>IFERROR(ROUND(L934*(I934/$AU934)/VLOOKUP(H934,商品!$A$4:$B$60,2,FALSE),0),"")</f>
        <v/>
      </c>
      <c r="AN934">
        <f>IFERROR(ROUND(L934*(J934/$AU934)/VLOOKUP("运力",商品!$A$4:$B$60,2,FALSE),0),0)</f>
        <v>0</v>
      </c>
      <c r="AO934">
        <f>IFERROR(ROUND(L934*(K934/$AU934)/VLOOKUP("交易",商品!$A$4:$B$60,2,FALSE),0),0)</f>
        <v>0</v>
      </c>
      <c r="AP934" t="str">
        <f>IFERROR(ROUND(S934*(N934/$AV934)/VLOOKUP(M934,职业!$A$4:$G$16,4,FALSE),0),"")</f>
        <v/>
      </c>
      <c r="AQ934" t="str">
        <f>IFERROR(ROUND(S934*(P934/$AV934)/VLOOKUP(O934,职业!$A$4:$G$16,4,FALSE),0),"")</f>
        <v/>
      </c>
      <c r="AR934" t="str">
        <f>IFERROR(ROUND(S934*(R934/$AV934)/VLOOKUP(Q934,职业!$A$4:$G$16,4,FALSE),0),"")</f>
        <v/>
      </c>
      <c r="AS934" t="str">
        <f>IFERROR(ROUND(X934*(U934/$AW934)/VLOOKUP(T934,商品!$A$4:$B$60,2,FALSE),0),"")</f>
        <v/>
      </c>
      <c r="AT934" t="str">
        <f>IFERROR(ROUND(X934*(W934/$AW934)/VLOOKUP(V934,商品!$A$4:$B$60,2,FALSE),0),"")</f>
        <v/>
      </c>
      <c r="AU934">
        <f t="shared" si="269"/>
        <v>10</v>
      </c>
      <c r="AV934">
        <f t="shared" si="270"/>
        <v>0</v>
      </c>
      <c r="AW934">
        <f t="shared" si="271"/>
        <v>0</v>
      </c>
    </row>
    <row r="935" spans="1:49" ht="19.95" customHeight="1" x14ac:dyDescent="0.25">
      <c r="A935" s="15" t="s">
        <v>379</v>
      </c>
      <c r="C935" s="15">
        <v>4</v>
      </c>
      <c r="D935" s="23" t="s">
        <v>174</v>
      </c>
      <c r="E935" s="23" t="s">
        <v>175</v>
      </c>
      <c r="F935" s="2" t="s">
        <v>45</v>
      </c>
      <c r="G935" s="2">
        <v>5</v>
      </c>
      <c r="H935" s="2" t="s">
        <v>19</v>
      </c>
      <c r="I935" s="2">
        <v>10</v>
      </c>
      <c r="L935" s="16">
        <f>IFERROR(VLOOKUP($D935&amp;$C935,生产方式定位!$A$2:$E$38,2,FALSE)+VLOOKUP($E935&amp;$C935,生产方式定位!$F$3:$J$38,2,FALSE),0)</f>
        <v>150</v>
      </c>
      <c r="S935" s="16">
        <f>IFERROR(VLOOKUP($D935&amp;$C935,生产方式定位!$A$2:$E$38,3,FALSE)+VLOOKUP($E935&amp;$C935,生产方式定位!$F$3:$J$38,3,FALSE),0)</f>
        <v>30</v>
      </c>
      <c r="X935" s="16">
        <f>IFERROR(VLOOKUP($D935&amp;$C935,生产方式定位!$A$2:$E$38,5,FALSE)+VLOOKUP($E935&amp;$C935,生产方式定位!$F$3:$J$38,5,FALSE),"错误")</f>
        <v>0</v>
      </c>
      <c r="Y935" s="26" t="str">
        <f t="shared" si="256"/>
        <v>科学引擎*1,煤*3</v>
      </c>
      <c r="Z935" s="36" t="str">
        <f t="shared" si="257"/>
        <v/>
      </c>
      <c r="AA935" s="36" t="str">
        <f t="shared" si="258"/>
        <v/>
      </c>
      <c r="AB935" s="27" t="str">
        <f t="shared" si="259"/>
        <v>-100%</v>
      </c>
      <c r="AC935" s="2">
        <f t="shared" si="260"/>
        <v>-180</v>
      </c>
      <c r="AD935" s="38">
        <f t="shared" si="261"/>
        <v>4</v>
      </c>
      <c r="AE935" t="str">
        <f t="shared" si="262"/>
        <v>科学引擎*1</v>
      </c>
      <c r="AF935" t="str">
        <f t="shared" si="263"/>
        <v>煤*3</v>
      </c>
      <c r="AG935" t="str">
        <f t="shared" si="264"/>
        <v/>
      </c>
      <c r="AH935" t="str">
        <f t="shared" si="265"/>
        <v/>
      </c>
      <c r="AI935" t="str">
        <f t="shared" si="266"/>
        <v/>
      </c>
      <c r="AJ935" t="str">
        <f t="shared" si="267"/>
        <v/>
      </c>
      <c r="AK935" t="str">
        <f t="shared" si="268"/>
        <v/>
      </c>
      <c r="AL935">
        <f>IFERROR(ROUND(L935*(G935/$AU935)/VLOOKUP(F935,商品!$A$4:$B$60,2,FALSE),0),"")</f>
        <v>1</v>
      </c>
      <c r="AM935">
        <f>IFERROR(ROUND(L935*(I935/$AU935)/VLOOKUP(H935,商品!$A$4:$B$60,2,FALSE),0),"")</f>
        <v>3</v>
      </c>
      <c r="AN935">
        <f>IFERROR(ROUND(L935*(J935/$AU935)/VLOOKUP("运力",商品!$A$4:$B$60,2,FALSE),0),0)</f>
        <v>0</v>
      </c>
      <c r="AO935">
        <f>IFERROR(ROUND(L935*(K935/$AU935)/VLOOKUP("交易",商品!$A$4:$B$60,2,FALSE),0),0)</f>
        <v>0</v>
      </c>
      <c r="AP935" t="str">
        <f>IFERROR(ROUND(S935*(N935/$AV935)/VLOOKUP(M935,职业!$A$4:$G$16,4,FALSE),0),"")</f>
        <v/>
      </c>
      <c r="AQ935" t="str">
        <f>IFERROR(ROUND(S935*(P935/$AV935)/VLOOKUP(O935,职业!$A$4:$G$16,4,FALSE),0),"")</f>
        <v/>
      </c>
      <c r="AR935" t="str">
        <f>IFERROR(ROUND(S935*(R935/$AV935)/VLOOKUP(Q935,职业!$A$4:$G$16,4,FALSE),0),"")</f>
        <v/>
      </c>
      <c r="AS935" t="str">
        <f>IFERROR(ROUND(X935*(U935/$AW935)/VLOOKUP(T935,商品!$A$4:$B$60,2,FALSE),0),"")</f>
        <v/>
      </c>
      <c r="AT935" t="str">
        <f>IFERROR(ROUND(X935*(W935/$AW935)/VLOOKUP(V935,商品!$A$4:$B$60,2,FALSE),0),"")</f>
        <v/>
      </c>
      <c r="AU935">
        <f t="shared" si="269"/>
        <v>15</v>
      </c>
      <c r="AV935">
        <f t="shared" si="270"/>
        <v>0</v>
      </c>
      <c r="AW935">
        <f t="shared" si="271"/>
        <v>0</v>
      </c>
    </row>
    <row r="936" spans="1:49" ht="19.95" customHeight="1" x14ac:dyDescent="0.25">
      <c r="A936" s="15" t="s">
        <v>379</v>
      </c>
      <c r="C936" s="15">
        <v>5</v>
      </c>
      <c r="D936" s="23" t="s">
        <v>174</v>
      </c>
      <c r="E936" s="23" t="s">
        <v>175</v>
      </c>
      <c r="F936" s="2" t="s">
        <v>46</v>
      </c>
      <c r="G936" s="2">
        <v>5</v>
      </c>
      <c r="H936" s="2" t="s">
        <v>19</v>
      </c>
      <c r="I936" s="2">
        <v>10</v>
      </c>
      <c r="L936" s="16">
        <f>IFERROR(VLOOKUP($D936&amp;$C936,生产方式定位!$A$2:$E$38,2,FALSE)+VLOOKUP($E936&amp;$C936,生产方式定位!$F$3:$J$38,2,FALSE),0)</f>
        <v>200</v>
      </c>
      <c r="S936" s="16">
        <f>IFERROR(VLOOKUP($D936&amp;$C936,生产方式定位!$A$2:$E$38,3,FALSE)+VLOOKUP($E936&amp;$C936,生产方式定位!$F$3:$J$38,3,FALSE),0)</f>
        <v>40</v>
      </c>
      <c r="X936" s="16">
        <f>IFERROR(VLOOKUP($D936&amp;$C936,生产方式定位!$A$2:$E$38,5,FALSE)+VLOOKUP($E936&amp;$C936,生产方式定位!$F$3:$J$38,5,FALSE),"错误")</f>
        <v>0</v>
      </c>
      <c r="Y936" s="26" t="str">
        <f t="shared" si="256"/>
        <v>魔导引擎*1,煤*4</v>
      </c>
      <c r="Z936" s="36" t="str">
        <f t="shared" si="257"/>
        <v/>
      </c>
      <c r="AA936" s="36" t="str">
        <f t="shared" si="258"/>
        <v/>
      </c>
      <c r="AB936" s="27" t="str">
        <f t="shared" si="259"/>
        <v>-100%</v>
      </c>
      <c r="AC936" s="2">
        <f t="shared" si="260"/>
        <v>-240</v>
      </c>
      <c r="AD936" s="38">
        <f t="shared" si="261"/>
        <v>5</v>
      </c>
      <c r="AE936" t="str">
        <f t="shared" si="262"/>
        <v>魔导引擎*1</v>
      </c>
      <c r="AF936" t="str">
        <f t="shared" si="263"/>
        <v>煤*4</v>
      </c>
      <c r="AG936" t="str">
        <f t="shared" si="264"/>
        <v/>
      </c>
      <c r="AH936" t="str">
        <f t="shared" si="265"/>
        <v/>
      </c>
      <c r="AI936" t="str">
        <f t="shared" si="266"/>
        <v/>
      </c>
      <c r="AJ936" t="str">
        <f t="shared" si="267"/>
        <v/>
      </c>
      <c r="AK936" t="str">
        <f t="shared" si="268"/>
        <v/>
      </c>
      <c r="AL936">
        <f>IFERROR(ROUND(L936*(G936/$AU936)/VLOOKUP(F936,商品!$A$4:$B$60,2,FALSE),0),"")</f>
        <v>1</v>
      </c>
      <c r="AM936">
        <f>IFERROR(ROUND(L936*(I936/$AU936)/VLOOKUP(H936,商品!$A$4:$B$60,2,FALSE),0),"")</f>
        <v>4</v>
      </c>
      <c r="AN936">
        <f>IFERROR(ROUND(L936*(J936/$AU936)/VLOOKUP("运力",商品!$A$4:$B$60,2,FALSE),0),0)</f>
        <v>0</v>
      </c>
      <c r="AO936">
        <f>IFERROR(ROUND(L936*(K936/$AU936)/VLOOKUP("交易",商品!$A$4:$B$60,2,FALSE),0),0)</f>
        <v>0</v>
      </c>
      <c r="AP936" t="str">
        <f>IFERROR(ROUND(S936*(N936/$AV936)/VLOOKUP(M936,职业!$A$4:$G$16,4,FALSE),0),"")</f>
        <v/>
      </c>
      <c r="AQ936" t="str">
        <f>IFERROR(ROUND(S936*(P936/$AV936)/VLOOKUP(O936,职业!$A$4:$G$16,4,FALSE),0),"")</f>
        <v/>
      </c>
      <c r="AR936" t="str">
        <f>IFERROR(ROUND(S936*(R936/$AV936)/VLOOKUP(Q936,职业!$A$4:$G$16,4,FALSE),0),"")</f>
        <v/>
      </c>
      <c r="AS936" t="str">
        <f>IFERROR(ROUND(X936*(U936/$AW936)/VLOOKUP(T936,商品!$A$4:$B$60,2,FALSE),0),"")</f>
        <v/>
      </c>
      <c r="AT936" t="str">
        <f>IFERROR(ROUND(X936*(W936/$AW936)/VLOOKUP(V936,商品!$A$4:$B$60,2,FALSE),0),"")</f>
        <v/>
      </c>
      <c r="AU936">
        <f t="shared" si="269"/>
        <v>15</v>
      </c>
      <c r="AV936">
        <f t="shared" si="270"/>
        <v>0</v>
      </c>
      <c r="AW936">
        <f t="shared" si="271"/>
        <v>0</v>
      </c>
    </row>
    <row r="937" spans="1:49" ht="19.95" customHeight="1" x14ac:dyDescent="0.25">
      <c r="A937" s="16" t="s">
        <v>380</v>
      </c>
      <c r="C937" s="16">
        <v>1</v>
      </c>
      <c r="D937" s="23" t="s">
        <v>171</v>
      </c>
      <c r="E937" s="23" t="s">
        <v>177</v>
      </c>
      <c r="L937" s="15">
        <f>IFERROR(VLOOKUP($D937&amp;$C937,生产方式定位!$A$2:$E$38,2,FALSE)+VLOOKUP($E937&amp;$C937,生产方式定位!$F$3:$J$38,2,FALSE),0)</f>
        <v>300</v>
      </c>
      <c r="S937" s="15">
        <f>IFERROR(VLOOKUP($D937&amp;$C937,生产方式定位!$A$2:$E$38,3,FALSE)+VLOOKUP($E937&amp;$C937,生产方式定位!$F$3:$J$38,3,FALSE),0)</f>
        <v>100</v>
      </c>
      <c r="X937" s="15">
        <f>IFERROR(VLOOKUP($D937&amp;$C937,生产方式定位!$A$2:$E$38,5,FALSE)+VLOOKUP($E937&amp;$C937,生产方式定位!$F$3:$J$38,5,FALSE),"错误")</f>
        <v>520</v>
      </c>
      <c r="Y937" s="26" t="str">
        <f t="shared" si="256"/>
        <v/>
      </c>
      <c r="Z937" s="36" t="str">
        <f t="shared" si="257"/>
        <v/>
      </c>
      <c r="AA937" s="36" t="str">
        <f t="shared" si="258"/>
        <v/>
      </c>
      <c r="AB937" s="27" t="str">
        <f t="shared" si="259"/>
        <v>73%</v>
      </c>
      <c r="AC937" s="2">
        <f t="shared" si="260"/>
        <v>120</v>
      </c>
      <c r="AD937" s="37">
        <f t="shared" si="261"/>
        <v>1</v>
      </c>
      <c r="AE937" t="str">
        <f t="shared" si="262"/>
        <v/>
      </c>
      <c r="AF937" t="str">
        <f t="shared" si="263"/>
        <v/>
      </c>
      <c r="AG937" t="str">
        <f t="shared" si="264"/>
        <v/>
      </c>
      <c r="AH937" t="str">
        <f t="shared" si="265"/>
        <v/>
      </c>
      <c r="AI937" t="str">
        <f t="shared" si="266"/>
        <v/>
      </c>
      <c r="AJ937" t="str">
        <f t="shared" si="267"/>
        <v/>
      </c>
      <c r="AK937" t="str">
        <f t="shared" si="268"/>
        <v/>
      </c>
      <c r="AL937" t="str">
        <f>IFERROR(ROUND(L937*(G937/$AU937)/VLOOKUP(F937,商品!$A$4:$B$60,2,FALSE),0),"")</f>
        <v/>
      </c>
      <c r="AM937" t="str">
        <f>IFERROR(ROUND(L937*(I937/$AU937)/VLOOKUP(H937,商品!$A$4:$B$60,2,FALSE),0),"")</f>
        <v/>
      </c>
      <c r="AN937">
        <f>IFERROR(ROUND(L937*(J937/$AU937)/VLOOKUP("运力",商品!$A$4:$B$60,2,FALSE),0),0)</f>
        <v>0</v>
      </c>
      <c r="AO937">
        <f>IFERROR(ROUND(L937*(K937/$AU937)/VLOOKUP("交易",商品!$A$4:$B$60,2,FALSE),0),0)</f>
        <v>0</v>
      </c>
      <c r="AP937" t="str">
        <f>IFERROR(ROUND(S937*(N937/$AV937)/VLOOKUP(M937,职业!$A$4:$G$16,4,FALSE),0),"")</f>
        <v/>
      </c>
      <c r="AQ937" t="str">
        <f>IFERROR(ROUND(S937*(P937/$AV937)/VLOOKUP(O937,职业!$A$4:$G$16,4,FALSE),0),"")</f>
        <v/>
      </c>
      <c r="AR937" t="str">
        <f>IFERROR(ROUND(S937*(R937/$AV937)/VLOOKUP(Q937,职业!$A$4:$G$16,4,FALSE),0),"")</f>
        <v/>
      </c>
      <c r="AS937" t="str">
        <f>IFERROR(ROUND(X937*(U937/$AW937)/VLOOKUP(T937,商品!$A$4:$B$60,2,FALSE),0),"")</f>
        <v/>
      </c>
      <c r="AT937" t="str">
        <f>IFERROR(ROUND(X937*(W937/$AW937)/VLOOKUP(V937,商品!$A$4:$B$60,2,FALSE),0),"")</f>
        <v/>
      </c>
      <c r="AU937">
        <f t="shared" si="269"/>
        <v>0</v>
      </c>
      <c r="AV937">
        <f t="shared" si="270"/>
        <v>0</v>
      </c>
      <c r="AW937">
        <f t="shared" si="271"/>
        <v>0</v>
      </c>
    </row>
    <row r="938" spans="1:49" ht="19.95" customHeight="1" x14ac:dyDescent="0.25">
      <c r="A938" s="16" t="s">
        <v>380</v>
      </c>
      <c r="C938" s="16">
        <v>2</v>
      </c>
      <c r="D938" s="23" t="s">
        <v>171</v>
      </c>
      <c r="E938" s="23" t="s">
        <v>177</v>
      </c>
      <c r="F938" s="2" t="s">
        <v>42</v>
      </c>
      <c r="G938" s="2">
        <v>5</v>
      </c>
      <c r="H938" s="2" t="s">
        <v>20</v>
      </c>
      <c r="I938" s="2">
        <v>10</v>
      </c>
      <c r="L938" s="15">
        <f>IFERROR(VLOOKUP($D938&amp;$C938,生产方式定位!$A$2:$E$38,2,FALSE)+VLOOKUP($E938&amp;$C938,生产方式定位!$F$3:$J$38,2,FALSE),0)</f>
        <v>705</v>
      </c>
      <c r="S938" s="15">
        <f>IFERROR(VLOOKUP($D938&amp;$C938,生产方式定位!$A$2:$E$38,3,FALSE)+VLOOKUP($E938&amp;$C938,生产方式定位!$F$3:$J$38,3,FALSE),0)</f>
        <v>115</v>
      </c>
      <c r="X938" s="15">
        <f>IFERROR(VLOOKUP($D938&amp;$C938,生产方式定位!$A$2:$E$38,5,FALSE)+VLOOKUP($E938&amp;$C938,生产方式定位!$F$3:$J$38,5,FALSE),"错误")</f>
        <v>910</v>
      </c>
      <c r="Y938" s="26" t="str">
        <f t="shared" si="256"/>
        <v>魔偶*6,灵能水晶*16</v>
      </c>
      <c r="Z938" s="36" t="str">
        <f t="shared" si="257"/>
        <v/>
      </c>
      <c r="AA938" s="36" t="str">
        <f t="shared" si="258"/>
        <v/>
      </c>
      <c r="AB938" s="27" t="str">
        <f t="shared" si="259"/>
        <v>29%</v>
      </c>
      <c r="AC938" s="2">
        <f t="shared" si="260"/>
        <v>90</v>
      </c>
      <c r="AD938" s="37">
        <f t="shared" si="261"/>
        <v>2</v>
      </c>
      <c r="AE938" t="str">
        <f t="shared" si="262"/>
        <v>魔偶*6</v>
      </c>
      <c r="AF938" t="str">
        <f t="shared" si="263"/>
        <v>灵能水晶*16</v>
      </c>
      <c r="AG938" t="str">
        <f t="shared" si="264"/>
        <v/>
      </c>
      <c r="AH938" t="str">
        <f t="shared" si="265"/>
        <v/>
      </c>
      <c r="AI938" t="str">
        <f t="shared" si="266"/>
        <v/>
      </c>
      <c r="AJ938" t="str">
        <f t="shared" si="267"/>
        <v/>
      </c>
      <c r="AK938" t="str">
        <f t="shared" si="268"/>
        <v/>
      </c>
      <c r="AL938">
        <f>IFERROR(ROUND(L938*(G938/$AU938)/VLOOKUP(F938,商品!$A$4:$B$60,2,FALSE),0),"")</f>
        <v>6</v>
      </c>
      <c r="AM938">
        <f>IFERROR(ROUND(L938*(I938/$AU938)/VLOOKUP(H938,商品!$A$4:$B$60,2,FALSE),0),"")</f>
        <v>16</v>
      </c>
      <c r="AN938">
        <f>IFERROR(ROUND(L938*(J938/$AU938)/VLOOKUP("运力",商品!$A$4:$B$60,2,FALSE),0),0)</f>
        <v>0</v>
      </c>
      <c r="AO938">
        <f>IFERROR(ROUND(L938*(K938/$AU938)/VLOOKUP("交易",商品!$A$4:$B$60,2,FALSE),0),0)</f>
        <v>0</v>
      </c>
      <c r="AP938" t="str">
        <f>IFERROR(ROUND(S938*(N938/$AV938)/VLOOKUP(M938,职业!$A$4:$G$16,4,FALSE),0),"")</f>
        <v/>
      </c>
      <c r="AQ938" t="str">
        <f>IFERROR(ROUND(S938*(P938/$AV938)/VLOOKUP(O938,职业!$A$4:$G$16,4,FALSE),0),"")</f>
        <v/>
      </c>
      <c r="AR938" t="str">
        <f>IFERROR(ROUND(S938*(R938/$AV938)/VLOOKUP(Q938,职业!$A$4:$G$16,4,FALSE),0),"")</f>
        <v/>
      </c>
      <c r="AS938" t="str">
        <f>IFERROR(ROUND(X938*(U938/$AW938)/VLOOKUP(T938,商品!$A$4:$B$60,2,FALSE),0),"")</f>
        <v/>
      </c>
      <c r="AT938" t="str">
        <f>IFERROR(ROUND(X938*(W938/$AW938)/VLOOKUP(V938,商品!$A$4:$B$60,2,FALSE),0),"")</f>
        <v/>
      </c>
      <c r="AU938">
        <f t="shared" si="269"/>
        <v>15</v>
      </c>
      <c r="AV938">
        <f t="shared" si="270"/>
        <v>0</v>
      </c>
      <c r="AW938">
        <f t="shared" si="271"/>
        <v>0</v>
      </c>
    </row>
    <row r="939" spans="1:49" ht="19.95" customHeight="1" x14ac:dyDescent="0.25">
      <c r="A939" s="16" t="s">
        <v>380</v>
      </c>
      <c r="C939" s="16">
        <v>3</v>
      </c>
      <c r="D939" s="23" t="s">
        <v>171</v>
      </c>
      <c r="E939" s="23" t="s">
        <v>177</v>
      </c>
      <c r="F939" s="2" t="s">
        <v>42</v>
      </c>
      <c r="G939" s="2">
        <v>5</v>
      </c>
      <c r="H939" s="2" t="s">
        <v>20</v>
      </c>
      <c r="I939" s="2">
        <v>10</v>
      </c>
      <c r="L939" s="15">
        <f>IFERROR(VLOOKUP($D939&amp;$C939,生产方式定位!$A$2:$E$38,2,FALSE)+VLOOKUP($E939&amp;$C939,生产方式定位!$F$3:$J$38,2,FALSE),0)</f>
        <v>1110</v>
      </c>
      <c r="S939" s="15">
        <f>IFERROR(VLOOKUP($D939&amp;$C939,生产方式定位!$A$2:$E$38,3,FALSE)+VLOOKUP($E939&amp;$C939,生产方式定位!$F$3:$J$38,3,FALSE),0)</f>
        <v>130</v>
      </c>
      <c r="X939" s="15">
        <f>IFERROR(VLOOKUP($D939&amp;$C939,生产方式定位!$A$2:$E$38,5,FALSE)+VLOOKUP($E939&amp;$C939,生产方式定位!$F$3:$J$38,5,FALSE),"错误")</f>
        <v>1300</v>
      </c>
      <c r="Y939" s="26" t="str">
        <f t="shared" si="256"/>
        <v>魔偶*9,灵能水晶*25</v>
      </c>
      <c r="Z939" s="36" t="str">
        <f t="shared" si="257"/>
        <v/>
      </c>
      <c r="AA939" s="36" t="str">
        <f t="shared" si="258"/>
        <v/>
      </c>
      <c r="AB939" s="27" t="str">
        <f t="shared" si="259"/>
        <v>17%</v>
      </c>
      <c r="AC939" s="2">
        <f t="shared" si="260"/>
        <v>60</v>
      </c>
      <c r="AD939" s="37">
        <f t="shared" si="261"/>
        <v>3</v>
      </c>
      <c r="AE939" t="str">
        <f t="shared" si="262"/>
        <v>魔偶*9</v>
      </c>
      <c r="AF939" t="str">
        <f t="shared" si="263"/>
        <v>灵能水晶*25</v>
      </c>
      <c r="AG939" t="str">
        <f t="shared" si="264"/>
        <v/>
      </c>
      <c r="AH939" t="str">
        <f t="shared" si="265"/>
        <v/>
      </c>
      <c r="AI939" t="str">
        <f t="shared" si="266"/>
        <v/>
      </c>
      <c r="AJ939" t="str">
        <f t="shared" si="267"/>
        <v/>
      </c>
      <c r="AK939" t="str">
        <f t="shared" si="268"/>
        <v/>
      </c>
      <c r="AL939">
        <f>IFERROR(ROUND(L939*(G939/$AU939)/VLOOKUP(F939,商品!$A$4:$B$60,2,FALSE),0),"")</f>
        <v>9</v>
      </c>
      <c r="AM939">
        <f>IFERROR(ROUND(L939*(I939/$AU939)/VLOOKUP(H939,商品!$A$4:$B$60,2,FALSE),0),"")</f>
        <v>25</v>
      </c>
      <c r="AN939">
        <f>IFERROR(ROUND(L939*(J939/$AU939)/VLOOKUP("运力",商品!$A$4:$B$60,2,FALSE),0),0)</f>
        <v>0</v>
      </c>
      <c r="AO939">
        <f>IFERROR(ROUND(L939*(K939/$AU939)/VLOOKUP("交易",商品!$A$4:$B$60,2,FALSE),0),0)</f>
        <v>0</v>
      </c>
      <c r="AP939" t="str">
        <f>IFERROR(ROUND(S939*(N939/$AV939)/VLOOKUP(M939,职业!$A$4:$G$16,4,FALSE),0),"")</f>
        <v/>
      </c>
      <c r="AQ939" t="str">
        <f>IFERROR(ROUND(S939*(P939/$AV939)/VLOOKUP(O939,职业!$A$4:$G$16,4,FALSE),0),"")</f>
        <v/>
      </c>
      <c r="AR939" t="str">
        <f>IFERROR(ROUND(S939*(R939/$AV939)/VLOOKUP(Q939,职业!$A$4:$G$16,4,FALSE),0),"")</f>
        <v/>
      </c>
      <c r="AS939" t="str">
        <f>IFERROR(ROUND(X939*(U939/$AW939)/VLOOKUP(T939,商品!$A$4:$B$60,2,FALSE),0),"")</f>
        <v/>
      </c>
      <c r="AT939" t="str">
        <f>IFERROR(ROUND(X939*(W939/$AW939)/VLOOKUP(V939,商品!$A$4:$B$60,2,FALSE),0),"")</f>
        <v/>
      </c>
      <c r="AU939">
        <f t="shared" si="269"/>
        <v>15</v>
      </c>
      <c r="AV939">
        <f t="shared" si="270"/>
        <v>0</v>
      </c>
      <c r="AW939">
        <f t="shared" si="271"/>
        <v>0</v>
      </c>
    </row>
    <row r="940" spans="1:49" ht="19.95" customHeight="1" x14ac:dyDescent="0.25">
      <c r="A940" s="16" t="s">
        <v>380</v>
      </c>
      <c r="C940" s="16">
        <v>4</v>
      </c>
      <c r="D940" s="23" t="s">
        <v>171</v>
      </c>
      <c r="E940" s="23" t="s">
        <v>177</v>
      </c>
      <c r="F940" s="2" t="s">
        <v>42</v>
      </c>
      <c r="G940" s="2">
        <v>5</v>
      </c>
      <c r="H940" s="2" t="s">
        <v>20</v>
      </c>
      <c r="I940" s="2">
        <v>10</v>
      </c>
      <c r="L940" s="15">
        <f>IFERROR(VLOOKUP($D940&amp;$C940,生产方式定位!$A$2:$E$38,2,FALSE)+VLOOKUP($E940&amp;$C940,生产方式定位!$F$3:$J$38,2,FALSE),0)</f>
        <v>1515</v>
      </c>
      <c r="S940" s="15">
        <f>IFERROR(VLOOKUP($D940&amp;$C940,生产方式定位!$A$2:$E$38,3,FALSE)+VLOOKUP($E940&amp;$C940,生产方式定位!$F$3:$J$38,3,FALSE),0)</f>
        <v>145</v>
      </c>
      <c r="X940" s="15">
        <f>IFERROR(VLOOKUP($D940&amp;$C940,生产方式定位!$A$2:$E$38,5,FALSE)+VLOOKUP($E940&amp;$C940,生产方式定位!$F$3:$J$38,5,FALSE),"错误")</f>
        <v>1690</v>
      </c>
      <c r="Y940" s="26" t="str">
        <f t="shared" ref="Y940:Y1003" si="272">IF(AE940="","",AE940)&amp;IF(AF940="","",","&amp;AF940)&amp;IF(AN940=0,"",",运力*"&amp;AN940)&amp;IF(AO940=0,"",",交易*"&amp;AO940)</f>
        <v>魔偶*13,灵能水晶*34</v>
      </c>
      <c r="Z940" s="36" t="str">
        <f t="shared" ref="Z940:Z1003" si="273">IF(AG940="","",AG940)&amp;IF(AH940="","",","&amp;AH940)&amp;IF(AI940="","",","&amp;AI940)</f>
        <v/>
      </c>
      <c r="AA940" s="36" t="str">
        <f t="shared" ref="AA940:AA1003" si="274">IF(AJ940="","",AJ940)&amp;IF(AK940="","",","&amp;AK940)</f>
        <v/>
      </c>
      <c r="AB940" s="27" t="str">
        <f t="shared" ref="AB940:AB1003" si="275">IFERROR(ROUND(((X940/L940)-1)*100,0)&amp;"%","")</f>
        <v>12%</v>
      </c>
      <c r="AC940" s="2">
        <f t="shared" ref="AC940:AC1003" si="276">IF(X940-S940-L940=0,"",X940-S940-L940)</f>
        <v>30</v>
      </c>
      <c r="AD940" s="37">
        <f t="shared" ref="AD940:AD1003" si="277">C940</f>
        <v>4</v>
      </c>
      <c r="AE940" t="str">
        <f t="shared" ref="AE940:AE1003" si="278">IF(AL940="","",F940&amp;"*"&amp;AL940)</f>
        <v>魔偶*13</v>
      </c>
      <c r="AF940" t="str">
        <f t="shared" ref="AF940:AF1003" si="279">IF(AM940="","",H940&amp;"*"&amp;AM940)</f>
        <v>灵能水晶*34</v>
      </c>
      <c r="AG940" t="str">
        <f t="shared" ref="AG940:AG1003" si="280">IF(AP940="","",M940&amp;"*"&amp;AP940)</f>
        <v/>
      </c>
      <c r="AH940" t="str">
        <f t="shared" ref="AH940:AH1003" si="281">IF(AQ940="","",O940&amp;"*"&amp;AQ940)</f>
        <v/>
      </c>
      <c r="AI940" t="str">
        <f t="shared" ref="AI940:AI1003" si="282">IF(AR940="","",Q940&amp;"*"&amp;AR940)</f>
        <v/>
      </c>
      <c r="AJ940" t="str">
        <f t="shared" ref="AJ940:AJ1003" si="283">IF(AS940="","",T940&amp;"*"&amp;AS940)</f>
        <v/>
      </c>
      <c r="AK940" t="str">
        <f t="shared" ref="AK940:AK1003" si="284">IF(AT940="","",V940&amp;"*"&amp;AT940)</f>
        <v/>
      </c>
      <c r="AL940">
        <f>IFERROR(ROUND(L940*(G940/$AU940)/VLOOKUP(F940,商品!$A$4:$B$60,2,FALSE),0),"")</f>
        <v>13</v>
      </c>
      <c r="AM940">
        <f>IFERROR(ROUND(L940*(I940/$AU940)/VLOOKUP(H940,商品!$A$4:$B$60,2,FALSE),0),"")</f>
        <v>34</v>
      </c>
      <c r="AN940">
        <f>IFERROR(ROUND(L940*(J940/$AU940)/VLOOKUP("运力",商品!$A$4:$B$60,2,FALSE),0),0)</f>
        <v>0</v>
      </c>
      <c r="AO940">
        <f>IFERROR(ROUND(L940*(K940/$AU940)/VLOOKUP("交易",商品!$A$4:$B$60,2,FALSE),0),0)</f>
        <v>0</v>
      </c>
      <c r="AP940" t="str">
        <f>IFERROR(ROUND(S940*(N940/$AV940)/VLOOKUP(M940,职业!$A$4:$G$16,4,FALSE),0),"")</f>
        <v/>
      </c>
      <c r="AQ940" t="str">
        <f>IFERROR(ROUND(S940*(P940/$AV940)/VLOOKUP(O940,职业!$A$4:$G$16,4,FALSE),0),"")</f>
        <v/>
      </c>
      <c r="AR940" t="str">
        <f>IFERROR(ROUND(S940*(R940/$AV940)/VLOOKUP(Q940,职业!$A$4:$G$16,4,FALSE),0),"")</f>
        <v/>
      </c>
      <c r="AS940" t="str">
        <f>IFERROR(ROUND(X940*(U940/$AW940)/VLOOKUP(T940,商品!$A$4:$B$60,2,FALSE),0),"")</f>
        <v/>
      </c>
      <c r="AT940" t="str">
        <f>IFERROR(ROUND(X940*(W940/$AW940)/VLOOKUP(V940,商品!$A$4:$B$60,2,FALSE),0),"")</f>
        <v/>
      </c>
      <c r="AU940">
        <f t="shared" ref="AU940:AU1003" si="285">G940+I940+J940+K940</f>
        <v>15</v>
      </c>
      <c r="AV940">
        <f t="shared" ref="AV940:AV1003" si="286">ABS(N940)+ABS(P940)+ABS(R940)</f>
        <v>0</v>
      </c>
      <c r="AW940">
        <f t="shared" ref="AW940:AW1003" si="287">U940+W940</f>
        <v>0</v>
      </c>
    </row>
    <row r="941" spans="1:49" ht="19.95" customHeight="1" x14ac:dyDescent="0.25">
      <c r="A941" s="16" t="s">
        <v>380</v>
      </c>
      <c r="C941" s="16">
        <v>5</v>
      </c>
      <c r="D941" s="23" t="s">
        <v>171</v>
      </c>
      <c r="E941" s="23" t="s">
        <v>177</v>
      </c>
      <c r="F941" s="2" t="s">
        <v>42</v>
      </c>
      <c r="G941" s="2">
        <v>5</v>
      </c>
      <c r="H941" s="2" t="s">
        <v>20</v>
      </c>
      <c r="I941" s="2">
        <v>10</v>
      </c>
      <c r="L941" s="15">
        <f>IFERROR(VLOOKUP($D941&amp;$C941,生产方式定位!$A$2:$E$38,2,FALSE)+VLOOKUP($E941&amp;$C941,生产方式定位!$F$3:$J$38,2,FALSE),0)</f>
        <v>1920</v>
      </c>
      <c r="S941" s="15">
        <f>IFERROR(VLOOKUP($D941&amp;$C941,生产方式定位!$A$2:$E$38,3,FALSE)+VLOOKUP($E941&amp;$C941,生产方式定位!$F$3:$J$38,3,FALSE),0)</f>
        <v>160</v>
      </c>
      <c r="X941" s="15">
        <f>IFERROR(VLOOKUP($D941&amp;$C941,生产方式定位!$A$2:$E$38,5,FALSE)+VLOOKUP($E941&amp;$C941,生产方式定位!$F$3:$J$38,5,FALSE),"错误")</f>
        <v>2080</v>
      </c>
      <c r="Y941" s="26" t="str">
        <f t="shared" si="272"/>
        <v>魔偶*16,灵能水晶*43</v>
      </c>
      <c r="Z941" s="36" t="str">
        <f t="shared" si="273"/>
        <v/>
      </c>
      <c r="AA941" s="36" t="str">
        <f t="shared" si="274"/>
        <v/>
      </c>
      <c r="AB941" s="27" t="str">
        <f t="shared" si="275"/>
        <v>8%</v>
      </c>
      <c r="AC941" s="2" t="str">
        <f t="shared" si="276"/>
        <v/>
      </c>
      <c r="AD941" s="37">
        <f t="shared" si="277"/>
        <v>5</v>
      </c>
      <c r="AE941" t="str">
        <f t="shared" si="278"/>
        <v>魔偶*16</v>
      </c>
      <c r="AF941" t="str">
        <f t="shared" si="279"/>
        <v>灵能水晶*43</v>
      </c>
      <c r="AG941" t="str">
        <f t="shared" si="280"/>
        <v/>
      </c>
      <c r="AH941" t="str">
        <f t="shared" si="281"/>
        <v/>
      </c>
      <c r="AI941" t="str">
        <f t="shared" si="282"/>
        <v/>
      </c>
      <c r="AJ941" t="str">
        <f t="shared" si="283"/>
        <v/>
      </c>
      <c r="AK941" t="str">
        <f t="shared" si="284"/>
        <v/>
      </c>
      <c r="AL941">
        <f>IFERROR(ROUND(L941*(G941/$AU941)/VLOOKUP(F941,商品!$A$4:$B$60,2,FALSE),0),"")</f>
        <v>16</v>
      </c>
      <c r="AM941">
        <f>IFERROR(ROUND(L941*(I941/$AU941)/VLOOKUP(H941,商品!$A$4:$B$60,2,FALSE),0),"")</f>
        <v>43</v>
      </c>
      <c r="AN941">
        <f>IFERROR(ROUND(L941*(J941/$AU941)/VLOOKUP("运力",商品!$A$4:$B$60,2,FALSE),0),0)</f>
        <v>0</v>
      </c>
      <c r="AO941">
        <f>IFERROR(ROUND(L941*(K941/$AU941)/VLOOKUP("交易",商品!$A$4:$B$60,2,FALSE),0),0)</f>
        <v>0</v>
      </c>
      <c r="AP941" t="str">
        <f>IFERROR(ROUND(S941*(N941/$AV941)/VLOOKUP(M941,职业!$A$4:$G$16,4,FALSE),0),"")</f>
        <v/>
      </c>
      <c r="AQ941" t="str">
        <f>IFERROR(ROUND(S941*(P941/$AV941)/VLOOKUP(O941,职业!$A$4:$G$16,4,FALSE),0),"")</f>
        <v/>
      </c>
      <c r="AR941" t="str">
        <f>IFERROR(ROUND(S941*(R941/$AV941)/VLOOKUP(Q941,职业!$A$4:$G$16,4,FALSE),0),"")</f>
        <v/>
      </c>
      <c r="AS941" t="str">
        <f>IFERROR(ROUND(X941*(U941/$AW941)/VLOOKUP(T941,商品!$A$4:$B$60,2,FALSE),0),"")</f>
        <v/>
      </c>
      <c r="AT941" t="str">
        <f>IFERROR(ROUND(X941*(W941/$AW941)/VLOOKUP(V941,商品!$A$4:$B$60,2,FALSE),0),"")</f>
        <v/>
      </c>
      <c r="AU941">
        <f t="shared" si="285"/>
        <v>15</v>
      </c>
      <c r="AV941">
        <f t="shared" si="286"/>
        <v>0</v>
      </c>
      <c r="AW941">
        <f t="shared" si="287"/>
        <v>0</v>
      </c>
    </row>
    <row r="942" spans="1:49" ht="19.95" customHeight="1" x14ac:dyDescent="0.25">
      <c r="A942" s="15" t="s">
        <v>381</v>
      </c>
      <c r="C942" s="15">
        <v>1</v>
      </c>
      <c r="D942" s="23" t="s">
        <v>174</v>
      </c>
      <c r="E942" s="23" t="s">
        <v>179</v>
      </c>
      <c r="L942" s="16">
        <f>IFERROR(VLOOKUP($D942&amp;$C942,生产方式定位!$A$2:$E$38,2,FALSE)+VLOOKUP($E942&amp;$C942,生产方式定位!$F$3:$J$38,2,FALSE),0)</f>
        <v>0</v>
      </c>
      <c r="S942" s="16">
        <f>IFERROR(VLOOKUP($D942&amp;$C942,生产方式定位!$A$2:$E$38,3,FALSE)+VLOOKUP($E942&amp;$C942,生产方式定位!$F$3:$J$38,3,FALSE),0)</f>
        <v>100</v>
      </c>
      <c r="X942" s="16">
        <f>IFERROR(VLOOKUP($D942&amp;$C942,生产方式定位!$A$2:$E$38,5,FALSE)+VLOOKUP($E942&amp;$C942,生产方式定位!$F$3:$J$38,5,FALSE),"错误")</f>
        <v>100</v>
      </c>
      <c r="Y942" s="26" t="str">
        <f t="shared" si="272"/>
        <v/>
      </c>
      <c r="Z942" s="36" t="str">
        <f t="shared" si="273"/>
        <v/>
      </c>
      <c r="AA942" s="36" t="str">
        <f t="shared" si="274"/>
        <v/>
      </c>
      <c r="AB942" s="27" t="str">
        <f t="shared" si="275"/>
        <v/>
      </c>
      <c r="AC942" s="2" t="str">
        <f t="shared" si="276"/>
        <v/>
      </c>
      <c r="AD942" s="38">
        <f t="shared" si="277"/>
        <v>1</v>
      </c>
      <c r="AE942" t="str">
        <f t="shared" si="278"/>
        <v/>
      </c>
      <c r="AF942" t="str">
        <f t="shared" si="279"/>
        <v/>
      </c>
      <c r="AG942" t="str">
        <f t="shared" si="280"/>
        <v/>
      </c>
      <c r="AH942" t="str">
        <f t="shared" si="281"/>
        <v/>
      </c>
      <c r="AI942" t="str">
        <f t="shared" si="282"/>
        <v/>
      </c>
      <c r="AJ942" t="str">
        <f t="shared" si="283"/>
        <v/>
      </c>
      <c r="AK942" t="str">
        <f t="shared" si="284"/>
        <v/>
      </c>
      <c r="AL942" t="str">
        <f>IFERROR(ROUND(L942*(G942/$AU942)/VLOOKUP(F942,商品!$A$4:$B$60,2,FALSE),0),"")</f>
        <v/>
      </c>
      <c r="AM942" t="str">
        <f>IFERROR(ROUND(L942*(I942/$AU942)/VLOOKUP(H942,商品!$A$4:$B$60,2,FALSE),0),"")</f>
        <v/>
      </c>
      <c r="AN942">
        <f>IFERROR(ROUND(L942*(J942/$AU942)/VLOOKUP("运力",商品!$A$4:$B$60,2,FALSE),0),0)</f>
        <v>0</v>
      </c>
      <c r="AO942">
        <f>IFERROR(ROUND(L942*(K942/$AU942)/VLOOKUP("交易",商品!$A$4:$B$60,2,FALSE),0),0)</f>
        <v>0</v>
      </c>
      <c r="AP942" t="str">
        <f>IFERROR(ROUND(S942*(N942/$AV942)/VLOOKUP(M942,职业!$A$4:$G$16,4,FALSE),0),"")</f>
        <v/>
      </c>
      <c r="AQ942" t="str">
        <f>IFERROR(ROUND(S942*(P942/$AV942)/VLOOKUP(O942,职业!$A$4:$G$16,4,FALSE),0),"")</f>
        <v/>
      </c>
      <c r="AR942" t="str">
        <f>IFERROR(ROUND(S942*(R942/$AV942)/VLOOKUP(Q942,职业!$A$4:$G$16,4,FALSE),0),"")</f>
        <v/>
      </c>
      <c r="AS942" t="str">
        <f>IFERROR(ROUND(X942*(U942/$AW942)/VLOOKUP(T942,商品!$A$4:$B$60,2,FALSE),0),"")</f>
        <v/>
      </c>
      <c r="AT942" t="str">
        <f>IFERROR(ROUND(X942*(W942/$AW942)/VLOOKUP(V942,商品!$A$4:$B$60,2,FALSE),0),"")</f>
        <v/>
      </c>
      <c r="AU942">
        <f t="shared" si="285"/>
        <v>0</v>
      </c>
      <c r="AV942">
        <f t="shared" si="286"/>
        <v>0</v>
      </c>
      <c r="AW942">
        <f t="shared" si="287"/>
        <v>0</v>
      </c>
    </row>
    <row r="943" spans="1:49" ht="19.95" customHeight="1" x14ac:dyDescent="0.25">
      <c r="A943" s="15" t="s">
        <v>381</v>
      </c>
      <c r="C943" s="15">
        <v>2</v>
      </c>
      <c r="D943" s="23" t="s">
        <v>174</v>
      </c>
      <c r="E943" s="23" t="s">
        <v>179</v>
      </c>
      <c r="L943" s="16">
        <f>IFERROR(VLOOKUP($D943&amp;$C943,生产方式定位!$A$2:$E$38,2,FALSE)+VLOOKUP($E943&amp;$C943,生产方式定位!$F$3:$J$38,2,FALSE),0)</f>
        <v>0</v>
      </c>
      <c r="S943" s="16">
        <f>IFERROR(VLOOKUP($D943&amp;$C943,生产方式定位!$A$2:$E$38,3,FALSE)+VLOOKUP($E943&amp;$C943,生产方式定位!$F$3:$J$38,3,FALSE),0)</f>
        <v>100</v>
      </c>
      <c r="X943" s="16">
        <f>IFERROR(VLOOKUP($D943&amp;$C943,生产方式定位!$A$2:$E$38,5,FALSE)+VLOOKUP($E943&amp;$C943,生产方式定位!$F$3:$J$38,5,FALSE),"错误")</f>
        <v>100</v>
      </c>
      <c r="Y943" s="26" t="str">
        <f t="shared" si="272"/>
        <v/>
      </c>
      <c r="Z943" s="36" t="str">
        <f t="shared" si="273"/>
        <v/>
      </c>
      <c r="AA943" s="36" t="str">
        <f t="shared" si="274"/>
        <v/>
      </c>
      <c r="AB943" s="27" t="str">
        <f t="shared" si="275"/>
        <v/>
      </c>
      <c r="AC943" s="2" t="str">
        <f t="shared" si="276"/>
        <v/>
      </c>
      <c r="AD943" s="38">
        <f t="shared" si="277"/>
        <v>2</v>
      </c>
      <c r="AE943" t="str">
        <f t="shared" si="278"/>
        <v/>
      </c>
      <c r="AF943" t="str">
        <f t="shared" si="279"/>
        <v/>
      </c>
      <c r="AG943" t="str">
        <f t="shared" si="280"/>
        <v/>
      </c>
      <c r="AH943" t="str">
        <f t="shared" si="281"/>
        <v/>
      </c>
      <c r="AI943" t="str">
        <f t="shared" si="282"/>
        <v/>
      </c>
      <c r="AJ943" t="str">
        <f t="shared" si="283"/>
        <v/>
      </c>
      <c r="AK943" t="str">
        <f t="shared" si="284"/>
        <v/>
      </c>
      <c r="AL943" t="str">
        <f>IFERROR(ROUND(L943*(G943/$AU943)/VLOOKUP(F943,商品!$A$4:$B$60,2,FALSE),0),"")</f>
        <v/>
      </c>
      <c r="AM943" t="str">
        <f>IFERROR(ROUND(L943*(I943/$AU943)/VLOOKUP(H943,商品!$A$4:$B$60,2,FALSE),0),"")</f>
        <v/>
      </c>
      <c r="AN943">
        <f>IFERROR(ROUND(L943*(J943/$AU943)/VLOOKUP("运力",商品!$A$4:$B$60,2,FALSE),0),0)</f>
        <v>0</v>
      </c>
      <c r="AO943">
        <f>IFERROR(ROUND(L943*(K943/$AU943)/VLOOKUP("交易",商品!$A$4:$B$60,2,FALSE),0),0)</f>
        <v>0</v>
      </c>
      <c r="AP943" t="str">
        <f>IFERROR(ROUND(S943*(N943/$AV943)/VLOOKUP(M943,职业!$A$4:$G$16,4,FALSE),0),"")</f>
        <v/>
      </c>
      <c r="AQ943" t="str">
        <f>IFERROR(ROUND(S943*(P943/$AV943)/VLOOKUP(O943,职业!$A$4:$G$16,4,FALSE),0),"")</f>
        <v/>
      </c>
      <c r="AR943" t="str">
        <f>IFERROR(ROUND(S943*(R943/$AV943)/VLOOKUP(Q943,职业!$A$4:$G$16,4,FALSE),0),"")</f>
        <v/>
      </c>
      <c r="AS943" t="str">
        <f>IFERROR(ROUND(X943*(U943/$AW943)/VLOOKUP(T943,商品!$A$4:$B$60,2,FALSE),0),"")</f>
        <v/>
      </c>
      <c r="AT943" t="str">
        <f>IFERROR(ROUND(X943*(W943/$AW943)/VLOOKUP(V943,商品!$A$4:$B$60,2,FALSE),0),"")</f>
        <v/>
      </c>
      <c r="AU943">
        <f t="shared" si="285"/>
        <v>0</v>
      </c>
      <c r="AV943">
        <f t="shared" si="286"/>
        <v>0</v>
      </c>
      <c r="AW943">
        <f t="shared" si="287"/>
        <v>0</v>
      </c>
    </row>
    <row r="944" spans="1:49" ht="19.95" customHeight="1" x14ac:dyDescent="0.25">
      <c r="A944" s="15" t="s">
        <v>381</v>
      </c>
      <c r="C944" s="15">
        <v>3</v>
      </c>
      <c r="D944" s="23" t="s">
        <v>174</v>
      </c>
      <c r="E944" s="23" t="s">
        <v>179</v>
      </c>
      <c r="L944" s="16">
        <f>IFERROR(VLOOKUP($D944&amp;$C944,生产方式定位!$A$2:$E$38,2,FALSE)+VLOOKUP($E944&amp;$C944,生产方式定位!$F$3:$J$38,2,FALSE),0)</f>
        <v>0</v>
      </c>
      <c r="S944" s="16">
        <f>IFERROR(VLOOKUP($D944&amp;$C944,生产方式定位!$A$2:$E$38,3,FALSE)+VLOOKUP($E944&amp;$C944,生产方式定位!$F$3:$J$38,3,FALSE),0)</f>
        <v>100</v>
      </c>
      <c r="X944" s="16">
        <f>IFERROR(VLOOKUP($D944&amp;$C944,生产方式定位!$A$2:$E$38,5,FALSE)+VLOOKUP($E944&amp;$C944,生产方式定位!$F$3:$J$38,5,FALSE),"错误")</f>
        <v>100</v>
      </c>
      <c r="Y944" s="26" t="str">
        <f t="shared" si="272"/>
        <v/>
      </c>
      <c r="Z944" s="36" t="str">
        <f t="shared" si="273"/>
        <v/>
      </c>
      <c r="AA944" s="36" t="str">
        <f t="shared" si="274"/>
        <v/>
      </c>
      <c r="AB944" s="27" t="str">
        <f t="shared" si="275"/>
        <v/>
      </c>
      <c r="AC944" s="2" t="str">
        <f t="shared" si="276"/>
        <v/>
      </c>
      <c r="AD944" s="38">
        <f t="shared" si="277"/>
        <v>3</v>
      </c>
      <c r="AE944" t="str">
        <f t="shared" si="278"/>
        <v/>
      </c>
      <c r="AF944" t="str">
        <f t="shared" si="279"/>
        <v/>
      </c>
      <c r="AG944" t="str">
        <f t="shared" si="280"/>
        <v/>
      </c>
      <c r="AH944" t="str">
        <f t="shared" si="281"/>
        <v/>
      </c>
      <c r="AI944" t="str">
        <f t="shared" si="282"/>
        <v/>
      </c>
      <c r="AJ944" t="str">
        <f t="shared" si="283"/>
        <v/>
      </c>
      <c r="AK944" t="str">
        <f t="shared" si="284"/>
        <v/>
      </c>
      <c r="AL944" t="str">
        <f>IFERROR(ROUND(L944*(G944/$AU944)/VLOOKUP(F944,商品!$A$4:$B$60,2,FALSE),0),"")</f>
        <v/>
      </c>
      <c r="AM944" t="str">
        <f>IFERROR(ROUND(L944*(I944/$AU944)/VLOOKUP(H944,商品!$A$4:$B$60,2,FALSE),0),"")</f>
        <v/>
      </c>
      <c r="AN944">
        <f>IFERROR(ROUND(L944*(J944/$AU944)/VLOOKUP("运力",商品!$A$4:$B$60,2,FALSE),0),0)</f>
        <v>0</v>
      </c>
      <c r="AO944">
        <f>IFERROR(ROUND(L944*(K944/$AU944)/VLOOKUP("交易",商品!$A$4:$B$60,2,FALSE),0),0)</f>
        <v>0</v>
      </c>
      <c r="AP944" t="str">
        <f>IFERROR(ROUND(S944*(N944/$AV944)/VLOOKUP(M944,职业!$A$4:$G$16,4,FALSE),0),"")</f>
        <v/>
      </c>
      <c r="AQ944" t="str">
        <f>IFERROR(ROUND(S944*(P944/$AV944)/VLOOKUP(O944,职业!$A$4:$G$16,4,FALSE),0),"")</f>
        <v/>
      </c>
      <c r="AR944" t="str">
        <f>IFERROR(ROUND(S944*(R944/$AV944)/VLOOKUP(Q944,职业!$A$4:$G$16,4,FALSE),0),"")</f>
        <v/>
      </c>
      <c r="AS944" t="str">
        <f>IFERROR(ROUND(X944*(U944/$AW944)/VLOOKUP(T944,商品!$A$4:$B$60,2,FALSE),0),"")</f>
        <v/>
      </c>
      <c r="AT944" t="str">
        <f>IFERROR(ROUND(X944*(W944/$AW944)/VLOOKUP(V944,商品!$A$4:$B$60,2,FALSE),0),"")</f>
        <v/>
      </c>
      <c r="AU944">
        <f t="shared" si="285"/>
        <v>0</v>
      </c>
      <c r="AV944">
        <f t="shared" si="286"/>
        <v>0</v>
      </c>
      <c r="AW944">
        <f t="shared" si="287"/>
        <v>0</v>
      </c>
    </row>
    <row r="945" spans="1:49" ht="19.95" customHeight="1" x14ac:dyDescent="0.25">
      <c r="A945" s="15" t="s">
        <v>381</v>
      </c>
      <c r="C945" s="15">
        <v>4</v>
      </c>
      <c r="D945" s="23" t="s">
        <v>174</v>
      </c>
      <c r="E945" s="23" t="s">
        <v>179</v>
      </c>
      <c r="L945" s="16">
        <f>IFERROR(VLOOKUP($D945&amp;$C945,生产方式定位!$A$2:$E$38,2,FALSE)+VLOOKUP($E945&amp;$C945,生产方式定位!$F$3:$J$38,2,FALSE),0)</f>
        <v>0</v>
      </c>
      <c r="S945" s="16">
        <f>IFERROR(VLOOKUP($D945&amp;$C945,生产方式定位!$A$2:$E$38,3,FALSE)+VLOOKUP($E945&amp;$C945,生产方式定位!$F$3:$J$38,3,FALSE),0)</f>
        <v>100</v>
      </c>
      <c r="X945" s="16">
        <f>IFERROR(VLOOKUP($D945&amp;$C945,生产方式定位!$A$2:$E$38,5,FALSE)+VLOOKUP($E945&amp;$C945,生产方式定位!$F$3:$J$38,5,FALSE),"错误")</f>
        <v>100</v>
      </c>
      <c r="Y945" s="26" t="str">
        <f t="shared" si="272"/>
        <v/>
      </c>
      <c r="Z945" s="36" t="str">
        <f t="shared" si="273"/>
        <v/>
      </c>
      <c r="AA945" s="36" t="str">
        <f t="shared" si="274"/>
        <v/>
      </c>
      <c r="AB945" s="27" t="str">
        <f t="shared" si="275"/>
        <v/>
      </c>
      <c r="AC945" s="2" t="str">
        <f t="shared" si="276"/>
        <v/>
      </c>
      <c r="AD945" s="38">
        <f t="shared" si="277"/>
        <v>4</v>
      </c>
      <c r="AE945" t="str">
        <f t="shared" si="278"/>
        <v/>
      </c>
      <c r="AF945" t="str">
        <f t="shared" si="279"/>
        <v/>
      </c>
      <c r="AG945" t="str">
        <f t="shared" si="280"/>
        <v/>
      </c>
      <c r="AH945" t="str">
        <f t="shared" si="281"/>
        <v/>
      </c>
      <c r="AI945" t="str">
        <f t="shared" si="282"/>
        <v/>
      </c>
      <c r="AJ945" t="str">
        <f t="shared" si="283"/>
        <v/>
      </c>
      <c r="AK945" t="str">
        <f t="shared" si="284"/>
        <v/>
      </c>
      <c r="AL945" t="str">
        <f>IFERROR(ROUND(L945*(G945/$AU945)/VLOOKUP(F945,商品!$A$4:$B$60,2,FALSE),0),"")</f>
        <v/>
      </c>
      <c r="AM945" t="str">
        <f>IFERROR(ROUND(L945*(I945/$AU945)/VLOOKUP(H945,商品!$A$4:$B$60,2,FALSE),0),"")</f>
        <v/>
      </c>
      <c r="AN945">
        <f>IFERROR(ROUND(L945*(J945/$AU945)/VLOOKUP("运力",商品!$A$4:$B$60,2,FALSE),0),0)</f>
        <v>0</v>
      </c>
      <c r="AO945">
        <f>IFERROR(ROUND(L945*(K945/$AU945)/VLOOKUP("交易",商品!$A$4:$B$60,2,FALSE),0),0)</f>
        <v>0</v>
      </c>
      <c r="AP945" t="str">
        <f>IFERROR(ROUND(S945*(N945/$AV945)/VLOOKUP(M945,职业!$A$4:$G$16,4,FALSE),0),"")</f>
        <v/>
      </c>
      <c r="AQ945" t="str">
        <f>IFERROR(ROUND(S945*(P945/$AV945)/VLOOKUP(O945,职业!$A$4:$G$16,4,FALSE),0),"")</f>
        <v/>
      </c>
      <c r="AR945" t="str">
        <f>IFERROR(ROUND(S945*(R945/$AV945)/VLOOKUP(Q945,职业!$A$4:$G$16,4,FALSE),0),"")</f>
        <v/>
      </c>
      <c r="AS945" t="str">
        <f>IFERROR(ROUND(X945*(U945/$AW945)/VLOOKUP(T945,商品!$A$4:$B$60,2,FALSE),0),"")</f>
        <v/>
      </c>
      <c r="AT945" t="str">
        <f>IFERROR(ROUND(X945*(W945/$AW945)/VLOOKUP(V945,商品!$A$4:$B$60,2,FALSE),0),"")</f>
        <v/>
      </c>
      <c r="AU945">
        <f t="shared" si="285"/>
        <v>0</v>
      </c>
      <c r="AV945">
        <f t="shared" si="286"/>
        <v>0</v>
      </c>
      <c r="AW945">
        <f t="shared" si="287"/>
        <v>0</v>
      </c>
    </row>
    <row r="946" spans="1:49" ht="19.95" customHeight="1" x14ac:dyDescent="0.25">
      <c r="A946" s="15" t="s">
        <v>381</v>
      </c>
      <c r="C946" s="15">
        <v>5</v>
      </c>
      <c r="D946" s="23" t="s">
        <v>174</v>
      </c>
      <c r="E946" s="23" t="s">
        <v>179</v>
      </c>
      <c r="L946" s="16">
        <f>IFERROR(VLOOKUP($D946&amp;$C946,生产方式定位!$A$2:$E$38,2,FALSE)+VLOOKUP($E946&amp;$C946,生产方式定位!$F$3:$J$38,2,FALSE),0)</f>
        <v>0</v>
      </c>
      <c r="S946" s="16">
        <f>IFERROR(VLOOKUP($D946&amp;$C946,生产方式定位!$A$2:$E$38,3,FALSE)+VLOOKUP($E946&amp;$C946,生产方式定位!$F$3:$J$38,3,FALSE),0)</f>
        <v>100</v>
      </c>
      <c r="X946" s="16">
        <f>IFERROR(VLOOKUP($D946&amp;$C946,生产方式定位!$A$2:$E$38,5,FALSE)+VLOOKUP($E946&amp;$C946,生产方式定位!$F$3:$J$38,5,FALSE),"错误")</f>
        <v>100</v>
      </c>
      <c r="Y946" s="26" t="str">
        <f t="shared" si="272"/>
        <v/>
      </c>
      <c r="Z946" s="36" t="str">
        <f t="shared" si="273"/>
        <v/>
      </c>
      <c r="AA946" s="36" t="str">
        <f t="shared" si="274"/>
        <v/>
      </c>
      <c r="AB946" s="27" t="str">
        <f t="shared" si="275"/>
        <v/>
      </c>
      <c r="AC946" s="2" t="str">
        <f t="shared" si="276"/>
        <v/>
      </c>
      <c r="AD946" s="38">
        <f t="shared" si="277"/>
        <v>5</v>
      </c>
      <c r="AE946" t="str">
        <f t="shared" si="278"/>
        <v/>
      </c>
      <c r="AF946" t="str">
        <f t="shared" si="279"/>
        <v/>
      </c>
      <c r="AG946" t="str">
        <f t="shared" si="280"/>
        <v/>
      </c>
      <c r="AH946" t="str">
        <f t="shared" si="281"/>
        <v/>
      </c>
      <c r="AI946" t="str">
        <f t="shared" si="282"/>
        <v/>
      </c>
      <c r="AJ946" t="str">
        <f t="shared" si="283"/>
        <v/>
      </c>
      <c r="AK946" t="str">
        <f t="shared" si="284"/>
        <v/>
      </c>
      <c r="AL946" t="str">
        <f>IFERROR(ROUND(L946*(G946/$AU946)/VLOOKUP(F946,商品!$A$4:$B$60,2,FALSE),0),"")</f>
        <v/>
      </c>
      <c r="AM946" t="str">
        <f>IFERROR(ROUND(L946*(I946/$AU946)/VLOOKUP(H946,商品!$A$4:$B$60,2,FALSE),0),"")</f>
        <v/>
      </c>
      <c r="AN946">
        <f>IFERROR(ROUND(L946*(J946/$AU946)/VLOOKUP("运力",商品!$A$4:$B$60,2,FALSE),0),0)</f>
        <v>0</v>
      </c>
      <c r="AO946">
        <f>IFERROR(ROUND(L946*(K946/$AU946)/VLOOKUP("交易",商品!$A$4:$B$60,2,FALSE),0),0)</f>
        <v>0</v>
      </c>
      <c r="AP946" t="str">
        <f>IFERROR(ROUND(S946*(N946/$AV946)/VLOOKUP(M946,职业!$A$4:$G$16,4,FALSE),0),"")</f>
        <v/>
      </c>
      <c r="AQ946" t="str">
        <f>IFERROR(ROUND(S946*(P946/$AV946)/VLOOKUP(O946,职业!$A$4:$G$16,4,FALSE),0),"")</f>
        <v/>
      </c>
      <c r="AR946" t="str">
        <f>IFERROR(ROUND(S946*(R946/$AV946)/VLOOKUP(Q946,职业!$A$4:$G$16,4,FALSE),0),"")</f>
        <v/>
      </c>
      <c r="AS946" t="str">
        <f>IFERROR(ROUND(X946*(U946/$AW946)/VLOOKUP(T946,商品!$A$4:$B$60,2,FALSE),0),"")</f>
        <v/>
      </c>
      <c r="AT946" t="str">
        <f>IFERROR(ROUND(X946*(W946/$AW946)/VLOOKUP(V946,商品!$A$4:$B$60,2,FALSE),0),"")</f>
        <v/>
      </c>
      <c r="AU946">
        <f t="shared" si="285"/>
        <v>0</v>
      </c>
      <c r="AV946">
        <f t="shared" si="286"/>
        <v>0</v>
      </c>
      <c r="AW946">
        <f t="shared" si="287"/>
        <v>0</v>
      </c>
    </row>
    <row r="947" spans="1:49" ht="19.95" customHeight="1" x14ac:dyDescent="0.25">
      <c r="A947" s="15" t="s">
        <v>381</v>
      </c>
      <c r="C947" s="15">
        <v>6</v>
      </c>
      <c r="D947" s="23" t="s">
        <v>174</v>
      </c>
      <c r="E947" s="23" t="s">
        <v>179</v>
      </c>
      <c r="L947" s="16">
        <f>IFERROR(VLOOKUP($D947&amp;$C947,生产方式定位!$A$2:$E$38,2,FALSE)+VLOOKUP($E947&amp;$C947,生产方式定位!$F$3:$J$38,2,FALSE),0)</f>
        <v>0</v>
      </c>
      <c r="S947" s="16">
        <f>IFERROR(VLOOKUP($D947&amp;$C947,生产方式定位!$A$2:$E$38,3,FALSE)+VLOOKUP($E947&amp;$C947,生产方式定位!$F$3:$J$38,3,FALSE),0)</f>
        <v>100</v>
      </c>
      <c r="X947" s="16">
        <f>IFERROR(VLOOKUP($D947&amp;$C947,生产方式定位!$A$2:$E$38,5,FALSE)+VLOOKUP($E947&amp;$C947,生产方式定位!$F$3:$J$38,5,FALSE),"错误")</f>
        <v>100</v>
      </c>
      <c r="Y947" s="26" t="str">
        <f t="shared" si="272"/>
        <v/>
      </c>
      <c r="Z947" s="36" t="str">
        <f t="shared" si="273"/>
        <v/>
      </c>
      <c r="AA947" s="36" t="str">
        <f t="shared" si="274"/>
        <v/>
      </c>
      <c r="AB947" s="27" t="str">
        <f t="shared" si="275"/>
        <v/>
      </c>
      <c r="AC947" s="2" t="str">
        <f t="shared" si="276"/>
        <v/>
      </c>
      <c r="AD947" s="37">
        <f t="shared" si="277"/>
        <v>6</v>
      </c>
      <c r="AE947" t="str">
        <f t="shared" si="278"/>
        <v/>
      </c>
      <c r="AF947" t="str">
        <f t="shared" si="279"/>
        <v/>
      </c>
      <c r="AG947" t="str">
        <f t="shared" si="280"/>
        <v/>
      </c>
      <c r="AH947" t="str">
        <f t="shared" si="281"/>
        <v/>
      </c>
      <c r="AI947" t="str">
        <f t="shared" si="282"/>
        <v/>
      </c>
      <c r="AJ947" t="str">
        <f t="shared" si="283"/>
        <v/>
      </c>
      <c r="AK947" t="str">
        <f t="shared" si="284"/>
        <v/>
      </c>
      <c r="AL947" t="str">
        <f>IFERROR(ROUND(L947*(G947/$AU947)/VLOOKUP(F947,商品!$A$4:$B$60,2,FALSE),0),"")</f>
        <v/>
      </c>
      <c r="AM947" t="str">
        <f>IFERROR(ROUND(L947*(I947/$AU947)/VLOOKUP(H947,商品!$A$4:$B$60,2,FALSE),0),"")</f>
        <v/>
      </c>
      <c r="AN947">
        <f>IFERROR(ROUND(L947*(J947/$AU947)/VLOOKUP("运力",商品!$A$4:$B$60,2,FALSE),0),0)</f>
        <v>0</v>
      </c>
      <c r="AO947">
        <f>IFERROR(ROUND(L947*(K947/$AU947)/VLOOKUP("交易",商品!$A$4:$B$60,2,FALSE),0),0)</f>
        <v>0</v>
      </c>
      <c r="AP947" t="str">
        <f>IFERROR(ROUND(S947*(N947/$AV947)/VLOOKUP(M947,职业!$A$4:$G$16,4,FALSE),0),"")</f>
        <v/>
      </c>
      <c r="AQ947" t="str">
        <f>IFERROR(ROUND(S947*(P947/$AV947)/VLOOKUP(O947,职业!$A$4:$G$16,4,FALSE),0),"")</f>
        <v/>
      </c>
      <c r="AR947" t="str">
        <f>IFERROR(ROUND(S947*(R947/$AV947)/VLOOKUP(Q947,职业!$A$4:$G$16,4,FALSE),0),"")</f>
        <v/>
      </c>
      <c r="AS947" t="str">
        <f>IFERROR(ROUND(X947*(U947/$AW947)/VLOOKUP(T947,商品!$A$4:$B$60,2,FALSE),0),"")</f>
        <v/>
      </c>
      <c r="AT947" t="str">
        <f>IFERROR(ROUND(X947*(W947/$AW947)/VLOOKUP(V947,商品!$A$4:$B$60,2,FALSE),0),"")</f>
        <v/>
      </c>
      <c r="AU947">
        <f t="shared" si="285"/>
        <v>0</v>
      </c>
      <c r="AV947">
        <f t="shared" si="286"/>
        <v>0</v>
      </c>
      <c r="AW947">
        <f t="shared" si="287"/>
        <v>0</v>
      </c>
    </row>
    <row r="948" spans="1:49" ht="19.95" customHeight="1" x14ac:dyDescent="0.25">
      <c r="A948" s="15" t="s">
        <v>381</v>
      </c>
      <c r="C948" s="15">
        <v>7</v>
      </c>
      <c r="D948" s="23" t="s">
        <v>174</v>
      </c>
      <c r="E948" s="23" t="s">
        <v>179</v>
      </c>
      <c r="L948" s="16">
        <f>IFERROR(VLOOKUP($D948&amp;$C948,生产方式定位!$A$2:$E$38,2,FALSE)+VLOOKUP($E948&amp;$C948,生产方式定位!$F$3:$J$38,2,FALSE),0)</f>
        <v>0</v>
      </c>
      <c r="S948" s="16">
        <f>IFERROR(VLOOKUP($D948&amp;$C948,生产方式定位!$A$2:$E$38,3,FALSE)+VLOOKUP($E948&amp;$C948,生产方式定位!$F$3:$J$38,3,FALSE),0)</f>
        <v>100</v>
      </c>
      <c r="X948" s="16">
        <f>IFERROR(VLOOKUP($D948&amp;$C948,生产方式定位!$A$2:$E$38,5,FALSE)+VLOOKUP($E948&amp;$C948,生产方式定位!$F$3:$J$38,5,FALSE),"错误")</f>
        <v>100</v>
      </c>
      <c r="Y948" s="26" t="str">
        <f t="shared" si="272"/>
        <v/>
      </c>
      <c r="Z948" s="36" t="str">
        <f t="shared" si="273"/>
        <v/>
      </c>
      <c r="AA948" s="36" t="str">
        <f t="shared" si="274"/>
        <v/>
      </c>
      <c r="AB948" s="27" t="str">
        <f t="shared" si="275"/>
        <v/>
      </c>
      <c r="AC948" s="2" t="str">
        <f t="shared" si="276"/>
        <v/>
      </c>
      <c r="AD948" s="37">
        <f t="shared" si="277"/>
        <v>7</v>
      </c>
      <c r="AE948" t="str">
        <f t="shared" si="278"/>
        <v/>
      </c>
      <c r="AF948" t="str">
        <f t="shared" si="279"/>
        <v/>
      </c>
      <c r="AG948" t="str">
        <f t="shared" si="280"/>
        <v/>
      </c>
      <c r="AH948" t="str">
        <f t="shared" si="281"/>
        <v/>
      </c>
      <c r="AI948" t="str">
        <f t="shared" si="282"/>
        <v/>
      </c>
      <c r="AJ948" t="str">
        <f t="shared" si="283"/>
        <v/>
      </c>
      <c r="AK948" t="str">
        <f t="shared" si="284"/>
        <v/>
      </c>
      <c r="AL948" t="str">
        <f>IFERROR(ROUND(L948*(G948/$AU948)/VLOOKUP(F948,商品!$A$4:$B$60,2,FALSE),0),"")</f>
        <v/>
      </c>
      <c r="AM948" t="str">
        <f>IFERROR(ROUND(L948*(I948/$AU948)/VLOOKUP(H948,商品!$A$4:$B$60,2,FALSE),0),"")</f>
        <v/>
      </c>
      <c r="AN948">
        <f>IFERROR(ROUND(L948*(J948/$AU948)/VLOOKUP("运力",商品!$A$4:$B$60,2,FALSE),0),0)</f>
        <v>0</v>
      </c>
      <c r="AO948">
        <f>IFERROR(ROUND(L948*(K948/$AU948)/VLOOKUP("交易",商品!$A$4:$B$60,2,FALSE),0),0)</f>
        <v>0</v>
      </c>
      <c r="AP948" t="str">
        <f>IFERROR(ROUND(S948*(N948/$AV948)/VLOOKUP(M948,职业!$A$4:$G$16,4,FALSE),0),"")</f>
        <v/>
      </c>
      <c r="AQ948" t="str">
        <f>IFERROR(ROUND(S948*(P948/$AV948)/VLOOKUP(O948,职业!$A$4:$G$16,4,FALSE),0),"")</f>
        <v/>
      </c>
      <c r="AR948" t="str">
        <f>IFERROR(ROUND(S948*(R948/$AV948)/VLOOKUP(Q948,职业!$A$4:$G$16,4,FALSE),0),"")</f>
        <v/>
      </c>
      <c r="AS948" t="str">
        <f>IFERROR(ROUND(X948*(U948/$AW948)/VLOOKUP(T948,商品!$A$4:$B$60,2,FALSE),0),"")</f>
        <v/>
      </c>
      <c r="AT948" t="str">
        <f>IFERROR(ROUND(X948*(W948/$AW948)/VLOOKUP(V948,商品!$A$4:$B$60,2,FALSE),0),"")</f>
        <v/>
      </c>
      <c r="AU948">
        <f t="shared" si="285"/>
        <v>0</v>
      </c>
      <c r="AV948">
        <f t="shared" si="286"/>
        <v>0</v>
      </c>
      <c r="AW948">
        <f t="shared" si="287"/>
        <v>0</v>
      </c>
    </row>
    <row r="949" spans="1:49" ht="19.95" customHeight="1" x14ac:dyDescent="0.25">
      <c r="A949" s="15" t="s">
        <v>381</v>
      </c>
      <c r="C949" s="15">
        <v>8</v>
      </c>
      <c r="D949" s="23" t="s">
        <v>174</v>
      </c>
      <c r="E949" s="23" t="s">
        <v>179</v>
      </c>
      <c r="L949" s="16">
        <f>IFERROR(VLOOKUP($D949&amp;$C949,生产方式定位!$A$2:$E$38,2,FALSE)+VLOOKUP($E949&amp;$C949,生产方式定位!$F$3:$J$38,2,FALSE),0)</f>
        <v>0</v>
      </c>
      <c r="S949" s="16">
        <f>IFERROR(VLOOKUP($D949&amp;$C949,生产方式定位!$A$2:$E$38,3,FALSE)+VLOOKUP($E949&amp;$C949,生产方式定位!$F$3:$J$38,3,FALSE),0)</f>
        <v>100</v>
      </c>
      <c r="X949" s="16">
        <f>IFERROR(VLOOKUP($D949&amp;$C949,生产方式定位!$A$2:$E$38,5,FALSE)+VLOOKUP($E949&amp;$C949,生产方式定位!$F$3:$J$38,5,FALSE),"错误")</f>
        <v>100</v>
      </c>
      <c r="Y949" s="26" t="str">
        <f t="shared" si="272"/>
        <v/>
      </c>
      <c r="Z949" s="36" t="str">
        <f t="shared" si="273"/>
        <v/>
      </c>
      <c r="AA949" s="36" t="str">
        <f t="shared" si="274"/>
        <v/>
      </c>
      <c r="AB949" s="27" t="str">
        <f t="shared" si="275"/>
        <v/>
      </c>
      <c r="AC949" s="2" t="str">
        <f t="shared" si="276"/>
        <v/>
      </c>
      <c r="AD949" s="37">
        <f t="shared" si="277"/>
        <v>8</v>
      </c>
      <c r="AE949" t="str">
        <f t="shared" si="278"/>
        <v/>
      </c>
      <c r="AF949" t="str">
        <f t="shared" si="279"/>
        <v/>
      </c>
      <c r="AG949" t="str">
        <f t="shared" si="280"/>
        <v/>
      </c>
      <c r="AH949" t="str">
        <f t="shared" si="281"/>
        <v/>
      </c>
      <c r="AI949" t="str">
        <f t="shared" si="282"/>
        <v/>
      </c>
      <c r="AJ949" t="str">
        <f t="shared" si="283"/>
        <v/>
      </c>
      <c r="AK949" t="str">
        <f t="shared" si="284"/>
        <v/>
      </c>
      <c r="AL949" t="str">
        <f>IFERROR(ROUND(L949*(G949/$AU949)/VLOOKUP(F949,商品!$A$4:$B$60,2,FALSE),0),"")</f>
        <v/>
      </c>
      <c r="AM949" t="str">
        <f>IFERROR(ROUND(L949*(I949/$AU949)/VLOOKUP(H949,商品!$A$4:$B$60,2,FALSE),0),"")</f>
        <v/>
      </c>
      <c r="AN949">
        <f>IFERROR(ROUND(L949*(J949/$AU949)/VLOOKUP("运力",商品!$A$4:$B$60,2,FALSE),0),0)</f>
        <v>0</v>
      </c>
      <c r="AO949">
        <f>IFERROR(ROUND(L949*(K949/$AU949)/VLOOKUP("交易",商品!$A$4:$B$60,2,FALSE),0),0)</f>
        <v>0</v>
      </c>
      <c r="AP949" t="str">
        <f>IFERROR(ROUND(S949*(N949/$AV949)/VLOOKUP(M949,职业!$A$4:$G$16,4,FALSE),0),"")</f>
        <v/>
      </c>
      <c r="AQ949" t="str">
        <f>IFERROR(ROUND(S949*(P949/$AV949)/VLOOKUP(O949,职业!$A$4:$G$16,4,FALSE),0),"")</f>
        <v/>
      </c>
      <c r="AR949" t="str">
        <f>IFERROR(ROUND(S949*(R949/$AV949)/VLOOKUP(Q949,职业!$A$4:$G$16,4,FALSE),0),"")</f>
        <v/>
      </c>
      <c r="AS949" t="str">
        <f>IFERROR(ROUND(X949*(U949/$AW949)/VLOOKUP(T949,商品!$A$4:$B$60,2,FALSE),0),"")</f>
        <v/>
      </c>
      <c r="AT949" t="str">
        <f>IFERROR(ROUND(X949*(W949/$AW949)/VLOOKUP(V949,商品!$A$4:$B$60,2,FALSE),0),"")</f>
        <v/>
      </c>
      <c r="AU949">
        <f t="shared" si="285"/>
        <v>0</v>
      </c>
      <c r="AV949">
        <f t="shared" si="286"/>
        <v>0</v>
      </c>
      <c r="AW949">
        <f t="shared" si="287"/>
        <v>0</v>
      </c>
    </row>
    <row r="950" spans="1:49" ht="19.95" customHeight="1" x14ac:dyDescent="0.25">
      <c r="A950" s="16" t="s">
        <v>383</v>
      </c>
      <c r="C950" s="16">
        <v>1</v>
      </c>
      <c r="D950" s="23" t="s">
        <v>171</v>
      </c>
      <c r="E950" s="23" t="s">
        <v>172</v>
      </c>
      <c r="F950" s="2" t="s">
        <v>41</v>
      </c>
      <c r="G950" s="2">
        <v>20</v>
      </c>
      <c r="J950" s="24">
        <v>5</v>
      </c>
      <c r="K950" s="25">
        <v>5</v>
      </c>
      <c r="L950" s="15">
        <f>IFERROR(VLOOKUP($D950&amp;$C950,生产方式定位!$A$2:$E$38,2,FALSE)+VLOOKUP($E950&amp;$C950,生产方式定位!$F$3:$J$38,2,FALSE),0)</f>
        <v>300</v>
      </c>
      <c r="S950" s="15">
        <f>IFERROR(VLOOKUP($D950&amp;$C950,生产方式定位!$A$2:$E$38,3,FALSE)+VLOOKUP($E950&amp;$C950,生产方式定位!$F$3:$J$38,3,FALSE),0)</f>
        <v>100</v>
      </c>
      <c r="X950" s="15">
        <f>IFERROR(VLOOKUP($D950&amp;$C950,生产方式定位!$A$2:$E$38,5,FALSE)+VLOOKUP($E950&amp;$C950,生产方式定位!$F$3:$J$38,5,FALSE),"错误")</f>
        <v>520</v>
      </c>
      <c r="Y950" s="26" t="str">
        <f t="shared" si="272"/>
        <v>工具*5,运力*5,交易*5</v>
      </c>
      <c r="Z950" s="36" t="str">
        <f t="shared" si="273"/>
        <v/>
      </c>
      <c r="AA950" s="36" t="str">
        <f t="shared" si="274"/>
        <v/>
      </c>
      <c r="AB950" s="27" t="str">
        <f t="shared" si="275"/>
        <v>73%</v>
      </c>
      <c r="AC950" s="2">
        <f t="shared" si="276"/>
        <v>120</v>
      </c>
      <c r="AD950" s="37">
        <f t="shared" si="277"/>
        <v>1</v>
      </c>
      <c r="AE950" t="str">
        <f t="shared" si="278"/>
        <v>工具*5</v>
      </c>
      <c r="AF950" t="str">
        <f t="shared" si="279"/>
        <v/>
      </c>
      <c r="AG950" t="str">
        <f t="shared" si="280"/>
        <v/>
      </c>
      <c r="AH950" t="str">
        <f t="shared" si="281"/>
        <v/>
      </c>
      <c r="AI950" t="str">
        <f t="shared" si="282"/>
        <v/>
      </c>
      <c r="AJ950" t="str">
        <f t="shared" si="283"/>
        <v/>
      </c>
      <c r="AK950" t="str">
        <f t="shared" si="284"/>
        <v/>
      </c>
      <c r="AL950">
        <f>IFERROR(ROUND(L950*(G950/$AU950)/VLOOKUP(F950,商品!$A$4:$B$60,2,FALSE),0),"")</f>
        <v>5</v>
      </c>
      <c r="AM950" t="str">
        <f>IFERROR(ROUND(L950*(I950/$AU950)/VLOOKUP(H950,商品!$A$4:$B$60,2,FALSE),0),"")</f>
        <v/>
      </c>
      <c r="AN950">
        <f>IFERROR(ROUND(L950*(J950/$AU950)/VLOOKUP("运力",商品!$A$4:$B$60,2,FALSE),0),0)</f>
        <v>5</v>
      </c>
      <c r="AO950">
        <f>IFERROR(ROUND(L950*(K950/$AU950)/VLOOKUP("交易",商品!$A$4:$B$60,2,FALSE),0),0)</f>
        <v>5</v>
      </c>
      <c r="AP950" t="str">
        <f>IFERROR(ROUND(S950*(N950/$AV950)/VLOOKUP(M950,职业!$A$4:$G$16,4,FALSE),0),"")</f>
        <v/>
      </c>
      <c r="AQ950" t="str">
        <f>IFERROR(ROUND(S950*(P950/$AV950)/VLOOKUP(O950,职业!$A$4:$G$16,4,FALSE),0),"")</f>
        <v/>
      </c>
      <c r="AR950" t="str">
        <f>IFERROR(ROUND(S950*(R950/$AV950)/VLOOKUP(Q950,职业!$A$4:$G$16,4,FALSE),0),"")</f>
        <v/>
      </c>
      <c r="AS950" t="str">
        <f>IFERROR(ROUND(X950*(U950/$AW950)/VLOOKUP(T950,商品!$A$4:$B$60,2,FALSE),0),"")</f>
        <v/>
      </c>
      <c r="AT950" t="str">
        <f>IFERROR(ROUND(X950*(W950/$AW950)/VLOOKUP(V950,商品!$A$4:$B$60,2,FALSE),0),"")</f>
        <v/>
      </c>
      <c r="AU950">
        <f t="shared" si="285"/>
        <v>30</v>
      </c>
      <c r="AV950">
        <f t="shared" si="286"/>
        <v>0</v>
      </c>
      <c r="AW950">
        <f t="shared" si="287"/>
        <v>0</v>
      </c>
    </row>
    <row r="951" spans="1:49" ht="19.95" customHeight="1" x14ac:dyDescent="0.25">
      <c r="A951" s="16" t="s">
        <v>383</v>
      </c>
      <c r="C951" s="16">
        <v>2</v>
      </c>
      <c r="D951" s="23" t="s">
        <v>171</v>
      </c>
      <c r="E951" s="23" t="s">
        <v>172</v>
      </c>
      <c r="F951" s="2" t="s">
        <v>41</v>
      </c>
      <c r="G951" s="2">
        <v>10</v>
      </c>
      <c r="H951" s="2" t="s">
        <v>38</v>
      </c>
      <c r="I951" s="2">
        <v>15</v>
      </c>
      <c r="J951" s="24">
        <v>5</v>
      </c>
      <c r="K951" s="25">
        <v>5</v>
      </c>
      <c r="L951" s="15">
        <f>IFERROR(VLOOKUP($D951&amp;$C951,生产方式定位!$A$2:$E$38,2,FALSE)+VLOOKUP($E951&amp;$C951,生产方式定位!$F$3:$J$38,2,FALSE),0)</f>
        <v>1100</v>
      </c>
      <c r="S951" s="15">
        <f>IFERROR(VLOOKUP($D951&amp;$C951,生产方式定位!$A$2:$E$38,3,FALSE)+VLOOKUP($E951&amp;$C951,生产方式定位!$F$3:$J$38,3,FALSE),0)</f>
        <v>100</v>
      </c>
      <c r="X951" s="15">
        <f>IFERROR(VLOOKUP($D951&amp;$C951,生产方式定位!$A$2:$E$38,5,FALSE)+VLOOKUP($E951&amp;$C951,生产方式定位!$F$3:$J$38,5,FALSE),"错误")</f>
        <v>1510</v>
      </c>
      <c r="Y951" s="26" t="str">
        <f t="shared" si="272"/>
        <v>工具*8,肥料*8,运力*16,交易*16</v>
      </c>
      <c r="Z951" s="36" t="str">
        <f t="shared" si="273"/>
        <v/>
      </c>
      <c r="AA951" s="36" t="str">
        <f t="shared" si="274"/>
        <v/>
      </c>
      <c r="AB951" s="27" t="str">
        <f t="shared" si="275"/>
        <v>37%</v>
      </c>
      <c r="AC951" s="2">
        <f t="shared" si="276"/>
        <v>310</v>
      </c>
      <c r="AD951" s="37">
        <f t="shared" si="277"/>
        <v>2</v>
      </c>
      <c r="AE951" t="str">
        <f t="shared" si="278"/>
        <v>工具*8</v>
      </c>
      <c r="AF951" t="str">
        <f t="shared" si="279"/>
        <v>肥料*8</v>
      </c>
      <c r="AG951" t="str">
        <f t="shared" si="280"/>
        <v/>
      </c>
      <c r="AH951" t="str">
        <f t="shared" si="281"/>
        <v/>
      </c>
      <c r="AI951" t="str">
        <f t="shared" si="282"/>
        <v/>
      </c>
      <c r="AJ951" t="str">
        <f t="shared" si="283"/>
        <v/>
      </c>
      <c r="AK951" t="str">
        <f t="shared" si="284"/>
        <v/>
      </c>
      <c r="AL951">
        <f>IFERROR(ROUND(L951*(G951/$AU951)/VLOOKUP(F951,商品!$A$4:$B$60,2,FALSE),0),"")</f>
        <v>8</v>
      </c>
      <c r="AM951">
        <f>IFERROR(ROUND(L951*(I951/$AU951)/VLOOKUP(H951,商品!$A$4:$B$60,2,FALSE),0),"")</f>
        <v>8</v>
      </c>
      <c r="AN951">
        <f>IFERROR(ROUND(L951*(J951/$AU951)/VLOOKUP("运力",商品!$A$4:$B$60,2,FALSE),0),0)</f>
        <v>16</v>
      </c>
      <c r="AO951">
        <f>IFERROR(ROUND(L951*(K951/$AU951)/VLOOKUP("交易",商品!$A$4:$B$60,2,FALSE),0),0)</f>
        <v>16</v>
      </c>
      <c r="AP951" t="str">
        <f>IFERROR(ROUND(S951*(N951/$AV951)/VLOOKUP(M951,职业!$A$4:$G$16,4,FALSE),0),"")</f>
        <v/>
      </c>
      <c r="AQ951" t="str">
        <f>IFERROR(ROUND(S951*(P951/$AV951)/VLOOKUP(O951,职业!$A$4:$G$16,4,FALSE),0),"")</f>
        <v/>
      </c>
      <c r="AR951" t="str">
        <f>IFERROR(ROUND(S951*(R951/$AV951)/VLOOKUP(Q951,职业!$A$4:$G$16,4,FALSE),0),"")</f>
        <v/>
      </c>
      <c r="AS951" t="str">
        <f>IFERROR(ROUND(X951*(U951/$AW951)/VLOOKUP(T951,商品!$A$4:$B$60,2,FALSE),0),"")</f>
        <v/>
      </c>
      <c r="AT951" t="str">
        <f>IFERROR(ROUND(X951*(W951/$AW951)/VLOOKUP(V951,商品!$A$4:$B$60,2,FALSE),0),"")</f>
        <v/>
      </c>
      <c r="AU951">
        <f t="shared" si="285"/>
        <v>35</v>
      </c>
      <c r="AV951">
        <f t="shared" si="286"/>
        <v>0</v>
      </c>
      <c r="AW951">
        <f t="shared" si="287"/>
        <v>0</v>
      </c>
    </row>
    <row r="952" spans="1:49" ht="19.95" customHeight="1" x14ac:dyDescent="0.25">
      <c r="A952" s="16" t="s">
        <v>383</v>
      </c>
      <c r="C952" s="16">
        <v>3</v>
      </c>
      <c r="D952" s="23" t="s">
        <v>171</v>
      </c>
      <c r="E952" s="23" t="s">
        <v>172</v>
      </c>
      <c r="F952" s="2" t="s">
        <v>41</v>
      </c>
      <c r="G952" s="2">
        <v>10</v>
      </c>
      <c r="H952" s="2" t="s">
        <v>38</v>
      </c>
      <c r="I952" s="2">
        <v>15</v>
      </c>
      <c r="J952" s="24">
        <v>5</v>
      </c>
      <c r="K952" s="25">
        <v>5</v>
      </c>
      <c r="L952" s="15">
        <f>IFERROR(VLOOKUP($D952&amp;$C952,生产方式定位!$A$2:$E$38,2,FALSE)+VLOOKUP($E952&amp;$C952,生产方式定位!$F$3:$J$38,2,FALSE),0)</f>
        <v>1525</v>
      </c>
      <c r="S952" s="15">
        <f>IFERROR(VLOOKUP($D952&amp;$C952,生产方式定位!$A$2:$E$38,3,FALSE)+VLOOKUP($E952&amp;$C952,生产方式定位!$F$3:$J$38,3,FALSE),0)</f>
        <v>100</v>
      </c>
      <c r="X952" s="15">
        <f>IFERROR(VLOOKUP($D952&amp;$C952,生产方式定位!$A$2:$E$38,5,FALSE)+VLOOKUP($E952&amp;$C952,生产方式定位!$F$3:$J$38,5,FALSE),"错误")</f>
        <v>2050</v>
      </c>
      <c r="Y952" s="26" t="str">
        <f t="shared" si="272"/>
        <v>工具*11,肥料*11,运力*22,交易*22</v>
      </c>
      <c r="Z952" s="36" t="str">
        <f t="shared" si="273"/>
        <v/>
      </c>
      <c r="AA952" s="36" t="str">
        <f t="shared" si="274"/>
        <v/>
      </c>
      <c r="AB952" s="27" t="str">
        <f t="shared" si="275"/>
        <v>34%</v>
      </c>
      <c r="AC952" s="2">
        <f t="shared" si="276"/>
        <v>425</v>
      </c>
      <c r="AD952" s="38">
        <f t="shared" si="277"/>
        <v>3</v>
      </c>
      <c r="AE952" t="str">
        <f t="shared" si="278"/>
        <v>工具*11</v>
      </c>
      <c r="AF952" t="str">
        <f t="shared" si="279"/>
        <v>肥料*11</v>
      </c>
      <c r="AG952" t="str">
        <f t="shared" si="280"/>
        <v/>
      </c>
      <c r="AH952" t="str">
        <f t="shared" si="281"/>
        <v/>
      </c>
      <c r="AI952" t="str">
        <f t="shared" si="282"/>
        <v/>
      </c>
      <c r="AJ952" t="str">
        <f t="shared" si="283"/>
        <v/>
      </c>
      <c r="AK952" t="str">
        <f t="shared" si="284"/>
        <v/>
      </c>
      <c r="AL952">
        <f>IFERROR(ROUND(L952*(G952/$AU952)/VLOOKUP(F952,商品!$A$4:$B$60,2,FALSE),0),"")</f>
        <v>11</v>
      </c>
      <c r="AM952">
        <f>IFERROR(ROUND(L952*(I952/$AU952)/VLOOKUP(H952,商品!$A$4:$B$60,2,FALSE),0),"")</f>
        <v>11</v>
      </c>
      <c r="AN952">
        <f>IFERROR(ROUND(L952*(J952/$AU952)/VLOOKUP("运力",商品!$A$4:$B$60,2,FALSE),0),0)</f>
        <v>22</v>
      </c>
      <c r="AO952">
        <f>IFERROR(ROUND(L952*(K952/$AU952)/VLOOKUP("交易",商品!$A$4:$B$60,2,FALSE),0),0)</f>
        <v>22</v>
      </c>
      <c r="AP952" t="str">
        <f>IFERROR(ROUND(S952*(N952/$AV952)/VLOOKUP(M952,职业!$A$4:$G$16,4,FALSE),0),"")</f>
        <v/>
      </c>
      <c r="AQ952" t="str">
        <f>IFERROR(ROUND(S952*(P952/$AV952)/VLOOKUP(O952,职业!$A$4:$G$16,4,FALSE),0),"")</f>
        <v/>
      </c>
      <c r="AR952" t="str">
        <f>IFERROR(ROUND(S952*(R952/$AV952)/VLOOKUP(Q952,职业!$A$4:$G$16,4,FALSE),0),"")</f>
        <v/>
      </c>
      <c r="AS952" t="str">
        <f>IFERROR(ROUND(X952*(U952/$AW952)/VLOOKUP(T952,商品!$A$4:$B$60,2,FALSE),0),"")</f>
        <v/>
      </c>
      <c r="AT952" t="str">
        <f>IFERROR(ROUND(X952*(W952/$AW952)/VLOOKUP(V952,商品!$A$4:$B$60,2,FALSE),0),"")</f>
        <v/>
      </c>
      <c r="AU952">
        <f t="shared" si="285"/>
        <v>35</v>
      </c>
      <c r="AV952">
        <f t="shared" si="286"/>
        <v>0</v>
      </c>
      <c r="AW952">
        <f t="shared" si="287"/>
        <v>0</v>
      </c>
    </row>
    <row r="953" spans="1:49" ht="19.95" customHeight="1" x14ac:dyDescent="0.25">
      <c r="A953" s="16" t="s">
        <v>383</v>
      </c>
      <c r="C953" s="16">
        <v>4</v>
      </c>
      <c r="D953" s="23" t="s">
        <v>171</v>
      </c>
      <c r="E953" s="23" t="s">
        <v>172</v>
      </c>
      <c r="F953" s="2" t="s">
        <v>41</v>
      </c>
      <c r="G953" s="2">
        <v>10</v>
      </c>
      <c r="H953" s="2" t="s">
        <v>38</v>
      </c>
      <c r="I953" s="2">
        <v>15</v>
      </c>
      <c r="J953" s="24">
        <v>5</v>
      </c>
      <c r="K953" s="25">
        <v>5</v>
      </c>
      <c r="L953" s="15">
        <f>IFERROR(VLOOKUP($D953&amp;$C953,生产方式定位!$A$2:$E$38,2,FALSE)+VLOOKUP($E953&amp;$C953,生产方式定位!$F$3:$J$38,2,FALSE),0)</f>
        <v>1950</v>
      </c>
      <c r="S953" s="15">
        <f>IFERROR(VLOOKUP($D953&amp;$C953,生产方式定位!$A$2:$E$38,3,FALSE)+VLOOKUP($E953&amp;$C953,生产方式定位!$F$3:$J$38,3,FALSE),0)</f>
        <v>100</v>
      </c>
      <c r="X953" s="15">
        <f>IFERROR(VLOOKUP($D953&amp;$C953,生产方式定位!$A$2:$E$38,5,FALSE)+VLOOKUP($E953&amp;$C953,生产方式定位!$F$3:$J$38,5,FALSE),"错误")</f>
        <v>2590</v>
      </c>
      <c r="Y953" s="26" t="str">
        <f t="shared" si="272"/>
        <v>工具*14,肥料*14,运力*28,交易*28</v>
      </c>
      <c r="Z953" s="36" t="str">
        <f t="shared" si="273"/>
        <v/>
      </c>
      <c r="AA953" s="36" t="str">
        <f t="shared" si="274"/>
        <v/>
      </c>
      <c r="AB953" s="27" t="str">
        <f t="shared" si="275"/>
        <v>33%</v>
      </c>
      <c r="AC953" s="2">
        <f t="shared" si="276"/>
        <v>540</v>
      </c>
      <c r="AD953" s="38">
        <f t="shared" si="277"/>
        <v>4</v>
      </c>
      <c r="AE953" t="str">
        <f t="shared" si="278"/>
        <v>工具*14</v>
      </c>
      <c r="AF953" t="str">
        <f t="shared" si="279"/>
        <v>肥料*14</v>
      </c>
      <c r="AG953" t="str">
        <f t="shared" si="280"/>
        <v/>
      </c>
      <c r="AH953" t="str">
        <f t="shared" si="281"/>
        <v/>
      </c>
      <c r="AI953" t="str">
        <f t="shared" si="282"/>
        <v/>
      </c>
      <c r="AJ953" t="str">
        <f t="shared" si="283"/>
        <v/>
      </c>
      <c r="AK953" t="str">
        <f t="shared" si="284"/>
        <v/>
      </c>
      <c r="AL953">
        <f>IFERROR(ROUND(L953*(G953/$AU953)/VLOOKUP(F953,商品!$A$4:$B$60,2,FALSE),0),"")</f>
        <v>14</v>
      </c>
      <c r="AM953">
        <f>IFERROR(ROUND(L953*(I953/$AU953)/VLOOKUP(H953,商品!$A$4:$B$60,2,FALSE),0),"")</f>
        <v>14</v>
      </c>
      <c r="AN953">
        <f>IFERROR(ROUND(L953*(J953/$AU953)/VLOOKUP("运力",商品!$A$4:$B$60,2,FALSE),0),0)</f>
        <v>28</v>
      </c>
      <c r="AO953">
        <f>IFERROR(ROUND(L953*(K953/$AU953)/VLOOKUP("交易",商品!$A$4:$B$60,2,FALSE),0),0)</f>
        <v>28</v>
      </c>
      <c r="AP953" t="str">
        <f>IFERROR(ROUND(S953*(N953/$AV953)/VLOOKUP(M953,职业!$A$4:$G$16,4,FALSE),0),"")</f>
        <v/>
      </c>
      <c r="AQ953" t="str">
        <f>IFERROR(ROUND(S953*(P953/$AV953)/VLOOKUP(O953,职业!$A$4:$G$16,4,FALSE),0),"")</f>
        <v/>
      </c>
      <c r="AR953" t="str">
        <f>IFERROR(ROUND(S953*(R953/$AV953)/VLOOKUP(Q953,职业!$A$4:$G$16,4,FALSE),0),"")</f>
        <v/>
      </c>
      <c r="AS953" t="str">
        <f>IFERROR(ROUND(X953*(U953/$AW953)/VLOOKUP(T953,商品!$A$4:$B$60,2,FALSE),0),"")</f>
        <v/>
      </c>
      <c r="AT953" t="str">
        <f>IFERROR(ROUND(X953*(W953/$AW953)/VLOOKUP(V953,商品!$A$4:$B$60,2,FALSE),0),"")</f>
        <v/>
      </c>
      <c r="AU953">
        <f t="shared" si="285"/>
        <v>35</v>
      </c>
      <c r="AV953">
        <f t="shared" si="286"/>
        <v>0</v>
      </c>
      <c r="AW953">
        <f t="shared" si="287"/>
        <v>0</v>
      </c>
    </row>
    <row r="954" spans="1:49" ht="19.95" customHeight="1" x14ac:dyDescent="0.25">
      <c r="A954" s="16" t="s">
        <v>383</v>
      </c>
      <c r="C954" s="16">
        <v>5</v>
      </c>
      <c r="D954" s="23" t="s">
        <v>171</v>
      </c>
      <c r="E954" s="23" t="s">
        <v>172</v>
      </c>
      <c r="F954" s="2" t="s">
        <v>41</v>
      </c>
      <c r="G954" s="2">
        <v>10</v>
      </c>
      <c r="H954" s="2" t="s">
        <v>38</v>
      </c>
      <c r="I954" s="2">
        <v>15</v>
      </c>
      <c r="J954" s="24">
        <v>5</v>
      </c>
      <c r="K954" s="25">
        <v>5</v>
      </c>
      <c r="L954" s="15">
        <f>IFERROR(VLOOKUP($D954&amp;$C954,生产方式定位!$A$2:$E$38,2,FALSE)+VLOOKUP($E954&amp;$C954,生产方式定位!$F$3:$J$38,2,FALSE),0)</f>
        <v>2375</v>
      </c>
      <c r="S954" s="15">
        <f>IFERROR(VLOOKUP($D954&amp;$C954,生产方式定位!$A$2:$E$38,3,FALSE)+VLOOKUP($E954&amp;$C954,生产方式定位!$F$3:$J$38,3,FALSE),0)</f>
        <v>100</v>
      </c>
      <c r="X954" s="15">
        <f>IFERROR(VLOOKUP($D954&amp;$C954,生产方式定位!$A$2:$E$38,5,FALSE)+VLOOKUP($E954&amp;$C954,生产方式定位!$F$3:$J$38,5,FALSE),"错误")</f>
        <v>3130</v>
      </c>
      <c r="Y954" s="26" t="str">
        <f t="shared" si="272"/>
        <v>工具*17,肥料*17,运力*34,交易*34</v>
      </c>
      <c r="Z954" s="36" t="str">
        <f t="shared" si="273"/>
        <v/>
      </c>
      <c r="AA954" s="36" t="str">
        <f t="shared" si="274"/>
        <v/>
      </c>
      <c r="AB954" s="27" t="str">
        <f t="shared" si="275"/>
        <v>32%</v>
      </c>
      <c r="AC954" s="2">
        <f t="shared" si="276"/>
        <v>655</v>
      </c>
      <c r="AD954" s="38">
        <f t="shared" si="277"/>
        <v>5</v>
      </c>
      <c r="AE954" t="str">
        <f t="shared" si="278"/>
        <v>工具*17</v>
      </c>
      <c r="AF954" t="str">
        <f t="shared" si="279"/>
        <v>肥料*17</v>
      </c>
      <c r="AG954" t="str">
        <f t="shared" si="280"/>
        <v/>
      </c>
      <c r="AH954" t="str">
        <f t="shared" si="281"/>
        <v/>
      </c>
      <c r="AI954" t="str">
        <f t="shared" si="282"/>
        <v/>
      </c>
      <c r="AJ954" t="str">
        <f t="shared" si="283"/>
        <v/>
      </c>
      <c r="AK954" t="str">
        <f t="shared" si="284"/>
        <v/>
      </c>
      <c r="AL954">
        <f>IFERROR(ROUND(L954*(G954/$AU954)/VLOOKUP(F954,商品!$A$4:$B$60,2,FALSE),0),"")</f>
        <v>17</v>
      </c>
      <c r="AM954">
        <f>IFERROR(ROUND(L954*(I954/$AU954)/VLOOKUP(H954,商品!$A$4:$B$60,2,FALSE),0),"")</f>
        <v>17</v>
      </c>
      <c r="AN954">
        <f>IFERROR(ROUND(L954*(J954/$AU954)/VLOOKUP("运力",商品!$A$4:$B$60,2,FALSE),0),0)</f>
        <v>34</v>
      </c>
      <c r="AO954">
        <f>IFERROR(ROUND(L954*(K954/$AU954)/VLOOKUP("交易",商品!$A$4:$B$60,2,FALSE),0),0)</f>
        <v>34</v>
      </c>
      <c r="AP954" t="str">
        <f>IFERROR(ROUND(S954*(N954/$AV954)/VLOOKUP(M954,职业!$A$4:$G$16,4,FALSE),0),"")</f>
        <v/>
      </c>
      <c r="AQ954" t="str">
        <f>IFERROR(ROUND(S954*(P954/$AV954)/VLOOKUP(O954,职业!$A$4:$G$16,4,FALSE),0),"")</f>
        <v/>
      </c>
      <c r="AR954" t="str">
        <f>IFERROR(ROUND(S954*(R954/$AV954)/VLOOKUP(Q954,职业!$A$4:$G$16,4,FALSE),0),"")</f>
        <v/>
      </c>
      <c r="AS954" t="str">
        <f>IFERROR(ROUND(X954*(U954/$AW954)/VLOOKUP(T954,商品!$A$4:$B$60,2,FALSE),0),"")</f>
        <v/>
      </c>
      <c r="AT954" t="str">
        <f>IFERROR(ROUND(X954*(W954/$AW954)/VLOOKUP(V954,商品!$A$4:$B$60,2,FALSE),0),"")</f>
        <v/>
      </c>
      <c r="AU954">
        <f t="shared" si="285"/>
        <v>35</v>
      </c>
      <c r="AV954">
        <f t="shared" si="286"/>
        <v>0</v>
      </c>
      <c r="AW954">
        <f t="shared" si="287"/>
        <v>0</v>
      </c>
    </row>
    <row r="955" spans="1:49" ht="19.95" customHeight="1" x14ac:dyDescent="0.25">
      <c r="A955" s="15" t="s">
        <v>384</v>
      </c>
      <c r="C955" s="15">
        <v>1</v>
      </c>
      <c r="D955" s="23" t="s">
        <v>174</v>
      </c>
      <c r="E955" s="23" t="s">
        <v>175</v>
      </c>
      <c r="L955" s="16">
        <f>IFERROR(VLOOKUP($D955&amp;$C955,生产方式定位!$A$2:$E$38,2,FALSE)+VLOOKUP($E955&amp;$C955,生产方式定位!$F$3:$J$38,2,FALSE),0)</f>
        <v>0</v>
      </c>
      <c r="S955" s="16">
        <f>IFERROR(VLOOKUP($D955&amp;$C955,生产方式定位!$A$2:$E$38,3,FALSE)+VLOOKUP($E955&amp;$C955,生产方式定位!$F$3:$J$38,3,FALSE),0)</f>
        <v>0</v>
      </c>
      <c r="X955" s="16">
        <f>IFERROR(VLOOKUP($D955&amp;$C955,生产方式定位!$A$2:$E$38,5,FALSE)+VLOOKUP($E955&amp;$C955,生产方式定位!$F$3:$J$38,5,FALSE),"错误")</f>
        <v>0</v>
      </c>
      <c r="Y955" s="26" t="str">
        <f t="shared" si="272"/>
        <v/>
      </c>
      <c r="Z955" s="36" t="str">
        <f t="shared" si="273"/>
        <v/>
      </c>
      <c r="AA955" s="36" t="str">
        <f t="shared" si="274"/>
        <v/>
      </c>
      <c r="AB955" s="27" t="str">
        <f t="shared" si="275"/>
        <v/>
      </c>
      <c r="AC955" s="2" t="str">
        <f t="shared" si="276"/>
        <v/>
      </c>
      <c r="AD955" s="38">
        <f t="shared" si="277"/>
        <v>1</v>
      </c>
      <c r="AE955" t="str">
        <f t="shared" si="278"/>
        <v/>
      </c>
      <c r="AF955" t="str">
        <f t="shared" si="279"/>
        <v/>
      </c>
      <c r="AG955" t="str">
        <f t="shared" si="280"/>
        <v/>
      </c>
      <c r="AH955" t="str">
        <f t="shared" si="281"/>
        <v/>
      </c>
      <c r="AI955" t="str">
        <f t="shared" si="282"/>
        <v/>
      </c>
      <c r="AJ955" t="str">
        <f t="shared" si="283"/>
        <v/>
      </c>
      <c r="AK955" t="str">
        <f t="shared" si="284"/>
        <v/>
      </c>
      <c r="AL955" t="str">
        <f>IFERROR(ROUND(L955*(G955/$AU955)/VLOOKUP(F955,商品!$A$4:$B$60,2,FALSE),0),"")</f>
        <v/>
      </c>
      <c r="AM955" t="str">
        <f>IFERROR(ROUND(L955*(I955/$AU955)/VLOOKUP(H955,商品!$A$4:$B$60,2,FALSE),0),"")</f>
        <v/>
      </c>
      <c r="AN955">
        <f>IFERROR(ROUND(L955*(J955/$AU955)/VLOOKUP("运力",商品!$A$4:$B$60,2,FALSE),0),0)</f>
        <v>0</v>
      </c>
      <c r="AO955">
        <f>IFERROR(ROUND(L955*(K955/$AU955)/VLOOKUP("交易",商品!$A$4:$B$60,2,FALSE),0),0)</f>
        <v>0</v>
      </c>
      <c r="AP955" t="str">
        <f>IFERROR(ROUND(S955*(N955/$AV955)/VLOOKUP(M955,职业!$A$4:$G$16,4,FALSE),0),"")</f>
        <v/>
      </c>
      <c r="AQ955" t="str">
        <f>IFERROR(ROUND(S955*(P955/$AV955)/VLOOKUP(O955,职业!$A$4:$G$16,4,FALSE),0),"")</f>
        <v/>
      </c>
      <c r="AR955" t="str">
        <f>IFERROR(ROUND(S955*(R955/$AV955)/VLOOKUP(Q955,职业!$A$4:$G$16,4,FALSE),0),"")</f>
        <v/>
      </c>
      <c r="AS955" t="str">
        <f>IFERROR(ROUND(X955*(U955/$AW955)/VLOOKUP(T955,商品!$A$4:$B$60,2,FALSE),0),"")</f>
        <v/>
      </c>
      <c r="AT955" t="str">
        <f>IFERROR(ROUND(X955*(W955/$AW955)/VLOOKUP(V955,商品!$A$4:$B$60,2,FALSE),0),"")</f>
        <v/>
      </c>
      <c r="AU955">
        <f t="shared" si="285"/>
        <v>0</v>
      </c>
      <c r="AV955">
        <f t="shared" si="286"/>
        <v>0</v>
      </c>
      <c r="AW955">
        <f t="shared" si="287"/>
        <v>0</v>
      </c>
    </row>
    <row r="956" spans="1:49" ht="19.95" customHeight="1" x14ac:dyDescent="0.25">
      <c r="A956" s="15" t="s">
        <v>384</v>
      </c>
      <c r="C956" s="15">
        <v>2</v>
      </c>
      <c r="D956" s="23" t="s">
        <v>174</v>
      </c>
      <c r="E956" s="23" t="s">
        <v>175</v>
      </c>
      <c r="F956" s="2" t="s">
        <v>41</v>
      </c>
      <c r="G956" s="2">
        <v>10</v>
      </c>
      <c r="L956" s="16">
        <f>IFERROR(VLOOKUP($D956&amp;$C956,生产方式定位!$A$2:$E$38,2,FALSE)+VLOOKUP($E956&amp;$C956,生产方式定位!$F$3:$J$38,2,FALSE),0)</f>
        <v>50</v>
      </c>
      <c r="S956" s="16">
        <f>IFERROR(VLOOKUP($D956&amp;$C956,生产方式定位!$A$2:$E$38,3,FALSE)+VLOOKUP($E956&amp;$C956,生产方式定位!$F$3:$J$38,3,FALSE),0)</f>
        <v>10</v>
      </c>
      <c r="X956" s="16">
        <f>IFERROR(VLOOKUP($D956&amp;$C956,生产方式定位!$A$2:$E$38,5,FALSE)+VLOOKUP($E956&amp;$C956,生产方式定位!$F$3:$J$38,5,FALSE),"错误")</f>
        <v>0</v>
      </c>
      <c r="Y956" s="26" t="str">
        <f t="shared" si="272"/>
        <v>工具*1</v>
      </c>
      <c r="Z956" s="36" t="str">
        <f t="shared" si="273"/>
        <v/>
      </c>
      <c r="AA956" s="36" t="str">
        <f t="shared" si="274"/>
        <v/>
      </c>
      <c r="AB956" s="27" t="str">
        <f t="shared" si="275"/>
        <v>-100%</v>
      </c>
      <c r="AC956" s="2">
        <f t="shared" si="276"/>
        <v>-60</v>
      </c>
      <c r="AD956" s="38">
        <f t="shared" si="277"/>
        <v>2</v>
      </c>
      <c r="AE956" t="str">
        <f t="shared" si="278"/>
        <v>工具*1</v>
      </c>
      <c r="AF956" t="str">
        <f t="shared" si="279"/>
        <v/>
      </c>
      <c r="AG956" t="str">
        <f t="shared" si="280"/>
        <v/>
      </c>
      <c r="AH956" t="str">
        <f t="shared" si="281"/>
        <v/>
      </c>
      <c r="AI956" t="str">
        <f t="shared" si="282"/>
        <v/>
      </c>
      <c r="AJ956" t="str">
        <f t="shared" si="283"/>
        <v/>
      </c>
      <c r="AK956" t="str">
        <f t="shared" si="284"/>
        <v/>
      </c>
      <c r="AL956">
        <f>IFERROR(ROUND(L956*(G956/$AU956)/VLOOKUP(F956,商品!$A$4:$B$60,2,FALSE),0),"")</f>
        <v>1</v>
      </c>
      <c r="AM956" t="str">
        <f>IFERROR(ROUND(L956*(I956/$AU956)/VLOOKUP(H956,商品!$A$4:$B$60,2,FALSE),0),"")</f>
        <v/>
      </c>
      <c r="AN956">
        <f>IFERROR(ROUND(L956*(J956/$AU956)/VLOOKUP("运力",商品!$A$4:$B$60,2,FALSE),0),0)</f>
        <v>0</v>
      </c>
      <c r="AO956">
        <f>IFERROR(ROUND(L956*(K956/$AU956)/VLOOKUP("交易",商品!$A$4:$B$60,2,FALSE),0),0)</f>
        <v>0</v>
      </c>
      <c r="AP956" t="str">
        <f>IFERROR(ROUND(S956*(N956/$AV956)/VLOOKUP(M956,职业!$A$4:$G$16,4,FALSE),0),"")</f>
        <v/>
      </c>
      <c r="AQ956" t="str">
        <f>IFERROR(ROUND(S956*(P956/$AV956)/VLOOKUP(O956,职业!$A$4:$G$16,4,FALSE),0),"")</f>
        <v/>
      </c>
      <c r="AR956" t="str">
        <f>IFERROR(ROUND(S956*(R956/$AV956)/VLOOKUP(Q956,职业!$A$4:$G$16,4,FALSE),0),"")</f>
        <v/>
      </c>
      <c r="AS956" t="str">
        <f>IFERROR(ROUND(X956*(U956/$AW956)/VLOOKUP(T956,商品!$A$4:$B$60,2,FALSE),0),"")</f>
        <v/>
      </c>
      <c r="AT956" t="str">
        <f>IFERROR(ROUND(X956*(W956/$AW956)/VLOOKUP(V956,商品!$A$4:$B$60,2,FALSE),0),"")</f>
        <v/>
      </c>
      <c r="AU956">
        <f t="shared" si="285"/>
        <v>10</v>
      </c>
      <c r="AV956">
        <f t="shared" si="286"/>
        <v>0</v>
      </c>
      <c r="AW956">
        <f t="shared" si="287"/>
        <v>0</v>
      </c>
    </row>
    <row r="957" spans="1:49" ht="19.95" customHeight="1" x14ac:dyDescent="0.25">
      <c r="A957" s="15" t="s">
        <v>384</v>
      </c>
      <c r="C957" s="15">
        <v>3</v>
      </c>
      <c r="D957" s="23" t="s">
        <v>174</v>
      </c>
      <c r="E957" s="23" t="s">
        <v>175</v>
      </c>
      <c r="F957" s="2" t="s">
        <v>41</v>
      </c>
      <c r="G957" s="2">
        <v>10</v>
      </c>
      <c r="L957" s="16">
        <f>IFERROR(VLOOKUP($D957&amp;$C957,生产方式定位!$A$2:$E$38,2,FALSE)+VLOOKUP($E957&amp;$C957,生产方式定位!$F$3:$J$38,2,FALSE),0)</f>
        <v>100</v>
      </c>
      <c r="S957" s="16">
        <f>IFERROR(VLOOKUP($D957&amp;$C957,生产方式定位!$A$2:$E$38,3,FALSE)+VLOOKUP($E957&amp;$C957,生产方式定位!$F$3:$J$38,3,FALSE),0)</f>
        <v>20</v>
      </c>
      <c r="X957" s="16">
        <f>IFERROR(VLOOKUP($D957&amp;$C957,生产方式定位!$A$2:$E$38,5,FALSE)+VLOOKUP($E957&amp;$C957,生产方式定位!$F$3:$J$38,5,FALSE),"错误")</f>
        <v>0</v>
      </c>
      <c r="Y957" s="26" t="str">
        <f t="shared" si="272"/>
        <v>工具*3</v>
      </c>
      <c r="Z957" s="36" t="str">
        <f t="shared" si="273"/>
        <v/>
      </c>
      <c r="AA957" s="36" t="str">
        <f t="shared" si="274"/>
        <v/>
      </c>
      <c r="AB957" s="27" t="str">
        <f t="shared" si="275"/>
        <v>-100%</v>
      </c>
      <c r="AC957" s="2">
        <f t="shared" si="276"/>
        <v>-120</v>
      </c>
      <c r="AD957" s="38">
        <f t="shared" si="277"/>
        <v>3</v>
      </c>
      <c r="AE957" t="str">
        <f t="shared" si="278"/>
        <v>工具*3</v>
      </c>
      <c r="AF957" t="str">
        <f t="shared" si="279"/>
        <v/>
      </c>
      <c r="AG957" t="str">
        <f t="shared" si="280"/>
        <v/>
      </c>
      <c r="AH957" t="str">
        <f t="shared" si="281"/>
        <v/>
      </c>
      <c r="AI957" t="str">
        <f t="shared" si="282"/>
        <v/>
      </c>
      <c r="AJ957" t="str">
        <f t="shared" si="283"/>
        <v/>
      </c>
      <c r="AK957" t="str">
        <f t="shared" si="284"/>
        <v/>
      </c>
      <c r="AL957">
        <f>IFERROR(ROUND(L957*(G957/$AU957)/VLOOKUP(F957,商品!$A$4:$B$60,2,FALSE),0),"")</f>
        <v>3</v>
      </c>
      <c r="AM957" t="str">
        <f>IFERROR(ROUND(L957*(I957/$AU957)/VLOOKUP(H957,商品!$A$4:$B$60,2,FALSE),0),"")</f>
        <v/>
      </c>
      <c r="AN957">
        <f>IFERROR(ROUND(L957*(J957/$AU957)/VLOOKUP("运力",商品!$A$4:$B$60,2,FALSE),0),0)</f>
        <v>0</v>
      </c>
      <c r="AO957">
        <f>IFERROR(ROUND(L957*(K957/$AU957)/VLOOKUP("交易",商品!$A$4:$B$60,2,FALSE),0),0)</f>
        <v>0</v>
      </c>
      <c r="AP957" t="str">
        <f>IFERROR(ROUND(S957*(N957/$AV957)/VLOOKUP(M957,职业!$A$4:$G$16,4,FALSE),0),"")</f>
        <v/>
      </c>
      <c r="AQ957" t="str">
        <f>IFERROR(ROUND(S957*(P957/$AV957)/VLOOKUP(O957,职业!$A$4:$G$16,4,FALSE),0),"")</f>
        <v/>
      </c>
      <c r="AR957" t="str">
        <f>IFERROR(ROUND(S957*(R957/$AV957)/VLOOKUP(Q957,职业!$A$4:$G$16,4,FALSE),0),"")</f>
        <v/>
      </c>
      <c r="AS957" t="str">
        <f>IFERROR(ROUND(X957*(U957/$AW957)/VLOOKUP(T957,商品!$A$4:$B$60,2,FALSE),0),"")</f>
        <v/>
      </c>
      <c r="AT957" t="str">
        <f>IFERROR(ROUND(X957*(W957/$AW957)/VLOOKUP(V957,商品!$A$4:$B$60,2,FALSE),0),"")</f>
        <v/>
      </c>
      <c r="AU957">
        <f t="shared" si="285"/>
        <v>10</v>
      </c>
      <c r="AV957">
        <f t="shared" si="286"/>
        <v>0</v>
      </c>
      <c r="AW957">
        <f t="shared" si="287"/>
        <v>0</v>
      </c>
    </row>
    <row r="958" spans="1:49" ht="19.95" customHeight="1" x14ac:dyDescent="0.25">
      <c r="A958" s="15" t="s">
        <v>384</v>
      </c>
      <c r="C958" s="15">
        <v>4</v>
      </c>
      <c r="D958" s="23" t="s">
        <v>174</v>
      </c>
      <c r="E958" s="23" t="s">
        <v>175</v>
      </c>
      <c r="F958" s="2" t="s">
        <v>45</v>
      </c>
      <c r="G958" s="2">
        <v>5</v>
      </c>
      <c r="H958" s="2" t="s">
        <v>19</v>
      </c>
      <c r="I958" s="2">
        <v>10</v>
      </c>
      <c r="L958" s="16">
        <f>IFERROR(VLOOKUP($D958&amp;$C958,生产方式定位!$A$2:$E$38,2,FALSE)+VLOOKUP($E958&amp;$C958,生产方式定位!$F$3:$J$38,2,FALSE),0)</f>
        <v>150</v>
      </c>
      <c r="S958" s="16">
        <f>IFERROR(VLOOKUP($D958&amp;$C958,生产方式定位!$A$2:$E$38,3,FALSE)+VLOOKUP($E958&amp;$C958,生产方式定位!$F$3:$J$38,3,FALSE),0)</f>
        <v>30</v>
      </c>
      <c r="X958" s="16">
        <f>IFERROR(VLOOKUP($D958&amp;$C958,生产方式定位!$A$2:$E$38,5,FALSE)+VLOOKUP($E958&amp;$C958,生产方式定位!$F$3:$J$38,5,FALSE),"错误")</f>
        <v>0</v>
      </c>
      <c r="Y958" s="26" t="str">
        <f t="shared" si="272"/>
        <v>科学引擎*1,煤*3</v>
      </c>
      <c r="Z958" s="36" t="str">
        <f t="shared" si="273"/>
        <v/>
      </c>
      <c r="AA958" s="36" t="str">
        <f t="shared" si="274"/>
        <v/>
      </c>
      <c r="AB958" s="27" t="str">
        <f t="shared" si="275"/>
        <v>-100%</v>
      </c>
      <c r="AC958" s="2">
        <f t="shared" si="276"/>
        <v>-180</v>
      </c>
      <c r="AD958" s="38">
        <f t="shared" si="277"/>
        <v>4</v>
      </c>
      <c r="AE958" t="str">
        <f t="shared" si="278"/>
        <v>科学引擎*1</v>
      </c>
      <c r="AF958" t="str">
        <f t="shared" si="279"/>
        <v>煤*3</v>
      </c>
      <c r="AG958" t="str">
        <f t="shared" si="280"/>
        <v/>
      </c>
      <c r="AH958" t="str">
        <f t="shared" si="281"/>
        <v/>
      </c>
      <c r="AI958" t="str">
        <f t="shared" si="282"/>
        <v/>
      </c>
      <c r="AJ958" t="str">
        <f t="shared" si="283"/>
        <v/>
      </c>
      <c r="AK958" t="str">
        <f t="shared" si="284"/>
        <v/>
      </c>
      <c r="AL958">
        <f>IFERROR(ROUND(L958*(G958/$AU958)/VLOOKUP(F958,商品!$A$4:$B$60,2,FALSE),0),"")</f>
        <v>1</v>
      </c>
      <c r="AM958">
        <f>IFERROR(ROUND(L958*(I958/$AU958)/VLOOKUP(H958,商品!$A$4:$B$60,2,FALSE),0),"")</f>
        <v>3</v>
      </c>
      <c r="AN958">
        <f>IFERROR(ROUND(L958*(J958/$AU958)/VLOOKUP("运力",商品!$A$4:$B$60,2,FALSE),0),0)</f>
        <v>0</v>
      </c>
      <c r="AO958">
        <f>IFERROR(ROUND(L958*(K958/$AU958)/VLOOKUP("交易",商品!$A$4:$B$60,2,FALSE),0),0)</f>
        <v>0</v>
      </c>
      <c r="AP958" t="str">
        <f>IFERROR(ROUND(S958*(N958/$AV958)/VLOOKUP(M958,职业!$A$4:$G$16,4,FALSE),0),"")</f>
        <v/>
      </c>
      <c r="AQ958" t="str">
        <f>IFERROR(ROUND(S958*(P958/$AV958)/VLOOKUP(O958,职业!$A$4:$G$16,4,FALSE),0),"")</f>
        <v/>
      </c>
      <c r="AR958" t="str">
        <f>IFERROR(ROUND(S958*(R958/$AV958)/VLOOKUP(Q958,职业!$A$4:$G$16,4,FALSE),0),"")</f>
        <v/>
      </c>
      <c r="AS958" t="str">
        <f>IFERROR(ROUND(X958*(U958/$AW958)/VLOOKUP(T958,商品!$A$4:$B$60,2,FALSE),0),"")</f>
        <v/>
      </c>
      <c r="AT958" t="str">
        <f>IFERROR(ROUND(X958*(W958/$AW958)/VLOOKUP(V958,商品!$A$4:$B$60,2,FALSE),0),"")</f>
        <v/>
      </c>
      <c r="AU958">
        <f t="shared" si="285"/>
        <v>15</v>
      </c>
      <c r="AV958">
        <f t="shared" si="286"/>
        <v>0</v>
      </c>
      <c r="AW958">
        <f t="shared" si="287"/>
        <v>0</v>
      </c>
    </row>
    <row r="959" spans="1:49" ht="19.95" customHeight="1" x14ac:dyDescent="0.25">
      <c r="A959" s="15" t="s">
        <v>384</v>
      </c>
      <c r="C959" s="15">
        <v>5</v>
      </c>
      <c r="D959" s="23" t="s">
        <v>174</v>
      </c>
      <c r="E959" s="23" t="s">
        <v>175</v>
      </c>
      <c r="F959" s="2" t="s">
        <v>46</v>
      </c>
      <c r="G959" s="2">
        <v>5</v>
      </c>
      <c r="H959" s="2" t="s">
        <v>19</v>
      </c>
      <c r="I959" s="2">
        <v>10</v>
      </c>
      <c r="L959" s="16">
        <f>IFERROR(VLOOKUP($D959&amp;$C959,生产方式定位!$A$2:$E$38,2,FALSE)+VLOOKUP($E959&amp;$C959,生产方式定位!$F$3:$J$38,2,FALSE),0)</f>
        <v>200</v>
      </c>
      <c r="S959" s="16">
        <f>IFERROR(VLOOKUP($D959&amp;$C959,生产方式定位!$A$2:$E$38,3,FALSE)+VLOOKUP($E959&amp;$C959,生产方式定位!$F$3:$J$38,3,FALSE),0)</f>
        <v>40</v>
      </c>
      <c r="X959" s="16">
        <f>IFERROR(VLOOKUP($D959&amp;$C959,生产方式定位!$A$2:$E$38,5,FALSE)+VLOOKUP($E959&amp;$C959,生产方式定位!$F$3:$J$38,5,FALSE),"错误")</f>
        <v>0</v>
      </c>
      <c r="Y959" s="26" t="str">
        <f t="shared" si="272"/>
        <v>魔导引擎*1,煤*4</v>
      </c>
      <c r="Z959" s="36" t="str">
        <f t="shared" si="273"/>
        <v/>
      </c>
      <c r="AA959" s="36" t="str">
        <f t="shared" si="274"/>
        <v/>
      </c>
      <c r="AB959" s="27" t="str">
        <f t="shared" si="275"/>
        <v>-100%</v>
      </c>
      <c r="AC959" s="2">
        <f t="shared" si="276"/>
        <v>-240</v>
      </c>
      <c r="AD959" s="38">
        <f t="shared" si="277"/>
        <v>5</v>
      </c>
      <c r="AE959" t="str">
        <f t="shared" si="278"/>
        <v>魔导引擎*1</v>
      </c>
      <c r="AF959" t="str">
        <f t="shared" si="279"/>
        <v>煤*4</v>
      </c>
      <c r="AG959" t="str">
        <f t="shared" si="280"/>
        <v/>
      </c>
      <c r="AH959" t="str">
        <f t="shared" si="281"/>
        <v/>
      </c>
      <c r="AI959" t="str">
        <f t="shared" si="282"/>
        <v/>
      </c>
      <c r="AJ959" t="str">
        <f t="shared" si="283"/>
        <v/>
      </c>
      <c r="AK959" t="str">
        <f t="shared" si="284"/>
        <v/>
      </c>
      <c r="AL959">
        <f>IFERROR(ROUND(L959*(G959/$AU959)/VLOOKUP(F959,商品!$A$4:$B$60,2,FALSE),0),"")</f>
        <v>1</v>
      </c>
      <c r="AM959">
        <f>IFERROR(ROUND(L959*(I959/$AU959)/VLOOKUP(H959,商品!$A$4:$B$60,2,FALSE),0),"")</f>
        <v>4</v>
      </c>
      <c r="AN959">
        <f>IFERROR(ROUND(L959*(J959/$AU959)/VLOOKUP("运力",商品!$A$4:$B$60,2,FALSE),0),0)</f>
        <v>0</v>
      </c>
      <c r="AO959">
        <f>IFERROR(ROUND(L959*(K959/$AU959)/VLOOKUP("交易",商品!$A$4:$B$60,2,FALSE),0),0)</f>
        <v>0</v>
      </c>
      <c r="AP959" t="str">
        <f>IFERROR(ROUND(S959*(N959/$AV959)/VLOOKUP(M959,职业!$A$4:$G$16,4,FALSE),0),"")</f>
        <v/>
      </c>
      <c r="AQ959" t="str">
        <f>IFERROR(ROUND(S959*(P959/$AV959)/VLOOKUP(O959,职业!$A$4:$G$16,4,FALSE),0),"")</f>
        <v/>
      </c>
      <c r="AR959" t="str">
        <f>IFERROR(ROUND(S959*(R959/$AV959)/VLOOKUP(Q959,职业!$A$4:$G$16,4,FALSE),0),"")</f>
        <v/>
      </c>
      <c r="AS959" t="str">
        <f>IFERROR(ROUND(X959*(U959/$AW959)/VLOOKUP(T959,商品!$A$4:$B$60,2,FALSE),0),"")</f>
        <v/>
      </c>
      <c r="AT959" t="str">
        <f>IFERROR(ROUND(X959*(W959/$AW959)/VLOOKUP(V959,商品!$A$4:$B$60,2,FALSE),0),"")</f>
        <v/>
      </c>
      <c r="AU959">
        <f t="shared" si="285"/>
        <v>15</v>
      </c>
      <c r="AV959">
        <f t="shared" si="286"/>
        <v>0</v>
      </c>
      <c r="AW959">
        <f t="shared" si="287"/>
        <v>0</v>
      </c>
    </row>
    <row r="960" spans="1:49" ht="19.95" customHeight="1" x14ac:dyDescent="0.25">
      <c r="A960" s="16" t="s">
        <v>385</v>
      </c>
      <c r="C960" s="16">
        <v>1</v>
      </c>
      <c r="D960" s="23" t="s">
        <v>171</v>
      </c>
      <c r="E960" s="23" t="s">
        <v>177</v>
      </c>
      <c r="L960" s="15">
        <f>IFERROR(VLOOKUP($D960&amp;$C960,生产方式定位!$A$2:$E$38,2,FALSE)+VLOOKUP($E960&amp;$C960,生产方式定位!$F$3:$J$38,2,FALSE),0)</f>
        <v>300</v>
      </c>
      <c r="S960" s="15">
        <f>IFERROR(VLOOKUP($D960&amp;$C960,生产方式定位!$A$2:$E$38,3,FALSE)+VLOOKUP($E960&amp;$C960,生产方式定位!$F$3:$J$38,3,FALSE),0)</f>
        <v>100</v>
      </c>
      <c r="X960" s="15">
        <f>IFERROR(VLOOKUP($D960&amp;$C960,生产方式定位!$A$2:$E$38,5,FALSE)+VLOOKUP($E960&amp;$C960,生产方式定位!$F$3:$J$38,5,FALSE),"错误")</f>
        <v>520</v>
      </c>
      <c r="Y960" s="26" t="str">
        <f t="shared" si="272"/>
        <v/>
      </c>
      <c r="Z960" s="36" t="str">
        <f t="shared" si="273"/>
        <v/>
      </c>
      <c r="AA960" s="36" t="str">
        <f t="shared" si="274"/>
        <v/>
      </c>
      <c r="AB960" s="27" t="str">
        <f t="shared" si="275"/>
        <v>73%</v>
      </c>
      <c r="AC960" s="2">
        <f t="shared" si="276"/>
        <v>120</v>
      </c>
      <c r="AD960" s="37">
        <f t="shared" si="277"/>
        <v>1</v>
      </c>
      <c r="AE960" t="str">
        <f t="shared" si="278"/>
        <v/>
      </c>
      <c r="AF960" t="str">
        <f t="shared" si="279"/>
        <v/>
      </c>
      <c r="AG960" t="str">
        <f t="shared" si="280"/>
        <v/>
      </c>
      <c r="AH960" t="str">
        <f t="shared" si="281"/>
        <v/>
      </c>
      <c r="AI960" t="str">
        <f t="shared" si="282"/>
        <v/>
      </c>
      <c r="AJ960" t="str">
        <f t="shared" si="283"/>
        <v/>
      </c>
      <c r="AK960" t="str">
        <f t="shared" si="284"/>
        <v/>
      </c>
      <c r="AL960" t="str">
        <f>IFERROR(ROUND(L960*(G960/$AU960)/VLOOKUP(F960,商品!$A$4:$B$60,2,FALSE),0),"")</f>
        <v/>
      </c>
      <c r="AM960" t="str">
        <f>IFERROR(ROUND(L960*(I960/$AU960)/VLOOKUP(H960,商品!$A$4:$B$60,2,FALSE),0),"")</f>
        <v/>
      </c>
      <c r="AN960">
        <f>IFERROR(ROUND(L960*(J960/$AU960)/VLOOKUP("运力",商品!$A$4:$B$60,2,FALSE),0),0)</f>
        <v>0</v>
      </c>
      <c r="AO960">
        <f>IFERROR(ROUND(L960*(K960/$AU960)/VLOOKUP("交易",商品!$A$4:$B$60,2,FALSE),0),0)</f>
        <v>0</v>
      </c>
      <c r="AP960" t="str">
        <f>IFERROR(ROUND(S960*(N960/$AV960)/VLOOKUP(M960,职业!$A$4:$G$16,4,FALSE),0),"")</f>
        <v/>
      </c>
      <c r="AQ960" t="str">
        <f>IFERROR(ROUND(S960*(P960/$AV960)/VLOOKUP(O960,职业!$A$4:$G$16,4,FALSE),0),"")</f>
        <v/>
      </c>
      <c r="AR960" t="str">
        <f>IFERROR(ROUND(S960*(R960/$AV960)/VLOOKUP(Q960,职业!$A$4:$G$16,4,FALSE),0),"")</f>
        <v/>
      </c>
      <c r="AS960" t="str">
        <f>IFERROR(ROUND(X960*(U960/$AW960)/VLOOKUP(T960,商品!$A$4:$B$60,2,FALSE),0),"")</f>
        <v/>
      </c>
      <c r="AT960" t="str">
        <f>IFERROR(ROUND(X960*(W960/$AW960)/VLOOKUP(V960,商品!$A$4:$B$60,2,FALSE),0),"")</f>
        <v/>
      </c>
      <c r="AU960">
        <f t="shared" si="285"/>
        <v>0</v>
      </c>
      <c r="AV960">
        <f t="shared" si="286"/>
        <v>0</v>
      </c>
      <c r="AW960">
        <f t="shared" si="287"/>
        <v>0</v>
      </c>
    </row>
    <row r="961" spans="1:49" ht="19.95" customHeight="1" x14ac:dyDescent="0.25">
      <c r="A961" s="16" t="s">
        <v>385</v>
      </c>
      <c r="C961" s="16">
        <v>2</v>
      </c>
      <c r="D961" s="23" t="s">
        <v>171</v>
      </c>
      <c r="E961" s="23" t="s">
        <v>177</v>
      </c>
      <c r="F961" s="2" t="s">
        <v>42</v>
      </c>
      <c r="G961" s="2">
        <v>5</v>
      </c>
      <c r="H961" s="2" t="s">
        <v>20</v>
      </c>
      <c r="I961" s="2">
        <v>10</v>
      </c>
      <c r="L961" s="15">
        <f>IFERROR(VLOOKUP($D961&amp;$C961,生产方式定位!$A$2:$E$38,2,FALSE)+VLOOKUP($E961&amp;$C961,生产方式定位!$F$3:$J$38,2,FALSE),0)</f>
        <v>705</v>
      </c>
      <c r="S961" s="15">
        <f>IFERROR(VLOOKUP($D961&amp;$C961,生产方式定位!$A$2:$E$38,3,FALSE)+VLOOKUP($E961&amp;$C961,生产方式定位!$F$3:$J$38,3,FALSE),0)</f>
        <v>115</v>
      </c>
      <c r="X961" s="15">
        <f>IFERROR(VLOOKUP($D961&amp;$C961,生产方式定位!$A$2:$E$38,5,FALSE)+VLOOKUP($E961&amp;$C961,生产方式定位!$F$3:$J$38,5,FALSE),"错误")</f>
        <v>910</v>
      </c>
      <c r="Y961" s="26" t="str">
        <f t="shared" si="272"/>
        <v>魔偶*6,灵能水晶*16</v>
      </c>
      <c r="Z961" s="36" t="str">
        <f t="shared" si="273"/>
        <v/>
      </c>
      <c r="AA961" s="36" t="str">
        <f t="shared" si="274"/>
        <v/>
      </c>
      <c r="AB961" s="27" t="str">
        <f t="shared" si="275"/>
        <v>29%</v>
      </c>
      <c r="AC961" s="2">
        <f t="shared" si="276"/>
        <v>90</v>
      </c>
      <c r="AD961" s="37">
        <f t="shared" si="277"/>
        <v>2</v>
      </c>
      <c r="AE961" t="str">
        <f t="shared" si="278"/>
        <v>魔偶*6</v>
      </c>
      <c r="AF961" t="str">
        <f t="shared" si="279"/>
        <v>灵能水晶*16</v>
      </c>
      <c r="AG961" t="str">
        <f t="shared" si="280"/>
        <v/>
      </c>
      <c r="AH961" t="str">
        <f t="shared" si="281"/>
        <v/>
      </c>
      <c r="AI961" t="str">
        <f t="shared" si="282"/>
        <v/>
      </c>
      <c r="AJ961" t="str">
        <f t="shared" si="283"/>
        <v/>
      </c>
      <c r="AK961" t="str">
        <f t="shared" si="284"/>
        <v/>
      </c>
      <c r="AL961">
        <f>IFERROR(ROUND(L961*(G961/$AU961)/VLOOKUP(F961,商品!$A$4:$B$60,2,FALSE),0),"")</f>
        <v>6</v>
      </c>
      <c r="AM961">
        <f>IFERROR(ROUND(L961*(I961/$AU961)/VLOOKUP(H961,商品!$A$4:$B$60,2,FALSE),0),"")</f>
        <v>16</v>
      </c>
      <c r="AN961">
        <f>IFERROR(ROUND(L961*(J961/$AU961)/VLOOKUP("运力",商品!$A$4:$B$60,2,FALSE),0),0)</f>
        <v>0</v>
      </c>
      <c r="AO961">
        <f>IFERROR(ROUND(L961*(K961/$AU961)/VLOOKUP("交易",商品!$A$4:$B$60,2,FALSE),0),0)</f>
        <v>0</v>
      </c>
      <c r="AP961" t="str">
        <f>IFERROR(ROUND(S961*(N961/$AV961)/VLOOKUP(M961,职业!$A$4:$G$16,4,FALSE),0),"")</f>
        <v/>
      </c>
      <c r="AQ961" t="str">
        <f>IFERROR(ROUND(S961*(P961/$AV961)/VLOOKUP(O961,职业!$A$4:$G$16,4,FALSE),0),"")</f>
        <v/>
      </c>
      <c r="AR961" t="str">
        <f>IFERROR(ROUND(S961*(R961/$AV961)/VLOOKUP(Q961,职业!$A$4:$G$16,4,FALSE),0),"")</f>
        <v/>
      </c>
      <c r="AS961" t="str">
        <f>IFERROR(ROUND(X961*(U961/$AW961)/VLOOKUP(T961,商品!$A$4:$B$60,2,FALSE),0),"")</f>
        <v/>
      </c>
      <c r="AT961" t="str">
        <f>IFERROR(ROUND(X961*(W961/$AW961)/VLOOKUP(V961,商品!$A$4:$B$60,2,FALSE),0),"")</f>
        <v/>
      </c>
      <c r="AU961">
        <f t="shared" si="285"/>
        <v>15</v>
      </c>
      <c r="AV961">
        <f t="shared" si="286"/>
        <v>0</v>
      </c>
      <c r="AW961">
        <f t="shared" si="287"/>
        <v>0</v>
      </c>
    </row>
    <row r="962" spans="1:49" ht="19.95" customHeight="1" x14ac:dyDescent="0.25">
      <c r="A962" s="16" t="s">
        <v>385</v>
      </c>
      <c r="C962" s="16">
        <v>3</v>
      </c>
      <c r="D962" s="23" t="s">
        <v>171</v>
      </c>
      <c r="E962" s="23" t="s">
        <v>177</v>
      </c>
      <c r="F962" s="2" t="s">
        <v>42</v>
      </c>
      <c r="G962" s="2">
        <v>5</v>
      </c>
      <c r="H962" s="2" t="s">
        <v>20</v>
      </c>
      <c r="I962" s="2">
        <v>10</v>
      </c>
      <c r="L962" s="15">
        <f>IFERROR(VLOOKUP($D962&amp;$C962,生产方式定位!$A$2:$E$38,2,FALSE)+VLOOKUP($E962&amp;$C962,生产方式定位!$F$3:$J$38,2,FALSE),0)</f>
        <v>1110</v>
      </c>
      <c r="S962" s="15">
        <f>IFERROR(VLOOKUP($D962&amp;$C962,生产方式定位!$A$2:$E$38,3,FALSE)+VLOOKUP($E962&amp;$C962,生产方式定位!$F$3:$J$38,3,FALSE),0)</f>
        <v>130</v>
      </c>
      <c r="X962" s="15">
        <f>IFERROR(VLOOKUP($D962&amp;$C962,生产方式定位!$A$2:$E$38,5,FALSE)+VLOOKUP($E962&amp;$C962,生产方式定位!$F$3:$J$38,5,FALSE),"错误")</f>
        <v>1300</v>
      </c>
      <c r="Y962" s="26" t="str">
        <f t="shared" si="272"/>
        <v>魔偶*9,灵能水晶*25</v>
      </c>
      <c r="Z962" s="36" t="str">
        <f t="shared" si="273"/>
        <v/>
      </c>
      <c r="AA962" s="36" t="str">
        <f t="shared" si="274"/>
        <v/>
      </c>
      <c r="AB962" s="27" t="str">
        <f t="shared" si="275"/>
        <v>17%</v>
      </c>
      <c r="AC962" s="2">
        <f t="shared" si="276"/>
        <v>60</v>
      </c>
      <c r="AD962" s="37">
        <f t="shared" si="277"/>
        <v>3</v>
      </c>
      <c r="AE962" t="str">
        <f t="shared" si="278"/>
        <v>魔偶*9</v>
      </c>
      <c r="AF962" t="str">
        <f t="shared" si="279"/>
        <v>灵能水晶*25</v>
      </c>
      <c r="AG962" t="str">
        <f t="shared" si="280"/>
        <v/>
      </c>
      <c r="AH962" t="str">
        <f t="shared" si="281"/>
        <v/>
      </c>
      <c r="AI962" t="str">
        <f t="shared" si="282"/>
        <v/>
      </c>
      <c r="AJ962" t="str">
        <f t="shared" si="283"/>
        <v/>
      </c>
      <c r="AK962" t="str">
        <f t="shared" si="284"/>
        <v/>
      </c>
      <c r="AL962">
        <f>IFERROR(ROUND(L962*(G962/$AU962)/VLOOKUP(F962,商品!$A$4:$B$60,2,FALSE),0),"")</f>
        <v>9</v>
      </c>
      <c r="AM962">
        <f>IFERROR(ROUND(L962*(I962/$AU962)/VLOOKUP(H962,商品!$A$4:$B$60,2,FALSE),0),"")</f>
        <v>25</v>
      </c>
      <c r="AN962">
        <f>IFERROR(ROUND(L962*(J962/$AU962)/VLOOKUP("运力",商品!$A$4:$B$60,2,FALSE),0),0)</f>
        <v>0</v>
      </c>
      <c r="AO962">
        <f>IFERROR(ROUND(L962*(K962/$AU962)/VLOOKUP("交易",商品!$A$4:$B$60,2,FALSE),0),0)</f>
        <v>0</v>
      </c>
      <c r="AP962" t="str">
        <f>IFERROR(ROUND(S962*(N962/$AV962)/VLOOKUP(M962,职业!$A$4:$G$16,4,FALSE),0),"")</f>
        <v/>
      </c>
      <c r="AQ962" t="str">
        <f>IFERROR(ROUND(S962*(P962/$AV962)/VLOOKUP(O962,职业!$A$4:$G$16,4,FALSE),0),"")</f>
        <v/>
      </c>
      <c r="AR962" t="str">
        <f>IFERROR(ROUND(S962*(R962/$AV962)/VLOOKUP(Q962,职业!$A$4:$G$16,4,FALSE),0),"")</f>
        <v/>
      </c>
      <c r="AS962" t="str">
        <f>IFERROR(ROUND(X962*(U962/$AW962)/VLOOKUP(T962,商品!$A$4:$B$60,2,FALSE),0),"")</f>
        <v/>
      </c>
      <c r="AT962" t="str">
        <f>IFERROR(ROUND(X962*(W962/$AW962)/VLOOKUP(V962,商品!$A$4:$B$60,2,FALSE),0),"")</f>
        <v/>
      </c>
      <c r="AU962">
        <f t="shared" si="285"/>
        <v>15</v>
      </c>
      <c r="AV962">
        <f t="shared" si="286"/>
        <v>0</v>
      </c>
      <c r="AW962">
        <f t="shared" si="287"/>
        <v>0</v>
      </c>
    </row>
    <row r="963" spans="1:49" ht="19.95" customHeight="1" x14ac:dyDescent="0.25">
      <c r="A963" s="16" t="s">
        <v>385</v>
      </c>
      <c r="C963" s="16">
        <v>4</v>
      </c>
      <c r="D963" s="23" t="s">
        <v>171</v>
      </c>
      <c r="E963" s="23" t="s">
        <v>177</v>
      </c>
      <c r="F963" s="2" t="s">
        <v>42</v>
      </c>
      <c r="G963" s="2">
        <v>5</v>
      </c>
      <c r="H963" s="2" t="s">
        <v>20</v>
      </c>
      <c r="I963" s="2">
        <v>10</v>
      </c>
      <c r="L963" s="15">
        <f>IFERROR(VLOOKUP($D963&amp;$C963,生产方式定位!$A$2:$E$38,2,FALSE)+VLOOKUP($E963&amp;$C963,生产方式定位!$F$3:$J$38,2,FALSE),0)</f>
        <v>1515</v>
      </c>
      <c r="S963" s="15">
        <f>IFERROR(VLOOKUP($D963&amp;$C963,生产方式定位!$A$2:$E$38,3,FALSE)+VLOOKUP($E963&amp;$C963,生产方式定位!$F$3:$J$38,3,FALSE),0)</f>
        <v>145</v>
      </c>
      <c r="X963" s="15">
        <f>IFERROR(VLOOKUP($D963&amp;$C963,生产方式定位!$A$2:$E$38,5,FALSE)+VLOOKUP($E963&amp;$C963,生产方式定位!$F$3:$J$38,5,FALSE),"错误")</f>
        <v>1690</v>
      </c>
      <c r="Y963" s="26" t="str">
        <f t="shared" si="272"/>
        <v>魔偶*13,灵能水晶*34</v>
      </c>
      <c r="Z963" s="36" t="str">
        <f t="shared" si="273"/>
        <v/>
      </c>
      <c r="AA963" s="36" t="str">
        <f t="shared" si="274"/>
        <v/>
      </c>
      <c r="AB963" s="27" t="str">
        <f t="shared" si="275"/>
        <v>12%</v>
      </c>
      <c r="AC963" s="2">
        <f t="shared" si="276"/>
        <v>30</v>
      </c>
      <c r="AD963" s="37">
        <f t="shared" si="277"/>
        <v>4</v>
      </c>
      <c r="AE963" t="str">
        <f t="shared" si="278"/>
        <v>魔偶*13</v>
      </c>
      <c r="AF963" t="str">
        <f t="shared" si="279"/>
        <v>灵能水晶*34</v>
      </c>
      <c r="AG963" t="str">
        <f t="shared" si="280"/>
        <v/>
      </c>
      <c r="AH963" t="str">
        <f t="shared" si="281"/>
        <v/>
      </c>
      <c r="AI963" t="str">
        <f t="shared" si="282"/>
        <v/>
      </c>
      <c r="AJ963" t="str">
        <f t="shared" si="283"/>
        <v/>
      </c>
      <c r="AK963" t="str">
        <f t="shared" si="284"/>
        <v/>
      </c>
      <c r="AL963">
        <f>IFERROR(ROUND(L963*(G963/$AU963)/VLOOKUP(F963,商品!$A$4:$B$60,2,FALSE),0),"")</f>
        <v>13</v>
      </c>
      <c r="AM963">
        <f>IFERROR(ROUND(L963*(I963/$AU963)/VLOOKUP(H963,商品!$A$4:$B$60,2,FALSE),0),"")</f>
        <v>34</v>
      </c>
      <c r="AN963">
        <f>IFERROR(ROUND(L963*(J963/$AU963)/VLOOKUP("运力",商品!$A$4:$B$60,2,FALSE),0),0)</f>
        <v>0</v>
      </c>
      <c r="AO963">
        <f>IFERROR(ROUND(L963*(K963/$AU963)/VLOOKUP("交易",商品!$A$4:$B$60,2,FALSE),0),0)</f>
        <v>0</v>
      </c>
      <c r="AP963" t="str">
        <f>IFERROR(ROUND(S963*(N963/$AV963)/VLOOKUP(M963,职业!$A$4:$G$16,4,FALSE),0),"")</f>
        <v/>
      </c>
      <c r="AQ963" t="str">
        <f>IFERROR(ROUND(S963*(P963/$AV963)/VLOOKUP(O963,职业!$A$4:$G$16,4,FALSE),0),"")</f>
        <v/>
      </c>
      <c r="AR963" t="str">
        <f>IFERROR(ROUND(S963*(R963/$AV963)/VLOOKUP(Q963,职业!$A$4:$G$16,4,FALSE),0),"")</f>
        <v/>
      </c>
      <c r="AS963" t="str">
        <f>IFERROR(ROUND(X963*(U963/$AW963)/VLOOKUP(T963,商品!$A$4:$B$60,2,FALSE),0),"")</f>
        <v/>
      </c>
      <c r="AT963" t="str">
        <f>IFERROR(ROUND(X963*(W963/$AW963)/VLOOKUP(V963,商品!$A$4:$B$60,2,FALSE),0),"")</f>
        <v/>
      </c>
      <c r="AU963">
        <f t="shared" si="285"/>
        <v>15</v>
      </c>
      <c r="AV963">
        <f t="shared" si="286"/>
        <v>0</v>
      </c>
      <c r="AW963">
        <f t="shared" si="287"/>
        <v>0</v>
      </c>
    </row>
    <row r="964" spans="1:49" ht="19.95" customHeight="1" x14ac:dyDescent="0.25">
      <c r="A964" s="16" t="s">
        <v>385</v>
      </c>
      <c r="C964" s="16">
        <v>5</v>
      </c>
      <c r="D964" s="23" t="s">
        <v>171</v>
      </c>
      <c r="E964" s="23" t="s">
        <v>177</v>
      </c>
      <c r="F964" s="2" t="s">
        <v>42</v>
      </c>
      <c r="G964" s="2">
        <v>5</v>
      </c>
      <c r="H964" s="2" t="s">
        <v>20</v>
      </c>
      <c r="I964" s="2">
        <v>10</v>
      </c>
      <c r="L964" s="15">
        <f>IFERROR(VLOOKUP($D964&amp;$C964,生产方式定位!$A$2:$E$38,2,FALSE)+VLOOKUP($E964&amp;$C964,生产方式定位!$F$3:$J$38,2,FALSE),0)</f>
        <v>1920</v>
      </c>
      <c r="S964" s="15">
        <f>IFERROR(VLOOKUP($D964&amp;$C964,生产方式定位!$A$2:$E$38,3,FALSE)+VLOOKUP($E964&amp;$C964,生产方式定位!$F$3:$J$38,3,FALSE),0)</f>
        <v>160</v>
      </c>
      <c r="X964" s="15">
        <f>IFERROR(VLOOKUP($D964&amp;$C964,生产方式定位!$A$2:$E$38,5,FALSE)+VLOOKUP($E964&amp;$C964,生产方式定位!$F$3:$J$38,5,FALSE),"错误")</f>
        <v>2080</v>
      </c>
      <c r="Y964" s="26" t="str">
        <f t="shared" si="272"/>
        <v>魔偶*16,灵能水晶*43</v>
      </c>
      <c r="Z964" s="36" t="str">
        <f t="shared" si="273"/>
        <v/>
      </c>
      <c r="AA964" s="36" t="str">
        <f t="shared" si="274"/>
        <v/>
      </c>
      <c r="AB964" s="27" t="str">
        <f t="shared" si="275"/>
        <v>8%</v>
      </c>
      <c r="AC964" s="2" t="str">
        <f t="shared" si="276"/>
        <v/>
      </c>
      <c r="AD964" s="37">
        <f t="shared" si="277"/>
        <v>5</v>
      </c>
      <c r="AE964" t="str">
        <f t="shared" si="278"/>
        <v>魔偶*16</v>
      </c>
      <c r="AF964" t="str">
        <f t="shared" si="279"/>
        <v>灵能水晶*43</v>
      </c>
      <c r="AG964" t="str">
        <f t="shared" si="280"/>
        <v/>
      </c>
      <c r="AH964" t="str">
        <f t="shared" si="281"/>
        <v/>
      </c>
      <c r="AI964" t="str">
        <f t="shared" si="282"/>
        <v/>
      </c>
      <c r="AJ964" t="str">
        <f t="shared" si="283"/>
        <v/>
      </c>
      <c r="AK964" t="str">
        <f t="shared" si="284"/>
        <v/>
      </c>
      <c r="AL964">
        <f>IFERROR(ROUND(L964*(G964/$AU964)/VLOOKUP(F964,商品!$A$4:$B$60,2,FALSE),0),"")</f>
        <v>16</v>
      </c>
      <c r="AM964">
        <f>IFERROR(ROUND(L964*(I964/$AU964)/VLOOKUP(H964,商品!$A$4:$B$60,2,FALSE),0),"")</f>
        <v>43</v>
      </c>
      <c r="AN964">
        <f>IFERROR(ROUND(L964*(J964/$AU964)/VLOOKUP("运力",商品!$A$4:$B$60,2,FALSE),0),0)</f>
        <v>0</v>
      </c>
      <c r="AO964">
        <f>IFERROR(ROUND(L964*(K964/$AU964)/VLOOKUP("交易",商品!$A$4:$B$60,2,FALSE),0),0)</f>
        <v>0</v>
      </c>
      <c r="AP964" t="str">
        <f>IFERROR(ROUND(S964*(N964/$AV964)/VLOOKUP(M964,职业!$A$4:$G$16,4,FALSE),0),"")</f>
        <v/>
      </c>
      <c r="AQ964" t="str">
        <f>IFERROR(ROUND(S964*(P964/$AV964)/VLOOKUP(O964,职业!$A$4:$G$16,4,FALSE),0),"")</f>
        <v/>
      </c>
      <c r="AR964" t="str">
        <f>IFERROR(ROUND(S964*(R964/$AV964)/VLOOKUP(Q964,职业!$A$4:$G$16,4,FALSE),0),"")</f>
        <v/>
      </c>
      <c r="AS964" t="str">
        <f>IFERROR(ROUND(X964*(U964/$AW964)/VLOOKUP(T964,商品!$A$4:$B$60,2,FALSE),0),"")</f>
        <v/>
      </c>
      <c r="AT964" t="str">
        <f>IFERROR(ROUND(X964*(W964/$AW964)/VLOOKUP(V964,商品!$A$4:$B$60,2,FALSE),0),"")</f>
        <v/>
      </c>
      <c r="AU964">
        <f t="shared" si="285"/>
        <v>15</v>
      </c>
      <c r="AV964">
        <f t="shared" si="286"/>
        <v>0</v>
      </c>
      <c r="AW964">
        <f t="shared" si="287"/>
        <v>0</v>
      </c>
    </row>
    <row r="965" spans="1:49" ht="19.95" customHeight="1" x14ac:dyDescent="0.25">
      <c r="A965" s="15" t="s">
        <v>386</v>
      </c>
      <c r="C965" s="15">
        <v>1</v>
      </c>
      <c r="D965" s="23" t="s">
        <v>174</v>
      </c>
      <c r="E965" s="23" t="s">
        <v>179</v>
      </c>
      <c r="L965" s="16">
        <f>IFERROR(VLOOKUP($D965&amp;$C965,生产方式定位!$A$2:$E$38,2,FALSE)+VLOOKUP($E965&amp;$C965,生产方式定位!$F$3:$J$38,2,FALSE),0)</f>
        <v>0</v>
      </c>
      <c r="S965" s="16">
        <f>IFERROR(VLOOKUP($D965&amp;$C965,生产方式定位!$A$2:$E$38,3,FALSE)+VLOOKUP($E965&amp;$C965,生产方式定位!$F$3:$J$38,3,FALSE),0)</f>
        <v>100</v>
      </c>
      <c r="X965" s="16">
        <f>IFERROR(VLOOKUP($D965&amp;$C965,生产方式定位!$A$2:$E$38,5,FALSE)+VLOOKUP($E965&amp;$C965,生产方式定位!$F$3:$J$38,5,FALSE),"错误")</f>
        <v>100</v>
      </c>
      <c r="Y965" s="26" t="str">
        <f t="shared" si="272"/>
        <v/>
      </c>
      <c r="Z965" s="36" t="str">
        <f t="shared" si="273"/>
        <v/>
      </c>
      <c r="AA965" s="36" t="str">
        <f t="shared" si="274"/>
        <v/>
      </c>
      <c r="AB965" s="27" t="str">
        <f t="shared" si="275"/>
        <v/>
      </c>
      <c r="AC965" s="2" t="str">
        <f t="shared" si="276"/>
        <v/>
      </c>
      <c r="AD965" s="38">
        <f t="shared" si="277"/>
        <v>1</v>
      </c>
      <c r="AE965" t="str">
        <f t="shared" si="278"/>
        <v/>
      </c>
      <c r="AF965" t="str">
        <f t="shared" si="279"/>
        <v/>
      </c>
      <c r="AG965" t="str">
        <f t="shared" si="280"/>
        <v/>
      </c>
      <c r="AH965" t="str">
        <f t="shared" si="281"/>
        <v/>
      </c>
      <c r="AI965" t="str">
        <f t="shared" si="282"/>
        <v/>
      </c>
      <c r="AJ965" t="str">
        <f t="shared" si="283"/>
        <v/>
      </c>
      <c r="AK965" t="str">
        <f t="shared" si="284"/>
        <v/>
      </c>
      <c r="AL965" t="str">
        <f>IFERROR(ROUND(L965*(G965/$AU965)/VLOOKUP(F965,商品!$A$4:$B$60,2,FALSE),0),"")</f>
        <v/>
      </c>
      <c r="AM965" t="str">
        <f>IFERROR(ROUND(L965*(I965/$AU965)/VLOOKUP(H965,商品!$A$4:$B$60,2,FALSE),0),"")</f>
        <v/>
      </c>
      <c r="AN965">
        <f>IFERROR(ROUND(L965*(J965/$AU965)/VLOOKUP("运力",商品!$A$4:$B$60,2,FALSE),0),0)</f>
        <v>0</v>
      </c>
      <c r="AO965">
        <f>IFERROR(ROUND(L965*(K965/$AU965)/VLOOKUP("交易",商品!$A$4:$B$60,2,FALSE),0),0)</f>
        <v>0</v>
      </c>
      <c r="AP965" t="str">
        <f>IFERROR(ROUND(S965*(N965/$AV965)/VLOOKUP(M965,职业!$A$4:$G$16,4,FALSE),0),"")</f>
        <v/>
      </c>
      <c r="AQ965" t="str">
        <f>IFERROR(ROUND(S965*(P965/$AV965)/VLOOKUP(O965,职业!$A$4:$G$16,4,FALSE),0),"")</f>
        <v/>
      </c>
      <c r="AR965" t="str">
        <f>IFERROR(ROUND(S965*(R965/$AV965)/VLOOKUP(Q965,职业!$A$4:$G$16,4,FALSE),0),"")</f>
        <v/>
      </c>
      <c r="AS965" t="str">
        <f>IFERROR(ROUND(X965*(U965/$AW965)/VLOOKUP(T965,商品!$A$4:$B$60,2,FALSE),0),"")</f>
        <v/>
      </c>
      <c r="AT965" t="str">
        <f>IFERROR(ROUND(X965*(W965/$AW965)/VLOOKUP(V965,商品!$A$4:$B$60,2,FALSE),0),"")</f>
        <v/>
      </c>
      <c r="AU965">
        <f t="shared" si="285"/>
        <v>0</v>
      </c>
      <c r="AV965">
        <f t="shared" si="286"/>
        <v>0</v>
      </c>
      <c r="AW965">
        <f t="shared" si="287"/>
        <v>0</v>
      </c>
    </row>
    <row r="966" spans="1:49" ht="19.95" customHeight="1" x14ac:dyDescent="0.25">
      <c r="A966" s="15" t="s">
        <v>386</v>
      </c>
      <c r="C966" s="15">
        <v>2</v>
      </c>
      <c r="D966" s="23" t="s">
        <v>174</v>
      </c>
      <c r="E966" s="23" t="s">
        <v>179</v>
      </c>
      <c r="L966" s="16">
        <f>IFERROR(VLOOKUP($D966&amp;$C966,生产方式定位!$A$2:$E$38,2,FALSE)+VLOOKUP($E966&amp;$C966,生产方式定位!$F$3:$J$38,2,FALSE),0)</f>
        <v>0</v>
      </c>
      <c r="S966" s="16">
        <f>IFERROR(VLOOKUP($D966&amp;$C966,生产方式定位!$A$2:$E$38,3,FALSE)+VLOOKUP($E966&amp;$C966,生产方式定位!$F$3:$J$38,3,FALSE),0)</f>
        <v>100</v>
      </c>
      <c r="X966" s="16">
        <f>IFERROR(VLOOKUP($D966&amp;$C966,生产方式定位!$A$2:$E$38,5,FALSE)+VLOOKUP($E966&amp;$C966,生产方式定位!$F$3:$J$38,5,FALSE),"错误")</f>
        <v>100</v>
      </c>
      <c r="Y966" s="26" t="str">
        <f t="shared" si="272"/>
        <v/>
      </c>
      <c r="Z966" s="36" t="str">
        <f t="shared" si="273"/>
        <v/>
      </c>
      <c r="AA966" s="36" t="str">
        <f t="shared" si="274"/>
        <v/>
      </c>
      <c r="AB966" s="27" t="str">
        <f t="shared" si="275"/>
        <v/>
      </c>
      <c r="AC966" s="2" t="str">
        <f t="shared" si="276"/>
        <v/>
      </c>
      <c r="AD966" s="38">
        <f t="shared" si="277"/>
        <v>2</v>
      </c>
      <c r="AE966" t="str">
        <f t="shared" si="278"/>
        <v/>
      </c>
      <c r="AF966" t="str">
        <f t="shared" si="279"/>
        <v/>
      </c>
      <c r="AG966" t="str">
        <f t="shared" si="280"/>
        <v/>
      </c>
      <c r="AH966" t="str">
        <f t="shared" si="281"/>
        <v/>
      </c>
      <c r="AI966" t="str">
        <f t="shared" si="282"/>
        <v/>
      </c>
      <c r="AJ966" t="str">
        <f t="shared" si="283"/>
        <v/>
      </c>
      <c r="AK966" t="str">
        <f t="shared" si="284"/>
        <v/>
      </c>
      <c r="AL966" t="str">
        <f>IFERROR(ROUND(L966*(G966/$AU966)/VLOOKUP(F966,商品!$A$4:$B$60,2,FALSE),0),"")</f>
        <v/>
      </c>
      <c r="AM966" t="str">
        <f>IFERROR(ROUND(L966*(I966/$AU966)/VLOOKUP(H966,商品!$A$4:$B$60,2,FALSE),0),"")</f>
        <v/>
      </c>
      <c r="AN966">
        <f>IFERROR(ROUND(L966*(J966/$AU966)/VLOOKUP("运力",商品!$A$4:$B$60,2,FALSE),0),0)</f>
        <v>0</v>
      </c>
      <c r="AO966">
        <f>IFERROR(ROUND(L966*(K966/$AU966)/VLOOKUP("交易",商品!$A$4:$B$60,2,FALSE),0),0)</f>
        <v>0</v>
      </c>
      <c r="AP966" t="str">
        <f>IFERROR(ROUND(S966*(N966/$AV966)/VLOOKUP(M966,职业!$A$4:$G$16,4,FALSE),0),"")</f>
        <v/>
      </c>
      <c r="AQ966" t="str">
        <f>IFERROR(ROUND(S966*(P966/$AV966)/VLOOKUP(O966,职业!$A$4:$G$16,4,FALSE),0),"")</f>
        <v/>
      </c>
      <c r="AR966" t="str">
        <f>IFERROR(ROUND(S966*(R966/$AV966)/VLOOKUP(Q966,职业!$A$4:$G$16,4,FALSE),0),"")</f>
        <v/>
      </c>
      <c r="AS966" t="str">
        <f>IFERROR(ROUND(X966*(U966/$AW966)/VLOOKUP(T966,商品!$A$4:$B$60,2,FALSE),0),"")</f>
        <v/>
      </c>
      <c r="AT966" t="str">
        <f>IFERROR(ROUND(X966*(W966/$AW966)/VLOOKUP(V966,商品!$A$4:$B$60,2,FALSE),0),"")</f>
        <v/>
      </c>
      <c r="AU966">
        <f t="shared" si="285"/>
        <v>0</v>
      </c>
      <c r="AV966">
        <f t="shared" si="286"/>
        <v>0</v>
      </c>
      <c r="AW966">
        <f t="shared" si="287"/>
        <v>0</v>
      </c>
    </row>
    <row r="967" spans="1:49" ht="19.95" customHeight="1" x14ac:dyDescent="0.25">
      <c r="A967" s="15" t="s">
        <v>386</v>
      </c>
      <c r="C967" s="15">
        <v>3</v>
      </c>
      <c r="D967" s="23" t="s">
        <v>174</v>
      </c>
      <c r="E967" s="23" t="s">
        <v>179</v>
      </c>
      <c r="L967" s="16">
        <f>IFERROR(VLOOKUP($D967&amp;$C967,生产方式定位!$A$2:$E$38,2,FALSE)+VLOOKUP($E967&amp;$C967,生产方式定位!$F$3:$J$38,2,FALSE),0)</f>
        <v>0</v>
      </c>
      <c r="S967" s="16">
        <f>IFERROR(VLOOKUP($D967&amp;$C967,生产方式定位!$A$2:$E$38,3,FALSE)+VLOOKUP($E967&amp;$C967,生产方式定位!$F$3:$J$38,3,FALSE),0)</f>
        <v>100</v>
      </c>
      <c r="X967" s="16">
        <f>IFERROR(VLOOKUP($D967&amp;$C967,生产方式定位!$A$2:$E$38,5,FALSE)+VLOOKUP($E967&amp;$C967,生产方式定位!$F$3:$J$38,5,FALSE),"错误")</f>
        <v>100</v>
      </c>
      <c r="Y967" s="26" t="str">
        <f t="shared" si="272"/>
        <v/>
      </c>
      <c r="Z967" s="36" t="str">
        <f t="shared" si="273"/>
        <v/>
      </c>
      <c r="AA967" s="36" t="str">
        <f t="shared" si="274"/>
        <v/>
      </c>
      <c r="AB967" s="27" t="str">
        <f t="shared" si="275"/>
        <v/>
      </c>
      <c r="AC967" s="2" t="str">
        <f t="shared" si="276"/>
        <v/>
      </c>
      <c r="AD967" s="38">
        <f t="shared" si="277"/>
        <v>3</v>
      </c>
      <c r="AE967" t="str">
        <f t="shared" si="278"/>
        <v/>
      </c>
      <c r="AF967" t="str">
        <f t="shared" si="279"/>
        <v/>
      </c>
      <c r="AG967" t="str">
        <f t="shared" si="280"/>
        <v/>
      </c>
      <c r="AH967" t="str">
        <f t="shared" si="281"/>
        <v/>
      </c>
      <c r="AI967" t="str">
        <f t="shared" si="282"/>
        <v/>
      </c>
      <c r="AJ967" t="str">
        <f t="shared" si="283"/>
        <v/>
      </c>
      <c r="AK967" t="str">
        <f t="shared" si="284"/>
        <v/>
      </c>
      <c r="AL967" t="str">
        <f>IFERROR(ROUND(L967*(G967/$AU967)/VLOOKUP(F967,商品!$A$4:$B$60,2,FALSE),0),"")</f>
        <v/>
      </c>
      <c r="AM967" t="str">
        <f>IFERROR(ROUND(L967*(I967/$AU967)/VLOOKUP(H967,商品!$A$4:$B$60,2,FALSE),0),"")</f>
        <v/>
      </c>
      <c r="AN967">
        <f>IFERROR(ROUND(L967*(J967/$AU967)/VLOOKUP("运力",商品!$A$4:$B$60,2,FALSE),0),0)</f>
        <v>0</v>
      </c>
      <c r="AO967">
        <f>IFERROR(ROUND(L967*(K967/$AU967)/VLOOKUP("交易",商品!$A$4:$B$60,2,FALSE),0),0)</f>
        <v>0</v>
      </c>
      <c r="AP967" t="str">
        <f>IFERROR(ROUND(S967*(N967/$AV967)/VLOOKUP(M967,职业!$A$4:$G$16,4,FALSE),0),"")</f>
        <v/>
      </c>
      <c r="AQ967" t="str">
        <f>IFERROR(ROUND(S967*(P967/$AV967)/VLOOKUP(O967,职业!$A$4:$G$16,4,FALSE),0),"")</f>
        <v/>
      </c>
      <c r="AR967" t="str">
        <f>IFERROR(ROUND(S967*(R967/$AV967)/VLOOKUP(Q967,职业!$A$4:$G$16,4,FALSE),0),"")</f>
        <v/>
      </c>
      <c r="AS967" t="str">
        <f>IFERROR(ROUND(X967*(U967/$AW967)/VLOOKUP(T967,商品!$A$4:$B$60,2,FALSE),0),"")</f>
        <v/>
      </c>
      <c r="AT967" t="str">
        <f>IFERROR(ROUND(X967*(W967/$AW967)/VLOOKUP(V967,商品!$A$4:$B$60,2,FALSE),0),"")</f>
        <v/>
      </c>
      <c r="AU967">
        <f t="shared" si="285"/>
        <v>0</v>
      </c>
      <c r="AV967">
        <f t="shared" si="286"/>
        <v>0</v>
      </c>
      <c r="AW967">
        <f t="shared" si="287"/>
        <v>0</v>
      </c>
    </row>
    <row r="968" spans="1:49" ht="19.95" customHeight="1" x14ac:dyDescent="0.25">
      <c r="A968" s="15" t="s">
        <v>386</v>
      </c>
      <c r="C968" s="15">
        <v>4</v>
      </c>
      <c r="D968" s="23" t="s">
        <v>174</v>
      </c>
      <c r="E968" s="23" t="s">
        <v>179</v>
      </c>
      <c r="L968" s="16">
        <f>IFERROR(VLOOKUP($D968&amp;$C968,生产方式定位!$A$2:$E$38,2,FALSE)+VLOOKUP($E968&amp;$C968,生产方式定位!$F$3:$J$38,2,FALSE),0)</f>
        <v>0</v>
      </c>
      <c r="S968" s="16">
        <f>IFERROR(VLOOKUP($D968&amp;$C968,生产方式定位!$A$2:$E$38,3,FALSE)+VLOOKUP($E968&amp;$C968,生产方式定位!$F$3:$J$38,3,FALSE),0)</f>
        <v>100</v>
      </c>
      <c r="X968" s="16">
        <f>IFERROR(VLOOKUP($D968&amp;$C968,生产方式定位!$A$2:$E$38,5,FALSE)+VLOOKUP($E968&amp;$C968,生产方式定位!$F$3:$J$38,5,FALSE),"错误")</f>
        <v>100</v>
      </c>
      <c r="Y968" s="26" t="str">
        <f t="shared" si="272"/>
        <v/>
      </c>
      <c r="Z968" s="36" t="str">
        <f t="shared" si="273"/>
        <v/>
      </c>
      <c r="AA968" s="36" t="str">
        <f t="shared" si="274"/>
        <v/>
      </c>
      <c r="AB968" s="27" t="str">
        <f t="shared" si="275"/>
        <v/>
      </c>
      <c r="AC968" s="2" t="str">
        <f t="shared" si="276"/>
        <v/>
      </c>
      <c r="AD968" s="38">
        <f t="shared" si="277"/>
        <v>4</v>
      </c>
      <c r="AE968" t="str">
        <f t="shared" si="278"/>
        <v/>
      </c>
      <c r="AF968" t="str">
        <f t="shared" si="279"/>
        <v/>
      </c>
      <c r="AG968" t="str">
        <f t="shared" si="280"/>
        <v/>
      </c>
      <c r="AH968" t="str">
        <f t="shared" si="281"/>
        <v/>
      </c>
      <c r="AI968" t="str">
        <f t="shared" si="282"/>
        <v/>
      </c>
      <c r="AJ968" t="str">
        <f t="shared" si="283"/>
        <v/>
      </c>
      <c r="AK968" t="str">
        <f t="shared" si="284"/>
        <v/>
      </c>
      <c r="AL968" t="str">
        <f>IFERROR(ROUND(L968*(G968/$AU968)/VLOOKUP(F968,商品!$A$4:$B$60,2,FALSE),0),"")</f>
        <v/>
      </c>
      <c r="AM968" t="str">
        <f>IFERROR(ROUND(L968*(I968/$AU968)/VLOOKUP(H968,商品!$A$4:$B$60,2,FALSE),0),"")</f>
        <v/>
      </c>
      <c r="AN968">
        <f>IFERROR(ROUND(L968*(J968/$AU968)/VLOOKUP("运力",商品!$A$4:$B$60,2,FALSE),0),0)</f>
        <v>0</v>
      </c>
      <c r="AO968">
        <f>IFERROR(ROUND(L968*(K968/$AU968)/VLOOKUP("交易",商品!$A$4:$B$60,2,FALSE),0),0)</f>
        <v>0</v>
      </c>
      <c r="AP968" t="str">
        <f>IFERROR(ROUND(S968*(N968/$AV968)/VLOOKUP(M968,职业!$A$4:$G$16,4,FALSE),0),"")</f>
        <v/>
      </c>
      <c r="AQ968" t="str">
        <f>IFERROR(ROUND(S968*(P968/$AV968)/VLOOKUP(O968,职业!$A$4:$G$16,4,FALSE),0),"")</f>
        <v/>
      </c>
      <c r="AR968" t="str">
        <f>IFERROR(ROUND(S968*(R968/$AV968)/VLOOKUP(Q968,职业!$A$4:$G$16,4,FALSE),0),"")</f>
        <v/>
      </c>
      <c r="AS968" t="str">
        <f>IFERROR(ROUND(X968*(U968/$AW968)/VLOOKUP(T968,商品!$A$4:$B$60,2,FALSE),0),"")</f>
        <v/>
      </c>
      <c r="AT968" t="str">
        <f>IFERROR(ROUND(X968*(W968/$AW968)/VLOOKUP(V968,商品!$A$4:$B$60,2,FALSE),0),"")</f>
        <v/>
      </c>
      <c r="AU968">
        <f t="shared" si="285"/>
        <v>0</v>
      </c>
      <c r="AV968">
        <f t="shared" si="286"/>
        <v>0</v>
      </c>
      <c r="AW968">
        <f t="shared" si="287"/>
        <v>0</v>
      </c>
    </row>
    <row r="969" spans="1:49" ht="19.95" customHeight="1" x14ac:dyDescent="0.25">
      <c r="A969" s="15" t="s">
        <v>386</v>
      </c>
      <c r="C969" s="15">
        <v>5</v>
      </c>
      <c r="D969" s="23" t="s">
        <v>174</v>
      </c>
      <c r="E969" s="23" t="s">
        <v>179</v>
      </c>
      <c r="L969" s="16">
        <f>IFERROR(VLOOKUP($D969&amp;$C969,生产方式定位!$A$2:$E$38,2,FALSE)+VLOOKUP($E969&amp;$C969,生产方式定位!$F$3:$J$38,2,FALSE),0)</f>
        <v>0</v>
      </c>
      <c r="S969" s="16">
        <f>IFERROR(VLOOKUP($D969&amp;$C969,生产方式定位!$A$2:$E$38,3,FALSE)+VLOOKUP($E969&amp;$C969,生产方式定位!$F$3:$J$38,3,FALSE),0)</f>
        <v>100</v>
      </c>
      <c r="X969" s="16">
        <f>IFERROR(VLOOKUP($D969&amp;$C969,生产方式定位!$A$2:$E$38,5,FALSE)+VLOOKUP($E969&amp;$C969,生产方式定位!$F$3:$J$38,5,FALSE),"错误")</f>
        <v>100</v>
      </c>
      <c r="Y969" s="26" t="str">
        <f t="shared" si="272"/>
        <v/>
      </c>
      <c r="Z969" s="36" t="str">
        <f t="shared" si="273"/>
        <v/>
      </c>
      <c r="AA969" s="36" t="str">
        <f t="shared" si="274"/>
        <v/>
      </c>
      <c r="AB969" s="27" t="str">
        <f t="shared" si="275"/>
        <v/>
      </c>
      <c r="AC969" s="2" t="str">
        <f t="shared" si="276"/>
        <v/>
      </c>
      <c r="AD969" s="38">
        <f t="shared" si="277"/>
        <v>5</v>
      </c>
      <c r="AE969" t="str">
        <f t="shared" si="278"/>
        <v/>
      </c>
      <c r="AF969" t="str">
        <f t="shared" si="279"/>
        <v/>
      </c>
      <c r="AG969" t="str">
        <f t="shared" si="280"/>
        <v/>
      </c>
      <c r="AH969" t="str">
        <f t="shared" si="281"/>
        <v/>
      </c>
      <c r="AI969" t="str">
        <f t="shared" si="282"/>
        <v/>
      </c>
      <c r="AJ969" t="str">
        <f t="shared" si="283"/>
        <v/>
      </c>
      <c r="AK969" t="str">
        <f t="shared" si="284"/>
        <v/>
      </c>
      <c r="AL969" t="str">
        <f>IFERROR(ROUND(L969*(G969/$AU969)/VLOOKUP(F969,商品!$A$4:$B$60,2,FALSE),0),"")</f>
        <v/>
      </c>
      <c r="AM969" t="str">
        <f>IFERROR(ROUND(L969*(I969/$AU969)/VLOOKUP(H969,商品!$A$4:$B$60,2,FALSE),0),"")</f>
        <v/>
      </c>
      <c r="AN969">
        <f>IFERROR(ROUND(L969*(J969/$AU969)/VLOOKUP("运力",商品!$A$4:$B$60,2,FALSE),0),0)</f>
        <v>0</v>
      </c>
      <c r="AO969">
        <f>IFERROR(ROUND(L969*(K969/$AU969)/VLOOKUP("交易",商品!$A$4:$B$60,2,FALSE),0),0)</f>
        <v>0</v>
      </c>
      <c r="AP969" t="str">
        <f>IFERROR(ROUND(S969*(N969/$AV969)/VLOOKUP(M969,职业!$A$4:$G$16,4,FALSE),0),"")</f>
        <v/>
      </c>
      <c r="AQ969" t="str">
        <f>IFERROR(ROUND(S969*(P969/$AV969)/VLOOKUP(O969,职业!$A$4:$G$16,4,FALSE),0),"")</f>
        <v/>
      </c>
      <c r="AR969" t="str">
        <f>IFERROR(ROUND(S969*(R969/$AV969)/VLOOKUP(Q969,职业!$A$4:$G$16,4,FALSE),0),"")</f>
        <v/>
      </c>
      <c r="AS969" t="str">
        <f>IFERROR(ROUND(X969*(U969/$AW969)/VLOOKUP(T969,商品!$A$4:$B$60,2,FALSE),0),"")</f>
        <v/>
      </c>
      <c r="AT969" t="str">
        <f>IFERROR(ROUND(X969*(W969/$AW969)/VLOOKUP(V969,商品!$A$4:$B$60,2,FALSE),0),"")</f>
        <v/>
      </c>
      <c r="AU969">
        <f t="shared" si="285"/>
        <v>0</v>
      </c>
      <c r="AV969">
        <f t="shared" si="286"/>
        <v>0</v>
      </c>
      <c r="AW969">
        <f t="shared" si="287"/>
        <v>0</v>
      </c>
    </row>
    <row r="970" spans="1:49" ht="19.95" customHeight="1" x14ac:dyDescent="0.25">
      <c r="A970" s="15" t="s">
        <v>386</v>
      </c>
      <c r="C970" s="15">
        <v>6</v>
      </c>
      <c r="D970" s="23" t="s">
        <v>174</v>
      </c>
      <c r="E970" s="23" t="s">
        <v>179</v>
      </c>
      <c r="L970" s="16">
        <f>IFERROR(VLOOKUP($D970&amp;$C970,生产方式定位!$A$2:$E$38,2,FALSE)+VLOOKUP($E970&amp;$C970,生产方式定位!$F$3:$J$38,2,FALSE),0)</f>
        <v>0</v>
      </c>
      <c r="S970" s="16">
        <f>IFERROR(VLOOKUP($D970&amp;$C970,生产方式定位!$A$2:$E$38,3,FALSE)+VLOOKUP($E970&amp;$C970,生产方式定位!$F$3:$J$38,3,FALSE),0)</f>
        <v>100</v>
      </c>
      <c r="X970" s="16">
        <f>IFERROR(VLOOKUP($D970&amp;$C970,生产方式定位!$A$2:$E$38,5,FALSE)+VLOOKUP($E970&amp;$C970,生产方式定位!$F$3:$J$38,5,FALSE),"错误")</f>
        <v>100</v>
      </c>
      <c r="Y970" s="26" t="str">
        <f t="shared" si="272"/>
        <v/>
      </c>
      <c r="Z970" s="36" t="str">
        <f t="shared" si="273"/>
        <v/>
      </c>
      <c r="AA970" s="36" t="str">
        <f t="shared" si="274"/>
        <v/>
      </c>
      <c r="AB970" s="27" t="str">
        <f t="shared" si="275"/>
        <v/>
      </c>
      <c r="AC970" s="2" t="str">
        <f t="shared" si="276"/>
        <v/>
      </c>
      <c r="AD970" s="37">
        <f t="shared" si="277"/>
        <v>6</v>
      </c>
      <c r="AE970" t="str">
        <f t="shared" si="278"/>
        <v/>
      </c>
      <c r="AF970" t="str">
        <f t="shared" si="279"/>
        <v/>
      </c>
      <c r="AG970" t="str">
        <f t="shared" si="280"/>
        <v/>
      </c>
      <c r="AH970" t="str">
        <f t="shared" si="281"/>
        <v/>
      </c>
      <c r="AI970" t="str">
        <f t="shared" si="282"/>
        <v/>
      </c>
      <c r="AJ970" t="str">
        <f t="shared" si="283"/>
        <v/>
      </c>
      <c r="AK970" t="str">
        <f t="shared" si="284"/>
        <v/>
      </c>
      <c r="AL970" t="str">
        <f>IFERROR(ROUND(L970*(G970/$AU970)/VLOOKUP(F970,商品!$A$4:$B$60,2,FALSE),0),"")</f>
        <v/>
      </c>
      <c r="AM970" t="str">
        <f>IFERROR(ROUND(L970*(I970/$AU970)/VLOOKUP(H970,商品!$A$4:$B$60,2,FALSE),0),"")</f>
        <v/>
      </c>
      <c r="AN970">
        <f>IFERROR(ROUND(L970*(J970/$AU970)/VLOOKUP("运力",商品!$A$4:$B$60,2,FALSE),0),0)</f>
        <v>0</v>
      </c>
      <c r="AO970">
        <f>IFERROR(ROUND(L970*(K970/$AU970)/VLOOKUP("交易",商品!$A$4:$B$60,2,FALSE),0),0)</f>
        <v>0</v>
      </c>
      <c r="AP970" t="str">
        <f>IFERROR(ROUND(S970*(N970/$AV970)/VLOOKUP(M970,职业!$A$4:$G$16,4,FALSE),0),"")</f>
        <v/>
      </c>
      <c r="AQ970" t="str">
        <f>IFERROR(ROUND(S970*(P970/$AV970)/VLOOKUP(O970,职业!$A$4:$G$16,4,FALSE),0),"")</f>
        <v/>
      </c>
      <c r="AR970" t="str">
        <f>IFERROR(ROUND(S970*(R970/$AV970)/VLOOKUP(Q970,职业!$A$4:$G$16,4,FALSE),0),"")</f>
        <v/>
      </c>
      <c r="AS970" t="str">
        <f>IFERROR(ROUND(X970*(U970/$AW970)/VLOOKUP(T970,商品!$A$4:$B$60,2,FALSE),0),"")</f>
        <v/>
      </c>
      <c r="AT970" t="str">
        <f>IFERROR(ROUND(X970*(W970/$AW970)/VLOOKUP(V970,商品!$A$4:$B$60,2,FALSE),0),"")</f>
        <v/>
      </c>
      <c r="AU970">
        <f t="shared" si="285"/>
        <v>0</v>
      </c>
      <c r="AV970">
        <f t="shared" si="286"/>
        <v>0</v>
      </c>
      <c r="AW970">
        <f t="shared" si="287"/>
        <v>0</v>
      </c>
    </row>
    <row r="971" spans="1:49" ht="19.95" customHeight="1" x14ac:dyDescent="0.25">
      <c r="A971" s="15" t="s">
        <v>386</v>
      </c>
      <c r="C971" s="15">
        <v>7</v>
      </c>
      <c r="D971" s="23" t="s">
        <v>174</v>
      </c>
      <c r="E971" s="23" t="s">
        <v>179</v>
      </c>
      <c r="L971" s="16">
        <f>IFERROR(VLOOKUP($D971&amp;$C971,生产方式定位!$A$2:$E$38,2,FALSE)+VLOOKUP($E971&amp;$C971,生产方式定位!$F$3:$J$38,2,FALSE),0)</f>
        <v>0</v>
      </c>
      <c r="S971" s="16">
        <f>IFERROR(VLOOKUP($D971&amp;$C971,生产方式定位!$A$2:$E$38,3,FALSE)+VLOOKUP($E971&amp;$C971,生产方式定位!$F$3:$J$38,3,FALSE),0)</f>
        <v>100</v>
      </c>
      <c r="X971" s="16">
        <f>IFERROR(VLOOKUP($D971&amp;$C971,生产方式定位!$A$2:$E$38,5,FALSE)+VLOOKUP($E971&amp;$C971,生产方式定位!$F$3:$J$38,5,FALSE),"错误")</f>
        <v>100</v>
      </c>
      <c r="Y971" s="26" t="str">
        <f t="shared" si="272"/>
        <v/>
      </c>
      <c r="Z971" s="36" t="str">
        <f t="shared" si="273"/>
        <v/>
      </c>
      <c r="AA971" s="36" t="str">
        <f t="shared" si="274"/>
        <v/>
      </c>
      <c r="AB971" s="27" t="str">
        <f t="shared" si="275"/>
        <v/>
      </c>
      <c r="AC971" s="2" t="str">
        <f t="shared" si="276"/>
        <v/>
      </c>
      <c r="AD971" s="37">
        <f t="shared" si="277"/>
        <v>7</v>
      </c>
      <c r="AE971" t="str">
        <f t="shared" si="278"/>
        <v/>
      </c>
      <c r="AF971" t="str">
        <f t="shared" si="279"/>
        <v/>
      </c>
      <c r="AG971" t="str">
        <f t="shared" si="280"/>
        <v/>
      </c>
      <c r="AH971" t="str">
        <f t="shared" si="281"/>
        <v/>
      </c>
      <c r="AI971" t="str">
        <f t="shared" si="282"/>
        <v/>
      </c>
      <c r="AJ971" t="str">
        <f t="shared" si="283"/>
        <v/>
      </c>
      <c r="AK971" t="str">
        <f t="shared" si="284"/>
        <v/>
      </c>
      <c r="AL971" t="str">
        <f>IFERROR(ROUND(L971*(G971/$AU971)/VLOOKUP(F971,商品!$A$4:$B$60,2,FALSE),0),"")</f>
        <v/>
      </c>
      <c r="AM971" t="str">
        <f>IFERROR(ROUND(L971*(I971/$AU971)/VLOOKUP(H971,商品!$A$4:$B$60,2,FALSE),0),"")</f>
        <v/>
      </c>
      <c r="AN971">
        <f>IFERROR(ROUND(L971*(J971/$AU971)/VLOOKUP("运力",商品!$A$4:$B$60,2,FALSE),0),0)</f>
        <v>0</v>
      </c>
      <c r="AO971">
        <f>IFERROR(ROUND(L971*(K971/$AU971)/VLOOKUP("交易",商品!$A$4:$B$60,2,FALSE),0),0)</f>
        <v>0</v>
      </c>
      <c r="AP971" t="str">
        <f>IFERROR(ROUND(S971*(N971/$AV971)/VLOOKUP(M971,职业!$A$4:$G$16,4,FALSE),0),"")</f>
        <v/>
      </c>
      <c r="AQ971" t="str">
        <f>IFERROR(ROUND(S971*(P971/$AV971)/VLOOKUP(O971,职业!$A$4:$G$16,4,FALSE),0),"")</f>
        <v/>
      </c>
      <c r="AR971" t="str">
        <f>IFERROR(ROUND(S971*(R971/$AV971)/VLOOKUP(Q971,职业!$A$4:$G$16,4,FALSE),0),"")</f>
        <v/>
      </c>
      <c r="AS971" t="str">
        <f>IFERROR(ROUND(X971*(U971/$AW971)/VLOOKUP(T971,商品!$A$4:$B$60,2,FALSE),0),"")</f>
        <v/>
      </c>
      <c r="AT971" t="str">
        <f>IFERROR(ROUND(X971*(W971/$AW971)/VLOOKUP(V971,商品!$A$4:$B$60,2,FALSE),0),"")</f>
        <v/>
      </c>
      <c r="AU971">
        <f t="shared" si="285"/>
        <v>0</v>
      </c>
      <c r="AV971">
        <f t="shared" si="286"/>
        <v>0</v>
      </c>
      <c r="AW971">
        <f t="shared" si="287"/>
        <v>0</v>
      </c>
    </row>
    <row r="972" spans="1:49" ht="19.95" customHeight="1" x14ac:dyDescent="0.25">
      <c r="A972" s="15" t="s">
        <v>386</v>
      </c>
      <c r="C972" s="15">
        <v>8</v>
      </c>
      <c r="D972" s="23" t="s">
        <v>174</v>
      </c>
      <c r="E972" s="23" t="s">
        <v>179</v>
      </c>
      <c r="L972" s="16">
        <f>IFERROR(VLOOKUP($D972&amp;$C972,生产方式定位!$A$2:$E$38,2,FALSE)+VLOOKUP($E972&amp;$C972,生产方式定位!$F$3:$J$38,2,FALSE),0)</f>
        <v>0</v>
      </c>
      <c r="S972" s="16">
        <f>IFERROR(VLOOKUP($D972&amp;$C972,生产方式定位!$A$2:$E$38,3,FALSE)+VLOOKUP($E972&amp;$C972,生产方式定位!$F$3:$J$38,3,FALSE),0)</f>
        <v>100</v>
      </c>
      <c r="X972" s="16">
        <f>IFERROR(VLOOKUP($D972&amp;$C972,生产方式定位!$A$2:$E$38,5,FALSE)+VLOOKUP($E972&amp;$C972,生产方式定位!$F$3:$J$38,5,FALSE),"错误")</f>
        <v>100</v>
      </c>
      <c r="Y972" s="26" t="str">
        <f t="shared" si="272"/>
        <v/>
      </c>
      <c r="Z972" s="36" t="str">
        <f t="shared" si="273"/>
        <v/>
      </c>
      <c r="AA972" s="36" t="str">
        <f t="shared" si="274"/>
        <v/>
      </c>
      <c r="AB972" s="27" t="str">
        <f t="shared" si="275"/>
        <v/>
      </c>
      <c r="AC972" s="2" t="str">
        <f t="shared" si="276"/>
        <v/>
      </c>
      <c r="AD972" s="37">
        <f t="shared" si="277"/>
        <v>8</v>
      </c>
      <c r="AE972" t="str">
        <f t="shared" si="278"/>
        <v/>
      </c>
      <c r="AF972" t="str">
        <f t="shared" si="279"/>
        <v/>
      </c>
      <c r="AG972" t="str">
        <f t="shared" si="280"/>
        <v/>
      </c>
      <c r="AH972" t="str">
        <f t="shared" si="281"/>
        <v/>
      </c>
      <c r="AI972" t="str">
        <f t="shared" si="282"/>
        <v/>
      </c>
      <c r="AJ972" t="str">
        <f t="shared" si="283"/>
        <v/>
      </c>
      <c r="AK972" t="str">
        <f t="shared" si="284"/>
        <v/>
      </c>
      <c r="AL972" t="str">
        <f>IFERROR(ROUND(L972*(G972/$AU972)/VLOOKUP(F972,商品!$A$4:$B$60,2,FALSE),0),"")</f>
        <v/>
      </c>
      <c r="AM972" t="str">
        <f>IFERROR(ROUND(L972*(I972/$AU972)/VLOOKUP(H972,商品!$A$4:$B$60,2,FALSE),0),"")</f>
        <v/>
      </c>
      <c r="AN972">
        <f>IFERROR(ROUND(L972*(J972/$AU972)/VLOOKUP("运力",商品!$A$4:$B$60,2,FALSE),0),0)</f>
        <v>0</v>
      </c>
      <c r="AO972">
        <f>IFERROR(ROUND(L972*(K972/$AU972)/VLOOKUP("交易",商品!$A$4:$B$60,2,FALSE),0),0)</f>
        <v>0</v>
      </c>
      <c r="AP972" t="str">
        <f>IFERROR(ROUND(S972*(N972/$AV972)/VLOOKUP(M972,职业!$A$4:$G$16,4,FALSE),0),"")</f>
        <v/>
      </c>
      <c r="AQ972" t="str">
        <f>IFERROR(ROUND(S972*(P972/$AV972)/VLOOKUP(O972,职业!$A$4:$G$16,4,FALSE),0),"")</f>
        <v/>
      </c>
      <c r="AR972" t="str">
        <f>IFERROR(ROUND(S972*(R972/$AV972)/VLOOKUP(Q972,职业!$A$4:$G$16,4,FALSE),0),"")</f>
        <v/>
      </c>
      <c r="AS972" t="str">
        <f>IFERROR(ROUND(X972*(U972/$AW972)/VLOOKUP(T972,商品!$A$4:$B$60,2,FALSE),0),"")</f>
        <v/>
      </c>
      <c r="AT972" t="str">
        <f>IFERROR(ROUND(X972*(W972/$AW972)/VLOOKUP(V972,商品!$A$4:$B$60,2,FALSE),0),"")</f>
        <v/>
      </c>
      <c r="AU972">
        <f t="shared" si="285"/>
        <v>0</v>
      </c>
      <c r="AV972">
        <f t="shared" si="286"/>
        <v>0</v>
      </c>
      <c r="AW972">
        <f t="shared" si="287"/>
        <v>0</v>
      </c>
    </row>
    <row r="973" spans="1:49" ht="19.95" customHeight="1" x14ac:dyDescent="0.25">
      <c r="A973" s="16" t="s">
        <v>388</v>
      </c>
      <c r="C973" s="16">
        <v>1</v>
      </c>
      <c r="D973" s="23" t="s">
        <v>171</v>
      </c>
      <c r="E973" s="23" t="s">
        <v>172</v>
      </c>
      <c r="L973" s="15">
        <f>IFERROR(VLOOKUP($D973&amp;$C973,生产方式定位!$A$2:$E$38,2,FALSE)+VLOOKUP($E973&amp;$C973,生产方式定位!$F$3:$J$38,2,FALSE),0)</f>
        <v>300</v>
      </c>
      <c r="S973" s="15">
        <f>IFERROR(VLOOKUP($D973&amp;$C973,生产方式定位!$A$2:$E$38,3,FALSE)+VLOOKUP($E973&amp;$C973,生产方式定位!$F$3:$J$38,3,FALSE),0)</f>
        <v>100</v>
      </c>
      <c r="X973" s="15">
        <f>IFERROR(VLOOKUP($D973&amp;$C973,生产方式定位!$A$2:$E$38,5,FALSE)+VLOOKUP($E973&amp;$C973,生产方式定位!$F$3:$J$38,5,FALSE),"错误")</f>
        <v>520</v>
      </c>
      <c r="Y973" s="26" t="str">
        <f t="shared" si="272"/>
        <v/>
      </c>
      <c r="Z973" s="36" t="str">
        <f t="shared" si="273"/>
        <v/>
      </c>
      <c r="AA973" s="36" t="str">
        <f t="shared" si="274"/>
        <v/>
      </c>
      <c r="AB973" s="27" t="str">
        <f t="shared" si="275"/>
        <v>73%</v>
      </c>
      <c r="AC973" s="2">
        <f t="shared" si="276"/>
        <v>120</v>
      </c>
      <c r="AD973" s="37">
        <f t="shared" si="277"/>
        <v>1</v>
      </c>
      <c r="AE973" t="str">
        <f t="shared" si="278"/>
        <v/>
      </c>
      <c r="AF973" t="str">
        <f t="shared" si="279"/>
        <v/>
      </c>
      <c r="AG973" t="str">
        <f t="shared" si="280"/>
        <v/>
      </c>
      <c r="AH973" t="str">
        <f t="shared" si="281"/>
        <v/>
      </c>
      <c r="AI973" t="str">
        <f t="shared" si="282"/>
        <v/>
      </c>
      <c r="AJ973" t="str">
        <f t="shared" si="283"/>
        <v/>
      </c>
      <c r="AK973" t="str">
        <f t="shared" si="284"/>
        <v/>
      </c>
      <c r="AL973" t="str">
        <f>IFERROR(ROUND(L973*(G973/$AU973)/VLOOKUP(F973,商品!$A$4:$B$60,2,FALSE),0),"")</f>
        <v/>
      </c>
      <c r="AM973" t="str">
        <f>IFERROR(ROUND(L973*(I973/$AU973)/VLOOKUP(H973,商品!$A$4:$B$60,2,FALSE),0),"")</f>
        <v/>
      </c>
      <c r="AN973">
        <f>IFERROR(ROUND(L973*(J973/$AU973)/VLOOKUP("运力",商品!$A$4:$B$60,2,FALSE),0),0)</f>
        <v>0</v>
      </c>
      <c r="AO973">
        <f>IFERROR(ROUND(L973*(K973/$AU973)/VLOOKUP("交易",商品!$A$4:$B$60,2,FALSE),0),0)</f>
        <v>0</v>
      </c>
      <c r="AP973" t="str">
        <f>IFERROR(ROUND(S973*(N973/$AV973)/VLOOKUP(M973,职业!$A$4:$G$16,4,FALSE),0),"")</f>
        <v/>
      </c>
      <c r="AQ973" t="str">
        <f>IFERROR(ROUND(S973*(P973/$AV973)/VLOOKUP(O973,职业!$A$4:$G$16,4,FALSE),0),"")</f>
        <v/>
      </c>
      <c r="AR973" t="str">
        <f>IFERROR(ROUND(S973*(R973/$AV973)/VLOOKUP(Q973,职业!$A$4:$G$16,4,FALSE),0),"")</f>
        <v/>
      </c>
      <c r="AS973" t="str">
        <f>IFERROR(ROUND(X973*(U973/$AW973)/VLOOKUP(T973,商品!$A$4:$B$60,2,FALSE),0),"")</f>
        <v/>
      </c>
      <c r="AT973" t="str">
        <f>IFERROR(ROUND(X973*(W973/$AW973)/VLOOKUP(V973,商品!$A$4:$B$60,2,FALSE),0),"")</f>
        <v/>
      </c>
      <c r="AU973">
        <f t="shared" si="285"/>
        <v>0</v>
      </c>
      <c r="AV973">
        <f t="shared" si="286"/>
        <v>0</v>
      </c>
      <c r="AW973">
        <f t="shared" si="287"/>
        <v>0</v>
      </c>
    </row>
    <row r="974" spans="1:49" ht="19.95" customHeight="1" x14ac:dyDescent="0.25">
      <c r="A974" s="16" t="s">
        <v>388</v>
      </c>
      <c r="C974" s="16">
        <v>2</v>
      </c>
      <c r="D974" s="23" t="s">
        <v>171</v>
      </c>
      <c r="E974" s="23" t="s">
        <v>172</v>
      </c>
      <c r="L974" s="15">
        <f>IFERROR(VLOOKUP($D974&amp;$C974,生产方式定位!$A$2:$E$38,2,FALSE)+VLOOKUP($E974&amp;$C974,生产方式定位!$F$3:$J$38,2,FALSE),0)</f>
        <v>1100</v>
      </c>
      <c r="S974" s="15">
        <f>IFERROR(VLOOKUP($D974&amp;$C974,生产方式定位!$A$2:$E$38,3,FALSE)+VLOOKUP($E974&amp;$C974,生产方式定位!$F$3:$J$38,3,FALSE),0)</f>
        <v>100</v>
      </c>
      <c r="X974" s="15">
        <f>IFERROR(VLOOKUP($D974&amp;$C974,生产方式定位!$A$2:$E$38,5,FALSE)+VLOOKUP($E974&amp;$C974,生产方式定位!$F$3:$J$38,5,FALSE),"错误")</f>
        <v>1510</v>
      </c>
      <c r="Y974" s="26" t="str">
        <f t="shared" si="272"/>
        <v/>
      </c>
      <c r="Z974" s="36" t="str">
        <f t="shared" si="273"/>
        <v/>
      </c>
      <c r="AA974" s="36" t="str">
        <f t="shared" si="274"/>
        <v/>
      </c>
      <c r="AB974" s="27" t="str">
        <f t="shared" si="275"/>
        <v>37%</v>
      </c>
      <c r="AC974" s="2">
        <f t="shared" si="276"/>
        <v>310</v>
      </c>
      <c r="AD974" s="37">
        <f t="shared" si="277"/>
        <v>2</v>
      </c>
      <c r="AE974" t="str">
        <f t="shared" si="278"/>
        <v/>
      </c>
      <c r="AF974" t="str">
        <f t="shared" si="279"/>
        <v/>
      </c>
      <c r="AG974" t="str">
        <f t="shared" si="280"/>
        <v/>
      </c>
      <c r="AH974" t="str">
        <f t="shared" si="281"/>
        <v/>
      </c>
      <c r="AI974" t="str">
        <f t="shared" si="282"/>
        <v/>
      </c>
      <c r="AJ974" t="str">
        <f t="shared" si="283"/>
        <v/>
      </c>
      <c r="AK974" t="str">
        <f t="shared" si="284"/>
        <v/>
      </c>
      <c r="AL974" t="str">
        <f>IFERROR(ROUND(L974*(G974/$AU974)/VLOOKUP(F974,商品!$A$4:$B$60,2,FALSE),0),"")</f>
        <v/>
      </c>
      <c r="AM974" t="str">
        <f>IFERROR(ROUND(L974*(I974/$AU974)/VLOOKUP(H974,商品!$A$4:$B$60,2,FALSE),0),"")</f>
        <v/>
      </c>
      <c r="AN974">
        <f>IFERROR(ROUND(L974*(J974/$AU974)/VLOOKUP("运力",商品!$A$4:$B$60,2,FALSE),0),0)</f>
        <v>0</v>
      </c>
      <c r="AO974">
        <f>IFERROR(ROUND(L974*(K974/$AU974)/VLOOKUP("交易",商品!$A$4:$B$60,2,FALSE),0),0)</f>
        <v>0</v>
      </c>
      <c r="AP974" t="str">
        <f>IFERROR(ROUND(S974*(N974/$AV974)/VLOOKUP(M974,职业!$A$4:$G$16,4,FALSE),0),"")</f>
        <v/>
      </c>
      <c r="AQ974" t="str">
        <f>IFERROR(ROUND(S974*(P974/$AV974)/VLOOKUP(O974,职业!$A$4:$G$16,4,FALSE),0),"")</f>
        <v/>
      </c>
      <c r="AR974" t="str">
        <f>IFERROR(ROUND(S974*(R974/$AV974)/VLOOKUP(Q974,职业!$A$4:$G$16,4,FALSE),0),"")</f>
        <v/>
      </c>
      <c r="AS974" t="str">
        <f>IFERROR(ROUND(X974*(U974/$AW974)/VLOOKUP(T974,商品!$A$4:$B$60,2,FALSE),0),"")</f>
        <v/>
      </c>
      <c r="AT974" t="str">
        <f>IFERROR(ROUND(X974*(W974/$AW974)/VLOOKUP(V974,商品!$A$4:$B$60,2,FALSE),0),"")</f>
        <v/>
      </c>
      <c r="AU974">
        <f t="shared" si="285"/>
        <v>0</v>
      </c>
      <c r="AV974">
        <f t="shared" si="286"/>
        <v>0</v>
      </c>
      <c r="AW974">
        <f t="shared" si="287"/>
        <v>0</v>
      </c>
    </row>
    <row r="975" spans="1:49" ht="19.95" customHeight="1" x14ac:dyDescent="0.25">
      <c r="A975" s="16" t="s">
        <v>388</v>
      </c>
      <c r="C975" s="16">
        <v>3</v>
      </c>
      <c r="D975" s="23" t="s">
        <v>171</v>
      </c>
      <c r="E975" s="23" t="s">
        <v>172</v>
      </c>
      <c r="L975" s="15">
        <f>IFERROR(VLOOKUP($D975&amp;$C975,生产方式定位!$A$2:$E$38,2,FALSE)+VLOOKUP($E975&amp;$C975,生产方式定位!$F$3:$J$38,2,FALSE),0)</f>
        <v>1525</v>
      </c>
      <c r="S975" s="15">
        <f>IFERROR(VLOOKUP($D975&amp;$C975,生产方式定位!$A$2:$E$38,3,FALSE)+VLOOKUP($E975&amp;$C975,生产方式定位!$F$3:$J$38,3,FALSE),0)</f>
        <v>100</v>
      </c>
      <c r="X975" s="15">
        <f>IFERROR(VLOOKUP($D975&amp;$C975,生产方式定位!$A$2:$E$38,5,FALSE)+VLOOKUP($E975&amp;$C975,生产方式定位!$F$3:$J$38,5,FALSE),"错误")</f>
        <v>2050</v>
      </c>
      <c r="Y975" s="26" t="str">
        <f t="shared" si="272"/>
        <v/>
      </c>
      <c r="Z975" s="36" t="str">
        <f t="shared" si="273"/>
        <v/>
      </c>
      <c r="AA975" s="36" t="str">
        <f t="shared" si="274"/>
        <v/>
      </c>
      <c r="AB975" s="27" t="str">
        <f t="shared" si="275"/>
        <v>34%</v>
      </c>
      <c r="AC975" s="2">
        <f t="shared" si="276"/>
        <v>425</v>
      </c>
      <c r="AD975" s="38">
        <f t="shared" si="277"/>
        <v>3</v>
      </c>
      <c r="AE975" t="str">
        <f t="shared" si="278"/>
        <v/>
      </c>
      <c r="AF975" t="str">
        <f t="shared" si="279"/>
        <v/>
      </c>
      <c r="AG975" t="str">
        <f t="shared" si="280"/>
        <v/>
      </c>
      <c r="AH975" t="str">
        <f t="shared" si="281"/>
        <v/>
      </c>
      <c r="AI975" t="str">
        <f t="shared" si="282"/>
        <v/>
      </c>
      <c r="AJ975" t="str">
        <f t="shared" si="283"/>
        <v/>
      </c>
      <c r="AK975" t="str">
        <f t="shared" si="284"/>
        <v/>
      </c>
      <c r="AL975" t="str">
        <f>IFERROR(ROUND(L975*(G975/$AU975)/VLOOKUP(F975,商品!$A$4:$B$60,2,FALSE),0),"")</f>
        <v/>
      </c>
      <c r="AM975" t="str">
        <f>IFERROR(ROUND(L975*(I975/$AU975)/VLOOKUP(H975,商品!$A$4:$B$60,2,FALSE),0),"")</f>
        <v/>
      </c>
      <c r="AN975">
        <f>IFERROR(ROUND(L975*(J975/$AU975)/VLOOKUP("运力",商品!$A$4:$B$60,2,FALSE),0),0)</f>
        <v>0</v>
      </c>
      <c r="AO975">
        <f>IFERROR(ROUND(L975*(K975/$AU975)/VLOOKUP("交易",商品!$A$4:$B$60,2,FALSE),0),0)</f>
        <v>0</v>
      </c>
      <c r="AP975" t="str">
        <f>IFERROR(ROUND(S975*(N975/$AV975)/VLOOKUP(M975,职业!$A$4:$G$16,4,FALSE),0),"")</f>
        <v/>
      </c>
      <c r="AQ975" t="str">
        <f>IFERROR(ROUND(S975*(P975/$AV975)/VLOOKUP(O975,职业!$A$4:$G$16,4,FALSE),0),"")</f>
        <v/>
      </c>
      <c r="AR975" t="str">
        <f>IFERROR(ROUND(S975*(R975/$AV975)/VLOOKUP(Q975,职业!$A$4:$G$16,4,FALSE),0),"")</f>
        <v/>
      </c>
      <c r="AS975" t="str">
        <f>IFERROR(ROUND(X975*(U975/$AW975)/VLOOKUP(T975,商品!$A$4:$B$60,2,FALSE),0),"")</f>
        <v/>
      </c>
      <c r="AT975" t="str">
        <f>IFERROR(ROUND(X975*(W975/$AW975)/VLOOKUP(V975,商品!$A$4:$B$60,2,FALSE),0),"")</f>
        <v/>
      </c>
      <c r="AU975">
        <f t="shared" si="285"/>
        <v>0</v>
      </c>
      <c r="AV975">
        <f t="shared" si="286"/>
        <v>0</v>
      </c>
      <c r="AW975">
        <f t="shared" si="287"/>
        <v>0</v>
      </c>
    </row>
    <row r="976" spans="1:49" ht="19.95" customHeight="1" x14ac:dyDescent="0.25">
      <c r="A976" s="16" t="s">
        <v>388</v>
      </c>
      <c r="C976" s="16">
        <v>4</v>
      </c>
      <c r="D976" s="23" t="s">
        <v>171</v>
      </c>
      <c r="E976" s="23" t="s">
        <v>172</v>
      </c>
      <c r="L976" s="15">
        <f>IFERROR(VLOOKUP($D976&amp;$C976,生产方式定位!$A$2:$E$38,2,FALSE)+VLOOKUP($E976&amp;$C976,生产方式定位!$F$3:$J$38,2,FALSE),0)</f>
        <v>1950</v>
      </c>
      <c r="S976" s="15">
        <f>IFERROR(VLOOKUP($D976&amp;$C976,生产方式定位!$A$2:$E$38,3,FALSE)+VLOOKUP($E976&amp;$C976,生产方式定位!$F$3:$J$38,3,FALSE),0)</f>
        <v>100</v>
      </c>
      <c r="X976" s="15">
        <f>IFERROR(VLOOKUP($D976&amp;$C976,生产方式定位!$A$2:$E$38,5,FALSE)+VLOOKUP($E976&amp;$C976,生产方式定位!$F$3:$J$38,5,FALSE),"错误")</f>
        <v>2590</v>
      </c>
      <c r="Y976" s="26" t="str">
        <f t="shared" si="272"/>
        <v/>
      </c>
      <c r="Z976" s="36" t="str">
        <f t="shared" si="273"/>
        <v/>
      </c>
      <c r="AA976" s="36" t="str">
        <f t="shared" si="274"/>
        <v/>
      </c>
      <c r="AB976" s="27" t="str">
        <f t="shared" si="275"/>
        <v>33%</v>
      </c>
      <c r="AC976" s="2">
        <f t="shared" si="276"/>
        <v>540</v>
      </c>
      <c r="AD976" s="38">
        <f t="shared" si="277"/>
        <v>4</v>
      </c>
      <c r="AE976" t="str">
        <f t="shared" si="278"/>
        <v/>
      </c>
      <c r="AF976" t="str">
        <f t="shared" si="279"/>
        <v/>
      </c>
      <c r="AG976" t="str">
        <f t="shared" si="280"/>
        <v/>
      </c>
      <c r="AH976" t="str">
        <f t="shared" si="281"/>
        <v/>
      </c>
      <c r="AI976" t="str">
        <f t="shared" si="282"/>
        <v/>
      </c>
      <c r="AJ976" t="str">
        <f t="shared" si="283"/>
        <v/>
      </c>
      <c r="AK976" t="str">
        <f t="shared" si="284"/>
        <v/>
      </c>
      <c r="AL976" t="str">
        <f>IFERROR(ROUND(L976*(G976/$AU976)/VLOOKUP(F976,商品!$A$4:$B$60,2,FALSE),0),"")</f>
        <v/>
      </c>
      <c r="AM976" t="str">
        <f>IFERROR(ROUND(L976*(I976/$AU976)/VLOOKUP(H976,商品!$A$4:$B$60,2,FALSE),0),"")</f>
        <v/>
      </c>
      <c r="AN976">
        <f>IFERROR(ROUND(L976*(J976/$AU976)/VLOOKUP("运力",商品!$A$4:$B$60,2,FALSE),0),0)</f>
        <v>0</v>
      </c>
      <c r="AO976">
        <f>IFERROR(ROUND(L976*(K976/$AU976)/VLOOKUP("交易",商品!$A$4:$B$60,2,FALSE),0),0)</f>
        <v>0</v>
      </c>
      <c r="AP976" t="str">
        <f>IFERROR(ROUND(S976*(N976/$AV976)/VLOOKUP(M976,职业!$A$4:$G$16,4,FALSE),0),"")</f>
        <v/>
      </c>
      <c r="AQ976" t="str">
        <f>IFERROR(ROUND(S976*(P976/$AV976)/VLOOKUP(O976,职业!$A$4:$G$16,4,FALSE),0),"")</f>
        <v/>
      </c>
      <c r="AR976" t="str">
        <f>IFERROR(ROUND(S976*(R976/$AV976)/VLOOKUP(Q976,职业!$A$4:$G$16,4,FALSE),0),"")</f>
        <v/>
      </c>
      <c r="AS976" t="str">
        <f>IFERROR(ROUND(X976*(U976/$AW976)/VLOOKUP(T976,商品!$A$4:$B$60,2,FALSE),0),"")</f>
        <v/>
      </c>
      <c r="AT976" t="str">
        <f>IFERROR(ROUND(X976*(W976/$AW976)/VLOOKUP(V976,商品!$A$4:$B$60,2,FALSE),0),"")</f>
        <v/>
      </c>
      <c r="AU976">
        <f t="shared" si="285"/>
        <v>0</v>
      </c>
      <c r="AV976">
        <f t="shared" si="286"/>
        <v>0</v>
      </c>
      <c r="AW976">
        <f t="shared" si="287"/>
        <v>0</v>
      </c>
    </row>
    <row r="977" spans="1:49" ht="19.95" customHeight="1" x14ac:dyDescent="0.25">
      <c r="A977" s="16" t="s">
        <v>388</v>
      </c>
      <c r="C977" s="16">
        <v>5</v>
      </c>
      <c r="D977" s="23" t="s">
        <v>171</v>
      </c>
      <c r="E977" s="23" t="s">
        <v>172</v>
      </c>
      <c r="L977" s="15">
        <f>IFERROR(VLOOKUP($D977&amp;$C977,生产方式定位!$A$2:$E$38,2,FALSE)+VLOOKUP($E977&amp;$C977,生产方式定位!$F$3:$J$38,2,FALSE),0)</f>
        <v>2375</v>
      </c>
      <c r="S977" s="15">
        <f>IFERROR(VLOOKUP($D977&amp;$C977,生产方式定位!$A$2:$E$38,3,FALSE)+VLOOKUP($E977&amp;$C977,生产方式定位!$F$3:$J$38,3,FALSE),0)</f>
        <v>100</v>
      </c>
      <c r="X977" s="15">
        <f>IFERROR(VLOOKUP($D977&amp;$C977,生产方式定位!$A$2:$E$38,5,FALSE)+VLOOKUP($E977&amp;$C977,生产方式定位!$F$3:$J$38,5,FALSE),"错误")</f>
        <v>3130</v>
      </c>
      <c r="Y977" s="26" t="str">
        <f t="shared" si="272"/>
        <v/>
      </c>
      <c r="Z977" s="36" t="str">
        <f t="shared" si="273"/>
        <v/>
      </c>
      <c r="AA977" s="36" t="str">
        <f t="shared" si="274"/>
        <v/>
      </c>
      <c r="AB977" s="27" t="str">
        <f t="shared" si="275"/>
        <v>32%</v>
      </c>
      <c r="AC977" s="2">
        <f t="shared" si="276"/>
        <v>655</v>
      </c>
      <c r="AD977" s="38">
        <f t="shared" si="277"/>
        <v>5</v>
      </c>
      <c r="AE977" t="str">
        <f t="shared" si="278"/>
        <v/>
      </c>
      <c r="AF977" t="str">
        <f t="shared" si="279"/>
        <v/>
      </c>
      <c r="AG977" t="str">
        <f t="shared" si="280"/>
        <v/>
      </c>
      <c r="AH977" t="str">
        <f t="shared" si="281"/>
        <v/>
      </c>
      <c r="AI977" t="str">
        <f t="shared" si="282"/>
        <v/>
      </c>
      <c r="AJ977" t="str">
        <f t="shared" si="283"/>
        <v/>
      </c>
      <c r="AK977" t="str">
        <f t="shared" si="284"/>
        <v/>
      </c>
      <c r="AL977" t="str">
        <f>IFERROR(ROUND(L977*(G977/$AU977)/VLOOKUP(F977,商品!$A$4:$B$60,2,FALSE),0),"")</f>
        <v/>
      </c>
      <c r="AM977" t="str">
        <f>IFERROR(ROUND(L977*(I977/$AU977)/VLOOKUP(H977,商品!$A$4:$B$60,2,FALSE),0),"")</f>
        <v/>
      </c>
      <c r="AN977">
        <f>IFERROR(ROUND(L977*(J977/$AU977)/VLOOKUP("运力",商品!$A$4:$B$60,2,FALSE),0),0)</f>
        <v>0</v>
      </c>
      <c r="AO977">
        <f>IFERROR(ROUND(L977*(K977/$AU977)/VLOOKUP("交易",商品!$A$4:$B$60,2,FALSE),0),0)</f>
        <v>0</v>
      </c>
      <c r="AP977" t="str">
        <f>IFERROR(ROUND(S977*(N977/$AV977)/VLOOKUP(M977,职业!$A$4:$G$16,4,FALSE),0),"")</f>
        <v/>
      </c>
      <c r="AQ977" t="str">
        <f>IFERROR(ROUND(S977*(P977/$AV977)/VLOOKUP(O977,职业!$A$4:$G$16,4,FALSE),0),"")</f>
        <v/>
      </c>
      <c r="AR977" t="str">
        <f>IFERROR(ROUND(S977*(R977/$AV977)/VLOOKUP(Q977,职业!$A$4:$G$16,4,FALSE),0),"")</f>
        <v/>
      </c>
      <c r="AS977" t="str">
        <f>IFERROR(ROUND(X977*(U977/$AW977)/VLOOKUP(T977,商品!$A$4:$B$60,2,FALSE),0),"")</f>
        <v/>
      </c>
      <c r="AT977" t="str">
        <f>IFERROR(ROUND(X977*(W977/$AW977)/VLOOKUP(V977,商品!$A$4:$B$60,2,FALSE),0),"")</f>
        <v/>
      </c>
      <c r="AU977">
        <f t="shared" si="285"/>
        <v>0</v>
      </c>
      <c r="AV977">
        <f t="shared" si="286"/>
        <v>0</v>
      </c>
      <c r="AW977">
        <f t="shared" si="287"/>
        <v>0</v>
      </c>
    </row>
    <row r="978" spans="1:49" ht="19.95" customHeight="1" x14ac:dyDescent="0.25">
      <c r="A978" s="15" t="s">
        <v>389</v>
      </c>
      <c r="C978" s="15">
        <v>1</v>
      </c>
      <c r="D978" s="23" t="s">
        <v>174</v>
      </c>
      <c r="E978" s="23" t="s">
        <v>175</v>
      </c>
      <c r="L978" s="16">
        <f>IFERROR(VLOOKUP($D978&amp;$C978,生产方式定位!$A$2:$E$38,2,FALSE)+VLOOKUP($E978&amp;$C978,生产方式定位!$F$3:$J$38,2,FALSE),0)</f>
        <v>0</v>
      </c>
      <c r="S978" s="16">
        <f>IFERROR(VLOOKUP($D978&amp;$C978,生产方式定位!$A$2:$E$38,3,FALSE)+VLOOKUP($E978&amp;$C978,生产方式定位!$F$3:$J$38,3,FALSE),0)</f>
        <v>0</v>
      </c>
      <c r="X978" s="16">
        <f>IFERROR(VLOOKUP($D978&amp;$C978,生产方式定位!$A$2:$E$38,5,FALSE)+VLOOKUP($E978&amp;$C978,生产方式定位!$F$3:$J$38,5,FALSE),"错误")</f>
        <v>0</v>
      </c>
      <c r="Y978" s="26" t="str">
        <f t="shared" si="272"/>
        <v/>
      </c>
      <c r="Z978" s="36" t="str">
        <f t="shared" si="273"/>
        <v/>
      </c>
      <c r="AA978" s="36" t="str">
        <f t="shared" si="274"/>
        <v/>
      </c>
      <c r="AB978" s="27" t="str">
        <f t="shared" si="275"/>
        <v/>
      </c>
      <c r="AC978" s="2" t="str">
        <f t="shared" si="276"/>
        <v/>
      </c>
      <c r="AD978" s="38">
        <f t="shared" si="277"/>
        <v>1</v>
      </c>
      <c r="AE978" t="str">
        <f t="shared" si="278"/>
        <v/>
      </c>
      <c r="AF978" t="str">
        <f t="shared" si="279"/>
        <v/>
      </c>
      <c r="AG978" t="str">
        <f t="shared" si="280"/>
        <v/>
      </c>
      <c r="AH978" t="str">
        <f t="shared" si="281"/>
        <v/>
      </c>
      <c r="AI978" t="str">
        <f t="shared" si="282"/>
        <v/>
      </c>
      <c r="AJ978" t="str">
        <f t="shared" si="283"/>
        <v/>
      </c>
      <c r="AK978" t="str">
        <f t="shared" si="284"/>
        <v/>
      </c>
      <c r="AL978" t="str">
        <f>IFERROR(ROUND(L978*(G978/$AU978)/VLOOKUP(F978,商品!$A$4:$B$60,2,FALSE),0),"")</f>
        <v/>
      </c>
      <c r="AM978" t="str">
        <f>IFERROR(ROUND(L978*(I978/$AU978)/VLOOKUP(H978,商品!$A$4:$B$60,2,FALSE),0),"")</f>
        <v/>
      </c>
      <c r="AN978">
        <f>IFERROR(ROUND(L978*(J978/$AU978)/VLOOKUP("运力",商品!$A$4:$B$60,2,FALSE),0),0)</f>
        <v>0</v>
      </c>
      <c r="AO978">
        <f>IFERROR(ROUND(L978*(K978/$AU978)/VLOOKUP("交易",商品!$A$4:$B$60,2,FALSE),0),0)</f>
        <v>0</v>
      </c>
      <c r="AP978" t="str">
        <f>IFERROR(ROUND(S978*(N978/$AV978)/VLOOKUP(M978,职业!$A$4:$G$16,4,FALSE),0),"")</f>
        <v/>
      </c>
      <c r="AQ978" t="str">
        <f>IFERROR(ROUND(S978*(P978/$AV978)/VLOOKUP(O978,职业!$A$4:$G$16,4,FALSE),0),"")</f>
        <v/>
      </c>
      <c r="AR978" t="str">
        <f>IFERROR(ROUND(S978*(R978/$AV978)/VLOOKUP(Q978,职业!$A$4:$G$16,4,FALSE),0),"")</f>
        <v/>
      </c>
      <c r="AS978" t="str">
        <f>IFERROR(ROUND(X978*(U978/$AW978)/VLOOKUP(T978,商品!$A$4:$B$60,2,FALSE),0),"")</f>
        <v/>
      </c>
      <c r="AT978" t="str">
        <f>IFERROR(ROUND(X978*(W978/$AW978)/VLOOKUP(V978,商品!$A$4:$B$60,2,FALSE),0),"")</f>
        <v/>
      </c>
      <c r="AU978">
        <f t="shared" si="285"/>
        <v>0</v>
      </c>
      <c r="AV978">
        <f t="shared" si="286"/>
        <v>0</v>
      </c>
      <c r="AW978">
        <f t="shared" si="287"/>
        <v>0</v>
      </c>
    </row>
    <row r="979" spans="1:49" ht="19.95" customHeight="1" x14ac:dyDescent="0.25">
      <c r="A979" s="15" t="s">
        <v>389</v>
      </c>
      <c r="C979" s="15">
        <v>2</v>
      </c>
      <c r="D979" s="23" t="s">
        <v>174</v>
      </c>
      <c r="E979" s="23" t="s">
        <v>175</v>
      </c>
      <c r="F979" s="2" t="s">
        <v>41</v>
      </c>
      <c r="G979" s="2">
        <v>10</v>
      </c>
      <c r="L979" s="16">
        <f>IFERROR(VLOOKUP($D979&amp;$C979,生产方式定位!$A$2:$E$38,2,FALSE)+VLOOKUP($E979&amp;$C979,生产方式定位!$F$3:$J$38,2,FALSE),0)</f>
        <v>50</v>
      </c>
      <c r="S979" s="16">
        <f>IFERROR(VLOOKUP($D979&amp;$C979,生产方式定位!$A$2:$E$38,3,FALSE)+VLOOKUP($E979&amp;$C979,生产方式定位!$F$3:$J$38,3,FALSE),0)</f>
        <v>10</v>
      </c>
      <c r="X979" s="16">
        <f>IFERROR(VLOOKUP($D979&amp;$C979,生产方式定位!$A$2:$E$38,5,FALSE)+VLOOKUP($E979&amp;$C979,生产方式定位!$F$3:$J$38,5,FALSE),"错误")</f>
        <v>0</v>
      </c>
      <c r="Y979" s="26" t="str">
        <f t="shared" si="272"/>
        <v>工具*1</v>
      </c>
      <c r="Z979" s="36" t="str">
        <f t="shared" si="273"/>
        <v/>
      </c>
      <c r="AA979" s="36" t="str">
        <f t="shared" si="274"/>
        <v/>
      </c>
      <c r="AB979" s="27" t="str">
        <f t="shared" si="275"/>
        <v>-100%</v>
      </c>
      <c r="AC979" s="2">
        <f t="shared" si="276"/>
        <v>-60</v>
      </c>
      <c r="AD979" s="38">
        <f t="shared" si="277"/>
        <v>2</v>
      </c>
      <c r="AE979" t="str">
        <f t="shared" si="278"/>
        <v>工具*1</v>
      </c>
      <c r="AF979" t="str">
        <f t="shared" si="279"/>
        <v/>
      </c>
      <c r="AG979" t="str">
        <f t="shared" si="280"/>
        <v/>
      </c>
      <c r="AH979" t="str">
        <f t="shared" si="281"/>
        <v/>
      </c>
      <c r="AI979" t="str">
        <f t="shared" si="282"/>
        <v/>
      </c>
      <c r="AJ979" t="str">
        <f t="shared" si="283"/>
        <v/>
      </c>
      <c r="AK979" t="str">
        <f t="shared" si="284"/>
        <v/>
      </c>
      <c r="AL979">
        <f>IFERROR(ROUND(L979*(G979/$AU979)/VLOOKUP(F979,商品!$A$4:$B$60,2,FALSE),0),"")</f>
        <v>1</v>
      </c>
      <c r="AM979" t="str">
        <f>IFERROR(ROUND(L979*(I979/$AU979)/VLOOKUP(H979,商品!$A$4:$B$60,2,FALSE),0),"")</f>
        <v/>
      </c>
      <c r="AN979">
        <f>IFERROR(ROUND(L979*(J979/$AU979)/VLOOKUP("运力",商品!$A$4:$B$60,2,FALSE),0),0)</f>
        <v>0</v>
      </c>
      <c r="AO979">
        <f>IFERROR(ROUND(L979*(K979/$AU979)/VLOOKUP("交易",商品!$A$4:$B$60,2,FALSE),0),0)</f>
        <v>0</v>
      </c>
      <c r="AP979" t="str">
        <f>IFERROR(ROUND(S979*(N979/$AV979)/VLOOKUP(M979,职业!$A$4:$G$16,4,FALSE),0),"")</f>
        <v/>
      </c>
      <c r="AQ979" t="str">
        <f>IFERROR(ROUND(S979*(P979/$AV979)/VLOOKUP(O979,职业!$A$4:$G$16,4,FALSE),0),"")</f>
        <v/>
      </c>
      <c r="AR979" t="str">
        <f>IFERROR(ROUND(S979*(R979/$AV979)/VLOOKUP(Q979,职业!$A$4:$G$16,4,FALSE),0),"")</f>
        <v/>
      </c>
      <c r="AS979" t="str">
        <f>IFERROR(ROUND(X979*(U979/$AW979)/VLOOKUP(T979,商品!$A$4:$B$60,2,FALSE),0),"")</f>
        <v/>
      </c>
      <c r="AT979" t="str">
        <f>IFERROR(ROUND(X979*(W979/$AW979)/VLOOKUP(V979,商品!$A$4:$B$60,2,FALSE),0),"")</f>
        <v/>
      </c>
      <c r="AU979">
        <f t="shared" si="285"/>
        <v>10</v>
      </c>
      <c r="AV979">
        <f t="shared" si="286"/>
        <v>0</v>
      </c>
      <c r="AW979">
        <f t="shared" si="287"/>
        <v>0</v>
      </c>
    </row>
    <row r="980" spans="1:49" ht="19.95" customHeight="1" x14ac:dyDescent="0.25">
      <c r="A980" s="15" t="s">
        <v>389</v>
      </c>
      <c r="C980" s="15">
        <v>3</v>
      </c>
      <c r="D980" s="23" t="s">
        <v>174</v>
      </c>
      <c r="E980" s="23" t="s">
        <v>175</v>
      </c>
      <c r="F980" s="2" t="s">
        <v>41</v>
      </c>
      <c r="G980" s="2">
        <v>10</v>
      </c>
      <c r="L980" s="16">
        <f>IFERROR(VLOOKUP($D980&amp;$C980,生产方式定位!$A$2:$E$38,2,FALSE)+VLOOKUP($E980&amp;$C980,生产方式定位!$F$3:$J$38,2,FALSE),0)</f>
        <v>100</v>
      </c>
      <c r="S980" s="16">
        <f>IFERROR(VLOOKUP($D980&amp;$C980,生产方式定位!$A$2:$E$38,3,FALSE)+VLOOKUP($E980&amp;$C980,生产方式定位!$F$3:$J$38,3,FALSE),0)</f>
        <v>20</v>
      </c>
      <c r="X980" s="16">
        <f>IFERROR(VLOOKUP($D980&amp;$C980,生产方式定位!$A$2:$E$38,5,FALSE)+VLOOKUP($E980&amp;$C980,生产方式定位!$F$3:$J$38,5,FALSE),"错误")</f>
        <v>0</v>
      </c>
      <c r="Y980" s="26" t="str">
        <f t="shared" si="272"/>
        <v>工具*3</v>
      </c>
      <c r="Z980" s="36" t="str">
        <f t="shared" si="273"/>
        <v/>
      </c>
      <c r="AA980" s="36" t="str">
        <f t="shared" si="274"/>
        <v/>
      </c>
      <c r="AB980" s="27" t="str">
        <f t="shared" si="275"/>
        <v>-100%</v>
      </c>
      <c r="AC980" s="2">
        <f t="shared" si="276"/>
        <v>-120</v>
      </c>
      <c r="AD980" s="38">
        <f t="shared" si="277"/>
        <v>3</v>
      </c>
      <c r="AE980" t="str">
        <f t="shared" si="278"/>
        <v>工具*3</v>
      </c>
      <c r="AF980" t="str">
        <f t="shared" si="279"/>
        <v/>
      </c>
      <c r="AG980" t="str">
        <f t="shared" si="280"/>
        <v/>
      </c>
      <c r="AH980" t="str">
        <f t="shared" si="281"/>
        <v/>
      </c>
      <c r="AI980" t="str">
        <f t="shared" si="282"/>
        <v/>
      </c>
      <c r="AJ980" t="str">
        <f t="shared" si="283"/>
        <v/>
      </c>
      <c r="AK980" t="str">
        <f t="shared" si="284"/>
        <v/>
      </c>
      <c r="AL980">
        <f>IFERROR(ROUND(L980*(G980/$AU980)/VLOOKUP(F980,商品!$A$4:$B$60,2,FALSE),0),"")</f>
        <v>3</v>
      </c>
      <c r="AM980" t="str">
        <f>IFERROR(ROUND(L980*(I980/$AU980)/VLOOKUP(H980,商品!$A$4:$B$60,2,FALSE),0),"")</f>
        <v/>
      </c>
      <c r="AN980">
        <f>IFERROR(ROUND(L980*(J980/$AU980)/VLOOKUP("运力",商品!$A$4:$B$60,2,FALSE),0),0)</f>
        <v>0</v>
      </c>
      <c r="AO980">
        <f>IFERROR(ROUND(L980*(K980/$AU980)/VLOOKUP("交易",商品!$A$4:$B$60,2,FALSE),0),0)</f>
        <v>0</v>
      </c>
      <c r="AP980" t="str">
        <f>IFERROR(ROUND(S980*(N980/$AV980)/VLOOKUP(M980,职业!$A$4:$G$16,4,FALSE),0),"")</f>
        <v/>
      </c>
      <c r="AQ980" t="str">
        <f>IFERROR(ROUND(S980*(P980/$AV980)/VLOOKUP(O980,职业!$A$4:$G$16,4,FALSE),0),"")</f>
        <v/>
      </c>
      <c r="AR980" t="str">
        <f>IFERROR(ROUND(S980*(R980/$AV980)/VLOOKUP(Q980,职业!$A$4:$G$16,4,FALSE),0),"")</f>
        <v/>
      </c>
      <c r="AS980" t="str">
        <f>IFERROR(ROUND(X980*(U980/$AW980)/VLOOKUP(T980,商品!$A$4:$B$60,2,FALSE),0),"")</f>
        <v/>
      </c>
      <c r="AT980" t="str">
        <f>IFERROR(ROUND(X980*(W980/$AW980)/VLOOKUP(V980,商品!$A$4:$B$60,2,FALSE),0),"")</f>
        <v/>
      </c>
      <c r="AU980">
        <f t="shared" si="285"/>
        <v>10</v>
      </c>
      <c r="AV980">
        <f t="shared" si="286"/>
        <v>0</v>
      </c>
      <c r="AW980">
        <f t="shared" si="287"/>
        <v>0</v>
      </c>
    </row>
    <row r="981" spans="1:49" ht="19.95" customHeight="1" x14ac:dyDescent="0.25">
      <c r="A981" s="15" t="s">
        <v>389</v>
      </c>
      <c r="C981" s="15">
        <v>4</v>
      </c>
      <c r="D981" s="23" t="s">
        <v>174</v>
      </c>
      <c r="E981" s="23" t="s">
        <v>175</v>
      </c>
      <c r="F981" s="2" t="s">
        <v>45</v>
      </c>
      <c r="G981" s="2">
        <v>5</v>
      </c>
      <c r="H981" s="2" t="s">
        <v>19</v>
      </c>
      <c r="I981" s="2">
        <v>10</v>
      </c>
      <c r="L981" s="16">
        <f>IFERROR(VLOOKUP($D981&amp;$C981,生产方式定位!$A$2:$E$38,2,FALSE)+VLOOKUP($E981&amp;$C981,生产方式定位!$F$3:$J$38,2,FALSE),0)</f>
        <v>150</v>
      </c>
      <c r="S981" s="16">
        <f>IFERROR(VLOOKUP($D981&amp;$C981,生产方式定位!$A$2:$E$38,3,FALSE)+VLOOKUP($E981&amp;$C981,生产方式定位!$F$3:$J$38,3,FALSE),0)</f>
        <v>30</v>
      </c>
      <c r="X981" s="16">
        <f>IFERROR(VLOOKUP($D981&amp;$C981,生产方式定位!$A$2:$E$38,5,FALSE)+VLOOKUP($E981&amp;$C981,生产方式定位!$F$3:$J$38,5,FALSE),"错误")</f>
        <v>0</v>
      </c>
      <c r="Y981" s="26" t="str">
        <f t="shared" si="272"/>
        <v>科学引擎*1,煤*3</v>
      </c>
      <c r="Z981" s="36" t="str">
        <f t="shared" si="273"/>
        <v/>
      </c>
      <c r="AA981" s="36" t="str">
        <f t="shared" si="274"/>
        <v/>
      </c>
      <c r="AB981" s="27" t="str">
        <f t="shared" si="275"/>
        <v>-100%</v>
      </c>
      <c r="AC981" s="2">
        <f t="shared" si="276"/>
        <v>-180</v>
      </c>
      <c r="AD981" s="38">
        <f t="shared" si="277"/>
        <v>4</v>
      </c>
      <c r="AE981" t="str">
        <f t="shared" si="278"/>
        <v>科学引擎*1</v>
      </c>
      <c r="AF981" t="str">
        <f t="shared" si="279"/>
        <v>煤*3</v>
      </c>
      <c r="AG981" t="str">
        <f t="shared" si="280"/>
        <v/>
      </c>
      <c r="AH981" t="str">
        <f t="shared" si="281"/>
        <v/>
      </c>
      <c r="AI981" t="str">
        <f t="shared" si="282"/>
        <v/>
      </c>
      <c r="AJ981" t="str">
        <f t="shared" si="283"/>
        <v/>
      </c>
      <c r="AK981" t="str">
        <f t="shared" si="284"/>
        <v/>
      </c>
      <c r="AL981">
        <f>IFERROR(ROUND(L981*(G981/$AU981)/VLOOKUP(F981,商品!$A$4:$B$60,2,FALSE),0),"")</f>
        <v>1</v>
      </c>
      <c r="AM981">
        <f>IFERROR(ROUND(L981*(I981/$AU981)/VLOOKUP(H981,商品!$A$4:$B$60,2,FALSE),0),"")</f>
        <v>3</v>
      </c>
      <c r="AN981">
        <f>IFERROR(ROUND(L981*(J981/$AU981)/VLOOKUP("运力",商品!$A$4:$B$60,2,FALSE),0),0)</f>
        <v>0</v>
      </c>
      <c r="AO981">
        <f>IFERROR(ROUND(L981*(K981/$AU981)/VLOOKUP("交易",商品!$A$4:$B$60,2,FALSE),0),0)</f>
        <v>0</v>
      </c>
      <c r="AP981" t="str">
        <f>IFERROR(ROUND(S981*(N981/$AV981)/VLOOKUP(M981,职业!$A$4:$G$16,4,FALSE),0),"")</f>
        <v/>
      </c>
      <c r="AQ981" t="str">
        <f>IFERROR(ROUND(S981*(P981/$AV981)/VLOOKUP(O981,职业!$A$4:$G$16,4,FALSE),0),"")</f>
        <v/>
      </c>
      <c r="AR981" t="str">
        <f>IFERROR(ROUND(S981*(R981/$AV981)/VLOOKUP(Q981,职业!$A$4:$G$16,4,FALSE),0),"")</f>
        <v/>
      </c>
      <c r="AS981" t="str">
        <f>IFERROR(ROUND(X981*(U981/$AW981)/VLOOKUP(T981,商品!$A$4:$B$60,2,FALSE),0),"")</f>
        <v/>
      </c>
      <c r="AT981" t="str">
        <f>IFERROR(ROUND(X981*(W981/$AW981)/VLOOKUP(V981,商品!$A$4:$B$60,2,FALSE),0),"")</f>
        <v/>
      </c>
      <c r="AU981">
        <f t="shared" si="285"/>
        <v>15</v>
      </c>
      <c r="AV981">
        <f t="shared" si="286"/>
        <v>0</v>
      </c>
      <c r="AW981">
        <f t="shared" si="287"/>
        <v>0</v>
      </c>
    </row>
    <row r="982" spans="1:49" ht="19.95" customHeight="1" x14ac:dyDescent="0.25">
      <c r="A982" s="15" t="s">
        <v>389</v>
      </c>
      <c r="C982" s="15">
        <v>5</v>
      </c>
      <c r="D982" s="23" t="s">
        <v>174</v>
      </c>
      <c r="E982" s="23" t="s">
        <v>175</v>
      </c>
      <c r="F982" s="2" t="s">
        <v>46</v>
      </c>
      <c r="G982" s="2">
        <v>5</v>
      </c>
      <c r="H982" s="2" t="s">
        <v>19</v>
      </c>
      <c r="I982" s="2">
        <v>10</v>
      </c>
      <c r="L982" s="16">
        <f>IFERROR(VLOOKUP($D982&amp;$C982,生产方式定位!$A$2:$E$38,2,FALSE)+VLOOKUP($E982&amp;$C982,生产方式定位!$F$3:$J$38,2,FALSE),0)</f>
        <v>200</v>
      </c>
      <c r="S982" s="16">
        <f>IFERROR(VLOOKUP($D982&amp;$C982,生产方式定位!$A$2:$E$38,3,FALSE)+VLOOKUP($E982&amp;$C982,生产方式定位!$F$3:$J$38,3,FALSE),0)</f>
        <v>40</v>
      </c>
      <c r="X982" s="16">
        <f>IFERROR(VLOOKUP($D982&amp;$C982,生产方式定位!$A$2:$E$38,5,FALSE)+VLOOKUP($E982&amp;$C982,生产方式定位!$F$3:$J$38,5,FALSE),"错误")</f>
        <v>0</v>
      </c>
      <c r="Y982" s="26" t="str">
        <f t="shared" si="272"/>
        <v>魔导引擎*1,煤*4</v>
      </c>
      <c r="Z982" s="36" t="str">
        <f t="shared" si="273"/>
        <v/>
      </c>
      <c r="AA982" s="36" t="str">
        <f t="shared" si="274"/>
        <v/>
      </c>
      <c r="AB982" s="27" t="str">
        <f t="shared" si="275"/>
        <v>-100%</v>
      </c>
      <c r="AC982" s="2">
        <f t="shared" si="276"/>
        <v>-240</v>
      </c>
      <c r="AD982" s="38">
        <f t="shared" si="277"/>
        <v>5</v>
      </c>
      <c r="AE982" t="str">
        <f t="shared" si="278"/>
        <v>魔导引擎*1</v>
      </c>
      <c r="AF982" t="str">
        <f t="shared" si="279"/>
        <v>煤*4</v>
      </c>
      <c r="AG982" t="str">
        <f t="shared" si="280"/>
        <v/>
      </c>
      <c r="AH982" t="str">
        <f t="shared" si="281"/>
        <v/>
      </c>
      <c r="AI982" t="str">
        <f t="shared" si="282"/>
        <v/>
      </c>
      <c r="AJ982" t="str">
        <f t="shared" si="283"/>
        <v/>
      </c>
      <c r="AK982" t="str">
        <f t="shared" si="284"/>
        <v/>
      </c>
      <c r="AL982">
        <f>IFERROR(ROUND(L982*(G982/$AU982)/VLOOKUP(F982,商品!$A$4:$B$60,2,FALSE),0),"")</f>
        <v>1</v>
      </c>
      <c r="AM982">
        <f>IFERROR(ROUND(L982*(I982/$AU982)/VLOOKUP(H982,商品!$A$4:$B$60,2,FALSE),0),"")</f>
        <v>4</v>
      </c>
      <c r="AN982">
        <f>IFERROR(ROUND(L982*(J982/$AU982)/VLOOKUP("运力",商品!$A$4:$B$60,2,FALSE),0),0)</f>
        <v>0</v>
      </c>
      <c r="AO982">
        <f>IFERROR(ROUND(L982*(K982/$AU982)/VLOOKUP("交易",商品!$A$4:$B$60,2,FALSE),0),0)</f>
        <v>0</v>
      </c>
      <c r="AP982" t="str">
        <f>IFERROR(ROUND(S982*(N982/$AV982)/VLOOKUP(M982,职业!$A$4:$G$16,4,FALSE),0),"")</f>
        <v/>
      </c>
      <c r="AQ982" t="str">
        <f>IFERROR(ROUND(S982*(P982/$AV982)/VLOOKUP(O982,职业!$A$4:$G$16,4,FALSE),0),"")</f>
        <v/>
      </c>
      <c r="AR982" t="str">
        <f>IFERROR(ROUND(S982*(R982/$AV982)/VLOOKUP(Q982,职业!$A$4:$G$16,4,FALSE),0),"")</f>
        <v/>
      </c>
      <c r="AS982" t="str">
        <f>IFERROR(ROUND(X982*(U982/$AW982)/VLOOKUP(T982,商品!$A$4:$B$60,2,FALSE),0),"")</f>
        <v/>
      </c>
      <c r="AT982" t="str">
        <f>IFERROR(ROUND(X982*(W982/$AW982)/VLOOKUP(V982,商品!$A$4:$B$60,2,FALSE),0),"")</f>
        <v/>
      </c>
      <c r="AU982">
        <f t="shared" si="285"/>
        <v>15</v>
      </c>
      <c r="AV982">
        <f t="shared" si="286"/>
        <v>0</v>
      </c>
      <c r="AW982">
        <f t="shared" si="287"/>
        <v>0</v>
      </c>
    </row>
    <row r="983" spans="1:49" ht="19.95" customHeight="1" x14ac:dyDescent="0.25">
      <c r="A983" s="16" t="s">
        <v>390</v>
      </c>
      <c r="C983" s="16">
        <v>1</v>
      </c>
      <c r="D983" s="23" t="s">
        <v>171</v>
      </c>
      <c r="E983" s="23" t="s">
        <v>177</v>
      </c>
      <c r="L983" s="15">
        <f>IFERROR(VLOOKUP($D983&amp;$C983,生产方式定位!$A$2:$E$38,2,FALSE)+VLOOKUP($E983&amp;$C983,生产方式定位!$F$3:$J$38,2,FALSE),0)</f>
        <v>300</v>
      </c>
      <c r="S983" s="15">
        <f>IFERROR(VLOOKUP($D983&amp;$C983,生产方式定位!$A$2:$E$38,3,FALSE)+VLOOKUP($E983&amp;$C983,生产方式定位!$F$3:$J$38,3,FALSE),0)</f>
        <v>100</v>
      </c>
      <c r="X983" s="15">
        <f>IFERROR(VLOOKUP($D983&amp;$C983,生产方式定位!$A$2:$E$38,5,FALSE)+VLOOKUP($E983&amp;$C983,生产方式定位!$F$3:$J$38,5,FALSE),"错误")</f>
        <v>520</v>
      </c>
      <c r="Y983" s="26" t="str">
        <f t="shared" si="272"/>
        <v/>
      </c>
      <c r="Z983" s="36" t="str">
        <f t="shared" si="273"/>
        <v/>
      </c>
      <c r="AA983" s="36" t="str">
        <f t="shared" si="274"/>
        <v/>
      </c>
      <c r="AB983" s="27" t="str">
        <f t="shared" si="275"/>
        <v>73%</v>
      </c>
      <c r="AC983" s="2">
        <f t="shared" si="276"/>
        <v>120</v>
      </c>
      <c r="AD983" s="37">
        <f t="shared" si="277"/>
        <v>1</v>
      </c>
      <c r="AE983" t="str">
        <f t="shared" si="278"/>
        <v/>
      </c>
      <c r="AF983" t="str">
        <f t="shared" si="279"/>
        <v/>
      </c>
      <c r="AG983" t="str">
        <f t="shared" si="280"/>
        <v/>
      </c>
      <c r="AH983" t="str">
        <f t="shared" si="281"/>
        <v/>
      </c>
      <c r="AI983" t="str">
        <f t="shared" si="282"/>
        <v/>
      </c>
      <c r="AJ983" t="str">
        <f t="shared" si="283"/>
        <v/>
      </c>
      <c r="AK983" t="str">
        <f t="shared" si="284"/>
        <v/>
      </c>
      <c r="AL983" t="str">
        <f>IFERROR(ROUND(L983*(G983/$AU983)/VLOOKUP(F983,商品!$A$4:$B$60,2,FALSE),0),"")</f>
        <v/>
      </c>
      <c r="AM983" t="str">
        <f>IFERROR(ROUND(L983*(I983/$AU983)/VLOOKUP(H983,商品!$A$4:$B$60,2,FALSE),0),"")</f>
        <v/>
      </c>
      <c r="AN983">
        <f>IFERROR(ROUND(L983*(J983/$AU983)/VLOOKUP("运力",商品!$A$4:$B$60,2,FALSE),0),0)</f>
        <v>0</v>
      </c>
      <c r="AO983">
        <f>IFERROR(ROUND(L983*(K983/$AU983)/VLOOKUP("交易",商品!$A$4:$B$60,2,FALSE),0),0)</f>
        <v>0</v>
      </c>
      <c r="AP983" t="str">
        <f>IFERROR(ROUND(S983*(N983/$AV983)/VLOOKUP(M983,职业!$A$4:$G$16,4,FALSE),0),"")</f>
        <v/>
      </c>
      <c r="AQ983" t="str">
        <f>IFERROR(ROUND(S983*(P983/$AV983)/VLOOKUP(O983,职业!$A$4:$G$16,4,FALSE),0),"")</f>
        <v/>
      </c>
      <c r="AR983" t="str">
        <f>IFERROR(ROUND(S983*(R983/$AV983)/VLOOKUP(Q983,职业!$A$4:$G$16,4,FALSE),0),"")</f>
        <v/>
      </c>
      <c r="AS983" t="str">
        <f>IFERROR(ROUND(X983*(U983/$AW983)/VLOOKUP(T983,商品!$A$4:$B$60,2,FALSE),0),"")</f>
        <v/>
      </c>
      <c r="AT983" t="str">
        <f>IFERROR(ROUND(X983*(W983/$AW983)/VLOOKUP(V983,商品!$A$4:$B$60,2,FALSE),0),"")</f>
        <v/>
      </c>
      <c r="AU983">
        <f t="shared" si="285"/>
        <v>0</v>
      </c>
      <c r="AV983">
        <f t="shared" si="286"/>
        <v>0</v>
      </c>
      <c r="AW983">
        <f t="shared" si="287"/>
        <v>0</v>
      </c>
    </row>
    <row r="984" spans="1:49" ht="19.95" customHeight="1" x14ac:dyDescent="0.25">
      <c r="A984" s="16" t="s">
        <v>390</v>
      </c>
      <c r="C984" s="16">
        <v>2</v>
      </c>
      <c r="D984" s="23" t="s">
        <v>171</v>
      </c>
      <c r="E984" s="23" t="s">
        <v>177</v>
      </c>
      <c r="F984" s="2" t="s">
        <v>42</v>
      </c>
      <c r="G984" s="2">
        <v>5</v>
      </c>
      <c r="H984" s="2" t="s">
        <v>20</v>
      </c>
      <c r="I984" s="2">
        <v>10</v>
      </c>
      <c r="L984" s="15">
        <f>IFERROR(VLOOKUP($D984&amp;$C984,生产方式定位!$A$2:$E$38,2,FALSE)+VLOOKUP($E984&amp;$C984,生产方式定位!$F$3:$J$38,2,FALSE),0)</f>
        <v>705</v>
      </c>
      <c r="S984" s="15">
        <f>IFERROR(VLOOKUP($D984&amp;$C984,生产方式定位!$A$2:$E$38,3,FALSE)+VLOOKUP($E984&amp;$C984,生产方式定位!$F$3:$J$38,3,FALSE),0)</f>
        <v>115</v>
      </c>
      <c r="X984" s="15">
        <f>IFERROR(VLOOKUP($D984&amp;$C984,生产方式定位!$A$2:$E$38,5,FALSE)+VLOOKUP($E984&amp;$C984,生产方式定位!$F$3:$J$38,5,FALSE),"错误")</f>
        <v>910</v>
      </c>
      <c r="Y984" s="26" t="str">
        <f t="shared" si="272"/>
        <v>魔偶*6,灵能水晶*16</v>
      </c>
      <c r="Z984" s="36" t="str">
        <f t="shared" si="273"/>
        <v/>
      </c>
      <c r="AA984" s="36" t="str">
        <f t="shared" si="274"/>
        <v/>
      </c>
      <c r="AB984" s="27" t="str">
        <f t="shared" si="275"/>
        <v>29%</v>
      </c>
      <c r="AC984" s="2">
        <f t="shared" si="276"/>
        <v>90</v>
      </c>
      <c r="AD984" s="37">
        <f t="shared" si="277"/>
        <v>2</v>
      </c>
      <c r="AE984" t="str">
        <f t="shared" si="278"/>
        <v>魔偶*6</v>
      </c>
      <c r="AF984" t="str">
        <f t="shared" si="279"/>
        <v>灵能水晶*16</v>
      </c>
      <c r="AG984" t="str">
        <f t="shared" si="280"/>
        <v/>
      </c>
      <c r="AH984" t="str">
        <f t="shared" si="281"/>
        <v/>
      </c>
      <c r="AI984" t="str">
        <f t="shared" si="282"/>
        <v/>
      </c>
      <c r="AJ984" t="str">
        <f t="shared" si="283"/>
        <v/>
      </c>
      <c r="AK984" t="str">
        <f t="shared" si="284"/>
        <v/>
      </c>
      <c r="AL984">
        <f>IFERROR(ROUND(L984*(G984/$AU984)/VLOOKUP(F984,商品!$A$4:$B$60,2,FALSE),0),"")</f>
        <v>6</v>
      </c>
      <c r="AM984">
        <f>IFERROR(ROUND(L984*(I984/$AU984)/VLOOKUP(H984,商品!$A$4:$B$60,2,FALSE),0),"")</f>
        <v>16</v>
      </c>
      <c r="AN984">
        <f>IFERROR(ROUND(L984*(J984/$AU984)/VLOOKUP("运力",商品!$A$4:$B$60,2,FALSE),0),0)</f>
        <v>0</v>
      </c>
      <c r="AO984">
        <f>IFERROR(ROUND(L984*(K984/$AU984)/VLOOKUP("交易",商品!$A$4:$B$60,2,FALSE),0),0)</f>
        <v>0</v>
      </c>
      <c r="AP984" t="str">
        <f>IFERROR(ROUND(S984*(N984/$AV984)/VLOOKUP(M984,职业!$A$4:$G$16,4,FALSE),0),"")</f>
        <v/>
      </c>
      <c r="AQ984" t="str">
        <f>IFERROR(ROUND(S984*(P984/$AV984)/VLOOKUP(O984,职业!$A$4:$G$16,4,FALSE),0),"")</f>
        <v/>
      </c>
      <c r="AR984" t="str">
        <f>IFERROR(ROUND(S984*(R984/$AV984)/VLOOKUP(Q984,职业!$A$4:$G$16,4,FALSE),0),"")</f>
        <v/>
      </c>
      <c r="AS984" t="str">
        <f>IFERROR(ROUND(X984*(U984/$AW984)/VLOOKUP(T984,商品!$A$4:$B$60,2,FALSE),0),"")</f>
        <v/>
      </c>
      <c r="AT984" t="str">
        <f>IFERROR(ROUND(X984*(W984/$AW984)/VLOOKUP(V984,商品!$A$4:$B$60,2,FALSE),0),"")</f>
        <v/>
      </c>
      <c r="AU984">
        <f t="shared" si="285"/>
        <v>15</v>
      </c>
      <c r="AV984">
        <f t="shared" si="286"/>
        <v>0</v>
      </c>
      <c r="AW984">
        <f t="shared" si="287"/>
        <v>0</v>
      </c>
    </row>
    <row r="985" spans="1:49" ht="19.95" customHeight="1" x14ac:dyDescent="0.25">
      <c r="A985" s="16" t="s">
        <v>390</v>
      </c>
      <c r="C985" s="16">
        <v>3</v>
      </c>
      <c r="D985" s="23" t="s">
        <v>171</v>
      </c>
      <c r="E985" s="23" t="s">
        <v>177</v>
      </c>
      <c r="F985" s="2" t="s">
        <v>42</v>
      </c>
      <c r="G985" s="2">
        <v>5</v>
      </c>
      <c r="H985" s="2" t="s">
        <v>20</v>
      </c>
      <c r="I985" s="2">
        <v>10</v>
      </c>
      <c r="L985" s="15">
        <f>IFERROR(VLOOKUP($D985&amp;$C985,生产方式定位!$A$2:$E$38,2,FALSE)+VLOOKUP($E985&amp;$C985,生产方式定位!$F$3:$J$38,2,FALSE),0)</f>
        <v>1110</v>
      </c>
      <c r="S985" s="15">
        <f>IFERROR(VLOOKUP($D985&amp;$C985,生产方式定位!$A$2:$E$38,3,FALSE)+VLOOKUP($E985&amp;$C985,生产方式定位!$F$3:$J$38,3,FALSE),0)</f>
        <v>130</v>
      </c>
      <c r="X985" s="15">
        <f>IFERROR(VLOOKUP($D985&amp;$C985,生产方式定位!$A$2:$E$38,5,FALSE)+VLOOKUP($E985&amp;$C985,生产方式定位!$F$3:$J$38,5,FALSE),"错误")</f>
        <v>1300</v>
      </c>
      <c r="Y985" s="26" t="str">
        <f t="shared" si="272"/>
        <v>魔偶*9,灵能水晶*25</v>
      </c>
      <c r="Z985" s="36" t="str">
        <f t="shared" si="273"/>
        <v/>
      </c>
      <c r="AA985" s="36" t="str">
        <f t="shared" si="274"/>
        <v/>
      </c>
      <c r="AB985" s="27" t="str">
        <f t="shared" si="275"/>
        <v>17%</v>
      </c>
      <c r="AC985" s="2">
        <f t="shared" si="276"/>
        <v>60</v>
      </c>
      <c r="AD985" s="37">
        <f t="shared" si="277"/>
        <v>3</v>
      </c>
      <c r="AE985" t="str">
        <f t="shared" si="278"/>
        <v>魔偶*9</v>
      </c>
      <c r="AF985" t="str">
        <f t="shared" si="279"/>
        <v>灵能水晶*25</v>
      </c>
      <c r="AG985" t="str">
        <f t="shared" si="280"/>
        <v/>
      </c>
      <c r="AH985" t="str">
        <f t="shared" si="281"/>
        <v/>
      </c>
      <c r="AI985" t="str">
        <f t="shared" si="282"/>
        <v/>
      </c>
      <c r="AJ985" t="str">
        <f t="shared" si="283"/>
        <v/>
      </c>
      <c r="AK985" t="str">
        <f t="shared" si="284"/>
        <v/>
      </c>
      <c r="AL985">
        <f>IFERROR(ROUND(L985*(G985/$AU985)/VLOOKUP(F985,商品!$A$4:$B$60,2,FALSE),0),"")</f>
        <v>9</v>
      </c>
      <c r="AM985">
        <f>IFERROR(ROUND(L985*(I985/$AU985)/VLOOKUP(H985,商品!$A$4:$B$60,2,FALSE),0),"")</f>
        <v>25</v>
      </c>
      <c r="AN985">
        <f>IFERROR(ROUND(L985*(J985/$AU985)/VLOOKUP("运力",商品!$A$4:$B$60,2,FALSE),0),0)</f>
        <v>0</v>
      </c>
      <c r="AO985">
        <f>IFERROR(ROUND(L985*(K985/$AU985)/VLOOKUP("交易",商品!$A$4:$B$60,2,FALSE),0),0)</f>
        <v>0</v>
      </c>
      <c r="AP985" t="str">
        <f>IFERROR(ROUND(S985*(N985/$AV985)/VLOOKUP(M985,职业!$A$4:$G$16,4,FALSE),0),"")</f>
        <v/>
      </c>
      <c r="AQ985" t="str">
        <f>IFERROR(ROUND(S985*(P985/$AV985)/VLOOKUP(O985,职业!$A$4:$G$16,4,FALSE),0),"")</f>
        <v/>
      </c>
      <c r="AR985" t="str">
        <f>IFERROR(ROUND(S985*(R985/$AV985)/VLOOKUP(Q985,职业!$A$4:$G$16,4,FALSE),0),"")</f>
        <v/>
      </c>
      <c r="AS985" t="str">
        <f>IFERROR(ROUND(X985*(U985/$AW985)/VLOOKUP(T985,商品!$A$4:$B$60,2,FALSE),0),"")</f>
        <v/>
      </c>
      <c r="AT985" t="str">
        <f>IFERROR(ROUND(X985*(W985/$AW985)/VLOOKUP(V985,商品!$A$4:$B$60,2,FALSE),0),"")</f>
        <v/>
      </c>
      <c r="AU985">
        <f t="shared" si="285"/>
        <v>15</v>
      </c>
      <c r="AV985">
        <f t="shared" si="286"/>
        <v>0</v>
      </c>
      <c r="AW985">
        <f t="shared" si="287"/>
        <v>0</v>
      </c>
    </row>
    <row r="986" spans="1:49" ht="19.95" customHeight="1" x14ac:dyDescent="0.25">
      <c r="A986" s="16" t="s">
        <v>390</v>
      </c>
      <c r="C986" s="16">
        <v>4</v>
      </c>
      <c r="D986" s="23" t="s">
        <v>171</v>
      </c>
      <c r="E986" s="23" t="s">
        <v>177</v>
      </c>
      <c r="F986" s="2" t="s">
        <v>42</v>
      </c>
      <c r="G986" s="2">
        <v>5</v>
      </c>
      <c r="H986" s="2" t="s">
        <v>20</v>
      </c>
      <c r="I986" s="2">
        <v>10</v>
      </c>
      <c r="L986" s="15">
        <f>IFERROR(VLOOKUP($D986&amp;$C986,生产方式定位!$A$2:$E$38,2,FALSE)+VLOOKUP($E986&amp;$C986,生产方式定位!$F$3:$J$38,2,FALSE),0)</f>
        <v>1515</v>
      </c>
      <c r="S986" s="15">
        <f>IFERROR(VLOOKUP($D986&amp;$C986,生产方式定位!$A$2:$E$38,3,FALSE)+VLOOKUP($E986&amp;$C986,生产方式定位!$F$3:$J$38,3,FALSE),0)</f>
        <v>145</v>
      </c>
      <c r="X986" s="15">
        <f>IFERROR(VLOOKUP($D986&amp;$C986,生产方式定位!$A$2:$E$38,5,FALSE)+VLOOKUP($E986&amp;$C986,生产方式定位!$F$3:$J$38,5,FALSE),"错误")</f>
        <v>1690</v>
      </c>
      <c r="Y986" s="26" t="str">
        <f t="shared" si="272"/>
        <v>魔偶*13,灵能水晶*34</v>
      </c>
      <c r="Z986" s="36" t="str">
        <f t="shared" si="273"/>
        <v/>
      </c>
      <c r="AA986" s="36" t="str">
        <f t="shared" si="274"/>
        <v/>
      </c>
      <c r="AB986" s="27" t="str">
        <f t="shared" si="275"/>
        <v>12%</v>
      </c>
      <c r="AC986" s="2">
        <f t="shared" si="276"/>
        <v>30</v>
      </c>
      <c r="AD986" s="37">
        <f t="shared" si="277"/>
        <v>4</v>
      </c>
      <c r="AE986" t="str">
        <f t="shared" si="278"/>
        <v>魔偶*13</v>
      </c>
      <c r="AF986" t="str">
        <f t="shared" si="279"/>
        <v>灵能水晶*34</v>
      </c>
      <c r="AG986" t="str">
        <f t="shared" si="280"/>
        <v/>
      </c>
      <c r="AH986" t="str">
        <f t="shared" si="281"/>
        <v/>
      </c>
      <c r="AI986" t="str">
        <f t="shared" si="282"/>
        <v/>
      </c>
      <c r="AJ986" t="str">
        <f t="shared" si="283"/>
        <v/>
      </c>
      <c r="AK986" t="str">
        <f t="shared" si="284"/>
        <v/>
      </c>
      <c r="AL986">
        <f>IFERROR(ROUND(L986*(G986/$AU986)/VLOOKUP(F986,商品!$A$4:$B$60,2,FALSE),0),"")</f>
        <v>13</v>
      </c>
      <c r="AM986">
        <f>IFERROR(ROUND(L986*(I986/$AU986)/VLOOKUP(H986,商品!$A$4:$B$60,2,FALSE),0),"")</f>
        <v>34</v>
      </c>
      <c r="AN986">
        <f>IFERROR(ROUND(L986*(J986/$AU986)/VLOOKUP("运力",商品!$A$4:$B$60,2,FALSE),0),0)</f>
        <v>0</v>
      </c>
      <c r="AO986">
        <f>IFERROR(ROUND(L986*(K986/$AU986)/VLOOKUP("交易",商品!$A$4:$B$60,2,FALSE),0),0)</f>
        <v>0</v>
      </c>
      <c r="AP986" t="str">
        <f>IFERROR(ROUND(S986*(N986/$AV986)/VLOOKUP(M986,职业!$A$4:$G$16,4,FALSE),0),"")</f>
        <v/>
      </c>
      <c r="AQ986" t="str">
        <f>IFERROR(ROUND(S986*(P986/$AV986)/VLOOKUP(O986,职业!$A$4:$G$16,4,FALSE),0),"")</f>
        <v/>
      </c>
      <c r="AR986" t="str">
        <f>IFERROR(ROUND(S986*(R986/$AV986)/VLOOKUP(Q986,职业!$A$4:$G$16,4,FALSE),0),"")</f>
        <v/>
      </c>
      <c r="AS986" t="str">
        <f>IFERROR(ROUND(X986*(U986/$AW986)/VLOOKUP(T986,商品!$A$4:$B$60,2,FALSE),0),"")</f>
        <v/>
      </c>
      <c r="AT986" t="str">
        <f>IFERROR(ROUND(X986*(W986/$AW986)/VLOOKUP(V986,商品!$A$4:$B$60,2,FALSE),0),"")</f>
        <v/>
      </c>
      <c r="AU986">
        <f t="shared" si="285"/>
        <v>15</v>
      </c>
      <c r="AV986">
        <f t="shared" si="286"/>
        <v>0</v>
      </c>
      <c r="AW986">
        <f t="shared" si="287"/>
        <v>0</v>
      </c>
    </row>
    <row r="987" spans="1:49" ht="19.95" customHeight="1" x14ac:dyDescent="0.25">
      <c r="A987" s="16" t="s">
        <v>390</v>
      </c>
      <c r="C987" s="16">
        <v>5</v>
      </c>
      <c r="D987" s="23" t="s">
        <v>171</v>
      </c>
      <c r="E987" s="23" t="s">
        <v>177</v>
      </c>
      <c r="F987" s="2" t="s">
        <v>42</v>
      </c>
      <c r="G987" s="2">
        <v>5</v>
      </c>
      <c r="H987" s="2" t="s">
        <v>20</v>
      </c>
      <c r="I987" s="2">
        <v>10</v>
      </c>
      <c r="L987" s="15">
        <f>IFERROR(VLOOKUP($D987&amp;$C987,生产方式定位!$A$2:$E$38,2,FALSE)+VLOOKUP($E987&amp;$C987,生产方式定位!$F$3:$J$38,2,FALSE),0)</f>
        <v>1920</v>
      </c>
      <c r="S987" s="15">
        <f>IFERROR(VLOOKUP($D987&amp;$C987,生产方式定位!$A$2:$E$38,3,FALSE)+VLOOKUP($E987&amp;$C987,生产方式定位!$F$3:$J$38,3,FALSE),0)</f>
        <v>160</v>
      </c>
      <c r="X987" s="15">
        <f>IFERROR(VLOOKUP($D987&amp;$C987,生产方式定位!$A$2:$E$38,5,FALSE)+VLOOKUP($E987&amp;$C987,生产方式定位!$F$3:$J$38,5,FALSE),"错误")</f>
        <v>2080</v>
      </c>
      <c r="Y987" s="26" t="str">
        <f t="shared" si="272"/>
        <v>魔偶*16,灵能水晶*43</v>
      </c>
      <c r="Z987" s="36" t="str">
        <f t="shared" si="273"/>
        <v/>
      </c>
      <c r="AA987" s="36" t="str">
        <f t="shared" si="274"/>
        <v/>
      </c>
      <c r="AB987" s="27" t="str">
        <f t="shared" si="275"/>
        <v>8%</v>
      </c>
      <c r="AC987" s="2" t="str">
        <f t="shared" si="276"/>
        <v/>
      </c>
      <c r="AD987" s="37">
        <f t="shared" si="277"/>
        <v>5</v>
      </c>
      <c r="AE987" t="str">
        <f t="shared" si="278"/>
        <v>魔偶*16</v>
      </c>
      <c r="AF987" t="str">
        <f t="shared" si="279"/>
        <v>灵能水晶*43</v>
      </c>
      <c r="AG987" t="str">
        <f t="shared" si="280"/>
        <v/>
      </c>
      <c r="AH987" t="str">
        <f t="shared" si="281"/>
        <v/>
      </c>
      <c r="AI987" t="str">
        <f t="shared" si="282"/>
        <v/>
      </c>
      <c r="AJ987" t="str">
        <f t="shared" si="283"/>
        <v/>
      </c>
      <c r="AK987" t="str">
        <f t="shared" si="284"/>
        <v/>
      </c>
      <c r="AL987">
        <f>IFERROR(ROUND(L987*(G987/$AU987)/VLOOKUP(F987,商品!$A$4:$B$60,2,FALSE),0),"")</f>
        <v>16</v>
      </c>
      <c r="AM987">
        <f>IFERROR(ROUND(L987*(I987/$AU987)/VLOOKUP(H987,商品!$A$4:$B$60,2,FALSE),0),"")</f>
        <v>43</v>
      </c>
      <c r="AN987">
        <f>IFERROR(ROUND(L987*(J987/$AU987)/VLOOKUP("运力",商品!$A$4:$B$60,2,FALSE),0),0)</f>
        <v>0</v>
      </c>
      <c r="AO987">
        <f>IFERROR(ROUND(L987*(K987/$AU987)/VLOOKUP("交易",商品!$A$4:$B$60,2,FALSE),0),0)</f>
        <v>0</v>
      </c>
      <c r="AP987" t="str">
        <f>IFERROR(ROUND(S987*(N987/$AV987)/VLOOKUP(M987,职业!$A$4:$G$16,4,FALSE),0),"")</f>
        <v/>
      </c>
      <c r="AQ987" t="str">
        <f>IFERROR(ROUND(S987*(P987/$AV987)/VLOOKUP(O987,职业!$A$4:$G$16,4,FALSE),0),"")</f>
        <v/>
      </c>
      <c r="AR987" t="str">
        <f>IFERROR(ROUND(S987*(R987/$AV987)/VLOOKUP(Q987,职业!$A$4:$G$16,4,FALSE),0),"")</f>
        <v/>
      </c>
      <c r="AS987" t="str">
        <f>IFERROR(ROUND(X987*(U987/$AW987)/VLOOKUP(T987,商品!$A$4:$B$60,2,FALSE),0),"")</f>
        <v/>
      </c>
      <c r="AT987" t="str">
        <f>IFERROR(ROUND(X987*(W987/$AW987)/VLOOKUP(V987,商品!$A$4:$B$60,2,FALSE),0),"")</f>
        <v/>
      </c>
      <c r="AU987">
        <f t="shared" si="285"/>
        <v>15</v>
      </c>
      <c r="AV987">
        <f t="shared" si="286"/>
        <v>0</v>
      </c>
      <c r="AW987">
        <f t="shared" si="287"/>
        <v>0</v>
      </c>
    </row>
    <row r="988" spans="1:49" ht="19.95" customHeight="1" x14ac:dyDescent="0.25">
      <c r="A988" s="15" t="s">
        <v>391</v>
      </c>
      <c r="C988" s="15">
        <v>1</v>
      </c>
      <c r="D988" s="23" t="s">
        <v>174</v>
      </c>
      <c r="E988" s="23" t="s">
        <v>179</v>
      </c>
      <c r="L988" s="16">
        <f>IFERROR(VLOOKUP($D988&amp;$C988,生产方式定位!$A$2:$E$38,2,FALSE)+VLOOKUP($E988&amp;$C988,生产方式定位!$F$3:$J$38,2,FALSE),0)</f>
        <v>0</v>
      </c>
      <c r="S988" s="16">
        <f>IFERROR(VLOOKUP($D988&amp;$C988,生产方式定位!$A$2:$E$38,3,FALSE)+VLOOKUP($E988&amp;$C988,生产方式定位!$F$3:$J$38,3,FALSE),0)</f>
        <v>100</v>
      </c>
      <c r="X988" s="16">
        <f>IFERROR(VLOOKUP($D988&amp;$C988,生产方式定位!$A$2:$E$38,5,FALSE)+VLOOKUP($E988&amp;$C988,生产方式定位!$F$3:$J$38,5,FALSE),"错误")</f>
        <v>100</v>
      </c>
      <c r="Y988" s="26" t="str">
        <f t="shared" si="272"/>
        <v/>
      </c>
      <c r="Z988" s="36" t="str">
        <f t="shared" si="273"/>
        <v/>
      </c>
      <c r="AA988" s="36" t="str">
        <f t="shared" si="274"/>
        <v/>
      </c>
      <c r="AB988" s="27" t="str">
        <f t="shared" si="275"/>
        <v/>
      </c>
      <c r="AC988" s="2" t="str">
        <f t="shared" si="276"/>
        <v/>
      </c>
      <c r="AD988" s="38">
        <f t="shared" si="277"/>
        <v>1</v>
      </c>
      <c r="AE988" t="str">
        <f t="shared" si="278"/>
        <v/>
      </c>
      <c r="AF988" t="str">
        <f t="shared" si="279"/>
        <v/>
      </c>
      <c r="AG988" t="str">
        <f t="shared" si="280"/>
        <v/>
      </c>
      <c r="AH988" t="str">
        <f t="shared" si="281"/>
        <v/>
      </c>
      <c r="AI988" t="str">
        <f t="shared" si="282"/>
        <v/>
      </c>
      <c r="AJ988" t="str">
        <f t="shared" si="283"/>
        <v/>
      </c>
      <c r="AK988" t="str">
        <f t="shared" si="284"/>
        <v/>
      </c>
      <c r="AL988" t="str">
        <f>IFERROR(ROUND(L988*(G988/$AU988)/VLOOKUP(F988,商品!$A$4:$B$60,2,FALSE),0),"")</f>
        <v/>
      </c>
      <c r="AM988" t="str">
        <f>IFERROR(ROUND(L988*(I988/$AU988)/VLOOKUP(H988,商品!$A$4:$B$60,2,FALSE),0),"")</f>
        <v/>
      </c>
      <c r="AN988">
        <f>IFERROR(ROUND(L988*(J988/$AU988)/VLOOKUP("运力",商品!$A$4:$B$60,2,FALSE),0),0)</f>
        <v>0</v>
      </c>
      <c r="AO988">
        <f>IFERROR(ROUND(L988*(K988/$AU988)/VLOOKUP("交易",商品!$A$4:$B$60,2,FALSE),0),0)</f>
        <v>0</v>
      </c>
      <c r="AP988" t="str">
        <f>IFERROR(ROUND(S988*(N988/$AV988)/VLOOKUP(M988,职业!$A$4:$G$16,4,FALSE),0),"")</f>
        <v/>
      </c>
      <c r="AQ988" t="str">
        <f>IFERROR(ROUND(S988*(P988/$AV988)/VLOOKUP(O988,职业!$A$4:$G$16,4,FALSE),0),"")</f>
        <v/>
      </c>
      <c r="AR988" t="str">
        <f>IFERROR(ROUND(S988*(R988/$AV988)/VLOOKUP(Q988,职业!$A$4:$G$16,4,FALSE),0),"")</f>
        <v/>
      </c>
      <c r="AS988" t="str">
        <f>IFERROR(ROUND(X988*(U988/$AW988)/VLOOKUP(T988,商品!$A$4:$B$60,2,FALSE),0),"")</f>
        <v/>
      </c>
      <c r="AT988" t="str">
        <f>IFERROR(ROUND(X988*(W988/$AW988)/VLOOKUP(V988,商品!$A$4:$B$60,2,FALSE),0),"")</f>
        <v/>
      </c>
      <c r="AU988">
        <f t="shared" si="285"/>
        <v>0</v>
      </c>
      <c r="AV988">
        <f t="shared" si="286"/>
        <v>0</v>
      </c>
      <c r="AW988">
        <f t="shared" si="287"/>
        <v>0</v>
      </c>
    </row>
    <row r="989" spans="1:49" ht="19.95" customHeight="1" x14ac:dyDescent="0.25">
      <c r="A989" s="15" t="s">
        <v>391</v>
      </c>
      <c r="C989" s="15">
        <v>2</v>
      </c>
      <c r="D989" s="23" t="s">
        <v>174</v>
      </c>
      <c r="E989" s="23" t="s">
        <v>179</v>
      </c>
      <c r="L989" s="16">
        <f>IFERROR(VLOOKUP($D989&amp;$C989,生产方式定位!$A$2:$E$38,2,FALSE)+VLOOKUP($E989&amp;$C989,生产方式定位!$F$3:$J$38,2,FALSE),0)</f>
        <v>0</v>
      </c>
      <c r="S989" s="16">
        <f>IFERROR(VLOOKUP($D989&amp;$C989,生产方式定位!$A$2:$E$38,3,FALSE)+VLOOKUP($E989&amp;$C989,生产方式定位!$F$3:$J$38,3,FALSE),0)</f>
        <v>100</v>
      </c>
      <c r="X989" s="16">
        <f>IFERROR(VLOOKUP($D989&amp;$C989,生产方式定位!$A$2:$E$38,5,FALSE)+VLOOKUP($E989&amp;$C989,生产方式定位!$F$3:$J$38,5,FALSE),"错误")</f>
        <v>100</v>
      </c>
      <c r="Y989" s="26" t="str">
        <f t="shared" si="272"/>
        <v/>
      </c>
      <c r="Z989" s="36" t="str">
        <f t="shared" si="273"/>
        <v/>
      </c>
      <c r="AA989" s="36" t="str">
        <f t="shared" si="274"/>
        <v/>
      </c>
      <c r="AB989" s="27" t="str">
        <f t="shared" si="275"/>
        <v/>
      </c>
      <c r="AC989" s="2" t="str">
        <f t="shared" si="276"/>
        <v/>
      </c>
      <c r="AD989" s="38">
        <f t="shared" si="277"/>
        <v>2</v>
      </c>
      <c r="AE989" t="str">
        <f t="shared" si="278"/>
        <v/>
      </c>
      <c r="AF989" t="str">
        <f t="shared" si="279"/>
        <v/>
      </c>
      <c r="AG989" t="str">
        <f t="shared" si="280"/>
        <v/>
      </c>
      <c r="AH989" t="str">
        <f t="shared" si="281"/>
        <v/>
      </c>
      <c r="AI989" t="str">
        <f t="shared" si="282"/>
        <v/>
      </c>
      <c r="AJ989" t="str">
        <f t="shared" si="283"/>
        <v/>
      </c>
      <c r="AK989" t="str">
        <f t="shared" si="284"/>
        <v/>
      </c>
      <c r="AL989" t="str">
        <f>IFERROR(ROUND(L989*(G989/$AU989)/VLOOKUP(F989,商品!$A$4:$B$60,2,FALSE),0),"")</f>
        <v/>
      </c>
      <c r="AM989" t="str">
        <f>IFERROR(ROUND(L989*(I989/$AU989)/VLOOKUP(H989,商品!$A$4:$B$60,2,FALSE),0),"")</f>
        <v/>
      </c>
      <c r="AN989">
        <f>IFERROR(ROUND(L989*(J989/$AU989)/VLOOKUP("运力",商品!$A$4:$B$60,2,FALSE),0),0)</f>
        <v>0</v>
      </c>
      <c r="AO989">
        <f>IFERROR(ROUND(L989*(K989/$AU989)/VLOOKUP("交易",商品!$A$4:$B$60,2,FALSE),0),0)</f>
        <v>0</v>
      </c>
      <c r="AP989" t="str">
        <f>IFERROR(ROUND(S989*(N989/$AV989)/VLOOKUP(M989,职业!$A$4:$G$16,4,FALSE),0),"")</f>
        <v/>
      </c>
      <c r="AQ989" t="str">
        <f>IFERROR(ROUND(S989*(P989/$AV989)/VLOOKUP(O989,职业!$A$4:$G$16,4,FALSE),0),"")</f>
        <v/>
      </c>
      <c r="AR989" t="str">
        <f>IFERROR(ROUND(S989*(R989/$AV989)/VLOOKUP(Q989,职业!$A$4:$G$16,4,FALSE),0),"")</f>
        <v/>
      </c>
      <c r="AS989" t="str">
        <f>IFERROR(ROUND(X989*(U989/$AW989)/VLOOKUP(T989,商品!$A$4:$B$60,2,FALSE),0),"")</f>
        <v/>
      </c>
      <c r="AT989" t="str">
        <f>IFERROR(ROUND(X989*(W989/$AW989)/VLOOKUP(V989,商品!$A$4:$B$60,2,FALSE),0),"")</f>
        <v/>
      </c>
      <c r="AU989">
        <f t="shared" si="285"/>
        <v>0</v>
      </c>
      <c r="AV989">
        <f t="shared" si="286"/>
        <v>0</v>
      </c>
      <c r="AW989">
        <f t="shared" si="287"/>
        <v>0</v>
      </c>
    </row>
    <row r="990" spans="1:49" ht="19.95" customHeight="1" x14ac:dyDescent="0.25">
      <c r="A990" s="15" t="s">
        <v>391</v>
      </c>
      <c r="C990" s="15">
        <v>3</v>
      </c>
      <c r="D990" s="23" t="s">
        <v>174</v>
      </c>
      <c r="E990" s="23" t="s">
        <v>179</v>
      </c>
      <c r="L990" s="16">
        <f>IFERROR(VLOOKUP($D990&amp;$C990,生产方式定位!$A$2:$E$38,2,FALSE)+VLOOKUP($E990&amp;$C990,生产方式定位!$F$3:$J$38,2,FALSE),0)</f>
        <v>0</v>
      </c>
      <c r="S990" s="16">
        <f>IFERROR(VLOOKUP($D990&amp;$C990,生产方式定位!$A$2:$E$38,3,FALSE)+VLOOKUP($E990&amp;$C990,生产方式定位!$F$3:$J$38,3,FALSE),0)</f>
        <v>100</v>
      </c>
      <c r="X990" s="16">
        <f>IFERROR(VLOOKUP($D990&amp;$C990,生产方式定位!$A$2:$E$38,5,FALSE)+VLOOKUP($E990&amp;$C990,生产方式定位!$F$3:$J$38,5,FALSE),"错误")</f>
        <v>100</v>
      </c>
      <c r="Y990" s="26" t="str">
        <f t="shared" si="272"/>
        <v/>
      </c>
      <c r="Z990" s="36" t="str">
        <f t="shared" si="273"/>
        <v/>
      </c>
      <c r="AA990" s="36" t="str">
        <f t="shared" si="274"/>
        <v/>
      </c>
      <c r="AB990" s="27" t="str">
        <f t="shared" si="275"/>
        <v/>
      </c>
      <c r="AC990" s="2" t="str">
        <f t="shared" si="276"/>
        <v/>
      </c>
      <c r="AD990" s="38">
        <f t="shared" si="277"/>
        <v>3</v>
      </c>
      <c r="AE990" t="str">
        <f t="shared" si="278"/>
        <v/>
      </c>
      <c r="AF990" t="str">
        <f t="shared" si="279"/>
        <v/>
      </c>
      <c r="AG990" t="str">
        <f t="shared" si="280"/>
        <v/>
      </c>
      <c r="AH990" t="str">
        <f t="shared" si="281"/>
        <v/>
      </c>
      <c r="AI990" t="str">
        <f t="shared" si="282"/>
        <v/>
      </c>
      <c r="AJ990" t="str">
        <f t="shared" si="283"/>
        <v/>
      </c>
      <c r="AK990" t="str">
        <f t="shared" si="284"/>
        <v/>
      </c>
      <c r="AL990" t="str">
        <f>IFERROR(ROUND(L990*(G990/$AU990)/VLOOKUP(F990,商品!$A$4:$B$60,2,FALSE),0),"")</f>
        <v/>
      </c>
      <c r="AM990" t="str">
        <f>IFERROR(ROUND(L990*(I990/$AU990)/VLOOKUP(H990,商品!$A$4:$B$60,2,FALSE),0),"")</f>
        <v/>
      </c>
      <c r="AN990">
        <f>IFERROR(ROUND(L990*(J990/$AU990)/VLOOKUP("运力",商品!$A$4:$B$60,2,FALSE),0),0)</f>
        <v>0</v>
      </c>
      <c r="AO990">
        <f>IFERROR(ROUND(L990*(K990/$AU990)/VLOOKUP("交易",商品!$A$4:$B$60,2,FALSE),0),0)</f>
        <v>0</v>
      </c>
      <c r="AP990" t="str">
        <f>IFERROR(ROUND(S990*(N990/$AV990)/VLOOKUP(M990,职业!$A$4:$G$16,4,FALSE),0),"")</f>
        <v/>
      </c>
      <c r="AQ990" t="str">
        <f>IFERROR(ROUND(S990*(P990/$AV990)/VLOOKUP(O990,职业!$A$4:$G$16,4,FALSE),0),"")</f>
        <v/>
      </c>
      <c r="AR990" t="str">
        <f>IFERROR(ROUND(S990*(R990/$AV990)/VLOOKUP(Q990,职业!$A$4:$G$16,4,FALSE),0),"")</f>
        <v/>
      </c>
      <c r="AS990" t="str">
        <f>IFERROR(ROUND(X990*(U990/$AW990)/VLOOKUP(T990,商品!$A$4:$B$60,2,FALSE),0),"")</f>
        <v/>
      </c>
      <c r="AT990" t="str">
        <f>IFERROR(ROUND(X990*(W990/$AW990)/VLOOKUP(V990,商品!$A$4:$B$60,2,FALSE),0),"")</f>
        <v/>
      </c>
      <c r="AU990">
        <f t="shared" si="285"/>
        <v>0</v>
      </c>
      <c r="AV990">
        <f t="shared" si="286"/>
        <v>0</v>
      </c>
      <c r="AW990">
        <f t="shared" si="287"/>
        <v>0</v>
      </c>
    </row>
    <row r="991" spans="1:49" ht="19.95" customHeight="1" x14ac:dyDescent="0.25">
      <c r="A991" s="15" t="s">
        <v>391</v>
      </c>
      <c r="C991" s="15">
        <v>4</v>
      </c>
      <c r="D991" s="23" t="s">
        <v>174</v>
      </c>
      <c r="E991" s="23" t="s">
        <v>179</v>
      </c>
      <c r="L991" s="16">
        <f>IFERROR(VLOOKUP($D991&amp;$C991,生产方式定位!$A$2:$E$38,2,FALSE)+VLOOKUP($E991&amp;$C991,生产方式定位!$F$3:$J$38,2,FALSE),0)</f>
        <v>0</v>
      </c>
      <c r="S991" s="16">
        <f>IFERROR(VLOOKUP($D991&amp;$C991,生产方式定位!$A$2:$E$38,3,FALSE)+VLOOKUP($E991&amp;$C991,生产方式定位!$F$3:$J$38,3,FALSE),0)</f>
        <v>100</v>
      </c>
      <c r="X991" s="16">
        <f>IFERROR(VLOOKUP($D991&amp;$C991,生产方式定位!$A$2:$E$38,5,FALSE)+VLOOKUP($E991&amp;$C991,生产方式定位!$F$3:$J$38,5,FALSE),"错误")</f>
        <v>100</v>
      </c>
      <c r="Y991" s="26" t="str">
        <f t="shared" si="272"/>
        <v/>
      </c>
      <c r="Z991" s="36" t="str">
        <f t="shared" si="273"/>
        <v/>
      </c>
      <c r="AA991" s="36" t="str">
        <f t="shared" si="274"/>
        <v/>
      </c>
      <c r="AB991" s="27" t="str">
        <f t="shared" si="275"/>
        <v/>
      </c>
      <c r="AC991" s="2" t="str">
        <f t="shared" si="276"/>
        <v/>
      </c>
      <c r="AD991" s="38">
        <f t="shared" si="277"/>
        <v>4</v>
      </c>
      <c r="AE991" t="str">
        <f t="shared" si="278"/>
        <v/>
      </c>
      <c r="AF991" t="str">
        <f t="shared" si="279"/>
        <v/>
      </c>
      <c r="AG991" t="str">
        <f t="shared" si="280"/>
        <v/>
      </c>
      <c r="AH991" t="str">
        <f t="shared" si="281"/>
        <v/>
      </c>
      <c r="AI991" t="str">
        <f t="shared" si="282"/>
        <v/>
      </c>
      <c r="AJ991" t="str">
        <f t="shared" si="283"/>
        <v/>
      </c>
      <c r="AK991" t="str">
        <f t="shared" si="284"/>
        <v/>
      </c>
      <c r="AL991" t="str">
        <f>IFERROR(ROUND(L991*(G991/$AU991)/VLOOKUP(F991,商品!$A$4:$B$60,2,FALSE),0),"")</f>
        <v/>
      </c>
      <c r="AM991" t="str">
        <f>IFERROR(ROUND(L991*(I991/$AU991)/VLOOKUP(H991,商品!$A$4:$B$60,2,FALSE),0),"")</f>
        <v/>
      </c>
      <c r="AN991">
        <f>IFERROR(ROUND(L991*(J991/$AU991)/VLOOKUP("运力",商品!$A$4:$B$60,2,FALSE),0),0)</f>
        <v>0</v>
      </c>
      <c r="AO991">
        <f>IFERROR(ROUND(L991*(K991/$AU991)/VLOOKUP("交易",商品!$A$4:$B$60,2,FALSE),0),0)</f>
        <v>0</v>
      </c>
      <c r="AP991" t="str">
        <f>IFERROR(ROUND(S991*(N991/$AV991)/VLOOKUP(M991,职业!$A$4:$G$16,4,FALSE),0),"")</f>
        <v/>
      </c>
      <c r="AQ991" t="str">
        <f>IFERROR(ROUND(S991*(P991/$AV991)/VLOOKUP(O991,职业!$A$4:$G$16,4,FALSE),0),"")</f>
        <v/>
      </c>
      <c r="AR991" t="str">
        <f>IFERROR(ROUND(S991*(R991/$AV991)/VLOOKUP(Q991,职业!$A$4:$G$16,4,FALSE),0),"")</f>
        <v/>
      </c>
      <c r="AS991" t="str">
        <f>IFERROR(ROUND(X991*(U991/$AW991)/VLOOKUP(T991,商品!$A$4:$B$60,2,FALSE),0),"")</f>
        <v/>
      </c>
      <c r="AT991" t="str">
        <f>IFERROR(ROUND(X991*(W991/$AW991)/VLOOKUP(V991,商品!$A$4:$B$60,2,FALSE),0),"")</f>
        <v/>
      </c>
      <c r="AU991">
        <f t="shared" si="285"/>
        <v>0</v>
      </c>
      <c r="AV991">
        <f t="shared" si="286"/>
        <v>0</v>
      </c>
      <c r="AW991">
        <f t="shared" si="287"/>
        <v>0</v>
      </c>
    </row>
    <row r="992" spans="1:49" ht="19.95" customHeight="1" x14ac:dyDescent="0.25">
      <c r="A992" s="15" t="s">
        <v>391</v>
      </c>
      <c r="C992" s="15">
        <v>5</v>
      </c>
      <c r="D992" s="23" t="s">
        <v>174</v>
      </c>
      <c r="E992" s="23" t="s">
        <v>179</v>
      </c>
      <c r="L992" s="16">
        <f>IFERROR(VLOOKUP($D992&amp;$C992,生产方式定位!$A$2:$E$38,2,FALSE)+VLOOKUP($E992&amp;$C992,生产方式定位!$F$3:$J$38,2,FALSE),0)</f>
        <v>0</v>
      </c>
      <c r="S992" s="16">
        <f>IFERROR(VLOOKUP($D992&amp;$C992,生产方式定位!$A$2:$E$38,3,FALSE)+VLOOKUP($E992&amp;$C992,生产方式定位!$F$3:$J$38,3,FALSE),0)</f>
        <v>100</v>
      </c>
      <c r="X992" s="16">
        <f>IFERROR(VLOOKUP($D992&amp;$C992,生产方式定位!$A$2:$E$38,5,FALSE)+VLOOKUP($E992&amp;$C992,生产方式定位!$F$3:$J$38,5,FALSE),"错误")</f>
        <v>100</v>
      </c>
      <c r="Y992" s="26" t="str">
        <f t="shared" si="272"/>
        <v/>
      </c>
      <c r="Z992" s="36" t="str">
        <f t="shared" si="273"/>
        <v/>
      </c>
      <c r="AA992" s="36" t="str">
        <f t="shared" si="274"/>
        <v/>
      </c>
      <c r="AB992" s="27" t="str">
        <f t="shared" si="275"/>
        <v/>
      </c>
      <c r="AC992" s="2" t="str">
        <f t="shared" si="276"/>
        <v/>
      </c>
      <c r="AD992" s="38">
        <f t="shared" si="277"/>
        <v>5</v>
      </c>
      <c r="AE992" t="str">
        <f t="shared" si="278"/>
        <v/>
      </c>
      <c r="AF992" t="str">
        <f t="shared" si="279"/>
        <v/>
      </c>
      <c r="AG992" t="str">
        <f t="shared" si="280"/>
        <v/>
      </c>
      <c r="AH992" t="str">
        <f t="shared" si="281"/>
        <v/>
      </c>
      <c r="AI992" t="str">
        <f t="shared" si="282"/>
        <v/>
      </c>
      <c r="AJ992" t="str">
        <f t="shared" si="283"/>
        <v/>
      </c>
      <c r="AK992" t="str">
        <f t="shared" si="284"/>
        <v/>
      </c>
      <c r="AL992" t="str">
        <f>IFERROR(ROUND(L992*(G992/$AU992)/VLOOKUP(F992,商品!$A$4:$B$60,2,FALSE),0),"")</f>
        <v/>
      </c>
      <c r="AM992" t="str">
        <f>IFERROR(ROUND(L992*(I992/$AU992)/VLOOKUP(H992,商品!$A$4:$B$60,2,FALSE),0),"")</f>
        <v/>
      </c>
      <c r="AN992">
        <f>IFERROR(ROUND(L992*(J992/$AU992)/VLOOKUP("运力",商品!$A$4:$B$60,2,FALSE),0),0)</f>
        <v>0</v>
      </c>
      <c r="AO992">
        <f>IFERROR(ROUND(L992*(K992/$AU992)/VLOOKUP("交易",商品!$A$4:$B$60,2,FALSE),0),0)</f>
        <v>0</v>
      </c>
      <c r="AP992" t="str">
        <f>IFERROR(ROUND(S992*(N992/$AV992)/VLOOKUP(M992,职业!$A$4:$G$16,4,FALSE),0),"")</f>
        <v/>
      </c>
      <c r="AQ992" t="str">
        <f>IFERROR(ROUND(S992*(P992/$AV992)/VLOOKUP(O992,职业!$A$4:$G$16,4,FALSE),0),"")</f>
        <v/>
      </c>
      <c r="AR992" t="str">
        <f>IFERROR(ROUND(S992*(R992/$AV992)/VLOOKUP(Q992,职业!$A$4:$G$16,4,FALSE),0),"")</f>
        <v/>
      </c>
      <c r="AS992" t="str">
        <f>IFERROR(ROUND(X992*(U992/$AW992)/VLOOKUP(T992,商品!$A$4:$B$60,2,FALSE),0),"")</f>
        <v/>
      </c>
      <c r="AT992" t="str">
        <f>IFERROR(ROUND(X992*(W992/$AW992)/VLOOKUP(V992,商品!$A$4:$B$60,2,FALSE),0),"")</f>
        <v/>
      </c>
      <c r="AU992">
        <f t="shared" si="285"/>
        <v>0</v>
      </c>
      <c r="AV992">
        <f t="shared" si="286"/>
        <v>0</v>
      </c>
      <c r="AW992">
        <f t="shared" si="287"/>
        <v>0</v>
      </c>
    </row>
    <row r="993" spans="1:49" ht="19.95" customHeight="1" x14ac:dyDescent="0.25">
      <c r="A993" s="15" t="s">
        <v>391</v>
      </c>
      <c r="C993" s="15">
        <v>6</v>
      </c>
      <c r="D993" s="23" t="s">
        <v>174</v>
      </c>
      <c r="E993" s="23" t="s">
        <v>179</v>
      </c>
      <c r="L993" s="16">
        <f>IFERROR(VLOOKUP($D993&amp;$C993,生产方式定位!$A$2:$E$38,2,FALSE)+VLOOKUP($E993&amp;$C993,生产方式定位!$F$3:$J$38,2,FALSE),0)</f>
        <v>0</v>
      </c>
      <c r="S993" s="16">
        <f>IFERROR(VLOOKUP($D993&amp;$C993,生产方式定位!$A$2:$E$38,3,FALSE)+VLOOKUP($E993&amp;$C993,生产方式定位!$F$3:$J$38,3,FALSE),0)</f>
        <v>100</v>
      </c>
      <c r="X993" s="16">
        <f>IFERROR(VLOOKUP($D993&amp;$C993,生产方式定位!$A$2:$E$38,5,FALSE)+VLOOKUP($E993&amp;$C993,生产方式定位!$F$3:$J$38,5,FALSE),"错误")</f>
        <v>100</v>
      </c>
      <c r="Y993" s="26" t="str">
        <f t="shared" si="272"/>
        <v/>
      </c>
      <c r="Z993" s="36" t="str">
        <f t="shared" si="273"/>
        <v/>
      </c>
      <c r="AA993" s="36" t="str">
        <f t="shared" si="274"/>
        <v/>
      </c>
      <c r="AB993" s="27" t="str">
        <f t="shared" si="275"/>
        <v/>
      </c>
      <c r="AC993" s="2" t="str">
        <f t="shared" si="276"/>
        <v/>
      </c>
      <c r="AD993" s="37">
        <f t="shared" si="277"/>
        <v>6</v>
      </c>
      <c r="AE993" t="str">
        <f t="shared" si="278"/>
        <v/>
      </c>
      <c r="AF993" t="str">
        <f t="shared" si="279"/>
        <v/>
      </c>
      <c r="AG993" t="str">
        <f t="shared" si="280"/>
        <v/>
      </c>
      <c r="AH993" t="str">
        <f t="shared" si="281"/>
        <v/>
      </c>
      <c r="AI993" t="str">
        <f t="shared" si="282"/>
        <v/>
      </c>
      <c r="AJ993" t="str">
        <f t="shared" si="283"/>
        <v/>
      </c>
      <c r="AK993" t="str">
        <f t="shared" si="284"/>
        <v/>
      </c>
      <c r="AL993" t="str">
        <f>IFERROR(ROUND(L993*(G993/$AU993)/VLOOKUP(F993,商品!$A$4:$B$60,2,FALSE),0),"")</f>
        <v/>
      </c>
      <c r="AM993" t="str">
        <f>IFERROR(ROUND(L993*(I993/$AU993)/VLOOKUP(H993,商品!$A$4:$B$60,2,FALSE),0),"")</f>
        <v/>
      </c>
      <c r="AN993">
        <f>IFERROR(ROUND(L993*(J993/$AU993)/VLOOKUP("运力",商品!$A$4:$B$60,2,FALSE),0),0)</f>
        <v>0</v>
      </c>
      <c r="AO993">
        <f>IFERROR(ROUND(L993*(K993/$AU993)/VLOOKUP("交易",商品!$A$4:$B$60,2,FALSE),0),0)</f>
        <v>0</v>
      </c>
      <c r="AP993" t="str">
        <f>IFERROR(ROUND(S993*(N993/$AV993)/VLOOKUP(M993,职业!$A$4:$G$16,4,FALSE),0),"")</f>
        <v/>
      </c>
      <c r="AQ993" t="str">
        <f>IFERROR(ROUND(S993*(P993/$AV993)/VLOOKUP(O993,职业!$A$4:$G$16,4,FALSE),0),"")</f>
        <v/>
      </c>
      <c r="AR993" t="str">
        <f>IFERROR(ROUND(S993*(R993/$AV993)/VLOOKUP(Q993,职业!$A$4:$G$16,4,FALSE),0),"")</f>
        <v/>
      </c>
      <c r="AS993" t="str">
        <f>IFERROR(ROUND(X993*(U993/$AW993)/VLOOKUP(T993,商品!$A$4:$B$60,2,FALSE),0),"")</f>
        <v/>
      </c>
      <c r="AT993" t="str">
        <f>IFERROR(ROUND(X993*(W993/$AW993)/VLOOKUP(V993,商品!$A$4:$B$60,2,FALSE),0),"")</f>
        <v/>
      </c>
      <c r="AU993">
        <f t="shared" si="285"/>
        <v>0</v>
      </c>
      <c r="AV993">
        <f t="shared" si="286"/>
        <v>0</v>
      </c>
      <c r="AW993">
        <f t="shared" si="287"/>
        <v>0</v>
      </c>
    </row>
    <row r="994" spans="1:49" ht="19.95" customHeight="1" x14ac:dyDescent="0.25">
      <c r="A994" s="15" t="s">
        <v>391</v>
      </c>
      <c r="C994" s="15">
        <v>7</v>
      </c>
      <c r="D994" s="23" t="s">
        <v>174</v>
      </c>
      <c r="E994" s="23" t="s">
        <v>179</v>
      </c>
      <c r="L994" s="16">
        <f>IFERROR(VLOOKUP($D994&amp;$C994,生产方式定位!$A$2:$E$38,2,FALSE)+VLOOKUP($E994&amp;$C994,生产方式定位!$F$3:$J$38,2,FALSE),0)</f>
        <v>0</v>
      </c>
      <c r="S994" s="16">
        <f>IFERROR(VLOOKUP($D994&amp;$C994,生产方式定位!$A$2:$E$38,3,FALSE)+VLOOKUP($E994&amp;$C994,生产方式定位!$F$3:$J$38,3,FALSE),0)</f>
        <v>100</v>
      </c>
      <c r="X994" s="16">
        <f>IFERROR(VLOOKUP($D994&amp;$C994,生产方式定位!$A$2:$E$38,5,FALSE)+VLOOKUP($E994&amp;$C994,生产方式定位!$F$3:$J$38,5,FALSE),"错误")</f>
        <v>100</v>
      </c>
      <c r="Y994" s="26" t="str">
        <f t="shared" si="272"/>
        <v/>
      </c>
      <c r="Z994" s="36" t="str">
        <f t="shared" si="273"/>
        <v/>
      </c>
      <c r="AA994" s="36" t="str">
        <f t="shared" si="274"/>
        <v/>
      </c>
      <c r="AB994" s="27" t="str">
        <f t="shared" si="275"/>
        <v/>
      </c>
      <c r="AC994" s="2" t="str">
        <f t="shared" si="276"/>
        <v/>
      </c>
      <c r="AD994" s="37">
        <f t="shared" si="277"/>
        <v>7</v>
      </c>
      <c r="AE994" t="str">
        <f t="shared" si="278"/>
        <v/>
      </c>
      <c r="AF994" t="str">
        <f t="shared" si="279"/>
        <v/>
      </c>
      <c r="AG994" t="str">
        <f t="shared" si="280"/>
        <v/>
      </c>
      <c r="AH994" t="str">
        <f t="shared" si="281"/>
        <v/>
      </c>
      <c r="AI994" t="str">
        <f t="shared" si="282"/>
        <v/>
      </c>
      <c r="AJ994" t="str">
        <f t="shared" si="283"/>
        <v/>
      </c>
      <c r="AK994" t="str">
        <f t="shared" si="284"/>
        <v/>
      </c>
      <c r="AL994" t="str">
        <f>IFERROR(ROUND(L994*(G994/$AU994)/VLOOKUP(F994,商品!$A$4:$B$60,2,FALSE),0),"")</f>
        <v/>
      </c>
      <c r="AM994" t="str">
        <f>IFERROR(ROUND(L994*(I994/$AU994)/VLOOKUP(H994,商品!$A$4:$B$60,2,FALSE),0),"")</f>
        <v/>
      </c>
      <c r="AN994">
        <f>IFERROR(ROUND(L994*(J994/$AU994)/VLOOKUP("运力",商品!$A$4:$B$60,2,FALSE),0),0)</f>
        <v>0</v>
      </c>
      <c r="AO994">
        <f>IFERROR(ROUND(L994*(K994/$AU994)/VLOOKUP("交易",商品!$A$4:$B$60,2,FALSE),0),0)</f>
        <v>0</v>
      </c>
      <c r="AP994" t="str">
        <f>IFERROR(ROUND(S994*(N994/$AV994)/VLOOKUP(M994,职业!$A$4:$G$16,4,FALSE),0),"")</f>
        <v/>
      </c>
      <c r="AQ994" t="str">
        <f>IFERROR(ROUND(S994*(P994/$AV994)/VLOOKUP(O994,职业!$A$4:$G$16,4,FALSE),0),"")</f>
        <v/>
      </c>
      <c r="AR994" t="str">
        <f>IFERROR(ROUND(S994*(R994/$AV994)/VLOOKUP(Q994,职业!$A$4:$G$16,4,FALSE),0),"")</f>
        <v/>
      </c>
      <c r="AS994" t="str">
        <f>IFERROR(ROUND(X994*(U994/$AW994)/VLOOKUP(T994,商品!$A$4:$B$60,2,FALSE),0),"")</f>
        <v/>
      </c>
      <c r="AT994" t="str">
        <f>IFERROR(ROUND(X994*(W994/$AW994)/VLOOKUP(V994,商品!$A$4:$B$60,2,FALSE),0),"")</f>
        <v/>
      </c>
      <c r="AU994">
        <f t="shared" si="285"/>
        <v>0</v>
      </c>
      <c r="AV994">
        <f t="shared" si="286"/>
        <v>0</v>
      </c>
      <c r="AW994">
        <f t="shared" si="287"/>
        <v>0</v>
      </c>
    </row>
    <row r="995" spans="1:49" ht="19.95" customHeight="1" x14ac:dyDescent="0.25">
      <c r="A995" s="15" t="s">
        <v>391</v>
      </c>
      <c r="C995" s="15">
        <v>8</v>
      </c>
      <c r="D995" s="23" t="s">
        <v>174</v>
      </c>
      <c r="E995" s="23" t="s">
        <v>179</v>
      </c>
      <c r="L995" s="16">
        <f>IFERROR(VLOOKUP($D995&amp;$C995,生产方式定位!$A$2:$E$38,2,FALSE)+VLOOKUP($E995&amp;$C995,生产方式定位!$F$3:$J$38,2,FALSE),0)</f>
        <v>0</v>
      </c>
      <c r="S995" s="16">
        <f>IFERROR(VLOOKUP($D995&amp;$C995,生产方式定位!$A$2:$E$38,3,FALSE)+VLOOKUP($E995&amp;$C995,生产方式定位!$F$3:$J$38,3,FALSE),0)</f>
        <v>100</v>
      </c>
      <c r="X995" s="16">
        <f>IFERROR(VLOOKUP($D995&amp;$C995,生产方式定位!$A$2:$E$38,5,FALSE)+VLOOKUP($E995&amp;$C995,生产方式定位!$F$3:$J$38,5,FALSE),"错误")</f>
        <v>100</v>
      </c>
      <c r="Y995" s="26" t="str">
        <f t="shared" si="272"/>
        <v/>
      </c>
      <c r="Z995" s="36" t="str">
        <f t="shared" si="273"/>
        <v/>
      </c>
      <c r="AA995" s="36" t="str">
        <f t="shared" si="274"/>
        <v/>
      </c>
      <c r="AB995" s="27" t="str">
        <f t="shared" si="275"/>
        <v/>
      </c>
      <c r="AC995" s="2" t="str">
        <f t="shared" si="276"/>
        <v/>
      </c>
      <c r="AD995" s="37">
        <f t="shared" si="277"/>
        <v>8</v>
      </c>
      <c r="AE995" t="str">
        <f t="shared" si="278"/>
        <v/>
      </c>
      <c r="AF995" t="str">
        <f t="shared" si="279"/>
        <v/>
      </c>
      <c r="AG995" t="str">
        <f t="shared" si="280"/>
        <v/>
      </c>
      <c r="AH995" t="str">
        <f t="shared" si="281"/>
        <v/>
      </c>
      <c r="AI995" t="str">
        <f t="shared" si="282"/>
        <v/>
      </c>
      <c r="AJ995" t="str">
        <f t="shared" si="283"/>
        <v/>
      </c>
      <c r="AK995" t="str">
        <f t="shared" si="284"/>
        <v/>
      </c>
      <c r="AL995" t="str">
        <f>IFERROR(ROUND(L995*(G995/$AU995)/VLOOKUP(F995,商品!$A$4:$B$60,2,FALSE),0),"")</f>
        <v/>
      </c>
      <c r="AM995" t="str">
        <f>IFERROR(ROUND(L995*(I995/$AU995)/VLOOKUP(H995,商品!$A$4:$B$60,2,FALSE),0),"")</f>
        <v/>
      </c>
      <c r="AN995">
        <f>IFERROR(ROUND(L995*(J995/$AU995)/VLOOKUP("运力",商品!$A$4:$B$60,2,FALSE),0),0)</f>
        <v>0</v>
      </c>
      <c r="AO995">
        <f>IFERROR(ROUND(L995*(K995/$AU995)/VLOOKUP("交易",商品!$A$4:$B$60,2,FALSE),0),0)</f>
        <v>0</v>
      </c>
      <c r="AP995" t="str">
        <f>IFERROR(ROUND(S995*(N995/$AV995)/VLOOKUP(M995,职业!$A$4:$G$16,4,FALSE),0),"")</f>
        <v/>
      </c>
      <c r="AQ995" t="str">
        <f>IFERROR(ROUND(S995*(P995/$AV995)/VLOOKUP(O995,职业!$A$4:$G$16,4,FALSE),0),"")</f>
        <v/>
      </c>
      <c r="AR995" t="str">
        <f>IFERROR(ROUND(S995*(R995/$AV995)/VLOOKUP(Q995,职业!$A$4:$G$16,4,FALSE),0),"")</f>
        <v/>
      </c>
      <c r="AS995" t="str">
        <f>IFERROR(ROUND(X995*(U995/$AW995)/VLOOKUP(T995,商品!$A$4:$B$60,2,FALSE),0),"")</f>
        <v/>
      </c>
      <c r="AT995" t="str">
        <f>IFERROR(ROUND(X995*(W995/$AW995)/VLOOKUP(V995,商品!$A$4:$B$60,2,FALSE),0),"")</f>
        <v/>
      </c>
      <c r="AU995">
        <f t="shared" si="285"/>
        <v>0</v>
      </c>
      <c r="AV995">
        <f t="shared" si="286"/>
        <v>0</v>
      </c>
      <c r="AW995">
        <f t="shared" si="287"/>
        <v>0</v>
      </c>
    </row>
    <row r="996" spans="1:49" ht="19.95" customHeight="1" x14ac:dyDescent="0.25">
      <c r="A996" s="16" t="s">
        <v>393</v>
      </c>
      <c r="C996" s="16">
        <v>1</v>
      </c>
      <c r="D996" s="23" t="s">
        <v>171</v>
      </c>
      <c r="E996" s="23" t="s">
        <v>172</v>
      </c>
      <c r="L996" s="15">
        <f>IFERROR(VLOOKUP($D996&amp;$C996,生产方式定位!$A$2:$E$38,2,FALSE)+VLOOKUP($E996&amp;$C996,生产方式定位!$F$3:$J$38,2,FALSE),0)</f>
        <v>300</v>
      </c>
      <c r="S996" s="15">
        <f>IFERROR(VLOOKUP($D996&amp;$C996,生产方式定位!$A$2:$E$38,3,FALSE)+VLOOKUP($E996&amp;$C996,生产方式定位!$F$3:$J$38,3,FALSE),0)</f>
        <v>100</v>
      </c>
      <c r="X996" s="15">
        <f>IFERROR(VLOOKUP($D996&amp;$C996,生产方式定位!$A$2:$E$38,5,FALSE)+VLOOKUP($E996&amp;$C996,生产方式定位!$F$3:$J$38,5,FALSE),"错误")</f>
        <v>520</v>
      </c>
      <c r="Y996" s="26" t="str">
        <f t="shared" si="272"/>
        <v/>
      </c>
      <c r="Z996" s="36" t="str">
        <f t="shared" si="273"/>
        <v/>
      </c>
      <c r="AA996" s="36" t="str">
        <f t="shared" si="274"/>
        <v/>
      </c>
      <c r="AB996" s="27" t="str">
        <f t="shared" si="275"/>
        <v>73%</v>
      </c>
      <c r="AC996" s="2">
        <f t="shared" si="276"/>
        <v>120</v>
      </c>
      <c r="AD996" s="37">
        <f t="shared" si="277"/>
        <v>1</v>
      </c>
      <c r="AE996" t="str">
        <f t="shared" si="278"/>
        <v/>
      </c>
      <c r="AF996" t="str">
        <f t="shared" si="279"/>
        <v/>
      </c>
      <c r="AG996" t="str">
        <f t="shared" si="280"/>
        <v/>
      </c>
      <c r="AH996" t="str">
        <f t="shared" si="281"/>
        <v/>
      </c>
      <c r="AI996" t="str">
        <f t="shared" si="282"/>
        <v/>
      </c>
      <c r="AJ996" t="str">
        <f t="shared" si="283"/>
        <v/>
      </c>
      <c r="AK996" t="str">
        <f t="shared" si="284"/>
        <v/>
      </c>
      <c r="AL996" t="str">
        <f>IFERROR(ROUND(L996*(G996/$AU996)/VLOOKUP(F996,商品!$A$4:$B$60,2,FALSE),0),"")</f>
        <v/>
      </c>
      <c r="AM996" t="str">
        <f>IFERROR(ROUND(L996*(I996/$AU996)/VLOOKUP(H996,商品!$A$4:$B$60,2,FALSE),0),"")</f>
        <v/>
      </c>
      <c r="AN996">
        <f>IFERROR(ROUND(L996*(J996/$AU996)/VLOOKUP("运力",商品!$A$4:$B$60,2,FALSE),0),0)</f>
        <v>0</v>
      </c>
      <c r="AO996">
        <f>IFERROR(ROUND(L996*(K996/$AU996)/VLOOKUP("交易",商品!$A$4:$B$60,2,FALSE),0),0)</f>
        <v>0</v>
      </c>
      <c r="AP996" t="str">
        <f>IFERROR(ROUND(S996*(N996/$AV996)/VLOOKUP(M996,职业!$A$4:$G$16,4,FALSE),0),"")</f>
        <v/>
      </c>
      <c r="AQ996" t="str">
        <f>IFERROR(ROUND(S996*(P996/$AV996)/VLOOKUP(O996,职业!$A$4:$G$16,4,FALSE),0),"")</f>
        <v/>
      </c>
      <c r="AR996" t="str">
        <f>IFERROR(ROUND(S996*(R996/$AV996)/VLOOKUP(Q996,职业!$A$4:$G$16,4,FALSE),0),"")</f>
        <v/>
      </c>
      <c r="AS996" t="str">
        <f>IFERROR(ROUND(X996*(U996/$AW996)/VLOOKUP(T996,商品!$A$4:$B$60,2,FALSE),0),"")</f>
        <v/>
      </c>
      <c r="AT996" t="str">
        <f>IFERROR(ROUND(X996*(W996/$AW996)/VLOOKUP(V996,商品!$A$4:$B$60,2,FALSE),0),"")</f>
        <v/>
      </c>
      <c r="AU996">
        <f t="shared" si="285"/>
        <v>0</v>
      </c>
      <c r="AV996">
        <f t="shared" si="286"/>
        <v>0</v>
      </c>
      <c r="AW996">
        <f t="shared" si="287"/>
        <v>0</v>
      </c>
    </row>
    <row r="997" spans="1:49" ht="19.95" customHeight="1" x14ac:dyDescent="0.25">
      <c r="A997" s="16" t="s">
        <v>393</v>
      </c>
      <c r="C997" s="16">
        <v>2</v>
      </c>
      <c r="D997" s="23" t="s">
        <v>171</v>
      </c>
      <c r="E997" s="23" t="s">
        <v>172</v>
      </c>
      <c r="L997" s="15">
        <f>IFERROR(VLOOKUP($D997&amp;$C997,生产方式定位!$A$2:$E$38,2,FALSE)+VLOOKUP($E997&amp;$C997,生产方式定位!$F$3:$J$38,2,FALSE),0)</f>
        <v>1100</v>
      </c>
      <c r="S997" s="15">
        <f>IFERROR(VLOOKUP($D997&amp;$C997,生产方式定位!$A$2:$E$38,3,FALSE)+VLOOKUP($E997&amp;$C997,生产方式定位!$F$3:$J$38,3,FALSE),0)</f>
        <v>100</v>
      </c>
      <c r="X997" s="15">
        <f>IFERROR(VLOOKUP($D997&amp;$C997,生产方式定位!$A$2:$E$38,5,FALSE)+VLOOKUP($E997&amp;$C997,生产方式定位!$F$3:$J$38,5,FALSE),"错误")</f>
        <v>1510</v>
      </c>
      <c r="Y997" s="26" t="str">
        <f t="shared" si="272"/>
        <v/>
      </c>
      <c r="Z997" s="36" t="str">
        <f t="shared" si="273"/>
        <v/>
      </c>
      <c r="AA997" s="36" t="str">
        <f t="shared" si="274"/>
        <v/>
      </c>
      <c r="AB997" s="27" t="str">
        <f t="shared" si="275"/>
        <v>37%</v>
      </c>
      <c r="AC997" s="2">
        <f t="shared" si="276"/>
        <v>310</v>
      </c>
      <c r="AD997" s="37">
        <f t="shared" si="277"/>
        <v>2</v>
      </c>
      <c r="AE997" t="str">
        <f t="shared" si="278"/>
        <v/>
      </c>
      <c r="AF997" t="str">
        <f t="shared" si="279"/>
        <v/>
      </c>
      <c r="AG997" t="str">
        <f t="shared" si="280"/>
        <v/>
      </c>
      <c r="AH997" t="str">
        <f t="shared" si="281"/>
        <v/>
      </c>
      <c r="AI997" t="str">
        <f t="shared" si="282"/>
        <v/>
      </c>
      <c r="AJ997" t="str">
        <f t="shared" si="283"/>
        <v/>
      </c>
      <c r="AK997" t="str">
        <f t="shared" si="284"/>
        <v/>
      </c>
      <c r="AL997" t="str">
        <f>IFERROR(ROUND(L997*(G997/$AU997)/VLOOKUP(F997,商品!$A$4:$B$60,2,FALSE),0),"")</f>
        <v/>
      </c>
      <c r="AM997" t="str">
        <f>IFERROR(ROUND(L997*(I997/$AU997)/VLOOKUP(H997,商品!$A$4:$B$60,2,FALSE),0),"")</f>
        <v/>
      </c>
      <c r="AN997">
        <f>IFERROR(ROUND(L997*(J997/$AU997)/VLOOKUP("运力",商品!$A$4:$B$60,2,FALSE),0),0)</f>
        <v>0</v>
      </c>
      <c r="AO997">
        <f>IFERROR(ROUND(L997*(K997/$AU997)/VLOOKUP("交易",商品!$A$4:$B$60,2,FALSE),0),0)</f>
        <v>0</v>
      </c>
      <c r="AP997" t="str">
        <f>IFERROR(ROUND(S997*(N997/$AV997)/VLOOKUP(M997,职业!$A$4:$G$16,4,FALSE),0),"")</f>
        <v/>
      </c>
      <c r="AQ997" t="str">
        <f>IFERROR(ROUND(S997*(P997/$AV997)/VLOOKUP(O997,职业!$A$4:$G$16,4,FALSE),0),"")</f>
        <v/>
      </c>
      <c r="AR997" t="str">
        <f>IFERROR(ROUND(S997*(R997/$AV997)/VLOOKUP(Q997,职业!$A$4:$G$16,4,FALSE),0),"")</f>
        <v/>
      </c>
      <c r="AS997" t="str">
        <f>IFERROR(ROUND(X997*(U997/$AW997)/VLOOKUP(T997,商品!$A$4:$B$60,2,FALSE),0),"")</f>
        <v/>
      </c>
      <c r="AT997" t="str">
        <f>IFERROR(ROUND(X997*(W997/$AW997)/VLOOKUP(V997,商品!$A$4:$B$60,2,FALSE),0),"")</f>
        <v/>
      </c>
      <c r="AU997">
        <f t="shared" si="285"/>
        <v>0</v>
      </c>
      <c r="AV997">
        <f t="shared" si="286"/>
        <v>0</v>
      </c>
      <c r="AW997">
        <f t="shared" si="287"/>
        <v>0</v>
      </c>
    </row>
    <row r="998" spans="1:49" ht="19.95" customHeight="1" x14ac:dyDescent="0.25">
      <c r="A998" s="16" t="s">
        <v>393</v>
      </c>
      <c r="C998" s="16">
        <v>3</v>
      </c>
      <c r="D998" s="23" t="s">
        <v>171</v>
      </c>
      <c r="E998" s="23" t="s">
        <v>172</v>
      </c>
      <c r="L998" s="15">
        <f>IFERROR(VLOOKUP($D998&amp;$C998,生产方式定位!$A$2:$E$38,2,FALSE)+VLOOKUP($E998&amp;$C998,生产方式定位!$F$3:$J$38,2,FALSE),0)</f>
        <v>1525</v>
      </c>
      <c r="S998" s="15">
        <f>IFERROR(VLOOKUP($D998&amp;$C998,生产方式定位!$A$2:$E$38,3,FALSE)+VLOOKUP($E998&amp;$C998,生产方式定位!$F$3:$J$38,3,FALSE),0)</f>
        <v>100</v>
      </c>
      <c r="X998" s="15">
        <f>IFERROR(VLOOKUP($D998&amp;$C998,生产方式定位!$A$2:$E$38,5,FALSE)+VLOOKUP($E998&amp;$C998,生产方式定位!$F$3:$J$38,5,FALSE),"错误")</f>
        <v>2050</v>
      </c>
      <c r="Y998" s="26" t="str">
        <f t="shared" si="272"/>
        <v/>
      </c>
      <c r="Z998" s="36" t="str">
        <f t="shared" si="273"/>
        <v/>
      </c>
      <c r="AA998" s="36" t="str">
        <f t="shared" si="274"/>
        <v/>
      </c>
      <c r="AB998" s="27" t="str">
        <f t="shared" si="275"/>
        <v>34%</v>
      </c>
      <c r="AC998" s="2">
        <f t="shared" si="276"/>
        <v>425</v>
      </c>
      <c r="AD998" s="38">
        <f t="shared" si="277"/>
        <v>3</v>
      </c>
      <c r="AE998" t="str">
        <f t="shared" si="278"/>
        <v/>
      </c>
      <c r="AF998" t="str">
        <f t="shared" si="279"/>
        <v/>
      </c>
      <c r="AG998" t="str">
        <f t="shared" si="280"/>
        <v/>
      </c>
      <c r="AH998" t="str">
        <f t="shared" si="281"/>
        <v/>
      </c>
      <c r="AI998" t="str">
        <f t="shared" si="282"/>
        <v/>
      </c>
      <c r="AJ998" t="str">
        <f t="shared" si="283"/>
        <v/>
      </c>
      <c r="AK998" t="str">
        <f t="shared" si="284"/>
        <v/>
      </c>
      <c r="AL998" t="str">
        <f>IFERROR(ROUND(L998*(G998/$AU998)/VLOOKUP(F998,商品!$A$4:$B$60,2,FALSE),0),"")</f>
        <v/>
      </c>
      <c r="AM998" t="str">
        <f>IFERROR(ROUND(L998*(I998/$AU998)/VLOOKUP(H998,商品!$A$4:$B$60,2,FALSE),0),"")</f>
        <v/>
      </c>
      <c r="AN998">
        <f>IFERROR(ROUND(L998*(J998/$AU998)/VLOOKUP("运力",商品!$A$4:$B$60,2,FALSE),0),0)</f>
        <v>0</v>
      </c>
      <c r="AO998">
        <f>IFERROR(ROUND(L998*(K998/$AU998)/VLOOKUP("交易",商品!$A$4:$B$60,2,FALSE),0),0)</f>
        <v>0</v>
      </c>
      <c r="AP998" t="str">
        <f>IFERROR(ROUND(S998*(N998/$AV998)/VLOOKUP(M998,职业!$A$4:$G$16,4,FALSE),0),"")</f>
        <v/>
      </c>
      <c r="AQ998" t="str">
        <f>IFERROR(ROUND(S998*(P998/$AV998)/VLOOKUP(O998,职业!$A$4:$G$16,4,FALSE),0),"")</f>
        <v/>
      </c>
      <c r="AR998" t="str">
        <f>IFERROR(ROUND(S998*(R998/$AV998)/VLOOKUP(Q998,职业!$A$4:$G$16,4,FALSE),0),"")</f>
        <v/>
      </c>
      <c r="AS998" t="str">
        <f>IFERROR(ROUND(X998*(U998/$AW998)/VLOOKUP(T998,商品!$A$4:$B$60,2,FALSE),0),"")</f>
        <v/>
      </c>
      <c r="AT998" t="str">
        <f>IFERROR(ROUND(X998*(W998/$AW998)/VLOOKUP(V998,商品!$A$4:$B$60,2,FALSE),0),"")</f>
        <v/>
      </c>
      <c r="AU998">
        <f t="shared" si="285"/>
        <v>0</v>
      </c>
      <c r="AV998">
        <f t="shared" si="286"/>
        <v>0</v>
      </c>
      <c r="AW998">
        <f t="shared" si="287"/>
        <v>0</v>
      </c>
    </row>
    <row r="999" spans="1:49" ht="19.95" customHeight="1" x14ac:dyDescent="0.25">
      <c r="A999" s="16" t="s">
        <v>393</v>
      </c>
      <c r="C999" s="16">
        <v>4</v>
      </c>
      <c r="D999" s="23" t="s">
        <v>171</v>
      </c>
      <c r="E999" s="23" t="s">
        <v>172</v>
      </c>
      <c r="L999" s="15">
        <f>IFERROR(VLOOKUP($D999&amp;$C999,生产方式定位!$A$2:$E$38,2,FALSE)+VLOOKUP($E999&amp;$C999,生产方式定位!$F$3:$J$38,2,FALSE),0)</f>
        <v>1950</v>
      </c>
      <c r="S999" s="15">
        <f>IFERROR(VLOOKUP($D999&amp;$C999,生产方式定位!$A$2:$E$38,3,FALSE)+VLOOKUP($E999&amp;$C999,生产方式定位!$F$3:$J$38,3,FALSE),0)</f>
        <v>100</v>
      </c>
      <c r="X999" s="15">
        <f>IFERROR(VLOOKUP($D999&amp;$C999,生产方式定位!$A$2:$E$38,5,FALSE)+VLOOKUP($E999&amp;$C999,生产方式定位!$F$3:$J$38,5,FALSE),"错误")</f>
        <v>2590</v>
      </c>
      <c r="Y999" s="26" t="str">
        <f t="shared" si="272"/>
        <v/>
      </c>
      <c r="Z999" s="36" t="str">
        <f t="shared" si="273"/>
        <v/>
      </c>
      <c r="AA999" s="36" t="str">
        <f t="shared" si="274"/>
        <v/>
      </c>
      <c r="AB999" s="27" t="str">
        <f t="shared" si="275"/>
        <v>33%</v>
      </c>
      <c r="AC999" s="2">
        <f t="shared" si="276"/>
        <v>540</v>
      </c>
      <c r="AD999" s="38">
        <f t="shared" si="277"/>
        <v>4</v>
      </c>
      <c r="AE999" t="str">
        <f t="shared" si="278"/>
        <v/>
      </c>
      <c r="AF999" t="str">
        <f t="shared" si="279"/>
        <v/>
      </c>
      <c r="AG999" t="str">
        <f t="shared" si="280"/>
        <v/>
      </c>
      <c r="AH999" t="str">
        <f t="shared" si="281"/>
        <v/>
      </c>
      <c r="AI999" t="str">
        <f t="shared" si="282"/>
        <v/>
      </c>
      <c r="AJ999" t="str">
        <f t="shared" si="283"/>
        <v/>
      </c>
      <c r="AK999" t="str">
        <f t="shared" si="284"/>
        <v/>
      </c>
      <c r="AL999" t="str">
        <f>IFERROR(ROUND(L999*(G999/$AU999)/VLOOKUP(F999,商品!$A$4:$B$60,2,FALSE),0),"")</f>
        <v/>
      </c>
      <c r="AM999" t="str">
        <f>IFERROR(ROUND(L999*(I999/$AU999)/VLOOKUP(H999,商品!$A$4:$B$60,2,FALSE),0),"")</f>
        <v/>
      </c>
      <c r="AN999">
        <f>IFERROR(ROUND(L999*(J999/$AU999)/VLOOKUP("运力",商品!$A$4:$B$60,2,FALSE),0),0)</f>
        <v>0</v>
      </c>
      <c r="AO999">
        <f>IFERROR(ROUND(L999*(K999/$AU999)/VLOOKUP("交易",商品!$A$4:$B$60,2,FALSE),0),0)</f>
        <v>0</v>
      </c>
      <c r="AP999" t="str">
        <f>IFERROR(ROUND(S999*(N999/$AV999)/VLOOKUP(M999,职业!$A$4:$G$16,4,FALSE),0),"")</f>
        <v/>
      </c>
      <c r="AQ999" t="str">
        <f>IFERROR(ROUND(S999*(P999/$AV999)/VLOOKUP(O999,职业!$A$4:$G$16,4,FALSE),0),"")</f>
        <v/>
      </c>
      <c r="AR999" t="str">
        <f>IFERROR(ROUND(S999*(R999/$AV999)/VLOOKUP(Q999,职业!$A$4:$G$16,4,FALSE),0),"")</f>
        <v/>
      </c>
      <c r="AS999" t="str">
        <f>IFERROR(ROUND(X999*(U999/$AW999)/VLOOKUP(T999,商品!$A$4:$B$60,2,FALSE),0),"")</f>
        <v/>
      </c>
      <c r="AT999" t="str">
        <f>IFERROR(ROUND(X999*(W999/$AW999)/VLOOKUP(V999,商品!$A$4:$B$60,2,FALSE),0),"")</f>
        <v/>
      </c>
      <c r="AU999">
        <f t="shared" si="285"/>
        <v>0</v>
      </c>
      <c r="AV999">
        <f t="shared" si="286"/>
        <v>0</v>
      </c>
      <c r="AW999">
        <f t="shared" si="287"/>
        <v>0</v>
      </c>
    </row>
    <row r="1000" spans="1:49" ht="19.95" customHeight="1" x14ac:dyDescent="0.25">
      <c r="A1000" s="16" t="s">
        <v>393</v>
      </c>
      <c r="C1000" s="16">
        <v>5</v>
      </c>
      <c r="D1000" s="23" t="s">
        <v>171</v>
      </c>
      <c r="E1000" s="23" t="s">
        <v>172</v>
      </c>
      <c r="L1000" s="15">
        <f>IFERROR(VLOOKUP($D1000&amp;$C1000,生产方式定位!$A$2:$E$38,2,FALSE)+VLOOKUP($E1000&amp;$C1000,生产方式定位!$F$3:$J$38,2,FALSE),0)</f>
        <v>2375</v>
      </c>
      <c r="S1000" s="15">
        <f>IFERROR(VLOOKUP($D1000&amp;$C1000,生产方式定位!$A$2:$E$38,3,FALSE)+VLOOKUP($E1000&amp;$C1000,生产方式定位!$F$3:$J$38,3,FALSE),0)</f>
        <v>100</v>
      </c>
      <c r="X1000" s="15">
        <f>IFERROR(VLOOKUP($D1000&amp;$C1000,生产方式定位!$A$2:$E$38,5,FALSE)+VLOOKUP($E1000&amp;$C1000,生产方式定位!$F$3:$J$38,5,FALSE),"错误")</f>
        <v>3130</v>
      </c>
      <c r="Y1000" s="26" t="str">
        <f t="shared" si="272"/>
        <v/>
      </c>
      <c r="Z1000" s="36" t="str">
        <f t="shared" si="273"/>
        <v/>
      </c>
      <c r="AA1000" s="36" t="str">
        <f t="shared" si="274"/>
        <v/>
      </c>
      <c r="AB1000" s="27" t="str">
        <f t="shared" si="275"/>
        <v>32%</v>
      </c>
      <c r="AC1000" s="2">
        <f t="shared" si="276"/>
        <v>655</v>
      </c>
      <c r="AD1000" s="38">
        <f t="shared" si="277"/>
        <v>5</v>
      </c>
      <c r="AE1000" t="str">
        <f t="shared" si="278"/>
        <v/>
      </c>
      <c r="AF1000" t="str">
        <f t="shared" si="279"/>
        <v/>
      </c>
      <c r="AG1000" t="str">
        <f t="shared" si="280"/>
        <v/>
      </c>
      <c r="AH1000" t="str">
        <f t="shared" si="281"/>
        <v/>
      </c>
      <c r="AI1000" t="str">
        <f t="shared" si="282"/>
        <v/>
      </c>
      <c r="AJ1000" t="str">
        <f t="shared" si="283"/>
        <v/>
      </c>
      <c r="AK1000" t="str">
        <f t="shared" si="284"/>
        <v/>
      </c>
      <c r="AL1000" t="str">
        <f>IFERROR(ROUND(L1000*(G1000/$AU1000)/VLOOKUP(F1000,商品!$A$4:$B$60,2,FALSE),0),"")</f>
        <v/>
      </c>
      <c r="AM1000" t="str">
        <f>IFERROR(ROUND(L1000*(I1000/$AU1000)/VLOOKUP(H1000,商品!$A$4:$B$60,2,FALSE),0),"")</f>
        <v/>
      </c>
      <c r="AN1000">
        <f>IFERROR(ROUND(L1000*(J1000/$AU1000)/VLOOKUP("运力",商品!$A$4:$B$60,2,FALSE),0),0)</f>
        <v>0</v>
      </c>
      <c r="AO1000">
        <f>IFERROR(ROUND(L1000*(K1000/$AU1000)/VLOOKUP("交易",商品!$A$4:$B$60,2,FALSE),0),0)</f>
        <v>0</v>
      </c>
      <c r="AP1000" t="str">
        <f>IFERROR(ROUND(S1000*(N1000/$AV1000)/VLOOKUP(M1000,职业!$A$4:$G$16,4,FALSE),0),"")</f>
        <v/>
      </c>
      <c r="AQ1000" t="str">
        <f>IFERROR(ROUND(S1000*(P1000/$AV1000)/VLOOKUP(O1000,职业!$A$4:$G$16,4,FALSE),0),"")</f>
        <v/>
      </c>
      <c r="AR1000" t="str">
        <f>IFERROR(ROUND(S1000*(R1000/$AV1000)/VLOOKUP(Q1000,职业!$A$4:$G$16,4,FALSE),0),"")</f>
        <v/>
      </c>
      <c r="AS1000" t="str">
        <f>IFERROR(ROUND(X1000*(U1000/$AW1000)/VLOOKUP(T1000,商品!$A$4:$B$60,2,FALSE),0),"")</f>
        <v/>
      </c>
      <c r="AT1000" t="str">
        <f>IFERROR(ROUND(X1000*(W1000/$AW1000)/VLOOKUP(V1000,商品!$A$4:$B$60,2,FALSE),0),"")</f>
        <v/>
      </c>
      <c r="AU1000">
        <f t="shared" si="285"/>
        <v>0</v>
      </c>
      <c r="AV1000">
        <f t="shared" si="286"/>
        <v>0</v>
      </c>
      <c r="AW1000">
        <f t="shared" si="287"/>
        <v>0</v>
      </c>
    </row>
    <row r="1001" spans="1:49" ht="19.95" customHeight="1" x14ac:dyDescent="0.25">
      <c r="A1001" s="15" t="s">
        <v>394</v>
      </c>
      <c r="C1001" s="15">
        <v>1</v>
      </c>
      <c r="D1001" s="23" t="s">
        <v>174</v>
      </c>
      <c r="E1001" s="23" t="s">
        <v>175</v>
      </c>
      <c r="L1001" s="16">
        <f>IFERROR(VLOOKUP($D1001&amp;$C1001,生产方式定位!$A$2:$E$38,2,FALSE)+VLOOKUP($E1001&amp;$C1001,生产方式定位!$F$3:$J$38,2,FALSE),0)</f>
        <v>0</v>
      </c>
      <c r="S1001" s="16">
        <f>IFERROR(VLOOKUP($D1001&amp;$C1001,生产方式定位!$A$2:$E$38,3,FALSE)+VLOOKUP($E1001&amp;$C1001,生产方式定位!$F$3:$J$38,3,FALSE),0)</f>
        <v>0</v>
      </c>
      <c r="X1001" s="16">
        <f>IFERROR(VLOOKUP($D1001&amp;$C1001,生产方式定位!$A$2:$E$38,5,FALSE)+VLOOKUP($E1001&amp;$C1001,生产方式定位!$F$3:$J$38,5,FALSE),"错误")</f>
        <v>0</v>
      </c>
      <c r="Y1001" s="26" t="str">
        <f t="shared" si="272"/>
        <v/>
      </c>
      <c r="Z1001" s="36" t="str">
        <f t="shared" si="273"/>
        <v/>
      </c>
      <c r="AA1001" s="36" t="str">
        <f t="shared" si="274"/>
        <v/>
      </c>
      <c r="AB1001" s="27" t="str">
        <f t="shared" si="275"/>
        <v/>
      </c>
      <c r="AC1001" s="2" t="str">
        <f t="shared" si="276"/>
        <v/>
      </c>
      <c r="AD1001" s="38">
        <f t="shared" si="277"/>
        <v>1</v>
      </c>
      <c r="AE1001" t="str">
        <f t="shared" si="278"/>
        <v/>
      </c>
      <c r="AF1001" t="str">
        <f t="shared" si="279"/>
        <v/>
      </c>
      <c r="AG1001" t="str">
        <f t="shared" si="280"/>
        <v/>
      </c>
      <c r="AH1001" t="str">
        <f t="shared" si="281"/>
        <v/>
      </c>
      <c r="AI1001" t="str">
        <f t="shared" si="282"/>
        <v/>
      </c>
      <c r="AJ1001" t="str">
        <f t="shared" si="283"/>
        <v/>
      </c>
      <c r="AK1001" t="str">
        <f t="shared" si="284"/>
        <v/>
      </c>
      <c r="AL1001" t="str">
        <f>IFERROR(ROUND(L1001*(G1001/$AU1001)/VLOOKUP(F1001,商品!$A$4:$B$60,2,FALSE),0),"")</f>
        <v/>
      </c>
      <c r="AM1001" t="str">
        <f>IFERROR(ROUND(L1001*(I1001/$AU1001)/VLOOKUP(H1001,商品!$A$4:$B$60,2,FALSE),0),"")</f>
        <v/>
      </c>
      <c r="AN1001">
        <f>IFERROR(ROUND(L1001*(J1001/$AU1001)/VLOOKUP("运力",商品!$A$4:$B$60,2,FALSE),0),0)</f>
        <v>0</v>
      </c>
      <c r="AO1001">
        <f>IFERROR(ROUND(L1001*(K1001/$AU1001)/VLOOKUP("交易",商品!$A$4:$B$60,2,FALSE),0),0)</f>
        <v>0</v>
      </c>
      <c r="AP1001" t="str">
        <f>IFERROR(ROUND(S1001*(N1001/$AV1001)/VLOOKUP(M1001,职业!$A$4:$G$16,4,FALSE),0),"")</f>
        <v/>
      </c>
      <c r="AQ1001" t="str">
        <f>IFERROR(ROUND(S1001*(P1001/$AV1001)/VLOOKUP(O1001,职业!$A$4:$G$16,4,FALSE),0),"")</f>
        <v/>
      </c>
      <c r="AR1001" t="str">
        <f>IFERROR(ROUND(S1001*(R1001/$AV1001)/VLOOKUP(Q1001,职业!$A$4:$G$16,4,FALSE),0),"")</f>
        <v/>
      </c>
      <c r="AS1001" t="str">
        <f>IFERROR(ROUND(X1001*(U1001/$AW1001)/VLOOKUP(T1001,商品!$A$4:$B$60,2,FALSE),0),"")</f>
        <v/>
      </c>
      <c r="AT1001" t="str">
        <f>IFERROR(ROUND(X1001*(W1001/$AW1001)/VLOOKUP(V1001,商品!$A$4:$B$60,2,FALSE),0),"")</f>
        <v/>
      </c>
      <c r="AU1001">
        <f t="shared" si="285"/>
        <v>0</v>
      </c>
      <c r="AV1001">
        <f t="shared" si="286"/>
        <v>0</v>
      </c>
      <c r="AW1001">
        <f t="shared" si="287"/>
        <v>0</v>
      </c>
    </row>
    <row r="1002" spans="1:49" ht="19.95" customHeight="1" x14ac:dyDescent="0.25">
      <c r="A1002" s="15" t="s">
        <v>394</v>
      </c>
      <c r="C1002" s="15">
        <v>2</v>
      </c>
      <c r="D1002" s="23" t="s">
        <v>174</v>
      </c>
      <c r="E1002" s="23" t="s">
        <v>175</v>
      </c>
      <c r="F1002" s="2" t="s">
        <v>41</v>
      </c>
      <c r="G1002" s="2">
        <v>10</v>
      </c>
      <c r="L1002" s="16">
        <f>IFERROR(VLOOKUP($D1002&amp;$C1002,生产方式定位!$A$2:$E$38,2,FALSE)+VLOOKUP($E1002&amp;$C1002,生产方式定位!$F$3:$J$38,2,FALSE),0)</f>
        <v>50</v>
      </c>
      <c r="S1002" s="16">
        <f>IFERROR(VLOOKUP($D1002&amp;$C1002,生产方式定位!$A$2:$E$38,3,FALSE)+VLOOKUP($E1002&amp;$C1002,生产方式定位!$F$3:$J$38,3,FALSE),0)</f>
        <v>10</v>
      </c>
      <c r="X1002" s="16">
        <f>IFERROR(VLOOKUP($D1002&amp;$C1002,生产方式定位!$A$2:$E$38,5,FALSE)+VLOOKUP($E1002&amp;$C1002,生产方式定位!$F$3:$J$38,5,FALSE),"错误")</f>
        <v>0</v>
      </c>
      <c r="Y1002" s="26" t="str">
        <f t="shared" si="272"/>
        <v>工具*1</v>
      </c>
      <c r="Z1002" s="36" t="str">
        <f t="shared" si="273"/>
        <v/>
      </c>
      <c r="AA1002" s="36" t="str">
        <f t="shared" si="274"/>
        <v/>
      </c>
      <c r="AB1002" s="27" t="str">
        <f t="shared" si="275"/>
        <v>-100%</v>
      </c>
      <c r="AC1002" s="2">
        <f t="shared" si="276"/>
        <v>-60</v>
      </c>
      <c r="AD1002" s="38">
        <f t="shared" si="277"/>
        <v>2</v>
      </c>
      <c r="AE1002" t="str">
        <f t="shared" si="278"/>
        <v>工具*1</v>
      </c>
      <c r="AF1002" t="str">
        <f t="shared" si="279"/>
        <v/>
      </c>
      <c r="AG1002" t="str">
        <f t="shared" si="280"/>
        <v/>
      </c>
      <c r="AH1002" t="str">
        <f t="shared" si="281"/>
        <v/>
      </c>
      <c r="AI1002" t="str">
        <f t="shared" si="282"/>
        <v/>
      </c>
      <c r="AJ1002" t="str">
        <f t="shared" si="283"/>
        <v/>
      </c>
      <c r="AK1002" t="str">
        <f t="shared" si="284"/>
        <v/>
      </c>
      <c r="AL1002">
        <f>IFERROR(ROUND(L1002*(G1002/$AU1002)/VLOOKUP(F1002,商品!$A$4:$B$60,2,FALSE),0),"")</f>
        <v>1</v>
      </c>
      <c r="AM1002" t="str">
        <f>IFERROR(ROUND(L1002*(I1002/$AU1002)/VLOOKUP(H1002,商品!$A$4:$B$60,2,FALSE),0),"")</f>
        <v/>
      </c>
      <c r="AN1002">
        <f>IFERROR(ROUND(L1002*(J1002/$AU1002)/VLOOKUP("运力",商品!$A$4:$B$60,2,FALSE),0),0)</f>
        <v>0</v>
      </c>
      <c r="AO1002">
        <f>IFERROR(ROUND(L1002*(K1002/$AU1002)/VLOOKUP("交易",商品!$A$4:$B$60,2,FALSE),0),0)</f>
        <v>0</v>
      </c>
      <c r="AP1002" t="str">
        <f>IFERROR(ROUND(S1002*(N1002/$AV1002)/VLOOKUP(M1002,职业!$A$4:$G$16,4,FALSE),0),"")</f>
        <v/>
      </c>
      <c r="AQ1002" t="str">
        <f>IFERROR(ROUND(S1002*(P1002/$AV1002)/VLOOKUP(O1002,职业!$A$4:$G$16,4,FALSE),0),"")</f>
        <v/>
      </c>
      <c r="AR1002" t="str">
        <f>IFERROR(ROUND(S1002*(R1002/$AV1002)/VLOOKUP(Q1002,职业!$A$4:$G$16,4,FALSE),0),"")</f>
        <v/>
      </c>
      <c r="AS1002" t="str">
        <f>IFERROR(ROUND(X1002*(U1002/$AW1002)/VLOOKUP(T1002,商品!$A$4:$B$60,2,FALSE),0),"")</f>
        <v/>
      </c>
      <c r="AT1002" t="str">
        <f>IFERROR(ROUND(X1002*(W1002/$AW1002)/VLOOKUP(V1002,商品!$A$4:$B$60,2,FALSE),0),"")</f>
        <v/>
      </c>
      <c r="AU1002">
        <f t="shared" si="285"/>
        <v>10</v>
      </c>
      <c r="AV1002">
        <f t="shared" si="286"/>
        <v>0</v>
      </c>
      <c r="AW1002">
        <f t="shared" si="287"/>
        <v>0</v>
      </c>
    </row>
    <row r="1003" spans="1:49" ht="19.95" customHeight="1" x14ac:dyDescent="0.25">
      <c r="A1003" s="15" t="s">
        <v>394</v>
      </c>
      <c r="C1003" s="15">
        <v>3</v>
      </c>
      <c r="D1003" s="23" t="s">
        <v>174</v>
      </c>
      <c r="E1003" s="23" t="s">
        <v>175</v>
      </c>
      <c r="F1003" s="2" t="s">
        <v>41</v>
      </c>
      <c r="G1003" s="2">
        <v>10</v>
      </c>
      <c r="L1003" s="16">
        <f>IFERROR(VLOOKUP($D1003&amp;$C1003,生产方式定位!$A$2:$E$38,2,FALSE)+VLOOKUP($E1003&amp;$C1003,生产方式定位!$F$3:$J$38,2,FALSE),0)</f>
        <v>100</v>
      </c>
      <c r="S1003" s="16">
        <f>IFERROR(VLOOKUP($D1003&amp;$C1003,生产方式定位!$A$2:$E$38,3,FALSE)+VLOOKUP($E1003&amp;$C1003,生产方式定位!$F$3:$J$38,3,FALSE),0)</f>
        <v>20</v>
      </c>
      <c r="X1003" s="16">
        <f>IFERROR(VLOOKUP($D1003&amp;$C1003,生产方式定位!$A$2:$E$38,5,FALSE)+VLOOKUP($E1003&amp;$C1003,生产方式定位!$F$3:$J$38,5,FALSE),"错误")</f>
        <v>0</v>
      </c>
      <c r="Y1003" s="26" t="str">
        <f t="shared" si="272"/>
        <v>工具*3</v>
      </c>
      <c r="Z1003" s="36" t="str">
        <f t="shared" si="273"/>
        <v/>
      </c>
      <c r="AA1003" s="36" t="str">
        <f t="shared" si="274"/>
        <v/>
      </c>
      <c r="AB1003" s="27" t="str">
        <f t="shared" si="275"/>
        <v>-100%</v>
      </c>
      <c r="AC1003" s="2">
        <f t="shared" si="276"/>
        <v>-120</v>
      </c>
      <c r="AD1003" s="38">
        <f t="shared" si="277"/>
        <v>3</v>
      </c>
      <c r="AE1003" t="str">
        <f t="shared" si="278"/>
        <v>工具*3</v>
      </c>
      <c r="AF1003" t="str">
        <f t="shared" si="279"/>
        <v/>
      </c>
      <c r="AG1003" t="str">
        <f t="shared" si="280"/>
        <v/>
      </c>
      <c r="AH1003" t="str">
        <f t="shared" si="281"/>
        <v/>
      </c>
      <c r="AI1003" t="str">
        <f t="shared" si="282"/>
        <v/>
      </c>
      <c r="AJ1003" t="str">
        <f t="shared" si="283"/>
        <v/>
      </c>
      <c r="AK1003" t="str">
        <f t="shared" si="284"/>
        <v/>
      </c>
      <c r="AL1003">
        <f>IFERROR(ROUND(L1003*(G1003/$AU1003)/VLOOKUP(F1003,商品!$A$4:$B$60,2,FALSE),0),"")</f>
        <v>3</v>
      </c>
      <c r="AM1003" t="str">
        <f>IFERROR(ROUND(L1003*(I1003/$AU1003)/VLOOKUP(H1003,商品!$A$4:$B$60,2,FALSE),0),"")</f>
        <v/>
      </c>
      <c r="AN1003">
        <f>IFERROR(ROUND(L1003*(J1003/$AU1003)/VLOOKUP("运力",商品!$A$4:$B$60,2,FALSE),0),0)</f>
        <v>0</v>
      </c>
      <c r="AO1003">
        <f>IFERROR(ROUND(L1003*(K1003/$AU1003)/VLOOKUP("交易",商品!$A$4:$B$60,2,FALSE),0),0)</f>
        <v>0</v>
      </c>
      <c r="AP1003" t="str">
        <f>IFERROR(ROUND(S1003*(N1003/$AV1003)/VLOOKUP(M1003,职业!$A$4:$G$16,4,FALSE),0),"")</f>
        <v/>
      </c>
      <c r="AQ1003" t="str">
        <f>IFERROR(ROUND(S1003*(P1003/$AV1003)/VLOOKUP(O1003,职业!$A$4:$G$16,4,FALSE),0),"")</f>
        <v/>
      </c>
      <c r="AR1003" t="str">
        <f>IFERROR(ROUND(S1003*(R1003/$AV1003)/VLOOKUP(Q1003,职业!$A$4:$G$16,4,FALSE),0),"")</f>
        <v/>
      </c>
      <c r="AS1003" t="str">
        <f>IFERROR(ROUND(X1003*(U1003/$AW1003)/VLOOKUP(T1003,商品!$A$4:$B$60,2,FALSE),0),"")</f>
        <v/>
      </c>
      <c r="AT1003" t="str">
        <f>IFERROR(ROUND(X1003*(W1003/$AW1003)/VLOOKUP(V1003,商品!$A$4:$B$60,2,FALSE),0),"")</f>
        <v/>
      </c>
      <c r="AU1003">
        <f t="shared" si="285"/>
        <v>10</v>
      </c>
      <c r="AV1003">
        <f t="shared" si="286"/>
        <v>0</v>
      </c>
      <c r="AW1003">
        <f t="shared" si="287"/>
        <v>0</v>
      </c>
    </row>
    <row r="1004" spans="1:49" ht="19.95" customHeight="1" x14ac:dyDescent="0.25">
      <c r="A1004" s="15" t="s">
        <v>394</v>
      </c>
      <c r="C1004" s="15">
        <v>4</v>
      </c>
      <c r="D1004" s="23" t="s">
        <v>174</v>
      </c>
      <c r="E1004" s="23" t="s">
        <v>175</v>
      </c>
      <c r="F1004" s="2" t="s">
        <v>45</v>
      </c>
      <c r="G1004" s="2">
        <v>5</v>
      </c>
      <c r="H1004" s="2" t="s">
        <v>19</v>
      </c>
      <c r="I1004" s="2">
        <v>10</v>
      </c>
      <c r="L1004" s="16">
        <f>IFERROR(VLOOKUP($D1004&amp;$C1004,生产方式定位!$A$2:$E$38,2,FALSE)+VLOOKUP($E1004&amp;$C1004,生产方式定位!$F$3:$J$38,2,FALSE),0)</f>
        <v>150</v>
      </c>
      <c r="S1004" s="16">
        <f>IFERROR(VLOOKUP($D1004&amp;$C1004,生产方式定位!$A$2:$E$38,3,FALSE)+VLOOKUP($E1004&amp;$C1004,生产方式定位!$F$3:$J$38,3,FALSE),0)</f>
        <v>30</v>
      </c>
      <c r="X1004" s="16">
        <f>IFERROR(VLOOKUP($D1004&amp;$C1004,生产方式定位!$A$2:$E$38,5,FALSE)+VLOOKUP($E1004&amp;$C1004,生产方式定位!$F$3:$J$38,5,FALSE),"错误")</f>
        <v>0</v>
      </c>
      <c r="Y1004" s="26" t="str">
        <f t="shared" ref="Y1004:Y1067" si="288">IF(AE1004="","",AE1004)&amp;IF(AF1004="","",","&amp;AF1004)&amp;IF(AN1004=0,"",",运力*"&amp;AN1004)&amp;IF(AO1004=0,"",",交易*"&amp;AO1004)</f>
        <v>科学引擎*1,煤*3</v>
      </c>
      <c r="Z1004" s="36" t="str">
        <f t="shared" ref="Z1004:Z1067" si="289">IF(AG1004="","",AG1004)&amp;IF(AH1004="","",","&amp;AH1004)&amp;IF(AI1004="","",","&amp;AI1004)</f>
        <v/>
      </c>
      <c r="AA1004" s="36" t="str">
        <f t="shared" ref="AA1004:AA1067" si="290">IF(AJ1004="","",AJ1004)&amp;IF(AK1004="","",","&amp;AK1004)</f>
        <v/>
      </c>
      <c r="AB1004" s="27" t="str">
        <f t="shared" ref="AB1004:AB1067" si="291">IFERROR(ROUND(((X1004/L1004)-1)*100,0)&amp;"%","")</f>
        <v>-100%</v>
      </c>
      <c r="AC1004" s="2">
        <f t="shared" ref="AC1004:AC1067" si="292">IF(X1004-S1004-L1004=0,"",X1004-S1004-L1004)</f>
        <v>-180</v>
      </c>
      <c r="AD1004" s="38">
        <f t="shared" ref="AD1004:AD1067" si="293">C1004</f>
        <v>4</v>
      </c>
      <c r="AE1004" t="str">
        <f t="shared" ref="AE1004:AE1067" si="294">IF(AL1004="","",F1004&amp;"*"&amp;AL1004)</f>
        <v>科学引擎*1</v>
      </c>
      <c r="AF1004" t="str">
        <f t="shared" ref="AF1004:AF1067" si="295">IF(AM1004="","",H1004&amp;"*"&amp;AM1004)</f>
        <v>煤*3</v>
      </c>
      <c r="AG1004" t="str">
        <f t="shared" ref="AG1004:AG1067" si="296">IF(AP1004="","",M1004&amp;"*"&amp;AP1004)</f>
        <v/>
      </c>
      <c r="AH1004" t="str">
        <f t="shared" ref="AH1004:AH1067" si="297">IF(AQ1004="","",O1004&amp;"*"&amp;AQ1004)</f>
        <v/>
      </c>
      <c r="AI1004" t="str">
        <f t="shared" ref="AI1004:AI1067" si="298">IF(AR1004="","",Q1004&amp;"*"&amp;AR1004)</f>
        <v/>
      </c>
      <c r="AJ1004" t="str">
        <f t="shared" ref="AJ1004:AJ1067" si="299">IF(AS1004="","",T1004&amp;"*"&amp;AS1004)</f>
        <v/>
      </c>
      <c r="AK1004" t="str">
        <f t="shared" ref="AK1004:AK1067" si="300">IF(AT1004="","",V1004&amp;"*"&amp;AT1004)</f>
        <v/>
      </c>
      <c r="AL1004">
        <f>IFERROR(ROUND(L1004*(G1004/$AU1004)/VLOOKUP(F1004,商品!$A$4:$B$60,2,FALSE),0),"")</f>
        <v>1</v>
      </c>
      <c r="AM1004">
        <f>IFERROR(ROUND(L1004*(I1004/$AU1004)/VLOOKUP(H1004,商品!$A$4:$B$60,2,FALSE),0),"")</f>
        <v>3</v>
      </c>
      <c r="AN1004">
        <f>IFERROR(ROUND(L1004*(J1004/$AU1004)/VLOOKUP("运力",商品!$A$4:$B$60,2,FALSE),0),0)</f>
        <v>0</v>
      </c>
      <c r="AO1004">
        <f>IFERROR(ROUND(L1004*(K1004/$AU1004)/VLOOKUP("交易",商品!$A$4:$B$60,2,FALSE),0),0)</f>
        <v>0</v>
      </c>
      <c r="AP1004" t="str">
        <f>IFERROR(ROUND(S1004*(N1004/$AV1004)/VLOOKUP(M1004,职业!$A$4:$G$16,4,FALSE),0),"")</f>
        <v/>
      </c>
      <c r="AQ1004" t="str">
        <f>IFERROR(ROUND(S1004*(P1004/$AV1004)/VLOOKUP(O1004,职业!$A$4:$G$16,4,FALSE),0),"")</f>
        <v/>
      </c>
      <c r="AR1004" t="str">
        <f>IFERROR(ROUND(S1004*(R1004/$AV1004)/VLOOKUP(Q1004,职业!$A$4:$G$16,4,FALSE),0),"")</f>
        <v/>
      </c>
      <c r="AS1004" t="str">
        <f>IFERROR(ROUND(X1004*(U1004/$AW1004)/VLOOKUP(T1004,商品!$A$4:$B$60,2,FALSE),0),"")</f>
        <v/>
      </c>
      <c r="AT1004" t="str">
        <f>IFERROR(ROUND(X1004*(W1004/$AW1004)/VLOOKUP(V1004,商品!$A$4:$B$60,2,FALSE),0),"")</f>
        <v/>
      </c>
      <c r="AU1004">
        <f t="shared" ref="AU1004:AU1067" si="301">G1004+I1004+J1004+K1004</f>
        <v>15</v>
      </c>
      <c r="AV1004">
        <f t="shared" ref="AV1004:AV1067" si="302">ABS(N1004)+ABS(P1004)+ABS(R1004)</f>
        <v>0</v>
      </c>
      <c r="AW1004">
        <f t="shared" ref="AW1004:AW1067" si="303">U1004+W1004</f>
        <v>0</v>
      </c>
    </row>
    <row r="1005" spans="1:49" ht="19.95" customHeight="1" x14ac:dyDescent="0.25">
      <c r="A1005" s="15" t="s">
        <v>394</v>
      </c>
      <c r="C1005" s="15">
        <v>5</v>
      </c>
      <c r="D1005" s="23" t="s">
        <v>174</v>
      </c>
      <c r="E1005" s="23" t="s">
        <v>175</v>
      </c>
      <c r="F1005" s="2" t="s">
        <v>46</v>
      </c>
      <c r="G1005" s="2">
        <v>5</v>
      </c>
      <c r="H1005" s="2" t="s">
        <v>19</v>
      </c>
      <c r="I1005" s="2">
        <v>10</v>
      </c>
      <c r="L1005" s="16">
        <f>IFERROR(VLOOKUP($D1005&amp;$C1005,生产方式定位!$A$2:$E$38,2,FALSE)+VLOOKUP($E1005&amp;$C1005,生产方式定位!$F$3:$J$38,2,FALSE),0)</f>
        <v>200</v>
      </c>
      <c r="S1005" s="16">
        <f>IFERROR(VLOOKUP($D1005&amp;$C1005,生产方式定位!$A$2:$E$38,3,FALSE)+VLOOKUP($E1005&amp;$C1005,生产方式定位!$F$3:$J$38,3,FALSE),0)</f>
        <v>40</v>
      </c>
      <c r="X1005" s="16">
        <f>IFERROR(VLOOKUP($D1005&amp;$C1005,生产方式定位!$A$2:$E$38,5,FALSE)+VLOOKUP($E1005&amp;$C1005,生产方式定位!$F$3:$J$38,5,FALSE),"错误")</f>
        <v>0</v>
      </c>
      <c r="Y1005" s="26" t="str">
        <f t="shared" si="288"/>
        <v>魔导引擎*1,煤*4</v>
      </c>
      <c r="Z1005" s="36" t="str">
        <f t="shared" si="289"/>
        <v/>
      </c>
      <c r="AA1005" s="36" t="str">
        <f t="shared" si="290"/>
        <v/>
      </c>
      <c r="AB1005" s="27" t="str">
        <f t="shared" si="291"/>
        <v>-100%</v>
      </c>
      <c r="AC1005" s="2">
        <f t="shared" si="292"/>
        <v>-240</v>
      </c>
      <c r="AD1005" s="38">
        <f t="shared" si="293"/>
        <v>5</v>
      </c>
      <c r="AE1005" t="str">
        <f t="shared" si="294"/>
        <v>魔导引擎*1</v>
      </c>
      <c r="AF1005" t="str">
        <f t="shared" si="295"/>
        <v>煤*4</v>
      </c>
      <c r="AG1005" t="str">
        <f t="shared" si="296"/>
        <v/>
      </c>
      <c r="AH1005" t="str">
        <f t="shared" si="297"/>
        <v/>
      </c>
      <c r="AI1005" t="str">
        <f t="shared" si="298"/>
        <v/>
      </c>
      <c r="AJ1005" t="str">
        <f t="shared" si="299"/>
        <v/>
      </c>
      <c r="AK1005" t="str">
        <f t="shared" si="300"/>
        <v/>
      </c>
      <c r="AL1005">
        <f>IFERROR(ROUND(L1005*(G1005/$AU1005)/VLOOKUP(F1005,商品!$A$4:$B$60,2,FALSE),0),"")</f>
        <v>1</v>
      </c>
      <c r="AM1005">
        <f>IFERROR(ROUND(L1005*(I1005/$AU1005)/VLOOKUP(H1005,商品!$A$4:$B$60,2,FALSE),0),"")</f>
        <v>4</v>
      </c>
      <c r="AN1005">
        <f>IFERROR(ROUND(L1005*(J1005/$AU1005)/VLOOKUP("运力",商品!$A$4:$B$60,2,FALSE),0),0)</f>
        <v>0</v>
      </c>
      <c r="AO1005">
        <f>IFERROR(ROUND(L1005*(K1005/$AU1005)/VLOOKUP("交易",商品!$A$4:$B$60,2,FALSE),0),0)</f>
        <v>0</v>
      </c>
      <c r="AP1005" t="str">
        <f>IFERROR(ROUND(S1005*(N1005/$AV1005)/VLOOKUP(M1005,职业!$A$4:$G$16,4,FALSE),0),"")</f>
        <v/>
      </c>
      <c r="AQ1005" t="str">
        <f>IFERROR(ROUND(S1005*(P1005/$AV1005)/VLOOKUP(O1005,职业!$A$4:$G$16,4,FALSE),0),"")</f>
        <v/>
      </c>
      <c r="AR1005" t="str">
        <f>IFERROR(ROUND(S1005*(R1005/$AV1005)/VLOOKUP(Q1005,职业!$A$4:$G$16,4,FALSE),0),"")</f>
        <v/>
      </c>
      <c r="AS1005" t="str">
        <f>IFERROR(ROUND(X1005*(U1005/$AW1005)/VLOOKUP(T1005,商品!$A$4:$B$60,2,FALSE),0),"")</f>
        <v/>
      </c>
      <c r="AT1005" t="str">
        <f>IFERROR(ROUND(X1005*(W1005/$AW1005)/VLOOKUP(V1005,商品!$A$4:$B$60,2,FALSE),0),"")</f>
        <v/>
      </c>
      <c r="AU1005">
        <f t="shared" si="301"/>
        <v>15</v>
      </c>
      <c r="AV1005">
        <f t="shared" si="302"/>
        <v>0</v>
      </c>
      <c r="AW1005">
        <f t="shared" si="303"/>
        <v>0</v>
      </c>
    </row>
    <row r="1006" spans="1:49" ht="19.95" customHeight="1" x14ac:dyDescent="0.25">
      <c r="A1006" s="16" t="s">
        <v>395</v>
      </c>
      <c r="C1006" s="16">
        <v>1</v>
      </c>
      <c r="D1006" s="23" t="s">
        <v>171</v>
      </c>
      <c r="E1006" s="23" t="s">
        <v>177</v>
      </c>
      <c r="L1006" s="15">
        <f>IFERROR(VLOOKUP($D1006&amp;$C1006,生产方式定位!$A$2:$E$38,2,FALSE)+VLOOKUP($E1006&amp;$C1006,生产方式定位!$F$3:$J$38,2,FALSE),0)</f>
        <v>300</v>
      </c>
      <c r="S1006" s="15">
        <f>IFERROR(VLOOKUP($D1006&amp;$C1006,生产方式定位!$A$2:$E$38,3,FALSE)+VLOOKUP($E1006&amp;$C1006,生产方式定位!$F$3:$J$38,3,FALSE),0)</f>
        <v>100</v>
      </c>
      <c r="X1006" s="15">
        <f>IFERROR(VLOOKUP($D1006&amp;$C1006,生产方式定位!$A$2:$E$38,5,FALSE)+VLOOKUP($E1006&amp;$C1006,生产方式定位!$F$3:$J$38,5,FALSE),"错误")</f>
        <v>520</v>
      </c>
      <c r="Y1006" s="26" t="str">
        <f t="shared" si="288"/>
        <v/>
      </c>
      <c r="Z1006" s="36" t="str">
        <f t="shared" si="289"/>
        <v/>
      </c>
      <c r="AA1006" s="36" t="str">
        <f t="shared" si="290"/>
        <v/>
      </c>
      <c r="AB1006" s="27" t="str">
        <f t="shared" si="291"/>
        <v>73%</v>
      </c>
      <c r="AC1006" s="2">
        <f t="shared" si="292"/>
        <v>120</v>
      </c>
      <c r="AD1006" s="37">
        <f t="shared" si="293"/>
        <v>1</v>
      </c>
      <c r="AE1006" t="str">
        <f t="shared" si="294"/>
        <v/>
      </c>
      <c r="AF1006" t="str">
        <f t="shared" si="295"/>
        <v/>
      </c>
      <c r="AG1006" t="str">
        <f t="shared" si="296"/>
        <v/>
      </c>
      <c r="AH1006" t="str">
        <f t="shared" si="297"/>
        <v/>
      </c>
      <c r="AI1006" t="str">
        <f t="shared" si="298"/>
        <v/>
      </c>
      <c r="AJ1006" t="str">
        <f t="shared" si="299"/>
        <v/>
      </c>
      <c r="AK1006" t="str">
        <f t="shared" si="300"/>
        <v/>
      </c>
      <c r="AL1006" t="str">
        <f>IFERROR(ROUND(L1006*(G1006/$AU1006)/VLOOKUP(F1006,商品!$A$4:$B$60,2,FALSE),0),"")</f>
        <v/>
      </c>
      <c r="AM1006" t="str">
        <f>IFERROR(ROUND(L1006*(I1006/$AU1006)/VLOOKUP(H1006,商品!$A$4:$B$60,2,FALSE),0),"")</f>
        <v/>
      </c>
      <c r="AN1006">
        <f>IFERROR(ROUND(L1006*(J1006/$AU1006)/VLOOKUP("运力",商品!$A$4:$B$60,2,FALSE),0),0)</f>
        <v>0</v>
      </c>
      <c r="AO1006">
        <f>IFERROR(ROUND(L1006*(K1006/$AU1006)/VLOOKUP("交易",商品!$A$4:$B$60,2,FALSE),0),0)</f>
        <v>0</v>
      </c>
      <c r="AP1006" t="str">
        <f>IFERROR(ROUND(S1006*(N1006/$AV1006)/VLOOKUP(M1006,职业!$A$4:$G$16,4,FALSE),0),"")</f>
        <v/>
      </c>
      <c r="AQ1006" t="str">
        <f>IFERROR(ROUND(S1006*(P1006/$AV1006)/VLOOKUP(O1006,职业!$A$4:$G$16,4,FALSE),0),"")</f>
        <v/>
      </c>
      <c r="AR1006" t="str">
        <f>IFERROR(ROUND(S1006*(R1006/$AV1006)/VLOOKUP(Q1006,职业!$A$4:$G$16,4,FALSE),0),"")</f>
        <v/>
      </c>
      <c r="AS1006" t="str">
        <f>IFERROR(ROUND(X1006*(U1006/$AW1006)/VLOOKUP(T1006,商品!$A$4:$B$60,2,FALSE),0),"")</f>
        <v/>
      </c>
      <c r="AT1006" t="str">
        <f>IFERROR(ROUND(X1006*(W1006/$AW1006)/VLOOKUP(V1006,商品!$A$4:$B$60,2,FALSE),0),"")</f>
        <v/>
      </c>
      <c r="AU1006">
        <f t="shared" si="301"/>
        <v>0</v>
      </c>
      <c r="AV1006">
        <f t="shared" si="302"/>
        <v>0</v>
      </c>
      <c r="AW1006">
        <f t="shared" si="303"/>
        <v>0</v>
      </c>
    </row>
    <row r="1007" spans="1:49" ht="19.95" customHeight="1" x14ac:dyDescent="0.25">
      <c r="A1007" s="16" t="s">
        <v>395</v>
      </c>
      <c r="C1007" s="16">
        <v>2</v>
      </c>
      <c r="D1007" s="23" t="s">
        <v>171</v>
      </c>
      <c r="E1007" s="23" t="s">
        <v>177</v>
      </c>
      <c r="F1007" s="2" t="s">
        <v>42</v>
      </c>
      <c r="G1007" s="2">
        <v>5</v>
      </c>
      <c r="H1007" s="2" t="s">
        <v>20</v>
      </c>
      <c r="I1007" s="2">
        <v>10</v>
      </c>
      <c r="L1007" s="15">
        <f>IFERROR(VLOOKUP($D1007&amp;$C1007,生产方式定位!$A$2:$E$38,2,FALSE)+VLOOKUP($E1007&amp;$C1007,生产方式定位!$F$3:$J$38,2,FALSE),0)</f>
        <v>705</v>
      </c>
      <c r="S1007" s="15">
        <f>IFERROR(VLOOKUP($D1007&amp;$C1007,生产方式定位!$A$2:$E$38,3,FALSE)+VLOOKUP($E1007&amp;$C1007,生产方式定位!$F$3:$J$38,3,FALSE),0)</f>
        <v>115</v>
      </c>
      <c r="X1007" s="15">
        <f>IFERROR(VLOOKUP($D1007&amp;$C1007,生产方式定位!$A$2:$E$38,5,FALSE)+VLOOKUP($E1007&amp;$C1007,生产方式定位!$F$3:$J$38,5,FALSE),"错误")</f>
        <v>910</v>
      </c>
      <c r="Y1007" s="26" t="str">
        <f t="shared" si="288"/>
        <v>魔偶*6,灵能水晶*16</v>
      </c>
      <c r="Z1007" s="36" t="str">
        <f t="shared" si="289"/>
        <v/>
      </c>
      <c r="AA1007" s="36" t="str">
        <f t="shared" si="290"/>
        <v/>
      </c>
      <c r="AB1007" s="27" t="str">
        <f t="shared" si="291"/>
        <v>29%</v>
      </c>
      <c r="AC1007" s="2">
        <f t="shared" si="292"/>
        <v>90</v>
      </c>
      <c r="AD1007" s="37">
        <f t="shared" si="293"/>
        <v>2</v>
      </c>
      <c r="AE1007" t="str">
        <f t="shared" si="294"/>
        <v>魔偶*6</v>
      </c>
      <c r="AF1007" t="str">
        <f t="shared" si="295"/>
        <v>灵能水晶*16</v>
      </c>
      <c r="AG1007" t="str">
        <f t="shared" si="296"/>
        <v/>
      </c>
      <c r="AH1007" t="str">
        <f t="shared" si="297"/>
        <v/>
      </c>
      <c r="AI1007" t="str">
        <f t="shared" si="298"/>
        <v/>
      </c>
      <c r="AJ1007" t="str">
        <f t="shared" si="299"/>
        <v/>
      </c>
      <c r="AK1007" t="str">
        <f t="shared" si="300"/>
        <v/>
      </c>
      <c r="AL1007">
        <f>IFERROR(ROUND(L1007*(G1007/$AU1007)/VLOOKUP(F1007,商品!$A$4:$B$60,2,FALSE),0),"")</f>
        <v>6</v>
      </c>
      <c r="AM1007">
        <f>IFERROR(ROUND(L1007*(I1007/$AU1007)/VLOOKUP(H1007,商品!$A$4:$B$60,2,FALSE),0),"")</f>
        <v>16</v>
      </c>
      <c r="AN1007">
        <f>IFERROR(ROUND(L1007*(J1007/$AU1007)/VLOOKUP("运力",商品!$A$4:$B$60,2,FALSE),0),0)</f>
        <v>0</v>
      </c>
      <c r="AO1007">
        <f>IFERROR(ROUND(L1007*(K1007/$AU1007)/VLOOKUP("交易",商品!$A$4:$B$60,2,FALSE),0),0)</f>
        <v>0</v>
      </c>
      <c r="AP1007" t="str">
        <f>IFERROR(ROUND(S1007*(N1007/$AV1007)/VLOOKUP(M1007,职业!$A$4:$G$16,4,FALSE),0),"")</f>
        <v/>
      </c>
      <c r="AQ1007" t="str">
        <f>IFERROR(ROUND(S1007*(P1007/$AV1007)/VLOOKUP(O1007,职业!$A$4:$G$16,4,FALSE),0),"")</f>
        <v/>
      </c>
      <c r="AR1007" t="str">
        <f>IFERROR(ROUND(S1007*(R1007/$AV1007)/VLOOKUP(Q1007,职业!$A$4:$G$16,4,FALSE),0),"")</f>
        <v/>
      </c>
      <c r="AS1007" t="str">
        <f>IFERROR(ROUND(X1007*(U1007/$AW1007)/VLOOKUP(T1007,商品!$A$4:$B$60,2,FALSE),0),"")</f>
        <v/>
      </c>
      <c r="AT1007" t="str">
        <f>IFERROR(ROUND(X1007*(W1007/$AW1007)/VLOOKUP(V1007,商品!$A$4:$B$60,2,FALSE),0),"")</f>
        <v/>
      </c>
      <c r="AU1007">
        <f t="shared" si="301"/>
        <v>15</v>
      </c>
      <c r="AV1007">
        <f t="shared" si="302"/>
        <v>0</v>
      </c>
      <c r="AW1007">
        <f t="shared" si="303"/>
        <v>0</v>
      </c>
    </row>
    <row r="1008" spans="1:49" ht="19.95" customHeight="1" x14ac:dyDescent="0.25">
      <c r="A1008" s="16" t="s">
        <v>395</v>
      </c>
      <c r="C1008" s="16">
        <v>3</v>
      </c>
      <c r="D1008" s="23" t="s">
        <v>171</v>
      </c>
      <c r="E1008" s="23" t="s">
        <v>177</v>
      </c>
      <c r="F1008" s="2" t="s">
        <v>42</v>
      </c>
      <c r="G1008" s="2">
        <v>5</v>
      </c>
      <c r="H1008" s="2" t="s">
        <v>20</v>
      </c>
      <c r="I1008" s="2">
        <v>10</v>
      </c>
      <c r="L1008" s="15">
        <f>IFERROR(VLOOKUP($D1008&amp;$C1008,生产方式定位!$A$2:$E$38,2,FALSE)+VLOOKUP($E1008&amp;$C1008,生产方式定位!$F$3:$J$38,2,FALSE),0)</f>
        <v>1110</v>
      </c>
      <c r="S1008" s="15">
        <f>IFERROR(VLOOKUP($D1008&amp;$C1008,生产方式定位!$A$2:$E$38,3,FALSE)+VLOOKUP($E1008&amp;$C1008,生产方式定位!$F$3:$J$38,3,FALSE),0)</f>
        <v>130</v>
      </c>
      <c r="X1008" s="15">
        <f>IFERROR(VLOOKUP($D1008&amp;$C1008,生产方式定位!$A$2:$E$38,5,FALSE)+VLOOKUP($E1008&amp;$C1008,生产方式定位!$F$3:$J$38,5,FALSE),"错误")</f>
        <v>1300</v>
      </c>
      <c r="Y1008" s="26" t="str">
        <f t="shared" si="288"/>
        <v>魔偶*9,灵能水晶*25</v>
      </c>
      <c r="Z1008" s="36" t="str">
        <f t="shared" si="289"/>
        <v/>
      </c>
      <c r="AA1008" s="36" t="str">
        <f t="shared" si="290"/>
        <v/>
      </c>
      <c r="AB1008" s="27" t="str">
        <f t="shared" si="291"/>
        <v>17%</v>
      </c>
      <c r="AC1008" s="2">
        <f t="shared" si="292"/>
        <v>60</v>
      </c>
      <c r="AD1008" s="37">
        <f t="shared" si="293"/>
        <v>3</v>
      </c>
      <c r="AE1008" t="str">
        <f t="shared" si="294"/>
        <v>魔偶*9</v>
      </c>
      <c r="AF1008" t="str">
        <f t="shared" si="295"/>
        <v>灵能水晶*25</v>
      </c>
      <c r="AG1008" t="str">
        <f t="shared" si="296"/>
        <v/>
      </c>
      <c r="AH1008" t="str">
        <f t="shared" si="297"/>
        <v/>
      </c>
      <c r="AI1008" t="str">
        <f t="shared" si="298"/>
        <v/>
      </c>
      <c r="AJ1008" t="str">
        <f t="shared" si="299"/>
        <v/>
      </c>
      <c r="AK1008" t="str">
        <f t="shared" si="300"/>
        <v/>
      </c>
      <c r="AL1008">
        <f>IFERROR(ROUND(L1008*(G1008/$AU1008)/VLOOKUP(F1008,商品!$A$4:$B$60,2,FALSE),0),"")</f>
        <v>9</v>
      </c>
      <c r="AM1008">
        <f>IFERROR(ROUND(L1008*(I1008/$AU1008)/VLOOKUP(H1008,商品!$A$4:$B$60,2,FALSE),0),"")</f>
        <v>25</v>
      </c>
      <c r="AN1008">
        <f>IFERROR(ROUND(L1008*(J1008/$AU1008)/VLOOKUP("运力",商品!$A$4:$B$60,2,FALSE),0),0)</f>
        <v>0</v>
      </c>
      <c r="AO1008">
        <f>IFERROR(ROUND(L1008*(K1008/$AU1008)/VLOOKUP("交易",商品!$A$4:$B$60,2,FALSE),0),0)</f>
        <v>0</v>
      </c>
      <c r="AP1008" t="str">
        <f>IFERROR(ROUND(S1008*(N1008/$AV1008)/VLOOKUP(M1008,职业!$A$4:$G$16,4,FALSE),0),"")</f>
        <v/>
      </c>
      <c r="AQ1008" t="str">
        <f>IFERROR(ROUND(S1008*(P1008/$AV1008)/VLOOKUP(O1008,职业!$A$4:$G$16,4,FALSE),0),"")</f>
        <v/>
      </c>
      <c r="AR1008" t="str">
        <f>IFERROR(ROUND(S1008*(R1008/$AV1008)/VLOOKUP(Q1008,职业!$A$4:$G$16,4,FALSE),0),"")</f>
        <v/>
      </c>
      <c r="AS1008" t="str">
        <f>IFERROR(ROUND(X1008*(U1008/$AW1008)/VLOOKUP(T1008,商品!$A$4:$B$60,2,FALSE),0),"")</f>
        <v/>
      </c>
      <c r="AT1008" t="str">
        <f>IFERROR(ROUND(X1008*(W1008/$AW1008)/VLOOKUP(V1008,商品!$A$4:$B$60,2,FALSE),0),"")</f>
        <v/>
      </c>
      <c r="AU1008">
        <f t="shared" si="301"/>
        <v>15</v>
      </c>
      <c r="AV1008">
        <f t="shared" si="302"/>
        <v>0</v>
      </c>
      <c r="AW1008">
        <f t="shared" si="303"/>
        <v>0</v>
      </c>
    </row>
    <row r="1009" spans="1:49" ht="19.95" customHeight="1" x14ac:dyDescent="0.25">
      <c r="A1009" s="16" t="s">
        <v>395</v>
      </c>
      <c r="C1009" s="16">
        <v>4</v>
      </c>
      <c r="D1009" s="23" t="s">
        <v>171</v>
      </c>
      <c r="E1009" s="23" t="s">
        <v>177</v>
      </c>
      <c r="F1009" s="2" t="s">
        <v>42</v>
      </c>
      <c r="G1009" s="2">
        <v>5</v>
      </c>
      <c r="H1009" s="2" t="s">
        <v>20</v>
      </c>
      <c r="I1009" s="2">
        <v>10</v>
      </c>
      <c r="L1009" s="15">
        <f>IFERROR(VLOOKUP($D1009&amp;$C1009,生产方式定位!$A$2:$E$38,2,FALSE)+VLOOKUP($E1009&amp;$C1009,生产方式定位!$F$3:$J$38,2,FALSE),0)</f>
        <v>1515</v>
      </c>
      <c r="S1009" s="15">
        <f>IFERROR(VLOOKUP($D1009&amp;$C1009,生产方式定位!$A$2:$E$38,3,FALSE)+VLOOKUP($E1009&amp;$C1009,生产方式定位!$F$3:$J$38,3,FALSE),0)</f>
        <v>145</v>
      </c>
      <c r="X1009" s="15">
        <f>IFERROR(VLOOKUP($D1009&amp;$C1009,生产方式定位!$A$2:$E$38,5,FALSE)+VLOOKUP($E1009&amp;$C1009,生产方式定位!$F$3:$J$38,5,FALSE),"错误")</f>
        <v>1690</v>
      </c>
      <c r="Y1009" s="26" t="str">
        <f t="shared" si="288"/>
        <v>魔偶*13,灵能水晶*34</v>
      </c>
      <c r="Z1009" s="36" t="str">
        <f t="shared" si="289"/>
        <v/>
      </c>
      <c r="AA1009" s="36" t="str">
        <f t="shared" si="290"/>
        <v/>
      </c>
      <c r="AB1009" s="27" t="str">
        <f t="shared" si="291"/>
        <v>12%</v>
      </c>
      <c r="AC1009" s="2">
        <f t="shared" si="292"/>
        <v>30</v>
      </c>
      <c r="AD1009" s="37">
        <f t="shared" si="293"/>
        <v>4</v>
      </c>
      <c r="AE1009" t="str">
        <f t="shared" si="294"/>
        <v>魔偶*13</v>
      </c>
      <c r="AF1009" t="str">
        <f t="shared" si="295"/>
        <v>灵能水晶*34</v>
      </c>
      <c r="AG1009" t="str">
        <f t="shared" si="296"/>
        <v/>
      </c>
      <c r="AH1009" t="str">
        <f t="shared" si="297"/>
        <v/>
      </c>
      <c r="AI1009" t="str">
        <f t="shared" si="298"/>
        <v/>
      </c>
      <c r="AJ1009" t="str">
        <f t="shared" si="299"/>
        <v/>
      </c>
      <c r="AK1009" t="str">
        <f t="shared" si="300"/>
        <v/>
      </c>
      <c r="AL1009">
        <f>IFERROR(ROUND(L1009*(G1009/$AU1009)/VLOOKUP(F1009,商品!$A$4:$B$60,2,FALSE),0),"")</f>
        <v>13</v>
      </c>
      <c r="AM1009">
        <f>IFERROR(ROUND(L1009*(I1009/$AU1009)/VLOOKUP(H1009,商品!$A$4:$B$60,2,FALSE),0),"")</f>
        <v>34</v>
      </c>
      <c r="AN1009">
        <f>IFERROR(ROUND(L1009*(J1009/$AU1009)/VLOOKUP("运力",商品!$A$4:$B$60,2,FALSE),0),0)</f>
        <v>0</v>
      </c>
      <c r="AO1009">
        <f>IFERROR(ROUND(L1009*(K1009/$AU1009)/VLOOKUP("交易",商品!$A$4:$B$60,2,FALSE),0),0)</f>
        <v>0</v>
      </c>
      <c r="AP1009" t="str">
        <f>IFERROR(ROUND(S1009*(N1009/$AV1009)/VLOOKUP(M1009,职业!$A$4:$G$16,4,FALSE),0),"")</f>
        <v/>
      </c>
      <c r="AQ1009" t="str">
        <f>IFERROR(ROUND(S1009*(P1009/$AV1009)/VLOOKUP(O1009,职业!$A$4:$G$16,4,FALSE),0),"")</f>
        <v/>
      </c>
      <c r="AR1009" t="str">
        <f>IFERROR(ROUND(S1009*(R1009/$AV1009)/VLOOKUP(Q1009,职业!$A$4:$G$16,4,FALSE),0),"")</f>
        <v/>
      </c>
      <c r="AS1009" t="str">
        <f>IFERROR(ROUND(X1009*(U1009/$AW1009)/VLOOKUP(T1009,商品!$A$4:$B$60,2,FALSE),0),"")</f>
        <v/>
      </c>
      <c r="AT1009" t="str">
        <f>IFERROR(ROUND(X1009*(W1009/$AW1009)/VLOOKUP(V1009,商品!$A$4:$B$60,2,FALSE),0),"")</f>
        <v/>
      </c>
      <c r="AU1009">
        <f t="shared" si="301"/>
        <v>15</v>
      </c>
      <c r="AV1009">
        <f t="shared" si="302"/>
        <v>0</v>
      </c>
      <c r="AW1009">
        <f t="shared" si="303"/>
        <v>0</v>
      </c>
    </row>
    <row r="1010" spans="1:49" ht="19.95" customHeight="1" x14ac:dyDescent="0.25">
      <c r="A1010" s="16" t="s">
        <v>395</v>
      </c>
      <c r="C1010" s="16">
        <v>5</v>
      </c>
      <c r="D1010" s="23" t="s">
        <v>171</v>
      </c>
      <c r="E1010" s="23" t="s">
        <v>177</v>
      </c>
      <c r="F1010" s="2" t="s">
        <v>42</v>
      </c>
      <c r="G1010" s="2">
        <v>5</v>
      </c>
      <c r="H1010" s="2" t="s">
        <v>20</v>
      </c>
      <c r="I1010" s="2">
        <v>10</v>
      </c>
      <c r="L1010" s="15">
        <f>IFERROR(VLOOKUP($D1010&amp;$C1010,生产方式定位!$A$2:$E$38,2,FALSE)+VLOOKUP($E1010&amp;$C1010,生产方式定位!$F$3:$J$38,2,FALSE),0)</f>
        <v>1920</v>
      </c>
      <c r="S1010" s="15">
        <f>IFERROR(VLOOKUP($D1010&amp;$C1010,生产方式定位!$A$2:$E$38,3,FALSE)+VLOOKUP($E1010&amp;$C1010,生产方式定位!$F$3:$J$38,3,FALSE),0)</f>
        <v>160</v>
      </c>
      <c r="X1010" s="15">
        <f>IFERROR(VLOOKUP($D1010&amp;$C1010,生产方式定位!$A$2:$E$38,5,FALSE)+VLOOKUP($E1010&amp;$C1010,生产方式定位!$F$3:$J$38,5,FALSE),"错误")</f>
        <v>2080</v>
      </c>
      <c r="Y1010" s="26" t="str">
        <f t="shared" si="288"/>
        <v>魔偶*16,灵能水晶*43</v>
      </c>
      <c r="Z1010" s="36" t="str">
        <f t="shared" si="289"/>
        <v/>
      </c>
      <c r="AA1010" s="36" t="str">
        <f t="shared" si="290"/>
        <v/>
      </c>
      <c r="AB1010" s="27" t="str">
        <f t="shared" si="291"/>
        <v>8%</v>
      </c>
      <c r="AC1010" s="2" t="str">
        <f t="shared" si="292"/>
        <v/>
      </c>
      <c r="AD1010" s="37">
        <f t="shared" si="293"/>
        <v>5</v>
      </c>
      <c r="AE1010" t="str">
        <f t="shared" si="294"/>
        <v>魔偶*16</v>
      </c>
      <c r="AF1010" t="str">
        <f t="shared" si="295"/>
        <v>灵能水晶*43</v>
      </c>
      <c r="AG1010" t="str">
        <f t="shared" si="296"/>
        <v/>
      </c>
      <c r="AH1010" t="str">
        <f t="shared" si="297"/>
        <v/>
      </c>
      <c r="AI1010" t="str">
        <f t="shared" si="298"/>
        <v/>
      </c>
      <c r="AJ1010" t="str">
        <f t="shared" si="299"/>
        <v/>
      </c>
      <c r="AK1010" t="str">
        <f t="shared" si="300"/>
        <v/>
      </c>
      <c r="AL1010">
        <f>IFERROR(ROUND(L1010*(G1010/$AU1010)/VLOOKUP(F1010,商品!$A$4:$B$60,2,FALSE),0),"")</f>
        <v>16</v>
      </c>
      <c r="AM1010">
        <f>IFERROR(ROUND(L1010*(I1010/$AU1010)/VLOOKUP(H1010,商品!$A$4:$B$60,2,FALSE),0),"")</f>
        <v>43</v>
      </c>
      <c r="AN1010">
        <f>IFERROR(ROUND(L1010*(J1010/$AU1010)/VLOOKUP("运力",商品!$A$4:$B$60,2,FALSE),0),0)</f>
        <v>0</v>
      </c>
      <c r="AO1010">
        <f>IFERROR(ROUND(L1010*(K1010/$AU1010)/VLOOKUP("交易",商品!$A$4:$B$60,2,FALSE),0),0)</f>
        <v>0</v>
      </c>
      <c r="AP1010" t="str">
        <f>IFERROR(ROUND(S1010*(N1010/$AV1010)/VLOOKUP(M1010,职业!$A$4:$G$16,4,FALSE),0),"")</f>
        <v/>
      </c>
      <c r="AQ1010" t="str">
        <f>IFERROR(ROUND(S1010*(P1010/$AV1010)/VLOOKUP(O1010,职业!$A$4:$G$16,4,FALSE),0),"")</f>
        <v/>
      </c>
      <c r="AR1010" t="str">
        <f>IFERROR(ROUND(S1010*(R1010/$AV1010)/VLOOKUP(Q1010,职业!$A$4:$G$16,4,FALSE),0),"")</f>
        <v/>
      </c>
      <c r="AS1010" t="str">
        <f>IFERROR(ROUND(X1010*(U1010/$AW1010)/VLOOKUP(T1010,商品!$A$4:$B$60,2,FALSE),0),"")</f>
        <v/>
      </c>
      <c r="AT1010" t="str">
        <f>IFERROR(ROUND(X1010*(W1010/$AW1010)/VLOOKUP(V1010,商品!$A$4:$B$60,2,FALSE),0),"")</f>
        <v/>
      </c>
      <c r="AU1010">
        <f t="shared" si="301"/>
        <v>15</v>
      </c>
      <c r="AV1010">
        <f t="shared" si="302"/>
        <v>0</v>
      </c>
      <c r="AW1010">
        <f t="shared" si="303"/>
        <v>0</v>
      </c>
    </row>
    <row r="1011" spans="1:49" ht="19.95" customHeight="1" x14ac:dyDescent="0.25">
      <c r="A1011" s="15" t="s">
        <v>396</v>
      </c>
      <c r="C1011" s="15">
        <v>1</v>
      </c>
      <c r="D1011" s="23" t="s">
        <v>174</v>
      </c>
      <c r="E1011" s="23" t="s">
        <v>179</v>
      </c>
      <c r="L1011" s="16">
        <f>IFERROR(VLOOKUP($D1011&amp;$C1011,生产方式定位!$A$2:$E$38,2,FALSE)+VLOOKUP($E1011&amp;$C1011,生产方式定位!$F$3:$J$38,2,FALSE),0)</f>
        <v>0</v>
      </c>
      <c r="S1011" s="16">
        <f>IFERROR(VLOOKUP($D1011&amp;$C1011,生产方式定位!$A$2:$E$38,3,FALSE)+VLOOKUP($E1011&amp;$C1011,生产方式定位!$F$3:$J$38,3,FALSE),0)</f>
        <v>100</v>
      </c>
      <c r="X1011" s="16">
        <f>IFERROR(VLOOKUP($D1011&amp;$C1011,生产方式定位!$A$2:$E$38,5,FALSE)+VLOOKUP($E1011&amp;$C1011,生产方式定位!$F$3:$J$38,5,FALSE),"错误")</f>
        <v>100</v>
      </c>
      <c r="Y1011" s="26" t="str">
        <f t="shared" si="288"/>
        <v/>
      </c>
      <c r="Z1011" s="36" t="str">
        <f t="shared" si="289"/>
        <v/>
      </c>
      <c r="AA1011" s="36" t="str">
        <f t="shared" si="290"/>
        <v/>
      </c>
      <c r="AB1011" s="27" t="str">
        <f t="shared" si="291"/>
        <v/>
      </c>
      <c r="AC1011" s="2" t="str">
        <f t="shared" si="292"/>
        <v/>
      </c>
      <c r="AD1011" s="38">
        <f t="shared" si="293"/>
        <v>1</v>
      </c>
      <c r="AE1011" t="str">
        <f t="shared" si="294"/>
        <v/>
      </c>
      <c r="AF1011" t="str">
        <f t="shared" si="295"/>
        <v/>
      </c>
      <c r="AG1011" t="str">
        <f t="shared" si="296"/>
        <v/>
      </c>
      <c r="AH1011" t="str">
        <f t="shared" si="297"/>
        <v/>
      </c>
      <c r="AI1011" t="str">
        <f t="shared" si="298"/>
        <v/>
      </c>
      <c r="AJ1011" t="str">
        <f t="shared" si="299"/>
        <v/>
      </c>
      <c r="AK1011" t="str">
        <f t="shared" si="300"/>
        <v/>
      </c>
      <c r="AL1011" t="str">
        <f>IFERROR(ROUND(L1011*(G1011/$AU1011)/VLOOKUP(F1011,商品!$A$4:$B$60,2,FALSE),0),"")</f>
        <v/>
      </c>
      <c r="AM1011" t="str">
        <f>IFERROR(ROUND(L1011*(I1011/$AU1011)/VLOOKUP(H1011,商品!$A$4:$B$60,2,FALSE),0),"")</f>
        <v/>
      </c>
      <c r="AN1011">
        <f>IFERROR(ROUND(L1011*(J1011/$AU1011)/VLOOKUP("运力",商品!$A$4:$B$60,2,FALSE),0),0)</f>
        <v>0</v>
      </c>
      <c r="AO1011">
        <f>IFERROR(ROUND(L1011*(K1011/$AU1011)/VLOOKUP("交易",商品!$A$4:$B$60,2,FALSE),0),0)</f>
        <v>0</v>
      </c>
      <c r="AP1011" t="str">
        <f>IFERROR(ROUND(S1011*(N1011/$AV1011)/VLOOKUP(M1011,职业!$A$4:$G$16,4,FALSE),0),"")</f>
        <v/>
      </c>
      <c r="AQ1011" t="str">
        <f>IFERROR(ROUND(S1011*(P1011/$AV1011)/VLOOKUP(O1011,职业!$A$4:$G$16,4,FALSE),0),"")</f>
        <v/>
      </c>
      <c r="AR1011" t="str">
        <f>IFERROR(ROUND(S1011*(R1011/$AV1011)/VLOOKUP(Q1011,职业!$A$4:$G$16,4,FALSE),0),"")</f>
        <v/>
      </c>
      <c r="AS1011" t="str">
        <f>IFERROR(ROUND(X1011*(U1011/$AW1011)/VLOOKUP(T1011,商品!$A$4:$B$60,2,FALSE),0),"")</f>
        <v/>
      </c>
      <c r="AT1011" t="str">
        <f>IFERROR(ROUND(X1011*(W1011/$AW1011)/VLOOKUP(V1011,商品!$A$4:$B$60,2,FALSE),0),"")</f>
        <v/>
      </c>
      <c r="AU1011">
        <f t="shared" si="301"/>
        <v>0</v>
      </c>
      <c r="AV1011">
        <f t="shared" si="302"/>
        <v>0</v>
      </c>
      <c r="AW1011">
        <f t="shared" si="303"/>
        <v>0</v>
      </c>
    </row>
    <row r="1012" spans="1:49" ht="19.95" customHeight="1" x14ac:dyDescent="0.25">
      <c r="A1012" s="15" t="s">
        <v>396</v>
      </c>
      <c r="C1012" s="15">
        <v>2</v>
      </c>
      <c r="D1012" s="23" t="s">
        <v>174</v>
      </c>
      <c r="E1012" s="23" t="s">
        <v>179</v>
      </c>
      <c r="L1012" s="16">
        <f>IFERROR(VLOOKUP($D1012&amp;$C1012,生产方式定位!$A$2:$E$38,2,FALSE)+VLOOKUP($E1012&amp;$C1012,生产方式定位!$F$3:$J$38,2,FALSE),0)</f>
        <v>0</v>
      </c>
      <c r="S1012" s="16">
        <f>IFERROR(VLOOKUP($D1012&amp;$C1012,生产方式定位!$A$2:$E$38,3,FALSE)+VLOOKUP($E1012&amp;$C1012,生产方式定位!$F$3:$J$38,3,FALSE),0)</f>
        <v>100</v>
      </c>
      <c r="X1012" s="16">
        <f>IFERROR(VLOOKUP($D1012&amp;$C1012,生产方式定位!$A$2:$E$38,5,FALSE)+VLOOKUP($E1012&amp;$C1012,生产方式定位!$F$3:$J$38,5,FALSE),"错误")</f>
        <v>100</v>
      </c>
      <c r="Y1012" s="26" t="str">
        <f t="shared" si="288"/>
        <v/>
      </c>
      <c r="Z1012" s="36" t="str">
        <f t="shared" si="289"/>
        <v/>
      </c>
      <c r="AA1012" s="36" t="str">
        <f t="shared" si="290"/>
        <v/>
      </c>
      <c r="AB1012" s="27" t="str">
        <f t="shared" si="291"/>
        <v/>
      </c>
      <c r="AC1012" s="2" t="str">
        <f t="shared" si="292"/>
        <v/>
      </c>
      <c r="AD1012" s="38">
        <f t="shared" si="293"/>
        <v>2</v>
      </c>
      <c r="AE1012" t="str">
        <f t="shared" si="294"/>
        <v/>
      </c>
      <c r="AF1012" t="str">
        <f t="shared" si="295"/>
        <v/>
      </c>
      <c r="AG1012" t="str">
        <f t="shared" si="296"/>
        <v/>
      </c>
      <c r="AH1012" t="str">
        <f t="shared" si="297"/>
        <v/>
      </c>
      <c r="AI1012" t="str">
        <f t="shared" si="298"/>
        <v/>
      </c>
      <c r="AJ1012" t="str">
        <f t="shared" si="299"/>
        <v/>
      </c>
      <c r="AK1012" t="str">
        <f t="shared" si="300"/>
        <v/>
      </c>
      <c r="AL1012" t="str">
        <f>IFERROR(ROUND(L1012*(G1012/$AU1012)/VLOOKUP(F1012,商品!$A$4:$B$60,2,FALSE),0),"")</f>
        <v/>
      </c>
      <c r="AM1012" t="str">
        <f>IFERROR(ROUND(L1012*(I1012/$AU1012)/VLOOKUP(H1012,商品!$A$4:$B$60,2,FALSE),0),"")</f>
        <v/>
      </c>
      <c r="AN1012">
        <f>IFERROR(ROUND(L1012*(J1012/$AU1012)/VLOOKUP("运力",商品!$A$4:$B$60,2,FALSE),0),0)</f>
        <v>0</v>
      </c>
      <c r="AO1012">
        <f>IFERROR(ROUND(L1012*(K1012/$AU1012)/VLOOKUP("交易",商品!$A$4:$B$60,2,FALSE),0),0)</f>
        <v>0</v>
      </c>
      <c r="AP1012" t="str">
        <f>IFERROR(ROUND(S1012*(N1012/$AV1012)/VLOOKUP(M1012,职业!$A$4:$G$16,4,FALSE),0),"")</f>
        <v/>
      </c>
      <c r="AQ1012" t="str">
        <f>IFERROR(ROUND(S1012*(P1012/$AV1012)/VLOOKUP(O1012,职业!$A$4:$G$16,4,FALSE),0),"")</f>
        <v/>
      </c>
      <c r="AR1012" t="str">
        <f>IFERROR(ROUND(S1012*(R1012/$AV1012)/VLOOKUP(Q1012,职业!$A$4:$G$16,4,FALSE),0),"")</f>
        <v/>
      </c>
      <c r="AS1012" t="str">
        <f>IFERROR(ROUND(X1012*(U1012/$AW1012)/VLOOKUP(T1012,商品!$A$4:$B$60,2,FALSE),0),"")</f>
        <v/>
      </c>
      <c r="AT1012" t="str">
        <f>IFERROR(ROUND(X1012*(W1012/$AW1012)/VLOOKUP(V1012,商品!$A$4:$B$60,2,FALSE),0),"")</f>
        <v/>
      </c>
      <c r="AU1012">
        <f t="shared" si="301"/>
        <v>0</v>
      </c>
      <c r="AV1012">
        <f t="shared" si="302"/>
        <v>0</v>
      </c>
      <c r="AW1012">
        <f t="shared" si="303"/>
        <v>0</v>
      </c>
    </row>
    <row r="1013" spans="1:49" ht="19.95" customHeight="1" x14ac:dyDescent="0.25">
      <c r="A1013" s="15" t="s">
        <v>396</v>
      </c>
      <c r="C1013" s="15">
        <v>3</v>
      </c>
      <c r="D1013" s="23" t="s">
        <v>174</v>
      </c>
      <c r="E1013" s="23" t="s">
        <v>179</v>
      </c>
      <c r="L1013" s="16">
        <f>IFERROR(VLOOKUP($D1013&amp;$C1013,生产方式定位!$A$2:$E$38,2,FALSE)+VLOOKUP($E1013&amp;$C1013,生产方式定位!$F$3:$J$38,2,FALSE),0)</f>
        <v>0</v>
      </c>
      <c r="S1013" s="16">
        <f>IFERROR(VLOOKUP($D1013&amp;$C1013,生产方式定位!$A$2:$E$38,3,FALSE)+VLOOKUP($E1013&amp;$C1013,生产方式定位!$F$3:$J$38,3,FALSE),0)</f>
        <v>100</v>
      </c>
      <c r="X1013" s="16">
        <f>IFERROR(VLOOKUP($D1013&amp;$C1013,生产方式定位!$A$2:$E$38,5,FALSE)+VLOOKUP($E1013&amp;$C1013,生产方式定位!$F$3:$J$38,5,FALSE),"错误")</f>
        <v>100</v>
      </c>
      <c r="Y1013" s="26" t="str">
        <f t="shared" si="288"/>
        <v/>
      </c>
      <c r="Z1013" s="36" t="str">
        <f t="shared" si="289"/>
        <v/>
      </c>
      <c r="AA1013" s="36" t="str">
        <f t="shared" si="290"/>
        <v/>
      </c>
      <c r="AB1013" s="27" t="str">
        <f t="shared" si="291"/>
        <v/>
      </c>
      <c r="AC1013" s="2" t="str">
        <f t="shared" si="292"/>
        <v/>
      </c>
      <c r="AD1013" s="38">
        <f t="shared" si="293"/>
        <v>3</v>
      </c>
      <c r="AE1013" t="str">
        <f t="shared" si="294"/>
        <v/>
      </c>
      <c r="AF1013" t="str">
        <f t="shared" si="295"/>
        <v/>
      </c>
      <c r="AG1013" t="str">
        <f t="shared" si="296"/>
        <v/>
      </c>
      <c r="AH1013" t="str">
        <f t="shared" si="297"/>
        <v/>
      </c>
      <c r="AI1013" t="str">
        <f t="shared" si="298"/>
        <v/>
      </c>
      <c r="AJ1013" t="str">
        <f t="shared" si="299"/>
        <v/>
      </c>
      <c r="AK1013" t="str">
        <f t="shared" si="300"/>
        <v/>
      </c>
      <c r="AL1013" t="str">
        <f>IFERROR(ROUND(L1013*(G1013/$AU1013)/VLOOKUP(F1013,商品!$A$4:$B$60,2,FALSE),0),"")</f>
        <v/>
      </c>
      <c r="AM1013" t="str">
        <f>IFERROR(ROUND(L1013*(I1013/$AU1013)/VLOOKUP(H1013,商品!$A$4:$B$60,2,FALSE),0),"")</f>
        <v/>
      </c>
      <c r="AN1013">
        <f>IFERROR(ROUND(L1013*(J1013/$AU1013)/VLOOKUP("运力",商品!$A$4:$B$60,2,FALSE),0),0)</f>
        <v>0</v>
      </c>
      <c r="AO1013">
        <f>IFERROR(ROUND(L1013*(K1013/$AU1013)/VLOOKUP("交易",商品!$A$4:$B$60,2,FALSE),0),0)</f>
        <v>0</v>
      </c>
      <c r="AP1013" t="str">
        <f>IFERROR(ROUND(S1013*(N1013/$AV1013)/VLOOKUP(M1013,职业!$A$4:$G$16,4,FALSE),0),"")</f>
        <v/>
      </c>
      <c r="AQ1013" t="str">
        <f>IFERROR(ROUND(S1013*(P1013/$AV1013)/VLOOKUP(O1013,职业!$A$4:$G$16,4,FALSE),0),"")</f>
        <v/>
      </c>
      <c r="AR1013" t="str">
        <f>IFERROR(ROUND(S1013*(R1013/$AV1013)/VLOOKUP(Q1013,职业!$A$4:$G$16,4,FALSE),0),"")</f>
        <v/>
      </c>
      <c r="AS1013" t="str">
        <f>IFERROR(ROUND(X1013*(U1013/$AW1013)/VLOOKUP(T1013,商品!$A$4:$B$60,2,FALSE),0),"")</f>
        <v/>
      </c>
      <c r="AT1013" t="str">
        <f>IFERROR(ROUND(X1013*(W1013/$AW1013)/VLOOKUP(V1013,商品!$A$4:$B$60,2,FALSE),0),"")</f>
        <v/>
      </c>
      <c r="AU1013">
        <f t="shared" si="301"/>
        <v>0</v>
      </c>
      <c r="AV1013">
        <f t="shared" si="302"/>
        <v>0</v>
      </c>
      <c r="AW1013">
        <f t="shared" si="303"/>
        <v>0</v>
      </c>
    </row>
    <row r="1014" spans="1:49" ht="19.95" customHeight="1" x14ac:dyDescent="0.25">
      <c r="A1014" s="15" t="s">
        <v>396</v>
      </c>
      <c r="C1014" s="15">
        <v>4</v>
      </c>
      <c r="D1014" s="23" t="s">
        <v>174</v>
      </c>
      <c r="E1014" s="23" t="s">
        <v>179</v>
      </c>
      <c r="L1014" s="16">
        <f>IFERROR(VLOOKUP($D1014&amp;$C1014,生产方式定位!$A$2:$E$38,2,FALSE)+VLOOKUP($E1014&amp;$C1014,生产方式定位!$F$3:$J$38,2,FALSE),0)</f>
        <v>0</v>
      </c>
      <c r="S1014" s="16">
        <f>IFERROR(VLOOKUP($D1014&amp;$C1014,生产方式定位!$A$2:$E$38,3,FALSE)+VLOOKUP($E1014&amp;$C1014,生产方式定位!$F$3:$J$38,3,FALSE),0)</f>
        <v>100</v>
      </c>
      <c r="X1014" s="16">
        <f>IFERROR(VLOOKUP($D1014&amp;$C1014,生产方式定位!$A$2:$E$38,5,FALSE)+VLOOKUP($E1014&amp;$C1014,生产方式定位!$F$3:$J$38,5,FALSE),"错误")</f>
        <v>100</v>
      </c>
      <c r="Y1014" s="26" t="str">
        <f t="shared" si="288"/>
        <v/>
      </c>
      <c r="Z1014" s="36" t="str">
        <f t="shared" si="289"/>
        <v/>
      </c>
      <c r="AA1014" s="36" t="str">
        <f t="shared" si="290"/>
        <v/>
      </c>
      <c r="AB1014" s="27" t="str">
        <f t="shared" si="291"/>
        <v/>
      </c>
      <c r="AC1014" s="2" t="str">
        <f t="shared" si="292"/>
        <v/>
      </c>
      <c r="AD1014" s="38">
        <f t="shared" si="293"/>
        <v>4</v>
      </c>
      <c r="AE1014" t="str">
        <f t="shared" si="294"/>
        <v/>
      </c>
      <c r="AF1014" t="str">
        <f t="shared" si="295"/>
        <v/>
      </c>
      <c r="AG1014" t="str">
        <f t="shared" si="296"/>
        <v/>
      </c>
      <c r="AH1014" t="str">
        <f t="shared" si="297"/>
        <v/>
      </c>
      <c r="AI1014" t="str">
        <f t="shared" si="298"/>
        <v/>
      </c>
      <c r="AJ1014" t="str">
        <f t="shared" si="299"/>
        <v/>
      </c>
      <c r="AK1014" t="str">
        <f t="shared" si="300"/>
        <v/>
      </c>
      <c r="AL1014" t="str">
        <f>IFERROR(ROUND(L1014*(G1014/$AU1014)/VLOOKUP(F1014,商品!$A$4:$B$60,2,FALSE),0),"")</f>
        <v/>
      </c>
      <c r="AM1014" t="str">
        <f>IFERROR(ROUND(L1014*(I1014/$AU1014)/VLOOKUP(H1014,商品!$A$4:$B$60,2,FALSE),0),"")</f>
        <v/>
      </c>
      <c r="AN1014">
        <f>IFERROR(ROUND(L1014*(J1014/$AU1014)/VLOOKUP("运力",商品!$A$4:$B$60,2,FALSE),0),0)</f>
        <v>0</v>
      </c>
      <c r="AO1014">
        <f>IFERROR(ROUND(L1014*(K1014/$AU1014)/VLOOKUP("交易",商品!$A$4:$B$60,2,FALSE),0),0)</f>
        <v>0</v>
      </c>
      <c r="AP1014" t="str">
        <f>IFERROR(ROUND(S1014*(N1014/$AV1014)/VLOOKUP(M1014,职业!$A$4:$G$16,4,FALSE),0),"")</f>
        <v/>
      </c>
      <c r="AQ1014" t="str">
        <f>IFERROR(ROUND(S1014*(P1014/$AV1014)/VLOOKUP(O1014,职业!$A$4:$G$16,4,FALSE),0),"")</f>
        <v/>
      </c>
      <c r="AR1014" t="str">
        <f>IFERROR(ROUND(S1014*(R1014/$AV1014)/VLOOKUP(Q1014,职业!$A$4:$G$16,4,FALSE),0),"")</f>
        <v/>
      </c>
      <c r="AS1014" t="str">
        <f>IFERROR(ROUND(X1014*(U1014/$AW1014)/VLOOKUP(T1014,商品!$A$4:$B$60,2,FALSE),0),"")</f>
        <v/>
      </c>
      <c r="AT1014" t="str">
        <f>IFERROR(ROUND(X1014*(W1014/$AW1014)/VLOOKUP(V1014,商品!$A$4:$B$60,2,FALSE),0),"")</f>
        <v/>
      </c>
      <c r="AU1014">
        <f t="shared" si="301"/>
        <v>0</v>
      </c>
      <c r="AV1014">
        <f t="shared" si="302"/>
        <v>0</v>
      </c>
      <c r="AW1014">
        <f t="shared" si="303"/>
        <v>0</v>
      </c>
    </row>
    <row r="1015" spans="1:49" ht="19.95" customHeight="1" x14ac:dyDescent="0.25">
      <c r="A1015" s="15" t="s">
        <v>396</v>
      </c>
      <c r="C1015" s="15">
        <v>5</v>
      </c>
      <c r="D1015" s="23" t="s">
        <v>174</v>
      </c>
      <c r="E1015" s="23" t="s">
        <v>179</v>
      </c>
      <c r="L1015" s="16">
        <f>IFERROR(VLOOKUP($D1015&amp;$C1015,生产方式定位!$A$2:$E$38,2,FALSE)+VLOOKUP($E1015&amp;$C1015,生产方式定位!$F$3:$J$38,2,FALSE),0)</f>
        <v>0</v>
      </c>
      <c r="S1015" s="16">
        <f>IFERROR(VLOOKUP($D1015&amp;$C1015,生产方式定位!$A$2:$E$38,3,FALSE)+VLOOKUP($E1015&amp;$C1015,生产方式定位!$F$3:$J$38,3,FALSE),0)</f>
        <v>100</v>
      </c>
      <c r="X1015" s="16">
        <f>IFERROR(VLOOKUP($D1015&amp;$C1015,生产方式定位!$A$2:$E$38,5,FALSE)+VLOOKUP($E1015&amp;$C1015,生产方式定位!$F$3:$J$38,5,FALSE),"错误")</f>
        <v>100</v>
      </c>
      <c r="Y1015" s="26" t="str">
        <f t="shared" si="288"/>
        <v/>
      </c>
      <c r="Z1015" s="36" t="str">
        <f t="shared" si="289"/>
        <v/>
      </c>
      <c r="AA1015" s="36" t="str">
        <f t="shared" si="290"/>
        <v/>
      </c>
      <c r="AB1015" s="27" t="str">
        <f t="shared" si="291"/>
        <v/>
      </c>
      <c r="AC1015" s="2" t="str">
        <f t="shared" si="292"/>
        <v/>
      </c>
      <c r="AD1015" s="38">
        <f t="shared" si="293"/>
        <v>5</v>
      </c>
      <c r="AE1015" t="str">
        <f t="shared" si="294"/>
        <v/>
      </c>
      <c r="AF1015" t="str">
        <f t="shared" si="295"/>
        <v/>
      </c>
      <c r="AG1015" t="str">
        <f t="shared" si="296"/>
        <v/>
      </c>
      <c r="AH1015" t="str">
        <f t="shared" si="297"/>
        <v/>
      </c>
      <c r="AI1015" t="str">
        <f t="shared" si="298"/>
        <v/>
      </c>
      <c r="AJ1015" t="str">
        <f t="shared" si="299"/>
        <v/>
      </c>
      <c r="AK1015" t="str">
        <f t="shared" si="300"/>
        <v/>
      </c>
      <c r="AL1015" t="str">
        <f>IFERROR(ROUND(L1015*(G1015/$AU1015)/VLOOKUP(F1015,商品!$A$4:$B$60,2,FALSE),0),"")</f>
        <v/>
      </c>
      <c r="AM1015" t="str">
        <f>IFERROR(ROUND(L1015*(I1015/$AU1015)/VLOOKUP(H1015,商品!$A$4:$B$60,2,FALSE),0),"")</f>
        <v/>
      </c>
      <c r="AN1015">
        <f>IFERROR(ROUND(L1015*(J1015/$AU1015)/VLOOKUP("运力",商品!$A$4:$B$60,2,FALSE),0),0)</f>
        <v>0</v>
      </c>
      <c r="AO1015">
        <f>IFERROR(ROUND(L1015*(K1015/$AU1015)/VLOOKUP("交易",商品!$A$4:$B$60,2,FALSE),0),0)</f>
        <v>0</v>
      </c>
      <c r="AP1015" t="str">
        <f>IFERROR(ROUND(S1015*(N1015/$AV1015)/VLOOKUP(M1015,职业!$A$4:$G$16,4,FALSE),0),"")</f>
        <v/>
      </c>
      <c r="AQ1015" t="str">
        <f>IFERROR(ROUND(S1015*(P1015/$AV1015)/VLOOKUP(O1015,职业!$A$4:$G$16,4,FALSE),0),"")</f>
        <v/>
      </c>
      <c r="AR1015" t="str">
        <f>IFERROR(ROUND(S1015*(R1015/$AV1015)/VLOOKUP(Q1015,职业!$A$4:$G$16,4,FALSE),0),"")</f>
        <v/>
      </c>
      <c r="AS1015" t="str">
        <f>IFERROR(ROUND(X1015*(U1015/$AW1015)/VLOOKUP(T1015,商品!$A$4:$B$60,2,FALSE),0),"")</f>
        <v/>
      </c>
      <c r="AT1015" t="str">
        <f>IFERROR(ROUND(X1015*(W1015/$AW1015)/VLOOKUP(V1015,商品!$A$4:$B$60,2,FALSE),0),"")</f>
        <v/>
      </c>
      <c r="AU1015">
        <f t="shared" si="301"/>
        <v>0</v>
      </c>
      <c r="AV1015">
        <f t="shared" si="302"/>
        <v>0</v>
      </c>
      <c r="AW1015">
        <f t="shared" si="303"/>
        <v>0</v>
      </c>
    </row>
    <row r="1016" spans="1:49" ht="19.95" customHeight="1" x14ac:dyDescent="0.25">
      <c r="A1016" s="15" t="s">
        <v>396</v>
      </c>
      <c r="C1016" s="15">
        <v>6</v>
      </c>
      <c r="D1016" s="23" t="s">
        <v>174</v>
      </c>
      <c r="E1016" s="23" t="s">
        <v>179</v>
      </c>
      <c r="L1016" s="16">
        <f>IFERROR(VLOOKUP($D1016&amp;$C1016,生产方式定位!$A$2:$E$38,2,FALSE)+VLOOKUP($E1016&amp;$C1016,生产方式定位!$F$3:$J$38,2,FALSE),0)</f>
        <v>0</v>
      </c>
      <c r="S1016" s="16">
        <f>IFERROR(VLOOKUP($D1016&amp;$C1016,生产方式定位!$A$2:$E$38,3,FALSE)+VLOOKUP($E1016&amp;$C1016,生产方式定位!$F$3:$J$38,3,FALSE),0)</f>
        <v>100</v>
      </c>
      <c r="X1016" s="16">
        <f>IFERROR(VLOOKUP($D1016&amp;$C1016,生产方式定位!$A$2:$E$38,5,FALSE)+VLOOKUP($E1016&amp;$C1016,生产方式定位!$F$3:$J$38,5,FALSE),"错误")</f>
        <v>100</v>
      </c>
      <c r="Y1016" s="26" t="str">
        <f t="shared" si="288"/>
        <v/>
      </c>
      <c r="Z1016" s="36" t="str">
        <f t="shared" si="289"/>
        <v/>
      </c>
      <c r="AA1016" s="36" t="str">
        <f t="shared" si="290"/>
        <v/>
      </c>
      <c r="AB1016" s="27" t="str">
        <f t="shared" si="291"/>
        <v/>
      </c>
      <c r="AC1016" s="2" t="str">
        <f t="shared" si="292"/>
        <v/>
      </c>
      <c r="AD1016" s="37">
        <f t="shared" si="293"/>
        <v>6</v>
      </c>
      <c r="AE1016" t="str">
        <f t="shared" si="294"/>
        <v/>
      </c>
      <c r="AF1016" t="str">
        <f t="shared" si="295"/>
        <v/>
      </c>
      <c r="AG1016" t="str">
        <f t="shared" si="296"/>
        <v/>
      </c>
      <c r="AH1016" t="str">
        <f t="shared" si="297"/>
        <v/>
      </c>
      <c r="AI1016" t="str">
        <f t="shared" si="298"/>
        <v/>
      </c>
      <c r="AJ1016" t="str">
        <f t="shared" si="299"/>
        <v/>
      </c>
      <c r="AK1016" t="str">
        <f t="shared" si="300"/>
        <v/>
      </c>
      <c r="AL1016" t="str">
        <f>IFERROR(ROUND(L1016*(G1016/$AU1016)/VLOOKUP(F1016,商品!$A$4:$B$60,2,FALSE),0),"")</f>
        <v/>
      </c>
      <c r="AM1016" t="str">
        <f>IFERROR(ROUND(L1016*(I1016/$AU1016)/VLOOKUP(H1016,商品!$A$4:$B$60,2,FALSE),0),"")</f>
        <v/>
      </c>
      <c r="AN1016">
        <f>IFERROR(ROUND(L1016*(J1016/$AU1016)/VLOOKUP("运力",商品!$A$4:$B$60,2,FALSE),0),0)</f>
        <v>0</v>
      </c>
      <c r="AO1016">
        <f>IFERROR(ROUND(L1016*(K1016/$AU1016)/VLOOKUP("交易",商品!$A$4:$B$60,2,FALSE),0),0)</f>
        <v>0</v>
      </c>
      <c r="AP1016" t="str">
        <f>IFERROR(ROUND(S1016*(N1016/$AV1016)/VLOOKUP(M1016,职业!$A$4:$G$16,4,FALSE),0),"")</f>
        <v/>
      </c>
      <c r="AQ1016" t="str">
        <f>IFERROR(ROUND(S1016*(P1016/$AV1016)/VLOOKUP(O1016,职业!$A$4:$G$16,4,FALSE),0),"")</f>
        <v/>
      </c>
      <c r="AR1016" t="str">
        <f>IFERROR(ROUND(S1016*(R1016/$AV1016)/VLOOKUP(Q1016,职业!$A$4:$G$16,4,FALSE),0),"")</f>
        <v/>
      </c>
      <c r="AS1016" t="str">
        <f>IFERROR(ROUND(X1016*(U1016/$AW1016)/VLOOKUP(T1016,商品!$A$4:$B$60,2,FALSE),0),"")</f>
        <v/>
      </c>
      <c r="AT1016" t="str">
        <f>IFERROR(ROUND(X1016*(W1016/$AW1016)/VLOOKUP(V1016,商品!$A$4:$B$60,2,FALSE),0),"")</f>
        <v/>
      </c>
      <c r="AU1016">
        <f t="shared" si="301"/>
        <v>0</v>
      </c>
      <c r="AV1016">
        <f t="shared" si="302"/>
        <v>0</v>
      </c>
      <c r="AW1016">
        <f t="shared" si="303"/>
        <v>0</v>
      </c>
    </row>
    <row r="1017" spans="1:49" ht="19.95" customHeight="1" x14ac:dyDescent="0.25">
      <c r="A1017" s="15" t="s">
        <v>396</v>
      </c>
      <c r="C1017" s="15">
        <v>7</v>
      </c>
      <c r="D1017" s="23" t="s">
        <v>174</v>
      </c>
      <c r="E1017" s="23" t="s">
        <v>179</v>
      </c>
      <c r="L1017" s="16">
        <f>IFERROR(VLOOKUP($D1017&amp;$C1017,生产方式定位!$A$2:$E$38,2,FALSE)+VLOOKUP($E1017&amp;$C1017,生产方式定位!$F$3:$J$38,2,FALSE),0)</f>
        <v>0</v>
      </c>
      <c r="S1017" s="16">
        <f>IFERROR(VLOOKUP($D1017&amp;$C1017,生产方式定位!$A$2:$E$38,3,FALSE)+VLOOKUP($E1017&amp;$C1017,生产方式定位!$F$3:$J$38,3,FALSE),0)</f>
        <v>100</v>
      </c>
      <c r="X1017" s="16">
        <f>IFERROR(VLOOKUP($D1017&amp;$C1017,生产方式定位!$A$2:$E$38,5,FALSE)+VLOOKUP($E1017&amp;$C1017,生产方式定位!$F$3:$J$38,5,FALSE),"错误")</f>
        <v>100</v>
      </c>
      <c r="Y1017" s="26" t="str">
        <f t="shared" si="288"/>
        <v/>
      </c>
      <c r="Z1017" s="36" t="str">
        <f t="shared" si="289"/>
        <v/>
      </c>
      <c r="AA1017" s="36" t="str">
        <f t="shared" si="290"/>
        <v/>
      </c>
      <c r="AB1017" s="27" t="str">
        <f t="shared" si="291"/>
        <v/>
      </c>
      <c r="AC1017" s="2" t="str">
        <f t="shared" si="292"/>
        <v/>
      </c>
      <c r="AD1017" s="37">
        <f t="shared" si="293"/>
        <v>7</v>
      </c>
      <c r="AE1017" t="str">
        <f t="shared" si="294"/>
        <v/>
      </c>
      <c r="AF1017" t="str">
        <f t="shared" si="295"/>
        <v/>
      </c>
      <c r="AG1017" t="str">
        <f t="shared" si="296"/>
        <v/>
      </c>
      <c r="AH1017" t="str">
        <f t="shared" si="297"/>
        <v/>
      </c>
      <c r="AI1017" t="str">
        <f t="shared" si="298"/>
        <v/>
      </c>
      <c r="AJ1017" t="str">
        <f t="shared" si="299"/>
        <v/>
      </c>
      <c r="AK1017" t="str">
        <f t="shared" si="300"/>
        <v/>
      </c>
      <c r="AL1017" t="str">
        <f>IFERROR(ROUND(L1017*(G1017/$AU1017)/VLOOKUP(F1017,商品!$A$4:$B$60,2,FALSE),0),"")</f>
        <v/>
      </c>
      <c r="AM1017" t="str">
        <f>IFERROR(ROUND(L1017*(I1017/$AU1017)/VLOOKUP(H1017,商品!$A$4:$B$60,2,FALSE),0),"")</f>
        <v/>
      </c>
      <c r="AN1017">
        <f>IFERROR(ROUND(L1017*(J1017/$AU1017)/VLOOKUP("运力",商品!$A$4:$B$60,2,FALSE),0),0)</f>
        <v>0</v>
      </c>
      <c r="AO1017">
        <f>IFERROR(ROUND(L1017*(K1017/$AU1017)/VLOOKUP("交易",商品!$A$4:$B$60,2,FALSE),0),0)</f>
        <v>0</v>
      </c>
      <c r="AP1017" t="str">
        <f>IFERROR(ROUND(S1017*(N1017/$AV1017)/VLOOKUP(M1017,职业!$A$4:$G$16,4,FALSE),0),"")</f>
        <v/>
      </c>
      <c r="AQ1017" t="str">
        <f>IFERROR(ROUND(S1017*(P1017/$AV1017)/VLOOKUP(O1017,职业!$A$4:$G$16,4,FALSE),0),"")</f>
        <v/>
      </c>
      <c r="AR1017" t="str">
        <f>IFERROR(ROUND(S1017*(R1017/$AV1017)/VLOOKUP(Q1017,职业!$A$4:$G$16,4,FALSE),0),"")</f>
        <v/>
      </c>
      <c r="AS1017" t="str">
        <f>IFERROR(ROUND(X1017*(U1017/$AW1017)/VLOOKUP(T1017,商品!$A$4:$B$60,2,FALSE),0),"")</f>
        <v/>
      </c>
      <c r="AT1017" t="str">
        <f>IFERROR(ROUND(X1017*(W1017/$AW1017)/VLOOKUP(V1017,商品!$A$4:$B$60,2,FALSE),0),"")</f>
        <v/>
      </c>
      <c r="AU1017">
        <f t="shared" si="301"/>
        <v>0</v>
      </c>
      <c r="AV1017">
        <f t="shared" si="302"/>
        <v>0</v>
      </c>
      <c r="AW1017">
        <f t="shared" si="303"/>
        <v>0</v>
      </c>
    </row>
    <row r="1018" spans="1:49" ht="19.95" customHeight="1" x14ac:dyDescent="0.25">
      <c r="A1018" s="15" t="s">
        <v>396</v>
      </c>
      <c r="C1018" s="15">
        <v>8</v>
      </c>
      <c r="D1018" s="23" t="s">
        <v>174</v>
      </c>
      <c r="E1018" s="23" t="s">
        <v>179</v>
      </c>
      <c r="L1018" s="16">
        <f>IFERROR(VLOOKUP($D1018&amp;$C1018,生产方式定位!$A$2:$E$38,2,FALSE)+VLOOKUP($E1018&amp;$C1018,生产方式定位!$F$3:$J$38,2,FALSE),0)</f>
        <v>0</v>
      </c>
      <c r="S1018" s="16">
        <f>IFERROR(VLOOKUP($D1018&amp;$C1018,生产方式定位!$A$2:$E$38,3,FALSE)+VLOOKUP($E1018&amp;$C1018,生产方式定位!$F$3:$J$38,3,FALSE),0)</f>
        <v>100</v>
      </c>
      <c r="X1018" s="16">
        <f>IFERROR(VLOOKUP($D1018&amp;$C1018,生产方式定位!$A$2:$E$38,5,FALSE)+VLOOKUP($E1018&amp;$C1018,生产方式定位!$F$3:$J$38,5,FALSE),"错误")</f>
        <v>100</v>
      </c>
      <c r="Y1018" s="26" t="str">
        <f t="shared" si="288"/>
        <v/>
      </c>
      <c r="Z1018" s="36" t="str">
        <f t="shared" si="289"/>
        <v/>
      </c>
      <c r="AA1018" s="36" t="str">
        <f t="shared" si="290"/>
        <v/>
      </c>
      <c r="AB1018" s="27" t="str">
        <f t="shared" si="291"/>
        <v/>
      </c>
      <c r="AC1018" s="2" t="str">
        <f t="shared" si="292"/>
        <v/>
      </c>
      <c r="AD1018" s="37">
        <f t="shared" si="293"/>
        <v>8</v>
      </c>
      <c r="AE1018" t="str">
        <f t="shared" si="294"/>
        <v/>
      </c>
      <c r="AF1018" t="str">
        <f t="shared" si="295"/>
        <v/>
      </c>
      <c r="AG1018" t="str">
        <f t="shared" si="296"/>
        <v/>
      </c>
      <c r="AH1018" t="str">
        <f t="shared" si="297"/>
        <v/>
      </c>
      <c r="AI1018" t="str">
        <f t="shared" si="298"/>
        <v/>
      </c>
      <c r="AJ1018" t="str">
        <f t="shared" si="299"/>
        <v/>
      </c>
      <c r="AK1018" t="str">
        <f t="shared" si="300"/>
        <v/>
      </c>
      <c r="AL1018" t="str">
        <f>IFERROR(ROUND(L1018*(G1018/$AU1018)/VLOOKUP(F1018,商品!$A$4:$B$60,2,FALSE),0),"")</f>
        <v/>
      </c>
      <c r="AM1018" t="str">
        <f>IFERROR(ROUND(L1018*(I1018/$AU1018)/VLOOKUP(H1018,商品!$A$4:$B$60,2,FALSE),0),"")</f>
        <v/>
      </c>
      <c r="AN1018">
        <f>IFERROR(ROUND(L1018*(J1018/$AU1018)/VLOOKUP("运力",商品!$A$4:$B$60,2,FALSE),0),0)</f>
        <v>0</v>
      </c>
      <c r="AO1018">
        <f>IFERROR(ROUND(L1018*(K1018/$AU1018)/VLOOKUP("交易",商品!$A$4:$B$60,2,FALSE),0),0)</f>
        <v>0</v>
      </c>
      <c r="AP1018" t="str">
        <f>IFERROR(ROUND(S1018*(N1018/$AV1018)/VLOOKUP(M1018,职业!$A$4:$G$16,4,FALSE),0),"")</f>
        <v/>
      </c>
      <c r="AQ1018" t="str">
        <f>IFERROR(ROUND(S1018*(P1018/$AV1018)/VLOOKUP(O1018,职业!$A$4:$G$16,4,FALSE),0),"")</f>
        <v/>
      </c>
      <c r="AR1018" t="str">
        <f>IFERROR(ROUND(S1018*(R1018/$AV1018)/VLOOKUP(Q1018,职业!$A$4:$G$16,4,FALSE),0),"")</f>
        <v/>
      </c>
      <c r="AS1018" t="str">
        <f>IFERROR(ROUND(X1018*(U1018/$AW1018)/VLOOKUP(T1018,商品!$A$4:$B$60,2,FALSE),0),"")</f>
        <v/>
      </c>
      <c r="AT1018" t="str">
        <f>IFERROR(ROUND(X1018*(W1018/$AW1018)/VLOOKUP(V1018,商品!$A$4:$B$60,2,FALSE),0),"")</f>
        <v/>
      </c>
      <c r="AU1018">
        <f t="shared" si="301"/>
        <v>0</v>
      </c>
      <c r="AV1018">
        <f t="shared" si="302"/>
        <v>0</v>
      </c>
      <c r="AW1018">
        <f t="shared" si="303"/>
        <v>0</v>
      </c>
    </row>
    <row r="1019" spans="1:49" ht="19.95" customHeight="1" x14ac:dyDescent="0.25">
      <c r="A1019" s="16" t="s">
        <v>398</v>
      </c>
      <c r="C1019" s="16">
        <v>1</v>
      </c>
      <c r="D1019" s="23" t="s">
        <v>171</v>
      </c>
      <c r="E1019" s="23" t="s">
        <v>172</v>
      </c>
      <c r="L1019" s="15">
        <f>IFERROR(VLOOKUP($D1019&amp;$C1019,生产方式定位!$A$2:$E$38,2,FALSE)+VLOOKUP($E1019&amp;$C1019,生产方式定位!$F$3:$J$38,2,FALSE),0)</f>
        <v>300</v>
      </c>
      <c r="S1019" s="15">
        <f>IFERROR(VLOOKUP($D1019&amp;$C1019,生产方式定位!$A$2:$E$38,3,FALSE)+VLOOKUP($E1019&amp;$C1019,生产方式定位!$F$3:$J$38,3,FALSE),0)</f>
        <v>100</v>
      </c>
      <c r="X1019" s="15">
        <f>IFERROR(VLOOKUP($D1019&amp;$C1019,生产方式定位!$A$2:$E$38,5,FALSE)+VLOOKUP($E1019&amp;$C1019,生产方式定位!$F$3:$J$38,5,FALSE),"错误")</f>
        <v>520</v>
      </c>
      <c r="Y1019" s="26" t="str">
        <f t="shared" si="288"/>
        <v/>
      </c>
      <c r="Z1019" s="36" t="str">
        <f t="shared" si="289"/>
        <v/>
      </c>
      <c r="AA1019" s="36" t="str">
        <f t="shared" si="290"/>
        <v/>
      </c>
      <c r="AB1019" s="27" t="str">
        <f t="shared" si="291"/>
        <v>73%</v>
      </c>
      <c r="AC1019" s="2">
        <f t="shared" si="292"/>
        <v>120</v>
      </c>
      <c r="AD1019" s="37">
        <f t="shared" si="293"/>
        <v>1</v>
      </c>
      <c r="AE1019" t="str">
        <f t="shared" si="294"/>
        <v/>
      </c>
      <c r="AF1019" t="str">
        <f t="shared" si="295"/>
        <v/>
      </c>
      <c r="AG1019" t="str">
        <f t="shared" si="296"/>
        <v/>
      </c>
      <c r="AH1019" t="str">
        <f t="shared" si="297"/>
        <v/>
      </c>
      <c r="AI1019" t="str">
        <f t="shared" si="298"/>
        <v/>
      </c>
      <c r="AJ1019" t="str">
        <f t="shared" si="299"/>
        <v/>
      </c>
      <c r="AK1019" t="str">
        <f t="shared" si="300"/>
        <v/>
      </c>
      <c r="AL1019" t="str">
        <f>IFERROR(ROUND(L1019*(G1019/$AU1019)/VLOOKUP(F1019,商品!$A$4:$B$60,2,FALSE),0),"")</f>
        <v/>
      </c>
      <c r="AM1019" t="str">
        <f>IFERROR(ROUND(L1019*(I1019/$AU1019)/VLOOKUP(H1019,商品!$A$4:$B$60,2,FALSE),0),"")</f>
        <v/>
      </c>
      <c r="AN1019">
        <f>IFERROR(ROUND(L1019*(J1019/$AU1019)/VLOOKUP("运力",商品!$A$4:$B$60,2,FALSE),0),0)</f>
        <v>0</v>
      </c>
      <c r="AO1019">
        <f>IFERROR(ROUND(L1019*(K1019/$AU1019)/VLOOKUP("交易",商品!$A$4:$B$60,2,FALSE),0),0)</f>
        <v>0</v>
      </c>
      <c r="AP1019" t="str">
        <f>IFERROR(ROUND(S1019*(N1019/$AV1019)/VLOOKUP(M1019,职业!$A$4:$G$16,4,FALSE),0),"")</f>
        <v/>
      </c>
      <c r="AQ1019" t="str">
        <f>IFERROR(ROUND(S1019*(P1019/$AV1019)/VLOOKUP(O1019,职业!$A$4:$G$16,4,FALSE),0),"")</f>
        <v/>
      </c>
      <c r="AR1019" t="str">
        <f>IFERROR(ROUND(S1019*(R1019/$AV1019)/VLOOKUP(Q1019,职业!$A$4:$G$16,4,FALSE),0),"")</f>
        <v/>
      </c>
      <c r="AS1019" t="str">
        <f>IFERROR(ROUND(X1019*(U1019/$AW1019)/VLOOKUP(T1019,商品!$A$4:$B$60,2,FALSE),0),"")</f>
        <v/>
      </c>
      <c r="AT1019" t="str">
        <f>IFERROR(ROUND(X1019*(W1019/$AW1019)/VLOOKUP(V1019,商品!$A$4:$B$60,2,FALSE),0),"")</f>
        <v/>
      </c>
      <c r="AU1019">
        <f t="shared" si="301"/>
        <v>0</v>
      </c>
      <c r="AV1019">
        <f t="shared" si="302"/>
        <v>0</v>
      </c>
      <c r="AW1019">
        <f t="shared" si="303"/>
        <v>0</v>
      </c>
    </row>
    <row r="1020" spans="1:49" ht="19.95" customHeight="1" x14ac:dyDescent="0.25">
      <c r="A1020" s="16" t="s">
        <v>398</v>
      </c>
      <c r="C1020" s="16">
        <v>2</v>
      </c>
      <c r="D1020" s="23" t="s">
        <v>171</v>
      </c>
      <c r="E1020" s="23" t="s">
        <v>172</v>
      </c>
      <c r="L1020" s="15">
        <f>IFERROR(VLOOKUP($D1020&amp;$C1020,生产方式定位!$A$2:$E$38,2,FALSE)+VLOOKUP($E1020&amp;$C1020,生产方式定位!$F$3:$J$38,2,FALSE),0)</f>
        <v>1100</v>
      </c>
      <c r="S1020" s="15">
        <f>IFERROR(VLOOKUP($D1020&amp;$C1020,生产方式定位!$A$2:$E$38,3,FALSE)+VLOOKUP($E1020&amp;$C1020,生产方式定位!$F$3:$J$38,3,FALSE),0)</f>
        <v>100</v>
      </c>
      <c r="X1020" s="15">
        <f>IFERROR(VLOOKUP($D1020&amp;$C1020,生产方式定位!$A$2:$E$38,5,FALSE)+VLOOKUP($E1020&amp;$C1020,生产方式定位!$F$3:$J$38,5,FALSE),"错误")</f>
        <v>1510</v>
      </c>
      <c r="Y1020" s="26" t="str">
        <f t="shared" si="288"/>
        <v/>
      </c>
      <c r="Z1020" s="36" t="str">
        <f t="shared" si="289"/>
        <v/>
      </c>
      <c r="AA1020" s="36" t="str">
        <f t="shared" si="290"/>
        <v/>
      </c>
      <c r="AB1020" s="27" t="str">
        <f t="shared" si="291"/>
        <v>37%</v>
      </c>
      <c r="AC1020" s="2">
        <f t="shared" si="292"/>
        <v>310</v>
      </c>
      <c r="AD1020" s="37">
        <f t="shared" si="293"/>
        <v>2</v>
      </c>
      <c r="AE1020" t="str">
        <f t="shared" si="294"/>
        <v/>
      </c>
      <c r="AF1020" t="str">
        <f t="shared" si="295"/>
        <v/>
      </c>
      <c r="AG1020" t="str">
        <f t="shared" si="296"/>
        <v/>
      </c>
      <c r="AH1020" t="str">
        <f t="shared" si="297"/>
        <v/>
      </c>
      <c r="AI1020" t="str">
        <f t="shared" si="298"/>
        <v/>
      </c>
      <c r="AJ1020" t="str">
        <f t="shared" si="299"/>
        <v/>
      </c>
      <c r="AK1020" t="str">
        <f t="shared" si="300"/>
        <v/>
      </c>
      <c r="AL1020" t="str">
        <f>IFERROR(ROUND(L1020*(G1020/$AU1020)/VLOOKUP(F1020,商品!$A$4:$B$60,2,FALSE),0),"")</f>
        <v/>
      </c>
      <c r="AM1020" t="str">
        <f>IFERROR(ROUND(L1020*(I1020/$AU1020)/VLOOKUP(H1020,商品!$A$4:$B$60,2,FALSE),0),"")</f>
        <v/>
      </c>
      <c r="AN1020">
        <f>IFERROR(ROUND(L1020*(J1020/$AU1020)/VLOOKUP("运力",商品!$A$4:$B$60,2,FALSE),0),0)</f>
        <v>0</v>
      </c>
      <c r="AO1020">
        <f>IFERROR(ROUND(L1020*(K1020/$AU1020)/VLOOKUP("交易",商品!$A$4:$B$60,2,FALSE),0),0)</f>
        <v>0</v>
      </c>
      <c r="AP1020" t="str">
        <f>IFERROR(ROUND(S1020*(N1020/$AV1020)/VLOOKUP(M1020,职业!$A$4:$G$16,4,FALSE),0),"")</f>
        <v/>
      </c>
      <c r="AQ1020" t="str">
        <f>IFERROR(ROUND(S1020*(P1020/$AV1020)/VLOOKUP(O1020,职业!$A$4:$G$16,4,FALSE),0),"")</f>
        <v/>
      </c>
      <c r="AR1020" t="str">
        <f>IFERROR(ROUND(S1020*(R1020/$AV1020)/VLOOKUP(Q1020,职业!$A$4:$G$16,4,FALSE),0),"")</f>
        <v/>
      </c>
      <c r="AS1020" t="str">
        <f>IFERROR(ROUND(X1020*(U1020/$AW1020)/VLOOKUP(T1020,商品!$A$4:$B$60,2,FALSE),0),"")</f>
        <v/>
      </c>
      <c r="AT1020" t="str">
        <f>IFERROR(ROUND(X1020*(W1020/$AW1020)/VLOOKUP(V1020,商品!$A$4:$B$60,2,FALSE),0),"")</f>
        <v/>
      </c>
      <c r="AU1020">
        <f t="shared" si="301"/>
        <v>0</v>
      </c>
      <c r="AV1020">
        <f t="shared" si="302"/>
        <v>0</v>
      </c>
      <c r="AW1020">
        <f t="shared" si="303"/>
        <v>0</v>
      </c>
    </row>
    <row r="1021" spans="1:49" ht="19.95" customHeight="1" x14ac:dyDescent="0.25">
      <c r="A1021" s="16" t="s">
        <v>398</v>
      </c>
      <c r="C1021" s="16">
        <v>3</v>
      </c>
      <c r="D1021" s="23" t="s">
        <v>171</v>
      </c>
      <c r="E1021" s="23" t="s">
        <v>172</v>
      </c>
      <c r="L1021" s="15">
        <f>IFERROR(VLOOKUP($D1021&amp;$C1021,生产方式定位!$A$2:$E$38,2,FALSE)+VLOOKUP($E1021&amp;$C1021,生产方式定位!$F$3:$J$38,2,FALSE),0)</f>
        <v>1525</v>
      </c>
      <c r="S1021" s="15">
        <f>IFERROR(VLOOKUP($D1021&amp;$C1021,生产方式定位!$A$2:$E$38,3,FALSE)+VLOOKUP($E1021&amp;$C1021,生产方式定位!$F$3:$J$38,3,FALSE),0)</f>
        <v>100</v>
      </c>
      <c r="X1021" s="15">
        <f>IFERROR(VLOOKUP($D1021&amp;$C1021,生产方式定位!$A$2:$E$38,5,FALSE)+VLOOKUP($E1021&amp;$C1021,生产方式定位!$F$3:$J$38,5,FALSE),"错误")</f>
        <v>2050</v>
      </c>
      <c r="Y1021" s="26" t="str">
        <f t="shared" si="288"/>
        <v/>
      </c>
      <c r="Z1021" s="36" t="str">
        <f t="shared" si="289"/>
        <v/>
      </c>
      <c r="AA1021" s="36" t="str">
        <f t="shared" si="290"/>
        <v/>
      </c>
      <c r="AB1021" s="27" t="str">
        <f t="shared" si="291"/>
        <v>34%</v>
      </c>
      <c r="AC1021" s="2">
        <f t="shared" si="292"/>
        <v>425</v>
      </c>
      <c r="AD1021" s="38">
        <f t="shared" si="293"/>
        <v>3</v>
      </c>
      <c r="AE1021" t="str">
        <f t="shared" si="294"/>
        <v/>
      </c>
      <c r="AF1021" t="str">
        <f t="shared" si="295"/>
        <v/>
      </c>
      <c r="AG1021" t="str">
        <f t="shared" si="296"/>
        <v/>
      </c>
      <c r="AH1021" t="str">
        <f t="shared" si="297"/>
        <v/>
      </c>
      <c r="AI1021" t="str">
        <f t="shared" si="298"/>
        <v/>
      </c>
      <c r="AJ1021" t="str">
        <f t="shared" si="299"/>
        <v/>
      </c>
      <c r="AK1021" t="str">
        <f t="shared" si="300"/>
        <v/>
      </c>
      <c r="AL1021" t="str">
        <f>IFERROR(ROUND(L1021*(G1021/$AU1021)/VLOOKUP(F1021,商品!$A$4:$B$60,2,FALSE),0),"")</f>
        <v/>
      </c>
      <c r="AM1021" t="str">
        <f>IFERROR(ROUND(L1021*(I1021/$AU1021)/VLOOKUP(H1021,商品!$A$4:$B$60,2,FALSE),0),"")</f>
        <v/>
      </c>
      <c r="AN1021">
        <f>IFERROR(ROUND(L1021*(J1021/$AU1021)/VLOOKUP("运力",商品!$A$4:$B$60,2,FALSE),0),0)</f>
        <v>0</v>
      </c>
      <c r="AO1021">
        <f>IFERROR(ROUND(L1021*(K1021/$AU1021)/VLOOKUP("交易",商品!$A$4:$B$60,2,FALSE),0),0)</f>
        <v>0</v>
      </c>
      <c r="AP1021" t="str">
        <f>IFERROR(ROUND(S1021*(N1021/$AV1021)/VLOOKUP(M1021,职业!$A$4:$G$16,4,FALSE),0),"")</f>
        <v/>
      </c>
      <c r="AQ1021" t="str">
        <f>IFERROR(ROUND(S1021*(P1021/$AV1021)/VLOOKUP(O1021,职业!$A$4:$G$16,4,FALSE),0),"")</f>
        <v/>
      </c>
      <c r="AR1021" t="str">
        <f>IFERROR(ROUND(S1021*(R1021/$AV1021)/VLOOKUP(Q1021,职业!$A$4:$G$16,4,FALSE),0),"")</f>
        <v/>
      </c>
      <c r="AS1021" t="str">
        <f>IFERROR(ROUND(X1021*(U1021/$AW1021)/VLOOKUP(T1021,商品!$A$4:$B$60,2,FALSE),0),"")</f>
        <v/>
      </c>
      <c r="AT1021" t="str">
        <f>IFERROR(ROUND(X1021*(W1021/$AW1021)/VLOOKUP(V1021,商品!$A$4:$B$60,2,FALSE),0),"")</f>
        <v/>
      </c>
      <c r="AU1021">
        <f t="shared" si="301"/>
        <v>0</v>
      </c>
      <c r="AV1021">
        <f t="shared" si="302"/>
        <v>0</v>
      </c>
      <c r="AW1021">
        <f t="shared" si="303"/>
        <v>0</v>
      </c>
    </row>
    <row r="1022" spans="1:49" ht="19.95" customHeight="1" x14ac:dyDescent="0.25">
      <c r="A1022" s="16" t="s">
        <v>398</v>
      </c>
      <c r="C1022" s="16">
        <v>4</v>
      </c>
      <c r="D1022" s="23" t="s">
        <v>171</v>
      </c>
      <c r="E1022" s="23" t="s">
        <v>172</v>
      </c>
      <c r="L1022" s="15">
        <f>IFERROR(VLOOKUP($D1022&amp;$C1022,生产方式定位!$A$2:$E$38,2,FALSE)+VLOOKUP($E1022&amp;$C1022,生产方式定位!$F$3:$J$38,2,FALSE),0)</f>
        <v>1950</v>
      </c>
      <c r="S1022" s="15">
        <f>IFERROR(VLOOKUP($D1022&amp;$C1022,生产方式定位!$A$2:$E$38,3,FALSE)+VLOOKUP($E1022&amp;$C1022,生产方式定位!$F$3:$J$38,3,FALSE),0)</f>
        <v>100</v>
      </c>
      <c r="X1022" s="15">
        <f>IFERROR(VLOOKUP($D1022&amp;$C1022,生产方式定位!$A$2:$E$38,5,FALSE)+VLOOKUP($E1022&amp;$C1022,生产方式定位!$F$3:$J$38,5,FALSE),"错误")</f>
        <v>2590</v>
      </c>
      <c r="Y1022" s="26" t="str">
        <f t="shared" si="288"/>
        <v/>
      </c>
      <c r="Z1022" s="36" t="str">
        <f t="shared" si="289"/>
        <v/>
      </c>
      <c r="AA1022" s="36" t="str">
        <f t="shared" si="290"/>
        <v/>
      </c>
      <c r="AB1022" s="27" t="str">
        <f t="shared" si="291"/>
        <v>33%</v>
      </c>
      <c r="AC1022" s="2">
        <f t="shared" si="292"/>
        <v>540</v>
      </c>
      <c r="AD1022" s="38">
        <f t="shared" si="293"/>
        <v>4</v>
      </c>
      <c r="AE1022" t="str">
        <f t="shared" si="294"/>
        <v/>
      </c>
      <c r="AF1022" t="str">
        <f t="shared" si="295"/>
        <v/>
      </c>
      <c r="AG1022" t="str">
        <f t="shared" si="296"/>
        <v/>
      </c>
      <c r="AH1022" t="str">
        <f t="shared" si="297"/>
        <v/>
      </c>
      <c r="AI1022" t="str">
        <f t="shared" si="298"/>
        <v/>
      </c>
      <c r="AJ1022" t="str">
        <f t="shared" si="299"/>
        <v/>
      </c>
      <c r="AK1022" t="str">
        <f t="shared" si="300"/>
        <v/>
      </c>
      <c r="AL1022" t="str">
        <f>IFERROR(ROUND(L1022*(G1022/$AU1022)/VLOOKUP(F1022,商品!$A$4:$B$60,2,FALSE),0),"")</f>
        <v/>
      </c>
      <c r="AM1022" t="str">
        <f>IFERROR(ROUND(L1022*(I1022/$AU1022)/VLOOKUP(H1022,商品!$A$4:$B$60,2,FALSE),0),"")</f>
        <v/>
      </c>
      <c r="AN1022">
        <f>IFERROR(ROUND(L1022*(J1022/$AU1022)/VLOOKUP("运力",商品!$A$4:$B$60,2,FALSE),0),0)</f>
        <v>0</v>
      </c>
      <c r="AO1022">
        <f>IFERROR(ROUND(L1022*(K1022/$AU1022)/VLOOKUP("交易",商品!$A$4:$B$60,2,FALSE),0),0)</f>
        <v>0</v>
      </c>
      <c r="AP1022" t="str">
        <f>IFERROR(ROUND(S1022*(N1022/$AV1022)/VLOOKUP(M1022,职业!$A$4:$G$16,4,FALSE),0),"")</f>
        <v/>
      </c>
      <c r="AQ1022" t="str">
        <f>IFERROR(ROUND(S1022*(P1022/$AV1022)/VLOOKUP(O1022,职业!$A$4:$G$16,4,FALSE),0),"")</f>
        <v/>
      </c>
      <c r="AR1022" t="str">
        <f>IFERROR(ROUND(S1022*(R1022/$AV1022)/VLOOKUP(Q1022,职业!$A$4:$G$16,4,FALSE),0),"")</f>
        <v/>
      </c>
      <c r="AS1022" t="str">
        <f>IFERROR(ROUND(X1022*(U1022/$AW1022)/VLOOKUP(T1022,商品!$A$4:$B$60,2,FALSE),0),"")</f>
        <v/>
      </c>
      <c r="AT1022" t="str">
        <f>IFERROR(ROUND(X1022*(W1022/$AW1022)/VLOOKUP(V1022,商品!$A$4:$B$60,2,FALSE),0),"")</f>
        <v/>
      </c>
      <c r="AU1022">
        <f t="shared" si="301"/>
        <v>0</v>
      </c>
      <c r="AV1022">
        <f t="shared" si="302"/>
        <v>0</v>
      </c>
      <c r="AW1022">
        <f t="shared" si="303"/>
        <v>0</v>
      </c>
    </row>
    <row r="1023" spans="1:49" ht="19.95" customHeight="1" x14ac:dyDescent="0.25">
      <c r="A1023" s="16" t="s">
        <v>398</v>
      </c>
      <c r="C1023" s="16">
        <v>5</v>
      </c>
      <c r="D1023" s="23" t="s">
        <v>171</v>
      </c>
      <c r="E1023" s="23" t="s">
        <v>172</v>
      </c>
      <c r="L1023" s="15">
        <f>IFERROR(VLOOKUP($D1023&amp;$C1023,生产方式定位!$A$2:$E$38,2,FALSE)+VLOOKUP($E1023&amp;$C1023,生产方式定位!$F$3:$J$38,2,FALSE),0)</f>
        <v>2375</v>
      </c>
      <c r="S1023" s="15">
        <f>IFERROR(VLOOKUP($D1023&amp;$C1023,生产方式定位!$A$2:$E$38,3,FALSE)+VLOOKUP($E1023&amp;$C1023,生产方式定位!$F$3:$J$38,3,FALSE),0)</f>
        <v>100</v>
      </c>
      <c r="X1023" s="15">
        <f>IFERROR(VLOOKUP($D1023&amp;$C1023,生产方式定位!$A$2:$E$38,5,FALSE)+VLOOKUP($E1023&amp;$C1023,生产方式定位!$F$3:$J$38,5,FALSE),"错误")</f>
        <v>3130</v>
      </c>
      <c r="Y1023" s="26" t="str">
        <f t="shared" si="288"/>
        <v/>
      </c>
      <c r="Z1023" s="36" t="str">
        <f t="shared" si="289"/>
        <v/>
      </c>
      <c r="AA1023" s="36" t="str">
        <f t="shared" si="290"/>
        <v/>
      </c>
      <c r="AB1023" s="27" t="str">
        <f t="shared" si="291"/>
        <v>32%</v>
      </c>
      <c r="AC1023" s="2">
        <f t="shared" si="292"/>
        <v>655</v>
      </c>
      <c r="AD1023" s="38">
        <f t="shared" si="293"/>
        <v>5</v>
      </c>
      <c r="AE1023" t="str">
        <f t="shared" si="294"/>
        <v/>
      </c>
      <c r="AF1023" t="str">
        <f t="shared" si="295"/>
        <v/>
      </c>
      <c r="AG1023" t="str">
        <f t="shared" si="296"/>
        <v/>
      </c>
      <c r="AH1023" t="str">
        <f t="shared" si="297"/>
        <v/>
      </c>
      <c r="AI1023" t="str">
        <f t="shared" si="298"/>
        <v/>
      </c>
      <c r="AJ1023" t="str">
        <f t="shared" si="299"/>
        <v/>
      </c>
      <c r="AK1023" t="str">
        <f t="shared" si="300"/>
        <v/>
      </c>
      <c r="AL1023" t="str">
        <f>IFERROR(ROUND(L1023*(G1023/$AU1023)/VLOOKUP(F1023,商品!$A$4:$B$60,2,FALSE),0),"")</f>
        <v/>
      </c>
      <c r="AM1023" t="str">
        <f>IFERROR(ROUND(L1023*(I1023/$AU1023)/VLOOKUP(H1023,商品!$A$4:$B$60,2,FALSE),0),"")</f>
        <v/>
      </c>
      <c r="AN1023">
        <f>IFERROR(ROUND(L1023*(J1023/$AU1023)/VLOOKUP("运力",商品!$A$4:$B$60,2,FALSE),0),0)</f>
        <v>0</v>
      </c>
      <c r="AO1023">
        <f>IFERROR(ROUND(L1023*(K1023/$AU1023)/VLOOKUP("交易",商品!$A$4:$B$60,2,FALSE),0),0)</f>
        <v>0</v>
      </c>
      <c r="AP1023" t="str">
        <f>IFERROR(ROUND(S1023*(N1023/$AV1023)/VLOOKUP(M1023,职业!$A$4:$G$16,4,FALSE),0),"")</f>
        <v/>
      </c>
      <c r="AQ1023" t="str">
        <f>IFERROR(ROUND(S1023*(P1023/$AV1023)/VLOOKUP(O1023,职业!$A$4:$G$16,4,FALSE),0),"")</f>
        <v/>
      </c>
      <c r="AR1023" t="str">
        <f>IFERROR(ROUND(S1023*(R1023/$AV1023)/VLOOKUP(Q1023,职业!$A$4:$G$16,4,FALSE),0),"")</f>
        <v/>
      </c>
      <c r="AS1023" t="str">
        <f>IFERROR(ROUND(X1023*(U1023/$AW1023)/VLOOKUP(T1023,商品!$A$4:$B$60,2,FALSE),0),"")</f>
        <v/>
      </c>
      <c r="AT1023" t="str">
        <f>IFERROR(ROUND(X1023*(W1023/$AW1023)/VLOOKUP(V1023,商品!$A$4:$B$60,2,FALSE),0),"")</f>
        <v/>
      </c>
      <c r="AU1023">
        <f t="shared" si="301"/>
        <v>0</v>
      </c>
      <c r="AV1023">
        <f t="shared" si="302"/>
        <v>0</v>
      </c>
      <c r="AW1023">
        <f t="shared" si="303"/>
        <v>0</v>
      </c>
    </row>
    <row r="1024" spans="1:49" ht="19.95" customHeight="1" x14ac:dyDescent="0.25">
      <c r="A1024" s="15" t="s">
        <v>399</v>
      </c>
      <c r="C1024" s="15">
        <v>1</v>
      </c>
      <c r="D1024" s="23" t="s">
        <v>174</v>
      </c>
      <c r="E1024" s="23" t="s">
        <v>175</v>
      </c>
      <c r="L1024" s="16">
        <f>IFERROR(VLOOKUP($D1024&amp;$C1024,生产方式定位!$A$2:$E$38,2,FALSE)+VLOOKUP($E1024&amp;$C1024,生产方式定位!$F$3:$J$38,2,FALSE),0)</f>
        <v>0</v>
      </c>
      <c r="S1024" s="16">
        <f>IFERROR(VLOOKUP($D1024&amp;$C1024,生产方式定位!$A$2:$E$38,3,FALSE)+VLOOKUP($E1024&amp;$C1024,生产方式定位!$F$3:$J$38,3,FALSE),0)</f>
        <v>0</v>
      </c>
      <c r="X1024" s="16">
        <f>IFERROR(VLOOKUP($D1024&amp;$C1024,生产方式定位!$A$2:$E$38,5,FALSE)+VLOOKUP($E1024&amp;$C1024,生产方式定位!$F$3:$J$38,5,FALSE),"错误")</f>
        <v>0</v>
      </c>
      <c r="Y1024" s="26" t="str">
        <f t="shared" si="288"/>
        <v/>
      </c>
      <c r="Z1024" s="36" t="str">
        <f t="shared" si="289"/>
        <v/>
      </c>
      <c r="AA1024" s="36" t="str">
        <f t="shared" si="290"/>
        <v/>
      </c>
      <c r="AB1024" s="27" t="str">
        <f t="shared" si="291"/>
        <v/>
      </c>
      <c r="AC1024" s="2" t="str">
        <f t="shared" si="292"/>
        <v/>
      </c>
      <c r="AD1024" s="38">
        <f t="shared" si="293"/>
        <v>1</v>
      </c>
      <c r="AE1024" t="str">
        <f t="shared" si="294"/>
        <v/>
      </c>
      <c r="AF1024" t="str">
        <f t="shared" si="295"/>
        <v/>
      </c>
      <c r="AG1024" t="str">
        <f t="shared" si="296"/>
        <v/>
      </c>
      <c r="AH1024" t="str">
        <f t="shared" si="297"/>
        <v/>
      </c>
      <c r="AI1024" t="str">
        <f t="shared" si="298"/>
        <v/>
      </c>
      <c r="AJ1024" t="str">
        <f t="shared" si="299"/>
        <v/>
      </c>
      <c r="AK1024" t="str">
        <f t="shared" si="300"/>
        <v/>
      </c>
      <c r="AL1024" t="str">
        <f>IFERROR(ROUND(L1024*(G1024/$AU1024)/VLOOKUP(F1024,商品!$A$4:$B$60,2,FALSE),0),"")</f>
        <v/>
      </c>
      <c r="AM1024" t="str">
        <f>IFERROR(ROUND(L1024*(I1024/$AU1024)/VLOOKUP(H1024,商品!$A$4:$B$60,2,FALSE),0),"")</f>
        <v/>
      </c>
      <c r="AN1024">
        <f>IFERROR(ROUND(L1024*(J1024/$AU1024)/VLOOKUP("运力",商品!$A$4:$B$60,2,FALSE),0),0)</f>
        <v>0</v>
      </c>
      <c r="AO1024">
        <f>IFERROR(ROUND(L1024*(K1024/$AU1024)/VLOOKUP("交易",商品!$A$4:$B$60,2,FALSE),0),0)</f>
        <v>0</v>
      </c>
      <c r="AP1024" t="str">
        <f>IFERROR(ROUND(S1024*(N1024/$AV1024)/VLOOKUP(M1024,职业!$A$4:$G$16,4,FALSE),0),"")</f>
        <v/>
      </c>
      <c r="AQ1024" t="str">
        <f>IFERROR(ROUND(S1024*(P1024/$AV1024)/VLOOKUP(O1024,职业!$A$4:$G$16,4,FALSE),0),"")</f>
        <v/>
      </c>
      <c r="AR1024" t="str">
        <f>IFERROR(ROUND(S1024*(R1024/$AV1024)/VLOOKUP(Q1024,职业!$A$4:$G$16,4,FALSE),0),"")</f>
        <v/>
      </c>
      <c r="AS1024" t="str">
        <f>IFERROR(ROUND(X1024*(U1024/$AW1024)/VLOOKUP(T1024,商品!$A$4:$B$60,2,FALSE),0),"")</f>
        <v/>
      </c>
      <c r="AT1024" t="str">
        <f>IFERROR(ROUND(X1024*(W1024/$AW1024)/VLOOKUP(V1024,商品!$A$4:$B$60,2,FALSE),0),"")</f>
        <v/>
      </c>
      <c r="AU1024">
        <f t="shared" si="301"/>
        <v>0</v>
      </c>
      <c r="AV1024">
        <f t="shared" si="302"/>
        <v>0</v>
      </c>
      <c r="AW1024">
        <f t="shared" si="303"/>
        <v>0</v>
      </c>
    </row>
    <row r="1025" spans="1:49" ht="19.95" customHeight="1" x14ac:dyDescent="0.25">
      <c r="A1025" s="15" t="s">
        <v>399</v>
      </c>
      <c r="C1025" s="15">
        <v>2</v>
      </c>
      <c r="D1025" s="23" t="s">
        <v>174</v>
      </c>
      <c r="E1025" s="23" t="s">
        <v>175</v>
      </c>
      <c r="F1025" s="2" t="s">
        <v>41</v>
      </c>
      <c r="G1025" s="2">
        <v>10</v>
      </c>
      <c r="L1025" s="16">
        <f>IFERROR(VLOOKUP($D1025&amp;$C1025,生产方式定位!$A$2:$E$38,2,FALSE)+VLOOKUP($E1025&amp;$C1025,生产方式定位!$F$3:$J$38,2,FALSE),0)</f>
        <v>50</v>
      </c>
      <c r="S1025" s="16">
        <f>IFERROR(VLOOKUP($D1025&amp;$C1025,生产方式定位!$A$2:$E$38,3,FALSE)+VLOOKUP($E1025&amp;$C1025,生产方式定位!$F$3:$J$38,3,FALSE),0)</f>
        <v>10</v>
      </c>
      <c r="X1025" s="16">
        <f>IFERROR(VLOOKUP($D1025&amp;$C1025,生产方式定位!$A$2:$E$38,5,FALSE)+VLOOKUP($E1025&amp;$C1025,生产方式定位!$F$3:$J$38,5,FALSE),"错误")</f>
        <v>0</v>
      </c>
      <c r="Y1025" s="26" t="str">
        <f t="shared" si="288"/>
        <v>工具*1</v>
      </c>
      <c r="Z1025" s="36" t="str">
        <f t="shared" si="289"/>
        <v/>
      </c>
      <c r="AA1025" s="36" t="str">
        <f t="shared" si="290"/>
        <v/>
      </c>
      <c r="AB1025" s="27" t="str">
        <f t="shared" si="291"/>
        <v>-100%</v>
      </c>
      <c r="AC1025" s="2">
        <f t="shared" si="292"/>
        <v>-60</v>
      </c>
      <c r="AD1025" s="38">
        <f t="shared" si="293"/>
        <v>2</v>
      </c>
      <c r="AE1025" t="str">
        <f t="shared" si="294"/>
        <v>工具*1</v>
      </c>
      <c r="AF1025" t="str">
        <f t="shared" si="295"/>
        <v/>
      </c>
      <c r="AG1025" t="str">
        <f t="shared" si="296"/>
        <v/>
      </c>
      <c r="AH1025" t="str">
        <f t="shared" si="297"/>
        <v/>
      </c>
      <c r="AI1025" t="str">
        <f t="shared" si="298"/>
        <v/>
      </c>
      <c r="AJ1025" t="str">
        <f t="shared" si="299"/>
        <v/>
      </c>
      <c r="AK1025" t="str">
        <f t="shared" si="300"/>
        <v/>
      </c>
      <c r="AL1025">
        <f>IFERROR(ROUND(L1025*(G1025/$AU1025)/VLOOKUP(F1025,商品!$A$4:$B$60,2,FALSE),0),"")</f>
        <v>1</v>
      </c>
      <c r="AM1025" t="str">
        <f>IFERROR(ROUND(L1025*(I1025/$AU1025)/VLOOKUP(H1025,商品!$A$4:$B$60,2,FALSE),0),"")</f>
        <v/>
      </c>
      <c r="AN1025">
        <f>IFERROR(ROUND(L1025*(J1025/$AU1025)/VLOOKUP("运力",商品!$A$4:$B$60,2,FALSE),0),0)</f>
        <v>0</v>
      </c>
      <c r="AO1025">
        <f>IFERROR(ROUND(L1025*(K1025/$AU1025)/VLOOKUP("交易",商品!$A$4:$B$60,2,FALSE),0),0)</f>
        <v>0</v>
      </c>
      <c r="AP1025" t="str">
        <f>IFERROR(ROUND(S1025*(N1025/$AV1025)/VLOOKUP(M1025,职业!$A$4:$G$16,4,FALSE),0),"")</f>
        <v/>
      </c>
      <c r="AQ1025" t="str">
        <f>IFERROR(ROUND(S1025*(P1025/$AV1025)/VLOOKUP(O1025,职业!$A$4:$G$16,4,FALSE),0),"")</f>
        <v/>
      </c>
      <c r="AR1025" t="str">
        <f>IFERROR(ROUND(S1025*(R1025/$AV1025)/VLOOKUP(Q1025,职业!$A$4:$G$16,4,FALSE),0),"")</f>
        <v/>
      </c>
      <c r="AS1025" t="str">
        <f>IFERROR(ROUND(X1025*(U1025/$AW1025)/VLOOKUP(T1025,商品!$A$4:$B$60,2,FALSE),0),"")</f>
        <v/>
      </c>
      <c r="AT1025" t="str">
        <f>IFERROR(ROUND(X1025*(W1025/$AW1025)/VLOOKUP(V1025,商品!$A$4:$B$60,2,FALSE),0),"")</f>
        <v/>
      </c>
      <c r="AU1025">
        <f t="shared" si="301"/>
        <v>10</v>
      </c>
      <c r="AV1025">
        <f t="shared" si="302"/>
        <v>0</v>
      </c>
      <c r="AW1025">
        <f t="shared" si="303"/>
        <v>0</v>
      </c>
    </row>
    <row r="1026" spans="1:49" ht="19.95" customHeight="1" x14ac:dyDescent="0.25">
      <c r="A1026" s="15" t="s">
        <v>399</v>
      </c>
      <c r="C1026" s="15">
        <v>3</v>
      </c>
      <c r="D1026" s="23" t="s">
        <v>174</v>
      </c>
      <c r="E1026" s="23" t="s">
        <v>175</v>
      </c>
      <c r="F1026" s="2" t="s">
        <v>41</v>
      </c>
      <c r="G1026" s="2">
        <v>10</v>
      </c>
      <c r="L1026" s="16">
        <f>IFERROR(VLOOKUP($D1026&amp;$C1026,生产方式定位!$A$2:$E$38,2,FALSE)+VLOOKUP($E1026&amp;$C1026,生产方式定位!$F$3:$J$38,2,FALSE),0)</f>
        <v>100</v>
      </c>
      <c r="S1026" s="16">
        <f>IFERROR(VLOOKUP($D1026&amp;$C1026,生产方式定位!$A$2:$E$38,3,FALSE)+VLOOKUP($E1026&amp;$C1026,生产方式定位!$F$3:$J$38,3,FALSE),0)</f>
        <v>20</v>
      </c>
      <c r="X1026" s="16">
        <f>IFERROR(VLOOKUP($D1026&amp;$C1026,生产方式定位!$A$2:$E$38,5,FALSE)+VLOOKUP($E1026&amp;$C1026,生产方式定位!$F$3:$J$38,5,FALSE),"错误")</f>
        <v>0</v>
      </c>
      <c r="Y1026" s="26" t="str">
        <f t="shared" si="288"/>
        <v>工具*3</v>
      </c>
      <c r="Z1026" s="36" t="str">
        <f t="shared" si="289"/>
        <v/>
      </c>
      <c r="AA1026" s="36" t="str">
        <f t="shared" si="290"/>
        <v/>
      </c>
      <c r="AB1026" s="27" t="str">
        <f t="shared" si="291"/>
        <v>-100%</v>
      </c>
      <c r="AC1026" s="2">
        <f t="shared" si="292"/>
        <v>-120</v>
      </c>
      <c r="AD1026" s="38">
        <f t="shared" si="293"/>
        <v>3</v>
      </c>
      <c r="AE1026" t="str">
        <f t="shared" si="294"/>
        <v>工具*3</v>
      </c>
      <c r="AF1026" t="str">
        <f t="shared" si="295"/>
        <v/>
      </c>
      <c r="AG1026" t="str">
        <f t="shared" si="296"/>
        <v/>
      </c>
      <c r="AH1026" t="str">
        <f t="shared" si="297"/>
        <v/>
      </c>
      <c r="AI1026" t="str">
        <f t="shared" si="298"/>
        <v/>
      </c>
      <c r="AJ1026" t="str">
        <f t="shared" si="299"/>
        <v/>
      </c>
      <c r="AK1026" t="str">
        <f t="shared" si="300"/>
        <v/>
      </c>
      <c r="AL1026">
        <f>IFERROR(ROUND(L1026*(G1026/$AU1026)/VLOOKUP(F1026,商品!$A$4:$B$60,2,FALSE),0),"")</f>
        <v>3</v>
      </c>
      <c r="AM1026" t="str">
        <f>IFERROR(ROUND(L1026*(I1026/$AU1026)/VLOOKUP(H1026,商品!$A$4:$B$60,2,FALSE),0),"")</f>
        <v/>
      </c>
      <c r="AN1026">
        <f>IFERROR(ROUND(L1026*(J1026/$AU1026)/VLOOKUP("运力",商品!$A$4:$B$60,2,FALSE),0),0)</f>
        <v>0</v>
      </c>
      <c r="AO1026">
        <f>IFERROR(ROUND(L1026*(K1026/$AU1026)/VLOOKUP("交易",商品!$A$4:$B$60,2,FALSE),0),0)</f>
        <v>0</v>
      </c>
      <c r="AP1026" t="str">
        <f>IFERROR(ROUND(S1026*(N1026/$AV1026)/VLOOKUP(M1026,职业!$A$4:$G$16,4,FALSE),0),"")</f>
        <v/>
      </c>
      <c r="AQ1026" t="str">
        <f>IFERROR(ROUND(S1026*(P1026/$AV1026)/VLOOKUP(O1026,职业!$A$4:$G$16,4,FALSE),0),"")</f>
        <v/>
      </c>
      <c r="AR1026" t="str">
        <f>IFERROR(ROUND(S1026*(R1026/$AV1026)/VLOOKUP(Q1026,职业!$A$4:$G$16,4,FALSE),0),"")</f>
        <v/>
      </c>
      <c r="AS1026" t="str">
        <f>IFERROR(ROUND(X1026*(U1026/$AW1026)/VLOOKUP(T1026,商品!$A$4:$B$60,2,FALSE),0),"")</f>
        <v/>
      </c>
      <c r="AT1026" t="str">
        <f>IFERROR(ROUND(X1026*(W1026/$AW1026)/VLOOKUP(V1026,商品!$A$4:$B$60,2,FALSE),0),"")</f>
        <v/>
      </c>
      <c r="AU1026">
        <f t="shared" si="301"/>
        <v>10</v>
      </c>
      <c r="AV1026">
        <f t="shared" si="302"/>
        <v>0</v>
      </c>
      <c r="AW1026">
        <f t="shared" si="303"/>
        <v>0</v>
      </c>
    </row>
    <row r="1027" spans="1:49" ht="19.95" customHeight="1" x14ac:dyDescent="0.25">
      <c r="A1027" s="15" t="s">
        <v>399</v>
      </c>
      <c r="C1027" s="15">
        <v>4</v>
      </c>
      <c r="D1027" s="23" t="s">
        <v>174</v>
      </c>
      <c r="E1027" s="23" t="s">
        <v>175</v>
      </c>
      <c r="F1027" s="2" t="s">
        <v>45</v>
      </c>
      <c r="G1027" s="2">
        <v>5</v>
      </c>
      <c r="H1027" s="2" t="s">
        <v>19</v>
      </c>
      <c r="I1027" s="2">
        <v>10</v>
      </c>
      <c r="L1027" s="16">
        <f>IFERROR(VLOOKUP($D1027&amp;$C1027,生产方式定位!$A$2:$E$38,2,FALSE)+VLOOKUP($E1027&amp;$C1027,生产方式定位!$F$3:$J$38,2,FALSE),0)</f>
        <v>150</v>
      </c>
      <c r="S1027" s="16">
        <f>IFERROR(VLOOKUP($D1027&amp;$C1027,生产方式定位!$A$2:$E$38,3,FALSE)+VLOOKUP($E1027&amp;$C1027,生产方式定位!$F$3:$J$38,3,FALSE),0)</f>
        <v>30</v>
      </c>
      <c r="X1027" s="16">
        <f>IFERROR(VLOOKUP($D1027&amp;$C1027,生产方式定位!$A$2:$E$38,5,FALSE)+VLOOKUP($E1027&amp;$C1027,生产方式定位!$F$3:$J$38,5,FALSE),"错误")</f>
        <v>0</v>
      </c>
      <c r="Y1027" s="26" t="str">
        <f t="shared" si="288"/>
        <v>科学引擎*1,煤*3</v>
      </c>
      <c r="Z1027" s="36" t="str">
        <f t="shared" si="289"/>
        <v/>
      </c>
      <c r="AA1027" s="36" t="str">
        <f t="shared" si="290"/>
        <v/>
      </c>
      <c r="AB1027" s="27" t="str">
        <f t="shared" si="291"/>
        <v>-100%</v>
      </c>
      <c r="AC1027" s="2">
        <f t="shared" si="292"/>
        <v>-180</v>
      </c>
      <c r="AD1027" s="38">
        <f t="shared" si="293"/>
        <v>4</v>
      </c>
      <c r="AE1027" t="str">
        <f t="shared" si="294"/>
        <v>科学引擎*1</v>
      </c>
      <c r="AF1027" t="str">
        <f t="shared" si="295"/>
        <v>煤*3</v>
      </c>
      <c r="AG1027" t="str">
        <f t="shared" si="296"/>
        <v/>
      </c>
      <c r="AH1027" t="str">
        <f t="shared" si="297"/>
        <v/>
      </c>
      <c r="AI1027" t="str">
        <f t="shared" si="298"/>
        <v/>
      </c>
      <c r="AJ1027" t="str">
        <f t="shared" si="299"/>
        <v/>
      </c>
      <c r="AK1027" t="str">
        <f t="shared" si="300"/>
        <v/>
      </c>
      <c r="AL1027">
        <f>IFERROR(ROUND(L1027*(G1027/$AU1027)/VLOOKUP(F1027,商品!$A$4:$B$60,2,FALSE),0),"")</f>
        <v>1</v>
      </c>
      <c r="AM1027">
        <f>IFERROR(ROUND(L1027*(I1027/$AU1027)/VLOOKUP(H1027,商品!$A$4:$B$60,2,FALSE),0),"")</f>
        <v>3</v>
      </c>
      <c r="AN1027">
        <f>IFERROR(ROUND(L1027*(J1027/$AU1027)/VLOOKUP("运力",商品!$A$4:$B$60,2,FALSE),0),0)</f>
        <v>0</v>
      </c>
      <c r="AO1027">
        <f>IFERROR(ROUND(L1027*(K1027/$AU1027)/VLOOKUP("交易",商品!$A$4:$B$60,2,FALSE),0),0)</f>
        <v>0</v>
      </c>
      <c r="AP1027" t="str">
        <f>IFERROR(ROUND(S1027*(N1027/$AV1027)/VLOOKUP(M1027,职业!$A$4:$G$16,4,FALSE),0),"")</f>
        <v/>
      </c>
      <c r="AQ1027" t="str">
        <f>IFERROR(ROUND(S1027*(P1027/$AV1027)/VLOOKUP(O1027,职业!$A$4:$G$16,4,FALSE),0),"")</f>
        <v/>
      </c>
      <c r="AR1027" t="str">
        <f>IFERROR(ROUND(S1027*(R1027/$AV1027)/VLOOKUP(Q1027,职业!$A$4:$G$16,4,FALSE),0),"")</f>
        <v/>
      </c>
      <c r="AS1027" t="str">
        <f>IFERROR(ROUND(X1027*(U1027/$AW1027)/VLOOKUP(T1027,商品!$A$4:$B$60,2,FALSE),0),"")</f>
        <v/>
      </c>
      <c r="AT1027" t="str">
        <f>IFERROR(ROUND(X1027*(W1027/$AW1027)/VLOOKUP(V1027,商品!$A$4:$B$60,2,FALSE),0),"")</f>
        <v/>
      </c>
      <c r="AU1027">
        <f t="shared" si="301"/>
        <v>15</v>
      </c>
      <c r="AV1027">
        <f t="shared" si="302"/>
        <v>0</v>
      </c>
      <c r="AW1027">
        <f t="shared" si="303"/>
        <v>0</v>
      </c>
    </row>
    <row r="1028" spans="1:49" ht="19.95" customHeight="1" x14ac:dyDescent="0.25">
      <c r="A1028" s="15" t="s">
        <v>399</v>
      </c>
      <c r="C1028" s="15">
        <v>5</v>
      </c>
      <c r="D1028" s="23" t="s">
        <v>174</v>
      </c>
      <c r="E1028" s="23" t="s">
        <v>175</v>
      </c>
      <c r="F1028" s="2" t="s">
        <v>46</v>
      </c>
      <c r="G1028" s="2">
        <v>5</v>
      </c>
      <c r="H1028" s="2" t="s">
        <v>19</v>
      </c>
      <c r="I1028" s="2">
        <v>10</v>
      </c>
      <c r="L1028" s="16">
        <f>IFERROR(VLOOKUP($D1028&amp;$C1028,生产方式定位!$A$2:$E$38,2,FALSE)+VLOOKUP($E1028&amp;$C1028,生产方式定位!$F$3:$J$38,2,FALSE),0)</f>
        <v>200</v>
      </c>
      <c r="S1028" s="16">
        <f>IFERROR(VLOOKUP($D1028&amp;$C1028,生产方式定位!$A$2:$E$38,3,FALSE)+VLOOKUP($E1028&amp;$C1028,生产方式定位!$F$3:$J$38,3,FALSE),0)</f>
        <v>40</v>
      </c>
      <c r="X1028" s="16">
        <f>IFERROR(VLOOKUP($D1028&amp;$C1028,生产方式定位!$A$2:$E$38,5,FALSE)+VLOOKUP($E1028&amp;$C1028,生产方式定位!$F$3:$J$38,5,FALSE),"错误")</f>
        <v>0</v>
      </c>
      <c r="Y1028" s="26" t="str">
        <f t="shared" si="288"/>
        <v>魔导引擎*1,煤*4</v>
      </c>
      <c r="Z1028" s="36" t="str">
        <f t="shared" si="289"/>
        <v/>
      </c>
      <c r="AA1028" s="36" t="str">
        <f t="shared" si="290"/>
        <v/>
      </c>
      <c r="AB1028" s="27" t="str">
        <f t="shared" si="291"/>
        <v>-100%</v>
      </c>
      <c r="AC1028" s="2">
        <f t="shared" si="292"/>
        <v>-240</v>
      </c>
      <c r="AD1028" s="38">
        <f t="shared" si="293"/>
        <v>5</v>
      </c>
      <c r="AE1028" t="str">
        <f t="shared" si="294"/>
        <v>魔导引擎*1</v>
      </c>
      <c r="AF1028" t="str">
        <f t="shared" si="295"/>
        <v>煤*4</v>
      </c>
      <c r="AG1028" t="str">
        <f t="shared" si="296"/>
        <v/>
      </c>
      <c r="AH1028" t="str">
        <f t="shared" si="297"/>
        <v/>
      </c>
      <c r="AI1028" t="str">
        <f t="shared" si="298"/>
        <v/>
      </c>
      <c r="AJ1028" t="str">
        <f t="shared" si="299"/>
        <v/>
      </c>
      <c r="AK1028" t="str">
        <f t="shared" si="300"/>
        <v/>
      </c>
      <c r="AL1028">
        <f>IFERROR(ROUND(L1028*(G1028/$AU1028)/VLOOKUP(F1028,商品!$A$4:$B$60,2,FALSE),0),"")</f>
        <v>1</v>
      </c>
      <c r="AM1028">
        <f>IFERROR(ROUND(L1028*(I1028/$AU1028)/VLOOKUP(H1028,商品!$A$4:$B$60,2,FALSE),0),"")</f>
        <v>4</v>
      </c>
      <c r="AN1028">
        <f>IFERROR(ROUND(L1028*(J1028/$AU1028)/VLOOKUP("运力",商品!$A$4:$B$60,2,FALSE),0),0)</f>
        <v>0</v>
      </c>
      <c r="AO1028">
        <f>IFERROR(ROUND(L1028*(K1028/$AU1028)/VLOOKUP("交易",商品!$A$4:$B$60,2,FALSE),0),0)</f>
        <v>0</v>
      </c>
      <c r="AP1028" t="str">
        <f>IFERROR(ROUND(S1028*(N1028/$AV1028)/VLOOKUP(M1028,职业!$A$4:$G$16,4,FALSE),0),"")</f>
        <v/>
      </c>
      <c r="AQ1028" t="str">
        <f>IFERROR(ROUND(S1028*(P1028/$AV1028)/VLOOKUP(O1028,职业!$A$4:$G$16,4,FALSE),0),"")</f>
        <v/>
      </c>
      <c r="AR1028" t="str">
        <f>IFERROR(ROUND(S1028*(R1028/$AV1028)/VLOOKUP(Q1028,职业!$A$4:$G$16,4,FALSE),0),"")</f>
        <v/>
      </c>
      <c r="AS1028" t="str">
        <f>IFERROR(ROUND(X1028*(U1028/$AW1028)/VLOOKUP(T1028,商品!$A$4:$B$60,2,FALSE),0),"")</f>
        <v/>
      </c>
      <c r="AT1028" t="str">
        <f>IFERROR(ROUND(X1028*(W1028/$AW1028)/VLOOKUP(V1028,商品!$A$4:$B$60,2,FALSE),0),"")</f>
        <v/>
      </c>
      <c r="AU1028">
        <f t="shared" si="301"/>
        <v>15</v>
      </c>
      <c r="AV1028">
        <f t="shared" si="302"/>
        <v>0</v>
      </c>
      <c r="AW1028">
        <f t="shared" si="303"/>
        <v>0</v>
      </c>
    </row>
    <row r="1029" spans="1:49" ht="19.95" customHeight="1" x14ac:dyDescent="0.25">
      <c r="A1029" s="16" t="s">
        <v>400</v>
      </c>
      <c r="C1029" s="16">
        <v>1</v>
      </c>
      <c r="D1029" s="23" t="s">
        <v>171</v>
      </c>
      <c r="E1029" s="23" t="s">
        <v>177</v>
      </c>
      <c r="L1029" s="15">
        <f>IFERROR(VLOOKUP($D1029&amp;$C1029,生产方式定位!$A$2:$E$38,2,FALSE)+VLOOKUP($E1029&amp;$C1029,生产方式定位!$F$3:$J$38,2,FALSE),0)</f>
        <v>300</v>
      </c>
      <c r="S1029" s="15">
        <f>IFERROR(VLOOKUP($D1029&amp;$C1029,生产方式定位!$A$2:$E$38,3,FALSE)+VLOOKUP($E1029&amp;$C1029,生产方式定位!$F$3:$J$38,3,FALSE),0)</f>
        <v>100</v>
      </c>
      <c r="X1029" s="15">
        <f>IFERROR(VLOOKUP($D1029&amp;$C1029,生产方式定位!$A$2:$E$38,5,FALSE)+VLOOKUP($E1029&amp;$C1029,生产方式定位!$F$3:$J$38,5,FALSE),"错误")</f>
        <v>520</v>
      </c>
      <c r="Y1029" s="26" t="str">
        <f t="shared" si="288"/>
        <v/>
      </c>
      <c r="Z1029" s="36" t="str">
        <f t="shared" si="289"/>
        <v/>
      </c>
      <c r="AA1029" s="36" t="str">
        <f t="shared" si="290"/>
        <v/>
      </c>
      <c r="AB1029" s="27" t="str">
        <f t="shared" si="291"/>
        <v>73%</v>
      </c>
      <c r="AC1029" s="2">
        <f t="shared" si="292"/>
        <v>120</v>
      </c>
      <c r="AD1029" s="37">
        <f t="shared" si="293"/>
        <v>1</v>
      </c>
      <c r="AE1029" t="str">
        <f t="shared" si="294"/>
        <v/>
      </c>
      <c r="AF1029" t="str">
        <f t="shared" si="295"/>
        <v/>
      </c>
      <c r="AG1029" t="str">
        <f t="shared" si="296"/>
        <v/>
      </c>
      <c r="AH1029" t="str">
        <f t="shared" si="297"/>
        <v/>
      </c>
      <c r="AI1029" t="str">
        <f t="shared" si="298"/>
        <v/>
      </c>
      <c r="AJ1029" t="str">
        <f t="shared" si="299"/>
        <v/>
      </c>
      <c r="AK1029" t="str">
        <f t="shared" si="300"/>
        <v/>
      </c>
      <c r="AL1029" t="str">
        <f>IFERROR(ROUND(L1029*(G1029/$AU1029)/VLOOKUP(F1029,商品!$A$4:$B$60,2,FALSE),0),"")</f>
        <v/>
      </c>
      <c r="AM1029" t="str">
        <f>IFERROR(ROUND(L1029*(I1029/$AU1029)/VLOOKUP(H1029,商品!$A$4:$B$60,2,FALSE),0),"")</f>
        <v/>
      </c>
      <c r="AN1029">
        <f>IFERROR(ROUND(L1029*(J1029/$AU1029)/VLOOKUP("运力",商品!$A$4:$B$60,2,FALSE),0),0)</f>
        <v>0</v>
      </c>
      <c r="AO1029">
        <f>IFERROR(ROUND(L1029*(K1029/$AU1029)/VLOOKUP("交易",商品!$A$4:$B$60,2,FALSE),0),0)</f>
        <v>0</v>
      </c>
      <c r="AP1029" t="str">
        <f>IFERROR(ROUND(S1029*(N1029/$AV1029)/VLOOKUP(M1029,职业!$A$4:$G$16,4,FALSE),0),"")</f>
        <v/>
      </c>
      <c r="AQ1029" t="str">
        <f>IFERROR(ROUND(S1029*(P1029/$AV1029)/VLOOKUP(O1029,职业!$A$4:$G$16,4,FALSE),0),"")</f>
        <v/>
      </c>
      <c r="AR1029" t="str">
        <f>IFERROR(ROUND(S1029*(R1029/$AV1029)/VLOOKUP(Q1029,职业!$A$4:$G$16,4,FALSE),0),"")</f>
        <v/>
      </c>
      <c r="AS1029" t="str">
        <f>IFERROR(ROUND(X1029*(U1029/$AW1029)/VLOOKUP(T1029,商品!$A$4:$B$60,2,FALSE),0),"")</f>
        <v/>
      </c>
      <c r="AT1029" t="str">
        <f>IFERROR(ROUND(X1029*(W1029/$AW1029)/VLOOKUP(V1029,商品!$A$4:$B$60,2,FALSE),0),"")</f>
        <v/>
      </c>
      <c r="AU1029">
        <f t="shared" si="301"/>
        <v>0</v>
      </c>
      <c r="AV1029">
        <f t="shared" si="302"/>
        <v>0</v>
      </c>
      <c r="AW1029">
        <f t="shared" si="303"/>
        <v>0</v>
      </c>
    </row>
    <row r="1030" spans="1:49" ht="19.95" customHeight="1" x14ac:dyDescent="0.25">
      <c r="A1030" s="16" t="s">
        <v>400</v>
      </c>
      <c r="C1030" s="16">
        <v>2</v>
      </c>
      <c r="D1030" s="23" t="s">
        <v>171</v>
      </c>
      <c r="E1030" s="23" t="s">
        <v>177</v>
      </c>
      <c r="F1030" s="2" t="s">
        <v>42</v>
      </c>
      <c r="G1030" s="2">
        <v>5</v>
      </c>
      <c r="H1030" s="2" t="s">
        <v>20</v>
      </c>
      <c r="I1030" s="2">
        <v>10</v>
      </c>
      <c r="L1030" s="15">
        <f>IFERROR(VLOOKUP($D1030&amp;$C1030,生产方式定位!$A$2:$E$38,2,FALSE)+VLOOKUP($E1030&amp;$C1030,生产方式定位!$F$3:$J$38,2,FALSE),0)</f>
        <v>705</v>
      </c>
      <c r="S1030" s="15">
        <f>IFERROR(VLOOKUP($D1030&amp;$C1030,生产方式定位!$A$2:$E$38,3,FALSE)+VLOOKUP($E1030&amp;$C1030,生产方式定位!$F$3:$J$38,3,FALSE),0)</f>
        <v>115</v>
      </c>
      <c r="X1030" s="15">
        <f>IFERROR(VLOOKUP($D1030&amp;$C1030,生产方式定位!$A$2:$E$38,5,FALSE)+VLOOKUP($E1030&amp;$C1030,生产方式定位!$F$3:$J$38,5,FALSE),"错误")</f>
        <v>910</v>
      </c>
      <c r="Y1030" s="26" t="str">
        <f t="shared" si="288"/>
        <v>魔偶*6,灵能水晶*16</v>
      </c>
      <c r="Z1030" s="36" t="str">
        <f t="shared" si="289"/>
        <v/>
      </c>
      <c r="AA1030" s="36" t="str">
        <f t="shared" si="290"/>
        <v/>
      </c>
      <c r="AB1030" s="27" t="str">
        <f t="shared" si="291"/>
        <v>29%</v>
      </c>
      <c r="AC1030" s="2">
        <f t="shared" si="292"/>
        <v>90</v>
      </c>
      <c r="AD1030" s="37">
        <f t="shared" si="293"/>
        <v>2</v>
      </c>
      <c r="AE1030" t="str">
        <f t="shared" si="294"/>
        <v>魔偶*6</v>
      </c>
      <c r="AF1030" t="str">
        <f t="shared" si="295"/>
        <v>灵能水晶*16</v>
      </c>
      <c r="AG1030" t="str">
        <f t="shared" si="296"/>
        <v/>
      </c>
      <c r="AH1030" t="str">
        <f t="shared" si="297"/>
        <v/>
      </c>
      <c r="AI1030" t="str">
        <f t="shared" si="298"/>
        <v/>
      </c>
      <c r="AJ1030" t="str">
        <f t="shared" si="299"/>
        <v/>
      </c>
      <c r="AK1030" t="str">
        <f t="shared" si="300"/>
        <v/>
      </c>
      <c r="AL1030">
        <f>IFERROR(ROUND(L1030*(G1030/$AU1030)/VLOOKUP(F1030,商品!$A$4:$B$60,2,FALSE),0),"")</f>
        <v>6</v>
      </c>
      <c r="AM1030">
        <f>IFERROR(ROUND(L1030*(I1030/$AU1030)/VLOOKUP(H1030,商品!$A$4:$B$60,2,FALSE),0),"")</f>
        <v>16</v>
      </c>
      <c r="AN1030">
        <f>IFERROR(ROUND(L1030*(J1030/$AU1030)/VLOOKUP("运力",商品!$A$4:$B$60,2,FALSE),0),0)</f>
        <v>0</v>
      </c>
      <c r="AO1030">
        <f>IFERROR(ROUND(L1030*(K1030/$AU1030)/VLOOKUP("交易",商品!$A$4:$B$60,2,FALSE),0),0)</f>
        <v>0</v>
      </c>
      <c r="AP1030" t="str">
        <f>IFERROR(ROUND(S1030*(N1030/$AV1030)/VLOOKUP(M1030,职业!$A$4:$G$16,4,FALSE),0),"")</f>
        <v/>
      </c>
      <c r="AQ1030" t="str">
        <f>IFERROR(ROUND(S1030*(P1030/$AV1030)/VLOOKUP(O1030,职业!$A$4:$G$16,4,FALSE),0),"")</f>
        <v/>
      </c>
      <c r="AR1030" t="str">
        <f>IFERROR(ROUND(S1030*(R1030/$AV1030)/VLOOKUP(Q1030,职业!$A$4:$G$16,4,FALSE),0),"")</f>
        <v/>
      </c>
      <c r="AS1030" t="str">
        <f>IFERROR(ROUND(X1030*(U1030/$AW1030)/VLOOKUP(T1030,商品!$A$4:$B$60,2,FALSE),0),"")</f>
        <v/>
      </c>
      <c r="AT1030" t="str">
        <f>IFERROR(ROUND(X1030*(W1030/$AW1030)/VLOOKUP(V1030,商品!$A$4:$B$60,2,FALSE),0),"")</f>
        <v/>
      </c>
      <c r="AU1030">
        <f t="shared" si="301"/>
        <v>15</v>
      </c>
      <c r="AV1030">
        <f t="shared" si="302"/>
        <v>0</v>
      </c>
      <c r="AW1030">
        <f t="shared" si="303"/>
        <v>0</v>
      </c>
    </row>
    <row r="1031" spans="1:49" ht="19.95" customHeight="1" x14ac:dyDescent="0.25">
      <c r="A1031" s="16" t="s">
        <v>400</v>
      </c>
      <c r="C1031" s="16">
        <v>3</v>
      </c>
      <c r="D1031" s="23" t="s">
        <v>171</v>
      </c>
      <c r="E1031" s="23" t="s">
        <v>177</v>
      </c>
      <c r="F1031" s="2" t="s">
        <v>42</v>
      </c>
      <c r="G1031" s="2">
        <v>5</v>
      </c>
      <c r="H1031" s="2" t="s">
        <v>20</v>
      </c>
      <c r="I1031" s="2">
        <v>10</v>
      </c>
      <c r="L1031" s="15">
        <f>IFERROR(VLOOKUP($D1031&amp;$C1031,生产方式定位!$A$2:$E$38,2,FALSE)+VLOOKUP($E1031&amp;$C1031,生产方式定位!$F$3:$J$38,2,FALSE),0)</f>
        <v>1110</v>
      </c>
      <c r="S1031" s="15">
        <f>IFERROR(VLOOKUP($D1031&amp;$C1031,生产方式定位!$A$2:$E$38,3,FALSE)+VLOOKUP($E1031&amp;$C1031,生产方式定位!$F$3:$J$38,3,FALSE),0)</f>
        <v>130</v>
      </c>
      <c r="X1031" s="15">
        <f>IFERROR(VLOOKUP($D1031&amp;$C1031,生产方式定位!$A$2:$E$38,5,FALSE)+VLOOKUP($E1031&amp;$C1031,生产方式定位!$F$3:$J$38,5,FALSE),"错误")</f>
        <v>1300</v>
      </c>
      <c r="Y1031" s="26" t="str">
        <f t="shared" si="288"/>
        <v>魔偶*9,灵能水晶*25</v>
      </c>
      <c r="Z1031" s="36" t="str">
        <f t="shared" si="289"/>
        <v/>
      </c>
      <c r="AA1031" s="36" t="str">
        <f t="shared" si="290"/>
        <v/>
      </c>
      <c r="AB1031" s="27" t="str">
        <f t="shared" si="291"/>
        <v>17%</v>
      </c>
      <c r="AC1031" s="2">
        <f t="shared" si="292"/>
        <v>60</v>
      </c>
      <c r="AD1031" s="37">
        <f t="shared" si="293"/>
        <v>3</v>
      </c>
      <c r="AE1031" t="str">
        <f t="shared" si="294"/>
        <v>魔偶*9</v>
      </c>
      <c r="AF1031" t="str">
        <f t="shared" si="295"/>
        <v>灵能水晶*25</v>
      </c>
      <c r="AG1031" t="str">
        <f t="shared" si="296"/>
        <v/>
      </c>
      <c r="AH1031" t="str">
        <f t="shared" si="297"/>
        <v/>
      </c>
      <c r="AI1031" t="str">
        <f t="shared" si="298"/>
        <v/>
      </c>
      <c r="AJ1031" t="str">
        <f t="shared" si="299"/>
        <v/>
      </c>
      <c r="AK1031" t="str">
        <f t="shared" si="300"/>
        <v/>
      </c>
      <c r="AL1031">
        <f>IFERROR(ROUND(L1031*(G1031/$AU1031)/VLOOKUP(F1031,商品!$A$4:$B$60,2,FALSE),0),"")</f>
        <v>9</v>
      </c>
      <c r="AM1031">
        <f>IFERROR(ROUND(L1031*(I1031/$AU1031)/VLOOKUP(H1031,商品!$A$4:$B$60,2,FALSE),0),"")</f>
        <v>25</v>
      </c>
      <c r="AN1031">
        <f>IFERROR(ROUND(L1031*(J1031/$AU1031)/VLOOKUP("运力",商品!$A$4:$B$60,2,FALSE),0),0)</f>
        <v>0</v>
      </c>
      <c r="AO1031">
        <f>IFERROR(ROUND(L1031*(K1031/$AU1031)/VLOOKUP("交易",商品!$A$4:$B$60,2,FALSE),0),0)</f>
        <v>0</v>
      </c>
      <c r="AP1031" t="str">
        <f>IFERROR(ROUND(S1031*(N1031/$AV1031)/VLOOKUP(M1031,职业!$A$4:$G$16,4,FALSE),0),"")</f>
        <v/>
      </c>
      <c r="AQ1031" t="str">
        <f>IFERROR(ROUND(S1031*(P1031/$AV1031)/VLOOKUP(O1031,职业!$A$4:$G$16,4,FALSE),0),"")</f>
        <v/>
      </c>
      <c r="AR1031" t="str">
        <f>IFERROR(ROUND(S1031*(R1031/$AV1031)/VLOOKUP(Q1031,职业!$A$4:$G$16,4,FALSE),0),"")</f>
        <v/>
      </c>
      <c r="AS1031" t="str">
        <f>IFERROR(ROUND(X1031*(U1031/$AW1031)/VLOOKUP(T1031,商品!$A$4:$B$60,2,FALSE),0),"")</f>
        <v/>
      </c>
      <c r="AT1031" t="str">
        <f>IFERROR(ROUND(X1031*(W1031/$AW1031)/VLOOKUP(V1031,商品!$A$4:$B$60,2,FALSE),0),"")</f>
        <v/>
      </c>
      <c r="AU1031">
        <f t="shared" si="301"/>
        <v>15</v>
      </c>
      <c r="AV1031">
        <f t="shared" si="302"/>
        <v>0</v>
      </c>
      <c r="AW1031">
        <f t="shared" si="303"/>
        <v>0</v>
      </c>
    </row>
    <row r="1032" spans="1:49" ht="19.95" customHeight="1" x14ac:dyDescent="0.25">
      <c r="A1032" s="16" t="s">
        <v>400</v>
      </c>
      <c r="C1032" s="16">
        <v>4</v>
      </c>
      <c r="D1032" s="23" t="s">
        <v>171</v>
      </c>
      <c r="E1032" s="23" t="s">
        <v>177</v>
      </c>
      <c r="F1032" s="2" t="s">
        <v>42</v>
      </c>
      <c r="G1032" s="2">
        <v>5</v>
      </c>
      <c r="H1032" s="2" t="s">
        <v>20</v>
      </c>
      <c r="I1032" s="2">
        <v>10</v>
      </c>
      <c r="L1032" s="15">
        <f>IFERROR(VLOOKUP($D1032&amp;$C1032,生产方式定位!$A$2:$E$38,2,FALSE)+VLOOKUP($E1032&amp;$C1032,生产方式定位!$F$3:$J$38,2,FALSE),0)</f>
        <v>1515</v>
      </c>
      <c r="S1032" s="15">
        <f>IFERROR(VLOOKUP($D1032&amp;$C1032,生产方式定位!$A$2:$E$38,3,FALSE)+VLOOKUP($E1032&amp;$C1032,生产方式定位!$F$3:$J$38,3,FALSE),0)</f>
        <v>145</v>
      </c>
      <c r="X1032" s="15">
        <f>IFERROR(VLOOKUP($D1032&amp;$C1032,生产方式定位!$A$2:$E$38,5,FALSE)+VLOOKUP($E1032&amp;$C1032,生产方式定位!$F$3:$J$38,5,FALSE),"错误")</f>
        <v>1690</v>
      </c>
      <c r="Y1032" s="26" t="str">
        <f t="shared" si="288"/>
        <v>魔偶*13,灵能水晶*34</v>
      </c>
      <c r="Z1032" s="36" t="str">
        <f t="shared" si="289"/>
        <v/>
      </c>
      <c r="AA1032" s="36" t="str">
        <f t="shared" si="290"/>
        <v/>
      </c>
      <c r="AB1032" s="27" t="str">
        <f t="shared" si="291"/>
        <v>12%</v>
      </c>
      <c r="AC1032" s="2">
        <f t="shared" si="292"/>
        <v>30</v>
      </c>
      <c r="AD1032" s="37">
        <f t="shared" si="293"/>
        <v>4</v>
      </c>
      <c r="AE1032" t="str">
        <f t="shared" si="294"/>
        <v>魔偶*13</v>
      </c>
      <c r="AF1032" t="str">
        <f t="shared" si="295"/>
        <v>灵能水晶*34</v>
      </c>
      <c r="AG1032" t="str">
        <f t="shared" si="296"/>
        <v/>
      </c>
      <c r="AH1032" t="str">
        <f t="shared" si="297"/>
        <v/>
      </c>
      <c r="AI1032" t="str">
        <f t="shared" si="298"/>
        <v/>
      </c>
      <c r="AJ1032" t="str">
        <f t="shared" si="299"/>
        <v/>
      </c>
      <c r="AK1032" t="str">
        <f t="shared" si="300"/>
        <v/>
      </c>
      <c r="AL1032">
        <f>IFERROR(ROUND(L1032*(G1032/$AU1032)/VLOOKUP(F1032,商品!$A$4:$B$60,2,FALSE),0),"")</f>
        <v>13</v>
      </c>
      <c r="AM1032">
        <f>IFERROR(ROUND(L1032*(I1032/$AU1032)/VLOOKUP(H1032,商品!$A$4:$B$60,2,FALSE),0),"")</f>
        <v>34</v>
      </c>
      <c r="AN1032">
        <f>IFERROR(ROUND(L1032*(J1032/$AU1032)/VLOOKUP("运力",商品!$A$4:$B$60,2,FALSE),0),0)</f>
        <v>0</v>
      </c>
      <c r="AO1032">
        <f>IFERROR(ROUND(L1032*(K1032/$AU1032)/VLOOKUP("交易",商品!$A$4:$B$60,2,FALSE),0),0)</f>
        <v>0</v>
      </c>
      <c r="AP1032" t="str">
        <f>IFERROR(ROUND(S1032*(N1032/$AV1032)/VLOOKUP(M1032,职业!$A$4:$G$16,4,FALSE),0),"")</f>
        <v/>
      </c>
      <c r="AQ1032" t="str">
        <f>IFERROR(ROUND(S1032*(P1032/$AV1032)/VLOOKUP(O1032,职业!$A$4:$G$16,4,FALSE),0),"")</f>
        <v/>
      </c>
      <c r="AR1032" t="str">
        <f>IFERROR(ROUND(S1032*(R1032/$AV1032)/VLOOKUP(Q1032,职业!$A$4:$G$16,4,FALSE),0),"")</f>
        <v/>
      </c>
      <c r="AS1032" t="str">
        <f>IFERROR(ROUND(X1032*(U1032/$AW1032)/VLOOKUP(T1032,商品!$A$4:$B$60,2,FALSE),0),"")</f>
        <v/>
      </c>
      <c r="AT1032" t="str">
        <f>IFERROR(ROUND(X1032*(W1032/$AW1032)/VLOOKUP(V1032,商品!$A$4:$B$60,2,FALSE),0),"")</f>
        <v/>
      </c>
      <c r="AU1032">
        <f t="shared" si="301"/>
        <v>15</v>
      </c>
      <c r="AV1032">
        <f t="shared" si="302"/>
        <v>0</v>
      </c>
      <c r="AW1032">
        <f t="shared" si="303"/>
        <v>0</v>
      </c>
    </row>
    <row r="1033" spans="1:49" ht="19.95" customHeight="1" x14ac:dyDescent="0.25">
      <c r="A1033" s="16" t="s">
        <v>400</v>
      </c>
      <c r="C1033" s="16">
        <v>5</v>
      </c>
      <c r="D1033" s="23" t="s">
        <v>171</v>
      </c>
      <c r="E1033" s="23" t="s">
        <v>177</v>
      </c>
      <c r="F1033" s="2" t="s">
        <v>42</v>
      </c>
      <c r="G1033" s="2">
        <v>5</v>
      </c>
      <c r="H1033" s="2" t="s">
        <v>20</v>
      </c>
      <c r="I1033" s="2">
        <v>10</v>
      </c>
      <c r="L1033" s="15">
        <f>IFERROR(VLOOKUP($D1033&amp;$C1033,生产方式定位!$A$2:$E$38,2,FALSE)+VLOOKUP($E1033&amp;$C1033,生产方式定位!$F$3:$J$38,2,FALSE),0)</f>
        <v>1920</v>
      </c>
      <c r="S1033" s="15">
        <f>IFERROR(VLOOKUP($D1033&amp;$C1033,生产方式定位!$A$2:$E$38,3,FALSE)+VLOOKUP($E1033&amp;$C1033,生产方式定位!$F$3:$J$38,3,FALSE),0)</f>
        <v>160</v>
      </c>
      <c r="X1033" s="15">
        <f>IFERROR(VLOOKUP($D1033&amp;$C1033,生产方式定位!$A$2:$E$38,5,FALSE)+VLOOKUP($E1033&amp;$C1033,生产方式定位!$F$3:$J$38,5,FALSE),"错误")</f>
        <v>2080</v>
      </c>
      <c r="Y1033" s="26" t="str">
        <f t="shared" si="288"/>
        <v>魔偶*16,灵能水晶*43</v>
      </c>
      <c r="Z1033" s="36" t="str">
        <f t="shared" si="289"/>
        <v/>
      </c>
      <c r="AA1033" s="36" t="str">
        <f t="shared" si="290"/>
        <v/>
      </c>
      <c r="AB1033" s="27" t="str">
        <f t="shared" si="291"/>
        <v>8%</v>
      </c>
      <c r="AC1033" s="2" t="str">
        <f t="shared" si="292"/>
        <v/>
      </c>
      <c r="AD1033" s="37">
        <f t="shared" si="293"/>
        <v>5</v>
      </c>
      <c r="AE1033" t="str">
        <f t="shared" si="294"/>
        <v>魔偶*16</v>
      </c>
      <c r="AF1033" t="str">
        <f t="shared" si="295"/>
        <v>灵能水晶*43</v>
      </c>
      <c r="AG1033" t="str">
        <f t="shared" si="296"/>
        <v/>
      </c>
      <c r="AH1033" t="str">
        <f t="shared" si="297"/>
        <v/>
      </c>
      <c r="AI1033" t="str">
        <f t="shared" si="298"/>
        <v/>
      </c>
      <c r="AJ1033" t="str">
        <f t="shared" si="299"/>
        <v/>
      </c>
      <c r="AK1033" t="str">
        <f t="shared" si="300"/>
        <v/>
      </c>
      <c r="AL1033">
        <f>IFERROR(ROUND(L1033*(G1033/$AU1033)/VLOOKUP(F1033,商品!$A$4:$B$60,2,FALSE),0),"")</f>
        <v>16</v>
      </c>
      <c r="AM1033">
        <f>IFERROR(ROUND(L1033*(I1033/$AU1033)/VLOOKUP(H1033,商品!$A$4:$B$60,2,FALSE),0),"")</f>
        <v>43</v>
      </c>
      <c r="AN1033">
        <f>IFERROR(ROUND(L1033*(J1033/$AU1033)/VLOOKUP("运力",商品!$A$4:$B$60,2,FALSE),0),0)</f>
        <v>0</v>
      </c>
      <c r="AO1033">
        <f>IFERROR(ROUND(L1033*(K1033/$AU1033)/VLOOKUP("交易",商品!$A$4:$B$60,2,FALSE),0),0)</f>
        <v>0</v>
      </c>
      <c r="AP1033" t="str">
        <f>IFERROR(ROUND(S1033*(N1033/$AV1033)/VLOOKUP(M1033,职业!$A$4:$G$16,4,FALSE),0),"")</f>
        <v/>
      </c>
      <c r="AQ1033" t="str">
        <f>IFERROR(ROUND(S1033*(P1033/$AV1033)/VLOOKUP(O1033,职业!$A$4:$G$16,4,FALSE),0),"")</f>
        <v/>
      </c>
      <c r="AR1033" t="str">
        <f>IFERROR(ROUND(S1033*(R1033/$AV1033)/VLOOKUP(Q1033,职业!$A$4:$G$16,4,FALSE),0),"")</f>
        <v/>
      </c>
      <c r="AS1033" t="str">
        <f>IFERROR(ROUND(X1033*(U1033/$AW1033)/VLOOKUP(T1033,商品!$A$4:$B$60,2,FALSE),0),"")</f>
        <v/>
      </c>
      <c r="AT1033" t="str">
        <f>IFERROR(ROUND(X1033*(W1033/$AW1033)/VLOOKUP(V1033,商品!$A$4:$B$60,2,FALSE),0),"")</f>
        <v/>
      </c>
      <c r="AU1033">
        <f t="shared" si="301"/>
        <v>15</v>
      </c>
      <c r="AV1033">
        <f t="shared" si="302"/>
        <v>0</v>
      </c>
      <c r="AW1033">
        <f t="shared" si="303"/>
        <v>0</v>
      </c>
    </row>
    <row r="1034" spans="1:49" ht="19.95" customHeight="1" x14ac:dyDescent="0.25">
      <c r="A1034" s="15" t="s">
        <v>401</v>
      </c>
      <c r="C1034" s="15">
        <v>1</v>
      </c>
      <c r="D1034" s="23" t="s">
        <v>174</v>
      </c>
      <c r="E1034" s="23" t="s">
        <v>179</v>
      </c>
      <c r="L1034" s="16">
        <f>IFERROR(VLOOKUP($D1034&amp;$C1034,生产方式定位!$A$2:$E$38,2,FALSE)+VLOOKUP($E1034&amp;$C1034,生产方式定位!$F$3:$J$38,2,FALSE),0)</f>
        <v>0</v>
      </c>
      <c r="S1034" s="16">
        <f>IFERROR(VLOOKUP($D1034&amp;$C1034,生产方式定位!$A$2:$E$38,3,FALSE)+VLOOKUP($E1034&amp;$C1034,生产方式定位!$F$3:$J$38,3,FALSE),0)</f>
        <v>100</v>
      </c>
      <c r="X1034" s="16">
        <f>IFERROR(VLOOKUP($D1034&amp;$C1034,生产方式定位!$A$2:$E$38,5,FALSE)+VLOOKUP($E1034&amp;$C1034,生产方式定位!$F$3:$J$38,5,FALSE),"错误")</f>
        <v>100</v>
      </c>
      <c r="Y1034" s="26" t="str">
        <f t="shared" si="288"/>
        <v/>
      </c>
      <c r="Z1034" s="36" t="str">
        <f t="shared" si="289"/>
        <v/>
      </c>
      <c r="AA1034" s="36" t="str">
        <f t="shared" si="290"/>
        <v/>
      </c>
      <c r="AB1034" s="27" t="str">
        <f t="shared" si="291"/>
        <v/>
      </c>
      <c r="AC1034" s="2" t="str">
        <f t="shared" si="292"/>
        <v/>
      </c>
      <c r="AD1034" s="38">
        <f t="shared" si="293"/>
        <v>1</v>
      </c>
      <c r="AE1034" t="str">
        <f t="shared" si="294"/>
        <v/>
      </c>
      <c r="AF1034" t="str">
        <f t="shared" si="295"/>
        <v/>
      </c>
      <c r="AG1034" t="str">
        <f t="shared" si="296"/>
        <v/>
      </c>
      <c r="AH1034" t="str">
        <f t="shared" si="297"/>
        <v/>
      </c>
      <c r="AI1034" t="str">
        <f t="shared" si="298"/>
        <v/>
      </c>
      <c r="AJ1034" t="str">
        <f t="shared" si="299"/>
        <v/>
      </c>
      <c r="AK1034" t="str">
        <f t="shared" si="300"/>
        <v/>
      </c>
      <c r="AL1034" t="str">
        <f>IFERROR(ROUND(L1034*(G1034/$AU1034)/VLOOKUP(F1034,商品!$A$4:$B$60,2,FALSE),0),"")</f>
        <v/>
      </c>
      <c r="AM1034" t="str">
        <f>IFERROR(ROUND(L1034*(I1034/$AU1034)/VLOOKUP(H1034,商品!$A$4:$B$60,2,FALSE),0),"")</f>
        <v/>
      </c>
      <c r="AN1034">
        <f>IFERROR(ROUND(L1034*(J1034/$AU1034)/VLOOKUP("运力",商品!$A$4:$B$60,2,FALSE),0),0)</f>
        <v>0</v>
      </c>
      <c r="AO1034">
        <f>IFERROR(ROUND(L1034*(K1034/$AU1034)/VLOOKUP("交易",商品!$A$4:$B$60,2,FALSE),0),0)</f>
        <v>0</v>
      </c>
      <c r="AP1034" t="str">
        <f>IFERROR(ROUND(S1034*(N1034/$AV1034)/VLOOKUP(M1034,职业!$A$4:$G$16,4,FALSE),0),"")</f>
        <v/>
      </c>
      <c r="AQ1034" t="str">
        <f>IFERROR(ROUND(S1034*(P1034/$AV1034)/VLOOKUP(O1034,职业!$A$4:$G$16,4,FALSE),0),"")</f>
        <v/>
      </c>
      <c r="AR1034" t="str">
        <f>IFERROR(ROUND(S1034*(R1034/$AV1034)/VLOOKUP(Q1034,职业!$A$4:$G$16,4,FALSE),0),"")</f>
        <v/>
      </c>
      <c r="AS1034" t="str">
        <f>IFERROR(ROUND(X1034*(U1034/$AW1034)/VLOOKUP(T1034,商品!$A$4:$B$60,2,FALSE),0),"")</f>
        <v/>
      </c>
      <c r="AT1034" t="str">
        <f>IFERROR(ROUND(X1034*(W1034/$AW1034)/VLOOKUP(V1034,商品!$A$4:$B$60,2,FALSE),0),"")</f>
        <v/>
      </c>
      <c r="AU1034">
        <f t="shared" si="301"/>
        <v>0</v>
      </c>
      <c r="AV1034">
        <f t="shared" si="302"/>
        <v>0</v>
      </c>
      <c r="AW1034">
        <f t="shared" si="303"/>
        <v>0</v>
      </c>
    </row>
    <row r="1035" spans="1:49" ht="19.95" customHeight="1" x14ac:dyDescent="0.25">
      <c r="A1035" s="15" t="s">
        <v>401</v>
      </c>
      <c r="C1035" s="15">
        <v>2</v>
      </c>
      <c r="D1035" s="23" t="s">
        <v>174</v>
      </c>
      <c r="E1035" s="23" t="s">
        <v>179</v>
      </c>
      <c r="L1035" s="16">
        <f>IFERROR(VLOOKUP($D1035&amp;$C1035,生产方式定位!$A$2:$E$38,2,FALSE)+VLOOKUP($E1035&amp;$C1035,生产方式定位!$F$3:$J$38,2,FALSE),0)</f>
        <v>0</v>
      </c>
      <c r="S1035" s="16">
        <f>IFERROR(VLOOKUP($D1035&amp;$C1035,生产方式定位!$A$2:$E$38,3,FALSE)+VLOOKUP($E1035&amp;$C1035,生产方式定位!$F$3:$J$38,3,FALSE),0)</f>
        <v>100</v>
      </c>
      <c r="X1035" s="16">
        <f>IFERROR(VLOOKUP($D1035&amp;$C1035,生产方式定位!$A$2:$E$38,5,FALSE)+VLOOKUP($E1035&amp;$C1035,生产方式定位!$F$3:$J$38,5,FALSE),"错误")</f>
        <v>100</v>
      </c>
      <c r="Y1035" s="26" t="str">
        <f t="shared" si="288"/>
        <v/>
      </c>
      <c r="Z1035" s="36" t="str">
        <f t="shared" si="289"/>
        <v/>
      </c>
      <c r="AA1035" s="36" t="str">
        <f t="shared" si="290"/>
        <v/>
      </c>
      <c r="AB1035" s="27" t="str">
        <f t="shared" si="291"/>
        <v/>
      </c>
      <c r="AC1035" s="2" t="str">
        <f t="shared" si="292"/>
        <v/>
      </c>
      <c r="AD1035" s="38">
        <f t="shared" si="293"/>
        <v>2</v>
      </c>
      <c r="AE1035" t="str">
        <f t="shared" si="294"/>
        <v/>
      </c>
      <c r="AF1035" t="str">
        <f t="shared" si="295"/>
        <v/>
      </c>
      <c r="AG1035" t="str">
        <f t="shared" si="296"/>
        <v/>
      </c>
      <c r="AH1035" t="str">
        <f t="shared" si="297"/>
        <v/>
      </c>
      <c r="AI1035" t="str">
        <f t="shared" si="298"/>
        <v/>
      </c>
      <c r="AJ1035" t="str">
        <f t="shared" si="299"/>
        <v/>
      </c>
      <c r="AK1035" t="str">
        <f t="shared" si="300"/>
        <v/>
      </c>
      <c r="AL1035" t="str">
        <f>IFERROR(ROUND(L1035*(G1035/$AU1035)/VLOOKUP(F1035,商品!$A$4:$B$60,2,FALSE),0),"")</f>
        <v/>
      </c>
      <c r="AM1035" t="str">
        <f>IFERROR(ROUND(L1035*(I1035/$AU1035)/VLOOKUP(H1035,商品!$A$4:$B$60,2,FALSE),0),"")</f>
        <v/>
      </c>
      <c r="AN1035">
        <f>IFERROR(ROUND(L1035*(J1035/$AU1035)/VLOOKUP("运力",商品!$A$4:$B$60,2,FALSE),0),0)</f>
        <v>0</v>
      </c>
      <c r="AO1035">
        <f>IFERROR(ROUND(L1035*(K1035/$AU1035)/VLOOKUP("交易",商品!$A$4:$B$60,2,FALSE),0),0)</f>
        <v>0</v>
      </c>
      <c r="AP1035" t="str">
        <f>IFERROR(ROUND(S1035*(N1035/$AV1035)/VLOOKUP(M1035,职业!$A$4:$G$16,4,FALSE),0),"")</f>
        <v/>
      </c>
      <c r="AQ1035" t="str">
        <f>IFERROR(ROUND(S1035*(P1035/$AV1035)/VLOOKUP(O1035,职业!$A$4:$G$16,4,FALSE),0),"")</f>
        <v/>
      </c>
      <c r="AR1035" t="str">
        <f>IFERROR(ROUND(S1035*(R1035/$AV1035)/VLOOKUP(Q1035,职业!$A$4:$G$16,4,FALSE),0),"")</f>
        <v/>
      </c>
      <c r="AS1035" t="str">
        <f>IFERROR(ROUND(X1035*(U1035/$AW1035)/VLOOKUP(T1035,商品!$A$4:$B$60,2,FALSE),0),"")</f>
        <v/>
      </c>
      <c r="AT1035" t="str">
        <f>IFERROR(ROUND(X1035*(W1035/$AW1035)/VLOOKUP(V1035,商品!$A$4:$B$60,2,FALSE),0),"")</f>
        <v/>
      </c>
      <c r="AU1035">
        <f t="shared" si="301"/>
        <v>0</v>
      </c>
      <c r="AV1035">
        <f t="shared" si="302"/>
        <v>0</v>
      </c>
      <c r="AW1035">
        <f t="shared" si="303"/>
        <v>0</v>
      </c>
    </row>
    <row r="1036" spans="1:49" ht="19.95" customHeight="1" x14ac:dyDescent="0.25">
      <c r="A1036" s="15" t="s">
        <v>401</v>
      </c>
      <c r="C1036" s="15">
        <v>3</v>
      </c>
      <c r="D1036" s="23" t="s">
        <v>174</v>
      </c>
      <c r="E1036" s="23" t="s">
        <v>179</v>
      </c>
      <c r="L1036" s="16">
        <f>IFERROR(VLOOKUP($D1036&amp;$C1036,生产方式定位!$A$2:$E$38,2,FALSE)+VLOOKUP($E1036&amp;$C1036,生产方式定位!$F$3:$J$38,2,FALSE),0)</f>
        <v>0</v>
      </c>
      <c r="S1036" s="16">
        <f>IFERROR(VLOOKUP($D1036&amp;$C1036,生产方式定位!$A$2:$E$38,3,FALSE)+VLOOKUP($E1036&amp;$C1036,生产方式定位!$F$3:$J$38,3,FALSE),0)</f>
        <v>100</v>
      </c>
      <c r="X1036" s="16">
        <f>IFERROR(VLOOKUP($D1036&amp;$C1036,生产方式定位!$A$2:$E$38,5,FALSE)+VLOOKUP($E1036&amp;$C1036,生产方式定位!$F$3:$J$38,5,FALSE),"错误")</f>
        <v>100</v>
      </c>
      <c r="Y1036" s="26" t="str">
        <f t="shared" si="288"/>
        <v/>
      </c>
      <c r="Z1036" s="36" t="str">
        <f t="shared" si="289"/>
        <v/>
      </c>
      <c r="AA1036" s="36" t="str">
        <f t="shared" si="290"/>
        <v/>
      </c>
      <c r="AB1036" s="27" t="str">
        <f t="shared" si="291"/>
        <v/>
      </c>
      <c r="AC1036" s="2" t="str">
        <f t="shared" si="292"/>
        <v/>
      </c>
      <c r="AD1036" s="38">
        <f t="shared" si="293"/>
        <v>3</v>
      </c>
      <c r="AE1036" t="str">
        <f t="shared" si="294"/>
        <v/>
      </c>
      <c r="AF1036" t="str">
        <f t="shared" si="295"/>
        <v/>
      </c>
      <c r="AG1036" t="str">
        <f t="shared" si="296"/>
        <v/>
      </c>
      <c r="AH1036" t="str">
        <f t="shared" si="297"/>
        <v/>
      </c>
      <c r="AI1036" t="str">
        <f t="shared" si="298"/>
        <v/>
      </c>
      <c r="AJ1036" t="str">
        <f t="shared" si="299"/>
        <v/>
      </c>
      <c r="AK1036" t="str">
        <f t="shared" si="300"/>
        <v/>
      </c>
      <c r="AL1036" t="str">
        <f>IFERROR(ROUND(L1036*(G1036/$AU1036)/VLOOKUP(F1036,商品!$A$4:$B$60,2,FALSE),0),"")</f>
        <v/>
      </c>
      <c r="AM1036" t="str">
        <f>IFERROR(ROUND(L1036*(I1036/$AU1036)/VLOOKUP(H1036,商品!$A$4:$B$60,2,FALSE),0),"")</f>
        <v/>
      </c>
      <c r="AN1036">
        <f>IFERROR(ROUND(L1036*(J1036/$AU1036)/VLOOKUP("运力",商品!$A$4:$B$60,2,FALSE),0),0)</f>
        <v>0</v>
      </c>
      <c r="AO1036">
        <f>IFERROR(ROUND(L1036*(K1036/$AU1036)/VLOOKUP("交易",商品!$A$4:$B$60,2,FALSE),0),0)</f>
        <v>0</v>
      </c>
      <c r="AP1036" t="str">
        <f>IFERROR(ROUND(S1036*(N1036/$AV1036)/VLOOKUP(M1036,职业!$A$4:$G$16,4,FALSE),0),"")</f>
        <v/>
      </c>
      <c r="AQ1036" t="str">
        <f>IFERROR(ROUND(S1036*(P1036/$AV1036)/VLOOKUP(O1036,职业!$A$4:$G$16,4,FALSE),0),"")</f>
        <v/>
      </c>
      <c r="AR1036" t="str">
        <f>IFERROR(ROUND(S1036*(R1036/$AV1036)/VLOOKUP(Q1036,职业!$A$4:$G$16,4,FALSE),0),"")</f>
        <v/>
      </c>
      <c r="AS1036" t="str">
        <f>IFERROR(ROUND(X1036*(U1036/$AW1036)/VLOOKUP(T1036,商品!$A$4:$B$60,2,FALSE),0),"")</f>
        <v/>
      </c>
      <c r="AT1036" t="str">
        <f>IFERROR(ROUND(X1036*(W1036/$AW1036)/VLOOKUP(V1036,商品!$A$4:$B$60,2,FALSE),0),"")</f>
        <v/>
      </c>
      <c r="AU1036">
        <f t="shared" si="301"/>
        <v>0</v>
      </c>
      <c r="AV1036">
        <f t="shared" si="302"/>
        <v>0</v>
      </c>
      <c r="AW1036">
        <f t="shared" si="303"/>
        <v>0</v>
      </c>
    </row>
    <row r="1037" spans="1:49" ht="19.95" customHeight="1" x14ac:dyDescent="0.25">
      <c r="A1037" s="15" t="s">
        <v>401</v>
      </c>
      <c r="C1037" s="15">
        <v>4</v>
      </c>
      <c r="D1037" s="23" t="s">
        <v>174</v>
      </c>
      <c r="E1037" s="23" t="s">
        <v>179</v>
      </c>
      <c r="L1037" s="16">
        <f>IFERROR(VLOOKUP($D1037&amp;$C1037,生产方式定位!$A$2:$E$38,2,FALSE)+VLOOKUP($E1037&amp;$C1037,生产方式定位!$F$3:$J$38,2,FALSE),0)</f>
        <v>0</v>
      </c>
      <c r="S1037" s="16">
        <f>IFERROR(VLOOKUP($D1037&amp;$C1037,生产方式定位!$A$2:$E$38,3,FALSE)+VLOOKUP($E1037&amp;$C1037,生产方式定位!$F$3:$J$38,3,FALSE),0)</f>
        <v>100</v>
      </c>
      <c r="X1037" s="16">
        <f>IFERROR(VLOOKUP($D1037&amp;$C1037,生产方式定位!$A$2:$E$38,5,FALSE)+VLOOKUP($E1037&amp;$C1037,生产方式定位!$F$3:$J$38,5,FALSE),"错误")</f>
        <v>100</v>
      </c>
      <c r="Y1037" s="26" t="str">
        <f t="shared" si="288"/>
        <v/>
      </c>
      <c r="Z1037" s="36" t="str">
        <f t="shared" si="289"/>
        <v/>
      </c>
      <c r="AA1037" s="36" t="str">
        <f t="shared" si="290"/>
        <v/>
      </c>
      <c r="AB1037" s="27" t="str">
        <f t="shared" si="291"/>
        <v/>
      </c>
      <c r="AC1037" s="2" t="str">
        <f t="shared" si="292"/>
        <v/>
      </c>
      <c r="AD1037" s="38">
        <f t="shared" si="293"/>
        <v>4</v>
      </c>
      <c r="AE1037" t="str">
        <f t="shared" si="294"/>
        <v/>
      </c>
      <c r="AF1037" t="str">
        <f t="shared" si="295"/>
        <v/>
      </c>
      <c r="AG1037" t="str">
        <f t="shared" si="296"/>
        <v/>
      </c>
      <c r="AH1037" t="str">
        <f t="shared" si="297"/>
        <v/>
      </c>
      <c r="AI1037" t="str">
        <f t="shared" si="298"/>
        <v/>
      </c>
      <c r="AJ1037" t="str">
        <f t="shared" si="299"/>
        <v/>
      </c>
      <c r="AK1037" t="str">
        <f t="shared" si="300"/>
        <v/>
      </c>
      <c r="AL1037" t="str">
        <f>IFERROR(ROUND(L1037*(G1037/$AU1037)/VLOOKUP(F1037,商品!$A$4:$B$60,2,FALSE),0),"")</f>
        <v/>
      </c>
      <c r="AM1037" t="str">
        <f>IFERROR(ROUND(L1037*(I1037/$AU1037)/VLOOKUP(H1037,商品!$A$4:$B$60,2,FALSE),0),"")</f>
        <v/>
      </c>
      <c r="AN1037">
        <f>IFERROR(ROUND(L1037*(J1037/$AU1037)/VLOOKUP("运力",商品!$A$4:$B$60,2,FALSE),0),0)</f>
        <v>0</v>
      </c>
      <c r="AO1037">
        <f>IFERROR(ROUND(L1037*(K1037/$AU1037)/VLOOKUP("交易",商品!$A$4:$B$60,2,FALSE),0),0)</f>
        <v>0</v>
      </c>
      <c r="AP1037" t="str">
        <f>IFERROR(ROUND(S1037*(N1037/$AV1037)/VLOOKUP(M1037,职业!$A$4:$G$16,4,FALSE),0),"")</f>
        <v/>
      </c>
      <c r="AQ1037" t="str">
        <f>IFERROR(ROUND(S1037*(P1037/$AV1037)/VLOOKUP(O1037,职业!$A$4:$G$16,4,FALSE),0),"")</f>
        <v/>
      </c>
      <c r="AR1037" t="str">
        <f>IFERROR(ROUND(S1037*(R1037/$AV1037)/VLOOKUP(Q1037,职业!$A$4:$G$16,4,FALSE),0),"")</f>
        <v/>
      </c>
      <c r="AS1037" t="str">
        <f>IFERROR(ROUND(X1037*(U1037/$AW1037)/VLOOKUP(T1037,商品!$A$4:$B$60,2,FALSE),0),"")</f>
        <v/>
      </c>
      <c r="AT1037" t="str">
        <f>IFERROR(ROUND(X1037*(W1037/$AW1037)/VLOOKUP(V1037,商品!$A$4:$B$60,2,FALSE),0),"")</f>
        <v/>
      </c>
      <c r="AU1037">
        <f t="shared" si="301"/>
        <v>0</v>
      </c>
      <c r="AV1037">
        <f t="shared" si="302"/>
        <v>0</v>
      </c>
      <c r="AW1037">
        <f t="shared" si="303"/>
        <v>0</v>
      </c>
    </row>
    <row r="1038" spans="1:49" ht="19.95" customHeight="1" x14ac:dyDescent="0.25">
      <c r="A1038" s="15" t="s">
        <v>401</v>
      </c>
      <c r="C1038" s="15">
        <v>5</v>
      </c>
      <c r="D1038" s="23" t="s">
        <v>174</v>
      </c>
      <c r="E1038" s="23" t="s">
        <v>179</v>
      </c>
      <c r="L1038" s="16">
        <f>IFERROR(VLOOKUP($D1038&amp;$C1038,生产方式定位!$A$2:$E$38,2,FALSE)+VLOOKUP($E1038&amp;$C1038,生产方式定位!$F$3:$J$38,2,FALSE),0)</f>
        <v>0</v>
      </c>
      <c r="S1038" s="16">
        <f>IFERROR(VLOOKUP($D1038&amp;$C1038,生产方式定位!$A$2:$E$38,3,FALSE)+VLOOKUP($E1038&amp;$C1038,生产方式定位!$F$3:$J$38,3,FALSE),0)</f>
        <v>100</v>
      </c>
      <c r="X1038" s="16">
        <f>IFERROR(VLOOKUP($D1038&amp;$C1038,生产方式定位!$A$2:$E$38,5,FALSE)+VLOOKUP($E1038&amp;$C1038,生产方式定位!$F$3:$J$38,5,FALSE),"错误")</f>
        <v>100</v>
      </c>
      <c r="Y1038" s="26" t="str">
        <f t="shared" si="288"/>
        <v/>
      </c>
      <c r="Z1038" s="36" t="str">
        <f t="shared" si="289"/>
        <v/>
      </c>
      <c r="AA1038" s="36" t="str">
        <f t="shared" si="290"/>
        <v/>
      </c>
      <c r="AB1038" s="27" t="str">
        <f t="shared" si="291"/>
        <v/>
      </c>
      <c r="AC1038" s="2" t="str">
        <f t="shared" si="292"/>
        <v/>
      </c>
      <c r="AD1038" s="38">
        <f t="shared" si="293"/>
        <v>5</v>
      </c>
      <c r="AE1038" t="str">
        <f t="shared" si="294"/>
        <v/>
      </c>
      <c r="AF1038" t="str">
        <f t="shared" si="295"/>
        <v/>
      </c>
      <c r="AG1038" t="str">
        <f t="shared" si="296"/>
        <v/>
      </c>
      <c r="AH1038" t="str">
        <f t="shared" si="297"/>
        <v/>
      </c>
      <c r="AI1038" t="str">
        <f t="shared" si="298"/>
        <v/>
      </c>
      <c r="AJ1038" t="str">
        <f t="shared" si="299"/>
        <v/>
      </c>
      <c r="AK1038" t="str">
        <f t="shared" si="300"/>
        <v/>
      </c>
      <c r="AL1038" t="str">
        <f>IFERROR(ROUND(L1038*(G1038/$AU1038)/VLOOKUP(F1038,商品!$A$4:$B$60,2,FALSE),0),"")</f>
        <v/>
      </c>
      <c r="AM1038" t="str">
        <f>IFERROR(ROUND(L1038*(I1038/$AU1038)/VLOOKUP(H1038,商品!$A$4:$B$60,2,FALSE),0),"")</f>
        <v/>
      </c>
      <c r="AN1038">
        <f>IFERROR(ROUND(L1038*(J1038/$AU1038)/VLOOKUP("运力",商品!$A$4:$B$60,2,FALSE),0),0)</f>
        <v>0</v>
      </c>
      <c r="AO1038">
        <f>IFERROR(ROUND(L1038*(K1038/$AU1038)/VLOOKUP("交易",商品!$A$4:$B$60,2,FALSE),0),0)</f>
        <v>0</v>
      </c>
      <c r="AP1038" t="str">
        <f>IFERROR(ROUND(S1038*(N1038/$AV1038)/VLOOKUP(M1038,职业!$A$4:$G$16,4,FALSE),0),"")</f>
        <v/>
      </c>
      <c r="AQ1038" t="str">
        <f>IFERROR(ROUND(S1038*(P1038/$AV1038)/VLOOKUP(O1038,职业!$A$4:$G$16,4,FALSE),0),"")</f>
        <v/>
      </c>
      <c r="AR1038" t="str">
        <f>IFERROR(ROUND(S1038*(R1038/$AV1038)/VLOOKUP(Q1038,职业!$A$4:$G$16,4,FALSE),0),"")</f>
        <v/>
      </c>
      <c r="AS1038" t="str">
        <f>IFERROR(ROUND(X1038*(U1038/$AW1038)/VLOOKUP(T1038,商品!$A$4:$B$60,2,FALSE),0),"")</f>
        <v/>
      </c>
      <c r="AT1038" t="str">
        <f>IFERROR(ROUND(X1038*(W1038/$AW1038)/VLOOKUP(V1038,商品!$A$4:$B$60,2,FALSE),0),"")</f>
        <v/>
      </c>
      <c r="AU1038">
        <f t="shared" si="301"/>
        <v>0</v>
      </c>
      <c r="AV1038">
        <f t="shared" si="302"/>
        <v>0</v>
      </c>
      <c r="AW1038">
        <f t="shared" si="303"/>
        <v>0</v>
      </c>
    </row>
    <row r="1039" spans="1:49" ht="19.95" customHeight="1" x14ac:dyDescent="0.25">
      <c r="A1039" s="15" t="s">
        <v>401</v>
      </c>
      <c r="C1039" s="15">
        <v>6</v>
      </c>
      <c r="D1039" s="23" t="s">
        <v>174</v>
      </c>
      <c r="E1039" s="23" t="s">
        <v>179</v>
      </c>
      <c r="L1039" s="16">
        <f>IFERROR(VLOOKUP($D1039&amp;$C1039,生产方式定位!$A$2:$E$38,2,FALSE)+VLOOKUP($E1039&amp;$C1039,生产方式定位!$F$3:$J$38,2,FALSE),0)</f>
        <v>0</v>
      </c>
      <c r="S1039" s="16">
        <f>IFERROR(VLOOKUP($D1039&amp;$C1039,生产方式定位!$A$2:$E$38,3,FALSE)+VLOOKUP($E1039&amp;$C1039,生产方式定位!$F$3:$J$38,3,FALSE),0)</f>
        <v>100</v>
      </c>
      <c r="X1039" s="16">
        <f>IFERROR(VLOOKUP($D1039&amp;$C1039,生产方式定位!$A$2:$E$38,5,FALSE)+VLOOKUP($E1039&amp;$C1039,生产方式定位!$F$3:$J$38,5,FALSE),"错误")</f>
        <v>100</v>
      </c>
      <c r="Y1039" s="26" t="str">
        <f t="shared" si="288"/>
        <v/>
      </c>
      <c r="Z1039" s="36" t="str">
        <f t="shared" si="289"/>
        <v/>
      </c>
      <c r="AA1039" s="36" t="str">
        <f t="shared" si="290"/>
        <v/>
      </c>
      <c r="AB1039" s="27" t="str">
        <f t="shared" si="291"/>
        <v/>
      </c>
      <c r="AC1039" s="2" t="str">
        <f t="shared" si="292"/>
        <v/>
      </c>
      <c r="AD1039" s="37">
        <f t="shared" si="293"/>
        <v>6</v>
      </c>
      <c r="AE1039" t="str">
        <f t="shared" si="294"/>
        <v/>
      </c>
      <c r="AF1039" t="str">
        <f t="shared" si="295"/>
        <v/>
      </c>
      <c r="AG1039" t="str">
        <f t="shared" si="296"/>
        <v/>
      </c>
      <c r="AH1039" t="str">
        <f t="shared" si="297"/>
        <v/>
      </c>
      <c r="AI1039" t="str">
        <f t="shared" si="298"/>
        <v/>
      </c>
      <c r="AJ1039" t="str">
        <f t="shared" si="299"/>
        <v/>
      </c>
      <c r="AK1039" t="str">
        <f t="shared" si="300"/>
        <v/>
      </c>
      <c r="AL1039" t="str">
        <f>IFERROR(ROUND(L1039*(G1039/$AU1039)/VLOOKUP(F1039,商品!$A$4:$B$60,2,FALSE),0),"")</f>
        <v/>
      </c>
      <c r="AM1039" t="str">
        <f>IFERROR(ROUND(L1039*(I1039/$AU1039)/VLOOKUP(H1039,商品!$A$4:$B$60,2,FALSE),0),"")</f>
        <v/>
      </c>
      <c r="AN1039">
        <f>IFERROR(ROUND(L1039*(J1039/$AU1039)/VLOOKUP("运力",商品!$A$4:$B$60,2,FALSE),0),0)</f>
        <v>0</v>
      </c>
      <c r="AO1039">
        <f>IFERROR(ROUND(L1039*(K1039/$AU1039)/VLOOKUP("交易",商品!$A$4:$B$60,2,FALSE),0),0)</f>
        <v>0</v>
      </c>
      <c r="AP1039" t="str">
        <f>IFERROR(ROUND(S1039*(N1039/$AV1039)/VLOOKUP(M1039,职业!$A$4:$G$16,4,FALSE),0),"")</f>
        <v/>
      </c>
      <c r="AQ1039" t="str">
        <f>IFERROR(ROUND(S1039*(P1039/$AV1039)/VLOOKUP(O1039,职业!$A$4:$G$16,4,FALSE),0),"")</f>
        <v/>
      </c>
      <c r="AR1039" t="str">
        <f>IFERROR(ROUND(S1039*(R1039/$AV1039)/VLOOKUP(Q1039,职业!$A$4:$G$16,4,FALSE),0),"")</f>
        <v/>
      </c>
      <c r="AS1039" t="str">
        <f>IFERROR(ROUND(X1039*(U1039/$AW1039)/VLOOKUP(T1039,商品!$A$4:$B$60,2,FALSE),0),"")</f>
        <v/>
      </c>
      <c r="AT1039" t="str">
        <f>IFERROR(ROUND(X1039*(W1039/$AW1039)/VLOOKUP(V1039,商品!$A$4:$B$60,2,FALSE),0),"")</f>
        <v/>
      </c>
      <c r="AU1039">
        <f t="shared" si="301"/>
        <v>0</v>
      </c>
      <c r="AV1039">
        <f t="shared" si="302"/>
        <v>0</v>
      </c>
      <c r="AW1039">
        <f t="shared" si="303"/>
        <v>0</v>
      </c>
    </row>
    <row r="1040" spans="1:49" ht="19.95" customHeight="1" x14ac:dyDescent="0.25">
      <c r="A1040" s="15" t="s">
        <v>401</v>
      </c>
      <c r="C1040" s="15">
        <v>7</v>
      </c>
      <c r="D1040" s="23" t="s">
        <v>174</v>
      </c>
      <c r="E1040" s="23" t="s">
        <v>179</v>
      </c>
      <c r="L1040" s="16">
        <f>IFERROR(VLOOKUP($D1040&amp;$C1040,生产方式定位!$A$2:$E$38,2,FALSE)+VLOOKUP($E1040&amp;$C1040,生产方式定位!$F$3:$J$38,2,FALSE),0)</f>
        <v>0</v>
      </c>
      <c r="S1040" s="16">
        <f>IFERROR(VLOOKUP($D1040&amp;$C1040,生产方式定位!$A$2:$E$38,3,FALSE)+VLOOKUP($E1040&amp;$C1040,生产方式定位!$F$3:$J$38,3,FALSE),0)</f>
        <v>100</v>
      </c>
      <c r="X1040" s="16">
        <f>IFERROR(VLOOKUP($D1040&amp;$C1040,生产方式定位!$A$2:$E$38,5,FALSE)+VLOOKUP($E1040&amp;$C1040,生产方式定位!$F$3:$J$38,5,FALSE),"错误")</f>
        <v>100</v>
      </c>
      <c r="Y1040" s="26" t="str">
        <f t="shared" si="288"/>
        <v/>
      </c>
      <c r="Z1040" s="36" t="str">
        <f t="shared" si="289"/>
        <v/>
      </c>
      <c r="AA1040" s="36" t="str">
        <f t="shared" si="290"/>
        <v/>
      </c>
      <c r="AB1040" s="27" t="str">
        <f t="shared" si="291"/>
        <v/>
      </c>
      <c r="AC1040" s="2" t="str">
        <f t="shared" si="292"/>
        <v/>
      </c>
      <c r="AD1040" s="37">
        <f t="shared" si="293"/>
        <v>7</v>
      </c>
      <c r="AE1040" t="str">
        <f t="shared" si="294"/>
        <v/>
      </c>
      <c r="AF1040" t="str">
        <f t="shared" si="295"/>
        <v/>
      </c>
      <c r="AG1040" t="str">
        <f t="shared" si="296"/>
        <v/>
      </c>
      <c r="AH1040" t="str">
        <f t="shared" si="297"/>
        <v/>
      </c>
      <c r="AI1040" t="str">
        <f t="shared" si="298"/>
        <v/>
      </c>
      <c r="AJ1040" t="str">
        <f t="shared" si="299"/>
        <v/>
      </c>
      <c r="AK1040" t="str">
        <f t="shared" si="300"/>
        <v/>
      </c>
      <c r="AL1040" t="str">
        <f>IFERROR(ROUND(L1040*(G1040/$AU1040)/VLOOKUP(F1040,商品!$A$4:$B$60,2,FALSE),0),"")</f>
        <v/>
      </c>
      <c r="AM1040" t="str">
        <f>IFERROR(ROUND(L1040*(I1040/$AU1040)/VLOOKUP(H1040,商品!$A$4:$B$60,2,FALSE),0),"")</f>
        <v/>
      </c>
      <c r="AN1040">
        <f>IFERROR(ROUND(L1040*(J1040/$AU1040)/VLOOKUP("运力",商品!$A$4:$B$60,2,FALSE),0),0)</f>
        <v>0</v>
      </c>
      <c r="AO1040">
        <f>IFERROR(ROUND(L1040*(K1040/$AU1040)/VLOOKUP("交易",商品!$A$4:$B$60,2,FALSE),0),0)</f>
        <v>0</v>
      </c>
      <c r="AP1040" t="str">
        <f>IFERROR(ROUND(S1040*(N1040/$AV1040)/VLOOKUP(M1040,职业!$A$4:$G$16,4,FALSE),0),"")</f>
        <v/>
      </c>
      <c r="AQ1040" t="str">
        <f>IFERROR(ROUND(S1040*(P1040/$AV1040)/VLOOKUP(O1040,职业!$A$4:$G$16,4,FALSE),0),"")</f>
        <v/>
      </c>
      <c r="AR1040" t="str">
        <f>IFERROR(ROUND(S1040*(R1040/$AV1040)/VLOOKUP(Q1040,职业!$A$4:$G$16,4,FALSE),0),"")</f>
        <v/>
      </c>
      <c r="AS1040" t="str">
        <f>IFERROR(ROUND(X1040*(U1040/$AW1040)/VLOOKUP(T1040,商品!$A$4:$B$60,2,FALSE),0),"")</f>
        <v/>
      </c>
      <c r="AT1040" t="str">
        <f>IFERROR(ROUND(X1040*(W1040/$AW1040)/VLOOKUP(V1040,商品!$A$4:$B$60,2,FALSE),0),"")</f>
        <v/>
      </c>
      <c r="AU1040">
        <f t="shared" si="301"/>
        <v>0</v>
      </c>
      <c r="AV1040">
        <f t="shared" si="302"/>
        <v>0</v>
      </c>
      <c r="AW1040">
        <f t="shared" si="303"/>
        <v>0</v>
      </c>
    </row>
    <row r="1041" spans="1:49" ht="19.95" customHeight="1" x14ac:dyDescent="0.25">
      <c r="A1041" s="15" t="s">
        <v>401</v>
      </c>
      <c r="C1041" s="15">
        <v>8</v>
      </c>
      <c r="D1041" s="23" t="s">
        <v>174</v>
      </c>
      <c r="E1041" s="23" t="s">
        <v>179</v>
      </c>
      <c r="L1041" s="16">
        <f>IFERROR(VLOOKUP($D1041&amp;$C1041,生产方式定位!$A$2:$E$38,2,FALSE)+VLOOKUP($E1041&amp;$C1041,生产方式定位!$F$3:$J$38,2,FALSE),0)</f>
        <v>0</v>
      </c>
      <c r="S1041" s="16">
        <f>IFERROR(VLOOKUP($D1041&amp;$C1041,生产方式定位!$A$2:$E$38,3,FALSE)+VLOOKUP($E1041&amp;$C1041,生产方式定位!$F$3:$J$38,3,FALSE),0)</f>
        <v>100</v>
      </c>
      <c r="X1041" s="16">
        <f>IFERROR(VLOOKUP($D1041&amp;$C1041,生产方式定位!$A$2:$E$38,5,FALSE)+VLOOKUP($E1041&amp;$C1041,生产方式定位!$F$3:$J$38,5,FALSE),"错误")</f>
        <v>100</v>
      </c>
      <c r="Y1041" s="26" t="str">
        <f t="shared" si="288"/>
        <v/>
      </c>
      <c r="Z1041" s="36" t="str">
        <f t="shared" si="289"/>
        <v/>
      </c>
      <c r="AA1041" s="36" t="str">
        <f t="shared" si="290"/>
        <v/>
      </c>
      <c r="AB1041" s="27" t="str">
        <f t="shared" si="291"/>
        <v/>
      </c>
      <c r="AC1041" s="2" t="str">
        <f t="shared" si="292"/>
        <v/>
      </c>
      <c r="AD1041" s="37">
        <f t="shared" si="293"/>
        <v>8</v>
      </c>
      <c r="AE1041" t="str">
        <f t="shared" si="294"/>
        <v/>
      </c>
      <c r="AF1041" t="str">
        <f t="shared" si="295"/>
        <v/>
      </c>
      <c r="AG1041" t="str">
        <f t="shared" si="296"/>
        <v/>
      </c>
      <c r="AH1041" t="str">
        <f t="shared" si="297"/>
        <v/>
      </c>
      <c r="AI1041" t="str">
        <f t="shared" si="298"/>
        <v/>
      </c>
      <c r="AJ1041" t="str">
        <f t="shared" si="299"/>
        <v/>
      </c>
      <c r="AK1041" t="str">
        <f t="shared" si="300"/>
        <v/>
      </c>
      <c r="AL1041" t="str">
        <f>IFERROR(ROUND(L1041*(G1041/$AU1041)/VLOOKUP(F1041,商品!$A$4:$B$60,2,FALSE),0),"")</f>
        <v/>
      </c>
      <c r="AM1041" t="str">
        <f>IFERROR(ROUND(L1041*(I1041/$AU1041)/VLOOKUP(H1041,商品!$A$4:$B$60,2,FALSE),0),"")</f>
        <v/>
      </c>
      <c r="AN1041">
        <f>IFERROR(ROUND(L1041*(J1041/$AU1041)/VLOOKUP("运力",商品!$A$4:$B$60,2,FALSE),0),0)</f>
        <v>0</v>
      </c>
      <c r="AO1041">
        <f>IFERROR(ROUND(L1041*(K1041/$AU1041)/VLOOKUP("交易",商品!$A$4:$B$60,2,FALSE),0),0)</f>
        <v>0</v>
      </c>
      <c r="AP1041" t="str">
        <f>IFERROR(ROUND(S1041*(N1041/$AV1041)/VLOOKUP(M1041,职业!$A$4:$G$16,4,FALSE),0),"")</f>
        <v/>
      </c>
      <c r="AQ1041" t="str">
        <f>IFERROR(ROUND(S1041*(P1041/$AV1041)/VLOOKUP(O1041,职业!$A$4:$G$16,4,FALSE),0),"")</f>
        <v/>
      </c>
      <c r="AR1041" t="str">
        <f>IFERROR(ROUND(S1041*(R1041/$AV1041)/VLOOKUP(Q1041,职业!$A$4:$G$16,4,FALSE),0),"")</f>
        <v/>
      </c>
      <c r="AS1041" t="str">
        <f>IFERROR(ROUND(X1041*(U1041/$AW1041)/VLOOKUP(T1041,商品!$A$4:$B$60,2,FALSE),0),"")</f>
        <v/>
      </c>
      <c r="AT1041" t="str">
        <f>IFERROR(ROUND(X1041*(W1041/$AW1041)/VLOOKUP(V1041,商品!$A$4:$B$60,2,FALSE),0),"")</f>
        <v/>
      </c>
      <c r="AU1041">
        <f t="shared" si="301"/>
        <v>0</v>
      </c>
      <c r="AV1041">
        <f t="shared" si="302"/>
        <v>0</v>
      </c>
      <c r="AW1041">
        <f t="shared" si="303"/>
        <v>0</v>
      </c>
    </row>
    <row r="1042" spans="1:49" ht="19.95" customHeight="1" x14ac:dyDescent="0.25">
      <c r="A1042" s="16" t="s">
        <v>403</v>
      </c>
      <c r="C1042" s="16">
        <v>1</v>
      </c>
      <c r="D1042" s="23" t="s">
        <v>171</v>
      </c>
      <c r="E1042" s="23" t="s">
        <v>172</v>
      </c>
      <c r="L1042" s="15">
        <f>IFERROR(VLOOKUP($D1042&amp;$C1042,生产方式定位!$A$2:$E$38,2,FALSE)+VLOOKUP($E1042&amp;$C1042,生产方式定位!$F$3:$J$38,2,FALSE),0)</f>
        <v>300</v>
      </c>
      <c r="S1042" s="15">
        <f>IFERROR(VLOOKUP($D1042&amp;$C1042,生产方式定位!$A$2:$E$38,3,FALSE)+VLOOKUP($E1042&amp;$C1042,生产方式定位!$F$3:$J$38,3,FALSE),0)</f>
        <v>100</v>
      </c>
      <c r="X1042" s="15">
        <f>IFERROR(VLOOKUP($D1042&amp;$C1042,生产方式定位!$A$2:$E$38,5,FALSE)+VLOOKUP($E1042&amp;$C1042,生产方式定位!$F$3:$J$38,5,FALSE),"错误")</f>
        <v>520</v>
      </c>
      <c r="Y1042" s="26" t="str">
        <f t="shared" si="288"/>
        <v/>
      </c>
      <c r="Z1042" s="36" t="str">
        <f t="shared" si="289"/>
        <v/>
      </c>
      <c r="AA1042" s="36" t="str">
        <f t="shared" si="290"/>
        <v/>
      </c>
      <c r="AB1042" s="27" t="str">
        <f t="shared" si="291"/>
        <v>73%</v>
      </c>
      <c r="AC1042" s="2">
        <f t="shared" si="292"/>
        <v>120</v>
      </c>
      <c r="AD1042" s="37">
        <f t="shared" si="293"/>
        <v>1</v>
      </c>
      <c r="AE1042" t="str">
        <f t="shared" si="294"/>
        <v/>
      </c>
      <c r="AF1042" t="str">
        <f t="shared" si="295"/>
        <v/>
      </c>
      <c r="AG1042" t="str">
        <f t="shared" si="296"/>
        <v/>
      </c>
      <c r="AH1042" t="str">
        <f t="shared" si="297"/>
        <v/>
      </c>
      <c r="AI1042" t="str">
        <f t="shared" si="298"/>
        <v/>
      </c>
      <c r="AJ1042" t="str">
        <f t="shared" si="299"/>
        <v/>
      </c>
      <c r="AK1042" t="str">
        <f t="shared" si="300"/>
        <v/>
      </c>
      <c r="AL1042" t="str">
        <f>IFERROR(ROUND(L1042*(G1042/$AU1042)/VLOOKUP(F1042,商品!$A$4:$B$60,2,FALSE),0),"")</f>
        <v/>
      </c>
      <c r="AM1042" t="str">
        <f>IFERROR(ROUND(L1042*(I1042/$AU1042)/VLOOKUP(H1042,商品!$A$4:$B$60,2,FALSE),0),"")</f>
        <v/>
      </c>
      <c r="AN1042">
        <f>IFERROR(ROUND(L1042*(J1042/$AU1042)/VLOOKUP("运力",商品!$A$4:$B$60,2,FALSE),0),0)</f>
        <v>0</v>
      </c>
      <c r="AO1042">
        <f>IFERROR(ROUND(L1042*(K1042/$AU1042)/VLOOKUP("交易",商品!$A$4:$B$60,2,FALSE),0),0)</f>
        <v>0</v>
      </c>
      <c r="AP1042" t="str">
        <f>IFERROR(ROUND(S1042*(N1042/$AV1042)/VLOOKUP(M1042,职业!$A$4:$G$16,4,FALSE),0),"")</f>
        <v/>
      </c>
      <c r="AQ1042" t="str">
        <f>IFERROR(ROUND(S1042*(P1042/$AV1042)/VLOOKUP(O1042,职业!$A$4:$G$16,4,FALSE),0),"")</f>
        <v/>
      </c>
      <c r="AR1042" t="str">
        <f>IFERROR(ROUND(S1042*(R1042/$AV1042)/VLOOKUP(Q1042,职业!$A$4:$G$16,4,FALSE),0),"")</f>
        <v/>
      </c>
      <c r="AS1042" t="str">
        <f>IFERROR(ROUND(X1042*(U1042/$AW1042)/VLOOKUP(T1042,商品!$A$4:$B$60,2,FALSE),0),"")</f>
        <v/>
      </c>
      <c r="AT1042" t="str">
        <f>IFERROR(ROUND(X1042*(W1042/$AW1042)/VLOOKUP(V1042,商品!$A$4:$B$60,2,FALSE),0),"")</f>
        <v/>
      </c>
      <c r="AU1042">
        <f t="shared" si="301"/>
        <v>0</v>
      </c>
      <c r="AV1042">
        <f t="shared" si="302"/>
        <v>0</v>
      </c>
      <c r="AW1042">
        <f t="shared" si="303"/>
        <v>0</v>
      </c>
    </row>
    <row r="1043" spans="1:49" ht="19.95" customHeight="1" x14ac:dyDescent="0.25">
      <c r="A1043" s="16" t="s">
        <v>403</v>
      </c>
      <c r="C1043" s="16">
        <v>2</v>
      </c>
      <c r="D1043" s="23" t="s">
        <v>171</v>
      </c>
      <c r="E1043" s="23" t="s">
        <v>172</v>
      </c>
      <c r="L1043" s="15">
        <f>IFERROR(VLOOKUP($D1043&amp;$C1043,生产方式定位!$A$2:$E$38,2,FALSE)+VLOOKUP($E1043&amp;$C1043,生产方式定位!$F$3:$J$38,2,FALSE),0)</f>
        <v>1100</v>
      </c>
      <c r="S1043" s="15">
        <f>IFERROR(VLOOKUP($D1043&amp;$C1043,生产方式定位!$A$2:$E$38,3,FALSE)+VLOOKUP($E1043&amp;$C1043,生产方式定位!$F$3:$J$38,3,FALSE),0)</f>
        <v>100</v>
      </c>
      <c r="X1043" s="15">
        <f>IFERROR(VLOOKUP($D1043&amp;$C1043,生产方式定位!$A$2:$E$38,5,FALSE)+VLOOKUP($E1043&amp;$C1043,生产方式定位!$F$3:$J$38,5,FALSE),"错误")</f>
        <v>1510</v>
      </c>
      <c r="Y1043" s="26" t="str">
        <f t="shared" si="288"/>
        <v/>
      </c>
      <c r="Z1043" s="36" t="str">
        <f t="shared" si="289"/>
        <v/>
      </c>
      <c r="AA1043" s="36" t="str">
        <f t="shared" si="290"/>
        <v/>
      </c>
      <c r="AB1043" s="27" t="str">
        <f t="shared" si="291"/>
        <v>37%</v>
      </c>
      <c r="AC1043" s="2">
        <f t="shared" si="292"/>
        <v>310</v>
      </c>
      <c r="AD1043" s="37">
        <f t="shared" si="293"/>
        <v>2</v>
      </c>
      <c r="AE1043" t="str">
        <f t="shared" si="294"/>
        <v/>
      </c>
      <c r="AF1043" t="str">
        <f t="shared" si="295"/>
        <v/>
      </c>
      <c r="AG1043" t="str">
        <f t="shared" si="296"/>
        <v/>
      </c>
      <c r="AH1043" t="str">
        <f t="shared" si="297"/>
        <v/>
      </c>
      <c r="AI1043" t="str">
        <f t="shared" si="298"/>
        <v/>
      </c>
      <c r="AJ1043" t="str">
        <f t="shared" si="299"/>
        <v/>
      </c>
      <c r="AK1043" t="str">
        <f t="shared" si="300"/>
        <v/>
      </c>
      <c r="AL1043" t="str">
        <f>IFERROR(ROUND(L1043*(G1043/$AU1043)/VLOOKUP(F1043,商品!$A$4:$B$60,2,FALSE),0),"")</f>
        <v/>
      </c>
      <c r="AM1043" t="str">
        <f>IFERROR(ROUND(L1043*(I1043/$AU1043)/VLOOKUP(H1043,商品!$A$4:$B$60,2,FALSE),0),"")</f>
        <v/>
      </c>
      <c r="AN1043">
        <f>IFERROR(ROUND(L1043*(J1043/$AU1043)/VLOOKUP("运力",商品!$A$4:$B$60,2,FALSE),0),0)</f>
        <v>0</v>
      </c>
      <c r="AO1043">
        <f>IFERROR(ROUND(L1043*(K1043/$AU1043)/VLOOKUP("交易",商品!$A$4:$B$60,2,FALSE),0),0)</f>
        <v>0</v>
      </c>
      <c r="AP1043" t="str">
        <f>IFERROR(ROUND(S1043*(N1043/$AV1043)/VLOOKUP(M1043,职业!$A$4:$G$16,4,FALSE),0),"")</f>
        <v/>
      </c>
      <c r="AQ1043" t="str">
        <f>IFERROR(ROUND(S1043*(P1043/$AV1043)/VLOOKUP(O1043,职业!$A$4:$G$16,4,FALSE),0),"")</f>
        <v/>
      </c>
      <c r="AR1043" t="str">
        <f>IFERROR(ROUND(S1043*(R1043/$AV1043)/VLOOKUP(Q1043,职业!$A$4:$G$16,4,FALSE),0),"")</f>
        <v/>
      </c>
      <c r="AS1043" t="str">
        <f>IFERROR(ROUND(X1043*(U1043/$AW1043)/VLOOKUP(T1043,商品!$A$4:$B$60,2,FALSE),0),"")</f>
        <v/>
      </c>
      <c r="AT1043" t="str">
        <f>IFERROR(ROUND(X1043*(W1043/$AW1043)/VLOOKUP(V1043,商品!$A$4:$B$60,2,FALSE),0),"")</f>
        <v/>
      </c>
      <c r="AU1043">
        <f t="shared" si="301"/>
        <v>0</v>
      </c>
      <c r="AV1043">
        <f t="shared" si="302"/>
        <v>0</v>
      </c>
      <c r="AW1043">
        <f t="shared" si="303"/>
        <v>0</v>
      </c>
    </row>
    <row r="1044" spans="1:49" ht="19.95" customHeight="1" x14ac:dyDescent="0.25">
      <c r="A1044" s="16" t="s">
        <v>403</v>
      </c>
      <c r="C1044" s="16">
        <v>3</v>
      </c>
      <c r="D1044" s="23" t="s">
        <v>171</v>
      </c>
      <c r="E1044" s="23" t="s">
        <v>172</v>
      </c>
      <c r="L1044" s="15">
        <f>IFERROR(VLOOKUP($D1044&amp;$C1044,生产方式定位!$A$2:$E$38,2,FALSE)+VLOOKUP($E1044&amp;$C1044,生产方式定位!$F$3:$J$38,2,FALSE),0)</f>
        <v>1525</v>
      </c>
      <c r="S1044" s="15">
        <f>IFERROR(VLOOKUP($D1044&amp;$C1044,生产方式定位!$A$2:$E$38,3,FALSE)+VLOOKUP($E1044&amp;$C1044,生产方式定位!$F$3:$J$38,3,FALSE),0)</f>
        <v>100</v>
      </c>
      <c r="X1044" s="15">
        <f>IFERROR(VLOOKUP($D1044&amp;$C1044,生产方式定位!$A$2:$E$38,5,FALSE)+VLOOKUP($E1044&amp;$C1044,生产方式定位!$F$3:$J$38,5,FALSE),"错误")</f>
        <v>2050</v>
      </c>
      <c r="Y1044" s="26" t="str">
        <f t="shared" si="288"/>
        <v/>
      </c>
      <c r="Z1044" s="36" t="str">
        <f t="shared" si="289"/>
        <v/>
      </c>
      <c r="AA1044" s="36" t="str">
        <f t="shared" si="290"/>
        <v/>
      </c>
      <c r="AB1044" s="27" t="str">
        <f t="shared" si="291"/>
        <v>34%</v>
      </c>
      <c r="AC1044" s="2">
        <f t="shared" si="292"/>
        <v>425</v>
      </c>
      <c r="AD1044" s="38">
        <f t="shared" si="293"/>
        <v>3</v>
      </c>
      <c r="AE1044" t="str">
        <f t="shared" si="294"/>
        <v/>
      </c>
      <c r="AF1044" t="str">
        <f t="shared" si="295"/>
        <v/>
      </c>
      <c r="AG1044" t="str">
        <f t="shared" si="296"/>
        <v/>
      </c>
      <c r="AH1044" t="str">
        <f t="shared" si="297"/>
        <v/>
      </c>
      <c r="AI1044" t="str">
        <f t="shared" si="298"/>
        <v/>
      </c>
      <c r="AJ1044" t="str">
        <f t="shared" si="299"/>
        <v/>
      </c>
      <c r="AK1044" t="str">
        <f t="shared" si="300"/>
        <v/>
      </c>
      <c r="AL1044" t="str">
        <f>IFERROR(ROUND(L1044*(G1044/$AU1044)/VLOOKUP(F1044,商品!$A$4:$B$60,2,FALSE),0),"")</f>
        <v/>
      </c>
      <c r="AM1044" t="str">
        <f>IFERROR(ROUND(L1044*(I1044/$AU1044)/VLOOKUP(H1044,商品!$A$4:$B$60,2,FALSE),0),"")</f>
        <v/>
      </c>
      <c r="AN1044">
        <f>IFERROR(ROUND(L1044*(J1044/$AU1044)/VLOOKUP("运力",商品!$A$4:$B$60,2,FALSE),0),0)</f>
        <v>0</v>
      </c>
      <c r="AO1044">
        <f>IFERROR(ROUND(L1044*(K1044/$AU1044)/VLOOKUP("交易",商品!$A$4:$B$60,2,FALSE),0),0)</f>
        <v>0</v>
      </c>
      <c r="AP1044" t="str">
        <f>IFERROR(ROUND(S1044*(N1044/$AV1044)/VLOOKUP(M1044,职业!$A$4:$G$16,4,FALSE),0),"")</f>
        <v/>
      </c>
      <c r="AQ1044" t="str">
        <f>IFERROR(ROUND(S1044*(P1044/$AV1044)/VLOOKUP(O1044,职业!$A$4:$G$16,4,FALSE),0),"")</f>
        <v/>
      </c>
      <c r="AR1044" t="str">
        <f>IFERROR(ROUND(S1044*(R1044/$AV1044)/VLOOKUP(Q1044,职业!$A$4:$G$16,4,FALSE),0),"")</f>
        <v/>
      </c>
      <c r="AS1044" t="str">
        <f>IFERROR(ROUND(X1044*(U1044/$AW1044)/VLOOKUP(T1044,商品!$A$4:$B$60,2,FALSE),0),"")</f>
        <v/>
      </c>
      <c r="AT1044" t="str">
        <f>IFERROR(ROUND(X1044*(W1044/$AW1044)/VLOOKUP(V1044,商品!$A$4:$B$60,2,FALSE),0),"")</f>
        <v/>
      </c>
      <c r="AU1044">
        <f t="shared" si="301"/>
        <v>0</v>
      </c>
      <c r="AV1044">
        <f t="shared" si="302"/>
        <v>0</v>
      </c>
      <c r="AW1044">
        <f t="shared" si="303"/>
        <v>0</v>
      </c>
    </row>
    <row r="1045" spans="1:49" ht="19.95" customHeight="1" x14ac:dyDescent="0.25">
      <c r="A1045" s="16" t="s">
        <v>403</v>
      </c>
      <c r="C1045" s="16">
        <v>4</v>
      </c>
      <c r="D1045" s="23" t="s">
        <v>171</v>
      </c>
      <c r="E1045" s="23" t="s">
        <v>172</v>
      </c>
      <c r="L1045" s="15">
        <f>IFERROR(VLOOKUP($D1045&amp;$C1045,生产方式定位!$A$2:$E$38,2,FALSE)+VLOOKUP($E1045&amp;$C1045,生产方式定位!$F$3:$J$38,2,FALSE),0)</f>
        <v>1950</v>
      </c>
      <c r="S1045" s="15">
        <f>IFERROR(VLOOKUP($D1045&amp;$C1045,生产方式定位!$A$2:$E$38,3,FALSE)+VLOOKUP($E1045&amp;$C1045,生产方式定位!$F$3:$J$38,3,FALSE),0)</f>
        <v>100</v>
      </c>
      <c r="X1045" s="15">
        <f>IFERROR(VLOOKUP($D1045&amp;$C1045,生产方式定位!$A$2:$E$38,5,FALSE)+VLOOKUP($E1045&amp;$C1045,生产方式定位!$F$3:$J$38,5,FALSE),"错误")</f>
        <v>2590</v>
      </c>
      <c r="Y1045" s="26" t="str">
        <f t="shared" si="288"/>
        <v/>
      </c>
      <c r="Z1045" s="36" t="str">
        <f t="shared" si="289"/>
        <v/>
      </c>
      <c r="AA1045" s="36" t="str">
        <f t="shared" si="290"/>
        <v/>
      </c>
      <c r="AB1045" s="27" t="str">
        <f t="shared" si="291"/>
        <v>33%</v>
      </c>
      <c r="AC1045" s="2">
        <f t="shared" si="292"/>
        <v>540</v>
      </c>
      <c r="AD1045" s="38">
        <f t="shared" si="293"/>
        <v>4</v>
      </c>
      <c r="AE1045" t="str">
        <f t="shared" si="294"/>
        <v/>
      </c>
      <c r="AF1045" t="str">
        <f t="shared" si="295"/>
        <v/>
      </c>
      <c r="AG1045" t="str">
        <f t="shared" si="296"/>
        <v/>
      </c>
      <c r="AH1045" t="str">
        <f t="shared" si="297"/>
        <v/>
      </c>
      <c r="AI1045" t="str">
        <f t="shared" si="298"/>
        <v/>
      </c>
      <c r="AJ1045" t="str">
        <f t="shared" si="299"/>
        <v/>
      </c>
      <c r="AK1045" t="str">
        <f t="shared" si="300"/>
        <v/>
      </c>
      <c r="AL1045" t="str">
        <f>IFERROR(ROUND(L1045*(G1045/$AU1045)/VLOOKUP(F1045,商品!$A$4:$B$60,2,FALSE),0),"")</f>
        <v/>
      </c>
      <c r="AM1045" t="str">
        <f>IFERROR(ROUND(L1045*(I1045/$AU1045)/VLOOKUP(H1045,商品!$A$4:$B$60,2,FALSE),0),"")</f>
        <v/>
      </c>
      <c r="AN1045">
        <f>IFERROR(ROUND(L1045*(J1045/$AU1045)/VLOOKUP("运力",商品!$A$4:$B$60,2,FALSE),0),0)</f>
        <v>0</v>
      </c>
      <c r="AO1045">
        <f>IFERROR(ROUND(L1045*(K1045/$AU1045)/VLOOKUP("交易",商品!$A$4:$B$60,2,FALSE),0),0)</f>
        <v>0</v>
      </c>
      <c r="AP1045" t="str">
        <f>IFERROR(ROUND(S1045*(N1045/$AV1045)/VLOOKUP(M1045,职业!$A$4:$G$16,4,FALSE),0),"")</f>
        <v/>
      </c>
      <c r="AQ1045" t="str">
        <f>IFERROR(ROUND(S1045*(P1045/$AV1045)/VLOOKUP(O1045,职业!$A$4:$G$16,4,FALSE),0),"")</f>
        <v/>
      </c>
      <c r="AR1045" t="str">
        <f>IFERROR(ROUND(S1045*(R1045/$AV1045)/VLOOKUP(Q1045,职业!$A$4:$G$16,4,FALSE),0),"")</f>
        <v/>
      </c>
      <c r="AS1045" t="str">
        <f>IFERROR(ROUND(X1045*(U1045/$AW1045)/VLOOKUP(T1045,商品!$A$4:$B$60,2,FALSE),0),"")</f>
        <v/>
      </c>
      <c r="AT1045" t="str">
        <f>IFERROR(ROUND(X1045*(W1045/$AW1045)/VLOOKUP(V1045,商品!$A$4:$B$60,2,FALSE),0),"")</f>
        <v/>
      </c>
      <c r="AU1045">
        <f t="shared" si="301"/>
        <v>0</v>
      </c>
      <c r="AV1045">
        <f t="shared" si="302"/>
        <v>0</v>
      </c>
      <c r="AW1045">
        <f t="shared" si="303"/>
        <v>0</v>
      </c>
    </row>
    <row r="1046" spans="1:49" ht="19.95" customHeight="1" x14ac:dyDescent="0.25">
      <c r="A1046" s="16" t="s">
        <v>403</v>
      </c>
      <c r="C1046" s="16">
        <v>5</v>
      </c>
      <c r="D1046" s="23" t="s">
        <v>171</v>
      </c>
      <c r="E1046" s="23" t="s">
        <v>172</v>
      </c>
      <c r="L1046" s="15">
        <f>IFERROR(VLOOKUP($D1046&amp;$C1046,生产方式定位!$A$2:$E$38,2,FALSE)+VLOOKUP($E1046&amp;$C1046,生产方式定位!$F$3:$J$38,2,FALSE),0)</f>
        <v>2375</v>
      </c>
      <c r="S1046" s="15">
        <f>IFERROR(VLOOKUP($D1046&amp;$C1046,生产方式定位!$A$2:$E$38,3,FALSE)+VLOOKUP($E1046&amp;$C1046,生产方式定位!$F$3:$J$38,3,FALSE),0)</f>
        <v>100</v>
      </c>
      <c r="X1046" s="15">
        <f>IFERROR(VLOOKUP($D1046&amp;$C1046,生产方式定位!$A$2:$E$38,5,FALSE)+VLOOKUP($E1046&amp;$C1046,生产方式定位!$F$3:$J$38,5,FALSE),"错误")</f>
        <v>3130</v>
      </c>
      <c r="Y1046" s="26" t="str">
        <f t="shared" si="288"/>
        <v/>
      </c>
      <c r="Z1046" s="36" t="str">
        <f t="shared" si="289"/>
        <v/>
      </c>
      <c r="AA1046" s="36" t="str">
        <f t="shared" si="290"/>
        <v/>
      </c>
      <c r="AB1046" s="27" t="str">
        <f t="shared" si="291"/>
        <v>32%</v>
      </c>
      <c r="AC1046" s="2">
        <f t="shared" si="292"/>
        <v>655</v>
      </c>
      <c r="AD1046" s="38">
        <f t="shared" si="293"/>
        <v>5</v>
      </c>
      <c r="AE1046" t="str">
        <f t="shared" si="294"/>
        <v/>
      </c>
      <c r="AF1046" t="str">
        <f t="shared" si="295"/>
        <v/>
      </c>
      <c r="AG1046" t="str">
        <f t="shared" si="296"/>
        <v/>
      </c>
      <c r="AH1046" t="str">
        <f t="shared" si="297"/>
        <v/>
      </c>
      <c r="AI1046" t="str">
        <f t="shared" si="298"/>
        <v/>
      </c>
      <c r="AJ1046" t="str">
        <f t="shared" si="299"/>
        <v/>
      </c>
      <c r="AK1046" t="str">
        <f t="shared" si="300"/>
        <v/>
      </c>
      <c r="AL1046" t="str">
        <f>IFERROR(ROUND(L1046*(G1046/$AU1046)/VLOOKUP(F1046,商品!$A$4:$B$60,2,FALSE),0),"")</f>
        <v/>
      </c>
      <c r="AM1046" t="str">
        <f>IFERROR(ROUND(L1046*(I1046/$AU1046)/VLOOKUP(H1046,商品!$A$4:$B$60,2,FALSE),0),"")</f>
        <v/>
      </c>
      <c r="AN1046">
        <f>IFERROR(ROUND(L1046*(J1046/$AU1046)/VLOOKUP("运力",商品!$A$4:$B$60,2,FALSE),0),0)</f>
        <v>0</v>
      </c>
      <c r="AO1046">
        <f>IFERROR(ROUND(L1046*(K1046/$AU1046)/VLOOKUP("交易",商品!$A$4:$B$60,2,FALSE),0),0)</f>
        <v>0</v>
      </c>
      <c r="AP1046" t="str">
        <f>IFERROR(ROUND(S1046*(N1046/$AV1046)/VLOOKUP(M1046,职业!$A$4:$G$16,4,FALSE),0),"")</f>
        <v/>
      </c>
      <c r="AQ1046" t="str">
        <f>IFERROR(ROUND(S1046*(P1046/$AV1046)/VLOOKUP(O1046,职业!$A$4:$G$16,4,FALSE),0),"")</f>
        <v/>
      </c>
      <c r="AR1046" t="str">
        <f>IFERROR(ROUND(S1046*(R1046/$AV1046)/VLOOKUP(Q1046,职业!$A$4:$G$16,4,FALSE),0),"")</f>
        <v/>
      </c>
      <c r="AS1046" t="str">
        <f>IFERROR(ROUND(X1046*(U1046/$AW1046)/VLOOKUP(T1046,商品!$A$4:$B$60,2,FALSE),0),"")</f>
        <v/>
      </c>
      <c r="AT1046" t="str">
        <f>IFERROR(ROUND(X1046*(W1046/$AW1046)/VLOOKUP(V1046,商品!$A$4:$B$60,2,FALSE),0),"")</f>
        <v/>
      </c>
      <c r="AU1046">
        <f t="shared" si="301"/>
        <v>0</v>
      </c>
      <c r="AV1046">
        <f t="shared" si="302"/>
        <v>0</v>
      </c>
      <c r="AW1046">
        <f t="shared" si="303"/>
        <v>0</v>
      </c>
    </row>
    <row r="1047" spans="1:49" ht="19.95" customHeight="1" x14ac:dyDescent="0.25">
      <c r="A1047" s="15" t="s">
        <v>404</v>
      </c>
      <c r="C1047" s="15">
        <v>1</v>
      </c>
      <c r="D1047" s="23" t="s">
        <v>174</v>
      </c>
      <c r="E1047" s="23" t="s">
        <v>175</v>
      </c>
      <c r="L1047" s="16">
        <f>IFERROR(VLOOKUP($D1047&amp;$C1047,生产方式定位!$A$2:$E$38,2,FALSE)+VLOOKUP($E1047&amp;$C1047,生产方式定位!$F$3:$J$38,2,FALSE),0)</f>
        <v>0</v>
      </c>
      <c r="S1047" s="16">
        <f>IFERROR(VLOOKUP($D1047&amp;$C1047,生产方式定位!$A$2:$E$38,3,FALSE)+VLOOKUP($E1047&amp;$C1047,生产方式定位!$F$3:$J$38,3,FALSE),0)</f>
        <v>0</v>
      </c>
      <c r="X1047" s="16">
        <f>IFERROR(VLOOKUP($D1047&amp;$C1047,生产方式定位!$A$2:$E$38,5,FALSE)+VLOOKUP($E1047&amp;$C1047,生产方式定位!$F$3:$J$38,5,FALSE),"错误")</f>
        <v>0</v>
      </c>
      <c r="Y1047" s="26" t="str">
        <f t="shared" si="288"/>
        <v/>
      </c>
      <c r="Z1047" s="36" t="str">
        <f t="shared" si="289"/>
        <v/>
      </c>
      <c r="AA1047" s="36" t="str">
        <f t="shared" si="290"/>
        <v/>
      </c>
      <c r="AB1047" s="27" t="str">
        <f t="shared" si="291"/>
        <v/>
      </c>
      <c r="AC1047" s="2" t="str">
        <f t="shared" si="292"/>
        <v/>
      </c>
      <c r="AD1047" s="38">
        <f t="shared" si="293"/>
        <v>1</v>
      </c>
      <c r="AE1047" t="str">
        <f t="shared" si="294"/>
        <v/>
      </c>
      <c r="AF1047" t="str">
        <f t="shared" si="295"/>
        <v/>
      </c>
      <c r="AG1047" t="str">
        <f t="shared" si="296"/>
        <v/>
      </c>
      <c r="AH1047" t="str">
        <f t="shared" si="297"/>
        <v/>
      </c>
      <c r="AI1047" t="str">
        <f t="shared" si="298"/>
        <v/>
      </c>
      <c r="AJ1047" t="str">
        <f t="shared" si="299"/>
        <v/>
      </c>
      <c r="AK1047" t="str">
        <f t="shared" si="300"/>
        <v/>
      </c>
      <c r="AL1047" t="str">
        <f>IFERROR(ROUND(L1047*(G1047/$AU1047)/VLOOKUP(F1047,商品!$A$4:$B$60,2,FALSE),0),"")</f>
        <v/>
      </c>
      <c r="AM1047" t="str">
        <f>IFERROR(ROUND(L1047*(I1047/$AU1047)/VLOOKUP(H1047,商品!$A$4:$B$60,2,FALSE),0),"")</f>
        <v/>
      </c>
      <c r="AN1047">
        <f>IFERROR(ROUND(L1047*(J1047/$AU1047)/VLOOKUP("运力",商品!$A$4:$B$60,2,FALSE),0),0)</f>
        <v>0</v>
      </c>
      <c r="AO1047">
        <f>IFERROR(ROUND(L1047*(K1047/$AU1047)/VLOOKUP("交易",商品!$A$4:$B$60,2,FALSE),0),0)</f>
        <v>0</v>
      </c>
      <c r="AP1047" t="str">
        <f>IFERROR(ROUND(S1047*(N1047/$AV1047)/VLOOKUP(M1047,职业!$A$4:$G$16,4,FALSE),0),"")</f>
        <v/>
      </c>
      <c r="AQ1047" t="str">
        <f>IFERROR(ROUND(S1047*(P1047/$AV1047)/VLOOKUP(O1047,职业!$A$4:$G$16,4,FALSE),0),"")</f>
        <v/>
      </c>
      <c r="AR1047" t="str">
        <f>IFERROR(ROUND(S1047*(R1047/$AV1047)/VLOOKUP(Q1047,职业!$A$4:$G$16,4,FALSE),0),"")</f>
        <v/>
      </c>
      <c r="AS1047" t="str">
        <f>IFERROR(ROUND(X1047*(U1047/$AW1047)/VLOOKUP(T1047,商品!$A$4:$B$60,2,FALSE),0),"")</f>
        <v/>
      </c>
      <c r="AT1047" t="str">
        <f>IFERROR(ROUND(X1047*(W1047/$AW1047)/VLOOKUP(V1047,商品!$A$4:$B$60,2,FALSE),0),"")</f>
        <v/>
      </c>
      <c r="AU1047">
        <f t="shared" si="301"/>
        <v>0</v>
      </c>
      <c r="AV1047">
        <f t="shared" si="302"/>
        <v>0</v>
      </c>
      <c r="AW1047">
        <f t="shared" si="303"/>
        <v>0</v>
      </c>
    </row>
    <row r="1048" spans="1:49" ht="19.95" customHeight="1" x14ac:dyDescent="0.25">
      <c r="A1048" s="15" t="s">
        <v>404</v>
      </c>
      <c r="C1048" s="15">
        <v>2</v>
      </c>
      <c r="D1048" s="23" t="s">
        <v>174</v>
      </c>
      <c r="E1048" s="23" t="s">
        <v>175</v>
      </c>
      <c r="F1048" s="2" t="s">
        <v>41</v>
      </c>
      <c r="G1048" s="2">
        <v>10</v>
      </c>
      <c r="L1048" s="16">
        <f>IFERROR(VLOOKUP($D1048&amp;$C1048,生产方式定位!$A$2:$E$38,2,FALSE)+VLOOKUP($E1048&amp;$C1048,生产方式定位!$F$3:$J$38,2,FALSE),0)</f>
        <v>50</v>
      </c>
      <c r="S1048" s="16">
        <f>IFERROR(VLOOKUP($D1048&amp;$C1048,生产方式定位!$A$2:$E$38,3,FALSE)+VLOOKUP($E1048&amp;$C1048,生产方式定位!$F$3:$J$38,3,FALSE),0)</f>
        <v>10</v>
      </c>
      <c r="X1048" s="16">
        <f>IFERROR(VLOOKUP($D1048&amp;$C1048,生产方式定位!$A$2:$E$38,5,FALSE)+VLOOKUP($E1048&amp;$C1048,生产方式定位!$F$3:$J$38,5,FALSE),"错误")</f>
        <v>0</v>
      </c>
      <c r="Y1048" s="26" t="str">
        <f t="shared" si="288"/>
        <v>工具*1</v>
      </c>
      <c r="Z1048" s="36" t="str">
        <f t="shared" si="289"/>
        <v/>
      </c>
      <c r="AA1048" s="36" t="str">
        <f t="shared" si="290"/>
        <v/>
      </c>
      <c r="AB1048" s="27" t="str">
        <f t="shared" si="291"/>
        <v>-100%</v>
      </c>
      <c r="AC1048" s="2">
        <f t="shared" si="292"/>
        <v>-60</v>
      </c>
      <c r="AD1048" s="38">
        <f t="shared" si="293"/>
        <v>2</v>
      </c>
      <c r="AE1048" t="str">
        <f t="shared" si="294"/>
        <v>工具*1</v>
      </c>
      <c r="AF1048" t="str">
        <f t="shared" si="295"/>
        <v/>
      </c>
      <c r="AG1048" t="str">
        <f t="shared" si="296"/>
        <v/>
      </c>
      <c r="AH1048" t="str">
        <f t="shared" si="297"/>
        <v/>
      </c>
      <c r="AI1048" t="str">
        <f t="shared" si="298"/>
        <v/>
      </c>
      <c r="AJ1048" t="str">
        <f t="shared" si="299"/>
        <v/>
      </c>
      <c r="AK1048" t="str">
        <f t="shared" si="300"/>
        <v/>
      </c>
      <c r="AL1048">
        <f>IFERROR(ROUND(L1048*(G1048/$AU1048)/VLOOKUP(F1048,商品!$A$4:$B$60,2,FALSE),0),"")</f>
        <v>1</v>
      </c>
      <c r="AM1048" t="str">
        <f>IFERROR(ROUND(L1048*(I1048/$AU1048)/VLOOKUP(H1048,商品!$A$4:$B$60,2,FALSE),0),"")</f>
        <v/>
      </c>
      <c r="AN1048">
        <f>IFERROR(ROUND(L1048*(J1048/$AU1048)/VLOOKUP("运力",商品!$A$4:$B$60,2,FALSE),0),0)</f>
        <v>0</v>
      </c>
      <c r="AO1048">
        <f>IFERROR(ROUND(L1048*(K1048/$AU1048)/VLOOKUP("交易",商品!$A$4:$B$60,2,FALSE),0),0)</f>
        <v>0</v>
      </c>
      <c r="AP1048" t="str">
        <f>IFERROR(ROUND(S1048*(N1048/$AV1048)/VLOOKUP(M1048,职业!$A$4:$G$16,4,FALSE),0),"")</f>
        <v/>
      </c>
      <c r="AQ1048" t="str">
        <f>IFERROR(ROUND(S1048*(P1048/$AV1048)/VLOOKUP(O1048,职业!$A$4:$G$16,4,FALSE),0),"")</f>
        <v/>
      </c>
      <c r="AR1048" t="str">
        <f>IFERROR(ROUND(S1048*(R1048/$AV1048)/VLOOKUP(Q1048,职业!$A$4:$G$16,4,FALSE),0),"")</f>
        <v/>
      </c>
      <c r="AS1048" t="str">
        <f>IFERROR(ROUND(X1048*(U1048/$AW1048)/VLOOKUP(T1048,商品!$A$4:$B$60,2,FALSE),0),"")</f>
        <v/>
      </c>
      <c r="AT1048" t="str">
        <f>IFERROR(ROUND(X1048*(W1048/$AW1048)/VLOOKUP(V1048,商品!$A$4:$B$60,2,FALSE),0),"")</f>
        <v/>
      </c>
      <c r="AU1048">
        <f t="shared" si="301"/>
        <v>10</v>
      </c>
      <c r="AV1048">
        <f t="shared" si="302"/>
        <v>0</v>
      </c>
      <c r="AW1048">
        <f t="shared" si="303"/>
        <v>0</v>
      </c>
    </row>
    <row r="1049" spans="1:49" ht="19.95" customHeight="1" x14ac:dyDescent="0.25">
      <c r="A1049" s="15" t="s">
        <v>404</v>
      </c>
      <c r="C1049" s="15">
        <v>3</v>
      </c>
      <c r="D1049" s="23" t="s">
        <v>174</v>
      </c>
      <c r="E1049" s="23" t="s">
        <v>175</v>
      </c>
      <c r="F1049" s="2" t="s">
        <v>41</v>
      </c>
      <c r="G1049" s="2">
        <v>10</v>
      </c>
      <c r="L1049" s="16">
        <f>IFERROR(VLOOKUP($D1049&amp;$C1049,生产方式定位!$A$2:$E$38,2,FALSE)+VLOOKUP($E1049&amp;$C1049,生产方式定位!$F$3:$J$38,2,FALSE),0)</f>
        <v>100</v>
      </c>
      <c r="S1049" s="16">
        <f>IFERROR(VLOOKUP($D1049&amp;$C1049,生产方式定位!$A$2:$E$38,3,FALSE)+VLOOKUP($E1049&amp;$C1049,生产方式定位!$F$3:$J$38,3,FALSE),0)</f>
        <v>20</v>
      </c>
      <c r="X1049" s="16">
        <f>IFERROR(VLOOKUP($D1049&amp;$C1049,生产方式定位!$A$2:$E$38,5,FALSE)+VLOOKUP($E1049&amp;$C1049,生产方式定位!$F$3:$J$38,5,FALSE),"错误")</f>
        <v>0</v>
      </c>
      <c r="Y1049" s="26" t="str">
        <f t="shared" si="288"/>
        <v>工具*3</v>
      </c>
      <c r="Z1049" s="36" t="str">
        <f t="shared" si="289"/>
        <v/>
      </c>
      <c r="AA1049" s="36" t="str">
        <f t="shared" si="290"/>
        <v/>
      </c>
      <c r="AB1049" s="27" t="str">
        <f t="shared" si="291"/>
        <v>-100%</v>
      </c>
      <c r="AC1049" s="2">
        <f t="shared" si="292"/>
        <v>-120</v>
      </c>
      <c r="AD1049" s="38">
        <f t="shared" si="293"/>
        <v>3</v>
      </c>
      <c r="AE1049" t="str">
        <f t="shared" si="294"/>
        <v>工具*3</v>
      </c>
      <c r="AF1049" t="str">
        <f t="shared" si="295"/>
        <v/>
      </c>
      <c r="AG1049" t="str">
        <f t="shared" si="296"/>
        <v/>
      </c>
      <c r="AH1049" t="str">
        <f t="shared" si="297"/>
        <v/>
      </c>
      <c r="AI1049" t="str">
        <f t="shared" si="298"/>
        <v/>
      </c>
      <c r="AJ1049" t="str">
        <f t="shared" si="299"/>
        <v/>
      </c>
      <c r="AK1049" t="str">
        <f t="shared" si="300"/>
        <v/>
      </c>
      <c r="AL1049">
        <f>IFERROR(ROUND(L1049*(G1049/$AU1049)/VLOOKUP(F1049,商品!$A$4:$B$60,2,FALSE),0),"")</f>
        <v>3</v>
      </c>
      <c r="AM1049" t="str">
        <f>IFERROR(ROUND(L1049*(I1049/$AU1049)/VLOOKUP(H1049,商品!$A$4:$B$60,2,FALSE),0),"")</f>
        <v/>
      </c>
      <c r="AN1049">
        <f>IFERROR(ROUND(L1049*(J1049/$AU1049)/VLOOKUP("运力",商品!$A$4:$B$60,2,FALSE),0),0)</f>
        <v>0</v>
      </c>
      <c r="AO1049">
        <f>IFERROR(ROUND(L1049*(K1049/$AU1049)/VLOOKUP("交易",商品!$A$4:$B$60,2,FALSE),0),0)</f>
        <v>0</v>
      </c>
      <c r="AP1049" t="str">
        <f>IFERROR(ROUND(S1049*(N1049/$AV1049)/VLOOKUP(M1049,职业!$A$4:$G$16,4,FALSE),0),"")</f>
        <v/>
      </c>
      <c r="AQ1049" t="str">
        <f>IFERROR(ROUND(S1049*(P1049/$AV1049)/VLOOKUP(O1049,职业!$A$4:$G$16,4,FALSE),0),"")</f>
        <v/>
      </c>
      <c r="AR1049" t="str">
        <f>IFERROR(ROUND(S1049*(R1049/$AV1049)/VLOOKUP(Q1049,职业!$A$4:$G$16,4,FALSE),0),"")</f>
        <v/>
      </c>
      <c r="AS1049" t="str">
        <f>IFERROR(ROUND(X1049*(U1049/$AW1049)/VLOOKUP(T1049,商品!$A$4:$B$60,2,FALSE),0),"")</f>
        <v/>
      </c>
      <c r="AT1049" t="str">
        <f>IFERROR(ROUND(X1049*(W1049/$AW1049)/VLOOKUP(V1049,商品!$A$4:$B$60,2,FALSE),0),"")</f>
        <v/>
      </c>
      <c r="AU1049">
        <f t="shared" si="301"/>
        <v>10</v>
      </c>
      <c r="AV1049">
        <f t="shared" si="302"/>
        <v>0</v>
      </c>
      <c r="AW1049">
        <f t="shared" si="303"/>
        <v>0</v>
      </c>
    </row>
    <row r="1050" spans="1:49" ht="19.95" customHeight="1" x14ac:dyDescent="0.25">
      <c r="A1050" s="15" t="s">
        <v>404</v>
      </c>
      <c r="C1050" s="15">
        <v>4</v>
      </c>
      <c r="D1050" s="23" t="s">
        <v>174</v>
      </c>
      <c r="E1050" s="23" t="s">
        <v>175</v>
      </c>
      <c r="F1050" s="2" t="s">
        <v>45</v>
      </c>
      <c r="G1050" s="2">
        <v>5</v>
      </c>
      <c r="H1050" s="2" t="s">
        <v>19</v>
      </c>
      <c r="I1050" s="2">
        <v>10</v>
      </c>
      <c r="L1050" s="16">
        <f>IFERROR(VLOOKUP($D1050&amp;$C1050,生产方式定位!$A$2:$E$38,2,FALSE)+VLOOKUP($E1050&amp;$C1050,生产方式定位!$F$3:$J$38,2,FALSE),0)</f>
        <v>150</v>
      </c>
      <c r="S1050" s="16">
        <f>IFERROR(VLOOKUP($D1050&amp;$C1050,生产方式定位!$A$2:$E$38,3,FALSE)+VLOOKUP($E1050&amp;$C1050,生产方式定位!$F$3:$J$38,3,FALSE),0)</f>
        <v>30</v>
      </c>
      <c r="X1050" s="16">
        <f>IFERROR(VLOOKUP($D1050&amp;$C1050,生产方式定位!$A$2:$E$38,5,FALSE)+VLOOKUP($E1050&amp;$C1050,生产方式定位!$F$3:$J$38,5,FALSE),"错误")</f>
        <v>0</v>
      </c>
      <c r="Y1050" s="26" t="str">
        <f t="shared" si="288"/>
        <v>科学引擎*1,煤*3</v>
      </c>
      <c r="Z1050" s="36" t="str">
        <f t="shared" si="289"/>
        <v/>
      </c>
      <c r="AA1050" s="36" t="str">
        <f t="shared" si="290"/>
        <v/>
      </c>
      <c r="AB1050" s="27" t="str">
        <f t="shared" si="291"/>
        <v>-100%</v>
      </c>
      <c r="AC1050" s="2">
        <f t="shared" si="292"/>
        <v>-180</v>
      </c>
      <c r="AD1050" s="38">
        <f t="shared" si="293"/>
        <v>4</v>
      </c>
      <c r="AE1050" t="str">
        <f t="shared" si="294"/>
        <v>科学引擎*1</v>
      </c>
      <c r="AF1050" t="str">
        <f t="shared" si="295"/>
        <v>煤*3</v>
      </c>
      <c r="AG1050" t="str">
        <f t="shared" si="296"/>
        <v/>
      </c>
      <c r="AH1050" t="str">
        <f t="shared" si="297"/>
        <v/>
      </c>
      <c r="AI1050" t="str">
        <f t="shared" si="298"/>
        <v/>
      </c>
      <c r="AJ1050" t="str">
        <f t="shared" si="299"/>
        <v/>
      </c>
      <c r="AK1050" t="str">
        <f t="shared" si="300"/>
        <v/>
      </c>
      <c r="AL1050">
        <f>IFERROR(ROUND(L1050*(G1050/$AU1050)/VLOOKUP(F1050,商品!$A$4:$B$60,2,FALSE),0),"")</f>
        <v>1</v>
      </c>
      <c r="AM1050">
        <f>IFERROR(ROUND(L1050*(I1050/$AU1050)/VLOOKUP(H1050,商品!$A$4:$B$60,2,FALSE),0),"")</f>
        <v>3</v>
      </c>
      <c r="AN1050">
        <f>IFERROR(ROUND(L1050*(J1050/$AU1050)/VLOOKUP("运力",商品!$A$4:$B$60,2,FALSE),0),0)</f>
        <v>0</v>
      </c>
      <c r="AO1050">
        <f>IFERROR(ROUND(L1050*(K1050/$AU1050)/VLOOKUP("交易",商品!$A$4:$B$60,2,FALSE),0),0)</f>
        <v>0</v>
      </c>
      <c r="AP1050" t="str">
        <f>IFERROR(ROUND(S1050*(N1050/$AV1050)/VLOOKUP(M1050,职业!$A$4:$G$16,4,FALSE),0),"")</f>
        <v/>
      </c>
      <c r="AQ1050" t="str">
        <f>IFERROR(ROUND(S1050*(P1050/$AV1050)/VLOOKUP(O1050,职业!$A$4:$G$16,4,FALSE),0),"")</f>
        <v/>
      </c>
      <c r="AR1050" t="str">
        <f>IFERROR(ROUND(S1050*(R1050/$AV1050)/VLOOKUP(Q1050,职业!$A$4:$G$16,4,FALSE),0),"")</f>
        <v/>
      </c>
      <c r="AS1050" t="str">
        <f>IFERROR(ROUND(X1050*(U1050/$AW1050)/VLOOKUP(T1050,商品!$A$4:$B$60,2,FALSE),0),"")</f>
        <v/>
      </c>
      <c r="AT1050" t="str">
        <f>IFERROR(ROUND(X1050*(W1050/$AW1050)/VLOOKUP(V1050,商品!$A$4:$B$60,2,FALSE),0),"")</f>
        <v/>
      </c>
      <c r="AU1050">
        <f t="shared" si="301"/>
        <v>15</v>
      </c>
      <c r="AV1050">
        <f t="shared" si="302"/>
        <v>0</v>
      </c>
      <c r="AW1050">
        <f t="shared" si="303"/>
        <v>0</v>
      </c>
    </row>
    <row r="1051" spans="1:49" ht="19.95" customHeight="1" x14ac:dyDescent="0.25">
      <c r="A1051" s="15" t="s">
        <v>404</v>
      </c>
      <c r="C1051" s="15">
        <v>5</v>
      </c>
      <c r="D1051" s="23" t="s">
        <v>174</v>
      </c>
      <c r="E1051" s="23" t="s">
        <v>175</v>
      </c>
      <c r="F1051" s="2" t="s">
        <v>46</v>
      </c>
      <c r="G1051" s="2">
        <v>5</v>
      </c>
      <c r="H1051" s="2" t="s">
        <v>19</v>
      </c>
      <c r="I1051" s="2">
        <v>10</v>
      </c>
      <c r="L1051" s="16">
        <f>IFERROR(VLOOKUP($D1051&amp;$C1051,生产方式定位!$A$2:$E$38,2,FALSE)+VLOOKUP($E1051&amp;$C1051,生产方式定位!$F$3:$J$38,2,FALSE),0)</f>
        <v>200</v>
      </c>
      <c r="S1051" s="16">
        <f>IFERROR(VLOOKUP($D1051&amp;$C1051,生产方式定位!$A$2:$E$38,3,FALSE)+VLOOKUP($E1051&amp;$C1051,生产方式定位!$F$3:$J$38,3,FALSE),0)</f>
        <v>40</v>
      </c>
      <c r="X1051" s="16">
        <f>IFERROR(VLOOKUP($D1051&amp;$C1051,生产方式定位!$A$2:$E$38,5,FALSE)+VLOOKUP($E1051&amp;$C1051,生产方式定位!$F$3:$J$38,5,FALSE),"错误")</f>
        <v>0</v>
      </c>
      <c r="Y1051" s="26" t="str">
        <f t="shared" si="288"/>
        <v>魔导引擎*1,煤*4</v>
      </c>
      <c r="Z1051" s="36" t="str">
        <f t="shared" si="289"/>
        <v/>
      </c>
      <c r="AA1051" s="36" t="str">
        <f t="shared" si="290"/>
        <v/>
      </c>
      <c r="AB1051" s="27" t="str">
        <f t="shared" si="291"/>
        <v>-100%</v>
      </c>
      <c r="AC1051" s="2">
        <f t="shared" si="292"/>
        <v>-240</v>
      </c>
      <c r="AD1051" s="38">
        <f t="shared" si="293"/>
        <v>5</v>
      </c>
      <c r="AE1051" t="str">
        <f t="shared" si="294"/>
        <v>魔导引擎*1</v>
      </c>
      <c r="AF1051" t="str">
        <f t="shared" si="295"/>
        <v>煤*4</v>
      </c>
      <c r="AG1051" t="str">
        <f t="shared" si="296"/>
        <v/>
      </c>
      <c r="AH1051" t="str">
        <f t="shared" si="297"/>
        <v/>
      </c>
      <c r="AI1051" t="str">
        <f t="shared" si="298"/>
        <v/>
      </c>
      <c r="AJ1051" t="str">
        <f t="shared" si="299"/>
        <v/>
      </c>
      <c r="AK1051" t="str">
        <f t="shared" si="300"/>
        <v/>
      </c>
      <c r="AL1051">
        <f>IFERROR(ROUND(L1051*(G1051/$AU1051)/VLOOKUP(F1051,商品!$A$4:$B$60,2,FALSE),0),"")</f>
        <v>1</v>
      </c>
      <c r="AM1051">
        <f>IFERROR(ROUND(L1051*(I1051/$AU1051)/VLOOKUP(H1051,商品!$A$4:$B$60,2,FALSE),0),"")</f>
        <v>4</v>
      </c>
      <c r="AN1051">
        <f>IFERROR(ROUND(L1051*(J1051/$AU1051)/VLOOKUP("运力",商品!$A$4:$B$60,2,FALSE),0),0)</f>
        <v>0</v>
      </c>
      <c r="AO1051">
        <f>IFERROR(ROUND(L1051*(K1051/$AU1051)/VLOOKUP("交易",商品!$A$4:$B$60,2,FALSE),0),0)</f>
        <v>0</v>
      </c>
      <c r="AP1051" t="str">
        <f>IFERROR(ROUND(S1051*(N1051/$AV1051)/VLOOKUP(M1051,职业!$A$4:$G$16,4,FALSE),0),"")</f>
        <v/>
      </c>
      <c r="AQ1051" t="str">
        <f>IFERROR(ROUND(S1051*(P1051/$AV1051)/VLOOKUP(O1051,职业!$A$4:$G$16,4,FALSE),0),"")</f>
        <v/>
      </c>
      <c r="AR1051" t="str">
        <f>IFERROR(ROUND(S1051*(R1051/$AV1051)/VLOOKUP(Q1051,职业!$A$4:$G$16,4,FALSE),0),"")</f>
        <v/>
      </c>
      <c r="AS1051" t="str">
        <f>IFERROR(ROUND(X1051*(U1051/$AW1051)/VLOOKUP(T1051,商品!$A$4:$B$60,2,FALSE),0),"")</f>
        <v/>
      </c>
      <c r="AT1051" t="str">
        <f>IFERROR(ROUND(X1051*(W1051/$AW1051)/VLOOKUP(V1051,商品!$A$4:$B$60,2,FALSE),0),"")</f>
        <v/>
      </c>
      <c r="AU1051">
        <f t="shared" si="301"/>
        <v>15</v>
      </c>
      <c r="AV1051">
        <f t="shared" si="302"/>
        <v>0</v>
      </c>
      <c r="AW1051">
        <f t="shared" si="303"/>
        <v>0</v>
      </c>
    </row>
    <row r="1052" spans="1:49" ht="19.95" customHeight="1" x14ac:dyDescent="0.25">
      <c r="A1052" s="16" t="s">
        <v>405</v>
      </c>
      <c r="C1052" s="16">
        <v>1</v>
      </c>
      <c r="D1052" s="23" t="s">
        <v>171</v>
      </c>
      <c r="E1052" s="23" t="s">
        <v>177</v>
      </c>
      <c r="L1052" s="15">
        <f>IFERROR(VLOOKUP($D1052&amp;$C1052,生产方式定位!$A$2:$E$38,2,FALSE)+VLOOKUP($E1052&amp;$C1052,生产方式定位!$F$3:$J$38,2,FALSE),0)</f>
        <v>300</v>
      </c>
      <c r="S1052" s="15">
        <f>IFERROR(VLOOKUP($D1052&amp;$C1052,生产方式定位!$A$2:$E$38,3,FALSE)+VLOOKUP($E1052&amp;$C1052,生产方式定位!$F$3:$J$38,3,FALSE),0)</f>
        <v>100</v>
      </c>
      <c r="X1052" s="15">
        <f>IFERROR(VLOOKUP($D1052&amp;$C1052,生产方式定位!$A$2:$E$38,5,FALSE)+VLOOKUP($E1052&amp;$C1052,生产方式定位!$F$3:$J$38,5,FALSE),"错误")</f>
        <v>520</v>
      </c>
      <c r="Y1052" s="26" t="str">
        <f t="shared" si="288"/>
        <v/>
      </c>
      <c r="Z1052" s="36" t="str">
        <f t="shared" si="289"/>
        <v/>
      </c>
      <c r="AA1052" s="36" t="str">
        <f t="shared" si="290"/>
        <v/>
      </c>
      <c r="AB1052" s="27" t="str">
        <f t="shared" si="291"/>
        <v>73%</v>
      </c>
      <c r="AC1052" s="2">
        <f t="shared" si="292"/>
        <v>120</v>
      </c>
      <c r="AD1052" s="37">
        <f t="shared" si="293"/>
        <v>1</v>
      </c>
      <c r="AE1052" t="str">
        <f t="shared" si="294"/>
        <v/>
      </c>
      <c r="AF1052" t="str">
        <f t="shared" si="295"/>
        <v/>
      </c>
      <c r="AG1052" t="str">
        <f t="shared" si="296"/>
        <v/>
      </c>
      <c r="AH1052" t="str">
        <f t="shared" si="297"/>
        <v/>
      </c>
      <c r="AI1052" t="str">
        <f t="shared" si="298"/>
        <v/>
      </c>
      <c r="AJ1052" t="str">
        <f t="shared" si="299"/>
        <v/>
      </c>
      <c r="AK1052" t="str">
        <f t="shared" si="300"/>
        <v/>
      </c>
      <c r="AL1052" t="str">
        <f>IFERROR(ROUND(L1052*(G1052/$AU1052)/VLOOKUP(F1052,商品!$A$4:$B$60,2,FALSE),0),"")</f>
        <v/>
      </c>
      <c r="AM1052" t="str">
        <f>IFERROR(ROUND(L1052*(I1052/$AU1052)/VLOOKUP(H1052,商品!$A$4:$B$60,2,FALSE),0),"")</f>
        <v/>
      </c>
      <c r="AN1052">
        <f>IFERROR(ROUND(L1052*(J1052/$AU1052)/VLOOKUP("运力",商品!$A$4:$B$60,2,FALSE),0),0)</f>
        <v>0</v>
      </c>
      <c r="AO1052">
        <f>IFERROR(ROUND(L1052*(K1052/$AU1052)/VLOOKUP("交易",商品!$A$4:$B$60,2,FALSE),0),0)</f>
        <v>0</v>
      </c>
      <c r="AP1052" t="str">
        <f>IFERROR(ROUND(S1052*(N1052/$AV1052)/VLOOKUP(M1052,职业!$A$4:$G$16,4,FALSE),0),"")</f>
        <v/>
      </c>
      <c r="AQ1052" t="str">
        <f>IFERROR(ROUND(S1052*(P1052/$AV1052)/VLOOKUP(O1052,职业!$A$4:$G$16,4,FALSE),0),"")</f>
        <v/>
      </c>
      <c r="AR1052" t="str">
        <f>IFERROR(ROUND(S1052*(R1052/$AV1052)/VLOOKUP(Q1052,职业!$A$4:$G$16,4,FALSE),0),"")</f>
        <v/>
      </c>
      <c r="AS1052" t="str">
        <f>IFERROR(ROUND(X1052*(U1052/$AW1052)/VLOOKUP(T1052,商品!$A$4:$B$60,2,FALSE),0),"")</f>
        <v/>
      </c>
      <c r="AT1052" t="str">
        <f>IFERROR(ROUND(X1052*(W1052/$AW1052)/VLOOKUP(V1052,商品!$A$4:$B$60,2,FALSE),0),"")</f>
        <v/>
      </c>
      <c r="AU1052">
        <f t="shared" si="301"/>
        <v>0</v>
      </c>
      <c r="AV1052">
        <f t="shared" si="302"/>
        <v>0</v>
      </c>
      <c r="AW1052">
        <f t="shared" si="303"/>
        <v>0</v>
      </c>
    </row>
    <row r="1053" spans="1:49" ht="19.95" customHeight="1" x14ac:dyDescent="0.25">
      <c r="A1053" s="16" t="s">
        <v>405</v>
      </c>
      <c r="C1053" s="16">
        <v>2</v>
      </c>
      <c r="D1053" s="23" t="s">
        <v>171</v>
      </c>
      <c r="E1053" s="23" t="s">
        <v>177</v>
      </c>
      <c r="F1053" s="2" t="s">
        <v>42</v>
      </c>
      <c r="G1053" s="2">
        <v>5</v>
      </c>
      <c r="H1053" s="2" t="s">
        <v>20</v>
      </c>
      <c r="I1053" s="2">
        <v>10</v>
      </c>
      <c r="L1053" s="15">
        <f>IFERROR(VLOOKUP($D1053&amp;$C1053,生产方式定位!$A$2:$E$38,2,FALSE)+VLOOKUP($E1053&amp;$C1053,生产方式定位!$F$3:$J$38,2,FALSE),0)</f>
        <v>705</v>
      </c>
      <c r="S1053" s="15">
        <f>IFERROR(VLOOKUP($D1053&amp;$C1053,生产方式定位!$A$2:$E$38,3,FALSE)+VLOOKUP($E1053&amp;$C1053,生产方式定位!$F$3:$J$38,3,FALSE),0)</f>
        <v>115</v>
      </c>
      <c r="X1053" s="15">
        <f>IFERROR(VLOOKUP($D1053&amp;$C1053,生产方式定位!$A$2:$E$38,5,FALSE)+VLOOKUP($E1053&amp;$C1053,生产方式定位!$F$3:$J$38,5,FALSE),"错误")</f>
        <v>910</v>
      </c>
      <c r="Y1053" s="26" t="str">
        <f t="shared" si="288"/>
        <v>魔偶*6,灵能水晶*16</v>
      </c>
      <c r="Z1053" s="36" t="str">
        <f t="shared" si="289"/>
        <v/>
      </c>
      <c r="AA1053" s="36" t="str">
        <f t="shared" si="290"/>
        <v/>
      </c>
      <c r="AB1053" s="27" t="str">
        <f t="shared" si="291"/>
        <v>29%</v>
      </c>
      <c r="AC1053" s="2">
        <f t="shared" si="292"/>
        <v>90</v>
      </c>
      <c r="AD1053" s="37">
        <f t="shared" si="293"/>
        <v>2</v>
      </c>
      <c r="AE1053" t="str">
        <f t="shared" si="294"/>
        <v>魔偶*6</v>
      </c>
      <c r="AF1053" t="str">
        <f t="shared" si="295"/>
        <v>灵能水晶*16</v>
      </c>
      <c r="AG1053" t="str">
        <f t="shared" si="296"/>
        <v/>
      </c>
      <c r="AH1053" t="str">
        <f t="shared" si="297"/>
        <v/>
      </c>
      <c r="AI1053" t="str">
        <f t="shared" si="298"/>
        <v/>
      </c>
      <c r="AJ1053" t="str">
        <f t="shared" si="299"/>
        <v/>
      </c>
      <c r="AK1053" t="str">
        <f t="shared" si="300"/>
        <v/>
      </c>
      <c r="AL1053">
        <f>IFERROR(ROUND(L1053*(G1053/$AU1053)/VLOOKUP(F1053,商品!$A$4:$B$60,2,FALSE),0),"")</f>
        <v>6</v>
      </c>
      <c r="AM1053">
        <f>IFERROR(ROUND(L1053*(I1053/$AU1053)/VLOOKUP(H1053,商品!$A$4:$B$60,2,FALSE),0),"")</f>
        <v>16</v>
      </c>
      <c r="AN1053">
        <f>IFERROR(ROUND(L1053*(J1053/$AU1053)/VLOOKUP("运力",商品!$A$4:$B$60,2,FALSE),0),0)</f>
        <v>0</v>
      </c>
      <c r="AO1053">
        <f>IFERROR(ROUND(L1053*(K1053/$AU1053)/VLOOKUP("交易",商品!$A$4:$B$60,2,FALSE),0),0)</f>
        <v>0</v>
      </c>
      <c r="AP1053" t="str">
        <f>IFERROR(ROUND(S1053*(N1053/$AV1053)/VLOOKUP(M1053,职业!$A$4:$G$16,4,FALSE),0),"")</f>
        <v/>
      </c>
      <c r="AQ1053" t="str">
        <f>IFERROR(ROUND(S1053*(P1053/$AV1053)/VLOOKUP(O1053,职业!$A$4:$G$16,4,FALSE),0),"")</f>
        <v/>
      </c>
      <c r="AR1053" t="str">
        <f>IFERROR(ROUND(S1053*(R1053/$AV1053)/VLOOKUP(Q1053,职业!$A$4:$G$16,4,FALSE),0),"")</f>
        <v/>
      </c>
      <c r="AS1053" t="str">
        <f>IFERROR(ROUND(X1053*(U1053/$AW1053)/VLOOKUP(T1053,商品!$A$4:$B$60,2,FALSE),0),"")</f>
        <v/>
      </c>
      <c r="AT1053" t="str">
        <f>IFERROR(ROUND(X1053*(W1053/$AW1053)/VLOOKUP(V1053,商品!$A$4:$B$60,2,FALSE),0),"")</f>
        <v/>
      </c>
      <c r="AU1053">
        <f t="shared" si="301"/>
        <v>15</v>
      </c>
      <c r="AV1053">
        <f t="shared" si="302"/>
        <v>0</v>
      </c>
      <c r="AW1053">
        <f t="shared" si="303"/>
        <v>0</v>
      </c>
    </row>
    <row r="1054" spans="1:49" ht="19.95" customHeight="1" x14ac:dyDescent="0.25">
      <c r="A1054" s="16" t="s">
        <v>405</v>
      </c>
      <c r="C1054" s="16">
        <v>3</v>
      </c>
      <c r="D1054" s="23" t="s">
        <v>171</v>
      </c>
      <c r="E1054" s="23" t="s">
        <v>177</v>
      </c>
      <c r="F1054" s="2" t="s">
        <v>42</v>
      </c>
      <c r="G1054" s="2">
        <v>5</v>
      </c>
      <c r="H1054" s="2" t="s">
        <v>20</v>
      </c>
      <c r="I1054" s="2">
        <v>10</v>
      </c>
      <c r="L1054" s="15">
        <f>IFERROR(VLOOKUP($D1054&amp;$C1054,生产方式定位!$A$2:$E$38,2,FALSE)+VLOOKUP($E1054&amp;$C1054,生产方式定位!$F$3:$J$38,2,FALSE),0)</f>
        <v>1110</v>
      </c>
      <c r="S1054" s="15">
        <f>IFERROR(VLOOKUP($D1054&amp;$C1054,生产方式定位!$A$2:$E$38,3,FALSE)+VLOOKUP($E1054&amp;$C1054,生产方式定位!$F$3:$J$38,3,FALSE),0)</f>
        <v>130</v>
      </c>
      <c r="X1054" s="15">
        <f>IFERROR(VLOOKUP($D1054&amp;$C1054,生产方式定位!$A$2:$E$38,5,FALSE)+VLOOKUP($E1054&amp;$C1054,生产方式定位!$F$3:$J$38,5,FALSE),"错误")</f>
        <v>1300</v>
      </c>
      <c r="Y1054" s="26" t="str">
        <f t="shared" si="288"/>
        <v>魔偶*9,灵能水晶*25</v>
      </c>
      <c r="Z1054" s="36" t="str">
        <f t="shared" si="289"/>
        <v/>
      </c>
      <c r="AA1054" s="36" t="str">
        <f t="shared" si="290"/>
        <v/>
      </c>
      <c r="AB1054" s="27" t="str">
        <f t="shared" si="291"/>
        <v>17%</v>
      </c>
      <c r="AC1054" s="2">
        <f t="shared" si="292"/>
        <v>60</v>
      </c>
      <c r="AD1054" s="37">
        <f t="shared" si="293"/>
        <v>3</v>
      </c>
      <c r="AE1054" t="str">
        <f t="shared" si="294"/>
        <v>魔偶*9</v>
      </c>
      <c r="AF1054" t="str">
        <f t="shared" si="295"/>
        <v>灵能水晶*25</v>
      </c>
      <c r="AG1054" t="str">
        <f t="shared" si="296"/>
        <v/>
      </c>
      <c r="AH1054" t="str">
        <f t="shared" si="297"/>
        <v/>
      </c>
      <c r="AI1054" t="str">
        <f t="shared" si="298"/>
        <v/>
      </c>
      <c r="AJ1054" t="str">
        <f t="shared" si="299"/>
        <v/>
      </c>
      <c r="AK1054" t="str">
        <f t="shared" si="300"/>
        <v/>
      </c>
      <c r="AL1054">
        <f>IFERROR(ROUND(L1054*(G1054/$AU1054)/VLOOKUP(F1054,商品!$A$4:$B$60,2,FALSE),0),"")</f>
        <v>9</v>
      </c>
      <c r="AM1054">
        <f>IFERROR(ROUND(L1054*(I1054/$AU1054)/VLOOKUP(H1054,商品!$A$4:$B$60,2,FALSE),0),"")</f>
        <v>25</v>
      </c>
      <c r="AN1054">
        <f>IFERROR(ROUND(L1054*(J1054/$AU1054)/VLOOKUP("运力",商品!$A$4:$B$60,2,FALSE),0),0)</f>
        <v>0</v>
      </c>
      <c r="AO1054">
        <f>IFERROR(ROUND(L1054*(K1054/$AU1054)/VLOOKUP("交易",商品!$A$4:$B$60,2,FALSE),0),0)</f>
        <v>0</v>
      </c>
      <c r="AP1054" t="str">
        <f>IFERROR(ROUND(S1054*(N1054/$AV1054)/VLOOKUP(M1054,职业!$A$4:$G$16,4,FALSE),0),"")</f>
        <v/>
      </c>
      <c r="AQ1054" t="str">
        <f>IFERROR(ROUND(S1054*(P1054/$AV1054)/VLOOKUP(O1054,职业!$A$4:$G$16,4,FALSE),0),"")</f>
        <v/>
      </c>
      <c r="AR1054" t="str">
        <f>IFERROR(ROUND(S1054*(R1054/$AV1054)/VLOOKUP(Q1054,职业!$A$4:$G$16,4,FALSE),0),"")</f>
        <v/>
      </c>
      <c r="AS1054" t="str">
        <f>IFERROR(ROUND(X1054*(U1054/$AW1054)/VLOOKUP(T1054,商品!$A$4:$B$60,2,FALSE),0),"")</f>
        <v/>
      </c>
      <c r="AT1054" t="str">
        <f>IFERROR(ROUND(X1054*(W1054/$AW1054)/VLOOKUP(V1054,商品!$A$4:$B$60,2,FALSE),0),"")</f>
        <v/>
      </c>
      <c r="AU1054">
        <f t="shared" si="301"/>
        <v>15</v>
      </c>
      <c r="AV1054">
        <f t="shared" si="302"/>
        <v>0</v>
      </c>
      <c r="AW1054">
        <f t="shared" si="303"/>
        <v>0</v>
      </c>
    </row>
    <row r="1055" spans="1:49" ht="19.95" customHeight="1" x14ac:dyDescent="0.25">
      <c r="A1055" s="16" t="s">
        <v>405</v>
      </c>
      <c r="C1055" s="16">
        <v>4</v>
      </c>
      <c r="D1055" s="23" t="s">
        <v>171</v>
      </c>
      <c r="E1055" s="23" t="s">
        <v>177</v>
      </c>
      <c r="F1055" s="2" t="s">
        <v>42</v>
      </c>
      <c r="G1055" s="2">
        <v>5</v>
      </c>
      <c r="H1055" s="2" t="s">
        <v>20</v>
      </c>
      <c r="I1055" s="2">
        <v>10</v>
      </c>
      <c r="L1055" s="15">
        <f>IFERROR(VLOOKUP($D1055&amp;$C1055,生产方式定位!$A$2:$E$38,2,FALSE)+VLOOKUP($E1055&amp;$C1055,生产方式定位!$F$3:$J$38,2,FALSE),0)</f>
        <v>1515</v>
      </c>
      <c r="S1055" s="15">
        <f>IFERROR(VLOOKUP($D1055&amp;$C1055,生产方式定位!$A$2:$E$38,3,FALSE)+VLOOKUP($E1055&amp;$C1055,生产方式定位!$F$3:$J$38,3,FALSE),0)</f>
        <v>145</v>
      </c>
      <c r="X1055" s="15">
        <f>IFERROR(VLOOKUP($D1055&amp;$C1055,生产方式定位!$A$2:$E$38,5,FALSE)+VLOOKUP($E1055&amp;$C1055,生产方式定位!$F$3:$J$38,5,FALSE),"错误")</f>
        <v>1690</v>
      </c>
      <c r="Y1055" s="26" t="str">
        <f t="shared" si="288"/>
        <v>魔偶*13,灵能水晶*34</v>
      </c>
      <c r="Z1055" s="36" t="str">
        <f t="shared" si="289"/>
        <v/>
      </c>
      <c r="AA1055" s="36" t="str">
        <f t="shared" si="290"/>
        <v/>
      </c>
      <c r="AB1055" s="27" t="str">
        <f t="shared" si="291"/>
        <v>12%</v>
      </c>
      <c r="AC1055" s="2">
        <f t="shared" si="292"/>
        <v>30</v>
      </c>
      <c r="AD1055" s="37">
        <f t="shared" si="293"/>
        <v>4</v>
      </c>
      <c r="AE1055" t="str">
        <f t="shared" si="294"/>
        <v>魔偶*13</v>
      </c>
      <c r="AF1055" t="str">
        <f t="shared" si="295"/>
        <v>灵能水晶*34</v>
      </c>
      <c r="AG1055" t="str">
        <f t="shared" si="296"/>
        <v/>
      </c>
      <c r="AH1055" t="str">
        <f t="shared" si="297"/>
        <v/>
      </c>
      <c r="AI1055" t="str">
        <f t="shared" si="298"/>
        <v/>
      </c>
      <c r="AJ1055" t="str">
        <f t="shared" si="299"/>
        <v/>
      </c>
      <c r="AK1055" t="str">
        <f t="shared" si="300"/>
        <v/>
      </c>
      <c r="AL1055">
        <f>IFERROR(ROUND(L1055*(G1055/$AU1055)/VLOOKUP(F1055,商品!$A$4:$B$60,2,FALSE),0),"")</f>
        <v>13</v>
      </c>
      <c r="AM1055">
        <f>IFERROR(ROUND(L1055*(I1055/$AU1055)/VLOOKUP(H1055,商品!$A$4:$B$60,2,FALSE),0),"")</f>
        <v>34</v>
      </c>
      <c r="AN1055">
        <f>IFERROR(ROUND(L1055*(J1055/$AU1055)/VLOOKUP("运力",商品!$A$4:$B$60,2,FALSE),0),0)</f>
        <v>0</v>
      </c>
      <c r="AO1055">
        <f>IFERROR(ROUND(L1055*(K1055/$AU1055)/VLOOKUP("交易",商品!$A$4:$B$60,2,FALSE),0),0)</f>
        <v>0</v>
      </c>
      <c r="AP1055" t="str">
        <f>IFERROR(ROUND(S1055*(N1055/$AV1055)/VLOOKUP(M1055,职业!$A$4:$G$16,4,FALSE),0),"")</f>
        <v/>
      </c>
      <c r="AQ1055" t="str">
        <f>IFERROR(ROUND(S1055*(P1055/$AV1055)/VLOOKUP(O1055,职业!$A$4:$G$16,4,FALSE),0),"")</f>
        <v/>
      </c>
      <c r="AR1055" t="str">
        <f>IFERROR(ROUND(S1055*(R1055/$AV1055)/VLOOKUP(Q1055,职业!$A$4:$G$16,4,FALSE),0),"")</f>
        <v/>
      </c>
      <c r="AS1055" t="str">
        <f>IFERROR(ROUND(X1055*(U1055/$AW1055)/VLOOKUP(T1055,商品!$A$4:$B$60,2,FALSE),0),"")</f>
        <v/>
      </c>
      <c r="AT1055" t="str">
        <f>IFERROR(ROUND(X1055*(W1055/$AW1055)/VLOOKUP(V1055,商品!$A$4:$B$60,2,FALSE),0),"")</f>
        <v/>
      </c>
      <c r="AU1055">
        <f t="shared" si="301"/>
        <v>15</v>
      </c>
      <c r="AV1055">
        <f t="shared" si="302"/>
        <v>0</v>
      </c>
      <c r="AW1055">
        <f t="shared" si="303"/>
        <v>0</v>
      </c>
    </row>
    <row r="1056" spans="1:49" ht="19.95" customHeight="1" x14ac:dyDescent="0.25">
      <c r="A1056" s="16" t="s">
        <v>405</v>
      </c>
      <c r="C1056" s="16">
        <v>5</v>
      </c>
      <c r="D1056" s="23" t="s">
        <v>171</v>
      </c>
      <c r="E1056" s="23" t="s">
        <v>177</v>
      </c>
      <c r="F1056" s="2" t="s">
        <v>42</v>
      </c>
      <c r="G1056" s="2">
        <v>5</v>
      </c>
      <c r="H1056" s="2" t="s">
        <v>20</v>
      </c>
      <c r="I1056" s="2">
        <v>10</v>
      </c>
      <c r="L1056" s="15">
        <f>IFERROR(VLOOKUP($D1056&amp;$C1056,生产方式定位!$A$2:$E$38,2,FALSE)+VLOOKUP($E1056&amp;$C1056,生产方式定位!$F$3:$J$38,2,FALSE),0)</f>
        <v>1920</v>
      </c>
      <c r="S1056" s="15">
        <f>IFERROR(VLOOKUP($D1056&amp;$C1056,生产方式定位!$A$2:$E$38,3,FALSE)+VLOOKUP($E1056&amp;$C1056,生产方式定位!$F$3:$J$38,3,FALSE),0)</f>
        <v>160</v>
      </c>
      <c r="X1056" s="15">
        <f>IFERROR(VLOOKUP($D1056&amp;$C1056,生产方式定位!$A$2:$E$38,5,FALSE)+VLOOKUP($E1056&amp;$C1056,生产方式定位!$F$3:$J$38,5,FALSE),"错误")</f>
        <v>2080</v>
      </c>
      <c r="Y1056" s="26" t="str">
        <f t="shared" si="288"/>
        <v>魔偶*16,灵能水晶*43</v>
      </c>
      <c r="Z1056" s="36" t="str">
        <f t="shared" si="289"/>
        <v/>
      </c>
      <c r="AA1056" s="36" t="str">
        <f t="shared" si="290"/>
        <v/>
      </c>
      <c r="AB1056" s="27" t="str">
        <f t="shared" si="291"/>
        <v>8%</v>
      </c>
      <c r="AC1056" s="2" t="str">
        <f t="shared" si="292"/>
        <v/>
      </c>
      <c r="AD1056" s="37">
        <f t="shared" si="293"/>
        <v>5</v>
      </c>
      <c r="AE1056" t="str">
        <f t="shared" si="294"/>
        <v>魔偶*16</v>
      </c>
      <c r="AF1056" t="str">
        <f t="shared" si="295"/>
        <v>灵能水晶*43</v>
      </c>
      <c r="AG1056" t="str">
        <f t="shared" si="296"/>
        <v/>
      </c>
      <c r="AH1056" t="str">
        <f t="shared" si="297"/>
        <v/>
      </c>
      <c r="AI1056" t="str">
        <f t="shared" si="298"/>
        <v/>
      </c>
      <c r="AJ1056" t="str">
        <f t="shared" si="299"/>
        <v/>
      </c>
      <c r="AK1056" t="str">
        <f t="shared" si="300"/>
        <v/>
      </c>
      <c r="AL1056">
        <f>IFERROR(ROUND(L1056*(G1056/$AU1056)/VLOOKUP(F1056,商品!$A$4:$B$60,2,FALSE),0),"")</f>
        <v>16</v>
      </c>
      <c r="AM1056">
        <f>IFERROR(ROUND(L1056*(I1056/$AU1056)/VLOOKUP(H1056,商品!$A$4:$B$60,2,FALSE),0),"")</f>
        <v>43</v>
      </c>
      <c r="AN1056">
        <f>IFERROR(ROUND(L1056*(J1056/$AU1056)/VLOOKUP("运力",商品!$A$4:$B$60,2,FALSE),0),0)</f>
        <v>0</v>
      </c>
      <c r="AO1056">
        <f>IFERROR(ROUND(L1056*(K1056/$AU1056)/VLOOKUP("交易",商品!$A$4:$B$60,2,FALSE),0),0)</f>
        <v>0</v>
      </c>
      <c r="AP1056" t="str">
        <f>IFERROR(ROUND(S1056*(N1056/$AV1056)/VLOOKUP(M1056,职业!$A$4:$G$16,4,FALSE),0),"")</f>
        <v/>
      </c>
      <c r="AQ1056" t="str">
        <f>IFERROR(ROUND(S1056*(P1056/$AV1056)/VLOOKUP(O1056,职业!$A$4:$G$16,4,FALSE),0),"")</f>
        <v/>
      </c>
      <c r="AR1056" t="str">
        <f>IFERROR(ROUND(S1056*(R1056/$AV1056)/VLOOKUP(Q1056,职业!$A$4:$G$16,4,FALSE),0),"")</f>
        <v/>
      </c>
      <c r="AS1056" t="str">
        <f>IFERROR(ROUND(X1056*(U1056/$AW1056)/VLOOKUP(T1056,商品!$A$4:$B$60,2,FALSE),0),"")</f>
        <v/>
      </c>
      <c r="AT1056" t="str">
        <f>IFERROR(ROUND(X1056*(W1056/$AW1056)/VLOOKUP(V1056,商品!$A$4:$B$60,2,FALSE),0),"")</f>
        <v/>
      </c>
      <c r="AU1056">
        <f t="shared" si="301"/>
        <v>15</v>
      </c>
      <c r="AV1056">
        <f t="shared" si="302"/>
        <v>0</v>
      </c>
      <c r="AW1056">
        <f t="shared" si="303"/>
        <v>0</v>
      </c>
    </row>
    <row r="1057" spans="1:49" ht="19.95" customHeight="1" x14ac:dyDescent="0.25">
      <c r="A1057" s="15" t="s">
        <v>406</v>
      </c>
      <c r="C1057" s="15">
        <v>1</v>
      </c>
      <c r="D1057" s="23" t="s">
        <v>174</v>
      </c>
      <c r="E1057" s="23" t="s">
        <v>179</v>
      </c>
      <c r="L1057" s="16">
        <f>IFERROR(VLOOKUP($D1057&amp;$C1057,生产方式定位!$A$2:$E$38,2,FALSE)+VLOOKUP($E1057&amp;$C1057,生产方式定位!$F$3:$J$38,2,FALSE),0)</f>
        <v>0</v>
      </c>
      <c r="S1057" s="16">
        <f>IFERROR(VLOOKUP($D1057&amp;$C1057,生产方式定位!$A$2:$E$38,3,FALSE)+VLOOKUP($E1057&amp;$C1057,生产方式定位!$F$3:$J$38,3,FALSE),0)</f>
        <v>100</v>
      </c>
      <c r="X1057" s="16">
        <f>IFERROR(VLOOKUP($D1057&amp;$C1057,生产方式定位!$A$2:$E$38,5,FALSE)+VLOOKUP($E1057&amp;$C1057,生产方式定位!$F$3:$J$38,5,FALSE),"错误")</f>
        <v>100</v>
      </c>
      <c r="Y1057" s="26" t="str">
        <f t="shared" si="288"/>
        <v/>
      </c>
      <c r="Z1057" s="36" t="str">
        <f t="shared" si="289"/>
        <v/>
      </c>
      <c r="AA1057" s="36" t="str">
        <f t="shared" si="290"/>
        <v/>
      </c>
      <c r="AB1057" s="27" t="str">
        <f t="shared" si="291"/>
        <v/>
      </c>
      <c r="AC1057" s="2" t="str">
        <f t="shared" si="292"/>
        <v/>
      </c>
      <c r="AD1057" s="38">
        <f t="shared" si="293"/>
        <v>1</v>
      </c>
      <c r="AE1057" t="str">
        <f t="shared" si="294"/>
        <v/>
      </c>
      <c r="AF1057" t="str">
        <f t="shared" si="295"/>
        <v/>
      </c>
      <c r="AG1057" t="str">
        <f t="shared" si="296"/>
        <v/>
      </c>
      <c r="AH1057" t="str">
        <f t="shared" si="297"/>
        <v/>
      </c>
      <c r="AI1057" t="str">
        <f t="shared" si="298"/>
        <v/>
      </c>
      <c r="AJ1057" t="str">
        <f t="shared" si="299"/>
        <v/>
      </c>
      <c r="AK1057" t="str">
        <f t="shared" si="300"/>
        <v/>
      </c>
      <c r="AL1057" t="str">
        <f>IFERROR(ROUND(L1057*(G1057/$AU1057)/VLOOKUP(F1057,商品!$A$4:$B$60,2,FALSE),0),"")</f>
        <v/>
      </c>
      <c r="AM1057" t="str">
        <f>IFERROR(ROUND(L1057*(I1057/$AU1057)/VLOOKUP(H1057,商品!$A$4:$B$60,2,FALSE),0),"")</f>
        <v/>
      </c>
      <c r="AN1057">
        <f>IFERROR(ROUND(L1057*(J1057/$AU1057)/VLOOKUP("运力",商品!$A$4:$B$60,2,FALSE),0),0)</f>
        <v>0</v>
      </c>
      <c r="AO1057">
        <f>IFERROR(ROUND(L1057*(K1057/$AU1057)/VLOOKUP("交易",商品!$A$4:$B$60,2,FALSE),0),0)</f>
        <v>0</v>
      </c>
      <c r="AP1057" t="str">
        <f>IFERROR(ROUND(S1057*(N1057/$AV1057)/VLOOKUP(M1057,职业!$A$4:$G$16,4,FALSE),0),"")</f>
        <v/>
      </c>
      <c r="AQ1057" t="str">
        <f>IFERROR(ROUND(S1057*(P1057/$AV1057)/VLOOKUP(O1057,职业!$A$4:$G$16,4,FALSE),0),"")</f>
        <v/>
      </c>
      <c r="AR1057" t="str">
        <f>IFERROR(ROUND(S1057*(R1057/$AV1057)/VLOOKUP(Q1057,职业!$A$4:$G$16,4,FALSE),0),"")</f>
        <v/>
      </c>
      <c r="AS1057" t="str">
        <f>IFERROR(ROUND(X1057*(U1057/$AW1057)/VLOOKUP(T1057,商品!$A$4:$B$60,2,FALSE),0),"")</f>
        <v/>
      </c>
      <c r="AT1057" t="str">
        <f>IFERROR(ROUND(X1057*(W1057/$AW1057)/VLOOKUP(V1057,商品!$A$4:$B$60,2,FALSE),0),"")</f>
        <v/>
      </c>
      <c r="AU1057">
        <f t="shared" si="301"/>
        <v>0</v>
      </c>
      <c r="AV1057">
        <f t="shared" si="302"/>
        <v>0</v>
      </c>
      <c r="AW1057">
        <f t="shared" si="303"/>
        <v>0</v>
      </c>
    </row>
    <row r="1058" spans="1:49" ht="19.95" customHeight="1" x14ac:dyDescent="0.25">
      <c r="A1058" s="15" t="s">
        <v>406</v>
      </c>
      <c r="C1058" s="15">
        <v>2</v>
      </c>
      <c r="D1058" s="23" t="s">
        <v>174</v>
      </c>
      <c r="E1058" s="23" t="s">
        <v>179</v>
      </c>
      <c r="L1058" s="16">
        <f>IFERROR(VLOOKUP($D1058&amp;$C1058,生产方式定位!$A$2:$E$38,2,FALSE)+VLOOKUP($E1058&amp;$C1058,生产方式定位!$F$3:$J$38,2,FALSE),0)</f>
        <v>0</v>
      </c>
      <c r="S1058" s="16">
        <f>IFERROR(VLOOKUP($D1058&amp;$C1058,生产方式定位!$A$2:$E$38,3,FALSE)+VLOOKUP($E1058&amp;$C1058,生产方式定位!$F$3:$J$38,3,FALSE),0)</f>
        <v>100</v>
      </c>
      <c r="X1058" s="16">
        <f>IFERROR(VLOOKUP($D1058&amp;$C1058,生产方式定位!$A$2:$E$38,5,FALSE)+VLOOKUP($E1058&amp;$C1058,生产方式定位!$F$3:$J$38,5,FALSE),"错误")</f>
        <v>100</v>
      </c>
      <c r="Y1058" s="26" t="str">
        <f t="shared" si="288"/>
        <v/>
      </c>
      <c r="Z1058" s="36" t="str">
        <f t="shared" si="289"/>
        <v/>
      </c>
      <c r="AA1058" s="36" t="str">
        <f t="shared" si="290"/>
        <v/>
      </c>
      <c r="AB1058" s="27" t="str">
        <f t="shared" si="291"/>
        <v/>
      </c>
      <c r="AC1058" s="2" t="str">
        <f t="shared" si="292"/>
        <v/>
      </c>
      <c r="AD1058" s="38">
        <f t="shared" si="293"/>
        <v>2</v>
      </c>
      <c r="AE1058" t="str">
        <f t="shared" si="294"/>
        <v/>
      </c>
      <c r="AF1058" t="str">
        <f t="shared" si="295"/>
        <v/>
      </c>
      <c r="AG1058" t="str">
        <f t="shared" si="296"/>
        <v/>
      </c>
      <c r="AH1058" t="str">
        <f t="shared" si="297"/>
        <v/>
      </c>
      <c r="AI1058" t="str">
        <f t="shared" si="298"/>
        <v/>
      </c>
      <c r="AJ1058" t="str">
        <f t="shared" si="299"/>
        <v/>
      </c>
      <c r="AK1058" t="str">
        <f t="shared" si="300"/>
        <v/>
      </c>
      <c r="AL1058" t="str">
        <f>IFERROR(ROUND(L1058*(G1058/$AU1058)/VLOOKUP(F1058,商品!$A$4:$B$60,2,FALSE),0),"")</f>
        <v/>
      </c>
      <c r="AM1058" t="str">
        <f>IFERROR(ROUND(L1058*(I1058/$AU1058)/VLOOKUP(H1058,商品!$A$4:$B$60,2,FALSE),0),"")</f>
        <v/>
      </c>
      <c r="AN1058">
        <f>IFERROR(ROUND(L1058*(J1058/$AU1058)/VLOOKUP("运力",商品!$A$4:$B$60,2,FALSE),0),0)</f>
        <v>0</v>
      </c>
      <c r="AO1058">
        <f>IFERROR(ROUND(L1058*(K1058/$AU1058)/VLOOKUP("交易",商品!$A$4:$B$60,2,FALSE),0),0)</f>
        <v>0</v>
      </c>
      <c r="AP1058" t="str">
        <f>IFERROR(ROUND(S1058*(N1058/$AV1058)/VLOOKUP(M1058,职业!$A$4:$G$16,4,FALSE),0),"")</f>
        <v/>
      </c>
      <c r="AQ1058" t="str">
        <f>IFERROR(ROUND(S1058*(P1058/$AV1058)/VLOOKUP(O1058,职业!$A$4:$G$16,4,FALSE),0),"")</f>
        <v/>
      </c>
      <c r="AR1058" t="str">
        <f>IFERROR(ROUND(S1058*(R1058/$AV1058)/VLOOKUP(Q1058,职业!$A$4:$G$16,4,FALSE),0),"")</f>
        <v/>
      </c>
      <c r="AS1058" t="str">
        <f>IFERROR(ROUND(X1058*(U1058/$AW1058)/VLOOKUP(T1058,商品!$A$4:$B$60,2,FALSE),0),"")</f>
        <v/>
      </c>
      <c r="AT1058" t="str">
        <f>IFERROR(ROUND(X1058*(W1058/$AW1058)/VLOOKUP(V1058,商品!$A$4:$B$60,2,FALSE),0),"")</f>
        <v/>
      </c>
      <c r="AU1058">
        <f t="shared" si="301"/>
        <v>0</v>
      </c>
      <c r="AV1058">
        <f t="shared" si="302"/>
        <v>0</v>
      </c>
      <c r="AW1058">
        <f t="shared" si="303"/>
        <v>0</v>
      </c>
    </row>
    <row r="1059" spans="1:49" ht="19.95" customHeight="1" x14ac:dyDescent="0.25">
      <c r="A1059" s="15" t="s">
        <v>406</v>
      </c>
      <c r="C1059" s="15">
        <v>3</v>
      </c>
      <c r="D1059" s="23" t="s">
        <v>174</v>
      </c>
      <c r="E1059" s="23" t="s">
        <v>179</v>
      </c>
      <c r="L1059" s="16">
        <f>IFERROR(VLOOKUP($D1059&amp;$C1059,生产方式定位!$A$2:$E$38,2,FALSE)+VLOOKUP($E1059&amp;$C1059,生产方式定位!$F$3:$J$38,2,FALSE),0)</f>
        <v>0</v>
      </c>
      <c r="S1059" s="16">
        <f>IFERROR(VLOOKUP($D1059&amp;$C1059,生产方式定位!$A$2:$E$38,3,FALSE)+VLOOKUP($E1059&amp;$C1059,生产方式定位!$F$3:$J$38,3,FALSE),0)</f>
        <v>100</v>
      </c>
      <c r="X1059" s="16">
        <f>IFERROR(VLOOKUP($D1059&amp;$C1059,生产方式定位!$A$2:$E$38,5,FALSE)+VLOOKUP($E1059&amp;$C1059,生产方式定位!$F$3:$J$38,5,FALSE),"错误")</f>
        <v>100</v>
      </c>
      <c r="Y1059" s="26" t="str">
        <f t="shared" si="288"/>
        <v/>
      </c>
      <c r="Z1059" s="36" t="str">
        <f t="shared" si="289"/>
        <v/>
      </c>
      <c r="AA1059" s="36" t="str">
        <f t="shared" si="290"/>
        <v/>
      </c>
      <c r="AB1059" s="27" t="str">
        <f t="shared" si="291"/>
        <v/>
      </c>
      <c r="AC1059" s="2" t="str">
        <f t="shared" si="292"/>
        <v/>
      </c>
      <c r="AD1059" s="38">
        <f t="shared" si="293"/>
        <v>3</v>
      </c>
      <c r="AE1059" t="str">
        <f t="shared" si="294"/>
        <v/>
      </c>
      <c r="AF1059" t="str">
        <f t="shared" si="295"/>
        <v/>
      </c>
      <c r="AG1059" t="str">
        <f t="shared" si="296"/>
        <v/>
      </c>
      <c r="AH1059" t="str">
        <f t="shared" si="297"/>
        <v/>
      </c>
      <c r="AI1059" t="str">
        <f t="shared" si="298"/>
        <v/>
      </c>
      <c r="AJ1059" t="str">
        <f t="shared" si="299"/>
        <v/>
      </c>
      <c r="AK1059" t="str">
        <f t="shared" si="300"/>
        <v/>
      </c>
      <c r="AL1059" t="str">
        <f>IFERROR(ROUND(L1059*(G1059/$AU1059)/VLOOKUP(F1059,商品!$A$4:$B$60,2,FALSE),0),"")</f>
        <v/>
      </c>
      <c r="AM1059" t="str">
        <f>IFERROR(ROUND(L1059*(I1059/$AU1059)/VLOOKUP(H1059,商品!$A$4:$B$60,2,FALSE),0),"")</f>
        <v/>
      </c>
      <c r="AN1059">
        <f>IFERROR(ROUND(L1059*(J1059/$AU1059)/VLOOKUP("运力",商品!$A$4:$B$60,2,FALSE),0),0)</f>
        <v>0</v>
      </c>
      <c r="AO1059">
        <f>IFERROR(ROUND(L1059*(K1059/$AU1059)/VLOOKUP("交易",商品!$A$4:$B$60,2,FALSE),0),0)</f>
        <v>0</v>
      </c>
      <c r="AP1059" t="str">
        <f>IFERROR(ROUND(S1059*(N1059/$AV1059)/VLOOKUP(M1059,职业!$A$4:$G$16,4,FALSE),0),"")</f>
        <v/>
      </c>
      <c r="AQ1059" t="str">
        <f>IFERROR(ROUND(S1059*(P1059/$AV1059)/VLOOKUP(O1059,职业!$A$4:$G$16,4,FALSE),0),"")</f>
        <v/>
      </c>
      <c r="AR1059" t="str">
        <f>IFERROR(ROUND(S1059*(R1059/$AV1059)/VLOOKUP(Q1059,职业!$A$4:$G$16,4,FALSE),0),"")</f>
        <v/>
      </c>
      <c r="AS1059" t="str">
        <f>IFERROR(ROUND(X1059*(U1059/$AW1059)/VLOOKUP(T1059,商品!$A$4:$B$60,2,FALSE),0),"")</f>
        <v/>
      </c>
      <c r="AT1059" t="str">
        <f>IFERROR(ROUND(X1059*(W1059/$AW1059)/VLOOKUP(V1059,商品!$A$4:$B$60,2,FALSE),0),"")</f>
        <v/>
      </c>
      <c r="AU1059">
        <f t="shared" si="301"/>
        <v>0</v>
      </c>
      <c r="AV1059">
        <f t="shared" si="302"/>
        <v>0</v>
      </c>
      <c r="AW1059">
        <f t="shared" si="303"/>
        <v>0</v>
      </c>
    </row>
    <row r="1060" spans="1:49" ht="19.95" customHeight="1" x14ac:dyDescent="0.25">
      <c r="A1060" s="15" t="s">
        <v>406</v>
      </c>
      <c r="C1060" s="15">
        <v>4</v>
      </c>
      <c r="D1060" s="23" t="s">
        <v>174</v>
      </c>
      <c r="E1060" s="23" t="s">
        <v>179</v>
      </c>
      <c r="L1060" s="16">
        <f>IFERROR(VLOOKUP($D1060&amp;$C1060,生产方式定位!$A$2:$E$38,2,FALSE)+VLOOKUP($E1060&amp;$C1060,生产方式定位!$F$3:$J$38,2,FALSE),0)</f>
        <v>0</v>
      </c>
      <c r="S1060" s="16">
        <f>IFERROR(VLOOKUP($D1060&amp;$C1060,生产方式定位!$A$2:$E$38,3,FALSE)+VLOOKUP($E1060&amp;$C1060,生产方式定位!$F$3:$J$38,3,FALSE),0)</f>
        <v>100</v>
      </c>
      <c r="X1060" s="16">
        <f>IFERROR(VLOOKUP($D1060&amp;$C1060,生产方式定位!$A$2:$E$38,5,FALSE)+VLOOKUP($E1060&amp;$C1060,生产方式定位!$F$3:$J$38,5,FALSE),"错误")</f>
        <v>100</v>
      </c>
      <c r="Y1060" s="26" t="str">
        <f t="shared" si="288"/>
        <v/>
      </c>
      <c r="Z1060" s="36" t="str">
        <f t="shared" si="289"/>
        <v/>
      </c>
      <c r="AA1060" s="36" t="str">
        <f t="shared" si="290"/>
        <v/>
      </c>
      <c r="AB1060" s="27" t="str">
        <f t="shared" si="291"/>
        <v/>
      </c>
      <c r="AC1060" s="2" t="str">
        <f t="shared" si="292"/>
        <v/>
      </c>
      <c r="AD1060" s="38">
        <f t="shared" si="293"/>
        <v>4</v>
      </c>
      <c r="AE1060" t="str">
        <f t="shared" si="294"/>
        <v/>
      </c>
      <c r="AF1060" t="str">
        <f t="shared" si="295"/>
        <v/>
      </c>
      <c r="AG1060" t="str">
        <f t="shared" si="296"/>
        <v/>
      </c>
      <c r="AH1060" t="str">
        <f t="shared" si="297"/>
        <v/>
      </c>
      <c r="AI1060" t="str">
        <f t="shared" si="298"/>
        <v/>
      </c>
      <c r="AJ1060" t="str">
        <f t="shared" si="299"/>
        <v/>
      </c>
      <c r="AK1060" t="str">
        <f t="shared" si="300"/>
        <v/>
      </c>
      <c r="AL1060" t="str">
        <f>IFERROR(ROUND(L1060*(G1060/$AU1060)/VLOOKUP(F1060,商品!$A$4:$B$60,2,FALSE),0),"")</f>
        <v/>
      </c>
      <c r="AM1060" t="str">
        <f>IFERROR(ROUND(L1060*(I1060/$AU1060)/VLOOKUP(H1060,商品!$A$4:$B$60,2,FALSE),0),"")</f>
        <v/>
      </c>
      <c r="AN1060">
        <f>IFERROR(ROUND(L1060*(J1060/$AU1060)/VLOOKUP("运力",商品!$A$4:$B$60,2,FALSE),0),0)</f>
        <v>0</v>
      </c>
      <c r="AO1060">
        <f>IFERROR(ROUND(L1060*(K1060/$AU1060)/VLOOKUP("交易",商品!$A$4:$B$60,2,FALSE),0),0)</f>
        <v>0</v>
      </c>
      <c r="AP1060" t="str">
        <f>IFERROR(ROUND(S1060*(N1060/$AV1060)/VLOOKUP(M1060,职业!$A$4:$G$16,4,FALSE),0),"")</f>
        <v/>
      </c>
      <c r="AQ1060" t="str">
        <f>IFERROR(ROUND(S1060*(P1060/$AV1060)/VLOOKUP(O1060,职业!$A$4:$G$16,4,FALSE),0),"")</f>
        <v/>
      </c>
      <c r="AR1060" t="str">
        <f>IFERROR(ROUND(S1060*(R1060/$AV1060)/VLOOKUP(Q1060,职业!$A$4:$G$16,4,FALSE),0),"")</f>
        <v/>
      </c>
      <c r="AS1060" t="str">
        <f>IFERROR(ROUND(X1060*(U1060/$AW1060)/VLOOKUP(T1060,商品!$A$4:$B$60,2,FALSE),0),"")</f>
        <v/>
      </c>
      <c r="AT1060" t="str">
        <f>IFERROR(ROUND(X1060*(W1060/$AW1060)/VLOOKUP(V1060,商品!$A$4:$B$60,2,FALSE),0),"")</f>
        <v/>
      </c>
      <c r="AU1060">
        <f t="shared" si="301"/>
        <v>0</v>
      </c>
      <c r="AV1060">
        <f t="shared" si="302"/>
        <v>0</v>
      </c>
      <c r="AW1060">
        <f t="shared" si="303"/>
        <v>0</v>
      </c>
    </row>
    <row r="1061" spans="1:49" ht="19.95" customHeight="1" x14ac:dyDescent="0.25">
      <c r="A1061" s="15" t="s">
        <v>406</v>
      </c>
      <c r="C1061" s="15">
        <v>5</v>
      </c>
      <c r="D1061" s="23" t="s">
        <v>174</v>
      </c>
      <c r="E1061" s="23" t="s">
        <v>179</v>
      </c>
      <c r="L1061" s="16">
        <f>IFERROR(VLOOKUP($D1061&amp;$C1061,生产方式定位!$A$2:$E$38,2,FALSE)+VLOOKUP($E1061&amp;$C1061,生产方式定位!$F$3:$J$38,2,FALSE),0)</f>
        <v>0</v>
      </c>
      <c r="S1061" s="16">
        <f>IFERROR(VLOOKUP($D1061&amp;$C1061,生产方式定位!$A$2:$E$38,3,FALSE)+VLOOKUP($E1061&amp;$C1061,生产方式定位!$F$3:$J$38,3,FALSE),0)</f>
        <v>100</v>
      </c>
      <c r="X1061" s="16">
        <f>IFERROR(VLOOKUP($D1061&amp;$C1061,生产方式定位!$A$2:$E$38,5,FALSE)+VLOOKUP($E1061&amp;$C1061,生产方式定位!$F$3:$J$38,5,FALSE),"错误")</f>
        <v>100</v>
      </c>
      <c r="Y1061" s="26" t="str">
        <f t="shared" si="288"/>
        <v/>
      </c>
      <c r="Z1061" s="36" t="str">
        <f t="shared" si="289"/>
        <v/>
      </c>
      <c r="AA1061" s="36" t="str">
        <f t="shared" si="290"/>
        <v/>
      </c>
      <c r="AB1061" s="27" t="str">
        <f t="shared" si="291"/>
        <v/>
      </c>
      <c r="AC1061" s="2" t="str">
        <f t="shared" si="292"/>
        <v/>
      </c>
      <c r="AD1061" s="38">
        <f t="shared" si="293"/>
        <v>5</v>
      </c>
      <c r="AE1061" t="str">
        <f t="shared" si="294"/>
        <v/>
      </c>
      <c r="AF1061" t="str">
        <f t="shared" si="295"/>
        <v/>
      </c>
      <c r="AG1061" t="str">
        <f t="shared" si="296"/>
        <v/>
      </c>
      <c r="AH1061" t="str">
        <f t="shared" si="297"/>
        <v/>
      </c>
      <c r="AI1061" t="str">
        <f t="shared" si="298"/>
        <v/>
      </c>
      <c r="AJ1061" t="str">
        <f t="shared" si="299"/>
        <v/>
      </c>
      <c r="AK1061" t="str">
        <f t="shared" si="300"/>
        <v/>
      </c>
      <c r="AL1061" t="str">
        <f>IFERROR(ROUND(L1061*(G1061/$AU1061)/VLOOKUP(F1061,商品!$A$4:$B$60,2,FALSE),0),"")</f>
        <v/>
      </c>
      <c r="AM1061" t="str">
        <f>IFERROR(ROUND(L1061*(I1061/$AU1061)/VLOOKUP(H1061,商品!$A$4:$B$60,2,FALSE),0),"")</f>
        <v/>
      </c>
      <c r="AN1061">
        <f>IFERROR(ROUND(L1061*(J1061/$AU1061)/VLOOKUP("运力",商品!$A$4:$B$60,2,FALSE),0),0)</f>
        <v>0</v>
      </c>
      <c r="AO1061">
        <f>IFERROR(ROUND(L1061*(K1061/$AU1061)/VLOOKUP("交易",商品!$A$4:$B$60,2,FALSE),0),0)</f>
        <v>0</v>
      </c>
      <c r="AP1061" t="str">
        <f>IFERROR(ROUND(S1061*(N1061/$AV1061)/VLOOKUP(M1061,职业!$A$4:$G$16,4,FALSE),0),"")</f>
        <v/>
      </c>
      <c r="AQ1061" t="str">
        <f>IFERROR(ROUND(S1061*(P1061/$AV1061)/VLOOKUP(O1061,职业!$A$4:$G$16,4,FALSE),0),"")</f>
        <v/>
      </c>
      <c r="AR1061" t="str">
        <f>IFERROR(ROUND(S1061*(R1061/$AV1061)/VLOOKUP(Q1061,职业!$A$4:$G$16,4,FALSE),0),"")</f>
        <v/>
      </c>
      <c r="AS1061" t="str">
        <f>IFERROR(ROUND(X1061*(U1061/$AW1061)/VLOOKUP(T1061,商品!$A$4:$B$60,2,FALSE),0),"")</f>
        <v/>
      </c>
      <c r="AT1061" t="str">
        <f>IFERROR(ROUND(X1061*(W1061/$AW1061)/VLOOKUP(V1061,商品!$A$4:$B$60,2,FALSE),0),"")</f>
        <v/>
      </c>
      <c r="AU1061">
        <f t="shared" si="301"/>
        <v>0</v>
      </c>
      <c r="AV1061">
        <f t="shared" si="302"/>
        <v>0</v>
      </c>
      <c r="AW1061">
        <f t="shared" si="303"/>
        <v>0</v>
      </c>
    </row>
    <row r="1062" spans="1:49" ht="19.95" customHeight="1" x14ac:dyDescent="0.25">
      <c r="A1062" s="15" t="s">
        <v>406</v>
      </c>
      <c r="C1062" s="15">
        <v>6</v>
      </c>
      <c r="D1062" s="23" t="s">
        <v>174</v>
      </c>
      <c r="E1062" s="23" t="s">
        <v>179</v>
      </c>
      <c r="L1062" s="16">
        <f>IFERROR(VLOOKUP($D1062&amp;$C1062,生产方式定位!$A$2:$E$38,2,FALSE)+VLOOKUP($E1062&amp;$C1062,生产方式定位!$F$3:$J$38,2,FALSE),0)</f>
        <v>0</v>
      </c>
      <c r="S1062" s="16">
        <f>IFERROR(VLOOKUP($D1062&amp;$C1062,生产方式定位!$A$2:$E$38,3,FALSE)+VLOOKUP($E1062&amp;$C1062,生产方式定位!$F$3:$J$38,3,FALSE),0)</f>
        <v>100</v>
      </c>
      <c r="X1062" s="16">
        <f>IFERROR(VLOOKUP($D1062&amp;$C1062,生产方式定位!$A$2:$E$38,5,FALSE)+VLOOKUP($E1062&amp;$C1062,生产方式定位!$F$3:$J$38,5,FALSE),"错误")</f>
        <v>100</v>
      </c>
      <c r="Y1062" s="26" t="str">
        <f t="shared" si="288"/>
        <v/>
      </c>
      <c r="Z1062" s="36" t="str">
        <f t="shared" si="289"/>
        <v/>
      </c>
      <c r="AA1062" s="36" t="str">
        <f t="shared" si="290"/>
        <v/>
      </c>
      <c r="AB1062" s="27" t="str">
        <f t="shared" si="291"/>
        <v/>
      </c>
      <c r="AC1062" s="2" t="str">
        <f t="shared" si="292"/>
        <v/>
      </c>
      <c r="AD1062" s="37">
        <f t="shared" si="293"/>
        <v>6</v>
      </c>
      <c r="AE1062" t="str">
        <f t="shared" si="294"/>
        <v/>
      </c>
      <c r="AF1062" t="str">
        <f t="shared" si="295"/>
        <v/>
      </c>
      <c r="AG1062" t="str">
        <f t="shared" si="296"/>
        <v/>
      </c>
      <c r="AH1062" t="str">
        <f t="shared" si="297"/>
        <v/>
      </c>
      <c r="AI1062" t="str">
        <f t="shared" si="298"/>
        <v/>
      </c>
      <c r="AJ1062" t="str">
        <f t="shared" si="299"/>
        <v/>
      </c>
      <c r="AK1062" t="str">
        <f t="shared" si="300"/>
        <v/>
      </c>
      <c r="AL1062" t="str">
        <f>IFERROR(ROUND(L1062*(G1062/$AU1062)/VLOOKUP(F1062,商品!$A$4:$B$60,2,FALSE),0),"")</f>
        <v/>
      </c>
      <c r="AM1062" t="str">
        <f>IFERROR(ROUND(L1062*(I1062/$AU1062)/VLOOKUP(H1062,商品!$A$4:$B$60,2,FALSE),0),"")</f>
        <v/>
      </c>
      <c r="AN1062">
        <f>IFERROR(ROUND(L1062*(J1062/$AU1062)/VLOOKUP("运力",商品!$A$4:$B$60,2,FALSE),0),0)</f>
        <v>0</v>
      </c>
      <c r="AO1062">
        <f>IFERROR(ROUND(L1062*(K1062/$AU1062)/VLOOKUP("交易",商品!$A$4:$B$60,2,FALSE),0),0)</f>
        <v>0</v>
      </c>
      <c r="AP1062" t="str">
        <f>IFERROR(ROUND(S1062*(N1062/$AV1062)/VLOOKUP(M1062,职业!$A$4:$G$16,4,FALSE),0),"")</f>
        <v/>
      </c>
      <c r="AQ1062" t="str">
        <f>IFERROR(ROUND(S1062*(P1062/$AV1062)/VLOOKUP(O1062,职业!$A$4:$G$16,4,FALSE),0),"")</f>
        <v/>
      </c>
      <c r="AR1062" t="str">
        <f>IFERROR(ROUND(S1062*(R1062/$AV1062)/VLOOKUP(Q1062,职业!$A$4:$G$16,4,FALSE),0),"")</f>
        <v/>
      </c>
      <c r="AS1062" t="str">
        <f>IFERROR(ROUND(X1062*(U1062/$AW1062)/VLOOKUP(T1062,商品!$A$4:$B$60,2,FALSE),0),"")</f>
        <v/>
      </c>
      <c r="AT1062" t="str">
        <f>IFERROR(ROUND(X1062*(W1062/$AW1062)/VLOOKUP(V1062,商品!$A$4:$B$60,2,FALSE),0),"")</f>
        <v/>
      </c>
      <c r="AU1062">
        <f t="shared" si="301"/>
        <v>0</v>
      </c>
      <c r="AV1062">
        <f t="shared" si="302"/>
        <v>0</v>
      </c>
      <c r="AW1062">
        <f t="shared" si="303"/>
        <v>0</v>
      </c>
    </row>
    <row r="1063" spans="1:49" ht="19.95" customHeight="1" x14ac:dyDescent="0.25">
      <c r="A1063" s="15" t="s">
        <v>406</v>
      </c>
      <c r="C1063" s="15">
        <v>7</v>
      </c>
      <c r="D1063" s="23" t="s">
        <v>174</v>
      </c>
      <c r="E1063" s="23" t="s">
        <v>179</v>
      </c>
      <c r="L1063" s="16">
        <f>IFERROR(VLOOKUP($D1063&amp;$C1063,生产方式定位!$A$2:$E$38,2,FALSE)+VLOOKUP($E1063&amp;$C1063,生产方式定位!$F$3:$J$38,2,FALSE),0)</f>
        <v>0</v>
      </c>
      <c r="S1063" s="16">
        <f>IFERROR(VLOOKUP($D1063&amp;$C1063,生产方式定位!$A$2:$E$38,3,FALSE)+VLOOKUP($E1063&amp;$C1063,生产方式定位!$F$3:$J$38,3,FALSE),0)</f>
        <v>100</v>
      </c>
      <c r="X1063" s="16">
        <f>IFERROR(VLOOKUP($D1063&amp;$C1063,生产方式定位!$A$2:$E$38,5,FALSE)+VLOOKUP($E1063&amp;$C1063,生产方式定位!$F$3:$J$38,5,FALSE),"错误")</f>
        <v>100</v>
      </c>
      <c r="Y1063" s="26" t="str">
        <f t="shared" si="288"/>
        <v/>
      </c>
      <c r="Z1063" s="36" t="str">
        <f t="shared" si="289"/>
        <v/>
      </c>
      <c r="AA1063" s="36" t="str">
        <f t="shared" si="290"/>
        <v/>
      </c>
      <c r="AB1063" s="27" t="str">
        <f t="shared" si="291"/>
        <v/>
      </c>
      <c r="AC1063" s="2" t="str">
        <f t="shared" si="292"/>
        <v/>
      </c>
      <c r="AD1063" s="37">
        <f t="shared" si="293"/>
        <v>7</v>
      </c>
      <c r="AE1063" t="str">
        <f t="shared" si="294"/>
        <v/>
      </c>
      <c r="AF1063" t="str">
        <f t="shared" si="295"/>
        <v/>
      </c>
      <c r="AG1063" t="str">
        <f t="shared" si="296"/>
        <v/>
      </c>
      <c r="AH1063" t="str">
        <f t="shared" si="297"/>
        <v/>
      </c>
      <c r="AI1063" t="str">
        <f t="shared" si="298"/>
        <v/>
      </c>
      <c r="AJ1063" t="str">
        <f t="shared" si="299"/>
        <v/>
      </c>
      <c r="AK1063" t="str">
        <f t="shared" si="300"/>
        <v/>
      </c>
      <c r="AL1063" t="str">
        <f>IFERROR(ROUND(L1063*(G1063/$AU1063)/VLOOKUP(F1063,商品!$A$4:$B$60,2,FALSE),0),"")</f>
        <v/>
      </c>
      <c r="AM1063" t="str">
        <f>IFERROR(ROUND(L1063*(I1063/$AU1063)/VLOOKUP(H1063,商品!$A$4:$B$60,2,FALSE),0),"")</f>
        <v/>
      </c>
      <c r="AN1063">
        <f>IFERROR(ROUND(L1063*(J1063/$AU1063)/VLOOKUP("运力",商品!$A$4:$B$60,2,FALSE),0),0)</f>
        <v>0</v>
      </c>
      <c r="AO1063">
        <f>IFERROR(ROUND(L1063*(K1063/$AU1063)/VLOOKUP("交易",商品!$A$4:$B$60,2,FALSE),0),0)</f>
        <v>0</v>
      </c>
      <c r="AP1063" t="str">
        <f>IFERROR(ROUND(S1063*(N1063/$AV1063)/VLOOKUP(M1063,职业!$A$4:$G$16,4,FALSE),0),"")</f>
        <v/>
      </c>
      <c r="AQ1063" t="str">
        <f>IFERROR(ROUND(S1063*(P1063/$AV1063)/VLOOKUP(O1063,职业!$A$4:$G$16,4,FALSE),0),"")</f>
        <v/>
      </c>
      <c r="AR1063" t="str">
        <f>IFERROR(ROUND(S1063*(R1063/$AV1063)/VLOOKUP(Q1063,职业!$A$4:$G$16,4,FALSE),0),"")</f>
        <v/>
      </c>
      <c r="AS1063" t="str">
        <f>IFERROR(ROUND(X1063*(U1063/$AW1063)/VLOOKUP(T1063,商品!$A$4:$B$60,2,FALSE),0),"")</f>
        <v/>
      </c>
      <c r="AT1063" t="str">
        <f>IFERROR(ROUND(X1063*(W1063/$AW1063)/VLOOKUP(V1063,商品!$A$4:$B$60,2,FALSE),0),"")</f>
        <v/>
      </c>
      <c r="AU1063">
        <f t="shared" si="301"/>
        <v>0</v>
      </c>
      <c r="AV1063">
        <f t="shared" si="302"/>
        <v>0</v>
      </c>
      <c r="AW1063">
        <f t="shared" si="303"/>
        <v>0</v>
      </c>
    </row>
    <row r="1064" spans="1:49" ht="19.95" customHeight="1" x14ac:dyDescent="0.25">
      <c r="A1064" s="15" t="s">
        <v>406</v>
      </c>
      <c r="C1064" s="15">
        <v>8</v>
      </c>
      <c r="D1064" s="23" t="s">
        <v>174</v>
      </c>
      <c r="E1064" s="23" t="s">
        <v>179</v>
      </c>
      <c r="L1064" s="16">
        <f>IFERROR(VLOOKUP($D1064&amp;$C1064,生产方式定位!$A$2:$E$38,2,FALSE)+VLOOKUP($E1064&amp;$C1064,生产方式定位!$F$3:$J$38,2,FALSE),0)</f>
        <v>0</v>
      </c>
      <c r="S1064" s="16">
        <f>IFERROR(VLOOKUP($D1064&amp;$C1064,生产方式定位!$A$2:$E$38,3,FALSE)+VLOOKUP($E1064&amp;$C1064,生产方式定位!$F$3:$J$38,3,FALSE),0)</f>
        <v>100</v>
      </c>
      <c r="X1064" s="16">
        <f>IFERROR(VLOOKUP($D1064&amp;$C1064,生产方式定位!$A$2:$E$38,5,FALSE)+VLOOKUP($E1064&amp;$C1064,生产方式定位!$F$3:$J$38,5,FALSE),"错误")</f>
        <v>100</v>
      </c>
      <c r="Y1064" s="26" t="str">
        <f t="shared" si="288"/>
        <v/>
      </c>
      <c r="Z1064" s="36" t="str">
        <f t="shared" si="289"/>
        <v/>
      </c>
      <c r="AA1064" s="36" t="str">
        <f t="shared" si="290"/>
        <v/>
      </c>
      <c r="AB1064" s="27" t="str">
        <f t="shared" si="291"/>
        <v/>
      </c>
      <c r="AC1064" s="2" t="str">
        <f t="shared" si="292"/>
        <v/>
      </c>
      <c r="AD1064" s="37">
        <f t="shared" si="293"/>
        <v>8</v>
      </c>
      <c r="AE1064" t="str">
        <f t="shared" si="294"/>
        <v/>
      </c>
      <c r="AF1064" t="str">
        <f t="shared" si="295"/>
        <v/>
      </c>
      <c r="AG1064" t="str">
        <f t="shared" si="296"/>
        <v/>
      </c>
      <c r="AH1064" t="str">
        <f t="shared" si="297"/>
        <v/>
      </c>
      <c r="AI1064" t="str">
        <f t="shared" si="298"/>
        <v/>
      </c>
      <c r="AJ1064" t="str">
        <f t="shared" si="299"/>
        <v/>
      </c>
      <c r="AK1064" t="str">
        <f t="shared" si="300"/>
        <v/>
      </c>
      <c r="AL1064" t="str">
        <f>IFERROR(ROUND(L1064*(G1064/$AU1064)/VLOOKUP(F1064,商品!$A$4:$B$60,2,FALSE),0),"")</f>
        <v/>
      </c>
      <c r="AM1064" t="str">
        <f>IFERROR(ROUND(L1064*(I1064/$AU1064)/VLOOKUP(H1064,商品!$A$4:$B$60,2,FALSE),0),"")</f>
        <v/>
      </c>
      <c r="AN1064">
        <f>IFERROR(ROUND(L1064*(J1064/$AU1064)/VLOOKUP("运力",商品!$A$4:$B$60,2,FALSE),0),0)</f>
        <v>0</v>
      </c>
      <c r="AO1064">
        <f>IFERROR(ROUND(L1064*(K1064/$AU1064)/VLOOKUP("交易",商品!$A$4:$B$60,2,FALSE),0),0)</f>
        <v>0</v>
      </c>
      <c r="AP1064" t="str">
        <f>IFERROR(ROUND(S1064*(N1064/$AV1064)/VLOOKUP(M1064,职业!$A$4:$G$16,4,FALSE),0),"")</f>
        <v/>
      </c>
      <c r="AQ1064" t="str">
        <f>IFERROR(ROUND(S1064*(P1064/$AV1064)/VLOOKUP(O1064,职业!$A$4:$G$16,4,FALSE),0),"")</f>
        <v/>
      </c>
      <c r="AR1064" t="str">
        <f>IFERROR(ROUND(S1064*(R1064/$AV1064)/VLOOKUP(Q1064,职业!$A$4:$G$16,4,FALSE),0),"")</f>
        <v/>
      </c>
      <c r="AS1064" t="str">
        <f>IFERROR(ROUND(X1064*(U1064/$AW1064)/VLOOKUP(T1064,商品!$A$4:$B$60,2,FALSE),0),"")</f>
        <v/>
      </c>
      <c r="AT1064" t="str">
        <f>IFERROR(ROUND(X1064*(W1064/$AW1064)/VLOOKUP(V1064,商品!$A$4:$B$60,2,FALSE),0),"")</f>
        <v/>
      </c>
      <c r="AU1064">
        <f t="shared" si="301"/>
        <v>0</v>
      </c>
      <c r="AV1064">
        <f t="shared" si="302"/>
        <v>0</v>
      </c>
      <c r="AW1064">
        <f t="shared" si="303"/>
        <v>0</v>
      </c>
    </row>
    <row r="1065" spans="1:49" ht="19.95" customHeight="1" x14ac:dyDescent="0.25">
      <c r="A1065" s="16" t="s">
        <v>408</v>
      </c>
      <c r="C1065" s="16">
        <v>1</v>
      </c>
      <c r="D1065" s="23" t="s">
        <v>171</v>
      </c>
      <c r="E1065" s="23" t="s">
        <v>172</v>
      </c>
      <c r="L1065" s="15">
        <f>IFERROR(VLOOKUP($D1065&amp;$C1065,生产方式定位!$A$2:$E$38,2,FALSE)+VLOOKUP($E1065&amp;$C1065,生产方式定位!$F$3:$J$38,2,FALSE),0)</f>
        <v>300</v>
      </c>
      <c r="S1065" s="15">
        <f>IFERROR(VLOOKUP($D1065&amp;$C1065,生产方式定位!$A$2:$E$38,3,FALSE)+VLOOKUP($E1065&amp;$C1065,生产方式定位!$F$3:$J$38,3,FALSE),0)</f>
        <v>100</v>
      </c>
      <c r="X1065" s="15">
        <f>IFERROR(VLOOKUP($D1065&amp;$C1065,生产方式定位!$A$2:$E$38,5,FALSE)+VLOOKUP($E1065&amp;$C1065,生产方式定位!$F$3:$J$38,5,FALSE),"错误")</f>
        <v>520</v>
      </c>
      <c r="Y1065" s="26" t="str">
        <f t="shared" si="288"/>
        <v/>
      </c>
      <c r="Z1065" s="36" t="str">
        <f t="shared" si="289"/>
        <v/>
      </c>
      <c r="AA1065" s="36" t="str">
        <f t="shared" si="290"/>
        <v/>
      </c>
      <c r="AB1065" s="27" t="str">
        <f t="shared" si="291"/>
        <v>73%</v>
      </c>
      <c r="AC1065" s="2">
        <f t="shared" si="292"/>
        <v>120</v>
      </c>
      <c r="AD1065" s="37">
        <f t="shared" si="293"/>
        <v>1</v>
      </c>
      <c r="AE1065" t="str">
        <f t="shared" si="294"/>
        <v/>
      </c>
      <c r="AF1065" t="str">
        <f t="shared" si="295"/>
        <v/>
      </c>
      <c r="AG1065" t="str">
        <f t="shared" si="296"/>
        <v/>
      </c>
      <c r="AH1065" t="str">
        <f t="shared" si="297"/>
        <v/>
      </c>
      <c r="AI1065" t="str">
        <f t="shared" si="298"/>
        <v/>
      </c>
      <c r="AJ1065" t="str">
        <f t="shared" si="299"/>
        <v/>
      </c>
      <c r="AK1065" t="str">
        <f t="shared" si="300"/>
        <v/>
      </c>
      <c r="AL1065" t="str">
        <f>IFERROR(ROUND(L1065*(G1065/$AU1065)/VLOOKUP(F1065,商品!$A$4:$B$60,2,FALSE),0),"")</f>
        <v/>
      </c>
      <c r="AM1065" t="str">
        <f>IFERROR(ROUND(L1065*(I1065/$AU1065)/VLOOKUP(H1065,商品!$A$4:$B$60,2,FALSE),0),"")</f>
        <v/>
      </c>
      <c r="AN1065">
        <f>IFERROR(ROUND(L1065*(J1065/$AU1065)/VLOOKUP("运力",商品!$A$4:$B$60,2,FALSE),0),0)</f>
        <v>0</v>
      </c>
      <c r="AO1065">
        <f>IFERROR(ROUND(L1065*(K1065/$AU1065)/VLOOKUP("交易",商品!$A$4:$B$60,2,FALSE),0),0)</f>
        <v>0</v>
      </c>
      <c r="AP1065" t="str">
        <f>IFERROR(ROUND(S1065*(N1065/$AV1065)/VLOOKUP(M1065,职业!$A$4:$G$16,4,FALSE),0),"")</f>
        <v/>
      </c>
      <c r="AQ1065" t="str">
        <f>IFERROR(ROUND(S1065*(P1065/$AV1065)/VLOOKUP(O1065,职业!$A$4:$G$16,4,FALSE),0),"")</f>
        <v/>
      </c>
      <c r="AR1065" t="str">
        <f>IFERROR(ROUND(S1065*(R1065/$AV1065)/VLOOKUP(Q1065,职业!$A$4:$G$16,4,FALSE),0),"")</f>
        <v/>
      </c>
      <c r="AS1065" t="str">
        <f>IFERROR(ROUND(X1065*(U1065/$AW1065)/VLOOKUP(T1065,商品!$A$4:$B$60,2,FALSE),0),"")</f>
        <v/>
      </c>
      <c r="AT1065" t="str">
        <f>IFERROR(ROUND(X1065*(W1065/$AW1065)/VLOOKUP(V1065,商品!$A$4:$B$60,2,FALSE),0),"")</f>
        <v/>
      </c>
      <c r="AU1065">
        <f t="shared" si="301"/>
        <v>0</v>
      </c>
      <c r="AV1065">
        <f t="shared" si="302"/>
        <v>0</v>
      </c>
      <c r="AW1065">
        <f t="shared" si="303"/>
        <v>0</v>
      </c>
    </row>
    <row r="1066" spans="1:49" ht="19.95" customHeight="1" x14ac:dyDescent="0.25">
      <c r="A1066" s="16" t="s">
        <v>408</v>
      </c>
      <c r="C1066" s="16">
        <v>2</v>
      </c>
      <c r="D1066" s="23" t="s">
        <v>171</v>
      </c>
      <c r="E1066" s="23" t="s">
        <v>172</v>
      </c>
      <c r="L1066" s="15">
        <f>IFERROR(VLOOKUP($D1066&amp;$C1066,生产方式定位!$A$2:$E$38,2,FALSE)+VLOOKUP($E1066&amp;$C1066,生产方式定位!$F$3:$J$38,2,FALSE),0)</f>
        <v>1100</v>
      </c>
      <c r="S1066" s="15">
        <f>IFERROR(VLOOKUP($D1066&amp;$C1066,生产方式定位!$A$2:$E$38,3,FALSE)+VLOOKUP($E1066&amp;$C1066,生产方式定位!$F$3:$J$38,3,FALSE),0)</f>
        <v>100</v>
      </c>
      <c r="X1066" s="15">
        <f>IFERROR(VLOOKUP($D1066&amp;$C1066,生产方式定位!$A$2:$E$38,5,FALSE)+VLOOKUP($E1066&amp;$C1066,生产方式定位!$F$3:$J$38,5,FALSE),"错误")</f>
        <v>1510</v>
      </c>
      <c r="Y1066" s="26" t="str">
        <f t="shared" si="288"/>
        <v/>
      </c>
      <c r="Z1066" s="36" t="str">
        <f t="shared" si="289"/>
        <v/>
      </c>
      <c r="AA1066" s="36" t="str">
        <f t="shared" si="290"/>
        <v/>
      </c>
      <c r="AB1066" s="27" t="str">
        <f t="shared" si="291"/>
        <v>37%</v>
      </c>
      <c r="AC1066" s="2">
        <f t="shared" si="292"/>
        <v>310</v>
      </c>
      <c r="AD1066" s="37">
        <f t="shared" si="293"/>
        <v>2</v>
      </c>
      <c r="AE1066" t="str">
        <f t="shared" si="294"/>
        <v/>
      </c>
      <c r="AF1066" t="str">
        <f t="shared" si="295"/>
        <v/>
      </c>
      <c r="AG1066" t="str">
        <f t="shared" si="296"/>
        <v/>
      </c>
      <c r="AH1066" t="str">
        <f t="shared" si="297"/>
        <v/>
      </c>
      <c r="AI1066" t="str">
        <f t="shared" si="298"/>
        <v/>
      </c>
      <c r="AJ1066" t="str">
        <f t="shared" si="299"/>
        <v/>
      </c>
      <c r="AK1066" t="str">
        <f t="shared" si="300"/>
        <v/>
      </c>
      <c r="AL1066" t="str">
        <f>IFERROR(ROUND(L1066*(G1066/$AU1066)/VLOOKUP(F1066,商品!$A$4:$B$60,2,FALSE),0),"")</f>
        <v/>
      </c>
      <c r="AM1066" t="str">
        <f>IFERROR(ROUND(L1066*(I1066/$AU1066)/VLOOKUP(H1066,商品!$A$4:$B$60,2,FALSE),0),"")</f>
        <v/>
      </c>
      <c r="AN1066">
        <f>IFERROR(ROUND(L1066*(J1066/$AU1066)/VLOOKUP("运力",商品!$A$4:$B$60,2,FALSE),0),0)</f>
        <v>0</v>
      </c>
      <c r="AO1066">
        <f>IFERROR(ROUND(L1066*(K1066/$AU1066)/VLOOKUP("交易",商品!$A$4:$B$60,2,FALSE),0),0)</f>
        <v>0</v>
      </c>
      <c r="AP1066" t="str">
        <f>IFERROR(ROUND(S1066*(N1066/$AV1066)/VLOOKUP(M1066,职业!$A$4:$G$16,4,FALSE),0),"")</f>
        <v/>
      </c>
      <c r="AQ1066" t="str">
        <f>IFERROR(ROUND(S1066*(P1066/$AV1066)/VLOOKUP(O1066,职业!$A$4:$G$16,4,FALSE),0),"")</f>
        <v/>
      </c>
      <c r="AR1066" t="str">
        <f>IFERROR(ROUND(S1066*(R1066/$AV1066)/VLOOKUP(Q1066,职业!$A$4:$G$16,4,FALSE),0),"")</f>
        <v/>
      </c>
      <c r="AS1066" t="str">
        <f>IFERROR(ROUND(X1066*(U1066/$AW1066)/VLOOKUP(T1066,商品!$A$4:$B$60,2,FALSE),0),"")</f>
        <v/>
      </c>
      <c r="AT1066" t="str">
        <f>IFERROR(ROUND(X1066*(W1066/$AW1066)/VLOOKUP(V1066,商品!$A$4:$B$60,2,FALSE),0),"")</f>
        <v/>
      </c>
      <c r="AU1066">
        <f t="shared" si="301"/>
        <v>0</v>
      </c>
      <c r="AV1066">
        <f t="shared" si="302"/>
        <v>0</v>
      </c>
      <c r="AW1066">
        <f t="shared" si="303"/>
        <v>0</v>
      </c>
    </row>
    <row r="1067" spans="1:49" ht="19.95" customHeight="1" x14ac:dyDescent="0.25">
      <c r="A1067" s="16" t="s">
        <v>408</v>
      </c>
      <c r="C1067" s="16">
        <v>3</v>
      </c>
      <c r="D1067" s="23" t="s">
        <v>171</v>
      </c>
      <c r="E1067" s="23" t="s">
        <v>172</v>
      </c>
      <c r="L1067" s="15">
        <f>IFERROR(VLOOKUP($D1067&amp;$C1067,生产方式定位!$A$2:$E$38,2,FALSE)+VLOOKUP($E1067&amp;$C1067,生产方式定位!$F$3:$J$38,2,FALSE),0)</f>
        <v>1525</v>
      </c>
      <c r="S1067" s="15">
        <f>IFERROR(VLOOKUP($D1067&amp;$C1067,生产方式定位!$A$2:$E$38,3,FALSE)+VLOOKUP($E1067&amp;$C1067,生产方式定位!$F$3:$J$38,3,FALSE),0)</f>
        <v>100</v>
      </c>
      <c r="X1067" s="15">
        <f>IFERROR(VLOOKUP($D1067&amp;$C1067,生产方式定位!$A$2:$E$38,5,FALSE)+VLOOKUP($E1067&amp;$C1067,生产方式定位!$F$3:$J$38,5,FALSE),"错误")</f>
        <v>2050</v>
      </c>
      <c r="Y1067" s="26" t="str">
        <f t="shared" si="288"/>
        <v/>
      </c>
      <c r="Z1067" s="36" t="str">
        <f t="shared" si="289"/>
        <v/>
      </c>
      <c r="AA1067" s="36" t="str">
        <f t="shared" si="290"/>
        <v/>
      </c>
      <c r="AB1067" s="27" t="str">
        <f t="shared" si="291"/>
        <v>34%</v>
      </c>
      <c r="AC1067" s="2">
        <f t="shared" si="292"/>
        <v>425</v>
      </c>
      <c r="AD1067" s="38">
        <f t="shared" si="293"/>
        <v>3</v>
      </c>
      <c r="AE1067" t="str">
        <f t="shared" si="294"/>
        <v/>
      </c>
      <c r="AF1067" t="str">
        <f t="shared" si="295"/>
        <v/>
      </c>
      <c r="AG1067" t="str">
        <f t="shared" si="296"/>
        <v/>
      </c>
      <c r="AH1067" t="str">
        <f t="shared" si="297"/>
        <v/>
      </c>
      <c r="AI1067" t="str">
        <f t="shared" si="298"/>
        <v/>
      </c>
      <c r="AJ1067" t="str">
        <f t="shared" si="299"/>
        <v/>
      </c>
      <c r="AK1067" t="str">
        <f t="shared" si="300"/>
        <v/>
      </c>
      <c r="AL1067" t="str">
        <f>IFERROR(ROUND(L1067*(G1067/$AU1067)/VLOOKUP(F1067,商品!$A$4:$B$60,2,FALSE),0),"")</f>
        <v/>
      </c>
      <c r="AM1067" t="str">
        <f>IFERROR(ROUND(L1067*(I1067/$AU1067)/VLOOKUP(H1067,商品!$A$4:$B$60,2,FALSE),0),"")</f>
        <v/>
      </c>
      <c r="AN1067">
        <f>IFERROR(ROUND(L1067*(J1067/$AU1067)/VLOOKUP("运力",商品!$A$4:$B$60,2,FALSE),0),0)</f>
        <v>0</v>
      </c>
      <c r="AO1067">
        <f>IFERROR(ROUND(L1067*(K1067/$AU1067)/VLOOKUP("交易",商品!$A$4:$B$60,2,FALSE),0),0)</f>
        <v>0</v>
      </c>
      <c r="AP1067" t="str">
        <f>IFERROR(ROUND(S1067*(N1067/$AV1067)/VLOOKUP(M1067,职业!$A$4:$G$16,4,FALSE),0),"")</f>
        <v/>
      </c>
      <c r="AQ1067" t="str">
        <f>IFERROR(ROUND(S1067*(P1067/$AV1067)/VLOOKUP(O1067,职业!$A$4:$G$16,4,FALSE),0),"")</f>
        <v/>
      </c>
      <c r="AR1067" t="str">
        <f>IFERROR(ROUND(S1067*(R1067/$AV1067)/VLOOKUP(Q1067,职业!$A$4:$G$16,4,FALSE),0),"")</f>
        <v/>
      </c>
      <c r="AS1067" t="str">
        <f>IFERROR(ROUND(X1067*(U1067/$AW1067)/VLOOKUP(T1067,商品!$A$4:$B$60,2,FALSE),0),"")</f>
        <v/>
      </c>
      <c r="AT1067" t="str">
        <f>IFERROR(ROUND(X1067*(W1067/$AW1067)/VLOOKUP(V1067,商品!$A$4:$B$60,2,FALSE),0),"")</f>
        <v/>
      </c>
      <c r="AU1067">
        <f t="shared" si="301"/>
        <v>0</v>
      </c>
      <c r="AV1067">
        <f t="shared" si="302"/>
        <v>0</v>
      </c>
      <c r="AW1067">
        <f t="shared" si="303"/>
        <v>0</v>
      </c>
    </row>
    <row r="1068" spans="1:49" ht="19.95" customHeight="1" x14ac:dyDescent="0.25">
      <c r="A1068" s="16" t="s">
        <v>408</v>
      </c>
      <c r="C1068" s="16">
        <v>4</v>
      </c>
      <c r="D1068" s="23" t="s">
        <v>171</v>
      </c>
      <c r="E1068" s="23" t="s">
        <v>172</v>
      </c>
      <c r="L1068" s="15">
        <f>IFERROR(VLOOKUP($D1068&amp;$C1068,生产方式定位!$A$2:$E$38,2,FALSE)+VLOOKUP($E1068&amp;$C1068,生产方式定位!$F$3:$J$38,2,FALSE),0)</f>
        <v>1950</v>
      </c>
      <c r="S1068" s="15">
        <f>IFERROR(VLOOKUP($D1068&amp;$C1068,生产方式定位!$A$2:$E$38,3,FALSE)+VLOOKUP($E1068&amp;$C1068,生产方式定位!$F$3:$J$38,3,FALSE),0)</f>
        <v>100</v>
      </c>
      <c r="X1068" s="15">
        <f>IFERROR(VLOOKUP($D1068&amp;$C1068,生产方式定位!$A$2:$E$38,5,FALSE)+VLOOKUP($E1068&amp;$C1068,生产方式定位!$F$3:$J$38,5,FALSE),"错误")</f>
        <v>2590</v>
      </c>
      <c r="Y1068" s="26" t="str">
        <f t="shared" ref="Y1068:Y1131" si="304">IF(AE1068="","",AE1068)&amp;IF(AF1068="","",","&amp;AF1068)&amp;IF(AN1068=0,"",",运力*"&amp;AN1068)&amp;IF(AO1068=0,"",",交易*"&amp;AO1068)</f>
        <v/>
      </c>
      <c r="Z1068" s="36" t="str">
        <f t="shared" ref="Z1068:Z1131" si="305">IF(AG1068="","",AG1068)&amp;IF(AH1068="","",","&amp;AH1068)&amp;IF(AI1068="","",","&amp;AI1068)</f>
        <v/>
      </c>
      <c r="AA1068" s="36" t="str">
        <f t="shared" ref="AA1068:AA1131" si="306">IF(AJ1068="","",AJ1068)&amp;IF(AK1068="","",","&amp;AK1068)</f>
        <v/>
      </c>
      <c r="AB1068" s="27" t="str">
        <f t="shared" ref="AB1068:AB1131" si="307">IFERROR(ROUND(((X1068/L1068)-1)*100,0)&amp;"%","")</f>
        <v>33%</v>
      </c>
      <c r="AC1068" s="2">
        <f t="shared" ref="AC1068:AC1131" si="308">IF(X1068-S1068-L1068=0,"",X1068-S1068-L1068)</f>
        <v>540</v>
      </c>
      <c r="AD1068" s="38">
        <f t="shared" ref="AD1068:AD1131" si="309">C1068</f>
        <v>4</v>
      </c>
      <c r="AE1068" t="str">
        <f t="shared" ref="AE1068:AE1131" si="310">IF(AL1068="","",F1068&amp;"*"&amp;AL1068)</f>
        <v/>
      </c>
      <c r="AF1068" t="str">
        <f t="shared" ref="AF1068:AF1131" si="311">IF(AM1068="","",H1068&amp;"*"&amp;AM1068)</f>
        <v/>
      </c>
      <c r="AG1068" t="str">
        <f t="shared" ref="AG1068:AG1131" si="312">IF(AP1068="","",M1068&amp;"*"&amp;AP1068)</f>
        <v/>
      </c>
      <c r="AH1068" t="str">
        <f t="shared" ref="AH1068:AH1131" si="313">IF(AQ1068="","",O1068&amp;"*"&amp;AQ1068)</f>
        <v/>
      </c>
      <c r="AI1068" t="str">
        <f t="shared" ref="AI1068:AI1131" si="314">IF(AR1068="","",Q1068&amp;"*"&amp;AR1068)</f>
        <v/>
      </c>
      <c r="AJ1068" t="str">
        <f t="shared" ref="AJ1068:AJ1131" si="315">IF(AS1068="","",T1068&amp;"*"&amp;AS1068)</f>
        <v/>
      </c>
      <c r="AK1068" t="str">
        <f t="shared" ref="AK1068:AK1131" si="316">IF(AT1068="","",V1068&amp;"*"&amp;AT1068)</f>
        <v/>
      </c>
      <c r="AL1068" t="str">
        <f>IFERROR(ROUND(L1068*(G1068/$AU1068)/VLOOKUP(F1068,商品!$A$4:$B$60,2,FALSE),0),"")</f>
        <v/>
      </c>
      <c r="AM1068" t="str">
        <f>IFERROR(ROUND(L1068*(I1068/$AU1068)/VLOOKUP(H1068,商品!$A$4:$B$60,2,FALSE),0),"")</f>
        <v/>
      </c>
      <c r="AN1068">
        <f>IFERROR(ROUND(L1068*(J1068/$AU1068)/VLOOKUP("运力",商品!$A$4:$B$60,2,FALSE),0),0)</f>
        <v>0</v>
      </c>
      <c r="AO1068">
        <f>IFERROR(ROUND(L1068*(K1068/$AU1068)/VLOOKUP("交易",商品!$A$4:$B$60,2,FALSE),0),0)</f>
        <v>0</v>
      </c>
      <c r="AP1068" t="str">
        <f>IFERROR(ROUND(S1068*(N1068/$AV1068)/VLOOKUP(M1068,职业!$A$4:$G$16,4,FALSE),0),"")</f>
        <v/>
      </c>
      <c r="AQ1068" t="str">
        <f>IFERROR(ROUND(S1068*(P1068/$AV1068)/VLOOKUP(O1068,职业!$A$4:$G$16,4,FALSE),0),"")</f>
        <v/>
      </c>
      <c r="AR1068" t="str">
        <f>IFERROR(ROUND(S1068*(R1068/$AV1068)/VLOOKUP(Q1068,职业!$A$4:$G$16,4,FALSE),0),"")</f>
        <v/>
      </c>
      <c r="AS1068" t="str">
        <f>IFERROR(ROUND(X1068*(U1068/$AW1068)/VLOOKUP(T1068,商品!$A$4:$B$60,2,FALSE),0),"")</f>
        <v/>
      </c>
      <c r="AT1068" t="str">
        <f>IFERROR(ROUND(X1068*(W1068/$AW1068)/VLOOKUP(V1068,商品!$A$4:$B$60,2,FALSE),0),"")</f>
        <v/>
      </c>
      <c r="AU1068">
        <f t="shared" ref="AU1068:AU1131" si="317">G1068+I1068+J1068+K1068</f>
        <v>0</v>
      </c>
      <c r="AV1068">
        <f t="shared" ref="AV1068:AV1131" si="318">ABS(N1068)+ABS(P1068)+ABS(R1068)</f>
        <v>0</v>
      </c>
      <c r="AW1068">
        <f t="shared" ref="AW1068:AW1131" si="319">U1068+W1068</f>
        <v>0</v>
      </c>
    </row>
    <row r="1069" spans="1:49" ht="19.95" customHeight="1" x14ac:dyDescent="0.25">
      <c r="A1069" s="16" t="s">
        <v>408</v>
      </c>
      <c r="C1069" s="16">
        <v>5</v>
      </c>
      <c r="D1069" s="23" t="s">
        <v>171</v>
      </c>
      <c r="E1069" s="23" t="s">
        <v>172</v>
      </c>
      <c r="L1069" s="15">
        <f>IFERROR(VLOOKUP($D1069&amp;$C1069,生产方式定位!$A$2:$E$38,2,FALSE)+VLOOKUP($E1069&amp;$C1069,生产方式定位!$F$3:$J$38,2,FALSE),0)</f>
        <v>2375</v>
      </c>
      <c r="S1069" s="15">
        <f>IFERROR(VLOOKUP($D1069&amp;$C1069,生产方式定位!$A$2:$E$38,3,FALSE)+VLOOKUP($E1069&amp;$C1069,生产方式定位!$F$3:$J$38,3,FALSE),0)</f>
        <v>100</v>
      </c>
      <c r="X1069" s="15">
        <f>IFERROR(VLOOKUP($D1069&amp;$C1069,生产方式定位!$A$2:$E$38,5,FALSE)+VLOOKUP($E1069&amp;$C1069,生产方式定位!$F$3:$J$38,5,FALSE),"错误")</f>
        <v>3130</v>
      </c>
      <c r="Y1069" s="26" t="str">
        <f t="shared" si="304"/>
        <v/>
      </c>
      <c r="Z1069" s="36" t="str">
        <f t="shared" si="305"/>
        <v/>
      </c>
      <c r="AA1069" s="36" t="str">
        <f t="shared" si="306"/>
        <v/>
      </c>
      <c r="AB1069" s="27" t="str">
        <f t="shared" si="307"/>
        <v>32%</v>
      </c>
      <c r="AC1069" s="2">
        <f t="shared" si="308"/>
        <v>655</v>
      </c>
      <c r="AD1069" s="38">
        <f t="shared" si="309"/>
        <v>5</v>
      </c>
      <c r="AE1069" t="str">
        <f t="shared" si="310"/>
        <v/>
      </c>
      <c r="AF1069" t="str">
        <f t="shared" si="311"/>
        <v/>
      </c>
      <c r="AG1069" t="str">
        <f t="shared" si="312"/>
        <v/>
      </c>
      <c r="AH1069" t="str">
        <f t="shared" si="313"/>
        <v/>
      </c>
      <c r="AI1069" t="str">
        <f t="shared" si="314"/>
        <v/>
      </c>
      <c r="AJ1069" t="str">
        <f t="shared" si="315"/>
        <v/>
      </c>
      <c r="AK1069" t="str">
        <f t="shared" si="316"/>
        <v/>
      </c>
      <c r="AL1069" t="str">
        <f>IFERROR(ROUND(L1069*(G1069/$AU1069)/VLOOKUP(F1069,商品!$A$4:$B$60,2,FALSE),0),"")</f>
        <v/>
      </c>
      <c r="AM1069" t="str">
        <f>IFERROR(ROUND(L1069*(I1069/$AU1069)/VLOOKUP(H1069,商品!$A$4:$B$60,2,FALSE),0),"")</f>
        <v/>
      </c>
      <c r="AN1069">
        <f>IFERROR(ROUND(L1069*(J1069/$AU1069)/VLOOKUP("运力",商品!$A$4:$B$60,2,FALSE),0),0)</f>
        <v>0</v>
      </c>
      <c r="AO1069">
        <f>IFERROR(ROUND(L1069*(K1069/$AU1069)/VLOOKUP("交易",商品!$A$4:$B$60,2,FALSE),0),0)</f>
        <v>0</v>
      </c>
      <c r="AP1069" t="str">
        <f>IFERROR(ROUND(S1069*(N1069/$AV1069)/VLOOKUP(M1069,职业!$A$4:$G$16,4,FALSE),0),"")</f>
        <v/>
      </c>
      <c r="AQ1069" t="str">
        <f>IFERROR(ROUND(S1069*(P1069/$AV1069)/VLOOKUP(O1069,职业!$A$4:$G$16,4,FALSE),0),"")</f>
        <v/>
      </c>
      <c r="AR1069" t="str">
        <f>IFERROR(ROUND(S1069*(R1069/$AV1069)/VLOOKUP(Q1069,职业!$A$4:$G$16,4,FALSE),0),"")</f>
        <v/>
      </c>
      <c r="AS1069" t="str">
        <f>IFERROR(ROUND(X1069*(U1069/$AW1069)/VLOOKUP(T1069,商品!$A$4:$B$60,2,FALSE),0),"")</f>
        <v/>
      </c>
      <c r="AT1069" t="str">
        <f>IFERROR(ROUND(X1069*(W1069/$AW1069)/VLOOKUP(V1069,商品!$A$4:$B$60,2,FALSE),0),"")</f>
        <v/>
      </c>
      <c r="AU1069">
        <f t="shared" si="317"/>
        <v>0</v>
      </c>
      <c r="AV1069">
        <f t="shared" si="318"/>
        <v>0</v>
      </c>
      <c r="AW1069">
        <f t="shared" si="319"/>
        <v>0</v>
      </c>
    </row>
    <row r="1070" spans="1:49" ht="19.95" customHeight="1" x14ac:dyDescent="0.25">
      <c r="A1070" s="15" t="s">
        <v>409</v>
      </c>
      <c r="C1070" s="15">
        <v>1</v>
      </c>
      <c r="D1070" s="23" t="s">
        <v>174</v>
      </c>
      <c r="E1070" s="23" t="s">
        <v>175</v>
      </c>
      <c r="L1070" s="16">
        <f>IFERROR(VLOOKUP($D1070&amp;$C1070,生产方式定位!$A$2:$E$38,2,FALSE)+VLOOKUP($E1070&amp;$C1070,生产方式定位!$F$3:$J$38,2,FALSE),0)</f>
        <v>0</v>
      </c>
      <c r="S1070" s="16">
        <f>IFERROR(VLOOKUP($D1070&amp;$C1070,生产方式定位!$A$2:$E$38,3,FALSE)+VLOOKUP($E1070&amp;$C1070,生产方式定位!$F$3:$J$38,3,FALSE),0)</f>
        <v>0</v>
      </c>
      <c r="X1070" s="16">
        <f>IFERROR(VLOOKUP($D1070&amp;$C1070,生产方式定位!$A$2:$E$38,5,FALSE)+VLOOKUP($E1070&amp;$C1070,生产方式定位!$F$3:$J$38,5,FALSE),"错误")</f>
        <v>0</v>
      </c>
      <c r="Y1070" s="26" t="str">
        <f t="shared" si="304"/>
        <v/>
      </c>
      <c r="Z1070" s="36" t="str">
        <f t="shared" si="305"/>
        <v/>
      </c>
      <c r="AA1070" s="36" t="str">
        <f t="shared" si="306"/>
        <v/>
      </c>
      <c r="AB1070" s="27" t="str">
        <f t="shared" si="307"/>
        <v/>
      </c>
      <c r="AC1070" s="2" t="str">
        <f t="shared" si="308"/>
        <v/>
      </c>
      <c r="AD1070" s="38">
        <f t="shared" si="309"/>
        <v>1</v>
      </c>
      <c r="AE1070" t="str">
        <f t="shared" si="310"/>
        <v/>
      </c>
      <c r="AF1070" t="str">
        <f t="shared" si="311"/>
        <v/>
      </c>
      <c r="AG1070" t="str">
        <f t="shared" si="312"/>
        <v/>
      </c>
      <c r="AH1070" t="str">
        <f t="shared" si="313"/>
        <v/>
      </c>
      <c r="AI1070" t="str">
        <f t="shared" si="314"/>
        <v/>
      </c>
      <c r="AJ1070" t="str">
        <f t="shared" si="315"/>
        <v/>
      </c>
      <c r="AK1070" t="str">
        <f t="shared" si="316"/>
        <v/>
      </c>
      <c r="AL1070" t="str">
        <f>IFERROR(ROUND(L1070*(G1070/$AU1070)/VLOOKUP(F1070,商品!$A$4:$B$60,2,FALSE),0),"")</f>
        <v/>
      </c>
      <c r="AM1070" t="str">
        <f>IFERROR(ROUND(L1070*(I1070/$AU1070)/VLOOKUP(H1070,商品!$A$4:$B$60,2,FALSE),0),"")</f>
        <v/>
      </c>
      <c r="AN1070">
        <f>IFERROR(ROUND(L1070*(J1070/$AU1070)/VLOOKUP("运力",商品!$A$4:$B$60,2,FALSE),0),0)</f>
        <v>0</v>
      </c>
      <c r="AO1070">
        <f>IFERROR(ROUND(L1070*(K1070/$AU1070)/VLOOKUP("交易",商品!$A$4:$B$60,2,FALSE),0),0)</f>
        <v>0</v>
      </c>
      <c r="AP1070" t="str">
        <f>IFERROR(ROUND(S1070*(N1070/$AV1070)/VLOOKUP(M1070,职业!$A$4:$G$16,4,FALSE),0),"")</f>
        <v/>
      </c>
      <c r="AQ1070" t="str">
        <f>IFERROR(ROUND(S1070*(P1070/$AV1070)/VLOOKUP(O1070,职业!$A$4:$G$16,4,FALSE),0),"")</f>
        <v/>
      </c>
      <c r="AR1070" t="str">
        <f>IFERROR(ROUND(S1070*(R1070/$AV1070)/VLOOKUP(Q1070,职业!$A$4:$G$16,4,FALSE),0),"")</f>
        <v/>
      </c>
      <c r="AS1070" t="str">
        <f>IFERROR(ROUND(X1070*(U1070/$AW1070)/VLOOKUP(T1070,商品!$A$4:$B$60,2,FALSE),0),"")</f>
        <v/>
      </c>
      <c r="AT1070" t="str">
        <f>IFERROR(ROUND(X1070*(W1070/$AW1070)/VLOOKUP(V1070,商品!$A$4:$B$60,2,FALSE),0),"")</f>
        <v/>
      </c>
      <c r="AU1070">
        <f t="shared" si="317"/>
        <v>0</v>
      </c>
      <c r="AV1070">
        <f t="shared" si="318"/>
        <v>0</v>
      </c>
      <c r="AW1070">
        <f t="shared" si="319"/>
        <v>0</v>
      </c>
    </row>
    <row r="1071" spans="1:49" ht="19.95" customHeight="1" x14ac:dyDescent="0.25">
      <c r="A1071" s="15" t="s">
        <v>409</v>
      </c>
      <c r="C1071" s="15">
        <v>2</v>
      </c>
      <c r="D1071" s="23" t="s">
        <v>174</v>
      </c>
      <c r="E1071" s="23" t="s">
        <v>175</v>
      </c>
      <c r="F1071" s="2" t="s">
        <v>41</v>
      </c>
      <c r="G1071" s="2">
        <v>10</v>
      </c>
      <c r="L1071" s="16">
        <f>IFERROR(VLOOKUP($D1071&amp;$C1071,生产方式定位!$A$2:$E$38,2,FALSE)+VLOOKUP($E1071&amp;$C1071,生产方式定位!$F$3:$J$38,2,FALSE),0)</f>
        <v>50</v>
      </c>
      <c r="S1071" s="16">
        <f>IFERROR(VLOOKUP($D1071&amp;$C1071,生产方式定位!$A$2:$E$38,3,FALSE)+VLOOKUP($E1071&amp;$C1071,生产方式定位!$F$3:$J$38,3,FALSE),0)</f>
        <v>10</v>
      </c>
      <c r="X1071" s="16">
        <f>IFERROR(VLOOKUP($D1071&amp;$C1071,生产方式定位!$A$2:$E$38,5,FALSE)+VLOOKUP($E1071&amp;$C1071,生产方式定位!$F$3:$J$38,5,FALSE),"错误")</f>
        <v>0</v>
      </c>
      <c r="Y1071" s="26" t="str">
        <f t="shared" si="304"/>
        <v>工具*1</v>
      </c>
      <c r="Z1071" s="36" t="str">
        <f t="shared" si="305"/>
        <v/>
      </c>
      <c r="AA1071" s="36" t="str">
        <f t="shared" si="306"/>
        <v/>
      </c>
      <c r="AB1071" s="27" t="str">
        <f t="shared" si="307"/>
        <v>-100%</v>
      </c>
      <c r="AC1071" s="2">
        <f t="shared" si="308"/>
        <v>-60</v>
      </c>
      <c r="AD1071" s="38">
        <f t="shared" si="309"/>
        <v>2</v>
      </c>
      <c r="AE1071" t="str">
        <f t="shared" si="310"/>
        <v>工具*1</v>
      </c>
      <c r="AF1071" t="str">
        <f t="shared" si="311"/>
        <v/>
      </c>
      <c r="AG1071" t="str">
        <f t="shared" si="312"/>
        <v/>
      </c>
      <c r="AH1071" t="str">
        <f t="shared" si="313"/>
        <v/>
      </c>
      <c r="AI1071" t="str">
        <f t="shared" si="314"/>
        <v/>
      </c>
      <c r="AJ1071" t="str">
        <f t="shared" si="315"/>
        <v/>
      </c>
      <c r="AK1071" t="str">
        <f t="shared" si="316"/>
        <v/>
      </c>
      <c r="AL1071">
        <f>IFERROR(ROUND(L1071*(G1071/$AU1071)/VLOOKUP(F1071,商品!$A$4:$B$60,2,FALSE),0),"")</f>
        <v>1</v>
      </c>
      <c r="AM1071" t="str">
        <f>IFERROR(ROUND(L1071*(I1071/$AU1071)/VLOOKUP(H1071,商品!$A$4:$B$60,2,FALSE),0),"")</f>
        <v/>
      </c>
      <c r="AN1071">
        <f>IFERROR(ROUND(L1071*(J1071/$AU1071)/VLOOKUP("运力",商品!$A$4:$B$60,2,FALSE),0),0)</f>
        <v>0</v>
      </c>
      <c r="AO1071">
        <f>IFERROR(ROUND(L1071*(K1071/$AU1071)/VLOOKUP("交易",商品!$A$4:$B$60,2,FALSE),0),0)</f>
        <v>0</v>
      </c>
      <c r="AP1071" t="str">
        <f>IFERROR(ROUND(S1071*(N1071/$AV1071)/VLOOKUP(M1071,职业!$A$4:$G$16,4,FALSE),0),"")</f>
        <v/>
      </c>
      <c r="AQ1071" t="str">
        <f>IFERROR(ROUND(S1071*(P1071/$AV1071)/VLOOKUP(O1071,职业!$A$4:$G$16,4,FALSE),0),"")</f>
        <v/>
      </c>
      <c r="AR1071" t="str">
        <f>IFERROR(ROUND(S1071*(R1071/$AV1071)/VLOOKUP(Q1071,职业!$A$4:$G$16,4,FALSE),0),"")</f>
        <v/>
      </c>
      <c r="AS1071" t="str">
        <f>IFERROR(ROUND(X1071*(U1071/$AW1071)/VLOOKUP(T1071,商品!$A$4:$B$60,2,FALSE),0),"")</f>
        <v/>
      </c>
      <c r="AT1071" t="str">
        <f>IFERROR(ROUND(X1071*(W1071/$AW1071)/VLOOKUP(V1071,商品!$A$4:$B$60,2,FALSE),0),"")</f>
        <v/>
      </c>
      <c r="AU1071">
        <f t="shared" si="317"/>
        <v>10</v>
      </c>
      <c r="AV1071">
        <f t="shared" si="318"/>
        <v>0</v>
      </c>
      <c r="AW1071">
        <f t="shared" si="319"/>
        <v>0</v>
      </c>
    </row>
    <row r="1072" spans="1:49" ht="19.95" customHeight="1" x14ac:dyDescent="0.25">
      <c r="A1072" s="15" t="s">
        <v>409</v>
      </c>
      <c r="C1072" s="15">
        <v>3</v>
      </c>
      <c r="D1072" s="23" t="s">
        <v>174</v>
      </c>
      <c r="E1072" s="23" t="s">
        <v>175</v>
      </c>
      <c r="F1072" s="2" t="s">
        <v>41</v>
      </c>
      <c r="G1072" s="2">
        <v>10</v>
      </c>
      <c r="L1072" s="16">
        <f>IFERROR(VLOOKUP($D1072&amp;$C1072,生产方式定位!$A$2:$E$38,2,FALSE)+VLOOKUP($E1072&amp;$C1072,生产方式定位!$F$3:$J$38,2,FALSE),0)</f>
        <v>100</v>
      </c>
      <c r="S1072" s="16">
        <f>IFERROR(VLOOKUP($D1072&amp;$C1072,生产方式定位!$A$2:$E$38,3,FALSE)+VLOOKUP($E1072&amp;$C1072,生产方式定位!$F$3:$J$38,3,FALSE),0)</f>
        <v>20</v>
      </c>
      <c r="X1072" s="16">
        <f>IFERROR(VLOOKUP($D1072&amp;$C1072,生产方式定位!$A$2:$E$38,5,FALSE)+VLOOKUP($E1072&amp;$C1072,生产方式定位!$F$3:$J$38,5,FALSE),"错误")</f>
        <v>0</v>
      </c>
      <c r="Y1072" s="26" t="str">
        <f t="shared" si="304"/>
        <v>工具*3</v>
      </c>
      <c r="Z1072" s="36" t="str">
        <f t="shared" si="305"/>
        <v/>
      </c>
      <c r="AA1072" s="36" t="str">
        <f t="shared" si="306"/>
        <v/>
      </c>
      <c r="AB1072" s="27" t="str">
        <f t="shared" si="307"/>
        <v>-100%</v>
      </c>
      <c r="AC1072" s="2">
        <f t="shared" si="308"/>
        <v>-120</v>
      </c>
      <c r="AD1072" s="38">
        <f t="shared" si="309"/>
        <v>3</v>
      </c>
      <c r="AE1072" t="str">
        <f t="shared" si="310"/>
        <v>工具*3</v>
      </c>
      <c r="AF1072" t="str">
        <f t="shared" si="311"/>
        <v/>
      </c>
      <c r="AG1072" t="str">
        <f t="shared" si="312"/>
        <v/>
      </c>
      <c r="AH1072" t="str">
        <f t="shared" si="313"/>
        <v/>
      </c>
      <c r="AI1072" t="str">
        <f t="shared" si="314"/>
        <v/>
      </c>
      <c r="AJ1072" t="str">
        <f t="shared" si="315"/>
        <v/>
      </c>
      <c r="AK1072" t="str">
        <f t="shared" si="316"/>
        <v/>
      </c>
      <c r="AL1072">
        <f>IFERROR(ROUND(L1072*(G1072/$AU1072)/VLOOKUP(F1072,商品!$A$4:$B$60,2,FALSE),0),"")</f>
        <v>3</v>
      </c>
      <c r="AM1072" t="str">
        <f>IFERROR(ROUND(L1072*(I1072/$AU1072)/VLOOKUP(H1072,商品!$A$4:$B$60,2,FALSE),0),"")</f>
        <v/>
      </c>
      <c r="AN1072">
        <f>IFERROR(ROUND(L1072*(J1072/$AU1072)/VLOOKUP("运力",商品!$A$4:$B$60,2,FALSE),0),0)</f>
        <v>0</v>
      </c>
      <c r="AO1072">
        <f>IFERROR(ROUND(L1072*(K1072/$AU1072)/VLOOKUP("交易",商品!$A$4:$B$60,2,FALSE),0),0)</f>
        <v>0</v>
      </c>
      <c r="AP1072" t="str">
        <f>IFERROR(ROUND(S1072*(N1072/$AV1072)/VLOOKUP(M1072,职业!$A$4:$G$16,4,FALSE),0),"")</f>
        <v/>
      </c>
      <c r="AQ1072" t="str">
        <f>IFERROR(ROUND(S1072*(P1072/$AV1072)/VLOOKUP(O1072,职业!$A$4:$G$16,4,FALSE),0),"")</f>
        <v/>
      </c>
      <c r="AR1072" t="str">
        <f>IFERROR(ROUND(S1072*(R1072/$AV1072)/VLOOKUP(Q1072,职业!$A$4:$G$16,4,FALSE),0),"")</f>
        <v/>
      </c>
      <c r="AS1072" t="str">
        <f>IFERROR(ROUND(X1072*(U1072/$AW1072)/VLOOKUP(T1072,商品!$A$4:$B$60,2,FALSE),0),"")</f>
        <v/>
      </c>
      <c r="AT1072" t="str">
        <f>IFERROR(ROUND(X1072*(W1072/$AW1072)/VLOOKUP(V1072,商品!$A$4:$B$60,2,FALSE),0),"")</f>
        <v/>
      </c>
      <c r="AU1072">
        <f t="shared" si="317"/>
        <v>10</v>
      </c>
      <c r="AV1072">
        <f t="shared" si="318"/>
        <v>0</v>
      </c>
      <c r="AW1072">
        <f t="shared" si="319"/>
        <v>0</v>
      </c>
    </row>
    <row r="1073" spans="1:49" ht="19.95" customHeight="1" x14ac:dyDescent="0.25">
      <c r="A1073" s="15" t="s">
        <v>409</v>
      </c>
      <c r="C1073" s="15">
        <v>4</v>
      </c>
      <c r="D1073" s="23" t="s">
        <v>174</v>
      </c>
      <c r="E1073" s="23" t="s">
        <v>175</v>
      </c>
      <c r="F1073" s="2" t="s">
        <v>45</v>
      </c>
      <c r="G1073" s="2">
        <v>5</v>
      </c>
      <c r="H1073" s="2" t="s">
        <v>19</v>
      </c>
      <c r="I1073" s="2">
        <v>10</v>
      </c>
      <c r="L1073" s="16">
        <f>IFERROR(VLOOKUP($D1073&amp;$C1073,生产方式定位!$A$2:$E$38,2,FALSE)+VLOOKUP($E1073&amp;$C1073,生产方式定位!$F$3:$J$38,2,FALSE),0)</f>
        <v>150</v>
      </c>
      <c r="S1073" s="16">
        <f>IFERROR(VLOOKUP($D1073&amp;$C1073,生产方式定位!$A$2:$E$38,3,FALSE)+VLOOKUP($E1073&amp;$C1073,生产方式定位!$F$3:$J$38,3,FALSE),0)</f>
        <v>30</v>
      </c>
      <c r="X1073" s="16">
        <f>IFERROR(VLOOKUP($D1073&amp;$C1073,生产方式定位!$A$2:$E$38,5,FALSE)+VLOOKUP($E1073&amp;$C1073,生产方式定位!$F$3:$J$38,5,FALSE),"错误")</f>
        <v>0</v>
      </c>
      <c r="Y1073" s="26" t="str">
        <f t="shared" si="304"/>
        <v>科学引擎*1,煤*3</v>
      </c>
      <c r="Z1073" s="36" t="str">
        <f t="shared" si="305"/>
        <v/>
      </c>
      <c r="AA1073" s="36" t="str">
        <f t="shared" si="306"/>
        <v/>
      </c>
      <c r="AB1073" s="27" t="str">
        <f t="shared" si="307"/>
        <v>-100%</v>
      </c>
      <c r="AC1073" s="2">
        <f t="shared" si="308"/>
        <v>-180</v>
      </c>
      <c r="AD1073" s="38">
        <f t="shared" si="309"/>
        <v>4</v>
      </c>
      <c r="AE1073" t="str">
        <f t="shared" si="310"/>
        <v>科学引擎*1</v>
      </c>
      <c r="AF1073" t="str">
        <f t="shared" si="311"/>
        <v>煤*3</v>
      </c>
      <c r="AG1073" t="str">
        <f t="shared" si="312"/>
        <v/>
      </c>
      <c r="AH1073" t="str">
        <f t="shared" si="313"/>
        <v/>
      </c>
      <c r="AI1073" t="str">
        <f t="shared" si="314"/>
        <v/>
      </c>
      <c r="AJ1073" t="str">
        <f t="shared" si="315"/>
        <v/>
      </c>
      <c r="AK1073" t="str">
        <f t="shared" si="316"/>
        <v/>
      </c>
      <c r="AL1073">
        <f>IFERROR(ROUND(L1073*(G1073/$AU1073)/VLOOKUP(F1073,商品!$A$4:$B$60,2,FALSE),0),"")</f>
        <v>1</v>
      </c>
      <c r="AM1073">
        <f>IFERROR(ROUND(L1073*(I1073/$AU1073)/VLOOKUP(H1073,商品!$A$4:$B$60,2,FALSE),0),"")</f>
        <v>3</v>
      </c>
      <c r="AN1073">
        <f>IFERROR(ROUND(L1073*(J1073/$AU1073)/VLOOKUP("运力",商品!$A$4:$B$60,2,FALSE),0),0)</f>
        <v>0</v>
      </c>
      <c r="AO1073">
        <f>IFERROR(ROUND(L1073*(K1073/$AU1073)/VLOOKUP("交易",商品!$A$4:$B$60,2,FALSE),0),0)</f>
        <v>0</v>
      </c>
      <c r="AP1073" t="str">
        <f>IFERROR(ROUND(S1073*(N1073/$AV1073)/VLOOKUP(M1073,职业!$A$4:$G$16,4,FALSE),0),"")</f>
        <v/>
      </c>
      <c r="AQ1073" t="str">
        <f>IFERROR(ROUND(S1073*(P1073/$AV1073)/VLOOKUP(O1073,职业!$A$4:$G$16,4,FALSE),0),"")</f>
        <v/>
      </c>
      <c r="AR1073" t="str">
        <f>IFERROR(ROUND(S1073*(R1073/$AV1073)/VLOOKUP(Q1073,职业!$A$4:$G$16,4,FALSE),0),"")</f>
        <v/>
      </c>
      <c r="AS1073" t="str">
        <f>IFERROR(ROUND(X1073*(U1073/$AW1073)/VLOOKUP(T1073,商品!$A$4:$B$60,2,FALSE),0),"")</f>
        <v/>
      </c>
      <c r="AT1073" t="str">
        <f>IFERROR(ROUND(X1073*(W1073/$AW1073)/VLOOKUP(V1073,商品!$A$4:$B$60,2,FALSE),0),"")</f>
        <v/>
      </c>
      <c r="AU1073">
        <f t="shared" si="317"/>
        <v>15</v>
      </c>
      <c r="AV1073">
        <f t="shared" si="318"/>
        <v>0</v>
      </c>
      <c r="AW1073">
        <f t="shared" si="319"/>
        <v>0</v>
      </c>
    </row>
    <row r="1074" spans="1:49" ht="19.95" customHeight="1" x14ac:dyDescent="0.25">
      <c r="A1074" s="15" t="s">
        <v>409</v>
      </c>
      <c r="C1074" s="15">
        <v>5</v>
      </c>
      <c r="D1074" s="23" t="s">
        <v>174</v>
      </c>
      <c r="E1074" s="23" t="s">
        <v>175</v>
      </c>
      <c r="F1074" s="2" t="s">
        <v>46</v>
      </c>
      <c r="G1074" s="2">
        <v>5</v>
      </c>
      <c r="H1074" s="2" t="s">
        <v>19</v>
      </c>
      <c r="I1074" s="2">
        <v>10</v>
      </c>
      <c r="L1074" s="16">
        <f>IFERROR(VLOOKUP($D1074&amp;$C1074,生产方式定位!$A$2:$E$38,2,FALSE)+VLOOKUP($E1074&amp;$C1074,生产方式定位!$F$3:$J$38,2,FALSE),0)</f>
        <v>200</v>
      </c>
      <c r="S1074" s="16">
        <f>IFERROR(VLOOKUP($D1074&amp;$C1074,生产方式定位!$A$2:$E$38,3,FALSE)+VLOOKUP($E1074&amp;$C1074,生产方式定位!$F$3:$J$38,3,FALSE),0)</f>
        <v>40</v>
      </c>
      <c r="X1074" s="16">
        <f>IFERROR(VLOOKUP($D1074&amp;$C1074,生产方式定位!$A$2:$E$38,5,FALSE)+VLOOKUP($E1074&amp;$C1074,生产方式定位!$F$3:$J$38,5,FALSE),"错误")</f>
        <v>0</v>
      </c>
      <c r="Y1074" s="26" t="str">
        <f t="shared" si="304"/>
        <v>魔导引擎*1,煤*4</v>
      </c>
      <c r="Z1074" s="36" t="str">
        <f t="shared" si="305"/>
        <v/>
      </c>
      <c r="AA1074" s="36" t="str">
        <f t="shared" si="306"/>
        <v/>
      </c>
      <c r="AB1074" s="27" t="str">
        <f t="shared" si="307"/>
        <v>-100%</v>
      </c>
      <c r="AC1074" s="2">
        <f t="shared" si="308"/>
        <v>-240</v>
      </c>
      <c r="AD1074" s="38">
        <f t="shared" si="309"/>
        <v>5</v>
      </c>
      <c r="AE1074" t="str">
        <f t="shared" si="310"/>
        <v>魔导引擎*1</v>
      </c>
      <c r="AF1074" t="str">
        <f t="shared" si="311"/>
        <v>煤*4</v>
      </c>
      <c r="AG1074" t="str">
        <f t="shared" si="312"/>
        <v/>
      </c>
      <c r="AH1074" t="str">
        <f t="shared" si="313"/>
        <v/>
      </c>
      <c r="AI1074" t="str">
        <f t="shared" si="314"/>
        <v/>
      </c>
      <c r="AJ1074" t="str">
        <f t="shared" si="315"/>
        <v/>
      </c>
      <c r="AK1074" t="str">
        <f t="shared" si="316"/>
        <v/>
      </c>
      <c r="AL1074">
        <f>IFERROR(ROUND(L1074*(G1074/$AU1074)/VLOOKUP(F1074,商品!$A$4:$B$60,2,FALSE),0),"")</f>
        <v>1</v>
      </c>
      <c r="AM1074">
        <f>IFERROR(ROUND(L1074*(I1074/$AU1074)/VLOOKUP(H1074,商品!$A$4:$B$60,2,FALSE),0),"")</f>
        <v>4</v>
      </c>
      <c r="AN1074">
        <f>IFERROR(ROUND(L1074*(J1074/$AU1074)/VLOOKUP("运力",商品!$A$4:$B$60,2,FALSE),0),0)</f>
        <v>0</v>
      </c>
      <c r="AO1074">
        <f>IFERROR(ROUND(L1074*(K1074/$AU1074)/VLOOKUP("交易",商品!$A$4:$B$60,2,FALSE),0),0)</f>
        <v>0</v>
      </c>
      <c r="AP1074" t="str">
        <f>IFERROR(ROUND(S1074*(N1074/$AV1074)/VLOOKUP(M1074,职业!$A$4:$G$16,4,FALSE),0),"")</f>
        <v/>
      </c>
      <c r="AQ1074" t="str">
        <f>IFERROR(ROUND(S1074*(P1074/$AV1074)/VLOOKUP(O1074,职业!$A$4:$G$16,4,FALSE),0),"")</f>
        <v/>
      </c>
      <c r="AR1074" t="str">
        <f>IFERROR(ROUND(S1074*(R1074/$AV1074)/VLOOKUP(Q1074,职业!$A$4:$G$16,4,FALSE),0),"")</f>
        <v/>
      </c>
      <c r="AS1074" t="str">
        <f>IFERROR(ROUND(X1074*(U1074/$AW1074)/VLOOKUP(T1074,商品!$A$4:$B$60,2,FALSE),0),"")</f>
        <v/>
      </c>
      <c r="AT1074" t="str">
        <f>IFERROR(ROUND(X1074*(W1074/$AW1074)/VLOOKUP(V1074,商品!$A$4:$B$60,2,FALSE),0),"")</f>
        <v/>
      </c>
      <c r="AU1074">
        <f t="shared" si="317"/>
        <v>15</v>
      </c>
      <c r="AV1074">
        <f t="shared" si="318"/>
        <v>0</v>
      </c>
      <c r="AW1074">
        <f t="shared" si="319"/>
        <v>0</v>
      </c>
    </row>
    <row r="1075" spans="1:49" ht="19.95" customHeight="1" x14ac:dyDescent="0.25">
      <c r="A1075" s="16" t="s">
        <v>410</v>
      </c>
      <c r="C1075" s="16">
        <v>1</v>
      </c>
      <c r="D1075" s="23" t="s">
        <v>171</v>
      </c>
      <c r="E1075" s="23" t="s">
        <v>177</v>
      </c>
      <c r="L1075" s="15">
        <f>IFERROR(VLOOKUP($D1075&amp;$C1075,生产方式定位!$A$2:$E$38,2,FALSE)+VLOOKUP($E1075&amp;$C1075,生产方式定位!$F$3:$J$38,2,FALSE),0)</f>
        <v>300</v>
      </c>
      <c r="S1075" s="15">
        <f>IFERROR(VLOOKUP($D1075&amp;$C1075,生产方式定位!$A$2:$E$38,3,FALSE)+VLOOKUP($E1075&amp;$C1075,生产方式定位!$F$3:$J$38,3,FALSE),0)</f>
        <v>100</v>
      </c>
      <c r="X1075" s="15">
        <f>IFERROR(VLOOKUP($D1075&amp;$C1075,生产方式定位!$A$2:$E$38,5,FALSE)+VLOOKUP($E1075&amp;$C1075,生产方式定位!$F$3:$J$38,5,FALSE),"错误")</f>
        <v>520</v>
      </c>
      <c r="Y1075" s="26" t="str">
        <f t="shared" si="304"/>
        <v/>
      </c>
      <c r="Z1075" s="36" t="str">
        <f t="shared" si="305"/>
        <v/>
      </c>
      <c r="AA1075" s="36" t="str">
        <f t="shared" si="306"/>
        <v/>
      </c>
      <c r="AB1075" s="27" t="str">
        <f t="shared" si="307"/>
        <v>73%</v>
      </c>
      <c r="AC1075" s="2">
        <f t="shared" si="308"/>
        <v>120</v>
      </c>
      <c r="AD1075" s="37">
        <f t="shared" si="309"/>
        <v>1</v>
      </c>
      <c r="AE1075" t="str">
        <f t="shared" si="310"/>
        <v/>
      </c>
      <c r="AF1075" t="str">
        <f t="shared" si="311"/>
        <v/>
      </c>
      <c r="AG1075" t="str">
        <f t="shared" si="312"/>
        <v/>
      </c>
      <c r="AH1075" t="str">
        <f t="shared" si="313"/>
        <v/>
      </c>
      <c r="AI1075" t="str">
        <f t="shared" si="314"/>
        <v/>
      </c>
      <c r="AJ1075" t="str">
        <f t="shared" si="315"/>
        <v/>
      </c>
      <c r="AK1075" t="str">
        <f t="shared" si="316"/>
        <v/>
      </c>
      <c r="AL1075" t="str">
        <f>IFERROR(ROUND(L1075*(G1075/$AU1075)/VLOOKUP(F1075,商品!$A$4:$B$60,2,FALSE),0),"")</f>
        <v/>
      </c>
      <c r="AM1075" t="str">
        <f>IFERROR(ROUND(L1075*(I1075/$AU1075)/VLOOKUP(H1075,商品!$A$4:$B$60,2,FALSE),0),"")</f>
        <v/>
      </c>
      <c r="AN1075">
        <f>IFERROR(ROUND(L1075*(J1075/$AU1075)/VLOOKUP("运力",商品!$A$4:$B$60,2,FALSE),0),0)</f>
        <v>0</v>
      </c>
      <c r="AO1075">
        <f>IFERROR(ROUND(L1075*(K1075/$AU1075)/VLOOKUP("交易",商品!$A$4:$B$60,2,FALSE),0),0)</f>
        <v>0</v>
      </c>
      <c r="AP1075" t="str">
        <f>IFERROR(ROUND(S1075*(N1075/$AV1075)/VLOOKUP(M1075,职业!$A$4:$G$16,4,FALSE),0),"")</f>
        <v/>
      </c>
      <c r="AQ1075" t="str">
        <f>IFERROR(ROUND(S1075*(P1075/$AV1075)/VLOOKUP(O1075,职业!$A$4:$G$16,4,FALSE),0),"")</f>
        <v/>
      </c>
      <c r="AR1075" t="str">
        <f>IFERROR(ROUND(S1075*(R1075/$AV1075)/VLOOKUP(Q1075,职业!$A$4:$G$16,4,FALSE),0),"")</f>
        <v/>
      </c>
      <c r="AS1075" t="str">
        <f>IFERROR(ROUND(X1075*(U1075/$AW1075)/VLOOKUP(T1075,商品!$A$4:$B$60,2,FALSE),0),"")</f>
        <v/>
      </c>
      <c r="AT1075" t="str">
        <f>IFERROR(ROUND(X1075*(W1075/$AW1075)/VLOOKUP(V1075,商品!$A$4:$B$60,2,FALSE),0),"")</f>
        <v/>
      </c>
      <c r="AU1075">
        <f t="shared" si="317"/>
        <v>0</v>
      </c>
      <c r="AV1075">
        <f t="shared" si="318"/>
        <v>0</v>
      </c>
      <c r="AW1075">
        <f t="shared" si="319"/>
        <v>0</v>
      </c>
    </row>
    <row r="1076" spans="1:49" ht="19.95" customHeight="1" x14ac:dyDescent="0.25">
      <c r="A1076" s="16" t="s">
        <v>410</v>
      </c>
      <c r="C1076" s="16">
        <v>2</v>
      </c>
      <c r="D1076" s="23" t="s">
        <v>171</v>
      </c>
      <c r="E1076" s="23" t="s">
        <v>177</v>
      </c>
      <c r="F1076" s="2" t="s">
        <v>42</v>
      </c>
      <c r="G1076" s="2">
        <v>5</v>
      </c>
      <c r="H1076" s="2" t="s">
        <v>20</v>
      </c>
      <c r="I1076" s="2">
        <v>10</v>
      </c>
      <c r="L1076" s="15">
        <f>IFERROR(VLOOKUP($D1076&amp;$C1076,生产方式定位!$A$2:$E$38,2,FALSE)+VLOOKUP($E1076&amp;$C1076,生产方式定位!$F$3:$J$38,2,FALSE),0)</f>
        <v>705</v>
      </c>
      <c r="S1076" s="15">
        <f>IFERROR(VLOOKUP($D1076&amp;$C1076,生产方式定位!$A$2:$E$38,3,FALSE)+VLOOKUP($E1076&amp;$C1076,生产方式定位!$F$3:$J$38,3,FALSE),0)</f>
        <v>115</v>
      </c>
      <c r="X1076" s="15">
        <f>IFERROR(VLOOKUP($D1076&amp;$C1076,生产方式定位!$A$2:$E$38,5,FALSE)+VLOOKUP($E1076&amp;$C1076,生产方式定位!$F$3:$J$38,5,FALSE),"错误")</f>
        <v>910</v>
      </c>
      <c r="Y1076" s="26" t="str">
        <f t="shared" si="304"/>
        <v>魔偶*6,灵能水晶*16</v>
      </c>
      <c r="Z1076" s="36" t="str">
        <f t="shared" si="305"/>
        <v/>
      </c>
      <c r="AA1076" s="36" t="str">
        <f t="shared" si="306"/>
        <v/>
      </c>
      <c r="AB1076" s="27" t="str">
        <f t="shared" si="307"/>
        <v>29%</v>
      </c>
      <c r="AC1076" s="2">
        <f t="shared" si="308"/>
        <v>90</v>
      </c>
      <c r="AD1076" s="37">
        <f t="shared" si="309"/>
        <v>2</v>
      </c>
      <c r="AE1076" t="str">
        <f t="shared" si="310"/>
        <v>魔偶*6</v>
      </c>
      <c r="AF1076" t="str">
        <f t="shared" si="311"/>
        <v>灵能水晶*16</v>
      </c>
      <c r="AG1076" t="str">
        <f t="shared" si="312"/>
        <v/>
      </c>
      <c r="AH1076" t="str">
        <f t="shared" si="313"/>
        <v/>
      </c>
      <c r="AI1076" t="str">
        <f t="shared" si="314"/>
        <v/>
      </c>
      <c r="AJ1076" t="str">
        <f t="shared" si="315"/>
        <v/>
      </c>
      <c r="AK1076" t="str">
        <f t="shared" si="316"/>
        <v/>
      </c>
      <c r="AL1076">
        <f>IFERROR(ROUND(L1076*(G1076/$AU1076)/VLOOKUP(F1076,商品!$A$4:$B$60,2,FALSE),0),"")</f>
        <v>6</v>
      </c>
      <c r="AM1076">
        <f>IFERROR(ROUND(L1076*(I1076/$AU1076)/VLOOKUP(H1076,商品!$A$4:$B$60,2,FALSE),0),"")</f>
        <v>16</v>
      </c>
      <c r="AN1076">
        <f>IFERROR(ROUND(L1076*(J1076/$AU1076)/VLOOKUP("运力",商品!$A$4:$B$60,2,FALSE),0),0)</f>
        <v>0</v>
      </c>
      <c r="AO1076">
        <f>IFERROR(ROUND(L1076*(K1076/$AU1076)/VLOOKUP("交易",商品!$A$4:$B$60,2,FALSE),0),0)</f>
        <v>0</v>
      </c>
      <c r="AP1076" t="str">
        <f>IFERROR(ROUND(S1076*(N1076/$AV1076)/VLOOKUP(M1076,职业!$A$4:$G$16,4,FALSE),0),"")</f>
        <v/>
      </c>
      <c r="AQ1076" t="str">
        <f>IFERROR(ROUND(S1076*(P1076/$AV1076)/VLOOKUP(O1076,职业!$A$4:$G$16,4,FALSE),0),"")</f>
        <v/>
      </c>
      <c r="AR1076" t="str">
        <f>IFERROR(ROUND(S1076*(R1076/$AV1076)/VLOOKUP(Q1076,职业!$A$4:$G$16,4,FALSE),0),"")</f>
        <v/>
      </c>
      <c r="AS1076" t="str">
        <f>IFERROR(ROUND(X1076*(U1076/$AW1076)/VLOOKUP(T1076,商品!$A$4:$B$60,2,FALSE),0),"")</f>
        <v/>
      </c>
      <c r="AT1076" t="str">
        <f>IFERROR(ROUND(X1076*(W1076/$AW1076)/VLOOKUP(V1076,商品!$A$4:$B$60,2,FALSE),0),"")</f>
        <v/>
      </c>
      <c r="AU1076">
        <f t="shared" si="317"/>
        <v>15</v>
      </c>
      <c r="AV1076">
        <f t="shared" si="318"/>
        <v>0</v>
      </c>
      <c r="AW1076">
        <f t="shared" si="319"/>
        <v>0</v>
      </c>
    </row>
    <row r="1077" spans="1:49" ht="19.95" customHeight="1" x14ac:dyDescent="0.25">
      <c r="A1077" s="16" t="s">
        <v>410</v>
      </c>
      <c r="C1077" s="16">
        <v>3</v>
      </c>
      <c r="D1077" s="23" t="s">
        <v>171</v>
      </c>
      <c r="E1077" s="23" t="s">
        <v>177</v>
      </c>
      <c r="F1077" s="2" t="s">
        <v>42</v>
      </c>
      <c r="G1077" s="2">
        <v>5</v>
      </c>
      <c r="H1077" s="2" t="s">
        <v>20</v>
      </c>
      <c r="I1077" s="2">
        <v>10</v>
      </c>
      <c r="L1077" s="15">
        <f>IFERROR(VLOOKUP($D1077&amp;$C1077,生产方式定位!$A$2:$E$38,2,FALSE)+VLOOKUP($E1077&amp;$C1077,生产方式定位!$F$3:$J$38,2,FALSE),0)</f>
        <v>1110</v>
      </c>
      <c r="S1077" s="15">
        <f>IFERROR(VLOOKUP($D1077&amp;$C1077,生产方式定位!$A$2:$E$38,3,FALSE)+VLOOKUP($E1077&amp;$C1077,生产方式定位!$F$3:$J$38,3,FALSE),0)</f>
        <v>130</v>
      </c>
      <c r="X1077" s="15">
        <f>IFERROR(VLOOKUP($D1077&amp;$C1077,生产方式定位!$A$2:$E$38,5,FALSE)+VLOOKUP($E1077&amp;$C1077,生产方式定位!$F$3:$J$38,5,FALSE),"错误")</f>
        <v>1300</v>
      </c>
      <c r="Y1077" s="26" t="str">
        <f t="shared" si="304"/>
        <v>魔偶*9,灵能水晶*25</v>
      </c>
      <c r="Z1077" s="36" t="str">
        <f t="shared" si="305"/>
        <v/>
      </c>
      <c r="AA1077" s="36" t="str">
        <f t="shared" si="306"/>
        <v/>
      </c>
      <c r="AB1077" s="27" t="str">
        <f t="shared" si="307"/>
        <v>17%</v>
      </c>
      <c r="AC1077" s="2">
        <f t="shared" si="308"/>
        <v>60</v>
      </c>
      <c r="AD1077" s="37">
        <f t="shared" si="309"/>
        <v>3</v>
      </c>
      <c r="AE1077" t="str">
        <f t="shared" si="310"/>
        <v>魔偶*9</v>
      </c>
      <c r="AF1077" t="str">
        <f t="shared" si="311"/>
        <v>灵能水晶*25</v>
      </c>
      <c r="AG1077" t="str">
        <f t="shared" si="312"/>
        <v/>
      </c>
      <c r="AH1077" t="str">
        <f t="shared" si="313"/>
        <v/>
      </c>
      <c r="AI1077" t="str">
        <f t="shared" si="314"/>
        <v/>
      </c>
      <c r="AJ1077" t="str">
        <f t="shared" si="315"/>
        <v/>
      </c>
      <c r="AK1077" t="str">
        <f t="shared" si="316"/>
        <v/>
      </c>
      <c r="AL1077">
        <f>IFERROR(ROUND(L1077*(G1077/$AU1077)/VLOOKUP(F1077,商品!$A$4:$B$60,2,FALSE),0),"")</f>
        <v>9</v>
      </c>
      <c r="AM1077">
        <f>IFERROR(ROUND(L1077*(I1077/$AU1077)/VLOOKUP(H1077,商品!$A$4:$B$60,2,FALSE),0),"")</f>
        <v>25</v>
      </c>
      <c r="AN1077">
        <f>IFERROR(ROUND(L1077*(J1077/$AU1077)/VLOOKUP("运力",商品!$A$4:$B$60,2,FALSE),0),0)</f>
        <v>0</v>
      </c>
      <c r="AO1077">
        <f>IFERROR(ROUND(L1077*(K1077/$AU1077)/VLOOKUP("交易",商品!$A$4:$B$60,2,FALSE),0),0)</f>
        <v>0</v>
      </c>
      <c r="AP1077" t="str">
        <f>IFERROR(ROUND(S1077*(N1077/$AV1077)/VLOOKUP(M1077,职业!$A$4:$G$16,4,FALSE),0),"")</f>
        <v/>
      </c>
      <c r="AQ1077" t="str">
        <f>IFERROR(ROUND(S1077*(P1077/$AV1077)/VLOOKUP(O1077,职业!$A$4:$G$16,4,FALSE),0),"")</f>
        <v/>
      </c>
      <c r="AR1077" t="str">
        <f>IFERROR(ROUND(S1077*(R1077/$AV1077)/VLOOKUP(Q1077,职业!$A$4:$G$16,4,FALSE),0),"")</f>
        <v/>
      </c>
      <c r="AS1077" t="str">
        <f>IFERROR(ROUND(X1077*(U1077/$AW1077)/VLOOKUP(T1077,商品!$A$4:$B$60,2,FALSE),0),"")</f>
        <v/>
      </c>
      <c r="AT1077" t="str">
        <f>IFERROR(ROUND(X1077*(W1077/$AW1077)/VLOOKUP(V1077,商品!$A$4:$B$60,2,FALSE),0),"")</f>
        <v/>
      </c>
      <c r="AU1077">
        <f t="shared" si="317"/>
        <v>15</v>
      </c>
      <c r="AV1077">
        <f t="shared" si="318"/>
        <v>0</v>
      </c>
      <c r="AW1077">
        <f t="shared" si="319"/>
        <v>0</v>
      </c>
    </row>
    <row r="1078" spans="1:49" ht="19.95" customHeight="1" x14ac:dyDescent="0.25">
      <c r="A1078" s="16" t="s">
        <v>410</v>
      </c>
      <c r="C1078" s="16">
        <v>4</v>
      </c>
      <c r="D1078" s="23" t="s">
        <v>171</v>
      </c>
      <c r="E1078" s="23" t="s">
        <v>177</v>
      </c>
      <c r="F1078" s="2" t="s">
        <v>42</v>
      </c>
      <c r="G1078" s="2">
        <v>5</v>
      </c>
      <c r="H1078" s="2" t="s">
        <v>20</v>
      </c>
      <c r="I1078" s="2">
        <v>10</v>
      </c>
      <c r="L1078" s="15">
        <f>IFERROR(VLOOKUP($D1078&amp;$C1078,生产方式定位!$A$2:$E$38,2,FALSE)+VLOOKUP($E1078&amp;$C1078,生产方式定位!$F$3:$J$38,2,FALSE),0)</f>
        <v>1515</v>
      </c>
      <c r="S1078" s="15">
        <f>IFERROR(VLOOKUP($D1078&amp;$C1078,生产方式定位!$A$2:$E$38,3,FALSE)+VLOOKUP($E1078&amp;$C1078,生产方式定位!$F$3:$J$38,3,FALSE),0)</f>
        <v>145</v>
      </c>
      <c r="X1078" s="15">
        <f>IFERROR(VLOOKUP($D1078&amp;$C1078,生产方式定位!$A$2:$E$38,5,FALSE)+VLOOKUP($E1078&amp;$C1078,生产方式定位!$F$3:$J$38,5,FALSE),"错误")</f>
        <v>1690</v>
      </c>
      <c r="Y1078" s="26" t="str">
        <f t="shared" si="304"/>
        <v>魔偶*13,灵能水晶*34</v>
      </c>
      <c r="Z1078" s="36" t="str">
        <f t="shared" si="305"/>
        <v/>
      </c>
      <c r="AA1078" s="36" t="str">
        <f t="shared" si="306"/>
        <v/>
      </c>
      <c r="AB1078" s="27" t="str">
        <f t="shared" si="307"/>
        <v>12%</v>
      </c>
      <c r="AC1078" s="2">
        <f t="shared" si="308"/>
        <v>30</v>
      </c>
      <c r="AD1078" s="37">
        <f t="shared" si="309"/>
        <v>4</v>
      </c>
      <c r="AE1078" t="str">
        <f t="shared" si="310"/>
        <v>魔偶*13</v>
      </c>
      <c r="AF1078" t="str">
        <f t="shared" si="311"/>
        <v>灵能水晶*34</v>
      </c>
      <c r="AG1078" t="str">
        <f t="shared" si="312"/>
        <v/>
      </c>
      <c r="AH1078" t="str">
        <f t="shared" si="313"/>
        <v/>
      </c>
      <c r="AI1078" t="str">
        <f t="shared" si="314"/>
        <v/>
      </c>
      <c r="AJ1078" t="str">
        <f t="shared" si="315"/>
        <v/>
      </c>
      <c r="AK1078" t="str">
        <f t="shared" si="316"/>
        <v/>
      </c>
      <c r="AL1078">
        <f>IFERROR(ROUND(L1078*(G1078/$AU1078)/VLOOKUP(F1078,商品!$A$4:$B$60,2,FALSE),0),"")</f>
        <v>13</v>
      </c>
      <c r="AM1078">
        <f>IFERROR(ROUND(L1078*(I1078/$AU1078)/VLOOKUP(H1078,商品!$A$4:$B$60,2,FALSE),0),"")</f>
        <v>34</v>
      </c>
      <c r="AN1078">
        <f>IFERROR(ROUND(L1078*(J1078/$AU1078)/VLOOKUP("运力",商品!$A$4:$B$60,2,FALSE),0),0)</f>
        <v>0</v>
      </c>
      <c r="AO1078">
        <f>IFERROR(ROUND(L1078*(K1078/$AU1078)/VLOOKUP("交易",商品!$A$4:$B$60,2,FALSE),0),0)</f>
        <v>0</v>
      </c>
      <c r="AP1078" t="str">
        <f>IFERROR(ROUND(S1078*(N1078/$AV1078)/VLOOKUP(M1078,职业!$A$4:$G$16,4,FALSE),0),"")</f>
        <v/>
      </c>
      <c r="AQ1078" t="str">
        <f>IFERROR(ROUND(S1078*(P1078/$AV1078)/VLOOKUP(O1078,职业!$A$4:$G$16,4,FALSE),0),"")</f>
        <v/>
      </c>
      <c r="AR1078" t="str">
        <f>IFERROR(ROUND(S1078*(R1078/$AV1078)/VLOOKUP(Q1078,职业!$A$4:$G$16,4,FALSE),0),"")</f>
        <v/>
      </c>
      <c r="AS1078" t="str">
        <f>IFERROR(ROUND(X1078*(U1078/$AW1078)/VLOOKUP(T1078,商品!$A$4:$B$60,2,FALSE),0),"")</f>
        <v/>
      </c>
      <c r="AT1078" t="str">
        <f>IFERROR(ROUND(X1078*(W1078/$AW1078)/VLOOKUP(V1078,商品!$A$4:$B$60,2,FALSE),0),"")</f>
        <v/>
      </c>
      <c r="AU1078">
        <f t="shared" si="317"/>
        <v>15</v>
      </c>
      <c r="AV1078">
        <f t="shared" si="318"/>
        <v>0</v>
      </c>
      <c r="AW1078">
        <f t="shared" si="319"/>
        <v>0</v>
      </c>
    </row>
    <row r="1079" spans="1:49" ht="19.95" customHeight="1" x14ac:dyDescent="0.25">
      <c r="A1079" s="16" t="s">
        <v>410</v>
      </c>
      <c r="C1079" s="16">
        <v>5</v>
      </c>
      <c r="D1079" s="23" t="s">
        <v>171</v>
      </c>
      <c r="E1079" s="23" t="s">
        <v>177</v>
      </c>
      <c r="F1079" s="2" t="s">
        <v>42</v>
      </c>
      <c r="G1079" s="2">
        <v>5</v>
      </c>
      <c r="H1079" s="2" t="s">
        <v>20</v>
      </c>
      <c r="I1079" s="2">
        <v>10</v>
      </c>
      <c r="L1079" s="15">
        <f>IFERROR(VLOOKUP($D1079&amp;$C1079,生产方式定位!$A$2:$E$38,2,FALSE)+VLOOKUP($E1079&amp;$C1079,生产方式定位!$F$3:$J$38,2,FALSE),0)</f>
        <v>1920</v>
      </c>
      <c r="S1079" s="15">
        <f>IFERROR(VLOOKUP($D1079&amp;$C1079,生产方式定位!$A$2:$E$38,3,FALSE)+VLOOKUP($E1079&amp;$C1079,生产方式定位!$F$3:$J$38,3,FALSE),0)</f>
        <v>160</v>
      </c>
      <c r="X1079" s="15">
        <f>IFERROR(VLOOKUP($D1079&amp;$C1079,生产方式定位!$A$2:$E$38,5,FALSE)+VLOOKUP($E1079&amp;$C1079,生产方式定位!$F$3:$J$38,5,FALSE),"错误")</f>
        <v>2080</v>
      </c>
      <c r="Y1079" s="26" t="str">
        <f t="shared" si="304"/>
        <v>魔偶*16,灵能水晶*43</v>
      </c>
      <c r="Z1079" s="36" t="str">
        <f t="shared" si="305"/>
        <v/>
      </c>
      <c r="AA1079" s="36" t="str">
        <f t="shared" si="306"/>
        <v/>
      </c>
      <c r="AB1079" s="27" t="str">
        <f t="shared" si="307"/>
        <v>8%</v>
      </c>
      <c r="AC1079" s="2" t="str">
        <f t="shared" si="308"/>
        <v/>
      </c>
      <c r="AD1079" s="37">
        <f t="shared" si="309"/>
        <v>5</v>
      </c>
      <c r="AE1079" t="str">
        <f t="shared" si="310"/>
        <v>魔偶*16</v>
      </c>
      <c r="AF1079" t="str">
        <f t="shared" si="311"/>
        <v>灵能水晶*43</v>
      </c>
      <c r="AG1079" t="str">
        <f t="shared" si="312"/>
        <v/>
      </c>
      <c r="AH1079" t="str">
        <f t="shared" si="313"/>
        <v/>
      </c>
      <c r="AI1079" t="str">
        <f t="shared" si="314"/>
        <v/>
      </c>
      <c r="AJ1079" t="str">
        <f t="shared" si="315"/>
        <v/>
      </c>
      <c r="AK1079" t="str">
        <f t="shared" si="316"/>
        <v/>
      </c>
      <c r="AL1079">
        <f>IFERROR(ROUND(L1079*(G1079/$AU1079)/VLOOKUP(F1079,商品!$A$4:$B$60,2,FALSE),0),"")</f>
        <v>16</v>
      </c>
      <c r="AM1079">
        <f>IFERROR(ROUND(L1079*(I1079/$AU1079)/VLOOKUP(H1079,商品!$A$4:$B$60,2,FALSE),0),"")</f>
        <v>43</v>
      </c>
      <c r="AN1079">
        <f>IFERROR(ROUND(L1079*(J1079/$AU1079)/VLOOKUP("运力",商品!$A$4:$B$60,2,FALSE),0),0)</f>
        <v>0</v>
      </c>
      <c r="AO1079">
        <f>IFERROR(ROUND(L1079*(K1079/$AU1079)/VLOOKUP("交易",商品!$A$4:$B$60,2,FALSE),0),0)</f>
        <v>0</v>
      </c>
      <c r="AP1079" t="str">
        <f>IFERROR(ROUND(S1079*(N1079/$AV1079)/VLOOKUP(M1079,职业!$A$4:$G$16,4,FALSE),0),"")</f>
        <v/>
      </c>
      <c r="AQ1079" t="str">
        <f>IFERROR(ROUND(S1079*(P1079/$AV1079)/VLOOKUP(O1079,职业!$A$4:$G$16,4,FALSE),0),"")</f>
        <v/>
      </c>
      <c r="AR1079" t="str">
        <f>IFERROR(ROUND(S1079*(R1079/$AV1079)/VLOOKUP(Q1079,职业!$A$4:$G$16,4,FALSE),0),"")</f>
        <v/>
      </c>
      <c r="AS1079" t="str">
        <f>IFERROR(ROUND(X1079*(U1079/$AW1079)/VLOOKUP(T1079,商品!$A$4:$B$60,2,FALSE),0),"")</f>
        <v/>
      </c>
      <c r="AT1079" t="str">
        <f>IFERROR(ROUND(X1079*(W1079/$AW1079)/VLOOKUP(V1079,商品!$A$4:$B$60,2,FALSE),0),"")</f>
        <v/>
      </c>
      <c r="AU1079">
        <f t="shared" si="317"/>
        <v>15</v>
      </c>
      <c r="AV1079">
        <f t="shared" si="318"/>
        <v>0</v>
      </c>
      <c r="AW1079">
        <f t="shared" si="319"/>
        <v>0</v>
      </c>
    </row>
    <row r="1080" spans="1:49" ht="19.95" customHeight="1" x14ac:dyDescent="0.25">
      <c r="A1080" s="15" t="s">
        <v>411</v>
      </c>
      <c r="C1080" s="15">
        <v>1</v>
      </c>
      <c r="D1080" s="23" t="s">
        <v>174</v>
      </c>
      <c r="E1080" s="23" t="s">
        <v>179</v>
      </c>
      <c r="L1080" s="16">
        <f>IFERROR(VLOOKUP($D1080&amp;$C1080,生产方式定位!$A$2:$E$38,2,FALSE)+VLOOKUP($E1080&amp;$C1080,生产方式定位!$F$3:$J$38,2,FALSE),0)</f>
        <v>0</v>
      </c>
      <c r="S1080" s="16">
        <f>IFERROR(VLOOKUP($D1080&amp;$C1080,生产方式定位!$A$2:$E$38,3,FALSE)+VLOOKUP($E1080&amp;$C1080,生产方式定位!$F$3:$J$38,3,FALSE),0)</f>
        <v>100</v>
      </c>
      <c r="X1080" s="16">
        <f>IFERROR(VLOOKUP($D1080&amp;$C1080,生产方式定位!$A$2:$E$38,5,FALSE)+VLOOKUP($E1080&amp;$C1080,生产方式定位!$F$3:$J$38,5,FALSE),"错误")</f>
        <v>100</v>
      </c>
      <c r="Y1080" s="26" t="str">
        <f t="shared" si="304"/>
        <v/>
      </c>
      <c r="Z1080" s="36" t="str">
        <f t="shared" si="305"/>
        <v/>
      </c>
      <c r="AA1080" s="36" t="str">
        <f t="shared" si="306"/>
        <v/>
      </c>
      <c r="AB1080" s="27" t="str">
        <f t="shared" si="307"/>
        <v/>
      </c>
      <c r="AC1080" s="2" t="str">
        <f t="shared" si="308"/>
        <v/>
      </c>
      <c r="AD1080" s="38">
        <f t="shared" si="309"/>
        <v>1</v>
      </c>
      <c r="AE1080" t="str">
        <f t="shared" si="310"/>
        <v/>
      </c>
      <c r="AF1080" t="str">
        <f t="shared" si="311"/>
        <v/>
      </c>
      <c r="AG1080" t="str">
        <f t="shared" si="312"/>
        <v/>
      </c>
      <c r="AH1080" t="str">
        <f t="shared" si="313"/>
        <v/>
      </c>
      <c r="AI1080" t="str">
        <f t="shared" si="314"/>
        <v/>
      </c>
      <c r="AJ1080" t="str">
        <f t="shared" si="315"/>
        <v/>
      </c>
      <c r="AK1080" t="str">
        <f t="shared" si="316"/>
        <v/>
      </c>
      <c r="AL1080" t="str">
        <f>IFERROR(ROUND(L1080*(G1080/$AU1080)/VLOOKUP(F1080,商品!$A$4:$B$60,2,FALSE),0),"")</f>
        <v/>
      </c>
      <c r="AM1080" t="str">
        <f>IFERROR(ROUND(L1080*(I1080/$AU1080)/VLOOKUP(H1080,商品!$A$4:$B$60,2,FALSE),0),"")</f>
        <v/>
      </c>
      <c r="AN1080">
        <f>IFERROR(ROUND(L1080*(J1080/$AU1080)/VLOOKUP("运力",商品!$A$4:$B$60,2,FALSE),0),0)</f>
        <v>0</v>
      </c>
      <c r="AO1080">
        <f>IFERROR(ROUND(L1080*(K1080/$AU1080)/VLOOKUP("交易",商品!$A$4:$B$60,2,FALSE),0),0)</f>
        <v>0</v>
      </c>
      <c r="AP1080" t="str">
        <f>IFERROR(ROUND(S1080*(N1080/$AV1080)/VLOOKUP(M1080,职业!$A$4:$G$16,4,FALSE),0),"")</f>
        <v/>
      </c>
      <c r="AQ1080" t="str">
        <f>IFERROR(ROUND(S1080*(P1080/$AV1080)/VLOOKUP(O1080,职业!$A$4:$G$16,4,FALSE),0),"")</f>
        <v/>
      </c>
      <c r="AR1080" t="str">
        <f>IFERROR(ROUND(S1080*(R1080/$AV1080)/VLOOKUP(Q1080,职业!$A$4:$G$16,4,FALSE),0),"")</f>
        <v/>
      </c>
      <c r="AS1080" t="str">
        <f>IFERROR(ROUND(X1080*(U1080/$AW1080)/VLOOKUP(T1080,商品!$A$4:$B$60,2,FALSE),0),"")</f>
        <v/>
      </c>
      <c r="AT1080" t="str">
        <f>IFERROR(ROUND(X1080*(W1080/$AW1080)/VLOOKUP(V1080,商品!$A$4:$B$60,2,FALSE),0),"")</f>
        <v/>
      </c>
      <c r="AU1080">
        <f t="shared" si="317"/>
        <v>0</v>
      </c>
      <c r="AV1080">
        <f t="shared" si="318"/>
        <v>0</v>
      </c>
      <c r="AW1080">
        <f t="shared" si="319"/>
        <v>0</v>
      </c>
    </row>
    <row r="1081" spans="1:49" ht="19.95" customHeight="1" x14ac:dyDescent="0.25">
      <c r="A1081" s="15" t="s">
        <v>411</v>
      </c>
      <c r="C1081" s="15">
        <v>2</v>
      </c>
      <c r="D1081" s="23" t="s">
        <v>174</v>
      </c>
      <c r="E1081" s="23" t="s">
        <v>179</v>
      </c>
      <c r="L1081" s="16">
        <f>IFERROR(VLOOKUP($D1081&amp;$C1081,生产方式定位!$A$2:$E$38,2,FALSE)+VLOOKUP($E1081&amp;$C1081,生产方式定位!$F$3:$J$38,2,FALSE),0)</f>
        <v>0</v>
      </c>
      <c r="S1081" s="16">
        <f>IFERROR(VLOOKUP($D1081&amp;$C1081,生产方式定位!$A$2:$E$38,3,FALSE)+VLOOKUP($E1081&amp;$C1081,生产方式定位!$F$3:$J$38,3,FALSE),0)</f>
        <v>100</v>
      </c>
      <c r="X1081" s="16">
        <f>IFERROR(VLOOKUP($D1081&amp;$C1081,生产方式定位!$A$2:$E$38,5,FALSE)+VLOOKUP($E1081&amp;$C1081,生产方式定位!$F$3:$J$38,5,FALSE),"错误")</f>
        <v>100</v>
      </c>
      <c r="Y1081" s="26" t="str">
        <f t="shared" si="304"/>
        <v/>
      </c>
      <c r="Z1081" s="36" t="str">
        <f t="shared" si="305"/>
        <v/>
      </c>
      <c r="AA1081" s="36" t="str">
        <f t="shared" si="306"/>
        <v/>
      </c>
      <c r="AB1081" s="27" t="str">
        <f t="shared" si="307"/>
        <v/>
      </c>
      <c r="AC1081" s="2" t="str">
        <f t="shared" si="308"/>
        <v/>
      </c>
      <c r="AD1081" s="38">
        <f t="shared" si="309"/>
        <v>2</v>
      </c>
      <c r="AE1081" t="str">
        <f t="shared" si="310"/>
        <v/>
      </c>
      <c r="AF1081" t="str">
        <f t="shared" si="311"/>
        <v/>
      </c>
      <c r="AG1081" t="str">
        <f t="shared" si="312"/>
        <v/>
      </c>
      <c r="AH1081" t="str">
        <f t="shared" si="313"/>
        <v/>
      </c>
      <c r="AI1081" t="str">
        <f t="shared" si="314"/>
        <v/>
      </c>
      <c r="AJ1081" t="str">
        <f t="shared" si="315"/>
        <v/>
      </c>
      <c r="AK1081" t="str">
        <f t="shared" si="316"/>
        <v/>
      </c>
      <c r="AL1081" t="str">
        <f>IFERROR(ROUND(L1081*(G1081/$AU1081)/VLOOKUP(F1081,商品!$A$4:$B$60,2,FALSE),0),"")</f>
        <v/>
      </c>
      <c r="AM1081" t="str">
        <f>IFERROR(ROUND(L1081*(I1081/$AU1081)/VLOOKUP(H1081,商品!$A$4:$B$60,2,FALSE),0),"")</f>
        <v/>
      </c>
      <c r="AN1081">
        <f>IFERROR(ROUND(L1081*(J1081/$AU1081)/VLOOKUP("运力",商品!$A$4:$B$60,2,FALSE),0),0)</f>
        <v>0</v>
      </c>
      <c r="AO1081">
        <f>IFERROR(ROUND(L1081*(K1081/$AU1081)/VLOOKUP("交易",商品!$A$4:$B$60,2,FALSE),0),0)</f>
        <v>0</v>
      </c>
      <c r="AP1081" t="str">
        <f>IFERROR(ROUND(S1081*(N1081/$AV1081)/VLOOKUP(M1081,职业!$A$4:$G$16,4,FALSE),0),"")</f>
        <v/>
      </c>
      <c r="AQ1081" t="str">
        <f>IFERROR(ROUND(S1081*(P1081/$AV1081)/VLOOKUP(O1081,职业!$A$4:$G$16,4,FALSE),0),"")</f>
        <v/>
      </c>
      <c r="AR1081" t="str">
        <f>IFERROR(ROUND(S1081*(R1081/$AV1081)/VLOOKUP(Q1081,职业!$A$4:$G$16,4,FALSE),0),"")</f>
        <v/>
      </c>
      <c r="AS1081" t="str">
        <f>IFERROR(ROUND(X1081*(U1081/$AW1081)/VLOOKUP(T1081,商品!$A$4:$B$60,2,FALSE),0),"")</f>
        <v/>
      </c>
      <c r="AT1081" t="str">
        <f>IFERROR(ROUND(X1081*(W1081/$AW1081)/VLOOKUP(V1081,商品!$A$4:$B$60,2,FALSE),0),"")</f>
        <v/>
      </c>
      <c r="AU1081">
        <f t="shared" si="317"/>
        <v>0</v>
      </c>
      <c r="AV1081">
        <f t="shared" si="318"/>
        <v>0</v>
      </c>
      <c r="AW1081">
        <f t="shared" si="319"/>
        <v>0</v>
      </c>
    </row>
    <row r="1082" spans="1:49" ht="19.95" customHeight="1" x14ac:dyDescent="0.25">
      <c r="A1082" s="15" t="s">
        <v>411</v>
      </c>
      <c r="C1082" s="15">
        <v>3</v>
      </c>
      <c r="D1082" s="23" t="s">
        <v>174</v>
      </c>
      <c r="E1082" s="23" t="s">
        <v>179</v>
      </c>
      <c r="L1082" s="16">
        <f>IFERROR(VLOOKUP($D1082&amp;$C1082,生产方式定位!$A$2:$E$38,2,FALSE)+VLOOKUP($E1082&amp;$C1082,生产方式定位!$F$3:$J$38,2,FALSE),0)</f>
        <v>0</v>
      </c>
      <c r="S1082" s="16">
        <f>IFERROR(VLOOKUP($D1082&amp;$C1082,生产方式定位!$A$2:$E$38,3,FALSE)+VLOOKUP($E1082&amp;$C1082,生产方式定位!$F$3:$J$38,3,FALSE),0)</f>
        <v>100</v>
      </c>
      <c r="X1082" s="16">
        <f>IFERROR(VLOOKUP($D1082&amp;$C1082,生产方式定位!$A$2:$E$38,5,FALSE)+VLOOKUP($E1082&amp;$C1082,生产方式定位!$F$3:$J$38,5,FALSE),"错误")</f>
        <v>100</v>
      </c>
      <c r="Y1082" s="26" t="str">
        <f t="shared" si="304"/>
        <v/>
      </c>
      <c r="Z1082" s="36" t="str">
        <f t="shared" si="305"/>
        <v/>
      </c>
      <c r="AA1082" s="36" t="str">
        <f t="shared" si="306"/>
        <v/>
      </c>
      <c r="AB1082" s="27" t="str">
        <f t="shared" si="307"/>
        <v/>
      </c>
      <c r="AC1082" s="2" t="str">
        <f t="shared" si="308"/>
        <v/>
      </c>
      <c r="AD1082" s="38">
        <f t="shared" si="309"/>
        <v>3</v>
      </c>
      <c r="AE1082" t="str">
        <f t="shared" si="310"/>
        <v/>
      </c>
      <c r="AF1082" t="str">
        <f t="shared" si="311"/>
        <v/>
      </c>
      <c r="AG1082" t="str">
        <f t="shared" si="312"/>
        <v/>
      </c>
      <c r="AH1082" t="str">
        <f t="shared" si="313"/>
        <v/>
      </c>
      <c r="AI1082" t="str">
        <f t="shared" si="314"/>
        <v/>
      </c>
      <c r="AJ1082" t="str">
        <f t="shared" si="315"/>
        <v/>
      </c>
      <c r="AK1082" t="str">
        <f t="shared" si="316"/>
        <v/>
      </c>
      <c r="AL1082" t="str">
        <f>IFERROR(ROUND(L1082*(G1082/$AU1082)/VLOOKUP(F1082,商品!$A$4:$B$60,2,FALSE),0),"")</f>
        <v/>
      </c>
      <c r="AM1082" t="str">
        <f>IFERROR(ROUND(L1082*(I1082/$AU1082)/VLOOKUP(H1082,商品!$A$4:$B$60,2,FALSE),0),"")</f>
        <v/>
      </c>
      <c r="AN1082">
        <f>IFERROR(ROUND(L1082*(J1082/$AU1082)/VLOOKUP("运力",商品!$A$4:$B$60,2,FALSE),0),0)</f>
        <v>0</v>
      </c>
      <c r="AO1082">
        <f>IFERROR(ROUND(L1082*(K1082/$AU1082)/VLOOKUP("交易",商品!$A$4:$B$60,2,FALSE),0),0)</f>
        <v>0</v>
      </c>
      <c r="AP1082" t="str">
        <f>IFERROR(ROUND(S1082*(N1082/$AV1082)/VLOOKUP(M1082,职业!$A$4:$G$16,4,FALSE),0),"")</f>
        <v/>
      </c>
      <c r="AQ1082" t="str">
        <f>IFERROR(ROUND(S1082*(P1082/$AV1082)/VLOOKUP(O1082,职业!$A$4:$G$16,4,FALSE),0),"")</f>
        <v/>
      </c>
      <c r="AR1082" t="str">
        <f>IFERROR(ROUND(S1082*(R1082/$AV1082)/VLOOKUP(Q1082,职业!$A$4:$G$16,4,FALSE),0),"")</f>
        <v/>
      </c>
      <c r="AS1082" t="str">
        <f>IFERROR(ROUND(X1082*(U1082/$AW1082)/VLOOKUP(T1082,商品!$A$4:$B$60,2,FALSE),0),"")</f>
        <v/>
      </c>
      <c r="AT1082" t="str">
        <f>IFERROR(ROUND(X1082*(W1082/$AW1082)/VLOOKUP(V1082,商品!$A$4:$B$60,2,FALSE),0),"")</f>
        <v/>
      </c>
      <c r="AU1082">
        <f t="shared" si="317"/>
        <v>0</v>
      </c>
      <c r="AV1082">
        <f t="shared" si="318"/>
        <v>0</v>
      </c>
      <c r="AW1082">
        <f t="shared" si="319"/>
        <v>0</v>
      </c>
    </row>
    <row r="1083" spans="1:49" ht="19.95" customHeight="1" x14ac:dyDescent="0.25">
      <c r="A1083" s="15" t="s">
        <v>411</v>
      </c>
      <c r="C1083" s="15">
        <v>4</v>
      </c>
      <c r="D1083" s="23" t="s">
        <v>174</v>
      </c>
      <c r="E1083" s="23" t="s">
        <v>179</v>
      </c>
      <c r="L1083" s="16">
        <f>IFERROR(VLOOKUP($D1083&amp;$C1083,生产方式定位!$A$2:$E$38,2,FALSE)+VLOOKUP($E1083&amp;$C1083,生产方式定位!$F$3:$J$38,2,FALSE),0)</f>
        <v>0</v>
      </c>
      <c r="S1083" s="16">
        <f>IFERROR(VLOOKUP($D1083&amp;$C1083,生产方式定位!$A$2:$E$38,3,FALSE)+VLOOKUP($E1083&amp;$C1083,生产方式定位!$F$3:$J$38,3,FALSE),0)</f>
        <v>100</v>
      </c>
      <c r="X1083" s="16">
        <f>IFERROR(VLOOKUP($D1083&amp;$C1083,生产方式定位!$A$2:$E$38,5,FALSE)+VLOOKUP($E1083&amp;$C1083,生产方式定位!$F$3:$J$38,5,FALSE),"错误")</f>
        <v>100</v>
      </c>
      <c r="Y1083" s="26" t="str">
        <f t="shared" si="304"/>
        <v/>
      </c>
      <c r="Z1083" s="36" t="str">
        <f t="shared" si="305"/>
        <v/>
      </c>
      <c r="AA1083" s="36" t="str">
        <f t="shared" si="306"/>
        <v/>
      </c>
      <c r="AB1083" s="27" t="str">
        <f t="shared" si="307"/>
        <v/>
      </c>
      <c r="AC1083" s="2" t="str">
        <f t="shared" si="308"/>
        <v/>
      </c>
      <c r="AD1083" s="38">
        <f t="shared" si="309"/>
        <v>4</v>
      </c>
      <c r="AE1083" t="str">
        <f t="shared" si="310"/>
        <v/>
      </c>
      <c r="AF1083" t="str">
        <f t="shared" si="311"/>
        <v/>
      </c>
      <c r="AG1083" t="str">
        <f t="shared" si="312"/>
        <v/>
      </c>
      <c r="AH1083" t="str">
        <f t="shared" si="313"/>
        <v/>
      </c>
      <c r="AI1083" t="str">
        <f t="shared" si="314"/>
        <v/>
      </c>
      <c r="AJ1083" t="str">
        <f t="shared" si="315"/>
        <v/>
      </c>
      <c r="AK1083" t="str">
        <f t="shared" si="316"/>
        <v/>
      </c>
      <c r="AL1083" t="str">
        <f>IFERROR(ROUND(L1083*(G1083/$AU1083)/VLOOKUP(F1083,商品!$A$4:$B$60,2,FALSE),0),"")</f>
        <v/>
      </c>
      <c r="AM1083" t="str">
        <f>IFERROR(ROUND(L1083*(I1083/$AU1083)/VLOOKUP(H1083,商品!$A$4:$B$60,2,FALSE),0),"")</f>
        <v/>
      </c>
      <c r="AN1083">
        <f>IFERROR(ROUND(L1083*(J1083/$AU1083)/VLOOKUP("运力",商品!$A$4:$B$60,2,FALSE),0),0)</f>
        <v>0</v>
      </c>
      <c r="AO1083">
        <f>IFERROR(ROUND(L1083*(K1083/$AU1083)/VLOOKUP("交易",商品!$A$4:$B$60,2,FALSE),0),0)</f>
        <v>0</v>
      </c>
      <c r="AP1083" t="str">
        <f>IFERROR(ROUND(S1083*(N1083/$AV1083)/VLOOKUP(M1083,职业!$A$4:$G$16,4,FALSE),0),"")</f>
        <v/>
      </c>
      <c r="AQ1083" t="str">
        <f>IFERROR(ROUND(S1083*(P1083/$AV1083)/VLOOKUP(O1083,职业!$A$4:$G$16,4,FALSE),0),"")</f>
        <v/>
      </c>
      <c r="AR1083" t="str">
        <f>IFERROR(ROUND(S1083*(R1083/$AV1083)/VLOOKUP(Q1083,职业!$A$4:$G$16,4,FALSE),0),"")</f>
        <v/>
      </c>
      <c r="AS1083" t="str">
        <f>IFERROR(ROUND(X1083*(U1083/$AW1083)/VLOOKUP(T1083,商品!$A$4:$B$60,2,FALSE),0),"")</f>
        <v/>
      </c>
      <c r="AT1083" t="str">
        <f>IFERROR(ROUND(X1083*(W1083/$AW1083)/VLOOKUP(V1083,商品!$A$4:$B$60,2,FALSE),0),"")</f>
        <v/>
      </c>
      <c r="AU1083">
        <f t="shared" si="317"/>
        <v>0</v>
      </c>
      <c r="AV1083">
        <f t="shared" si="318"/>
        <v>0</v>
      </c>
      <c r="AW1083">
        <f t="shared" si="319"/>
        <v>0</v>
      </c>
    </row>
    <row r="1084" spans="1:49" ht="19.95" customHeight="1" x14ac:dyDescent="0.25">
      <c r="A1084" s="15" t="s">
        <v>411</v>
      </c>
      <c r="C1084" s="15">
        <v>5</v>
      </c>
      <c r="D1084" s="23" t="s">
        <v>174</v>
      </c>
      <c r="E1084" s="23" t="s">
        <v>179</v>
      </c>
      <c r="L1084" s="16">
        <f>IFERROR(VLOOKUP($D1084&amp;$C1084,生产方式定位!$A$2:$E$38,2,FALSE)+VLOOKUP($E1084&amp;$C1084,生产方式定位!$F$3:$J$38,2,FALSE),0)</f>
        <v>0</v>
      </c>
      <c r="S1084" s="16">
        <f>IFERROR(VLOOKUP($D1084&amp;$C1084,生产方式定位!$A$2:$E$38,3,FALSE)+VLOOKUP($E1084&amp;$C1084,生产方式定位!$F$3:$J$38,3,FALSE),0)</f>
        <v>100</v>
      </c>
      <c r="X1084" s="16">
        <f>IFERROR(VLOOKUP($D1084&amp;$C1084,生产方式定位!$A$2:$E$38,5,FALSE)+VLOOKUP($E1084&amp;$C1084,生产方式定位!$F$3:$J$38,5,FALSE),"错误")</f>
        <v>100</v>
      </c>
      <c r="Y1084" s="26" t="str">
        <f t="shared" si="304"/>
        <v/>
      </c>
      <c r="Z1084" s="36" t="str">
        <f t="shared" si="305"/>
        <v/>
      </c>
      <c r="AA1084" s="36" t="str">
        <f t="shared" si="306"/>
        <v/>
      </c>
      <c r="AB1084" s="27" t="str">
        <f t="shared" si="307"/>
        <v/>
      </c>
      <c r="AC1084" s="2" t="str">
        <f t="shared" si="308"/>
        <v/>
      </c>
      <c r="AD1084" s="38">
        <f t="shared" si="309"/>
        <v>5</v>
      </c>
      <c r="AE1084" t="str">
        <f t="shared" si="310"/>
        <v/>
      </c>
      <c r="AF1084" t="str">
        <f t="shared" si="311"/>
        <v/>
      </c>
      <c r="AG1084" t="str">
        <f t="shared" si="312"/>
        <v/>
      </c>
      <c r="AH1084" t="str">
        <f t="shared" si="313"/>
        <v/>
      </c>
      <c r="AI1084" t="str">
        <f t="shared" si="314"/>
        <v/>
      </c>
      <c r="AJ1084" t="str">
        <f t="shared" si="315"/>
        <v/>
      </c>
      <c r="AK1084" t="str">
        <f t="shared" si="316"/>
        <v/>
      </c>
      <c r="AL1084" t="str">
        <f>IFERROR(ROUND(L1084*(G1084/$AU1084)/VLOOKUP(F1084,商品!$A$4:$B$60,2,FALSE),0),"")</f>
        <v/>
      </c>
      <c r="AM1084" t="str">
        <f>IFERROR(ROUND(L1084*(I1084/$AU1084)/VLOOKUP(H1084,商品!$A$4:$B$60,2,FALSE),0),"")</f>
        <v/>
      </c>
      <c r="AN1084">
        <f>IFERROR(ROUND(L1084*(J1084/$AU1084)/VLOOKUP("运力",商品!$A$4:$B$60,2,FALSE),0),0)</f>
        <v>0</v>
      </c>
      <c r="AO1084">
        <f>IFERROR(ROUND(L1084*(K1084/$AU1084)/VLOOKUP("交易",商品!$A$4:$B$60,2,FALSE),0),0)</f>
        <v>0</v>
      </c>
      <c r="AP1084" t="str">
        <f>IFERROR(ROUND(S1084*(N1084/$AV1084)/VLOOKUP(M1084,职业!$A$4:$G$16,4,FALSE),0),"")</f>
        <v/>
      </c>
      <c r="AQ1084" t="str">
        <f>IFERROR(ROUND(S1084*(P1084/$AV1084)/VLOOKUP(O1084,职业!$A$4:$G$16,4,FALSE),0),"")</f>
        <v/>
      </c>
      <c r="AR1084" t="str">
        <f>IFERROR(ROUND(S1084*(R1084/$AV1084)/VLOOKUP(Q1084,职业!$A$4:$G$16,4,FALSE),0),"")</f>
        <v/>
      </c>
      <c r="AS1084" t="str">
        <f>IFERROR(ROUND(X1084*(U1084/$AW1084)/VLOOKUP(T1084,商品!$A$4:$B$60,2,FALSE),0),"")</f>
        <v/>
      </c>
      <c r="AT1084" t="str">
        <f>IFERROR(ROUND(X1084*(W1084/$AW1084)/VLOOKUP(V1084,商品!$A$4:$B$60,2,FALSE),0),"")</f>
        <v/>
      </c>
      <c r="AU1084">
        <f t="shared" si="317"/>
        <v>0</v>
      </c>
      <c r="AV1084">
        <f t="shared" si="318"/>
        <v>0</v>
      </c>
      <c r="AW1084">
        <f t="shared" si="319"/>
        <v>0</v>
      </c>
    </row>
    <row r="1085" spans="1:49" ht="19.95" customHeight="1" x14ac:dyDescent="0.25">
      <c r="A1085" s="15" t="s">
        <v>411</v>
      </c>
      <c r="C1085" s="15">
        <v>6</v>
      </c>
      <c r="D1085" s="23" t="s">
        <v>174</v>
      </c>
      <c r="E1085" s="23" t="s">
        <v>179</v>
      </c>
      <c r="L1085" s="16">
        <f>IFERROR(VLOOKUP($D1085&amp;$C1085,生产方式定位!$A$2:$E$38,2,FALSE)+VLOOKUP($E1085&amp;$C1085,生产方式定位!$F$3:$J$38,2,FALSE),0)</f>
        <v>0</v>
      </c>
      <c r="S1085" s="16">
        <f>IFERROR(VLOOKUP($D1085&amp;$C1085,生产方式定位!$A$2:$E$38,3,FALSE)+VLOOKUP($E1085&amp;$C1085,生产方式定位!$F$3:$J$38,3,FALSE),0)</f>
        <v>100</v>
      </c>
      <c r="X1085" s="16">
        <f>IFERROR(VLOOKUP($D1085&amp;$C1085,生产方式定位!$A$2:$E$38,5,FALSE)+VLOOKUP($E1085&amp;$C1085,生产方式定位!$F$3:$J$38,5,FALSE),"错误")</f>
        <v>100</v>
      </c>
      <c r="Y1085" s="26" t="str">
        <f t="shared" si="304"/>
        <v/>
      </c>
      <c r="Z1085" s="36" t="str">
        <f t="shared" si="305"/>
        <v/>
      </c>
      <c r="AA1085" s="36" t="str">
        <f t="shared" si="306"/>
        <v/>
      </c>
      <c r="AB1085" s="27" t="str">
        <f t="shared" si="307"/>
        <v/>
      </c>
      <c r="AC1085" s="2" t="str">
        <f t="shared" si="308"/>
        <v/>
      </c>
      <c r="AD1085" s="37">
        <f t="shared" si="309"/>
        <v>6</v>
      </c>
      <c r="AE1085" t="str">
        <f t="shared" si="310"/>
        <v/>
      </c>
      <c r="AF1085" t="str">
        <f t="shared" si="311"/>
        <v/>
      </c>
      <c r="AG1085" t="str">
        <f t="shared" si="312"/>
        <v/>
      </c>
      <c r="AH1085" t="str">
        <f t="shared" si="313"/>
        <v/>
      </c>
      <c r="AI1085" t="str">
        <f t="shared" si="314"/>
        <v/>
      </c>
      <c r="AJ1085" t="str">
        <f t="shared" si="315"/>
        <v/>
      </c>
      <c r="AK1085" t="str">
        <f t="shared" si="316"/>
        <v/>
      </c>
      <c r="AL1085" t="str">
        <f>IFERROR(ROUND(L1085*(G1085/$AU1085)/VLOOKUP(F1085,商品!$A$4:$B$60,2,FALSE),0),"")</f>
        <v/>
      </c>
      <c r="AM1085" t="str">
        <f>IFERROR(ROUND(L1085*(I1085/$AU1085)/VLOOKUP(H1085,商品!$A$4:$B$60,2,FALSE),0),"")</f>
        <v/>
      </c>
      <c r="AN1085">
        <f>IFERROR(ROUND(L1085*(J1085/$AU1085)/VLOOKUP("运力",商品!$A$4:$B$60,2,FALSE),0),0)</f>
        <v>0</v>
      </c>
      <c r="AO1085">
        <f>IFERROR(ROUND(L1085*(K1085/$AU1085)/VLOOKUP("交易",商品!$A$4:$B$60,2,FALSE),0),0)</f>
        <v>0</v>
      </c>
      <c r="AP1085" t="str">
        <f>IFERROR(ROUND(S1085*(N1085/$AV1085)/VLOOKUP(M1085,职业!$A$4:$G$16,4,FALSE),0),"")</f>
        <v/>
      </c>
      <c r="AQ1085" t="str">
        <f>IFERROR(ROUND(S1085*(P1085/$AV1085)/VLOOKUP(O1085,职业!$A$4:$G$16,4,FALSE),0),"")</f>
        <v/>
      </c>
      <c r="AR1085" t="str">
        <f>IFERROR(ROUND(S1085*(R1085/$AV1085)/VLOOKUP(Q1085,职业!$A$4:$G$16,4,FALSE),0),"")</f>
        <v/>
      </c>
      <c r="AS1085" t="str">
        <f>IFERROR(ROUND(X1085*(U1085/$AW1085)/VLOOKUP(T1085,商品!$A$4:$B$60,2,FALSE),0),"")</f>
        <v/>
      </c>
      <c r="AT1085" t="str">
        <f>IFERROR(ROUND(X1085*(W1085/$AW1085)/VLOOKUP(V1085,商品!$A$4:$B$60,2,FALSE),0),"")</f>
        <v/>
      </c>
      <c r="AU1085">
        <f t="shared" si="317"/>
        <v>0</v>
      </c>
      <c r="AV1085">
        <f t="shared" si="318"/>
        <v>0</v>
      </c>
      <c r="AW1085">
        <f t="shared" si="319"/>
        <v>0</v>
      </c>
    </row>
    <row r="1086" spans="1:49" ht="19.95" customHeight="1" x14ac:dyDescent="0.25">
      <c r="A1086" s="15" t="s">
        <v>411</v>
      </c>
      <c r="C1086" s="15">
        <v>7</v>
      </c>
      <c r="D1086" s="23" t="s">
        <v>174</v>
      </c>
      <c r="E1086" s="23" t="s">
        <v>179</v>
      </c>
      <c r="L1086" s="16">
        <f>IFERROR(VLOOKUP($D1086&amp;$C1086,生产方式定位!$A$2:$E$38,2,FALSE)+VLOOKUP($E1086&amp;$C1086,生产方式定位!$F$3:$J$38,2,FALSE),0)</f>
        <v>0</v>
      </c>
      <c r="S1086" s="16">
        <f>IFERROR(VLOOKUP($D1086&amp;$C1086,生产方式定位!$A$2:$E$38,3,FALSE)+VLOOKUP($E1086&amp;$C1086,生产方式定位!$F$3:$J$38,3,FALSE),0)</f>
        <v>100</v>
      </c>
      <c r="X1086" s="16">
        <f>IFERROR(VLOOKUP($D1086&amp;$C1086,生产方式定位!$A$2:$E$38,5,FALSE)+VLOOKUP($E1086&amp;$C1086,生产方式定位!$F$3:$J$38,5,FALSE),"错误")</f>
        <v>100</v>
      </c>
      <c r="Y1086" s="26" t="str">
        <f t="shared" si="304"/>
        <v/>
      </c>
      <c r="Z1086" s="36" t="str">
        <f t="shared" si="305"/>
        <v/>
      </c>
      <c r="AA1086" s="36" t="str">
        <f t="shared" si="306"/>
        <v/>
      </c>
      <c r="AB1086" s="27" t="str">
        <f t="shared" si="307"/>
        <v/>
      </c>
      <c r="AC1086" s="2" t="str">
        <f t="shared" si="308"/>
        <v/>
      </c>
      <c r="AD1086" s="37">
        <f t="shared" si="309"/>
        <v>7</v>
      </c>
      <c r="AE1086" t="str">
        <f t="shared" si="310"/>
        <v/>
      </c>
      <c r="AF1086" t="str">
        <f t="shared" si="311"/>
        <v/>
      </c>
      <c r="AG1086" t="str">
        <f t="shared" si="312"/>
        <v/>
      </c>
      <c r="AH1086" t="str">
        <f t="shared" si="313"/>
        <v/>
      </c>
      <c r="AI1086" t="str">
        <f t="shared" si="314"/>
        <v/>
      </c>
      <c r="AJ1086" t="str">
        <f t="shared" si="315"/>
        <v/>
      </c>
      <c r="AK1086" t="str">
        <f t="shared" si="316"/>
        <v/>
      </c>
      <c r="AL1086" t="str">
        <f>IFERROR(ROUND(L1086*(G1086/$AU1086)/VLOOKUP(F1086,商品!$A$4:$B$60,2,FALSE),0),"")</f>
        <v/>
      </c>
      <c r="AM1086" t="str">
        <f>IFERROR(ROUND(L1086*(I1086/$AU1086)/VLOOKUP(H1086,商品!$A$4:$B$60,2,FALSE),0),"")</f>
        <v/>
      </c>
      <c r="AN1086">
        <f>IFERROR(ROUND(L1086*(J1086/$AU1086)/VLOOKUP("运力",商品!$A$4:$B$60,2,FALSE),0),0)</f>
        <v>0</v>
      </c>
      <c r="AO1086">
        <f>IFERROR(ROUND(L1086*(K1086/$AU1086)/VLOOKUP("交易",商品!$A$4:$B$60,2,FALSE),0),0)</f>
        <v>0</v>
      </c>
      <c r="AP1086" t="str">
        <f>IFERROR(ROUND(S1086*(N1086/$AV1086)/VLOOKUP(M1086,职业!$A$4:$G$16,4,FALSE),0),"")</f>
        <v/>
      </c>
      <c r="AQ1086" t="str">
        <f>IFERROR(ROUND(S1086*(P1086/$AV1086)/VLOOKUP(O1086,职业!$A$4:$G$16,4,FALSE),0),"")</f>
        <v/>
      </c>
      <c r="AR1086" t="str">
        <f>IFERROR(ROUND(S1086*(R1086/$AV1086)/VLOOKUP(Q1086,职业!$A$4:$G$16,4,FALSE),0),"")</f>
        <v/>
      </c>
      <c r="AS1086" t="str">
        <f>IFERROR(ROUND(X1086*(U1086/$AW1086)/VLOOKUP(T1086,商品!$A$4:$B$60,2,FALSE),0),"")</f>
        <v/>
      </c>
      <c r="AT1086" t="str">
        <f>IFERROR(ROUND(X1086*(W1086/$AW1086)/VLOOKUP(V1086,商品!$A$4:$B$60,2,FALSE),0),"")</f>
        <v/>
      </c>
      <c r="AU1086">
        <f t="shared" si="317"/>
        <v>0</v>
      </c>
      <c r="AV1086">
        <f t="shared" si="318"/>
        <v>0</v>
      </c>
      <c r="AW1086">
        <f t="shared" si="319"/>
        <v>0</v>
      </c>
    </row>
    <row r="1087" spans="1:49" ht="19.95" customHeight="1" x14ac:dyDescent="0.25">
      <c r="A1087" s="15" t="s">
        <v>411</v>
      </c>
      <c r="C1087" s="15">
        <v>8</v>
      </c>
      <c r="D1087" s="23" t="s">
        <v>174</v>
      </c>
      <c r="E1087" s="23" t="s">
        <v>179</v>
      </c>
      <c r="L1087" s="16">
        <f>IFERROR(VLOOKUP($D1087&amp;$C1087,生产方式定位!$A$2:$E$38,2,FALSE)+VLOOKUP($E1087&amp;$C1087,生产方式定位!$F$3:$J$38,2,FALSE),0)</f>
        <v>0</v>
      </c>
      <c r="S1087" s="16">
        <f>IFERROR(VLOOKUP($D1087&amp;$C1087,生产方式定位!$A$2:$E$38,3,FALSE)+VLOOKUP($E1087&amp;$C1087,生产方式定位!$F$3:$J$38,3,FALSE),0)</f>
        <v>100</v>
      </c>
      <c r="X1087" s="16">
        <f>IFERROR(VLOOKUP($D1087&amp;$C1087,生产方式定位!$A$2:$E$38,5,FALSE)+VLOOKUP($E1087&amp;$C1087,生产方式定位!$F$3:$J$38,5,FALSE),"错误")</f>
        <v>100</v>
      </c>
      <c r="Y1087" s="26" t="str">
        <f t="shared" si="304"/>
        <v/>
      </c>
      <c r="Z1087" s="36" t="str">
        <f t="shared" si="305"/>
        <v/>
      </c>
      <c r="AA1087" s="36" t="str">
        <f t="shared" si="306"/>
        <v/>
      </c>
      <c r="AB1087" s="27" t="str">
        <f t="shared" si="307"/>
        <v/>
      </c>
      <c r="AC1087" s="2" t="str">
        <f t="shared" si="308"/>
        <v/>
      </c>
      <c r="AD1087" s="37">
        <f t="shared" si="309"/>
        <v>8</v>
      </c>
      <c r="AE1087" t="str">
        <f t="shared" si="310"/>
        <v/>
      </c>
      <c r="AF1087" t="str">
        <f t="shared" si="311"/>
        <v/>
      </c>
      <c r="AG1087" t="str">
        <f t="shared" si="312"/>
        <v/>
      </c>
      <c r="AH1087" t="str">
        <f t="shared" si="313"/>
        <v/>
      </c>
      <c r="AI1087" t="str">
        <f t="shared" si="314"/>
        <v/>
      </c>
      <c r="AJ1087" t="str">
        <f t="shared" si="315"/>
        <v/>
      </c>
      <c r="AK1087" t="str">
        <f t="shared" si="316"/>
        <v/>
      </c>
      <c r="AL1087" t="str">
        <f>IFERROR(ROUND(L1087*(G1087/$AU1087)/VLOOKUP(F1087,商品!$A$4:$B$60,2,FALSE),0),"")</f>
        <v/>
      </c>
      <c r="AM1087" t="str">
        <f>IFERROR(ROUND(L1087*(I1087/$AU1087)/VLOOKUP(H1087,商品!$A$4:$B$60,2,FALSE),0),"")</f>
        <v/>
      </c>
      <c r="AN1087">
        <f>IFERROR(ROUND(L1087*(J1087/$AU1087)/VLOOKUP("运力",商品!$A$4:$B$60,2,FALSE),0),0)</f>
        <v>0</v>
      </c>
      <c r="AO1087">
        <f>IFERROR(ROUND(L1087*(K1087/$AU1087)/VLOOKUP("交易",商品!$A$4:$B$60,2,FALSE),0),0)</f>
        <v>0</v>
      </c>
      <c r="AP1087" t="str">
        <f>IFERROR(ROUND(S1087*(N1087/$AV1087)/VLOOKUP(M1087,职业!$A$4:$G$16,4,FALSE),0),"")</f>
        <v/>
      </c>
      <c r="AQ1087" t="str">
        <f>IFERROR(ROUND(S1087*(P1087/$AV1087)/VLOOKUP(O1087,职业!$A$4:$G$16,4,FALSE),0),"")</f>
        <v/>
      </c>
      <c r="AR1087" t="str">
        <f>IFERROR(ROUND(S1087*(R1087/$AV1087)/VLOOKUP(Q1087,职业!$A$4:$G$16,4,FALSE),0),"")</f>
        <v/>
      </c>
      <c r="AS1087" t="str">
        <f>IFERROR(ROUND(X1087*(U1087/$AW1087)/VLOOKUP(T1087,商品!$A$4:$B$60,2,FALSE),0),"")</f>
        <v/>
      </c>
      <c r="AT1087" t="str">
        <f>IFERROR(ROUND(X1087*(W1087/$AW1087)/VLOOKUP(V1087,商品!$A$4:$B$60,2,FALSE),0),"")</f>
        <v/>
      </c>
      <c r="AU1087">
        <f t="shared" si="317"/>
        <v>0</v>
      </c>
      <c r="AV1087">
        <f t="shared" si="318"/>
        <v>0</v>
      </c>
      <c r="AW1087">
        <f t="shared" si="319"/>
        <v>0</v>
      </c>
    </row>
    <row r="1088" spans="1:49" ht="19.95" customHeight="1" x14ac:dyDescent="0.25">
      <c r="A1088" s="16" t="s">
        <v>413</v>
      </c>
      <c r="C1088" s="16">
        <v>1</v>
      </c>
      <c r="D1088" s="23" t="s">
        <v>171</v>
      </c>
      <c r="E1088" s="23" t="s">
        <v>172</v>
      </c>
      <c r="L1088" s="15">
        <f>IFERROR(VLOOKUP($D1088&amp;$C1088,生产方式定位!$A$2:$E$38,2,FALSE)+VLOOKUP($E1088&amp;$C1088,生产方式定位!$F$3:$J$38,2,FALSE),0)</f>
        <v>300</v>
      </c>
      <c r="S1088" s="15">
        <f>IFERROR(VLOOKUP($D1088&amp;$C1088,生产方式定位!$A$2:$E$38,3,FALSE)+VLOOKUP($E1088&amp;$C1088,生产方式定位!$F$3:$J$38,3,FALSE),0)</f>
        <v>100</v>
      </c>
      <c r="X1088" s="15">
        <f>IFERROR(VLOOKUP($D1088&amp;$C1088,生产方式定位!$A$2:$E$38,5,FALSE)+VLOOKUP($E1088&amp;$C1088,生产方式定位!$F$3:$J$38,5,FALSE),"错误")</f>
        <v>520</v>
      </c>
      <c r="Y1088" s="26" t="str">
        <f t="shared" si="304"/>
        <v/>
      </c>
      <c r="Z1088" s="36" t="str">
        <f t="shared" si="305"/>
        <v/>
      </c>
      <c r="AA1088" s="36" t="str">
        <f t="shared" si="306"/>
        <v/>
      </c>
      <c r="AB1088" s="27" t="str">
        <f t="shared" si="307"/>
        <v>73%</v>
      </c>
      <c r="AC1088" s="2">
        <f t="shared" si="308"/>
        <v>120</v>
      </c>
      <c r="AD1088" s="37">
        <f t="shared" si="309"/>
        <v>1</v>
      </c>
      <c r="AE1088" t="str">
        <f t="shared" si="310"/>
        <v/>
      </c>
      <c r="AF1088" t="str">
        <f t="shared" si="311"/>
        <v/>
      </c>
      <c r="AG1088" t="str">
        <f t="shared" si="312"/>
        <v/>
      </c>
      <c r="AH1088" t="str">
        <f t="shared" si="313"/>
        <v/>
      </c>
      <c r="AI1088" t="str">
        <f t="shared" si="314"/>
        <v/>
      </c>
      <c r="AJ1088" t="str">
        <f t="shared" si="315"/>
        <v/>
      </c>
      <c r="AK1088" t="str">
        <f t="shared" si="316"/>
        <v/>
      </c>
      <c r="AL1088" t="str">
        <f>IFERROR(ROUND(L1088*(G1088/$AU1088)/VLOOKUP(F1088,商品!$A$4:$B$60,2,FALSE),0),"")</f>
        <v/>
      </c>
      <c r="AM1088" t="str">
        <f>IFERROR(ROUND(L1088*(I1088/$AU1088)/VLOOKUP(H1088,商品!$A$4:$B$60,2,FALSE),0),"")</f>
        <v/>
      </c>
      <c r="AN1088">
        <f>IFERROR(ROUND(L1088*(J1088/$AU1088)/VLOOKUP("运力",商品!$A$4:$B$60,2,FALSE),0),0)</f>
        <v>0</v>
      </c>
      <c r="AO1088">
        <f>IFERROR(ROUND(L1088*(K1088/$AU1088)/VLOOKUP("交易",商品!$A$4:$B$60,2,FALSE),0),0)</f>
        <v>0</v>
      </c>
      <c r="AP1088" t="str">
        <f>IFERROR(ROUND(S1088*(N1088/$AV1088)/VLOOKUP(M1088,职业!$A$4:$G$16,4,FALSE),0),"")</f>
        <v/>
      </c>
      <c r="AQ1088" t="str">
        <f>IFERROR(ROUND(S1088*(P1088/$AV1088)/VLOOKUP(O1088,职业!$A$4:$G$16,4,FALSE),0),"")</f>
        <v/>
      </c>
      <c r="AR1088" t="str">
        <f>IFERROR(ROUND(S1088*(R1088/$AV1088)/VLOOKUP(Q1088,职业!$A$4:$G$16,4,FALSE),0),"")</f>
        <v/>
      </c>
      <c r="AS1088" t="str">
        <f>IFERROR(ROUND(X1088*(U1088/$AW1088)/VLOOKUP(T1088,商品!$A$4:$B$60,2,FALSE),0),"")</f>
        <v/>
      </c>
      <c r="AT1088" t="str">
        <f>IFERROR(ROUND(X1088*(W1088/$AW1088)/VLOOKUP(V1088,商品!$A$4:$B$60,2,FALSE),0),"")</f>
        <v/>
      </c>
      <c r="AU1088">
        <f t="shared" si="317"/>
        <v>0</v>
      </c>
      <c r="AV1088">
        <f t="shared" si="318"/>
        <v>0</v>
      </c>
      <c r="AW1088">
        <f t="shared" si="319"/>
        <v>0</v>
      </c>
    </row>
    <row r="1089" spans="1:49" ht="19.95" customHeight="1" x14ac:dyDescent="0.25">
      <c r="A1089" s="16" t="s">
        <v>413</v>
      </c>
      <c r="C1089" s="16">
        <v>2</v>
      </c>
      <c r="D1089" s="23" t="s">
        <v>171</v>
      </c>
      <c r="E1089" s="23" t="s">
        <v>172</v>
      </c>
      <c r="L1089" s="15">
        <f>IFERROR(VLOOKUP($D1089&amp;$C1089,生产方式定位!$A$2:$E$38,2,FALSE)+VLOOKUP($E1089&amp;$C1089,生产方式定位!$F$3:$J$38,2,FALSE),0)</f>
        <v>1100</v>
      </c>
      <c r="S1089" s="15">
        <f>IFERROR(VLOOKUP($D1089&amp;$C1089,生产方式定位!$A$2:$E$38,3,FALSE)+VLOOKUP($E1089&amp;$C1089,生产方式定位!$F$3:$J$38,3,FALSE),0)</f>
        <v>100</v>
      </c>
      <c r="X1089" s="15">
        <f>IFERROR(VLOOKUP($D1089&amp;$C1089,生产方式定位!$A$2:$E$38,5,FALSE)+VLOOKUP($E1089&amp;$C1089,生产方式定位!$F$3:$J$38,5,FALSE),"错误")</f>
        <v>1510</v>
      </c>
      <c r="Y1089" s="26" t="str">
        <f t="shared" si="304"/>
        <v/>
      </c>
      <c r="Z1089" s="36" t="str">
        <f t="shared" si="305"/>
        <v/>
      </c>
      <c r="AA1089" s="36" t="str">
        <f t="shared" si="306"/>
        <v/>
      </c>
      <c r="AB1089" s="27" t="str">
        <f t="shared" si="307"/>
        <v>37%</v>
      </c>
      <c r="AC1089" s="2">
        <f t="shared" si="308"/>
        <v>310</v>
      </c>
      <c r="AD1089" s="37">
        <f t="shared" si="309"/>
        <v>2</v>
      </c>
      <c r="AE1089" t="str">
        <f t="shared" si="310"/>
        <v/>
      </c>
      <c r="AF1089" t="str">
        <f t="shared" si="311"/>
        <v/>
      </c>
      <c r="AG1089" t="str">
        <f t="shared" si="312"/>
        <v/>
      </c>
      <c r="AH1089" t="str">
        <f t="shared" si="313"/>
        <v/>
      </c>
      <c r="AI1089" t="str">
        <f t="shared" si="314"/>
        <v/>
      </c>
      <c r="AJ1089" t="str">
        <f t="shared" si="315"/>
        <v/>
      </c>
      <c r="AK1089" t="str">
        <f t="shared" si="316"/>
        <v/>
      </c>
      <c r="AL1089" t="str">
        <f>IFERROR(ROUND(L1089*(G1089/$AU1089)/VLOOKUP(F1089,商品!$A$4:$B$60,2,FALSE),0),"")</f>
        <v/>
      </c>
      <c r="AM1089" t="str">
        <f>IFERROR(ROUND(L1089*(I1089/$AU1089)/VLOOKUP(H1089,商品!$A$4:$B$60,2,FALSE),0),"")</f>
        <v/>
      </c>
      <c r="AN1089">
        <f>IFERROR(ROUND(L1089*(J1089/$AU1089)/VLOOKUP("运力",商品!$A$4:$B$60,2,FALSE),0),0)</f>
        <v>0</v>
      </c>
      <c r="AO1089">
        <f>IFERROR(ROUND(L1089*(K1089/$AU1089)/VLOOKUP("交易",商品!$A$4:$B$60,2,FALSE),0),0)</f>
        <v>0</v>
      </c>
      <c r="AP1089" t="str">
        <f>IFERROR(ROUND(S1089*(N1089/$AV1089)/VLOOKUP(M1089,职业!$A$4:$G$16,4,FALSE),0),"")</f>
        <v/>
      </c>
      <c r="AQ1089" t="str">
        <f>IFERROR(ROUND(S1089*(P1089/$AV1089)/VLOOKUP(O1089,职业!$A$4:$G$16,4,FALSE),0),"")</f>
        <v/>
      </c>
      <c r="AR1089" t="str">
        <f>IFERROR(ROUND(S1089*(R1089/$AV1089)/VLOOKUP(Q1089,职业!$A$4:$G$16,4,FALSE),0),"")</f>
        <v/>
      </c>
      <c r="AS1089" t="str">
        <f>IFERROR(ROUND(X1089*(U1089/$AW1089)/VLOOKUP(T1089,商品!$A$4:$B$60,2,FALSE),0),"")</f>
        <v/>
      </c>
      <c r="AT1089" t="str">
        <f>IFERROR(ROUND(X1089*(W1089/$AW1089)/VLOOKUP(V1089,商品!$A$4:$B$60,2,FALSE),0),"")</f>
        <v/>
      </c>
      <c r="AU1089">
        <f t="shared" si="317"/>
        <v>0</v>
      </c>
      <c r="AV1089">
        <f t="shared" si="318"/>
        <v>0</v>
      </c>
      <c r="AW1089">
        <f t="shared" si="319"/>
        <v>0</v>
      </c>
    </row>
    <row r="1090" spans="1:49" ht="19.95" customHeight="1" x14ac:dyDescent="0.25">
      <c r="A1090" s="16" t="s">
        <v>413</v>
      </c>
      <c r="C1090" s="16">
        <v>3</v>
      </c>
      <c r="D1090" s="23" t="s">
        <v>171</v>
      </c>
      <c r="E1090" s="23" t="s">
        <v>172</v>
      </c>
      <c r="L1090" s="15">
        <f>IFERROR(VLOOKUP($D1090&amp;$C1090,生产方式定位!$A$2:$E$38,2,FALSE)+VLOOKUP($E1090&amp;$C1090,生产方式定位!$F$3:$J$38,2,FALSE),0)</f>
        <v>1525</v>
      </c>
      <c r="S1090" s="15">
        <f>IFERROR(VLOOKUP($D1090&amp;$C1090,生产方式定位!$A$2:$E$38,3,FALSE)+VLOOKUP($E1090&amp;$C1090,生产方式定位!$F$3:$J$38,3,FALSE),0)</f>
        <v>100</v>
      </c>
      <c r="X1090" s="15">
        <f>IFERROR(VLOOKUP($D1090&amp;$C1090,生产方式定位!$A$2:$E$38,5,FALSE)+VLOOKUP($E1090&amp;$C1090,生产方式定位!$F$3:$J$38,5,FALSE),"错误")</f>
        <v>2050</v>
      </c>
      <c r="Y1090" s="26" t="str">
        <f t="shared" si="304"/>
        <v/>
      </c>
      <c r="Z1090" s="36" t="str">
        <f t="shared" si="305"/>
        <v/>
      </c>
      <c r="AA1090" s="36" t="str">
        <f t="shared" si="306"/>
        <v/>
      </c>
      <c r="AB1090" s="27" t="str">
        <f t="shared" si="307"/>
        <v>34%</v>
      </c>
      <c r="AC1090" s="2">
        <f t="shared" si="308"/>
        <v>425</v>
      </c>
      <c r="AD1090" s="38">
        <f t="shared" si="309"/>
        <v>3</v>
      </c>
      <c r="AE1090" t="str">
        <f t="shared" si="310"/>
        <v/>
      </c>
      <c r="AF1090" t="str">
        <f t="shared" si="311"/>
        <v/>
      </c>
      <c r="AG1090" t="str">
        <f t="shared" si="312"/>
        <v/>
      </c>
      <c r="AH1090" t="str">
        <f t="shared" si="313"/>
        <v/>
      </c>
      <c r="AI1090" t="str">
        <f t="shared" si="314"/>
        <v/>
      </c>
      <c r="AJ1090" t="str">
        <f t="shared" si="315"/>
        <v/>
      </c>
      <c r="AK1090" t="str">
        <f t="shared" si="316"/>
        <v/>
      </c>
      <c r="AL1090" t="str">
        <f>IFERROR(ROUND(L1090*(G1090/$AU1090)/VLOOKUP(F1090,商品!$A$4:$B$60,2,FALSE),0),"")</f>
        <v/>
      </c>
      <c r="AM1090" t="str">
        <f>IFERROR(ROUND(L1090*(I1090/$AU1090)/VLOOKUP(H1090,商品!$A$4:$B$60,2,FALSE),0),"")</f>
        <v/>
      </c>
      <c r="AN1090">
        <f>IFERROR(ROUND(L1090*(J1090/$AU1090)/VLOOKUP("运力",商品!$A$4:$B$60,2,FALSE),0),0)</f>
        <v>0</v>
      </c>
      <c r="AO1090">
        <f>IFERROR(ROUND(L1090*(K1090/$AU1090)/VLOOKUP("交易",商品!$A$4:$B$60,2,FALSE),0),0)</f>
        <v>0</v>
      </c>
      <c r="AP1090" t="str">
        <f>IFERROR(ROUND(S1090*(N1090/$AV1090)/VLOOKUP(M1090,职业!$A$4:$G$16,4,FALSE),0),"")</f>
        <v/>
      </c>
      <c r="AQ1090" t="str">
        <f>IFERROR(ROUND(S1090*(P1090/$AV1090)/VLOOKUP(O1090,职业!$A$4:$G$16,4,FALSE),0),"")</f>
        <v/>
      </c>
      <c r="AR1090" t="str">
        <f>IFERROR(ROUND(S1090*(R1090/$AV1090)/VLOOKUP(Q1090,职业!$A$4:$G$16,4,FALSE),0),"")</f>
        <v/>
      </c>
      <c r="AS1090" t="str">
        <f>IFERROR(ROUND(X1090*(U1090/$AW1090)/VLOOKUP(T1090,商品!$A$4:$B$60,2,FALSE),0),"")</f>
        <v/>
      </c>
      <c r="AT1090" t="str">
        <f>IFERROR(ROUND(X1090*(W1090/$AW1090)/VLOOKUP(V1090,商品!$A$4:$B$60,2,FALSE),0),"")</f>
        <v/>
      </c>
      <c r="AU1090">
        <f t="shared" si="317"/>
        <v>0</v>
      </c>
      <c r="AV1090">
        <f t="shared" si="318"/>
        <v>0</v>
      </c>
      <c r="AW1090">
        <f t="shared" si="319"/>
        <v>0</v>
      </c>
    </row>
    <row r="1091" spans="1:49" ht="19.95" customHeight="1" x14ac:dyDescent="0.25">
      <c r="A1091" s="16" t="s">
        <v>413</v>
      </c>
      <c r="C1091" s="16">
        <v>4</v>
      </c>
      <c r="D1091" s="23" t="s">
        <v>171</v>
      </c>
      <c r="E1091" s="23" t="s">
        <v>172</v>
      </c>
      <c r="L1091" s="15">
        <f>IFERROR(VLOOKUP($D1091&amp;$C1091,生产方式定位!$A$2:$E$38,2,FALSE)+VLOOKUP($E1091&amp;$C1091,生产方式定位!$F$3:$J$38,2,FALSE),0)</f>
        <v>1950</v>
      </c>
      <c r="S1091" s="15">
        <f>IFERROR(VLOOKUP($D1091&amp;$C1091,生产方式定位!$A$2:$E$38,3,FALSE)+VLOOKUP($E1091&amp;$C1091,生产方式定位!$F$3:$J$38,3,FALSE),0)</f>
        <v>100</v>
      </c>
      <c r="X1091" s="15">
        <f>IFERROR(VLOOKUP($D1091&amp;$C1091,生产方式定位!$A$2:$E$38,5,FALSE)+VLOOKUP($E1091&amp;$C1091,生产方式定位!$F$3:$J$38,5,FALSE),"错误")</f>
        <v>2590</v>
      </c>
      <c r="Y1091" s="26" t="str">
        <f t="shared" si="304"/>
        <v/>
      </c>
      <c r="Z1091" s="36" t="str">
        <f t="shared" si="305"/>
        <v/>
      </c>
      <c r="AA1091" s="36" t="str">
        <f t="shared" si="306"/>
        <v/>
      </c>
      <c r="AB1091" s="27" t="str">
        <f t="shared" si="307"/>
        <v>33%</v>
      </c>
      <c r="AC1091" s="2">
        <f t="shared" si="308"/>
        <v>540</v>
      </c>
      <c r="AD1091" s="38">
        <f t="shared" si="309"/>
        <v>4</v>
      </c>
      <c r="AE1091" t="str">
        <f t="shared" si="310"/>
        <v/>
      </c>
      <c r="AF1091" t="str">
        <f t="shared" si="311"/>
        <v/>
      </c>
      <c r="AG1091" t="str">
        <f t="shared" si="312"/>
        <v/>
      </c>
      <c r="AH1091" t="str">
        <f t="shared" si="313"/>
        <v/>
      </c>
      <c r="AI1091" t="str">
        <f t="shared" si="314"/>
        <v/>
      </c>
      <c r="AJ1091" t="str">
        <f t="shared" si="315"/>
        <v/>
      </c>
      <c r="AK1091" t="str">
        <f t="shared" si="316"/>
        <v/>
      </c>
      <c r="AL1091" t="str">
        <f>IFERROR(ROUND(L1091*(G1091/$AU1091)/VLOOKUP(F1091,商品!$A$4:$B$60,2,FALSE),0),"")</f>
        <v/>
      </c>
      <c r="AM1091" t="str">
        <f>IFERROR(ROUND(L1091*(I1091/$AU1091)/VLOOKUP(H1091,商品!$A$4:$B$60,2,FALSE),0),"")</f>
        <v/>
      </c>
      <c r="AN1091">
        <f>IFERROR(ROUND(L1091*(J1091/$AU1091)/VLOOKUP("运力",商品!$A$4:$B$60,2,FALSE),0),0)</f>
        <v>0</v>
      </c>
      <c r="AO1091">
        <f>IFERROR(ROUND(L1091*(K1091/$AU1091)/VLOOKUP("交易",商品!$A$4:$B$60,2,FALSE),0),0)</f>
        <v>0</v>
      </c>
      <c r="AP1091" t="str">
        <f>IFERROR(ROUND(S1091*(N1091/$AV1091)/VLOOKUP(M1091,职业!$A$4:$G$16,4,FALSE),0),"")</f>
        <v/>
      </c>
      <c r="AQ1091" t="str">
        <f>IFERROR(ROUND(S1091*(P1091/$AV1091)/VLOOKUP(O1091,职业!$A$4:$G$16,4,FALSE),0),"")</f>
        <v/>
      </c>
      <c r="AR1091" t="str">
        <f>IFERROR(ROUND(S1091*(R1091/$AV1091)/VLOOKUP(Q1091,职业!$A$4:$G$16,4,FALSE),0),"")</f>
        <v/>
      </c>
      <c r="AS1091" t="str">
        <f>IFERROR(ROUND(X1091*(U1091/$AW1091)/VLOOKUP(T1091,商品!$A$4:$B$60,2,FALSE),0),"")</f>
        <v/>
      </c>
      <c r="AT1091" t="str">
        <f>IFERROR(ROUND(X1091*(W1091/$AW1091)/VLOOKUP(V1091,商品!$A$4:$B$60,2,FALSE),0),"")</f>
        <v/>
      </c>
      <c r="AU1091">
        <f t="shared" si="317"/>
        <v>0</v>
      </c>
      <c r="AV1091">
        <f t="shared" si="318"/>
        <v>0</v>
      </c>
      <c r="AW1091">
        <f t="shared" si="319"/>
        <v>0</v>
      </c>
    </row>
    <row r="1092" spans="1:49" ht="19.95" customHeight="1" x14ac:dyDescent="0.25">
      <c r="A1092" s="16" t="s">
        <v>413</v>
      </c>
      <c r="C1092" s="16">
        <v>5</v>
      </c>
      <c r="D1092" s="23" t="s">
        <v>171</v>
      </c>
      <c r="E1092" s="23" t="s">
        <v>172</v>
      </c>
      <c r="L1092" s="15">
        <f>IFERROR(VLOOKUP($D1092&amp;$C1092,生产方式定位!$A$2:$E$38,2,FALSE)+VLOOKUP($E1092&amp;$C1092,生产方式定位!$F$3:$J$38,2,FALSE),0)</f>
        <v>2375</v>
      </c>
      <c r="S1092" s="15">
        <f>IFERROR(VLOOKUP($D1092&amp;$C1092,生产方式定位!$A$2:$E$38,3,FALSE)+VLOOKUP($E1092&amp;$C1092,生产方式定位!$F$3:$J$38,3,FALSE),0)</f>
        <v>100</v>
      </c>
      <c r="X1092" s="15">
        <f>IFERROR(VLOOKUP($D1092&amp;$C1092,生产方式定位!$A$2:$E$38,5,FALSE)+VLOOKUP($E1092&amp;$C1092,生产方式定位!$F$3:$J$38,5,FALSE),"错误")</f>
        <v>3130</v>
      </c>
      <c r="Y1092" s="26" t="str">
        <f t="shared" si="304"/>
        <v/>
      </c>
      <c r="Z1092" s="36" t="str">
        <f t="shared" si="305"/>
        <v/>
      </c>
      <c r="AA1092" s="36" t="str">
        <f t="shared" si="306"/>
        <v/>
      </c>
      <c r="AB1092" s="27" t="str">
        <f t="shared" si="307"/>
        <v>32%</v>
      </c>
      <c r="AC1092" s="2">
        <f t="shared" si="308"/>
        <v>655</v>
      </c>
      <c r="AD1092" s="38">
        <f t="shared" si="309"/>
        <v>5</v>
      </c>
      <c r="AE1092" t="str">
        <f t="shared" si="310"/>
        <v/>
      </c>
      <c r="AF1092" t="str">
        <f t="shared" si="311"/>
        <v/>
      </c>
      <c r="AG1092" t="str">
        <f t="shared" si="312"/>
        <v/>
      </c>
      <c r="AH1092" t="str">
        <f t="shared" si="313"/>
        <v/>
      </c>
      <c r="AI1092" t="str">
        <f t="shared" si="314"/>
        <v/>
      </c>
      <c r="AJ1092" t="str">
        <f t="shared" si="315"/>
        <v/>
      </c>
      <c r="AK1092" t="str">
        <f t="shared" si="316"/>
        <v/>
      </c>
      <c r="AL1092" t="str">
        <f>IFERROR(ROUND(L1092*(G1092/$AU1092)/VLOOKUP(F1092,商品!$A$4:$B$60,2,FALSE),0),"")</f>
        <v/>
      </c>
      <c r="AM1092" t="str">
        <f>IFERROR(ROUND(L1092*(I1092/$AU1092)/VLOOKUP(H1092,商品!$A$4:$B$60,2,FALSE),0),"")</f>
        <v/>
      </c>
      <c r="AN1092">
        <f>IFERROR(ROUND(L1092*(J1092/$AU1092)/VLOOKUP("运力",商品!$A$4:$B$60,2,FALSE),0),0)</f>
        <v>0</v>
      </c>
      <c r="AO1092">
        <f>IFERROR(ROUND(L1092*(K1092/$AU1092)/VLOOKUP("交易",商品!$A$4:$B$60,2,FALSE),0),0)</f>
        <v>0</v>
      </c>
      <c r="AP1092" t="str">
        <f>IFERROR(ROUND(S1092*(N1092/$AV1092)/VLOOKUP(M1092,职业!$A$4:$G$16,4,FALSE),0),"")</f>
        <v/>
      </c>
      <c r="AQ1092" t="str">
        <f>IFERROR(ROUND(S1092*(P1092/$AV1092)/VLOOKUP(O1092,职业!$A$4:$G$16,4,FALSE),0),"")</f>
        <v/>
      </c>
      <c r="AR1092" t="str">
        <f>IFERROR(ROUND(S1092*(R1092/$AV1092)/VLOOKUP(Q1092,职业!$A$4:$G$16,4,FALSE),0),"")</f>
        <v/>
      </c>
      <c r="AS1092" t="str">
        <f>IFERROR(ROUND(X1092*(U1092/$AW1092)/VLOOKUP(T1092,商品!$A$4:$B$60,2,FALSE),0),"")</f>
        <v/>
      </c>
      <c r="AT1092" t="str">
        <f>IFERROR(ROUND(X1092*(W1092/$AW1092)/VLOOKUP(V1092,商品!$A$4:$B$60,2,FALSE),0),"")</f>
        <v/>
      </c>
      <c r="AU1092">
        <f t="shared" si="317"/>
        <v>0</v>
      </c>
      <c r="AV1092">
        <f t="shared" si="318"/>
        <v>0</v>
      </c>
      <c r="AW1092">
        <f t="shared" si="319"/>
        <v>0</v>
      </c>
    </row>
    <row r="1093" spans="1:49" ht="19.95" customHeight="1" x14ac:dyDescent="0.25">
      <c r="A1093" s="15" t="s">
        <v>414</v>
      </c>
      <c r="C1093" s="15">
        <v>1</v>
      </c>
      <c r="D1093" s="23" t="s">
        <v>174</v>
      </c>
      <c r="E1093" s="23" t="s">
        <v>175</v>
      </c>
      <c r="L1093" s="16">
        <f>IFERROR(VLOOKUP($D1093&amp;$C1093,生产方式定位!$A$2:$E$38,2,FALSE)+VLOOKUP($E1093&amp;$C1093,生产方式定位!$F$3:$J$38,2,FALSE),0)</f>
        <v>0</v>
      </c>
      <c r="S1093" s="16">
        <f>IFERROR(VLOOKUP($D1093&amp;$C1093,生产方式定位!$A$2:$E$38,3,FALSE)+VLOOKUP($E1093&amp;$C1093,生产方式定位!$F$3:$J$38,3,FALSE),0)</f>
        <v>0</v>
      </c>
      <c r="X1093" s="16">
        <f>IFERROR(VLOOKUP($D1093&amp;$C1093,生产方式定位!$A$2:$E$38,5,FALSE)+VLOOKUP($E1093&amp;$C1093,生产方式定位!$F$3:$J$38,5,FALSE),"错误")</f>
        <v>0</v>
      </c>
      <c r="Y1093" s="26" t="str">
        <f t="shared" si="304"/>
        <v/>
      </c>
      <c r="Z1093" s="36" t="str">
        <f t="shared" si="305"/>
        <v/>
      </c>
      <c r="AA1093" s="36" t="str">
        <f t="shared" si="306"/>
        <v/>
      </c>
      <c r="AB1093" s="27" t="str">
        <f t="shared" si="307"/>
        <v/>
      </c>
      <c r="AC1093" s="2" t="str">
        <f t="shared" si="308"/>
        <v/>
      </c>
      <c r="AD1093" s="38">
        <f t="shared" si="309"/>
        <v>1</v>
      </c>
      <c r="AE1093" t="str">
        <f t="shared" si="310"/>
        <v/>
      </c>
      <c r="AF1093" t="str">
        <f t="shared" si="311"/>
        <v/>
      </c>
      <c r="AG1093" t="str">
        <f t="shared" si="312"/>
        <v/>
      </c>
      <c r="AH1093" t="str">
        <f t="shared" si="313"/>
        <v/>
      </c>
      <c r="AI1093" t="str">
        <f t="shared" si="314"/>
        <v/>
      </c>
      <c r="AJ1093" t="str">
        <f t="shared" si="315"/>
        <v/>
      </c>
      <c r="AK1093" t="str">
        <f t="shared" si="316"/>
        <v/>
      </c>
      <c r="AL1093" t="str">
        <f>IFERROR(ROUND(L1093*(G1093/$AU1093)/VLOOKUP(F1093,商品!$A$4:$B$60,2,FALSE),0),"")</f>
        <v/>
      </c>
      <c r="AM1093" t="str">
        <f>IFERROR(ROUND(L1093*(I1093/$AU1093)/VLOOKUP(H1093,商品!$A$4:$B$60,2,FALSE),0),"")</f>
        <v/>
      </c>
      <c r="AN1093">
        <f>IFERROR(ROUND(L1093*(J1093/$AU1093)/VLOOKUP("运力",商品!$A$4:$B$60,2,FALSE),0),0)</f>
        <v>0</v>
      </c>
      <c r="AO1093">
        <f>IFERROR(ROUND(L1093*(K1093/$AU1093)/VLOOKUP("交易",商品!$A$4:$B$60,2,FALSE),0),0)</f>
        <v>0</v>
      </c>
      <c r="AP1093" t="str">
        <f>IFERROR(ROUND(S1093*(N1093/$AV1093)/VLOOKUP(M1093,职业!$A$4:$G$16,4,FALSE),0),"")</f>
        <v/>
      </c>
      <c r="AQ1093" t="str">
        <f>IFERROR(ROUND(S1093*(P1093/$AV1093)/VLOOKUP(O1093,职业!$A$4:$G$16,4,FALSE),0),"")</f>
        <v/>
      </c>
      <c r="AR1093" t="str">
        <f>IFERROR(ROUND(S1093*(R1093/$AV1093)/VLOOKUP(Q1093,职业!$A$4:$G$16,4,FALSE),0),"")</f>
        <v/>
      </c>
      <c r="AS1093" t="str">
        <f>IFERROR(ROUND(X1093*(U1093/$AW1093)/VLOOKUP(T1093,商品!$A$4:$B$60,2,FALSE),0),"")</f>
        <v/>
      </c>
      <c r="AT1093" t="str">
        <f>IFERROR(ROUND(X1093*(W1093/$AW1093)/VLOOKUP(V1093,商品!$A$4:$B$60,2,FALSE),0),"")</f>
        <v/>
      </c>
      <c r="AU1093">
        <f t="shared" si="317"/>
        <v>0</v>
      </c>
      <c r="AV1093">
        <f t="shared" si="318"/>
        <v>0</v>
      </c>
      <c r="AW1093">
        <f t="shared" si="319"/>
        <v>0</v>
      </c>
    </row>
    <row r="1094" spans="1:49" ht="19.95" customHeight="1" x14ac:dyDescent="0.25">
      <c r="A1094" s="15" t="s">
        <v>414</v>
      </c>
      <c r="C1094" s="15">
        <v>2</v>
      </c>
      <c r="D1094" s="23" t="s">
        <v>174</v>
      </c>
      <c r="E1094" s="23" t="s">
        <v>175</v>
      </c>
      <c r="F1094" s="2" t="s">
        <v>41</v>
      </c>
      <c r="G1094" s="2">
        <v>10</v>
      </c>
      <c r="L1094" s="16">
        <f>IFERROR(VLOOKUP($D1094&amp;$C1094,生产方式定位!$A$2:$E$38,2,FALSE)+VLOOKUP($E1094&amp;$C1094,生产方式定位!$F$3:$J$38,2,FALSE),0)</f>
        <v>50</v>
      </c>
      <c r="S1094" s="16">
        <f>IFERROR(VLOOKUP($D1094&amp;$C1094,生产方式定位!$A$2:$E$38,3,FALSE)+VLOOKUP($E1094&amp;$C1094,生产方式定位!$F$3:$J$38,3,FALSE),0)</f>
        <v>10</v>
      </c>
      <c r="X1094" s="16">
        <f>IFERROR(VLOOKUP($D1094&amp;$C1094,生产方式定位!$A$2:$E$38,5,FALSE)+VLOOKUP($E1094&amp;$C1094,生产方式定位!$F$3:$J$38,5,FALSE),"错误")</f>
        <v>0</v>
      </c>
      <c r="Y1094" s="26" t="str">
        <f t="shared" si="304"/>
        <v>工具*1</v>
      </c>
      <c r="Z1094" s="36" t="str">
        <f t="shared" si="305"/>
        <v/>
      </c>
      <c r="AA1094" s="36" t="str">
        <f t="shared" si="306"/>
        <v/>
      </c>
      <c r="AB1094" s="27" t="str">
        <f t="shared" si="307"/>
        <v>-100%</v>
      </c>
      <c r="AC1094" s="2">
        <f t="shared" si="308"/>
        <v>-60</v>
      </c>
      <c r="AD1094" s="38">
        <f t="shared" si="309"/>
        <v>2</v>
      </c>
      <c r="AE1094" t="str">
        <f t="shared" si="310"/>
        <v>工具*1</v>
      </c>
      <c r="AF1094" t="str">
        <f t="shared" si="311"/>
        <v/>
      </c>
      <c r="AG1094" t="str">
        <f t="shared" si="312"/>
        <v/>
      </c>
      <c r="AH1094" t="str">
        <f t="shared" si="313"/>
        <v/>
      </c>
      <c r="AI1094" t="str">
        <f t="shared" si="314"/>
        <v/>
      </c>
      <c r="AJ1094" t="str">
        <f t="shared" si="315"/>
        <v/>
      </c>
      <c r="AK1094" t="str">
        <f t="shared" si="316"/>
        <v/>
      </c>
      <c r="AL1094">
        <f>IFERROR(ROUND(L1094*(G1094/$AU1094)/VLOOKUP(F1094,商品!$A$4:$B$60,2,FALSE),0),"")</f>
        <v>1</v>
      </c>
      <c r="AM1094" t="str">
        <f>IFERROR(ROUND(L1094*(I1094/$AU1094)/VLOOKUP(H1094,商品!$A$4:$B$60,2,FALSE),0),"")</f>
        <v/>
      </c>
      <c r="AN1094">
        <f>IFERROR(ROUND(L1094*(J1094/$AU1094)/VLOOKUP("运力",商品!$A$4:$B$60,2,FALSE),0),0)</f>
        <v>0</v>
      </c>
      <c r="AO1094">
        <f>IFERROR(ROUND(L1094*(K1094/$AU1094)/VLOOKUP("交易",商品!$A$4:$B$60,2,FALSE),0),0)</f>
        <v>0</v>
      </c>
      <c r="AP1094" t="str">
        <f>IFERROR(ROUND(S1094*(N1094/$AV1094)/VLOOKUP(M1094,职业!$A$4:$G$16,4,FALSE),0),"")</f>
        <v/>
      </c>
      <c r="AQ1094" t="str">
        <f>IFERROR(ROUND(S1094*(P1094/$AV1094)/VLOOKUP(O1094,职业!$A$4:$G$16,4,FALSE),0),"")</f>
        <v/>
      </c>
      <c r="AR1094" t="str">
        <f>IFERROR(ROUND(S1094*(R1094/$AV1094)/VLOOKUP(Q1094,职业!$A$4:$G$16,4,FALSE),0),"")</f>
        <v/>
      </c>
      <c r="AS1094" t="str">
        <f>IFERROR(ROUND(X1094*(U1094/$AW1094)/VLOOKUP(T1094,商品!$A$4:$B$60,2,FALSE),0),"")</f>
        <v/>
      </c>
      <c r="AT1094" t="str">
        <f>IFERROR(ROUND(X1094*(W1094/$AW1094)/VLOOKUP(V1094,商品!$A$4:$B$60,2,FALSE),0),"")</f>
        <v/>
      </c>
      <c r="AU1094">
        <f t="shared" si="317"/>
        <v>10</v>
      </c>
      <c r="AV1094">
        <f t="shared" si="318"/>
        <v>0</v>
      </c>
      <c r="AW1094">
        <f t="shared" si="319"/>
        <v>0</v>
      </c>
    </row>
    <row r="1095" spans="1:49" ht="19.95" customHeight="1" x14ac:dyDescent="0.25">
      <c r="A1095" s="15" t="s">
        <v>414</v>
      </c>
      <c r="C1095" s="15">
        <v>3</v>
      </c>
      <c r="D1095" s="23" t="s">
        <v>174</v>
      </c>
      <c r="E1095" s="23" t="s">
        <v>175</v>
      </c>
      <c r="F1095" s="2" t="s">
        <v>41</v>
      </c>
      <c r="G1095" s="2">
        <v>10</v>
      </c>
      <c r="L1095" s="16">
        <f>IFERROR(VLOOKUP($D1095&amp;$C1095,生产方式定位!$A$2:$E$38,2,FALSE)+VLOOKUP($E1095&amp;$C1095,生产方式定位!$F$3:$J$38,2,FALSE),0)</f>
        <v>100</v>
      </c>
      <c r="S1095" s="16">
        <f>IFERROR(VLOOKUP($D1095&amp;$C1095,生产方式定位!$A$2:$E$38,3,FALSE)+VLOOKUP($E1095&amp;$C1095,生产方式定位!$F$3:$J$38,3,FALSE),0)</f>
        <v>20</v>
      </c>
      <c r="X1095" s="16">
        <f>IFERROR(VLOOKUP($D1095&amp;$C1095,生产方式定位!$A$2:$E$38,5,FALSE)+VLOOKUP($E1095&amp;$C1095,生产方式定位!$F$3:$J$38,5,FALSE),"错误")</f>
        <v>0</v>
      </c>
      <c r="Y1095" s="26" t="str">
        <f t="shared" si="304"/>
        <v>工具*3</v>
      </c>
      <c r="Z1095" s="36" t="str">
        <f t="shared" si="305"/>
        <v/>
      </c>
      <c r="AA1095" s="36" t="str">
        <f t="shared" si="306"/>
        <v/>
      </c>
      <c r="AB1095" s="27" t="str">
        <f t="shared" si="307"/>
        <v>-100%</v>
      </c>
      <c r="AC1095" s="2">
        <f t="shared" si="308"/>
        <v>-120</v>
      </c>
      <c r="AD1095" s="38">
        <f t="shared" si="309"/>
        <v>3</v>
      </c>
      <c r="AE1095" t="str">
        <f t="shared" si="310"/>
        <v>工具*3</v>
      </c>
      <c r="AF1095" t="str">
        <f t="shared" si="311"/>
        <v/>
      </c>
      <c r="AG1095" t="str">
        <f t="shared" si="312"/>
        <v/>
      </c>
      <c r="AH1095" t="str">
        <f t="shared" si="313"/>
        <v/>
      </c>
      <c r="AI1095" t="str">
        <f t="shared" si="314"/>
        <v/>
      </c>
      <c r="AJ1095" t="str">
        <f t="shared" si="315"/>
        <v/>
      </c>
      <c r="AK1095" t="str">
        <f t="shared" si="316"/>
        <v/>
      </c>
      <c r="AL1095">
        <f>IFERROR(ROUND(L1095*(G1095/$AU1095)/VLOOKUP(F1095,商品!$A$4:$B$60,2,FALSE),0),"")</f>
        <v>3</v>
      </c>
      <c r="AM1095" t="str">
        <f>IFERROR(ROUND(L1095*(I1095/$AU1095)/VLOOKUP(H1095,商品!$A$4:$B$60,2,FALSE),0),"")</f>
        <v/>
      </c>
      <c r="AN1095">
        <f>IFERROR(ROUND(L1095*(J1095/$AU1095)/VLOOKUP("运力",商品!$A$4:$B$60,2,FALSE),0),0)</f>
        <v>0</v>
      </c>
      <c r="AO1095">
        <f>IFERROR(ROUND(L1095*(K1095/$AU1095)/VLOOKUP("交易",商品!$A$4:$B$60,2,FALSE),0),0)</f>
        <v>0</v>
      </c>
      <c r="AP1095" t="str">
        <f>IFERROR(ROUND(S1095*(N1095/$AV1095)/VLOOKUP(M1095,职业!$A$4:$G$16,4,FALSE),0),"")</f>
        <v/>
      </c>
      <c r="AQ1095" t="str">
        <f>IFERROR(ROUND(S1095*(P1095/$AV1095)/VLOOKUP(O1095,职业!$A$4:$G$16,4,FALSE),0),"")</f>
        <v/>
      </c>
      <c r="AR1095" t="str">
        <f>IFERROR(ROUND(S1095*(R1095/$AV1095)/VLOOKUP(Q1095,职业!$A$4:$G$16,4,FALSE),0),"")</f>
        <v/>
      </c>
      <c r="AS1095" t="str">
        <f>IFERROR(ROUND(X1095*(U1095/$AW1095)/VLOOKUP(T1095,商品!$A$4:$B$60,2,FALSE),0),"")</f>
        <v/>
      </c>
      <c r="AT1095" t="str">
        <f>IFERROR(ROUND(X1095*(W1095/$AW1095)/VLOOKUP(V1095,商品!$A$4:$B$60,2,FALSE),0),"")</f>
        <v/>
      </c>
      <c r="AU1095">
        <f t="shared" si="317"/>
        <v>10</v>
      </c>
      <c r="AV1095">
        <f t="shared" si="318"/>
        <v>0</v>
      </c>
      <c r="AW1095">
        <f t="shared" si="319"/>
        <v>0</v>
      </c>
    </row>
    <row r="1096" spans="1:49" ht="19.95" customHeight="1" x14ac:dyDescent="0.25">
      <c r="A1096" s="15" t="s">
        <v>414</v>
      </c>
      <c r="C1096" s="15">
        <v>4</v>
      </c>
      <c r="D1096" s="23" t="s">
        <v>174</v>
      </c>
      <c r="E1096" s="23" t="s">
        <v>175</v>
      </c>
      <c r="F1096" s="2" t="s">
        <v>45</v>
      </c>
      <c r="G1096" s="2">
        <v>5</v>
      </c>
      <c r="H1096" s="2" t="s">
        <v>19</v>
      </c>
      <c r="I1096" s="2">
        <v>10</v>
      </c>
      <c r="L1096" s="16">
        <f>IFERROR(VLOOKUP($D1096&amp;$C1096,生产方式定位!$A$2:$E$38,2,FALSE)+VLOOKUP($E1096&amp;$C1096,生产方式定位!$F$3:$J$38,2,FALSE),0)</f>
        <v>150</v>
      </c>
      <c r="S1096" s="16">
        <f>IFERROR(VLOOKUP($D1096&amp;$C1096,生产方式定位!$A$2:$E$38,3,FALSE)+VLOOKUP($E1096&amp;$C1096,生产方式定位!$F$3:$J$38,3,FALSE),0)</f>
        <v>30</v>
      </c>
      <c r="X1096" s="16">
        <f>IFERROR(VLOOKUP($D1096&amp;$C1096,生产方式定位!$A$2:$E$38,5,FALSE)+VLOOKUP($E1096&amp;$C1096,生产方式定位!$F$3:$J$38,5,FALSE),"错误")</f>
        <v>0</v>
      </c>
      <c r="Y1096" s="26" t="str">
        <f t="shared" si="304"/>
        <v>科学引擎*1,煤*3</v>
      </c>
      <c r="Z1096" s="36" t="str">
        <f t="shared" si="305"/>
        <v/>
      </c>
      <c r="AA1096" s="36" t="str">
        <f t="shared" si="306"/>
        <v/>
      </c>
      <c r="AB1096" s="27" t="str">
        <f t="shared" si="307"/>
        <v>-100%</v>
      </c>
      <c r="AC1096" s="2">
        <f t="shared" si="308"/>
        <v>-180</v>
      </c>
      <c r="AD1096" s="38">
        <f t="shared" si="309"/>
        <v>4</v>
      </c>
      <c r="AE1096" t="str">
        <f t="shared" si="310"/>
        <v>科学引擎*1</v>
      </c>
      <c r="AF1096" t="str">
        <f t="shared" si="311"/>
        <v>煤*3</v>
      </c>
      <c r="AG1096" t="str">
        <f t="shared" si="312"/>
        <v/>
      </c>
      <c r="AH1096" t="str">
        <f t="shared" si="313"/>
        <v/>
      </c>
      <c r="AI1096" t="str">
        <f t="shared" si="314"/>
        <v/>
      </c>
      <c r="AJ1096" t="str">
        <f t="shared" si="315"/>
        <v/>
      </c>
      <c r="AK1096" t="str">
        <f t="shared" si="316"/>
        <v/>
      </c>
      <c r="AL1096">
        <f>IFERROR(ROUND(L1096*(G1096/$AU1096)/VLOOKUP(F1096,商品!$A$4:$B$60,2,FALSE),0),"")</f>
        <v>1</v>
      </c>
      <c r="AM1096">
        <f>IFERROR(ROUND(L1096*(I1096/$AU1096)/VLOOKUP(H1096,商品!$A$4:$B$60,2,FALSE),0),"")</f>
        <v>3</v>
      </c>
      <c r="AN1096">
        <f>IFERROR(ROUND(L1096*(J1096/$AU1096)/VLOOKUP("运力",商品!$A$4:$B$60,2,FALSE),0),0)</f>
        <v>0</v>
      </c>
      <c r="AO1096">
        <f>IFERROR(ROUND(L1096*(K1096/$AU1096)/VLOOKUP("交易",商品!$A$4:$B$60,2,FALSE),0),0)</f>
        <v>0</v>
      </c>
      <c r="AP1096" t="str">
        <f>IFERROR(ROUND(S1096*(N1096/$AV1096)/VLOOKUP(M1096,职业!$A$4:$G$16,4,FALSE),0),"")</f>
        <v/>
      </c>
      <c r="AQ1096" t="str">
        <f>IFERROR(ROUND(S1096*(P1096/$AV1096)/VLOOKUP(O1096,职业!$A$4:$G$16,4,FALSE),0),"")</f>
        <v/>
      </c>
      <c r="AR1096" t="str">
        <f>IFERROR(ROUND(S1096*(R1096/$AV1096)/VLOOKUP(Q1096,职业!$A$4:$G$16,4,FALSE),0),"")</f>
        <v/>
      </c>
      <c r="AS1096" t="str">
        <f>IFERROR(ROUND(X1096*(U1096/$AW1096)/VLOOKUP(T1096,商品!$A$4:$B$60,2,FALSE),0),"")</f>
        <v/>
      </c>
      <c r="AT1096" t="str">
        <f>IFERROR(ROUND(X1096*(W1096/$AW1096)/VLOOKUP(V1096,商品!$A$4:$B$60,2,FALSE),0),"")</f>
        <v/>
      </c>
      <c r="AU1096">
        <f t="shared" si="317"/>
        <v>15</v>
      </c>
      <c r="AV1096">
        <f t="shared" si="318"/>
        <v>0</v>
      </c>
      <c r="AW1096">
        <f t="shared" si="319"/>
        <v>0</v>
      </c>
    </row>
    <row r="1097" spans="1:49" ht="19.95" customHeight="1" x14ac:dyDescent="0.25">
      <c r="A1097" s="15" t="s">
        <v>414</v>
      </c>
      <c r="C1097" s="15">
        <v>5</v>
      </c>
      <c r="D1097" s="23" t="s">
        <v>174</v>
      </c>
      <c r="E1097" s="23" t="s">
        <v>175</v>
      </c>
      <c r="F1097" s="2" t="s">
        <v>46</v>
      </c>
      <c r="G1097" s="2">
        <v>5</v>
      </c>
      <c r="H1097" s="2" t="s">
        <v>19</v>
      </c>
      <c r="I1097" s="2">
        <v>10</v>
      </c>
      <c r="L1097" s="16">
        <f>IFERROR(VLOOKUP($D1097&amp;$C1097,生产方式定位!$A$2:$E$38,2,FALSE)+VLOOKUP($E1097&amp;$C1097,生产方式定位!$F$3:$J$38,2,FALSE),0)</f>
        <v>200</v>
      </c>
      <c r="S1097" s="16">
        <f>IFERROR(VLOOKUP($D1097&amp;$C1097,生产方式定位!$A$2:$E$38,3,FALSE)+VLOOKUP($E1097&amp;$C1097,生产方式定位!$F$3:$J$38,3,FALSE),0)</f>
        <v>40</v>
      </c>
      <c r="X1097" s="16">
        <f>IFERROR(VLOOKUP($D1097&amp;$C1097,生产方式定位!$A$2:$E$38,5,FALSE)+VLOOKUP($E1097&amp;$C1097,生产方式定位!$F$3:$J$38,5,FALSE),"错误")</f>
        <v>0</v>
      </c>
      <c r="Y1097" s="26" t="str">
        <f t="shared" si="304"/>
        <v>魔导引擎*1,煤*4</v>
      </c>
      <c r="Z1097" s="36" t="str">
        <f t="shared" si="305"/>
        <v/>
      </c>
      <c r="AA1097" s="36" t="str">
        <f t="shared" si="306"/>
        <v/>
      </c>
      <c r="AB1097" s="27" t="str">
        <f t="shared" si="307"/>
        <v>-100%</v>
      </c>
      <c r="AC1097" s="2">
        <f t="shared" si="308"/>
        <v>-240</v>
      </c>
      <c r="AD1097" s="38">
        <f t="shared" si="309"/>
        <v>5</v>
      </c>
      <c r="AE1097" t="str">
        <f t="shared" si="310"/>
        <v>魔导引擎*1</v>
      </c>
      <c r="AF1097" t="str">
        <f t="shared" si="311"/>
        <v>煤*4</v>
      </c>
      <c r="AG1097" t="str">
        <f t="shared" si="312"/>
        <v/>
      </c>
      <c r="AH1097" t="str">
        <f t="shared" si="313"/>
        <v/>
      </c>
      <c r="AI1097" t="str">
        <f t="shared" si="314"/>
        <v/>
      </c>
      <c r="AJ1097" t="str">
        <f t="shared" si="315"/>
        <v/>
      </c>
      <c r="AK1097" t="str">
        <f t="shared" si="316"/>
        <v/>
      </c>
      <c r="AL1097">
        <f>IFERROR(ROUND(L1097*(G1097/$AU1097)/VLOOKUP(F1097,商品!$A$4:$B$60,2,FALSE),0),"")</f>
        <v>1</v>
      </c>
      <c r="AM1097">
        <f>IFERROR(ROUND(L1097*(I1097/$AU1097)/VLOOKUP(H1097,商品!$A$4:$B$60,2,FALSE),0),"")</f>
        <v>4</v>
      </c>
      <c r="AN1097">
        <f>IFERROR(ROUND(L1097*(J1097/$AU1097)/VLOOKUP("运力",商品!$A$4:$B$60,2,FALSE),0),0)</f>
        <v>0</v>
      </c>
      <c r="AO1097">
        <f>IFERROR(ROUND(L1097*(K1097/$AU1097)/VLOOKUP("交易",商品!$A$4:$B$60,2,FALSE),0),0)</f>
        <v>0</v>
      </c>
      <c r="AP1097" t="str">
        <f>IFERROR(ROUND(S1097*(N1097/$AV1097)/VLOOKUP(M1097,职业!$A$4:$G$16,4,FALSE),0),"")</f>
        <v/>
      </c>
      <c r="AQ1097" t="str">
        <f>IFERROR(ROUND(S1097*(P1097/$AV1097)/VLOOKUP(O1097,职业!$A$4:$G$16,4,FALSE),0),"")</f>
        <v/>
      </c>
      <c r="AR1097" t="str">
        <f>IFERROR(ROUND(S1097*(R1097/$AV1097)/VLOOKUP(Q1097,职业!$A$4:$G$16,4,FALSE),0),"")</f>
        <v/>
      </c>
      <c r="AS1097" t="str">
        <f>IFERROR(ROUND(X1097*(U1097/$AW1097)/VLOOKUP(T1097,商品!$A$4:$B$60,2,FALSE),0),"")</f>
        <v/>
      </c>
      <c r="AT1097" t="str">
        <f>IFERROR(ROUND(X1097*(W1097/$AW1097)/VLOOKUP(V1097,商品!$A$4:$B$60,2,FALSE),0),"")</f>
        <v/>
      </c>
      <c r="AU1097">
        <f t="shared" si="317"/>
        <v>15</v>
      </c>
      <c r="AV1097">
        <f t="shared" si="318"/>
        <v>0</v>
      </c>
      <c r="AW1097">
        <f t="shared" si="319"/>
        <v>0</v>
      </c>
    </row>
    <row r="1098" spans="1:49" ht="19.95" customHeight="1" x14ac:dyDescent="0.25">
      <c r="A1098" s="16" t="s">
        <v>415</v>
      </c>
      <c r="C1098" s="16">
        <v>1</v>
      </c>
      <c r="D1098" s="23" t="s">
        <v>171</v>
      </c>
      <c r="E1098" s="23" t="s">
        <v>177</v>
      </c>
      <c r="L1098" s="15">
        <f>IFERROR(VLOOKUP($D1098&amp;$C1098,生产方式定位!$A$2:$E$38,2,FALSE)+VLOOKUP($E1098&amp;$C1098,生产方式定位!$F$3:$J$38,2,FALSE),0)</f>
        <v>300</v>
      </c>
      <c r="S1098" s="15">
        <f>IFERROR(VLOOKUP($D1098&amp;$C1098,生产方式定位!$A$2:$E$38,3,FALSE)+VLOOKUP($E1098&amp;$C1098,生产方式定位!$F$3:$J$38,3,FALSE),0)</f>
        <v>100</v>
      </c>
      <c r="X1098" s="15">
        <f>IFERROR(VLOOKUP($D1098&amp;$C1098,生产方式定位!$A$2:$E$38,5,FALSE)+VLOOKUP($E1098&amp;$C1098,生产方式定位!$F$3:$J$38,5,FALSE),"错误")</f>
        <v>520</v>
      </c>
      <c r="Y1098" s="26" t="str">
        <f t="shared" si="304"/>
        <v/>
      </c>
      <c r="Z1098" s="36" t="str">
        <f t="shared" si="305"/>
        <v/>
      </c>
      <c r="AA1098" s="36" t="str">
        <f t="shared" si="306"/>
        <v/>
      </c>
      <c r="AB1098" s="27" t="str">
        <f t="shared" si="307"/>
        <v>73%</v>
      </c>
      <c r="AC1098" s="2">
        <f t="shared" si="308"/>
        <v>120</v>
      </c>
      <c r="AD1098" s="37">
        <f t="shared" si="309"/>
        <v>1</v>
      </c>
      <c r="AE1098" t="str">
        <f t="shared" si="310"/>
        <v/>
      </c>
      <c r="AF1098" t="str">
        <f t="shared" si="311"/>
        <v/>
      </c>
      <c r="AG1098" t="str">
        <f t="shared" si="312"/>
        <v/>
      </c>
      <c r="AH1098" t="str">
        <f t="shared" si="313"/>
        <v/>
      </c>
      <c r="AI1098" t="str">
        <f t="shared" si="314"/>
        <v/>
      </c>
      <c r="AJ1098" t="str">
        <f t="shared" si="315"/>
        <v/>
      </c>
      <c r="AK1098" t="str">
        <f t="shared" si="316"/>
        <v/>
      </c>
      <c r="AL1098" t="str">
        <f>IFERROR(ROUND(L1098*(G1098/$AU1098)/VLOOKUP(F1098,商品!$A$4:$B$60,2,FALSE),0),"")</f>
        <v/>
      </c>
      <c r="AM1098" t="str">
        <f>IFERROR(ROUND(L1098*(I1098/$AU1098)/VLOOKUP(H1098,商品!$A$4:$B$60,2,FALSE),0),"")</f>
        <v/>
      </c>
      <c r="AN1098">
        <f>IFERROR(ROUND(L1098*(J1098/$AU1098)/VLOOKUP("运力",商品!$A$4:$B$60,2,FALSE),0),0)</f>
        <v>0</v>
      </c>
      <c r="AO1098">
        <f>IFERROR(ROUND(L1098*(K1098/$AU1098)/VLOOKUP("交易",商品!$A$4:$B$60,2,FALSE),0),0)</f>
        <v>0</v>
      </c>
      <c r="AP1098" t="str">
        <f>IFERROR(ROUND(S1098*(N1098/$AV1098)/VLOOKUP(M1098,职业!$A$4:$G$16,4,FALSE),0),"")</f>
        <v/>
      </c>
      <c r="AQ1098" t="str">
        <f>IFERROR(ROUND(S1098*(P1098/$AV1098)/VLOOKUP(O1098,职业!$A$4:$G$16,4,FALSE),0),"")</f>
        <v/>
      </c>
      <c r="AR1098" t="str">
        <f>IFERROR(ROUND(S1098*(R1098/$AV1098)/VLOOKUP(Q1098,职业!$A$4:$G$16,4,FALSE),0),"")</f>
        <v/>
      </c>
      <c r="AS1098" t="str">
        <f>IFERROR(ROUND(X1098*(U1098/$AW1098)/VLOOKUP(T1098,商品!$A$4:$B$60,2,FALSE),0),"")</f>
        <v/>
      </c>
      <c r="AT1098" t="str">
        <f>IFERROR(ROUND(X1098*(W1098/$AW1098)/VLOOKUP(V1098,商品!$A$4:$B$60,2,FALSE),0),"")</f>
        <v/>
      </c>
      <c r="AU1098">
        <f t="shared" si="317"/>
        <v>0</v>
      </c>
      <c r="AV1098">
        <f t="shared" si="318"/>
        <v>0</v>
      </c>
      <c r="AW1098">
        <f t="shared" si="319"/>
        <v>0</v>
      </c>
    </row>
    <row r="1099" spans="1:49" ht="19.95" customHeight="1" x14ac:dyDescent="0.25">
      <c r="A1099" s="16" t="s">
        <v>415</v>
      </c>
      <c r="C1099" s="16">
        <v>2</v>
      </c>
      <c r="D1099" s="23" t="s">
        <v>171</v>
      </c>
      <c r="E1099" s="23" t="s">
        <v>177</v>
      </c>
      <c r="F1099" s="2" t="s">
        <v>42</v>
      </c>
      <c r="G1099" s="2">
        <v>5</v>
      </c>
      <c r="H1099" s="2" t="s">
        <v>20</v>
      </c>
      <c r="I1099" s="2">
        <v>10</v>
      </c>
      <c r="L1099" s="15">
        <f>IFERROR(VLOOKUP($D1099&amp;$C1099,生产方式定位!$A$2:$E$38,2,FALSE)+VLOOKUP($E1099&amp;$C1099,生产方式定位!$F$3:$J$38,2,FALSE),0)</f>
        <v>705</v>
      </c>
      <c r="S1099" s="15">
        <f>IFERROR(VLOOKUP($D1099&amp;$C1099,生产方式定位!$A$2:$E$38,3,FALSE)+VLOOKUP($E1099&amp;$C1099,生产方式定位!$F$3:$J$38,3,FALSE),0)</f>
        <v>115</v>
      </c>
      <c r="X1099" s="15">
        <f>IFERROR(VLOOKUP($D1099&amp;$C1099,生产方式定位!$A$2:$E$38,5,FALSE)+VLOOKUP($E1099&amp;$C1099,生产方式定位!$F$3:$J$38,5,FALSE),"错误")</f>
        <v>910</v>
      </c>
      <c r="Y1099" s="26" t="str">
        <f t="shared" si="304"/>
        <v>魔偶*6,灵能水晶*16</v>
      </c>
      <c r="Z1099" s="36" t="str">
        <f t="shared" si="305"/>
        <v/>
      </c>
      <c r="AA1099" s="36" t="str">
        <f t="shared" si="306"/>
        <v/>
      </c>
      <c r="AB1099" s="27" t="str">
        <f t="shared" si="307"/>
        <v>29%</v>
      </c>
      <c r="AC1099" s="2">
        <f t="shared" si="308"/>
        <v>90</v>
      </c>
      <c r="AD1099" s="37">
        <f t="shared" si="309"/>
        <v>2</v>
      </c>
      <c r="AE1099" t="str">
        <f t="shared" si="310"/>
        <v>魔偶*6</v>
      </c>
      <c r="AF1099" t="str">
        <f t="shared" si="311"/>
        <v>灵能水晶*16</v>
      </c>
      <c r="AG1099" t="str">
        <f t="shared" si="312"/>
        <v/>
      </c>
      <c r="AH1099" t="str">
        <f t="shared" si="313"/>
        <v/>
      </c>
      <c r="AI1099" t="str">
        <f t="shared" si="314"/>
        <v/>
      </c>
      <c r="AJ1099" t="str">
        <f t="shared" si="315"/>
        <v/>
      </c>
      <c r="AK1099" t="str">
        <f t="shared" si="316"/>
        <v/>
      </c>
      <c r="AL1099">
        <f>IFERROR(ROUND(L1099*(G1099/$AU1099)/VLOOKUP(F1099,商品!$A$4:$B$60,2,FALSE),0),"")</f>
        <v>6</v>
      </c>
      <c r="AM1099">
        <f>IFERROR(ROUND(L1099*(I1099/$AU1099)/VLOOKUP(H1099,商品!$A$4:$B$60,2,FALSE),0),"")</f>
        <v>16</v>
      </c>
      <c r="AN1099">
        <f>IFERROR(ROUND(L1099*(J1099/$AU1099)/VLOOKUP("运力",商品!$A$4:$B$60,2,FALSE),0),0)</f>
        <v>0</v>
      </c>
      <c r="AO1099">
        <f>IFERROR(ROUND(L1099*(K1099/$AU1099)/VLOOKUP("交易",商品!$A$4:$B$60,2,FALSE),0),0)</f>
        <v>0</v>
      </c>
      <c r="AP1099" t="str">
        <f>IFERROR(ROUND(S1099*(N1099/$AV1099)/VLOOKUP(M1099,职业!$A$4:$G$16,4,FALSE),0),"")</f>
        <v/>
      </c>
      <c r="AQ1099" t="str">
        <f>IFERROR(ROUND(S1099*(P1099/$AV1099)/VLOOKUP(O1099,职业!$A$4:$G$16,4,FALSE),0),"")</f>
        <v/>
      </c>
      <c r="AR1099" t="str">
        <f>IFERROR(ROUND(S1099*(R1099/$AV1099)/VLOOKUP(Q1099,职业!$A$4:$G$16,4,FALSE),0),"")</f>
        <v/>
      </c>
      <c r="AS1099" t="str">
        <f>IFERROR(ROUND(X1099*(U1099/$AW1099)/VLOOKUP(T1099,商品!$A$4:$B$60,2,FALSE),0),"")</f>
        <v/>
      </c>
      <c r="AT1099" t="str">
        <f>IFERROR(ROUND(X1099*(W1099/$AW1099)/VLOOKUP(V1099,商品!$A$4:$B$60,2,FALSE),0),"")</f>
        <v/>
      </c>
      <c r="AU1099">
        <f t="shared" si="317"/>
        <v>15</v>
      </c>
      <c r="AV1099">
        <f t="shared" si="318"/>
        <v>0</v>
      </c>
      <c r="AW1099">
        <f t="shared" si="319"/>
        <v>0</v>
      </c>
    </row>
    <row r="1100" spans="1:49" ht="19.95" customHeight="1" x14ac:dyDescent="0.25">
      <c r="A1100" s="16" t="s">
        <v>415</v>
      </c>
      <c r="C1100" s="16">
        <v>3</v>
      </c>
      <c r="D1100" s="23" t="s">
        <v>171</v>
      </c>
      <c r="E1100" s="23" t="s">
        <v>177</v>
      </c>
      <c r="F1100" s="2" t="s">
        <v>42</v>
      </c>
      <c r="G1100" s="2">
        <v>5</v>
      </c>
      <c r="H1100" s="2" t="s">
        <v>20</v>
      </c>
      <c r="I1100" s="2">
        <v>10</v>
      </c>
      <c r="L1100" s="15">
        <f>IFERROR(VLOOKUP($D1100&amp;$C1100,生产方式定位!$A$2:$E$38,2,FALSE)+VLOOKUP($E1100&amp;$C1100,生产方式定位!$F$3:$J$38,2,FALSE),0)</f>
        <v>1110</v>
      </c>
      <c r="S1100" s="15">
        <f>IFERROR(VLOOKUP($D1100&amp;$C1100,生产方式定位!$A$2:$E$38,3,FALSE)+VLOOKUP($E1100&amp;$C1100,生产方式定位!$F$3:$J$38,3,FALSE),0)</f>
        <v>130</v>
      </c>
      <c r="X1100" s="15">
        <f>IFERROR(VLOOKUP($D1100&amp;$C1100,生产方式定位!$A$2:$E$38,5,FALSE)+VLOOKUP($E1100&amp;$C1100,生产方式定位!$F$3:$J$38,5,FALSE),"错误")</f>
        <v>1300</v>
      </c>
      <c r="Y1100" s="26" t="str">
        <f t="shared" si="304"/>
        <v>魔偶*9,灵能水晶*25</v>
      </c>
      <c r="Z1100" s="36" t="str">
        <f t="shared" si="305"/>
        <v/>
      </c>
      <c r="AA1100" s="36" t="str">
        <f t="shared" si="306"/>
        <v/>
      </c>
      <c r="AB1100" s="27" t="str">
        <f t="shared" si="307"/>
        <v>17%</v>
      </c>
      <c r="AC1100" s="2">
        <f t="shared" si="308"/>
        <v>60</v>
      </c>
      <c r="AD1100" s="37">
        <f t="shared" si="309"/>
        <v>3</v>
      </c>
      <c r="AE1100" t="str">
        <f t="shared" si="310"/>
        <v>魔偶*9</v>
      </c>
      <c r="AF1100" t="str">
        <f t="shared" si="311"/>
        <v>灵能水晶*25</v>
      </c>
      <c r="AG1100" t="str">
        <f t="shared" si="312"/>
        <v/>
      </c>
      <c r="AH1100" t="str">
        <f t="shared" si="313"/>
        <v/>
      </c>
      <c r="AI1100" t="str">
        <f t="shared" si="314"/>
        <v/>
      </c>
      <c r="AJ1100" t="str">
        <f t="shared" si="315"/>
        <v/>
      </c>
      <c r="AK1100" t="str">
        <f t="shared" si="316"/>
        <v/>
      </c>
      <c r="AL1100">
        <f>IFERROR(ROUND(L1100*(G1100/$AU1100)/VLOOKUP(F1100,商品!$A$4:$B$60,2,FALSE),0),"")</f>
        <v>9</v>
      </c>
      <c r="AM1100">
        <f>IFERROR(ROUND(L1100*(I1100/$AU1100)/VLOOKUP(H1100,商品!$A$4:$B$60,2,FALSE),0),"")</f>
        <v>25</v>
      </c>
      <c r="AN1100">
        <f>IFERROR(ROUND(L1100*(J1100/$AU1100)/VLOOKUP("运力",商品!$A$4:$B$60,2,FALSE),0),0)</f>
        <v>0</v>
      </c>
      <c r="AO1100">
        <f>IFERROR(ROUND(L1100*(K1100/$AU1100)/VLOOKUP("交易",商品!$A$4:$B$60,2,FALSE),0),0)</f>
        <v>0</v>
      </c>
      <c r="AP1100" t="str">
        <f>IFERROR(ROUND(S1100*(N1100/$AV1100)/VLOOKUP(M1100,职业!$A$4:$G$16,4,FALSE),0),"")</f>
        <v/>
      </c>
      <c r="AQ1100" t="str">
        <f>IFERROR(ROUND(S1100*(P1100/$AV1100)/VLOOKUP(O1100,职业!$A$4:$G$16,4,FALSE),0),"")</f>
        <v/>
      </c>
      <c r="AR1100" t="str">
        <f>IFERROR(ROUND(S1100*(R1100/$AV1100)/VLOOKUP(Q1100,职业!$A$4:$G$16,4,FALSE),0),"")</f>
        <v/>
      </c>
      <c r="AS1100" t="str">
        <f>IFERROR(ROUND(X1100*(U1100/$AW1100)/VLOOKUP(T1100,商品!$A$4:$B$60,2,FALSE),0),"")</f>
        <v/>
      </c>
      <c r="AT1100" t="str">
        <f>IFERROR(ROUND(X1100*(W1100/$AW1100)/VLOOKUP(V1100,商品!$A$4:$B$60,2,FALSE),0),"")</f>
        <v/>
      </c>
      <c r="AU1100">
        <f t="shared" si="317"/>
        <v>15</v>
      </c>
      <c r="AV1100">
        <f t="shared" si="318"/>
        <v>0</v>
      </c>
      <c r="AW1100">
        <f t="shared" si="319"/>
        <v>0</v>
      </c>
    </row>
    <row r="1101" spans="1:49" ht="19.95" customHeight="1" x14ac:dyDescent="0.25">
      <c r="A1101" s="16" t="s">
        <v>415</v>
      </c>
      <c r="C1101" s="16">
        <v>4</v>
      </c>
      <c r="D1101" s="23" t="s">
        <v>171</v>
      </c>
      <c r="E1101" s="23" t="s">
        <v>177</v>
      </c>
      <c r="F1101" s="2" t="s">
        <v>42</v>
      </c>
      <c r="G1101" s="2">
        <v>5</v>
      </c>
      <c r="H1101" s="2" t="s">
        <v>20</v>
      </c>
      <c r="I1101" s="2">
        <v>10</v>
      </c>
      <c r="L1101" s="15">
        <f>IFERROR(VLOOKUP($D1101&amp;$C1101,生产方式定位!$A$2:$E$38,2,FALSE)+VLOOKUP($E1101&amp;$C1101,生产方式定位!$F$3:$J$38,2,FALSE),0)</f>
        <v>1515</v>
      </c>
      <c r="S1101" s="15">
        <f>IFERROR(VLOOKUP($D1101&amp;$C1101,生产方式定位!$A$2:$E$38,3,FALSE)+VLOOKUP($E1101&amp;$C1101,生产方式定位!$F$3:$J$38,3,FALSE),0)</f>
        <v>145</v>
      </c>
      <c r="X1101" s="15">
        <f>IFERROR(VLOOKUP($D1101&amp;$C1101,生产方式定位!$A$2:$E$38,5,FALSE)+VLOOKUP($E1101&amp;$C1101,生产方式定位!$F$3:$J$38,5,FALSE),"错误")</f>
        <v>1690</v>
      </c>
      <c r="Y1101" s="26" t="str">
        <f t="shared" si="304"/>
        <v>魔偶*13,灵能水晶*34</v>
      </c>
      <c r="Z1101" s="36" t="str">
        <f t="shared" si="305"/>
        <v/>
      </c>
      <c r="AA1101" s="36" t="str">
        <f t="shared" si="306"/>
        <v/>
      </c>
      <c r="AB1101" s="27" t="str">
        <f t="shared" si="307"/>
        <v>12%</v>
      </c>
      <c r="AC1101" s="2">
        <f t="shared" si="308"/>
        <v>30</v>
      </c>
      <c r="AD1101" s="37">
        <f t="shared" si="309"/>
        <v>4</v>
      </c>
      <c r="AE1101" t="str">
        <f t="shared" si="310"/>
        <v>魔偶*13</v>
      </c>
      <c r="AF1101" t="str">
        <f t="shared" si="311"/>
        <v>灵能水晶*34</v>
      </c>
      <c r="AG1101" t="str">
        <f t="shared" si="312"/>
        <v/>
      </c>
      <c r="AH1101" t="str">
        <f t="shared" si="313"/>
        <v/>
      </c>
      <c r="AI1101" t="str">
        <f t="shared" si="314"/>
        <v/>
      </c>
      <c r="AJ1101" t="str">
        <f t="shared" si="315"/>
        <v/>
      </c>
      <c r="AK1101" t="str">
        <f t="shared" si="316"/>
        <v/>
      </c>
      <c r="AL1101">
        <f>IFERROR(ROUND(L1101*(G1101/$AU1101)/VLOOKUP(F1101,商品!$A$4:$B$60,2,FALSE),0),"")</f>
        <v>13</v>
      </c>
      <c r="AM1101">
        <f>IFERROR(ROUND(L1101*(I1101/$AU1101)/VLOOKUP(H1101,商品!$A$4:$B$60,2,FALSE),0),"")</f>
        <v>34</v>
      </c>
      <c r="AN1101">
        <f>IFERROR(ROUND(L1101*(J1101/$AU1101)/VLOOKUP("运力",商品!$A$4:$B$60,2,FALSE),0),0)</f>
        <v>0</v>
      </c>
      <c r="AO1101">
        <f>IFERROR(ROUND(L1101*(K1101/$AU1101)/VLOOKUP("交易",商品!$A$4:$B$60,2,FALSE),0),0)</f>
        <v>0</v>
      </c>
      <c r="AP1101" t="str">
        <f>IFERROR(ROUND(S1101*(N1101/$AV1101)/VLOOKUP(M1101,职业!$A$4:$G$16,4,FALSE),0),"")</f>
        <v/>
      </c>
      <c r="AQ1101" t="str">
        <f>IFERROR(ROUND(S1101*(P1101/$AV1101)/VLOOKUP(O1101,职业!$A$4:$G$16,4,FALSE),0),"")</f>
        <v/>
      </c>
      <c r="AR1101" t="str">
        <f>IFERROR(ROUND(S1101*(R1101/$AV1101)/VLOOKUP(Q1101,职业!$A$4:$G$16,4,FALSE),0),"")</f>
        <v/>
      </c>
      <c r="AS1101" t="str">
        <f>IFERROR(ROUND(X1101*(U1101/$AW1101)/VLOOKUP(T1101,商品!$A$4:$B$60,2,FALSE),0),"")</f>
        <v/>
      </c>
      <c r="AT1101" t="str">
        <f>IFERROR(ROUND(X1101*(W1101/$AW1101)/VLOOKUP(V1101,商品!$A$4:$B$60,2,FALSE),0),"")</f>
        <v/>
      </c>
      <c r="AU1101">
        <f t="shared" si="317"/>
        <v>15</v>
      </c>
      <c r="AV1101">
        <f t="shared" si="318"/>
        <v>0</v>
      </c>
      <c r="AW1101">
        <f t="shared" si="319"/>
        <v>0</v>
      </c>
    </row>
    <row r="1102" spans="1:49" ht="19.95" customHeight="1" x14ac:dyDescent="0.25">
      <c r="A1102" s="16" t="s">
        <v>415</v>
      </c>
      <c r="C1102" s="16">
        <v>5</v>
      </c>
      <c r="D1102" s="23" t="s">
        <v>171</v>
      </c>
      <c r="E1102" s="23" t="s">
        <v>177</v>
      </c>
      <c r="F1102" s="2" t="s">
        <v>42</v>
      </c>
      <c r="G1102" s="2">
        <v>5</v>
      </c>
      <c r="H1102" s="2" t="s">
        <v>20</v>
      </c>
      <c r="I1102" s="2">
        <v>10</v>
      </c>
      <c r="L1102" s="15">
        <f>IFERROR(VLOOKUP($D1102&amp;$C1102,生产方式定位!$A$2:$E$38,2,FALSE)+VLOOKUP($E1102&amp;$C1102,生产方式定位!$F$3:$J$38,2,FALSE),0)</f>
        <v>1920</v>
      </c>
      <c r="S1102" s="15">
        <f>IFERROR(VLOOKUP($D1102&amp;$C1102,生产方式定位!$A$2:$E$38,3,FALSE)+VLOOKUP($E1102&amp;$C1102,生产方式定位!$F$3:$J$38,3,FALSE),0)</f>
        <v>160</v>
      </c>
      <c r="X1102" s="15">
        <f>IFERROR(VLOOKUP($D1102&amp;$C1102,生产方式定位!$A$2:$E$38,5,FALSE)+VLOOKUP($E1102&amp;$C1102,生产方式定位!$F$3:$J$38,5,FALSE),"错误")</f>
        <v>2080</v>
      </c>
      <c r="Y1102" s="26" t="str">
        <f t="shared" si="304"/>
        <v>魔偶*16,灵能水晶*43</v>
      </c>
      <c r="Z1102" s="36" t="str">
        <f t="shared" si="305"/>
        <v/>
      </c>
      <c r="AA1102" s="36" t="str">
        <f t="shared" si="306"/>
        <v/>
      </c>
      <c r="AB1102" s="27" t="str">
        <f t="shared" si="307"/>
        <v>8%</v>
      </c>
      <c r="AC1102" s="2" t="str">
        <f t="shared" si="308"/>
        <v/>
      </c>
      <c r="AD1102" s="37">
        <f t="shared" si="309"/>
        <v>5</v>
      </c>
      <c r="AE1102" t="str">
        <f t="shared" si="310"/>
        <v>魔偶*16</v>
      </c>
      <c r="AF1102" t="str">
        <f t="shared" si="311"/>
        <v>灵能水晶*43</v>
      </c>
      <c r="AG1102" t="str">
        <f t="shared" si="312"/>
        <v/>
      </c>
      <c r="AH1102" t="str">
        <f t="shared" si="313"/>
        <v/>
      </c>
      <c r="AI1102" t="str">
        <f t="shared" si="314"/>
        <v/>
      </c>
      <c r="AJ1102" t="str">
        <f t="shared" si="315"/>
        <v/>
      </c>
      <c r="AK1102" t="str">
        <f t="shared" si="316"/>
        <v/>
      </c>
      <c r="AL1102">
        <f>IFERROR(ROUND(L1102*(G1102/$AU1102)/VLOOKUP(F1102,商品!$A$4:$B$60,2,FALSE),0),"")</f>
        <v>16</v>
      </c>
      <c r="AM1102">
        <f>IFERROR(ROUND(L1102*(I1102/$AU1102)/VLOOKUP(H1102,商品!$A$4:$B$60,2,FALSE),0),"")</f>
        <v>43</v>
      </c>
      <c r="AN1102">
        <f>IFERROR(ROUND(L1102*(J1102/$AU1102)/VLOOKUP("运力",商品!$A$4:$B$60,2,FALSE),0),0)</f>
        <v>0</v>
      </c>
      <c r="AO1102">
        <f>IFERROR(ROUND(L1102*(K1102/$AU1102)/VLOOKUP("交易",商品!$A$4:$B$60,2,FALSE),0),0)</f>
        <v>0</v>
      </c>
      <c r="AP1102" t="str">
        <f>IFERROR(ROUND(S1102*(N1102/$AV1102)/VLOOKUP(M1102,职业!$A$4:$G$16,4,FALSE),0),"")</f>
        <v/>
      </c>
      <c r="AQ1102" t="str">
        <f>IFERROR(ROUND(S1102*(P1102/$AV1102)/VLOOKUP(O1102,职业!$A$4:$G$16,4,FALSE),0),"")</f>
        <v/>
      </c>
      <c r="AR1102" t="str">
        <f>IFERROR(ROUND(S1102*(R1102/$AV1102)/VLOOKUP(Q1102,职业!$A$4:$G$16,4,FALSE),0),"")</f>
        <v/>
      </c>
      <c r="AS1102" t="str">
        <f>IFERROR(ROUND(X1102*(U1102/$AW1102)/VLOOKUP(T1102,商品!$A$4:$B$60,2,FALSE),0),"")</f>
        <v/>
      </c>
      <c r="AT1102" t="str">
        <f>IFERROR(ROUND(X1102*(W1102/$AW1102)/VLOOKUP(V1102,商品!$A$4:$B$60,2,FALSE),0),"")</f>
        <v/>
      </c>
      <c r="AU1102">
        <f t="shared" si="317"/>
        <v>15</v>
      </c>
      <c r="AV1102">
        <f t="shared" si="318"/>
        <v>0</v>
      </c>
      <c r="AW1102">
        <f t="shared" si="319"/>
        <v>0</v>
      </c>
    </row>
    <row r="1103" spans="1:49" ht="19.95" customHeight="1" x14ac:dyDescent="0.25">
      <c r="A1103" s="15" t="s">
        <v>416</v>
      </c>
      <c r="C1103" s="15">
        <v>1</v>
      </c>
      <c r="D1103" s="23" t="s">
        <v>174</v>
      </c>
      <c r="E1103" s="23" t="s">
        <v>179</v>
      </c>
      <c r="L1103" s="16">
        <f>IFERROR(VLOOKUP($D1103&amp;$C1103,生产方式定位!$A$2:$E$38,2,FALSE)+VLOOKUP($E1103&amp;$C1103,生产方式定位!$F$3:$J$38,2,FALSE),0)</f>
        <v>0</v>
      </c>
      <c r="S1103" s="16">
        <f>IFERROR(VLOOKUP($D1103&amp;$C1103,生产方式定位!$A$2:$E$38,3,FALSE)+VLOOKUP($E1103&amp;$C1103,生产方式定位!$F$3:$J$38,3,FALSE),0)</f>
        <v>100</v>
      </c>
      <c r="X1103" s="16">
        <f>IFERROR(VLOOKUP($D1103&amp;$C1103,生产方式定位!$A$2:$E$38,5,FALSE)+VLOOKUP($E1103&amp;$C1103,生产方式定位!$F$3:$J$38,5,FALSE),"错误")</f>
        <v>100</v>
      </c>
      <c r="Y1103" s="26" t="str">
        <f t="shared" si="304"/>
        <v/>
      </c>
      <c r="Z1103" s="36" t="str">
        <f t="shared" si="305"/>
        <v/>
      </c>
      <c r="AA1103" s="36" t="str">
        <f t="shared" si="306"/>
        <v/>
      </c>
      <c r="AB1103" s="27" t="str">
        <f t="shared" si="307"/>
        <v/>
      </c>
      <c r="AC1103" s="2" t="str">
        <f t="shared" si="308"/>
        <v/>
      </c>
      <c r="AD1103" s="38">
        <f t="shared" si="309"/>
        <v>1</v>
      </c>
      <c r="AE1103" t="str">
        <f t="shared" si="310"/>
        <v/>
      </c>
      <c r="AF1103" t="str">
        <f t="shared" si="311"/>
        <v/>
      </c>
      <c r="AG1103" t="str">
        <f t="shared" si="312"/>
        <v/>
      </c>
      <c r="AH1103" t="str">
        <f t="shared" si="313"/>
        <v/>
      </c>
      <c r="AI1103" t="str">
        <f t="shared" si="314"/>
        <v/>
      </c>
      <c r="AJ1103" t="str">
        <f t="shared" si="315"/>
        <v/>
      </c>
      <c r="AK1103" t="str">
        <f t="shared" si="316"/>
        <v/>
      </c>
      <c r="AL1103" t="str">
        <f>IFERROR(ROUND(L1103*(G1103/$AU1103)/VLOOKUP(F1103,商品!$A$4:$B$60,2,FALSE),0),"")</f>
        <v/>
      </c>
      <c r="AM1103" t="str">
        <f>IFERROR(ROUND(L1103*(I1103/$AU1103)/VLOOKUP(H1103,商品!$A$4:$B$60,2,FALSE),0),"")</f>
        <v/>
      </c>
      <c r="AN1103">
        <f>IFERROR(ROUND(L1103*(J1103/$AU1103)/VLOOKUP("运力",商品!$A$4:$B$60,2,FALSE),0),0)</f>
        <v>0</v>
      </c>
      <c r="AO1103">
        <f>IFERROR(ROUND(L1103*(K1103/$AU1103)/VLOOKUP("交易",商品!$A$4:$B$60,2,FALSE),0),0)</f>
        <v>0</v>
      </c>
      <c r="AP1103" t="str">
        <f>IFERROR(ROUND(S1103*(N1103/$AV1103)/VLOOKUP(M1103,职业!$A$4:$G$16,4,FALSE),0),"")</f>
        <v/>
      </c>
      <c r="AQ1103" t="str">
        <f>IFERROR(ROUND(S1103*(P1103/$AV1103)/VLOOKUP(O1103,职业!$A$4:$G$16,4,FALSE),0),"")</f>
        <v/>
      </c>
      <c r="AR1103" t="str">
        <f>IFERROR(ROUND(S1103*(R1103/$AV1103)/VLOOKUP(Q1103,职业!$A$4:$G$16,4,FALSE),0),"")</f>
        <v/>
      </c>
      <c r="AS1103" t="str">
        <f>IFERROR(ROUND(X1103*(U1103/$AW1103)/VLOOKUP(T1103,商品!$A$4:$B$60,2,FALSE),0),"")</f>
        <v/>
      </c>
      <c r="AT1103" t="str">
        <f>IFERROR(ROUND(X1103*(W1103/$AW1103)/VLOOKUP(V1103,商品!$A$4:$B$60,2,FALSE),0),"")</f>
        <v/>
      </c>
      <c r="AU1103">
        <f t="shared" si="317"/>
        <v>0</v>
      </c>
      <c r="AV1103">
        <f t="shared" si="318"/>
        <v>0</v>
      </c>
      <c r="AW1103">
        <f t="shared" si="319"/>
        <v>0</v>
      </c>
    </row>
    <row r="1104" spans="1:49" ht="19.95" customHeight="1" x14ac:dyDescent="0.25">
      <c r="A1104" s="15" t="s">
        <v>416</v>
      </c>
      <c r="C1104" s="15">
        <v>2</v>
      </c>
      <c r="D1104" s="23" t="s">
        <v>174</v>
      </c>
      <c r="E1104" s="23" t="s">
        <v>179</v>
      </c>
      <c r="L1104" s="16">
        <f>IFERROR(VLOOKUP($D1104&amp;$C1104,生产方式定位!$A$2:$E$38,2,FALSE)+VLOOKUP($E1104&amp;$C1104,生产方式定位!$F$3:$J$38,2,FALSE),0)</f>
        <v>0</v>
      </c>
      <c r="S1104" s="16">
        <f>IFERROR(VLOOKUP($D1104&amp;$C1104,生产方式定位!$A$2:$E$38,3,FALSE)+VLOOKUP($E1104&amp;$C1104,生产方式定位!$F$3:$J$38,3,FALSE),0)</f>
        <v>100</v>
      </c>
      <c r="X1104" s="16">
        <f>IFERROR(VLOOKUP($D1104&amp;$C1104,生产方式定位!$A$2:$E$38,5,FALSE)+VLOOKUP($E1104&amp;$C1104,生产方式定位!$F$3:$J$38,5,FALSE),"错误")</f>
        <v>100</v>
      </c>
      <c r="Y1104" s="26" t="str">
        <f t="shared" si="304"/>
        <v/>
      </c>
      <c r="Z1104" s="36" t="str">
        <f t="shared" si="305"/>
        <v/>
      </c>
      <c r="AA1104" s="36" t="str">
        <f t="shared" si="306"/>
        <v/>
      </c>
      <c r="AB1104" s="27" t="str">
        <f t="shared" si="307"/>
        <v/>
      </c>
      <c r="AC1104" s="2" t="str">
        <f t="shared" si="308"/>
        <v/>
      </c>
      <c r="AD1104" s="38">
        <f t="shared" si="309"/>
        <v>2</v>
      </c>
      <c r="AE1104" t="str">
        <f t="shared" si="310"/>
        <v/>
      </c>
      <c r="AF1104" t="str">
        <f t="shared" si="311"/>
        <v/>
      </c>
      <c r="AG1104" t="str">
        <f t="shared" si="312"/>
        <v/>
      </c>
      <c r="AH1104" t="str">
        <f t="shared" si="313"/>
        <v/>
      </c>
      <c r="AI1104" t="str">
        <f t="shared" si="314"/>
        <v/>
      </c>
      <c r="AJ1104" t="str">
        <f t="shared" si="315"/>
        <v/>
      </c>
      <c r="AK1104" t="str">
        <f t="shared" si="316"/>
        <v/>
      </c>
      <c r="AL1104" t="str">
        <f>IFERROR(ROUND(L1104*(G1104/$AU1104)/VLOOKUP(F1104,商品!$A$4:$B$60,2,FALSE),0),"")</f>
        <v/>
      </c>
      <c r="AM1104" t="str">
        <f>IFERROR(ROUND(L1104*(I1104/$AU1104)/VLOOKUP(H1104,商品!$A$4:$B$60,2,FALSE),0),"")</f>
        <v/>
      </c>
      <c r="AN1104">
        <f>IFERROR(ROUND(L1104*(J1104/$AU1104)/VLOOKUP("运力",商品!$A$4:$B$60,2,FALSE),0),0)</f>
        <v>0</v>
      </c>
      <c r="AO1104">
        <f>IFERROR(ROUND(L1104*(K1104/$AU1104)/VLOOKUP("交易",商品!$A$4:$B$60,2,FALSE),0),0)</f>
        <v>0</v>
      </c>
      <c r="AP1104" t="str">
        <f>IFERROR(ROUND(S1104*(N1104/$AV1104)/VLOOKUP(M1104,职业!$A$4:$G$16,4,FALSE),0),"")</f>
        <v/>
      </c>
      <c r="AQ1104" t="str">
        <f>IFERROR(ROUND(S1104*(P1104/$AV1104)/VLOOKUP(O1104,职业!$A$4:$G$16,4,FALSE),0),"")</f>
        <v/>
      </c>
      <c r="AR1104" t="str">
        <f>IFERROR(ROUND(S1104*(R1104/$AV1104)/VLOOKUP(Q1104,职业!$A$4:$G$16,4,FALSE),0),"")</f>
        <v/>
      </c>
      <c r="AS1104" t="str">
        <f>IFERROR(ROUND(X1104*(U1104/$AW1104)/VLOOKUP(T1104,商品!$A$4:$B$60,2,FALSE),0),"")</f>
        <v/>
      </c>
      <c r="AT1104" t="str">
        <f>IFERROR(ROUND(X1104*(W1104/$AW1104)/VLOOKUP(V1104,商品!$A$4:$B$60,2,FALSE),0),"")</f>
        <v/>
      </c>
      <c r="AU1104">
        <f t="shared" si="317"/>
        <v>0</v>
      </c>
      <c r="AV1104">
        <f t="shared" si="318"/>
        <v>0</v>
      </c>
      <c r="AW1104">
        <f t="shared" si="319"/>
        <v>0</v>
      </c>
    </row>
    <row r="1105" spans="1:49" ht="19.95" customHeight="1" x14ac:dyDescent="0.25">
      <c r="A1105" s="15" t="s">
        <v>416</v>
      </c>
      <c r="C1105" s="15">
        <v>3</v>
      </c>
      <c r="D1105" s="23" t="s">
        <v>174</v>
      </c>
      <c r="E1105" s="23" t="s">
        <v>179</v>
      </c>
      <c r="L1105" s="16">
        <f>IFERROR(VLOOKUP($D1105&amp;$C1105,生产方式定位!$A$2:$E$38,2,FALSE)+VLOOKUP($E1105&amp;$C1105,生产方式定位!$F$3:$J$38,2,FALSE),0)</f>
        <v>0</v>
      </c>
      <c r="S1105" s="16">
        <f>IFERROR(VLOOKUP($D1105&amp;$C1105,生产方式定位!$A$2:$E$38,3,FALSE)+VLOOKUP($E1105&amp;$C1105,生产方式定位!$F$3:$J$38,3,FALSE),0)</f>
        <v>100</v>
      </c>
      <c r="X1105" s="16">
        <f>IFERROR(VLOOKUP($D1105&amp;$C1105,生产方式定位!$A$2:$E$38,5,FALSE)+VLOOKUP($E1105&amp;$C1105,生产方式定位!$F$3:$J$38,5,FALSE),"错误")</f>
        <v>100</v>
      </c>
      <c r="Y1105" s="26" t="str">
        <f t="shared" si="304"/>
        <v/>
      </c>
      <c r="Z1105" s="36" t="str">
        <f t="shared" si="305"/>
        <v/>
      </c>
      <c r="AA1105" s="36" t="str">
        <f t="shared" si="306"/>
        <v/>
      </c>
      <c r="AB1105" s="27" t="str">
        <f t="shared" si="307"/>
        <v/>
      </c>
      <c r="AC1105" s="2" t="str">
        <f t="shared" si="308"/>
        <v/>
      </c>
      <c r="AD1105" s="38">
        <f t="shared" si="309"/>
        <v>3</v>
      </c>
      <c r="AE1105" t="str">
        <f t="shared" si="310"/>
        <v/>
      </c>
      <c r="AF1105" t="str">
        <f t="shared" si="311"/>
        <v/>
      </c>
      <c r="AG1105" t="str">
        <f t="shared" si="312"/>
        <v/>
      </c>
      <c r="AH1105" t="str">
        <f t="shared" si="313"/>
        <v/>
      </c>
      <c r="AI1105" t="str">
        <f t="shared" si="314"/>
        <v/>
      </c>
      <c r="AJ1105" t="str">
        <f t="shared" si="315"/>
        <v/>
      </c>
      <c r="AK1105" t="str">
        <f t="shared" si="316"/>
        <v/>
      </c>
      <c r="AL1105" t="str">
        <f>IFERROR(ROUND(L1105*(G1105/$AU1105)/VLOOKUP(F1105,商品!$A$4:$B$60,2,FALSE),0),"")</f>
        <v/>
      </c>
      <c r="AM1105" t="str">
        <f>IFERROR(ROUND(L1105*(I1105/$AU1105)/VLOOKUP(H1105,商品!$A$4:$B$60,2,FALSE),0),"")</f>
        <v/>
      </c>
      <c r="AN1105">
        <f>IFERROR(ROUND(L1105*(J1105/$AU1105)/VLOOKUP("运力",商品!$A$4:$B$60,2,FALSE),0),0)</f>
        <v>0</v>
      </c>
      <c r="AO1105">
        <f>IFERROR(ROUND(L1105*(K1105/$AU1105)/VLOOKUP("交易",商品!$A$4:$B$60,2,FALSE),0),0)</f>
        <v>0</v>
      </c>
      <c r="AP1105" t="str">
        <f>IFERROR(ROUND(S1105*(N1105/$AV1105)/VLOOKUP(M1105,职业!$A$4:$G$16,4,FALSE),0),"")</f>
        <v/>
      </c>
      <c r="AQ1105" t="str">
        <f>IFERROR(ROUND(S1105*(P1105/$AV1105)/VLOOKUP(O1105,职业!$A$4:$G$16,4,FALSE),0),"")</f>
        <v/>
      </c>
      <c r="AR1105" t="str">
        <f>IFERROR(ROUND(S1105*(R1105/$AV1105)/VLOOKUP(Q1105,职业!$A$4:$G$16,4,FALSE),0),"")</f>
        <v/>
      </c>
      <c r="AS1105" t="str">
        <f>IFERROR(ROUND(X1105*(U1105/$AW1105)/VLOOKUP(T1105,商品!$A$4:$B$60,2,FALSE),0),"")</f>
        <v/>
      </c>
      <c r="AT1105" t="str">
        <f>IFERROR(ROUND(X1105*(W1105/$AW1105)/VLOOKUP(V1105,商品!$A$4:$B$60,2,FALSE),0),"")</f>
        <v/>
      </c>
      <c r="AU1105">
        <f t="shared" si="317"/>
        <v>0</v>
      </c>
      <c r="AV1105">
        <f t="shared" si="318"/>
        <v>0</v>
      </c>
      <c r="AW1105">
        <f t="shared" si="319"/>
        <v>0</v>
      </c>
    </row>
    <row r="1106" spans="1:49" ht="19.95" customHeight="1" x14ac:dyDescent="0.25">
      <c r="A1106" s="15" t="s">
        <v>416</v>
      </c>
      <c r="C1106" s="15">
        <v>4</v>
      </c>
      <c r="D1106" s="23" t="s">
        <v>174</v>
      </c>
      <c r="E1106" s="23" t="s">
        <v>179</v>
      </c>
      <c r="L1106" s="16">
        <f>IFERROR(VLOOKUP($D1106&amp;$C1106,生产方式定位!$A$2:$E$38,2,FALSE)+VLOOKUP($E1106&amp;$C1106,生产方式定位!$F$3:$J$38,2,FALSE),0)</f>
        <v>0</v>
      </c>
      <c r="S1106" s="16">
        <f>IFERROR(VLOOKUP($D1106&amp;$C1106,生产方式定位!$A$2:$E$38,3,FALSE)+VLOOKUP($E1106&amp;$C1106,生产方式定位!$F$3:$J$38,3,FALSE),0)</f>
        <v>100</v>
      </c>
      <c r="X1106" s="16">
        <f>IFERROR(VLOOKUP($D1106&amp;$C1106,生产方式定位!$A$2:$E$38,5,FALSE)+VLOOKUP($E1106&amp;$C1106,生产方式定位!$F$3:$J$38,5,FALSE),"错误")</f>
        <v>100</v>
      </c>
      <c r="Y1106" s="26" t="str">
        <f t="shared" si="304"/>
        <v/>
      </c>
      <c r="Z1106" s="36" t="str">
        <f t="shared" si="305"/>
        <v/>
      </c>
      <c r="AA1106" s="36" t="str">
        <f t="shared" si="306"/>
        <v/>
      </c>
      <c r="AB1106" s="27" t="str">
        <f t="shared" si="307"/>
        <v/>
      </c>
      <c r="AC1106" s="2" t="str">
        <f t="shared" si="308"/>
        <v/>
      </c>
      <c r="AD1106" s="38">
        <f t="shared" si="309"/>
        <v>4</v>
      </c>
      <c r="AE1106" t="str">
        <f t="shared" si="310"/>
        <v/>
      </c>
      <c r="AF1106" t="str">
        <f t="shared" si="311"/>
        <v/>
      </c>
      <c r="AG1106" t="str">
        <f t="shared" si="312"/>
        <v/>
      </c>
      <c r="AH1106" t="str">
        <f t="shared" si="313"/>
        <v/>
      </c>
      <c r="AI1106" t="str">
        <f t="shared" si="314"/>
        <v/>
      </c>
      <c r="AJ1106" t="str">
        <f t="shared" si="315"/>
        <v/>
      </c>
      <c r="AK1106" t="str">
        <f t="shared" si="316"/>
        <v/>
      </c>
      <c r="AL1106" t="str">
        <f>IFERROR(ROUND(L1106*(G1106/$AU1106)/VLOOKUP(F1106,商品!$A$4:$B$60,2,FALSE),0),"")</f>
        <v/>
      </c>
      <c r="AM1106" t="str">
        <f>IFERROR(ROUND(L1106*(I1106/$AU1106)/VLOOKUP(H1106,商品!$A$4:$B$60,2,FALSE),0),"")</f>
        <v/>
      </c>
      <c r="AN1106">
        <f>IFERROR(ROUND(L1106*(J1106/$AU1106)/VLOOKUP("运力",商品!$A$4:$B$60,2,FALSE),0),0)</f>
        <v>0</v>
      </c>
      <c r="AO1106">
        <f>IFERROR(ROUND(L1106*(K1106/$AU1106)/VLOOKUP("交易",商品!$A$4:$B$60,2,FALSE),0),0)</f>
        <v>0</v>
      </c>
      <c r="AP1106" t="str">
        <f>IFERROR(ROUND(S1106*(N1106/$AV1106)/VLOOKUP(M1106,职业!$A$4:$G$16,4,FALSE),0),"")</f>
        <v/>
      </c>
      <c r="AQ1106" t="str">
        <f>IFERROR(ROUND(S1106*(P1106/$AV1106)/VLOOKUP(O1106,职业!$A$4:$G$16,4,FALSE),0),"")</f>
        <v/>
      </c>
      <c r="AR1106" t="str">
        <f>IFERROR(ROUND(S1106*(R1106/$AV1106)/VLOOKUP(Q1106,职业!$A$4:$G$16,4,FALSE),0),"")</f>
        <v/>
      </c>
      <c r="AS1106" t="str">
        <f>IFERROR(ROUND(X1106*(U1106/$AW1106)/VLOOKUP(T1106,商品!$A$4:$B$60,2,FALSE),0),"")</f>
        <v/>
      </c>
      <c r="AT1106" t="str">
        <f>IFERROR(ROUND(X1106*(W1106/$AW1106)/VLOOKUP(V1106,商品!$A$4:$B$60,2,FALSE),0),"")</f>
        <v/>
      </c>
      <c r="AU1106">
        <f t="shared" si="317"/>
        <v>0</v>
      </c>
      <c r="AV1106">
        <f t="shared" si="318"/>
        <v>0</v>
      </c>
      <c r="AW1106">
        <f t="shared" si="319"/>
        <v>0</v>
      </c>
    </row>
    <row r="1107" spans="1:49" ht="19.95" customHeight="1" x14ac:dyDescent="0.25">
      <c r="A1107" s="15" t="s">
        <v>416</v>
      </c>
      <c r="C1107" s="15">
        <v>5</v>
      </c>
      <c r="D1107" s="23" t="s">
        <v>174</v>
      </c>
      <c r="E1107" s="23" t="s">
        <v>179</v>
      </c>
      <c r="L1107" s="16">
        <f>IFERROR(VLOOKUP($D1107&amp;$C1107,生产方式定位!$A$2:$E$38,2,FALSE)+VLOOKUP($E1107&amp;$C1107,生产方式定位!$F$3:$J$38,2,FALSE),0)</f>
        <v>0</v>
      </c>
      <c r="S1107" s="16">
        <f>IFERROR(VLOOKUP($D1107&amp;$C1107,生产方式定位!$A$2:$E$38,3,FALSE)+VLOOKUP($E1107&amp;$C1107,生产方式定位!$F$3:$J$38,3,FALSE),0)</f>
        <v>100</v>
      </c>
      <c r="X1107" s="16">
        <f>IFERROR(VLOOKUP($D1107&amp;$C1107,生产方式定位!$A$2:$E$38,5,FALSE)+VLOOKUP($E1107&amp;$C1107,生产方式定位!$F$3:$J$38,5,FALSE),"错误")</f>
        <v>100</v>
      </c>
      <c r="Y1107" s="26" t="str">
        <f t="shared" si="304"/>
        <v/>
      </c>
      <c r="Z1107" s="36" t="str">
        <f t="shared" si="305"/>
        <v/>
      </c>
      <c r="AA1107" s="36" t="str">
        <f t="shared" si="306"/>
        <v/>
      </c>
      <c r="AB1107" s="27" t="str">
        <f t="shared" si="307"/>
        <v/>
      </c>
      <c r="AC1107" s="2" t="str">
        <f t="shared" si="308"/>
        <v/>
      </c>
      <c r="AD1107" s="38">
        <f t="shared" si="309"/>
        <v>5</v>
      </c>
      <c r="AE1107" t="str">
        <f t="shared" si="310"/>
        <v/>
      </c>
      <c r="AF1107" t="str">
        <f t="shared" si="311"/>
        <v/>
      </c>
      <c r="AG1107" t="str">
        <f t="shared" si="312"/>
        <v/>
      </c>
      <c r="AH1107" t="str">
        <f t="shared" si="313"/>
        <v/>
      </c>
      <c r="AI1107" t="str">
        <f t="shared" si="314"/>
        <v/>
      </c>
      <c r="AJ1107" t="str">
        <f t="shared" si="315"/>
        <v/>
      </c>
      <c r="AK1107" t="str">
        <f t="shared" si="316"/>
        <v/>
      </c>
      <c r="AL1107" t="str">
        <f>IFERROR(ROUND(L1107*(G1107/$AU1107)/VLOOKUP(F1107,商品!$A$4:$B$60,2,FALSE),0),"")</f>
        <v/>
      </c>
      <c r="AM1107" t="str">
        <f>IFERROR(ROUND(L1107*(I1107/$AU1107)/VLOOKUP(H1107,商品!$A$4:$B$60,2,FALSE),0),"")</f>
        <v/>
      </c>
      <c r="AN1107">
        <f>IFERROR(ROUND(L1107*(J1107/$AU1107)/VLOOKUP("运力",商品!$A$4:$B$60,2,FALSE),0),0)</f>
        <v>0</v>
      </c>
      <c r="AO1107">
        <f>IFERROR(ROUND(L1107*(K1107/$AU1107)/VLOOKUP("交易",商品!$A$4:$B$60,2,FALSE),0),0)</f>
        <v>0</v>
      </c>
      <c r="AP1107" t="str">
        <f>IFERROR(ROUND(S1107*(N1107/$AV1107)/VLOOKUP(M1107,职业!$A$4:$G$16,4,FALSE),0),"")</f>
        <v/>
      </c>
      <c r="AQ1107" t="str">
        <f>IFERROR(ROUND(S1107*(P1107/$AV1107)/VLOOKUP(O1107,职业!$A$4:$G$16,4,FALSE),0),"")</f>
        <v/>
      </c>
      <c r="AR1107" t="str">
        <f>IFERROR(ROUND(S1107*(R1107/$AV1107)/VLOOKUP(Q1107,职业!$A$4:$G$16,4,FALSE),0),"")</f>
        <v/>
      </c>
      <c r="AS1107" t="str">
        <f>IFERROR(ROUND(X1107*(U1107/$AW1107)/VLOOKUP(T1107,商品!$A$4:$B$60,2,FALSE),0),"")</f>
        <v/>
      </c>
      <c r="AT1107" t="str">
        <f>IFERROR(ROUND(X1107*(W1107/$AW1107)/VLOOKUP(V1107,商品!$A$4:$B$60,2,FALSE),0),"")</f>
        <v/>
      </c>
      <c r="AU1107">
        <f t="shared" si="317"/>
        <v>0</v>
      </c>
      <c r="AV1107">
        <f t="shared" si="318"/>
        <v>0</v>
      </c>
      <c r="AW1107">
        <f t="shared" si="319"/>
        <v>0</v>
      </c>
    </row>
    <row r="1108" spans="1:49" ht="19.95" customHeight="1" x14ac:dyDescent="0.25">
      <c r="A1108" s="15" t="s">
        <v>416</v>
      </c>
      <c r="C1108" s="15">
        <v>6</v>
      </c>
      <c r="D1108" s="23" t="s">
        <v>174</v>
      </c>
      <c r="E1108" s="23" t="s">
        <v>179</v>
      </c>
      <c r="L1108" s="16">
        <f>IFERROR(VLOOKUP($D1108&amp;$C1108,生产方式定位!$A$2:$E$38,2,FALSE)+VLOOKUP($E1108&amp;$C1108,生产方式定位!$F$3:$J$38,2,FALSE),0)</f>
        <v>0</v>
      </c>
      <c r="S1108" s="16">
        <f>IFERROR(VLOOKUP($D1108&amp;$C1108,生产方式定位!$A$2:$E$38,3,FALSE)+VLOOKUP($E1108&amp;$C1108,生产方式定位!$F$3:$J$38,3,FALSE),0)</f>
        <v>100</v>
      </c>
      <c r="X1108" s="16">
        <f>IFERROR(VLOOKUP($D1108&amp;$C1108,生产方式定位!$A$2:$E$38,5,FALSE)+VLOOKUP($E1108&amp;$C1108,生产方式定位!$F$3:$J$38,5,FALSE),"错误")</f>
        <v>100</v>
      </c>
      <c r="Y1108" s="26" t="str">
        <f t="shared" si="304"/>
        <v/>
      </c>
      <c r="Z1108" s="36" t="str">
        <f t="shared" si="305"/>
        <v/>
      </c>
      <c r="AA1108" s="36" t="str">
        <f t="shared" si="306"/>
        <v/>
      </c>
      <c r="AB1108" s="27" t="str">
        <f t="shared" si="307"/>
        <v/>
      </c>
      <c r="AC1108" s="2" t="str">
        <f t="shared" si="308"/>
        <v/>
      </c>
      <c r="AD1108" s="37">
        <f t="shared" si="309"/>
        <v>6</v>
      </c>
      <c r="AE1108" t="str">
        <f t="shared" si="310"/>
        <v/>
      </c>
      <c r="AF1108" t="str">
        <f t="shared" si="311"/>
        <v/>
      </c>
      <c r="AG1108" t="str">
        <f t="shared" si="312"/>
        <v/>
      </c>
      <c r="AH1108" t="str">
        <f t="shared" si="313"/>
        <v/>
      </c>
      <c r="AI1108" t="str">
        <f t="shared" si="314"/>
        <v/>
      </c>
      <c r="AJ1108" t="str">
        <f t="shared" si="315"/>
        <v/>
      </c>
      <c r="AK1108" t="str">
        <f t="shared" si="316"/>
        <v/>
      </c>
      <c r="AL1108" t="str">
        <f>IFERROR(ROUND(L1108*(G1108/$AU1108)/VLOOKUP(F1108,商品!$A$4:$B$60,2,FALSE),0),"")</f>
        <v/>
      </c>
      <c r="AM1108" t="str">
        <f>IFERROR(ROUND(L1108*(I1108/$AU1108)/VLOOKUP(H1108,商品!$A$4:$B$60,2,FALSE),0),"")</f>
        <v/>
      </c>
      <c r="AN1108">
        <f>IFERROR(ROUND(L1108*(J1108/$AU1108)/VLOOKUP("运力",商品!$A$4:$B$60,2,FALSE),0),0)</f>
        <v>0</v>
      </c>
      <c r="AO1108">
        <f>IFERROR(ROUND(L1108*(K1108/$AU1108)/VLOOKUP("交易",商品!$A$4:$B$60,2,FALSE),0),0)</f>
        <v>0</v>
      </c>
      <c r="AP1108" t="str">
        <f>IFERROR(ROUND(S1108*(N1108/$AV1108)/VLOOKUP(M1108,职业!$A$4:$G$16,4,FALSE),0),"")</f>
        <v/>
      </c>
      <c r="AQ1108" t="str">
        <f>IFERROR(ROUND(S1108*(P1108/$AV1108)/VLOOKUP(O1108,职业!$A$4:$G$16,4,FALSE),0),"")</f>
        <v/>
      </c>
      <c r="AR1108" t="str">
        <f>IFERROR(ROUND(S1108*(R1108/$AV1108)/VLOOKUP(Q1108,职业!$A$4:$G$16,4,FALSE),0),"")</f>
        <v/>
      </c>
      <c r="AS1108" t="str">
        <f>IFERROR(ROUND(X1108*(U1108/$AW1108)/VLOOKUP(T1108,商品!$A$4:$B$60,2,FALSE),0),"")</f>
        <v/>
      </c>
      <c r="AT1108" t="str">
        <f>IFERROR(ROUND(X1108*(W1108/$AW1108)/VLOOKUP(V1108,商品!$A$4:$B$60,2,FALSE),0),"")</f>
        <v/>
      </c>
      <c r="AU1108">
        <f t="shared" si="317"/>
        <v>0</v>
      </c>
      <c r="AV1108">
        <f t="shared" si="318"/>
        <v>0</v>
      </c>
      <c r="AW1108">
        <f t="shared" si="319"/>
        <v>0</v>
      </c>
    </row>
    <row r="1109" spans="1:49" ht="19.95" customHeight="1" x14ac:dyDescent="0.25">
      <c r="A1109" s="15" t="s">
        <v>416</v>
      </c>
      <c r="C1109" s="15">
        <v>7</v>
      </c>
      <c r="D1109" s="23" t="s">
        <v>174</v>
      </c>
      <c r="E1109" s="23" t="s">
        <v>179</v>
      </c>
      <c r="L1109" s="16">
        <f>IFERROR(VLOOKUP($D1109&amp;$C1109,生产方式定位!$A$2:$E$38,2,FALSE)+VLOOKUP($E1109&amp;$C1109,生产方式定位!$F$3:$J$38,2,FALSE),0)</f>
        <v>0</v>
      </c>
      <c r="S1109" s="16">
        <f>IFERROR(VLOOKUP($D1109&amp;$C1109,生产方式定位!$A$2:$E$38,3,FALSE)+VLOOKUP($E1109&amp;$C1109,生产方式定位!$F$3:$J$38,3,FALSE),0)</f>
        <v>100</v>
      </c>
      <c r="X1109" s="16">
        <f>IFERROR(VLOOKUP($D1109&amp;$C1109,生产方式定位!$A$2:$E$38,5,FALSE)+VLOOKUP($E1109&amp;$C1109,生产方式定位!$F$3:$J$38,5,FALSE),"错误")</f>
        <v>100</v>
      </c>
      <c r="Y1109" s="26" t="str">
        <f t="shared" si="304"/>
        <v/>
      </c>
      <c r="Z1109" s="36" t="str">
        <f t="shared" si="305"/>
        <v/>
      </c>
      <c r="AA1109" s="36" t="str">
        <f t="shared" si="306"/>
        <v/>
      </c>
      <c r="AB1109" s="27" t="str">
        <f t="shared" si="307"/>
        <v/>
      </c>
      <c r="AC1109" s="2" t="str">
        <f t="shared" si="308"/>
        <v/>
      </c>
      <c r="AD1109" s="37">
        <f t="shared" si="309"/>
        <v>7</v>
      </c>
      <c r="AE1109" t="str">
        <f t="shared" si="310"/>
        <v/>
      </c>
      <c r="AF1109" t="str">
        <f t="shared" si="311"/>
        <v/>
      </c>
      <c r="AG1109" t="str">
        <f t="shared" si="312"/>
        <v/>
      </c>
      <c r="AH1109" t="str">
        <f t="shared" si="313"/>
        <v/>
      </c>
      <c r="AI1109" t="str">
        <f t="shared" si="314"/>
        <v/>
      </c>
      <c r="AJ1109" t="str">
        <f t="shared" si="315"/>
        <v/>
      </c>
      <c r="AK1109" t="str">
        <f t="shared" si="316"/>
        <v/>
      </c>
      <c r="AL1109" t="str">
        <f>IFERROR(ROUND(L1109*(G1109/$AU1109)/VLOOKUP(F1109,商品!$A$4:$B$60,2,FALSE),0),"")</f>
        <v/>
      </c>
      <c r="AM1109" t="str">
        <f>IFERROR(ROUND(L1109*(I1109/$AU1109)/VLOOKUP(H1109,商品!$A$4:$B$60,2,FALSE),0),"")</f>
        <v/>
      </c>
      <c r="AN1109">
        <f>IFERROR(ROUND(L1109*(J1109/$AU1109)/VLOOKUP("运力",商品!$A$4:$B$60,2,FALSE),0),0)</f>
        <v>0</v>
      </c>
      <c r="AO1109">
        <f>IFERROR(ROUND(L1109*(K1109/$AU1109)/VLOOKUP("交易",商品!$A$4:$B$60,2,FALSE),0),0)</f>
        <v>0</v>
      </c>
      <c r="AP1109" t="str">
        <f>IFERROR(ROUND(S1109*(N1109/$AV1109)/VLOOKUP(M1109,职业!$A$4:$G$16,4,FALSE),0),"")</f>
        <v/>
      </c>
      <c r="AQ1109" t="str">
        <f>IFERROR(ROUND(S1109*(P1109/$AV1109)/VLOOKUP(O1109,职业!$A$4:$G$16,4,FALSE),0),"")</f>
        <v/>
      </c>
      <c r="AR1109" t="str">
        <f>IFERROR(ROUND(S1109*(R1109/$AV1109)/VLOOKUP(Q1109,职业!$A$4:$G$16,4,FALSE),0),"")</f>
        <v/>
      </c>
      <c r="AS1109" t="str">
        <f>IFERROR(ROUND(X1109*(U1109/$AW1109)/VLOOKUP(T1109,商品!$A$4:$B$60,2,FALSE),0),"")</f>
        <v/>
      </c>
      <c r="AT1109" t="str">
        <f>IFERROR(ROUND(X1109*(W1109/$AW1109)/VLOOKUP(V1109,商品!$A$4:$B$60,2,FALSE),0),"")</f>
        <v/>
      </c>
      <c r="AU1109">
        <f t="shared" si="317"/>
        <v>0</v>
      </c>
      <c r="AV1109">
        <f t="shared" si="318"/>
        <v>0</v>
      </c>
      <c r="AW1109">
        <f t="shared" si="319"/>
        <v>0</v>
      </c>
    </row>
    <row r="1110" spans="1:49" ht="19.95" customHeight="1" x14ac:dyDescent="0.25">
      <c r="A1110" s="15" t="s">
        <v>416</v>
      </c>
      <c r="C1110" s="15">
        <v>8</v>
      </c>
      <c r="D1110" s="23" t="s">
        <v>174</v>
      </c>
      <c r="E1110" s="23" t="s">
        <v>179</v>
      </c>
      <c r="L1110" s="16">
        <f>IFERROR(VLOOKUP($D1110&amp;$C1110,生产方式定位!$A$2:$E$38,2,FALSE)+VLOOKUP($E1110&amp;$C1110,生产方式定位!$F$3:$J$38,2,FALSE),0)</f>
        <v>0</v>
      </c>
      <c r="S1110" s="16">
        <f>IFERROR(VLOOKUP($D1110&amp;$C1110,生产方式定位!$A$2:$E$38,3,FALSE)+VLOOKUP($E1110&amp;$C1110,生产方式定位!$F$3:$J$38,3,FALSE),0)</f>
        <v>100</v>
      </c>
      <c r="X1110" s="16">
        <f>IFERROR(VLOOKUP($D1110&amp;$C1110,生产方式定位!$A$2:$E$38,5,FALSE)+VLOOKUP($E1110&amp;$C1110,生产方式定位!$F$3:$J$38,5,FALSE),"错误")</f>
        <v>100</v>
      </c>
      <c r="Y1110" s="26" t="str">
        <f t="shared" si="304"/>
        <v/>
      </c>
      <c r="Z1110" s="36" t="str">
        <f t="shared" si="305"/>
        <v/>
      </c>
      <c r="AA1110" s="36" t="str">
        <f t="shared" si="306"/>
        <v/>
      </c>
      <c r="AB1110" s="27" t="str">
        <f t="shared" si="307"/>
        <v/>
      </c>
      <c r="AC1110" s="2" t="str">
        <f t="shared" si="308"/>
        <v/>
      </c>
      <c r="AD1110" s="37">
        <f t="shared" si="309"/>
        <v>8</v>
      </c>
      <c r="AE1110" t="str">
        <f t="shared" si="310"/>
        <v/>
      </c>
      <c r="AF1110" t="str">
        <f t="shared" si="311"/>
        <v/>
      </c>
      <c r="AG1110" t="str">
        <f t="shared" si="312"/>
        <v/>
      </c>
      <c r="AH1110" t="str">
        <f t="shared" si="313"/>
        <v/>
      </c>
      <c r="AI1110" t="str">
        <f t="shared" si="314"/>
        <v/>
      </c>
      <c r="AJ1110" t="str">
        <f t="shared" si="315"/>
        <v/>
      </c>
      <c r="AK1110" t="str">
        <f t="shared" si="316"/>
        <v/>
      </c>
      <c r="AL1110" t="str">
        <f>IFERROR(ROUND(L1110*(G1110/$AU1110)/VLOOKUP(F1110,商品!$A$4:$B$60,2,FALSE),0),"")</f>
        <v/>
      </c>
      <c r="AM1110" t="str">
        <f>IFERROR(ROUND(L1110*(I1110/$AU1110)/VLOOKUP(H1110,商品!$A$4:$B$60,2,FALSE),0),"")</f>
        <v/>
      </c>
      <c r="AN1110">
        <f>IFERROR(ROUND(L1110*(J1110/$AU1110)/VLOOKUP("运力",商品!$A$4:$B$60,2,FALSE),0),0)</f>
        <v>0</v>
      </c>
      <c r="AO1110">
        <f>IFERROR(ROUND(L1110*(K1110/$AU1110)/VLOOKUP("交易",商品!$A$4:$B$60,2,FALSE),0),0)</f>
        <v>0</v>
      </c>
      <c r="AP1110" t="str">
        <f>IFERROR(ROUND(S1110*(N1110/$AV1110)/VLOOKUP(M1110,职业!$A$4:$G$16,4,FALSE),0),"")</f>
        <v/>
      </c>
      <c r="AQ1110" t="str">
        <f>IFERROR(ROUND(S1110*(P1110/$AV1110)/VLOOKUP(O1110,职业!$A$4:$G$16,4,FALSE),0),"")</f>
        <v/>
      </c>
      <c r="AR1110" t="str">
        <f>IFERROR(ROUND(S1110*(R1110/$AV1110)/VLOOKUP(Q1110,职业!$A$4:$G$16,4,FALSE),0),"")</f>
        <v/>
      </c>
      <c r="AS1110" t="str">
        <f>IFERROR(ROUND(X1110*(U1110/$AW1110)/VLOOKUP(T1110,商品!$A$4:$B$60,2,FALSE),0),"")</f>
        <v/>
      </c>
      <c r="AT1110" t="str">
        <f>IFERROR(ROUND(X1110*(W1110/$AW1110)/VLOOKUP(V1110,商品!$A$4:$B$60,2,FALSE),0),"")</f>
        <v/>
      </c>
      <c r="AU1110">
        <f t="shared" si="317"/>
        <v>0</v>
      </c>
      <c r="AV1110">
        <f t="shared" si="318"/>
        <v>0</v>
      </c>
      <c r="AW1110">
        <f t="shared" si="319"/>
        <v>0</v>
      </c>
    </row>
    <row r="1111" spans="1:49" ht="19.95" customHeight="1" x14ac:dyDescent="0.25">
      <c r="A1111" s="16" t="s">
        <v>418</v>
      </c>
      <c r="C1111" s="16">
        <v>1</v>
      </c>
      <c r="D1111" s="23" t="s">
        <v>171</v>
      </c>
      <c r="E1111" s="23" t="s">
        <v>175</v>
      </c>
      <c r="L1111" s="15">
        <f>IFERROR(VLOOKUP($D1111&amp;$C1111,生产方式定位!$A$2:$E$38,2,FALSE)+VLOOKUP($E1111&amp;$C1111,生产方式定位!$F$3:$J$38,2,FALSE),0)</f>
        <v>300</v>
      </c>
      <c r="S1111" s="15">
        <f>IFERROR(VLOOKUP($D1111&amp;$C1111,生产方式定位!$A$2:$E$38,3,FALSE)+VLOOKUP($E1111&amp;$C1111,生产方式定位!$F$3:$J$38,3,FALSE),0)</f>
        <v>100</v>
      </c>
      <c r="X1111" s="15">
        <f>IFERROR(VLOOKUP($D1111&amp;$C1111,生产方式定位!$A$2:$E$38,5,FALSE)+VLOOKUP($E1111&amp;$C1111,生产方式定位!$F$3:$J$38,5,FALSE),"错误")</f>
        <v>520</v>
      </c>
      <c r="Y1111" s="26" t="str">
        <f t="shared" si="304"/>
        <v/>
      </c>
      <c r="Z1111" s="36" t="str">
        <f t="shared" si="305"/>
        <v/>
      </c>
      <c r="AA1111" s="36" t="str">
        <f t="shared" si="306"/>
        <v/>
      </c>
      <c r="AB1111" s="27" t="str">
        <f t="shared" si="307"/>
        <v>73%</v>
      </c>
      <c r="AC1111" s="2">
        <f t="shared" si="308"/>
        <v>120</v>
      </c>
      <c r="AD1111" s="37">
        <f t="shared" si="309"/>
        <v>1</v>
      </c>
      <c r="AE1111" t="str">
        <f t="shared" si="310"/>
        <v/>
      </c>
      <c r="AF1111" t="str">
        <f t="shared" si="311"/>
        <v/>
      </c>
      <c r="AG1111" t="str">
        <f t="shared" si="312"/>
        <v/>
      </c>
      <c r="AH1111" t="str">
        <f t="shared" si="313"/>
        <v/>
      </c>
      <c r="AI1111" t="str">
        <f t="shared" si="314"/>
        <v/>
      </c>
      <c r="AJ1111" t="str">
        <f t="shared" si="315"/>
        <v/>
      </c>
      <c r="AK1111" t="str">
        <f t="shared" si="316"/>
        <v/>
      </c>
      <c r="AL1111" t="str">
        <f>IFERROR(ROUND(L1111*(G1111/$AU1111)/VLOOKUP(F1111,商品!$A$4:$B$60,2,FALSE),0),"")</f>
        <v/>
      </c>
      <c r="AM1111" t="str">
        <f>IFERROR(ROUND(L1111*(I1111/$AU1111)/VLOOKUP(H1111,商品!$A$4:$B$60,2,FALSE),0),"")</f>
        <v/>
      </c>
      <c r="AN1111">
        <f>IFERROR(ROUND(L1111*(J1111/$AU1111)/VLOOKUP("运力",商品!$A$4:$B$60,2,FALSE),0),0)</f>
        <v>0</v>
      </c>
      <c r="AO1111">
        <f>IFERROR(ROUND(L1111*(K1111/$AU1111)/VLOOKUP("交易",商品!$A$4:$B$60,2,FALSE),0),0)</f>
        <v>0</v>
      </c>
      <c r="AP1111" t="str">
        <f>IFERROR(ROUND(S1111*(N1111/$AV1111)/VLOOKUP(M1111,职业!$A$4:$G$16,4,FALSE),0),"")</f>
        <v/>
      </c>
      <c r="AQ1111" t="str">
        <f>IFERROR(ROUND(S1111*(P1111/$AV1111)/VLOOKUP(O1111,职业!$A$4:$G$16,4,FALSE),0),"")</f>
        <v/>
      </c>
      <c r="AR1111" t="str">
        <f>IFERROR(ROUND(S1111*(R1111/$AV1111)/VLOOKUP(Q1111,职业!$A$4:$G$16,4,FALSE),0),"")</f>
        <v/>
      </c>
      <c r="AS1111" t="str">
        <f>IFERROR(ROUND(X1111*(U1111/$AW1111)/VLOOKUP(T1111,商品!$A$4:$B$60,2,FALSE),0),"")</f>
        <v/>
      </c>
      <c r="AT1111" t="str">
        <f>IFERROR(ROUND(X1111*(W1111/$AW1111)/VLOOKUP(V1111,商品!$A$4:$B$60,2,FALSE),0),"")</f>
        <v/>
      </c>
      <c r="AU1111">
        <f t="shared" si="317"/>
        <v>0</v>
      </c>
      <c r="AV1111">
        <f t="shared" si="318"/>
        <v>0</v>
      </c>
      <c r="AW1111">
        <f t="shared" si="319"/>
        <v>0</v>
      </c>
    </row>
    <row r="1112" spans="1:49" ht="19.95" customHeight="1" x14ac:dyDescent="0.25">
      <c r="A1112" s="16" t="s">
        <v>418</v>
      </c>
      <c r="C1112" s="16">
        <v>2</v>
      </c>
      <c r="D1112" s="23" t="s">
        <v>171</v>
      </c>
      <c r="E1112" s="23" t="s">
        <v>175</v>
      </c>
      <c r="F1112" s="2" t="s">
        <v>41</v>
      </c>
      <c r="G1112" s="2">
        <v>10</v>
      </c>
      <c r="L1112" s="15">
        <f>IFERROR(VLOOKUP($D1112&amp;$C1112,生产方式定位!$A$2:$E$38,2,FALSE)+VLOOKUP($E1112&amp;$C1112,生产方式定位!$F$3:$J$38,2,FALSE),0)</f>
        <v>650</v>
      </c>
      <c r="S1112" s="15">
        <f>IFERROR(VLOOKUP($D1112&amp;$C1112,生产方式定位!$A$2:$E$38,3,FALSE)+VLOOKUP($E1112&amp;$C1112,生产方式定位!$F$3:$J$38,3,FALSE),0)</f>
        <v>110</v>
      </c>
      <c r="X1112" s="15">
        <f>IFERROR(VLOOKUP($D1112&amp;$C1112,生产方式定位!$A$2:$E$38,5,FALSE)+VLOOKUP($E1112&amp;$C1112,生产方式定位!$F$3:$J$38,5,FALSE),"错误")</f>
        <v>910</v>
      </c>
      <c r="Y1112" s="26" t="str">
        <f t="shared" si="304"/>
        <v>工具*16</v>
      </c>
      <c r="Z1112" s="36" t="str">
        <f t="shared" si="305"/>
        <v/>
      </c>
      <c r="AA1112" s="36" t="str">
        <f t="shared" si="306"/>
        <v/>
      </c>
      <c r="AB1112" s="27" t="str">
        <f t="shared" si="307"/>
        <v>40%</v>
      </c>
      <c r="AC1112" s="2">
        <f t="shared" si="308"/>
        <v>150</v>
      </c>
      <c r="AD1112" s="37">
        <f t="shared" si="309"/>
        <v>2</v>
      </c>
      <c r="AE1112" t="str">
        <f t="shared" si="310"/>
        <v>工具*16</v>
      </c>
      <c r="AF1112" t="str">
        <f t="shared" si="311"/>
        <v/>
      </c>
      <c r="AG1112" t="str">
        <f t="shared" si="312"/>
        <v/>
      </c>
      <c r="AH1112" t="str">
        <f t="shared" si="313"/>
        <v/>
      </c>
      <c r="AI1112" t="str">
        <f t="shared" si="314"/>
        <v/>
      </c>
      <c r="AJ1112" t="str">
        <f t="shared" si="315"/>
        <v/>
      </c>
      <c r="AK1112" t="str">
        <f t="shared" si="316"/>
        <v/>
      </c>
      <c r="AL1112">
        <f>IFERROR(ROUND(L1112*(G1112/$AU1112)/VLOOKUP(F1112,商品!$A$4:$B$60,2,FALSE),0),"")</f>
        <v>16</v>
      </c>
      <c r="AM1112" t="str">
        <f>IFERROR(ROUND(L1112*(I1112/$AU1112)/VLOOKUP(H1112,商品!$A$4:$B$60,2,FALSE),0),"")</f>
        <v/>
      </c>
      <c r="AN1112">
        <f>IFERROR(ROUND(L1112*(J1112/$AU1112)/VLOOKUP("运力",商品!$A$4:$B$60,2,FALSE),0),0)</f>
        <v>0</v>
      </c>
      <c r="AO1112">
        <f>IFERROR(ROUND(L1112*(K1112/$AU1112)/VLOOKUP("交易",商品!$A$4:$B$60,2,FALSE),0),0)</f>
        <v>0</v>
      </c>
      <c r="AP1112" t="str">
        <f>IFERROR(ROUND(S1112*(N1112/$AV1112)/VLOOKUP(M1112,职业!$A$4:$G$16,4,FALSE),0),"")</f>
        <v/>
      </c>
      <c r="AQ1112" t="str">
        <f>IFERROR(ROUND(S1112*(P1112/$AV1112)/VLOOKUP(O1112,职业!$A$4:$G$16,4,FALSE),0),"")</f>
        <v/>
      </c>
      <c r="AR1112" t="str">
        <f>IFERROR(ROUND(S1112*(R1112/$AV1112)/VLOOKUP(Q1112,职业!$A$4:$G$16,4,FALSE),0),"")</f>
        <v/>
      </c>
      <c r="AS1112" t="str">
        <f>IFERROR(ROUND(X1112*(U1112/$AW1112)/VLOOKUP(T1112,商品!$A$4:$B$60,2,FALSE),0),"")</f>
        <v/>
      </c>
      <c r="AT1112" t="str">
        <f>IFERROR(ROUND(X1112*(W1112/$AW1112)/VLOOKUP(V1112,商品!$A$4:$B$60,2,FALSE),0),"")</f>
        <v/>
      </c>
      <c r="AU1112">
        <f t="shared" si="317"/>
        <v>10</v>
      </c>
      <c r="AV1112">
        <f t="shared" si="318"/>
        <v>0</v>
      </c>
      <c r="AW1112">
        <f t="shared" si="319"/>
        <v>0</v>
      </c>
    </row>
    <row r="1113" spans="1:49" ht="19.95" customHeight="1" x14ac:dyDescent="0.25">
      <c r="A1113" s="16" t="s">
        <v>418</v>
      </c>
      <c r="C1113" s="16">
        <v>3</v>
      </c>
      <c r="D1113" s="23" t="s">
        <v>171</v>
      </c>
      <c r="E1113" s="23" t="s">
        <v>175</v>
      </c>
      <c r="F1113" s="2" t="s">
        <v>41</v>
      </c>
      <c r="G1113" s="2">
        <v>10</v>
      </c>
      <c r="L1113" s="15">
        <f>IFERROR(VLOOKUP($D1113&amp;$C1113,生产方式定位!$A$2:$E$38,2,FALSE)+VLOOKUP($E1113&amp;$C1113,生产方式定位!$F$3:$J$38,2,FALSE),0)</f>
        <v>1000</v>
      </c>
      <c r="S1113" s="15">
        <f>IFERROR(VLOOKUP($D1113&amp;$C1113,生产方式定位!$A$2:$E$38,3,FALSE)+VLOOKUP($E1113&amp;$C1113,生产方式定位!$F$3:$J$38,3,FALSE),0)</f>
        <v>120</v>
      </c>
      <c r="X1113" s="15">
        <f>IFERROR(VLOOKUP($D1113&amp;$C1113,生产方式定位!$A$2:$E$38,5,FALSE)+VLOOKUP($E1113&amp;$C1113,生产方式定位!$F$3:$J$38,5,FALSE),"错误")</f>
        <v>1300</v>
      </c>
      <c r="Y1113" s="26" t="str">
        <f t="shared" si="304"/>
        <v>工具*25</v>
      </c>
      <c r="Z1113" s="36" t="str">
        <f t="shared" si="305"/>
        <v/>
      </c>
      <c r="AA1113" s="36" t="str">
        <f t="shared" si="306"/>
        <v/>
      </c>
      <c r="AB1113" s="27" t="str">
        <f t="shared" si="307"/>
        <v>30%</v>
      </c>
      <c r="AC1113" s="2">
        <f t="shared" si="308"/>
        <v>180</v>
      </c>
      <c r="AD1113" s="38">
        <f t="shared" si="309"/>
        <v>3</v>
      </c>
      <c r="AE1113" t="str">
        <f t="shared" si="310"/>
        <v>工具*25</v>
      </c>
      <c r="AF1113" t="str">
        <f t="shared" si="311"/>
        <v/>
      </c>
      <c r="AG1113" t="str">
        <f t="shared" si="312"/>
        <v/>
      </c>
      <c r="AH1113" t="str">
        <f t="shared" si="313"/>
        <v/>
      </c>
      <c r="AI1113" t="str">
        <f t="shared" si="314"/>
        <v/>
      </c>
      <c r="AJ1113" t="str">
        <f t="shared" si="315"/>
        <v/>
      </c>
      <c r="AK1113" t="str">
        <f t="shared" si="316"/>
        <v/>
      </c>
      <c r="AL1113">
        <f>IFERROR(ROUND(L1113*(G1113/$AU1113)/VLOOKUP(F1113,商品!$A$4:$B$60,2,FALSE),0),"")</f>
        <v>25</v>
      </c>
      <c r="AM1113" t="str">
        <f>IFERROR(ROUND(L1113*(I1113/$AU1113)/VLOOKUP(H1113,商品!$A$4:$B$60,2,FALSE),0),"")</f>
        <v/>
      </c>
      <c r="AN1113">
        <f>IFERROR(ROUND(L1113*(J1113/$AU1113)/VLOOKUP("运力",商品!$A$4:$B$60,2,FALSE),0),0)</f>
        <v>0</v>
      </c>
      <c r="AO1113">
        <f>IFERROR(ROUND(L1113*(K1113/$AU1113)/VLOOKUP("交易",商品!$A$4:$B$60,2,FALSE),0),0)</f>
        <v>0</v>
      </c>
      <c r="AP1113" t="str">
        <f>IFERROR(ROUND(S1113*(N1113/$AV1113)/VLOOKUP(M1113,职业!$A$4:$G$16,4,FALSE),0),"")</f>
        <v/>
      </c>
      <c r="AQ1113" t="str">
        <f>IFERROR(ROUND(S1113*(P1113/$AV1113)/VLOOKUP(O1113,职业!$A$4:$G$16,4,FALSE),0),"")</f>
        <v/>
      </c>
      <c r="AR1113" t="str">
        <f>IFERROR(ROUND(S1113*(R1113/$AV1113)/VLOOKUP(Q1113,职业!$A$4:$G$16,4,FALSE),0),"")</f>
        <v/>
      </c>
      <c r="AS1113" t="str">
        <f>IFERROR(ROUND(X1113*(U1113/$AW1113)/VLOOKUP(T1113,商品!$A$4:$B$60,2,FALSE),0),"")</f>
        <v/>
      </c>
      <c r="AT1113" t="str">
        <f>IFERROR(ROUND(X1113*(W1113/$AW1113)/VLOOKUP(V1113,商品!$A$4:$B$60,2,FALSE),0),"")</f>
        <v/>
      </c>
      <c r="AU1113">
        <f t="shared" si="317"/>
        <v>10</v>
      </c>
      <c r="AV1113">
        <f t="shared" si="318"/>
        <v>0</v>
      </c>
      <c r="AW1113">
        <f t="shared" si="319"/>
        <v>0</v>
      </c>
    </row>
    <row r="1114" spans="1:49" ht="19.95" customHeight="1" x14ac:dyDescent="0.25">
      <c r="A1114" s="16" t="s">
        <v>418</v>
      </c>
      <c r="C1114" s="16">
        <v>4</v>
      </c>
      <c r="D1114" s="23" t="s">
        <v>171</v>
      </c>
      <c r="E1114" s="23" t="s">
        <v>175</v>
      </c>
      <c r="F1114" s="2" t="s">
        <v>45</v>
      </c>
      <c r="G1114" s="2">
        <v>5</v>
      </c>
      <c r="H1114" s="2" t="s">
        <v>19</v>
      </c>
      <c r="I1114" s="2">
        <v>10</v>
      </c>
      <c r="L1114" s="15">
        <f>IFERROR(VLOOKUP($D1114&amp;$C1114,生产方式定位!$A$2:$E$38,2,FALSE)+VLOOKUP($E1114&amp;$C1114,生产方式定位!$F$3:$J$38,2,FALSE),0)</f>
        <v>1350</v>
      </c>
      <c r="S1114" s="15">
        <f>IFERROR(VLOOKUP($D1114&amp;$C1114,生产方式定位!$A$2:$E$38,3,FALSE)+VLOOKUP($E1114&amp;$C1114,生产方式定位!$F$3:$J$38,3,FALSE),0)</f>
        <v>130</v>
      </c>
      <c r="X1114" s="15">
        <f>IFERROR(VLOOKUP($D1114&amp;$C1114,生产方式定位!$A$2:$E$38,5,FALSE)+VLOOKUP($E1114&amp;$C1114,生产方式定位!$F$3:$J$38,5,FALSE),"错误")</f>
        <v>1690</v>
      </c>
      <c r="Y1114" s="26" t="str">
        <f t="shared" si="304"/>
        <v>科学引擎*6,煤*30</v>
      </c>
      <c r="Z1114" s="36" t="str">
        <f t="shared" si="305"/>
        <v/>
      </c>
      <c r="AA1114" s="36" t="str">
        <f t="shared" si="306"/>
        <v/>
      </c>
      <c r="AB1114" s="27" t="str">
        <f t="shared" si="307"/>
        <v>25%</v>
      </c>
      <c r="AC1114" s="2">
        <f t="shared" si="308"/>
        <v>210</v>
      </c>
      <c r="AD1114" s="38">
        <f t="shared" si="309"/>
        <v>4</v>
      </c>
      <c r="AE1114" t="str">
        <f t="shared" si="310"/>
        <v>科学引擎*6</v>
      </c>
      <c r="AF1114" t="str">
        <f t="shared" si="311"/>
        <v>煤*30</v>
      </c>
      <c r="AG1114" t="str">
        <f t="shared" si="312"/>
        <v/>
      </c>
      <c r="AH1114" t="str">
        <f t="shared" si="313"/>
        <v/>
      </c>
      <c r="AI1114" t="str">
        <f t="shared" si="314"/>
        <v/>
      </c>
      <c r="AJ1114" t="str">
        <f t="shared" si="315"/>
        <v/>
      </c>
      <c r="AK1114" t="str">
        <f t="shared" si="316"/>
        <v/>
      </c>
      <c r="AL1114">
        <f>IFERROR(ROUND(L1114*(G1114/$AU1114)/VLOOKUP(F1114,商品!$A$4:$B$60,2,FALSE),0),"")</f>
        <v>6</v>
      </c>
      <c r="AM1114">
        <f>IFERROR(ROUND(L1114*(I1114/$AU1114)/VLOOKUP(H1114,商品!$A$4:$B$60,2,FALSE),0),"")</f>
        <v>30</v>
      </c>
      <c r="AN1114">
        <f>IFERROR(ROUND(L1114*(J1114/$AU1114)/VLOOKUP("运力",商品!$A$4:$B$60,2,FALSE),0),0)</f>
        <v>0</v>
      </c>
      <c r="AO1114">
        <f>IFERROR(ROUND(L1114*(K1114/$AU1114)/VLOOKUP("交易",商品!$A$4:$B$60,2,FALSE),0),0)</f>
        <v>0</v>
      </c>
      <c r="AP1114" t="str">
        <f>IFERROR(ROUND(S1114*(N1114/$AV1114)/VLOOKUP(M1114,职业!$A$4:$G$16,4,FALSE),0),"")</f>
        <v/>
      </c>
      <c r="AQ1114" t="str">
        <f>IFERROR(ROUND(S1114*(P1114/$AV1114)/VLOOKUP(O1114,职业!$A$4:$G$16,4,FALSE),0),"")</f>
        <v/>
      </c>
      <c r="AR1114" t="str">
        <f>IFERROR(ROUND(S1114*(R1114/$AV1114)/VLOOKUP(Q1114,职业!$A$4:$G$16,4,FALSE),0),"")</f>
        <v/>
      </c>
      <c r="AS1114" t="str">
        <f>IFERROR(ROUND(X1114*(U1114/$AW1114)/VLOOKUP(T1114,商品!$A$4:$B$60,2,FALSE),0),"")</f>
        <v/>
      </c>
      <c r="AT1114" t="str">
        <f>IFERROR(ROUND(X1114*(W1114/$AW1114)/VLOOKUP(V1114,商品!$A$4:$B$60,2,FALSE),0),"")</f>
        <v/>
      </c>
      <c r="AU1114">
        <f t="shared" si="317"/>
        <v>15</v>
      </c>
      <c r="AV1114">
        <f t="shared" si="318"/>
        <v>0</v>
      </c>
      <c r="AW1114">
        <f t="shared" si="319"/>
        <v>0</v>
      </c>
    </row>
    <row r="1115" spans="1:49" ht="19.95" customHeight="1" x14ac:dyDescent="0.25">
      <c r="A1115" s="16" t="s">
        <v>418</v>
      </c>
      <c r="C1115" s="16">
        <v>5</v>
      </c>
      <c r="D1115" s="23" t="s">
        <v>171</v>
      </c>
      <c r="E1115" s="23" t="s">
        <v>175</v>
      </c>
      <c r="F1115" s="2" t="s">
        <v>46</v>
      </c>
      <c r="G1115" s="2">
        <v>5</v>
      </c>
      <c r="H1115" s="2" t="s">
        <v>19</v>
      </c>
      <c r="I1115" s="2">
        <v>10</v>
      </c>
      <c r="L1115" s="15">
        <f>IFERROR(VLOOKUP($D1115&amp;$C1115,生产方式定位!$A$2:$E$38,2,FALSE)+VLOOKUP($E1115&amp;$C1115,生产方式定位!$F$3:$J$38,2,FALSE),0)</f>
        <v>1700</v>
      </c>
      <c r="S1115" s="15">
        <f>IFERROR(VLOOKUP($D1115&amp;$C1115,生产方式定位!$A$2:$E$38,3,FALSE)+VLOOKUP($E1115&amp;$C1115,生产方式定位!$F$3:$J$38,3,FALSE),0)</f>
        <v>140</v>
      </c>
      <c r="X1115" s="15">
        <f>IFERROR(VLOOKUP($D1115&amp;$C1115,生产方式定位!$A$2:$E$38,5,FALSE)+VLOOKUP($E1115&amp;$C1115,生产方式定位!$F$3:$J$38,5,FALSE),"错误")</f>
        <v>2080</v>
      </c>
      <c r="Y1115" s="26" t="str">
        <f t="shared" si="304"/>
        <v>魔导引擎*7,煤*38</v>
      </c>
      <c r="Z1115" s="36" t="str">
        <f t="shared" si="305"/>
        <v/>
      </c>
      <c r="AA1115" s="36" t="str">
        <f t="shared" si="306"/>
        <v/>
      </c>
      <c r="AB1115" s="27" t="str">
        <f t="shared" si="307"/>
        <v>22%</v>
      </c>
      <c r="AC1115" s="2">
        <f t="shared" si="308"/>
        <v>240</v>
      </c>
      <c r="AD1115" s="38">
        <f t="shared" si="309"/>
        <v>5</v>
      </c>
      <c r="AE1115" t="str">
        <f t="shared" si="310"/>
        <v>魔导引擎*7</v>
      </c>
      <c r="AF1115" t="str">
        <f t="shared" si="311"/>
        <v>煤*38</v>
      </c>
      <c r="AG1115" t="str">
        <f t="shared" si="312"/>
        <v/>
      </c>
      <c r="AH1115" t="str">
        <f t="shared" si="313"/>
        <v/>
      </c>
      <c r="AI1115" t="str">
        <f t="shared" si="314"/>
        <v/>
      </c>
      <c r="AJ1115" t="str">
        <f t="shared" si="315"/>
        <v/>
      </c>
      <c r="AK1115" t="str">
        <f t="shared" si="316"/>
        <v/>
      </c>
      <c r="AL1115">
        <f>IFERROR(ROUND(L1115*(G1115/$AU1115)/VLOOKUP(F1115,商品!$A$4:$B$60,2,FALSE),0),"")</f>
        <v>7</v>
      </c>
      <c r="AM1115">
        <f>IFERROR(ROUND(L1115*(I1115/$AU1115)/VLOOKUP(H1115,商品!$A$4:$B$60,2,FALSE),0),"")</f>
        <v>38</v>
      </c>
      <c r="AN1115">
        <f>IFERROR(ROUND(L1115*(J1115/$AU1115)/VLOOKUP("运力",商品!$A$4:$B$60,2,FALSE),0),0)</f>
        <v>0</v>
      </c>
      <c r="AO1115">
        <f>IFERROR(ROUND(L1115*(K1115/$AU1115)/VLOOKUP("交易",商品!$A$4:$B$60,2,FALSE),0),0)</f>
        <v>0</v>
      </c>
      <c r="AP1115" t="str">
        <f>IFERROR(ROUND(S1115*(N1115/$AV1115)/VLOOKUP(M1115,职业!$A$4:$G$16,4,FALSE),0),"")</f>
        <v/>
      </c>
      <c r="AQ1115" t="str">
        <f>IFERROR(ROUND(S1115*(P1115/$AV1115)/VLOOKUP(O1115,职业!$A$4:$G$16,4,FALSE),0),"")</f>
        <v/>
      </c>
      <c r="AR1115" t="str">
        <f>IFERROR(ROUND(S1115*(R1115/$AV1115)/VLOOKUP(Q1115,职业!$A$4:$G$16,4,FALSE),0),"")</f>
        <v/>
      </c>
      <c r="AS1115" t="str">
        <f>IFERROR(ROUND(X1115*(U1115/$AW1115)/VLOOKUP(T1115,商品!$A$4:$B$60,2,FALSE),0),"")</f>
        <v/>
      </c>
      <c r="AT1115" t="str">
        <f>IFERROR(ROUND(X1115*(W1115/$AW1115)/VLOOKUP(V1115,商品!$A$4:$B$60,2,FALSE),0),"")</f>
        <v/>
      </c>
      <c r="AU1115">
        <f t="shared" si="317"/>
        <v>15</v>
      </c>
      <c r="AV1115">
        <f t="shared" si="318"/>
        <v>0</v>
      </c>
      <c r="AW1115">
        <f t="shared" si="319"/>
        <v>0</v>
      </c>
    </row>
    <row r="1116" spans="1:49" ht="19.95" customHeight="1" x14ac:dyDescent="0.25">
      <c r="A1116" s="15" t="s">
        <v>419</v>
      </c>
      <c r="C1116" s="15">
        <v>1</v>
      </c>
      <c r="D1116" s="23" t="s">
        <v>174</v>
      </c>
      <c r="E1116" s="23" t="s">
        <v>177</v>
      </c>
      <c r="L1116" s="16">
        <f>IFERROR(VLOOKUP($D1116&amp;$C1116,生产方式定位!$A$2:$E$38,2,FALSE)+VLOOKUP($E1116&amp;$C1116,生产方式定位!$F$3:$J$38,2,FALSE),0)</f>
        <v>0</v>
      </c>
      <c r="S1116" s="16">
        <f>IFERROR(VLOOKUP($D1116&amp;$C1116,生产方式定位!$A$2:$E$38,3,FALSE)+VLOOKUP($E1116&amp;$C1116,生产方式定位!$F$3:$J$38,3,FALSE),0)</f>
        <v>0</v>
      </c>
      <c r="X1116" s="16">
        <f>IFERROR(VLOOKUP($D1116&amp;$C1116,生产方式定位!$A$2:$E$38,5,FALSE)+VLOOKUP($E1116&amp;$C1116,生产方式定位!$F$3:$J$38,5,FALSE),"错误")</f>
        <v>0</v>
      </c>
      <c r="Y1116" s="26" t="str">
        <f t="shared" si="304"/>
        <v/>
      </c>
      <c r="Z1116" s="36" t="str">
        <f t="shared" si="305"/>
        <v/>
      </c>
      <c r="AA1116" s="36" t="str">
        <f t="shared" si="306"/>
        <v/>
      </c>
      <c r="AB1116" s="27" t="str">
        <f t="shared" si="307"/>
        <v/>
      </c>
      <c r="AC1116" s="2" t="str">
        <f t="shared" si="308"/>
        <v/>
      </c>
      <c r="AD1116" s="38">
        <f t="shared" si="309"/>
        <v>1</v>
      </c>
      <c r="AE1116" t="str">
        <f t="shared" si="310"/>
        <v/>
      </c>
      <c r="AF1116" t="str">
        <f t="shared" si="311"/>
        <v/>
      </c>
      <c r="AG1116" t="str">
        <f t="shared" si="312"/>
        <v/>
      </c>
      <c r="AH1116" t="str">
        <f t="shared" si="313"/>
        <v/>
      </c>
      <c r="AI1116" t="str">
        <f t="shared" si="314"/>
        <v/>
      </c>
      <c r="AJ1116" t="str">
        <f t="shared" si="315"/>
        <v/>
      </c>
      <c r="AK1116" t="str">
        <f t="shared" si="316"/>
        <v/>
      </c>
      <c r="AL1116" t="str">
        <f>IFERROR(ROUND(L1116*(G1116/$AU1116)/VLOOKUP(F1116,商品!$A$4:$B$60,2,FALSE),0),"")</f>
        <v/>
      </c>
      <c r="AM1116" t="str">
        <f>IFERROR(ROUND(L1116*(I1116/$AU1116)/VLOOKUP(H1116,商品!$A$4:$B$60,2,FALSE),0),"")</f>
        <v/>
      </c>
      <c r="AN1116">
        <f>IFERROR(ROUND(L1116*(J1116/$AU1116)/VLOOKUP("运力",商品!$A$4:$B$60,2,FALSE),0),0)</f>
        <v>0</v>
      </c>
      <c r="AO1116">
        <f>IFERROR(ROUND(L1116*(K1116/$AU1116)/VLOOKUP("交易",商品!$A$4:$B$60,2,FALSE),0),0)</f>
        <v>0</v>
      </c>
      <c r="AP1116" t="str">
        <f>IFERROR(ROUND(S1116*(N1116/$AV1116)/VLOOKUP(M1116,职业!$A$4:$G$16,4,FALSE),0),"")</f>
        <v/>
      </c>
      <c r="AQ1116" t="str">
        <f>IFERROR(ROUND(S1116*(P1116/$AV1116)/VLOOKUP(O1116,职业!$A$4:$G$16,4,FALSE),0),"")</f>
        <v/>
      </c>
      <c r="AR1116" t="str">
        <f>IFERROR(ROUND(S1116*(R1116/$AV1116)/VLOOKUP(Q1116,职业!$A$4:$G$16,4,FALSE),0),"")</f>
        <v/>
      </c>
      <c r="AS1116" t="str">
        <f>IFERROR(ROUND(X1116*(U1116/$AW1116)/VLOOKUP(T1116,商品!$A$4:$B$60,2,FALSE),0),"")</f>
        <v/>
      </c>
      <c r="AT1116" t="str">
        <f>IFERROR(ROUND(X1116*(W1116/$AW1116)/VLOOKUP(V1116,商品!$A$4:$B$60,2,FALSE),0),"")</f>
        <v/>
      </c>
      <c r="AU1116">
        <f t="shared" si="317"/>
        <v>0</v>
      </c>
      <c r="AV1116">
        <f t="shared" si="318"/>
        <v>0</v>
      </c>
      <c r="AW1116">
        <f t="shared" si="319"/>
        <v>0</v>
      </c>
    </row>
    <row r="1117" spans="1:49" ht="19.95" customHeight="1" x14ac:dyDescent="0.25">
      <c r="A1117" s="15" t="s">
        <v>419</v>
      </c>
      <c r="C1117" s="15">
        <v>2</v>
      </c>
      <c r="D1117" s="23" t="s">
        <v>174</v>
      </c>
      <c r="E1117" s="23" t="s">
        <v>177</v>
      </c>
      <c r="F1117" s="2" t="s">
        <v>42</v>
      </c>
      <c r="G1117" s="2">
        <v>5</v>
      </c>
      <c r="H1117" s="2" t="s">
        <v>20</v>
      </c>
      <c r="I1117" s="2">
        <v>10</v>
      </c>
      <c r="L1117" s="16">
        <f>IFERROR(VLOOKUP($D1117&amp;$C1117,生产方式定位!$A$2:$E$38,2,FALSE)+VLOOKUP($E1117&amp;$C1117,生产方式定位!$F$3:$J$38,2,FALSE),0)</f>
        <v>105</v>
      </c>
      <c r="S1117" s="16">
        <f>IFERROR(VLOOKUP($D1117&amp;$C1117,生产方式定位!$A$2:$E$38,3,FALSE)+VLOOKUP($E1117&amp;$C1117,生产方式定位!$F$3:$J$38,3,FALSE),0)</f>
        <v>15</v>
      </c>
      <c r="X1117" s="16">
        <f>IFERROR(VLOOKUP($D1117&amp;$C1117,生产方式定位!$A$2:$E$38,5,FALSE)+VLOOKUP($E1117&amp;$C1117,生产方式定位!$F$3:$J$38,5,FALSE),"错误")</f>
        <v>0</v>
      </c>
      <c r="Y1117" s="26" t="str">
        <f t="shared" si="304"/>
        <v>魔偶*1,灵能水晶*2</v>
      </c>
      <c r="Z1117" s="36" t="str">
        <f t="shared" si="305"/>
        <v/>
      </c>
      <c r="AA1117" s="36" t="str">
        <f t="shared" si="306"/>
        <v/>
      </c>
      <c r="AB1117" s="27" t="str">
        <f t="shared" si="307"/>
        <v>-100%</v>
      </c>
      <c r="AC1117" s="2">
        <f t="shared" si="308"/>
        <v>-120</v>
      </c>
      <c r="AD1117" s="38">
        <f t="shared" si="309"/>
        <v>2</v>
      </c>
      <c r="AE1117" t="str">
        <f t="shared" si="310"/>
        <v>魔偶*1</v>
      </c>
      <c r="AF1117" t="str">
        <f t="shared" si="311"/>
        <v>灵能水晶*2</v>
      </c>
      <c r="AG1117" t="str">
        <f t="shared" si="312"/>
        <v/>
      </c>
      <c r="AH1117" t="str">
        <f t="shared" si="313"/>
        <v/>
      </c>
      <c r="AI1117" t="str">
        <f t="shared" si="314"/>
        <v/>
      </c>
      <c r="AJ1117" t="str">
        <f t="shared" si="315"/>
        <v/>
      </c>
      <c r="AK1117" t="str">
        <f t="shared" si="316"/>
        <v/>
      </c>
      <c r="AL1117">
        <f>IFERROR(ROUND(L1117*(G1117/$AU1117)/VLOOKUP(F1117,商品!$A$4:$B$60,2,FALSE),0),"")</f>
        <v>1</v>
      </c>
      <c r="AM1117">
        <f>IFERROR(ROUND(L1117*(I1117/$AU1117)/VLOOKUP(H1117,商品!$A$4:$B$60,2,FALSE),0),"")</f>
        <v>2</v>
      </c>
      <c r="AN1117">
        <f>IFERROR(ROUND(L1117*(J1117/$AU1117)/VLOOKUP("运力",商品!$A$4:$B$60,2,FALSE),0),0)</f>
        <v>0</v>
      </c>
      <c r="AO1117">
        <f>IFERROR(ROUND(L1117*(K1117/$AU1117)/VLOOKUP("交易",商品!$A$4:$B$60,2,FALSE),0),0)</f>
        <v>0</v>
      </c>
      <c r="AP1117" t="str">
        <f>IFERROR(ROUND(S1117*(N1117/$AV1117)/VLOOKUP(M1117,职业!$A$4:$G$16,4,FALSE),0),"")</f>
        <v/>
      </c>
      <c r="AQ1117" t="str">
        <f>IFERROR(ROUND(S1117*(P1117/$AV1117)/VLOOKUP(O1117,职业!$A$4:$G$16,4,FALSE),0),"")</f>
        <v/>
      </c>
      <c r="AR1117" t="str">
        <f>IFERROR(ROUND(S1117*(R1117/$AV1117)/VLOOKUP(Q1117,职业!$A$4:$G$16,4,FALSE),0),"")</f>
        <v/>
      </c>
      <c r="AS1117" t="str">
        <f>IFERROR(ROUND(X1117*(U1117/$AW1117)/VLOOKUP(T1117,商品!$A$4:$B$60,2,FALSE),0),"")</f>
        <v/>
      </c>
      <c r="AT1117" t="str">
        <f>IFERROR(ROUND(X1117*(W1117/$AW1117)/VLOOKUP(V1117,商品!$A$4:$B$60,2,FALSE),0),"")</f>
        <v/>
      </c>
      <c r="AU1117">
        <f t="shared" si="317"/>
        <v>15</v>
      </c>
      <c r="AV1117">
        <f t="shared" si="318"/>
        <v>0</v>
      </c>
      <c r="AW1117">
        <f t="shared" si="319"/>
        <v>0</v>
      </c>
    </row>
    <row r="1118" spans="1:49" ht="19.95" customHeight="1" x14ac:dyDescent="0.25">
      <c r="A1118" s="15" t="s">
        <v>419</v>
      </c>
      <c r="C1118" s="15">
        <v>3</v>
      </c>
      <c r="D1118" s="23" t="s">
        <v>174</v>
      </c>
      <c r="E1118" s="23" t="s">
        <v>177</v>
      </c>
      <c r="F1118" s="2" t="s">
        <v>42</v>
      </c>
      <c r="G1118" s="2">
        <v>5</v>
      </c>
      <c r="H1118" s="2" t="s">
        <v>20</v>
      </c>
      <c r="I1118" s="2">
        <v>10</v>
      </c>
      <c r="L1118" s="16">
        <f>IFERROR(VLOOKUP($D1118&amp;$C1118,生产方式定位!$A$2:$E$38,2,FALSE)+VLOOKUP($E1118&amp;$C1118,生产方式定位!$F$3:$J$38,2,FALSE),0)</f>
        <v>210</v>
      </c>
      <c r="S1118" s="16">
        <f>IFERROR(VLOOKUP($D1118&amp;$C1118,生产方式定位!$A$2:$E$38,3,FALSE)+VLOOKUP($E1118&amp;$C1118,生产方式定位!$F$3:$J$38,3,FALSE),0)</f>
        <v>30</v>
      </c>
      <c r="X1118" s="16">
        <f>IFERROR(VLOOKUP($D1118&amp;$C1118,生产方式定位!$A$2:$E$38,5,FALSE)+VLOOKUP($E1118&amp;$C1118,生产方式定位!$F$3:$J$38,5,FALSE),"错误")</f>
        <v>0</v>
      </c>
      <c r="Y1118" s="26" t="str">
        <f t="shared" si="304"/>
        <v>魔偶*2,灵能水晶*5</v>
      </c>
      <c r="Z1118" s="36" t="str">
        <f t="shared" si="305"/>
        <v/>
      </c>
      <c r="AA1118" s="36" t="str">
        <f t="shared" si="306"/>
        <v/>
      </c>
      <c r="AB1118" s="27" t="str">
        <f t="shared" si="307"/>
        <v>-100%</v>
      </c>
      <c r="AC1118" s="2">
        <f t="shared" si="308"/>
        <v>-240</v>
      </c>
      <c r="AD1118" s="38">
        <f t="shared" si="309"/>
        <v>3</v>
      </c>
      <c r="AE1118" t="str">
        <f t="shared" si="310"/>
        <v>魔偶*2</v>
      </c>
      <c r="AF1118" t="str">
        <f t="shared" si="311"/>
        <v>灵能水晶*5</v>
      </c>
      <c r="AG1118" t="str">
        <f t="shared" si="312"/>
        <v/>
      </c>
      <c r="AH1118" t="str">
        <f t="shared" si="313"/>
        <v/>
      </c>
      <c r="AI1118" t="str">
        <f t="shared" si="314"/>
        <v/>
      </c>
      <c r="AJ1118" t="str">
        <f t="shared" si="315"/>
        <v/>
      </c>
      <c r="AK1118" t="str">
        <f t="shared" si="316"/>
        <v/>
      </c>
      <c r="AL1118">
        <f>IFERROR(ROUND(L1118*(G1118/$AU1118)/VLOOKUP(F1118,商品!$A$4:$B$60,2,FALSE),0),"")</f>
        <v>2</v>
      </c>
      <c r="AM1118">
        <f>IFERROR(ROUND(L1118*(I1118/$AU1118)/VLOOKUP(H1118,商品!$A$4:$B$60,2,FALSE),0),"")</f>
        <v>5</v>
      </c>
      <c r="AN1118">
        <f>IFERROR(ROUND(L1118*(J1118/$AU1118)/VLOOKUP("运力",商品!$A$4:$B$60,2,FALSE),0),0)</f>
        <v>0</v>
      </c>
      <c r="AO1118">
        <f>IFERROR(ROUND(L1118*(K1118/$AU1118)/VLOOKUP("交易",商品!$A$4:$B$60,2,FALSE),0),0)</f>
        <v>0</v>
      </c>
      <c r="AP1118" t="str">
        <f>IFERROR(ROUND(S1118*(N1118/$AV1118)/VLOOKUP(M1118,职业!$A$4:$G$16,4,FALSE),0),"")</f>
        <v/>
      </c>
      <c r="AQ1118" t="str">
        <f>IFERROR(ROUND(S1118*(P1118/$AV1118)/VLOOKUP(O1118,职业!$A$4:$G$16,4,FALSE),0),"")</f>
        <v/>
      </c>
      <c r="AR1118" t="str">
        <f>IFERROR(ROUND(S1118*(R1118/$AV1118)/VLOOKUP(Q1118,职业!$A$4:$G$16,4,FALSE),0),"")</f>
        <v/>
      </c>
      <c r="AS1118" t="str">
        <f>IFERROR(ROUND(X1118*(U1118/$AW1118)/VLOOKUP(T1118,商品!$A$4:$B$60,2,FALSE),0),"")</f>
        <v/>
      </c>
      <c r="AT1118" t="str">
        <f>IFERROR(ROUND(X1118*(W1118/$AW1118)/VLOOKUP(V1118,商品!$A$4:$B$60,2,FALSE),0),"")</f>
        <v/>
      </c>
      <c r="AU1118">
        <f t="shared" si="317"/>
        <v>15</v>
      </c>
      <c r="AV1118">
        <f t="shared" si="318"/>
        <v>0</v>
      </c>
      <c r="AW1118">
        <f t="shared" si="319"/>
        <v>0</v>
      </c>
    </row>
    <row r="1119" spans="1:49" ht="19.95" customHeight="1" x14ac:dyDescent="0.25">
      <c r="A1119" s="15" t="s">
        <v>419</v>
      </c>
      <c r="C1119" s="15">
        <v>4</v>
      </c>
      <c r="D1119" s="23" t="s">
        <v>174</v>
      </c>
      <c r="E1119" s="23" t="s">
        <v>177</v>
      </c>
      <c r="F1119" s="2" t="s">
        <v>42</v>
      </c>
      <c r="G1119" s="2">
        <v>5</v>
      </c>
      <c r="H1119" s="2" t="s">
        <v>20</v>
      </c>
      <c r="I1119" s="2">
        <v>10</v>
      </c>
      <c r="L1119" s="16">
        <f>IFERROR(VLOOKUP($D1119&amp;$C1119,生产方式定位!$A$2:$E$38,2,FALSE)+VLOOKUP($E1119&amp;$C1119,生产方式定位!$F$3:$J$38,2,FALSE),0)</f>
        <v>315</v>
      </c>
      <c r="S1119" s="16">
        <f>IFERROR(VLOOKUP($D1119&amp;$C1119,生产方式定位!$A$2:$E$38,3,FALSE)+VLOOKUP($E1119&amp;$C1119,生产方式定位!$F$3:$J$38,3,FALSE),0)</f>
        <v>45</v>
      </c>
      <c r="X1119" s="16">
        <f>IFERROR(VLOOKUP($D1119&amp;$C1119,生产方式定位!$A$2:$E$38,5,FALSE)+VLOOKUP($E1119&amp;$C1119,生产方式定位!$F$3:$J$38,5,FALSE),"错误")</f>
        <v>0</v>
      </c>
      <c r="Y1119" s="26" t="str">
        <f t="shared" si="304"/>
        <v>魔偶*3,灵能水晶*7</v>
      </c>
      <c r="Z1119" s="36" t="str">
        <f t="shared" si="305"/>
        <v/>
      </c>
      <c r="AA1119" s="36" t="str">
        <f t="shared" si="306"/>
        <v/>
      </c>
      <c r="AB1119" s="27" t="str">
        <f t="shared" si="307"/>
        <v>-100%</v>
      </c>
      <c r="AC1119" s="2">
        <f t="shared" si="308"/>
        <v>-360</v>
      </c>
      <c r="AD1119" s="38">
        <f t="shared" si="309"/>
        <v>4</v>
      </c>
      <c r="AE1119" t="str">
        <f t="shared" si="310"/>
        <v>魔偶*3</v>
      </c>
      <c r="AF1119" t="str">
        <f t="shared" si="311"/>
        <v>灵能水晶*7</v>
      </c>
      <c r="AG1119" t="str">
        <f t="shared" si="312"/>
        <v/>
      </c>
      <c r="AH1119" t="str">
        <f t="shared" si="313"/>
        <v/>
      </c>
      <c r="AI1119" t="str">
        <f t="shared" si="314"/>
        <v/>
      </c>
      <c r="AJ1119" t="str">
        <f t="shared" si="315"/>
        <v/>
      </c>
      <c r="AK1119" t="str">
        <f t="shared" si="316"/>
        <v/>
      </c>
      <c r="AL1119">
        <f>IFERROR(ROUND(L1119*(G1119/$AU1119)/VLOOKUP(F1119,商品!$A$4:$B$60,2,FALSE),0),"")</f>
        <v>3</v>
      </c>
      <c r="AM1119">
        <f>IFERROR(ROUND(L1119*(I1119/$AU1119)/VLOOKUP(H1119,商品!$A$4:$B$60,2,FALSE),0),"")</f>
        <v>7</v>
      </c>
      <c r="AN1119">
        <f>IFERROR(ROUND(L1119*(J1119/$AU1119)/VLOOKUP("运力",商品!$A$4:$B$60,2,FALSE),0),0)</f>
        <v>0</v>
      </c>
      <c r="AO1119">
        <f>IFERROR(ROUND(L1119*(K1119/$AU1119)/VLOOKUP("交易",商品!$A$4:$B$60,2,FALSE),0),0)</f>
        <v>0</v>
      </c>
      <c r="AP1119" t="str">
        <f>IFERROR(ROUND(S1119*(N1119/$AV1119)/VLOOKUP(M1119,职业!$A$4:$G$16,4,FALSE),0),"")</f>
        <v/>
      </c>
      <c r="AQ1119" t="str">
        <f>IFERROR(ROUND(S1119*(P1119/$AV1119)/VLOOKUP(O1119,职业!$A$4:$G$16,4,FALSE),0),"")</f>
        <v/>
      </c>
      <c r="AR1119" t="str">
        <f>IFERROR(ROUND(S1119*(R1119/$AV1119)/VLOOKUP(Q1119,职业!$A$4:$G$16,4,FALSE),0),"")</f>
        <v/>
      </c>
      <c r="AS1119" t="str">
        <f>IFERROR(ROUND(X1119*(U1119/$AW1119)/VLOOKUP(T1119,商品!$A$4:$B$60,2,FALSE),0),"")</f>
        <v/>
      </c>
      <c r="AT1119" t="str">
        <f>IFERROR(ROUND(X1119*(W1119/$AW1119)/VLOOKUP(V1119,商品!$A$4:$B$60,2,FALSE),0),"")</f>
        <v/>
      </c>
      <c r="AU1119">
        <f t="shared" si="317"/>
        <v>15</v>
      </c>
      <c r="AV1119">
        <f t="shared" si="318"/>
        <v>0</v>
      </c>
      <c r="AW1119">
        <f t="shared" si="319"/>
        <v>0</v>
      </c>
    </row>
    <row r="1120" spans="1:49" ht="19.95" customHeight="1" x14ac:dyDescent="0.25">
      <c r="A1120" s="15" t="s">
        <v>419</v>
      </c>
      <c r="C1120" s="15">
        <v>5</v>
      </c>
      <c r="D1120" s="23" t="s">
        <v>174</v>
      </c>
      <c r="E1120" s="23" t="s">
        <v>177</v>
      </c>
      <c r="F1120" s="2" t="s">
        <v>42</v>
      </c>
      <c r="G1120" s="2">
        <v>5</v>
      </c>
      <c r="H1120" s="2" t="s">
        <v>20</v>
      </c>
      <c r="I1120" s="2">
        <v>10</v>
      </c>
      <c r="L1120" s="16">
        <f>IFERROR(VLOOKUP($D1120&amp;$C1120,生产方式定位!$A$2:$E$38,2,FALSE)+VLOOKUP($E1120&amp;$C1120,生产方式定位!$F$3:$J$38,2,FALSE),0)</f>
        <v>420</v>
      </c>
      <c r="S1120" s="16">
        <f>IFERROR(VLOOKUP($D1120&amp;$C1120,生产方式定位!$A$2:$E$38,3,FALSE)+VLOOKUP($E1120&amp;$C1120,生产方式定位!$F$3:$J$38,3,FALSE),0)</f>
        <v>60</v>
      </c>
      <c r="X1120" s="16">
        <f>IFERROR(VLOOKUP($D1120&amp;$C1120,生产方式定位!$A$2:$E$38,5,FALSE)+VLOOKUP($E1120&amp;$C1120,生产方式定位!$F$3:$J$38,5,FALSE),"错误")</f>
        <v>0</v>
      </c>
      <c r="Y1120" s="26" t="str">
        <f t="shared" si="304"/>
        <v>魔偶*4,灵能水晶*9</v>
      </c>
      <c r="Z1120" s="36" t="str">
        <f t="shared" si="305"/>
        <v/>
      </c>
      <c r="AA1120" s="36" t="str">
        <f t="shared" si="306"/>
        <v/>
      </c>
      <c r="AB1120" s="27" t="str">
        <f t="shared" si="307"/>
        <v>-100%</v>
      </c>
      <c r="AC1120" s="2">
        <f t="shared" si="308"/>
        <v>-480</v>
      </c>
      <c r="AD1120" s="38">
        <f t="shared" si="309"/>
        <v>5</v>
      </c>
      <c r="AE1120" t="str">
        <f t="shared" si="310"/>
        <v>魔偶*4</v>
      </c>
      <c r="AF1120" t="str">
        <f t="shared" si="311"/>
        <v>灵能水晶*9</v>
      </c>
      <c r="AG1120" t="str">
        <f t="shared" si="312"/>
        <v/>
      </c>
      <c r="AH1120" t="str">
        <f t="shared" si="313"/>
        <v/>
      </c>
      <c r="AI1120" t="str">
        <f t="shared" si="314"/>
        <v/>
      </c>
      <c r="AJ1120" t="str">
        <f t="shared" si="315"/>
        <v/>
      </c>
      <c r="AK1120" t="str">
        <f t="shared" si="316"/>
        <v/>
      </c>
      <c r="AL1120">
        <f>IFERROR(ROUND(L1120*(G1120/$AU1120)/VLOOKUP(F1120,商品!$A$4:$B$60,2,FALSE),0),"")</f>
        <v>4</v>
      </c>
      <c r="AM1120">
        <f>IFERROR(ROUND(L1120*(I1120/$AU1120)/VLOOKUP(H1120,商品!$A$4:$B$60,2,FALSE),0),"")</f>
        <v>9</v>
      </c>
      <c r="AN1120">
        <f>IFERROR(ROUND(L1120*(J1120/$AU1120)/VLOOKUP("运力",商品!$A$4:$B$60,2,FALSE),0),0)</f>
        <v>0</v>
      </c>
      <c r="AO1120">
        <f>IFERROR(ROUND(L1120*(K1120/$AU1120)/VLOOKUP("交易",商品!$A$4:$B$60,2,FALSE),0),0)</f>
        <v>0</v>
      </c>
      <c r="AP1120" t="str">
        <f>IFERROR(ROUND(S1120*(N1120/$AV1120)/VLOOKUP(M1120,职业!$A$4:$G$16,4,FALSE),0),"")</f>
        <v/>
      </c>
      <c r="AQ1120" t="str">
        <f>IFERROR(ROUND(S1120*(P1120/$AV1120)/VLOOKUP(O1120,职业!$A$4:$G$16,4,FALSE),0),"")</f>
        <v/>
      </c>
      <c r="AR1120" t="str">
        <f>IFERROR(ROUND(S1120*(R1120/$AV1120)/VLOOKUP(Q1120,职业!$A$4:$G$16,4,FALSE),0),"")</f>
        <v/>
      </c>
      <c r="AS1120" t="str">
        <f>IFERROR(ROUND(X1120*(U1120/$AW1120)/VLOOKUP(T1120,商品!$A$4:$B$60,2,FALSE),0),"")</f>
        <v/>
      </c>
      <c r="AT1120" t="str">
        <f>IFERROR(ROUND(X1120*(W1120/$AW1120)/VLOOKUP(V1120,商品!$A$4:$B$60,2,FALSE),0),"")</f>
        <v/>
      </c>
      <c r="AU1120">
        <f t="shared" si="317"/>
        <v>15</v>
      </c>
      <c r="AV1120">
        <f t="shared" si="318"/>
        <v>0</v>
      </c>
      <c r="AW1120">
        <f t="shared" si="319"/>
        <v>0</v>
      </c>
    </row>
    <row r="1121" spans="1:49" ht="19.95" customHeight="1" x14ac:dyDescent="0.25">
      <c r="A1121" s="16" t="s">
        <v>420</v>
      </c>
      <c r="C1121" s="16">
        <v>1</v>
      </c>
      <c r="D1121" s="23" t="s">
        <v>171</v>
      </c>
      <c r="E1121" s="23" t="s">
        <v>524</v>
      </c>
      <c r="L1121" s="15">
        <f>IFERROR(VLOOKUP($D1121&amp;$C1121,生产方式定位!$A$2:$E$38,2,FALSE)+VLOOKUP($E1121&amp;$C1121,生产方式定位!$F$3:$J$38,2,FALSE),0)</f>
        <v>0</v>
      </c>
      <c r="S1121" s="15">
        <f>IFERROR(VLOOKUP($D1121&amp;$C1121,生产方式定位!$A$2:$E$38,3,FALSE)+VLOOKUP($E1121&amp;$C1121,生产方式定位!$F$3:$J$38,3,FALSE),0)</f>
        <v>0</v>
      </c>
      <c r="X1121" s="15" t="str">
        <f>IFERROR(VLOOKUP($D1121&amp;$C1121,生产方式定位!$A$2:$E$38,5,FALSE)+VLOOKUP($E1121&amp;$C1121,生产方式定位!$F$3:$J$38,5,FALSE),"错误")</f>
        <v>错误</v>
      </c>
      <c r="Y1121" s="26" t="str">
        <f t="shared" si="304"/>
        <v/>
      </c>
      <c r="Z1121" s="36" t="str">
        <f t="shared" si="305"/>
        <v/>
      </c>
      <c r="AA1121" s="36" t="str">
        <f t="shared" si="306"/>
        <v/>
      </c>
      <c r="AB1121" s="27" t="str">
        <f t="shared" si="307"/>
        <v/>
      </c>
      <c r="AC1121" s="2" t="e">
        <f t="shared" si="308"/>
        <v>#VALUE!</v>
      </c>
      <c r="AD1121" s="37">
        <f t="shared" si="309"/>
        <v>1</v>
      </c>
      <c r="AE1121" t="str">
        <f t="shared" si="310"/>
        <v/>
      </c>
      <c r="AF1121" t="str">
        <f t="shared" si="311"/>
        <v/>
      </c>
      <c r="AG1121" t="str">
        <f t="shared" si="312"/>
        <v/>
      </c>
      <c r="AH1121" t="str">
        <f t="shared" si="313"/>
        <v/>
      </c>
      <c r="AI1121" t="str">
        <f t="shared" si="314"/>
        <v/>
      </c>
      <c r="AJ1121" t="str">
        <f t="shared" si="315"/>
        <v/>
      </c>
      <c r="AK1121" t="str">
        <f t="shared" si="316"/>
        <v/>
      </c>
      <c r="AL1121" t="str">
        <f>IFERROR(ROUND(L1121*(G1121/$AU1121)/VLOOKUP(F1121,商品!$A$4:$B$60,2,FALSE),0),"")</f>
        <v/>
      </c>
      <c r="AM1121" t="str">
        <f>IFERROR(ROUND(L1121*(I1121/$AU1121)/VLOOKUP(H1121,商品!$A$4:$B$60,2,FALSE),0),"")</f>
        <v/>
      </c>
      <c r="AN1121">
        <f>IFERROR(ROUND(L1121*(J1121/$AU1121)/VLOOKUP("运力",商品!$A$4:$B$60,2,FALSE),0),0)</f>
        <v>0</v>
      </c>
      <c r="AO1121">
        <f>IFERROR(ROUND(L1121*(K1121/$AU1121)/VLOOKUP("交易",商品!$A$4:$B$60,2,FALSE),0),0)</f>
        <v>0</v>
      </c>
      <c r="AP1121" t="str">
        <f>IFERROR(ROUND(S1121*(N1121/$AV1121)/VLOOKUP(M1121,职业!$A$4:$G$16,4,FALSE),0),"")</f>
        <v/>
      </c>
      <c r="AQ1121" t="str">
        <f>IFERROR(ROUND(S1121*(P1121/$AV1121)/VLOOKUP(O1121,职业!$A$4:$G$16,4,FALSE),0),"")</f>
        <v/>
      </c>
      <c r="AR1121" t="str">
        <f>IFERROR(ROUND(S1121*(R1121/$AV1121)/VLOOKUP(Q1121,职业!$A$4:$G$16,4,FALSE),0),"")</f>
        <v/>
      </c>
      <c r="AS1121" t="str">
        <f>IFERROR(ROUND(X1121*(U1121/$AW1121)/VLOOKUP(T1121,商品!$A$4:$B$60,2,FALSE),0),"")</f>
        <v/>
      </c>
      <c r="AT1121" t="str">
        <f>IFERROR(ROUND(X1121*(W1121/$AW1121)/VLOOKUP(V1121,商品!$A$4:$B$60,2,FALSE),0),"")</f>
        <v/>
      </c>
      <c r="AU1121">
        <f t="shared" si="317"/>
        <v>0</v>
      </c>
      <c r="AV1121">
        <f t="shared" si="318"/>
        <v>0</v>
      </c>
      <c r="AW1121">
        <f t="shared" si="319"/>
        <v>0</v>
      </c>
    </row>
    <row r="1122" spans="1:49" ht="19.95" customHeight="1" x14ac:dyDescent="0.25">
      <c r="A1122" s="16" t="s">
        <v>420</v>
      </c>
      <c r="C1122" s="16">
        <v>2</v>
      </c>
      <c r="D1122" s="23" t="s">
        <v>171</v>
      </c>
      <c r="E1122" s="23" t="s">
        <v>524</v>
      </c>
      <c r="L1122" s="15">
        <f>IFERROR(VLOOKUP($D1122&amp;$C1122,生产方式定位!$A$2:$E$38,2,FALSE)+VLOOKUP($E1122&amp;$C1122,生产方式定位!$F$3:$J$38,2,FALSE),0)</f>
        <v>0</v>
      </c>
      <c r="S1122" s="15">
        <f>IFERROR(VLOOKUP($D1122&amp;$C1122,生产方式定位!$A$2:$E$38,3,FALSE)+VLOOKUP($E1122&amp;$C1122,生产方式定位!$F$3:$J$38,3,FALSE),0)</f>
        <v>0</v>
      </c>
      <c r="X1122" s="15" t="str">
        <f>IFERROR(VLOOKUP($D1122&amp;$C1122,生产方式定位!$A$2:$E$38,5,FALSE)+VLOOKUP($E1122&amp;$C1122,生产方式定位!$F$3:$J$38,5,FALSE),"错误")</f>
        <v>错误</v>
      </c>
      <c r="Y1122" s="26" t="str">
        <f t="shared" si="304"/>
        <v/>
      </c>
      <c r="Z1122" s="36" t="str">
        <f t="shared" si="305"/>
        <v/>
      </c>
      <c r="AA1122" s="36" t="str">
        <f t="shared" si="306"/>
        <v/>
      </c>
      <c r="AB1122" s="27" t="str">
        <f t="shared" si="307"/>
        <v/>
      </c>
      <c r="AC1122" s="2" t="e">
        <f t="shared" si="308"/>
        <v>#VALUE!</v>
      </c>
      <c r="AD1122" s="37">
        <f t="shared" si="309"/>
        <v>2</v>
      </c>
      <c r="AE1122" t="str">
        <f t="shared" si="310"/>
        <v/>
      </c>
      <c r="AF1122" t="str">
        <f t="shared" si="311"/>
        <v/>
      </c>
      <c r="AG1122" t="str">
        <f t="shared" si="312"/>
        <v/>
      </c>
      <c r="AH1122" t="str">
        <f t="shared" si="313"/>
        <v/>
      </c>
      <c r="AI1122" t="str">
        <f t="shared" si="314"/>
        <v/>
      </c>
      <c r="AJ1122" t="str">
        <f t="shared" si="315"/>
        <v/>
      </c>
      <c r="AK1122" t="str">
        <f t="shared" si="316"/>
        <v/>
      </c>
      <c r="AL1122" t="str">
        <f>IFERROR(ROUND(L1122*(G1122/$AU1122)/VLOOKUP(F1122,商品!$A$4:$B$60,2,FALSE),0),"")</f>
        <v/>
      </c>
      <c r="AM1122" t="str">
        <f>IFERROR(ROUND(L1122*(I1122/$AU1122)/VLOOKUP(H1122,商品!$A$4:$B$60,2,FALSE),0),"")</f>
        <v/>
      </c>
      <c r="AN1122">
        <f>IFERROR(ROUND(L1122*(J1122/$AU1122)/VLOOKUP("运力",商品!$A$4:$B$60,2,FALSE),0),0)</f>
        <v>0</v>
      </c>
      <c r="AO1122">
        <f>IFERROR(ROUND(L1122*(K1122/$AU1122)/VLOOKUP("交易",商品!$A$4:$B$60,2,FALSE),0),0)</f>
        <v>0</v>
      </c>
      <c r="AP1122" t="str">
        <f>IFERROR(ROUND(S1122*(N1122/$AV1122)/VLOOKUP(M1122,职业!$A$4:$G$16,4,FALSE),0),"")</f>
        <v/>
      </c>
      <c r="AQ1122" t="str">
        <f>IFERROR(ROUND(S1122*(P1122/$AV1122)/VLOOKUP(O1122,职业!$A$4:$G$16,4,FALSE),0),"")</f>
        <v/>
      </c>
      <c r="AR1122" t="str">
        <f>IFERROR(ROUND(S1122*(R1122/$AV1122)/VLOOKUP(Q1122,职业!$A$4:$G$16,4,FALSE),0),"")</f>
        <v/>
      </c>
      <c r="AS1122" t="str">
        <f>IFERROR(ROUND(X1122*(U1122/$AW1122)/VLOOKUP(T1122,商品!$A$4:$B$60,2,FALSE),0),"")</f>
        <v/>
      </c>
      <c r="AT1122" t="str">
        <f>IFERROR(ROUND(X1122*(W1122/$AW1122)/VLOOKUP(V1122,商品!$A$4:$B$60,2,FALSE),0),"")</f>
        <v/>
      </c>
      <c r="AU1122">
        <f t="shared" si="317"/>
        <v>0</v>
      </c>
      <c r="AV1122">
        <f t="shared" si="318"/>
        <v>0</v>
      </c>
      <c r="AW1122">
        <f t="shared" si="319"/>
        <v>0</v>
      </c>
    </row>
    <row r="1123" spans="1:49" ht="19.95" customHeight="1" x14ac:dyDescent="0.25">
      <c r="A1123" s="16" t="s">
        <v>420</v>
      </c>
      <c r="C1123" s="16">
        <v>3</v>
      </c>
      <c r="D1123" s="23" t="s">
        <v>171</v>
      </c>
      <c r="E1123" s="23" t="s">
        <v>524</v>
      </c>
      <c r="L1123" s="15">
        <f>IFERROR(VLOOKUP($D1123&amp;$C1123,生产方式定位!$A$2:$E$38,2,FALSE)+VLOOKUP($E1123&amp;$C1123,生产方式定位!$F$3:$J$38,2,FALSE),0)</f>
        <v>0</v>
      </c>
      <c r="S1123" s="15">
        <f>IFERROR(VLOOKUP($D1123&amp;$C1123,生产方式定位!$A$2:$E$38,3,FALSE)+VLOOKUP($E1123&amp;$C1123,生产方式定位!$F$3:$J$38,3,FALSE),0)</f>
        <v>0</v>
      </c>
      <c r="X1123" s="15" t="str">
        <f>IFERROR(VLOOKUP($D1123&amp;$C1123,生产方式定位!$A$2:$E$38,5,FALSE)+VLOOKUP($E1123&amp;$C1123,生产方式定位!$F$3:$J$38,5,FALSE),"错误")</f>
        <v>错误</v>
      </c>
      <c r="Y1123" s="26" t="str">
        <f t="shared" si="304"/>
        <v/>
      </c>
      <c r="Z1123" s="36" t="str">
        <f t="shared" si="305"/>
        <v/>
      </c>
      <c r="AA1123" s="36" t="str">
        <f t="shared" si="306"/>
        <v/>
      </c>
      <c r="AB1123" s="27" t="str">
        <f t="shared" si="307"/>
        <v/>
      </c>
      <c r="AC1123" s="2" t="e">
        <f t="shared" si="308"/>
        <v>#VALUE!</v>
      </c>
      <c r="AD1123" s="37">
        <f t="shared" si="309"/>
        <v>3</v>
      </c>
      <c r="AE1123" t="str">
        <f t="shared" si="310"/>
        <v/>
      </c>
      <c r="AF1123" t="str">
        <f t="shared" si="311"/>
        <v/>
      </c>
      <c r="AG1123" t="str">
        <f t="shared" si="312"/>
        <v/>
      </c>
      <c r="AH1123" t="str">
        <f t="shared" si="313"/>
        <v/>
      </c>
      <c r="AI1123" t="str">
        <f t="shared" si="314"/>
        <v/>
      </c>
      <c r="AJ1123" t="str">
        <f t="shared" si="315"/>
        <v/>
      </c>
      <c r="AK1123" t="str">
        <f t="shared" si="316"/>
        <v/>
      </c>
      <c r="AL1123" t="str">
        <f>IFERROR(ROUND(L1123*(G1123/$AU1123)/VLOOKUP(F1123,商品!$A$4:$B$60,2,FALSE),0),"")</f>
        <v/>
      </c>
      <c r="AM1123" t="str">
        <f>IFERROR(ROUND(L1123*(I1123/$AU1123)/VLOOKUP(H1123,商品!$A$4:$B$60,2,FALSE),0),"")</f>
        <v/>
      </c>
      <c r="AN1123">
        <f>IFERROR(ROUND(L1123*(J1123/$AU1123)/VLOOKUP("运力",商品!$A$4:$B$60,2,FALSE),0),0)</f>
        <v>0</v>
      </c>
      <c r="AO1123">
        <f>IFERROR(ROUND(L1123*(K1123/$AU1123)/VLOOKUP("交易",商品!$A$4:$B$60,2,FALSE),0),0)</f>
        <v>0</v>
      </c>
      <c r="AP1123" t="str">
        <f>IFERROR(ROUND(S1123*(N1123/$AV1123)/VLOOKUP(M1123,职业!$A$4:$G$16,4,FALSE),0),"")</f>
        <v/>
      </c>
      <c r="AQ1123" t="str">
        <f>IFERROR(ROUND(S1123*(P1123/$AV1123)/VLOOKUP(O1123,职业!$A$4:$G$16,4,FALSE),0),"")</f>
        <v/>
      </c>
      <c r="AR1123" t="str">
        <f>IFERROR(ROUND(S1123*(R1123/$AV1123)/VLOOKUP(Q1123,职业!$A$4:$G$16,4,FALSE),0),"")</f>
        <v/>
      </c>
      <c r="AS1123" t="str">
        <f>IFERROR(ROUND(X1123*(U1123/$AW1123)/VLOOKUP(T1123,商品!$A$4:$B$60,2,FALSE),0),"")</f>
        <v/>
      </c>
      <c r="AT1123" t="str">
        <f>IFERROR(ROUND(X1123*(W1123/$AW1123)/VLOOKUP(V1123,商品!$A$4:$B$60,2,FALSE),0),"")</f>
        <v/>
      </c>
      <c r="AU1123">
        <f t="shared" si="317"/>
        <v>0</v>
      </c>
      <c r="AV1123">
        <f t="shared" si="318"/>
        <v>0</v>
      </c>
      <c r="AW1123">
        <f t="shared" si="319"/>
        <v>0</v>
      </c>
    </row>
    <row r="1124" spans="1:49" ht="19.95" customHeight="1" x14ac:dyDescent="0.25">
      <c r="A1124" s="16" t="s">
        <v>420</v>
      </c>
      <c r="C1124" s="16">
        <v>4</v>
      </c>
      <c r="D1124" s="23" t="s">
        <v>171</v>
      </c>
      <c r="E1124" s="23" t="s">
        <v>524</v>
      </c>
      <c r="L1124" s="15">
        <f>IFERROR(VLOOKUP($D1124&amp;$C1124,生产方式定位!$A$2:$E$38,2,FALSE)+VLOOKUP($E1124&amp;$C1124,生产方式定位!$F$3:$J$38,2,FALSE),0)</f>
        <v>0</v>
      </c>
      <c r="S1124" s="15">
        <f>IFERROR(VLOOKUP($D1124&amp;$C1124,生产方式定位!$A$2:$E$38,3,FALSE)+VLOOKUP($E1124&amp;$C1124,生产方式定位!$F$3:$J$38,3,FALSE),0)</f>
        <v>0</v>
      </c>
      <c r="X1124" s="15" t="str">
        <f>IFERROR(VLOOKUP($D1124&amp;$C1124,生产方式定位!$A$2:$E$38,5,FALSE)+VLOOKUP($E1124&amp;$C1124,生产方式定位!$F$3:$J$38,5,FALSE),"错误")</f>
        <v>错误</v>
      </c>
      <c r="Y1124" s="26" t="str">
        <f t="shared" si="304"/>
        <v/>
      </c>
      <c r="Z1124" s="36" t="str">
        <f t="shared" si="305"/>
        <v/>
      </c>
      <c r="AA1124" s="36" t="str">
        <f t="shared" si="306"/>
        <v/>
      </c>
      <c r="AB1124" s="27" t="str">
        <f t="shared" si="307"/>
        <v/>
      </c>
      <c r="AC1124" s="2" t="e">
        <f t="shared" si="308"/>
        <v>#VALUE!</v>
      </c>
      <c r="AD1124" s="37">
        <f t="shared" si="309"/>
        <v>4</v>
      </c>
      <c r="AE1124" t="str">
        <f t="shared" si="310"/>
        <v/>
      </c>
      <c r="AF1124" t="str">
        <f t="shared" si="311"/>
        <v/>
      </c>
      <c r="AG1124" t="str">
        <f t="shared" si="312"/>
        <v/>
      </c>
      <c r="AH1124" t="str">
        <f t="shared" si="313"/>
        <v/>
      </c>
      <c r="AI1124" t="str">
        <f t="shared" si="314"/>
        <v/>
      </c>
      <c r="AJ1124" t="str">
        <f t="shared" si="315"/>
        <v/>
      </c>
      <c r="AK1124" t="str">
        <f t="shared" si="316"/>
        <v/>
      </c>
      <c r="AL1124" t="str">
        <f>IFERROR(ROUND(L1124*(G1124/$AU1124)/VLOOKUP(F1124,商品!$A$4:$B$60,2,FALSE),0),"")</f>
        <v/>
      </c>
      <c r="AM1124" t="str">
        <f>IFERROR(ROUND(L1124*(I1124/$AU1124)/VLOOKUP(H1124,商品!$A$4:$B$60,2,FALSE),0),"")</f>
        <v/>
      </c>
      <c r="AN1124">
        <f>IFERROR(ROUND(L1124*(J1124/$AU1124)/VLOOKUP("运力",商品!$A$4:$B$60,2,FALSE),0),0)</f>
        <v>0</v>
      </c>
      <c r="AO1124">
        <f>IFERROR(ROUND(L1124*(K1124/$AU1124)/VLOOKUP("交易",商品!$A$4:$B$60,2,FALSE),0),0)</f>
        <v>0</v>
      </c>
      <c r="AP1124" t="str">
        <f>IFERROR(ROUND(S1124*(N1124/$AV1124)/VLOOKUP(M1124,职业!$A$4:$G$16,4,FALSE),0),"")</f>
        <v/>
      </c>
      <c r="AQ1124" t="str">
        <f>IFERROR(ROUND(S1124*(P1124/$AV1124)/VLOOKUP(O1124,职业!$A$4:$G$16,4,FALSE),0),"")</f>
        <v/>
      </c>
      <c r="AR1124" t="str">
        <f>IFERROR(ROUND(S1124*(R1124/$AV1124)/VLOOKUP(Q1124,职业!$A$4:$G$16,4,FALSE),0),"")</f>
        <v/>
      </c>
      <c r="AS1124" t="str">
        <f>IFERROR(ROUND(X1124*(U1124/$AW1124)/VLOOKUP(T1124,商品!$A$4:$B$60,2,FALSE),0),"")</f>
        <v/>
      </c>
      <c r="AT1124" t="str">
        <f>IFERROR(ROUND(X1124*(W1124/$AW1124)/VLOOKUP(V1124,商品!$A$4:$B$60,2,FALSE),0),"")</f>
        <v/>
      </c>
      <c r="AU1124">
        <f t="shared" si="317"/>
        <v>0</v>
      </c>
      <c r="AV1124">
        <f t="shared" si="318"/>
        <v>0</v>
      </c>
      <c r="AW1124">
        <f t="shared" si="319"/>
        <v>0</v>
      </c>
    </row>
    <row r="1125" spans="1:49" ht="19.95" customHeight="1" x14ac:dyDescent="0.25">
      <c r="A1125" s="16" t="s">
        <v>420</v>
      </c>
      <c r="C1125" s="16">
        <v>5</v>
      </c>
      <c r="D1125" s="23" t="s">
        <v>171</v>
      </c>
      <c r="E1125" s="23" t="s">
        <v>524</v>
      </c>
      <c r="L1125" s="15">
        <f>IFERROR(VLOOKUP($D1125&amp;$C1125,生产方式定位!$A$2:$E$38,2,FALSE)+VLOOKUP($E1125&amp;$C1125,生产方式定位!$F$3:$J$38,2,FALSE),0)</f>
        <v>0</v>
      </c>
      <c r="S1125" s="15">
        <f>IFERROR(VLOOKUP($D1125&amp;$C1125,生产方式定位!$A$2:$E$38,3,FALSE)+VLOOKUP($E1125&amp;$C1125,生产方式定位!$F$3:$J$38,3,FALSE),0)</f>
        <v>0</v>
      </c>
      <c r="X1125" s="15" t="str">
        <f>IFERROR(VLOOKUP($D1125&amp;$C1125,生产方式定位!$A$2:$E$38,5,FALSE)+VLOOKUP($E1125&amp;$C1125,生产方式定位!$F$3:$J$38,5,FALSE),"错误")</f>
        <v>错误</v>
      </c>
      <c r="Y1125" s="26" t="str">
        <f t="shared" si="304"/>
        <v/>
      </c>
      <c r="Z1125" s="36" t="str">
        <f t="shared" si="305"/>
        <v/>
      </c>
      <c r="AA1125" s="36" t="str">
        <f t="shared" si="306"/>
        <v/>
      </c>
      <c r="AB1125" s="27" t="str">
        <f t="shared" si="307"/>
        <v/>
      </c>
      <c r="AC1125" s="2" t="e">
        <f t="shared" si="308"/>
        <v>#VALUE!</v>
      </c>
      <c r="AD1125" s="37">
        <f t="shared" si="309"/>
        <v>5</v>
      </c>
      <c r="AE1125" t="str">
        <f t="shared" si="310"/>
        <v/>
      </c>
      <c r="AF1125" t="str">
        <f t="shared" si="311"/>
        <v/>
      </c>
      <c r="AG1125" t="str">
        <f t="shared" si="312"/>
        <v/>
      </c>
      <c r="AH1125" t="str">
        <f t="shared" si="313"/>
        <v/>
      </c>
      <c r="AI1125" t="str">
        <f t="shared" si="314"/>
        <v/>
      </c>
      <c r="AJ1125" t="str">
        <f t="shared" si="315"/>
        <v/>
      </c>
      <c r="AK1125" t="str">
        <f t="shared" si="316"/>
        <v/>
      </c>
      <c r="AL1125" t="str">
        <f>IFERROR(ROUND(L1125*(G1125/$AU1125)/VLOOKUP(F1125,商品!$A$4:$B$60,2,FALSE),0),"")</f>
        <v/>
      </c>
      <c r="AM1125" t="str">
        <f>IFERROR(ROUND(L1125*(I1125/$AU1125)/VLOOKUP(H1125,商品!$A$4:$B$60,2,FALSE),0),"")</f>
        <v/>
      </c>
      <c r="AN1125">
        <f>IFERROR(ROUND(L1125*(J1125/$AU1125)/VLOOKUP("运力",商品!$A$4:$B$60,2,FALSE),0),0)</f>
        <v>0</v>
      </c>
      <c r="AO1125">
        <f>IFERROR(ROUND(L1125*(K1125/$AU1125)/VLOOKUP("交易",商品!$A$4:$B$60,2,FALSE),0),0)</f>
        <v>0</v>
      </c>
      <c r="AP1125" t="str">
        <f>IFERROR(ROUND(S1125*(N1125/$AV1125)/VLOOKUP(M1125,职业!$A$4:$G$16,4,FALSE),0),"")</f>
        <v/>
      </c>
      <c r="AQ1125" t="str">
        <f>IFERROR(ROUND(S1125*(P1125/$AV1125)/VLOOKUP(O1125,职业!$A$4:$G$16,4,FALSE),0),"")</f>
        <v/>
      </c>
      <c r="AR1125" t="str">
        <f>IFERROR(ROUND(S1125*(R1125/$AV1125)/VLOOKUP(Q1125,职业!$A$4:$G$16,4,FALSE),0),"")</f>
        <v/>
      </c>
      <c r="AS1125" t="str">
        <f>IFERROR(ROUND(X1125*(U1125/$AW1125)/VLOOKUP(T1125,商品!$A$4:$B$60,2,FALSE),0),"")</f>
        <v/>
      </c>
      <c r="AT1125" t="str">
        <f>IFERROR(ROUND(X1125*(W1125/$AW1125)/VLOOKUP(V1125,商品!$A$4:$B$60,2,FALSE),0),"")</f>
        <v/>
      </c>
      <c r="AU1125">
        <f t="shared" si="317"/>
        <v>0</v>
      </c>
      <c r="AV1125">
        <f t="shared" si="318"/>
        <v>0</v>
      </c>
      <c r="AW1125">
        <f t="shared" si="319"/>
        <v>0</v>
      </c>
    </row>
    <row r="1126" spans="1:49" ht="19.95" customHeight="1" x14ac:dyDescent="0.25">
      <c r="A1126" s="15" t="s">
        <v>421</v>
      </c>
      <c r="C1126" s="15">
        <v>1</v>
      </c>
      <c r="D1126" s="23" t="s">
        <v>174</v>
      </c>
      <c r="E1126" s="23" t="s">
        <v>179</v>
      </c>
      <c r="L1126" s="16">
        <f>IFERROR(VLOOKUP($D1126&amp;$C1126,生产方式定位!$A$2:$E$38,2,FALSE)+VLOOKUP($E1126&amp;$C1126,生产方式定位!$F$3:$J$38,2,FALSE),0)</f>
        <v>0</v>
      </c>
      <c r="S1126" s="16">
        <f>IFERROR(VLOOKUP($D1126&amp;$C1126,生产方式定位!$A$2:$E$38,3,FALSE)+VLOOKUP($E1126&amp;$C1126,生产方式定位!$F$3:$J$38,3,FALSE),0)</f>
        <v>100</v>
      </c>
      <c r="X1126" s="16">
        <f>IFERROR(VLOOKUP($D1126&amp;$C1126,生产方式定位!$A$2:$E$38,5,FALSE)+VLOOKUP($E1126&amp;$C1126,生产方式定位!$F$3:$J$38,5,FALSE),"错误")</f>
        <v>100</v>
      </c>
      <c r="Y1126" s="26" t="str">
        <f t="shared" si="304"/>
        <v/>
      </c>
      <c r="Z1126" s="36" t="str">
        <f t="shared" si="305"/>
        <v/>
      </c>
      <c r="AA1126" s="36" t="str">
        <f t="shared" si="306"/>
        <v/>
      </c>
      <c r="AB1126" s="27" t="str">
        <f t="shared" si="307"/>
        <v/>
      </c>
      <c r="AC1126" s="2" t="str">
        <f t="shared" si="308"/>
        <v/>
      </c>
      <c r="AD1126" s="38">
        <f t="shared" si="309"/>
        <v>1</v>
      </c>
      <c r="AE1126" t="str">
        <f t="shared" si="310"/>
        <v/>
      </c>
      <c r="AF1126" t="str">
        <f t="shared" si="311"/>
        <v/>
      </c>
      <c r="AG1126" t="str">
        <f t="shared" si="312"/>
        <v/>
      </c>
      <c r="AH1126" t="str">
        <f t="shared" si="313"/>
        <v/>
      </c>
      <c r="AI1126" t="str">
        <f t="shared" si="314"/>
        <v/>
      </c>
      <c r="AJ1126" t="str">
        <f t="shared" si="315"/>
        <v/>
      </c>
      <c r="AK1126" t="str">
        <f t="shared" si="316"/>
        <v/>
      </c>
      <c r="AL1126" t="str">
        <f>IFERROR(ROUND(L1126*(G1126/$AU1126)/VLOOKUP(F1126,商品!$A$4:$B$60,2,FALSE),0),"")</f>
        <v/>
      </c>
      <c r="AM1126" t="str">
        <f>IFERROR(ROUND(L1126*(I1126/$AU1126)/VLOOKUP(H1126,商品!$A$4:$B$60,2,FALSE),0),"")</f>
        <v/>
      </c>
      <c r="AN1126">
        <f>IFERROR(ROUND(L1126*(J1126/$AU1126)/VLOOKUP("运力",商品!$A$4:$B$60,2,FALSE),0),0)</f>
        <v>0</v>
      </c>
      <c r="AO1126">
        <f>IFERROR(ROUND(L1126*(K1126/$AU1126)/VLOOKUP("交易",商品!$A$4:$B$60,2,FALSE),0),0)</f>
        <v>0</v>
      </c>
      <c r="AP1126" t="str">
        <f>IFERROR(ROUND(S1126*(N1126/$AV1126)/VLOOKUP(M1126,职业!$A$4:$G$16,4,FALSE),0),"")</f>
        <v/>
      </c>
      <c r="AQ1126" t="str">
        <f>IFERROR(ROUND(S1126*(P1126/$AV1126)/VLOOKUP(O1126,职业!$A$4:$G$16,4,FALSE),0),"")</f>
        <v/>
      </c>
      <c r="AR1126" t="str">
        <f>IFERROR(ROUND(S1126*(R1126/$AV1126)/VLOOKUP(Q1126,职业!$A$4:$G$16,4,FALSE),0),"")</f>
        <v/>
      </c>
      <c r="AS1126" t="str">
        <f>IFERROR(ROUND(X1126*(U1126/$AW1126)/VLOOKUP(T1126,商品!$A$4:$B$60,2,FALSE),0),"")</f>
        <v/>
      </c>
      <c r="AT1126" t="str">
        <f>IFERROR(ROUND(X1126*(W1126/$AW1126)/VLOOKUP(V1126,商品!$A$4:$B$60,2,FALSE),0),"")</f>
        <v/>
      </c>
      <c r="AU1126">
        <f t="shared" si="317"/>
        <v>0</v>
      </c>
      <c r="AV1126">
        <f t="shared" si="318"/>
        <v>0</v>
      </c>
      <c r="AW1126">
        <f t="shared" si="319"/>
        <v>0</v>
      </c>
    </row>
    <row r="1127" spans="1:49" ht="19.95" customHeight="1" x14ac:dyDescent="0.25">
      <c r="A1127" s="15" t="s">
        <v>421</v>
      </c>
      <c r="C1127" s="15">
        <v>2</v>
      </c>
      <c r="D1127" s="23" t="s">
        <v>174</v>
      </c>
      <c r="E1127" s="23" t="s">
        <v>179</v>
      </c>
      <c r="L1127" s="16">
        <f>IFERROR(VLOOKUP($D1127&amp;$C1127,生产方式定位!$A$2:$E$38,2,FALSE)+VLOOKUP($E1127&amp;$C1127,生产方式定位!$F$3:$J$38,2,FALSE),0)</f>
        <v>0</v>
      </c>
      <c r="S1127" s="16">
        <f>IFERROR(VLOOKUP($D1127&amp;$C1127,生产方式定位!$A$2:$E$38,3,FALSE)+VLOOKUP($E1127&amp;$C1127,生产方式定位!$F$3:$J$38,3,FALSE),0)</f>
        <v>100</v>
      </c>
      <c r="X1127" s="16">
        <f>IFERROR(VLOOKUP($D1127&amp;$C1127,生产方式定位!$A$2:$E$38,5,FALSE)+VLOOKUP($E1127&amp;$C1127,生产方式定位!$F$3:$J$38,5,FALSE),"错误")</f>
        <v>100</v>
      </c>
      <c r="Y1127" s="26" t="str">
        <f t="shared" si="304"/>
        <v/>
      </c>
      <c r="Z1127" s="36" t="str">
        <f t="shared" si="305"/>
        <v/>
      </c>
      <c r="AA1127" s="36" t="str">
        <f t="shared" si="306"/>
        <v/>
      </c>
      <c r="AB1127" s="27" t="str">
        <f t="shared" si="307"/>
        <v/>
      </c>
      <c r="AC1127" s="2" t="str">
        <f t="shared" si="308"/>
        <v/>
      </c>
      <c r="AD1127" s="38">
        <f t="shared" si="309"/>
        <v>2</v>
      </c>
      <c r="AE1127" t="str">
        <f t="shared" si="310"/>
        <v/>
      </c>
      <c r="AF1127" t="str">
        <f t="shared" si="311"/>
        <v/>
      </c>
      <c r="AG1127" t="str">
        <f t="shared" si="312"/>
        <v/>
      </c>
      <c r="AH1127" t="str">
        <f t="shared" si="313"/>
        <v/>
      </c>
      <c r="AI1127" t="str">
        <f t="shared" si="314"/>
        <v/>
      </c>
      <c r="AJ1127" t="str">
        <f t="shared" si="315"/>
        <v/>
      </c>
      <c r="AK1127" t="str">
        <f t="shared" si="316"/>
        <v/>
      </c>
      <c r="AL1127" t="str">
        <f>IFERROR(ROUND(L1127*(G1127/$AU1127)/VLOOKUP(F1127,商品!$A$4:$B$60,2,FALSE),0),"")</f>
        <v/>
      </c>
      <c r="AM1127" t="str">
        <f>IFERROR(ROUND(L1127*(I1127/$AU1127)/VLOOKUP(H1127,商品!$A$4:$B$60,2,FALSE),0),"")</f>
        <v/>
      </c>
      <c r="AN1127">
        <f>IFERROR(ROUND(L1127*(J1127/$AU1127)/VLOOKUP("运力",商品!$A$4:$B$60,2,FALSE),0),0)</f>
        <v>0</v>
      </c>
      <c r="AO1127">
        <f>IFERROR(ROUND(L1127*(K1127/$AU1127)/VLOOKUP("交易",商品!$A$4:$B$60,2,FALSE),0),0)</f>
        <v>0</v>
      </c>
      <c r="AP1127" t="str">
        <f>IFERROR(ROUND(S1127*(N1127/$AV1127)/VLOOKUP(M1127,职业!$A$4:$G$16,4,FALSE),0),"")</f>
        <v/>
      </c>
      <c r="AQ1127" t="str">
        <f>IFERROR(ROUND(S1127*(P1127/$AV1127)/VLOOKUP(O1127,职业!$A$4:$G$16,4,FALSE),0),"")</f>
        <v/>
      </c>
      <c r="AR1127" t="str">
        <f>IFERROR(ROUND(S1127*(R1127/$AV1127)/VLOOKUP(Q1127,职业!$A$4:$G$16,4,FALSE),0),"")</f>
        <v/>
      </c>
      <c r="AS1127" t="str">
        <f>IFERROR(ROUND(X1127*(U1127/$AW1127)/VLOOKUP(T1127,商品!$A$4:$B$60,2,FALSE),0),"")</f>
        <v/>
      </c>
      <c r="AT1127" t="str">
        <f>IFERROR(ROUND(X1127*(W1127/$AW1127)/VLOOKUP(V1127,商品!$A$4:$B$60,2,FALSE),0),"")</f>
        <v/>
      </c>
      <c r="AU1127">
        <f t="shared" si="317"/>
        <v>0</v>
      </c>
      <c r="AV1127">
        <f t="shared" si="318"/>
        <v>0</v>
      </c>
      <c r="AW1127">
        <f t="shared" si="319"/>
        <v>0</v>
      </c>
    </row>
    <row r="1128" spans="1:49" ht="19.95" customHeight="1" x14ac:dyDescent="0.25">
      <c r="A1128" s="15" t="s">
        <v>421</v>
      </c>
      <c r="C1128" s="15">
        <v>3</v>
      </c>
      <c r="D1128" s="23" t="s">
        <v>174</v>
      </c>
      <c r="E1128" s="23" t="s">
        <v>179</v>
      </c>
      <c r="L1128" s="16">
        <f>IFERROR(VLOOKUP($D1128&amp;$C1128,生产方式定位!$A$2:$E$38,2,FALSE)+VLOOKUP($E1128&amp;$C1128,生产方式定位!$F$3:$J$38,2,FALSE),0)</f>
        <v>0</v>
      </c>
      <c r="S1128" s="16">
        <f>IFERROR(VLOOKUP($D1128&amp;$C1128,生产方式定位!$A$2:$E$38,3,FALSE)+VLOOKUP($E1128&amp;$C1128,生产方式定位!$F$3:$J$38,3,FALSE),0)</f>
        <v>100</v>
      </c>
      <c r="X1128" s="16">
        <f>IFERROR(VLOOKUP($D1128&amp;$C1128,生产方式定位!$A$2:$E$38,5,FALSE)+VLOOKUP($E1128&amp;$C1128,生产方式定位!$F$3:$J$38,5,FALSE),"错误")</f>
        <v>100</v>
      </c>
      <c r="Y1128" s="26" t="str">
        <f t="shared" si="304"/>
        <v/>
      </c>
      <c r="Z1128" s="36" t="str">
        <f t="shared" si="305"/>
        <v/>
      </c>
      <c r="AA1128" s="36" t="str">
        <f t="shared" si="306"/>
        <v/>
      </c>
      <c r="AB1128" s="27" t="str">
        <f t="shared" si="307"/>
        <v/>
      </c>
      <c r="AC1128" s="2" t="str">
        <f t="shared" si="308"/>
        <v/>
      </c>
      <c r="AD1128" s="38">
        <f t="shared" si="309"/>
        <v>3</v>
      </c>
      <c r="AE1128" t="str">
        <f t="shared" si="310"/>
        <v/>
      </c>
      <c r="AF1128" t="str">
        <f t="shared" si="311"/>
        <v/>
      </c>
      <c r="AG1128" t="str">
        <f t="shared" si="312"/>
        <v/>
      </c>
      <c r="AH1128" t="str">
        <f t="shared" si="313"/>
        <v/>
      </c>
      <c r="AI1128" t="str">
        <f t="shared" si="314"/>
        <v/>
      </c>
      <c r="AJ1128" t="str">
        <f t="shared" si="315"/>
        <v/>
      </c>
      <c r="AK1128" t="str">
        <f t="shared" si="316"/>
        <v/>
      </c>
      <c r="AL1128" t="str">
        <f>IFERROR(ROUND(L1128*(G1128/$AU1128)/VLOOKUP(F1128,商品!$A$4:$B$60,2,FALSE),0),"")</f>
        <v/>
      </c>
      <c r="AM1128" t="str">
        <f>IFERROR(ROUND(L1128*(I1128/$AU1128)/VLOOKUP(H1128,商品!$A$4:$B$60,2,FALSE),0),"")</f>
        <v/>
      </c>
      <c r="AN1128">
        <f>IFERROR(ROUND(L1128*(J1128/$AU1128)/VLOOKUP("运力",商品!$A$4:$B$60,2,FALSE),0),0)</f>
        <v>0</v>
      </c>
      <c r="AO1128">
        <f>IFERROR(ROUND(L1128*(K1128/$AU1128)/VLOOKUP("交易",商品!$A$4:$B$60,2,FALSE),0),0)</f>
        <v>0</v>
      </c>
      <c r="AP1128" t="str">
        <f>IFERROR(ROUND(S1128*(N1128/$AV1128)/VLOOKUP(M1128,职业!$A$4:$G$16,4,FALSE),0),"")</f>
        <v/>
      </c>
      <c r="AQ1128" t="str">
        <f>IFERROR(ROUND(S1128*(P1128/$AV1128)/VLOOKUP(O1128,职业!$A$4:$G$16,4,FALSE),0),"")</f>
        <v/>
      </c>
      <c r="AR1128" t="str">
        <f>IFERROR(ROUND(S1128*(R1128/$AV1128)/VLOOKUP(Q1128,职业!$A$4:$G$16,4,FALSE),0),"")</f>
        <v/>
      </c>
      <c r="AS1128" t="str">
        <f>IFERROR(ROUND(X1128*(U1128/$AW1128)/VLOOKUP(T1128,商品!$A$4:$B$60,2,FALSE),0),"")</f>
        <v/>
      </c>
      <c r="AT1128" t="str">
        <f>IFERROR(ROUND(X1128*(W1128/$AW1128)/VLOOKUP(V1128,商品!$A$4:$B$60,2,FALSE),0),"")</f>
        <v/>
      </c>
      <c r="AU1128">
        <f t="shared" si="317"/>
        <v>0</v>
      </c>
      <c r="AV1128">
        <f t="shared" si="318"/>
        <v>0</v>
      </c>
      <c r="AW1128">
        <f t="shared" si="319"/>
        <v>0</v>
      </c>
    </row>
    <row r="1129" spans="1:49" ht="19.95" customHeight="1" x14ac:dyDescent="0.25">
      <c r="A1129" s="15" t="s">
        <v>421</v>
      </c>
      <c r="C1129" s="15">
        <v>4</v>
      </c>
      <c r="D1129" s="23" t="s">
        <v>174</v>
      </c>
      <c r="E1129" s="23" t="s">
        <v>179</v>
      </c>
      <c r="L1129" s="16">
        <f>IFERROR(VLOOKUP($D1129&amp;$C1129,生产方式定位!$A$2:$E$38,2,FALSE)+VLOOKUP($E1129&amp;$C1129,生产方式定位!$F$3:$J$38,2,FALSE),0)</f>
        <v>0</v>
      </c>
      <c r="S1129" s="16">
        <f>IFERROR(VLOOKUP($D1129&amp;$C1129,生产方式定位!$A$2:$E$38,3,FALSE)+VLOOKUP($E1129&amp;$C1129,生产方式定位!$F$3:$J$38,3,FALSE),0)</f>
        <v>100</v>
      </c>
      <c r="X1129" s="16">
        <f>IFERROR(VLOOKUP($D1129&amp;$C1129,生产方式定位!$A$2:$E$38,5,FALSE)+VLOOKUP($E1129&amp;$C1129,生产方式定位!$F$3:$J$38,5,FALSE),"错误")</f>
        <v>100</v>
      </c>
      <c r="Y1129" s="26" t="str">
        <f t="shared" si="304"/>
        <v/>
      </c>
      <c r="Z1129" s="36" t="str">
        <f t="shared" si="305"/>
        <v/>
      </c>
      <c r="AA1129" s="36" t="str">
        <f t="shared" si="306"/>
        <v/>
      </c>
      <c r="AB1129" s="27" t="str">
        <f t="shared" si="307"/>
        <v/>
      </c>
      <c r="AC1129" s="2" t="str">
        <f t="shared" si="308"/>
        <v/>
      </c>
      <c r="AD1129" s="38">
        <f t="shared" si="309"/>
        <v>4</v>
      </c>
      <c r="AE1129" t="str">
        <f t="shared" si="310"/>
        <v/>
      </c>
      <c r="AF1129" t="str">
        <f t="shared" si="311"/>
        <v/>
      </c>
      <c r="AG1129" t="str">
        <f t="shared" si="312"/>
        <v/>
      </c>
      <c r="AH1129" t="str">
        <f t="shared" si="313"/>
        <v/>
      </c>
      <c r="AI1129" t="str">
        <f t="shared" si="314"/>
        <v/>
      </c>
      <c r="AJ1129" t="str">
        <f t="shared" si="315"/>
        <v/>
      </c>
      <c r="AK1129" t="str">
        <f t="shared" si="316"/>
        <v/>
      </c>
      <c r="AL1129" t="str">
        <f>IFERROR(ROUND(L1129*(G1129/$AU1129)/VLOOKUP(F1129,商品!$A$4:$B$60,2,FALSE),0),"")</f>
        <v/>
      </c>
      <c r="AM1129" t="str">
        <f>IFERROR(ROUND(L1129*(I1129/$AU1129)/VLOOKUP(H1129,商品!$A$4:$B$60,2,FALSE),0),"")</f>
        <v/>
      </c>
      <c r="AN1129">
        <f>IFERROR(ROUND(L1129*(J1129/$AU1129)/VLOOKUP("运力",商品!$A$4:$B$60,2,FALSE),0),0)</f>
        <v>0</v>
      </c>
      <c r="AO1129">
        <f>IFERROR(ROUND(L1129*(K1129/$AU1129)/VLOOKUP("交易",商品!$A$4:$B$60,2,FALSE),0),0)</f>
        <v>0</v>
      </c>
      <c r="AP1129" t="str">
        <f>IFERROR(ROUND(S1129*(N1129/$AV1129)/VLOOKUP(M1129,职业!$A$4:$G$16,4,FALSE),0),"")</f>
        <v/>
      </c>
      <c r="AQ1129" t="str">
        <f>IFERROR(ROUND(S1129*(P1129/$AV1129)/VLOOKUP(O1129,职业!$A$4:$G$16,4,FALSE),0),"")</f>
        <v/>
      </c>
      <c r="AR1129" t="str">
        <f>IFERROR(ROUND(S1129*(R1129/$AV1129)/VLOOKUP(Q1129,职业!$A$4:$G$16,4,FALSE),0),"")</f>
        <v/>
      </c>
      <c r="AS1129" t="str">
        <f>IFERROR(ROUND(X1129*(U1129/$AW1129)/VLOOKUP(T1129,商品!$A$4:$B$60,2,FALSE),0),"")</f>
        <v/>
      </c>
      <c r="AT1129" t="str">
        <f>IFERROR(ROUND(X1129*(W1129/$AW1129)/VLOOKUP(V1129,商品!$A$4:$B$60,2,FALSE),0),"")</f>
        <v/>
      </c>
      <c r="AU1129">
        <f t="shared" si="317"/>
        <v>0</v>
      </c>
      <c r="AV1129">
        <f t="shared" si="318"/>
        <v>0</v>
      </c>
      <c r="AW1129">
        <f t="shared" si="319"/>
        <v>0</v>
      </c>
    </row>
    <row r="1130" spans="1:49" ht="19.95" customHeight="1" x14ac:dyDescent="0.25">
      <c r="A1130" s="15" t="s">
        <v>421</v>
      </c>
      <c r="C1130" s="15">
        <v>5</v>
      </c>
      <c r="D1130" s="23" t="s">
        <v>174</v>
      </c>
      <c r="E1130" s="23" t="s">
        <v>179</v>
      </c>
      <c r="L1130" s="16">
        <f>IFERROR(VLOOKUP($D1130&amp;$C1130,生产方式定位!$A$2:$E$38,2,FALSE)+VLOOKUP($E1130&amp;$C1130,生产方式定位!$F$3:$J$38,2,FALSE),0)</f>
        <v>0</v>
      </c>
      <c r="S1130" s="16">
        <f>IFERROR(VLOOKUP($D1130&amp;$C1130,生产方式定位!$A$2:$E$38,3,FALSE)+VLOOKUP($E1130&amp;$C1130,生产方式定位!$F$3:$J$38,3,FALSE),0)</f>
        <v>100</v>
      </c>
      <c r="X1130" s="16">
        <f>IFERROR(VLOOKUP($D1130&amp;$C1130,生产方式定位!$A$2:$E$38,5,FALSE)+VLOOKUP($E1130&amp;$C1130,生产方式定位!$F$3:$J$38,5,FALSE),"错误")</f>
        <v>100</v>
      </c>
      <c r="Y1130" s="26" t="str">
        <f t="shared" si="304"/>
        <v/>
      </c>
      <c r="Z1130" s="36" t="str">
        <f t="shared" si="305"/>
        <v/>
      </c>
      <c r="AA1130" s="36" t="str">
        <f t="shared" si="306"/>
        <v/>
      </c>
      <c r="AB1130" s="27" t="str">
        <f t="shared" si="307"/>
        <v/>
      </c>
      <c r="AC1130" s="2" t="str">
        <f t="shared" si="308"/>
        <v/>
      </c>
      <c r="AD1130" s="38">
        <f t="shared" si="309"/>
        <v>5</v>
      </c>
      <c r="AE1130" t="str">
        <f t="shared" si="310"/>
        <v/>
      </c>
      <c r="AF1130" t="str">
        <f t="shared" si="311"/>
        <v/>
      </c>
      <c r="AG1130" t="str">
        <f t="shared" si="312"/>
        <v/>
      </c>
      <c r="AH1130" t="str">
        <f t="shared" si="313"/>
        <v/>
      </c>
      <c r="AI1130" t="str">
        <f t="shared" si="314"/>
        <v/>
      </c>
      <c r="AJ1130" t="str">
        <f t="shared" si="315"/>
        <v/>
      </c>
      <c r="AK1130" t="str">
        <f t="shared" si="316"/>
        <v/>
      </c>
      <c r="AL1130" t="str">
        <f>IFERROR(ROUND(L1130*(G1130/$AU1130)/VLOOKUP(F1130,商品!$A$4:$B$60,2,FALSE),0),"")</f>
        <v/>
      </c>
      <c r="AM1130" t="str">
        <f>IFERROR(ROUND(L1130*(I1130/$AU1130)/VLOOKUP(H1130,商品!$A$4:$B$60,2,FALSE),0),"")</f>
        <v/>
      </c>
      <c r="AN1130">
        <f>IFERROR(ROUND(L1130*(J1130/$AU1130)/VLOOKUP("运力",商品!$A$4:$B$60,2,FALSE),0),0)</f>
        <v>0</v>
      </c>
      <c r="AO1130">
        <f>IFERROR(ROUND(L1130*(K1130/$AU1130)/VLOOKUP("交易",商品!$A$4:$B$60,2,FALSE),0),0)</f>
        <v>0</v>
      </c>
      <c r="AP1130" t="str">
        <f>IFERROR(ROUND(S1130*(N1130/$AV1130)/VLOOKUP(M1130,职业!$A$4:$G$16,4,FALSE),0),"")</f>
        <v/>
      </c>
      <c r="AQ1130" t="str">
        <f>IFERROR(ROUND(S1130*(P1130/$AV1130)/VLOOKUP(O1130,职业!$A$4:$G$16,4,FALSE),0),"")</f>
        <v/>
      </c>
      <c r="AR1130" t="str">
        <f>IFERROR(ROUND(S1130*(R1130/$AV1130)/VLOOKUP(Q1130,职业!$A$4:$G$16,4,FALSE),0),"")</f>
        <v/>
      </c>
      <c r="AS1130" t="str">
        <f>IFERROR(ROUND(X1130*(U1130/$AW1130)/VLOOKUP(T1130,商品!$A$4:$B$60,2,FALSE),0),"")</f>
        <v/>
      </c>
      <c r="AT1130" t="str">
        <f>IFERROR(ROUND(X1130*(W1130/$AW1130)/VLOOKUP(V1130,商品!$A$4:$B$60,2,FALSE),0),"")</f>
        <v/>
      </c>
      <c r="AU1130">
        <f t="shared" si="317"/>
        <v>0</v>
      </c>
      <c r="AV1130">
        <f t="shared" si="318"/>
        <v>0</v>
      </c>
      <c r="AW1130">
        <f t="shared" si="319"/>
        <v>0</v>
      </c>
    </row>
    <row r="1131" spans="1:49" ht="19.95" customHeight="1" x14ac:dyDescent="0.25">
      <c r="A1131" s="15" t="s">
        <v>421</v>
      </c>
      <c r="C1131" s="15">
        <v>6</v>
      </c>
      <c r="D1131" s="23" t="s">
        <v>174</v>
      </c>
      <c r="E1131" s="23" t="s">
        <v>179</v>
      </c>
      <c r="L1131" s="16">
        <f>IFERROR(VLOOKUP($D1131&amp;$C1131,生产方式定位!$A$2:$E$38,2,FALSE)+VLOOKUP($E1131&amp;$C1131,生产方式定位!$F$3:$J$38,2,FALSE),0)</f>
        <v>0</v>
      </c>
      <c r="S1131" s="16">
        <f>IFERROR(VLOOKUP($D1131&amp;$C1131,生产方式定位!$A$2:$E$38,3,FALSE)+VLOOKUP($E1131&amp;$C1131,生产方式定位!$F$3:$J$38,3,FALSE),0)</f>
        <v>100</v>
      </c>
      <c r="X1131" s="16">
        <f>IFERROR(VLOOKUP($D1131&amp;$C1131,生产方式定位!$A$2:$E$38,5,FALSE)+VLOOKUP($E1131&amp;$C1131,生产方式定位!$F$3:$J$38,5,FALSE),"错误")</f>
        <v>100</v>
      </c>
      <c r="Y1131" s="26" t="str">
        <f t="shared" si="304"/>
        <v/>
      </c>
      <c r="Z1131" s="36" t="str">
        <f t="shared" si="305"/>
        <v/>
      </c>
      <c r="AA1131" s="36" t="str">
        <f t="shared" si="306"/>
        <v/>
      </c>
      <c r="AB1131" s="27" t="str">
        <f t="shared" si="307"/>
        <v/>
      </c>
      <c r="AC1131" s="2" t="str">
        <f t="shared" si="308"/>
        <v/>
      </c>
      <c r="AD1131" s="37">
        <f t="shared" si="309"/>
        <v>6</v>
      </c>
      <c r="AE1131" t="str">
        <f t="shared" si="310"/>
        <v/>
      </c>
      <c r="AF1131" t="str">
        <f t="shared" si="311"/>
        <v/>
      </c>
      <c r="AG1131" t="str">
        <f t="shared" si="312"/>
        <v/>
      </c>
      <c r="AH1131" t="str">
        <f t="shared" si="313"/>
        <v/>
      </c>
      <c r="AI1131" t="str">
        <f t="shared" si="314"/>
        <v/>
      </c>
      <c r="AJ1131" t="str">
        <f t="shared" si="315"/>
        <v/>
      </c>
      <c r="AK1131" t="str">
        <f t="shared" si="316"/>
        <v/>
      </c>
      <c r="AL1131" t="str">
        <f>IFERROR(ROUND(L1131*(G1131/$AU1131)/VLOOKUP(F1131,商品!$A$4:$B$60,2,FALSE),0),"")</f>
        <v/>
      </c>
      <c r="AM1131" t="str">
        <f>IFERROR(ROUND(L1131*(I1131/$AU1131)/VLOOKUP(H1131,商品!$A$4:$B$60,2,FALSE),0),"")</f>
        <v/>
      </c>
      <c r="AN1131">
        <f>IFERROR(ROUND(L1131*(J1131/$AU1131)/VLOOKUP("运力",商品!$A$4:$B$60,2,FALSE),0),0)</f>
        <v>0</v>
      </c>
      <c r="AO1131">
        <f>IFERROR(ROUND(L1131*(K1131/$AU1131)/VLOOKUP("交易",商品!$A$4:$B$60,2,FALSE),0),0)</f>
        <v>0</v>
      </c>
      <c r="AP1131" t="str">
        <f>IFERROR(ROUND(S1131*(N1131/$AV1131)/VLOOKUP(M1131,职业!$A$4:$G$16,4,FALSE),0),"")</f>
        <v/>
      </c>
      <c r="AQ1131" t="str">
        <f>IFERROR(ROUND(S1131*(P1131/$AV1131)/VLOOKUP(O1131,职业!$A$4:$G$16,4,FALSE),0),"")</f>
        <v/>
      </c>
      <c r="AR1131" t="str">
        <f>IFERROR(ROUND(S1131*(R1131/$AV1131)/VLOOKUP(Q1131,职业!$A$4:$G$16,4,FALSE),0),"")</f>
        <v/>
      </c>
      <c r="AS1131" t="str">
        <f>IFERROR(ROUND(X1131*(U1131/$AW1131)/VLOOKUP(T1131,商品!$A$4:$B$60,2,FALSE),0),"")</f>
        <v/>
      </c>
      <c r="AT1131" t="str">
        <f>IFERROR(ROUND(X1131*(W1131/$AW1131)/VLOOKUP(V1131,商品!$A$4:$B$60,2,FALSE),0),"")</f>
        <v/>
      </c>
      <c r="AU1131">
        <f t="shared" si="317"/>
        <v>0</v>
      </c>
      <c r="AV1131">
        <f t="shared" si="318"/>
        <v>0</v>
      </c>
      <c r="AW1131">
        <f t="shared" si="319"/>
        <v>0</v>
      </c>
    </row>
    <row r="1132" spans="1:49" ht="19.95" customHeight="1" x14ac:dyDescent="0.25">
      <c r="A1132" s="15" t="s">
        <v>421</v>
      </c>
      <c r="C1132" s="15">
        <v>7</v>
      </c>
      <c r="D1132" s="23" t="s">
        <v>174</v>
      </c>
      <c r="E1132" s="23" t="s">
        <v>179</v>
      </c>
      <c r="L1132" s="16">
        <f>IFERROR(VLOOKUP($D1132&amp;$C1132,生产方式定位!$A$2:$E$38,2,FALSE)+VLOOKUP($E1132&amp;$C1132,生产方式定位!$F$3:$J$38,2,FALSE),0)</f>
        <v>0</v>
      </c>
      <c r="S1132" s="16">
        <f>IFERROR(VLOOKUP($D1132&amp;$C1132,生产方式定位!$A$2:$E$38,3,FALSE)+VLOOKUP($E1132&amp;$C1132,生产方式定位!$F$3:$J$38,3,FALSE),0)</f>
        <v>100</v>
      </c>
      <c r="X1132" s="16">
        <f>IFERROR(VLOOKUP($D1132&amp;$C1132,生产方式定位!$A$2:$E$38,5,FALSE)+VLOOKUP($E1132&amp;$C1132,生产方式定位!$F$3:$J$38,5,FALSE),"错误")</f>
        <v>100</v>
      </c>
      <c r="Y1132" s="26" t="str">
        <f t="shared" ref="Y1132:Y1195" si="320">IF(AE1132="","",AE1132)&amp;IF(AF1132="","",","&amp;AF1132)&amp;IF(AN1132=0,"",",运力*"&amp;AN1132)&amp;IF(AO1132=0,"",",交易*"&amp;AO1132)</f>
        <v/>
      </c>
      <c r="Z1132" s="36" t="str">
        <f t="shared" ref="Z1132:Z1195" si="321">IF(AG1132="","",AG1132)&amp;IF(AH1132="","",","&amp;AH1132)&amp;IF(AI1132="","",","&amp;AI1132)</f>
        <v/>
      </c>
      <c r="AA1132" s="36" t="str">
        <f t="shared" ref="AA1132:AA1195" si="322">IF(AJ1132="","",AJ1132)&amp;IF(AK1132="","",","&amp;AK1132)</f>
        <v/>
      </c>
      <c r="AB1132" s="27" t="str">
        <f t="shared" ref="AB1132:AB1195" si="323">IFERROR(ROUND(((X1132/L1132)-1)*100,0)&amp;"%","")</f>
        <v/>
      </c>
      <c r="AC1132" s="2" t="str">
        <f t="shared" ref="AC1132:AC1195" si="324">IF(X1132-S1132-L1132=0,"",X1132-S1132-L1132)</f>
        <v/>
      </c>
      <c r="AD1132" s="37">
        <f t="shared" ref="AD1132:AD1195" si="325">C1132</f>
        <v>7</v>
      </c>
      <c r="AE1132" t="str">
        <f t="shared" ref="AE1132:AE1195" si="326">IF(AL1132="","",F1132&amp;"*"&amp;AL1132)</f>
        <v/>
      </c>
      <c r="AF1132" t="str">
        <f t="shared" ref="AF1132:AF1195" si="327">IF(AM1132="","",H1132&amp;"*"&amp;AM1132)</f>
        <v/>
      </c>
      <c r="AG1132" t="str">
        <f t="shared" ref="AG1132:AG1195" si="328">IF(AP1132="","",M1132&amp;"*"&amp;AP1132)</f>
        <v/>
      </c>
      <c r="AH1132" t="str">
        <f t="shared" ref="AH1132:AH1195" si="329">IF(AQ1132="","",O1132&amp;"*"&amp;AQ1132)</f>
        <v/>
      </c>
      <c r="AI1132" t="str">
        <f t="shared" ref="AI1132:AI1195" si="330">IF(AR1132="","",Q1132&amp;"*"&amp;AR1132)</f>
        <v/>
      </c>
      <c r="AJ1132" t="str">
        <f t="shared" ref="AJ1132:AJ1195" si="331">IF(AS1132="","",T1132&amp;"*"&amp;AS1132)</f>
        <v/>
      </c>
      <c r="AK1132" t="str">
        <f t="shared" ref="AK1132:AK1195" si="332">IF(AT1132="","",V1132&amp;"*"&amp;AT1132)</f>
        <v/>
      </c>
      <c r="AL1132" t="str">
        <f>IFERROR(ROUND(L1132*(G1132/$AU1132)/VLOOKUP(F1132,商品!$A$4:$B$60,2,FALSE),0),"")</f>
        <v/>
      </c>
      <c r="AM1132" t="str">
        <f>IFERROR(ROUND(L1132*(I1132/$AU1132)/VLOOKUP(H1132,商品!$A$4:$B$60,2,FALSE),0),"")</f>
        <v/>
      </c>
      <c r="AN1132">
        <f>IFERROR(ROUND(L1132*(J1132/$AU1132)/VLOOKUP("运力",商品!$A$4:$B$60,2,FALSE),0),0)</f>
        <v>0</v>
      </c>
      <c r="AO1132">
        <f>IFERROR(ROUND(L1132*(K1132/$AU1132)/VLOOKUP("交易",商品!$A$4:$B$60,2,FALSE),0),0)</f>
        <v>0</v>
      </c>
      <c r="AP1132" t="str">
        <f>IFERROR(ROUND(S1132*(N1132/$AV1132)/VLOOKUP(M1132,职业!$A$4:$G$16,4,FALSE),0),"")</f>
        <v/>
      </c>
      <c r="AQ1132" t="str">
        <f>IFERROR(ROUND(S1132*(P1132/$AV1132)/VLOOKUP(O1132,职业!$A$4:$G$16,4,FALSE),0),"")</f>
        <v/>
      </c>
      <c r="AR1132" t="str">
        <f>IFERROR(ROUND(S1132*(R1132/$AV1132)/VLOOKUP(Q1132,职业!$A$4:$G$16,4,FALSE),0),"")</f>
        <v/>
      </c>
      <c r="AS1132" t="str">
        <f>IFERROR(ROUND(X1132*(U1132/$AW1132)/VLOOKUP(T1132,商品!$A$4:$B$60,2,FALSE),0),"")</f>
        <v/>
      </c>
      <c r="AT1132" t="str">
        <f>IFERROR(ROUND(X1132*(W1132/$AW1132)/VLOOKUP(V1132,商品!$A$4:$B$60,2,FALSE),0),"")</f>
        <v/>
      </c>
      <c r="AU1132">
        <f t="shared" ref="AU1132:AU1195" si="333">G1132+I1132+J1132+K1132</f>
        <v>0</v>
      </c>
      <c r="AV1132">
        <f t="shared" ref="AV1132:AV1195" si="334">ABS(N1132)+ABS(P1132)+ABS(R1132)</f>
        <v>0</v>
      </c>
      <c r="AW1132">
        <f t="shared" ref="AW1132:AW1195" si="335">U1132+W1132</f>
        <v>0</v>
      </c>
    </row>
    <row r="1133" spans="1:49" ht="19.95" customHeight="1" x14ac:dyDescent="0.25">
      <c r="A1133" s="15" t="s">
        <v>421</v>
      </c>
      <c r="C1133" s="15">
        <v>8</v>
      </c>
      <c r="D1133" s="23" t="s">
        <v>174</v>
      </c>
      <c r="E1133" s="23" t="s">
        <v>179</v>
      </c>
      <c r="L1133" s="16">
        <f>IFERROR(VLOOKUP($D1133&amp;$C1133,生产方式定位!$A$2:$E$38,2,FALSE)+VLOOKUP($E1133&amp;$C1133,生产方式定位!$F$3:$J$38,2,FALSE),0)</f>
        <v>0</v>
      </c>
      <c r="S1133" s="16">
        <f>IFERROR(VLOOKUP($D1133&amp;$C1133,生产方式定位!$A$2:$E$38,3,FALSE)+VLOOKUP($E1133&amp;$C1133,生产方式定位!$F$3:$J$38,3,FALSE),0)</f>
        <v>100</v>
      </c>
      <c r="X1133" s="16">
        <f>IFERROR(VLOOKUP($D1133&amp;$C1133,生产方式定位!$A$2:$E$38,5,FALSE)+VLOOKUP($E1133&amp;$C1133,生产方式定位!$F$3:$J$38,5,FALSE),"错误")</f>
        <v>100</v>
      </c>
      <c r="Y1133" s="26" t="str">
        <f t="shared" si="320"/>
        <v/>
      </c>
      <c r="Z1133" s="36" t="str">
        <f t="shared" si="321"/>
        <v/>
      </c>
      <c r="AA1133" s="36" t="str">
        <f t="shared" si="322"/>
        <v/>
      </c>
      <c r="AB1133" s="27" t="str">
        <f t="shared" si="323"/>
        <v/>
      </c>
      <c r="AC1133" s="2" t="str">
        <f t="shared" si="324"/>
        <v/>
      </c>
      <c r="AD1133" s="37">
        <f t="shared" si="325"/>
        <v>8</v>
      </c>
      <c r="AE1133" t="str">
        <f t="shared" si="326"/>
        <v/>
      </c>
      <c r="AF1133" t="str">
        <f t="shared" si="327"/>
        <v/>
      </c>
      <c r="AG1133" t="str">
        <f t="shared" si="328"/>
        <v/>
      </c>
      <c r="AH1133" t="str">
        <f t="shared" si="329"/>
        <v/>
      </c>
      <c r="AI1133" t="str">
        <f t="shared" si="330"/>
        <v/>
      </c>
      <c r="AJ1133" t="str">
        <f t="shared" si="331"/>
        <v/>
      </c>
      <c r="AK1133" t="str">
        <f t="shared" si="332"/>
        <v/>
      </c>
      <c r="AL1133" t="str">
        <f>IFERROR(ROUND(L1133*(G1133/$AU1133)/VLOOKUP(F1133,商品!$A$4:$B$60,2,FALSE),0),"")</f>
        <v/>
      </c>
      <c r="AM1133" t="str">
        <f>IFERROR(ROUND(L1133*(I1133/$AU1133)/VLOOKUP(H1133,商品!$A$4:$B$60,2,FALSE),0),"")</f>
        <v/>
      </c>
      <c r="AN1133">
        <f>IFERROR(ROUND(L1133*(J1133/$AU1133)/VLOOKUP("运力",商品!$A$4:$B$60,2,FALSE),0),0)</f>
        <v>0</v>
      </c>
      <c r="AO1133">
        <f>IFERROR(ROUND(L1133*(K1133/$AU1133)/VLOOKUP("交易",商品!$A$4:$B$60,2,FALSE),0),0)</f>
        <v>0</v>
      </c>
      <c r="AP1133" t="str">
        <f>IFERROR(ROUND(S1133*(N1133/$AV1133)/VLOOKUP(M1133,职业!$A$4:$G$16,4,FALSE),0),"")</f>
        <v/>
      </c>
      <c r="AQ1133" t="str">
        <f>IFERROR(ROUND(S1133*(P1133/$AV1133)/VLOOKUP(O1133,职业!$A$4:$G$16,4,FALSE),0),"")</f>
        <v/>
      </c>
      <c r="AR1133" t="str">
        <f>IFERROR(ROUND(S1133*(R1133/$AV1133)/VLOOKUP(Q1133,职业!$A$4:$G$16,4,FALSE),0),"")</f>
        <v/>
      </c>
      <c r="AS1133" t="str">
        <f>IFERROR(ROUND(X1133*(U1133/$AW1133)/VLOOKUP(T1133,商品!$A$4:$B$60,2,FALSE),0),"")</f>
        <v/>
      </c>
      <c r="AT1133" t="str">
        <f>IFERROR(ROUND(X1133*(W1133/$AW1133)/VLOOKUP(V1133,商品!$A$4:$B$60,2,FALSE),0),"")</f>
        <v/>
      </c>
      <c r="AU1133">
        <f t="shared" si="333"/>
        <v>0</v>
      </c>
      <c r="AV1133">
        <f t="shared" si="334"/>
        <v>0</v>
      </c>
      <c r="AW1133">
        <f t="shared" si="335"/>
        <v>0</v>
      </c>
    </row>
    <row r="1134" spans="1:49" ht="19.95" customHeight="1" x14ac:dyDescent="0.25">
      <c r="A1134" s="16" t="s">
        <v>423</v>
      </c>
      <c r="C1134" s="16">
        <v>1</v>
      </c>
      <c r="D1134" s="23" t="s">
        <v>171</v>
      </c>
      <c r="E1134" s="23" t="s">
        <v>172</v>
      </c>
      <c r="L1134" s="15">
        <f>IFERROR(VLOOKUP($D1134&amp;$C1134,生产方式定位!$A$2:$E$38,2,FALSE)+VLOOKUP($E1134&amp;$C1134,生产方式定位!$F$3:$J$38,2,FALSE),0)</f>
        <v>300</v>
      </c>
      <c r="S1134" s="15">
        <f>IFERROR(VLOOKUP($D1134&amp;$C1134,生产方式定位!$A$2:$E$38,3,FALSE)+VLOOKUP($E1134&amp;$C1134,生产方式定位!$F$3:$J$38,3,FALSE),0)</f>
        <v>100</v>
      </c>
      <c r="X1134" s="15">
        <f>IFERROR(VLOOKUP($D1134&amp;$C1134,生产方式定位!$A$2:$E$38,5,FALSE)+VLOOKUP($E1134&amp;$C1134,生产方式定位!$F$3:$J$38,5,FALSE),"错误")</f>
        <v>520</v>
      </c>
      <c r="Y1134" s="26" t="str">
        <f t="shared" si="320"/>
        <v/>
      </c>
      <c r="Z1134" s="36" t="str">
        <f t="shared" si="321"/>
        <v/>
      </c>
      <c r="AA1134" s="36" t="str">
        <f t="shared" si="322"/>
        <v/>
      </c>
      <c r="AB1134" s="27" t="str">
        <f t="shared" si="323"/>
        <v>73%</v>
      </c>
      <c r="AC1134" s="2">
        <f t="shared" si="324"/>
        <v>120</v>
      </c>
      <c r="AD1134" s="37">
        <f t="shared" si="325"/>
        <v>1</v>
      </c>
      <c r="AE1134" t="str">
        <f t="shared" si="326"/>
        <v/>
      </c>
      <c r="AF1134" t="str">
        <f t="shared" si="327"/>
        <v/>
      </c>
      <c r="AG1134" t="str">
        <f t="shared" si="328"/>
        <v/>
      </c>
      <c r="AH1134" t="str">
        <f t="shared" si="329"/>
        <v/>
      </c>
      <c r="AI1134" t="str">
        <f t="shared" si="330"/>
        <v/>
      </c>
      <c r="AJ1134" t="str">
        <f t="shared" si="331"/>
        <v/>
      </c>
      <c r="AK1134" t="str">
        <f t="shared" si="332"/>
        <v/>
      </c>
      <c r="AL1134" t="str">
        <f>IFERROR(ROUND(L1134*(G1134/$AU1134)/VLOOKUP(F1134,商品!$A$4:$B$60,2,FALSE),0),"")</f>
        <v/>
      </c>
      <c r="AM1134" t="str">
        <f>IFERROR(ROUND(L1134*(I1134/$AU1134)/VLOOKUP(H1134,商品!$A$4:$B$60,2,FALSE),0),"")</f>
        <v/>
      </c>
      <c r="AN1134">
        <f>IFERROR(ROUND(L1134*(J1134/$AU1134)/VLOOKUP("运力",商品!$A$4:$B$60,2,FALSE),0),0)</f>
        <v>0</v>
      </c>
      <c r="AO1134">
        <f>IFERROR(ROUND(L1134*(K1134/$AU1134)/VLOOKUP("交易",商品!$A$4:$B$60,2,FALSE),0),0)</f>
        <v>0</v>
      </c>
      <c r="AP1134" t="str">
        <f>IFERROR(ROUND(S1134*(N1134/$AV1134)/VLOOKUP(M1134,职业!$A$4:$G$16,4,FALSE),0),"")</f>
        <v/>
      </c>
      <c r="AQ1134" t="str">
        <f>IFERROR(ROUND(S1134*(P1134/$AV1134)/VLOOKUP(O1134,职业!$A$4:$G$16,4,FALSE),0),"")</f>
        <v/>
      </c>
      <c r="AR1134" t="str">
        <f>IFERROR(ROUND(S1134*(R1134/$AV1134)/VLOOKUP(Q1134,职业!$A$4:$G$16,4,FALSE),0),"")</f>
        <v/>
      </c>
      <c r="AS1134" t="str">
        <f>IFERROR(ROUND(X1134*(U1134/$AW1134)/VLOOKUP(T1134,商品!$A$4:$B$60,2,FALSE),0),"")</f>
        <v/>
      </c>
      <c r="AT1134" t="str">
        <f>IFERROR(ROUND(X1134*(W1134/$AW1134)/VLOOKUP(V1134,商品!$A$4:$B$60,2,FALSE),0),"")</f>
        <v/>
      </c>
      <c r="AU1134">
        <f t="shared" si="333"/>
        <v>0</v>
      </c>
      <c r="AV1134">
        <f t="shared" si="334"/>
        <v>0</v>
      </c>
      <c r="AW1134">
        <f t="shared" si="335"/>
        <v>0</v>
      </c>
    </row>
    <row r="1135" spans="1:49" ht="19.95" customHeight="1" x14ac:dyDescent="0.25">
      <c r="A1135" s="16" t="s">
        <v>423</v>
      </c>
      <c r="C1135" s="16">
        <v>2</v>
      </c>
      <c r="D1135" s="23" t="s">
        <v>171</v>
      </c>
      <c r="E1135" s="23" t="s">
        <v>172</v>
      </c>
      <c r="L1135" s="15">
        <f>IFERROR(VLOOKUP($D1135&amp;$C1135,生产方式定位!$A$2:$E$38,2,FALSE)+VLOOKUP($E1135&amp;$C1135,生产方式定位!$F$3:$J$38,2,FALSE),0)</f>
        <v>1100</v>
      </c>
      <c r="S1135" s="15">
        <f>IFERROR(VLOOKUP($D1135&amp;$C1135,生产方式定位!$A$2:$E$38,3,FALSE)+VLOOKUP($E1135&amp;$C1135,生产方式定位!$F$3:$J$38,3,FALSE),0)</f>
        <v>100</v>
      </c>
      <c r="X1135" s="15">
        <f>IFERROR(VLOOKUP($D1135&amp;$C1135,生产方式定位!$A$2:$E$38,5,FALSE)+VLOOKUP($E1135&amp;$C1135,生产方式定位!$F$3:$J$38,5,FALSE),"错误")</f>
        <v>1510</v>
      </c>
      <c r="Y1135" s="26" t="str">
        <f t="shared" si="320"/>
        <v/>
      </c>
      <c r="Z1135" s="36" t="str">
        <f t="shared" si="321"/>
        <v/>
      </c>
      <c r="AA1135" s="36" t="str">
        <f t="shared" si="322"/>
        <v/>
      </c>
      <c r="AB1135" s="27" t="str">
        <f t="shared" si="323"/>
        <v>37%</v>
      </c>
      <c r="AC1135" s="2">
        <f t="shared" si="324"/>
        <v>310</v>
      </c>
      <c r="AD1135" s="37">
        <f t="shared" si="325"/>
        <v>2</v>
      </c>
      <c r="AE1135" t="str">
        <f t="shared" si="326"/>
        <v/>
      </c>
      <c r="AF1135" t="str">
        <f t="shared" si="327"/>
        <v/>
      </c>
      <c r="AG1135" t="str">
        <f t="shared" si="328"/>
        <v/>
      </c>
      <c r="AH1135" t="str">
        <f t="shared" si="329"/>
        <v/>
      </c>
      <c r="AI1135" t="str">
        <f t="shared" si="330"/>
        <v/>
      </c>
      <c r="AJ1135" t="str">
        <f t="shared" si="331"/>
        <v/>
      </c>
      <c r="AK1135" t="str">
        <f t="shared" si="332"/>
        <v/>
      </c>
      <c r="AL1135" t="str">
        <f>IFERROR(ROUND(L1135*(G1135/$AU1135)/VLOOKUP(F1135,商品!$A$4:$B$60,2,FALSE),0),"")</f>
        <v/>
      </c>
      <c r="AM1135" t="str">
        <f>IFERROR(ROUND(L1135*(I1135/$AU1135)/VLOOKUP(H1135,商品!$A$4:$B$60,2,FALSE),0),"")</f>
        <v/>
      </c>
      <c r="AN1135">
        <f>IFERROR(ROUND(L1135*(J1135/$AU1135)/VLOOKUP("运力",商品!$A$4:$B$60,2,FALSE),0),0)</f>
        <v>0</v>
      </c>
      <c r="AO1135">
        <f>IFERROR(ROUND(L1135*(K1135/$AU1135)/VLOOKUP("交易",商品!$A$4:$B$60,2,FALSE),0),0)</f>
        <v>0</v>
      </c>
      <c r="AP1135" t="str">
        <f>IFERROR(ROUND(S1135*(N1135/$AV1135)/VLOOKUP(M1135,职业!$A$4:$G$16,4,FALSE),0),"")</f>
        <v/>
      </c>
      <c r="AQ1135" t="str">
        <f>IFERROR(ROUND(S1135*(P1135/$AV1135)/VLOOKUP(O1135,职业!$A$4:$G$16,4,FALSE),0),"")</f>
        <v/>
      </c>
      <c r="AR1135" t="str">
        <f>IFERROR(ROUND(S1135*(R1135/$AV1135)/VLOOKUP(Q1135,职业!$A$4:$G$16,4,FALSE),0),"")</f>
        <v/>
      </c>
      <c r="AS1135" t="str">
        <f>IFERROR(ROUND(X1135*(U1135/$AW1135)/VLOOKUP(T1135,商品!$A$4:$B$60,2,FALSE),0),"")</f>
        <v/>
      </c>
      <c r="AT1135" t="str">
        <f>IFERROR(ROUND(X1135*(W1135/$AW1135)/VLOOKUP(V1135,商品!$A$4:$B$60,2,FALSE),0),"")</f>
        <v/>
      </c>
      <c r="AU1135">
        <f t="shared" si="333"/>
        <v>0</v>
      </c>
      <c r="AV1135">
        <f t="shared" si="334"/>
        <v>0</v>
      </c>
      <c r="AW1135">
        <f t="shared" si="335"/>
        <v>0</v>
      </c>
    </row>
    <row r="1136" spans="1:49" ht="19.95" customHeight="1" x14ac:dyDescent="0.25">
      <c r="A1136" s="16" t="s">
        <v>423</v>
      </c>
      <c r="C1136" s="16">
        <v>3</v>
      </c>
      <c r="D1136" s="23" t="s">
        <v>171</v>
      </c>
      <c r="E1136" s="23" t="s">
        <v>172</v>
      </c>
      <c r="L1136" s="15">
        <f>IFERROR(VLOOKUP($D1136&amp;$C1136,生产方式定位!$A$2:$E$38,2,FALSE)+VLOOKUP($E1136&amp;$C1136,生产方式定位!$F$3:$J$38,2,FALSE),0)</f>
        <v>1525</v>
      </c>
      <c r="S1136" s="15">
        <f>IFERROR(VLOOKUP($D1136&amp;$C1136,生产方式定位!$A$2:$E$38,3,FALSE)+VLOOKUP($E1136&amp;$C1136,生产方式定位!$F$3:$J$38,3,FALSE),0)</f>
        <v>100</v>
      </c>
      <c r="X1136" s="15">
        <f>IFERROR(VLOOKUP($D1136&amp;$C1136,生产方式定位!$A$2:$E$38,5,FALSE)+VLOOKUP($E1136&amp;$C1136,生产方式定位!$F$3:$J$38,5,FALSE),"错误")</f>
        <v>2050</v>
      </c>
      <c r="Y1136" s="26" t="str">
        <f t="shared" si="320"/>
        <v/>
      </c>
      <c r="Z1136" s="36" t="str">
        <f t="shared" si="321"/>
        <v/>
      </c>
      <c r="AA1136" s="36" t="str">
        <f t="shared" si="322"/>
        <v/>
      </c>
      <c r="AB1136" s="27" t="str">
        <f t="shared" si="323"/>
        <v>34%</v>
      </c>
      <c r="AC1136" s="2">
        <f t="shared" si="324"/>
        <v>425</v>
      </c>
      <c r="AD1136" s="38">
        <f t="shared" si="325"/>
        <v>3</v>
      </c>
      <c r="AE1136" t="str">
        <f t="shared" si="326"/>
        <v/>
      </c>
      <c r="AF1136" t="str">
        <f t="shared" si="327"/>
        <v/>
      </c>
      <c r="AG1136" t="str">
        <f t="shared" si="328"/>
        <v/>
      </c>
      <c r="AH1136" t="str">
        <f t="shared" si="329"/>
        <v/>
      </c>
      <c r="AI1136" t="str">
        <f t="shared" si="330"/>
        <v/>
      </c>
      <c r="AJ1136" t="str">
        <f t="shared" si="331"/>
        <v/>
      </c>
      <c r="AK1136" t="str">
        <f t="shared" si="332"/>
        <v/>
      </c>
      <c r="AL1136" t="str">
        <f>IFERROR(ROUND(L1136*(G1136/$AU1136)/VLOOKUP(F1136,商品!$A$4:$B$60,2,FALSE),0),"")</f>
        <v/>
      </c>
      <c r="AM1136" t="str">
        <f>IFERROR(ROUND(L1136*(I1136/$AU1136)/VLOOKUP(H1136,商品!$A$4:$B$60,2,FALSE),0),"")</f>
        <v/>
      </c>
      <c r="AN1136">
        <f>IFERROR(ROUND(L1136*(J1136/$AU1136)/VLOOKUP("运力",商品!$A$4:$B$60,2,FALSE),0),0)</f>
        <v>0</v>
      </c>
      <c r="AO1136">
        <f>IFERROR(ROUND(L1136*(K1136/$AU1136)/VLOOKUP("交易",商品!$A$4:$B$60,2,FALSE),0),0)</f>
        <v>0</v>
      </c>
      <c r="AP1136" t="str">
        <f>IFERROR(ROUND(S1136*(N1136/$AV1136)/VLOOKUP(M1136,职业!$A$4:$G$16,4,FALSE),0),"")</f>
        <v/>
      </c>
      <c r="AQ1136" t="str">
        <f>IFERROR(ROUND(S1136*(P1136/$AV1136)/VLOOKUP(O1136,职业!$A$4:$G$16,4,FALSE),0),"")</f>
        <v/>
      </c>
      <c r="AR1136" t="str">
        <f>IFERROR(ROUND(S1136*(R1136/$AV1136)/VLOOKUP(Q1136,职业!$A$4:$G$16,4,FALSE),0),"")</f>
        <v/>
      </c>
      <c r="AS1136" t="str">
        <f>IFERROR(ROUND(X1136*(U1136/$AW1136)/VLOOKUP(T1136,商品!$A$4:$B$60,2,FALSE),0),"")</f>
        <v/>
      </c>
      <c r="AT1136" t="str">
        <f>IFERROR(ROUND(X1136*(W1136/$AW1136)/VLOOKUP(V1136,商品!$A$4:$B$60,2,FALSE),0),"")</f>
        <v/>
      </c>
      <c r="AU1136">
        <f t="shared" si="333"/>
        <v>0</v>
      </c>
      <c r="AV1136">
        <f t="shared" si="334"/>
        <v>0</v>
      </c>
      <c r="AW1136">
        <f t="shared" si="335"/>
        <v>0</v>
      </c>
    </row>
    <row r="1137" spans="1:49" ht="19.95" customHeight="1" x14ac:dyDescent="0.25">
      <c r="A1137" s="16" t="s">
        <v>423</v>
      </c>
      <c r="C1137" s="16">
        <v>4</v>
      </c>
      <c r="D1137" s="23" t="s">
        <v>171</v>
      </c>
      <c r="E1137" s="23" t="s">
        <v>172</v>
      </c>
      <c r="L1137" s="15">
        <f>IFERROR(VLOOKUP($D1137&amp;$C1137,生产方式定位!$A$2:$E$38,2,FALSE)+VLOOKUP($E1137&amp;$C1137,生产方式定位!$F$3:$J$38,2,FALSE),0)</f>
        <v>1950</v>
      </c>
      <c r="S1137" s="15">
        <f>IFERROR(VLOOKUP($D1137&amp;$C1137,生产方式定位!$A$2:$E$38,3,FALSE)+VLOOKUP($E1137&amp;$C1137,生产方式定位!$F$3:$J$38,3,FALSE),0)</f>
        <v>100</v>
      </c>
      <c r="X1137" s="15">
        <f>IFERROR(VLOOKUP($D1137&amp;$C1137,生产方式定位!$A$2:$E$38,5,FALSE)+VLOOKUP($E1137&amp;$C1137,生产方式定位!$F$3:$J$38,5,FALSE),"错误")</f>
        <v>2590</v>
      </c>
      <c r="Y1137" s="26" t="str">
        <f t="shared" si="320"/>
        <v/>
      </c>
      <c r="Z1137" s="36" t="str">
        <f t="shared" si="321"/>
        <v/>
      </c>
      <c r="AA1137" s="36" t="str">
        <f t="shared" si="322"/>
        <v/>
      </c>
      <c r="AB1137" s="27" t="str">
        <f t="shared" si="323"/>
        <v>33%</v>
      </c>
      <c r="AC1137" s="2">
        <f t="shared" si="324"/>
        <v>540</v>
      </c>
      <c r="AD1137" s="38">
        <f t="shared" si="325"/>
        <v>4</v>
      </c>
      <c r="AE1137" t="str">
        <f t="shared" si="326"/>
        <v/>
      </c>
      <c r="AF1137" t="str">
        <f t="shared" si="327"/>
        <v/>
      </c>
      <c r="AG1137" t="str">
        <f t="shared" si="328"/>
        <v/>
      </c>
      <c r="AH1137" t="str">
        <f t="shared" si="329"/>
        <v/>
      </c>
      <c r="AI1137" t="str">
        <f t="shared" si="330"/>
        <v/>
      </c>
      <c r="AJ1137" t="str">
        <f t="shared" si="331"/>
        <v/>
      </c>
      <c r="AK1137" t="str">
        <f t="shared" si="332"/>
        <v/>
      </c>
      <c r="AL1137" t="str">
        <f>IFERROR(ROUND(L1137*(G1137/$AU1137)/VLOOKUP(F1137,商品!$A$4:$B$60,2,FALSE),0),"")</f>
        <v/>
      </c>
      <c r="AM1137" t="str">
        <f>IFERROR(ROUND(L1137*(I1137/$AU1137)/VLOOKUP(H1137,商品!$A$4:$B$60,2,FALSE),0),"")</f>
        <v/>
      </c>
      <c r="AN1137">
        <f>IFERROR(ROUND(L1137*(J1137/$AU1137)/VLOOKUP("运力",商品!$A$4:$B$60,2,FALSE),0),0)</f>
        <v>0</v>
      </c>
      <c r="AO1137">
        <f>IFERROR(ROUND(L1137*(K1137/$AU1137)/VLOOKUP("交易",商品!$A$4:$B$60,2,FALSE),0),0)</f>
        <v>0</v>
      </c>
      <c r="AP1137" t="str">
        <f>IFERROR(ROUND(S1137*(N1137/$AV1137)/VLOOKUP(M1137,职业!$A$4:$G$16,4,FALSE),0),"")</f>
        <v/>
      </c>
      <c r="AQ1137" t="str">
        <f>IFERROR(ROUND(S1137*(P1137/$AV1137)/VLOOKUP(O1137,职业!$A$4:$G$16,4,FALSE),0),"")</f>
        <v/>
      </c>
      <c r="AR1137" t="str">
        <f>IFERROR(ROUND(S1137*(R1137/$AV1137)/VLOOKUP(Q1137,职业!$A$4:$G$16,4,FALSE),0),"")</f>
        <v/>
      </c>
      <c r="AS1137" t="str">
        <f>IFERROR(ROUND(X1137*(U1137/$AW1137)/VLOOKUP(T1137,商品!$A$4:$B$60,2,FALSE),0),"")</f>
        <v/>
      </c>
      <c r="AT1137" t="str">
        <f>IFERROR(ROUND(X1137*(W1137/$AW1137)/VLOOKUP(V1137,商品!$A$4:$B$60,2,FALSE),0),"")</f>
        <v/>
      </c>
      <c r="AU1137">
        <f t="shared" si="333"/>
        <v>0</v>
      </c>
      <c r="AV1137">
        <f t="shared" si="334"/>
        <v>0</v>
      </c>
      <c r="AW1137">
        <f t="shared" si="335"/>
        <v>0</v>
      </c>
    </row>
    <row r="1138" spans="1:49" ht="19.95" customHeight="1" x14ac:dyDescent="0.25">
      <c r="A1138" s="16" t="s">
        <v>423</v>
      </c>
      <c r="C1138" s="16">
        <v>5</v>
      </c>
      <c r="D1138" s="23" t="s">
        <v>171</v>
      </c>
      <c r="E1138" s="23" t="s">
        <v>172</v>
      </c>
      <c r="L1138" s="15">
        <f>IFERROR(VLOOKUP($D1138&amp;$C1138,生产方式定位!$A$2:$E$38,2,FALSE)+VLOOKUP($E1138&amp;$C1138,生产方式定位!$F$3:$J$38,2,FALSE),0)</f>
        <v>2375</v>
      </c>
      <c r="S1138" s="15">
        <f>IFERROR(VLOOKUP($D1138&amp;$C1138,生产方式定位!$A$2:$E$38,3,FALSE)+VLOOKUP($E1138&amp;$C1138,生产方式定位!$F$3:$J$38,3,FALSE),0)</f>
        <v>100</v>
      </c>
      <c r="X1138" s="15">
        <f>IFERROR(VLOOKUP($D1138&amp;$C1138,生产方式定位!$A$2:$E$38,5,FALSE)+VLOOKUP($E1138&amp;$C1138,生产方式定位!$F$3:$J$38,5,FALSE),"错误")</f>
        <v>3130</v>
      </c>
      <c r="Y1138" s="26" t="str">
        <f t="shared" si="320"/>
        <v/>
      </c>
      <c r="Z1138" s="36" t="str">
        <f t="shared" si="321"/>
        <v/>
      </c>
      <c r="AA1138" s="36" t="str">
        <f t="shared" si="322"/>
        <v/>
      </c>
      <c r="AB1138" s="27" t="str">
        <f t="shared" si="323"/>
        <v>32%</v>
      </c>
      <c r="AC1138" s="2">
        <f t="shared" si="324"/>
        <v>655</v>
      </c>
      <c r="AD1138" s="38">
        <f t="shared" si="325"/>
        <v>5</v>
      </c>
      <c r="AE1138" t="str">
        <f t="shared" si="326"/>
        <v/>
      </c>
      <c r="AF1138" t="str">
        <f t="shared" si="327"/>
        <v/>
      </c>
      <c r="AG1138" t="str">
        <f t="shared" si="328"/>
        <v/>
      </c>
      <c r="AH1138" t="str">
        <f t="shared" si="329"/>
        <v/>
      </c>
      <c r="AI1138" t="str">
        <f t="shared" si="330"/>
        <v/>
      </c>
      <c r="AJ1138" t="str">
        <f t="shared" si="331"/>
        <v/>
      </c>
      <c r="AK1138" t="str">
        <f t="shared" si="332"/>
        <v/>
      </c>
      <c r="AL1138" t="str">
        <f>IFERROR(ROUND(L1138*(G1138/$AU1138)/VLOOKUP(F1138,商品!$A$4:$B$60,2,FALSE),0),"")</f>
        <v/>
      </c>
      <c r="AM1138" t="str">
        <f>IFERROR(ROUND(L1138*(I1138/$AU1138)/VLOOKUP(H1138,商品!$A$4:$B$60,2,FALSE),0),"")</f>
        <v/>
      </c>
      <c r="AN1138">
        <f>IFERROR(ROUND(L1138*(J1138/$AU1138)/VLOOKUP("运力",商品!$A$4:$B$60,2,FALSE),0),0)</f>
        <v>0</v>
      </c>
      <c r="AO1138">
        <f>IFERROR(ROUND(L1138*(K1138/$AU1138)/VLOOKUP("交易",商品!$A$4:$B$60,2,FALSE),0),0)</f>
        <v>0</v>
      </c>
      <c r="AP1138" t="str">
        <f>IFERROR(ROUND(S1138*(N1138/$AV1138)/VLOOKUP(M1138,职业!$A$4:$G$16,4,FALSE),0),"")</f>
        <v/>
      </c>
      <c r="AQ1138" t="str">
        <f>IFERROR(ROUND(S1138*(P1138/$AV1138)/VLOOKUP(O1138,职业!$A$4:$G$16,4,FALSE),0),"")</f>
        <v/>
      </c>
      <c r="AR1138" t="str">
        <f>IFERROR(ROUND(S1138*(R1138/$AV1138)/VLOOKUP(Q1138,职业!$A$4:$G$16,4,FALSE),0),"")</f>
        <v/>
      </c>
      <c r="AS1138" t="str">
        <f>IFERROR(ROUND(X1138*(U1138/$AW1138)/VLOOKUP(T1138,商品!$A$4:$B$60,2,FALSE),0),"")</f>
        <v/>
      </c>
      <c r="AT1138" t="str">
        <f>IFERROR(ROUND(X1138*(W1138/$AW1138)/VLOOKUP(V1138,商品!$A$4:$B$60,2,FALSE),0),"")</f>
        <v/>
      </c>
      <c r="AU1138">
        <f t="shared" si="333"/>
        <v>0</v>
      </c>
      <c r="AV1138">
        <f t="shared" si="334"/>
        <v>0</v>
      </c>
      <c r="AW1138">
        <f t="shared" si="335"/>
        <v>0</v>
      </c>
    </row>
    <row r="1139" spans="1:49" ht="19.95" customHeight="1" x14ac:dyDescent="0.25">
      <c r="A1139" s="15" t="s">
        <v>424</v>
      </c>
      <c r="C1139" s="15">
        <v>1</v>
      </c>
      <c r="D1139" s="23" t="s">
        <v>174</v>
      </c>
      <c r="E1139" s="23" t="s">
        <v>175</v>
      </c>
      <c r="L1139" s="16">
        <f>IFERROR(VLOOKUP($D1139&amp;$C1139,生产方式定位!$A$2:$E$38,2,FALSE)+VLOOKUP($E1139&amp;$C1139,生产方式定位!$F$3:$J$38,2,FALSE),0)</f>
        <v>0</v>
      </c>
      <c r="S1139" s="16">
        <f>IFERROR(VLOOKUP($D1139&amp;$C1139,生产方式定位!$A$2:$E$38,3,FALSE)+VLOOKUP($E1139&amp;$C1139,生产方式定位!$F$3:$J$38,3,FALSE),0)</f>
        <v>0</v>
      </c>
      <c r="X1139" s="16">
        <f>IFERROR(VLOOKUP($D1139&amp;$C1139,生产方式定位!$A$2:$E$38,5,FALSE)+VLOOKUP($E1139&amp;$C1139,生产方式定位!$F$3:$J$38,5,FALSE),"错误")</f>
        <v>0</v>
      </c>
      <c r="Y1139" s="26" t="str">
        <f t="shared" si="320"/>
        <v/>
      </c>
      <c r="Z1139" s="36" t="str">
        <f t="shared" si="321"/>
        <v/>
      </c>
      <c r="AA1139" s="36" t="str">
        <f t="shared" si="322"/>
        <v/>
      </c>
      <c r="AB1139" s="27" t="str">
        <f t="shared" si="323"/>
        <v/>
      </c>
      <c r="AC1139" s="2" t="str">
        <f t="shared" si="324"/>
        <v/>
      </c>
      <c r="AD1139" s="38">
        <f t="shared" si="325"/>
        <v>1</v>
      </c>
      <c r="AE1139" t="str">
        <f t="shared" si="326"/>
        <v/>
      </c>
      <c r="AF1139" t="str">
        <f t="shared" si="327"/>
        <v/>
      </c>
      <c r="AG1139" t="str">
        <f t="shared" si="328"/>
        <v/>
      </c>
      <c r="AH1139" t="str">
        <f t="shared" si="329"/>
        <v/>
      </c>
      <c r="AI1139" t="str">
        <f t="shared" si="330"/>
        <v/>
      </c>
      <c r="AJ1139" t="str">
        <f t="shared" si="331"/>
        <v/>
      </c>
      <c r="AK1139" t="str">
        <f t="shared" si="332"/>
        <v/>
      </c>
      <c r="AL1139" t="str">
        <f>IFERROR(ROUND(L1139*(G1139/$AU1139)/VLOOKUP(F1139,商品!$A$4:$B$60,2,FALSE),0),"")</f>
        <v/>
      </c>
      <c r="AM1139" t="str">
        <f>IFERROR(ROUND(L1139*(I1139/$AU1139)/VLOOKUP(H1139,商品!$A$4:$B$60,2,FALSE),0),"")</f>
        <v/>
      </c>
      <c r="AN1139">
        <f>IFERROR(ROUND(L1139*(J1139/$AU1139)/VLOOKUP("运力",商品!$A$4:$B$60,2,FALSE),0),0)</f>
        <v>0</v>
      </c>
      <c r="AO1139">
        <f>IFERROR(ROUND(L1139*(K1139/$AU1139)/VLOOKUP("交易",商品!$A$4:$B$60,2,FALSE),0),0)</f>
        <v>0</v>
      </c>
      <c r="AP1139" t="str">
        <f>IFERROR(ROUND(S1139*(N1139/$AV1139)/VLOOKUP(M1139,职业!$A$4:$G$16,4,FALSE),0),"")</f>
        <v/>
      </c>
      <c r="AQ1139" t="str">
        <f>IFERROR(ROUND(S1139*(P1139/$AV1139)/VLOOKUP(O1139,职业!$A$4:$G$16,4,FALSE),0),"")</f>
        <v/>
      </c>
      <c r="AR1139" t="str">
        <f>IFERROR(ROUND(S1139*(R1139/$AV1139)/VLOOKUP(Q1139,职业!$A$4:$G$16,4,FALSE),0),"")</f>
        <v/>
      </c>
      <c r="AS1139" t="str">
        <f>IFERROR(ROUND(X1139*(U1139/$AW1139)/VLOOKUP(T1139,商品!$A$4:$B$60,2,FALSE),0),"")</f>
        <v/>
      </c>
      <c r="AT1139" t="str">
        <f>IFERROR(ROUND(X1139*(W1139/$AW1139)/VLOOKUP(V1139,商品!$A$4:$B$60,2,FALSE),0),"")</f>
        <v/>
      </c>
      <c r="AU1139">
        <f t="shared" si="333"/>
        <v>0</v>
      </c>
      <c r="AV1139">
        <f t="shared" si="334"/>
        <v>0</v>
      </c>
      <c r="AW1139">
        <f t="shared" si="335"/>
        <v>0</v>
      </c>
    </row>
    <row r="1140" spans="1:49" ht="19.95" customHeight="1" x14ac:dyDescent="0.25">
      <c r="A1140" s="15" t="s">
        <v>424</v>
      </c>
      <c r="C1140" s="15">
        <v>2</v>
      </c>
      <c r="D1140" s="23" t="s">
        <v>174</v>
      </c>
      <c r="E1140" s="23" t="s">
        <v>175</v>
      </c>
      <c r="F1140" s="2" t="s">
        <v>41</v>
      </c>
      <c r="G1140" s="2">
        <v>10</v>
      </c>
      <c r="L1140" s="16">
        <f>IFERROR(VLOOKUP($D1140&amp;$C1140,生产方式定位!$A$2:$E$38,2,FALSE)+VLOOKUP($E1140&amp;$C1140,生产方式定位!$F$3:$J$38,2,FALSE),0)</f>
        <v>50</v>
      </c>
      <c r="S1140" s="16">
        <f>IFERROR(VLOOKUP($D1140&amp;$C1140,生产方式定位!$A$2:$E$38,3,FALSE)+VLOOKUP($E1140&amp;$C1140,生产方式定位!$F$3:$J$38,3,FALSE),0)</f>
        <v>10</v>
      </c>
      <c r="X1140" s="16">
        <f>IFERROR(VLOOKUP($D1140&amp;$C1140,生产方式定位!$A$2:$E$38,5,FALSE)+VLOOKUP($E1140&amp;$C1140,生产方式定位!$F$3:$J$38,5,FALSE),"错误")</f>
        <v>0</v>
      </c>
      <c r="Y1140" s="26" t="str">
        <f t="shared" si="320"/>
        <v>工具*1</v>
      </c>
      <c r="Z1140" s="36" t="str">
        <f t="shared" si="321"/>
        <v/>
      </c>
      <c r="AA1140" s="36" t="str">
        <f t="shared" si="322"/>
        <v/>
      </c>
      <c r="AB1140" s="27" t="str">
        <f t="shared" si="323"/>
        <v>-100%</v>
      </c>
      <c r="AC1140" s="2">
        <f t="shared" si="324"/>
        <v>-60</v>
      </c>
      <c r="AD1140" s="38">
        <f t="shared" si="325"/>
        <v>2</v>
      </c>
      <c r="AE1140" t="str">
        <f t="shared" si="326"/>
        <v>工具*1</v>
      </c>
      <c r="AF1140" t="str">
        <f t="shared" si="327"/>
        <v/>
      </c>
      <c r="AG1140" t="str">
        <f t="shared" si="328"/>
        <v/>
      </c>
      <c r="AH1140" t="str">
        <f t="shared" si="329"/>
        <v/>
      </c>
      <c r="AI1140" t="str">
        <f t="shared" si="330"/>
        <v/>
      </c>
      <c r="AJ1140" t="str">
        <f t="shared" si="331"/>
        <v/>
      </c>
      <c r="AK1140" t="str">
        <f t="shared" si="332"/>
        <v/>
      </c>
      <c r="AL1140">
        <f>IFERROR(ROUND(L1140*(G1140/$AU1140)/VLOOKUP(F1140,商品!$A$4:$B$60,2,FALSE),0),"")</f>
        <v>1</v>
      </c>
      <c r="AM1140" t="str">
        <f>IFERROR(ROUND(L1140*(I1140/$AU1140)/VLOOKUP(H1140,商品!$A$4:$B$60,2,FALSE),0),"")</f>
        <v/>
      </c>
      <c r="AN1140">
        <f>IFERROR(ROUND(L1140*(J1140/$AU1140)/VLOOKUP("运力",商品!$A$4:$B$60,2,FALSE),0),0)</f>
        <v>0</v>
      </c>
      <c r="AO1140">
        <f>IFERROR(ROUND(L1140*(K1140/$AU1140)/VLOOKUP("交易",商品!$A$4:$B$60,2,FALSE),0),0)</f>
        <v>0</v>
      </c>
      <c r="AP1140" t="str">
        <f>IFERROR(ROUND(S1140*(N1140/$AV1140)/VLOOKUP(M1140,职业!$A$4:$G$16,4,FALSE),0),"")</f>
        <v/>
      </c>
      <c r="AQ1140" t="str">
        <f>IFERROR(ROUND(S1140*(P1140/$AV1140)/VLOOKUP(O1140,职业!$A$4:$G$16,4,FALSE),0),"")</f>
        <v/>
      </c>
      <c r="AR1140" t="str">
        <f>IFERROR(ROUND(S1140*(R1140/$AV1140)/VLOOKUP(Q1140,职业!$A$4:$G$16,4,FALSE),0),"")</f>
        <v/>
      </c>
      <c r="AS1140" t="str">
        <f>IFERROR(ROUND(X1140*(U1140/$AW1140)/VLOOKUP(T1140,商品!$A$4:$B$60,2,FALSE),0),"")</f>
        <v/>
      </c>
      <c r="AT1140" t="str">
        <f>IFERROR(ROUND(X1140*(W1140/$AW1140)/VLOOKUP(V1140,商品!$A$4:$B$60,2,FALSE),0),"")</f>
        <v/>
      </c>
      <c r="AU1140">
        <f t="shared" si="333"/>
        <v>10</v>
      </c>
      <c r="AV1140">
        <f t="shared" si="334"/>
        <v>0</v>
      </c>
      <c r="AW1140">
        <f t="shared" si="335"/>
        <v>0</v>
      </c>
    </row>
    <row r="1141" spans="1:49" ht="19.95" customHeight="1" x14ac:dyDescent="0.25">
      <c r="A1141" s="15" t="s">
        <v>424</v>
      </c>
      <c r="C1141" s="15">
        <v>3</v>
      </c>
      <c r="D1141" s="23" t="s">
        <v>174</v>
      </c>
      <c r="E1141" s="23" t="s">
        <v>175</v>
      </c>
      <c r="F1141" s="2" t="s">
        <v>41</v>
      </c>
      <c r="G1141" s="2">
        <v>10</v>
      </c>
      <c r="L1141" s="16">
        <f>IFERROR(VLOOKUP($D1141&amp;$C1141,生产方式定位!$A$2:$E$38,2,FALSE)+VLOOKUP($E1141&amp;$C1141,生产方式定位!$F$3:$J$38,2,FALSE),0)</f>
        <v>100</v>
      </c>
      <c r="S1141" s="16">
        <f>IFERROR(VLOOKUP($D1141&amp;$C1141,生产方式定位!$A$2:$E$38,3,FALSE)+VLOOKUP($E1141&amp;$C1141,生产方式定位!$F$3:$J$38,3,FALSE),0)</f>
        <v>20</v>
      </c>
      <c r="X1141" s="16">
        <f>IFERROR(VLOOKUP($D1141&amp;$C1141,生产方式定位!$A$2:$E$38,5,FALSE)+VLOOKUP($E1141&amp;$C1141,生产方式定位!$F$3:$J$38,5,FALSE),"错误")</f>
        <v>0</v>
      </c>
      <c r="Y1141" s="26" t="str">
        <f t="shared" si="320"/>
        <v>工具*3</v>
      </c>
      <c r="Z1141" s="36" t="str">
        <f t="shared" si="321"/>
        <v/>
      </c>
      <c r="AA1141" s="36" t="str">
        <f t="shared" si="322"/>
        <v/>
      </c>
      <c r="AB1141" s="27" t="str">
        <f t="shared" si="323"/>
        <v>-100%</v>
      </c>
      <c r="AC1141" s="2">
        <f t="shared" si="324"/>
        <v>-120</v>
      </c>
      <c r="AD1141" s="38">
        <f t="shared" si="325"/>
        <v>3</v>
      </c>
      <c r="AE1141" t="str">
        <f t="shared" si="326"/>
        <v>工具*3</v>
      </c>
      <c r="AF1141" t="str">
        <f t="shared" si="327"/>
        <v/>
      </c>
      <c r="AG1141" t="str">
        <f t="shared" si="328"/>
        <v/>
      </c>
      <c r="AH1141" t="str">
        <f t="shared" si="329"/>
        <v/>
      </c>
      <c r="AI1141" t="str">
        <f t="shared" si="330"/>
        <v/>
      </c>
      <c r="AJ1141" t="str">
        <f t="shared" si="331"/>
        <v/>
      </c>
      <c r="AK1141" t="str">
        <f t="shared" si="332"/>
        <v/>
      </c>
      <c r="AL1141">
        <f>IFERROR(ROUND(L1141*(G1141/$AU1141)/VLOOKUP(F1141,商品!$A$4:$B$60,2,FALSE),0),"")</f>
        <v>3</v>
      </c>
      <c r="AM1141" t="str">
        <f>IFERROR(ROUND(L1141*(I1141/$AU1141)/VLOOKUP(H1141,商品!$A$4:$B$60,2,FALSE),0),"")</f>
        <v/>
      </c>
      <c r="AN1141">
        <f>IFERROR(ROUND(L1141*(J1141/$AU1141)/VLOOKUP("运力",商品!$A$4:$B$60,2,FALSE),0),0)</f>
        <v>0</v>
      </c>
      <c r="AO1141">
        <f>IFERROR(ROUND(L1141*(K1141/$AU1141)/VLOOKUP("交易",商品!$A$4:$B$60,2,FALSE),0),0)</f>
        <v>0</v>
      </c>
      <c r="AP1141" t="str">
        <f>IFERROR(ROUND(S1141*(N1141/$AV1141)/VLOOKUP(M1141,职业!$A$4:$G$16,4,FALSE),0),"")</f>
        <v/>
      </c>
      <c r="AQ1141" t="str">
        <f>IFERROR(ROUND(S1141*(P1141/$AV1141)/VLOOKUP(O1141,职业!$A$4:$G$16,4,FALSE),0),"")</f>
        <v/>
      </c>
      <c r="AR1141" t="str">
        <f>IFERROR(ROUND(S1141*(R1141/$AV1141)/VLOOKUP(Q1141,职业!$A$4:$G$16,4,FALSE),0),"")</f>
        <v/>
      </c>
      <c r="AS1141" t="str">
        <f>IFERROR(ROUND(X1141*(U1141/$AW1141)/VLOOKUP(T1141,商品!$A$4:$B$60,2,FALSE),0),"")</f>
        <v/>
      </c>
      <c r="AT1141" t="str">
        <f>IFERROR(ROUND(X1141*(W1141/$AW1141)/VLOOKUP(V1141,商品!$A$4:$B$60,2,FALSE),0),"")</f>
        <v/>
      </c>
      <c r="AU1141">
        <f t="shared" si="333"/>
        <v>10</v>
      </c>
      <c r="AV1141">
        <f t="shared" si="334"/>
        <v>0</v>
      </c>
      <c r="AW1141">
        <f t="shared" si="335"/>
        <v>0</v>
      </c>
    </row>
    <row r="1142" spans="1:49" ht="19.95" customHeight="1" x14ac:dyDescent="0.25">
      <c r="A1142" s="15" t="s">
        <v>424</v>
      </c>
      <c r="C1142" s="15">
        <v>4</v>
      </c>
      <c r="D1142" s="23" t="s">
        <v>174</v>
      </c>
      <c r="E1142" s="23" t="s">
        <v>175</v>
      </c>
      <c r="F1142" s="2" t="s">
        <v>45</v>
      </c>
      <c r="G1142" s="2">
        <v>5</v>
      </c>
      <c r="H1142" s="2" t="s">
        <v>19</v>
      </c>
      <c r="I1142" s="2">
        <v>10</v>
      </c>
      <c r="L1142" s="16">
        <f>IFERROR(VLOOKUP($D1142&amp;$C1142,生产方式定位!$A$2:$E$38,2,FALSE)+VLOOKUP($E1142&amp;$C1142,生产方式定位!$F$3:$J$38,2,FALSE),0)</f>
        <v>150</v>
      </c>
      <c r="S1142" s="16">
        <f>IFERROR(VLOOKUP($D1142&amp;$C1142,生产方式定位!$A$2:$E$38,3,FALSE)+VLOOKUP($E1142&amp;$C1142,生产方式定位!$F$3:$J$38,3,FALSE),0)</f>
        <v>30</v>
      </c>
      <c r="X1142" s="16">
        <f>IFERROR(VLOOKUP($D1142&amp;$C1142,生产方式定位!$A$2:$E$38,5,FALSE)+VLOOKUP($E1142&amp;$C1142,生产方式定位!$F$3:$J$38,5,FALSE),"错误")</f>
        <v>0</v>
      </c>
      <c r="Y1142" s="26" t="str">
        <f t="shared" si="320"/>
        <v>科学引擎*1,煤*3</v>
      </c>
      <c r="Z1142" s="36" t="str">
        <f t="shared" si="321"/>
        <v/>
      </c>
      <c r="AA1142" s="36" t="str">
        <f t="shared" si="322"/>
        <v/>
      </c>
      <c r="AB1142" s="27" t="str">
        <f t="shared" si="323"/>
        <v>-100%</v>
      </c>
      <c r="AC1142" s="2">
        <f t="shared" si="324"/>
        <v>-180</v>
      </c>
      <c r="AD1142" s="38">
        <f t="shared" si="325"/>
        <v>4</v>
      </c>
      <c r="AE1142" t="str">
        <f t="shared" si="326"/>
        <v>科学引擎*1</v>
      </c>
      <c r="AF1142" t="str">
        <f t="shared" si="327"/>
        <v>煤*3</v>
      </c>
      <c r="AG1142" t="str">
        <f t="shared" si="328"/>
        <v/>
      </c>
      <c r="AH1142" t="str">
        <f t="shared" si="329"/>
        <v/>
      </c>
      <c r="AI1142" t="str">
        <f t="shared" si="330"/>
        <v/>
      </c>
      <c r="AJ1142" t="str">
        <f t="shared" si="331"/>
        <v/>
      </c>
      <c r="AK1142" t="str">
        <f t="shared" si="332"/>
        <v/>
      </c>
      <c r="AL1142">
        <f>IFERROR(ROUND(L1142*(G1142/$AU1142)/VLOOKUP(F1142,商品!$A$4:$B$60,2,FALSE),0),"")</f>
        <v>1</v>
      </c>
      <c r="AM1142">
        <f>IFERROR(ROUND(L1142*(I1142/$AU1142)/VLOOKUP(H1142,商品!$A$4:$B$60,2,FALSE),0),"")</f>
        <v>3</v>
      </c>
      <c r="AN1142">
        <f>IFERROR(ROUND(L1142*(J1142/$AU1142)/VLOOKUP("运力",商品!$A$4:$B$60,2,FALSE),0),0)</f>
        <v>0</v>
      </c>
      <c r="AO1142">
        <f>IFERROR(ROUND(L1142*(K1142/$AU1142)/VLOOKUP("交易",商品!$A$4:$B$60,2,FALSE),0),0)</f>
        <v>0</v>
      </c>
      <c r="AP1142" t="str">
        <f>IFERROR(ROUND(S1142*(N1142/$AV1142)/VLOOKUP(M1142,职业!$A$4:$G$16,4,FALSE),0),"")</f>
        <v/>
      </c>
      <c r="AQ1142" t="str">
        <f>IFERROR(ROUND(S1142*(P1142/$AV1142)/VLOOKUP(O1142,职业!$A$4:$G$16,4,FALSE),0),"")</f>
        <v/>
      </c>
      <c r="AR1142" t="str">
        <f>IFERROR(ROUND(S1142*(R1142/$AV1142)/VLOOKUP(Q1142,职业!$A$4:$G$16,4,FALSE),0),"")</f>
        <v/>
      </c>
      <c r="AS1142" t="str">
        <f>IFERROR(ROUND(X1142*(U1142/$AW1142)/VLOOKUP(T1142,商品!$A$4:$B$60,2,FALSE),0),"")</f>
        <v/>
      </c>
      <c r="AT1142" t="str">
        <f>IFERROR(ROUND(X1142*(W1142/$AW1142)/VLOOKUP(V1142,商品!$A$4:$B$60,2,FALSE),0),"")</f>
        <v/>
      </c>
      <c r="AU1142">
        <f t="shared" si="333"/>
        <v>15</v>
      </c>
      <c r="AV1142">
        <f t="shared" si="334"/>
        <v>0</v>
      </c>
      <c r="AW1142">
        <f t="shared" si="335"/>
        <v>0</v>
      </c>
    </row>
    <row r="1143" spans="1:49" ht="19.95" customHeight="1" x14ac:dyDescent="0.25">
      <c r="A1143" s="15" t="s">
        <v>424</v>
      </c>
      <c r="C1143" s="15">
        <v>5</v>
      </c>
      <c r="D1143" s="23" t="s">
        <v>174</v>
      </c>
      <c r="E1143" s="23" t="s">
        <v>175</v>
      </c>
      <c r="F1143" s="2" t="s">
        <v>46</v>
      </c>
      <c r="G1143" s="2">
        <v>5</v>
      </c>
      <c r="H1143" s="2" t="s">
        <v>19</v>
      </c>
      <c r="I1143" s="2">
        <v>10</v>
      </c>
      <c r="L1143" s="16">
        <f>IFERROR(VLOOKUP($D1143&amp;$C1143,生产方式定位!$A$2:$E$38,2,FALSE)+VLOOKUP($E1143&amp;$C1143,生产方式定位!$F$3:$J$38,2,FALSE),0)</f>
        <v>200</v>
      </c>
      <c r="S1143" s="16">
        <f>IFERROR(VLOOKUP($D1143&amp;$C1143,生产方式定位!$A$2:$E$38,3,FALSE)+VLOOKUP($E1143&amp;$C1143,生产方式定位!$F$3:$J$38,3,FALSE),0)</f>
        <v>40</v>
      </c>
      <c r="X1143" s="16">
        <f>IFERROR(VLOOKUP($D1143&amp;$C1143,生产方式定位!$A$2:$E$38,5,FALSE)+VLOOKUP($E1143&amp;$C1143,生产方式定位!$F$3:$J$38,5,FALSE),"错误")</f>
        <v>0</v>
      </c>
      <c r="Y1143" s="26" t="str">
        <f t="shared" si="320"/>
        <v>魔导引擎*1,煤*4</v>
      </c>
      <c r="Z1143" s="36" t="str">
        <f t="shared" si="321"/>
        <v/>
      </c>
      <c r="AA1143" s="36" t="str">
        <f t="shared" si="322"/>
        <v/>
      </c>
      <c r="AB1143" s="27" t="str">
        <f t="shared" si="323"/>
        <v>-100%</v>
      </c>
      <c r="AC1143" s="2">
        <f t="shared" si="324"/>
        <v>-240</v>
      </c>
      <c r="AD1143" s="38">
        <f t="shared" si="325"/>
        <v>5</v>
      </c>
      <c r="AE1143" t="str">
        <f t="shared" si="326"/>
        <v>魔导引擎*1</v>
      </c>
      <c r="AF1143" t="str">
        <f t="shared" si="327"/>
        <v>煤*4</v>
      </c>
      <c r="AG1143" t="str">
        <f t="shared" si="328"/>
        <v/>
      </c>
      <c r="AH1143" t="str">
        <f t="shared" si="329"/>
        <v/>
      </c>
      <c r="AI1143" t="str">
        <f t="shared" si="330"/>
        <v/>
      </c>
      <c r="AJ1143" t="str">
        <f t="shared" si="331"/>
        <v/>
      </c>
      <c r="AK1143" t="str">
        <f t="shared" si="332"/>
        <v/>
      </c>
      <c r="AL1143">
        <f>IFERROR(ROUND(L1143*(G1143/$AU1143)/VLOOKUP(F1143,商品!$A$4:$B$60,2,FALSE),0),"")</f>
        <v>1</v>
      </c>
      <c r="AM1143">
        <f>IFERROR(ROUND(L1143*(I1143/$AU1143)/VLOOKUP(H1143,商品!$A$4:$B$60,2,FALSE),0),"")</f>
        <v>4</v>
      </c>
      <c r="AN1143">
        <f>IFERROR(ROUND(L1143*(J1143/$AU1143)/VLOOKUP("运力",商品!$A$4:$B$60,2,FALSE),0),0)</f>
        <v>0</v>
      </c>
      <c r="AO1143">
        <f>IFERROR(ROUND(L1143*(K1143/$AU1143)/VLOOKUP("交易",商品!$A$4:$B$60,2,FALSE),0),0)</f>
        <v>0</v>
      </c>
      <c r="AP1143" t="str">
        <f>IFERROR(ROUND(S1143*(N1143/$AV1143)/VLOOKUP(M1143,职业!$A$4:$G$16,4,FALSE),0),"")</f>
        <v/>
      </c>
      <c r="AQ1143" t="str">
        <f>IFERROR(ROUND(S1143*(P1143/$AV1143)/VLOOKUP(O1143,职业!$A$4:$G$16,4,FALSE),0),"")</f>
        <v/>
      </c>
      <c r="AR1143" t="str">
        <f>IFERROR(ROUND(S1143*(R1143/$AV1143)/VLOOKUP(Q1143,职业!$A$4:$G$16,4,FALSE),0),"")</f>
        <v/>
      </c>
      <c r="AS1143" t="str">
        <f>IFERROR(ROUND(X1143*(U1143/$AW1143)/VLOOKUP(T1143,商品!$A$4:$B$60,2,FALSE),0),"")</f>
        <v/>
      </c>
      <c r="AT1143" t="str">
        <f>IFERROR(ROUND(X1143*(W1143/$AW1143)/VLOOKUP(V1143,商品!$A$4:$B$60,2,FALSE),0),"")</f>
        <v/>
      </c>
      <c r="AU1143">
        <f t="shared" si="333"/>
        <v>15</v>
      </c>
      <c r="AV1143">
        <f t="shared" si="334"/>
        <v>0</v>
      </c>
      <c r="AW1143">
        <f t="shared" si="335"/>
        <v>0</v>
      </c>
    </row>
    <row r="1144" spans="1:49" ht="19.95" customHeight="1" x14ac:dyDescent="0.25">
      <c r="A1144" s="16" t="s">
        <v>425</v>
      </c>
      <c r="C1144" s="16">
        <v>1</v>
      </c>
      <c r="D1144" s="23" t="s">
        <v>171</v>
      </c>
      <c r="E1144" s="23" t="s">
        <v>177</v>
      </c>
      <c r="L1144" s="15">
        <f>IFERROR(VLOOKUP($D1144&amp;$C1144,生产方式定位!$A$2:$E$38,2,FALSE)+VLOOKUP($E1144&amp;$C1144,生产方式定位!$F$3:$J$38,2,FALSE),0)</f>
        <v>300</v>
      </c>
      <c r="S1144" s="15">
        <f>IFERROR(VLOOKUP($D1144&amp;$C1144,生产方式定位!$A$2:$E$38,3,FALSE)+VLOOKUP($E1144&amp;$C1144,生产方式定位!$F$3:$J$38,3,FALSE),0)</f>
        <v>100</v>
      </c>
      <c r="X1144" s="15">
        <f>IFERROR(VLOOKUP($D1144&amp;$C1144,生产方式定位!$A$2:$E$38,5,FALSE)+VLOOKUP($E1144&amp;$C1144,生产方式定位!$F$3:$J$38,5,FALSE),"错误")</f>
        <v>520</v>
      </c>
      <c r="Y1144" s="26" t="str">
        <f t="shared" si="320"/>
        <v/>
      </c>
      <c r="Z1144" s="36" t="str">
        <f t="shared" si="321"/>
        <v/>
      </c>
      <c r="AA1144" s="36" t="str">
        <f t="shared" si="322"/>
        <v/>
      </c>
      <c r="AB1144" s="27" t="str">
        <f t="shared" si="323"/>
        <v>73%</v>
      </c>
      <c r="AC1144" s="2">
        <f t="shared" si="324"/>
        <v>120</v>
      </c>
      <c r="AD1144" s="37">
        <f t="shared" si="325"/>
        <v>1</v>
      </c>
      <c r="AE1144" t="str">
        <f t="shared" si="326"/>
        <v/>
      </c>
      <c r="AF1144" t="str">
        <f t="shared" si="327"/>
        <v/>
      </c>
      <c r="AG1144" t="str">
        <f t="shared" si="328"/>
        <v/>
      </c>
      <c r="AH1144" t="str">
        <f t="shared" si="329"/>
        <v/>
      </c>
      <c r="AI1144" t="str">
        <f t="shared" si="330"/>
        <v/>
      </c>
      <c r="AJ1144" t="str">
        <f t="shared" si="331"/>
        <v/>
      </c>
      <c r="AK1144" t="str">
        <f t="shared" si="332"/>
        <v/>
      </c>
      <c r="AL1144" t="str">
        <f>IFERROR(ROUND(L1144*(G1144/$AU1144)/VLOOKUP(F1144,商品!$A$4:$B$60,2,FALSE),0),"")</f>
        <v/>
      </c>
      <c r="AM1144" t="str">
        <f>IFERROR(ROUND(L1144*(I1144/$AU1144)/VLOOKUP(H1144,商品!$A$4:$B$60,2,FALSE),0),"")</f>
        <v/>
      </c>
      <c r="AN1144">
        <f>IFERROR(ROUND(L1144*(J1144/$AU1144)/VLOOKUP("运力",商品!$A$4:$B$60,2,FALSE),0),0)</f>
        <v>0</v>
      </c>
      <c r="AO1144">
        <f>IFERROR(ROUND(L1144*(K1144/$AU1144)/VLOOKUP("交易",商品!$A$4:$B$60,2,FALSE),0),0)</f>
        <v>0</v>
      </c>
      <c r="AP1144" t="str">
        <f>IFERROR(ROUND(S1144*(N1144/$AV1144)/VLOOKUP(M1144,职业!$A$4:$G$16,4,FALSE),0),"")</f>
        <v/>
      </c>
      <c r="AQ1144" t="str">
        <f>IFERROR(ROUND(S1144*(P1144/$AV1144)/VLOOKUP(O1144,职业!$A$4:$G$16,4,FALSE),0),"")</f>
        <v/>
      </c>
      <c r="AR1144" t="str">
        <f>IFERROR(ROUND(S1144*(R1144/$AV1144)/VLOOKUP(Q1144,职业!$A$4:$G$16,4,FALSE),0),"")</f>
        <v/>
      </c>
      <c r="AS1144" t="str">
        <f>IFERROR(ROUND(X1144*(U1144/$AW1144)/VLOOKUP(T1144,商品!$A$4:$B$60,2,FALSE),0),"")</f>
        <v/>
      </c>
      <c r="AT1144" t="str">
        <f>IFERROR(ROUND(X1144*(W1144/$AW1144)/VLOOKUP(V1144,商品!$A$4:$B$60,2,FALSE),0),"")</f>
        <v/>
      </c>
      <c r="AU1144">
        <f t="shared" si="333"/>
        <v>0</v>
      </c>
      <c r="AV1144">
        <f t="shared" si="334"/>
        <v>0</v>
      </c>
      <c r="AW1144">
        <f t="shared" si="335"/>
        <v>0</v>
      </c>
    </row>
    <row r="1145" spans="1:49" ht="19.95" customHeight="1" x14ac:dyDescent="0.25">
      <c r="A1145" s="16" t="s">
        <v>425</v>
      </c>
      <c r="C1145" s="16">
        <v>2</v>
      </c>
      <c r="D1145" s="23" t="s">
        <v>171</v>
      </c>
      <c r="E1145" s="23" t="s">
        <v>177</v>
      </c>
      <c r="F1145" s="2" t="s">
        <v>42</v>
      </c>
      <c r="G1145" s="2">
        <v>5</v>
      </c>
      <c r="H1145" s="2" t="s">
        <v>20</v>
      </c>
      <c r="I1145" s="2">
        <v>10</v>
      </c>
      <c r="L1145" s="15">
        <f>IFERROR(VLOOKUP($D1145&amp;$C1145,生产方式定位!$A$2:$E$38,2,FALSE)+VLOOKUP($E1145&amp;$C1145,生产方式定位!$F$3:$J$38,2,FALSE),0)</f>
        <v>705</v>
      </c>
      <c r="S1145" s="15">
        <f>IFERROR(VLOOKUP($D1145&amp;$C1145,生产方式定位!$A$2:$E$38,3,FALSE)+VLOOKUP($E1145&amp;$C1145,生产方式定位!$F$3:$J$38,3,FALSE),0)</f>
        <v>115</v>
      </c>
      <c r="X1145" s="15">
        <f>IFERROR(VLOOKUP($D1145&amp;$C1145,生产方式定位!$A$2:$E$38,5,FALSE)+VLOOKUP($E1145&amp;$C1145,生产方式定位!$F$3:$J$38,5,FALSE),"错误")</f>
        <v>910</v>
      </c>
      <c r="Y1145" s="26" t="str">
        <f t="shared" si="320"/>
        <v>魔偶*6,灵能水晶*16</v>
      </c>
      <c r="Z1145" s="36" t="str">
        <f t="shared" si="321"/>
        <v/>
      </c>
      <c r="AA1145" s="36" t="str">
        <f t="shared" si="322"/>
        <v/>
      </c>
      <c r="AB1145" s="27" t="str">
        <f t="shared" si="323"/>
        <v>29%</v>
      </c>
      <c r="AC1145" s="2">
        <f t="shared" si="324"/>
        <v>90</v>
      </c>
      <c r="AD1145" s="37">
        <f t="shared" si="325"/>
        <v>2</v>
      </c>
      <c r="AE1145" t="str">
        <f t="shared" si="326"/>
        <v>魔偶*6</v>
      </c>
      <c r="AF1145" t="str">
        <f t="shared" si="327"/>
        <v>灵能水晶*16</v>
      </c>
      <c r="AG1145" t="str">
        <f t="shared" si="328"/>
        <v/>
      </c>
      <c r="AH1145" t="str">
        <f t="shared" si="329"/>
        <v/>
      </c>
      <c r="AI1145" t="str">
        <f t="shared" si="330"/>
        <v/>
      </c>
      <c r="AJ1145" t="str">
        <f t="shared" si="331"/>
        <v/>
      </c>
      <c r="AK1145" t="str">
        <f t="shared" si="332"/>
        <v/>
      </c>
      <c r="AL1145">
        <f>IFERROR(ROUND(L1145*(G1145/$AU1145)/VLOOKUP(F1145,商品!$A$4:$B$60,2,FALSE),0),"")</f>
        <v>6</v>
      </c>
      <c r="AM1145">
        <f>IFERROR(ROUND(L1145*(I1145/$AU1145)/VLOOKUP(H1145,商品!$A$4:$B$60,2,FALSE),0),"")</f>
        <v>16</v>
      </c>
      <c r="AN1145">
        <f>IFERROR(ROUND(L1145*(J1145/$AU1145)/VLOOKUP("运力",商品!$A$4:$B$60,2,FALSE),0),0)</f>
        <v>0</v>
      </c>
      <c r="AO1145">
        <f>IFERROR(ROUND(L1145*(K1145/$AU1145)/VLOOKUP("交易",商品!$A$4:$B$60,2,FALSE),0),0)</f>
        <v>0</v>
      </c>
      <c r="AP1145" t="str">
        <f>IFERROR(ROUND(S1145*(N1145/$AV1145)/VLOOKUP(M1145,职业!$A$4:$G$16,4,FALSE),0),"")</f>
        <v/>
      </c>
      <c r="AQ1145" t="str">
        <f>IFERROR(ROUND(S1145*(P1145/$AV1145)/VLOOKUP(O1145,职业!$A$4:$G$16,4,FALSE),0),"")</f>
        <v/>
      </c>
      <c r="AR1145" t="str">
        <f>IFERROR(ROUND(S1145*(R1145/$AV1145)/VLOOKUP(Q1145,职业!$A$4:$G$16,4,FALSE),0),"")</f>
        <v/>
      </c>
      <c r="AS1145" t="str">
        <f>IFERROR(ROUND(X1145*(U1145/$AW1145)/VLOOKUP(T1145,商品!$A$4:$B$60,2,FALSE),0),"")</f>
        <v/>
      </c>
      <c r="AT1145" t="str">
        <f>IFERROR(ROUND(X1145*(W1145/$AW1145)/VLOOKUP(V1145,商品!$A$4:$B$60,2,FALSE),0),"")</f>
        <v/>
      </c>
      <c r="AU1145">
        <f t="shared" si="333"/>
        <v>15</v>
      </c>
      <c r="AV1145">
        <f t="shared" si="334"/>
        <v>0</v>
      </c>
      <c r="AW1145">
        <f t="shared" si="335"/>
        <v>0</v>
      </c>
    </row>
    <row r="1146" spans="1:49" ht="19.95" customHeight="1" x14ac:dyDescent="0.25">
      <c r="A1146" s="16" t="s">
        <v>425</v>
      </c>
      <c r="C1146" s="16">
        <v>3</v>
      </c>
      <c r="D1146" s="23" t="s">
        <v>171</v>
      </c>
      <c r="E1146" s="23" t="s">
        <v>177</v>
      </c>
      <c r="F1146" s="2" t="s">
        <v>42</v>
      </c>
      <c r="G1146" s="2">
        <v>5</v>
      </c>
      <c r="H1146" s="2" t="s">
        <v>20</v>
      </c>
      <c r="I1146" s="2">
        <v>10</v>
      </c>
      <c r="L1146" s="15">
        <f>IFERROR(VLOOKUP($D1146&amp;$C1146,生产方式定位!$A$2:$E$38,2,FALSE)+VLOOKUP($E1146&amp;$C1146,生产方式定位!$F$3:$J$38,2,FALSE),0)</f>
        <v>1110</v>
      </c>
      <c r="S1146" s="15">
        <f>IFERROR(VLOOKUP($D1146&amp;$C1146,生产方式定位!$A$2:$E$38,3,FALSE)+VLOOKUP($E1146&amp;$C1146,生产方式定位!$F$3:$J$38,3,FALSE),0)</f>
        <v>130</v>
      </c>
      <c r="X1146" s="15">
        <f>IFERROR(VLOOKUP($D1146&amp;$C1146,生产方式定位!$A$2:$E$38,5,FALSE)+VLOOKUP($E1146&amp;$C1146,生产方式定位!$F$3:$J$38,5,FALSE),"错误")</f>
        <v>1300</v>
      </c>
      <c r="Y1146" s="26" t="str">
        <f t="shared" si="320"/>
        <v>魔偶*9,灵能水晶*25</v>
      </c>
      <c r="Z1146" s="36" t="str">
        <f t="shared" si="321"/>
        <v/>
      </c>
      <c r="AA1146" s="36" t="str">
        <f t="shared" si="322"/>
        <v/>
      </c>
      <c r="AB1146" s="27" t="str">
        <f t="shared" si="323"/>
        <v>17%</v>
      </c>
      <c r="AC1146" s="2">
        <f t="shared" si="324"/>
        <v>60</v>
      </c>
      <c r="AD1146" s="37">
        <f t="shared" si="325"/>
        <v>3</v>
      </c>
      <c r="AE1146" t="str">
        <f t="shared" si="326"/>
        <v>魔偶*9</v>
      </c>
      <c r="AF1146" t="str">
        <f t="shared" si="327"/>
        <v>灵能水晶*25</v>
      </c>
      <c r="AG1146" t="str">
        <f t="shared" si="328"/>
        <v/>
      </c>
      <c r="AH1146" t="str">
        <f t="shared" si="329"/>
        <v/>
      </c>
      <c r="AI1146" t="str">
        <f t="shared" si="330"/>
        <v/>
      </c>
      <c r="AJ1146" t="str">
        <f t="shared" si="331"/>
        <v/>
      </c>
      <c r="AK1146" t="str">
        <f t="shared" si="332"/>
        <v/>
      </c>
      <c r="AL1146">
        <f>IFERROR(ROUND(L1146*(G1146/$AU1146)/VLOOKUP(F1146,商品!$A$4:$B$60,2,FALSE),0),"")</f>
        <v>9</v>
      </c>
      <c r="AM1146">
        <f>IFERROR(ROUND(L1146*(I1146/$AU1146)/VLOOKUP(H1146,商品!$A$4:$B$60,2,FALSE),0),"")</f>
        <v>25</v>
      </c>
      <c r="AN1146">
        <f>IFERROR(ROUND(L1146*(J1146/$AU1146)/VLOOKUP("运力",商品!$A$4:$B$60,2,FALSE),0),0)</f>
        <v>0</v>
      </c>
      <c r="AO1146">
        <f>IFERROR(ROUND(L1146*(K1146/$AU1146)/VLOOKUP("交易",商品!$A$4:$B$60,2,FALSE),0),0)</f>
        <v>0</v>
      </c>
      <c r="AP1146" t="str">
        <f>IFERROR(ROUND(S1146*(N1146/$AV1146)/VLOOKUP(M1146,职业!$A$4:$G$16,4,FALSE),0),"")</f>
        <v/>
      </c>
      <c r="AQ1146" t="str">
        <f>IFERROR(ROUND(S1146*(P1146/$AV1146)/VLOOKUP(O1146,职业!$A$4:$G$16,4,FALSE),0),"")</f>
        <v/>
      </c>
      <c r="AR1146" t="str">
        <f>IFERROR(ROUND(S1146*(R1146/$AV1146)/VLOOKUP(Q1146,职业!$A$4:$G$16,4,FALSE),0),"")</f>
        <v/>
      </c>
      <c r="AS1146" t="str">
        <f>IFERROR(ROUND(X1146*(U1146/$AW1146)/VLOOKUP(T1146,商品!$A$4:$B$60,2,FALSE),0),"")</f>
        <v/>
      </c>
      <c r="AT1146" t="str">
        <f>IFERROR(ROUND(X1146*(W1146/$AW1146)/VLOOKUP(V1146,商品!$A$4:$B$60,2,FALSE),0),"")</f>
        <v/>
      </c>
      <c r="AU1146">
        <f t="shared" si="333"/>
        <v>15</v>
      </c>
      <c r="AV1146">
        <f t="shared" si="334"/>
        <v>0</v>
      </c>
      <c r="AW1146">
        <f t="shared" si="335"/>
        <v>0</v>
      </c>
    </row>
    <row r="1147" spans="1:49" ht="19.95" customHeight="1" x14ac:dyDescent="0.25">
      <c r="A1147" s="16" t="s">
        <v>425</v>
      </c>
      <c r="C1147" s="16">
        <v>4</v>
      </c>
      <c r="D1147" s="23" t="s">
        <v>171</v>
      </c>
      <c r="E1147" s="23" t="s">
        <v>177</v>
      </c>
      <c r="F1147" s="2" t="s">
        <v>42</v>
      </c>
      <c r="G1147" s="2">
        <v>5</v>
      </c>
      <c r="H1147" s="2" t="s">
        <v>20</v>
      </c>
      <c r="I1147" s="2">
        <v>10</v>
      </c>
      <c r="L1147" s="15">
        <f>IFERROR(VLOOKUP($D1147&amp;$C1147,生产方式定位!$A$2:$E$38,2,FALSE)+VLOOKUP($E1147&amp;$C1147,生产方式定位!$F$3:$J$38,2,FALSE),0)</f>
        <v>1515</v>
      </c>
      <c r="S1147" s="15">
        <f>IFERROR(VLOOKUP($D1147&amp;$C1147,生产方式定位!$A$2:$E$38,3,FALSE)+VLOOKUP($E1147&amp;$C1147,生产方式定位!$F$3:$J$38,3,FALSE),0)</f>
        <v>145</v>
      </c>
      <c r="X1147" s="15">
        <f>IFERROR(VLOOKUP($D1147&amp;$C1147,生产方式定位!$A$2:$E$38,5,FALSE)+VLOOKUP($E1147&amp;$C1147,生产方式定位!$F$3:$J$38,5,FALSE),"错误")</f>
        <v>1690</v>
      </c>
      <c r="Y1147" s="26" t="str">
        <f t="shared" si="320"/>
        <v>魔偶*13,灵能水晶*34</v>
      </c>
      <c r="Z1147" s="36" t="str">
        <f t="shared" si="321"/>
        <v/>
      </c>
      <c r="AA1147" s="36" t="str">
        <f t="shared" si="322"/>
        <v/>
      </c>
      <c r="AB1147" s="27" t="str">
        <f t="shared" si="323"/>
        <v>12%</v>
      </c>
      <c r="AC1147" s="2">
        <f t="shared" si="324"/>
        <v>30</v>
      </c>
      <c r="AD1147" s="37">
        <f t="shared" si="325"/>
        <v>4</v>
      </c>
      <c r="AE1147" t="str">
        <f t="shared" si="326"/>
        <v>魔偶*13</v>
      </c>
      <c r="AF1147" t="str">
        <f t="shared" si="327"/>
        <v>灵能水晶*34</v>
      </c>
      <c r="AG1147" t="str">
        <f t="shared" si="328"/>
        <v/>
      </c>
      <c r="AH1147" t="str">
        <f t="shared" si="329"/>
        <v/>
      </c>
      <c r="AI1147" t="str">
        <f t="shared" si="330"/>
        <v/>
      </c>
      <c r="AJ1147" t="str">
        <f t="shared" si="331"/>
        <v/>
      </c>
      <c r="AK1147" t="str">
        <f t="shared" si="332"/>
        <v/>
      </c>
      <c r="AL1147">
        <f>IFERROR(ROUND(L1147*(G1147/$AU1147)/VLOOKUP(F1147,商品!$A$4:$B$60,2,FALSE),0),"")</f>
        <v>13</v>
      </c>
      <c r="AM1147">
        <f>IFERROR(ROUND(L1147*(I1147/$AU1147)/VLOOKUP(H1147,商品!$A$4:$B$60,2,FALSE),0),"")</f>
        <v>34</v>
      </c>
      <c r="AN1147">
        <f>IFERROR(ROUND(L1147*(J1147/$AU1147)/VLOOKUP("运力",商品!$A$4:$B$60,2,FALSE),0),0)</f>
        <v>0</v>
      </c>
      <c r="AO1147">
        <f>IFERROR(ROUND(L1147*(K1147/$AU1147)/VLOOKUP("交易",商品!$A$4:$B$60,2,FALSE),0),0)</f>
        <v>0</v>
      </c>
      <c r="AP1147" t="str">
        <f>IFERROR(ROUND(S1147*(N1147/$AV1147)/VLOOKUP(M1147,职业!$A$4:$G$16,4,FALSE),0),"")</f>
        <v/>
      </c>
      <c r="AQ1147" t="str">
        <f>IFERROR(ROUND(S1147*(P1147/$AV1147)/VLOOKUP(O1147,职业!$A$4:$G$16,4,FALSE),0),"")</f>
        <v/>
      </c>
      <c r="AR1147" t="str">
        <f>IFERROR(ROUND(S1147*(R1147/$AV1147)/VLOOKUP(Q1147,职业!$A$4:$G$16,4,FALSE),0),"")</f>
        <v/>
      </c>
      <c r="AS1147" t="str">
        <f>IFERROR(ROUND(X1147*(U1147/$AW1147)/VLOOKUP(T1147,商品!$A$4:$B$60,2,FALSE),0),"")</f>
        <v/>
      </c>
      <c r="AT1147" t="str">
        <f>IFERROR(ROUND(X1147*(W1147/$AW1147)/VLOOKUP(V1147,商品!$A$4:$B$60,2,FALSE),0),"")</f>
        <v/>
      </c>
      <c r="AU1147">
        <f t="shared" si="333"/>
        <v>15</v>
      </c>
      <c r="AV1147">
        <f t="shared" si="334"/>
        <v>0</v>
      </c>
      <c r="AW1147">
        <f t="shared" si="335"/>
        <v>0</v>
      </c>
    </row>
    <row r="1148" spans="1:49" ht="19.95" customHeight="1" x14ac:dyDescent="0.25">
      <c r="A1148" s="16" t="s">
        <v>425</v>
      </c>
      <c r="C1148" s="16">
        <v>5</v>
      </c>
      <c r="D1148" s="23" t="s">
        <v>171</v>
      </c>
      <c r="E1148" s="23" t="s">
        <v>177</v>
      </c>
      <c r="F1148" s="2" t="s">
        <v>42</v>
      </c>
      <c r="G1148" s="2">
        <v>5</v>
      </c>
      <c r="H1148" s="2" t="s">
        <v>20</v>
      </c>
      <c r="I1148" s="2">
        <v>10</v>
      </c>
      <c r="L1148" s="15">
        <f>IFERROR(VLOOKUP($D1148&amp;$C1148,生产方式定位!$A$2:$E$38,2,FALSE)+VLOOKUP($E1148&amp;$C1148,生产方式定位!$F$3:$J$38,2,FALSE),0)</f>
        <v>1920</v>
      </c>
      <c r="S1148" s="15">
        <f>IFERROR(VLOOKUP($D1148&amp;$C1148,生产方式定位!$A$2:$E$38,3,FALSE)+VLOOKUP($E1148&amp;$C1148,生产方式定位!$F$3:$J$38,3,FALSE),0)</f>
        <v>160</v>
      </c>
      <c r="X1148" s="15">
        <f>IFERROR(VLOOKUP($D1148&amp;$C1148,生产方式定位!$A$2:$E$38,5,FALSE)+VLOOKUP($E1148&amp;$C1148,生产方式定位!$F$3:$J$38,5,FALSE),"错误")</f>
        <v>2080</v>
      </c>
      <c r="Y1148" s="26" t="str">
        <f t="shared" si="320"/>
        <v>魔偶*16,灵能水晶*43</v>
      </c>
      <c r="Z1148" s="36" t="str">
        <f t="shared" si="321"/>
        <v/>
      </c>
      <c r="AA1148" s="36" t="str">
        <f t="shared" si="322"/>
        <v/>
      </c>
      <c r="AB1148" s="27" t="str">
        <f t="shared" si="323"/>
        <v>8%</v>
      </c>
      <c r="AC1148" s="2" t="str">
        <f t="shared" si="324"/>
        <v/>
      </c>
      <c r="AD1148" s="37">
        <f t="shared" si="325"/>
        <v>5</v>
      </c>
      <c r="AE1148" t="str">
        <f t="shared" si="326"/>
        <v>魔偶*16</v>
      </c>
      <c r="AF1148" t="str">
        <f t="shared" si="327"/>
        <v>灵能水晶*43</v>
      </c>
      <c r="AG1148" t="str">
        <f t="shared" si="328"/>
        <v/>
      </c>
      <c r="AH1148" t="str">
        <f t="shared" si="329"/>
        <v/>
      </c>
      <c r="AI1148" t="str">
        <f t="shared" si="330"/>
        <v/>
      </c>
      <c r="AJ1148" t="str">
        <f t="shared" si="331"/>
        <v/>
      </c>
      <c r="AK1148" t="str">
        <f t="shared" si="332"/>
        <v/>
      </c>
      <c r="AL1148">
        <f>IFERROR(ROUND(L1148*(G1148/$AU1148)/VLOOKUP(F1148,商品!$A$4:$B$60,2,FALSE),0),"")</f>
        <v>16</v>
      </c>
      <c r="AM1148">
        <f>IFERROR(ROUND(L1148*(I1148/$AU1148)/VLOOKUP(H1148,商品!$A$4:$B$60,2,FALSE),0),"")</f>
        <v>43</v>
      </c>
      <c r="AN1148">
        <f>IFERROR(ROUND(L1148*(J1148/$AU1148)/VLOOKUP("运力",商品!$A$4:$B$60,2,FALSE),0),0)</f>
        <v>0</v>
      </c>
      <c r="AO1148">
        <f>IFERROR(ROUND(L1148*(K1148/$AU1148)/VLOOKUP("交易",商品!$A$4:$B$60,2,FALSE),0),0)</f>
        <v>0</v>
      </c>
      <c r="AP1148" t="str">
        <f>IFERROR(ROUND(S1148*(N1148/$AV1148)/VLOOKUP(M1148,职业!$A$4:$G$16,4,FALSE),0),"")</f>
        <v/>
      </c>
      <c r="AQ1148" t="str">
        <f>IFERROR(ROUND(S1148*(P1148/$AV1148)/VLOOKUP(O1148,职业!$A$4:$G$16,4,FALSE),0),"")</f>
        <v/>
      </c>
      <c r="AR1148" t="str">
        <f>IFERROR(ROUND(S1148*(R1148/$AV1148)/VLOOKUP(Q1148,职业!$A$4:$G$16,4,FALSE),0),"")</f>
        <v/>
      </c>
      <c r="AS1148" t="str">
        <f>IFERROR(ROUND(X1148*(U1148/$AW1148)/VLOOKUP(T1148,商品!$A$4:$B$60,2,FALSE),0),"")</f>
        <v/>
      </c>
      <c r="AT1148" t="str">
        <f>IFERROR(ROUND(X1148*(W1148/$AW1148)/VLOOKUP(V1148,商品!$A$4:$B$60,2,FALSE),0),"")</f>
        <v/>
      </c>
      <c r="AU1148">
        <f t="shared" si="333"/>
        <v>15</v>
      </c>
      <c r="AV1148">
        <f t="shared" si="334"/>
        <v>0</v>
      </c>
      <c r="AW1148">
        <f t="shared" si="335"/>
        <v>0</v>
      </c>
    </row>
    <row r="1149" spans="1:49" ht="19.95" customHeight="1" x14ac:dyDescent="0.25">
      <c r="A1149" s="15" t="s">
        <v>426</v>
      </c>
      <c r="C1149" s="15">
        <v>1</v>
      </c>
      <c r="D1149" s="23" t="s">
        <v>174</v>
      </c>
      <c r="E1149" s="23" t="s">
        <v>179</v>
      </c>
      <c r="L1149" s="16">
        <f>IFERROR(VLOOKUP($D1149&amp;$C1149,生产方式定位!$A$2:$E$38,2,FALSE)+VLOOKUP($E1149&amp;$C1149,生产方式定位!$F$3:$J$38,2,FALSE),0)</f>
        <v>0</v>
      </c>
      <c r="S1149" s="16">
        <f>IFERROR(VLOOKUP($D1149&amp;$C1149,生产方式定位!$A$2:$E$38,3,FALSE)+VLOOKUP($E1149&amp;$C1149,生产方式定位!$F$3:$J$38,3,FALSE),0)</f>
        <v>100</v>
      </c>
      <c r="X1149" s="16">
        <f>IFERROR(VLOOKUP($D1149&amp;$C1149,生产方式定位!$A$2:$E$38,5,FALSE)+VLOOKUP($E1149&amp;$C1149,生产方式定位!$F$3:$J$38,5,FALSE),"错误")</f>
        <v>100</v>
      </c>
      <c r="Y1149" s="26" t="str">
        <f t="shared" si="320"/>
        <v/>
      </c>
      <c r="Z1149" s="36" t="str">
        <f t="shared" si="321"/>
        <v/>
      </c>
      <c r="AA1149" s="36" t="str">
        <f t="shared" si="322"/>
        <v/>
      </c>
      <c r="AB1149" s="27" t="str">
        <f t="shared" si="323"/>
        <v/>
      </c>
      <c r="AC1149" s="2" t="str">
        <f t="shared" si="324"/>
        <v/>
      </c>
      <c r="AD1149" s="38">
        <f t="shared" si="325"/>
        <v>1</v>
      </c>
      <c r="AE1149" t="str">
        <f t="shared" si="326"/>
        <v/>
      </c>
      <c r="AF1149" t="str">
        <f t="shared" si="327"/>
        <v/>
      </c>
      <c r="AG1149" t="str">
        <f t="shared" si="328"/>
        <v/>
      </c>
      <c r="AH1149" t="str">
        <f t="shared" si="329"/>
        <v/>
      </c>
      <c r="AI1149" t="str">
        <f t="shared" si="330"/>
        <v/>
      </c>
      <c r="AJ1149" t="str">
        <f t="shared" si="331"/>
        <v/>
      </c>
      <c r="AK1149" t="str">
        <f t="shared" si="332"/>
        <v/>
      </c>
      <c r="AL1149" t="str">
        <f>IFERROR(ROUND(L1149*(G1149/$AU1149)/VLOOKUP(F1149,商品!$A$4:$B$60,2,FALSE),0),"")</f>
        <v/>
      </c>
      <c r="AM1149" t="str">
        <f>IFERROR(ROUND(L1149*(I1149/$AU1149)/VLOOKUP(H1149,商品!$A$4:$B$60,2,FALSE),0),"")</f>
        <v/>
      </c>
      <c r="AN1149">
        <f>IFERROR(ROUND(L1149*(J1149/$AU1149)/VLOOKUP("运力",商品!$A$4:$B$60,2,FALSE),0),0)</f>
        <v>0</v>
      </c>
      <c r="AO1149">
        <f>IFERROR(ROUND(L1149*(K1149/$AU1149)/VLOOKUP("交易",商品!$A$4:$B$60,2,FALSE),0),0)</f>
        <v>0</v>
      </c>
      <c r="AP1149" t="str">
        <f>IFERROR(ROUND(S1149*(N1149/$AV1149)/VLOOKUP(M1149,职业!$A$4:$G$16,4,FALSE),0),"")</f>
        <v/>
      </c>
      <c r="AQ1149" t="str">
        <f>IFERROR(ROUND(S1149*(P1149/$AV1149)/VLOOKUP(O1149,职业!$A$4:$G$16,4,FALSE),0),"")</f>
        <v/>
      </c>
      <c r="AR1149" t="str">
        <f>IFERROR(ROUND(S1149*(R1149/$AV1149)/VLOOKUP(Q1149,职业!$A$4:$G$16,4,FALSE),0),"")</f>
        <v/>
      </c>
      <c r="AS1149" t="str">
        <f>IFERROR(ROUND(X1149*(U1149/$AW1149)/VLOOKUP(T1149,商品!$A$4:$B$60,2,FALSE),0),"")</f>
        <v/>
      </c>
      <c r="AT1149" t="str">
        <f>IFERROR(ROUND(X1149*(W1149/$AW1149)/VLOOKUP(V1149,商品!$A$4:$B$60,2,FALSE),0),"")</f>
        <v/>
      </c>
      <c r="AU1149">
        <f t="shared" si="333"/>
        <v>0</v>
      </c>
      <c r="AV1149">
        <f t="shared" si="334"/>
        <v>0</v>
      </c>
      <c r="AW1149">
        <f t="shared" si="335"/>
        <v>0</v>
      </c>
    </row>
    <row r="1150" spans="1:49" ht="19.95" customHeight="1" x14ac:dyDescent="0.25">
      <c r="A1150" s="15" t="s">
        <v>426</v>
      </c>
      <c r="C1150" s="15">
        <v>2</v>
      </c>
      <c r="D1150" s="23" t="s">
        <v>174</v>
      </c>
      <c r="E1150" s="23" t="s">
        <v>179</v>
      </c>
      <c r="L1150" s="16">
        <f>IFERROR(VLOOKUP($D1150&amp;$C1150,生产方式定位!$A$2:$E$38,2,FALSE)+VLOOKUP($E1150&amp;$C1150,生产方式定位!$F$3:$J$38,2,FALSE),0)</f>
        <v>0</v>
      </c>
      <c r="S1150" s="16">
        <f>IFERROR(VLOOKUP($D1150&amp;$C1150,生产方式定位!$A$2:$E$38,3,FALSE)+VLOOKUP($E1150&amp;$C1150,生产方式定位!$F$3:$J$38,3,FALSE),0)</f>
        <v>100</v>
      </c>
      <c r="X1150" s="16">
        <f>IFERROR(VLOOKUP($D1150&amp;$C1150,生产方式定位!$A$2:$E$38,5,FALSE)+VLOOKUP($E1150&amp;$C1150,生产方式定位!$F$3:$J$38,5,FALSE),"错误")</f>
        <v>100</v>
      </c>
      <c r="Y1150" s="26" t="str">
        <f t="shared" si="320"/>
        <v/>
      </c>
      <c r="Z1150" s="36" t="str">
        <f t="shared" si="321"/>
        <v/>
      </c>
      <c r="AA1150" s="36" t="str">
        <f t="shared" si="322"/>
        <v/>
      </c>
      <c r="AB1150" s="27" t="str">
        <f t="shared" si="323"/>
        <v/>
      </c>
      <c r="AC1150" s="2" t="str">
        <f t="shared" si="324"/>
        <v/>
      </c>
      <c r="AD1150" s="38">
        <f t="shared" si="325"/>
        <v>2</v>
      </c>
      <c r="AE1150" t="str">
        <f t="shared" si="326"/>
        <v/>
      </c>
      <c r="AF1150" t="str">
        <f t="shared" si="327"/>
        <v/>
      </c>
      <c r="AG1150" t="str">
        <f t="shared" si="328"/>
        <v/>
      </c>
      <c r="AH1150" t="str">
        <f t="shared" si="329"/>
        <v/>
      </c>
      <c r="AI1150" t="str">
        <f t="shared" si="330"/>
        <v/>
      </c>
      <c r="AJ1150" t="str">
        <f t="shared" si="331"/>
        <v/>
      </c>
      <c r="AK1150" t="str">
        <f t="shared" si="332"/>
        <v/>
      </c>
      <c r="AL1150" t="str">
        <f>IFERROR(ROUND(L1150*(G1150/$AU1150)/VLOOKUP(F1150,商品!$A$4:$B$60,2,FALSE),0),"")</f>
        <v/>
      </c>
      <c r="AM1150" t="str">
        <f>IFERROR(ROUND(L1150*(I1150/$AU1150)/VLOOKUP(H1150,商品!$A$4:$B$60,2,FALSE),0),"")</f>
        <v/>
      </c>
      <c r="AN1150">
        <f>IFERROR(ROUND(L1150*(J1150/$AU1150)/VLOOKUP("运力",商品!$A$4:$B$60,2,FALSE),0),0)</f>
        <v>0</v>
      </c>
      <c r="AO1150">
        <f>IFERROR(ROUND(L1150*(K1150/$AU1150)/VLOOKUP("交易",商品!$A$4:$B$60,2,FALSE),0),0)</f>
        <v>0</v>
      </c>
      <c r="AP1150" t="str">
        <f>IFERROR(ROUND(S1150*(N1150/$AV1150)/VLOOKUP(M1150,职业!$A$4:$G$16,4,FALSE),0),"")</f>
        <v/>
      </c>
      <c r="AQ1150" t="str">
        <f>IFERROR(ROUND(S1150*(P1150/$AV1150)/VLOOKUP(O1150,职业!$A$4:$G$16,4,FALSE),0),"")</f>
        <v/>
      </c>
      <c r="AR1150" t="str">
        <f>IFERROR(ROUND(S1150*(R1150/$AV1150)/VLOOKUP(Q1150,职业!$A$4:$G$16,4,FALSE),0),"")</f>
        <v/>
      </c>
      <c r="AS1150" t="str">
        <f>IFERROR(ROUND(X1150*(U1150/$AW1150)/VLOOKUP(T1150,商品!$A$4:$B$60,2,FALSE),0),"")</f>
        <v/>
      </c>
      <c r="AT1150" t="str">
        <f>IFERROR(ROUND(X1150*(W1150/$AW1150)/VLOOKUP(V1150,商品!$A$4:$B$60,2,FALSE),0),"")</f>
        <v/>
      </c>
      <c r="AU1150">
        <f t="shared" si="333"/>
        <v>0</v>
      </c>
      <c r="AV1150">
        <f t="shared" si="334"/>
        <v>0</v>
      </c>
      <c r="AW1150">
        <f t="shared" si="335"/>
        <v>0</v>
      </c>
    </row>
    <row r="1151" spans="1:49" ht="19.95" customHeight="1" x14ac:dyDescent="0.25">
      <c r="A1151" s="15" t="s">
        <v>426</v>
      </c>
      <c r="C1151" s="15">
        <v>3</v>
      </c>
      <c r="D1151" s="23" t="s">
        <v>174</v>
      </c>
      <c r="E1151" s="23" t="s">
        <v>179</v>
      </c>
      <c r="L1151" s="16">
        <f>IFERROR(VLOOKUP($D1151&amp;$C1151,生产方式定位!$A$2:$E$38,2,FALSE)+VLOOKUP($E1151&amp;$C1151,生产方式定位!$F$3:$J$38,2,FALSE),0)</f>
        <v>0</v>
      </c>
      <c r="S1151" s="16">
        <f>IFERROR(VLOOKUP($D1151&amp;$C1151,生产方式定位!$A$2:$E$38,3,FALSE)+VLOOKUP($E1151&amp;$C1151,生产方式定位!$F$3:$J$38,3,FALSE),0)</f>
        <v>100</v>
      </c>
      <c r="X1151" s="16">
        <f>IFERROR(VLOOKUP($D1151&amp;$C1151,生产方式定位!$A$2:$E$38,5,FALSE)+VLOOKUP($E1151&amp;$C1151,生产方式定位!$F$3:$J$38,5,FALSE),"错误")</f>
        <v>100</v>
      </c>
      <c r="Y1151" s="26" t="str">
        <f t="shared" si="320"/>
        <v/>
      </c>
      <c r="Z1151" s="36" t="str">
        <f t="shared" si="321"/>
        <v/>
      </c>
      <c r="AA1151" s="36" t="str">
        <f t="shared" si="322"/>
        <v/>
      </c>
      <c r="AB1151" s="27" t="str">
        <f t="shared" si="323"/>
        <v/>
      </c>
      <c r="AC1151" s="2" t="str">
        <f t="shared" si="324"/>
        <v/>
      </c>
      <c r="AD1151" s="38">
        <f t="shared" si="325"/>
        <v>3</v>
      </c>
      <c r="AE1151" t="str">
        <f t="shared" si="326"/>
        <v/>
      </c>
      <c r="AF1151" t="str">
        <f t="shared" si="327"/>
        <v/>
      </c>
      <c r="AG1151" t="str">
        <f t="shared" si="328"/>
        <v/>
      </c>
      <c r="AH1151" t="str">
        <f t="shared" si="329"/>
        <v/>
      </c>
      <c r="AI1151" t="str">
        <f t="shared" si="330"/>
        <v/>
      </c>
      <c r="AJ1151" t="str">
        <f t="shared" si="331"/>
        <v/>
      </c>
      <c r="AK1151" t="str">
        <f t="shared" si="332"/>
        <v/>
      </c>
      <c r="AL1151" t="str">
        <f>IFERROR(ROUND(L1151*(G1151/$AU1151)/VLOOKUP(F1151,商品!$A$4:$B$60,2,FALSE),0),"")</f>
        <v/>
      </c>
      <c r="AM1151" t="str">
        <f>IFERROR(ROUND(L1151*(I1151/$AU1151)/VLOOKUP(H1151,商品!$A$4:$B$60,2,FALSE),0),"")</f>
        <v/>
      </c>
      <c r="AN1151">
        <f>IFERROR(ROUND(L1151*(J1151/$AU1151)/VLOOKUP("运力",商品!$A$4:$B$60,2,FALSE),0),0)</f>
        <v>0</v>
      </c>
      <c r="AO1151">
        <f>IFERROR(ROUND(L1151*(K1151/$AU1151)/VLOOKUP("交易",商品!$A$4:$B$60,2,FALSE),0),0)</f>
        <v>0</v>
      </c>
      <c r="AP1151" t="str">
        <f>IFERROR(ROUND(S1151*(N1151/$AV1151)/VLOOKUP(M1151,职业!$A$4:$G$16,4,FALSE),0),"")</f>
        <v/>
      </c>
      <c r="AQ1151" t="str">
        <f>IFERROR(ROUND(S1151*(P1151/$AV1151)/VLOOKUP(O1151,职业!$A$4:$G$16,4,FALSE),0),"")</f>
        <v/>
      </c>
      <c r="AR1151" t="str">
        <f>IFERROR(ROUND(S1151*(R1151/$AV1151)/VLOOKUP(Q1151,职业!$A$4:$G$16,4,FALSE),0),"")</f>
        <v/>
      </c>
      <c r="AS1151" t="str">
        <f>IFERROR(ROUND(X1151*(U1151/$AW1151)/VLOOKUP(T1151,商品!$A$4:$B$60,2,FALSE),0),"")</f>
        <v/>
      </c>
      <c r="AT1151" t="str">
        <f>IFERROR(ROUND(X1151*(W1151/$AW1151)/VLOOKUP(V1151,商品!$A$4:$B$60,2,FALSE),0),"")</f>
        <v/>
      </c>
      <c r="AU1151">
        <f t="shared" si="333"/>
        <v>0</v>
      </c>
      <c r="AV1151">
        <f t="shared" si="334"/>
        <v>0</v>
      </c>
      <c r="AW1151">
        <f t="shared" si="335"/>
        <v>0</v>
      </c>
    </row>
    <row r="1152" spans="1:49" ht="19.95" customHeight="1" x14ac:dyDescent="0.25">
      <c r="A1152" s="15" t="s">
        <v>426</v>
      </c>
      <c r="C1152" s="15">
        <v>4</v>
      </c>
      <c r="D1152" s="23" t="s">
        <v>174</v>
      </c>
      <c r="E1152" s="23" t="s">
        <v>179</v>
      </c>
      <c r="L1152" s="16">
        <f>IFERROR(VLOOKUP($D1152&amp;$C1152,生产方式定位!$A$2:$E$38,2,FALSE)+VLOOKUP($E1152&amp;$C1152,生产方式定位!$F$3:$J$38,2,FALSE),0)</f>
        <v>0</v>
      </c>
      <c r="S1152" s="16">
        <f>IFERROR(VLOOKUP($D1152&amp;$C1152,生产方式定位!$A$2:$E$38,3,FALSE)+VLOOKUP($E1152&amp;$C1152,生产方式定位!$F$3:$J$38,3,FALSE),0)</f>
        <v>100</v>
      </c>
      <c r="X1152" s="16">
        <f>IFERROR(VLOOKUP($D1152&amp;$C1152,生产方式定位!$A$2:$E$38,5,FALSE)+VLOOKUP($E1152&amp;$C1152,生产方式定位!$F$3:$J$38,5,FALSE),"错误")</f>
        <v>100</v>
      </c>
      <c r="Y1152" s="26" t="str">
        <f t="shared" si="320"/>
        <v/>
      </c>
      <c r="Z1152" s="36" t="str">
        <f t="shared" si="321"/>
        <v/>
      </c>
      <c r="AA1152" s="36" t="str">
        <f t="shared" si="322"/>
        <v/>
      </c>
      <c r="AB1152" s="27" t="str">
        <f t="shared" si="323"/>
        <v/>
      </c>
      <c r="AC1152" s="2" t="str">
        <f t="shared" si="324"/>
        <v/>
      </c>
      <c r="AD1152" s="38">
        <f t="shared" si="325"/>
        <v>4</v>
      </c>
      <c r="AE1152" t="str">
        <f t="shared" si="326"/>
        <v/>
      </c>
      <c r="AF1152" t="str">
        <f t="shared" si="327"/>
        <v/>
      </c>
      <c r="AG1152" t="str">
        <f t="shared" si="328"/>
        <v/>
      </c>
      <c r="AH1152" t="str">
        <f t="shared" si="329"/>
        <v/>
      </c>
      <c r="AI1152" t="str">
        <f t="shared" si="330"/>
        <v/>
      </c>
      <c r="AJ1152" t="str">
        <f t="shared" si="331"/>
        <v/>
      </c>
      <c r="AK1152" t="str">
        <f t="shared" si="332"/>
        <v/>
      </c>
      <c r="AL1152" t="str">
        <f>IFERROR(ROUND(L1152*(G1152/$AU1152)/VLOOKUP(F1152,商品!$A$4:$B$60,2,FALSE),0),"")</f>
        <v/>
      </c>
      <c r="AM1152" t="str">
        <f>IFERROR(ROUND(L1152*(I1152/$AU1152)/VLOOKUP(H1152,商品!$A$4:$B$60,2,FALSE),0),"")</f>
        <v/>
      </c>
      <c r="AN1152">
        <f>IFERROR(ROUND(L1152*(J1152/$AU1152)/VLOOKUP("运力",商品!$A$4:$B$60,2,FALSE),0),0)</f>
        <v>0</v>
      </c>
      <c r="AO1152">
        <f>IFERROR(ROUND(L1152*(K1152/$AU1152)/VLOOKUP("交易",商品!$A$4:$B$60,2,FALSE),0),0)</f>
        <v>0</v>
      </c>
      <c r="AP1152" t="str">
        <f>IFERROR(ROUND(S1152*(N1152/$AV1152)/VLOOKUP(M1152,职业!$A$4:$G$16,4,FALSE),0),"")</f>
        <v/>
      </c>
      <c r="AQ1152" t="str">
        <f>IFERROR(ROUND(S1152*(P1152/$AV1152)/VLOOKUP(O1152,职业!$A$4:$G$16,4,FALSE),0),"")</f>
        <v/>
      </c>
      <c r="AR1152" t="str">
        <f>IFERROR(ROUND(S1152*(R1152/$AV1152)/VLOOKUP(Q1152,职业!$A$4:$G$16,4,FALSE),0),"")</f>
        <v/>
      </c>
      <c r="AS1152" t="str">
        <f>IFERROR(ROUND(X1152*(U1152/$AW1152)/VLOOKUP(T1152,商品!$A$4:$B$60,2,FALSE),0),"")</f>
        <v/>
      </c>
      <c r="AT1152" t="str">
        <f>IFERROR(ROUND(X1152*(W1152/$AW1152)/VLOOKUP(V1152,商品!$A$4:$B$60,2,FALSE),0),"")</f>
        <v/>
      </c>
      <c r="AU1152">
        <f t="shared" si="333"/>
        <v>0</v>
      </c>
      <c r="AV1152">
        <f t="shared" si="334"/>
        <v>0</v>
      </c>
      <c r="AW1152">
        <f t="shared" si="335"/>
        <v>0</v>
      </c>
    </row>
    <row r="1153" spans="1:49" ht="19.95" customHeight="1" x14ac:dyDescent="0.25">
      <c r="A1153" s="15" t="s">
        <v>426</v>
      </c>
      <c r="C1153" s="15">
        <v>5</v>
      </c>
      <c r="D1153" s="23" t="s">
        <v>174</v>
      </c>
      <c r="E1153" s="23" t="s">
        <v>179</v>
      </c>
      <c r="L1153" s="16">
        <f>IFERROR(VLOOKUP($D1153&amp;$C1153,生产方式定位!$A$2:$E$38,2,FALSE)+VLOOKUP($E1153&amp;$C1153,生产方式定位!$F$3:$J$38,2,FALSE),0)</f>
        <v>0</v>
      </c>
      <c r="S1153" s="16">
        <f>IFERROR(VLOOKUP($D1153&amp;$C1153,生产方式定位!$A$2:$E$38,3,FALSE)+VLOOKUP($E1153&amp;$C1153,生产方式定位!$F$3:$J$38,3,FALSE),0)</f>
        <v>100</v>
      </c>
      <c r="X1153" s="16">
        <f>IFERROR(VLOOKUP($D1153&amp;$C1153,生产方式定位!$A$2:$E$38,5,FALSE)+VLOOKUP($E1153&amp;$C1153,生产方式定位!$F$3:$J$38,5,FALSE),"错误")</f>
        <v>100</v>
      </c>
      <c r="Y1153" s="26" t="str">
        <f t="shared" si="320"/>
        <v/>
      </c>
      <c r="Z1153" s="36" t="str">
        <f t="shared" si="321"/>
        <v/>
      </c>
      <c r="AA1153" s="36" t="str">
        <f t="shared" si="322"/>
        <v/>
      </c>
      <c r="AB1153" s="27" t="str">
        <f t="shared" si="323"/>
        <v/>
      </c>
      <c r="AC1153" s="2" t="str">
        <f t="shared" si="324"/>
        <v/>
      </c>
      <c r="AD1153" s="38">
        <f t="shared" si="325"/>
        <v>5</v>
      </c>
      <c r="AE1153" t="str">
        <f t="shared" si="326"/>
        <v/>
      </c>
      <c r="AF1153" t="str">
        <f t="shared" si="327"/>
        <v/>
      </c>
      <c r="AG1153" t="str">
        <f t="shared" si="328"/>
        <v/>
      </c>
      <c r="AH1153" t="str">
        <f t="shared" si="329"/>
        <v/>
      </c>
      <c r="AI1153" t="str">
        <f t="shared" si="330"/>
        <v/>
      </c>
      <c r="AJ1153" t="str">
        <f t="shared" si="331"/>
        <v/>
      </c>
      <c r="AK1153" t="str">
        <f t="shared" si="332"/>
        <v/>
      </c>
      <c r="AL1153" t="str">
        <f>IFERROR(ROUND(L1153*(G1153/$AU1153)/VLOOKUP(F1153,商品!$A$4:$B$60,2,FALSE),0),"")</f>
        <v/>
      </c>
      <c r="AM1153" t="str">
        <f>IFERROR(ROUND(L1153*(I1153/$AU1153)/VLOOKUP(H1153,商品!$A$4:$B$60,2,FALSE),0),"")</f>
        <v/>
      </c>
      <c r="AN1153">
        <f>IFERROR(ROUND(L1153*(J1153/$AU1153)/VLOOKUP("运力",商品!$A$4:$B$60,2,FALSE),0),0)</f>
        <v>0</v>
      </c>
      <c r="AO1153">
        <f>IFERROR(ROUND(L1153*(K1153/$AU1153)/VLOOKUP("交易",商品!$A$4:$B$60,2,FALSE),0),0)</f>
        <v>0</v>
      </c>
      <c r="AP1153" t="str">
        <f>IFERROR(ROUND(S1153*(N1153/$AV1153)/VLOOKUP(M1153,职业!$A$4:$G$16,4,FALSE),0),"")</f>
        <v/>
      </c>
      <c r="AQ1153" t="str">
        <f>IFERROR(ROUND(S1153*(P1153/$AV1153)/VLOOKUP(O1153,职业!$A$4:$G$16,4,FALSE),0),"")</f>
        <v/>
      </c>
      <c r="AR1153" t="str">
        <f>IFERROR(ROUND(S1153*(R1153/$AV1153)/VLOOKUP(Q1153,职业!$A$4:$G$16,4,FALSE),0),"")</f>
        <v/>
      </c>
      <c r="AS1153" t="str">
        <f>IFERROR(ROUND(X1153*(U1153/$AW1153)/VLOOKUP(T1153,商品!$A$4:$B$60,2,FALSE),0),"")</f>
        <v/>
      </c>
      <c r="AT1153" t="str">
        <f>IFERROR(ROUND(X1153*(W1153/$AW1153)/VLOOKUP(V1153,商品!$A$4:$B$60,2,FALSE),0),"")</f>
        <v/>
      </c>
      <c r="AU1153">
        <f t="shared" si="333"/>
        <v>0</v>
      </c>
      <c r="AV1153">
        <f t="shared" si="334"/>
        <v>0</v>
      </c>
      <c r="AW1153">
        <f t="shared" si="335"/>
        <v>0</v>
      </c>
    </row>
    <row r="1154" spans="1:49" ht="19.95" customHeight="1" x14ac:dyDescent="0.25">
      <c r="A1154" s="15" t="s">
        <v>426</v>
      </c>
      <c r="C1154" s="15">
        <v>6</v>
      </c>
      <c r="D1154" s="23" t="s">
        <v>174</v>
      </c>
      <c r="E1154" s="23" t="s">
        <v>179</v>
      </c>
      <c r="L1154" s="16">
        <f>IFERROR(VLOOKUP($D1154&amp;$C1154,生产方式定位!$A$2:$E$38,2,FALSE)+VLOOKUP($E1154&amp;$C1154,生产方式定位!$F$3:$J$38,2,FALSE),0)</f>
        <v>0</v>
      </c>
      <c r="S1154" s="16">
        <f>IFERROR(VLOOKUP($D1154&amp;$C1154,生产方式定位!$A$2:$E$38,3,FALSE)+VLOOKUP($E1154&amp;$C1154,生产方式定位!$F$3:$J$38,3,FALSE),0)</f>
        <v>100</v>
      </c>
      <c r="X1154" s="16">
        <f>IFERROR(VLOOKUP($D1154&amp;$C1154,生产方式定位!$A$2:$E$38,5,FALSE)+VLOOKUP($E1154&amp;$C1154,生产方式定位!$F$3:$J$38,5,FALSE),"错误")</f>
        <v>100</v>
      </c>
      <c r="Y1154" s="26" t="str">
        <f t="shared" si="320"/>
        <v/>
      </c>
      <c r="Z1154" s="36" t="str">
        <f t="shared" si="321"/>
        <v/>
      </c>
      <c r="AA1154" s="36" t="str">
        <f t="shared" si="322"/>
        <v/>
      </c>
      <c r="AB1154" s="27" t="str">
        <f t="shared" si="323"/>
        <v/>
      </c>
      <c r="AC1154" s="2" t="str">
        <f t="shared" si="324"/>
        <v/>
      </c>
      <c r="AD1154" s="37">
        <f t="shared" si="325"/>
        <v>6</v>
      </c>
      <c r="AE1154" t="str">
        <f t="shared" si="326"/>
        <v/>
      </c>
      <c r="AF1154" t="str">
        <f t="shared" si="327"/>
        <v/>
      </c>
      <c r="AG1154" t="str">
        <f t="shared" si="328"/>
        <v/>
      </c>
      <c r="AH1154" t="str">
        <f t="shared" si="329"/>
        <v/>
      </c>
      <c r="AI1154" t="str">
        <f t="shared" si="330"/>
        <v/>
      </c>
      <c r="AJ1154" t="str">
        <f t="shared" si="331"/>
        <v/>
      </c>
      <c r="AK1154" t="str">
        <f t="shared" si="332"/>
        <v/>
      </c>
      <c r="AL1154" t="str">
        <f>IFERROR(ROUND(L1154*(G1154/$AU1154)/VLOOKUP(F1154,商品!$A$4:$B$60,2,FALSE),0),"")</f>
        <v/>
      </c>
      <c r="AM1154" t="str">
        <f>IFERROR(ROUND(L1154*(I1154/$AU1154)/VLOOKUP(H1154,商品!$A$4:$B$60,2,FALSE),0),"")</f>
        <v/>
      </c>
      <c r="AN1154">
        <f>IFERROR(ROUND(L1154*(J1154/$AU1154)/VLOOKUP("运力",商品!$A$4:$B$60,2,FALSE),0),0)</f>
        <v>0</v>
      </c>
      <c r="AO1154">
        <f>IFERROR(ROUND(L1154*(K1154/$AU1154)/VLOOKUP("交易",商品!$A$4:$B$60,2,FALSE),0),0)</f>
        <v>0</v>
      </c>
      <c r="AP1154" t="str">
        <f>IFERROR(ROUND(S1154*(N1154/$AV1154)/VLOOKUP(M1154,职业!$A$4:$G$16,4,FALSE),0),"")</f>
        <v/>
      </c>
      <c r="AQ1154" t="str">
        <f>IFERROR(ROUND(S1154*(P1154/$AV1154)/VLOOKUP(O1154,职业!$A$4:$G$16,4,FALSE),0),"")</f>
        <v/>
      </c>
      <c r="AR1154" t="str">
        <f>IFERROR(ROUND(S1154*(R1154/$AV1154)/VLOOKUP(Q1154,职业!$A$4:$G$16,4,FALSE),0),"")</f>
        <v/>
      </c>
      <c r="AS1154" t="str">
        <f>IFERROR(ROUND(X1154*(U1154/$AW1154)/VLOOKUP(T1154,商品!$A$4:$B$60,2,FALSE),0),"")</f>
        <v/>
      </c>
      <c r="AT1154" t="str">
        <f>IFERROR(ROUND(X1154*(W1154/$AW1154)/VLOOKUP(V1154,商品!$A$4:$B$60,2,FALSE),0),"")</f>
        <v/>
      </c>
      <c r="AU1154">
        <f t="shared" si="333"/>
        <v>0</v>
      </c>
      <c r="AV1154">
        <f t="shared" si="334"/>
        <v>0</v>
      </c>
      <c r="AW1154">
        <f t="shared" si="335"/>
        <v>0</v>
      </c>
    </row>
    <row r="1155" spans="1:49" ht="19.95" customHeight="1" x14ac:dyDescent="0.25">
      <c r="A1155" s="15" t="s">
        <v>426</v>
      </c>
      <c r="C1155" s="15">
        <v>7</v>
      </c>
      <c r="D1155" s="23" t="s">
        <v>174</v>
      </c>
      <c r="E1155" s="23" t="s">
        <v>179</v>
      </c>
      <c r="L1155" s="16">
        <f>IFERROR(VLOOKUP($D1155&amp;$C1155,生产方式定位!$A$2:$E$38,2,FALSE)+VLOOKUP($E1155&amp;$C1155,生产方式定位!$F$3:$J$38,2,FALSE),0)</f>
        <v>0</v>
      </c>
      <c r="S1155" s="16">
        <f>IFERROR(VLOOKUP($D1155&amp;$C1155,生产方式定位!$A$2:$E$38,3,FALSE)+VLOOKUP($E1155&amp;$C1155,生产方式定位!$F$3:$J$38,3,FALSE),0)</f>
        <v>100</v>
      </c>
      <c r="X1155" s="16">
        <f>IFERROR(VLOOKUP($D1155&amp;$C1155,生产方式定位!$A$2:$E$38,5,FALSE)+VLOOKUP($E1155&amp;$C1155,生产方式定位!$F$3:$J$38,5,FALSE),"错误")</f>
        <v>100</v>
      </c>
      <c r="Y1155" s="26" t="str">
        <f t="shared" si="320"/>
        <v/>
      </c>
      <c r="Z1155" s="36" t="str">
        <f t="shared" si="321"/>
        <v/>
      </c>
      <c r="AA1155" s="36" t="str">
        <f t="shared" si="322"/>
        <v/>
      </c>
      <c r="AB1155" s="27" t="str">
        <f t="shared" si="323"/>
        <v/>
      </c>
      <c r="AC1155" s="2" t="str">
        <f t="shared" si="324"/>
        <v/>
      </c>
      <c r="AD1155" s="37">
        <f t="shared" si="325"/>
        <v>7</v>
      </c>
      <c r="AE1155" t="str">
        <f t="shared" si="326"/>
        <v/>
      </c>
      <c r="AF1155" t="str">
        <f t="shared" si="327"/>
        <v/>
      </c>
      <c r="AG1155" t="str">
        <f t="shared" si="328"/>
        <v/>
      </c>
      <c r="AH1155" t="str">
        <f t="shared" si="329"/>
        <v/>
      </c>
      <c r="AI1155" t="str">
        <f t="shared" si="330"/>
        <v/>
      </c>
      <c r="AJ1155" t="str">
        <f t="shared" si="331"/>
        <v/>
      </c>
      <c r="AK1155" t="str">
        <f t="shared" si="332"/>
        <v/>
      </c>
      <c r="AL1155" t="str">
        <f>IFERROR(ROUND(L1155*(G1155/$AU1155)/VLOOKUP(F1155,商品!$A$4:$B$60,2,FALSE),0),"")</f>
        <v/>
      </c>
      <c r="AM1155" t="str">
        <f>IFERROR(ROUND(L1155*(I1155/$AU1155)/VLOOKUP(H1155,商品!$A$4:$B$60,2,FALSE),0),"")</f>
        <v/>
      </c>
      <c r="AN1155">
        <f>IFERROR(ROUND(L1155*(J1155/$AU1155)/VLOOKUP("运力",商品!$A$4:$B$60,2,FALSE),0),0)</f>
        <v>0</v>
      </c>
      <c r="AO1155">
        <f>IFERROR(ROUND(L1155*(K1155/$AU1155)/VLOOKUP("交易",商品!$A$4:$B$60,2,FALSE),0),0)</f>
        <v>0</v>
      </c>
      <c r="AP1155" t="str">
        <f>IFERROR(ROUND(S1155*(N1155/$AV1155)/VLOOKUP(M1155,职业!$A$4:$G$16,4,FALSE),0),"")</f>
        <v/>
      </c>
      <c r="AQ1155" t="str">
        <f>IFERROR(ROUND(S1155*(P1155/$AV1155)/VLOOKUP(O1155,职业!$A$4:$G$16,4,FALSE),0),"")</f>
        <v/>
      </c>
      <c r="AR1155" t="str">
        <f>IFERROR(ROUND(S1155*(R1155/$AV1155)/VLOOKUP(Q1155,职业!$A$4:$G$16,4,FALSE),0),"")</f>
        <v/>
      </c>
      <c r="AS1155" t="str">
        <f>IFERROR(ROUND(X1155*(U1155/$AW1155)/VLOOKUP(T1155,商品!$A$4:$B$60,2,FALSE),0),"")</f>
        <v/>
      </c>
      <c r="AT1155" t="str">
        <f>IFERROR(ROUND(X1155*(W1155/$AW1155)/VLOOKUP(V1155,商品!$A$4:$B$60,2,FALSE),0),"")</f>
        <v/>
      </c>
      <c r="AU1155">
        <f t="shared" si="333"/>
        <v>0</v>
      </c>
      <c r="AV1155">
        <f t="shared" si="334"/>
        <v>0</v>
      </c>
      <c r="AW1155">
        <f t="shared" si="335"/>
        <v>0</v>
      </c>
    </row>
    <row r="1156" spans="1:49" ht="19.95" customHeight="1" x14ac:dyDescent="0.25">
      <c r="A1156" s="15" t="s">
        <v>426</v>
      </c>
      <c r="C1156" s="15">
        <v>8</v>
      </c>
      <c r="D1156" s="23" t="s">
        <v>174</v>
      </c>
      <c r="E1156" s="23" t="s">
        <v>179</v>
      </c>
      <c r="L1156" s="16">
        <f>IFERROR(VLOOKUP($D1156&amp;$C1156,生产方式定位!$A$2:$E$38,2,FALSE)+VLOOKUP($E1156&amp;$C1156,生产方式定位!$F$3:$J$38,2,FALSE),0)</f>
        <v>0</v>
      </c>
      <c r="S1156" s="16">
        <f>IFERROR(VLOOKUP($D1156&amp;$C1156,生产方式定位!$A$2:$E$38,3,FALSE)+VLOOKUP($E1156&amp;$C1156,生产方式定位!$F$3:$J$38,3,FALSE),0)</f>
        <v>100</v>
      </c>
      <c r="X1156" s="16">
        <f>IFERROR(VLOOKUP($D1156&amp;$C1156,生产方式定位!$A$2:$E$38,5,FALSE)+VLOOKUP($E1156&amp;$C1156,生产方式定位!$F$3:$J$38,5,FALSE),"错误")</f>
        <v>100</v>
      </c>
      <c r="Y1156" s="26" t="str">
        <f t="shared" si="320"/>
        <v/>
      </c>
      <c r="Z1156" s="36" t="str">
        <f t="shared" si="321"/>
        <v/>
      </c>
      <c r="AA1156" s="36" t="str">
        <f t="shared" si="322"/>
        <v/>
      </c>
      <c r="AB1156" s="27" t="str">
        <f t="shared" si="323"/>
        <v/>
      </c>
      <c r="AC1156" s="2" t="str">
        <f t="shared" si="324"/>
        <v/>
      </c>
      <c r="AD1156" s="37">
        <f t="shared" si="325"/>
        <v>8</v>
      </c>
      <c r="AE1156" t="str">
        <f t="shared" si="326"/>
        <v/>
      </c>
      <c r="AF1156" t="str">
        <f t="shared" si="327"/>
        <v/>
      </c>
      <c r="AG1156" t="str">
        <f t="shared" si="328"/>
        <v/>
      </c>
      <c r="AH1156" t="str">
        <f t="shared" si="329"/>
        <v/>
      </c>
      <c r="AI1156" t="str">
        <f t="shared" si="330"/>
        <v/>
      </c>
      <c r="AJ1156" t="str">
        <f t="shared" si="331"/>
        <v/>
      </c>
      <c r="AK1156" t="str">
        <f t="shared" si="332"/>
        <v/>
      </c>
      <c r="AL1156" t="str">
        <f>IFERROR(ROUND(L1156*(G1156/$AU1156)/VLOOKUP(F1156,商品!$A$4:$B$60,2,FALSE),0),"")</f>
        <v/>
      </c>
      <c r="AM1156" t="str">
        <f>IFERROR(ROUND(L1156*(I1156/$AU1156)/VLOOKUP(H1156,商品!$A$4:$B$60,2,FALSE),0),"")</f>
        <v/>
      </c>
      <c r="AN1156">
        <f>IFERROR(ROUND(L1156*(J1156/$AU1156)/VLOOKUP("运力",商品!$A$4:$B$60,2,FALSE),0),0)</f>
        <v>0</v>
      </c>
      <c r="AO1156">
        <f>IFERROR(ROUND(L1156*(K1156/$AU1156)/VLOOKUP("交易",商品!$A$4:$B$60,2,FALSE),0),0)</f>
        <v>0</v>
      </c>
      <c r="AP1156" t="str">
        <f>IFERROR(ROUND(S1156*(N1156/$AV1156)/VLOOKUP(M1156,职业!$A$4:$G$16,4,FALSE),0),"")</f>
        <v/>
      </c>
      <c r="AQ1156" t="str">
        <f>IFERROR(ROUND(S1156*(P1156/$AV1156)/VLOOKUP(O1156,职业!$A$4:$G$16,4,FALSE),0),"")</f>
        <v/>
      </c>
      <c r="AR1156" t="str">
        <f>IFERROR(ROUND(S1156*(R1156/$AV1156)/VLOOKUP(Q1156,职业!$A$4:$G$16,4,FALSE),0),"")</f>
        <v/>
      </c>
      <c r="AS1156" t="str">
        <f>IFERROR(ROUND(X1156*(U1156/$AW1156)/VLOOKUP(T1156,商品!$A$4:$B$60,2,FALSE),0),"")</f>
        <v/>
      </c>
      <c r="AT1156" t="str">
        <f>IFERROR(ROUND(X1156*(W1156/$AW1156)/VLOOKUP(V1156,商品!$A$4:$B$60,2,FALSE),0),"")</f>
        <v/>
      </c>
      <c r="AU1156">
        <f t="shared" si="333"/>
        <v>0</v>
      </c>
      <c r="AV1156">
        <f t="shared" si="334"/>
        <v>0</v>
      </c>
      <c r="AW1156">
        <f t="shared" si="335"/>
        <v>0</v>
      </c>
    </row>
    <row r="1157" spans="1:49" ht="19.95" customHeight="1" x14ac:dyDescent="0.25">
      <c r="A1157" s="16" t="s">
        <v>428</v>
      </c>
      <c r="C1157" s="16">
        <v>1</v>
      </c>
      <c r="D1157" s="23" t="s">
        <v>171</v>
      </c>
      <c r="E1157" s="23" t="s">
        <v>172</v>
      </c>
      <c r="L1157" s="15">
        <f>IFERROR(VLOOKUP($D1157&amp;$C1157,生产方式定位!$A$2:$E$38,2,FALSE)+VLOOKUP($E1157&amp;$C1157,生产方式定位!$F$3:$J$38,2,FALSE),0)</f>
        <v>300</v>
      </c>
      <c r="S1157" s="15">
        <f>IFERROR(VLOOKUP($D1157&amp;$C1157,生产方式定位!$A$2:$E$38,3,FALSE)+VLOOKUP($E1157&amp;$C1157,生产方式定位!$F$3:$J$38,3,FALSE),0)</f>
        <v>100</v>
      </c>
      <c r="X1157" s="15">
        <f>IFERROR(VLOOKUP($D1157&amp;$C1157,生产方式定位!$A$2:$E$38,5,FALSE)+VLOOKUP($E1157&amp;$C1157,生产方式定位!$F$3:$J$38,5,FALSE),"错误")</f>
        <v>520</v>
      </c>
      <c r="Y1157" s="26" t="str">
        <f t="shared" si="320"/>
        <v/>
      </c>
      <c r="Z1157" s="36" t="str">
        <f t="shared" si="321"/>
        <v/>
      </c>
      <c r="AA1157" s="36" t="str">
        <f t="shared" si="322"/>
        <v/>
      </c>
      <c r="AB1157" s="27" t="str">
        <f t="shared" si="323"/>
        <v>73%</v>
      </c>
      <c r="AC1157" s="2">
        <f t="shared" si="324"/>
        <v>120</v>
      </c>
      <c r="AD1157" s="37">
        <f t="shared" si="325"/>
        <v>1</v>
      </c>
      <c r="AE1157" t="str">
        <f t="shared" si="326"/>
        <v/>
      </c>
      <c r="AF1157" t="str">
        <f t="shared" si="327"/>
        <v/>
      </c>
      <c r="AG1157" t="str">
        <f t="shared" si="328"/>
        <v/>
      </c>
      <c r="AH1157" t="str">
        <f t="shared" si="329"/>
        <v/>
      </c>
      <c r="AI1157" t="str">
        <f t="shared" si="330"/>
        <v/>
      </c>
      <c r="AJ1157" t="str">
        <f t="shared" si="331"/>
        <v/>
      </c>
      <c r="AK1157" t="str">
        <f t="shared" si="332"/>
        <v/>
      </c>
      <c r="AL1157" t="str">
        <f>IFERROR(ROUND(L1157*(G1157/$AU1157)/VLOOKUP(F1157,商品!$A$4:$B$60,2,FALSE),0),"")</f>
        <v/>
      </c>
      <c r="AM1157" t="str">
        <f>IFERROR(ROUND(L1157*(I1157/$AU1157)/VLOOKUP(H1157,商品!$A$4:$B$60,2,FALSE),0),"")</f>
        <v/>
      </c>
      <c r="AN1157">
        <f>IFERROR(ROUND(L1157*(J1157/$AU1157)/VLOOKUP("运力",商品!$A$4:$B$60,2,FALSE),0),0)</f>
        <v>0</v>
      </c>
      <c r="AO1157">
        <f>IFERROR(ROUND(L1157*(K1157/$AU1157)/VLOOKUP("交易",商品!$A$4:$B$60,2,FALSE),0),0)</f>
        <v>0</v>
      </c>
      <c r="AP1157" t="str">
        <f>IFERROR(ROUND(S1157*(N1157/$AV1157)/VLOOKUP(M1157,职业!$A$4:$G$16,4,FALSE),0),"")</f>
        <v/>
      </c>
      <c r="AQ1157" t="str">
        <f>IFERROR(ROUND(S1157*(P1157/$AV1157)/VLOOKUP(O1157,职业!$A$4:$G$16,4,FALSE),0),"")</f>
        <v/>
      </c>
      <c r="AR1157" t="str">
        <f>IFERROR(ROUND(S1157*(R1157/$AV1157)/VLOOKUP(Q1157,职业!$A$4:$G$16,4,FALSE),0),"")</f>
        <v/>
      </c>
      <c r="AS1157" t="str">
        <f>IFERROR(ROUND(X1157*(U1157/$AW1157)/VLOOKUP(T1157,商品!$A$4:$B$60,2,FALSE),0),"")</f>
        <v/>
      </c>
      <c r="AT1157" t="str">
        <f>IFERROR(ROUND(X1157*(W1157/$AW1157)/VLOOKUP(V1157,商品!$A$4:$B$60,2,FALSE),0),"")</f>
        <v/>
      </c>
      <c r="AU1157">
        <f t="shared" si="333"/>
        <v>0</v>
      </c>
      <c r="AV1157">
        <f t="shared" si="334"/>
        <v>0</v>
      </c>
      <c r="AW1157">
        <f t="shared" si="335"/>
        <v>0</v>
      </c>
    </row>
    <row r="1158" spans="1:49" ht="19.95" customHeight="1" x14ac:dyDescent="0.25">
      <c r="A1158" s="16" t="s">
        <v>428</v>
      </c>
      <c r="C1158" s="16">
        <v>2</v>
      </c>
      <c r="D1158" s="23" t="s">
        <v>171</v>
      </c>
      <c r="E1158" s="23" t="s">
        <v>172</v>
      </c>
      <c r="L1158" s="15">
        <f>IFERROR(VLOOKUP($D1158&amp;$C1158,生产方式定位!$A$2:$E$38,2,FALSE)+VLOOKUP($E1158&amp;$C1158,生产方式定位!$F$3:$J$38,2,FALSE),0)</f>
        <v>1100</v>
      </c>
      <c r="S1158" s="15">
        <f>IFERROR(VLOOKUP($D1158&amp;$C1158,生产方式定位!$A$2:$E$38,3,FALSE)+VLOOKUP($E1158&amp;$C1158,生产方式定位!$F$3:$J$38,3,FALSE),0)</f>
        <v>100</v>
      </c>
      <c r="X1158" s="15">
        <f>IFERROR(VLOOKUP($D1158&amp;$C1158,生产方式定位!$A$2:$E$38,5,FALSE)+VLOOKUP($E1158&amp;$C1158,生产方式定位!$F$3:$J$38,5,FALSE),"错误")</f>
        <v>1510</v>
      </c>
      <c r="Y1158" s="26" t="str">
        <f t="shared" si="320"/>
        <v/>
      </c>
      <c r="Z1158" s="36" t="str">
        <f t="shared" si="321"/>
        <v/>
      </c>
      <c r="AA1158" s="36" t="str">
        <f t="shared" si="322"/>
        <v/>
      </c>
      <c r="AB1158" s="27" t="str">
        <f t="shared" si="323"/>
        <v>37%</v>
      </c>
      <c r="AC1158" s="2">
        <f t="shared" si="324"/>
        <v>310</v>
      </c>
      <c r="AD1158" s="37">
        <f t="shared" si="325"/>
        <v>2</v>
      </c>
      <c r="AE1158" t="str">
        <f t="shared" si="326"/>
        <v/>
      </c>
      <c r="AF1158" t="str">
        <f t="shared" si="327"/>
        <v/>
      </c>
      <c r="AG1158" t="str">
        <f t="shared" si="328"/>
        <v/>
      </c>
      <c r="AH1158" t="str">
        <f t="shared" si="329"/>
        <v/>
      </c>
      <c r="AI1158" t="str">
        <f t="shared" si="330"/>
        <v/>
      </c>
      <c r="AJ1158" t="str">
        <f t="shared" si="331"/>
        <v/>
      </c>
      <c r="AK1158" t="str">
        <f t="shared" si="332"/>
        <v/>
      </c>
      <c r="AL1158" t="str">
        <f>IFERROR(ROUND(L1158*(G1158/$AU1158)/VLOOKUP(F1158,商品!$A$4:$B$60,2,FALSE),0),"")</f>
        <v/>
      </c>
      <c r="AM1158" t="str">
        <f>IFERROR(ROUND(L1158*(I1158/$AU1158)/VLOOKUP(H1158,商品!$A$4:$B$60,2,FALSE),0),"")</f>
        <v/>
      </c>
      <c r="AN1158">
        <f>IFERROR(ROUND(L1158*(J1158/$AU1158)/VLOOKUP("运力",商品!$A$4:$B$60,2,FALSE),0),0)</f>
        <v>0</v>
      </c>
      <c r="AO1158">
        <f>IFERROR(ROUND(L1158*(K1158/$AU1158)/VLOOKUP("交易",商品!$A$4:$B$60,2,FALSE),0),0)</f>
        <v>0</v>
      </c>
      <c r="AP1158" t="str">
        <f>IFERROR(ROUND(S1158*(N1158/$AV1158)/VLOOKUP(M1158,职业!$A$4:$G$16,4,FALSE),0),"")</f>
        <v/>
      </c>
      <c r="AQ1158" t="str">
        <f>IFERROR(ROUND(S1158*(P1158/$AV1158)/VLOOKUP(O1158,职业!$A$4:$G$16,4,FALSE),0),"")</f>
        <v/>
      </c>
      <c r="AR1158" t="str">
        <f>IFERROR(ROUND(S1158*(R1158/$AV1158)/VLOOKUP(Q1158,职业!$A$4:$G$16,4,FALSE),0),"")</f>
        <v/>
      </c>
      <c r="AS1158" t="str">
        <f>IFERROR(ROUND(X1158*(U1158/$AW1158)/VLOOKUP(T1158,商品!$A$4:$B$60,2,FALSE),0),"")</f>
        <v/>
      </c>
      <c r="AT1158" t="str">
        <f>IFERROR(ROUND(X1158*(W1158/$AW1158)/VLOOKUP(V1158,商品!$A$4:$B$60,2,FALSE),0),"")</f>
        <v/>
      </c>
      <c r="AU1158">
        <f t="shared" si="333"/>
        <v>0</v>
      </c>
      <c r="AV1158">
        <f t="shared" si="334"/>
        <v>0</v>
      </c>
      <c r="AW1158">
        <f t="shared" si="335"/>
        <v>0</v>
      </c>
    </row>
    <row r="1159" spans="1:49" ht="19.95" customHeight="1" x14ac:dyDescent="0.25">
      <c r="A1159" s="16" t="s">
        <v>428</v>
      </c>
      <c r="C1159" s="16">
        <v>3</v>
      </c>
      <c r="D1159" s="23" t="s">
        <v>171</v>
      </c>
      <c r="E1159" s="23" t="s">
        <v>172</v>
      </c>
      <c r="L1159" s="15">
        <f>IFERROR(VLOOKUP($D1159&amp;$C1159,生产方式定位!$A$2:$E$38,2,FALSE)+VLOOKUP($E1159&amp;$C1159,生产方式定位!$F$3:$J$38,2,FALSE),0)</f>
        <v>1525</v>
      </c>
      <c r="S1159" s="15">
        <f>IFERROR(VLOOKUP($D1159&amp;$C1159,生产方式定位!$A$2:$E$38,3,FALSE)+VLOOKUP($E1159&amp;$C1159,生产方式定位!$F$3:$J$38,3,FALSE),0)</f>
        <v>100</v>
      </c>
      <c r="X1159" s="15">
        <f>IFERROR(VLOOKUP($D1159&amp;$C1159,生产方式定位!$A$2:$E$38,5,FALSE)+VLOOKUP($E1159&amp;$C1159,生产方式定位!$F$3:$J$38,5,FALSE),"错误")</f>
        <v>2050</v>
      </c>
      <c r="Y1159" s="26" t="str">
        <f t="shared" si="320"/>
        <v/>
      </c>
      <c r="Z1159" s="36" t="str">
        <f t="shared" si="321"/>
        <v/>
      </c>
      <c r="AA1159" s="36" t="str">
        <f t="shared" si="322"/>
        <v/>
      </c>
      <c r="AB1159" s="27" t="str">
        <f t="shared" si="323"/>
        <v>34%</v>
      </c>
      <c r="AC1159" s="2">
        <f t="shared" si="324"/>
        <v>425</v>
      </c>
      <c r="AD1159" s="38">
        <f t="shared" si="325"/>
        <v>3</v>
      </c>
      <c r="AE1159" t="str">
        <f t="shared" si="326"/>
        <v/>
      </c>
      <c r="AF1159" t="str">
        <f t="shared" si="327"/>
        <v/>
      </c>
      <c r="AG1159" t="str">
        <f t="shared" si="328"/>
        <v/>
      </c>
      <c r="AH1159" t="str">
        <f t="shared" si="329"/>
        <v/>
      </c>
      <c r="AI1159" t="str">
        <f t="shared" si="330"/>
        <v/>
      </c>
      <c r="AJ1159" t="str">
        <f t="shared" si="331"/>
        <v/>
      </c>
      <c r="AK1159" t="str">
        <f t="shared" si="332"/>
        <v/>
      </c>
      <c r="AL1159" t="str">
        <f>IFERROR(ROUND(L1159*(G1159/$AU1159)/VLOOKUP(F1159,商品!$A$4:$B$60,2,FALSE),0),"")</f>
        <v/>
      </c>
      <c r="AM1159" t="str">
        <f>IFERROR(ROUND(L1159*(I1159/$AU1159)/VLOOKUP(H1159,商品!$A$4:$B$60,2,FALSE),0),"")</f>
        <v/>
      </c>
      <c r="AN1159">
        <f>IFERROR(ROUND(L1159*(J1159/$AU1159)/VLOOKUP("运力",商品!$A$4:$B$60,2,FALSE),0),0)</f>
        <v>0</v>
      </c>
      <c r="AO1159">
        <f>IFERROR(ROUND(L1159*(K1159/$AU1159)/VLOOKUP("交易",商品!$A$4:$B$60,2,FALSE),0),0)</f>
        <v>0</v>
      </c>
      <c r="AP1159" t="str">
        <f>IFERROR(ROUND(S1159*(N1159/$AV1159)/VLOOKUP(M1159,职业!$A$4:$G$16,4,FALSE),0),"")</f>
        <v/>
      </c>
      <c r="AQ1159" t="str">
        <f>IFERROR(ROUND(S1159*(P1159/$AV1159)/VLOOKUP(O1159,职业!$A$4:$G$16,4,FALSE),0),"")</f>
        <v/>
      </c>
      <c r="AR1159" t="str">
        <f>IFERROR(ROUND(S1159*(R1159/$AV1159)/VLOOKUP(Q1159,职业!$A$4:$G$16,4,FALSE),0),"")</f>
        <v/>
      </c>
      <c r="AS1159" t="str">
        <f>IFERROR(ROUND(X1159*(U1159/$AW1159)/VLOOKUP(T1159,商品!$A$4:$B$60,2,FALSE),0),"")</f>
        <v/>
      </c>
      <c r="AT1159" t="str">
        <f>IFERROR(ROUND(X1159*(W1159/$AW1159)/VLOOKUP(V1159,商品!$A$4:$B$60,2,FALSE),0),"")</f>
        <v/>
      </c>
      <c r="AU1159">
        <f t="shared" si="333"/>
        <v>0</v>
      </c>
      <c r="AV1159">
        <f t="shared" si="334"/>
        <v>0</v>
      </c>
      <c r="AW1159">
        <f t="shared" si="335"/>
        <v>0</v>
      </c>
    </row>
    <row r="1160" spans="1:49" ht="19.95" customHeight="1" x14ac:dyDescent="0.25">
      <c r="A1160" s="16" t="s">
        <v>428</v>
      </c>
      <c r="C1160" s="16">
        <v>4</v>
      </c>
      <c r="D1160" s="23" t="s">
        <v>171</v>
      </c>
      <c r="E1160" s="23" t="s">
        <v>172</v>
      </c>
      <c r="L1160" s="15">
        <f>IFERROR(VLOOKUP($D1160&amp;$C1160,生产方式定位!$A$2:$E$38,2,FALSE)+VLOOKUP($E1160&amp;$C1160,生产方式定位!$F$3:$J$38,2,FALSE),0)</f>
        <v>1950</v>
      </c>
      <c r="S1160" s="15">
        <f>IFERROR(VLOOKUP($D1160&amp;$C1160,生产方式定位!$A$2:$E$38,3,FALSE)+VLOOKUP($E1160&amp;$C1160,生产方式定位!$F$3:$J$38,3,FALSE),0)</f>
        <v>100</v>
      </c>
      <c r="X1160" s="15">
        <f>IFERROR(VLOOKUP($D1160&amp;$C1160,生产方式定位!$A$2:$E$38,5,FALSE)+VLOOKUP($E1160&amp;$C1160,生产方式定位!$F$3:$J$38,5,FALSE),"错误")</f>
        <v>2590</v>
      </c>
      <c r="Y1160" s="26" t="str">
        <f t="shared" si="320"/>
        <v/>
      </c>
      <c r="Z1160" s="36" t="str">
        <f t="shared" si="321"/>
        <v/>
      </c>
      <c r="AA1160" s="36" t="str">
        <f t="shared" si="322"/>
        <v/>
      </c>
      <c r="AB1160" s="27" t="str">
        <f t="shared" si="323"/>
        <v>33%</v>
      </c>
      <c r="AC1160" s="2">
        <f t="shared" si="324"/>
        <v>540</v>
      </c>
      <c r="AD1160" s="38">
        <f t="shared" si="325"/>
        <v>4</v>
      </c>
      <c r="AE1160" t="str">
        <f t="shared" si="326"/>
        <v/>
      </c>
      <c r="AF1160" t="str">
        <f t="shared" si="327"/>
        <v/>
      </c>
      <c r="AG1160" t="str">
        <f t="shared" si="328"/>
        <v/>
      </c>
      <c r="AH1160" t="str">
        <f t="shared" si="329"/>
        <v/>
      </c>
      <c r="AI1160" t="str">
        <f t="shared" si="330"/>
        <v/>
      </c>
      <c r="AJ1160" t="str">
        <f t="shared" si="331"/>
        <v/>
      </c>
      <c r="AK1160" t="str">
        <f t="shared" si="332"/>
        <v/>
      </c>
      <c r="AL1160" t="str">
        <f>IFERROR(ROUND(L1160*(G1160/$AU1160)/VLOOKUP(F1160,商品!$A$4:$B$60,2,FALSE),0),"")</f>
        <v/>
      </c>
      <c r="AM1160" t="str">
        <f>IFERROR(ROUND(L1160*(I1160/$AU1160)/VLOOKUP(H1160,商品!$A$4:$B$60,2,FALSE),0),"")</f>
        <v/>
      </c>
      <c r="AN1160">
        <f>IFERROR(ROUND(L1160*(J1160/$AU1160)/VLOOKUP("运力",商品!$A$4:$B$60,2,FALSE),0),0)</f>
        <v>0</v>
      </c>
      <c r="AO1160">
        <f>IFERROR(ROUND(L1160*(K1160/$AU1160)/VLOOKUP("交易",商品!$A$4:$B$60,2,FALSE),0),0)</f>
        <v>0</v>
      </c>
      <c r="AP1160" t="str">
        <f>IFERROR(ROUND(S1160*(N1160/$AV1160)/VLOOKUP(M1160,职业!$A$4:$G$16,4,FALSE),0),"")</f>
        <v/>
      </c>
      <c r="AQ1160" t="str">
        <f>IFERROR(ROUND(S1160*(P1160/$AV1160)/VLOOKUP(O1160,职业!$A$4:$G$16,4,FALSE),0),"")</f>
        <v/>
      </c>
      <c r="AR1160" t="str">
        <f>IFERROR(ROUND(S1160*(R1160/$AV1160)/VLOOKUP(Q1160,职业!$A$4:$G$16,4,FALSE),0),"")</f>
        <v/>
      </c>
      <c r="AS1160" t="str">
        <f>IFERROR(ROUND(X1160*(U1160/$AW1160)/VLOOKUP(T1160,商品!$A$4:$B$60,2,FALSE),0),"")</f>
        <v/>
      </c>
      <c r="AT1160" t="str">
        <f>IFERROR(ROUND(X1160*(W1160/$AW1160)/VLOOKUP(V1160,商品!$A$4:$B$60,2,FALSE),0),"")</f>
        <v/>
      </c>
      <c r="AU1160">
        <f t="shared" si="333"/>
        <v>0</v>
      </c>
      <c r="AV1160">
        <f t="shared" si="334"/>
        <v>0</v>
      </c>
      <c r="AW1160">
        <f t="shared" si="335"/>
        <v>0</v>
      </c>
    </row>
    <row r="1161" spans="1:49" ht="19.95" customHeight="1" x14ac:dyDescent="0.25">
      <c r="A1161" s="16" t="s">
        <v>428</v>
      </c>
      <c r="C1161" s="16">
        <v>5</v>
      </c>
      <c r="D1161" s="23" t="s">
        <v>171</v>
      </c>
      <c r="E1161" s="23" t="s">
        <v>172</v>
      </c>
      <c r="L1161" s="15">
        <f>IFERROR(VLOOKUP($D1161&amp;$C1161,生产方式定位!$A$2:$E$38,2,FALSE)+VLOOKUP($E1161&amp;$C1161,生产方式定位!$F$3:$J$38,2,FALSE),0)</f>
        <v>2375</v>
      </c>
      <c r="S1161" s="15">
        <f>IFERROR(VLOOKUP($D1161&amp;$C1161,生产方式定位!$A$2:$E$38,3,FALSE)+VLOOKUP($E1161&amp;$C1161,生产方式定位!$F$3:$J$38,3,FALSE),0)</f>
        <v>100</v>
      </c>
      <c r="X1161" s="15">
        <f>IFERROR(VLOOKUP($D1161&amp;$C1161,生产方式定位!$A$2:$E$38,5,FALSE)+VLOOKUP($E1161&amp;$C1161,生产方式定位!$F$3:$J$38,5,FALSE),"错误")</f>
        <v>3130</v>
      </c>
      <c r="Y1161" s="26" t="str">
        <f t="shared" si="320"/>
        <v/>
      </c>
      <c r="Z1161" s="36" t="str">
        <f t="shared" si="321"/>
        <v/>
      </c>
      <c r="AA1161" s="36" t="str">
        <f t="shared" si="322"/>
        <v/>
      </c>
      <c r="AB1161" s="27" t="str">
        <f t="shared" si="323"/>
        <v>32%</v>
      </c>
      <c r="AC1161" s="2">
        <f t="shared" si="324"/>
        <v>655</v>
      </c>
      <c r="AD1161" s="38">
        <f t="shared" si="325"/>
        <v>5</v>
      </c>
      <c r="AE1161" t="str">
        <f t="shared" si="326"/>
        <v/>
      </c>
      <c r="AF1161" t="str">
        <f t="shared" si="327"/>
        <v/>
      </c>
      <c r="AG1161" t="str">
        <f t="shared" si="328"/>
        <v/>
      </c>
      <c r="AH1161" t="str">
        <f t="shared" si="329"/>
        <v/>
      </c>
      <c r="AI1161" t="str">
        <f t="shared" si="330"/>
        <v/>
      </c>
      <c r="AJ1161" t="str">
        <f t="shared" si="331"/>
        <v/>
      </c>
      <c r="AK1161" t="str">
        <f t="shared" si="332"/>
        <v/>
      </c>
      <c r="AL1161" t="str">
        <f>IFERROR(ROUND(L1161*(G1161/$AU1161)/VLOOKUP(F1161,商品!$A$4:$B$60,2,FALSE),0),"")</f>
        <v/>
      </c>
      <c r="AM1161" t="str">
        <f>IFERROR(ROUND(L1161*(I1161/$AU1161)/VLOOKUP(H1161,商品!$A$4:$B$60,2,FALSE),0),"")</f>
        <v/>
      </c>
      <c r="AN1161">
        <f>IFERROR(ROUND(L1161*(J1161/$AU1161)/VLOOKUP("运力",商品!$A$4:$B$60,2,FALSE),0),0)</f>
        <v>0</v>
      </c>
      <c r="AO1161">
        <f>IFERROR(ROUND(L1161*(K1161/$AU1161)/VLOOKUP("交易",商品!$A$4:$B$60,2,FALSE),0),0)</f>
        <v>0</v>
      </c>
      <c r="AP1161" t="str">
        <f>IFERROR(ROUND(S1161*(N1161/$AV1161)/VLOOKUP(M1161,职业!$A$4:$G$16,4,FALSE),0),"")</f>
        <v/>
      </c>
      <c r="AQ1161" t="str">
        <f>IFERROR(ROUND(S1161*(P1161/$AV1161)/VLOOKUP(O1161,职业!$A$4:$G$16,4,FALSE),0),"")</f>
        <v/>
      </c>
      <c r="AR1161" t="str">
        <f>IFERROR(ROUND(S1161*(R1161/$AV1161)/VLOOKUP(Q1161,职业!$A$4:$G$16,4,FALSE),0),"")</f>
        <v/>
      </c>
      <c r="AS1161" t="str">
        <f>IFERROR(ROUND(X1161*(U1161/$AW1161)/VLOOKUP(T1161,商品!$A$4:$B$60,2,FALSE),0),"")</f>
        <v/>
      </c>
      <c r="AT1161" t="str">
        <f>IFERROR(ROUND(X1161*(W1161/$AW1161)/VLOOKUP(V1161,商品!$A$4:$B$60,2,FALSE),0),"")</f>
        <v/>
      </c>
      <c r="AU1161">
        <f t="shared" si="333"/>
        <v>0</v>
      </c>
      <c r="AV1161">
        <f t="shared" si="334"/>
        <v>0</v>
      </c>
      <c r="AW1161">
        <f t="shared" si="335"/>
        <v>0</v>
      </c>
    </row>
    <row r="1162" spans="1:49" ht="19.95" customHeight="1" x14ac:dyDescent="0.25">
      <c r="A1162" s="15" t="s">
        <v>429</v>
      </c>
      <c r="C1162" s="15">
        <v>1</v>
      </c>
      <c r="D1162" s="23" t="s">
        <v>174</v>
      </c>
      <c r="E1162" s="23" t="s">
        <v>175</v>
      </c>
      <c r="L1162" s="16">
        <f>IFERROR(VLOOKUP($D1162&amp;$C1162,生产方式定位!$A$2:$E$38,2,FALSE)+VLOOKUP($E1162&amp;$C1162,生产方式定位!$F$3:$J$38,2,FALSE),0)</f>
        <v>0</v>
      </c>
      <c r="S1162" s="16">
        <f>IFERROR(VLOOKUP($D1162&amp;$C1162,生产方式定位!$A$2:$E$38,3,FALSE)+VLOOKUP($E1162&amp;$C1162,生产方式定位!$F$3:$J$38,3,FALSE),0)</f>
        <v>0</v>
      </c>
      <c r="X1162" s="16">
        <f>IFERROR(VLOOKUP($D1162&amp;$C1162,生产方式定位!$A$2:$E$38,5,FALSE)+VLOOKUP($E1162&amp;$C1162,生产方式定位!$F$3:$J$38,5,FALSE),"错误")</f>
        <v>0</v>
      </c>
      <c r="Y1162" s="26" t="str">
        <f t="shared" si="320"/>
        <v/>
      </c>
      <c r="Z1162" s="36" t="str">
        <f t="shared" si="321"/>
        <v/>
      </c>
      <c r="AA1162" s="36" t="str">
        <f t="shared" si="322"/>
        <v/>
      </c>
      <c r="AB1162" s="27" t="str">
        <f t="shared" si="323"/>
        <v/>
      </c>
      <c r="AC1162" s="2" t="str">
        <f t="shared" si="324"/>
        <v/>
      </c>
      <c r="AD1162" s="38">
        <f t="shared" si="325"/>
        <v>1</v>
      </c>
      <c r="AE1162" t="str">
        <f t="shared" si="326"/>
        <v/>
      </c>
      <c r="AF1162" t="str">
        <f t="shared" si="327"/>
        <v/>
      </c>
      <c r="AG1162" t="str">
        <f t="shared" si="328"/>
        <v/>
      </c>
      <c r="AH1162" t="str">
        <f t="shared" si="329"/>
        <v/>
      </c>
      <c r="AI1162" t="str">
        <f t="shared" si="330"/>
        <v/>
      </c>
      <c r="AJ1162" t="str">
        <f t="shared" si="331"/>
        <v/>
      </c>
      <c r="AK1162" t="str">
        <f t="shared" si="332"/>
        <v/>
      </c>
      <c r="AL1162" t="str">
        <f>IFERROR(ROUND(L1162*(G1162/$AU1162)/VLOOKUP(F1162,商品!$A$4:$B$60,2,FALSE),0),"")</f>
        <v/>
      </c>
      <c r="AM1162" t="str">
        <f>IFERROR(ROUND(L1162*(I1162/$AU1162)/VLOOKUP(H1162,商品!$A$4:$B$60,2,FALSE),0),"")</f>
        <v/>
      </c>
      <c r="AN1162">
        <f>IFERROR(ROUND(L1162*(J1162/$AU1162)/VLOOKUP("运力",商品!$A$4:$B$60,2,FALSE),0),0)</f>
        <v>0</v>
      </c>
      <c r="AO1162">
        <f>IFERROR(ROUND(L1162*(K1162/$AU1162)/VLOOKUP("交易",商品!$A$4:$B$60,2,FALSE),0),0)</f>
        <v>0</v>
      </c>
      <c r="AP1162" t="str">
        <f>IFERROR(ROUND(S1162*(N1162/$AV1162)/VLOOKUP(M1162,职业!$A$4:$G$16,4,FALSE),0),"")</f>
        <v/>
      </c>
      <c r="AQ1162" t="str">
        <f>IFERROR(ROUND(S1162*(P1162/$AV1162)/VLOOKUP(O1162,职业!$A$4:$G$16,4,FALSE),0),"")</f>
        <v/>
      </c>
      <c r="AR1162" t="str">
        <f>IFERROR(ROUND(S1162*(R1162/$AV1162)/VLOOKUP(Q1162,职业!$A$4:$G$16,4,FALSE),0),"")</f>
        <v/>
      </c>
      <c r="AS1162" t="str">
        <f>IFERROR(ROUND(X1162*(U1162/$AW1162)/VLOOKUP(T1162,商品!$A$4:$B$60,2,FALSE),0),"")</f>
        <v/>
      </c>
      <c r="AT1162" t="str">
        <f>IFERROR(ROUND(X1162*(W1162/$AW1162)/VLOOKUP(V1162,商品!$A$4:$B$60,2,FALSE),0),"")</f>
        <v/>
      </c>
      <c r="AU1162">
        <f t="shared" si="333"/>
        <v>0</v>
      </c>
      <c r="AV1162">
        <f t="shared" si="334"/>
        <v>0</v>
      </c>
      <c r="AW1162">
        <f t="shared" si="335"/>
        <v>0</v>
      </c>
    </row>
    <row r="1163" spans="1:49" ht="19.95" customHeight="1" x14ac:dyDescent="0.25">
      <c r="A1163" s="15" t="s">
        <v>429</v>
      </c>
      <c r="C1163" s="15">
        <v>2</v>
      </c>
      <c r="D1163" s="23" t="s">
        <v>174</v>
      </c>
      <c r="E1163" s="23" t="s">
        <v>175</v>
      </c>
      <c r="F1163" s="2" t="s">
        <v>41</v>
      </c>
      <c r="G1163" s="2">
        <v>10</v>
      </c>
      <c r="L1163" s="16">
        <f>IFERROR(VLOOKUP($D1163&amp;$C1163,生产方式定位!$A$2:$E$38,2,FALSE)+VLOOKUP($E1163&amp;$C1163,生产方式定位!$F$3:$J$38,2,FALSE),0)</f>
        <v>50</v>
      </c>
      <c r="S1163" s="16">
        <f>IFERROR(VLOOKUP($D1163&amp;$C1163,生产方式定位!$A$2:$E$38,3,FALSE)+VLOOKUP($E1163&amp;$C1163,生产方式定位!$F$3:$J$38,3,FALSE),0)</f>
        <v>10</v>
      </c>
      <c r="X1163" s="16">
        <f>IFERROR(VLOOKUP($D1163&amp;$C1163,生产方式定位!$A$2:$E$38,5,FALSE)+VLOOKUP($E1163&amp;$C1163,生产方式定位!$F$3:$J$38,5,FALSE),"错误")</f>
        <v>0</v>
      </c>
      <c r="Y1163" s="26" t="str">
        <f t="shared" si="320"/>
        <v>工具*1</v>
      </c>
      <c r="Z1163" s="36" t="str">
        <f t="shared" si="321"/>
        <v/>
      </c>
      <c r="AA1163" s="36" t="str">
        <f t="shared" si="322"/>
        <v/>
      </c>
      <c r="AB1163" s="27" t="str">
        <f t="shared" si="323"/>
        <v>-100%</v>
      </c>
      <c r="AC1163" s="2">
        <f t="shared" si="324"/>
        <v>-60</v>
      </c>
      <c r="AD1163" s="38">
        <f t="shared" si="325"/>
        <v>2</v>
      </c>
      <c r="AE1163" t="str">
        <f t="shared" si="326"/>
        <v>工具*1</v>
      </c>
      <c r="AF1163" t="str">
        <f t="shared" si="327"/>
        <v/>
      </c>
      <c r="AG1163" t="str">
        <f t="shared" si="328"/>
        <v/>
      </c>
      <c r="AH1163" t="str">
        <f t="shared" si="329"/>
        <v/>
      </c>
      <c r="AI1163" t="str">
        <f t="shared" si="330"/>
        <v/>
      </c>
      <c r="AJ1163" t="str">
        <f t="shared" si="331"/>
        <v/>
      </c>
      <c r="AK1163" t="str">
        <f t="shared" si="332"/>
        <v/>
      </c>
      <c r="AL1163">
        <f>IFERROR(ROUND(L1163*(G1163/$AU1163)/VLOOKUP(F1163,商品!$A$4:$B$60,2,FALSE),0),"")</f>
        <v>1</v>
      </c>
      <c r="AM1163" t="str">
        <f>IFERROR(ROUND(L1163*(I1163/$AU1163)/VLOOKUP(H1163,商品!$A$4:$B$60,2,FALSE),0),"")</f>
        <v/>
      </c>
      <c r="AN1163">
        <f>IFERROR(ROUND(L1163*(J1163/$AU1163)/VLOOKUP("运力",商品!$A$4:$B$60,2,FALSE),0),0)</f>
        <v>0</v>
      </c>
      <c r="AO1163">
        <f>IFERROR(ROUND(L1163*(K1163/$AU1163)/VLOOKUP("交易",商品!$A$4:$B$60,2,FALSE),0),0)</f>
        <v>0</v>
      </c>
      <c r="AP1163" t="str">
        <f>IFERROR(ROUND(S1163*(N1163/$AV1163)/VLOOKUP(M1163,职业!$A$4:$G$16,4,FALSE),0),"")</f>
        <v/>
      </c>
      <c r="AQ1163" t="str">
        <f>IFERROR(ROUND(S1163*(P1163/$AV1163)/VLOOKUP(O1163,职业!$A$4:$G$16,4,FALSE),0),"")</f>
        <v/>
      </c>
      <c r="AR1163" t="str">
        <f>IFERROR(ROUND(S1163*(R1163/$AV1163)/VLOOKUP(Q1163,职业!$A$4:$G$16,4,FALSE),0),"")</f>
        <v/>
      </c>
      <c r="AS1163" t="str">
        <f>IFERROR(ROUND(X1163*(U1163/$AW1163)/VLOOKUP(T1163,商品!$A$4:$B$60,2,FALSE),0),"")</f>
        <v/>
      </c>
      <c r="AT1163" t="str">
        <f>IFERROR(ROUND(X1163*(W1163/$AW1163)/VLOOKUP(V1163,商品!$A$4:$B$60,2,FALSE),0),"")</f>
        <v/>
      </c>
      <c r="AU1163">
        <f t="shared" si="333"/>
        <v>10</v>
      </c>
      <c r="AV1163">
        <f t="shared" si="334"/>
        <v>0</v>
      </c>
      <c r="AW1163">
        <f t="shared" si="335"/>
        <v>0</v>
      </c>
    </row>
    <row r="1164" spans="1:49" ht="19.95" customHeight="1" x14ac:dyDescent="0.25">
      <c r="A1164" s="15" t="s">
        <v>429</v>
      </c>
      <c r="C1164" s="15">
        <v>3</v>
      </c>
      <c r="D1164" s="23" t="s">
        <v>174</v>
      </c>
      <c r="E1164" s="23" t="s">
        <v>175</v>
      </c>
      <c r="F1164" s="2" t="s">
        <v>41</v>
      </c>
      <c r="G1164" s="2">
        <v>10</v>
      </c>
      <c r="L1164" s="16">
        <f>IFERROR(VLOOKUP($D1164&amp;$C1164,生产方式定位!$A$2:$E$38,2,FALSE)+VLOOKUP($E1164&amp;$C1164,生产方式定位!$F$3:$J$38,2,FALSE),0)</f>
        <v>100</v>
      </c>
      <c r="S1164" s="16">
        <f>IFERROR(VLOOKUP($D1164&amp;$C1164,生产方式定位!$A$2:$E$38,3,FALSE)+VLOOKUP($E1164&amp;$C1164,生产方式定位!$F$3:$J$38,3,FALSE),0)</f>
        <v>20</v>
      </c>
      <c r="X1164" s="16">
        <f>IFERROR(VLOOKUP($D1164&amp;$C1164,生产方式定位!$A$2:$E$38,5,FALSE)+VLOOKUP($E1164&amp;$C1164,生产方式定位!$F$3:$J$38,5,FALSE),"错误")</f>
        <v>0</v>
      </c>
      <c r="Y1164" s="26" t="str">
        <f t="shared" si="320"/>
        <v>工具*3</v>
      </c>
      <c r="Z1164" s="36" t="str">
        <f t="shared" si="321"/>
        <v/>
      </c>
      <c r="AA1164" s="36" t="str">
        <f t="shared" si="322"/>
        <v/>
      </c>
      <c r="AB1164" s="27" t="str">
        <f t="shared" si="323"/>
        <v>-100%</v>
      </c>
      <c r="AC1164" s="2">
        <f t="shared" si="324"/>
        <v>-120</v>
      </c>
      <c r="AD1164" s="38">
        <f t="shared" si="325"/>
        <v>3</v>
      </c>
      <c r="AE1164" t="str">
        <f t="shared" si="326"/>
        <v>工具*3</v>
      </c>
      <c r="AF1164" t="str">
        <f t="shared" si="327"/>
        <v/>
      </c>
      <c r="AG1164" t="str">
        <f t="shared" si="328"/>
        <v/>
      </c>
      <c r="AH1164" t="str">
        <f t="shared" si="329"/>
        <v/>
      </c>
      <c r="AI1164" t="str">
        <f t="shared" si="330"/>
        <v/>
      </c>
      <c r="AJ1164" t="str">
        <f t="shared" si="331"/>
        <v/>
      </c>
      <c r="AK1164" t="str">
        <f t="shared" si="332"/>
        <v/>
      </c>
      <c r="AL1164">
        <f>IFERROR(ROUND(L1164*(G1164/$AU1164)/VLOOKUP(F1164,商品!$A$4:$B$60,2,FALSE),0),"")</f>
        <v>3</v>
      </c>
      <c r="AM1164" t="str">
        <f>IFERROR(ROUND(L1164*(I1164/$AU1164)/VLOOKUP(H1164,商品!$A$4:$B$60,2,FALSE),0),"")</f>
        <v/>
      </c>
      <c r="AN1164">
        <f>IFERROR(ROUND(L1164*(J1164/$AU1164)/VLOOKUP("运力",商品!$A$4:$B$60,2,FALSE),0),0)</f>
        <v>0</v>
      </c>
      <c r="AO1164">
        <f>IFERROR(ROUND(L1164*(K1164/$AU1164)/VLOOKUP("交易",商品!$A$4:$B$60,2,FALSE),0),0)</f>
        <v>0</v>
      </c>
      <c r="AP1164" t="str">
        <f>IFERROR(ROUND(S1164*(N1164/$AV1164)/VLOOKUP(M1164,职业!$A$4:$G$16,4,FALSE),0),"")</f>
        <v/>
      </c>
      <c r="AQ1164" t="str">
        <f>IFERROR(ROUND(S1164*(P1164/$AV1164)/VLOOKUP(O1164,职业!$A$4:$G$16,4,FALSE),0),"")</f>
        <v/>
      </c>
      <c r="AR1164" t="str">
        <f>IFERROR(ROUND(S1164*(R1164/$AV1164)/VLOOKUP(Q1164,职业!$A$4:$G$16,4,FALSE),0),"")</f>
        <v/>
      </c>
      <c r="AS1164" t="str">
        <f>IFERROR(ROUND(X1164*(U1164/$AW1164)/VLOOKUP(T1164,商品!$A$4:$B$60,2,FALSE),0),"")</f>
        <v/>
      </c>
      <c r="AT1164" t="str">
        <f>IFERROR(ROUND(X1164*(W1164/$AW1164)/VLOOKUP(V1164,商品!$A$4:$B$60,2,FALSE),0),"")</f>
        <v/>
      </c>
      <c r="AU1164">
        <f t="shared" si="333"/>
        <v>10</v>
      </c>
      <c r="AV1164">
        <f t="shared" si="334"/>
        <v>0</v>
      </c>
      <c r="AW1164">
        <f t="shared" si="335"/>
        <v>0</v>
      </c>
    </row>
    <row r="1165" spans="1:49" ht="19.95" customHeight="1" x14ac:dyDescent="0.25">
      <c r="A1165" s="15" t="s">
        <v>429</v>
      </c>
      <c r="C1165" s="15">
        <v>4</v>
      </c>
      <c r="D1165" s="23" t="s">
        <v>174</v>
      </c>
      <c r="E1165" s="23" t="s">
        <v>175</v>
      </c>
      <c r="F1165" s="2" t="s">
        <v>45</v>
      </c>
      <c r="G1165" s="2">
        <v>5</v>
      </c>
      <c r="H1165" s="2" t="s">
        <v>19</v>
      </c>
      <c r="I1165" s="2">
        <v>10</v>
      </c>
      <c r="L1165" s="16">
        <f>IFERROR(VLOOKUP($D1165&amp;$C1165,生产方式定位!$A$2:$E$38,2,FALSE)+VLOOKUP($E1165&amp;$C1165,生产方式定位!$F$3:$J$38,2,FALSE),0)</f>
        <v>150</v>
      </c>
      <c r="S1165" s="16">
        <f>IFERROR(VLOOKUP($D1165&amp;$C1165,生产方式定位!$A$2:$E$38,3,FALSE)+VLOOKUP($E1165&amp;$C1165,生产方式定位!$F$3:$J$38,3,FALSE),0)</f>
        <v>30</v>
      </c>
      <c r="X1165" s="16">
        <f>IFERROR(VLOOKUP($D1165&amp;$C1165,生产方式定位!$A$2:$E$38,5,FALSE)+VLOOKUP($E1165&amp;$C1165,生产方式定位!$F$3:$J$38,5,FALSE),"错误")</f>
        <v>0</v>
      </c>
      <c r="Y1165" s="26" t="str">
        <f t="shared" si="320"/>
        <v>科学引擎*1,煤*3</v>
      </c>
      <c r="Z1165" s="36" t="str">
        <f t="shared" si="321"/>
        <v/>
      </c>
      <c r="AA1165" s="36" t="str">
        <f t="shared" si="322"/>
        <v/>
      </c>
      <c r="AB1165" s="27" t="str">
        <f t="shared" si="323"/>
        <v>-100%</v>
      </c>
      <c r="AC1165" s="2">
        <f t="shared" si="324"/>
        <v>-180</v>
      </c>
      <c r="AD1165" s="38">
        <f t="shared" si="325"/>
        <v>4</v>
      </c>
      <c r="AE1165" t="str">
        <f t="shared" si="326"/>
        <v>科学引擎*1</v>
      </c>
      <c r="AF1165" t="str">
        <f t="shared" si="327"/>
        <v>煤*3</v>
      </c>
      <c r="AG1165" t="str">
        <f t="shared" si="328"/>
        <v/>
      </c>
      <c r="AH1165" t="str">
        <f t="shared" si="329"/>
        <v/>
      </c>
      <c r="AI1165" t="str">
        <f t="shared" si="330"/>
        <v/>
      </c>
      <c r="AJ1165" t="str">
        <f t="shared" si="331"/>
        <v/>
      </c>
      <c r="AK1165" t="str">
        <f t="shared" si="332"/>
        <v/>
      </c>
      <c r="AL1165">
        <f>IFERROR(ROUND(L1165*(G1165/$AU1165)/VLOOKUP(F1165,商品!$A$4:$B$60,2,FALSE),0),"")</f>
        <v>1</v>
      </c>
      <c r="AM1165">
        <f>IFERROR(ROUND(L1165*(I1165/$AU1165)/VLOOKUP(H1165,商品!$A$4:$B$60,2,FALSE),0),"")</f>
        <v>3</v>
      </c>
      <c r="AN1165">
        <f>IFERROR(ROUND(L1165*(J1165/$AU1165)/VLOOKUP("运力",商品!$A$4:$B$60,2,FALSE),0),0)</f>
        <v>0</v>
      </c>
      <c r="AO1165">
        <f>IFERROR(ROUND(L1165*(K1165/$AU1165)/VLOOKUP("交易",商品!$A$4:$B$60,2,FALSE),0),0)</f>
        <v>0</v>
      </c>
      <c r="AP1165" t="str">
        <f>IFERROR(ROUND(S1165*(N1165/$AV1165)/VLOOKUP(M1165,职业!$A$4:$G$16,4,FALSE),0),"")</f>
        <v/>
      </c>
      <c r="AQ1165" t="str">
        <f>IFERROR(ROUND(S1165*(P1165/$AV1165)/VLOOKUP(O1165,职业!$A$4:$G$16,4,FALSE),0),"")</f>
        <v/>
      </c>
      <c r="AR1165" t="str">
        <f>IFERROR(ROUND(S1165*(R1165/$AV1165)/VLOOKUP(Q1165,职业!$A$4:$G$16,4,FALSE),0),"")</f>
        <v/>
      </c>
      <c r="AS1165" t="str">
        <f>IFERROR(ROUND(X1165*(U1165/$AW1165)/VLOOKUP(T1165,商品!$A$4:$B$60,2,FALSE),0),"")</f>
        <v/>
      </c>
      <c r="AT1165" t="str">
        <f>IFERROR(ROUND(X1165*(W1165/$AW1165)/VLOOKUP(V1165,商品!$A$4:$B$60,2,FALSE),0),"")</f>
        <v/>
      </c>
      <c r="AU1165">
        <f t="shared" si="333"/>
        <v>15</v>
      </c>
      <c r="AV1165">
        <f t="shared" si="334"/>
        <v>0</v>
      </c>
      <c r="AW1165">
        <f t="shared" si="335"/>
        <v>0</v>
      </c>
    </row>
    <row r="1166" spans="1:49" ht="19.95" customHeight="1" x14ac:dyDescent="0.25">
      <c r="A1166" s="15" t="s">
        <v>429</v>
      </c>
      <c r="C1166" s="15">
        <v>5</v>
      </c>
      <c r="D1166" s="23" t="s">
        <v>174</v>
      </c>
      <c r="E1166" s="23" t="s">
        <v>175</v>
      </c>
      <c r="F1166" s="2" t="s">
        <v>46</v>
      </c>
      <c r="G1166" s="2">
        <v>5</v>
      </c>
      <c r="H1166" s="2" t="s">
        <v>19</v>
      </c>
      <c r="I1166" s="2">
        <v>10</v>
      </c>
      <c r="L1166" s="16">
        <f>IFERROR(VLOOKUP($D1166&amp;$C1166,生产方式定位!$A$2:$E$38,2,FALSE)+VLOOKUP($E1166&amp;$C1166,生产方式定位!$F$3:$J$38,2,FALSE),0)</f>
        <v>200</v>
      </c>
      <c r="S1166" s="16">
        <f>IFERROR(VLOOKUP($D1166&amp;$C1166,生产方式定位!$A$2:$E$38,3,FALSE)+VLOOKUP($E1166&amp;$C1166,生产方式定位!$F$3:$J$38,3,FALSE),0)</f>
        <v>40</v>
      </c>
      <c r="X1166" s="16">
        <f>IFERROR(VLOOKUP($D1166&amp;$C1166,生产方式定位!$A$2:$E$38,5,FALSE)+VLOOKUP($E1166&amp;$C1166,生产方式定位!$F$3:$J$38,5,FALSE),"错误")</f>
        <v>0</v>
      </c>
      <c r="Y1166" s="26" t="str">
        <f t="shared" si="320"/>
        <v>魔导引擎*1,煤*4</v>
      </c>
      <c r="Z1166" s="36" t="str">
        <f t="shared" si="321"/>
        <v/>
      </c>
      <c r="AA1166" s="36" t="str">
        <f t="shared" si="322"/>
        <v/>
      </c>
      <c r="AB1166" s="27" t="str">
        <f t="shared" si="323"/>
        <v>-100%</v>
      </c>
      <c r="AC1166" s="2">
        <f t="shared" si="324"/>
        <v>-240</v>
      </c>
      <c r="AD1166" s="38">
        <f t="shared" si="325"/>
        <v>5</v>
      </c>
      <c r="AE1166" t="str">
        <f t="shared" si="326"/>
        <v>魔导引擎*1</v>
      </c>
      <c r="AF1166" t="str">
        <f t="shared" si="327"/>
        <v>煤*4</v>
      </c>
      <c r="AG1166" t="str">
        <f t="shared" si="328"/>
        <v/>
      </c>
      <c r="AH1166" t="str">
        <f t="shared" si="329"/>
        <v/>
      </c>
      <c r="AI1166" t="str">
        <f t="shared" si="330"/>
        <v/>
      </c>
      <c r="AJ1166" t="str">
        <f t="shared" si="331"/>
        <v/>
      </c>
      <c r="AK1166" t="str">
        <f t="shared" si="332"/>
        <v/>
      </c>
      <c r="AL1166">
        <f>IFERROR(ROUND(L1166*(G1166/$AU1166)/VLOOKUP(F1166,商品!$A$4:$B$60,2,FALSE),0),"")</f>
        <v>1</v>
      </c>
      <c r="AM1166">
        <f>IFERROR(ROUND(L1166*(I1166/$AU1166)/VLOOKUP(H1166,商品!$A$4:$B$60,2,FALSE),0),"")</f>
        <v>4</v>
      </c>
      <c r="AN1166">
        <f>IFERROR(ROUND(L1166*(J1166/$AU1166)/VLOOKUP("运力",商品!$A$4:$B$60,2,FALSE),0),0)</f>
        <v>0</v>
      </c>
      <c r="AO1166">
        <f>IFERROR(ROUND(L1166*(K1166/$AU1166)/VLOOKUP("交易",商品!$A$4:$B$60,2,FALSE),0),0)</f>
        <v>0</v>
      </c>
      <c r="AP1166" t="str">
        <f>IFERROR(ROUND(S1166*(N1166/$AV1166)/VLOOKUP(M1166,职业!$A$4:$G$16,4,FALSE),0),"")</f>
        <v/>
      </c>
      <c r="AQ1166" t="str">
        <f>IFERROR(ROUND(S1166*(P1166/$AV1166)/VLOOKUP(O1166,职业!$A$4:$G$16,4,FALSE),0),"")</f>
        <v/>
      </c>
      <c r="AR1166" t="str">
        <f>IFERROR(ROUND(S1166*(R1166/$AV1166)/VLOOKUP(Q1166,职业!$A$4:$G$16,4,FALSE),0),"")</f>
        <v/>
      </c>
      <c r="AS1166" t="str">
        <f>IFERROR(ROUND(X1166*(U1166/$AW1166)/VLOOKUP(T1166,商品!$A$4:$B$60,2,FALSE),0),"")</f>
        <v/>
      </c>
      <c r="AT1166" t="str">
        <f>IFERROR(ROUND(X1166*(W1166/$AW1166)/VLOOKUP(V1166,商品!$A$4:$B$60,2,FALSE),0),"")</f>
        <v/>
      </c>
      <c r="AU1166">
        <f t="shared" si="333"/>
        <v>15</v>
      </c>
      <c r="AV1166">
        <f t="shared" si="334"/>
        <v>0</v>
      </c>
      <c r="AW1166">
        <f t="shared" si="335"/>
        <v>0</v>
      </c>
    </row>
    <row r="1167" spans="1:49" ht="19.95" customHeight="1" x14ac:dyDescent="0.25">
      <c r="A1167" s="16" t="s">
        <v>430</v>
      </c>
      <c r="C1167" s="16">
        <v>1</v>
      </c>
      <c r="D1167" s="23" t="s">
        <v>171</v>
      </c>
      <c r="E1167" s="23" t="s">
        <v>177</v>
      </c>
      <c r="L1167" s="15">
        <f>IFERROR(VLOOKUP($D1167&amp;$C1167,生产方式定位!$A$2:$E$38,2,FALSE)+VLOOKUP($E1167&amp;$C1167,生产方式定位!$F$3:$J$38,2,FALSE),0)</f>
        <v>300</v>
      </c>
      <c r="S1167" s="15">
        <f>IFERROR(VLOOKUP($D1167&amp;$C1167,生产方式定位!$A$2:$E$38,3,FALSE)+VLOOKUP($E1167&amp;$C1167,生产方式定位!$F$3:$J$38,3,FALSE),0)</f>
        <v>100</v>
      </c>
      <c r="X1167" s="15">
        <f>IFERROR(VLOOKUP($D1167&amp;$C1167,生产方式定位!$A$2:$E$38,5,FALSE)+VLOOKUP($E1167&amp;$C1167,生产方式定位!$F$3:$J$38,5,FALSE),"错误")</f>
        <v>520</v>
      </c>
      <c r="Y1167" s="26" t="str">
        <f t="shared" si="320"/>
        <v/>
      </c>
      <c r="Z1167" s="36" t="str">
        <f t="shared" si="321"/>
        <v/>
      </c>
      <c r="AA1167" s="36" t="str">
        <f t="shared" si="322"/>
        <v/>
      </c>
      <c r="AB1167" s="27" t="str">
        <f t="shared" si="323"/>
        <v>73%</v>
      </c>
      <c r="AC1167" s="2">
        <f t="shared" si="324"/>
        <v>120</v>
      </c>
      <c r="AD1167" s="37">
        <f t="shared" si="325"/>
        <v>1</v>
      </c>
      <c r="AE1167" t="str">
        <f t="shared" si="326"/>
        <v/>
      </c>
      <c r="AF1167" t="str">
        <f t="shared" si="327"/>
        <v/>
      </c>
      <c r="AG1167" t="str">
        <f t="shared" si="328"/>
        <v/>
      </c>
      <c r="AH1167" t="str">
        <f t="shared" si="329"/>
        <v/>
      </c>
      <c r="AI1167" t="str">
        <f t="shared" si="330"/>
        <v/>
      </c>
      <c r="AJ1167" t="str">
        <f t="shared" si="331"/>
        <v/>
      </c>
      <c r="AK1167" t="str">
        <f t="shared" si="332"/>
        <v/>
      </c>
      <c r="AL1167" t="str">
        <f>IFERROR(ROUND(L1167*(G1167/$AU1167)/VLOOKUP(F1167,商品!$A$4:$B$60,2,FALSE),0),"")</f>
        <v/>
      </c>
      <c r="AM1167" t="str">
        <f>IFERROR(ROUND(L1167*(I1167/$AU1167)/VLOOKUP(H1167,商品!$A$4:$B$60,2,FALSE),0),"")</f>
        <v/>
      </c>
      <c r="AN1167">
        <f>IFERROR(ROUND(L1167*(J1167/$AU1167)/VLOOKUP("运力",商品!$A$4:$B$60,2,FALSE),0),0)</f>
        <v>0</v>
      </c>
      <c r="AO1167">
        <f>IFERROR(ROUND(L1167*(K1167/$AU1167)/VLOOKUP("交易",商品!$A$4:$B$60,2,FALSE),0),0)</f>
        <v>0</v>
      </c>
      <c r="AP1167" t="str">
        <f>IFERROR(ROUND(S1167*(N1167/$AV1167)/VLOOKUP(M1167,职业!$A$4:$G$16,4,FALSE),0),"")</f>
        <v/>
      </c>
      <c r="AQ1167" t="str">
        <f>IFERROR(ROUND(S1167*(P1167/$AV1167)/VLOOKUP(O1167,职业!$A$4:$G$16,4,FALSE),0),"")</f>
        <v/>
      </c>
      <c r="AR1167" t="str">
        <f>IFERROR(ROUND(S1167*(R1167/$AV1167)/VLOOKUP(Q1167,职业!$A$4:$G$16,4,FALSE),0),"")</f>
        <v/>
      </c>
      <c r="AS1167" t="str">
        <f>IFERROR(ROUND(X1167*(U1167/$AW1167)/VLOOKUP(T1167,商品!$A$4:$B$60,2,FALSE),0),"")</f>
        <v/>
      </c>
      <c r="AT1167" t="str">
        <f>IFERROR(ROUND(X1167*(W1167/$AW1167)/VLOOKUP(V1167,商品!$A$4:$B$60,2,FALSE),0),"")</f>
        <v/>
      </c>
      <c r="AU1167">
        <f t="shared" si="333"/>
        <v>0</v>
      </c>
      <c r="AV1167">
        <f t="shared" si="334"/>
        <v>0</v>
      </c>
      <c r="AW1167">
        <f t="shared" si="335"/>
        <v>0</v>
      </c>
    </row>
    <row r="1168" spans="1:49" ht="19.95" customHeight="1" x14ac:dyDescent="0.25">
      <c r="A1168" s="16" t="s">
        <v>430</v>
      </c>
      <c r="C1168" s="16">
        <v>2</v>
      </c>
      <c r="D1168" s="23" t="s">
        <v>171</v>
      </c>
      <c r="E1168" s="23" t="s">
        <v>177</v>
      </c>
      <c r="F1168" s="2" t="s">
        <v>42</v>
      </c>
      <c r="G1168" s="2">
        <v>5</v>
      </c>
      <c r="H1168" s="2" t="s">
        <v>20</v>
      </c>
      <c r="I1168" s="2">
        <v>10</v>
      </c>
      <c r="L1168" s="15">
        <f>IFERROR(VLOOKUP($D1168&amp;$C1168,生产方式定位!$A$2:$E$38,2,FALSE)+VLOOKUP($E1168&amp;$C1168,生产方式定位!$F$3:$J$38,2,FALSE),0)</f>
        <v>705</v>
      </c>
      <c r="S1168" s="15">
        <f>IFERROR(VLOOKUP($D1168&amp;$C1168,生产方式定位!$A$2:$E$38,3,FALSE)+VLOOKUP($E1168&amp;$C1168,生产方式定位!$F$3:$J$38,3,FALSE),0)</f>
        <v>115</v>
      </c>
      <c r="X1168" s="15">
        <f>IFERROR(VLOOKUP($D1168&amp;$C1168,生产方式定位!$A$2:$E$38,5,FALSE)+VLOOKUP($E1168&amp;$C1168,生产方式定位!$F$3:$J$38,5,FALSE),"错误")</f>
        <v>910</v>
      </c>
      <c r="Y1168" s="26" t="str">
        <f t="shared" si="320"/>
        <v>魔偶*6,灵能水晶*16</v>
      </c>
      <c r="Z1168" s="36" t="str">
        <f t="shared" si="321"/>
        <v/>
      </c>
      <c r="AA1168" s="36" t="str">
        <f t="shared" si="322"/>
        <v/>
      </c>
      <c r="AB1168" s="27" t="str">
        <f t="shared" si="323"/>
        <v>29%</v>
      </c>
      <c r="AC1168" s="2">
        <f t="shared" si="324"/>
        <v>90</v>
      </c>
      <c r="AD1168" s="37">
        <f t="shared" si="325"/>
        <v>2</v>
      </c>
      <c r="AE1168" t="str">
        <f t="shared" si="326"/>
        <v>魔偶*6</v>
      </c>
      <c r="AF1168" t="str">
        <f t="shared" si="327"/>
        <v>灵能水晶*16</v>
      </c>
      <c r="AG1168" t="str">
        <f t="shared" si="328"/>
        <v/>
      </c>
      <c r="AH1168" t="str">
        <f t="shared" si="329"/>
        <v/>
      </c>
      <c r="AI1168" t="str">
        <f t="shared" si="330"/>
        <v/>
      </c>
      <c r="AJ1168" t="str">
        <f t="shared" si="331"/>
        <v/>
      </c>
      <c r="AK1168" t="str">
        <f t="shared" si="332"/>
        <v/>
      </c>
      <c r="AL1168">
        <f>IFERROR(ROUND(L1168*(G1168/$AU1168)/VLOOKUP(F1168,商品!$A$4:$B$60,2,FALSE),0),"")</f>
        <v>6</v>
      </c>
      <c r="AM1168">
        <f>IFERROR(ROUND(L1168*(I1168/$AU1168)/VLOOKUP(H1168,商品!$A$4:$B$60,2,FALSE),0),"")</f>
        <v>16</v>
      </c>
      <c r="AN1168">
        <f>IFERROR(ROUND(L1168*(J1168/$AU1168)/VLOOKUP("运力",商品!$A$4:$B$60,2,FALSE),0),0)</f>
        <v>0</v>
      </c>
      <c r="AO1168">
        <f>IFERROR(ROUND(L1168*(K1168/$AU1168)/VLOOKUP("交易",商品!$A$4:$B$60,2,FALSE),0),0)</f>
        <v>0</v>
      </c>
      <c r="AP1168" t="str">
        <f>IFERROR(ROUND(S1168*(N1168/$AV1168)/VLOOKUP(M1168,职业!$A$4:$G$16,4,FALSE),0),"")</f>
        <v/>
      </c>
      <c r="AQ1168" t="str">
        <f>IFERROR(ROUND(S1168*(P1168/$AV1168)/VLOOKUP(O1168,职业!$A$4:$G$16,4,FALSE),0),"")</f>
        <v/>
      </c>
      <c r="AR1168" t="str">
        <f>IFERROR(ROUND(S1168*(R1168/$AV1168)/VLOOKUP(Q1168,职业!$A$4:$G$16,4,FALSE),0),"")</f>
        <v/>
      </c>
      <c r="AS1168" t="str">
        <f>IFERROR(ROUND(X1168*(U1168/$AW1168)/VLOOKUP(T1168,商品!$A$4:$B$60,2,FALSE),0),"")</f>
        <v/>
      </c>
      <c r="AT1168" t="str">
        <f>IFERROR(ROUND(X1168*(W1168/$AW1168)/VLOOKUP(V1168,商品!$A$4:$B$60,2,FALSE),0),"")</f>
        <v/>
      </c>
      <c r="AU1168">
        <f t="shared" si="333"/>
        <v>15</v>
      </c>
      <c r="AV1168">
        <f t="shared" si="334"/>
        <v>0</v>
      </c>
      <c r="AW1168">
        <f t="shared" si="335"/>
        <v>0</v>
      </c>
    </row>
    <row r="1169" spans="1:49" ht="19.95" customHeight="1" x14ac:dyDescent="0.25">
      <c r="A1169" s="16" t="s">
        <v>430</v>
      </c>
      <c r="C1169" s="16">
        <v>3</v>
      </c>
      <c r="D1169" s="23" t="s">
        <v>171</v>
      </c>
      <c r="E1169" s="23" t="s">
        <v>177</v>
      </c>
      <c r="F1169" s="2" t="s">
        <v>42</v>
      </c>
      <c r="G1169" s="2">
        <v>5</v>
      </c>
      <c r="H1169" s="2" t="s">
        <v>20</v>
      </c>
      <c r="I1169" s="2">
        <v>10</v>
      </c>
      <c r="L1169" s="15">
        <f>IFERROR(VLOOKUP($D1169&amp;$C1169,生产方式定位!$A$2:$E$38,2,FALSE)+VLOOKUP($E1169&amp;$C1169,生产方式定位!$F$3:$J$38,2,FALSE),0)</f>
        <v>1110</v>
      </c>
      <c r="S1169" s="15">
        <f>IFERROR(VLOOKUP($D1169&amp;$C1169,生产方式定位!$A$2:$E$38,3,FALSE)+VLOOKUP($E1169&amp;$C1169,生产方式定位!$F$3:$J$38,3,FALSE),0)</f>
        <v>130</v>
      </c>
      <c r="X1169" s="15">
        <f>IFERROR(VLOOKUP($D1169&amp;$C1169,生产方式定位!$A$2:$E$38,5,FALSE)+VLOOKUP($E1169&amp;$C1169,生产方式定位!$F$3:$J$38,5,FALSE),"错误")</f>
        <v>1300</v>
      </c>
      <c r="Y1169" s="26" t="str">
        <f t="shared" si="320"/>
        <v>魔偶*9,灵能水晶*25</v>
      </c>
      <c r="Z1169" s="36" t="str">
        <f t="shared" si="321"/>
        <v/>
      </c>
      <c r="AA1169" s="36" t="str">
        <f t="shared" si="322"/>
        <v/>
      </c>
      <c r="AB1169" s="27" t="str">
        <f t="shared" si="323"/>
        <v>17%</v>
      </c>
      <c r="AC1169" s="2">
        <f t="shared" si="324"/>
        <v>60</v>
      </c>
      <c r="AD1169" s="37">
        <f t="shared" si="325"/>
        <v>3</v>
      </c>
      <c r="AE1169" t="str">
        <f t="shared" si="326"/>
        <v>魔偶*9</v>
      </c>
      <c r="AF1169" t="str">
        <f t="shared" si="327"/>
        <v>灵能水晶*25</v>
      </c>
      <c r="AG1169" t="str">
        <f t="shared" si="328"/>
        <v/>
      </c>
      <c r="AH1169" t="str">
        <f t="shared" si="329"/>
        <v/>
      </c>
      <c r="AI1169" t="str">
        <f t="shared" si="330"/>
        <v/>
      </c>
      <c r="AJ1169" t="str">
        <f t="shared" si="331"/>
        <v/>
      </c>
      <c r="AK1169" t="str">
        <f t="shared" si="332"/>
        <v/>
      </c>
      <c r="AL1169">
        <f>IFERROR(ROUND(L1169*(G1169/$AU1169)/VLOOKUP(F1169,商品!$A$4:$B$60,2,FALSE),0),"")</f>
        <v>9</v>
      </c>
      <c r="AM1169">
        <f>IFERROR(ROUND(L1169*(I1169/$AU1169)/VLOOKUP(H1169,商品!$A$4:$B$60,2,FALSE),0),"")</f>
        <v>25</v>
      </c>
      <c r="AN1169">
        <f>IFERROR(ROUND(L1169*(J1169/$AU1169)/VLOOKUP("运力",商品!$A$4:$B$60,2,FALSE),0),0)</f>
        <v>0</v>
      </c>
      <c r="AO1169">
        <f>IFERROR(ROUND(L1169*(K1169/$AU1169)/VLOOKUP("交易",商品!$A$4:$B$60,2,FALSE),0),0)</f>
        <v>0</v>
      </c>
      <c r="AP1169" t="str">
        <f>IFERROR(ROUND(S1169*(N1169/$AV1169)/VLOOKUP(M1169,职业!$A$4:$G$16,4,FALSE),0),"")</f>
        <v/>
      </c>
      <c r="AQ1169" t="str">
        <f>IFERROR(ROUND(S1169*(P1169/$AV1169)/VLOOKUP(O1169,职业!$A$4:$G$16,4,FALSE),0),"")</f>
        <v/>
      </c>
      <c r="AR1169" t="str">
        <f>IFERROR(ROUND(S1169*(R1169/$AV1169)/VLOOKUP(Q1169,职业!$A$4:$G$16,4,FALSE),0),"")</f>
        <v/>
      </c>
      <c r="AS1169" t="str">
        <f>IFERROR(ROUND(X1169*(U1169/$AW1169)/VLOOKUP(T1169,商品!$A$4:$B$60,2,FALSE),0),"")</f>
        <v/>
      </c>
      <c r="AT1169" t="str">
        <f>IFERROR(ROUND(X1169*(W1169/$AW1169)/VLOOKUP(V1169,商品!$A$4:$B$60,2,FALSE),0),"")</f>
        <v/>
      </c>
      <c r="AU1169">
        <f t="shared" si="333"/>
        <v>15</v>
      </c>
      <c r="AV1169">
        <f t="shared" si="334"/>
        <v>0</v>
      </c>
      <c r="AW1169">
        <f t="shared" si="335"/>
        <v>0</v>
      </c>
    </row>
    <row r="1170" spans="1:49" ht="19.95" customHeight="1" x14ac:dyDescent="0.25">
      <c r="A1170" s="16" t="s">
        <v>430</v>
      </c>
      <c r="C1170" s="16">
        <v>4</v>
      </c>
      <c r="D1170" s="23" t="s">
        <v>171</v>
      </c>
      <c r="E1170" s="23" t="s">
        <v>177</v>
      </c>
      <c r="F1170" s="2" t="s">
        <v>42</v>
      </c>
      <c r="G1170" s="2">
        <v>5</v>
      </c>
      <c r="H1170" s="2" t="s">
        <v>20</v>
      </c>
      <c r="I1170" s="2">
        <v>10</v>
      </c>
      <c r="L1170" s="15">
        <f>IFERROR(VLOOKUP($D1170&amp;$C1170,生产方式定位!$A$2:$E$38,2,FALSE)+VLOOKUP($E1170&amp;$C1170,生产方式定位!$F$3:$J$38,2,FALSE),0)</f>
        <v>1515</v>
      </c>
      <c r="S1170" s="15">
        <f>IFERROR(VLOOKUP($D1170&amp;$C1170,生产方式定位!$A$2:$E$38,3,FALSE)+VLOOKUP($E1170&amp;$C1170,生产方式定位!$F$3:$J$38,3,FALSE),0)</f>
        <v>145</v>
      </c>
      <c r="X1170" s="15">
        <f>IFERROR(VLOOKUP($D1170&amp;$C1170,生产方式定位!$A$2:$E$38,5,FALSE)+VLOOKUP($E1170&amp;$C1170,生产方式定位!$F$3:$J$38,5,FALSE),"错误")</f>
        <v>1690</v>
      </c>
      <c r="Y1170" s="26" t="str">
        <f t="shared" si="320"/>
        <v>魔偶*13,灵能水晶*34</v>
      </c>
      <c r="Z1170" s="36" t="str">
        <f t="shared" si="321"/>
        <v/>
      </c>
      <c r="AA1170" s="36" t="str">
        <f t="shared" si="322"/>
        <v/>
      </c>
      <c r="AB1170" s="27" t="str">
        <f t="shared" si="323"/>
        <v>12%</v>
      </c>
      <c r="AC1170" s="2">
        <f t="shared" si="324"/>
        <v>30</v>
      </c>
      <c r="AD1170" s="37">
        <f t="shared" si="325"/>
        <v>4</v>
      </c>
      <c r="AE1170" t="str">
        <f t="shared" si="326"/>
        <v>魔偶*13</v>
      </c>
      <c r="AF1170" t="str">
        <f t="shared" si="327"/>
        <v>灵能水晶*34</v>
      </c>
      <c r="AG1170" t="str">
        <f t="shared" si="328"/>
        <v/>
      </c>
      <c r="AH1170" t="str">
        <f t="shared" si="329"/>
        <v/>
      </c>
      <c r="AI1170" t="str">
        <f t="shared" si="330"/>
        <v/>
      </c>
      <c r="AJ1170" t="str">
        <f t="shared" si="331"/>
        <v/>
      </c>
      <c r="AK1170" t="str">
        <f t="shared" si="332"/>
        <v/>
      </c>
      <c r="AL1170">
        <f>IFERROR(ROUND(L1170*(G1170/$AU1170)/VLOOKUP(F1170,商品!$A$4:$B$60,2,FALSE),0),"")</f>
        <v>13</v>
      </c>
      <c r="AM1170">
        <f>IFERROR(ROUND(L1170*(I1170/$AU1170)/VLOOKUP(H1170,商品!$A$4:$B$60,2,FALSE),0),"")</f>
        <v>34</v>
      </c>
      <c r="AN1170">
        <f>IFERROR(ROUND(L1170*(J1170/$AU1170)/VLOOKUP("运力",商品!$A$4:$B$60,2,FALSE),0),0)</f>
        <v>0</v>
      </c>
      <c r="AO1170">
        <f>IFERROR(ROUND(L1170*(K1170/$AU1170)/VLOOKUP("交易",商品!$A$4:$B$60,2,FALSE),0),0)</f>
        <v>0</v>
      </c>
      <c r="AP1170" t="str">
        <f>IFERROR(ROUND(S1170*(N1170/$AV1170)/VLOOKUP(M1170,职业!$A$4:$G$16,4,FALSE),0),"")</f>
        <v/>
      </c>
      <c r="AQ1170" t="str">
        <f>IFERROR(ROUND(S1170*(P1170/$AV1170)/VLOOKUP(O1170,职业!$A$4:$G$16,4,FALSE),0),"")</f>
        <v/>
      </c>
      <c r="AR1170" t="str">
        <f>IFERROR(ROUND(S1170*(R1170/$AV1170)/VLOOKUP(Q1170,职业!$A$4:$G$16,4,FALSE),0),"")</f>
        <v/>
      </c>
      <c r="AS1170" t="str">
        <f>IFERROR(ROUND(X1170*(U1170/$AW1170)/VLOOKUP(T1170,商品!$A$4:$B$60,2,FALSE),0),"")</f>
        <v/>
      </c>
      <c r="AT1170" t="str">
        <f>IFERROR(ROUND(X1170*(W1170/$AW1170)/VLOOKUP(V1170,商品!$A$4:$B$60,2,FALSE),0),"")</f>
        <v/>
      </c>
      <c r="AU1170">
        <f t="shared" si="333"/>
        <v>15</v>
      </c>
      <c r="AV1170">
        <f t="shared" si="334"/>
        <v>0</v>
      </c>
      <c r="AW1170">
        <f t="shared" si="335"/>
        <v>0</v>
      </c>
    </row>
    <row r="1171" spans="1:49" ht="19.95" customHeight="1" x14ac:dyDescent="0.25">
      <c r="A1171" s="16" t="s">
        <v>430</v>
      </c>
      <c r="C1171" s="16">
        <v>5</v>
      </c>
      <c r="D1171" s="23" t="s">
        <v>171</v>
      </c>
      <c r="E1171" s="23" t="s">
        <v>177</v>
      </c>
      <c r="F1171" s="2" t="s">
        <v>42</v>
      </c>
      <c r="G1171" s="2">
        <v>5</v>
      </c>
      <c r="H1171" s="2" t="s">
        <v>20</v>
      </c>
      <c r="I1171" s="2">
        <v>10</v>
      </c>
      <c r="L1171" s="15">
        <f>IFERROR(VLOOKUP($D1171&amp;$C1171,生产方式定位!$A$2:$E$38,2,FALSE)+VLOOKUP($E1171&amp;$C1171,生产方式定位!$F$3:$J$38,2,FALSE),0)</f>
        <v>1920</v>
      </c>
      <c r="S1171" s="15">
        <f>IFERROR(VLOOKUP($D1171&amp;$C1171,生产方式定位!$A$2:$E$38,3,FALSE)+VLOOKUP($E1171&amp;$C1171,生产方式定位!$F$3:$J$38,3,FALSE),0)</f>
        <v>160</v>
      </c>
      <c r="X1171" s="15">
        <f>IFERROR(VLOOKUP($D1171&amp;$C1171,生产方式定位!$A$2:$E$38,5,FALSE)+VLOOKUP($E1171&amp;$C1171,生产方式定位!$F$3:$J$38,5,FALSE),"错误")</f>
        <v>2080</v>
      </c>
      <c r="Y1171" s="26" t="str">
        <f t="shared" si="320"/>
        <v>魔偶*16,灵能水晶*43</v>
      </c>
      <c r="Z1171" s="36" t="str">
        <f t="shared" si="321"/>
        <v/>
      </c>
      <c r="AA1171" s="36" t="str">
        <f t="shared" si="322"/>
        <v/>
      </c>
      <c r="AB1171" s="27" t="str">
        <f t="shared" si="323"/>
        <v>8%</v>
      </c>
      <c r="AC1171" s="2" t="str">
        <f t="shared" si="324"/>
        <v/>
      </c>
      <c r="AD1171" s="37">
        <f t="shared" si="325"/>
        <v>5</v>
      </c>
      <c r="AE1171" t="str">
        <f t="shared" si="326"/>
        <v>魔偶*16</v>
      </c>
      <c r="AF1171" t="str">
        <f t="shared" si="327"/>
        <v>灵能水晶*43</v>
      </c>
      <c r="AG1171" t="str">
        <f t="shared" si="328"/>
        <v/>
      </c>
      <c r="AH1171" t="str">
        <f t="shared" si="329"/>
        <v/>
      </c>
      <c r="AI1171" t="str">
        <f t="shared" si="330"/>
        <v/>
      </c>
      <c r="AJ1171" t="str">
        <f t="shared" si="331"/>
        <v/>
      </c>
      <c r="AK1171" t="str">
        <f t="shared" si="332"/>
        <v/>
      </c>
      <c r="AL1171">
        <f>IFERROR(ROUND(L1171*(G1171/$AU1171)/VLOOKUP(F1171,商品!$A$4:$B$60,2,FALSE),0),"")</f>
        <v>16</v>
      </c>
      <c r="AM1171">
        <f>IFERROR(ROUND(L1171*(I1171/$AU1171)/VLOOKUP(H1171,商品!$A$4:$B$60,2,FALSE),0),"")</f>
        <v>43</v>
      </c>
      <c r="AN1171">
        <f>IFERROR(ROUND(L1171*(J1171/$AU1171)/VLOOKUP("运力",商品!$A$4:$B$60,2,FALSE),0),0)</f>
        <v>0</v>
      </c>
      <c r="AO1171">
        <f>IFERROR(ROUND(L1171*(K1171/$AU1171)/VLOOKUP("交易",商品!$A$4:$B$60,2,FALSE),0),0)</f>
        <v>0</v>
      </c>
      <c r="AP1171" t="str">
        <f>IFERROR(ROUND(S1171*(N1171/$AV1171)/VLOOKUP(M1171,职业!$A$4:$G$16,4,FALSE),0),"")</f>
        <v/>
      </c>
      <c r="AQ1171" t="str">
        <f>IFERROR(ROUND(S1171*(P1171/$AV1171)/VLOOKUP(O1171,职业!$A$4:$G$16,4,FALSE),0),"")</f>
        <v/>
      </c>
      <c r="AR1171" t="str">
        <f>IFERROR(ROUND(S1171*(R1171/$AV1171)/VLOOKUP(Q1171,职业!$A$4:$G$16,4,FALSE),0),"")</f>
        <v/>
      </c>
      <c r="AS1171" t="str">
        <f>IFERROR(ROUND(X1171*(U1171/$AW1171)/VLOOKUP(T1171,商品!$A$4:$B$60,2,FALSE),0),"")</f>
        <v/>
      </c>
      <c r="AT1171" t="str">
        <f>IFERROR(ROUND(X1171*(W1171/$AW1171)/VLOOKUP(V1171,商品!$A$4:$B$60,2,FALSE),0),"")</f>
        <v/>
      </c>
      <c r="AU1171">
        <f t="shared" si="333"/>
        <v>15</v>
      </c>
      <c r="AV1171">
        <f t="shared" si="334"/>
        <v>0</v>
      </c>
      <c r="AW1171">
        <f t="shared" si="335"/>
        <v>0</v>
      </c>
    </row>
    <row r="1172" spans="1:49" ht="19.95" customHeight="1" x14ac:dyDescent="0.25">
      <c r="A1172" s="15" t="s">
        <v>431</v>
      </c>
      <c r="C1172" s="15">
        <v>1</v>
      </c>
      <c r="D1172" s="23" t="s">
        <v>174</v>
      </c>
      <c r="E1172" s="23" t="s">
        <v>179</v>
      </c>
      <c r="L1172" s="16">
        <f>IFERROR(VLOOKUP($D1172&amp;$C1172,生产方式定位!$A$2:$E$38,2,FALSE)+VLOOKUP($E1172&amp;$C1172,生产方式定位!$F$3:$J$38,2,FALSE),0)</f>
        <v>0</v>
      </c>
      <c r="S1172" s="16">
        <f>IFERROR(VLOOKUP($D1172&amp;$C1172,生产方式定位!$A$2:$E$38,3,FALSE)+VLOOKUP($E1172&amp;$C1172,生产方式定位!$F$3:$J$38,3,FALSE),0)</f>
        <v>100</v>
      </c>
      <c r="X1172" s="16">
        <f>IFERROR(VLOOKUP($D1172&amp;$C1172,生产方式定位!$A$2:$E$38,5,FALSE)+VLOOKUP($E1172&amp;$C1172,生产方式定位!$F$3:$J$38,5,FALSE),"错误")</f>
        <v>100</v>
      </c>
      <c r="Y1172" s="26" t="str">
        <f t="shared" si="320"/>
        <v/>
      </c>
      <c r="Z1172" s="36" t="str">
        <f t="shared" si="321"/>
        <v/>
      </c>
      <c r="AA1172" s="36" t="str">
        <f t="shared" si="322"/>
        <v/>
      </c>
      <c r="AB1172" s="27" t="str">
        <f t="shared" si="323"/>
        <v/>
      </c>
      <c r="AC1172" s="2" t="str">
        <f t="shared" si="324"/>
        <v/>
      </c>
      <c r="AD1172" s="38">
        <f t="shared" si="325"/>
        <v>1</v>
      </c>
      <c r="AE1172" t="str">
        <f t="shared" si="326"/>
        <v/>
      </c>
      <c r="AF1172" t="str">
        <f t="shared" si="327"/>
        <v/>
      </c>
      <c r="AG1172" t="str">
        <f t="shared" si="328"/>
        <v/>
      </c>
      <c r="AH1172" t="str">
        <f t="shared" si="329"/>
        <v/>
      </c>
      <c r="AI1172" t="str">
        <f t="shared" si="330"/>
        <v/>
      </c>
      <c r="AJ1172" t="str">
        <f t="shared" si="331"/>
        <v/>
      </c>
      <c r="AK1172" t="str">
        <f t="shared" si="332"/>
        <v/>
      </c>
      <c r="AL1172" t="str">
        <f>IFERROR(ROUND(L1172*(G1172/$AU1172)/VLOOKUP(F1172,商品!$A$4:$B$60,2,FALSE),0),"")</f>
        <v/>
      </c>
      <c r="AM1172" t="str">
        <f>IFERROR(ROUND(L1172*(I1172/$AU1172)/VLOOKUP(H1172,商品!$A$4:$B$60,2,FALSE),0),"")</f>
        <v/>
      </c>
      <c r="AN1172">
        <f>IFERROR(ROUND(L1172*(J1172/$AU1172)/VLOOKUP("运力",商品!$A$4:$B$60,2,FALSE),0),0)</f>
        <v>0</v>
      </c>
      <c r="AO1172">
        <f>IFERROR(ROUND(L1172*(K1172/$AU1172)/VLOOKUP("交易",商品!$A$4:$B$60,2,FALSE),0),0)</f>
        <v>0</v>
      </c>
      <c r="AP1172" t="str">
        <f>IFERROR(ROUND(S1172*(N1172/$AV1172)/VLOOKUP(M1172,职业!$A$4:$G$16,4,FALSE),0),"")</f>
        <v/>
      </c>
      <c r="AQ1172" t="str">
        <f>IFERROR(ROUND(S1172*(P1172/$AV1172)/VLOOKUP(O1172,职业!$A$4:$G$16,4,FALSE),0),"")</f>
        <v/>
      </c>
      <c r="AR1172" t="str">
        <f>IFERROR(ROUND(S1172*(R1172/$AV1172)/VLOOKUP(Q1172,职业!$A$4:$G$16,4,FALSE),0),"")</f>
        <v/>
      </c>
      <c r="AS1172" t="str">
        <f>IFERROR(ROUND(X1172*(U1172/$AW1172)/VLOOKUP(T1172,商品!$A$4:$B$60,2,FALSE),0),"")</f>
        <v/>
      </c>
      <c r="AT1172" t="str">
        <f>IFERROR(ROUND(X1172*(W1172/$AW1172)/VLOOKUP(V1172,商品!$A$4:$B$60,2,FALSE),0),"")</f>
        <v/>
      </c>
      <c r="AU1172">
        <f t="shared" si="333"/>
        <v>0</v>
      </c>
      <c r="AV1172">
        <f t="shared" si="334"/>
        <v>0</v>
      </c>
      <c r="AW1172">
        <f t="shared" si="335"/>
        <v>0</v>
      </c>
    </row>
    <row r="1173" spans="1:49" ht="19.95" customHeight="1" x14ac:dyDescent="0.25">
      <c r="A1173" s="15" t="s">
        <v>431</v>
      </c>
      <c r="C1173" s="15">
        <v>2</v>
      </c>
      <c r="D1173" s="23" t="s">
        <v>174</v>
      </c>
      <c r="E1173" s="23" t="s">
        <v>179</v>
      </c>
      <c r="L1173" s="16">
        <f>IFERROR(VLOOKUP($D1173&amp;$C1173,生产方式定位!$A$2:$E$38,2,FALSE)+VLOOKUP($E1173&amp;$C1173,生产方式定位!$F$3:$J$38,2,FALSE),0)</f>
        <v>0</v>
      </c>
      <c r="S1173" s="16">
        <f>IFERROR(VLOOKUP($D1173&amp;$C1173,生产方式定位!$A$2:$E$38,3,FALSE)+VLOOKUP($E1173&amp;$C1173,生产方式定位!$F$3:$J$38,3,FALSE),0)</f>
        <v>100</v>
      </c>
      <c r="X1173" s="16">
        <f>IFERROR(VLOOKUP($D1173&amp;$C1173,生产方式定位!$A$2:$E$38,5,FALSE)+VLOOKUP($E1173&amp;$C1173,生产方式定位!$F$3:$J$38,5,FALSE),"错误")</f>
        <v>100</v>
      </c>
      <c r="Y1173" s="26" t="str">
        <f t="shared" si="320"/>
        <v/>
      </c>
      <c r="Z1173" s="36" t="str">
        <f t="shared" si="321"/>
        <v/>
      </c>
      <c r="AA1173" s="36" t="str">
        <f t="shared" si="322"/>
        <v/>
      </c>
      <c r="AB1173" s="27" t="str">
        <f t="shared" si="323"/>
        <v/>
      </c>
      <c r="AC1173" s="2" t="str">
        <f t="shared" si="324"/>
        <v/>
      </c>
      <c r="AD1173" s="38">
        <f t="shared" si="325"/>
        <v>2</v>
      </c>
      <c r="AE1173" t="str">
        <f t="shared" si="326"/>
        <v/>
      </c>
      <c r="AF1173" t="str">
        <f t="shared" si="327"/>
        <v/>
      </c>
      <c r="AG1173" t="str">
        <f t="shared" si="328"/>
        <v/>
      </c>
      <c r="AH1173" t="str">
        <f t="shared" si="329"/>
        <v/>
      </c>
      <c r="AI1173" t="str">
        <f t="shared" si="330"/>
        <v/>
      </c>
      <c r="AJ1173" t="str">
        <f t="shared" si="331"/>
        <v/>
      </c>
      <c r="AK1173" t="str">
        <f t="shared" si="332"/>
        <v/>
      </c>
      <c r="AL1173" t="str">
        <f>IFERROR(ROUND(L1173*(G1173/$AU1173)/VLOOKUP(F1173,商品!$A$4:$B$60,2,FALSE),0),"")</f>
        <v/>
      </c>
      <c r="AM1173" t="str">
        <f>IFERROR(ROUND(L1173*(I1173/$AU1173)/VLOOKUP(H1173,商品!$A$4:$B$60,2,FALSE),0),"")</f>
        <v/>
      </c>
      <c r="AN1173">
        <f>IFERROR(ROUND(L1173*(J1173/$AU1173)/VLOOKUP("运力",商品!$A$4:$B$60,2,FALSE),0),0)</f>
        <v>0</v>
      </c>
      <c r="AO1173">
        <f>IFERROR(ROUND(L1173*(K1173/$AU1173)/VLOOKUP("交易",商品!$A$4:$B$60,2,FALSE),0),0)</f>
        <v>0</v>
      </c>
      <c r="AP1173" t="str">
        <f>IFERROR(ROUND(S1173*(N1173/$AV1173)/VLOOKUP(M1173,职业!$A$4:$G$16,4,FALSE),0),"")</f>
        <v/>
      </c>
      <c r="AQ1173" t="str">
        <f>IFERROR(ROUND(S1173*(P1173/$AV1173)/VLOOKUP(O1173,职业!$A$4:$G$16,4,FALSE),0),"")</f>
        <v/>
      </c>
      <c r="AR1173" t="str">
        <f>IFERROR(ROUND(S1173*(R1173/$AV1173)/VLOOKUP(Q1173,职业!$A$4:$G$16,4,FALSE),0),"")</f>
        <v/>
      </c>
      <c r="AS1173" t="str">
        <f>IFERROR(ROUND(X1173*(U1173/$AW1173)/VLOOKUP(T1173,商品!$A$4:$B$60,2,FALSE),0),"")</f>
        <v/>
      </c>
      <c r="AT1173" t="str">
        <f>IFERROR(ROUND(X1173*(W1173/$AW1173)/VLOOKUP(V1173,商品!$A$4:$B$60,2,FALSE),0),"")</f>
        <v/>
      </c>
      <c r="AU1173">
        <f t="shared" si="333"/>
        <v>0</v>
      </c>
      <c r="AV1173">
        <f t="shared" si="334"/>
        <v>0</v>
      </c>
      <c r="AW1173">
        <f t="shared" si="335"/>
        <v>0</v>
      </c>
    </row>
    <row r="1174" spans="1:49" ht="19.95" customHeight="1" x14ac:dyDescent="0.25">
      <c r="A1174" s="15" t="s">
        <v>431</v>
      </c>
      <c r="C1174" s="15">
        <v>3</v>
      </c>
      <c r="D1174" s="23" t="s">
        <v>174</v>
      </c>
      <c r="E1174" s="23" t="s">
        <v>179</v>
      </c>
      <c r="L1174" s="16">
        <f>IFERROR(VLOOKUP($D1174&amp;$C1174,生产方式定位!$A$2:$E$38,2,FALSE)+VLOOKUP($E1174&amp;$C1174,生产方式定位!$F$3:$J$38,2,FALSE),0)</f>
        <v>0</v>
      </c>
      <c r="S1174" s="16">
        <f>IFERROR(VLOOKUP($D1174&amp;$C1174,生产方式定位!$A$2:$E$38,3,FALSE)+VLOOKUP($E1174&amp;$C1174,生产方式定位!$F$3:$J$38,3,FALSE),0)</f>
        <v>100</v>
      </c>
      <c r="X1174" s="16">
        <f>IFERROR(VLOOKUP($D1174&amp;$C1174,生产方式定位!$A$2:$E$38,5,FALSE)+VLOOKUP($E1174&amp;$C1174,生产方式定位!$F$3:$J$38,5,FALSE),"错误")</f>
        <v>100</v>
      </c>
      <c r="Y1174" s="26" t="str">
        <f t="shared" si="320"/>
        <v/>
      </c>
      <c r="Z1174" s="36" t="str">
        <f t="shared" si="321"/>
        <v/>
      </c>
      <c r="AA1174" s="36" t="str">
        <f t="shared" si="322"/>
        <v/>
      </c>
      <c r="AB1174" s="27" t="str">
        <f t="shared" si="323"/>
        <v/>
      </c>
      <c r="AC1174" s="2" t="str">
        <f t="shared" si="324"/>
        <v/>
      </c>
      <c r="AD1174" s="38">
        <f t="shared" si="325"/>
        <v>3</v>
      </c>
      <c r="AE1174" t="str">
        <f t="shared" si="326"/>
        <v/>
      </c>
      <c r="AF1174" t="str">
        <f t="shared" si="327"/>
        <v/>
      </c>
      <c r="AG1174" t="str">
        <f t="shared" si="328"/>
        <v/>
      </c>
      <c r="AH1174" t="str">
        <f t="shared" si="329"/>
        <v/>
      </c>
      <c r="AI1174" t="str">
        <f t="shared" si="330"/>
        <v/>
      </c>
      <c r="AJ1174" t="str">
        <f t="shared" si="331"/>
        <v/>
      </c>
      <c r="AK1174" t="str">
        <f t="shared" si="332"/>
        <v/>
      </c>
      <c r="AL1174" t="str">
        <f>IFERROR(ROUND(L1174*(G1174/$AU1174)/VLOOKUP(F1174,商品!$A$4:$B$60,2,FALSE),0),"")</f>
        <v/>
      </c>
      <c r="AM1174" t="str">
        <f>IFERROR(ROUND(L1174*(I1174/$AU1174)/VLOOKUP(H1174,商品!$A$4:$B$60,2,FALSE),0),"")</f>
        <v/>
      </c>
      <c r="AN1174">
        <f>IFERROR(ROUND(L1174*(J1174/$AU1174)/VLOOKUP("运力",商品!$A$4:$B$60,2,FALSE),0),0)</f>
        <v>0</v>
      </c>
      <c r="AO1174">
        <f>IFERROR(ROUND(L1174*(K1174/$AU1174)/VLOOKUP("交易",商品!$A$4:$B$60,2,FALSE),0),0)</f>
        <v>0</v>
      </c>
      <c r="AP1174" t="str">
        <f>IFERROR(ROUND(S1174*(N1174/$AV1174)/VLOOKUP(M1174,职业!$A$4:$G$16,4,FALSE),0),"")</f>
        <v/>
      </c>
      <c r="AQ1174" t="str">
        <f>IFERROR(ROUND(S1174*(P1174/$AV1174)/VLOOKUP(O1174,职业!$A$4:$G$16,4,FALSE),0),"")</f>
        <v/>
      </c>
      <c r="AR1174" t="str">
        <f>IFERROR(ROUND(S1174*(R1174/$AV1174)/VLOOKUP(Q1174,职业!$A$4:$G$16,4,FALSE),0),"")</f>
        <v/>
      </c>
      <c r="AS1174" t="str">
        <f>IFERROR(ROUND(X1174*(U1174/$AW1174)/VLOOKUP(T1174,商品!$A$4:$B$60,2,FALSE),0),"")</f>
        <v/>
      </c>
      <c r="AT1174" t="str">
        <f>IFERROR(ROUND(X1174*(W1174/$AW1174)/VLOOKUP(V1174,商品!$A$4:$B$60,2,FALSE),0),"")</f>
        <v/>
      </c>
      <c r="AU1174">
        <f t="shared" si="333"/>
        <v>0</v>
      </c>
      <c r="AV1174">
        <f t="shared" si="334"/>
        <v>0</v>
      </c>
      <c r="AW1174">
        <f t="shared" si="335"/>
        <v>0</v>
      </c>
    </row>
    <row r="1175" spans="1:49" ht="19.95" customHeight="1" x14ac:dyDescent="0.25">
      <c r="A1175" s="15" t="s">
        <v>431</v>
      </c>
      <c r="C1175" s="15">
        <v>4</v>
      </c>
      <c r="D1175" s="23" t="s">
        <v>174</v>
      </c>
      <c r="E1175" s="23" t="s">
        <v>179</v>
      </c>
      <c r="L1175" s="16">
        <f>IFERROR(VLOOKUP($D1175&amp;$C1175,生产方式定位!$A$2:$E$38,2,FALSE)+VLOOKUP($E1175&amp;$C1175,生产方式定位!$F$3:$J$38,2,FALSE),0)</f>
        <v>0</v>
      </c>
      <c r="S1175" s="16">
        <f>IFERROR(VLOOKUP($D1175&amp;$C1175,生产方式定位!$A$2:$E$38,3,FALSE)+VLOOKUP($E1175&amp;$C1175,生产方式定位!$F$3:$J$38,3,FALSE),0)</f>
        <v>100</v>
      </c>
      <c r="X1175" s="16">
        <f>IFERROR(VLOOKUP($D1175&amp;$C1175,生产方式定位!$A$2:$E$38,5,FALSE)+VLOOKUP($E1175&amp;$C1175,生产方式定位!$F$3:$J$38,5,FALSE),"错误")</f>
        <v>100</v>
      </c>
      <c r="Y1175" s="26" t="str">
        <f t="shared" si="320"/>
        <v/>
      </c>
      <c r="Z1175" s="36" t="str">
        <f t="shared" si="321"/>
        <v/>
      </c>
      <c r="AA1175" s="36" t="str">
        <f t="shared" si="322"/>
        <v/>
      </c>
      <c r="AB1175" s="27" t="str">
        <f t="shared" si="323"/>
        <v/>
      </c>
      <c r="AC1175" s="2" t="str">
        <f t="shared" si="324"/>
        <v/>
      </c>
      <c r="AD1175" s="38">
        <f t="shared" si="325"/>
        <v>4</v>
      </c>
      <c r="AE1175" t="str">
        <f t="shared" si="326"/>
        <v/>
      </c>
      <c r="AF1175" t="str">
        <f t="shared" si="327"/>
        <v/>
      </c>
      <c r="AG1175" t="str">
        <f t="shared" si="328"/>
        <v/>
      </c>
      <c r="AH1175" t="str">
        <f t="shared" si="329"/>
        <v/>
      </c>
      <c r="AI1175" t="str">
        <f t="shared" si="330"/>
        <v/>
      </c>
      <c r="AJ1175" t="str">
        <f t="shared" si="331"/>
        <v/>
      </c>
      <c r="AK1175" t="str">
        <f t="shared" si="332"/>
        <v/>
      </c>
      <c r="AL1175" t="str">
        <f>IFERROR(ROUND(L1175*(G1175/$AU1175)/VLOOKUP(F1175,商品!$A$4:$B$60,2,FALSE),0),"")</f>
        <v/>
      </c>
      <c r="AM1175" t="str">
        <f>IFERROR(ROUND(L1175*(I1175/$AU1175)/VLOOKUP(H1175,商品!$A$4:$B$60,2,FALSE),0),"")</f>
        <v/>
      </c>
      <c r="AN1175">
        <f>IFERROR(ROUND(L1175*(J1175/$AU1175)/VLOOKUP("运力",商品!$A$4:$B$60,2,FALSE),0),0)</f>
        <v>0</v>
      </c>
      <c r="AO1175">
        <f>IFERROR(ROUND(L1175*(K1175/$AU1175)/VLOOKUP("交易",商品!$A$4:$B$60,2,FALSE),0),0)</f>
        <v>0</v>
      </c>
      <c r="AP1175" t="str">
        <f>IFERROR(ROUND(S1175*(N1175/$AV1175)/VLOOKUP(M1175,职业!$A$4:$G$16,4,FALSE),0),"")</f>
        <v/>
      </c>
      <c r="AQ1175" t="str">
        <f>IFERROR(ROUND(S1175*(P1175/$AV1175)/VLOOKUP(O1175,职业!$A$4:$G$16,4,FALSE),0),"")</f>
        <v/>
      </c>
      <c r="AR1175" t="str">
        <f>IFERROR(ROUND(S1175*(R1175/$AV1175)/VLOOKUP(Q1175,职业!$A$4:$G$16,4,FALSE),0),"")</f>
        <v/>
      </c>
      <c r="AS1175" t="str">
        <f>IFERROR(ROUND(X1175*(U1175/$AW1175)/VLOOKUP(T1175,商品!$A$4:$B$60,2,FALSE),0),"")</f>
        <v/>
      </c>
      <c r="AT1175" t="str">
        <f>IFERROR(ROUND(X1175*(W1175/$AW1175)/VLOOKUP(V1175,商品!$A$4:$B$60,2,FALSE),0),"")</f>
        <v/>
      </c>
      <c r="AU1175">
        <f t="shared" si="333"/>
        <v>0</v>
      </c>
      <c r="AV1175">
        <f t="shared" si="334"/>
        <v>0</v>
      </c>
      <c r="AW1175">
        <f t="shared" si="335"/>
        <v>0</v>
      </c>
    </row>
    <row r="1176" spans="1:49" ht="19.95" customHeight="1" x14ac:dyDescent="0.25">
      <c r="A1176" s="15" t="s">
        <v>431</v>
      </c>
      <c r="C1176" s="15">
        <v>5</v>
      </c>
      <c r="D1176" s="23" t="s">
        <v>174</v>
      </c>
      <c r="E1176" s="23" t="s">
        <v>179</v>
      </c>
      <c r="L1176" s="16">
        <f>IFERROR(VLOOKUP($D1176&amp;$C1176,生产方式定位!$A$2:$E$38,2,FALSE)+VLOOKUP($E1176&amp;$C1176,生产方式定位!$F$3:$J$38,2,FALSE),0)</f>
        <v>0</v>
      </c>
      <c r="S1176" s="16">
        <f>IFERROR(VLOOKUP($D1176&amp;$C1176,生产方式定位!$A$2:$E$38,3,FALSE)+VLOOKUP($E1176&amp;$C1176,生产方式定位!$F$3:$J$38,3,FALSE),0)</f>
        <v>100</v>
      </c>
      <c r="X1176" s="16">
        <f>IFERROR(VLOOKUP($D1176&amp;$C1176,生产方式定位!$A$2:$E$38,5,FALSE)+VLOOKUP($E1176&amp;$C1176,生产方式定位!$F$3:$J$38,5,FALSE),"错误")</f>
        <v>100</v>
      </c>
      <c r="Y1176" s="26" t="str">
        <f t="shared" si="320"/>
        <v/>
      </c>
      <c r="Z1176" s="36" t="str">
        <f t="shared" si="321"/>
        <v/>
      </c>
      <c r="AA1176" s="36" t="str">
        <f t="shared" si="322"/>
        <v/>
      </c>
      <c r="AB1176" s="27" t="str">
        <f t="shared" si="323"/>
        <v/>
      </c>
      <c r="AC1176" s="2" t="str">
        <f t="shared" si="324"/>
        <v/>
      </c>
      <c r="AD1176" s="38">
        <f t="shared" si="325"/>
        <v>5</v>
      </c>
      <c r="AE1176" t="str">
        <f t="shared" si="326"/>
        <v/>
      </c>
      <c r="AF1176" t="str">
        <f t="shared" si="327"/>
        <v/>
      </c>
      <c r="AG1176" t="str">
        <f t="shared" si="328"/>
        <v/>
      </c>
      <c r="AH1176" t="str">
        <f t="shared" si="329"/>
        <v/>
      </c>
      <c r="AI1176" t="str">
        <f t="shared" si="330"/>
        <v/>
      </c>
      <c r="AJ1176" t="str">
        <f t="shared" si="331"/>
        <v/>
      </c>
      <c r="AK1176" t="str">
        <f t="shared" si="332"/>
        <v/>
      </c>
      <c r="AL1176" t="str">
        <f>IFERROR(ROUND(L1176*(G1176/$AU1176)/VLOOKUP(F1176,商品!$A$4:$B$60,2,FALSE),0),"")</f>
        <v/>
      </c>
      <c r="AM1176" t="str">
        <f>IFERROR(ROUND(L1176*(I1176/$AU1176)/VLOOKUP(H1176,商品!$A$4:$B$60,2,FALSE),0),"")</f>
        <v/>
      </c>
      <c r="AN1176">
        <f>IFERROR(ROUND(L1176*(J1176/$AU1176)/VLOOKUP("运力",商品!$A$4:$B$60,2,FALSE),0),0)</f>
        <v>0</v>
      </c>
      <c r="AO1176">
        <f>IFERROR(ROUND(L1176*(K1176/$AU1176)/VLOOKUP("交易",商品!$A$4:$B$60,2,FALSE),0),0)</f>
        <v>0</v>
      </c>
      <c r="AP1176" t="str">
        <f>IFERROR(ROUND(S1176*(N1176/$AV1176)/VLOOKUP(M1176,职业!$A$4:$G$16,4,FALSE),0),"")</f>
        <v/>
      </c>
      <c r="AQ1176" t="str">
        <f>IFERROR(ROUND(S1176*(P1176/$AV1176)/VLOOKUP(O1176,职业!$A$4:$G$16,4,FALSE),0),"")</f>
        <v/>
      </c>
      <c r="AR1176" t="str">
        <f>IFERROR(ROUND(S1176*(R1176/$AV1176)/VLOOKUP(Q1176,职业!$A$4:$G$16,4,FALSE),0),"")</f>
        <v/>
      </c>
      <c r="AS1176" t="str">
        <f>IFERROR(ROUND(X1176*(U1176/$AW1176)/VLOOKUP(T1176,商品!$A$4:$B$60,2,FALSE),0),"")</f>
        <v/>
      </c>
      <c r="AT1176" t="str">
        <f>IFERROR(ROUND(X1176*(W1176/$AW1176)/VLOOKUP(V1176,商品!$A$4:$B$60,2,FALSE),0),"")</f>
        <v/>
      </c>
      <c r="AU1176">
        <f t="shared" si="333"/>
        <v>0</v>
      </c>
      <c r="AV1176">
        <f t="shared" si="334"/>
        <v>0</v>
      </c>
      <c r="AW1176">
        <f t="shared" si="335"/>
        <v>0</v>
      </c>
    </row>
    <row r="1177" spans="1:49" ht="19.95" customHeight="1" x14ac:dyDescent="0.25">
      <c r="A1177" s="15" t="s">
        <v>431</v>
      </c>
      <c r="C1177" s="15">
        <v>6</v>
      </c>
      <c r="D1177" s="23" t="s">
        <v>174</v>
      </c>
      <c r="E1177" s="23" t="s">
        <v>179</v>
      </c>
      <c r="L1177" s="16">
        <f>IFERROR(VLOOKUP($D1177&amp;$C1177,生产方式定位!$A$2:$E$38,2,FALSE)+VLOOKUP($E1177&amp;$C1177,生产方式定位!$F$3:$J$38,2,FALSE),0)</f>
        <v>0</v>
      </c>
      <c r="S1177" s="16">
        <f>IFERROR(VLOOKUP($D1177&amp;$C1177,生产方式定位!$A$2:$E$38,3,FALSE)+VLOOKUP($E1177&amp;$C1177,生产方式定位!$F$3:$J$38,3,FALSE),0)</f>
        <v>100</v>
      </c>
      <c r="X1177" s="16">
        <f>IFERROR(VLOOKUP($D1177&amp;$C1177,生产方式定位!$A$2:$E$38,5,FALSE)+VLOOKUP($E1177&amp;$C1177,生产方式定位!$F$3:$J$38,5,FALSE),"错误")</f>
        <v>100</v>
      </c>
      <c r="Y1177" s="26" t="str">
        <f t="shared" si="320"/>
        <v/>
      </c>
      <c r="Z1177" s="36" t="str">
        <f t="shared" si="321"/>
        <v/>
      </c>
      <c r="AA1177" s="36" t="str">
        <f t="shared" si="322"/>
        <v/>
      </c>
      <c r="AB1177" s="27" t="str">
        <f t="shared" si="323"/>
        <v/>
      </c>
      <c r="AC1177" s="2" t="str">
        <f t="shared" si="324"/>
        <v/>
      </c>
      <c r="AD1177" s="37">
        <f t="shared" si="325"/>
        <v>6</v>
      </c>
      <c r="AE1177" t="str">
        <f t="shared" si="326"/>
        <v/>
      </c>
      <c r="AF1177" t="str">
        <f t="shared" si="327"/>
        <v/>
      </c>
      <c r="AG1177" t="str">
        <f t="shared" si="328"/>
        <v/>
      </c>
      <c r="AH1177" t="str">
        <f t="shared" si="329"/>
        <v/>
      </c>
      <c r="AI1177" t="str">
        <f t="shared" si="330"/>
        <v/>
      </c>
      <c r="AJ1177" t="str">
        <f t="shared" si="331"/>
        <v/>
      </c>
      <c r="AK1177" t="str">
        <f t="shared" si="332"/>
        <v/>
      </c>
      <c r="AL1177" t="str">
        <f>IFERROR(ROUND(L1177*(G1177/$AU1177)/VLOOKUP(F1177,商品!$A$4:$B$60,2,FALSE),0),"")</f>
        <v/>
      </c>
      <c r="AM1177" t="str">
        <f>IFERROR(ROUND(L1177*(I1177/$AU1177)/VLOOKUP(H1177,商品!$A$4:$B$60,2,FALSE),0),"")</f>
        <v/>
      </c>
      <c r="AN1177">
        <f>IFERROR(ROUND(L1177*(J1177/$AU1177)/VLOOKUP("运力",商品!$A$4:$B$60,2,FALSE),0),0)</f>
        <v>0</v>
      </c>
      <c r="AO1177">
        <f>IFERROR(ROUND(L1177*(K1177/$AU1177)/VLOOKUP("交易",商品!$A$4:$B$60,2,FALSE),0),0)</f>
        <v>0</v>
      </c>
      <c r="AP1177" t="str">
        <f>IFERROR(ROUND(S1177*(N1177/$AV1177)/VLOOKUP(M1177,职业!$A$4:$G$16,4,FALSE),0),"")</f>
        <v/>
      </c>
      <c r="AQ1177" t="str">
        <f>IFERROR(ROUND(S1177*(P1177/$AV1177)/VLOOKUP(O1177,职业!$A$4:$G$16,4,FALSE),0),"")</f>
        <v/>
      </c>
      <c r="AR1177" t="str">
        <f>IFERROR(ROUND(S1177*(R1177/$AV1177)/VLOOKUP(Q1177,职业!$A$4:$G$16,4,FALSE),0),"")</f>
        <v/>
      </c>
      <c r="AS1177" t="str">
        <f>IFERROR(ROUND(X1177*(U1177/$AW1177)/VLOOKUP(T1177,商品!$A$4:$B$60,2,FALSE),0),"")</f>
        <v/>
      </c>
      <c r="AT1177" t="str">
        <f>IFERROR(ROUND(X1177*(W1177/$AW1177)/VLOOKUP(V1177,商品!$A$4:$B$60,2,FALSE),0),"")</f>
        <v/>
      </c>
      <c r="AU1177">
        <f t="shared" si="333"/>
        <v>0</v>
      </c>
      <c r="AV1177">
        <f t="shared" si="334"/>
        <v>0</v>
      </c>
      <c r="AW1177">
        <f t="shared" si="335"/>
        <v>0</v>
      </c>
    </row>
    <row r="1178" spans="1:49" ht="19.95" customHeight="1" x14ac:dyDescent="0.25">
      <c r="A1178" s="15" t="s">
        <v>431</v>
      </c>
      <c r="C1178" s="15">
        <v>7</v>
      </c>
      <c r="D1178" s="23" t="s">
        <v>174</v>
      </c>
      <c r="E1178" s="23" t="s">
        <v>179</v>
      </c>
      <c r="L1178" s="16">
        <f>IFERROR(VLOOKUP($D1178&amp;$C1178,生产方式定位!$A$2:$E$38,2,FALSE)+VLOOKUP($E1178&amp;$C1178,生产方式定位!$F$3:$J$38,2,FALSE),0)</f>
        <v>0</v>
      </c>
      <c r="S1178" s="16">
        <f>IFERROR(VLOOKUP($D1178&amp;$C1178,生产方式定位!$A$2:$E$38,3,FALSE)+VLOOKUP($E1178&amp;$C1178,生产方式定位!$F$3:$J$38,3,FALSE),0)</f>
        <v>100</v>
      </c>
      <c r="X1178" s="16">
        <f>IFERROR(VLOOKUP($D1178&amp;$C1178,生产方式定位!$A$2:$E$38,5,FALSE)+VLOOKUP($E1178&amp;$C1178,生产方式定位!$F$3:$J$38,5,FALSE),"错误")</f>
        <v>100</v>
      </c>
      <c r="Y1178" s="26" t="str">
        <f t="shared" si="320"/>
        <v/>
      </c>
      <c r="Z1178" s="36" t="str">
        <f t="shared" si="321"/>
        <v/>
      </c>
      <c r="AA1178" s="36" t="str">
        <f t="shared" si="322"/>
        <v/>
      </c>
      <c r="AB1178" s="27" t="str">
        <f t="shared" si="323"/>
        <v/>
      </c>
      <c r="AC1178" s="2" t="str">
        <f t="shared" si="324"/>
        <v/>
      </c>
      <c r="AD1178" s="37">
        <f t="shared" si="325"/>
        <v>7</v>
      </c>
      <c r="AE1178" t="str">
        <f t="shared" si="326"/>
        <v/>
      </c>
      <c r="AF1178" t="str">
        <f t="shared" si="327"/>
        <v/>
      </c>
      <c r="AG1178" t="str">
        <f t="shared" si="328"/>
        <v/>
      </c>
      <c r="AH1178" t="str">
        <f t="shared" si="329"/>
        <v/>
      </c>
      <c r="AI1178" t="str">
        <f t="shared" si="330"/>
        <v/>
      </c>
      <c r="AJ1178" t="str">
        <f t="shared" si="331"/>
        <v/>
      </c>
      <c r="AK1178" t="str">
        <f t="shared" si="332"/>
        <v/>
      </c>
      <c r="AL1178" t="str">
        <f>IFERROR(ROUND(L1178*(G1178/$AU1178)/VLOOKUP(F1178,商品!$A$4:$B$60,2,FALSE),0),"")</f>
        <v/>
      </c>
      <c r="AM1178" t="str">
        <f>IFERROR(ROUND(L1178*(I1178/$AU1178)/VLOOKUP(H1178,商品!$A$4:$B$60,2,FALSE),0),"")</f>
        <v/>
      </c>
      <c r="AN1178">
        <f>IFERROR(ROUND(L1178*(J1178/$AU1178)/VLOOKUP("运力",商品!$A$4:$B$60,2,FALSE),0),0)</f>
        <v>0</v>
      </c>
      <c r="AO1178">
        <f>IFERROR(ROUND(L1178*(K1178/$AU1178)/VLOOKUP("交易",商品!$A$4:$B$60,2,FALSE),0),0)</f>
        <v>0</v>
      </c>
      <c r="AP1178" t="str">
        <f>IFERROR(ROUND(S1178*(N1178/$AV1178)/VLOOKUP(M1178,职业!$A$4:$G$16,4,FALSE),0),"")</f>
        <v/>
      </c>
      <c r="AQ1178" t="str">
        <f>IFERROR(ROUND(S1178*(P1178/$AV1178)/VLOOKUP(O1178,职业!$A$4:$G$16,4,FALSE),0),"")</f>
        <v/>
      </c>
      <c r="AR1178" t="str">
        <f>IFERROR(ROUND(S1178*(R1178/$AV1178)/VLOOKUP(Q1178,职业!$A$4:$G$16,4,FALSE),0),"")</f>
        <v/>
      </c>
      <c r="AS1178" t="str">
        <f>IFERROR(ROUND(X1178*(U1178/$AW1178)/VLOOKUP(T1178,商品!$A$4:$B$60,2,FALSE),0),"")</f>
        <v/>
      </c>
      <c r="AT1178" t="str">
        <f>IFERROR(ROUND(X1178*(W1178/$AW1178)/VLOOKUP(V1178,商品!$A$4:$B$60,2,FALSE),0),"")</f>
        <v/>
      </c>
      <c r="AU1178">
        <f t="shared" si="333"/>
        <v>0</v>
      </c>
      <c r="AV1178">
        <f t="shared" si="334"/>
        <v>0</v>
      </c>
      <c r="AW1178">
        <f t="shared" si="335"/>
        <v>0</v>
      </c>
    </row>
    <row r="1179" spans="1:49" ht="19.95" customHeight="1" x14ac:dyDescent="0.25">
      <c r="A1179" s="15" t="s">
        <v>431</v>
      </c>
      <c r="C1179" s="15">
        <v>8</v>
      </c>
      <c r="D1179" s="23" t="s">
        <v>174</v>
      </c>
      <c r="E1179" s="23" t="s">
        <v>179</v>
      </c>
      <c r="L1179" s="16">
        <f>IFERROR(VLOOKUP($D1179&amp;$C1179,生产方式定位!$A$2:$E$38,2,FALSE)+VLOOKUP($E1179&amp;$C1179,生产方式定位!$F$3:$J$38,2,FALSE),0)</f>
        <v>0</v>
      </c>
      <c r="S1179" s="16">
        <f>IFERROR(VLOOKUP($D1179&amp;$C1179,生产方式定位!$A$2:$E$38,3,FALSE)+VLOOKUP($E1179&amp;$C1179,生产方式定位!$F$3:$J$38,3,FALSE),0)</f>
        <v>100</v>
      </c>
      <c r="X1179" s="16">
        <f>IFERROR(VLOOKUP($D1179&amp;$C1179,生产方式定位!$A$2:$E$38,5,FALSE)+VLOOKUP($E1179&amp;$C1179,生产方式定位!$F$3:$J$38,5,FALSE),"错误")</f>
        <v>100</v>
      </c>
      <c r="Y1179" s="26" t="str">
        <f t="shared" si="320"/>
        <v/>
      </c>
      <c r="Z1179" s="36" t="str">
        <f t="shared" si="321"/>
        <v/>
      </c>
      <c r="AA1179" s="36" t="str">
        <f t="shared" si="322"/>
        <v/>
      </c>
      <c r="AB1179" s="27" t="str">
        <f t="shared" si="323"/>
        <v/>
      </c>
      <c r="AC1179" s="2" t="str">
        <f t="shared" si="324"/>
        <v/>
      </c>
      <c r="AD1179" s="37">
        <f t="shared" si="325"/>
        <v>8</v>
      </c>
      <c r="AE1179" t="str">
        <f t="shared" si="326"/>
        <v/>
      </c>
      <c r="AF1179" t="str">
        <f t="shared" si="327"/>
        <v/>
      </c>
      <c r="AG1179" t="str">
        <f t="shared" si="328"/>
        <v/>
      </c>
      <c r="AH1179" t="str">
        <f t="shared" si="329"/>
        <v/>
      </c>
      <c r="AI1179" t="str">
        <f t="shared" si="330"/>
        <v/>
      </c>
      <c r="AJ1179" t="str">
        <f t="shared" si="331"/>
        <v/>
      </c>
      <c r="AK1179" t="str">
        <f t="shared" si="332"/>
        <v/>
      </c>
      <c r="AL1179" t="str">
        <f>IFERROR(ROUND(L1179*(G1179/$AU1179)/VLOOKUP(F1179,商品!$A$4:$B$60,2,FALSE),0),"")</f>
        <v/>
      </c>
      <c r="AM1179" t="str">
        <f>IFERROR(ROUND(L1179*(I1179/$AU1179)/VLOOKUP(H1179,商品!$A$4:$B$60,2,FALSE),0),"")</f>
        <v/>
      </c>
      <c r="AN1179">
        <f>IFERROR(ROUND(L1179*(J1179/$AU1179)/VLOOKUP("运力",商品!$A$4:$B$60,2,FALSE),0),0)</f>
        <v>0</v>
      </c>
      <c r="AO1179">
        <f>IFERROR(ROUND(L1179*(K1179/$AU1179)/VLOOKUP("交易",商品!$A$4:$B$60,2,FALSE),0),0)</f>
        <v>0</v>
      </c>
      <c r="AP1179" t="str">
        <f>IFERROR(ROUND(S1179*(N1179/$AV1179)/VLOOKUP(M1179,职业!$A$4:$G$16,4,FALSE),0),"")</f>
        <v/>
      </c>
      <c r="AQ1179" t="str">
        <f>IFERROR(ROUND(S1179*(P1179/$AV1179)/VLOOKUP(O1179,职业!$A$4:$G$16,4,FALSE),0),"")</f>
        <v/>
      </c>
      <c r="AR1179" t="str">
        <f>IFERROR(ROUND(S1179*(R1179/$AV1179)/VLOOKUP(Q1179,职业!$A$4:$G$16,4,FALSE),0),"")</f>
        <v/>
      </c>
      <c r="AS1179" t="str">
        <f>IFERROR(ROUND(X1179*(U1179/$AW1179)/VLOOKUP(T1179,商品!$A$4:$B$60,2,FALSE),0),"")</f>
        <v/>
      </c>
      <c r="AT1179" t="str">
        <f>IFERROR(ROUND(X1179*(W1179/$AW1179)/VLOOKUP(V1179,商品!$A$4:$B$60,2,FALSE),0),"")</f>
        <v/>
      </c>
      <c r="AU1179">
        <f t="shared" si="333"/>
        <v>0</v>
      </c>
      <c r="AV1179">
        <f t="shared" si="334"/>
        <v>0</v>
      </c>
      <c r="AW1179">
        <f t="shared" si="335"/>
        <v>0</v>
      </c>
    </row>
    <row r="1180" spans="1:49" ht="19.95" customHeight="1" x14ac:dyDescent="0.25">
      <c r="A1180" s="16" t="s">
        <v>433</v>
      </c>
      <c r="C1180" s="16">
        <v>1</v>
      </c>
      <c r="D1180" s="23" t="s">
        <v>171</v>
      </c>
      <c r="E1180" s="23" t="s">
        <v>172</v>
      </c>
      <c r="L1180" s="15">
        <f>IFERROR(VLOOKUP($D1180&amp;$C1180,生产方式定位!$A$2:$E$38,2,FALSE)+VLOOKUP($E1180&amp;$C1180,生产方式定位!$F$3:$J$38,2,FALSE),0)</f>
        <v>300</v>
      </c>
      <c r="S1180" s="15">
        <f>IFERROR(VLOOKUP($D1180&amp;$C1180,生产方式定位!$A$2:$E$38,3,FALSE)+VLOOKUP($E1180&amp;$C1180,生产方式定位!$F$3:$J$38,3,FALSE),0)</f>
        <v>100</v>
      </c>
      <c r="X1180" s="15">
        <f>IFERROR(VLOOKUP($D1180&amp;$C1180,生产方式定位!$A$2:$E$38,5,FALSE)+VLOOKUP($E1180&amp;$C1180,生产方式定位!$F$3:$J$38,5,FALSE),"错误")</f>
        <v>520</v>
      </c>
      <c r="Y1180" s="26" t="str">
        <f t="shared" si="320"/>
        <v/>
      </c>
      <c r="Z1180" s="36" t="str">
        <f t="shared" si="321"/>
        <v/>
      </c>
      <c r="AA1180" s="36" t="str">
        <f t="shared" si="322"/>
        <v/>
      </c>
      <c r="AB1180" s="27" t="str">
        <f t="shared" si="323"/>
        <v>73%</v>
      </c>
      <c r="AC1180" s="2">
        <f t="shared" si="324"/>
        <v>120</v>
      </c>
      <c r="AD1180" s="37">
        <f t="shared" si="325"/>
        <v>1</v>
      </c>
      <c r="AE1180" t="str">
        <f t="shared" si="326"/>
        <v/>
      </c>
      <c r="AF1180" t="str">
        <f t="shared" si="327"/>
        <v/>
      </c>
      <c r="AG1180" t="str">
        <f t="shared" si="328"/>
        <v/>
      </c>
      <c r="AH1180" t="str">
        <f t="shared" si="329"/>
        <v/>
      </c>
      <c r="AI1180" t="str">
        <f t="shared" si="330"/>
        <v/>
      </c>
      <c r="AJ1180" t="str">
        <f t="shared" si="331"/>
        <v/>
      </c>
      <c r="AK1180" t="str">
        <f t="shared" si="332"/>
        <v/>
      </c>
      <c r="AL1180" t="str">
        <f>IFERROR(ROUND(L1180*(G1180/$AU1180)/VLOOKUP(F1180,商品!$A$4:$B$60,2,FALSE),0),"")</f>
        <v/>
      </c>
      <c r="AM1180" t="str">
        <f>IFERROR(ROUND(L1180*(I1180/$AU1180)/VLOOKUP(H1180,商品!$A$4:$B$60,2,FALSE),0),"")</f>
        <v/>
      </c>
      <c r="AN1180">
        <f>IFERROR(ROUND(L1180*(J1180/$AU1180)/VLOOKUP("运力",商品!$A$4:$B$60,2,FALSE),0),0)</f>
        <v>0</v>
      </c>
      <c r="AO1180">
        <f>IFERROR(ROUND(L1180*(K1180/$AU1180)/VLOOKUP("交易",商品!$A$4:$B$60,2,FALSE),0),0)</f>
        <v>0</v>
      </c>
      <c r="AP1180" t="str">
        <f>IFERROR(ROUND(S1180*(N1180/$AV1180)/VLOOKUP(M1180,职业!$A$4:$G$16,4,FALSE),0),"")</f>
        <v/>
      </c>
      <c r="AQ1180" t="str">
        <f>IFERROR(ROUND(S1180*(P1180/$AV1180)/VLOOKUP(O1180,职业!$A$4:$G$16,4,FALSE),0),"")</f>
        <v/>
      </c>
      <c r="AR1180" t="str">
        <f>IFERROR(ROUND(S1180*(R1180/$AV1180)/VLOOKUP(Q1180,职业!$A$4:$G$16,4,FALSE),0),"")</f>
        <v/>
      </c>
      <c r="AS1180" t="str">
        <f>IFERROR(ROUND(X1180*(U1180/$AW1180)/VLOOKUP(T1180,商品!$A$4:$B$60,2,FALSE),0),"")</f>
        <v/>
      </c>
      <c r="AT1180" t="str">
        <f>IFERROR(ROUND(X1180*(W1180/$AW1180)/VLOOKUP(V1180,商品!$A$4:$B$60,2,FALSE),0),"")</f>
        <v/>
      </c>
      <c r="AU1180">
        <f t="shared" si="333"/>
        <v>0</v>
      </c>
      <c r="AV1180">
        <f t="shared" si="334"/>
        <v>0</v>
      </c>
      <c r="AW1180">
        <f t="shared" si="335"/>
        <v>0</v>
      </c>
    </row>
    <row r="1181" spans="1:49" ht="19.95" customHeight="1" x14ac:dyDescent="0.25">
      <c r="A1181" s="16" t="s">
        <v>433</v>
      </c>
      <c r="C1181" s="16">
        <v>2</v>
      </c>
      <c r="D1181" s="23" t="s">
        <v>171</v>
      </c>
      <c r="E1181" s="23" t="s">
        <v>172</v>
      </c>
      <c r="L1181" s="15">
        <f>IFERROR(VLOOKUP($D1181&amp;$C1181,生产方式定位!$A$2:$E$38,2,FALSE)+VLOOKUP($E1181&amp;$C1181,生产方式定位!$F$3:$J$38,2,FALSE),0)</f>
        <v>1100</v>
      </c>
      <c r="S1181" s="15">
        <f>IFERROR(VLOOKUP($D1181&amp;$C1181,生产方式定位!$A$2:$E$38,3,FALSE)+VLOOKUP($E1181&amp;$C1181,生产方式定位!$F$3:$J$38,3,FALSE),0)</f>
        <v>100</v>
      </c>
      <c r="X1181" s="15">
        <f>IFERROR(VLOOKUP($D1181&amp;$C1181,生产方式定位!$A$2:$E$38,5,FALSE)+VLOOKUP($E1181&amp;$C1181,生产方式定位!$F$3:$J$38,5,FALSE),"错误")</f>
        <v>1510</v>
      </c>
      <c r="Y1181" s="26" t="str">
        <f t="shared" si="320"/>
        <v/>
      </c>
      <c r="Z1181" s="36" t="str">
        <f t="shared" si="321"/>
        <v/>
      </c>
      <c r="AA1181" s="36" t="str">
        <f t="shared" si="322"/>
        <v/>
      </c>
      <c r="AB1181" s="27" t="str">
        <f t="shared" si="323"/>
        <v>37%</v>
      </c>
      <c r="AC1181" s="2">
        <f t="shared" si="324"/>
        <v>310</v>
      </c>
      <c r="AD1181" s="37">
        <f t="shared" si="325"/>
        <v>2</v>
      </c>
      <c r="AE1181" t="str">
        <f t="shared" si="326"/>
        <v/>
      </c>
      <c r="AF1181" t="str">
        <f t="shared" si="327"/>
        <v/>
      </c>
      <c r="AG1181" t="str">
        <f t="shared" si="328"/>
        <v/>
      </c>
      <c r="AH1181" t="str">
        <f t="shared" si="329"/>
        <v/>
      </c>
      <c r="AI1181" t="str">
        <f t="shared" si="330"/>
        <v/>
      </c>
      <c r="AJ1181" t="str">
        <f t="shared" si="331"/>
        <v/>
      </c>
      <c r="AK1181" t="str">
        <f t="shared" si="332"/>
        <v/>
      </c>
      <c r="AL1181" t="str">
        <f>IFERROR(ROUND(L1181*(G1181/$AU1181)/VLOOKUP(F1181,商品!$A$4:$B$60,2,FALSE),0),"")</f>
        <v/>
      </c>
      <c r="AM1181" t="str">
        <f>IFERROR(ROUND(L1181*(I1181/$AU1181)/VLOOKUP(H1181,商品!$A$4:$B$60,2,FALSE),0),"")</f>
        <v/>
      </c>
      <c r="AN1181">
        <f>IFERROR(ROUND(L1181*(J1181/$AU1181)/VLOOKUP("运力",商品!$A$4:$B$60,2,FALSE),0),0)</f>
        <v>0</v>
      </c>
      <c r="AO1181">
        <f>IFERROR(ROUND(L1181*(K1181/$AU1181)/VLOOKUP("交易",商品!$A$4:$B$60,2,FALSE),0),0)</f>
        <v>0</v>
      </c>
      <c r="AP1181" t="str">
        <f>IFERROR(ROUND(S1181*(N1181/$AV1181)/VLOOKUP(M1181,职业!$A$4:$G$16,4,FALSE),0),"")</f>
        <v/>
      </c>
      <c r="AQ1181" t="str">
        <f>IFERROR(ROUND(S1181*(P1181/$AV1181)/VLOOKUP(O1181,职业!$A$4:$G$16,4,FALSE),0),"")</f>
        <v/>
      </c>
      <c r="AR1181" t="str">
        <f>IFERROR(ROUND(S1181*(R1181/$AV1181)/VLOOKUP(Q1181,职业!$A$4:$G$16,4,FALSE),0),"")</f>
        <v/>
      </c>
      <c r="AS1181" t="str">
        <f>IFERROR(ROUND(X1181*(U1181/$AW1181)/VLOOKUP(T1181,商品!$A$4:$B$60,2,FALSE),0),"")</f>
        <v/>
      </c>
      <c r="AT1181" t="str">
        <f>IFERROR(ROUND(X1181*(W1181/$AW1181)/VLOOKUP(V1181,商品!$A$4:$B$60,2,FALSE),0),"")</f>
        <v/>
      </c>
      <c r="AU1181">
        <f t="shared" si="333"/>
        <v>0</v>
      </c>
      <c r="AV1181">
        <f t="shared" si="334"/>
        <v>0</v>
      </c>
      <c r="AW1181">
        <f t="shared" si="335"/>
        <v>0</v>
      </c>
    </row>
    <row r="1182" spans="1:49" ht="19.95" customHeight="1" x14ac:dyDescent="0.25">
      <c r="A1182" s="16" t="s">
        <v>433</v>
      </c>
      <c r="C1182" s="16">
        <v>3</v>
      </c>
      <c r="D1182" s="23" t="s">
        <v>171</v>
      </c>
      <c r="E1182" s="23" t="s">
        <v>172</v>
      </c>
      <c r="L1182" s="15">
        <f>IFERROR(VLOOKUP($D1182&amp;$C1182,生产方式定位!$A$2:$E$38,2,FALSE)+VLOOKUP($E1182&amp;$C1182,生产方式定位!$F$3:$J$38,2,FALSE),0)</f>
        <v>1525</v>
      </c>
      <c r="S1182" s="15">
        <f>IFERROR(VLOOKUP($D1182&amp;$C1182,生产方式定位!$A$2:$E$38,3,FALSE)+VLOOKUP($E1182&amp;$C1182,生产方式定位!$F$3:$J$38,3,FALSE),0)</f>
        <v>100</v>
      </c>
      <c r="X1182" s="15">
        <f>IFERROR(VLOOKUP($D1182&amp;$C1182,生产方式定位!$A$2:$E$38,5,FALSE)+VLOOKUP($E1182&amp;$C1182,生产方式定位!$F$3:$J$38,5,FALSE),"错误")</f>
        <v>2050</v>
      </c>
      <c r="Y1182" s="26" t="str">
        <f t="shared" si="320"/>
        <v/>
      </c>
      <c r="Z1182" s="36" t="str">
        <f t="shared" si="321"/>
        <v/>
      </c>
      <c r="AA1182" s="36" t="str">
        <f t="shared" si="322"/>
        <v/>
      </c>
      <c r="AB1182" s="27" t="str">
        <f t="shared" si="323"/>
        <v>34%</v>
      </c>
      <c r="AC1182" s="2">
        <f t="shared" si="324"/>
        <v>425</v>
      </c>
      <c r="AD1182" s="38">
        <f t="shared" si="325"/>
        <v>3</v>
      </c>
      <c r="AE1182" t="str">
        <f t="shared" si="326"/>
        <v/>
      </c>
      <c r="AF1182" t="str">
        <f t="shared" si="327"/>
        <v/>
      </c>
      <c r="AG1182" t="str">
        <f t="shared" si="328"/>
        <v/>
      </c>
      <c r="AH1182" t="str">
        <f t="shared" si="329"/>
        <v/>
      </c>
      <c r="AI1182" t="str">
        <f t="shared" si="330"/>
        <v/>
      </c>
      <c r="AJ1182" t="str">
        <f t="shared" si="331"/>
        <v/>
      </c>
      <c r="AK1182" t="str">
        <f t="shared" si="332"/>
        <v/>
      </c>
      <c r="AL1182" t="str">
        <f>IFERROR(ROUND(L1182*(G1182/$AU1182)/VLOOKUP(F1182,商品!$A$4:$B$60,2,FALSE),0),"")</f>
        <v/>
      </c>
      <c r="AM1182" t="str">
        <f>IFERROR(ROUND(L1182*(I1182/$AU1182)/VLOOKUP(H1182,商品!$A$4:$B$60,2,FALSE),0),"")</f>
        <v/>
      </c>
      <c r="AN1182">
        <f>IFERROR(ROUND(L1182*(J1182/$AU1182)/VLOOKUP("运力",商品!$A$4:$B$60,2,FALSE),0),0)</f>
        <v>0</v>
      </c>
      <c r="AO1182">
        <f>IFERROR(ROUND(L1182*(K1182/$AU1182)/VLOOKUP("交易",商品!$A$4:$B$60,2,FALSE),0),0)</f>
        <v>0</v>
      </c>
      <c r="AP1182" t="str">
        <f>IFERROR(ROUND(S1182*(N1182/$AV1182)/VLOOKUP(M1182,职业!$A$4:$G$16,4,FALSE),0),"")</f>
        <v/>
      </c>
      <c r="AQ1182" t="str">
        <f>IFERROR(ROUND(S1182*(P1182/$AV1182)/VLOOKUP(O1182,职业!$A$4:$G$16,4,FALSE),0),"")</f>
        <v/>
      </c>
      <c r="AR1182" t="str">
        <f>IFERROR(ROUND(S1182*(R1182/$AV1182)/VLOOKUP(Q1182,职业!$A$4:$G$16,4,FALSE),0),"")</f>
        <v/>
      </c>
      <c r="AS1182" t="str">
        <f>IFERROR(ROUND(X1182*(U1182/$AW1182)/VLOOKUP(T1182,商品!$A$4:$B$60,2,FALSE),0),"")</f>
        <v/>
      </c>
      <c r="AT1182" t="str">
        <f>IFERROR(ROUND(X1182*(W1182/$AW1182)/VLOOKUP(V1182,商品!$A$4:$B$60,2,FALSE),0),"")</f>
        <v/>
      </c>
      <c r="AU1182">
        <f t="shared" si="333"/>
        <v>0</v>
      </c>
      <c r="AV1182">
        <f t="shared" si="334"/>
        <v>0</v>
      </c>
      <c r="AW1182">
        <f t="shared" si="335"/>
        <v>0</v>
      </c>
    </row>
    <row r="1183" spans="1:49" ht="19.95" customHeight="1" x14ac:dyDescent="0.25">
      <c r="A1183" s="16" t="s">
        <v>433</v>
      </c>
      <c r="C1183" s="16">
        <v>4</v>
      </c>
      <c r="D1183" s="23" t="s">
        <v>171</v>
      </c>
      <c r="E1183" s="23" t="s">
        <v>172</v>
      </c>
      <c r="L1183" s="15">
        <f>IFERROR(VLOOKUP($D1183&amp;$C1183,生产方式定位!$A$2:$E$38,2,FALSE)+VLOOKUP($E1183&amp;$C1183,生产方式定位!$F$3:$J$38,2,FALSE),0)</f>
        <v>1950</v>
      </c>
      <c r="S1183" s="15">
        <f>IFERROR(VLOOKUP($D1183&amp;$C1183,生产方式定位!$A$2:$E$38,3,FALSE)+VLOOKUP($E1183&amp;$C1183,生产方式定位!$F$3:$J$38,3,FALSE),0)</f>
        <v>100</v>
      </c>
      <c r="X1183" s="15">
        <f>IFERROR(VLOOKUP($D1183&amp;$C1183,生产方式定位!$A$2:$E$38,5,FALSE)+VLOOKUP($E1183&amp;$C1183,生产方式定位!$F$3:$J$38,5,FALSE),"错误")</f>
        <v>2590</v>
      </c>
      <c r="Y1183" s="26" t="str">
        <f t="shared" si="320"/>
        <v/>
      </c>
      <c r="Z1183" s="36" t="str">
        <f t="shared" si="321"/>
        <v/>
      </c>
      <c r="AA1183" s="36" t="str">
        <f t="shared" si="322"/>
        <v/>
      </c>
      <c r="AB1183" s="27" t="str">
        <f t="shared" si="323"/>
        <v>33%</v>
      </c>
      <c r="AC1183" s="2">
        <f t="shared" si="324"/>
        <v>540</v>
      </c>
      <c r="AD1183" s="38">
        <f t="shared" si="325"/>
        <v>4</v>
      </c>
      <c r="AE1183" t="str">
        <f t="shared" si="326"/>
        <v/>
      </c>
      <c r="AF1183" t="str">
        <f t="shared" si="327"/>
        <v/>
      </c>
      <c r="AG1183" t="str">
        <f t="shared" si="328"/>
        <v/>
      </c>
      <c r="AH1183" t="str">
        <f t="shared" si="329"/>
        <v/>
      </c>
      <c r="AI1183" t="str">
        <f t="shared" si="330"/>
        <v/>
      </c>
      <c r="AJ1183" t="str">
        <f t="shared" si="331"/>
        <v/>
      </c>
      <c r="AK1183" t="str">
        <f t="shared" si="332"/>
        <v/>
      </c>
      <c r="AL1183" t="str">
        <f>IFERROR(ROUND(L1183*(G1183/$AU1183)/VLOOKUP(F1183,商品!$A$4:$B$60,2,FALSE),0),"")</f>
        <v/>
      </c>
      <c r="AM1183" t="str">
        <f>IFERROR(ROUND(L1183*(I1183/$AU1183)/VLOOKUP(H1183,商品!$A$4:$B$60,2,FALSE),0),"")</f>
        <v/>
      </c>
      <c r="AN1183">
        <f>IFERROR(ROUND(L1183*(J1183/$AU1183)/VLOOKUP("运力",商品!$A$4:$B$60,2,FALSE),0),0)</f>
        <v>0</v>
      </c>
      <c r="AO1183">
        <f>IFERROR(ROUND(L1183*(K1183/$AU1183)/VLOOKUP("交易",商品!$A$4:$B$60,2,FALSE),0),0)</f>
        <v>0</v>
      </c>
      <c r="AP1183" t="str">
        <f>IFERROR(ROUND(S1183*(N1183/$AV1183)/VLOOKUP(M1183,职业!$A$4:$G$16,4,FALSE),0),"")</f>
        <v/>
      </c>
      <c r="AQ1183" t="str">
        <f>IFERROR(ROUND(S1183*(P1183/$AV1183)/VLOOKUP(O1183,职业!$A$4:$G$16,4,FALSE),0),"")</f>
        <v/>
      </c>
      <c r="AR1183" t="str">
        <f>IFERROR(ROUND(S1183*(R1183/$AV1183)/VLOOKUP(Q1183,职业!$A$4:$G$16,4,FALSE),0),"")</f>
        <v/>
      </c>
      <c r="AS1183" t="str">
        <f>IFERROR(ROUND(X1183*(U1183/$AW1183)/VLOOKUP(T1183,商品!$A$4:$B$60,2,FALSE),0),"")</f>
        <v/>
      </c>
      <c r="AT1183" t="str">
        <f>IFERROR(ROUND(X1183*(W1183/$AW1183)/VLOOKUP(V1183,商品!$A$4:$B$60,2,FALSE),0),"")</f>
        <v/>
      </c>
      <c r="AU1183">
        <f t="shared" si="333"/>
        <v>0</v>
      </c>
      <c r="AV1183">
        <f t="shared" si="334"/>
        <v>0</v>
      </c>
      <c r="AW1183">
        <f t="shared" si="335"/>
        <v>0</v>
      </c>
    </row>
    <row r="1184" spans="1:49" ht="19.95" customHeight="1" x14ac:dyDescent="0.25">
      <c r="A1184" s="16" t="s">
        <v>433</v>
      </c>
      <c r="C1184" s="16">
        <v>5</v>
      </c>
      <c r="D1184" s="23" t="s">
        <v>171</v>
      </c>
      <c r="E1184" s="23" t="s">
        <v>172</v>
      </c>
      <c r="L1184" s="15">
        <f>IFERROR(VLOOKUP($D1184&amp;$C1184,生产方式定位!$A$2:$E$38,2,FALSE)+VLOOKUP($E1184&amp;$C1184,生产方式定位!$F$3:$J$38,2,FALSE),0)</f>
        <v>2375</v>
      </c>
      <c r="S1184" s="15">
        <f>IFERROR(VLOOKUP($D1184&amp;$C1184,生产方式定位!$A$2:$E$38,3,FALSE)+VLOOKUP($E1184&amp;$C1184,生产方式定位!$F$3:$J$38,3,FALSE),0)</f>
        <v>100</v>
      </c>
      <c r="X1184" s="15">
        <f>IFERROR(VLOOKUP($D1184&amp;$C1184,生产方式定位!$A$2:$E$38,5,FALSE)+VLOOKUP($E1184&amp;$C1184,生产方式定位!$F$3:$J$38,5,FALSE),"错误")</f>
        <v>3130</v>
      </c>
      <c r="Y1184" s="26" t="str">
        <f t="shared" si="320"/>
        <v/>
      </c>
      <c r="Z1184" s="36" t="str">
        <f t="shared" si="321"/>
        <v/>
      </c>
      <c r="AA1184" s="36" t="str">
        <f t="shared" si="322"/>
        <v/>
      </c>
      <c r="AB1184" s="27" t="str">
        <f t="shared" si="323"/>
        <v>32%</v>
      </c>
      <c r="AC1184" s="2">
        <f t="shared" si="324"/>
        <v>655</v>
      </c>
      <c r="AD1184" s="38">
        <f t="shared" si="325"/>
        <v>5</v>
      </c>
      <c r="AE1184" t="str">
        <f t="shared" si="326"/>
        <v/>
      </c>
      <c r="AF1184" t="str">
        <f t="shared" si="327"/>
        <v/>
      </c>
      <c r="AG1184" t="str">
        <f t="shared" si="328"/>
        <v/>
      </c>
      <c r="AH1184" t="str">
        <f t="shared" si="329"/>
        <v/>
      </c>
      <c r="AI1184" t="str">
        <f t="shared" si="330"/>
        <v/>
      </c>
      <c r="AJ1184" t="str">
        <f t="shared" si="331"/>
        <v/>
      </c>
      <c r="AK1184" t="str">
        <f t="shared" si="332"/>
        <v/>
      </c>
      <c r="AL1184" t="str">
        <f>IFERROR(ROUND(L1184*(G1184/$AU1184)/VLOOKUP(F1184,商品!$A$4:$B$60,2,FALSE),0),"")</f>
        <v/>
      </c>
      <c r="AM1184" t="str">
        <f>IFERROR(ROUND(L1184*(I1184/$AU1184)/VLOOKUP(H1184,商品!$A$4:$B$60,2,FALSE),0),"")</f>
        <v/>
      </c>
      <c r="AN1184">
        <f>IFERROR(ROUND(L1184*(J1184/$AU1184)/VLOOKUP("运力",商品!$A$4:$B$60,2,FALSE),0),0)</f>
        <v>0</v>
      </c>
      <c r="AO1184">
        <f>IFERROR(ROUND(L1184*(K1184/$AU1184)/VLOOKUP("交易",商品!$A$4:$B$60,2,FALSE),0),0)</f>
        <v>0</v>
      </c>
      <c r="AP1184" t="str">
        <f>IFERROR(ROUND(S1184*(N1184/$AV1184)/VLOOKUP(M1184,职业!$A$4:$G$16,4,FALSE),0),"")</f>
        <v/>
      </c>
      <c r="AQ1184" t="str">
        <f>IFERROR(ROUND(S1184*(P1184/$AV1184)/VLOOKUP(O1184,职业!$A$4:$G$16,4,FALSE),0),"")</f>
        <v/>
      </c>
      <c r="AR1184" t="str">
        <f>IFERROR(ROUND(S1184*(R1184/$AV1184)/VLOOKUP(Q1184,职业!$A$4:$G$16,4,FALSE),0),"")</f>
        <v/>
      </c>
      <c r="AS1184" t="str">
        <f>IFERROR(ROUND(X1184*(U1184/$AW1184)/VLOOKUP(T1184,商品!$A$4:$B$60,2,FALSE),0),"")</f>
        <v/>
      </c>
      <c r="AT1184" t="str">
        <f>IFERROR(ROUND(X1184*(W1184/$AW1184)/VLOOKUP(V1184,商品!$A$4:$B$60,2,FALSE),0),"")</f>
        <v/>
      </c>
      <c r="AU1184">
        <f t="shared" si="333"/>
        <v>0</v>
      </c>
      <c r="AV1184">
        <f t="shared" si="334"/>
        <v>0</v>
      </c>
      <c r="AW1184">
        <f t="shared" si="335"/>
        <v>0</v>
      </c>
    </row>
    <row r="1185" spans="1:49" ht="19.95" customHeight="1" x14ac:dyDescent="0.25">
      <c r="A1185" s="15" t="s">
        <v>434</v>
      </c>
      <c r="C1185" s="15">
        <v>1</v>
      </c>
      <c r="D1185" s="23" t="s">
        <v>174</v>
      </c>
      <c r="E1185" s="23" t="s">
        <v>175</v>
      </c>
      <c r="L1185" s="16">
        <f>IFERROR(VLOOKUP($D1185&amp;$C1185,生产方式定位!$A$2:$E$38,2,FALSE)+VLOOKUP($E1185&amp;$C1185,生产方式定位!$F$3:$J$38,2,FALSE),0)</f>
        <v>0</v>
      </c>
      <c r="S1185" s="16">
        <f>IFERROR(VLOOKUP($D1185&amp;$C1185,生产方式定位!$A$2:$E$38,3,FALSE)+VLOOKUP($E1185&amp;$C1185,生产方式定位!$F$3:$J$38,3,FALSE),0)</f>
        <v>0</v>
      </c>
      <c r="X1185" s="16">
        <f>IFERROR(VLOOKUP($D1185&amp;$C1185,生产方式定位!$A$2:$E$38,5,FALSE)+VLOOKUP($E1185&amp;$C1185,生产方式定位!$F$3:$J$38,5,FALSE),"错误")</f>
        <v>0</v>
      </c>
      <c r="Y1185" s="26" t="str">
        <f t="shared" si="320"/>
        <v/>
      </c>
      <c r="Z1185" s="36" t="str">
        <f t="shared" si="321"/>
        <v/>
      </c>
      <c r="AA1185" s="36" t="str">
        <f t="shared" si="322"/>
        <v/>
      </c>
      <c r="AB1185" s="27" t="str">
        <f t="shared" si="323"/>
        <v/>
      </c>
      <c r="AC1185" s="2" t="str">
        <f t="shared" si="324"/>
        <v/>
      </c>
      <c r="AD1185" s="38">
        <f t="shared" si="325"/>
        <v>1</v>
      </c>
      <c r="AE1185" t="str">
        <f t="shared" si="326"/>
        <v/>
      </c>
      <c r="AF1185" t="str">
        <f t="shared" si="327"/>
        <v/>
      </c>
      <c r="AG1185" t="str">
        <f t="shared" si="328"/>
        <v/>
      </c>
      <c r="AH1185" t="str">
        <f t="shared" si="329"/>
        <v/>
      </c>
      <c r="AI1185" t="str">
        <f t="shared" si="330"/>
        <v/>
      </c>
      <c r="AJ1185" t="str">
        <f t="shared" si="331"/>
        <v/>
      </c>
      <c r="AK1185" t="str">
        <f t="shared" si="332"/>
        <v/>
      </c>
      <c r="AL1185" t="str">
        <f>IFERROR(ROUND(L1185*(G1185/$AU1185)/VLOOKUP(F1185,商品!$A$4:$B$60,2,FALSE),0),"")</f>
        <v/>
      </c>
      <c r="AM1185" t="str">
        <f>IFERROR(ROUND(L1185*(I1185/$AU1185)/VLOOKUP(H1185,商品!$A$4:$B$60,2,FALSE),0),"")</f>
        <v/>
      </c>
      <c r="AN1185">
        <f>IFERROR(ROUND(L1185*(J1185/$AU1185)/VLOOKUP("运力",商品!$A$4:$B$60,2,FALSE),0),0)</f>
        <v>0</v>
      </c>
      <c r="AO1185">
        <f>IFERROR(ROUND(L1185*(K1185/$AU1185)/VLOOKUP("交易",商品!$A$4:$B$60,2,FALSE),0),0)</f>
        <v>0</v>
      </c>
      <c r="AP1185" t="str">
        <f>IFERROR(ROUND(S1185*(N1185/$AV1185)/VLOOKUP(M1185,职业!$A$4:$G$16,4,FALSE),0),"")</f>
        <v/>
      </c>
      <c r="AQ1185" t="str">
        <f>IFERROR(ROUND(S1185*(P1185/$AV1185)/VLOOKUP(O1185,职业!$A$4:$G$16,4,FALSE),0),"")</f>
        <v/>
      </c>
      <c r="AR1185" t="str">
        <f>IFERROR(ROUND(S1185*(R1185/$AV1185)/VLOOKUP(Q1185,职业!$A$4:$G$16,4,FALSE),0),"")</f>
        <v/>
      </c>
      <c r="AS1185" t="str">
        <f>IFERROR(ROUND(X1185*(U1185/$AW1185)/VLOOKUP(T1185,商品!$A$4:$B$60,2,FALSE),0),"")</f>
        <v/>
      </c>
      <c r="AT1185" t="str">
        <f>IFERROR(ROUND(X1185*(W1185/$AW1185)/VLOOKUP(V1185,商品!$A$4:$B$60,2,FALSE),0),"")</f>
        <v/>
      </c>
      <c r="AU1185">
        <f t="shared" si="333"/>
        <v>0</v>
      </c>
      <c r="AV1185">
        <f t="shared" si="334"/>
        <v>0</v>
      </c>
      <c r="AW1185">
        <f t="shared" si="335"/>
        <v>0</v>
      </c>
    </row>
    <row r="1186" spans="1:49" ht="19.95" customHeight="1" x14ac:dyDescent="0.25">
      <c r="A1186" s="15" t="s">
        <v>434</v>
      </c>
      <c r="C1186" s="15">
        <v>2</v>
      </c>
      <c r="D1186" s="23" t="s">
        <v>174</v>
      </c>
      <c r="E1186" s="23" t="s">
        <v>175</v>
      </c>
      <c r="F1186" s="2" t="s">
        <v>41</v>
      </c>
      <c r="G1186" s="2">
        <v>10</v>
      </c>
      <c r="L1186" s="16">
        <f>IFERROR(VLOOKUP($D1186&amp;$C1186,生产方式定位!$A$2:$E$38,2,FALSE)+VLOOKUP($E1186&amp;$C1186,生产方式定位!$F$3:$J$38,2,FALSE),0)</f>
        <v>50</v>
      </c>
      <c r="S1186" s="16">
        <f>IFERROR(VLOOKUP($D1186&amp;$C1186,生产方式定位!$A$2:$E$38,3,FALSE)+VLOOKUP($E1186&amp;$C1186,生产方式定位!$F$3:$J$38,3,FALSE),0)</f>
        <v>10</v>
      </c>
      <c r="X1186" s="16">
        <f>IFERROR(VLOOKUP($D1186&amp;$C1186,生产方式定位!$A$2:$E$38,5,FALSE)+VLOOKUP($E1186&amp;$C1186,生产方式定位!$F$3:$J$38,5,FALSE),"错误")</f>
        <v>0</v>
      </c>
      <c r="Y1186" s="26" t="str">
        <f t="shared" si="320"/>
        <v>工具*1</v>
      </c>
      <c r="Z1186" s="36" t="str">
        <f t="shared" si="321"/>
        <v/>
      </c>
      <c r="AA1186" s="36" t="str">
        <f t="shared" si="322"/>
        <v/>
      </c>
      <c r="AB1186" s="27" t="str">
        <f t="shared" si="323"/>
        <v>-100%</v>
      </c>
      <c r="AC1186" s="2">
        <f t="shared" si="324"/>
        <v>-60</v>
      </c>
      <c r="AD1186" s="38">
        <f t="shared" si="325"/>
        <v>2</v>
      </c>
      <c r="AE1186" t="str">
        <f t="shared" si="326"/>
        <v>工具*1</v>
      </c>
      <c r="AF1186" t="str">
        <f t="shared" si="327"/>
        <v/>
      </c>
      <c r="AG1186" t="str">
        <f t="shared" si="328"/>
        <v/>
      </c>
      <c r="AH1186" t="str">
        <f t="shared" si="329"/>
        <v/>
      </c>
      <c r="AI1186" t="str">
        <f t="shared" si="330"/>
        <v/>
      </c>
      <c r="AJ1186" t="str">
        <f t="shared" si="331"/>
        <v/>
      </c>
      <c r="AK1186" t="str">
        <f t="shared" si="332"/>
        <v/>
      </c>
      <c r="AL1186">
        <f>IFERROR(ROUND(L1186*(G1186/$AU1186)/VLOOKUP(F1186,商品!$A$4:$B$60,2,FALSE),0),"")</f>
        <v>1</v>
      </c>
      <c r="AM1186" t="str">
        <f>IFERROR(ROUND(L1186*(I1186/$AU1186)/VLOOKUP(H1186,商品!$A$4:$B$60,2,FALSE),0),"")</f>
        <v/>
      </c>
      <c r="AN1186">
        <f>IFERROR(ROUND(L1186*(J1186/$AU1186)/VLOOKUP("运力",商品!$A$4:$B$60,2,FALSE),0),0)</f>
        <v>0</v>
      </c>
      <c r="AO1186">
        <f>IFERROR(ROUND(L1186*(K1186/$AU1186)/VLOOKUP("交易",商品!$A$4:$B$60,2,FALSE),0),0)</f>
        <v>0</v>
      </c>
      <c r="AP1186" t="str">
        <f>IFERROR(ROUND(S1186*(N1186/$AV1186)/VLOOKUP(M1186,职业!$A$4:$G$16,4,FALSE),0),"")</f>
        <v/>
      </c>
      <c r="AQ1186" t="str">
        <f>IFERROR(ROUND(S1186*(P1186/$AV1186)/VLOOKUP(O1186,职业!$A$4:$G$16,4,FALSE),0),"")</f>
        <v/>
      </c>
      <c r="AR1186" t="str">
        <f>IFERROR(ROUND(S1186*(R1186/$AV1186)/VLOOKUP(Q1186,职业!$A$4:$G$16,4,FALSE),0),"")</f>
        <v/>
      </c>
      <c r="AS1186" t="str">
        <f>IFERROR(ROUND(X1186*(U1186/$AW1186)/VLOOKUP(T1186,商品!$A$4:$B$60,2,FALSE),0),"")</f>
        <v/>
      </c>
      <c r="AT1186" t="str">
        <f>IFERROR(ROUND(X1186*(W1186/$AW1186)/VLOOKUP(V1186,商品!$A$4:$B$60,2,FALSE),0),"")</f>
        <v/>
      </c>
      <c r="AU1186">
        <f t="shared" si="333"/>
        <v>10</v>
      </c>
      <c r="AV1186">
        <f t="shared" si="334"/>
        <v>0</v>
      </c>
      <c r="AW1186">
        <f t="shared" si="335"/>
        <v>0</v>
      </c>
    </row>
    <row r="1187" spans="1:49" ht="19.95" customHeight="1" x14ac:dyDescent="0.25">
      <c r="A1187" s="15" t="s">
        <v>434</v>
      </c>
      <c r="C1187" s="15">
        <v>3</v>
      </c>
      <c r="D1187" s="23" t="s">
        <v>174</v>
      </c>
      <c r="E1187" s="23" t="s">
        <v>175</v>
      </c>
      <c r="F1187" s="2" t="s">
        <v>41</v>
      </c>
      <c r="G1187" s="2">
        <v>10</v>
      </c>
      <c r="L1187" s="16">
        <f>IFERROR(VLOOKUP($D1187&amp;$C1187,生产方式定位!$A$2:$E$38,2,FALSE)+VLOOKUP($E1187&amp;$C1187,生产方式定位!$F$3:$J$38,2,FALSE),0)</f>
        <v>100</v>
      </c>
      <c r="S1187" s="16">
        <f>IFERROR(VLOOKUP($D1187&amp;$C1187,生产方式定位!$A$2:$E$38,3,FALSE)+VLOOKUP($E1187&amp;$C1187,生产方式定位!$F$3:$J$38,3,FALSE),0)</f>
        <v>20</v>
      </c>
      <c r="X1187" s="16">
        <f>IFERROR(VLOOKUP($D1187&amp;$C1187,生产方式定位!$A$2:$E$38,5,FALSE)+VLOOKUP($E1187&amp;$C1187,生产方式定位!$F$3:$J$38,5,FALSE),"错误")</f>
        <v>0</v>
      </c>
      <c r="Y1187" s="26" t="str">
        <f t="shared" si="320"/>
        <v>工具*3</v>
      </c>
      <c r="Z1187" s="36" t="str">
        <f t="shared" si="321"/>
        <v/>
      </c>
      <c r="AA1187" s="36" t="str">
        <f t="shared" si="322"/>
        <v/>
      </c>
      <c r="AB1187" s="27" t="str">
        <f t="shared" si="323"/>
        <v>-100%</v>
      </c>
      <c r="AC1187" s="2">
        <f t="shared" si="324"/>
        <v>-120</v>
      </c>
      <c r="AD1187" s="38">
        <f t="shared" si="325"/>
        <v>3</v>
      </c>
      <c r="AE1187" t="str">
        <f t="shared" si="326"/>
        <v>工具*3</v>
      </c>
      <c r="AF1187" t="str">
        <f t="shared" si="327"/>
        <v/>
      </c>
      <c r="AG1187" t="str">
        <f t="shared" si="328"/>
        <v/>
      </c>
      <c r="AH1187" t="str">
        <f t="shared" si="329"/>
        <v/>
      </c>
      <c r="AI1187" t="str">
        <f t="shared" si="330"/>
        <v/>
      </c>
      <c r="AJ1187" t="str">
        <f t="shared" si="331"/>
        <v/>
      </c>
      <c r="AK1187" t="str">
        <f t="shared" si="332"/>
        <v/>
      </c>
      <c r="AL1187">
        <f>IFERROR(ROUND(L1187*(G1187/$AU1187)/VLOOKUP(F1187,商品!$A$4:$B$60,2,FALSE),0),"")</f>
        <v>3</v>
      </c>
      <c r="AM1187" t="str">
        <f>IFERROR(ROUND(L1187*(I1187/$AU1187)/VLOOKUP(H1187,商品!$A$4:$B$60,2,FALSE),0),"")</f>
        <v/>
      </c>
      <c r="AN1187">
        <f>IFERROR(ROUND(L1187*(J1187/$AU1187)/VLOOKUP("运力",商品!$A$4:$B$60,2,FALSE),0),0)</f>
        <v>0</v>
      </c>
      <c r="AO1187">
        <f>IFERROR(ROUND(L1187*(K1187/$AU1187)/VLOOKUP("交易",商品!$A$4:$B$60,2,FALSE),0),0)</f>
        <v>0</v>
      </c>
      <c r="AP1187" t="str">
        <f>IFERROR(ROUND(S1187*(N1187/$AV1187)/VLOOKUP(M1187,职业!$A$4:$G$16,4,FALSE),0),"")</f>
        <v/>
      </c>
      <c r="AQ1187" t="str">
        <f>IFERROR(ROUND(S1187*(P1187/$AV1187)/VLOOKUP(O1187,职业!$A$4:$G$16,4,FALSE),0),"")</f>
        <v/>
      </c>
      <c r="AR1187" t="str">
        <f>IFERROR(ROUND(S1187*(R1187/$AV1187)/VLOOKUP(Q1187,职业!$A$4:$G$16,4,FALSE),0),"")</f>
        <v/>
      </c>
      <c r="AS1187" t="str">
        <f>IFERROR(ROUND(X1187*(U1187/$AW1187)/VLOOKUP(T1187,商品!$A$4:$B$60,2,FALSE),0),"")</f>
        <v/>
      </c>
      <c r="AT1187" t="str">
        <f>IFERROR(ROUND(X1187*(W1187/$AW1187)/VLOOKUP(V1187,商品!$A$4:$B$60,2,FALSE),0),"")</f>
        <v/>
      </c>
      <c r="AU1187">
        <f t="shared" si="333"/>
        <v>10</v>
      </c>
      <c r="AV1187">
        <f t="shared" si="334"/>
        <v>0</v>
      </c>
      <c r="AW1187">
        <f t="shared" si="335"/>
        <v>0</v>
      </c>
    </row>
    <row r="1188" spans="1:49" ht="19.95" customHeight="1" x14ac:dyDescent="0.25">
      <c r="A1188" s="15" t="s">
        <v>434</v>
      </c>
      <c r="C1188" s="15">
        <v>4</v>
      </c>
      <c r="D1188" s="23" t="s">
        <v>174</v>
      </c>
      <c r="E1188" s="23" t="s">
        <v>175</v>
      </c>
      <c r="F1188" s="2" t="s">
        <v>45</v>
      </c>
      <c r="G1188" s="2">
        <v>5</v>
      </c>
      <c r="H1188" s="2" t="s">
        <v>19</v>
      </c>
      <c r="I1188" s="2">
        <v>10</v>
      </c>
      <c r="L1188" s="16">
        <f>IFERROR(VLOOKUP($D1188&amp;$C1188,生产方式定位!$A$2:$E$38,2,FALSE)+VLOOKUP($E1188&amp;$C1188,生产方式定位!$F$3:$J$38,2,FALSE),0)</f>
        <v>150</v>
      </c>
      <c r="S1188" s="16">
        <f>IFERROR(VLOOKUP($D1188&amp;$C1188,生产方式定位!$A$2:$E$38,3,FALSE)+VLOOKUP($E1188&amp;$C1188,生产方式定位!$F$3:$J$38,3,FALSE),0)</f>
        <v>30</v>
      </c>
      <c r="X1188" s="16">
        <f>IFERROR(VLOOKUP($D1188&amp;$C1188,生产方式定位!$A$2:$E$38,5,FALSE)+VLOOKUP($E1188&amp;$C1188,生产方式定位!$F$3:$J$38,5,FALSE),"错误")</f>
        <v>0</v>
      </c>
      <c r="Y1188" s="26" t="str">
        <f t="shared" si="320"/>
        <v>科学引擎*1,煤*3</v>
      </c>
      <c r="Z1188" s="36" t="str">
        <f t="shared" si="321"/>
        <v/>
      </c>
      <c r="AA1188" s="36" t="str">
        <f t="shared" si="322"/>
        <v/>
      </c>
      <c r="AB1188" s="27" t="str">
        <f t="shared" si="323"/>
        <v>-100%</v>
      </c>
      <c r="AC1188" s="2">
        <f t="shared" si="324"/>
        <v>-180</v>
      </c>
      <c r="AD1188" s="38">
        <f t="shared" si="325"/>
        <v>4</v>
      </c>
      <c r="AE1188" t="str">
        <f t="shared" si="326"/>
        <v>科学引擎*1</v>
      </c>
      <c r="AF1188" t="str">
        <f t="shared" si="327"/>
        <v>煤*3</v>
      </c>
      <c r="AG1188" t="str">
        <f t="shared" si="328"/>
        <v/>
      </c>
      <c r="AH1188" t="str">
        <f t="shared" si="329"/>
        <v/>
      </c>
      <c r="AI1188" t="str">
        <f t="shared" si="330"/>
        <v/>
      </c>
      <c r="AJ1188" t="str">
        <f t="shared" si="331"/>
        <v/>
      </c>
      <c r="AK1188" t="str">
        <f t="shared" si="332"/>
        <v/>
      </c>
      <c r="AL1188">
        <f>IFERROR(ROUND(L1188*(G1188/$AU1188)/VLOOKUP(F1188,商品!$A$4:$B$60,2,FALSE),0),"")</f>
        <v>1</v>
      </c>
      <c r="AM1188">
        <f>IFERROR(ROUND(L1188*(I1188/$AU1188)/VLOOKUP(H1188,商品!$A$4:$B$60,2,FALSE),0),"")</f>
        <v>3</v>
      </c>
      <c r="AN1188">
        <f>IFERROR(ROUND(L1188*(J1188/$AU1188)/VLOOKUP("运力",商品!$A$4:$B$60,2,FALSE),0),0)</f>
        <v>0</v>
      </c>
      <c r="AO1188">
        <f>IFERROR(ROUND(L1188*(K1188/$AU1188)/VLOOKUP("交易",商品!$A$4:$B$60,2,FALSE),0),0)</f>
        <v>0</v>
      </c>
      <c r="AP1188" t="str">
        <f>IFERROR(ROUND(S1188*(N1188/$AV1188)/VLOOKUP(M1188,职业!$A$4:$G$16,4,FALSE),0),"")</f>
        <v/>
      </c>
      <c r="AQ1188" t="str">
        <f>IFERROR(ROUND(S1188*(P1188/$AV1188)/VLOOKUP(O1188,职业!$A$4:$G$16,4,FALSE),0),"")</f>
        <v/>
      </c>
      <c r="AR1188" t="str">
        <f>IFERROR(ROUND(S1188*(R1188/$AV1188)/VLOOKUP(Q1188,职业!$A$4:$G$16,4,FALSE),0),"")</f>
        <v/>
      </c>
      <c r="AS1188" t="str">
        <f>IFERROR(ROUND(X1188*(U1188/$AW1188)/VLOOKUP(T1188,商品!$A$4:$B$60,2,FALSE),0),"")</f>
        <v/>
      </c>
      <c r="AT1188" t="str">
        <f>IFERROR(ROUND(X1188*(W1188/$AW1188)/VLOOKUP(V1188,商品!$A$4:$B$60,2,FALSE),0),"")</f>
        <v/>
      </c>
      <c r="AU1188">
        <f t="shared" si="333"/>
        <v>15</v>
      </c>
      <c r="AV1188">
        <f t="shared" si="334"/>
        <v>0</v>
      </c>
      <c r="AW1188">
        <f t="shared" si="335"/>
        <v>0</v>
      </c>
    </row>
    <row r="1189" spans="1:49" ht="19.95" customHeight="1" x14ac:dyDescent="0.25">
      <c r="A1189" s="15" t="s">
        <v>434</v>
      </c>
      <c r="C1189" s="15">
        <v>5</v>
      </c>
      <c r="D1189" s="23" t="s">
        <v>174</v>
      </c>
      <c r="E1189" s="23" t="s">
        <v>175</v>
      </c>
      <c r="F1189" s="2" t="s">
        <v>46</v>
      </c>
      <c r="G1189" s="2">
        <v>5</v>
      </c>
      <c r="H1189" s="2" t="s">
        <v>19</v>
      </c>
      <c r="I1189" s="2">
        <v>10</v>
      </c>
      <c r="L1189" s="16">
        <f>IFERROR(VLOOKUP($D1189&amp;$C1189,生产方式定位!$A$2:$E$38,2,FALSE)+VLOOKUP($E1189&amp;$C1189,生产方式定位!$F$3:$J$38,2,FALSE),0)</f>
        <v>200</v>
      </c>
      <c r="S1189" s="16">
        <f>IFERROR(VLOOKUP($D1189&amp;$C1189,生产方式定位!$A$2:$E$38,3,FALSE)+VLOOKUP($E1189&amp;$C1189,生产方式定位!$F$3:$J$38,3,FALSE),0)</f>
        <v>40</v>
      </c>
      <c r="X1189" s="16">
        <f>IFERROR(VLOOKUP($D1189&amp;$C1189,生产方式定位!$A$2:$E$38,5,FALSE)+VLOOKUP($E1189&amp;$C1189,生产方式定位!$F$3:$J$38,5,FALSE),"错误")</f>
        <v>0</v>
      </c>
      <c r="Y1189" s="26" t="str">
        <f t="shared" si="320"/>
        <v>魔导引擎*1,煤*4</v>
      </c>
      <c r="Z1189" s="36" t="str">
        <f t="shared" si="321"/>
        <v/>
      </c>
      <c r="AA1189" s="36" t="str">
        <f t="shared" si="322"/>
        <v/>
      </c>
      <c r="AB1189" s="27" t="str">
        <f t="shared" si="323"/>
        <v>-100%</v>
      </c>
      <c r="AC1189" s="2">
        <f t="shared" si="324"/>
        <v>-240</v>
      </c>
      <c r="AD1189" s="38">
        <f t="shared" si="325"/>
        <v>5</v>
      </c>
      <c r="AE1189" t="str">
        <f t="shared" si="326"/>
        <v>魔导引擎*1</v>
      </c>
      <c r="AF1189" t="str">
        <f t="shared" si="327"/>
        <v>煤*4</v>
      </c>
      <c r="AG1189" t="str">
        <f t="shared" si="328"/>
        <v/>
      </c>
      <c r="AH1189" t="str">
        <f t="shared" si="329"/>
        <v/>
      </c>
      <c r="AI1189" t="str">
        <f t="shared" si="330"/>
        <v/>
      </c>
      <c r="AJ1189" t="str">
        <f t="shared" si="331"/>
        <v/>
      </c>
      <c r="AK1189" t="str">
        <f t="shared" si="332"/>
        <v/>
      </c>
      <c r="AL1189">
        <f>IFERROR(ROUND(L1189*(G1189/$AU1189)/VLOOKUP(F1189,商品!$A$4:$B$60,2,FALSE),0),"")</f>
        <v>1</v>
      </c>
      <c r="AM1189">
        <f>IFERROR(ROUND(L1189*(I1189/$AU1189)/VLOOKUP(H1189,商品!$A$4:$B$60,2,FALSE),0),"")</f>
        <v>4</v>
      </c>
      <c r="AN1189">
        <f>IFERROR(ROUND(L1189*(J1189/$AU1189)/VLOOKUP("运力",商品!$A$4:$B$60,2,FALSE),0),0)</f>
        <v>0</v>
      </c>
      <c r="AO1189">
        <f>IFERROR(ROUND(L1189*(K1189/$AU1189)/VLOOKUP("交易",商品!$A$4:$B$60,2,FALSE),0),0)</f>
        <v>0</v>
      </c>
      <c r="AP1189" t="str">
        <f>IFERROR(ROUND(S1189*(N1189/$AV1189)/VLOOKUP(M1189,职业!$A$4:$G$16,4,FALSE),0),"")</f>
        <v/>
      </c>
      <c r="AQ1189" t="str">
        <f>IFERROR(ROUND(S1189*(P1189/$AV1189)/VLOOKUP(O1189,职业!$A$4:$G$16,4,FALSE),0),"")</f>
        <v/>
      </c>
      <c r="AR1189" t="str">
        <f>IFERROR(ROUND(S1189*(R1189/$AV1189)/VLOOKUP(Q1189,职业!$A$4:$G$16,4,FALSE),0),"")</f>
        <v/>
      </c>
      <c r="AS1189" t="str">
        <f>IFERROR(ROUND(X1189*(U1189/$AW1189)/VLOOKUP(T1189,商品!$A$4:$B$60,2,FALSE),0),"")</f>
        <v/>
      </c>
      <c r="AT1189" t="str">
        <f>IFERROR(ROUND(X1189*(W1189/$AW1189)/VLOOKUP(V1189,商品!$A$4:$B$60,2,FALSE),0),"")</f>
        <v/>
      </c>
      <c r="AU1189">
        <f t="shared" si="333"/>
        <v>15</v>
      </c>
      <c r="AV1189">
        <f t="shared" si="334"/>
        <v>0</v>
      </c>
      <c r="AW1189">
        <f t="shared" si="335"/>
        <v>0</v>
      </c>
    </row>
    <row r="1190" spans="1:49" ht="19.95" customHeight="1" x14ac:dyDescent="0.25">
      <c r="A1190" s="16" t="s">
        <v>435</v>
      </c>
      <c r="C1190" s="16">
        <v>1</v>
      </c>
      <c r="D1190" s="23" t="s">
        <v>171</v>
      </c>
      <c r="E1190" s="23" t="s">
        <v>177</v>
      </c>
      <c r="L1190" s="15">
        <f>IFERROR(VLOOKUP($D1190&amp;$C1190,生产方式定位!$A$2:$E$38,2,FALSE)+VLOOKUP($E1190&amp;$C1190,生产方式定位!$F$3:$J$38,2,FALSE),0)</f>
        <v>300</v>
      </c>
      <c r="S1190" s="15">
        <f>IFERROR(VLOOKUP($D1190&amp;$C1190,生产方式定位!$A$2:$E$38,3,FALSE)+VLOOKUP($E1190&amp;$C1190,生产方式定位!$F$3:$J$38,3,FALSE),0)</f>
        <v>100</v>
      </c>
      <c r="X1190" s="15">
        <f>IFERROR(VLOOKUP($D1190&amp;$C1190,生产方式定位!$A$2:$E$38,5,FALSE)+VLOOKUP($E1190&amp;$C1190,生产方式定位!$F$3:$J$38,5,FALSE),"错误")</f>
        <v>520</v>
      </c>
      <c r="Y1190" s="26" t="str">
        <f t="shared" si="320"/>
        <v/>
      </c>
      <c r="Z1190" s="36" t="str">
        <f t="shared" si="321"/>
        <v/>
      </c>
      <c r="AA1190" s="36" t="str">
        <f t="shared" si="322"/>
        <v/>
      </c>
      <c r="AB1190" s="27" t="str">
        <f t="shared" si="323"/>
        <v>73%</v>
      </c>
      <c r="AC1190" s="2">
        <f t="shared" si="324"/>
        <v>120</v>
      </c>
      <c r="AD1190" s="37">
        <f t="shared" si="325"/>
        <v>1</v>
      </c>
      <c r="AE1190" t="str">
        <f t="shared" si="326"/>
        <v/>
      </c>
      <c r="AF1190" t="str">
        <f t="shared" si="327"/>
        <v/>
      </c>
      <c r="AG1190" t="str">
        <f t="shared" si="328"/>
        <v/>
      </c>
      <c r="AH1190" t="str">
        <f t="shared" si="329"/>
        <v/>
      </c>
      <c r="AI1190" t="str">
        <f t="shared" si="330"/>
        <v/>
      </c>
      <c r="AJ1190" t="str">
        <f t="shared" si="331"/>
        <v/>
      </c>
      <c r="AK1190" t="str">
        <f t="shared" si="332"/>
        <v/>
      </c>
      <c r="AL1190" t="str">
        <f>IFERROR(ROUND(L1190*(G1190/$AU1190)/VLOOKUP(F1190,商品!$A$4:$B$60,2,FALSE),0),"")</f>
        <v/>
      </c>
      <c r="AM1190" t="str">
        <f>IFERROR(ROUND(L1190*(I1190/$AU1190)/VLOOKUP(H1190,商品!$A$4:$B$60,2,FALSE),0),"")</f>
        <v/>
      </c>
      <c r="AN1190">
        <f>IFERROR(ROUND(L1190*(J1190/$AU1190)/VLOOKUP("运力",商品!$A$4:$B$60,2,FALSE),0),0)</f>
        <v>0</v>
      </c>
      <c r="AO1190">
        <f>IFERROR(ROUND(L1190*(K1190/$AU1190)/VLOOKUP("交易",商品!$A$4:$B$60,2,FALSE),0),0)</f>
        <v>0</v>
      </c>
      <c r="AP1190" t="str">
        <f>IFERROR(ROUND(S1190*(N1190/$AV1190)/VLOOKUP(M1190,职业!$A$4:$G$16,4,FALSE),0),"")</f>
        <v/>
      </c>
      <c r="AQ1190" t="str">
        <f>IFERROR(ROUND(S1190*(P1190/$AV1190)/VLOOKUP(O1190,职业!$A$4:$G$16,4,FALSE),0),"")</f>
        <v/>
      </c>
      <c r="AR1190" t="str">
        <f>IFERROR(ROUND(S1190*(R1190/$AV1190)/VLOOKUP(Q1190,职业!$A$4:$G$16,4,FALSE),0),"")</f>
        <v/>
      </c>
      <c r="AS1190" t="str">
        <f>IFERROR(ROUND(X1190*(U1190/$AW1190)/VLOOKUP(T1190,商品!$A$4:$B$60,2,FALSE),0),"")</f>
        <v/>
      </c>
      <c r="AT1190" t="str">
        <f>IFERROR(ROUND(X1190*(W1190/$AW1190)/VLOOKUP(V1190,商品!$A$4:$B$60,2,FALSE),0),"")</f>
        <v/>
      </c>
      <c r="AU1190">
        <f t="shared" si="333"/>
        <v>0</v>
      </c>
      <c r="AV1190">
        <f t="shared" si="334"/>
        <v>0</v>
      </c>
      <c r="AW1190">
        <f t="shared" si="335"/>
        <v>0</v>
      </c>
    </row>
    <row r="1191" spans="1:49" ht="19.95" customHeight="1" x14ac:dyDescent="0.25">
      <c r="A1191" s="16" t="s">
        <v>435</v>
      </c>
      <c r="C1191" s="16">
        <v>2</v>
      </c>
      <c r="D1191" s="23" t="s">
        <v>171</v>
      </c>
      <c r="E1191" s="23" t="s">
        <v>177</v>
      </c>
      <c r="F1191" s="2" t="s">
        <v>42</v>
      </c>
      <c r="G1191" s="2">
        <v>5</v>
      </c>
      <c r="H1191" s="2" t="s">
        <v>20</v>
      </c>
      <c r="I1191" s="2">
        <v>10</v>
      </c>
      <c r="L1191" s="15">
        <f>IFERROR(VLOOKUP($D1191&amp;$C1191,生产方式定位!$A$2:$E$38,2,FALSE)+VLOOKUP($E1191&amp;$C1191,生产方式定位!$F$3:$J$38,2,FALSE),0)</f>
        <v>705</v>
      </c>
      <c r="S1191" s="15">
        <f>IFERROR(VLOOKUP($D1191&amp;$C1191,生产方式定位!$A$2:$E$38,3,FALSE)+VLOOKUP($E1191&amp;$C1191,生产方式定位!$F$3:$J$38,3,FALSE),0)</f>
        <v>115</v>
      </c>
      <c r="X1191" s="15">
        <f>IFERROR(VLOOKUP($D1191&amp;$C1191,生产方式定位!$A$2:$E$38,5,FALSE)+VLOOKUP($E1191&amp;$C1191,生产方式定位!$F$3:$J$38,5,FALSE),"错误")</f>
        <v>910</v>
      </c>
      <c r="Y1191" s="26" t="str">
        <f t="shared" si="320"/>
        <v>魔偶*6,灵能水晶*16</v>
      </c>
      <c r="Z1191" s="36" t="str">
        <f t="shared" si="321"/>
        <v/>
      </c>
      <c r="AA1191" s="36" t="str">
        <f t="shared" si="322"/>
        <v/>
      </c>
      <c r="AB1191" s="27" t="str">
        <f t="shared" si="323"/>
        <v>29%</v>
      </c>
      <c r="AC1191" s="2">
        <f t="shared" si="324"/>
        <v>90</v>
      </c>
      <c r="AD1191" s="37">
        <f t="shared" si="325"/>
        <v>2</v>
      </c>
      <c r="AE1191" t="str">
        <f t="shared" si="326"/>
        <v>魔偶*6</v>
      </c>
      <c r="AF1191" t="str">
        <f t="shared" si="327"/>
        <v>灵能水晶*16</v>
      </c>
      <c r="AG1191" t="str">
        <f t="shared" si="328"/>
        <v/>
      </c>
      <c r="AH1191" t="str">
        <f t="shared" si="329"/>
        <v/>
      </c>
      <c r="AI1191" t="str">
        <f t="shared" si="330"/>
        <v/>
      </c>
      <c r="AJ1191" t="str">
        <f t="shared" si="331"/>
        <v/>
      </c>
      <c r="AK1191" t="str">
        <f t="shared" si="332"/>
        <v/>
      </c>
      <c r="AL1191">
        <f>IFERROR(ROUND(L1191*(G1191/$AU1191)/VLOOKUP(F1191,商品!$A$4:$B$60,2,FALSE),0),"")</f>
        <v>6</v>
      </c>
      <c r="AM1191">
        <f>IFERROR(ROUND(L1191*(I1191/$AU1191)/VLOOKUP(H1191,商品!$A$4:$B$60,2,FALSE),0),"")</f>
        <v>16</v>
      </c>
      <c r="AN1191">
        <f>IFERROR(ROUND(L1191*(J1191/$AU1191)/VLOOKUP("运力",商品!$A$4:$B$60,2,FALSE),0),0)</f>
        <v>0</v>
      </c>
      <c r="AO1191">
        <f>IFERROR(ROUND(L1191*(K1191/$AU1191)/VLOOKUP("交易",商品!$A$4:$B$60,2,FALSE),0),0)</f>
        <v>0</v>
      </c>
      <c r="AP1191" t="str">
        <f>IFERROR(ROUND(S1191*(N1191/$AV1191)/VLOOKUP(M1191,职业!$A$4:$G$16,4,FALSE),0),"")</f>
        <v/>
      </c>
      <c r="AQ1191" t="str">
        <f>IFERROR(ROUND(S1191*(P1191/$AV1191)/VLOOKUP(O1191,职业!$A$4:$G$16,4,FALSE),0),"")</f>
        <v/>
      </c>
      <c r="AR1191" t="str">
        <f>IFERROR(ROUND(S1191*(R1191/$AV1191)/VLOOKUP(Q1191,职业!$A$4:$G$16,4,FALSE),0),"")</f>
        <v/>
      </c>
      <c r="AS1191" t="str">
        <f>IFERROR(ROUND(X1191*(U1191/$AW1191)/VLOOKUP(T1191,商品!$A$4:$B$60,2,FALSE),0),"")</f>
        <v/>
      </c>
      <c r="AT1191" t="str">
        <f>IFERROR(ROUND(X1191*(W1191/$AW1191)/VLOOKUP(V1191,商品!$A$4:$B$60,2,FALSE),0),"")</f>
        <v/>
      </c>
      <c r="AU1191">
        <f t="shared" si="333"/>
        <v>15</v>
      </c>
      <c r="AV1191">
        <f t="shared" si="334"/>
        <v>0</v>
      </c>
      <c r="AW1191">
        <f t="shared" si="335"/>
        <v>0</v>
      </c>
    </row>
    <row r="1192" spans="1:49" ht="19.95" customHeight="1" x14ac:dyDescent="0.25">
      <c r="A1192" s="16" t="s">
        <v>435</v>
      </c>
      <c r="C1192" s="16">
        <v>3</v>
      </c>
      <c r="D1192" s="23" t="s">
        <v>171</v>
      </c>
      <c r="E1192" s="23" t="s">
        <v>177</v>
      </c>
      <c r="F1192" s="2" t="s">
        <v>42</v>
      </c>
      <c r="G1192" s="2">
        <v>5</v>
      </c>
      <c r="H1192" s="2" t="s">
        <v>20</v>
      </c>
      <c r="I1192" s="2">
        <v>10</v>
      </c>
      <c r="L1192" s="15">
        <f>IFERROR(VLOOKUP($D1192&amp;$C1192,生产方式定位!$A$2:$E$38,2,FALSE)+VLOOKUP($E1192&amp;$C1192,生产方式定位!$F$3:$J$38,2,FALSE),0)</f>
        <v>1110</v>
      </c>
      <c r="S1192" s="15">
        <f>IFERROR(VLOOKUP($D1192&amp;$C1192,生产方式定位!$A$2:$E$38,3,FALSE)+VLOOKUP($E1192&amp;$C1192,生产方式定位!$F$3:$J$38,3,FALSE),0)</f>
        <v>130</v>
      </c>
      <c r="X1192" s="15">
        <f>IFERROR(VLOOKUP($D1192&amp;$C1192,生产方式定位!$A$2:$E$38,5,FALSE)+VLOOKUP($E1192&amp;$C1192,生产方式定位!$F$3:$J$38,5,FALSE),"错误")</f>
        <v>1300</v>
      </c>
      <c r="Y1192" s="26" t="str">
        <f t="shared" si="320"/>
        <v>魔偶*9,灵能水晶*25</v>
      </c>
      <c r="Z1192" s="36" t="str">
        <f t="shared" si="321"/>
        <v/>
      </c>
      <c r="AA1192" s="36" t="str">
        <f t="shared" si="322"/>
        <v/>
      </c>
      <c r="AB1192" s="27" t="str">
        <f t="shared" si="323"/>
        <v>17%</v>
      </c>
      <c r="AC1192" s="2">
        <f t="shared" si="324"/>
        <v>60</v>
      </c>
      <c r="AD1192" s="37">
        <f t="shared" si="325"/>
        <v>3</v>
      </c>
      <c r="AE1192" t="str">
        <f t="shared" si="326"/>
        <v>魔偶*9</v>
      </c>
      <c r="AF1192" t="str">
        <f t="shared" si="327"/>
        <v>灵能水晶*25</v>
      </c>
      <c r="AG1192" t="str">
        <f t="shared" si="328"/>
        <v/>
      </c>
      <c r="AH1192" t="str">
        <f t="shared" si="329"/>
        <v/>
      </c>
      <c r="AI1192" t="str">
        <f t="shared" si="330"/>
        <v/>
      </c>
      <c r="AJ1192" t="str">
        <f t="shared" si="331"/>
        <v/>
      </c>
      <c r="AK1192" t="str">
        <f t="shared" si="332"/>
        <v/>
      </c>
      <c r="AL1192">
        <f>IFERROR(ROUND(L1192*(G1192/$AU1192)/VLOOKUP(F1192,商品!$A$4:$B$60,2,FALSE),0),"")</f>
        <v>9</v>
      </c>
      <c r="AM1192">
        <f>IFERROR(ROUND(L1192*(I1192/$AU1192)/VLOOKUP(H1192,商品!$A$4:$B$60,2,FALSE),0),"")</f>
        <v>25</v>
      </c>
      <c r="AN1192">
        <f>IFERROR(ROUND(L1192*(J1192/$AU1192)/VLOOKUP("运力",商品!$A$4:$B$60,2,FALSE),0),0)</f>
        <v>0</v>
      </c>
      <c r="AO1192">
        <f>IFERROR(ROUND(L1192*(K1192/$AU1192)/VLOOKUP("交易",商品!$A$4:$B$60,2,FALSE),0),0)</f>
        <v>0</v>
      </c>
      <c r="AP1192" t="str">
        <f>IFERROR(ROUND(S1192*(N1192/$AV1192)/VLOOKUP(M1192,职业!$A$4:$G$16,4,FALSE),0),"")</f>
        <v/>
      </c>
      <c r="AQ1192" t="str">
        <f>IFERROR(ROUND(S1192*(P1192/$AV1192)/VLOOKUP(O1192,职业!$A$4:$G$16,4,FALSE),0),"")</f>
        <v/>
      </c>
      <c r="AR1192" t="str">
        <f>IFERROR(ROUND(S1192*(R1192/$AV1192)/VLOOKUP(Q1192,职业!$A$4:$G$16,4,FALSE),0),"")</f>
        <v/>
      </c>
      <c r="AS1192" t="str">
        <f>IFERROR(ROUND(X1192*(U1192/$AW1192)/VLOOKUP(T1192,商品!$A$4:$B$60,2,FALSE),0),"")</f>
        <v/>
      </c>
      <c r="AT1192" t="str">
        <f>IFERROR(ROUND(X1192*(W1192/$AW1192)/VLOOKUP(V1192,商品!$A$4:$B$60,2,FALSE),0),"")</f>
        <v/>
      </c>
      <c r="AU1192">
        <f t="shared" si="333"/>
        <v>15</v>
      </c>
      <c r="AV1192">
        <f t="shared" si="334"/>
        <v>0</v>
      </c>
      <c r="AW1192">
        <f t="shared" si="335"/>
        <v>0</v>
      </c>
    </row>
    <row r="1193" spans="1:49" ht="19.95" customHeight="1" x14ac:dyDescent="0.25">
      <c r="A1193" s="16" t="s">
        <v>435</v>
      </c>
      <c r="C1193" s="16">
        <v>4</v>
      </c>
      <c r="D1193" s="23" t="s">
        <v>171</v>
      </c>
      <c r="E1193" s="23" t="s">
        <v>177</v>
      </c>
      <c r="F1193" s="2" t="s">
        <v>42</v>
      </c>
      <c r="G1193" s="2">
        <v>5</v>
      </c>
      <c r="H1193" s="2" t="s">
        <v>20</v>
      </c>
      <c r="I1193" s="2">
        <v>10</v>
      </c>
      <c r="L1193" s="15">
        <f>IFERROR(VLOOKUP($D1193&amp;$C1193,生产方式定位!$A$2:$E$38,2,FALSE)+VLOOKUP($E1193&amp;$C1193,生产方式定位!$F$3:$J$38,2,FALSE),0)</f>
        <v>1515</v>
      </c>
      <c r="S1193" s="15">
        <f>IFERROR(VLOOKUP($D1193&amp;$C1193,生产方式定位!$A$2:$E$38,3,FALSE)+VLOOKUP($E1193&amp;$C1193,生产方式定位!$F$3:$J$38,3,FALSE),0)</f>
        <v>145</v>
      </c>
      <c r="X1193" s="15">
        <f>IFERROR(VLOOKUP($D1193&amp;$C1193,生产方式定位!$A$2:$E$38,5,FALSE)+VLOOKUP($E1193&amp;$C1193,生产方式定位!$F$3:$J$38,5,FALSE),"错误")</f>
        <v>1690</v>
      </c>
      <c r="Y1193" s="26" t="str">
        <f t="shared" si="320"/>
        <v>魔偶*13,灵能水晶*34</v>
      </c>
      <c r="Z1193" s="36" t="str">
        <f t="shared" si="321"/>
        <v/>
      </c>
      <c r="AA1193" s="36" t="str">
        <f t="shared" si="322"/>
        <v/>
      </c>
      <c r="AB1193" s="27" t="str">
        <f t="shared" si="323"/>
        <v>12%</v>
      </c>
      <c r="AC1193" s="2">
        <f t="shared" si="324"/>
        <v>30</v>
      </c>
      <c r="AD1193" s="37">
        <f t="shared" si="325"/>
        <v>4</v>
      </c>
      <c r="AE1193" t="str">
        <f t="shared" si="326"/>
        <v>魔偶*13</v>
      </c>
      <c r="AF1193" t="str">
        <f t="shared" si="327"/>
        <v>灵能水晶*34</v>
      </c>
      <c r="AG1193" t="str">
        <f t="shared" si="328"/>
        <v/>
      </c>
      <c r="AH1193" t="str">
        <f t="shared" si="329"/>
        <v/>
      </c>
      <c r="AI1193" t="str">
        <f t="shared" si="330"/>
        <v/>
      </c>
      <c r="AJ1193" t="str">
        <f t="shared" si="331"/>
        <v/>
      </c>
      <c r="AK1193" t="str">
        <f t="shared" si="332"/>
        <v/>
      </c>
      <c r="AL1193">
        <f>IFERROR(ROUND(L1193*(G1193/$AU1193)/VLOOKUP(F1193,商品!$A$4:$B$60,2,FALSE),0),"")</f>
        <v>13</v>
      </c>
      <c r="AM1193">
        <f>IFERROR(ROUND(L1193*(I1193/$AU1193)/VLOOKUP(H1193,商品!$A$4:$B$60,2,FALSE),0),"")</f>
        <v>34</v>
      </c>
      <c r="AN1193">
        <f>IFERROR(ROUND(L1193*(J1193/$AU1193)/VLOOKUP("运力",商品!$A$4:$B$60,2,FALSE),0),0)</f>
        <v>0</v>
      </c>
      <c r="AO1193">
        <f>IFERROR(ROUND(L1193*(K1193/$AU1193)/VLOOKUP("交易",商品!$A$4:$B$60,2,FALSE),0),0)</f>
        <v>0</v>
      </c>
      <c r="AP1193" t="str">
        <f>IFERROR(ROUND(S1193*(N1193/$AV1193)/VLOOKUP(M1193,职业!$A$4:$G$16,4,FALSE),0),"")</f>
        <v/>
      </c>
      <c r="AQ1193" t="str">
        <f>IFERROR(ROUND(S1193*(P1193/$AV1193)/VLOOKUP(O1193,职业!$A$4:$G$16,4,FALSE),0),"")</f>
        <v/>
      </c>
      <c r="AR1193" t="str">
        <f>IFERROR(ROUND(S1193*(R1193/$AV1193)/VLOOKUP(Q1193,职业!$A$4:$G$16,4,FALSE),0),"")</f>
        <v/>
      </c>
      <c r="AS1193" t="str">
        <f>IFERROR(ROUND(X1193*(U1193/$AW1193)/VLOOKUP(T1193,商品!$A$4:$B$60,2,FALSE),0),"")</f>
        <v/>
      </c>
      <c r="AT1193" t="str">
        <f>IFERROR(ROUND(X1193*(W1193/$AW1193)/VLOOKUP(V1193,商品!$A$4:$B$60,2,FALSE),0),"")</f>
        <v/>
      </c>
      <c r="AU1193">
        <f t="shared" si="333"/>
        <v>15</v>
      </c>
      <c r="AV1193">
        <f t="shared" si="334"/>
        <v>0</v>
      </c>
      <c r="AW1193">
        <f t="shared" si="335"/>
        <v>0</v>
      </c>
    </row>
    <row r="1194" spans="1:49" ht="19.95" customHeight="1" x14ac:dyDescent="0.25">
      <c r="A1194" s="16" t="s">
        <v>435</v>
      </c>
      <c r="C1194" s="16">
        <v>5</v>
      </c>
      <c r="D1194" s="23" t="s">
        <v>171</v>
      </c>
      <c r="E1194" s="23" t="s">
        <v>177</v>
      </c>
      <c r="F1194" s="2" t="s">
        <v>42</v>
      </c>
      <c r="G1194" s="2">
        <v>5</v>
      </c>
      <c r="H1194" s="2" t="s">
        <v>20</v>
      </c>
      <c r="I1194" s="2">
        <v>10</v>
      </c>
      <c r="L1194" s="15">
        <f>IFERROR(VLOOKUP($D1194&amp;$C1194,生产方式定位!$A$2:$E$38,2,FALSE)+VLOOKUP($E1194&amp;$C1194,生产方式定位!$F$3:$J$38,2,FALSE),0)</f>
        <v>1920</v>
      </c>
      <c r="S1194" s="15">
        <f>IFERROR(VLOOKUP($D1194&amp;$C1194,生产方式定位!$A$2:$E$38,3,FALSE)+VLOOKUP($E1194&amp;$C1194,生产方式定位!$F$3:$J$38,3,FALSE),0)</f>
        <v>160</v>
      </c>
      <c r="X1194" s="15">
        <f>IFERROR(VLOOKUP($D1194&amp;$C1194,生产方式定位!$A$2:$E$38,5,FALSE)+VLOOKUP($E1194&amp;$C1194,生产方式定位!$F$3:$J$38,5,FALSE),"错误")</f>
        <v>2080</v>
      </c>
      <c r="Y1194" s="26" t="str">
        <f t="shared" si="320"/>
        <v>魔偶*16,灵能水晶*43</v>
      </c>
      <c r="Z1194" s="36" t="str">
        <f t="shared" si="321"/>
        <v/>
      </c>
      <c r="AA1194" s="36" t="str">
        <f t="shared" si="322"/>
        <v/>
      </c>
      <c r="AB1194" s="27" t="str">
        <f t="shared" si="323"/>
        <v>8%</v>
      </c>
      <c r="AC1194" s="2" t="str">
        <f t="shared" si="324"/>
        <v/>
      </c>
      <c r="AD1194" s="37">
        <f t="shared" si="325"/>
        <v>5</v>
      </c>
      <c r="AE1194" t="str">
        <f t="shared" si="326"/>
        <v>魔偶*16</v>
      </c>
      <c r="AF1194" t="str">
        <f t="shared" si="327"/>
        <v>灵能水晶*43</v>
      </c>
      <c r="AG1194" t="str">
        <f t="shared" si="328"/>
        <v/>
      </c>
      <c r="AH1194" t="str">
        <f t="shared" si="329"/>
        <v/>
      </c>
      <c r="AI1194" t="str">
        <f t="shared" si="330"/>
        <v/>
      </c>
      <c r="AJ1194" t="str">
        <f t="shared" si="331"/>
        <v/>
      </c>
      <c r="AK1194" t="str">
        <f t="shared" si="332"/>
        <v/>
      </c>
      <c r="AL1194">
        <f>IFERROR(ROUND(L1194*(G1194/$AU1194)/VLOOKUP(F1194,商品!$A$4:$B$60,2,FALSE),0),"")</f>
        <v>16</v>
      </c>
      <c r="AM1194">
        <f>IFERROR(ROUND(L1194*(I1194/$AU1194)/VLOOKUP(H1194,商品!$A$4:$B$60,2,FALSE),0),"")</f>
        <v>43</v>
      </c>
      <c r="AN1194">
        <f>IFERROR(ROUND(L1194*(J1194/$AU1194)/VLOOKUP("运力",商品!$A$4:$B$60,2,FALSE),0),0)</f>
        <v>0</v>
      </c>
      <c r="AO1194">
        <f>IFERROR(ROUND(L1194*(K1194/$AU1194)/VLOOKUP("交易",商品!$A$4:$B$60,2,FALSE),0),0)</f>
        <v>0</v>
      </c>
      <c r="AP1194" t="str">
        <f>IFERROR(ROUND(S1194*(N1194/$AV1194)/VLOOKUP(M1194,职业!$A$4:$G$16,4,FALSE),0),"")</f>
        <v/>
      </c>
      <c r="AQ1194" t="str">
        <f>IFERROR(ROUND(S1194*(P1194/$AV1194)/VLOOKUP(O1194,职业!$A$4:$G$16,4,FALSE),0),"")</f>
        <v/>
      </c>
      <c r="AR1194" t="str">
        <f>IFERROR(ROUND(S1194*(R1194/$AV1194)/VLOOKUP(Q1194,职业!$A$4:$G$16,4,FALSE),0),"")</f>
        <v/>
      </c>
      <c r="AS1194" t="str">
        <f>IFERROR(ROUND(X1194*(U1194/$AW1194)/VLOOKUP(T1194,商品!$A$4:$B$60,2,FALSE),0),"")</f>
        <v/>
      </c>
      <c r="AT1194" t="str">
        <f>IFERROR(ROUND(X1194*(W1194/$AW1194)/VLOOKUP(V1194,商品!$A$4:$B$60,2,FALSE),0),"")</f>
        <v/>
      </c>
      <c r="AU1194">
        <f t="shared" si="333"/>
        <v>15</v>
      </c>
      <c r="AV1194">
        <f t="shared" si="334"/>
        <v>0</v>
      </c>
      <c r="AW1194">
        <f t="shared" si="335"/>
        <v>0</v>
      </c>
    </row>
    <row r="1195" spans="1:49" ht="19.95" customHeight="1" x14ac:dyDescent="0.25">
      <c r="A1195" s="15" t="s">
        <v>436</v>
      </c>
      <c r="C1195" s="15">
        <v>1</v>
      </c>
      <c r="D1195" s="23" t="s">
        <v>174</v>
      </c>
      <c r="E1195" s="23" t="s">
        <v>179</v>
      </c>
      <c r="L1195" s="16">
        <f>IFERROR(VLOOKUP($D1195&amp;$C1195,生产方式定位!$A$2:$E$38,2,FALSE)+VLOOKUP($E1195&amp;$C1195,生产方式定位!$F$3:$J$38,2,FALSE),0)</f>
        <v>0</v>
      </c>
      <c r="S1195" s="16">
        <f>IFERROR(VLOOKUP($D1195&amp;$C1195,生产方式定位!$A$2:$E$38,3,FALSE)+VLOOKUP($E1195&amp;$C1195,生产方式定位!$F$3:$J$38,3,FALSE),0)</f>
        <v>100</v>
      </c>
      <c r="X1195" s="16">
        <f>IFERROR(VLOOKUP($D1195&amp;$C1195,生产方式定位!$A$2:$E$38,5,FALSE)+VLOOKUP($E1195&amp;$C1195,生产方式定位!$F$3:$J$38,5,FALSE),"错误")</f>
        <v>100</v>
      </c>
      <c r="Y1195" s="26" t="str">
        <f t="shared" si="320"/>
        <v/>
      </c>
      <c r="Z1195" s="36" t="str">
        <f t="shared" si="321"/>
        <v/>
      </c>
      <c r="AA1195" s="36" t="str">
        <f t="shared" si="322"/>
        <v/>
      </c>
      <c r="AB1195" s="27" t="str">
        <f t="shared" si="323"/>
        <v/>
      </c>
      <c r="AC1195" s="2" t="str">
        <f t="shared" si="324"/>
        <v/>
      </c>
      <c r="AD1195" s="38">
        <f t="shared" si="325"/>
        <v>1</v>
      </c>
      <c r="AE1195" t="str">
        <f t="shared" si="326"/>
        <v/>
      </c>
      <c r="AF1195" t="str">
        <f t="shared" si="327"/>
        <v/>
      </c>
      <c r="AG1195" t="str">
        <f t="shared" si="328"/>
        <v/>
      </c>
      <c r="AH1195" t="str">
        <f t="shared" si="329"/>
        <v/>
      </c>
      <c r="AI1195" t="str">
        <f t="shared" si="330"/>
        <v/>
      </c>
      <c r="AJ1195" t="str">
        <f t="shared" si="331"/>
        <v/>
      </c>
      <c r="AK1195" t="str">
        <f t="shared" si="332"/>
        <v/>
      </c>
      <c r="AL1195" t="str">
        <f>IFERROR(ROUND(L1195*(G1195/$AU1195)/VLOOKUP(F1195,商品!$A$4:$B$60,2,FALSE),0),"")</f>
        <v/>
      </c>
      <c r="AM1195" t="str">
        <f>IFERROR(ROUND(L1195*(I1195/$AU1195)/VLOOKUP(H1195,商品!$A$4:$B$60,2,FALSE),0),"")</f>
        <v/>
      </c>
      <c r="AN1195">
        <f>IFERROR(ROUND(L1195*(J1195/$AU1195)/VLOOKUP("运力",商品!$A$4:$B$60,2,FALSE),0),0)</f>
        <v>0</v>
      </c>
      <c r="AO1195">
        <f>IFERROR(ROUND(L1195*(K1195/$AU1195)/VLOOKUP("交易",商品!$A$4:$B$60,2,FALSE),0),0)</f>
        <v>0</v>
      </c>
      <c r="AP1195" t="str">
        <f>IFERROR(ROUND(S1195*(N1195/$AV1195)/VLOOKUP(M1195,职业!$A$4:$G$16,4,FALSE),0),"")</f>
        <v/>
      </c>
      <c r="AQ1195" t="str">
        <f>IFERROR(ROUND(S1195*(P1195/$AV1195)/VLOOKUP(O1195,职业!$A$4:$G$16,4,FALSE),0),"")</f>
        <v/>
      </c>
      <c r="AR1195" t="str">
        <f>IFERROR(ROUND(S1195*(R1195/$AV1195)/VLOOKUP(Q1195,职业!$A$4:$G$16,4,FALSE),0),"")</f>
        <v/>
      </c>
      <c r="AS1195" t="str">
        <f>IFERROR(ROUND(X1195*(U1195/$AW1195)/VLOOKUP(T1195,商品!$A$4:$B$60,2,FALSE),0),"")</f>
        <v/>
      </c>
      <c r="AT1195" t="str">
        <f>IFERROR(ROUND(X1195*(W1195/$AW1195)/VLOOKUP(V1195,商品!$A$4:$B$60,2,FALSE),0),"")</f>
        <v/>
      </c>
      <c r="AU1195">
        <f t="shared" si="333"/>
        <v>0</v>
      </c>
      <c r="AV1195">
        <f t="shared" si="334"/>
        <v>0</v>
      </c>
      <c r="AW1195">
        <f t="shared" si="335"/>
        <v>0</v>
      </c>
    </row>
    <row r="1196" spans="1:49" ht="19.95" customHeight="1" x14ac:dyDescent="0.25">
      <c r="A1196" s="15" t="s">
        <v>436</v>
      </c>
      <c r="C1196" s="15">
        <v>2</v>
      </c>
      <c r="D1196" s="23" t="s">
        <v>174</v>
      </c>
      <c r="E1196" s="23" t="s">
        <v>179</v>
      </c>
      <c r="L1196" s="16">
        <f>IFERROR(VLOOKUP($D1196&amp;$C1196,生产方式定位!$A$2:$E$38,2,FALSE)+VLOOKUP($E1196&amp;$C1196,生产方式定位!$F$3:$J$38,2,FALSE),0)</f>
        <v>0</v>
      </c>
      <c r="S1196" s="16">
        <f>IFERROR(VLOOKUP($D1196&amp;$C1196,生产方式定位!$A$2:$E$38,3,FALSE)+VLOOKUP($E1196&amp;$C1196,生产方式定位!$F$3:$J$38,3,FALSE),0)</f>
        <v>100</v>
      </c>
      <c r="X1196" s="16">
        <f>IFERROR(VLOOKUP($D1196&amp;$C1196,生产方式定位!$A$2:$E$38,5,FALSE)+VLOOKUP($E1196&amp;$C1196,生产方式定位!$F$3:$J$38,5,FALSE),"错误")</f>
        <v>100</v>
      </c>
      <c r="Y1196" s="26" t="str">
        <f t="shared" ref="Y1196:Y1202" si="336">IF(AE1196="","",AE1196)&amp;IF(AF1196="","",","&amp;AF1196)&amp;IF(AN1196=0,"",",运力*"&amp;AN1196)&amp;IF(AO1196=0,"",",交易*"&amp;AO1196)</f>
        <v/>
      </c>
      <c r="Z1196" s="36" t="str">
        <f t="shared" ref="Z1196:Z1202" si="337">IF(AG1196="","",AG1196)&amp;IF(AH1196="","",","&amp;AH1196)&amp;IF(AI1196="","",","&amp;AI1196)</f>
        <v/>
      </c>
      <c r="AA1196" s="36" t="str">
        <f t="shared" ref="AA1196:AA1202" si="338">IF(AJ1196="","",AJ1196)&amp;IF(AK1196="","",","&amp;AK1196)</f>
        <v/>
      </c>
      <c r="AB1196" s="27" t="str">
        <f t="shared" ref="AB1196:AB1202" si="339">IFERROR(ROUND(((X1196/L1196)-1)*100,0)&amp;"%","")</f>
        <v/>
      </c>
      <c r="AC1196" s="2" t="str">
        <f t="shared" ref="AC1196:AC1202" si="340">IF(X1196-S1196-L1196=0,"",X1196-S1196-L1196)</f>
        <v/>
      </c>
      <c r="AD1196" s="38">
        <f t="shared" ref="AD1196:AD1202" si="341">C1196</f>
        <v>2</v>
      </c>
      <c r="AE1196" t="str">
        <f t="shared" ref="AE1196:AE1202" si="342">IF(AL1196="","",F1196&amp;"*"&amp;AL1196)</f>
        <v/>
      </c>
      <c r="AF1196" t="str">
        <f t="shared" ref="AF1196:AF1202" si="343">IF(AM1196="","",H1196&amp;"*"&amp;AM1196)</f>
        <v/>
      </c>
      <c r="AG1196" t="str">
        <f t="shared" ref="AG1196:AG1202" si="344">IF(AP1196="","",M1196&amp;"*"&amp;AP1196)</f>
        <v/>
      </c>
      <c r="AH1196" t="str">
        <f t="shared" ref="AH1196:AH1202" si="345">IF(AQ1196="","",O1196&amp;"*"&amp;AQ1196)</f>
        <v/>
      </c>
      <c r="AI1196" t="str">
        <f t="shared" ref="AI1196:AI1202" si="346">IF(AR1196="","",Q1196&amp;"*"&amp;AR1196)</f>
        <v/>
      </c>
      <c r="AJ1196" t="str">
        <f t="shared" ref="AJ1196:AJ1202" si="347">IF(AS1196="","",T1196&amp;"*"&amp;AS1196)</f>
        <v/>
      </c>
      <c r="AK1196" t="str">
        <f t="shared" ref="AK1196:AK1202" si="348">IF(AT1196="","",V1196&amp;"*"&amp;AT1196)</f>
        <v/>
      </c>
      <c r="AL1196" t="str">
        <f>IFERROR(ROUND(L1196*(G1196/$AU1196)/VLOOKUP(F1196,商品!$A$4:$B$60,2,FALSE),0),"")</f>
        <v/>
      </c>
      <c r="AM1196" t="str">
        <f>IFERROR(ROUND(L1196*(I1196/$AU1196)/VLOOKUP(H1196,商品!$A$4:$B$60,2,FALSE),0),"")</f>
        <v/>
      </c>
      <c r="AN1196">
        <f>IFERROR(ROUND(L1196*(J1196/$AU1196)/VLOOKUP("运力",商品!$A$4:$B$60,2,FALSE),0),0)</f>
        <v>0</v>
      </c>
      <c r="AO1196">
        <f>IFERROR(ROUND(L1196*(K1196/$AU1196)/VLOOKUP("交易",商品!$A$4:$B$60,2,FALSE),0),0)</f>
        <v>0</v>
      </c>
      <c r="AP1196" t="str">
        <f>IFERROR(ROUND(S1196*(N1196/$AV1196)/VLOOKUP(M1196,职业!$A$4:$G$16,4,FALSE),0),"")</f>
        <v/>
      </c>
      <c r="AQ1196" t="str">
        <f>IFERROR(ROUND(S1196*(P1196/$AV1196)/VLOOKUP(O1196,职业!$A$4:$G$16,4,FALSE),0),"")</f>
        <v/>
      </c>
      <c r="AR1196" t="str">
        <f>IFERROR(ROUND(S1196*(R1196/$AV1196)/VLOOKUP(Q1196,职业!$A$4:$G$16,4,FALSE),0),"")</f>
        <v/>
      </c>
      <c r="AS1196" t="str">
        <f>IFERROR(ROUND(X1196*(U1196/$AW1196)/VLOOKUP(T1196,商品!$A$4:$B$60,2,FALSE),0),"")</f>
        <v/>
      </c>
      <c r="AT1196" t="str">
        <f>IFERROR(ROUND(X1196*(W1196/$AW1196)/VLOOKUP(V1196,商品!$A$4:$B$60,2,FALSE),0),"")</f>
        <v/>
      </c>
      <c r="AU1196">
        <f t="shared" ref="AU1196:AU1202" si="349">G1196+I1196+J1196+K1196</f>
        <v>0</v>
      </c>
      <c r="AV1196">
        <f t="shared" ref="AV1196:AV1202" si="350">ABS(N1196)+ABS(P1196)+ABS(R1196)</f>
        <v>0</v>
      </c>
      <c r="AW1196">
        <f t="shared" ref="AW1196:AW1202" si="351">U1196+W1196</f>
        <v>0</v>
      </c>
    </row>
    <row r="1197" spans="1:49" ht="19.95" customHeight="1" x14ac:dyDescent="0.25">
      <c r="A1197" s="15" t="s">
        <v>436</v>
      </c>
      <c r="C1197" s="15">
        <v>3</v>
      </c>
      <c r="D1197" s="23" t="s">
        <v>174</v>
      </c>
      <c r="E1197" s="23" t="s">
        <v>179</v>
      </c>
      <c r="L1197" s="16">
        <f>IFERROR(VLOOKUP($D1197&amp;$C1197,生产方式定位!$A$2:$E$38,2,FALSE)+VLOOKUP($E1197&amp;$C1197,生产方式定位!$F$3:$J$38,2,FALSE),0)</f>
        <v>0</v>
      </c>
      <c r="S1197" s="16">
        <f>IFERROR(VLOOKUP($D1197&amp;$C1197,生产方式定位!$A$2:$E$38,3,FALSE)+VLOOKUP($E1197&amp;$C1197,生产方式定位!$F$3:$J$38,3,FALSE),0)</f>
        <v>100</v>
      </c>
      <c r="X1197" s="16">
        <f>IFERROR(VLOOKUP($D1197&amp;$C1197,生产方式定位!$A$2:$E$38,5,FALSE)+VLOOKUP($E1197&amp;$C1197,生产方式定位!$F$3:$J$38,5,FALSE),"错误")</f>
        <v>100</v>
      </c>
      <c r="Y1197" s="26" t="str">
        <f t="shared" si="336"/>
        <v/>
      </c>
      <c r="Z1197" s="36" t="str">
        <f t="shared" si="337"/>
        <v/>
      </c>
      <c r="AA1197" s="36" t="str">
        <f t="shared" si="338"/>
        <v/>
      </c>
      <c r="AB1197" s="27" t="str">
        <f t="shared" si="339"/>
        <v/>
      </c>
      <c r="AC1197" s="2" t="str">
        <f t="shared" si="340"/>
        <v/>
      </c>
      <c r="AD1197" s="38">
        <f t="shared" si="341"/>
        <v>3</v>
      </c>
      <c r="AE1197" t="str">
        <f t="shared" si="342"/>
        <v/>
      </c>
      <c r="AF1197" t="str">
        <f t="shared" si="343"/>
        <v/>
      </c>
      <c r="AG1197" t="str">
        <f t="shared" si="344"/>
        <v/>
      </c>
      <c r="AH1197" t="str">
        <f t="shared" si="345"/>
        <v/>
      </c>
      <c r="AI1197" t="str">
        <f t="shared" si="346"/>
        <v/>
      </c>
      <c r="AJ1197" t="str">
        <f t="shared" si="347"/>
        <v/>
      </c>
      <c r="AK1197" t="str">
        <f t="shared" si="348"/>
        <v/>
      </c>
      <c r="AL1197" t="str">
        <f>IFERROR(ROUND(L1197*(G1197/$AU1197)/VLOOKUP(F1197,商品!$A$4:$B$60,2,FALSE),0),"")</f>
        <v/>
      </c>
      <c r="AM1197" t="str">
        <f>IFERROR(ROUND(L1197*(I1197/$AU1197)/VLOOKUP(H1197,商品!$A$4:$B$60,2,FALSE),0),"")</f>
        <v/>
      </c>
      <c r="AN1197">
        <f>IFERROR(ROUND(L1197*(J1197/$AU1197)/VLOOKUP("运力",商品!$A$4:$B$60,2,FALSE),0),0)</f>
        <v>0</v>
      </c>
      <c r="AO1197">
        <f>IFERROR(ROUND(L1197*(K1197/$AU1197)/VLOOKUP("交易",商品!$A$4:$B$60,2,FALSE),0),0)</f>
        <v>0</v>
      </c>
      <c r="AP1197" t="str">
        <f>IFERROR(ROUND(S1197*(N1197/$AV1197)/VLOOKUP(M1197,职业!$A$4:$G$16,4,FALSE),0),"")</f>
        <v/>
      </c>
      <c r="AQ1197" t="str">
        <f>IFERROR(ROUND(S1197*(P1197/$AV1197)/VLOOKUP(O1197,职业!$A$4:$G$16,4,FALSE),0),"")</f>
        <v/>
      </c>
      <c r="AR1197" t="str">
        <f>IFERROR(ROUND(S1197*(R1197/$AV1197)/VLOOKUP(Q1197,职业!$A$4:$G$16,4,FALSE),0),"")</f>
        <v/>
      </c>
      <c r="AS1197" t="str">
        <f>IFERROR(ROUND(X1197*(U1197/$AW1197)/VLOOKUP(T1197,商品!$A$4:$B$60,2,FALSE),0),"")</f>
        <v/>
      </c>
      <c r="AT1197" t="str">
        <f>IFERROR(ROUND(X1197*(W1197/$AW1197)/VLOOKUP(V1197,商品!$A$4:$B$60,2,FALSE),0),"")</f>
        <v/>
      </c>
      <c r="AU1197">
        <f t="shared" si="349"/>
        <v>0</v>
      </c>
      <c r="AV1197">
        <f t="shared" si="350"/>
        <v>0</v>
      </c>
      <c r="AW1197">
        <f t="shared" si="351"/>
        <v>0</v>
      </c>
    </row>
    <row r="1198" spans="1:49" ht="19.95" customHeight="1" x14ac:dyDescent="0.25">
      <c r="A1198" s="15" t="s">
        <v>436</v>
      </c>
      <c r="C1198" s="15">
        <v>4</v>
      </c>
      <c r="D1198" s="23" t="s">
        <v>174</v>
      </c>
      <c r="E1198" s="23" t="s">
        <v>179</v>
      </c>
      <c r="L1198" s="16">
        <f>IFERROR(VLOOKUP($D1198&amp;$C1198,生产方式定位!$A$2:$E$38,2,FALSE)+VLOOKUP($E1198&amp;$C1198,生产方式定位!$F$3:$J$38,2,FALSE),0)</f>
        <v>0</v>
      </c>
      <c r="S1198" s="16">
        <f>IFERROR(VLOOKUP($D1198&amp;$C1198,生产方式定位!$A$2:$E$38,3,FALSE)+VLOOKUP($E1198&amp;$C1198,生产方式定位!$F$3:$J$38,3,FALSE),0)</f>
        <v>100</v>
      </c>
      <c r="X1198" s="16">
        <f>IFERROR(VLOOKUP($D1198&amp;$C1198,生产方式定位!$A$2:$E$38,5,FALSE)+VLOOKUP($E1198&amp;$C1198,生产方式定位!$F$3:$J$38,5,FALSE),"错误")</f>
        <v>100</v>
      </c>
      <c r="Y1198" s="26" t="str">
        <f t="shared" si="336"/>
        <v/>
      </c>
      <c r="Z1198" s="36" t="str">
        <f t="shared" si="337"/>
        <v/>
      </c>
      <c r="AA1198" s="36" t="str">
        <f t="shared" si="338"/>
        <v/>
      </c>
      <c r="AB1198" s="27" t="str">
        <f t="shared" si="339"/>
        <v/>
      </c>
      <c r="AC1198" s="2" t="str">
        <f t="shared" si="340"/>
        <v/>
      </c>
      <c r="AD1198" s="38">
        <f t="shared" si="341"/>
        <v>4</v>
      </c>
      <c r="AE1198" t="str">
        <f t="shared" si="342"/>
        <v/>
      </c>
      <c r="AF1198" t="str">
        <f t="shared" si="343"/>
        <v/>
      </c>
      <c r="AG1198" t="str">
        <f t="shared" si="344"/>
        <v/>
      </c>
      <c r="AH1198" t="str">
        <f t="shared" si="345"/>
        <v/>
      </c>
      <c r="AI1198" t="str">
        <f t="shared" si="346"/>
        <v/>
      </c>
      <c r="AJ1198" t="str">
        <f t="shared" si="347"/>
        <v/>
      </c>
      <c r="AK1198" t="str">
        <f t="shared" si="348"/>
        <v/>
      </c>
      <c r="AL1198" t="str">
        <f>IFERROR(ROUND(L1198*(G1198/$AU1198)/VLOOKUP(F1198,商品!$A$4:$B$60,2,FALSE),0),"")</f>
        <v/>
      </c>
      <c r="AM1198" t="str">
        <f>IFERROR(ROUND(L1198*(I1198/$AU1198)/VLOOKUP(H1198,商品!$A$4:$B$60,2,FALSE),0),"")</f>
        <v/>
      </c>
      <c r="AN1198">
        <f>IFERROR(ROUND(L1198*(J1198/$AU1198)/VLOOKUP("运力",商品!$A$4:$B$60,2,FALSE),0),0)</f>
        <v>0</v>
      </c>
      <c r="AO1198">
        <f>IFERROR(ROUND(L1198*(K1198/$AU1198)/VLOOKUP("交易",商品!$A$4:$B$60,2,FALSE),0),0)</f>
        <v>0</v>
      </c>
      <c r="AP1198" t="str">
        <f>IFERROR(ROUND(S1198*(N1198/$AV1198)/VLOOKUP(M1198,职业!$A$4:$G$16,4,FALSE),0),"")</f>
        <v/>
      </c>
      <c r="AQ1198" t="str">
        <f>IFERROR(ROUND(S1198*(P1198/$AV1198)/VLOOKUP(O1198,职业!$A$4:$G$16,4,FALSE),0),"")</f>
        <v/>
      </c>
      <c r="AR1198" t="str">
        <f>IFERROR(ROUND(S1198*(R1198/$AV1198)/VLOOKUP(Q1198,职业!$A$4:$G$16,4,FALSE),0),"")</f>
        <v/>
      </c>
      <c r="AS1198" t="str">
        <f>IFERROR(ROUND(X1198*(U1198/$AW1198)/VLOOKUP(T1198,商品!$A$4:$B$60,2,FALSE),0),"")</f>
        <v/>
      </c>
      <c r="AT1198" t="str">
        <f>IFERROR(ROUND(X1198*(W1198/$AW1198)/VLOOKUP(V1198,商品!$A$4:$B$60,2,FALSE),0),"")</f>
        <v/>
      </c>
      <c r="AU1198">
        <f t="shared" si="349"/>
        <v>0</v>
      </c>
      <c r="AV1198">
        <f t="shared" si="350"/>
        <v>0</v>
      </c>
      <c r="AW1198">
        <f t="shared" si="351"/>
        <v>0</v>
      </c>
    </row>
    <row r="1199" spans="1:49" ht="19.95" customHeight="1" x14ac:dyDescent="0.25">
      <c r="A1199" s="15" t="s">
        <v>436</v>
      </c>
      <c r="C1199" s="15">
        <v>5</v>
      </c>
      <c r="D1199" s="23" t="s">
        <v>174</v>
      </c>
      <c r="E1199" s="23" t="s">
        <v>179</v>
      </c>
      <c r="L1199" s="16">
        <f>IFERROR(VLOOKUP($D1199&amp;$C1199,生产方式定位!$A$2:$E$38,2,FALSE)+VLOOKUP($E1199&amp;$C1199,生产方式定位!$F$3:$J$38,2,FALSE),0)</f>
        <v>0</v>
      </c>
      <c r="S1199" s="16">
        <f>IFERROR(VLOOKUP($D1199&amp;$C1199,生产方式定位!$A$2:$E$38,3,FALSE)+VLOOKUP($E1199&amp;$C1199,生产方式定位!$F$3:$J$38,3,FALSE),0)</f>
        <v>100</v>
      </c>
      <c r="X1199" s="16">
        <f>IFERROR(VLOOKUP($D1199&amp;$C1199,生产方式定位!$A$2:$E$38,5,FALSE)+VLOOKUP($E1199&amp;$C1199,生产方式定位!$F$3:$J$38,5,FALSE),"错误")</f>
        <v>100</v>
      </c>
      <c r="Y1199" s="26" t="str">
        <f t="shared" si="336"/>
        <v/>
      </c>
      <c r="Z1199" s="36" t="str">
        <f t="shared" si="337"/>
        <v/>
      </c>
      <c r="AA1199" s="36" t="str">
        <f t="shared" si="338"/>
        <v/>
      </c>
      <c r="AB1199" s="27" t="str">
        <f t="shared" si="339"/>
        <v/>
      </c>
      <c r="AC1199" s="2" t="str">
        <f t="shared" si="340"/>
        <v/>
      </c>
      <c r="AD1199" s="38">
        <f t="shared" si="341"/>
        <v>5</v>
      </c>
      <c r="AE1199" t="str">
        <f t="shared" si="342"/>
        <v/>
      </c>
      <c r="AF1199" t="str">
        <f t="shared" si="343"/>
        <v/>
      </c>
      <c r="AG1199" t="str">
        <f t="shared" si="344"/>
        <v/>
      </c>
      <c r="AH1199" t="str">
        <f t="shared" si="345"/>
        <v/>
      </c>
      <c r="AI1199" t="str">
        <f t="shared" si="346"/>
        <v/>
      </c>
      <c r="AJ1199" t="str">
        <f t="shared" si="347"/>
        <v/>
      </c>
      <c r="AK1199" t="str">
        <f t="shared" si="348"/>
        <v/>
      </c>
      <c r="AL1199" t="str">
        <f>IFERROR(ROUND(L1199*(G1199/$AU1199)/VLOOKUP(F1199,商品!$A$4:$B$60,2,FALSE),0),"")</f>
        <v/>
      </c>
      <c r="AM1199" t="str">
        <f>IFERROR(ROUND(L1199*(I1199/$AU1199)/VLOOKUP(H1199,商品!$A$4:$B$60,2,FALSE),0),"")</f>
        <v/>
      </c>
      <c r="AN1199">
        <f>IFERROR(ROUND(L1199*(J1199/$AU1199)/VLOOKUP("运力",商品!$A$4:$B$60,2,FALSE),0),0)</f>
        <v>0</v>
      </c>
      <c r="AO1199">
        <f>IFERROR(ROUND(L1199*(K1199/$AU1199)/VLOOKUP("交易",商品!$A$4:$B$60,2,FALSE),0),0)</f>
        <v>0</v>
      </c>
      <c r="AP1199" t="str">
        <f>IFERROR(ROUND(S1199*(N1199/$AV1199)/VLOOKUP(M1199,职业!$A$4:$G$16,4,FALSE),0),"")</f>
        <v/>
      </c>
      <c r="AQ1199" t="str">
        <f>IFERROR(ROUND(S1199*(P1199/$AV1199)/VLOOKUP(O1199,职业!$A$4:$G$16,4,FALSE),0),"")</f>
        <v/>
      </c>
      <c r="AR1199" t="str">
        <f>IFERROR(ROUND(S1199*(R1199/$AV1199)/VLOOKUP(Q1199,职业!$A$4:$G$16,4,FALSE),0),"")</f>
        <v/>
      </c>
      <c r="AS1199" t="str">
        <f>IFERROR(ROUND(X1199*(U1199/$AW1199)/VLOOKUP(T1199,商品!$A$4:$B$60,2,FALSE),0),"")</f>
        <v/>
      </c>
      <c r="AT1199" t="str">
        <f>IFERROR(ROUND(X1199*(W1199/$AW1199)/VLOOKUP(V1199,商品!$A$4:$B$60,2,FALSE),0),"")</f>
        <v/>
      </c>
      <c r="AU1199">
        <f t="shared" si="349"/>
        <v>0</v>
      </c>
      <c r="AV1199">
        <f t="shared" si="350"/>
        <v>0</v>
      </c>
      <c r="AW1199">
        <f t="shared" si="351"/>
        <v>0</v>
      </c>
    </row>
    <row r="1200" spans="1:49" ht="19.95" customHeight="1" x14ac:dyDescent="0.25">
      <c r="A1200" s="15" t="s">
        <v>436</v>
      </c>
      <c r="C1200" s="15">
        <v>6</v>
      </c>
      <c r="D1200" s="23" t="s">
        <v>174</v>
      </c>
      <c r="E1200" s="23" t="s">
        <v>179</v>
      </c>
      <c r="L1200" s="16">
        <f>IFERROR(VLOOKUP($D1200&amp;$C1200,生产方式定位!$A$2:$E$38,2,FALSE)+VLOOKUP($E1200&amp;$C1200,生产方式定位!$F$3:$J$38,2,FALSE),0)</f>
        <v>0</v>
      </c>
      <c r="S1200" s="16">
        <f>IFERROR(VLOOKUP($D1200&amp;$C1200,生产方式定位!$A$2:$E$38,3,FALSE)+VLOOKUP($E1200&amp;$C1200,生产方式定位!$F$3:$J$38,3,FALSE),0)</f>
        <v>100</v>
      </c>
      <c r="X1200" s="16">
        <f>IFERROR(VLOOKUP($D1200&amp;$C1200,生产方式定位!$A$2:$E$38,5,FALSE)+VLOOKUP($E1200&amp;$C1200,生产方式定位!$F$3:$J$38,5,FALSE),"错误")</f>
        <v>100</v>
      </c>
      <c r="Y1200" s="26" t="str">
        <f t="shared" si="336"/>
        <v/>
      </c>
      <c r="Z1200" s="36" t="str">
        <f t="shared" si="337"/>
        <v/>
      </c>
      <c r="AA1200" s="36" t="str">
        <f t="shared" si="338"/>
        <v/>
      </c>
      <c r="AB1200" s="27" t="str">
        <f t="shared" si="339"/>
        <v/>
      </c>
      <c r="AC1200" s="2" t="str">
        <f t="shared" si="340"/>
        <v/>
      </c>
      <c r="AD1200" s="37">
        <f t="shared" si="341"/>
        <v>6</v>
      </c>
      <c r="AE1200" t="str">
        <f t="shared" si="342"/>
        <v/>
      </c>
      <c r="AF1200" t="str">
        <f t="shared" si="343"/>
        <v/>
      </c>
      <c r="AG1200" t="str">
        <f t="shared" si="344"/>
        <v/>
      </c>
      <c r="AH1200" t="str">
        <f t="shared" si="345"/>
        <v/>
      </c>
      <c r="AI1200" t="str">
        <f t="shared" si="346"/>
        <v/>
      </c>
      <c r="AJ1200" t="str">
        <f t="shared" si="347"/>
        <v/>
      </c>
      <c r="AK1200" t="str">
        <f t="shared" si="348"/>
        <v/>
      </c>
      <c r="AL1200" t="str">
        <f>IFERROR(ROUND(L1200*(G1200/$AU1200)/VLOOKUP(F1200,商品!$A$4:$B$60,2,FALSE),0),"")</f>
        <v/>
      </c>
      <c r="AM1200" t="str">
        <f>IFERROR(ROUND(L1200*(I1200/$AU1200)/VLOOKUP(H1200,商品!$A$4:$B$60,2,FALSE),0),"")</f>
        <v/>
      </c>
      <c r="AN1200">
        <f>IFERROR(ROUND(L1200*(J1200/$AU1200)/VLOOKUP("运力",商品!$A$4:$B$60,2,FALSE),0),0)</f>
        <v>0</v>
      </c>
      <c r="AO1200">
        <f>IFERROR(ROUND(L1200*(K1200/$AU1200)/VLOOKUP("交易",商品!$A$4:$B$60,2,FALSE),0),0)</f>
        <v>0</v>
      </c>
      <c r="AP1200" t="str">
        <f>IFERROR(ROUND(S1200*(N1200/$AV1200)/VLOOKUP(M1200,职业!$A$4:$G$16,4,FALSE),0),"")</f>
        <v/>
      </c>
      <c r="AQ1200" t="str">
        <f>IFERROR(ROUND(S1200*(P1200/$AV1200)/VLOOKUP(O1200,职业!$A$4:$G$16,4,FALSE),0),"")</f>
        <v/>
      </c>
      <c r="AR1200" t="str">
        <f>IFERROR(ROUND(S1200*(R1200/$AV1200)/VLOOKUP(Q1200,职业!$A$4:$G$16,4,FALSE),0),"")</f>
        <v/>
      </c>
      <c r="AS1200" t="str">
        <f>IFERROR(ROUND(X1200*(U1200/$AW1200)/VLOOKUP(T1200,商品!$A$4:$B$60,2,FALSE),0),"")</f>
        <v/>
      </c>
      <c r="AT1200" t="str">
        <f>IFERROR(ROUND(X1200*(W1200/$AW1200)/VLOOKUP(V1200,商品!$A$4:$B$60,2,FALSE),0),"")</f>
        <v/>
      </c>
      <c r="AU1200">
        <f t="shared" si="349"/>
        <v>0</v>
      </c>
      <c r="AV1200">
        <f t="shared" si="350"/>
        <v>0</v>
      </c>
      <c r="AW1200">
        <f t="shared" si="351"/>
        <v>0</v>
      </c>
    </row>
    <row r="1201" spans="1:49" ht="19.95" customHeight="1" x14ac:dyDescent="0.25">
      <c r="A1201" s="15" t="s">
        <v>436</v>
      </c>
      <c r="C1201" s="15">
        <v>7</v>
      </c>
      <c r="D1201" s="23" t="s">
        <v>174</v>
      </c>
      <c r="E1201" s="23" t="s">
        <v>179</v>
      </c>
      <c r="L1201" s="16">
        <f>IFERROR(VLOOKUP($D1201&amp;$C1201,生产方式定位!$A$2:$E$38,2,FALSE)+VLOOKUP($E1201&amp;$C1201,生产方式定位!$F$3:$J$38,2,FALSE),0)</f>
        <v>0</v>
      </c>
      <c r="S1201" s="16">
        <f>IFERROR(VLOOKUP($D1201&amp;$C1201,生产方式定位!$A$2:$E$38,3,FALSE)+VLOOKUP($E1201&amp;$C1201,生产方式定位!$F$3:$J$38,3,FALSE),0)</f>
        <v>100</v>
      </c>
      <c r="X1201" s="16">
        <f>IFERROR(VLOOKUP($D1201&amp;$C1201,生产方式定位!$A$2:$E$38,5,FALSE)+VLOOKUP($E1201&amp;$C1201,生产方式定位!$F$3:$J$38,5,FALSE),"错误")</f>
        <v>100</v>
      </c>
      <c r="Y1201" s="26" t="str">
        <f t="shared" si="336"/>
        <v/>
      </c>
      <c r="Z1201" s="36" t="str">
        <f t="shared" si="337"/>
        <v/>
      </c>
      <c r="AA1201" s="36" t="str">
        <f t="shared" si="338"/>
        <v/>
      </c>
      <c r="AB1201" s="27" t="str">
        <f t="shared" si="339"/>
        <v/>
      </c>
      <c r="AC1201" s="2" t="str">
        <f t="shared" si="340"/>
        <v/>
      </c>
      <c r="AD1201" s="37">
        <f t="shared" si="341"/>
        <v>7</v>
      </c>
      <c r="AE1201" t="str">
        <f t="shared" si="342"/>
        <v/>
      </c>
      <c r="AF1201" t="str">
        <f t="shared" si="343"/>
        <v/>
      </c>
      <c r="AG1201" t="str">
        <f t="shared" si="344"/>
        <v/>
      </c>
      <c r="AH1201" t="str">
        <f t="shared" si="345"/>
        <v/>
      </c>
      <c r="AI1201" t="str">
        <f t="shared" si="346"/>
        <v/>
      </c>
      <c r="AJ1201" t="str">
        <f t="shared" si="347"/>
        <v/>
      </c>
      <c r="AK1201" t="str">
        <f t="shared" si="348"/>
        <v/>
      </c>
      <c r="AL1201" t="str">
        <f>IFERROR(ROUND(L1201*(G1201/$AU1201)/VLOOKUP(F1201,商品!$A$4:$B$60,2,FALSE),0),"")</f>
        <v/>
      </c>
      <c r="AM1201" t="str">
        <f>IFERROR(ROUND(L1201*(I1201/$AU1201)/VLOOKUP(H1201,商品!$A$4:$B$60,2,FALSE),0),"")</f>
        <v/>
      </c>
      <c r="AN1201">
        <f>IFERROR(ROUND(L1201*(J1201/$AU1201)/VLOOKUP("运力",商品!$A$4:$B$60,2,FALSE),0),0)</f>
        <v>0</v>
      </c>
      <c r="AO1201">
        <f>IFERROR(ROUND(L1201*(K1201/$AU1201)/VLOOKUP("交易",商品!$A$4:$B$60,2,FALSE),0),0)</f>
        <v>0</v>
      </c>
      <c r="AP1201" t="str">
        <f>IFERROR(ROUND(S1201*(N1201/$AV1201)/VLOOKUP(M1201,职业!$A$4:$G$16,4,FALSE),0),"")</f>
        <v/>
      </c>
      <c r="AQ1201" t="str">
        <f>IFERROR(ROUND(S1201*(P1201/$AV1201)/VLOOKUP(O1201,职业!$A$4:$G$16,4,FALSE),0),"")</f>
        <v/>
      </c>
      <c r="AR1201" t="str">
        <f>IFERROR(ROUND(S1201*(R1201/$AV1201)/VLOOKUP(Q1201,职业!$A$4:$G$16,4,FALSE),0),"")</f>
        <v/>
      </c>
      <c r="AS1201" t="str">
        <f>IFERROR(ROUND(X1201*(U1201/$AW1201)/VLOOKUP(T1201,商品!$A$4:$B$60,2,FALSE),0),"")</f>
        <v/>
      </c>
      <c r="AT1201" t="str">
        <f>IFERROR(ROUND(X1201*(W1201/$AW1201)/VLOOKUP(V1201,商品!$A$4:$B$60,2,FALSE),0),"")</f>
        <v/>
      </c>
      <c r="AU1201">
        <f t="shared" si="349"/>
        <v>0</v>
      </c>
      <c r="AV1201">
        <f t="shared" si="350"/>
        <v>0</v>
      </c>
      <c r="AW1201">
        <f t="shared" si="351"/>
        <v>0</v>
      </c>
    </row>
    <row r="1202" spans="1:49" ht="19.95" customHeight="1" x14ac:dyDescent="0.25">
      <c r="A1202" s="15" t="s">
        <v>436</v>
      </c>
      <c r="C1202" s="15">
        <v>8</v>
      </c>
      <c r="D1202" s="23" t="s">
        <v>174</v>
      </c>
      <c r="E1202" s="23" t="s">
        <v>179</v>
      </c>
      <c r="L1202" s="16">
        <f>IFERROR(VLOOKUP($D1202&amp;$C1202,生产方式定位!$A$2:$E$38,2,FALSE)+VLOOKUP($E1202&amp;$C1202,生产方式定位!$F$3:$J$38,2,FALSE),0)</f>
        <v>0</v>
      </c>
      <c r="S1202" s="16">
        <f>IFERROR(VLOOKUP($D1202&amp;$C1202,生产方式定位!$A$2:$E$38,3,FALSE)+VLOOKUP($E1202&amp;$C1202,生产方式定位!$F$3:$J$38,3,FALSE),0)</f>
        <v>100</v>
      </c>
      <c r="X1202" s="16">
        <f>IFERROR(VLOOKUP($D1202&amp;$C1202,生产方式定位!$A$2:$E$38,5,FALSE)+VLOOKUP($E1202&amp;$C1202,生产方式定位!$F$3:$J$38,5,FALSE),"错误")</f>
        <v>100</v>
      </c>
      <c r="Y1202" s="26" t="str">
        <f t="shared" si="336"/>
        <v/>
      </c>
      <c r="Z1202" s="36" t="str">
        <f t="shared" si="337"/>
        <v/>
      </c>
      <c r="AA1202" s="36" t="str">
        <f t="shared" si="338"/>
        <v/>
      </c>
      <c r="AB1202" s="27" t="str">
        <f t="shared" si="339"/>
        <v/>
      </c>
      <c r="AC1202" s="2" t="str">
        <f t="shared" si="340"/>
        <v/>
      </c>
      <c r="AD1202" s="37">
        <f t="shared" si="341"/>
        <v>8</v>
      </c>
      <c r="AE1202" t="str">
        <f t="shared" si="342"/>
        <v/>
      </c>
      <c r="AF1202" t="str">
        <f t="shared" si="343"/>
        <v/>
      </c>
      <c r="AG1202" t="str">
        <f t="shared" si="344"/>
        <v/>
      </c>
      <c r="AH1202" t="str">
        <f t="shared" si="345"/>
        <v/>
      </c>
      <c r="AI1202" t="str">
        <f t="shared" si="346"/>
        <v/>
      </c>
      <c r="AJ1202" t="str">
        <f t="shared" si="347"/>
        <v/>
      </c>
      <c r="AK1202" t="str">
        <f t="shared" si="348"/>
        <v/>
      </c>
      <c r="AL1202" t="str">
        <f>IFERROR(ROUND(L1202*(G1202/$AU1202)/VLOOKUP(F1202,商品!$A$4:$B$60,2,FALSE),0),"")</f>
        <v/>
      </c>
      <c r="AM1202" t="str">
        <f>IFERROR(ROUND(L1202*(I1202/$AU1202)/VLOOKUP(H1202,商品!$A$4:$B$60,2,FALSE),0),"")</f>
        <v/>
      </c>
      <c r="AN1202">
        <f>IFERROR(ROUND(L1202*(J1202/$AU1202)/VLOOKUP("运力",商品!$A$4:$B$60,2,FALSE),0),0)</f>
        <v>0</v>
      </c>
      <c r="AO1202">
        <f>IFERROR(ROUND(L1202*(K1202/$AU1202)/VLOOKUP("交易",商品!$A$4:$B$60,2,FALSE),0),0)</f>
        <v>0</v>
      </c>
      <c r="AP1202" t="str">
        <f>IFERROR(ROUND(S1202*(N1202/$AV1202)/VLOOKUP(M1202,职业!$A$4:$G$16,4,FALSE),0),"")</f>
        <v/>
      </c>
      <c r="AQ1202" t="str">
        <f>IFERROR(ROUND(S1202*(P1202/$AV1202)/VLOOKUP(O1202,职业!$A$4:$G$16,4,FALSE),0),"")</f>
        <v/>
      </c>
      <c r="AR1202" t="str">
        <f>IFERROR(ROUND(S1202*(R1202/$AV1202)/VLOOKUP(Q1202,职业!$A$4:$G$16,4,FALSE),0),"")</f>
        <v/>
      </c>
      <c r="AS1202" t="str">
        <f>IFERROR(ROUND(X1202*(U1202/$AW1202)/VLOOKUP(T1202,商品!$A$4:$B$60,2,FALSE),0),"")</f>
        <v/>
      </c>
      <c r="AT1202" t="str">
        <f>IFERROR(ROUND(X1202*(W1202/$AW1202)/VLOOKUP(V1202,商品!$A$4:$B$60,2,FALSE),0),"")</f>
        <v/>
      </c>
      <c r="AU1202">
        <f t="shared" si="349"/>
        <v>0</v>
      </c>
      <c r="AV1202">
        <f t="shared" si="350"/>
        <v>0</v>
      </c>
      <c r="AW1202">
        <f t="shared" si="351"/>
        <v>0</v>
      </c>
    </row>
  </sheetData>
  <mergeCells count="4">
    <mergeCell ref="AD1:AD4"/>
    <mergeCell ref="AX1:AX4"/>
    <mergeCell ref="A1:C3"/>
    <mergeCell ref="M1:R3"/>
  </mergeCells>
  <phoneticPr fontId="12" type="noConversion"/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1025" r:id="rId3" name="pmTransformer1">
          <controlPr defaultSize="0" altText="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2</xdr:col>
                <xdr:colOff>441960</xdr:colOff>
                <xdr:row>2</xdr:row>
                <xdr:rowOff>205740</xdr:rowOff>
              </to>
            </anchor>
          </controlPr>
        </control>
      </mc:Choice>
      <mc:Fallback>
        <control shapeId="1025" r:id="rId3" name="pmTransformer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G1207"/>
  <sheetViews>
    <sheetView showGridLines="0" zoomScale="90" zoomScaleNormal="90" workbookViewId="0">
      <pane xSplit="3" ySplit="4" topLeftCell="D5" activePane="bottomRight" state="frozen"/>
      <selection pane="topRight"/>
      <selection pane="bottomLeft"/>
      <selection pane="bottomRight" activeCell="E8" sqref="E8"/>
    </sheetView>
  </sheetViews>
  <sheetFormatPr defaultColWidth="9" defaultRowHeight="19.05" customHeight="1" x14ac:dyDescent="0.25"/>
  <cols>
    <col min="1" max="1" width="22" style="2" customWidth="1"/>
    <col min="2" max="2" width="13.44140625" style="2" customWidth="1"/>
    <col min="3" max="3" width="5.6640625" style="2" customWidth="1"/>
    <col min="4" max="4" width="6.77734375" style="2" customWidth="1"/>
    <col min="5" max="5" width="5.6640625" style="2" customWidth="1"/>
    <col min="6" max="6" width="6.77734375" style="2" customWidth="1"/>
    <col min="7" max="7" width="5.6640625" style="2" customWidth="1"/>
    <col min="8" max="8" width="6.77734375" style="2" customWidth="1"/>
    <col min="9" max="9" width="5.6640625" style="2" customWidth="1"/>
    <col min="10" max="10" width="6.77734375" style="2" customWidth="1"/>
    <col min="11" max="11" width="5.6640625" style="2" customWidth="1"/>
    <col min="12" max="12" width="7" style="2" customWidth="1"/>
    <col min="13" max="13" width="5.6640625" style="2" customWidth="1"/>
    <col min="14" max="14" width="7" style="2" customWidth="1"/>
    <col min="15" max="15" width="5.6640625" style="2" customWidth="1"/>
    <col min="16" max="16" width="6.77734375" style="2" customWidth="1"/>
    <col min="17" max="17" width="5.6640625" style="2" customWidth="1"/>
    <col min="18" max="18" width="6.77734375" style="2" customWidth="1"/>
    <col min="19" max="19" width="5.6640625" style="10" customWidth="1"/>
    <col min="20" max="22" width="11.21875" style="2" customWidth="1"/>
    <col min="23" max="23" width="9.88671875" style="2" customWidth="1"/>
    <col min="24" max="24" width="4.88671875" style="11" customWidth="1"/>
    <col min="25" max="32" width="6.77734375" customWidth="1"/>
    <col min="33" max="33" width="4.88671875" style="11" customWidth="1"/>
  </cols>
  <sheetData>
    <row r="1" spans="1:33" ht="19.05" customHeight="1" x14ac:dyDescent="0.25">
      <c r="A1" s="12"/>
      <c r="B1" s="12"/>
      <c r="X1" s="84" t="s">
        <v>438</v>
      </c>
      <c r="AG1" s="87" t="s">
        <v>438</v>
      </c>
    </row>
    <row r="2" spans="1:33" ht="19.05" customHeight="1" x14ac:dyDescent="0.25">
      <c r="A2" s="12"/>
      <c r="B2" s="12"/>
      <c r="X2" s="85"/>
      <c r="AG2" s="88"/>
    </row>
    <row r="3" spans="1:33" ht="19.05" customHeight="1" x14ac:dyDescent="0.25">
      <c r="A3" s="12"/>
      <c r="B3" s="12"/>
      <c r="X3" s="85"/>
      <c r="Y3" s="2"/>
      <c r="Z3" s="2"/>
      <c r="AA3" s="2"/>
      <c r="AB3" s="2"/>
      <c r="AG3" s="88"/>
    </row>
    <row r="4" spans="1:33" ht="40.950000000000003" customHeight="1" x14ac:dyDescent="0.25">
      <c r="A4" s="6" t="s">
        <v>166</v>
      </c>
      <c r="B4" s="6" t="s">
        <v>167</v>
      </c>
      <c r="C4" s="13" t="s">
        <v>439</v>
      </c>
      <c r="D4" s="14" t="s">
        <v>441</v>
      </c>
      <c r="E4" s="14" t="s">
        <v>525</v>
      </c>
      <c r="F4" s="14" t="s">
        <v>443</v>
      </c>
      <c r="G4" s="14" t="s">
        <v>525</v>
      </c>
      <c r="H4" s="14" t="s">
        <v>526</v>
      </c>
      <c r="I4" s="14" t="s">
        <v>439</v>
      </c>
      <c r="J4" s="6" t="s">
        <v>447</v>
      </c>
      <c r="K4" s="6" t="s">
        <v>525</v>
      </c>
      <c r="L4" s="6" t="s">
        <v>448</v>
      </c>
      <c r="M4" s="6" t="s">
        <v>525</v>
      </c>
      <c r="N4" s="6" t="s">
        <v>449</v>
      </c>
      <c r="O4" s="6" t="s">
        <v>439</v>
      </c>
      <c r="P4" s="17" t="s">
        <v>451</v>
      </c>
      <c r="Q4" s="17" t="s">
        <v>525</v>
      </c>
      <c r="R4" s="17" t="s">
        <v>452</v>
      </c>
      <c r="S4" s="18" t="s">
        <v>439</v>
      </c>
      <c r="T4" s="19" t="s">
        <v>527</v>
      </c>
      <c r="U4" s="20" t="s">
        <v>528</v>
      </c>
      <c r="V4" s="21" t="s">
        <v>529</v>
      </c>
      <c r="W4" s="22" t="s">
        <v>530</v>
      </c>
      <c r="X4" s="86"/>
      <c r="Y4" s="14" t="s">
        <v>441</v>
      </c>
      <c r="Z4" s="14" t="s">
        <v>443</v>
      </c>
      <c r="AA4" s="14" t="s">
        <v>526</v>
      </c>
      <c r="AB4" s="6" t="s">
        <v>447</v>
      </c>
      <c r="AC4" s="6" t="s">
        <v>448</v>
      </c>
      <c r="AD4" s="6" t="s">
        <v>449</v>
      </c>
      <c r="AE4" s="17" t="s">
        <v>451</v>
      </c>
      <c r="AF4" s="17" t="s">
        <v>452</v>
      </c>
      <c r="AG4" s="89"/>
    </row>
    <row r="5" spans="1:33" ht="19.05" customHeight="1" x14ac:dyDescent="0.25">
      <c r="A5" s="15" t="s">
        <v>170</v>
      </c>
      <c r="B5" s="12"/>
      <c r="C5" s="15">
        <v>1</v>
      </c>
      <c r="D5" s="2" t="s">
        <v>2</v>
      </c>
      <c r="E5" s="2">
        <v>10</v>
      </c>
      <c r="J5" s="2" t="s">
        <v>80</v>
      </c>
      <c r="K5" s="2">
        <v>4900</v>
      </c>
      <c r="L5" s="2" t="s">
        <v>72</v>
      </c>
      <c r="M5" s="2">
        <v>150</v>
      </c>
      <c r="N5" s="2" t="s">
        <v>79</v>
      </c>
      <c r="O5" s="2">
        <v>750</v>
      </c>
      <c r="P5" s="2" t="s">
        <v>2</v>
      </c>
      <c r="Q5" s="2">
        <v>30</v>
      </c>
      <c r="T5" s="2">
        <f>SUM(Y5:AA5)</f>
        <v>200</v>
      </c>
      <c r="U5" s="2">
        <f>SUM(AB5:AC5)</f>
        <v>0</v>
      </c>
      <c r="V5" s="2">
        <f>SUM(AE5:AF5)</f>
        <v>600</v>
      </c>
      <c r="W5" s="2">
        <f>V5-T5-U5</f>
        <v>400</v>
      </c>
      <c r="Y5">
        <f>IFERROR(ROUND(E5*VLOOKUP(D5,商品!$A$4:$B$60,2,FALSE),0),"")</f>
        <v>200</v>
      </c>
      <c r="Z5" t="str">
        <f>IFERROR(ROUND(G5*VLOOKUP(F5,商品!$A$4:$B$60,2,FALSE),0),"")</f>
        <v/>
      </c>
      <c r="AA5" t="str">
        <f>IFERROR(ROUND(I5*VLOOKUP(H5,商品!$A$4:$B$60,2,FALSE),0),"")</f>
        <v/>
      </c>
      <c r="AB5" t="str">
        <f>IFERROR(ROUND(K5*VLOOKUP(J5,[1]note_pop_types!$A$16:$E$16,4,FALSE),0),"")</f>
        <v/>
      </c>
      <c r="AC5" t="str">
        <f>IFERROR(ROUND(M5*VLOOKUP(L5,[1]note_pop_types!$A$16:$E$16,4,FALSE),0),"")</f>
        <v/>
      </c>
      <c r="AD5" t="str">
        <f>IFERROR(ROUND(O5*VLOOKUP(N5,[1]note_pop_types!$A$16:$E$16,4,FALSE),0),"")</f>
        <v/>
      </c>
      <c r="AE5">
        <f>IFERROR(ROUND(Q5*VLOOKUP(P5,商品!$A$4:$B$60,2,FALSE),0),"")</f>
        <v>600</v>
      </c>
      <c r="AF5" t="str">
        <f>IFERROR(ROUND(S5*VLOOKUP(R5,商品!$A$4:$B$60,2,FALSE),0),"")</f>
        <v/>
      </c>
    </row>
    <row r="6" spans="1:33" ht="19.05" customHeight="1" x14ac:dyDescent="0.25">
      <c r="A6" s="15" t="s">
        <v>170</v>
      </c>
      <c r="B6" s="12"/>
      <c r="C6" s="15">
        <v>2</v>
      </c>
      <c r="T6" s="2">
        <f t="shared" ref="T6:T69" si="0">SUM(Y6:AA6)</f>
        <v>0</v>
      </c>
      <c r="U6" s="2">
        <f t="shared" ref="U6:U69" si="1">SUM(AB6:AC6)</f>
        <v>0</v>
      </c>
      <c r="V6" s="2">
        <f t="shared" ref="V6:V69" si="2">SUM(AE6:AF6)</f>
        <v>0</v>
      </c>
      <c r="W6" s="2">
        <f t="shared" ref="W6:W69" si="3">V6-T6-U6</f>
        <v>0</v>
      </c>
      <c r="Y6" t="str">
        <f>IFERROR(ROUND(E6*VLOOKUP(D6,商品!$A$4:$B$60,2,FALSE),0),"")</f>
        <v/>
      </c>
      <c r="Z6" t="str">
        <f>IFERROR(ROUND(G6*VLOOKUP(F6,商品!$A$4:$B$60,2,FALSE),0),"")</f>
        <v/>
      </c>
      <c r="AA6" t="str">
        <f>IFERROR(ROUND(I6*VLOOKUP(H6,商品!$A$4:$B$60,2,FALSE),0),"")</f>
        <v/>
      </c>
      <c r="AB6" t="str">
        <f>IFERROR(ROUND(K6*VLOOKUP(J6,[1]note_pop_types!$A$16:$E$16,4,FALSE),0),"")</f>
        <v/>
      </c>
      <c r="AC6" t="str">
        <f>IFERROR(ROUND(M6*VLOOKUP(L6,[1]note_pop_types!$A$16:$E$16,4,FALSE),0),"")</f>
        <v/>
      </c>
      <c r="AD6" t="str">
        <f>IFERROR(ROUND(O6*VLOOKUP(N6,[1]note_pop_types!$A$16:$E$16,4,FALSE),0),"")</f>
        <v/>
      </c>
      <c r="AE6" t="str">
        <f>IFERROR(ROUND(Q6*VLOOKUP(P6,商品!$A$4:$B$60,2,FALSE),0),"")</f>
        <v/>
      </c>
      <c r="AF6" t="str">
        <f>IFERROR(ROUND(S6*VLOOKUP(R6,商品!$A$4:$B$60,2,FALSE),0),"")</f>
        <v/>
      </c>
    </row>
    <row r="7" spans="1:33" ht="19.05" customHeight="1" x14ac:dyDescent="0.25">
      <c r="A7" s="15" t="s">
        <v>170</v>
      </c>
      <c r="C7" s="15">
        <v>3</v>
      </c>
      <c r="T7" s="2">
        <f t="shared" si="0"/>
        <v>0</v>
      </c>
      <c r="U7" s="2">
        <f t="shared" si="1"/>
        <v>0</v>
      </c>
      <c r="V7" s="2">
        <f t="shared" si="2"/>
        <v>0</v>
      </c>
      <c r="W7" s="2">
        <f t="shared" si="3"/>
        <v>0</v>
      </c>
      <c r="Y7" t="str">
        <f>IFERROR(ROUND(E7*VLOOKUP(D7,商品!$A$4:$B$60,2,FALSE),0),"")</f>
        <v/>
      </c>
      <c r="Z7" t="str">
        <f>IFERROR(ROUND(G7*VLOOKUP(F7,商品!$A$4:$B$60,2,FALSE),0),"")</f>
        <v/>
      </c>
      <c r="AA7" t="str">
        <f>IFERROR(ROUND(I7*VLOOKUP(H7,商品!$A$4:$B$60,2,FALSE),0),"")</f>
        <v/>
      </c>
      <c r="AB7" t="str">
        <f>IFERROR(ROUND(K7*VLOOKUP(J7,[1]note_pop_types!$A$16:$E$16,4,FALSE),0),"")</f>
        <v/>
      </c>
      <c r="AC7" t="str">
        <f>IFERROR(ROUND(M7*VLOOKUP(L7,[1]note_pop_types!$A$16:$E$16,4,FALSE),0),"")</f>
        <v/>
      </c>
      <c r="AD7" t="str">
        <f>IFERROR(ROUND(O7*VLOOKUP(N7,[1]note_pop_types!$A$16:$E$16,4,FALSE),0),"")</f>
        <v/>
      </c>
      <c r="AE7" t="str">
        <f>IFERROR(ROUND(Q7*VLOOKUP(P7,商品!$A$4:$B$60,2,FALSE),0),"")</f>
        <v/>
      </c>
      <c r="AF7" t="str">
        <f>IFERROR(ROUND(S7*VLOOKUP(R7,商品!$A$4:$B$60,2,FALSE),0),"")</f>
        <v/>
      </c>
    </row>
    <row r="8" spans="1:33" ht="19.05" customHeight="1" x14ac:dyDescent="0.25">
      <c r="A8" s="15" t="s">
        <v>170</v>
      </c>
      <c r="C8" s="15">
        <v>4</v>
      </c>
      <c r="T8" s="2">
        <f t="shared" si="0"/>
        <v>0</v>
      </c>
      <c r="U8" s="2">
        <f t="shared" si="1"/>
        <v>0</v>
      </c>
      <c r="V8" s="2">
        <f t="shared" si="2"/>
        <v>0</v>
      </c>
      <c r="W8" s="2">
        <f t="shared" si="3"/>
        <v>0</v>
      </c>
      <c r="Y8" t="str">
        <f>IFERROR(ROUND(E8*VLOOKUP(D8,商品!$A$4:$B$60,2,FALSE),0),"")</f>
        <v/>
      </c>
      <c r="Z8" t="str">
        <f>IFERROR(ROUND(G8*VLOOKUP(F8,商品!$A$4:$B$60,2,FALSE),0),"")</f>
        <v/>
      </c>
      <c r="AA8" t="str">
        <f>IFERROR(ROUND(I8*VLOOKUP(H8,商品!$A$4:$B$60,2,FALSE),0),"")</f>
        <v/>
      </c>
      <c r="AB8" t="str">
        <f>IFERROR(ROUND(K8*VLOOKUP(J8,[1]note_pop_types!$A$16:$E$16,4,FALSE),0),"")</f>
        <v/>
      </c>
      <c r="AC8" t="str">
        <f>IFERROR(ROUND(M8*VLOOKUP(L8,[1]note_pop_types!$A$16:$E$16,4,FALSE),0),"")</f>
        <v/>
      </c>
      <c r="AD8" t="str">
        <f>IFERROR(ROUND(O8*VLOOKUP(N8,[1]note_pop_types!$A$16:$E$16,4,FALSE),0),"")</f>
        <v/>
      </c>
      <c r="AE8" t="str">
        <f>IFERROR(ROUND(Q8*VLOOKUP(P8,商品!$A$4:$B$60,2,FALSE),0),"")</f>
        <v/>
      </c>
      <c r="AF8" t="str">
        <f>IFERROR(ROUND(S8*VLOOKUP(R8,商品!$A$4:$B$60,2,FALSE),0),"")</f>
        <v/>
      </c>
    </row>
    <row r="9" spans="1:33" ht="19.05" customHeight="1" x14ac:dyDescent="0.25">
      <c r="A9" s="15" t="s">
        <v>170</v>
      </c>
      <c r="C9" s="15">
        <v>5</v>
      </c>
      <c r="T9" s="2">
        <f t="shared" si="0"/>
        <v>0</v>
      </c>
      <c r="U9" s="2">
        <f t="shared" si="1"/>
        <v>0</v>
      </c>
      <c r="V9" s="2">
        <f t="shared" si="2"/>
        <v>0</v>
      </c>
      <c r="W9" s="2">
        <f t="shared" si="3"/>
        <v>0</v>
      </c>
      <c r="Y9" t="str">
        <f>IFERROR(ROUND(E9*VLOOKUP(D9,商品!$A$4:$B$60,2,FALSE),0),"")</f>
        <v/>
      </c>
      <c r="Z9" t="str">
        <f>IFERROR(ROUND(G9*VLOOKUP(F9,商品!$A$4:$B$60,2,FALSE),0),"")</f>
        <v/>
      </c>
      <c r="AA9" t="str">
        <f>IFERROR(ROUND(I9*VLOOKUP(H9,商品!$A$4:$B$60,2,FALSE),0),"")</f>
        <v/>
      </c>
      <c r="AB9" t="str">
        <f>IFERROR(ROUND(K9*VLOOKUP(J9,[1]note_pop_types!$A$16:$E$16,4,FALSE),0),"")</f>
        <v/>
      </c>
      <c r="AC9" t="str">
        <f>IFERROR(ROUND(M9*VLOOKUP(L9,[1]note_pop_types!$A$16:$E$16,4,FALSE),0),"")</f>
        <v/>
      </c>
      <c r="AD9" t="str">
        <f>IFERROR(ROUND(O9*VLOOKUP(N9,[1]note_pop_types!$A$16:$E$16,4,FALSE),0),"")</f>
        <v/>
      </c>
      <c r="AE9" t="str">
        <f>IFERROR(ROUND(Q9*VLOOKUP(P9,商品!$A$4:$B$60,2,FALSE),0),"")</f>
        <v/>
      </c>
      <c r="AF9" t="str">
        <f>IFERROR(ROUND(S9*VLOOKUP(R9,商品!$A$4:$B$60,2,FALSE),0),"")</f>
        <v/>
      </c>
    </row>
    <row r="10" spans="1:33" ht="19.05" customHeight="1" x14ac:dyDescent="0.25">
      <c r="A10" s="16" t="s">
        <v>531</v>
      </c>
      <c r="C10" s="16">
        <v>1</v>
      </c>
      <c r="T10" s="2">
        <f t="shared" si="0"/>
        <v>0</v>
      </c>
      <c r="U10" s="2">
        <f t="shared" si="1"/>
        <v>0</v>
      </c>
      <c r="V10" s="2">
        <f t="shared" si="2"/>
        <v>0</v>
      </c>
      <c r="W10" s="2">
        <f t="shared" si="3"/>
        <v>0</v>
      </c>
      <c r="Y10" t="str">
        <f>IFERROR(ROUND(E10*VLOOKUP(D10,商品!$A$4:$B$60,2,FALSE),0),"")</f>
        <v/>
      </c>
      <c r="Z10" t="str">
        <f>IFERROR(ROUND(G10*VLOOKUP(F10,商品!$A$4:$B$60,2,FALSE),0),"")</f>
        <v/>
      </c>
      <c r="AA10" t="str">
        <f>IFERROR(ROUND(I10*VLOOKUP(H10,商品!$A$4:$B$60,2,FALSE),0),"")</f>
        <v/>
      </c>
      <c r="AB10" t="str">
        <f>IFERROR(ROUND(K10*VLOOKUP(J10,[1]note_pop_types!$A$16:$E$16,4,FALSE),0),"")</f>
        <v/>
      </c>
      <c r="AC10" t="str">
        <f>IFERROR(ROUND(M10*VLOOKUP(L10,[1]note_pop_types!$A$16:$E$16,4,FALSE),0),"")</f>
        <v/>
      </c>
      <c r="AD10" t="str">
        <f>IFERROR(ROUND(O10*VLOOKUP(N10,[1]note_pop_types!$A$16:$E$16,4,FALSE),0),"")</f>
        <v/>
      </c>
      <c r="AE10" t="str">
        <f>IFERROR(ROUND(Q10*VLOOKUP(P10,商品!$A$4:$B$60,2,FALSE),0),"")</f>
        <v/>
      </c>
      <c r="AF10" t="str">
        <f>IFERROR(ROUND(S10*VLOOKUP(R10,商品!$A$4:$B$60,2,FALSE),0),"")</f>
        <v/>
      </c>
    </row>
    <row r="11" spans="1:33" ht="19.05" customHeight="1" x14ac:dyDescent="0.25">
      <c r="A11" s="16" t="s">
        <v>531</v>
      </c>
      <c r="C11" s="16">
        <v>2</v>
      </c>
      <c r="T11" s="2">
        <f t="shared" si="0"/>
        <v>0</v>
      </c>
      <c r="U11" s="2">
        <f t="shared" si="1"/>
        <v>0</v>
      </c>
      <c r="V11" s="2">
        <f t="shared" si="2"/>
        <v>0</v>
      </c>
      <c r="W11" s="2">
        <f t="shared" si="3"/>
        <v>0</v>
      </c>
      <c r="Y11" t="str">
        <f>IFERROR(ROUND(E11*VLOOKUP(D11,商品!$A$4:$B$60,2,FALSE),0),"")</f>
        <v/>
      </c>
      <c r="Z11" t="str">
        <f>IFERROR(ROUND(G11*VLOOKUP(F11,商品!$A$4:$B$60,2,FALSE),0),"")</f>
        <v/>
      </c>
      <c r="AA11" t="str">
        <f>IFERROR(ROUND(I11*VLOOKUP(H11,商品!$A$4:$B$60,2,FALSE),0),"")</f>
        <v/>
      </c>
      <c r="AB11" t="str">
        <f>IFERROR(ROUND(K11*VLOOKUP(J11,[1]note_pop_types!$A$16:$E$16,4,FALSE),0),"")</f>
        <v/>
      </c>
      <c r="AC11" t="str">
        <f>IFERROR(ROUND(M11*VLOOKUP(L11,[1]note_pop_types!$A$16:$E$16,4,FALSE),0),"")</f>
        <v/>
      </c>
      <c r="AD11" t="str">
        <f>IFERROR(ROUND(O11*VLOOKUP(N11,[1]note_pop_types!$A$16:$E$16,4,FALSE),0),"")</f>
        <v/>
      </c>
      <c r="AE11" t="str">
        <f>IFERROR(ROUND(Q11*VLOOKUP(P11,商品!$A$4:$B$60,2,FALSE),0),"")</f>
        <v/>
      </c>
      <c r="AF11" t="str">
        <f>IFERROR(ROUND(S11*VLOOKUP(R11,商品!$A$4:$B$60,2,FALSE),0),"")</f>
        <v/>
      </c>
    </row>
    <row r="12" spans="1:33" ht="19.05" customHeight="1" x14ac:dyDescent="0.25">
      <c r="A12" s="16" t="s">
        <v>531</v>
      </c>
      <c r="C12" s="16">
        <v>3</v>
      </c>
      <c r="T12" s="2">
        <f t="shared" si="0"/>
        <v>0</v>
      </c>
      <c r="U12" s="2">
        <f t="shared" si="1"/>
        <v>0</v>
      </c>
      <c r="V12" s="2">
        <f t="shared" si="2"/>
        <v>0</v>
      </c>
      <c r="W12" s="2">
        <f t="shared" si="3"/>
        <v>0</v>
      </c>
      <c r="Y12" t="str">
        <f>IFERROR(ROUND(E12*VLOOKUP(D12,商品!$A$4:$B$60,2,FALSE),0),"")</f>
        <v/>
      </c>
      <c r="Z12" t="str">
        <f>IFERROR(ROUND(G12*VLOOKUP(F12,商品!$A$4:$B$60,2,FALSE),0),"")</f>
        <v/>
      </c>
      <c r="AA12" t="str">
        <f>IFERROR(ROUND(I12*VLOOKUP(H12,商品!$A$4:$B$60,2,FALSE),0),"")</f>
        <v/>
      </c>
      <c r="AB12" t="str">
        <f>IFERROR(ROUND(K12*VLOOKUP(J12,[1]note_pop_types!$A$16:$E$16,4,FALSE),0),"")</f>
        <v/>
      </c>
      <c r="AC12" t="str">
        <f>IFERROR(ROUND(M12*VLOOKUP(L12,[1]note_pop_types!$A$16:$E$16,4,FALSE),0),"")</f>
        <v/>
      </c>
      <c r="AD12" t="str">
        <f>IFERROR(ROUND(O12*VLOOKUP(N12,[1]note_pop_types!$A$16:$E$16,4,FALSE),0),"")</f>
        <v/>
      </c>
      <c r="AE12" t="str">
        <f>IFERROR(ROUND(Q12*VLOOKUP(P12,商品!$A$4:$B$60,2,FALSE),0),"")</f>
        <v/>
      </c>
      <c r="AF12" t="str">
        <f>IFERROR(ROUND(S12*VLOOKUP(R12,商品!$A$4:$B$60,2,FALSE),0),"")</f>
        <v/>
      </c>
    </row>
    <row r="13" spans="1:33" ht="19.05" customHeight="1" x14ac:dyDescent="0.25">
      <c r="A13" s="16" t="s">
        <v>531</v>
      </c>
      <c r="C13" s="16">
        <v>4</v>
      </c>
      <c r="T13" s="2">
        <f t="shared" si="0"/>
        <v>0</v>
      </c>
      <c r="U13" s="2">
        <f t="shared" si="1"/>
        <v>0</v>
      </c>
      <c r="V13" s="2">
        <f t="shared" si="2"/>
        <v>0</v>
      </c>
      <c r="W13" s="2">
        <f t="shared" si="3"/>
        <v>0</v>
      </c>
      <c r="Y13" t="str">
        <f>IFERROR(ROUND(E13*VLOOKUP(D13,商品!$A$4:$B$60,2,FALSE),0),"")</f>
        <v/>
      </c>
      <c r="Z13" t="str">
        <f>IFERROR(ROUND(G13*VLOOKUP(F13,商品!$A$4:$B$60,2,FALSE),0),"")</f>
        <v/>
      </c>
      <c r="AA13" t="str">
        <f>IFERROR(ROUND(I13*VLOOKUP(H13,商品!$A$4:$B$60,2,FALSE),0),"")</f>
        <v/>
      </c>
      <c r="AB13" t="str">
        <f>IFERROR(ROUND(K13*VLOOKUP(J13,[1]note_pop_types!$A$16:$E$16,4,FALSE),0),"")</f>
        <v/>
      </c>
      <c r="AC13" t="str">
        <f>IFERROR(ROUND(M13*VLOOKUP(L13,[1]note_pop_types!$A$16:$E$16,4,FALSE),0),"")</f>
        <v/>
      </c>
      <c r="AD13" t="str">
        <f>IFERROR(ROUND(O13*VLOOKUP(N13,[1]note_pop_types!$A$16:$E$16,4,FALSE),0),"")</f>
        <v/>
      </c>
      <c r="AE13" t="str">
        <f>IFERROR(ROUND(Q13*VLOOKUP(P13,商品!$A$4:$B$60,2,FALSE),0),"")</f>
        <v/>
      </c>
      <c r="AF13" t="str">
        <f>IFERROR(ROUND(S13*VLOOKUP(R13,商品!$A$4:$B$60,2,FALSE),0),"")</f>
        <v/>
      </c>
    </row>
    <row r="14" spans="1:33" ht="19.05" customHeight="1" x14ac:dyDescent="0.25">
      <c r="A14" s="16" t="s">
        <v>531</v>
      </c>
      <c r="C14" s="16">
        <v>5</v>
      </c>
      <c r="T14" s="2">
        <f t="shared" si="0"/>
        <v>0</v>
      </c>
      <c r="U14" s="2">
        <f t="shared" si="1"/>
        <v>0</v>
      </c>
      <c r="V14" s="2">
        <f t="shared" si="2"/>
        <v>0</v>
      </c>
      <c r="W14" s="2">
        <f t="shared" si="3"/>
        <v>0</v>
      </c>
      <c r="Y14" t="str">
        <f>IFERROR(ROUND(E14*VLOOKUP(D14,商品!$A$4:$B$60,2,FALSE),0),"")</f>
        <v/>
      </c>
      <c r="Z14" t="str">
        <f>IFERROR(ROUND(G14*VLOOKUP(F14,商品!$A$4:$B$60,2,FALSE),0),"")</f>
        <v/>
      </c>
      <c r="AA14" t="str">
        <f>IFERROR(ROUND(I14*VLOOKUP(H14,商品!$A$4:$B$60,2,FALSE),0),"")</f>
        <v/>
      </c>
      <c r="AB14" t="str">
        <f>IFERROR(ROUND(K14*VLOOKUP(J14,[1]note_pop_types!$A$16:$E$16,4,FALSE),0),"")</f>
        <v/>
      </c>
      <c r="AC14" t="str">
        <f>IFERROR(ROUND(M14*VLOOKUP(L14,[1]note_pop_types!$A$16:$E$16,4,FALSE),0),"")</f>
        <v/>
      </c>
      <c r="AD14" t="str">
        <f>IFERROR(ROUND(O14*VLOOKUP(N14,[1]note_pop_types!$A$16:$E$16,4,FALSE),0),"")</f>
        <v/>
      </c>
      <c r="AE14" t="str">
        <f>IFERROR(ROUND(Q14*VLOOKUP(P14,商品!$A$4:$B$60,2,FALSE),0),"")</f>
        <v/>
      </c>
      <c r="AF14" t="str">
        <f>IFERROR(ROUND(S14*VLOOKUP(R14,商品!$A$4:$B$60,2,FALSE),0),"")</f>
        <v/>
      </c>
    </row>
    <row r="15" spans="1:33" ht="19.05" customHeight="1" x14ac:dyDescent="0.25">
      <c r="A15" s="15" t="s">
        <v>475</v>
      </c>
      <c r="C15" s="15">
        <v>1</v>
      </c>
      <c r="T15" s="2">
        <f t="shared" si="0"/>
        <v>0</v>
      </c>
      <c r="U15" s="2">
        <f t="shared" si="1"/>
        <v>0</v>
      </c>
      <c r="V15" s="2">
        <f t="shared" si="2"/>
        <v>0</v>
      </c>
      <c r="W15" s="2">
        <f t="shared" si="3"/>
        <v>0</v>
      </c>
      <c r="Y15" t="str">
        <f>IFERROR(ROUND(E15*VLOOKUP(D15,商品!$A$4:$B$60,2,FALSE),0),"")</f>
        <v/>
      </c>
      <c r="Z15" t="str">
        <f>IFERROR(ROUND(G15*VLOOKUP(F15,商品!$A$4:$B$60,2,FALSE),0),"")</f>
        <v/>
      </c>
      <c r="AA15" t="str">
        <f>IFERROR(ROUND(I15*VLOOKUP(H15,商品!$A$4:$B$60,2,FALSE),0),"")</f>
        <v/>
      </c>
      <c r="AB15" t="str">
        <f>IFERROR(ROUND(K15*VLOOKUP(J15,[1]note_pop_types!$A$16:$E$16,4,FALSE),0),"")</f>
        <v/>
      </c>
      <c r="AC15" t="str">
        <f>IFERROR(ROUND(M15*VLOOKUP(L15,[1]note_pop_types!$A$16:$E$16,4,FALSE),0),"")</f>
        <v/>
      </c>
      <c r="AD15" t="str">
        <f>IFERROR(ROUND(O15*VLOOKUP(N15,[1]note_pop_types!$A$16:$E$16,4,FALSE),0),"")</f>
        <v/>
      </c>
      <c r="AE15" t="str">
        <f>IFERROR(ROUND(Q15*VLOOKUP(P15,商品!$A$4:$B$60,2,FALSE),0),"")</f>
        <v/>
      </c>
      <c r="AF15" t="str">
        <f>IFERROR(ROUND(S15*VLOOKUP(R15,商品!$A$4:$B$60,2,FALSE),0),"")</f>
        <v/>
      </c>
    </row>
    <row r="16" spans="1:33" ht="19.05" customHeight="1" x14ac:dyDescent="0.25">
      <c r="A16" s="15" t="s">
        <v>475</v>
      </c>
      <c r="C16" s="15">
        <v>2</v>
      </c>
      <c r="T16" s="2">
        <f t="shared" si="0"/>
        <v>0</v>
      </c>
      <c r="U16" s="2">
        <f t="shared" si="1"/>
        <v>0</v>
      </c>
      <c r="V16" s="2">
        <f t="shared" si="2"/>
        <v>0</v>
      </c>
      <c r="W16" s="2">
        <f t="shared" si="3"/>
        <v>0</v>
      </c>
      <c r="Y16" t="str">
        <f>IFERROR(ROUND(E16*VLOOKUP(D16,商品!$A$4:$B$60,2,FALSE),0),"")</f>
        <v/>
      </c>
      <c r="Z16" t="str">
        <f>IFERROR(ROUND(G16*VLOOKUP(F16,商品!$A$4:$B$60,2,FALSE),0),"")</f>
        <v/>
      </c>
      <c r="AA16" t="str">
        <f>IFERROR(ROUND(I16*VLOOKUP(H16,商品!$A$4:$B$60,2,FALSE),0),"")</f>
        <v/>
      </c>
      <c r="AB16" t="str">
        <f>IFERROR(ROUND(K16*VLOOKUP(J16,[1]note_pop_types!$A$16:$E$16,4,FALSE),0),"")</f>
        <v/>
      </c>
      <c r="AC16" t="str">
        <f>IFERROR(ROUND(M16*VLOOKUP(L16,[1]note_pop_types!$A$16:$E$16,4,FALSE),0),"")</f>
        <v/>
      </c>
      <c r="AD16" t="str">
        <f>IFERROR(ROUND(O16*VLOOKUP(N16,[1]note_pop_types!$A$16:$E$16,4,FALSE),0),"")</f>
        <v/>
      </c>
      <c r="AE16" t="str">
        <f>IFERROR(ROUND(Q16*VLOOKUP(P16,商品!$A$4:$B$60,2,FALSE),0),"")</f>
        <v/>
      </c>
      <c r="AF16" t="str">
        <f>IFERROR(ROUND(S16*VLOOKUP(R16,商品!$A$4:$B$60,2,FALSE),0),"")</f>
        <v/>
      </c>
    </row>
    <row r="17" spans="1:32" ht="19.05" customHeight="1" x14ac:dyDescent="0.25">
      <c r="A17" s="15" t="s">
        <v>475</v>
      </c>
      <c r="C17" s="15">
        <v>3</v>
      </c>
      <c r="T17" s="2">
        <f t="shared" si="0"/>
        <v>0</v>
      </c>
      <c r="U17" s="2">
        <f t="shared" si="1"/>
        <v>0</v>
      </c>
      <c r="V17" s="2">
        <f t="shared" si="2"/>
        <v>0</v>
      </c>
      <c r="W17" s="2">
        <f t="shared" si="3"/>
        <v>0</v>
      </c>
      <c r="Y17" t="str">
        <f>IFERROR(ROUND(E17*VLOOKUP(D17,商品!$A$4:$B$60,2,FALSE),0),"")</f>
        <v/>
      </c>
      <c r="Z17" t="str">
        <f>IFERROR(ROUND(G17*VLOOKUP(F17,商品!$A$4:$B$60,2,FALSE),0),"")</f>
        <v/>
      </c>
      <c r="AA17" t="str">
        <f>IFERROR(ROUND(I17*VLOOKUP(H17,商品!$A$4:$B$60,2,FALSE),0),"")</f>
        <v/>
      </c>
      <c r="AB17" t="str">
        <f>IFERROR(ROUND(K17*VLOOKUP(J17,[1]note_pop_types!$A$16:$E$16,4,FALSE),0),"")</f>
        <v/>
      </c>
      <c r="AC17" t="str">
        <f>IFERROR(ROUND(M17*VLOOKUP(L17,[1]note_pop_types!$A$16:$E$16,4,FALSE),0),"")</f>
        <v/>
      </c>
      <c r="AD17" t="str">
        <f>IFERROR(ROUND(O17*VLOOKUP(N17,[1]note_pop_types!$A$16:$E$16,4,FALSE),0),"")</f>
        <v/>
      </c>
      <c r="AE17" t="str">
        <f>IFERROR(ROUND(Q17*VLOOKUP(P17,商品!$A$4:$B$60,2,FALSE),0),"")</f>
        <v/>
      </c>
      <c r="AF17" t="str">
        <f>IFERROR(ROUND(S17*VLOOKUP(R17,商品!$A$4:$B$60,2,FALSE),0),"")</f>
        <v/>
      </c>
    </row>
    <row r="18" spans="1:32" ht="19.05" customHeight="1" x14ac:dyDescent="0.25">
      <c r="A18" s="15" t="s">
        <v>475</v>
      </c>
      <c r="C18" s="15">
        <v>4</v>
      </c>
      <c r="T18" s="2">
        <f t="shared" si="0"/>
        <v>0</v>
      </c>
      <c r="U18" s="2">
        <f t="shared" si="1"/>
        <v>0</v>
      </c>
      <c r="V18" s="2">
        <f t="shared" si="2"/>
        <v>0</v>
      </c>
      <c r="W18" s="2">
        <f t="shared" si="3"/>
        <v>0</v>
      </c>
      <c r="Y18" t="str">
        <f>IFERROR(ROUND(E18*VLOOKUP(D18,商品!$A$4:$B$60,2,FALSE),0),"")</f>
        <v/>
      </c>
      <c r="Z18" t="str">
        <f>IFERROR(ROUND(G18*VLOOKUP(F18,商品!$A$4:$B$60,2,FALSE),0),"")</f>
        <v/>
      </c>
      <c r="AA18" t="str">
        <f>IFERROR(ROUND(I18*VLOOKUP(H18,商品!$A$4:$B$60,2,FALSE),0),"")</f>
        <v/>
      </c>
      <c r="AB18" t="str">
        <f>IFERROR(ROUND(K18*VLOOKUP(J18,[1]note_pop_types!$A$16:$E$16,4,FALSE),0),"")</f>
        <v/>
      </c>
      <c r="AC18" t="str">
        <f>IFERROR(ROUND(M18*VLOOKUP(L18,[1]note_pop_types!$A$16:$E$16,4,FALSE),0),"")</f>
        <v/>
      </c>
      <c r="AD18" t="str">
        <f>IFERROR(ROUND(O18*VLOOKUP(N18,[1]note_pop_types!$A$16:$E$16,4,FALSE),0),"")</f>
        <v/>
      </c>
      <c r="AE18" t="str">
        <f>IFERROR(ROUND(Q18*VLOOKUP(P18,商品!$A$4:$B$60,2,FALSE),0),"")</f>
        <v/>
      </c>
      <c r="AF18" t="str">
        <f>IFERROR(ROUND(S18*VLOOKUP(R18,商品!$A$4:$B$60,2,FALSE),0),"")</f>
        <v/>
      </c>
    </row>
    <row r="19" spans="1:32" ht="19.05" customHeight="1" x14ac:dyDescent="0.25">
      <c r="A19" s="15" t="s">
        <v>475</v>
      </c>
      <c r="C19" s="15">
        <v>5</v>
      </c>
      <c r="T19" s="2">
        <f t="shared" si="0"/>
        <v>0</v>
      </c>
      <c r="U19" s="2">
        <f t="shared" si="1"/>
        <v>0</v>
      </c>
      <c r="V19" s="2">
        <f t="shared" si="2"/>
        <v>0</v>
      </c>
      <c r="W19" s="2">
        <f t="shared" si="3"/>
        <v>0</v>
      </c>
      <c r="Y19" t="str">
        <f>IFERROR(ROUND(E19*VLOOKUP(D19,商品!$A$4:$B$60,2,FALSE),0),"")</f>
        <v/>
      </c>
      <c r="Z19" t="str">
        <f>IFERROR(ROUND(G19*VLOOKUP(F19,商品!$A$4:$B$60,2,FALSE),0),"")</f>
        <v/>
      </c>
      <c r="AA19" t="str">
        <f>IFERROR(ROUND(I19*VLOOKUP(H19,商品!$A$4:$B$60,2,FALSE),0),"")</f>
        <v/>
      </c>
      <c r="AB19" t="str">
        <f>IFERROR(ROUND(K19*VLOOKUP(J19,[1]note_pop_types!$A$16:$E$16,4,FALSE),0),"")</f>
        <v/>
      </c>
      <c r="AC19" t="str">
        <f>IFERROR(ROUND(M19*VLOOKUP(L19,[1]note_pop_types!$A$16:$E$16,4,FALSE),0),"")</f>
        <v/>
      </c>
      <c r="AD19" t="str">
        <f>IFERROR(ROUND(O19*VLOOKUP(N19,[1]note_pop_types!$A$16:$E$16,4,FALSE),0),"")</f>
        <v/>
      </c>
      <c r="AE19" t="str">
        <f>IFERROR(ROUND(Q19*VLOOKUP(P19,商品!$A$4:$B$60,2,FALSE),0),"")</f>
        <v/>
      </c>
      <c r="AF19" t="str">
        <f>IFERROR(ROUND(S19*VLOOKUP(R19,商品!$A$4:$B$60,2,FALSE),0),"")</f>
        <v/>
      </c>
    </row>
    <row r="20" spans="1:32" ht="19.05" customHeight="1" x14ac:dyDescent="0.25">
      <c r="A20" s="16" t="s">
        <v>475</v>
      </c>
      <c r="C20" s="16">
        <v>1</v>
      </c>
      <c r="T20" s="2">
        <f t="shared" si="0"/>
        <v>0</v>
      </c>
      <c r="U20" s="2">
        <f t="shared" si="1"/>
        <v>0</v>
      </c>
      <c r="V20" s="2">
        <f t="shared" si="2"/>
        <v>0</v>
      </c>
      <c r="W20" s="2">
        <f t="shared" si="3"/>
        <v>0</v>
      </c>
      <c r="Y20" t="str">
        <f>IFERROR(ROUND(E20*VLOOKUP(D20,商品!$A$4:$B$60,2,FALSE),0),"")</f>
        <v/>
      </c>
      <c r="Z20" t="str">
        <f>IFERROR(ROUND(G20*VLOOKUP(F20,商品!$A$4:$B$60,2,FALSE),0),"")</f>
        <v/>
      </c>
      <c r="AA20" t="str">
        <f>IFERROR(ROUND(I20*VLOOKUP(H20,商品!$A$4:$B$60,2,FALSE),0),"")</f>
        <v/>
      </c>
      <c r="AB20" t="str">
        <f>IFERROR(ROUND(K20*VLOOKUP(J20,[1]note_pop_types!$A$16:$E$16,4,FALSE),0),"")</f>
        <v/>
      </c>
      <c r="AC20" t="str">
        <f>IFERROR(ROUND(M20*VLOOKUP(L20,[1]note_pop_types!$A$16:$E$16,4,FALSE),0),"")</f>
        <v/>
      </c>
      <c r="AD20" t="str">
        <f>IFERROR(ROUND(O20*VLOOKUP(N20,[1]note_pop_types!$A$16:$E$16,4,FALSE),0),"")</f>
        <v/>
      </c>
      <c r="AE20" t="str">
        <f>IFERROR(ROUND(Q20*VLOOKUP(P20,商品!$A$4:$B$60,2,FALSE),0),"")</f>
        <v/>
      </c>
      <c r="AF20" t="str">
        <f>IFERROR(ROUND(S20*VLOOKUP(R20,商品!$A$4:$B$60,2,FALSE),0),"")</f>
        <v/>
      </c>
    </row>
    <row r="21" spans="1:32" ht="19.05" customHeight="1" x14ac:dyDescent="0.25">
      <c r="A21" s="16" t="s">
        <v>475</v>
      </c>
      <c r="C21" s="16">
        <v>2</v>
      </c>
      <c r="T21" s="2">
        <f t="shared" si="0"/>
        <v>0</v>
      </c>
      <c r="U21" s="2">
        <f t="shared" si="1"/>
        <v>0</v>
      </c>
      <c r="V21" s="2">
        <f t="shared" si="2"/>
        <v>0</v>
      </c>
      <c r="W21" s="2">
        <f t="shared" si="3"/>
        <v>0</v>
      </c>
      <c r="Y21" t="str">
        <f>IFERROR(ROUND(E21*VLOOKUP(D21,商品!$A$4:$B$60,2,FALSE),0),"")</f>
        <v/>
      </c>
      <c r="Z21" t="str">
        <f>IFERROR(ROUND(G21*VLOOKUP(F21,商品!$A$4:$B$60,2,FALSE),0),"")</f>
        <v/>
      </c>
      <c r="AA21" t="str">
        <f>IFERROR(ROUND(I21*VLOOKUP(H21,商品!$A$4:$B$60,2,FALSE),0),"")</f>
        <v/>
      </c>
      <c r="AB21" t="str">
        <f>IFERROR(ROUND(K21*VLOOKUP(J21,[1]note_pop_types!$A$16:$E$16,4,FALSE),0),"")</f>
        <v/>
      </c>
      <c r="AC21" t="str">
        <f>IFERROR(ROUND(M21*VLOOKUP(L21,[1]note_pop_types!$A$16:$E$16,4,FALSE),0),"")</f>
        <v/>
      </c>
      <c r="AD21" t="str">
        <f>IFERROR(ROUND(O21*VLOOKUP(N21,[1]note_pop_types!$A$16:$E$16,4,FALSE),0),"")</f>
        <v/>
      </c>
      <c r="AE21" t="str">
        <f>IFERROR(ROUND(Q21*VLOOKUP(P21,商品!$A$4:$B$60,2,FALSE),0),"")</f>
        <v/>
      </c>
      <c r="AF21" t="str">
        <f>IFERROR(ROUND(S21*VLOOKUP(R21,商品!$A$4:$B$60,2,FALSE),0),"")</f>
        <v/>
      </c>
    </row>
    <row r="22" spans="1:32" ht="19.05" customHeight="1" x14ac:dyDescent="0.25">
      <c r="A22" s="16" t="s">
        <v>475</v>
      </c>
      <c r="C22" s="16">
        <v>3</v>
      </c>
      <c r="T22" s="2">
        <f t="shared" si="0"/>
        <v>0</v>
      </c>
      <c r="U22" s="2">
        <f t="shared" si="1"/>
        <v>0</v>
      </c>
      <c r="V22" s="2">
        <f t="shared" si="2"/>
        <v>0</v>
      </c>
      <c r="W22" s="2">
        <f t="shared" si="3"/>
        <v>0</v>
      </c>
      <c r="Y22" t="str">
        <f>IFERROR(ROUND(E22*VLOOKUP(D22,商品!$A$4:$B$60,2,FALSE),0),"")</f>
        <v/>
      </c>
      <c r="Z22" t="str">
        <f>IFERROR(ROUND(G22*VLOOKUP(F22,商品!$A$4:$B$60,2,FALSE),0),"")</f>
        <v/>
      </c>
      <c r="AA22" t="str">
        <f>IFERROR(ROUND(I22*VLOOKUP(H22,商品!$A$4:$B$60,2,FALSE),0),"")</f>
        <v/>
      </c>
      <c r="AB22" t="str">
        <f>IFERROR(ROUND(K22*VLOOKUP(J22,[1]note_pop_types!$A$16:$E$16,4,FALSE),0),"")</f>
        <v/>
      </c>
      <c r="AC22" t="str">
        <f>IFERROR(ROUND(M22*VLOOKUP(L22,[1]note_pop_types!$A$16:$E$16,4,FALSE),0),"")</f>
        <v/>
      </c>
      <c r="AD22" t="str">
        <f>IFERROR(ROUND(O22*VLOOKUP(N22,[1]note_pop_types!$A$16:$E$16,4,FALSE),0),"")</f>
        <v/>
      </c>
      <c r="AE22" t="str">
        <f>IFERROR(ROUND(Q22*VLOOKUP(P22,商品!$A$4:$B$60,2,FALSE),0),"")</f>
        <v/>
      </c>
      <c r="AF22" t="str">
        <f>IFERROR(ROUND(S22*VLOOKUP(R22,商品!$A$4:$B$60,2,FALSE),0),"")</f>
        <v/>
      </c>
    </row>
    <row r="23" spans="1:32" ht="19.05" customHeight="1" x14ac:dyDescent="0.25">
      <c r="A23" s="16" t="s">
        <v>475</v>
      </c>
      <c r="C23" s="16">
        <v>4</v>
      </c>
      <c r="T23" s="2">
        <f t="shared" si="0"/>
        <v>0</v>
      </c>
      <c r="U23" s="2">
        <f t="shared" si="1"/>
        <v>0</v>
      </c>
      <c r="V23" s="2">
        <f t="shared" si="2"/>
        <v>0</v>
      </c>
      <c r="W23" s="2">
        <f t="shared" si="3"/>
        <v>0</v>
      </c>
      <c r="Y23" t="str">
        <f>IFERROR(ROUND(E23*VLOOKUP(D23,商品!$A$4:$B$60,2,FALSE),0),"")</f>
        <v/>
      </c>
      <c r="Z23" t="str">
        <f>IFERROR(ROUND(G23*VLOOKUP(F23,商品!$A$4:$B$60,2,FALSE),0),"")</f>
        <v/>
      </c>
      <c r="AA23" t="str">
        <f>IFERROR(ROUND(I23*VLOOKUP(H23,商品!$A$4:$B$60,2,FALSE),0),"")</f>
        <v/>
      </c>
      <c r="AB23" t="str">
        <f>IFERROR(ROUND(K23*VLOOKUP(J23,[1]note_pop_types!$A$16:$E$16,4,FALSE),0),"")</f>
        <v/>
      </c>
      <c r="AC23" t="str">
        <f>IFERROR(ROUND(M23*VLOOKUP(L23,[1]note_pop_types!$A$16:$E$16,4,FALSE),0),"")</f>
        <v/>
      </c>
      <c r="AD23" t="str">
        <f>IFERROR(ROUND(O23*VLOOKUP(N23,[1]note_pop_types!$A$16:$E$16,4,FALSE),0),"")</f>
        <v/>
      </c>
      <c r="AE23" t="str">
        <f>IFERROR(ROUND(Q23*VLOOKUP(P23,商品!$A$4:$B$60,2,FALSE),0),"")</f>
        <v/>
      </c>
      <c r="AF23" t="str">
        <f>IFERROR(ROUND(S23*VLOOKUP(R23,商品!$A$4:$B$60,2,FALSE),0),"")</f>
        <v/>
      </c>
    </row>
    <row r="24" spans="1:32" ht="19.05" customHeight="1" x14ac:dyDescent="0.25">
      <c r="A24" s="16" t="s">
        <v>475</v>
      </c>
      <c r="C24" s="16">
        <v>5</v>
      </c>
      <c r="T24" s="2">
        <f t="shared" si="0"/>
        <v>0</v>
      </c>
      <c r="U24" s="2">
        <f t="shared" si="1"/>
        <v>0</v>
      </c>
      <c r="V24" s="2">
        <f t="shared" si="2"/>
        <v>0</v>
      </c>
      <c r="W24" s="2">
        <f t="shared" si="3"/>
        <v>0</v>
      </c>
      <c r="Y24" t="str">
        <f>IFERROR(ROUND(E24*VLOOKUP(D24,商品!$A$4:$B$60,2,FALSE),0),"")</f>
        <v/>
      </c>
      <c r="Z24" t="str">
        <f>IFERROR(ROUND(G24*VLOOKUP(F24,商品!$A$4:$B$60,2,FALSE),0),"")</f>
        <v/>
      </c>
      <c r="AA24" t="str">
        <f>IFERROR(ROUND(I24*VLOOKUP(H24,商品!$A$4:$B$60,2,FALSE),0),"")</f>
        <v/>
      </c>
      <c r="AB24" t="str">
        <f>IFERROR(ROUND(K24*VLOOKUP(J24,[1]note_pop_types!$A$16:$E$16,4,FALSE),0),"")</f>
        <v/>
      </c>
      <c r="AC24" t="str">
        <f>IFERROR(ROUND(M24*VLOOKUP(L24,[1]note_pop_types!$A$16:$E$16,4,FALSE),0),"")</f>
        <v/>
      </c>
      <c r="AD24" t="str">
        <f>IFERROR(ROUND(O24*VLOOKUP(N24,[1]note_pop_types!$A$16:$E$16,4,FALSE),0),"")</f>
        <v/>
      </c>
      <c r="AE24" t="str">
        <f>IFERROR(ROUND(Q24*VLOOKUP(P24,商品!$A$4:$B$60,2,FALSE),0),"")</f>
        <v/>
      </c>
      <c r="AF24" t="str">
        <f>IFERROR(ROUND(S24*VLOOKUP(R24,商品!$A$4:$B$60,2,FALSE),0),"")</f>
        <v/>
      </c>
    </row>
    <row r="25" spans="1:32" ht="19.05" customHeight="1" x14ac:dyDescent="0.25">
      <c r="A25" s="15" t="s">
        <v>178</v>
      </c>
      <c r="C25" s="15">
        <v>1</v>
      </c>
      <c r="T25" s="2">
        <f t="shared" si="0"/>
        <v>0</v>
      </c>
      <c r="U25" s="2">
        <f t="shared" si="1"/>
        <v>0</v>
      </c>
      <c r="V25" s="2">
        <f t="shared" si="2"/>
        <v>0</v>
      </c>
      <c r="W25" s="2">
        <f t="shared" si="3"/>
        <v>0</v>
      </c>
      <c r="Y25" t="str">
        <f>IFERROR(ROUND(E25*VLOOKUP(D25,商品!$A$4:$B$60,2,FALSE),0),"")</f>
        <v/>
      </c>
      <c r="Z25" t="str">
        <f>IFERROR(ROUND(G25*VLOOKUP(F25,商品!$A$4:$B$60,2,FALSE),0),"")</f>
        <v/>
      </c>
      <c r="AA25" t="str">
        <f>IFERROR(ROUND(I25*VLOOKUP(H25,商品!$A$4:$B$60,2,FALSE),0),"")</f>
        <v/>
      </c>
      <c r="AB25" t="str">
        <f>IFERROR(ROUND(K25*VLOOKUP(J25,[1]note_pop_types!$A$16:$E$16,4,FALSE),0),"")</f>
        <v/>
      </c>
      <c r="AC25" t="str">
        <f>IFERROR(ROUND(M25*VLOOKUP(L25,[1]note_pop_types!$A$16:$E$16,4,FALSE),0),"")</f>
        <v/>
      </c>
      <c r="AD25" t="str">
        <f>IFERROR(ROUND(O25*VLOOKUP(N25,[1]note_pop_types!$A$16:$E$16,4,FALSE),0),"")</f>
        <v/>
      </c>
      <c r="AE25" t="str">
        <f>IFERROR(ROUND(Q25*VLOOKUP(P25,商品!$A$4:$B$60,2,FALSE),0),"")</f>
        <v/>
      </c>
      <c r="AF25" t="str">
        <f>IFERROR(ROUND(S25*VLOOKUP(R25,商品!$A$4:$B$60,2,FALSE),0),"")</f>
        <v/>
      </c>
    </row>
    <row r="26" spans="1:32" ht="19.05" customHeight="1" x14ac:dyDescent="0.25">
      <c r="A26" s="15" t="s">
        <v>178</v>
      </c>
      <c r="C26" s="15">
        <v>2</v>
      </c>
      <c r="T26" s="2">
        <f t="shared" si="0"/>
        <v>0</v>
      </c>
      <c r="U26" s="2">
        <f t="shared" si="1"/>
        <v>0</v>
      </c>
      <c r="V26" s="2">
        <f t="shared" si="2"/>
        <v>0</v>
      </c>
      <c r="W26" s="2">
        <f t="shared" si="3"/>
        <v>0</v>
      </c>
      <c r="Y26" t="str">
        <f>IFERROR(ROUND(E26*VLOOKUP(D26,商品!$A$4:$B$60,2,FALSE),0),"")</f>
        <v/>
      </c>
      <c r="Z26" t="str">
        <f>IFERROR(ROUND(G26*VLOOKUP(F26,商品!$A$4:$B$60,2,FALSE),0),"")</f>
        <v/>
      </c>
      <c r="AA26" t="str">
        <f>IFERROR(ROUND(I26*VLOOKUP(H26,商品!$A$4:$B$60,2,FALSE),0),"")</f>
        <v/>
      </c>
      <c r="AB26" t="str">
        <f>IFERROR(ROUND(K26*VLOOKUP(J26,[1]note_pop_types!$A$16:$E$16,4,FALSE),0),"")</f>
        <v/>
      </c>
      <c r="AC26" t="str">
        <f>IFERROR(ROUND(M26*VLOOKUP(L26,[1]note_pop_types!$A$16:$E$16,4,FALSE),0),"")</f>
        <v/>
      </c>
      <c r="AD26" t="str">
        <f>IFERROR(ROUND(O26*VLOOKUP(N26,[1]note_pop_types!$A$16:$E$16,4,FALSE),0),"")</f>
        <v/>
      </c>
      <c r="AE26" t="str">
        <f>IFERROR(ROUND(Q26*VLOOKUP(P26,商品!$A$4:$B$60,2,FALSE),0),"")</f>
        <v/>
      </c>
      <c r="AF26" t="str">
        <f>IFERROR(ROUND(S26*VLOOKUP(R26,商品!$A$4:$B$60,2,FALSE),0),"")</f>
        <v/>
      </c>
    </row>
    <row r="27" spans="1:32" ht="19.05" customHeight="1" x14ac:dyDescent="0.25">
      <c r="A27" s="15" t="s">
        <v>178</v>
      </c>
      <c r="C27" s="15">
        <v>3</v>
      </c>
      <c r="T27" s="2">
        <f t="shared" si="0"/>
        <v>0</v>
      </c>
      <c r="U27" s="2">
        <f t="shared" si="1"/>
        <v>0</v>
      </c>
      <c r="V27" s="2">
        <f t="shared" si="2"/>
        <v>0</v>
      </c>
      <c r="W27" s="2">
        <f t="shared" si="3"/>
        <v>0</v>
      </c>
      <c r="Y27" t="str">
        <f>IFERROR(ROUND(E27*VLOOKUP(D27,商品!$A$4:$B$60,2,FALSE),0),"")</f>
        <v/>
      </c>
      <c r="Z27" t="str">
        <f>IFERROR(ROUND(G27*VLOOKUP(F27,商品!$A$4:$B$60,2,FALSE),0),"")</f>
        <v/>
      </c>
      <c r="AA27" t="str">
        <f>IFERROR(ROUND(I27*VLOOKUP(H27,商品!$A$4:$B$60,2,FALSE),0),"")</f>
        <v/>
      </c>
      <c r="AB27" t="str">
        <f>IFERROR(ROUND(K27*VLOOKUP(J27,[1]note_pop_types!$A$16:$E$16,4,FALSE),0),"")</f>
        <v/>
      </c>
      <c r="AC27" t="str">
        <f>IFERROR(ROUND(M27*VLOOKUP(L27,[1]note_pop_types!$A$16:$E$16,4,FALSE),0),"")</f>
        <v/>
      </c>
      <c r="AD27" t="str">
        <f>IFERROR(ROUND(O27*VLOOKUP(N27,[1]note_pop_types!$A$16:$E$16,4,FALSE),0),"")</f>
        <v/>
      </c>
      <c r="AE27" t="str">
        <f>IFERROR(ROUND(Q27*VLOOKUP(P27,商品!$A$4:$B$60,2,FALSE),0),"")</f>
        <v/>
      </c>
      <c r="AF27" t="str">
        <f>IFERROR(ROUND(S27*VLOOKUP(R27,商品!$A$4:$B$60,2,FALSE),0),"")</f>
        <v/>
      </c>
    </row>
    <row r="28" spans="1:32" ht="19.05" customHeight="1" x14ac:dyDescent="0.25">
      <c r="A28" s="15" t="s">
        <v>178</v>
      </c>
      <c r="C28" s="15">
        <v>4</v>
      </c>
      <c r="T28" s="2">
        <f t="shared" si="0"/>
        <v>0</v>
      </c>
      <c r="U28" s="2">
        <f t="shared" si="1"/>
        <v>0</v>
      </c>
      <c r="V28" s="2">
        <f t="shared" si="2"/>
        <v>0</v>
      </c>
      <c r="W28" s="2">
        <f t="shared" si="3"/>
        <v>0</v>
      </c>
      <c r="Y28" t="str">
        <f>IFERROR(ROUND(E28*VLOOKUP(D28,商品!$A$4:$B$60,2,FALSE),0),"")</f>
        <v/>
      </c>
      <c r="Z28" t="str">
        <f>IFERROR(ROUND(G28*VLOOKUP(F28,商品!$A$4:$B$60,2,FALSE),0),"")</f>
        <v/>
      </c>
      <c r="AA28" t="str">
        <f>IFERROR(ROUND(I28*VLOOKUP(H28,商品!$A$4:$B$60,2,FALSE),0),"")</f>
        <v/>
      </c>
      <c r="AB28" t="str">
        <f>IFERROR(ROUND(K28*VLOOKUP(J28,[1]note_pop_types!$A$16:$E$16,4,FALSE),0),"")</f>
        <v/>
      </c>
      <c r="AC28" t="str">
        <f>IFERROR(ROUND(M28*VLOOKUP(L28,[1]note_pop_types!$A$16:$E$16,4,FALSE),0),"")</f>
        <v/>
      </c>
      <c r="AD28" t="str">
        <f>IFERROR(ROUND(O28*VLOOKUP(N28,[1]note_pop_types!$A$16:$E$16,4,FALSE),0),"")</f>
        <v/>
      </c>
      <c r="AE28" t="str">
        <f>IFERROR(ROUND(Q28*VLOOKUP(P28,商品!$A$4:$B$60,2,FALSE),0),"")</f>
        <v/>
      </c>
      <c r="AF28" t="str">
        <f>IFERROR(ROUND(S28*VLOOKUP(R28,商品!$A$4:$B$60,2,FALSE),0),"")</f>
        <v/>
      </c>
    </row>
    <row r="29" spans="1:32" ht="19.05" customHeight="1" x14ac:dyDescent="0.25">
      <c r="A29" s="15" t="s">
        <v>178</v>
      </c>
      <c r="C29" s="15">
        <v>5</v>
      </c>
      <c r="T29" s="2">
        <f t="shared" si="0"/>
        <v>0</v>
      </c>
      <c r="U29" s="2">
        <f t="shared" si="1"/>
        <v>0</v>
      </c>
      <c r="V29" s="2">
        <f t="shared" si="2"/>
        <v>0</v>
      </c>
      <c r="W29" s="2">
        <f t="shared" si="3"/>
        <v>0</v>
      </c>
      <c r="Y29" t="str">
        <f>IFERROR(ROUND(E29*VLOOKUP(D29,商品!$A$4:$B$60,2,FALSE),0),"")</f>
        <v/>
      </c>
      <c r="Z29" t="str">
        <f>IFERROR(ROUND(G29*VLOOKUP(F29,商品!$A$4:$B$60,2,FALSE),0),"")</f>
        <v/>
      </c>
      <c r="AA29" t="str">
        <f>IFERROR(ROUND(I29*VLOOKUP(H29,商品!$A$4:$B$60,2,FALSE),0),"")</f>
        <v/>
      </c>
      <c r="AB29" t="str">
        <f>IFERROR(ROUND(K29*VLOOKUP(J29,[1]note_pop_types!$A$16:$E$16,4,FALSE),0),"")</f>
        <v/>
      </c>
      <c r="AC29" t="str">
        <f>IFERROR(ROUND(M29*VLOOKUP(L29,[1]note_pop_types!$A$16:$E$16,4,FALSE),0),"")</f>
        <v/>
      </c>
      <c r="AD29" t="str">
        <f>IFERROR(ROUND(O29*VLOOKUP(N29,[1]note_pop_types!$A$16:$E$16,4,FALSE),0),"")</f>
        <v/>
      </c>
      <c r="AE29" t="str">
        <f>IFERROR(ROUND(Q29*VLOOKUP(P29,商品!$A$4:$B$60,2,FALSE),0),"")</f>
        <v/>
      </c>
      <c r="AF29" t="str">
        <f>IFERROR(ROUND(S29*VLOOKUP(R29,商品!$A$4:$B$60,2,FALSE),0),"")</f>
        <v/>
      </c>
    </row>
    <row r="30" spans="1:32" ht="19.05" customHeight="1" x14ac:dyDescent="0.25">
      <c r="A30" s="15" t="s">
        <v>178</v>
      </c>
      <c r="C30" s="15">
        <v>6</v>
      </c>
      <c r="T30" s="2">
        <f t="shared" si="0"/>
        <v>0</v>
      </c>
      <c r="U30" s="2">
        <f t="shared" si="1"/>
        <v>0</v>
      </c>
      <c r="V30" s="2">
        <f t="shared" si="2"/>
        <v>0</v>
      </c>
      <c r="W30" s="2">
        <f t="shared" si="3"/>
        <v>0</v>
      </c>
      <c r="Y30" t="str">
        <f>IFERROR(ROUND(E30*VLOOKUP(D30,商品!$A$4:$B$60,2,FALSE),0),"")</f>
        <v/>
      </c>
      <c r="Z30" t="str">
        <f>IFERROR(ROUND(G30*VLOOKUP(F30,商品!$A$4:$B$60,2,FALSE),0),"")</f>
        <v/>
      </c>
      <c r="AA30" t="str">
        <f>IFERROR(ROUND(I30*VLOOKUP(H30,商品!$A$4:$B$60,2,FALSE),0),"")</f>
        <v/>
      </c>
      <c r="AB30" t="str">
        <f>IFERROR(ROUND(K30*VLOOKUP(J30,[1]note_pop_types!$A$16:$E$16,4,FALSE),0),"")</f>
        <v/>
      </c>
      <c r="AC30" t="str">
        <f>IFERROR(ROUND(M30*VLOOKUP(L30,[1]note_pop_types!$A$16:$E$16,4,FALSE),0),"")</f>
        <v/>
      </c>
      <c r="AD30" t="str">
        <f>IFERROR(ROUND(O30*VLOOKUP(N30,[1]note_pop_types!$A$16:$E$16,4,FALSE),0),"")</f>
        <v/>
      </c>
      <c r="AE30" t="str">
        <f>IFERROR(ROUND(Q30*VLOOKUP(P30,商品!$A$4:$B$60,2,FALSE),0),"")</f>
        <v/>
      </c>
      <c r="AF30" t="str">
        <f>IFERROR(ROUND(S30*VLOOKUP(R30,商品!$A$4:$B$60,2,FALSE),0),"")</f>
        <v/>
      </c>
    </row>
    <row r="31" spans="1:32" ht="19.05" customHeight="1" x14ac:dyDescent="0.25">
      <c r="A31" s="15" t="s">
        <v>178</v>
      </c>
      <c r="C31" s="15">
        <v>7</v>
      </c>
      <c r="T31" s="2">
        <f t="shared" si="0"/>
        <v>0</v>
      </c>
      <c r="U31" s="2">
        <f t="shared" si="1"/>
        <v>0</v>
      </c>
      <c r="V31" s="2">
        <f t="shared" si="2"/>
        <v>0</v>
      </c>
      <c r="W31" s="2">
        <f t="shared" si="3"/>
        <v>0</v>
      </c>
      <c r="Y31" t="str">
        <f>IFERROR(ROUND(E31*VLOOKUP(D31,商品!$A$4:$B$60,2,FALSE),0),"")</f>
        <v/>
      </c>
      <c r="Z31" t="str">
        <f>IFERROR(ROUND(G31*VLOOKUP(F31,商品!$A$4:$B$60,2,FALSE),0),"")</f>
        <v/>
      </c>
      <c r="AA31" t="str">
        <f>IFERROR(ROUND(I31*VLOOKUP(H31,商品!$A$4:$B$60,2,FALSE),0),"")</f>
        <v/>
      </c>
      <c r="AB31" t="str">
        <f>IFERROR(ROUND(K31*VLOOKUP(J31,[1]note_pop_types!$A$16:$E$16,4,FALSE),0),"")</f>
        <v/>
      </c>
      <c r="AC31" t="str">
        <f>IFERROR(ROUND(M31*VLOOKUP(L31,[1]note_pop_types!$A$16:$E$16,4,FALSE),0),"")</f>
        <v/>
      </c>
      <c r="AD31" t="str">
        <f>IFERROR(ROUND(O31*VLOOKUP(N31,[1]note_pop_types!$A$16:$E$16,4,FALSE),0),"")</f>
        <v/>
      </c>
      <c r="AE31" t="str">
        <f>IFERROR(ROUND(Q31*VLOOKUP(P31,商品!$A$4:$B$60,2,FALSE),0),"")</f>
        <v/>
      </c>
      <c r="AF31" t="str">
        <f>IFERROR(ROUND(S31*VLOOKUP(R31,商品!$A$4:$B$60,2,FALSE),0),"")</f>
        <v/>
      </c>
    </row>
    <row r="32" spans="1:32" ht="19.05" customHeight="1" x14ac:dyDescent="0.25">
      <c r="A32" s="15" t="s">
        <v>178</v>
      </c>
      <c r="C32" s="15">
        <v>8</v>
      </c>
      <c r="T32" s="2">
        <f t="shared" si="0"/>
        <v>0</v>
      </c>
      <c r="U32" s="2">
        <f t="shared" si="1"/>
        <v>0</v>
      </c>
      <c r="V32" s="2">
        <f t="shared" si="2"/>
        <v>0</v>
      </c>
      <c r="W32" s="2">
        <f t="shared" si="3"/>
        <v>0</v>
      </c>
      <c r="Y32" t="str">
        <f>IFERROR(ROUND(E32*VLOOKUP(D32,商品!$A$4:$B$60,2,FALSE),0),"")</f>
        <v/>
      </c>
      <c r="Z32" t="str">
        <f>IFERROR(ROUND(G32*VLOOKUP(F32,商品!$A$4:$B$60,2,FALSE),0),"")</f>
        <v/>
      </c>
      <c r="AA32" t="str">
        <f>IFERROR(ROUND(I32*VLOOKUP(H32,商品!$A$4:$B$60,2,FALSE),0),"")</f>
        <v/>
      </c>
      <c r="AB32" t="str">
        <f>IFERROR(ROUND(K32*VLOOKUP(J32,[1]note_pop_types!$A$16:$E$16,4,FALSE),0),"")</f>
        <v/>
      </c>
      <c r="AC32" t="str">
        <f>IFERROR(ROUND(M32*VLOOKUP(L32,[1]note_pop_types!$A$16:$E$16,4,FALSE),0),"")</f>
        <v/>
      </c>
      <c r="AD32" t="str">
        <f>IFERROR(ROUND(O32*VLOOKUP(N32,[1]note_pop_types!$A$16:$E$16,4,FALSE),0),"")</f>
        <v/>
      </c>
      <c r="AE32" t="str">
        <f>IFERROR(ROUND(Q32*VLOOKUP(P32,商品!$A$4:$B$60,2,FALSE),0),"")</f>
        <v/>
      </c>
      <c r="AF32" t="str">
        <f>IFERROR(ROUND(S32*VLOOKUP(R32,商品!$A$4:$B$60,2,FALSE),0),"")</f>
        <v/>
      </c>
    </row>
    <row r="33" spans="1:32" ht="19.05" customHeight="1" x14ac:dyDescent="0.25">
      <c r="A33" s="16" t="s">
        <v>181</v>
      </c>
      <c r="C33" s="16">
        <v>1</v>
      </c>
      <c r="T33" s="2">
        <f t="shared" si="0"/>
        <v>0</v>
      </c>
      <c r="U33" s="2">
        <f t="shared" si="1"/>
        <v>0</v>
      </c>
      <c r="V33" s="2">
        <f t="shared" si="2"/>
        <v>0</v>
      </c>
      <c r="W33" s="2">
        <f t="shared" si="3"/>
        <v>0</v>
      </c>
      <c r="Y33" t="str">
        <f>IFERROR(ROUND(E33*VLOOKUP(D33,商品!$A$4:$B$60,2,FALSE),0),"")</f>
        <v/>
      </c>
      <c r="Z33" t="str">
        <f>IFERROR(ROUND(G33*VLOOKUP(F33,商品!$A$4:$B$60,2,FALSE),0),"")</f>
        <v/>
      </c>
      <c r="AA33" t="str">
        <f>IFERROR(ROUND(I33*VLOOKUP(H33,商品!$A$4:$B$60,2,FALSE),0),"")</f>
        <v/>
      </c>
      <c r="AB33" t="str">
        <f>IFERROR(ROUND(K33*VLOOKUP(J33,[1]note_pop_types!$A$16:$E$16,4,FALSE),0),"")</f>
        <v/>
      </c>
      <c r="AC33" t="str">
        <f>IFERROR(ROUND(M33*VLOOKUP(L33,[1]note_pop_types!$A$16:$E$16,4,FALSE),0),"")</f>
        <v/>
      </c>
      <c r="AD33" t="str">
        <f>IFERROR(ROUND(O33*VLOOKUP(N33,[1]note_pop_types!$A$16:$E$16,4,FALSE),0),"")</f>
        <v/>
      </c>
      <c r="AE33" t="str">
        <f>IFERROR(ROUND(Q33*VLOOKUP(P33,商品!$A$4:$B$60,2,FALSE),0),"")</f>
        <v/>
      </c>
      <c r="AF33" t="str">
        <f>IFERROR(ROUND(S33*VLOOKUP(R33,商品!$A$4:$B$60,2,FALSE),0),"")</f>
        <v/>
      </c>
    </row>
    <row r="34" spans="1:32" ht="19.05" customHeight="1" x14ac:dyDescent="0.25">
      <c r="A34" s="16" t="s">
        <v>181</v>
      </c>
      <c r="C34" s="16">
        <v>2</v>
      </c>
      <c r="T34" s="2">
        <f t="shared" si="0"/>
        <v>0</v>
      </c>
      <c r="U34" s="2">
        <f t="shared" si="1"/>
        <v>0</v>
      </c>
      <c r="V34" s="2">
        <f t="shared" si="2"/>
        <v>0</v>
      </c>
      <c r="W34" s="2">
        <f t="shared" si="3"/>
        <v>0</v>
      </c>
      <c r="Y34" t="str">
        <f>IFERROR(ROUND(E34*VLOOKUP(D34,商品!$A$4:$B$60,2,FALSE),0),"")</f>
        <v/>
      </c>
      <c r="Z34" t="str">
        <f>IFERROR(ROUND(G34*VLOOKUP(F34,商品!$A$4:$B$60,2,FALSE),0),"")</f>
        <v/>
      </c>
      <c r="AA34" t="str">
        <f>IFERROR(ROUND(I34*VLOOKUP(H34,商品!$A$4:$B$60,2,FALSE),0),"")</f>
        <v/>
      </c>
      <c r="AB34" t="str">
        <f>IFERROR(ROUND(K34*VLOOKUP(J34,[1]note_pop_types!$A$16:$E$16,4,FALSE),0),"")</f>
        <v/>
      </c>
      <c r="AC34" t="str">
        <f>IFERROR(ROUND(M34*VLOOKUP(L34,[1]note_pop_types!$A$16:$E$16,4,FALSE),0),"")</f>
        <v/>
      </c>
      <c r="AD34" t="str">
        <f>IFERROR(ROUND(O34*VLOOKUP(N34,[1]note_pop_types!$A$16:$E$16,4,FALSE),0),"")</f>
        <v/>
      </c>
      <c r="AE34" t="str">
        <f>IFERROR(ROUND(Q34*VLOOKUP(P34,商品!$A$4:$B$60,2,FALSE),0),"")</f>
        <v/>
      </c>
      <c r="AF34" t="str">
        <f>IFERROR(ROUND(S34*VLOOKUP(R34,商品!$A$4:$B$60,2,FALSE),0),"")</f>
        <v/>
      </c>
    </row>
    <row r="35" spans="1:32" ht="19.05" customHeight="1" x14ac:dyDescent="0.25">
      <c r="A35" s="16" t="s">
        <v>181</v>
      </c>
      <c r="C35" s="16">
        <v>3</v>
      </c>
      <c r="T35" s="2">
        <f t="shared" si="0"/>
        <v>0</v>
      </c>
      <c r="U35" s="2">
        <f t="shared" si="1"/>
        <v>0</v>
      </c>
      <c r="V35" s="2">
        <f t="shared" si="2"/>
        <v>0</v>
      </c>
      <c r="W35" s="2">
        <f t="shared" si="3"/>
        <v>0</v>
      </c>
      <c r="Y35" t="str">
        <f>IFERROR(ROUND(E35*VLOOKUP(D35,商品!$A$4:$B$60,2,FALSE),0),"")</f>
        <v/>
      </c>
      <c r="Z35" t="str">
        <f>IFERROR(ROUND(G35*VLOOKUP(F35,商品!$A$4:$B$60,2,FALSE),0),"")</f>
        <v/>
      </c>
      <c r="AA35" t="str">
        <f>IFERROR(ROUND(I35*VLOOKUP(H35,商品!$A$4:$B$60,2,FALSE),0),"")</f>
        <v/>
      </c>
      <c r="AB35" t="str">
        <f>IFERROR(ROUND(K35*VLOOKUP(J35,[1]note_pop_types!$A$16:$E$16,4,FALSE),0),"")</f>
        <v/>
      </c>
      <c r="AC35" t="str">
        <f>IFERROR(ROUND(M35*VLOOKUP(L35,[1]note_pop_types!$A$16:$E$16,4,FALSE),0),"")</f>
        <v/>
      </c>
      <c r="AD35" t="str">
        <f>IFERROR(ROUND(O35*VLOOKUP(N35,[1]note_pop_types!$A$16:$E$16,4,FALSE),0),"")</f>
        <v/>
      </c>
      <c r="AE35" t="str">
        <f>IFERROR(ROUND(Q35*VLOOKUP(P35,商品!$A$4:$B$60,2,FALSE),0),"")</f>
        <v/>
      </c>
      <c r="AF35" t="str">
        <f>IFERROR(ROUND(S35*VLOOKUP(R35,商品!$A$4:$B$60,2,FALSE),0),"")</f>
        <v/>
      </c>
    </row>
    <row r="36" spans="1:32" ht="19.05" customHeight="1" x14ac:dyDescent="0.25">
      <c r="A36" s="16" t="s">
        <v>181</v>
      </c>
      <c r="C36" s="16">
        <v>4</v>
      </c>
      <c r="T36" s="2">
        <f t="shared" si="0"/>
        <v>0</v>
      </c>
      <c r="U36" s="2">
        <f t="shared" si="1"/>
        <v>0</v>
      </c>
      <c r="V36" s="2">
        <f t="shared" si="2"/>
        <v>0</v>
      </c>
      <c r="W36" s="2">
        <f t="shared" si="3"/>
        <v>0</v>
      </c>
      <c r="Y36" t="str">
        <f>IFERROR(ROUND(E36*VLOOKUP(D36,商品!$A$4:$B$60,2,FALSE),0),"")</f>
        <v/>
      </c>
      <c r="Z36" t="str">
        <f>IFERROR(ROUND(G36*VLOOKUP(F36,商品!$A$4:$B$60,2,FALSE),0),"")</f>
        <v/>
      </c>
      <c r="AA36" t="str">
        <f>IFERROR(ROUND(I36*VLOOKUP(H36,商品!$A$4:$B$60,2,FALSE),0),"")</f>
        <v/>
      </c>
      <c r="AB36" t="str">
        <f>IFERROR(ROUND(K36*VLOOKUP(J36,[1]note_pop_types!$A$16:$E$16,4,FALSE),0),"")</f>
        <v/>
      </c>
      <c r="AC36" t="str">
        <f>IFERROR(ROUND(M36*VLOOKUP(L36,[1]note_pop_types!$A$16:$E$16,4,FALSE),0),"")</f>
        <v/>
      </c>
      <c r="AD36" t="str">
        <f>IFERROR(ROUND(O36*VLOOKUP(N36,[1]note_pop_types!$A$16:$E$16,4,FALSE),0),"")</f>
        <v/>
      </c>
      <c r="AE36" t="str">
        <f>IFERROR(ROUND(Q36*VLOOKUP(P36,商品!$A$4:$B$60,2,FALSE),0),"")</f>
        <v/>
      </c>
      <c r="AF36" t="str">
        <f>IFERROR(ROUND(S36*VLOOKUP(R36,商品!$A$4:$B$60,2,FALSE),0),"")</f>
        <v/>
      </c>
    </row>
    <row r="37" spans="1:32" ht="19.05" customHeight="1" x14ac:dyDescent="0.25">
      <c r="A37" s="16" t="s">
        <v>181</v>
      </c>
      <c r="C37" s="16">
        <v>5</v>
      </c>
      <c r="T37" s="2">
        <f t="shared" si="0"/>
        <v>0</v>
      </c>
      <c r="U37" s="2">
        <f t="shared" si="1"/>
        <v>0</v>
      </c>
      <c r="V37" s="2">
        <f t="shared" si="2"/>
        <v>0</v>
      </c>
      <c r="W37" s="2">
        <f t="shared" si="3"/>
        <v>0</v>
      </c>
      <c r="Y37" t="str">
        <f>IFERROR(ROUND(E37*VLOOKUP(D37,商品!$A$4:$B$60,2,FALSE),0),"")</f>
        <v/>
      </c>
      <c r="Z37" t="str">
        <f>IFERROR(ROUND(G37*VLOOKUP(F37,商品!$A$4:$B$60,2,FALSE),0),"")</f>
        <v/>
      </c>
      <c r="AA37" t="str">
        <f>IFERROR(ROUND(I37*VLOOKUP(H37,商品!$A$4:$B$60,2,FALSE),0),"")</f>
        <v/>
      </c>
      <c r="AB37" t="str">
        <f>IFERROR(ROUND(K37*VLOOKUP(J37,[1]note_pop_types!$A$16:$E$16,4,FALSE),0),"")</f>
        <v/>
      </c>
      <c r="AC37" t="str">
        <f>IFERROR(ROUND(M37*VLOOKUP(L37,[1]note_pop_types!$A$16:$E$16,4,FALSE),0),"")</f>
        <v/>
      </c>
      <c r="AD37" t="str">
        <f>IFERROR(ROUND(O37*VLOOKUP(N37,[1]note_pop_types!$A$16:$E$16,4,FALSE),0),"")</f>
        <v/>
      </c>
      <c r="AE37" t="str">
        <f>IFERROR(ROUND(Q37*VLOOKUP(P37,商品!$A$4:$B$60,2,FALSE),0),"")</f>
        <v/>
      </c>
      <c r="AF37" t="str">
        <f>IFERROR(ROUND(S37*VLOOKUP(R37,商品!$A$4:$B$60,2,FALSE),0),"")</f>
        <v/>
      </c>
    </row>
    <row r="38" spans="1:32" ht="19.05" customHeight="1" x14ac:dyDescent="0.25">
      <c r="A38" s="15" t="s">
        <v>532</v>
      </c>
      <c r="C38" s="15">
        <v>1</v>
      </c>
      <c r="T38" s="2">
        <f t="shared" si="0"/>
        <v>0</v>
      </c>
      <c r="U38" s="2">
        <f t="shared" si="1"/>
        <v>0</v>
      </c>
      <c r="V38" s="2">
        <f t="shared" si="2"/>
        <v>0</v>
      </c>
      <c r="W38" s="2">
        <f t="shared" si="3"/>
        <v>0</v>
      </c>
      <c r="Y38" t="str">
        <f>IFERROR(ROUND(E38*VLOOKUP(D38,商品!$A$4:$B$60,2,FALSE),0),"")</f>
        <v/>
      </c>
      <c r="Z38" t="str">
        <f>IFERROR(ROUND(G38*VLOOKUP(F38,商品!$A$4:$B$60,2,FALSE),0),"")</f>
        <v/>
      </c>
      <c r="AA38" t="str">
        <f>IFERROR(ROUND(I38*VLOOKUP(H38,商品!$A$4:$B$60,2,FALSE),0),"")</f>
        <v/>
      </c>
      <c r="AB38" t="str">
        <f>IFERROR(ROUND(K38*VLOOKUP(J38,[1]note_pop_types!$A$16:$E$16,4,FALSE),0),"")</f>
        <v/>
      </c>
      <c r="AC38" t="str">
        <f>IFERROR(ROUND(M38*VLOOKUP(L38,[1]note_pop_types!$A$16:$E$16,4,FALSE),0),"")</f>
        <v/>
      </c>
      <c r="AD38" t="str">
        <f>IFERROR(ROUND(O38*VLOOKUP(N38,[1]note_pop_types!$A$16:$E$16,4,FALSE),0),"")</f>
        <v/>
      </c>
      <c r="AE38" t="str">
        <f>IFERROR(ROUND(Q38*VLOOKUP(P38,商品!$A$4:$B$60,2,FALSE),0),"")</f>
        <v/>
      </c>
      <c r="AF38" t="str">
        <f>IFERROR(ROUND(S38*VLOOKUP(R38,商品!$A$4:$B$60,2,FALSE),0),"")</f>
        <v/>
      </c>
    </row>
    <row r="39" spans="1:32" ht="19.05" customHeight="1" x14ac:dyDescent="0.25">
      <c r="A39" s="15" t="s">
        <v>532</v>
      </c>
      <c r="C39" s="15">
        <v>2</v>
      </c>
      <c r="T39" s="2">
        <f t="shared" si="0"/>
        <v>0</v>
      </c>
      <c r="U39" s="2">
        <f t="shared" si="1"/>
        <v>0</v>
      </c>
      <c r="V39" s="2">
        <f t="shared" si="2"/>
        <v>0</v>
      </c>
      <c r="W39" s="2">
        <f t="shared" si="3"/>
        <v>0</v>
      </c>
      <c r="Y39" t="str">
        <f>IFERROR(ROUND(E39*VLOOKUP(D39,商品!$A$4:$B$60,2,FALSE),0),"")</f>
        <v/>
      </c>
      <c r="Z39" t="str">
        <f>IFERROR(ROUND(G39*VLOOKUP(F39,商品!$A$4:$B$60,2,FALSE),0),"")</f>
        <v/>
      </c>
      <c r="AA39" t="str">
        <f>IFERROR(ROUND(I39*VLOOKUP(H39,商品!$A$4:$B$60,2,FALSE),0),"")</f>
        <v/>
      </c>
      <c r="AB39" t="str">
        <f>IFERROR(ROUND(K39*VLOOKUP(J39,[1]note_pop_types!$A$16:$E$16,4,FALSE),0),"")</f>
        <v/>
      </c>
      <c r="AC39" t="str">
        <f>IFERROR(ROUND(M39*VLOOKUP(L39,[1]note_pop_types!$A$16:$E$16,4,FALSE),0),"")</f>
        <v/>
      </c>
      <c r="AD39" t="str">
        <f>IFERROR(ROUND(O39*VLOOKUP(N39,[1]note_pop_types!$A$16:$E$16,4,FALSE),0),"")</f>
        <v/>
      </c>
      <c r="AE39" t="str">
        <f>IFERROR(ROUND(Q39*VLOOKUP(P39,商品!$A$4:$B$60,2,FALSE),0),"")</f>
        <v/>
      </c>
      <c r="AF39" t="str">
        <f>IFERROR(ROUND(S39*VLOOKUP(R39,商品!$A$4:$B$60,2,FALSE),0),"")</f>
        <v/>
      </c>
    </row>
    <row r="40" spans="1:32" ht="19.05" customHeight="1" x14ac:dyDescent="0.25">
      <c r="A40" s="15" t="s">
        <v>532</v>
      </c>
      <c r="C40" s="15">
        <v>3</v>
      </c>
      <c r="T40" s="2">
        <f t="shared" si="0"/>
        <v>0</v>
      </c>
      <c r="U40" s="2">
        <f t="shared" si="1"/>
        <v>0</v>
      </c>
      <c r="V40" s="2">
        <f t="shared" si="2"/>
        <v>0</v>
      </c>
      <c r="W40" s="2">
        <f t="shared" si="3"/>
        <v>0</v>
      </c>
      <c r="Y40" t="str">
        <f>IFERROR(ROUND(E40*VLOOKUP(D40,商品!$A$4:$B$60,2,FALSE),0),"")</f>
        <v/>
      </c>
      <c r="Z40" t="str">
        <f>IFERROR(ROUND(G40*VLOOKUP(F40,商品!$A$4:$B$60,2,FALSE),0),"")</f>
        <v/>
      </c>
      <c r="AA40" t="str">
        <f>IFERROR(ROUND(I40*VLOOKUP(H40,商品!$A$4:$B$60,2,FALSE),0),"")</f>
        <v/>
      </c>
      <c r="AB40" t="str">
        <f>IFERROR(ROUND(K40*VLOOKUP(J40,[1]note_pop_types!$A$16:$E$16,4,FALSE),0),"")</f>
        <v/>
      </c>
      <c r="AC40" t="str">
        <f>IFERROR(ROUND(M40*VLOOKUP(L40,[1]note_pop_types!$A$16:$E$16,4,FALSE),0),"")</f>
        <v/>
      </c>
      <c r="AD40" t="str">
        <f>IFERROR(ROUND(O40*VLOOKUP(N40,[1]note_pop_types!$A$16:$E$16,4,FALSE),0),"")</f>
        <v/>
      </c>
      <c r="AE40" t="str">
        <f>IFERROR(ROUND(Q40*VLOOKUP(P40,商品!$A$4:$B$60,2,FALSE),0),"")</f>
        <v/>
      </c>
      <c r="AF40" t="str">
        <f>IFERROR(ROUND(S40*VLOOKUP(R40,商品!$A$4:$B$60,2,FALSE),0),"")</f>
        <v/>
      </c>
    </row>
    <row r="41" spans="1:32" ht="19.05" customHeight="1" x14ac:dyDescent="0.25">
      <c r="A41" s="15" t="s">
        <v>532</v>
      </c>
      <c r="C41" s="15">
        <v>4</v>
      </c>
      <c r="T41" s="2">
        <f t="shared" si="0"/>
        <v>0</v>
      </c>
      <c r="U41" s="2">
        <f t="shared" si="1"/>
        <v>0</v>
      </c>
      <c r="V41" s="2">
        <f t="shared" si="2"/>
        <v>0</v>
      </c>
      <c r="W41" s="2">
        <f t="shared" si="3"/>
        <v>0</v>
      </c>
      <c r="Y41" t="str">
        <f>IFERROR(ROUND(E41*VLOOKUP(D41,商品!$A$4:$B$60,2,FALSE),0),"")</f>
        <v/>
      </c>
      <c r="Z41" t="str">
        <f>IFERROR(ROUND(G41*VLOOKUP(F41,商品!$A$4:$B$60,2,FALSE),0),"")</f>
        <v/>
      </c>
      <c r="AA41" t="str">
        <f>IFERROR(ROUND(I41*VLOOKUP(H41,商品!$A$4:$B$60,2,FALSE),0),"")</f>
        <v/>
      </c>
      <c r="AB41" t="str">
        <f>IFERROR(ROUND(K41*VLOOKUP(J41,[1]note_pop_types!$A$16:$E$16,4,FALSE),0),"")</f>
        <v/>
      </c>
      <c r="AC41" t="str">
        <f>IFERROR(ROUND(M41*VLOOKUP(L41,[1]note_pop_types!$A$16:$E$16,4,FALSE),0),"")</f>
        <v/>
      </c>
      <c r="AD41" t="str">
        <f>IFERROR(ROUND(O41*VLOOKUP(N41,[1]note_pop_types!$A$16:$E$16,4,FALSE),0),"")</f>
        <v/>
      </c>
      <c r="AE41" t="str">
        <f>IFERROR(ROUND(Q41*VLOOKUP(P41,商品!$A$4:$B$60,2,FALSE),0),"")</f>
        <v/>
      </c>
      <c r="AF41" t="str">
        <f>IFERROR(ROUND(S41*VLOOKUP(R41,商品!$A$4:$B$60,2,FALSE),0),"")</f>
        <v/>
      </c>
    </row>
    <row r="42" spans="1:32" ht="19.05" customHeight="1" x14ac:dyDescent="0.25">
      <c r="A42" s="15" t="s">
        <v>532</v>
      </c>
      <c r="C42" s="15">
        <v>5</v>
      </c>
      <c r="T42" s="2">
        <f t="shared" si="0"/>
        <v>0</v>
      </c>
      <c r="U42" s="2">
        <f t="shared" si="1"/>
        <v>0</v>
      </c>
      <c r="V42" s="2">
        <f t="shared" si="2"/>
        <v>0</v>
      </c>
      <c r="W42" s="2">
        <f t="shared" si="3"/>
        <v>0</v>
      </c>
      <c r="Y42" t="str">
        <f>IFERROR(ROUND(E42*VLOOKUP(D42,商品!$A$4:$B$60,2,FALSE),0),"")</f>
        <v/>
      </c>
      <c r="Z42" t="str">
        <f>IFERROR(ROUND(G42*VLOOKUP(F42,商品!$A$4:$B$60,2,FALSE),0),"")</f>
        <v/>
      </c>
      <c r="AA42" t="str">
        <f>IFERROR(ROUND(I42*VLOOKUP(H42,商品!$A$4:$B$60,2,FALSE),0),"")</f>
        <v/>
      </c>
      <c r="AB42" t="str">
        <f>IFERROR(ROUND(K42*VLOOKUP(J42,[1]note_pop_types!$A$16:$E$16,4,FALSE),0),"")</f>
        <v/>
      </c>
      <c r="AC42" t="str">
        <f>IFERROR(ROUND(M42*VLOOKUP(L42,[1]note_pop_types!$A$16:$E$16,4,FALSE),0),"")</f>
        <v/>
      </c>
      <c r="AD42" t="str">
        <f>IFERROR(ROUND(O42*VLOOKUP(N42,[1]note_pop_types!$A$16:$E$16,4,FALSE),0),"")</f>
        <v/>
      </c>
      <c r="AE42" t="str">
        <f>IFERROR(ROUND(Q42*VLOOKUP(P42,商品!$A$4:$B$60,2,FALSE),0),"")</f>
        <v/>
      </c>
      <c r="AF42" t="str">
        <f>IFERROR(ROUND(S42*VLOOKUP(R42,商品!$A$4:$B$60,2,FALSE),0),"")</f>
        <v/>
      </c>
    </row>
    <row r="43" spans="1:32" ht="19.05" customHeight="1" x14ac:dyDescent="0.25">
      <c r="A43" s="16" t="s">
        <v>497</v>
      </c>
      <c r="C43" s="16">
        <v>1</v>
      </c>
      <c r="T43" s="2">
        <f t="shared" si="0"/>
        <v>0</v>
      </c>
      <c r="U43" s="2">
        <f t="shared" si="1"/>
        <v>0</v>
      </c>
      <c r="V43" s="2">
        <f t="shared" si="2"/>
        <v>0</v>
      </c>
      <c r="W43" s="2">
        <f t="shared" si="3"/>
        <v>0</v>
      </c>
      <c r="Y43" t="str">
        <f>IFERROR(ROUND(E43*VLOOKUP(D43,商品!$A$4:$B$60,2,FALSE),0),"")</f>
        <v/>
      </c>
      <c r="Z43" t="str">
        <f>IFERROR(ROUND(G43*VLOOKUP(F43,商品!$A$4:$B$60,2,FALSE),0),"")</f>
        <v/>
      </c>
      <c r="AA43" t="str">
        <f>IFERROR(ROUND(I43*VLOOKUP(H43,商品!$A$4:$B$60,2,FALSE),0),"")</f>
        <v/>
      </c>
      <c r="AB43" t="str">
        <f>IFERROR(ROUND(K43*VLOOKUP(J43,[1]note_pop_types!$A$16:$E$16,4,FALSE),0),"")</f>
        <v/>
      </c>
      <c r="AC43" t="str">
        <f>IFERROR(ROUND(M43*VLOOKUP(L43,[1]note_pop_types!$A$16:$E$16,4,FALSE),0),"")</f>
        <v/>
      </c>
      <c r="AD43" t="str">
        <f>IFERROR(ROUND(O43*VLOOKUP(N43,[1]note_pop_types!$A$16:$E$16,4,FALSE),0),"")</f>
        <v/>
      </c>
      <c r="AE43" t="str">
        <f>IFERROR(ROUND(Q43*VLOOKUP(P43,商品!$A$4:$B$60,2,FALSE),0),"")</f>
        <v/>
      </c>
      <c r="AF43" t="str">
        <f>IFERROR(ROUND(S43*VLOOKUP(R43,商品!$A$4:$B$60,2,FALSE),0),"")</f>
        <v/>
      </c>
    </row>
    <row r="44" spans="1:32" ht="19.05" customHeight="1" x14ac:dyDescent="0.25">
      <c r="A44" s="16" t="s">
        <v>497</v>
      </c>
      <c r="C44" s="16">
        <v>2</v>
      </c>
      <c r="T44" s="2">
        <f t="shared" si="0"/>
        <v>0</v>
      </c>
      <c r="U44" s="2">
        <f t="shared" si="1"/>
        <v>0</v>
      </c>
      <c r="V44" s="2">
        <f t="shared" si="2"/>
        <v>0</v>
      </c>
      <c r="W44" s="2">
        <f t="shared" si="3"/>
        <v>0</v>
      </c>
      <c r="Y44" t="str">
        <f>IFERROR(ROUND(E44*VLOOKUP(D44,商品!$A$4:$B$60,2,FALSE),0),"")</f>
        <v/>
      </c>
      <c r="Z44" t="str">
        <f>IFERROR(ROUND(G44*VLOOKUP(F44,商品!$A$4:$B$60,2,FALSE),0),"")</f>
        <v/>
      </c>
      <c r="AA44" t="str">
        <f>IFERROR(ROUND(I44*VLOOKUP(H44,商品!$A$4:$B$60,2,FALSE),0),"")</f>
        <v/>
      </c>
      <c r="AB44" t="str">
        <f>IFERROR(ROUND(K44*VLOOKUP(J44,[1]note_pop_types!$A$16:$E$16,4,FALSE),0),"")</f>
        <v/>
      </c>
      <c r="AC44" t="str">
        <f>IFERROR(ROUND(M44*VLOOKUP(L44,[1]note_pop_types!$A$16:$E$16,4,FALSE),0),"")</f>
        <v/>
      </c>
      <c r="AD44" t="str">
        <f>IFERROR(ROUND(O44*VLOOKUP(N44,[1]note_pop_types!$A$16:$E$16,4,FALSE),0),"")</f>
        <v/>
      </c>
      <c r="AE44" t="str">
        <f>IFERROR(ROUND(Q44*VLOOKUP(P44,商品!$A$4:$B$60,2,FALSE),0),"")</f>
        <v/>
      </c>
      <c r="AF44" t="str">
        <f>IFERROR(ROUND(S44*VLOOKUP(R44,商品!$A$4:$B$60,2,FALSE),0),"")</f>
        <v/>
      </c>
    </row>
    <row r="45" spans="1:32" ht="19.05" customHeight="1" x14ac:dyDescent="0.25">
      <c r="A45" s="16" t="s">
        <v>497</v>
      </c>
      <c r="C45" s="16">
        <v>3</v>
      </c>
      <c r="T45" s="2">
        <f t="shared" si="0"/>
        <v>0</v>
      </c>
      <c r="U45" s="2">
        <f t="shared" si="1"/>
        <v>0</v>
      </c>
      <c r="V45" s="2">
        <f t="shared" si="2"/>
        <v>0</v>
      </c>
      <c r="W45" s="2">
        <f t="shared" si="3"/>
        <v>0</v>
      </c>
      <c r="Y45" t="str">
        <f>IFERROR(ROUND(E45*VLOOKUP(D45,商品!$A$4:$B$60,2,FALSE),0),"")</f>
        <v/>
      </c>
      <c r="Z45" t="str">
        <f>IFERROR(ROUND(G45*VLOOKUP(F45,商品!$A$4:$B$60,2,FALSE),0),"")</f>
        <v/>
      </c>
      <c r="AA45" t="str">
        <f>IFERROR(ROUND(I45*VLOOKUP(H45,商品!$A$4:$B$60,2,FALSE),0),"")</f>
        <v/>
      </c>
      <c r="AB45" t="str">
        <f>IFERROR(ROUND(K45*VLOOKUP(J45,[1]note_pop_types!$A$16:$E$16,4,FALSE),0),"")</f>
        <v/>
      </c>
      <c r="AC45" t="str">
        <f>IFERROR(ROUND(M45*VLOOKUP(L45,[1]note_pop_types!$A$16:$E$16,4,FALSE),0),"")</f>
        <v/>
      </c>
      <c r="AD45" t="str">
        <f>IFERROR(ROUND(O45*VLOOKUP(N45,[1]note_pop_types!$A$16:$E$16,4,FALSE),0),"")</f>
        <v/>
      </c>
      <c r="AE45" t="str">
        <f>IFERROR(ROUND(Q45*VLOOKUP(P45,商品!$A$4:$B$60,2,FALSE),0),"")</f>
        <v/>
      </c>
      <c r="AF45" t="str">
        <f>IFERROR(ROUND(S45*VLOOKUP(R45,商品!$A$4:$B$60,2,FALSE),0),"")</f>
        <v/>
      </c>
    </row>
    <row r="46" spans="1:32" ht="19.05" customHeight="1" x14ac:dyDescent="0.25">
      <c r="A46" s="16" t="s">
        <v>497</v>
      </c>
      <c r="C46" s="16">
        <v>4</v>
      </c>
      <c r="T46" s="2">
        <f t="shared" si="0"/>
        <v>0</v>
      </c>
      <c r="U46" s="2">
        <f t="shared" si="1"/>
        <v>0</v>
      </c>
      <c r="V46" s="2">
        <f t="shared" si="2"/>
        <v>0</v>
      </c>
      <c r="W46" s="2">
        <f t="shared" si="3"/>
        <v>0</v>
      </c>
      <c r="Y46" t="str">
        <f>IFERROR(ROUND(E46*VLOOKUP(D46,商品!$A$4:$B$60,2,FALSE),0),"")</f>
        <v/>
      </c>
      <c r="Z46" t="str">
        <f>IFERROR(ROUND(G46*VLOOKUP(F46,商品!$A$4:$B$60,2,FALSE),0),"")</f>
        <v/>
      </c>
      <c r="AA46" t="str">
        <f>IFERROR(ROUND(I46*VLOOKUP(H46,商品!$A$4:$B$60,2,FALSE),0),"")</f>
        <v/>
      </c>
      <c r="AB46" t="str">
        <f>IFERROR(ROUND(K46*VLOOKUP(J46,[1]note_pop_types!$A$16:$E$16,4,FALSE),0),"")</f>
        <v/>
      </c>
      <c r="AC46" t="str">
        <f>IFERROR(ROUND(M46*VLOOKUP(L46,[1]note_pop_types!$A$16:$E$16,4,FALSE),0),"")</f>
        <v/>
      </c>
      <c r="AD46" t="str">
        <f>IFERROR(ROUND(O46*VLOOKUP(N46,[1]note_pop_types!$A$16:$E$16,4,FALSE),0),"")</f>
        <v/>
      </c>
      <c r="AE46" t="str">
        <f>IFERROR(ROUND(Q46*VLOOKUP(P46,商品!$A$4:$B$60,2,FALSE),0),"")</f>
        <v/>
      </c>
      <c r="AF46" t="str">
        <f>IFERROR(ROUND(S46*VLOOKUP(R46,商品!$A$4:$B$60,2,FALSE),0),"")</f>
        <v/>
      </c>
    </row>
    <row r="47" spans="1:32" ht="19.05" customHeight="1" x14ac:dyDescent="0.25">
      <c r="A47" s="16" t="s">
        <v>497</v>
      </c>
      <c r="C47" s="16">
        <v>5</v>
      </c>
      <c r="T47" s="2">
        <f t="shared" si="0"/>
        <v>0</v>
      </c>
      <c r="U47" s="2">
        <f t="shared" si="1"/>
        <v>0</v>
      </c>
      <c r="V47" s="2">
        <f t="shared" si="2"/>
        <v>0</v>
      </c>
      <c r="W47" s="2">
        <f t="shared" si="3"/>
        <v>0</v>
      </c>
      <c r="Y47" t="str">
        <f>IFERROR(ROUND(E47*VLOOKUP(D47,商品!$A$4:$B$60,2,FALSE),0),"")</f>
        <v/>
      </c>
      <c r="Z47" t="str">
        <f>IFERROR(ROUND(G47*VLOOKUP(F47,商品!$A$4:$B$60,2,FALSE),0),"")</f>
        <v/>
      </c>
      <c r="AA47" t="str">
        <f>IFERROR(ROUND(I47*VLOOKUP(H47,商品!$A$4:$B$60,2,FALSE),0),"")</f>
        <v/>
      </c>
      <c r="AB47" t="str">
        <f>IFERROR(ROUND(K47*VLOOKUP(J47,[1]note_pop_types!$A$16:$E$16,4,FALSE),0),"")</f>
        <v/>
      </c>
      <c r="AC47" t="str">
        <f>IFERROR(ROUND(M47*VLOOKUP(L47,[1]note_pop_types!$A$16:$E$16,4,FALSE),0),"")</f>
        <v/>
      </c>
      <c r="AD47" t="str">
        <f>IFERROR(ROUND(O47*VLOOKUP(N47,[1]note_pop_types!$A$16:$E$16,4,FALSE),0),"")</f>
        <v/>
      </c>
      <c r="AE47" t="str">
        <f>IFERROR(ROUND(Q47*VLOOKUP(P47,商品!$A$4:$B$60,2,FALSE),0),"")</f>
        <v/>
      </c>
      <c r="AF47" t="str">
        <f>IFERROR(ROUND(S47*VLOOKUP(R47,商品!$A$4:$B$60,2,FALSE),0),"")</f>
        <v/>
      </c>
    </row>
    <row r="48" spans="1:32" ht="19.05" customHeight="1" x14ac:dyDescent="0.25">
      <c r="A48" s="15" t="s">
        <v>497</v>
      </c>
      <c r="C48" s="15">
        <v>1</v>
      </c>
      <c r="T48" s="2">
        <f t="shared" si="0"/>
        <v>0</v>
      </c>
      <c r="U48" s="2">
        <f t="shared" si="1"/>
        <v>0</v>
      </c>
      <c r="V48" s="2">
        <f t="shared" si="2"/>
        <v>0</v>
      </c>
      <c r="W48" s="2">
        <f t="shared" si="3"/>
        <v>0</v>
      </c>
      <c r="Y48" t="str">
        <f>IFERROR(ROUND(E48*VLOOKUP(D48,商品!$A$4:$B$60,2,FALSE),0),"")</f>
        <v/>
      </c>
      <c r="Z48" t="str">
        <f>IFERROR(ROUND(G48*VLOOKUP(F48,商品!$A$4:$B$60,2,FALSE),0),"")</f>
        <v/>
      </c>
      <c r="AA48" t="str">
        <f>IFERROR(ROUND(I48*VLOOKUP(H48,商品!$A$4:$B$60,2,FALSE),0),"")</f>
        <v/>
      </c>
      <c r="AB48" t="str">
        <f>IFERROR(ROUND(K48*VLOOKUP(J48,[1]note_pop_types!$A$16:$E$16,4,FALSE),0),"")</f>
        <v/>
      </c>
      <c r="AC48" t="str">
        <f>IFERROR(ROUND(M48*VLOOKUP(L48,[1]note_pop_types!$A$16:$E$16,4,FALSE),0),"")</f>
        <v/>
      </c>
      <c r="AD48" t="str">
        <f>IFERROR(ROUND(O48*VLOOKUP(N48,[1]note_pop_types!$A$16:$E$16,4,FALSE),0),"")</f>
        <v/>
      </c>
      <c r="AE48" t="str">
        <f>IFERROR(ROUND(Q48*VLOOKUP(P48,商品!$A$4:$B$60,2,FALSE),0),"")</f>
        <v/>
      </c>
      <c r="AF48" t="str">
        <f>IFERROR(ROUND(S48*VLOOKUP(R48,商品!$A$4:$B$60,2,FALSE),0),"")</f>
        <v/>
      </c>
    </row>
    <row r="49" spans="1:32" ht="19.05" customHeight="1" x14ac:dyDescent="0.25">
      <c r="A49" s="15" t="s">
        <v>497</v>
      </c>
      <c r="C49" s="15">
        <v>2</v>
      </c>
      <c r="T49" s="2">
        <f t="shared" si="0"/>
        <v>0</v>
      </c>
      <c r="U49" s="2">
        <f t="shared" si="1"/>
        <v>0</v>
      </c>
      <c r="V49" s="2">
        <f t="shared" si="2"/>
        <v>0</v>
      </c>
      <c r="W49" s="2">
        <f t="shared" si="3"/>
        <v>0</v>
      </c>
      <c r="Y49" t="str">
        <f>IFERROR(ROUND(E49*VLOOKUP(D49,商品!$A$4:$B$60,2,FALSE),0),"")</f>
        <v/>
      </c>
      <c r="Z49" t="str">
        <f>IFERROR(ROUND(G49*VLOOKUP(F49,商品!$A$4:$B$60,2,FALSE),0),"")</f>
        <v/>
      </c>
      <c r="AA49" t="str">
        <f>IFERROR(ROUND(I49*VLOOKUP(H49,商品!$A$4:$B$60,2,FALSE),0),"")</f>
        <v/>
      </c>
      <c r="AB49" t="str">
        <f>IFERROR(ROUND(K49*VLOOKUP(J49,[1]note_pop_types!$A$16:$E$16,4,FALSE),0),"")</f>
        <v/>
      </c>
      <c r="AC49" t="str">
        <f>IFERROR(ROUND(M49*VLOOKUP(L49,[1]note_pop_types!$A$16:$E$16,4,FALSE),0),"")</f>
        <v/>
      </c>
      <c r="AD49" t="str">
        <f>IFERROR(ROUND(O49*VLOOKUP(N49,[1]note_pop_types!$A$16:$E$16,4,FALSE),0),"")</f>
        <v/>
      </c>
      <c r="AE49" t="str">
        <f>IFERROR(ROUND(Q49*VLOOKUP(P49,商品!$A$4:$B$60,2,FALSE),0),"")</f>
        <v/>
      </c>
      <c r="AF49" t="str">
        <f>IFERROR(ROUND(S49*VLOOKUP(R49,商品!$A$4:$B$60,2,FALSE),0),"")</f>
        <v/>
      </c>
    </row>
    <row r="50" spans="1:32" ht="19.05" customHeight="1" x14ac:dyDescent="0.25">
      <c r="A50" s="15" t="s">
        <v>497</v>
      </c>
      <c r="C50" s="15">
        <v>3</v>
      </c>
      <c r="T50" s="2">
        <f t="shared" si="0"/>
        <v>0</v>
      </c>
      <c r="U50" s="2">
        <f t="shared" si="1"/>
        <v>0</v>
      </c>
      <c r="V50" s="2">
        <f t="shared" si="2"/>
        <v>0</v>
      </c>
      <c r="W50" s="2">
        <f t="shared" si="3"/>
        <v>0</v>
      </c>
      <c r="Y50" t="str">
        <f>IFERROR(ROUND(E50*VLOOKUP(D50,商品!$A$4:$B$60,2,FALSE),0),"")</f>
        <v/>
      </c>
      <c r="Z50" t="str">
        <f>IFERROR(ROUND(G50*VLOOKUP(F50,商品!$A$4:$B$60,2,FALSE),0),"")</f>
        <v/>
      </c>
      <c r="AA50" t="str">
        <f>IFERROR(ROUND(I50*VLOOKUP(H50,商品!$A$4:$B$60,2,FALSE),0),"")</f>
        <v/>
      </c>
      <c r="AB50" t="str">
        <f>IFERROR(ROUND(K50*VLOOKUP(J50,[1]note_pop_types!$A$16:$E$16,4,FALSE),0),"")</f>
        <v/>
      </c>
      <c r="AC50" t="str">
        <f>IFERROR(ROUND(M50*VLOOKUP(L50,[1]note_pop_types!$A$16:$E$16,4,FALSE),0),"")</f>
        <v/>
      </c>
      <c r="AD50" t="str">
        <f>IFERROR(ROUND(O50*VLOOKUP(N50,[1]note_pop_types!$A$16:$E$16,4,FALSE),0),"")</f>
        <v/>
      </c>
      <c r="AE50" t="str">
        <f>IFERROR(ROUND(Q50*VLOOKUP(P50,商品!$A$4:$B$60,2,FALSE),0),"")</f>
        <v/>
      </c>
      <c r="AF50" t="str">
        <f>IFERROR(ROUND(S50*VLOOKUP(R50,商品!$A$4:$B$60,2,FALSE),0),"")</f>
        <v/>
      </c>
    </row>
    <row r="51" spans="1:32" ht="19.05" customHeight="1" x14ac:dyDescent="0.25">
      <c r="A51" s="15" t="s">
        <v>497</v>
      </c>
      <c r="C51" s="15">
        <v>4</v>
      </c>
      <c r="T51" s="2">
        <f t="shared" si="0"/>
        <v>0</v>
      </c>
      <c r="U51" s="2">
        <f t="shared" si="1"/>
        <v>0</v>
      </c>
      <c r="V51" s="2">
        <f t="shared" si="2"/>
        <v>0</v>
      </c>
      <c r="W51" s="2">
        <f t="shared" si="3"/>
        <v>0</v>
      </c>
      <c r="Y51" t="str">
        <f>IFERROR(ROUND(E51*VLOOKUP(D51,商品!$A$4:$B$60,2,FALSE),0),"")</f>
        <v/>
      </c>
      <c r="Z51" t="str">
        <f>IFERROR(ROUND(G51*VLOOKUP(F51,商品!$A$4:$B$60,2,FALSE),0),"")</f>
        <v/>
      </c>
      <c r="AA51" t="str">
        <f>IFERROR(ROUND(I51*VLOOKUP(H51,商品!$A$4:$B$60,2,FALSE),0),"")</f>
        <v/>
      </c>
      <c r="AB51" t="str">
        <f>IFERROR(ROUND(K51*VLOOKUP(J51,[1]note_pop_types!$A$16:$E$16,4,FALSE),0),"")</f>
        <v/>
      </c>
      <c r="AC51" t="str">
        <f>IFERROR(ROUND(M51*VLOOKUP(L51,[1]note_pop_types!$A$16:$E$16,4,FALSE),0),"")</f>
        <v/>
      </c>
      <c r="AD51" t="str">
        <f>IFERROR(ROUND(O51*VLOOKUP(N51,[1]note_pop_types!$A$16:$E$16,4,FALSE),0),"")</f>
        <v/>
      </c>
      <c r="AE51" t="str">
        <f>IFERROR(ROUND(Q51*VLOOKUP(P51,商品!$A$4:$B$60,2,FALSE),0),"")</f>
        <v/>
      </c>
      <c r="AF51" t="str">
        <f>IFERROR(ROUND(S51*VLOOKUP(R51,商品!$A$4:$B$60,2,FALSE),0),"")</f>
        <v/>
      </c>
    </row>
    <row r="52" spans="1:32" ht="19.05" customHeight="1" x14ac:dyDescent="0.25">
      <c r="A52" s="15" t="s">
        <v>497</v>
      </c>
      <c r="C52" s="15">
        <v>5</v>
      </c>
      <c r="T52" s="2">
        <f t="shared" si="0"/>
        <v>0</v>
      </c>
      <c r="U52" s="2">
        <f t="shared" si="1"/>
        <v>0</v>
      </c>
      <c r="V52" s="2">
        <f t="shared" si="2"/>
        <v>0</v>
      </c>
      <c r="W52" s="2">
        <f t="shared" si="3"/>
        <v>0</v>
      </c>
      <c r="Y52" t="str">
        <f>IFERROR(ROUND(E52*VLOOKUP(D52,商品!$A$4:$B$60,2,FALSE),0),"")</f>
        <v/>
      </c>
      <c r="Z52" t="str">
        <f>IFERROR(ROUND(G52*VLOOKUP(F52,商品!$A$4:$B$60,2,FALSE),0),"")</f>
        <v/>
      </c>
      <c r="AA52" t="str">
        <f>IFERROR(ROUND(I52*VLOOKUP(H52,商品!$A$4:$B$60,2,FALSE),0),"")</f>
        <v/>
      </c>
      <c r="AB52" t="str">
        <f>IFERROR(ROUND(K52*VLOOKUP(J52,[1]note_pop_types!$A$16:$E$16,4,FALSE),0),"")</f>
        <v/>
      </c>
      <c r="AC52" t="str">
        <f>IFERROR(ROUND(M52*VLOOKUP(L52,[1]note_pop_types!$A$16:$E$16,4,FALSE),0),"")</f>
        <v/>
      </c>
      <c r="AD52" t="str">
        <f>IFERROR(ROUND(O52*VLOOKUP(N52,[1]note_pop_types!$A$16:$E$16,4,FALSE),0),"")</f>
        <v/>
      </c>
      <c r="AE52" t="str">
        <f>IFERROR(ROUND(Q52*VLOOKUP(P52,商品!$A$4:$B$60,2,FALSE),0),"")</f>
        <v/>
      </c>
      <c r="AF52" t="str">
        <f>IFERROR(ROUND(S52*VLOOKUP(R52,商品!$A$4:$B$60,2,FALSE),0),"")</f>
        <v/>
      </c>
    </row>
    <row r="53" spans="1:32" ht="19.05" customHeight="1" x14ac:dyDescent="0.25">
      <c r="A53" s="16" t="s">
        <v>184</v>
      </c>
      <c r="C53" s="16">
        <v>1</v>
      </c>
      <c r="T53" s="2">
        <f t="shared" si="0"/>
        <v>0</v>
      </c>
      <c r="U53" s="2">
        <f t="shared" si="1"/>
        <v>0</v>
      </c>
      <c r="V53" s="2">
        <f t="shared" si="2"/>
        <v>0</v>
      </c>
      <c r="W53" s="2">
        <f t="shared" si="3"/>
        <v>0</v>
      </c>
      <c r="Y53" t="str">
        <f>IFERROR(ROUND(E53*VLOOKUP(D53,商品!$A$4:$B$60,2,FALSE),0),"")</f>
        <v/>
      </c>
      <c r="Z53" t="str">
        <f>IFERROR(ROUND(G53*VLOOKUP(F53,商品!$A$4:$B$60,2,FALSE),0),"")</f>
        <v/>
      </c>
      <c r="AA53" t="str">
        <f>IFERROR(ROUND(I53*VLOOKUP(H53,商品!$A$4:$B$60,2,FALSE),0),"")</f>
        <v/>
      </c>
      <c r="AB53" t="str">
        <f>IFERROR(ROUND(K53*VLOOKUP(J53,[1]note_pop_types!$A$16:$E$16,4,FALSE),0),"")</f>
        <v/>
      </c>
      <c r="AC53" t="str">
        <f>IFERROR(ROUND(M53*VLOOKUP(L53,[1]note_pop_types!$A$16:$E$16,4,FALSE),0),"")</f>
        <v/>
      </c>
      <c r="AD53" t="str">
        <f>IFERROR(ROUND(O53*VLOOKUP(N53,[1]note_pop_types!$A$16:$E$16,4,FALSE),0),"")</f>
        <v/>
      </c>
      <c r="AE53" t="str">
        <f>IFERROR(ROUND(Q53*VLOOKUP(P53,商品!$A$4:$B$60,2,FALSE),0),"")</f>
        <v/>
      </c>
      <c r="AF53" t="str">
        <f>IFERROR(ROUND(S53*VLOOKUP(R53,商品!$A$4:$B$60,2,FALSE),0),"")</f>
        <v/>
      </c>
    </row>
    <row r="54" spans="1:32" ht="19.05" customHeight="1" x14ac:dyDescent="0.25">
      <c r="A54" s="16" t="s">
        <v>184</v>
      </c>
      <c r="C54" s="16">
        <v>2</v>
      </c>
      <c r="T54" s="2">
        <f t="shared" si="0"/>
        <v>0</v>
      </c>
      <c r="U54" s="2">
        <f t="shared" si="1"/>
        <v>0</v>
      </c>
      <c r="V54" s="2">
        <f t="shared" si="2"/>
        <v>0</v>
      </c>
      <c r="W54" s="2">
        <f t="shared" si="3"/>
        <v>0</v>
      </c>
      <c r="Y54" t="str">
        <f>IFERROR(ROUND(E54*VLOOKUP(D54,商品!$A$4:$B$60,2,FALSE),0),"")</f>
        <v/>
      </c>
      <c r="Z54" t="str">
        <f>IFERROR(ROUND(G54*VLOOKUP(F54,商品!$A$4:$B$60,2,FALSE),0),"")</f>
        <v/>
      </c>
      <c r="AA54" t="str">
        <f>IFERROR(ROUND(I54*VLOOKUP(H54,商品!$A$4:$B$60,2,FALSE),0),"")</f>
        <v/>
      </c>
      <c r="AB54" t="str">
        <f>IFERROR(ROUND(K54*VLOOKUP(J54,[1]note_pop_types!$A$16:$E$16,4,FALSE),0),"")</f>
        <v/>
      </c>
      <c r="AC54" t="str">
        <f>IFERROR(ROUND(M54*VLOOKUP(L54,[1]note_pop_types!$A$16:$E$16,4,FALSE),0),"")</f>
        <v/>
      </c>
      <c r="AD54" t="str">
        <f>IFERROR(ROUND(O54*VLOOKUP(N54,[1]note_pop_types!$A$16:$E$16,4,FALSE),0),"")</f>
        <v/>
      </c>
      <c r="AE54" t="str">
        <f>IFERROR(ROUND(Q54*VLOOKUP(P54,商品!$A$4:$B$60,2,FALSE),0),"")</f>
        <v/>
      </c>
      <c r="AF54" t="str">
        <f>IFERROR(ROUND(S54*VLOOKUP(R54,商品!$A$4:$B$60,2,FALSE),0),"")</f>
        <v/>
      </c>
    </row>
    <row r="55" spans="1:32" ht="19.05" customHeight="1" x14ac:dyDescent="0.25">
      <c r="A55" s="16" t="s">
        <v>184</v>
      </c>
      <c r="C55" s="16">
        <v>3</v>
      </c>
      <c r="T55" s="2">
        <f t="shared" si="0"/>
        <v>0</v>
      </c>
      <c r="U55" s="2">
        <f t="shared" si="1"/>
        <v>0</v>
      </c>
      <c r="V55" s="2">
        <f t="shared" si="2"/>
        <v>0</v>
      </c>
      <c r="W55" s="2">
        <f t="shared" si="3"/>
        <v>0</v>
      </c>
      <c r="Y55" t="str">
        <f>IFERROR(ROUND(E55*VLOOKUP(D55,商品!$A$4:$B$60,2,FALSE),0),"")</f>
        <v/>
      </c>
      <c r="Z55" t="str">
        <f>IFERROR(ROUND(G55*VLOOKUP(F55,商品!$A$4:$B$60,2,FALSE),0),"")</f>
        <v/>
      </c>
      <c r="AA55" t="str">
        <f>IFERROR(ROUND(I55*VLOOKUP(H55,商品!$A$4:$B$60,2,FALSE),0),"")</f>
        <v/>
      </c>
      <c r="AB55" t="str">
        <f>IFERROR(ROUND(K55*VLOOKUP(J55,[1]note_pop_types!$A$16:$E$16,4,FALSE),0),"")</f>
        <v/>
      </c>
      <c r="AC55" t="str">
        <f>IFERROR(ROUND(M55*VLOOKUP(L55,[1]note_pop_types!$A$16:$E$16,4,FALSE),0),"")</f>
        <v/>
      </c>
      <c r="AD55" t="str">
        <f>IFERROR(ROUND(O55*VLOOKUP(N55,[1]note_pop_types!$A$16:$E$16,4,FALSE),0),"")</f>
        <v/>
      </c>
      <c r="AE55" t="str">
        <f>IFERROR(ROUND(Q55*VLOOKUP(P55,商品!$A$4:$B$60,2,FALSE),0),"")</f>
        <v/>
      </c>
      <c r="AF55" t="str">
        <f>IFERROR(ROUND(S55*VLOOKUP(R55,商品!$A$4:$B$60,2,FALSE),0),"")</f>
        <v/>
      </c>
    </row>
    <row r="56" spans="1:32" ht="19.05" customHeight="1" x14ac:dyDescent="0.25">
      <c r="A56" s="16" t="s">
        <v>184</v>
      </c>
      <c r="C56" s="16">
        <v>4</v>
      </c>
      <c r="T56" s="2">
        <f t="shared" si="0"/>
        <v>0</v>
      </c>
      <c r="U56" s="2">
        <f t="shared" si="1"/>
        <v>0</v>
      </c>
      <c r="V56" s="2">
        <f t="shared" si="2"/>
        <v>0</v>
      </c>
      <c r="W56" s="2">
        <f t="shared" si="3"/>
        <v>0</v>
      </c>
      <c r="Y56" t="str">
        <f>IFERROR(ROUND(E56*VLOOKUP(D56,商品!$A$4:$B$60,2,FALSE),0),"")</f>
        <v/>
      </c>
      <c r="Z56" t="str">
        <f>IFERROR(ROUND(G56*VLOOKUP(F56,商品!$A$4:$B$60,2,FALSE),0),"")</f>
        <v/>
      </c>
      <c r="AA56" t="str">
        <f>IFERROR(ROUND(I56*VLOOKUP(H56,商品!$A$4:$B$60,2,FALSE),0),"")</f>
        <v/>
      </c>
      <c r="AB56" t="str">
        <f>IFERROR(ROUND(K56*VLOOKUP(J56,[1]note_pop_types!$A$16:$E$16,4,FALSE),0),"")</f>
        <v/>
      </c>
      <c r="AC56" t="str">
        <f>IFERROR(ROUND(M56*VLOOKUP(L56,[1]note_pop_types!$A$16:$E$16,4,FALSE),0),"")</f>
        <v/>
      </c>
      <c r="AD56" t="str">
        <f>IFERROR(ROUND(O56*VLOOKUP(N56,[1]note_pop_types!$A$16:$E$16,4,FALSE),0),"")</f>
        <v/>
      </c>
      <c r="AE56" t="str">
        <f>IFERROR(ROUND(Q56*VLOOKUP(P56,商品!$A$4:$B$60,2,FALSE),0),"")</f>
        <v/>
      </c>
      <c r="AF56" t="str">
        <f>IFERROR(ROUND(S56*VLOOKUP(R56,商品!$A$4:$B$60,2,FALSE),0),"")</f>
        <v/>
      </c>
    </row>
    <row r="57" spans="1:32" ht="19.05" customHeight="1" x14ac:dyDescent="0.25">
      <c r="A57" s="16" t="s">
        <v>184</v>
      </c>
      <c r="C57" s="16">
        <v>5</v>
      </c>
      <c r="T57" s="2">
        <f t="shared" si="0"/>
        <v>0</v>
      </c>
      <c r="U57" s="2">
        <f t="shared" si="1"/>
        <v>0</v>
      </c>
      <c r="V57" s="2">
        <f t="shared" si="2"/>
        <v>0</v>
      </c>
      <c r="W57" s="2">
        <f t="shared" si="3"/>
        <v>0</v>
      </c>
      <c r="Y57" t="str">
        <f>IFERROR(ROUND(E57*VLOOKUP(D57,商品!$A$4:$B$60,2,FALSE),0),"")</f>
        <v/>
      </c>
      <c r="Z57" t="str">
        <f>IFERROR(ROUND(G57*VLOOKUP(F57,商品!$A$4:$B$60,2,FALSE),0),"")</f>
        <v/>
      </c>
      <c r="AA57" t="str">
        <f>IFERROR(ROUND(I57*VLOOKUP(H57,商品!$A$4:$B$60,2,FALSE),0),"")</f>
        <v/>
      </c>
      <c r="AB57" t="str">
        <f>IFERROR(ROUND(K57*VLOOKUP(J57,[1]note_pop_types!$A$16:$E$16,4,FALSE),0),"")</f>
        <v/>
      </c>
      <c r="AC57" t="str">
        <f>IFERROR(ROUND(M57*VLOOKUP(L57,[1]note_pop_types!$A$16:$E$16,4,FALSE),0),"")</f>
        <v/>
      </c>
      <c r="AD57" t="str">
        <f>IFERROR(ROUND(O57*VLOOKUP(N57,[1]note_pop_types!$A$16:$E$16,4,FALSE),0),"")</f>
        <v/>
      </c>
      <c r="AE57" t="str">
        <f>IFERROR(ROUND(Q57*VLOOKUP(P57,商品!$A$4:$B$60,2,FALSE),0),"")</f>
        <v/>
      </c>
      <c r="AF57" t="str">
        <f>IFERROR(ROUND(S57*VLOOKUP(R57,商品!$A$4:$B$60,2,FALSE),0),"")</f>
        <v/>
      </c>
    </row>
    <row r="58" spans="1:32" ht="19.05" customHeight="1" x14ac:dyDescent="0.25">
      <c r="A58" s="16" t="s">
        <v>184</v>
      </c>
      <c r="C58" s="16">
        <v>6</v>
      </c>
      <c r="T58" s="2">
        <f t="shared" si="0"/>
        <v>0</v>
      </c>
      <c r="U58" s="2">
        <f t="shared" si="1"/>
        <v>0</v>
      </c>
      <c r="V58" s="2">
        <f t="shared" si="2"/>
        <v>0</v>
      </c>
      <c r="W58" s="2">
        <f t="shared" si="3"/>
        <v>0</v>
      </c>
      <c r="Y58" t="str">
        <f>IFERROR(ROUND(E58*VLOOKUP(D58,商品!$A$4:$B$60,2,FALSE),0),"")</f>
        <v/>
      </c>
      <c r="Z58" t="str">
        <f>IFERROR(ROUND(G58*VLOOKUP(F58,商品!$A$4:$B$60,2,FALSE),0),"")</f>
        <v/>
      </c>
      <c r="AA58" t="str">
        <f>IFERROR(ROUND(I58*VLOOKUP(H58,商品!$A$4:$B$60,2,FALSE),0),"")</f>
        <v/>
      </c>
      <c r="AB58" t="str">
        <f>IFERROR(ROUND(K58*VLOOKUP(J58,[1]note_pop_types!$A$16:$E$16,4,FALSE),0),"")</f>
        <v/>
      </c>
      <c r="AC58" t="str">
        <f>IFERROR(ROUND(M58*VLOOKUP(L58,[1]note_pop_types!$A$16:$E$16,4,FALSE),0),"")</f>
        <v/>
      </c>
      <c r="AD58" t="str">
        <f>IFERROR(ROUND(O58*VLOOKUP(N58,[1]note_pop_types!$A$16:$E$16,4,FALSE),0),"")</f>
        <v/>
      </c>
      <c r="AE58" t="str">
        <f>IFERROR(ROUND(Q58*VLOOKUP(P58,商品!$A$4:$B$60,2,FALSE),0),"")</f>
        <v/>
      </c>
      <c r="AF58" t="str">
        <f>IFERROR(ROUND(S58*VLOOKUP(R58,商品!$A$4:$B$60,2,FALSE),0),"")</f>
        <v/>
      </c>
    </row>
    <row r="59" spans="1:32" ht="19.05" customHeight="1" x14ac:dyDescent="0.25">
      <c r="A59" s="16" t="s">
        <v>184</v>
      </c>
      <c r="C59" s="16">
        <v>7</v>
      </c>
      <c r="T59" s="2">
        <f t="shared" si="0"/>
        <v>0</v>
      </c>
      <c r="U59" s="2">
        <f t="shared" si="1"/>
        <v>0</v>
      </c>
      <c r="V59" s="2">
        <f t="shared" si="2"/>
        <v>0</v>
      </c>
      <c r="W59" s="2">
        <f t="shared" si="3"/>
        <v>0</v>
      </c>
      <c r="Y59" t="str">
        <f>IFERROR(ROUND(E59*VLOOKUP(D59,商品!$A$4:$B$60,2,FALSE),0),"")</f>
        <v/>
      </c>
      <c r="Z59" t="str">
        <f>IFERROR(ROUND(G59*VLOOKUP(F59,商品!$A$4:$B$60,2,FALSE),0),"")</f>
        <v/>
      </c>
      <c r="AA59" t="str">
        <f>IFERROR(ROUND(I59*VLOOKUP(H59,商品!$A$4:$B$60,2,FALSE),0),"")</f>
        <v/>
      </c>
      <c r="AB59" t="str">
        <f>IFERROR(ROUND(K59*VLOOKUP(J59,[1]note_pop_types!$A$16:$E$16,4,FALSE),0),"")</f>
        <v/>
      </c>
      <c r="AC59" t="str">
        <f>IFERROR(ROUND(M59*VLOOKUP(L59,[1]note_pop_types!$A$16:$E$16,4,FALSE),0),"")</f>
        <v/>
      </c>
      <c r="AD59" t="str">
        <f>IFERROR(ROUND(O59*VLOOKUP(N59,[1]note_pop_types!$A$16:$E$16,4,FALSE),0),"")</f>
        <v/>
      </c>
      <c r="AE59" t="str">
        <f>IFERROR(ROUND(Q59*VLOOKUP(P59,商品!$A$4:$B$60,2,FALSE),0),"")</f>
        <v/>
      </c>
      <c r="AF59" t="str">
        <f>IFERROR(ROUND(S59*VLOOKUP(R59,商品!$A$4:$B$60,2,FALSE),0),"")</f>
        <v/>
      </c>
    </row>
    <row r="60" spans="1:32" ht="19.05" customHeight="1" x14ac:dyDescent="0.25">
      <c r="A60" s="16" t="s">
        <v>184</v>
      </c>
      <c r="C60" s="16">
        <v>8</v>
      </c>
      <c r="T60" s="2">
        <f t="shared" si="0"/>
        <v>0</v>
      </c>
      <c r="U60" s="2">
        <f t="shared" si="1"/>
        <v>0</v>
      </c>
      <c r="V60" s="2">
        <f t="shared" si="2"/>
        <v>0</v>
      </c>
      <c r="W60" s="2">
        <f t="shared" si="3"/>
        <v>0</v>
      </c>
      <c r="Y60" t="str">
        <f>IFERROR(ROUND(E60*VLOOKUP(D60,商品!$A$4:$B$60,2,FALSE),0),"")</f>
        <v/>
      </c>
      <c r="Z60" t="str">
        <f>IFERROR(ROUND(G60*VLOOKUP(F60,商品!$A$4:$B$60,2,FALSE),0),"")</f>
        <v/>
      </c>
      <c r="AA60" t="str">
        <f>IFERROR(ROUND(I60*VLOOKUP(H60,商品!$A$4:$B$60,2,FALSE),0),"")</f>
        <v/>
      </c>
      <c r="AB60" t="str">
        <f>IFERROR(ROUND(K60*VLOOKUP(J60,[1]note_pop_types!$A$16:$E$16,4,FALSE),0),"")</f>
        <v/>
      </c>
      <c r="AC60" t="str">
        <f>IFERROR(ROUND(M60*VLOOKUP(L60,[1]note_pop_types!$A$16:$E$16,4,FALSE),0),"")</f>
        <v/>
      </c>
      <c r="AD60" t="str">
        <f>IFERROR(ROUND(O60*VLOOKUP(N60,[1]note_pop_types!$A$16:$E$16,4,FALSE),0),"")</f>
        <v/>
      </c>
      <c r="AE60" t="str">
        <f>IFERROR(ROUND(Q60*VLOOKUP(P60,商品!$A$4:$B$60,2,FALSE),0),"")</f>
        <v/>
      </c>
      <c r="AF60" t="str">
        <f>IFERROR(ROUND(S60*VLOOKUP(R60,商品!$A$4:$B$60,2,FALSE),0),"")</f>
        <v/>
      </c>
    </row>
    <row r="61" spans="1:32" ht="19.05" customHeight="1" x14ac:dyDescent="0.25">
      <c r="A61" s="15" t="s">
        <v>186</v>
      </c>
      <c r="C61" s="15">
        <v>1</v>
      </c>
      <c r="T61" s="2">
        <f t="shared" si="0"/>
        <v>0</v>
      </c>
      <c r="U61" s="2">
        <f t="shared" si="1"/>
        <v>0</v>
      </c>
      <c r="V61" s="2">
        <f t="shared" si="2"/>
        <v>0</v>
      </c>
      <c r="W61" s="2">
        <f t="shared" si="3"/>
        <v>0</v>
      </c>
      <c r="Y61" t="str">
        <f>IFERROR(ROUND(E61*VLOOKUP(D61,商品!$A$4:$B$60,2,FALSE),0),"")</f>
        <v/>
      </c>
      <c r="Z61" t="str">
        <f>IFERROR(ROUND(G61*VLOOKUP(F61,商品!$A$4:$B$60,2,FALSE),0),"")</f>
        <v/>
      </c>
      <c r="AA61" t="str">
        <f>IFERROR(ROUND(I61*VLOOKUP(H61,商品!$A$4:$B$60,2,FALSE),0),"")</f>
        <v/>
      </c>
      <c r="AB61" t="str">
        <f>IFERROR(ROUND(K61*VLOOKUP(J61,[1]note_pop_types!$A$16:$E$16,4,FALSE),0),"")</f>
        <v/>
      </c>
      <c r="AC61" t="str">
        <f>IFERROR(ROUND(M61*VLOOKUP(L61,[1]note_pop_types!$A$16:$E$16,4,FALSE),0),"")</f>
        <v/>
      </c>
      <c r="AD61" t="str">
        <f>IFERROR(ROUND(O61*VLOOKUP(N61,[1]note_pop_types!$A$16:$E$16,4,FALSE),0),"")</f>
        <v/>
      </c>
      <c r="AE61" t="str">
        <f>IFERROR(ROUND(Q61*VLOOKUP(P61,商品!$A$4:$B$60,2,FALSE),0),"")</f>
        <v/>
      </c>
      <c r="AF61" t="str">
        <f>IFERROR(ROUND(S61*VLOOKUP(R61,商品!$A$4:$B$60,2,FALSE),0),"")</f>
        <v/>
      </c>
    </row>
    <row r="62" spans="1:32" ht="19.05" customHeight="1" x14ac:dyDescent="0.25">
      <c r="A62" s="15" t="s">
        <v>186</v>
      </c>
      <c r="C62" s="15">
        <v>2</v>
      </c>
      <c r="T62" s="2">
        <f t="shared" si="0"/>
        <v>0</v>
      </c>
      <c r="U62" s="2">
        <f t="shared" si="1"/>
        <v>0</v>
      </c>
      <c r="V62" s="2">
        <f t="shared" si="2"/>
        <v>0</v>
      </c>
      <c r="W62" s="2">
        <f t="shared" si="3"/>
        <v>0</v>
      </c>
      <c r="Y62" t="str">
        <f>IFERROR(ROUND(E62*VLOOKUP(D62,商品!$A$4:$B$60,2,FALSE),0),"")</f>
        <v/>
      </c>
      <c r="Z62" t="str">
        <f>IFERROR(ROUND(G62*VLOOKUP(F62,商品!$A$4:$B$60,2,FALSE),0),"")</f>
        <v/>
      </c>
      <c r="AA62" t="str">
        <f>IFERROR(ROUND(I62*VLOOKUP(H62,商品!$A$4:$B$60,2,FALSE),0),"")</f>
        <v/>
      </c>
      <c r="AB62" t="str">
        <f>IFERROR(ROUND(K62*VLOOKUP(J62,[1]note_pop_types!$A$16:$E$16,4,FALSE),0),"")</f>
        <v/>
      </c>
      <c r="AC62" t="str">
        <f>IFERROR(ROUND(M62*VLOOKUP(L62,[1]note_pop_types!$A$16:$E$16,4,FALSE),0),"")</f>
        <v/>
      </c>
      <c r="AD62" t="str">
        <f>IFERROR(ROUND(O62*VLOOKUP(N62,[1]note_pop_types!$A$16:$E$16,4,FALSE),0),"")</f>
        <v/>
      </c>
      <c r="AE62" t="str">
        <f>IFERROR(ROUND(Q62*VLOOKUP(P62,商品!$A$4:$B$60,2,FALSE),0),"")</f>
        <v/>
      </c>
      <c r="AF62" t="str">
        <f>IFERROR(ROUND(S62*VLOOKUP(R62,商品!$A$4:$B$60,2,FALSE),0),"")</f>
        <v/>
      </c>
    </row>
    <row r="63" spans="1:32" ht="19.05" customHeight="1" x14ac:dyDescent="0.25">
      <c r="A63" s="15" t="s">
        <v>186</v>
      </c>
      <c r="C63" s="15">
        <v>3</v>
      </c>
      <c r="T63" s="2">
        <f t="shared" si="0"/>
        <v>0</v>
      </c>
      <c r="U63" s="2">
        <f t="shared" si="1"/>
        <v>0</v>
      </c>
      <c r="V63" s="2">
        <f t="shared" si="2"/>
        <v>0</v>
      </c>
      <c r="W63" s="2">
        <f t="shared" si="3"/>
        <v>0</v>
      </c>
      <c r="Y63" t="str">
        <f>IFERROR(ROUND(E63*VLOOKUP(D63,商品!$A$4:$B$60,2,FALSE),0),"")</f>
        <v/>
      </c>
      <c r="Z63" t="str">
        <f>IFERROR(ROUND(G63*VLOOKUP(F63,商品!$A$4:$B$60,2,FALSE),0),"")</f>
        <v/>
      </c>
      <c r="AA63" t="str">
        <f>IFERROR(ROUND(I63*VLOOKUP(H63,商品!$A$4:$B$60,2,FALSE),0),"")</f>
        <v/>
      </c>
      <c r="AB63" t="str">
        <f>IFERROR(ROUND(K63*VLOOKUP(J63,[1]note_pop_types!$A$16:$E$16,4,FALSE),0),"")</f>
        <v/>
      </c>
      <c r="AC63" t="str">
        <f>IFERROR(ROUND(M63*VLOOKUP(L63,[1]note_pop_types!$A$16:$E$16,4,FALSE),0),"")</f>
        <v/>
      </c>
      <c r="AD63" t="str">
        <f>IFERROR(ROUND(O63*VLOOKUP(N63,[1]note_pop_types!$A$16:$E$16,4,FALSE),0),"")</f>
        <v/>
      </c>
      <c r="AE63" t="str">
        <f>IFERROR(ROUND(Q63*VLOOKUP(P63,商品!$A$4:$B$60,2,FALSE),0),"")</f>
        <v/>
      </c>
      <c r="AF63" t="str">
        <f>IFERROR(ROUND(S63*VLOOKUP(R63,商品!$A$4:$B$60,2,FALSE),0),"")</f>
        <v/>
      </c>
    </row>
    <row r="64" spans="1:32" ht="19.05" customHeight="1" x14ac:dyDescent="0.25">
      <c r="A64" s="15" t="s">
        <v>186</v>
      </c>
      <c r="C64" s="15">
        <v>4</v>
      </c>
      <c r="T64" s="2">
        <f t="shared" si="0"/>
        <v>0</v>
      </c>
      <c r="U64" s="2">
        <f t="shared" si="1"/>
        <v>0</v>
      </c>
      <c r="V64" s="2">
        <f t="shared" si="2"/>
        <v>0</v>
      </c>
      <c r="W64" s="2">
        <f t="shared" si="3"/>
        <v>0</v>
      </c>
      <c r="Y64" t="str">
        <f>IFERROR(ROUND(E64*VLOOKUP(D64,商品!$A$4:$B$60,2,FALSE),0),"")</f>
        <v/>
      </c>
      <c r="Z64" t="str">
        <f>IFERROR(ROUND(G64*VLOOKUP(F64,商品!$A$4:$B$60,2,FALSE),0),"")</f>
        <v/>
      </c>
      <c r="AA64" t="str">
        <f>IFERROR(ROUND(I64*VLOOKUP(H64,商品!$A$4:$B$60,2,FALSE),0),"")</f>
        <v/>
      </c>
      <c r="AB64" t="str">
        <f>IFERROR(ROUND(K64*VLOOKUP(J64,[1]note_pop_types!$A$16:$E$16,4,FALSE),0),"")</f>
        <v/>
      </c>
      <c r="AC64" t="str">
        <f>IFERROR(ROUND(M64*VLOOKUP(L64,[1]note_pop_types!$A$16:$E$16,4,FALSE),0),"")</f>
        <v/>
      </c>
      <c r="AD64" t="str">
        <f>IFERROR(ROUND(O64*VLOOKUP(N64,[1]note_pop_types!$A$16:$E$16,4,FALSE),0),"")</f>
        <v/>
      </c>
      <c r="AE64" t="str">
        <f>IFERROR(ROUND(Q64*VLOOKUP(P64,商品!$A$4:$B$60,2,FALSE),0),"")</f>
        <v/>
      </c>
      <c r="AF64" t="str">
        <f>IFERROR(ROUND(S64*VLOOKUP(R64,商品!$A$4:$B$60,2,FALSE),0),"")</f>
        <v/>
      </c>
    </row>
    <row r="65" spans="1:32" ht="19.05" customHeight="1" x14ac:dyDescent="0.25">
      <c r="A65" s="15" t="s">
        <v>186</v>
      </c>
      <c r="C65" s="15">
        <v>5</v>
      </c>
      <c r="T65" s="2">
        <f t="shared" si="0"/>
        <v>0</v>
      </c>
      <c r="U65" s="2">
        <f t="shared" si="1"/>
        <v>0</v>
      </c>
      <c r="V65" s="2">
        <f t="shared" si="2"/>
        <v>0</v>
      </c>
      <c r="W65" s="2">
        <f t="shared" si="3"/>
        <v>0</v>
      </c>
      <c r="Y65" t="str">
        <f>IFERROR(ROUND(E65*VLOOKUP(D65,商品!$A$4:$B$60,2,FALSE),0),"")</f>
        <v/>
      </c>
      <c r="Z65" t="str">
        <f>IFERROR(ROUND(G65*VLOOKUP(F65,商品!$A$4:$B$60,2,FALSE),0),"")</f>
        <v/>
      </c>
      <c r="AA65" t="str">
        <f>IFERROR(ROUND(I65*VLOOKUP(H65,商品!$A$4:$B$60,2,FALSE),0),"")</f>
        <v/>
      </c>
      <c r="AB65" t="str">
        <f>IFERROR(ROUND(K65*VLOOKUP(J65,[1]note_pop_types!$A$16:$E$16,4,FALSE),0),"")</f>
        <v/>
      </c>
      <c r="AC65" t="str">
        <f>IFERROR(ROUND(M65*VLOOKUP(L65,[1]note_pop_types!$A$16:$E$16,4,FALSE),0),"")</f>
        <v/>
      </c>
      <c r="AD65" t="str">
        <f>IFERROR(ROUND(O65*VLOOKUP(N65,[1]note_pop_types!$A$16:$E$16,4,FALSE),0),"")</f>
        <v/>
      </c>
      <c r="AE65" t="str">
        <f>IFERROR(ROUND(Q65*VLOOKUP(P65,商品!$A$4:$B$60,2,FALSE),0),"")</f>
        <v/>
      </c>
      <c r="AF65" t="str">
        <f>IFERROR(ROUND(S65*VLOOKUP(R65,商品!$A$4:$B$60,2,FALSE),0),"")</f>
        <v/>
      </c>
    </row>
    <row r="66" spans="1:32" ht="19.05" customHeight="1" x14ac:dyDescent="0.25">
      <c r="A66" s="16" t="s">
        <v>507</v>
      </c>
      <c r="C66" s="16">
        <v>1</v>
      </c>
      <c r="T66" s="2">
        <f t="shared" si="0"/>
        <v>0</v>
      </c>
      <c r="U66" s="2">
        <f t="shared" si="1"/>
        <v>0</v>
      </c>
      <c r="V66" s="2">
        <f t="shared" si="2"/>
        <v>0</v>
      </c>
      <c r="W66" s="2">
        <f t="shared" si="3"/>
        <v>0</v>
      </c>
      <c r="Y66" t="str">
        <f>IFERROR(ROUND(E66*VLOOKUP(D66,商品!$A$4:$B$60,2,FALSE),0),"")</f>
        <v/>
      </c>
      <c r="Z66" t="str">
        <f>IFERROR(ROUND(G66*VLOOKUP(F66,商品!$A$4:$B$60,2,FALSE),0),"")</f>
        <v/>
      </c>
      <c r="AA66" t="str">
        <f>IFERROR(ROUND(I66*VLOOKUP(H66,商品!$A$4:$B$60,2,FALSE),0),"")</f>
        <v/>
      </c>
      <c r="AB66" t="str">
        <f>IFERROR(ROUND(K66*VLOOKUP(J66,[1]note_pop_types!$A$16:$E$16,4,FALSE),0),"")</f>
        <v/>
      </c>
      <c r="AC66" t="str">
        <f>IFERROR(ROUND(M66*VLOOKUP(L66,[1]note_pop_types!$A$16:$E$16,4,FALSE),0),"")</f>
        <v/>
      </c>
      <c r="AD66" t="str">
        <f>IFERROR(ROUND(O66*VLOOKUP(N66,[1]note_pop_types!$A$16:$E$16,4,FALSE),0),"")</f>
        <v/>
      </c>
      <c r="AE66" t="str">
        <f>IFERROR(ROUND(Q66*VLOOKUP(P66,商品!$A$4:$B$60,2,FALSE),0),"")</f>
        <v/>
      </c>
      <c r="AF66" t="str">
        <f>IFERROR(ROUND(S66*VLOOKUP(R66,商品!$A$4:$B$60,2,FALSE),0),"")</f>
        <v/>
      </c>
    </row>
    <row r="67" spans="1:32" ht="19.05" customHeight="1" x14ac:dyDescent="0.25">
      <c r="A67" s="16" t="s">
        <v>507</v>
      </c>
      <c r="C67" s="16">
        <v>2</v>
      </c>
      <c r="T67" s="2">
        <f t="shared" si="0"/>
        <v>0</v>
      </c>
      <c r="U67" s="2">
        <f t="shared" si="1"/>
        <v>0</v>
      </c>
      <c r="V67" s="2">
        <f t="shared" si="2"/>
        <v>0</v>
      </c>
      <c r="W67" s="2">
        <f t="shared" si="3"/>
        <v>0</v>
      </c>
      <c r="Y67" t="str">
        <f>IFERROR(ROUND(E67*VLOOKUP(D67,商品!$A$4:$B$60,2,FALSE),0),"")</f>
        <v/>
      </c>
      <c r="Z67" t="str">
        <f>IFERROR(ROUND(G67*VLOOKUP(F67,商品!$A$4:$B$60,2,FALSE),0),"")</f>
        <v/>
      </c>
      <c r="AA67" t="str">
        <f>IFERROR(ROUND(I67*VLOOKUP(H67,商品!$A$4:$B$60,2,FALSE),0),"")</f>
        <v/>
      </c>
      <c r="AB67" t="str">
        <f>IFERROR(ROUND(K67*VLOOKUP(J67,[1]note_pop_types!$A$16:$E$16,4,FALSE),0),"")</f>
        <v/>
      </c>
      <c r="AC67" t="str">
        <f>IFERROR(ROUND(M67*VLOOKUP(L67,[1]note_pop_types!$A$16:$E$16,4,FALSE),0),"")</f>
        <v/>
      </c>
      <c r="AD67" t="str">
        <f>IFERROR(ROUND(O67*VLOOKUP(N67,[1]note_pop_types!$A$16:$E$16,4,FALSE),0),"")</f>
        <v/>
      </c>
      <c r="AE67" t="str">
        <f>IFERROR(ROUND(Q67*VLOOKUP(P67,商品!$A$4:$B$60,2,FALSE),0),"")</f>
        <v/>
      </c>
      <c r="AF67" t="str">
        <f>IFERROR(ROUND(S67*VLOOKUP(R67,商品!$A$4:$B$60,2,FALSE),0),"")</f>
        <v/>
      </c>
    </row>
    <row r="68" spans="1:32" ht="19.05" customHeight="1" x14ac:dyDescent="0.25">
      <c r="A68" s="16" t="s">
        <v>507</v>
      </c>
      <c r="C68" s="16">
        <v>3</v>
      </c>
      <c r="T68" s="2">
        <f t="shared" si="0"/>
        <v>0</v>
      </c>
      <c r="U68" s="2">
        <f t="shared" si="1"/>
        <v>0</v>
      </c>
      <c r="V68" s="2">
        <f t="shared" si="2"/>
        <v>0</v>
      </c>
      <c r="W68" s="2">
        <f t="shared" si="3"/>
        <v>0</v>
      </c>
      <c r="Y68" t="str">
        <f>IFERROR(ROUND(E68*VLOOKUP(D68,商品!$A$4:$B$60,2,FALSE),0),"")</f>
        <v/>
      </c>
      <c r="Z68" t="str">
        <f>IFERROR(ROUND(G68*VLOOKUP(F68,商品!$A$4:$B$60,2,FALSE),0),"")</f>
        <v/>
      </c>
      <c r="AA68" t="str">
        <f>IFERROR(ROUND(I68*VLOOKUP(H68,商品!$A$4:$B$60,2,FALSE),0),"")</f>
        <v/>
      </c>
      <c r="AB68" t="str">
        <f>IFERROR(ROUND(K68*VLOOKUP(J68,[1]note_pop_types!$A$16:$E$16,4,FALSE),0),"")</f>
        <v/>
      </c>
      <c r="AC68" t="str">
        <f>IFERROR(ROUND(M68*VLOOKUP(L68,[1]note_pop_types!$A$16:$E$16,4,FALSE),0),"")</f>
        <v/>
      </c>
      <c r="AD68" t="str">
        <f>IFERROR(ROUND(O68*VLOOKUP(N68,[1]note_pop_types!$A$16:$E$16,4,FALSE),0),"")</f>
        <v/>
      </c>
      <c r="AE68" t="str">
        <f>IFERROR(ROUND(Q68*VLOOKUP(P68,商品!$A$4:$B$60,2,FALSE),0),"")</f>
        <v/>
      </c>
      <c r="AF68" t="str">
        <f>IFERROR(ROUND(S68*VLOOKUP(R68,商品!$A$4:$B$60,2,FALSE),0),"")</f>
        <v/>
      </c>
    </row>
    <row r="69" spans="1:32" ht="19.05" customHeight="1" x14ac:dyDescent="0.25">
      <c r="A69" s="16" t="s">
        <v>507</v>
      </c>
      <c r="C69" s="16">
        <v>4</v>
      </c>
      <c r="T69" s="2">
        <f t="shared" si="0"/>
        <v>0</v>
      </c>
      <c r="U69" s="2">
        <f t="shared" si="1"/>
        <v>0</v>
      </c>
      <c r="V69" s="2">
        <f t="shared" si="2"/>
        <v>0</v>
      </c>
      <c r="W69" s="2">
        <f t="shared" si="3"/>
        <v>0</v>
      </c>
      <c r="Y69" t="str">
        <f>IFERROR(ROUND(E69*VLOOKUP(D69,商品!$A$4:$B$60,2,FALSE),0),"")</f>
        <v/>
      </c>
      <c r="Z69" t="str">
        <f>IFERROR(ROUND(G69*VLOOKUP(F69,商品!$A$4:$B$60,2,FALSE),0),"")</f>
        <v/>
      </c>
      <c r="AA69" t="str">
        <f>IFERROR(ROUND(I69*VLOOKUP(H69,商品!$A$4:$B$60,2,FALSE),0),"")</f>
        <v/>
      </c>
      <c r="AB69" t="str">
        <f>IFERROR(ROUND(K69*VLOOKUP(J69,[1]note_pop_types!$A$16:$E$16,4,FALSE),0),"")</f>
        <v/>
      </c>
      <c r="AC69" t="str">
        <f>IFERROR(ROUND(M69*VLOOKUP(L69,[1]note_pop_types!$A$16:$E$16,4,FALSE),0),"")</f>
        <v/>
      </c>
      <c r="AD69" t="str">
        <f>IFERROR(ROUND(O69*VLOOKUP(N69,[1]note_pop_types!$A$16:$E$16,4,FALSE),0),"")</f>
        <v/>
      </c>
      <c r="AE69" t="str">
        <f>IFERROR(ROUND(Q69*VLOOKUP(P69,商品!$A$4:$B$60,2,FALSE),0),"")</f>
        <v/>
      </c>
      <c r="AF69" t="str">
        <f>IFERROR(ROUND(S69*VLOOKUP(R69,商品!$A$4:$B$60,2,FALSE),0),"")</f>
        <v/>
      </c>
    </row>
    <row r="70" spans="1:32" ht="19.05" customHeight="1" x14ac:dyDescent="0.25">
      <c r="A70" s="16" t="s">
        <v>507</v>
      </c>
      <c r="C70" s="16">
        <v>5</v>
      </c>
      <c r="T70" s="2">
        <f t="shared" ref="T70:T133" si="4">SUM(Y70:AA70)</f>
        <v>0</v>
      </c>
      <c r="U70" s="2">
        <f t="shared" ref="U70:U133" si="5">SUM(AB70:AC70)</f>
        <v>0</v>
      </c>
      <c r="V70" s="2">
        <f t="shared" ref="V70:V133" si="6">SUM(AE70:AF70)</f>
        <v>0</v>
      </c>
      <c r="W70" s="2">
        <f t="shared" ref="W70:W133" si="7">V70-T70-U70</f>
        <v>0</v>
      </c>
      <c r="Y70" t="str">
        <f>IFERROR(ROUND(E70*VLOOKUP(D70,商品!$A$4:$B$60,2,FALSE),0),"")</f>
        <v/>
      </c>
      <c r="Z70" t="str">
        <f>IFERROR(ROUND(G70*VLOOKUP(F70,商品!$A$4:$B$60,2,FALSE),0),"")</f>
        <v/>
      </c>
      <c r="AA70" t="str">
        <f>IFERROR(ROUND(I70*VLOOKUP(H70,商品!$A$4:$B$60,2,FALSE),0),"")</f>
        <v/>
      </c>
      <c r="AB70" t="str">
        <f>IFERROR(ROUND(K70*VLOOKUP(J70,[1]note_pop_types!$A$16:$E$16,4,FALSE),0),"")</f>
        <v/>
      </c>
      <c r="AC70" t="str">
        <f>IFERROR(ROUND(M70*VLOOKUP(L70,[1]note_pop_types!$A$16:$E$16,4,FALSE),0),"")</f>
        <v/>
      </c>
      <c r="AD70" t="str">
        <f>IFERROR(ROUND(O70*VLOOKUP(N70,[1]note_pop_types!$A$16:$E$16,4,FALSE),0),"")</f>
        <v/>
      </c>
      <c r="AE70" t="str">
        <f>IFERROR(ROUND(Q70*VLOOKUP(P70,商品!$A$4:$B$60,2,FALSE),0),"")</f>
        <v/>
      </c>
      <c r="AF70" t="str">
        <f>IFERROR(ROUND(S70*VLOOKUP(R70,商品!$A$4:$B$60,2,FALSE),0),"")</f>
        <v/>
      </c>
    </row>
    <row r="71" spans="1:32" ht="19.05" customHeight="1" x14ac:dyDescent="0.25">
      <c r="A71" s="15" t="s">
        <v>507</v>
      </c>
      <c r="C71" s="15">
        <v>1</v>
      </c>
      <c r="T71" s="2">
        <f t="shared" si="4"/>
        <v>0</v>
      </c>
      <c r="U71" s="2">
        <f t="shared" si="5"/>
        <v>0</v>
      </c>
      <c r="V71" s="2">
        <f t="shared" si="6"/>
        <v>0</v>
      </c>
      <c r="W71" s="2">
        <f t="shared" si="7"/>
        <v>0</v>
      </c>
      <c r="Y71" t="str">
        <f>IFERROR(ROUND(E71*VLOOKUP(D71,商品!$A$4:$B$60,2,FALSE),0),"")</f>
        <v/>
      </c>
      <c r="Z71" t="str">
        <f>IFERROR(ROUND(G71*VLOOKUP(F71,商品!$A$4:$B$60,2,FALSE),0),"")</f>
        <v/>
      </c>
      <c r="AA71" t="str">
        <f>IFERROR(ROUND(I71*VLOOKUP(H71,商品!$A$4:$B$60,2,FALSE),0),"")</f>
        <v/>
      </c>
      <c r="AB71" t="str">
        <f>IFERROR(ROUND(K71*VLOOKUP(J71,[1]note_pop_types!$A$16:$E$16,4,FALSE),0),"")</f>
        <v/>
      </c>
      <c r="AC71" t="str">
        <f>IFERROR(ROUND(M71*VLOOKUP(L71,[1]note_pop_types!$A$16:$E$16,4,FALSE),0),"")</f>
        <v/>
      </c>
      <c r="AD71" t="str">
        <f>IFERROR(ROUND(O71*VLOOKUP(N71,[1]note_pop_types!$A$16:$E$16,4,FALSE),0),"")</f>
        <v/>
      </c>
      <c r="AE71" t="str">
        <f>IFERROR(ROUND(Q71*VLOOKUP(P71,商品!$A$4:$B$60,2,FALSE),0),"")</f>
        <v/>
      </c>
      <c r="AF71" t="str">
        <f>IFERROR(ROUND(S71*VLOOKUP(R71,商品!$A$4:$B$60,2,FALSE),0),"")</f>
        <v/>
      </c>
    </row>
    <row r="72" spans="1:32" ht="19.05" customHeight="1" x14ac:dyDescent="0.25">
      <c r="A72" s="15" t="s">
        <v>507</v>
      </c>
      <c r="C72" s="15">
        <v>2</v>
      </c>
      <c r="T72" s="2">
        <f t="shared" si="4"/>
        <v>0</v>
      </c>
      <c r="U72" s="2">
        <f t="shared" si="5"/>
        <v>0</v>
      </c>
      <c r="V72" s="2">
        <f t="shared" si="6"/>
        <v>0</v>
      </c>
      <c r="W72" s="2">
        <f t="shared" si="7"/>
        <v>0</v>
      </c>
      <c r="Y72" t="str">
        <f>IFERROR(ROUND(E72*VLOOKUP(D72,商品!$A$4:$B$60,2,FALSE),0),"")</f>
        <v/>
      </c>
      <c r="Z72" t="str">
        <f>IFERROR(ROUND(G72*VLOOKUP(F72,商品!$A$4:$B$60,2,FALSE),0),"")</f>
        <v/>
      </c>
      <c r="AA72" t="str">
        <f>IFERROR(ROUND(I72*VLOOKUP(H72,商品!$A$4:$B$60,2,FALSE),0),"")</f>
        <v/>
      </c>
      <c r="AB72" t="str">
        <f>IFERROR(ROUND(K72*VLOOKUP(J72,[1]note_pop_types!$A$16:$E$16,4,FALSE),0),"")</f>
        <v/>
      </c>
      <c r="AC72" t="str">
        <f>IFERROR(ROUND(M72*VLOOKUP(L72,[1]note_pop_types!$A$16:$E$16,4,FALSE),0),"")</f>
        <v/>
      </c>
      <c r="AD72" t="str">
        <f>IFERROR(ROUND(O72*VLOOKUP(N72,[1]note_pop_types!$A$16:$E$16,4,FALSE),0),"")</f>
        <v/>
      </c>
      <c r="AE72" t="str">
        <f>IFERROR(ROUND(Q72*VLOOKUP(P72,商品!$A$4:$B$60,2,FALSE),0),"")</f>
        <v/>
      </c>
      <c r="AF72" t="str">
        <f>IFERROR(ROUND(S72*VLOOKUP(R72,商品!$A$4:$B$60,2,FALSE),0),"")</f>
        <v/>
      </c>
    </row>
    <row r="73" spans="1:32" ht="19.05" customHeight="1" x14ac:dyDescent="0.25">
      <c r="A73" s="15" t="s">
        <v>507</v>
      </c>
      <c r="C73" s="15">
        <v>3</v>
      </c>
      <c r="T73" s="2">
        <f t="shared" si="4"/>
        <v>0</v>
      </c>
      <c r="U73" s="2">
        <f t="shared" si="5"/>
        <v>0</v>
      </c>
      <c r="V73" s="2">
        <f t="shared" si="6"/>
        <v>0</v>
      </c>
      <c r="W73" s="2">
        <f t="shared" si="7"/>
        <v>0</v>
      </c>
      <c r="Y73" t="str">
        <f>IFERROR(ROUND(E73*VLOOKUP(D73,商品!$A$4:$B$60,2,FALSE),0),"")</f>
        <v/>
      </c>
      <c r="Z73" t="str">
        <f>IFERROR(ROUND(G73*VLOOKUP(F73,商品!$A$4:$B$60,2,FALSE),0),"")</f>
        <v/>
      </c>
      <c r="AA73" t="str">
        <f>IFERROR(ROUND(I73*VLOOKUP(H73,商品!$A$4:$B$60,2,FALSE),0),"")</f>
        <v/>
      </c>
      <c r="AB73" t="str">
        <f>IFERROR(ROUND(K73*VLOOKUP(J73,[1]note_pop_types!$A$16:$E$16,4,FALSE),0),"")</f>
        <v/>
      </c>
      <c r="AC73" t="str">
        <f>IFERROR(ROUND(M73*VLOOKUP(L73,[1]note_pop_types!$A$16:$E$16,4,FALSE),0),"")</f>
        <v/>
      </c>
      <c r="AD73" t="str">
        <f>IFERROR(ROUND(O73*VLOOKUP(N73,[1]note_pop_types!$A$16:$E$16,4,FALSE),0),"")</f>
        <v/>
      </c>
      <c r="AE73" t="str">
        <f>IFERROR(ROUND(Q73*VLOOKUP(P73,商品!$A$4:$B$60,2,FALSE),0),"")</f>
        <v/>
      </c>
      <c r="AF73" t="str">
        <f>IFERROR(ROUND(S73*VLOOKUP(R73,商品!$A$4:$B$60,2,FALSE),0),"")</f>
        <v/>
      </c>
    </row>
    <row r="74" spans="1:32" ht="19.05" customHeight="1" x14ac:dyDescent="0.25">
      <c r="A74" s="15" t="s">
        <v>507</v>
      </c>
      <c r="C74" s="15">
        <v>4</v>
      </c>
      <c r="T74" s="2">
        <f t="shared" si="4"/>
        <v>0</v>
      </c>
      <c r="U74" s="2">
        <f t="shared" si="5"/>
        <v>0</v>
      </c>
      <c r="V74" s="2">
        <f t="shared" si="6"/>
        <v>0</v>
      </c>
      <c r="W74" s="2">
        <f t="shared" si="7"/>
        <v>0</v>
      </c>
      <c r="Y74" t="str">
        <f>IFERROR(ROUND(E74*VLOOKUP(D74,商品!$A$4:$B$60,2,FALSE),0),"")</f>
        <v/>
      </c>
      <c r="Z74" t="str">
        <f>IFERROR(ROUND(G74*VLOOKUP(F74,商品!$A$4:$B$60,2,FALSE),0),"")</f>
        <v/>
      </c>
      <c r="AA74" t="str">
        <f>IFERROR(ROUND(I74*VLOOKUP(H74,商品!$A$4:$B$60,2,FALSE),0),"")</f>
        <v/>
      </c>
      <c r="AB74" t="str">
        <f>IFERROR(ROUND(K74*VLOOKUP(J74,[1]note_pop_types!$A$16:$E$16,4,FALSE),0),"")</f>
        <v/>
      </c>
      <c r="AC74" t="str">
        <f>IFERROR(ROUND(M74*VLOOKUP(L74,[1]note_pop_types!$A$16:$E$16,4,FALSE),0),"")</f>
        <v/>
      </c>
      <c r="AD74" t="str">
        <f>IFERROR(ROUND(O74*VLOOKUP(N74,[1]note_pop_types!$A$16:$E$16,4,FALSE),0),"")</f>
        <v/>
      </c>
      <c r="AE74" t="str">
        <f>IFERROR(ROUND(Q74*VLOOKUP(P74,商品!$A$4:$B$60,2,FALSE),0),"")</f>
        <v/>
      </c>
      <c r="AF74" t="str">
        <f>IFERROR(ROUND(S74*VLOOKUP(R74,商品!$A$4:$B$60,2,FALSE),0),"")</f>
        <v/>
      </c>
    </row>
    <row r="75" spans="1:32" ht="19.05" customHeight="1" x14ac:dyDescent="0.25">
      <c r="A75" s="15" t="s">
        <v>507</v>
      </c>
      <c r="C75" s="15">
        <v>5</v>
      </c>
      <c r="T75" s="2">
        <f t="shared" si="4"/>
        <v>0</v>
      </c>
      <c r="U75" s="2">
        <f t="shared" si="5"/>
        <v>0</v>
      </c>
      <c r="V75" s="2">
        <f t="shared" si="6"/>
        <v>0</v>
      </c>
      <c r="W75" s="2">
        <f t="shared" si="7"/>
        <v>0</v>
      </c>
      <c r="Y75" t="str">
        <f>IFERROR(ROUND(E75*VLOOKUP(D75,商品!$A$4:$B$60,2,FALSE),0),"")</f>
        <v/>
      </c>
      <c r="Z75" t="str">
        <f>IFERROR(ROUND(G75*VLOOKUP(F75,商品!$A$4:$B$60,2,FALSE),0),"")</f>
        <v/>
      </c>
      <c r="AA75" t="str">
        <f>IFERROR(ROUND(I75*VLOOKUP(H75,商品!$A$4:$B$60,2,FALSE),0),"")</f>
        <v/>
      </c>
      <c r="AB75" t="str">
        <f>IFERROR(ROUND(K75*VLOOKUP(J75,[1]note_pop_types!$A$16:$E$16,4,FALSE),0),"")</f>
        <v/>
      </c>
      <c r="AC75" t="str">
        <f>IFERROR(ROUND(M75*VLOOKUP(L75,[1]note_pop_types!$A$16:$E$16,4,FALSE),0),"")</f>
        <v/>
      </c>
      <c r="AD75" t="str">
        <f>IFERROR(ROUND(O75*VLOOKUP(N75,[1]note_pop_types!$A$16:$E$16,4,FALSE),0),"")</f>
        <v/>
      </c>
      <c r="AE75" t="str">
        <f>IFERROR(ROUND(Q75*VLOOKUP(P75,商品!$A$4:$B$60,2,FALSE),0),"")</f>
        <v/>
      </c>
      <c r="AF75" t="str">
        <f>IFERROR(ROUND(S75*VLOOKUP(R75,商品!$A$4:$B$60,2,FALSE),0),"")</f>
        <v/>
      </c>
    </row>
    <row r="76" spans="1:32" ht="19.05" customHeight="1" x14ac:dyDescent="0.25">
      <c r="A76" s="16" t="s">
        <v>189</v>
      </c>
      <c r="C76" s="16">
        <v>1</v>
      </c>
      <c r="T76" s="2">
        <f t="shared" si="4"/>
        <v>0</v>
      </c>
      <c r="U76" s="2">
        <f t="shared" si="5"/>
        <v>0</v>
      </c>
      <c r="V76" s="2">
        <f t="shared" si="6"/>
        <v>0</v>
      </c>
      <c r="W76" s="2">
        <f t="shared" si="7"/>
        <v>0</v>
      </c>
      <c r="Y76" t="str">
        <f>IFERROR(ROUND(E76*VLOOKUP(D76,商品!$A$4:$B$60,2,FALSE),0),"")</f>
        <v/>
      </c>
      <c r="Z76" t="str">
        <f>IFERROR(ROUND(G76*VLOOKUP(F76,商品!$A$4:$B$60,2,FALSE),0),"")</f>
        <v/>
      </c>
      <c r="AA76" t="str">
        <f>IFERROR(ROUND(I76*VLOOKUP(H76,商品!$A$4:$B$60,2,FALSE),0),"")</f>
        <v/>
      </c>
      <c r="AB76" t="str">
        <f>IFERROR(ROUND(K76*VLOOKUP(J76,[1]note_pop_types!$A$16:$E$16,4,FALSE),0),"")</f>
        <v/>
      </c>
      <c r="AC76" t="str">
        <f>IFERROR(ROUND(M76*VLOOKUP(L76,[1]note_pop_types!$A$16:$E$16,4,FALSE),0),"")</f>
        <v/>
      </c>
      <c r="AD76" t="str">
        <f>IFERROR(ROUND(O76*VLOOKUP(N76,[1]note_pop_types!$A$16:$E$16,4,FALSE),0),"")</f>
        <v/>
      </c>
      <c r="AE76" t="str">
        <f>IFERROR(ROUND(Q76*VLOOKUP(P76,商品!$A$4:$B$60,2,FALSE),0),"")</f>
        <v/>
      </c>
      <c r="AF76" t="str">
        <f>IFERROR(ROUND(S76*VLOOKUP(R76,商品!$A$4:$B$60,2,FALSE),0),"")</f>
        <v/>
      </c>
    </row>
    <row r="77" spans="1:32" ht="19.05" customHeight="1" x14ac:dyDescent="0.25">
      <c r="A77" s="16" t="s">
        <v>189</v>
      </c>
      <c r="C77" s="16">
        <v>2</v>
      </c>
      <c r="T77" s="2">
        <f t="shared" si="4"/>
        <v>0</v>
      </c>
      <c r="U77" s="2">
        <f t="shared" si="5"/>
        <v>0</v>
      </c>
      <c r="V77" s="2">
        <f t="shared" si="6"/>
        <v>0</v>
      </c>
      <c r="W77" s="2">
        <f t="shared" si="7"/>
        <v>0</v>
      </c>
      <c r="Y77" t="str">
        <f>IFERROR(ROUND(E77*VLOOKUP(D77,商品!$A$4:$B$60,2,FALSE),0),"")</f>
        <v/>
      </c>
      <c r="Z77" t="str">
        <f>IFERROR(ROUND(G77*VLOOKUP(F77,商品!$A$4:$B$60,2,FALSE),0),"")</f>
        <v/>
      </c>
      <c r="AA77" t="str">
        <f>IFERROR(ROUND(I77*VLOOKUP(H77,商品!$A$4:$B$60,2,FALSE),0),"")</f>
        <v/>
      </c>
      <c r="AB77" t="str">
        <f>IFERROR(ROUND(K77*VLOOKUP(J77,[1]note_pop_types!$A$16:$E$16,4,FALSE),0),"")</f>
        <v/>
      </c>
      <c r="AC77" t="str">
        <f>IFERROR(ROUND(M77*VLOOKUP(L77,[1]note_pop_types!$A$16:$E$16,4,FALSE),0),"")</f>
        <v/>
      </c>
      <c r="AD77" t="str">
        <f>IFERROR(ROUND(O77*VLOOKUP(N77,[1]note_pop_types!$A$16:$E$16,4,FALSE),0),"")</f>
        <v/>
      </c>
      <c r="AE77" t="str">
        <f>IFERROR(ROUND(Q77*VLOOKUP(P77,商品!$A$4:$B$60,2,FALSE),0),"")</f>
        <v/>
      </c>
      <c r="AF77" t="str">
        <f>IFERROR(ROUND(S77*VLOOKUP(R77,商品!$A$4:$B$60,2,FALSE),0),"")</f>
        <v/>
      </c>
    </row>
    <row r="78" spans="1:32" ht="19.05" customHeight="1" x14ac:dyDescent="0.25">
      <c r="A78" s="16" t="s">
        <v>189</v>
      </c>
      <c r="C78" s="16">
        <v>3</v>
      </c>
      <c r="T78" s="2">
        <f t="shared" si="4"/>
        <v>0</v>
      </c>
      <c r="U78" s="2">
        <f t="shared" si="5"/>
        <v>0</v>
      </c>
      <c r="V78" s="2">
        <f t="shared" si="6"/>
        <v>0</v>
      </c>
      <c r="W78" s="2">
        <f t="shared" si="7"/>
        <v>0</v>
      </c>
      <c r="Y78" t="str">
        <f>IFERROR(ROUND(E78*VLOOKUP(D78,商品!$A$4:$B$60,2,FALSE),0),"")</f>
        <v/>
      </c>
      <c r="Z78" t="str">
        <f>IFERROR(ROUND(G78*VLOOKUP(F78,商品!$A$4:$B$60,2,FALSE),0),"")</f>
        <v/>
      </c>
      <c r="AA78" t="str">
        <f>IFERROR(ROUND(I78*VLOOKUP(H78,商品!$A$4:$B$60,2,FALSE),0),"")</f>
        <v/>
      </c>
      <c r="AB78" t="str">
        <f>IFERROR(ROUND(K78*VLOOKUP(J78,[1]note_pop_types!$A$16:$E$16,4,FALSE),0),"")</f>
        <v/>
      </c>
      <c r="AC78" t="str">
        <f>IFERROR(ROUND(M78*VLOOKUP(L78,[1]note_pop_types!$A$16:$E$16,4,FALSE),0),"")</f>
        <v/>
      </c>
      <c r="AD78" t="str">
        <f>IFERROR(ROUND(O78*VLOOKUP(N78,[1]note_pop_types!$A$16:$E$16,4,FALSE),0),"")</f>
        <v/>
      </c>
      <c r="AE78" t="str">
        <f>IFERROR(ROUND(Q78*VLOOKUP(P78,商品!$A$4:$B$60,2,FALSE),0),"")</f>
        <v/>
      </c>
      <c r="AF78" t="str">
        <f>IFERROR(ROUND(S78*VLOOKUP(R78,商品!$A$4:$B$60,2,FALSE),0),"")</f>
        <v/>
      </c>
    </row>
    <row r="79" spans="1:32" ht="19.05" customHeight="1" x14ac:dyDescent="0.25">
      <c r="A79" s="16" t="s">
        <v>189</v>
      </c>
      <c r="C79" s="16">
        <v>4</v>
      </c>
      <c r="T79" s="2">
        <f t="shared" si="4"/>
        <v>0</v>
      </c>
      <c r="U79" s="2">
        <f t="shared" si="5"/>
        <v>0</v>
      </c>
      <c r="V79" s="2">
        <f t="shared" si="6"/>
        <v>0</v>
      </c>
      <c r="W79" s="2">
        <f t="shared" si="7"/>
        <v>0</v>
      </c>
      <c r="Y79" t="str">
        <f>IFERROR(ROUND(E79*VLOOKUP(D79,商品!$A$4:$B$60,2,FALSE),0),"")</f>
        <v/>
      </c>
      <c r="Z79" t="str">
        <f>IFERROR(ROUND(G79*VLOOKUP(F79,商品!$A$4:$B$60,2,FALSE),0),"")</f>
        <v/>
      </c>
      <c r="AA79" t="str">
        <f>IFERROR(ROUND(I79*VLOOKUP(H79,商品!$A$4:$B$60,2,FALSE),0),"")</f>
        <v/>
      </c>
      <c r="AB79" t="str">
        <f>IFERROR(ROUND(K79*VLOOKUP(J79,[1]note_pop_types!$A$16:$E$16,4,FALSE),0),"")</f>
        <v/>
      </c>
      <c r="AC79" t="str">
        <f>IFERROR(ROUND(M79*VLOOKUP(L79,[1]note_pop_types!$A$16:$E$16,4,FALSE),0),"")</f>
        <v/>
      </c>
      <c r="AD79" t="str">
        <f>IFERROR(ROUND(O79*VLOOKUP(N79,[1]note_pop_types!$A$16:$E$16,4,FALSE),0),"")</f>
        <v/>
      </c>
      <c r="AE79" t="str">
        <f>IFERROR(ROUND(Q79*VLOOKUP(P79,商品!$A$4:$B$60,2,FALSE),0),"")</f>
        <v/>
      </c>
      <c r="AF79" t="str">
        <f>IFERROR(ROUND(S79*VLOOKUP(R79,商品!$A$4:$B$60,2,FALSE),0),"")</f>
        <v/>
      </c>
    </row>
    <row r="80" spans="1:32" ht="19.05" customHeight="1" x14ac:dyDescent="0.25">
      <c r="A80" s="16" t="s">
        <v>189</v>
      </c>
      <c r="C80" s="16">
        <v>5</v>
      </c>
      <c r="T80" s="2">
        <f t="shared" si="4"/>
        <v>0</v>
      </c>
      <c r="U80" s="2">
        <f t="shared" si="5"/>
        <v>0</v>
      </c>
      <c r="V80" s="2">
        <f t="shared" si="6"/>
        <v>0</v>
      </c>
      <c r="W80" s="2">
        <f t="shared" si="7"/>
        <v>0</v>
      </c>
      <c r="Y80" t="str">
        <f>IFERROR(ROUND(E80*VLOOKUP(D80,商品!$A$4:$B$60,2,FALSE),0),"")</f>
        <v/>
      </c>
      <c r="Z80" t="str">
        <f>IFERROR(ROUND(G80*VLOOKUP(F80,商品!$A$4:$B$60,2,FALSE),0),"")</f>
        <v/>
      </c>
      <c r="AA80" t="str">
        <f>IFERROR(ROUND(I80*VLOOKUP(H80,商品!$A$4:$B$60,2,FALSE),0),"")</f>
        <v/>
      </c>
      <c r="AB80" t="str">
        <f>IFERROR(ROUND(K80*VLOOKUP(J80,[1]note_pop_types!$A$16:$E$16,4,FALSE),0),"")</f>
        <v/>
      </c>
      <c r="AC80" t="str">
        <f>IFERROR(ROUND(M80*VLOOKUP(L80,[1]note_pop_types!$A$16:$E$16,4,FALSE),0),"")</f>
        <v/>
      </c>
      <c r="AD80" t="str">
        <f>IFERROR(ROUND(O80*VLOOKUP(N80,[1]note_pop_types!$A$16:$E$16,4,FALSE),0),"")</f>
        <v/>
      </c>
      <c r="AE80" t="str">
        <f>IFERROR(ROUND(Q80*VLOOKUP(P80,商品!$A$4:$B$60,2,FALSE),0),"")</f>
        <v/>
      </c>
      <c r="AF80" t="str">
        <f>IFERROR(ROUND(S80*VLOOKUP(R80,商品!$A$4:$B$60,2,FALSE),0),"")</f>
        <v/>
      </c>
    </row>
    <row r="81" spans="1:32" ht="19.05" customHeight="1" x14ac:dyDescent="0.25">
      <c r="A81" s="16" t="s">
        <v>189</v>
      </c>
      <c r="C81" s="16">
        <v>6</v>
      </c>
      <c r="T81" s="2">
        <f t="shared" si="4"/>
        <v>0</v>
      </c>
      <c r="U81" s="2">
        <f t="shared" si="5"/>
        <v>0</v>
      </c>
      <c r="V81" s="2">
        <f t="shared" si="6"/>
        <v>0</v>
      </c>
      <c r="W81" s="2">
        <f t="shared" si="7"/>
        <v>0</v>
      </c>
      <c r="Y81" t="str">
        <f>IFERROR(ROUND(E81*VLOOKUP(D81,商品!$A$4:$B$60,2,FALSE),0),"")</f>
        <v/>
      </c>
      <c r="Z81" t="str">
        <f>IFERROR(ROUND(G81*VLOOKUP(F81,商品!$A$4:$B$60,2,FALSE),0),"")</f>
        <v/>
      </c>
      <c r="AA81" t="str">
        <f>IFERROR(ROUND(I81*VLOOKUP(H81,商品!$A$4:$B$60,2,FALSE),0),"")</f>
        <v/>
      </c>
      <c r="AB81" t="str">
        <f>IFERROR(ROUND(K81*VLOOKUP(J81,[1]note_pop_types!$A$16:$E$16,4,FALSE),0),"")</f>
        <v/>
      </c>
      <c r="AC81" t="str">
        <f>IFERROR(ROUND(M81*VLOOKUP(L81,[1]note_pop_types!$A$16:$E$16,4,FALSE),0),"")</f>
        <v/>
      </c>
      <c r="AD81" t="str">
        <f>IFERROR(ROUND(O81*VLOOKUP(N81,[1]note_pop_types!$A$16:$E$16,4,FALSE),0),"")</f>
        <v/>
      </c>
      <c r="AE81" t="str">
        <f>IFERROR(ROUND(Q81*VLOOKUP(P81,商品!$A$4:$B$60,2,FALSE),0),"")</f>
        <v/>
      </c>
      <c r="AF81" t="str">
        <f>IFERROR(ROUND(S81*VLOOKUP(R81,商品!$A$4:$B$60,2,FALSE),0),"")</f>
        <v/>
      </c>
    </row>
    <row r="82" spans="1:32" ht="19.05" customHeight="1" x14ac:dyDescent="0.25">
      <c r="A82" s="16" t="s">
        <v>189</v>
      </c>
      <c r="C82" s="16">
        <v>7</v>
      </c>
      <c r="T82" s="2">
        <f t="shared" si="4"/>
        <v>0</v>
      </c>
      <c r="U82" s="2">
        <f t="shared" si="5"/>
        <v>0</v>
      </c>
      <c r="V82" s="2">
        <f t="shared" si="6"/>
        <v>0</v>
      </c>
      <c r="W82" s="2">
        <f t="shared" si="7"/>
        <v>0</v>
      </c>
      <c r="Y82" t="str">
        <f>IFERROR(ROUND(E82*VLOOKUP(D82,商品!$A$4:$B$60,2,FALSE),0),"")</f>
        <v/>
      </c>
      <c r="Z82" t="str">
        <f>IFERROR(ROUND(G82*VLOOKUP(F82,商品!$A$4:$B$60,2,FALSE),0),"")</f>
        <v/>
      </c>
      <c r="AA82" t="str">
        <f>IFERROR(ROUND(I82*VLOOKUP(H82,商品!$A$4:$B$60,2,FALSE),0),"")</f>
        <v/>
      </c>
      <c r="AB82" t="str">
        <f>IFERROR(ROUND(K82*VLOOKUP(J82,[1]note_pop_types!$A$16:$E$16,4,FALSE),0),"")</f>
        <v/>
      </c>
      <c r="AC82" t="str">
        <f>IFERROR(ROUND(M82*VLOOKUP(L82,[1]note_pop_types!$A$16:$E$16,4,FALSE),0),"")</f>
        <v/>
      </c>
      <c r="AD82" t="str">
        <f>IFERROR(ROUND(O82*VLOOKUP(N82,[1]note_pop_types!$A$16:$E$16,4,FALSE),0),"")</f>
        <v/>
      </c>
      <c r="AE82" t="str">
        <f>IFERROR(ROUND(Q82*VLOOKUP(P82,商品!$A$4:$B$60,2,FALSE),0),"")</f>
        <v/>
      </c>
      <c r="AF82" t="str">
        <f>IFERROR(ROUND(S82*VLOOKUP(R82,商品!$A$4:$B$60,2,FALSE),0),"")</f>
        <v/>
      </c>
    </row>
    <row r="83" spans="1:32" ht="19.05" customHeight="1" x14ac:dyDescent="0.25">
      <c r="A83" s="16" t="s">
        <v>189</v>
      </c>
      <c r="C83" s="16">
        <v>8</v>
      </c>
      <c r="T83" s="2">
        <f t="shared" si="4"/>
        <v>0</v>
      </c>
      <c r="U83" s="2">
        <f t="shared" si="5"/>
        <v>0</v>
      </c>
      <c r="V83" s="2">
        <f t="shared" si="6"/>
        <v>0</v>
      </c>
      <c r="W83" s="2">
        <f t="shared" si="7"/>
        <v>0</v>
      </c>
      <c r="Y83" t="str">
        <f>IFERROR(ROUND(E83*VLOOKUP(D83,商品!$A$4:$B$60,2,FALSE),0),"")</f>
        <v/>
      </c>
      <c r="Z83" t="str">
        <f>IFERROR(ROUND(G83*VLOOKUP(F83,商品!$A$4:$B$60,2,FALSE),0),"")</f>
        <v/>
      </c>
      <c r="AA83" t="str">
        <f>IFERROR(ROUND(I83*VLOOKUP(H83,商品!$A$4:$B$60,2,FALSE),0),"")</f>
        <v/>
      </c>
      <c r="AB83" t="str">
        <f>IFERROR(ROUND(K83*VLOOKUP(J83,[1]note_pop_types!$A$16:$E$16,4,FALSE),0),"")</f>
        <v/>
      </c>
      <c r="AC83" t="str">
        <f>IFERROR(ROUND(M83*VLOOKUP(L83,[1]note_pop_types!$A$16:$E$16,4,FALSE),0),"")</f>
        <v/>
      </c>
      <c r="AD83" t="str">
        <f>IFERROR(ROUND(O83*VLOOKUP(N83,[1]note_pop_types!$A$16:$E$16,4,FALSE),0),"")</f>
        <v/>
      </c>
      <c r="AE83" t="str">
        <f>IFERROR(ROUND(Q83*VLOOKUP(P83,商品!$A$4:$B$60,2,FALSE),0),"")</f>
        <v/>
      </c>
      <c r="AF83" t="str">
        <f>IFERROR(ROUND(S83*VLOOKUP(R83,商品!$A$4:$B$60,2,FALSE),0),"")</f>
        <v/>
      </c>
    </row>
    <row r="84" spans="1:32" ht="19.05" customHeight="1" x14ac:dyDescent="0.25">
      <c r="A84" s="15" t="s">
        <v>191</v>
      </c>
      <c r="C84" s="15">
        <v>1</v>
      </c>
      <c r="T84" s="2">
        <f t="shared" si="4"/>
        <v>0</v>
      </c>
      <c r="U84" s="2">
        <f t="shared" si="5"/>
        <v>0</v>
      </c>
      <c r="V84" s="2">
        <f t="shared" si="6"/>
        <v>0</v>
      </c>
      <c r="W84" s="2">
        <f t="shared" si="7"/>
        <v>0</v>
      </c>
      <c r="Y84" t="str">
        <f>IFERROR(ROUND(E84*VLOOKUP(D84,商品!$A$4:$B$60,2,FALSE),0),"")</f>
        <v/>
      </c>
      <c r="Z84" t="str">
        <f>IFERROR(ROUND(G84*VLOOKUP(F84,商品!$A$4:$B$60,2,FALSE),0),"")</f>
        <v/>
      </c>
      <c r="AA84" t="str">
        <f>IFERROR(ROUND(I84*VLOOKUP(H84,商品!$A$4:$B$60,2,FALSE),0),"")</f>
        <v/>
      </c>
      <c r="AB84" t="str">
        <f>IFERROR(ROUND(K84*VLOOKUP(J84,[1]note_pop_types!$A$16:$E$16,4,FALSE),0),"")</f>
        <v/>
      </c>
      <c r="AC84" t="str">
        <f>IFERROR(ROUND(M84*VLOOKUP(L84,[1]note_pop_types!$A$16:$E$16,4,FALSE),0),"")</f>
        <v/>
      </c>
      <c r="AD84" t="str">
        <f>IFERROR(ROUND(O84*VLOOKUP(N84,[1]note_pop_types!$A$16:$E$16,4,FALSE),0),"")</f>
        <v/>
      </c>
      <c r="AE84" t="str">
        <f>IFERROR(ROUND(Q84*VLOOKUP(P84,商品!$A$4:$B$60,2,FALSE),0),"")</f>
        <v/>
      </c>
      <c r="AF84" t="str">
        <f>IFERROR(ROUND(S84*VLOOKUP(R84,商品!$A$4:$B$60,2,FALSE),0),"")</f>
        <v/>
      </c>
    </row>
    <row r="85" spans="1:32" ht="19.05" customHeight="1" x14ac:dyDescent="0.25">
      <c r="A85" s="15" t="s">
        <v>191</v>
      </c>
      <c r="C85" s="15">
        <v>2</v>
      </c>
      <c r="T85" s="2">
        <f t="shared" si="4"/>
        <v>0</v>
      </c>
      <c r="U85" s="2">
        <f t="shared" si="5"/>
        <v>0</v>
      </c>
      <c r="V85" s="2">
        <f t="shared" si="6"/>
        <v>0</v>
      </c>
      <c r="W85" s="2">
        <f t="shared" si="7"/>
        <v>0</v>
      </c>
      <c r="Y85" t="str">
        <f>IFERROR(ROUND(E85*VLOOKUP(D85,商品!$A$4:$B$60,2,FALSE),0),"")</f>
        <v/>
      </c>
      <c r="Z85" t="str">
        <f>IFERROR(ROUND(G85*VLOOKUP(F85,商品!$A$4:$B$60,2,FALSE),0),"")</f>
        <v/>
      </c>
      <c r="AA85" t="str">
        <f>IFERROR(ROUND(I85*VLOOKUP(H85,商品!$A$4:$B$60,2,FALSE),0),"")</f>
        <v/>
      </c>
      <c r="AB85" t="str">
        <f>IFERROR(ROUND(K85*VLOOKUP(J85,[1]note_pop_types!$A$16:$E$16,4,FALSE),0),"")</f>
        <v/>
      </c>
      <c r="AC85" t="str">
        <f>IFERROR(ROUND(M85*VLOOKUP(L85,[1]note_pop_types!$A$16:$E$16,4,FALSE),0),"")</f>
        <v/>
      </c>
      <c r="AD85" t="str">
        <f>IFERROR(ROUND(O85*VLOOKUP(N85,[1]note_pop_types!$A$16:$E$16,4,FALSE),0),"")</f>
        <v/>
      </c>
      <c r="AE85" t="str">
        <f>IFERROR(ROUND(Q85*VLOOKUP(P85,商品!$A$4:$B$60,2,FALSE),0),"")</f>
        <v/>
      </c>
      <c r="AF85" t="str">
        <f>IFERROR(ROUND(S85*VLOOKUP(R85,商品!$A$4:$B$60,2,FALSE),0),"")</f>
        <v/>
      </c>
    </row>
    <row r="86" spans="1:32" ht="19.05" customHeight="1" x14ac:dyDescent="0.25">
      <c r="A86" s="15" t="s">
        <v>191</v>
      </c>
      <c r="C86" s="15">
        <v>3</v>
      </c>
      <c r="T86" s="2">
        <f t="shared" si="4"/>
        <v>0</v>
      </c>
      <c r="U86" s="2">
        <f t="shared" si="5"/>
        <v>0</v>
      </c>
      <c r="V86" s="2">
        <f t="shared" si="6"/>
        <v>0</v>
      </c>
      <c r="W86" s="2">
        <f t="shared" si="7"/>
        <v>0</v>
      </c>
      <c r="Y86" t="str">
        <f>IFERROR(ROUND(E86*VLOOKUP(D86,商品!$A$4:$B$60,2,FALSE),0),"")</f>
        <v/>
      </c>
      <c r="Z86" t="str">
        <f>IFERROR(ROUND(G86*VLOOKUP(F86,商品!$A$4:$B$60,2,FALSE),0),"")</f>
        <v/>
      </c>
      <c r="AA86" t="str">
        <f>IFERROR(ROUND(I86*VLOOKUP(H86,商品!$A$4:$B$60,2,FALSE),0),"")</f>
        <v/>
      </c>
      <c r="AB86" t="str">
        <f>IFERROR(ROUND(K86*VLOOKUP(J86,[1]note_pop_types!$A$16:$E$16,4,FALSE),0),"")</f>
        <v/>
      </c>
      <c r="AC86" t="str">
        <f>IFERROR(ROUND(M86*VLOOKUP(L86,[1]note_pop_types!$A$16:$E$16,4,FALSE),0),"")</f>
        <v/>
      </c>
      <c r="AD86" t="str">
        <f>IFERROR(ROUND(O86*VLOOKUP(N86,[1]note_pop_types!$A$16:$E$16,4,FALSE),0),"")</f>
        <v/>
      </c>
      <c r="AE86" t="str">
        <f>IFERROR(ROUND(Q86*VLOOKUP(P86,商品!$A$4:$B$60,2,FALSE),0),"")</f>
        <v/>
      </c>
      <c r="AF86" t="str">
        <f>IFERROR(ROUND(S86*VLOOKUP(R86,商品!$A$4:$B$60,2,FALSE),0),"")</f>
        <v/>
      </c>
    </row>
    <row r="87" spans="1:32" ht="19.05" customHeight="1" x14ac:dyDescent="0.25">
      <c r="A87" s="15" t="s">
        <v>191</v>
      </c>
      <c r="C87" s="15">
        <v>4</v>
      </c>
      <c r="T87" s="2">
        <f t="shared" si="4"/>
        <v>0</v>
      </c>
      <c r="U87" s="2">
        <f t="shared" si="5"/>
        <v>0</v>
      </c>
      <c r="V87" s="2">
        <f t="shared" si="6"/>
        <v>0</v>
      </c>
      <c r="W87" s="2">
        <f t="shared" si="7"/>
        <v>0</v>
      </c>
      <c r="Y87" t="str">
        <f>IFERROR(ROUND(E87*VLOOKUP(D87,商品!$A$4:$B$60,2,FALSE),0),"")</f>
        <v/>
      </c>
      <c r="Z87" t="str">
        <f>IFERROR(ROUND(G87*VLOOKUP(F87,商品!$A$4:$B$60,2,FALSE),0),"")</f>
        <v/>
      </c>
      <c r="AA87" t="str">
        <f>IFERROR(ROUND(I87*VLOOKUP(H87,商品!$A$4:$B$60,2,FALSE),0),"")</f>
        <v/>
      </c>
      <c r="AB87" t="str">
        <f>IFERROR(ROUND(K87*VLOOKUP(J87,[1]note_pop_types!$A$16:$E$16,4,FALSE),0),"")</f>
        <v/>
      </c>
      <c r="AC87" t="str">
        <f>IFERROR(ROUND(M87*VLOOKUP(L87,[1]note_pop_types!$A$16:$E$16,4,FALSE),0),"")</f>
        <v/>
      </c>
      <c r="AD87" t="str">
        <f>IFERROR(ROUND(O87*VLOOKUP(N87,[1]note_pop_types!$A$16:$E$16,4,FALSE),0),"")</f>
        <v/>
      </c>
      <c r="AE87" t="str">
        <f>IFERROR(ROUND(Q87*VLOOKUP(P87,商品!$A$4:$B$60,2,FALSE),0),"")</f>
        <v/>
      </c>
      <c r="AF87" t="str">
        <f>IFERROR(ROUND(S87*VLOOKUP(R87,商品!$A$4:$B$60,2,FALSE),0),"")</f>
        <v/>
      </c>
    </row>
    <row r="88" spans="1:32" ht="19.05" customHeight="1" x14ac:dyDescent="0.25">
      <c r="A88" s="15" t="s">
        <v>191</v>
      </c>
      <c r="C88" s="15">
        <v>5</v>
      </c>
      <c r="T88" s="2">
        <f t="shared" si="4"/>
        <v>0</v>
      </c>
      <c r="U88" s="2">
        <f t="shared" si="5"/>
        <v>0</v>
      </c>
      <c r="V88" s="2">
        <f t="shared" si="6"/>
        <v>0</v>
      </c>
      <c r="W88" s="2">
        <f t="shared" si="7"/>
        <v>0</v>
      </c>
      <c r="Y88" t="str">
        <f>IFERROR(ROUND(E88*VLOOKUP(D88,商品!$A$4:$B$60,2,FALSE),0),"")</f>
        <v/>
      </c>
      <c r="Z88" t="str">
        <f>IFERROR(ROUND(G88*VLOOKUP(F88,商品!$A$4:$B$60,2,FALSE),0),"")</f>
        <v/>
      </c>
      <c r="AA88" t="str">
        <f>IFERROR(ROUND(I88*VLOOKUP(H88,商品!$A$4:$B$60,2,FALSE),0),"")</f>
        <v/>
      </c>
      <c r="AB88" t="str">
        <f>IFERROR(ROUND(K88*VLOOKUP(J88,[1]note_pop_types!$A$16:$E$16,4,FALSE),0),"")</f>
        <v/>
      </c>
      <c r="AC88" t="str">
        <f>IFERROR(ROUND(M88*VLOOKUP(L88,[1]note_pop_types!$A$16:$E$16,4,FALSE),0),"")</f>
        <v/>
      </c>
      <c r="AD88" t="str">
        <f>IFERROR(ROUND(O88*VLOOKUP(N88,[1]note_pop_types!$A$16:$E$16,4,FALSE),0),"")</f>
        <v/>
      </c>
      <c r="AE88" t="str">
        <f>IFERROR(ROUND(Q88*VLOOKUP(P88,商品!$A$4:$B$60,2,FALSE),0),"")</f>
        <v/>
      </c>
      <c r="AF88" t="str">
        <f>IFERROR(ROUND(S88*VLOOKUP(R88,商品!$A$4:$B$60,2,FALSE),0),"")</f>
        <v/>
      </c>
    </row>
    <row r="89" spans="1:32" ht="19.05" customHeight="1" x14ac:dyDescent="0.25">
      <c r="A89" s="16" t="s">
        <v>192</v>
      </c>
      <c r="C89" s="16">
        <v>1</v>
      </c>
      <c r="T89" s="2">
        <f t="shared" si="4"/>
        <v>0</v>
      </c>
      <c r="U89" s="2">
        <f t="shared" si="5"/>
        <v>0</v>
      </c>
      <c r="V89" s="2">
        <f t="shared" si="6"/>
        <v>0</v>
      </c>
      <c r="W89" s="2">
        <f t="shared" si="7"/>
        <v>0</v>
      </c>
      <c r="Y89" t="str">
        <f>IFERROR(ROUND(E89*VLOOKUP(D89,商品!$A$4:$B$60,2,FALSE),0),"")</f>
        <v/>
      </c>
      <c r="Z89" t="str">
        <f>IFERROR(ROUND(G89*VLOOKUP(F89,商品!$A$4:$B$60,2,FALSE),0),"")</f>
        <v/>
      </c>
      <c r="AA89" t="str">
        <f>IFERROR(ROUND(I89*VLOOKUP(H89,商品!$A$4:$B$60,2,FALSE),0),"")</f>
        <v/>
      </c>
      <c r="AB89" t="str">
        <f>IFERROR(ROUND(K89*VLOOKUP(J89,[1]note_pop_types!$A$16:$E$16,4,FALSE),0),"")</f>
        <v/>
      </c>
      <c r="AC89" t="str">
        <f>IFERROR(ROUND(M89*VLOOKUP(L89,[1]note_pop_types!$A$16:$E$16,4,FALSE),0),"")</f>
        <v/>
      </c>
      <c r="AD89" t="str">
        <f>IFERROR(ROUND(O89*VLOOKUP(N89,[1]note_pop_types!$A$16:$E$16,4,FALSE),0),"")</f>
        <v/>
      </c>
      <c r="AE89" t="str">
        <f>IFERROR(ROUND(Q89*VLOOKUP(P89,商品!$A$4:$B$60,2,FALSE),0),"")</f>
        <v/>
      </c>
      <c r="AF89" t="str">
        <f>IFERROR(ROUND(S89*VLOOKUP(R89,商品!$A$4:$B$60,2,FALSE),0),"")</f>
        <v/>
      </c>
    </row>
    <row r="90" spans="1:32" ht="19.05" customHeight="1" x14ac:dyDescent="0.25">
      <c r="A90" s="16" t="s">
        <v>192</v>
      </c>
      <c r="C90" s="16">
        <v>2</v>
      </c>
      <c r="T90" s="2">
        <f t="shared" si="4"/>
        <v>0</v>
      </c>
      <c r="U90" s="2">
        <f t="shared" si="5"/>
        <v>0</v>
      </c>
      <c r="V90" s="2">
        <f t="shared" si="6"/>
        <v>0</v>
      </c>
      <c r="W90" s="2">
        <f t="shared" si="7"/>
        <v>0</v>
      </c>
      <c r="Y90" t="str">
        <f>IFERROR(ROUND(E90*VLOOKUP(D90,商品!$A$4:$B$60,2,FALSE),0),"")</f>
        <v/>
      </c>
      <c r="Z90" t="str">
        <f>IFERROR(ROUND(G90*VLOOKUP(F90,商品!$A$4:$B$60,2,FALSE),0),"")</f>
        <v/>
      </c>
      <c r="AA90" t="str">
        <f>IFERROR(ROUND(I90*VLOOKUP(H90,商品!$A$4:$B$60,2,FALSE),0),"")</f>
        <v/>
      </c>
      <c r="AB90" t="str">
        <f>IFERROR(ROUND(K90*VLOOKUP(J90,[1]note_pop_types!$A$16:$E$16,4,FALSE),0),"")</f>
        <v/>
      </c>
      <c r="AC90" t="str">
        <f>IFERROR(ROUND(M90*VLOOKUP(L90,[1]note_pop_types!$A$16:$E$16,4,FALSE),0),"")</f>
        <v/>
      </c>
      <c r="AD90" t="str">
        <f>IFERROR(ROUND(O90*VLOOKUP(N90,[1]note_pop_types!$A$16:$E$16,4,FALSE),0),"")</f>
        <v/>
      </c>
      <c r="AE90" t="str">
        <f>IFERROR(ROUND(Q90*VLOOKUP(P90,商品!$A$4:$B$60,2,FALSE),0),"")</f>
        <v/>
      </c>
      <c r="AF90" t="str">
        <f>IFERROR(ROUND(S90*VLOOKUP(R90,商品!$A$4:$B$60,2,FALSE),0),"")</f>
        <v/>
      </c>
    </row>
    <row r="91" spans="1:32" ht="19.05" customHeight="1" x14ac:dyDescent="0.25">
      <c r="A91" s="16" t="s">
        <v>192</v>
      </c>
      <c r="C91" s="16">
        <v>3</v>
      </c>
      <c r="T91" s="2">
        <f t="shared" si="4"/>
        <v>0</v>
      </c>
      <c r="U91" s="2">
        <f t="shared" si="5"/>
        <v>0</v>
      </c>
      <c r="V91" s="2">
        <f t="shared" si="6"/>
        <v>0</v>
      </c>
      <c r="W91" s="2">
        <f t="shared" si="7"/>
        <v>0</v>
      </c>
      <c r="Y91" t="str">
        <f>IFERROR(ROUND(E91*VLOOKUP(D91,商品!$A$4:$B$60,2,FALSE),0),"")</f>
        <v/>
      </c>
      <c r="Z91" t="str">
        <f>IFERROR(ROUND(G91*VLOOKUP(F91,商品!$A$4:$B$60,2,FALSE),0),"")</f>
        <v/>
      </c>
      <c r="AA91" t="str">
        <f>IFERROR(ROUND(I91*VLOOKUP(H91,商品!$A$4:$B$60,2,FALSE),0),"")</f>
        <v/>
      </c>
      <c r="AB91" t="str">
        <f>IFERROR(ROUND(K91*VLOOKUP(J91,[1]note_pop_types!$A$16:$E$16,4,FALSE),0),"")</f>
        <v/>
      </c>
      <c r="AC91" t="str">
        <f>IFERROR(ROUND(M91*VLOOKUP(L91,[1]note_pop_types!$A$16:$E$16,4,FALSE),0),"")</f>
        <v/>
      </c>
      <c r="AD91" t="str">
        <f>IFERROR(ROUND(O91*VLOOKUP(N91,[1]note_pop_types!$A$16:$E$16,4,FALSE),0),"")</f>
        <v/>
      </c>
      <c r="AE91" t="str">
        <f>IFERROR(ROUND(Q91*VLOOKUP(P91,商品!$A$4:$B$60,2,FALSE),0),"")</f>
        <v/>
      </c>
      <c r="AF91" t="str">
        <f>IFERROR(ROUND(S91*VLOOKUP(R91,商品!$A$4:$B$60,2,FALSE),0),"")</f>
        <v/>
      </c>
    </row>
    <row r="92" spans="1:32" ht="19.05" customHeight="1" x14ac:dyDescent="0.25">
      <c r="A92" s="16" t="s">
        <v>192</v>
      </c>
      <c r="C92" s="16">
        <v>4</v>
      </c>
      <c r="T92" s="2">
        <f t="shared" si="4"/>
        <v>0</v>
      </c>
      <c r="U92" s="2">
        <f t="shared" si="5"/>
        <v>0</v>
      </c>
      <c r="V92" s="2">
        <f t="shared" si="6"/>
        <v>0</v>
      </c>
      <c r="W92" s="2">
        <f t="shared" si="7"/>
        <v>0</v>
      </c>
      <c r="Y92" t="str">
        <f>IFERROR(ROUND(E92*VLOOKUP(D92,商品!$A$4:$B$60,2,FALSE),0),"")</f>
        <v/>
      </c>
      <c r="Z92" t="str">
        <f>IFERROR(ROUND(G92*VLOOKUP(F92,商品!$A$4:$B$60,2,FALSE),0),"")</f>
        <v/>
      </c>
      <c r="AA92" t="str">
        <f>IFERROR(ROUND(I92*VLOOKUP(H92,商品!$A$4:$B$60,2,FALSE),0),"")</f>
        <v/>
      </c>
      <c r="AB92" t="str">
        <f>IFERROR(ROUND(K92*VLOOKUP(J92,[1]note_pop_types!$A$16:$E$16,4,FALSE),0),"")</f>
        <v/>
      </c>
      <c r="AC92" t="str">
        <f>IFERROR(ROUND(M92*VLOOKUP(L92,[1]note_pop_types!$A$16:$E$16,4,FALSE),0),"")</f>
        <v/>
      </c>
      <c r="AD92" t="str">
        <f>IFERROR(ROUND(O92*VLOOKUP(N92,[1]note_pop_types!$A$16:$E$16,4,FALSE),0),"")</f>
        <v/>
      </c>
      <c r="AE92" t="str">
        <f>IFERROR(ROUND(Q92*VLOOKUP(P92,商品!$A$4:$B$60,2,FALSE),0),"")</f>
        <v/>
      </c>
      <c r="AF92" t="str">
        <f>IFERROR(ROUND(S92*VLOOKUP(R92,商品!$A$4:$B$60,2,FALSE),0),"")</f>
        <v/>
      </c>
    </row>
    <row r="93" spans="1:32" ht="19.05" customHeight="1" x14ac:dyDescent="0.25">
      <c r="A93" s="16" t="s">
        <v>192</v>
      </c>
      <c r="C93" s="16">
        <v>5</v>
      </c>
      <c r="T93" s="2">
        <f t="shared" si="4"/>
        <v>0</v>
      </c>
      <c r="U93" s="2">
        <f t="shared" si="5"/>
        <v>0</v>
      </c>
      <c r="V93" s="2">
        <f t="shared" si="6"/>
        <v>0</v>
      </c>
      <c r="W93" s="2">
        <f t="shared" si="7"/>
        <v>0</v>
      </c>
      <c r="Y93" t="str">
        <f>IFERROR(ROUND(E93*VLOOKUP(D93,商品!$A$4:$B$60,2,FALSE),0),"")</f>
        <v/>
      </c>
      <c r="Z93" t="str">
        <f>IFERROR(ROUND(G93*VLOOKUP(F93,商品!$A$4:$B$60,2,FALSE),0),"")</f>
        <v/>
      </c>
      <c r="AA93" t="str">
        <f>IFERROR(ROUND(I93*VLOOKUP(H93,商品!$A$4:$B$60,2,FALSE),0),"")</f>
        <v/>
      </c>
      <c r="AB93" t="str">
        <f>IFERROR(ROUND(K93*VLOOKUP(J93,[1]note_pop_types!$A$16:$E$16,4,FALSE),0),"")</f>
        <v/>
      </c>
      <c r="AC93" t="str">
        <f>IFERROR(ROUND(M93*VLOOKUP(L93,[1]note_pop_types!$A$16:$E$16,4,FALSE),0),"")</f>
        <v/>
      </c>
      <c r="AD93" t="str">
        <f>IFERROR(ROUND(O93*VLOOKUP(N93,[1]note_pop_types!$A$16:$E$16,4,FALSE),0),"")</f>
        <v/>
      </c>
      <c r="AE93" t="str">
        <f>IFERROR(ROUND(Q93*VLOOKUP(P93,商品!$A$4:$B$60,2,FALSE),0),"")</f>
        <v/>
      </c>
      <c r="AF93" t="str">
        <f>IFERROR(ROUND(S93*VLOOKUP(R93,商品!$A$4:$B$60,2,FALSE),0),"")</f>
        <v/>
      </c>
    </row>
    <row r="94" spans="1:32" ht="19.05" customHeight="1" x14ac:dyDescent="0.25">
      <c r="A94" s="15" t="s">
        <v>508</v>
      </c>
      <c r="C94" s="15">
        <v>1</v>
      </c>
      <c r="T94" s="2">
        <f t="shared" si="4"/>
        <v>0</v>
      </c>
      <c r="U94" s="2">
        <f t="shared" si="5"/>
        <v>0</v>
      </c>
      <c r="V94" s="2">
        <f t="shared" si="6"/>
        <v>0</v>
      </c>
      <c r="W94" s="2">
        <f t="shared" si="7"/>
        <v>0</v>
      </c>
      <c r="Y94" t="str">
        <f>IFERROR(ROUND(E94*VLOOKUP(D94,商品!$A$4:$B$60,2,FALSE),0),"")</f>
        <v/>
      </c>
      <c r="Z94" t="str">
        <f>IFERROR(ROUND(G94*VLOOKUP(F94,商品!$A$4:$B$60,2,FALSE),0),"")</f>
        <v/>
      </c>
      <c r="AA94" t="str">
        <f>IFERROR(ROUND(I94*VLOOKUP(H94,商品!$A$4:$B$60,2,FALSE),0),"")</f>
        <v/>
      </c>
      <c r="AB94" t="str">
        <f>IFERROR(ROUND(K94*VLOOKUP(J94,[1]note_pop_types!$A$16:$E$16,4,FALSE),0),"")</f>
        <v/>
      </c>
      <c r="AC94" t="str">
        <f>IFERROR(ROUND(M94*VLOOKUP(L94,[1]note_pop_types!$A$16:$E$16,4,FALSE),0),"")</f>
        <v/>
      </c>
      <c r="AD94" t="str">
        <f>IFERROR(ROUND(O94*VLOOKUP(N94,[1]note_pop_types!$A$16:$E$16,4,FALSE),0),"")</f>
        <v/>
      </c>
      <c r="AE94" t="str">
        <f>IFERROR(ROUND(Q94*VLOOKUP(P94,商品!$A$4:$B$60,2,FALSE),0),"")</f>
        <v/>
      </c>
      <c r="AF94" t="str">
        <f>IFERROR(ROUND(S94*VLOOKUP(R94,商品!$A$4:$B$60,2,FALSE),0),"")</f>
        <v/>
      </c>
    </row>
    <row r="95" spans="1:32" ht="19.05" customHeight="1" x14ac:dyDescent="0.25">
      <c r="A95" s="15" t="s">
        <v>508</v>
      </c>
      <c r="C95" s="15">
        <v>2</v>
      </c>
      <c r="T95" s="2">
        <f t="shared" si="4"/>
        <v>0</v>
      </c>
      <c r="U95" s="2">
        <f t="shared" si="5"/>
        <v>0</v>
      </c>
      <c r="V95" s="2">
        <f t="shared" si="6"/>
        <v>0</v>
      </c>
      <c r="W95" s="2">
        <f t="shared" si="7"/>
        <v>0</v>
      </c>
      <c r="Y95" t="str">
        <f>IFERROR(ROUND(E95*VLOOKUP(D95,商品!$A$4:$B$60,2,FALSE),0),"")</f>
        <v/>
      </c>
      <c r="Z95" t="str">
        <f>IFERROR(ROUND(G95*VLOOKUP(F95,商品!$A$4:$B$60,2,FALSE),0),"")</f>
        <v/>
      </c>
      <c r="AA95" t="str">
        <f>IFERROR(ROUND(I95*VLOOKUP(H95,商品!$A$4:$B$60,2,FALSE),0),"")</f>
        <v/>
      </c>
      <c r="AB95" t="str">
        <f>IFERROR(ROUND(K95*VLOOKUP(J95,[1]note_pop_types!$A$16:$E$16,4,FALSE),0),"")</f>
        <v/>
      </c>
      <c r="AC95" t="str">
        <f>IFERROR(ROUND(M95*VLOOKUP(L95,[1]note_pop_types!$A$16:$E$16,4,FALSE),0),"")</f>
        <v/>
      </c>
      <c r="AD95" t="str">
        <f>IFERROR(ROUND(O95*VLOOKUP(N95,[1]note_pop_types!$A$16:$E$16,4,FALSE),0),"")</f>
        <v/>
      </c>
      <c r="AE95" t="str">
        <f>IFERROR(ROUND(Q95*VLOOKUP(P95,商品!$A$4:$B$60,2,FALSE),0),"")</f>
        <v/>
      </c>
      <c r="AF95" t="str">
        <f>IFERROR(ROUND(S95*VLOOKUP(R95,商品!$A$4:$B$60,2,FALSE),0),"")</f>
        <v/>
      </c>
    </row>
    <row r="96" spans="1:32" ht="19.05" customHeight="1" x14ac:dyDescent="0.25">
      <c r="A96" s="15" t="s">
        <v>508</v>
      </c>
      <c r="C96" s="15">
        <v>3</v>
      </c>
      <c r="T96" s="2">
        <f t="shared" si="4"/>
        <v>0</v>
      </c>
      <c r="U96" s="2">
        <f t="shared" si="5"/>
        <v>0</v>
      </c>
      <c r="V96" s="2">
        <f t="shared" si="6"/>
        <v>0</v>
      </c>
      <c r="W96" s="2">
        <f t="shared" si="7"/>
        <v>0</v>
      </c>
      <c r="Y96" t="str">
        <f>IFERROR(ROUND(E96*VLOOKUP(D96,商品!$A$4:$B$60,2,FALSE),0),"")</f>
        <v/>
      </c>
      <c r="Z96" t="str">
        <f>IFERROR(ROUND(G96*VLOOKUP(F96,商品!$A$4:$B$60,2,FALSE),0),"")</f>
        <v/>
      </c>
      <c r="AA96" t="str">
        <f>IFERROR(ROUND(I96*VLOOKUP(H96,商品!$A$4:$B$60,2,FALSE),0),"")</f>
        <v/>
      </c>
      <c r="AB96" t="str">
        <f>IFERROR(ROUND(K96*VLOOKUP(J96,[1]note_pop_types!$A$16:$E$16,4,FALSE),0),"")</f>
        <v/>
      </c>
      <c r="AC96" t="str">
        <f>IFERROR(ROUND(M96*VLOOKUP(L96,[1]note_pop_types!$A$16:$E$16,4,FALSE),0),"")</f>
        <v/>
      </c>
      <c r="AD96" t="str">
        <f>IFERROR(ROUND(O96*VLOOKUP(N96,[1]note_pop_types!$A$16:$E$16,4,FALSE),0),"")</f>
        <v/>
      </c>
      <c r="AE96" t="str">
        <f>IFERROR(ROUND(Q96*VLOOKUP(P96,商品!$A$4:$B$60,2,FALSE),0),"")</f>
        <v/>
      </c>
      <c r="AF96" t="str">
        <f>IFERROR(ROUND(S96*VLOOKUP(R96,商品!$A$4:$B$60,2,FALSE),0),"")</f>
        <v/>
      </c>
    </row>
    <row r="97" spans="1:32" ht="19.05" customHeight="1" x14ac:dyDescent="0.25">
      <c r="A97" s="15" t="s">
        <v>508</v>
      </c>
      <c r="C97" s="15">
        <v>4</v>
      </c>
      <c r="T97" s="2">
        <f t="shared" si="4"/>
        <v>0</v>
      </c>
      <c r="U97" s="2">
        <f t="shared" si="5"/>
        <v>0</v>
      </c>
      <c r="V97" s="2">
        <f t="shared" si="6"/>
        <v>0</v>
      </c>
      <c r="W97" s="2">
        <f t="shared" si="7"/>
        <v>0</v>
      </c>
      <c r="Y97" t="str">
        <f>IFERROR(ROUND(E97*VLOOKUP(D97,商品!$A$4:$B$60,2,FALSE),0),"")</f>
        <v/>
      </c>
      <c r="Z97" t="str">
        <f>IFERROR(ROUND(G97*VLOOKUP(F97,商品!$A$4:$B$60,2,FALSE),0),"")</f>
        <v/>
      </c>
      <c r="AA97" t="str">
        <f>IFERROR(ROUND(I97*VLOOKUP(H97,商品!$A$4:$B$60,2,FALSE),0),"")</f>
        <v/>
      </c>
      <c r="AB97" t="str">
        <f>IFERROR(ROUND(K97*VLOOKUP(J97,[1]note_pop_types!$A$16:$E$16,4,FALSE),0),"")</f>
        <v/>
      </c>
      <c r="AC97" t="str">
        <f>IFERROR(ROUND(M97*VLOOKUP(L97,[1]note_pop_types!$A$16:$E$16,4,FALSE),0),"")</f>
        <v/>
      </c>
      <c r="AD97" t="str">
        <f>IFERROR(ROUND(O97*VLOOKUP(N97,[1]note_pop_types!$A$16:$E$16,4,FALSE),0),"")</f>
        <v/>
      </c>
      <c r="AE97" t="str">
        <f>IFERROR(ROUND(Q97*VLOOKUP(P97,商品!$A$4:$B$60,2,FALSE),0),"")</f>
        <v/>
      </c>
      <c r="AF97" t="str">
        <f>IFERROR(ROUND(S97*VLOOKUP(R97,商品!$A$4:$B$60,2,FALSE),0),"")</f>
        <v/>
      </c>
    </row>
    <row r="98" spans="1:32" ht="19.05" customHeight="1" x14ac:dyDescent="0.25">
      <c r="A98" s="15" t="s">
        <v>508</v>
      </c>
      <c r="C98" s="15">
        <v>5</v>
      </c>
      <c r="T98" s="2">
        <f t="shared" si="4"/>
        <v>0</v>
      </c>
      <c r="U98" s="2">
        <f t="shared" si="5"/>
        <v>0</v>
      </c>
      <c r="V98" s="2">
        <f t="shared" si="6"/>
        <v>0</v>
      </c>
      <c r="W98" s="2">
        <f t="shared" si="7"/>
        <v>0</v>
      </c>
      <c r="Y98" t="str">
        <f>IFERROR(ROUND(E98*VLOOKUP(D98,商品!$A$4:$B$60,2,FALSE),0),"")</f>
        <v/>
      </c>
      <c r="Z98" t="str">
        <f>IFERROR(ROUND(G98*VLOOKUP(F98,商品!$A$4:$B$60,2,FALSE),0),"")</f>
        <v/>
      </c>
      <c r="AA98" t="str">
        <f>IFERROR(ROUND(I98*VLOOKUP(H98,商品!$A$4:$B$60,2,FALSE),0),"")</f>
        <v/>
      </c>
      <c r="AB98" t="str">
        <f>IFERROR(ROUND(K98*VLOOKUP(J98,[1]note_pop_types!$A$16:$E$16,4,FALSE),0),"")</f>
        <v/>
      </c>
      <c r="AC98" t="str">
        <f>IFERROR(ROUND(M98*VLOOKUP(L98,[1]note_pop_types!$A$16:$E$16,4,FALSE),0),"")</f>
        <v/>
      </c>
      <c r="AD98" t="str">
        <f>IFERROR(ROUND(O98*VLOOKUP(N98,[1]note_pop_types!$A$16:$E$16,4,FALSE),0),"")</f>
        <v/>
      </c>
      <c r="AE98" t="str">
        <f>IFERROR(ROUND(Q98*VLOOKUP(P98,商品!$A$4:$B$60,2,FALSE),0),"")</f>
        <v/>
      </c>
      <c r="AF98" t="str">
        <f>IFERROR(ROUND(S98*VLOOKUP(R98,商品!$A$4:$B$60,2,FALSE),0),"")</f>
        <v/>
      </c>
    </row>
    <row r="99" spans="1:32" ht="19.05" customHeight="1" x14ac:dyDescent="0.25">
      <c r="A99" s="16" t="s">
        <v>508</v>
      </c>
      <c r="C99" s="16">
        <v>1</v>
      </c>
      <c r="T99" s="2">
        <f t="shared" si="4"/>
        <v>0</v>
      </c>
      <c r="U99" s="2">
        <f t="shared" si="5"/>
        <v>0</v>
      </c>
      <c r="V99" s="2">
        <f t="shared" si="6"/>
        <v>0</v>
      </c>
      <c r="W99" s="2">
        <f t="shared" si="7"/>
        <v>0</v>
      </c>
      <c r="Y99" t="str">
        <f>IFERROR(ROUND(E99*VLOOKUP(D99,商品!$A$4:$B$60,2,FALSE),0),"")</f>
        <v/>
      </c>
      <c r="Z99" t="str">
        <f>IFERROR(ROUND(G99*VLOOKUP(F99,商品!$A$4:$B$60,2,FALSE),0),"")</f>
        <v/>
      </c>
      <c r="AA99" t="str">
        <f>IFERROR(ROUND(I99*VLOOKUP(H99,商品!$A$4:$B$60,2,FALSE),0),"")</f>
        <v/>
      </c>
      <c r="AB99" t="str">
        <f>IFERROR(ROUND(K99*VLOOKUP(J99,[1]note_pop_types!$A$16:$E$16,4,FALSE),0),"")</f>
        <v/>
      </c>
      <c r="AC99" t="str">
        <f>IFERROR(ROUND(M99*VLOOKUP(L99,[1]note_pop_types!$A$16:$E$16,4,FALSE),0),"")</f>
        <v/>
      </c>
      <c r="AD99" t="str">
        <f>IFERROR(ROUND(O99*VLOOKUP(N99,[1]note_pop_types!$A$16:$E$16,4,FALSE),0),"")</f>
        <v/>
      </c>
      <c r="AE99" t="str">
        <f>IFERROR(ROUND(Q99*VLOOKUP(P99,商品!$A$4:$B$60,2,FALSE),0),"")</f>
        <v/>
      </c>
      <c r="AF99" t="str">
        <f>IFERROR(ROUND(S99*VLOOKUP(R99,商品!$A$4:$B$60,2,FALSE),0),"")</f>
        <v/>
      </c>
    </row>
    <row r="100" spans="1:32" ht="19.05" customHeight="1" x14ac:dyDescent="0.25">
      <c r="A100" s="16" t="s">
        <v>508</v>
      </c>
      <c r="C100" s="16">
        <v>2</v>
      </c>
      <c r="T100" s="2">
        <f t="shared" si="4"/>
        <v>0</v>
      </c>
      <c r="U100" s="2">
        <f t="shared" si="5"/>
        <v>0</v>
      </c>
      <c r="V100" s="2">
        <f t="shared" si="6"/>
        <v>0</v>
      </c>
      <c r="W100" s="2">
        <f t="shared" si="7"/>
        <v>0</v>
      </c>
      <c r="Y100" t="str">
        <f>IFERROR(ROUND(E100*VLOOKUP(D100,商品!$A$4:$B$60,2,FALSE),0),"")</f>
        <v/>
      </c>
      <c r="Z100" t="str">
        <f>IFERROR(ROUND(G100*VLOOKUP(F100,商品!$A$4:$B$60,2,FALSE),0),"")</f>
        <v/>
      </c>
      <c r="AA100" t="str">
        <f>IFERROR(ROUND(I100*VLOOKUP(H100,商品!$A$4:$B$60,2,FALSE),0),"")</f>
        <v/>
      </c>
      <c r="AB100" t="str">
        <f>IFERROR(ROUND(K100*VLOOKUP(J100,[1]note_pop_types!$A$16:$E$16,4,FALSE),0),"")</f>
        <v/>
      </c>
      <c r="AC100" t="str">
        <f>IFERROR(ROUND(M100*VLOOKUP(L100,[1]note_pop_types!$A$16:$E$16,4,FALSE),0),"")</f>
        <v/>
      </c>
      <c r="AD100" t="str">
        <f>IFERROR(ROUND(O100*VLOOKUP(N100,[1]note_pop_types!$A$16:$E$16,4,FALSE),0),"")</f>
        <v/>
      </c>
      <c r="AE100" t="str">
        <f>IFERROR(ROUND(Q100*VLOOKUP(P100,商品!$A$4:$B$60,2,FALSE),0),"")</f>
        <v/>
      </c>
      <c r="AF100" t="str">
        <f>IFERROR(ROUND(S100*VLOOKUP(R100,商品!$A$4:$B$60,2,FALSE),0),"")</f>
        <v/>
      </c>
    </row>
    <row r="101" spans="1:32" ht="19.05" customHeight="1" x14ac:dyDescent="0.25">
      <c r="A101" s="16" t="s">
        <v>508</v>
      </c>
      <c r="C101" s="16">
        <v>3</v>
      </c>
      <c r="T101" s="2">
        <f t="shared" si="4"/>
        <v>0</v>
      </c>
      <c r="U101" s="2">
        <f t="shared" si="5"/>
        <v>0</v>
      </c>
      <c r="V101" s="2">
        <f t="shared" si="6"/>
        <v>0</v>
      </c>
      <c r="W101" s="2">
        <f t="shared" si="7"/>
        <v>0</v>
      </c>
      <c r="Y101" t="str">
        <f>IFERROR(ROUND(E101*VLOOKUP(D101,商品!$A$4:$B$60,2,FALSE),0),"")</f>
        <v/>
      </c>
      <c r="Z101" t="str">
        <f>IFERROR(ROUND(G101*VLOOKUP(F101,商品!$A$4:$B$60,2,FALSE),0),"")</f>
        <v/>
      </c>
      <c r="AA101" t="str">
        <f>IFERROR(ROUND(I101*VLOOKUP(H101,商品!$A$4:$B$60,2,FALSE),0),"")</f>
        <v/>
      </c>
      <c r="AB101" t="str">
        <f>IFERROR(ROUND(K101*VLOOKUP(J101,[1]note_pop_types!$A$16:$E$16,4,FALSE),0),"")</f>
        <v/>
      </c>
      <c r="AC101" t="str">
        <f>IFERROR(ROUND(M101*VLOOKUP(L101,[1]note_pop_types!$A$16:$E$16,4,FALSE),0),"")</f>
        <v/>
      </c>
      <c r="AD101" t="str">
        <f>IFERROR(ROUND(O101*VLOOKUP(N101,[1]note_pop_types!$A$16:$E$16,4,FALSE),0),"")</f>
        <v/>
      </c>
      <c r="AE101" t="str">
        <f>IFERROR(ROUND(Q101*VLOOKUP(P101,商品!$A$4:$B$60,2,FALSE),0),"")</f>
        <v/>
      </c>
      <c r="AF101" t="str">
        <f>IFERROR(ROUND(S101*VLOOKUP(R101,商品!$A$4:$B$60,2,FALSE),0),"")</f>
        <v/>
      </c>
    </row>
    <row r="102" spans="1:32" ht="19.05" customHeight="1" x14ac:dyDescent="0.25">
      <c r="A102" s="16" t="s">
        <v>508</v>
      </c>
      <c r="C102" s="16">
        <v>4</v>
      </c>
      <c r="T102" s="2">
        <f t="shared" si="4"/>
        <v>0</v>
      </c>
      <c r="U102" s="2">
        <f t="shared" si="5"/>
        <v>0</v>
      </c>
      <c r="V102" s="2">
        <f t="shared" si="6"/>
        <v>0</v>
      </c>
      <c r="W102" s="2">
        <f t="shared" si="7"/>
        <v>0</v>
      </c>
      <c r="Y102" t="str">
        <f>IFERROR(ROUND(E102*VLOOKUP(D102,商品!$A$4:$B$60,2,FALSE),0),"")</f>
        <v/>
      </c>
      <c r="Z102" t="str">
        <f>IFERROR(ROUND(G102*VLOOKUP(F102,商品!$A$4:$B$60,2,FALSE),0),"")</f>
        <v/>
      </c>
      <c r="AA102" t="str">
        <f>IFERROR(ROUND(I102*VLOOKUP(H102,商品!$A$4:$B$60,2,FALSE),0),"")</f>
        <v/>
      </c>
      <c r="AB102" t="str">
        <f>IFERROR(ROUND(K102*VLOOKUP(J102,[1]note_pop_types!$A$16:$E$16,4,FALSE),0),"")</f>
        <v/>
      </c>
      <c r="AC102" t="str">
        <f>IFERROR(ROUND(M102*VLOOKUP(L102,[1]note_pop_types!$A$16:$E$16,4,FALSE),0),"")</f>
        <v/>
      </c>
      <c r="AD102" t="str">
        <f>IFERROR(ROUND(O102*VLOOKUP(N102,[1]note_pop_types!$A$16:$E$16,4,FALSE),0),"")</f>
        <v/>
      </c>
      <c r="AE102" t="str">
        <f>IFERROR(ROUND(Q102*VLOOKUP(P102,商品!$A$4:$B$60,2,FALSE),0),"")</f>
        <v/>
      </c>
      <c r="AF102" t="str">
        <f>IFERROR(ROUND(S102*VLOOKUP(R102,商品!$A$4:$B$60,2,FALSE),0),"")</f>
        <v/>
      </c>
    </row>
    <row r="103" spans="1:32" ht="19.05" customHeight="1" x14ac:dyDescent="0.25">
      <c r="A103" s="16" t="s">
        <v>508</v>
      </c>
      <c r="C103" s="16">
        <v>5</v>
      </c>
      <c r="T103" s="2">
        <f t="shared" si="4"/>
        <v>0</v>
      </c>
      <c r="U103" s="2">
        <f t="shared" si="5"/>
        <v>0</v>
      </c>
      <c r="V103" s="2">
        <f t="shared" si="6"/>
        <v>0</v>
      </c>
      <c r="W103" s="2">
        <f t="shared" si="7"/>
        <v>0</v>
      </c>
      <c r="Y103" t="str">
        <f>IFERROR(ROUND(E103*VLOOKUP(D103,商品!$A$4:$B$60,2,FALSE),0),"")</f>
        <v/>
      </c>
      <c r="Z103" t="str">
        <f>IFERROR(ROUND(G103*VLOOKUP(F103,商品!$A$4:$B$60,2,FALSE),0),"")</f>
        <v/>
      </c>
      <c r="AA103" t="str">
        <f>IFERROR(ROUND(I103*VLOOKUP(H103,商品!$A$4:$B$60,2,FALSE),0),"")</f>
        <v/>
      </c>
      <c r="AB103" t="str">
        <f>IFERROR(ROUND(K103*VLOOKUP(J103,[1]note_pop_types!$A$16:$E$16,4,FALSE),0),"")</f>
        <v/>
      </c>
      <c r="AC103" t="str">
        <f>IFERROR(ROUND(M103*VLOOKUP(L103,[1]note_pop_types!$A$16:$E$16,4,FALSE),0),"")</f>
        <v/>
      </c>
      <c r="AD103" t="str">
        <f>IFERROR(ROUND(O103*VLOOKUP(N103,[1]note_pop_types!$A$16:$E$16,4,FALSE),0),"")</f>
        <v/>
      </c>
      <c r="AE103" t="str">
        <f>IFERROR(ROUND(Q103*VLOOKUP(P103,商品!$A$4:$B$60,2,FALSE),0),"")</f>
        <v/>
      </c>
      <c r="AF103" t="str">
        <f>IFERROR(ROUND(S103*VLOOKUP(R103,商品!$A$4:$B$60,2,FALSE),0),"")</f>
        <v/>
      </c>
    </row>
    <row r="104" spans="1:32" ht="19.05" customHeight="1" x14ac:dyDescent="0.25">
      <c r="A104" s="15" t="s">
        <v>196</v>
      </c>
      <c r="C104" s="15">
        <v>1</v>
      </c>
      <c r="T104" s="2">
        <f t="shared" si="4"/>
        <v>0</v>
      </c>
      <c r="U104" s="2">
        <f t="shared" si="5"/>
        <v>0</v>
      </c>
      <c r="V104" s="2">
        <f t="shared" si="6"/>
        <v>0</v>
      </c>
      <c r="W104" s="2">
        <f t="shared" si="7"/>
        <v>0</v>
      </c>
      <c r="Y104" t="str">
        <f>IFERROR(ROUND(E104*VLOOKUP(D104,商品!$A$4:$B$60,2,FALSE),0),"")</f>
        <v/>
      </c>
      <c r="Z104" t="str">
        <f>IFERROR(ROUND(G104*VLOOKUP(F104,商品!$A$4:$B$60,2,FALSE),0),"")</f>
        <v/>
      </c>
      <c r="AA104" t="str">
        <f>IFERROR(ROUND(I104*VLOOKUP(H104,商品!$A$4:$B$60,2,FALSE),0),"")</f>
        <v/>
      </c>
      <c r="AB104" t="str">
        <f>IFERROR(ROUND(K104*VLOOKUP(J104,[1]note_pop_types!$A$16:$E$16,4,FALSE),0),"")</f>
        <v/>
      </c>
      <c r="AC104" t="str">
        <f>IFERROR(ROUND(M104*VLOOKUP(L104,[1]note_pop_types!$A$16:$E$16,4,FALSE),0),"")</f>
        <v/>
      </c>
      <c r="AD104" t="str">
        <f>IFERROR(ROUND(O104*VLOOKUP(N104,[1]note_pop_types!$A$16:$E$16,4,FALSE),0),"")</f>
        <v/>
      </c>
      <c r="AE104" t="str">
        <f>IFERROR(ROUND(Q104*VLOOKUP(P104,商品!$A$4:$B$60,2,FALSE),0),"")</f>
        <v/>
      </c>
      <c r="AF104" t="str">
        <f>IFERROR(ROUND(S104*VLOOKUP(R104,商品!$A$4:$B$60,2,FALSE),0),"")</f>
        <v/>
      </c>
    </row>
    <row r="105" spans="1:32" ht="19.05" customHeight="1" x14ac:dyDescent="0.25">
      <c r="A105" s="15" t="s">
        <v>196</v>
      </c>
      <c r="C105" s="15">
        <v>2</v>
      </c>
      <c r="T105" s="2">
        <f t="shared" si="4"/>
        <v>0</v>
      </c>
      <c r="U105" s="2">
        <f t="shared" si="5"/>
        <v>0</v>
      </c>
      <c r="V105" s="2">
        <f t="shared" si="6"/>
        <v>0</v>
      </c>
      <c r="W105" s="2">
        <f t="shared" si="7"/>
        <v>0</v>
      </c>
      <c r="Y105" t="str">
        <f>IFERROR(ROUND(E105*VLOOKUP(D105,商品!$A$4:$B$60,2,FALSE),0),"")</f>
        <v/>
      </c>
      <c r="Z105" t="str">
        <f>IFERROR(ROUND(G105*VLOOKUP(F105,商品!$A$4:$B$60,2,FALSE),0),"")</f>
        <v/>
      </c>
      <c r="AA105" t="str">
        <f>IFERROR(ROUND(I105*VLOOKUP(H105,商品!$A$4:$B$60,2,FALSE),0),"")</f>
        <v/>
      </c>
      <c r="AB105" t="str">
        <f>IFERROR(ROUND(K105*VLOOKUP(J105,[1]note_pop_types!$A$16:$E$16,4,FALSE),0),"")</f>
        <v/>
      </c>
      <c r="AC105" t="str">
        <f>IFERROR(ROUND(M105*VLOOKUP(L105,[1]note_pop_types!$A$16:$E$16,4,FALSE),0),"")</f>
        <v/>
      </c>
      <c r="AD105" t="str">
        <f>IFERROR(ROUND(O105*VLOOKUP(N105,[1]note_pop_types!$A$16:$E$16,4,FALSE),0),"")</f>
        <v/>
      </c>
      <c r="AE105" t="str">
        <f>IFERROR(ROUND(Q105*VLOOKUP(P105,商品!$A$4:$B$60,2,FALSE),0),"")</f>
        <v/>
      </c>
      <c r="AF105" t="str">
        <f>IFERROR(ROUND(S105*VLOOKUP(R105,商品!$A$4:$B$60,2,FALSE),0),"")</f>
        <v/>
      </c>
    </row>
    <row r="106" spans="1:32" ht="19.05" customHeight="1" x14ac:dyDescent="0.25">
      <c r="A106" s="15" t="s">
        <v>196</v>
      </c>
      <c r="C106" s="15">
        <v>3</v>
      </c>
      <c r="T106" s="2">
        <f t="shared" si="4"/>
        <v>0</v>
      </c>
      <c r="U106" s="2">
        <f t="shared" si="5"/>
        <v>0</v>
      </c>
      <c r="V106" s="2">
        <f t="shared" si="6"/>
        <v>0</v>
      </c>
      <c r="W106" s="2">
        <f t="shared" si="7"/>
        <v>0</v>
      </c>
      <c r="Y106" t="str">
        <f>IFERROR(ROUND(E106*VLOOKUP(D106,商品!$A$4:$B$60,2,FALSE),0),"")</f>
        <v/>
      </c>
      <c r="Z106" t="str">
        <f>IFERROR(ROUND(G106*VLOOKUP(F106,商品!$A$4:$B$60,2,FALSE),0),"")</f>
        <v/>
      </c>
      <c r="AA106" t="str">
        <f>IFERROR(ROUND(I106*VLOOKUP(H106,商品!$A$4:$B$60,2,FALSE),0),"")</f>
        <v/>
      </c>
      <c r="AB106" t="str">
        <f>IFERROR(ROUND(K106*VLOOKUP(J106,[1]note_pop_types!$A$16:$E$16,4,FALSE),0),"")</f>
        <v/>
      </c>
      <c r="AC106" t="str">
        <f>IFERROR(ROUND(M106*VLOOKUP(L106,[1]note_pop_types!$A$16:$E$16,4,FALSE),0),"")</f>
        <v/>
      </c>
      <c r="AD106" t="str">
        <f>IFERROR(ROUND(O106*VLOOKUP(N106,[1]note_pop_types!$A$16:$E$16,4,FALSE),0),"")</f>
        <v/>
      </c>
      <c r="AE106" t="str">
        <f>IFERROR(ROUND(Q106*VLOOKUP(P106,商品!$A$4:$B$60,2,FALSE),0),"")</f>
        <v/>
      </c>
      <c r="AF106" t="str">
        <f>IFERROR(ROUND(S106*VLOOKUP(R106,商品!$A$4:$B$60,2,FALSE),0),"")</f>
        <v/>
      </c>
    </row>
    <row r="107" spans="1:32" ht="19.05" customHeight="1" x14ac:dyDescent="0.25">
      <c r="A107" s="15" t="s">
        <v>196</v>
      </c>
      <c r="C107" s="15">
        <v>4</v>
      </c>
      <c r="T107" s="2">
        <f t="shared" si="4"/>
        <v>0</v>
      </c>
      <c r="U107" s="2">
        <f t="shared" si="5"/>
        <v>0</v>
      </c>
      <c r="V107" s="2">
        <f t="shared" si="6"/>
        <v>0</v>
      </c>
      <c r="W107" s="2">
        <f t="shared" si="7"/>
        <v>0</v>
      </c>
      <c r="Y107" t="str">
        <f>IFERROR(ROUND(E107*VLOOKUP(D107,商品!$A$4:$B$60,2,FALSE),0),"")</f>
        <v/>
      </c>
      <c r="Z107" t="str">
        <f>IFERROR(ROUND(G107*VLOOKUP(F107,商品!$A$4:$B$60,2,FALSE),0),"")</f>
        <v/>
      </c>
      <c r="AA107" t="str">
        <f>IFERROR(ROUND(I107*VLOOKUP(H107,商品!$A$4:$B$60,2,FALSE),0),"")</f>
        <v/>
      </c>
      <c r="AB107" t="str">
        <f>IFERROR(ROUND(K107*VLOOKUP(J107,[1]note_pop_types!$A$16:$E$16,4,FALSE),0),"")</f>
        <v/>
      </c>
      <c r="AC107" t="str">
        <f>IFERROR(ROUND(M107*VLOOKUP(L107,[1]note_pop_types!$A$16:$E$16,4,FALSE),0),"")</f>
        <v/>
      </c>
      <c r="AD107" t="str">
        <f>IFERROR(ROUND(O107*VLOOKUP(N107,[1]note_pop_types!$A$16:$E$16,4,FALSE),0),"")</f>
        <v/>
      </c>
      <c r="AE107" t="str">
        <f>IFERROR(ROUND(Q107*VLOOKUP(P107,商品!$A$4:$B$60,2,FALSE),0),"")</f>
        <v/>
      </c>
      <c r="AF107" t="str">
        <f>IFERROR(ROUND(S107*VLOOKUP(R107,商品!$A$4:$B$60,2,FALSE),0),"")</f>
        <v/>
      </c>
    </row>
    <row r="108" spans="1:32" ht="19.05" customHeight="1" x14ac:dyDescent="0.25">
      <c r="A108" s="15" t="s">
        <v>196</v>
      </c>
      <c r="C108" s="15">
        <v>5</v>
      </c>
      <c r="T108" s="2">
        <f t="shared" si="4"/>
        <v>0</v>
      </c>
      <c r="U108" s="2">
        <f t="shared" si="5"/>
        <v>0</v>
      </c>
      <c r="V108" s="2">
        <f t="shared" si="6"/>
        <v>0</v>
      </c>
      <c r="W108" s="2">
        <f t="shared" si="7"/>
        <v>0</v>
      </c>
      <c r="Y108" t="str">
        <f>IFERROR(ROUND(E108*VLOOKUP(D108,商品!$A$4:$B$60,2,FALSE),0),"")</f>
        <v/>
      </c>
      <c r="Z108" t="str">
        <f>IFERROR(ROUND(G108*VLOOKUP(F108,商品!$A$4:$B$60,2,FALSE),0),"")</f>
        <v/>
      </c>
      <c r="AA108" t="str">
        <f>IFERROR(ROUND(I108*VLOOKUP(H108,商品!$A$4:$B$60,2,FALSE),0),"")</f>
        <v/>
      </c>
      <c r="AB108" t="str">
        <f>IFERROR(ROUND(K108*VLOOKUP(J108,[1]note_pop_types!$A$16:$E$16,4,FALSE),0),"")</f>
        <v/>
      </c>
      <c r="AC108" t="str">
        <f>IFERROR(ROUND(M108*VLOOKUP(L108,[1]note_pop_types!$A$16:$E$16,4,FALSE),0),"")</f>
        <v/>
      </c>
      <c r="AD108" t="str">
        <f>IFERROR(ROUND(O108*VLOOKUP(N108,[1]note_pop_types!$A$16:$E$16,4,FALSE),0),"")</f>
        <v/>
      </c>
      <c r="AE108" t="str">
        <f>IFERROR(ROUND(Q108*VLOOKUP(P108,商品!$A$4:$B$60,2,FALSE),0),"")</f>
        <v/>
      </c>
      <c r="AF108" t="str">
        <f>IFERROR(ROUND(S108*VLOOKUP(R108,商品!$A$4:$B$60,2,FALSE),0),"")</f>
        <v/>
      </c>
    </row>
    <row r="109" spans="1:32" ht="19.05" customHeight="1" x14ac:dyDescent="0.25">
      <c r="A109" s="15" t="s">
        <v>196</v>
      </c>
      <c r="C109" s="15">
        <v>6</v>
      </c>
      <c r="T109" s="2">
        <f t="shared" si="4"/>
        <v>0</v>
      </c>
      <c r="U109" s="2">
        <f t="shared" si="5"/>
        <v>0</v>
      </c>
      <c r="V109" s="2">
        <f t="shared" si="6"/>
        <v>0</v>
      </c>
      <c r="W109" s="2">
        <f t="shared" si="7"/>
        <v>0</v>
      </c>
      <c r="Y109" t="str">
        <f>IFERROR(ROUND(E109*VLOOKUP(D109,商品!$A$4:$B$60,2,FALSE),0),"")</f>
        <v/>
      </c>
      <c r="Z109" t="str">
        <f>IFERROR(ROUND(G109*VLOOKUP(F109,商品!$A$4:$B$60,2,FALSE),0),"")</f>
        <v/>
      </c>
      <c r="AA109" t="str">
        <f>IFERROR(ROUND(I109*VLOOKUP(H109,商品!$A$4:$B$60,2,FALSE),0),"")</f>
        <v/>
      </c>
      <c r="AB109" t="str">
        <f>IFERROR(ROUND(K109*VLOOKUP(J109,[1]note_pop_types!$A$16:$E$16,4,FALSE),0),"")</f>
        <v/>
      </c>
      <c r="AC109" t="str">
        <f>IFERROR(ROUND(M109*VLOOKUP(L109,[1]note_pop_types!$A$16:$E$16,4,FALSE),0),"")</f>
        <v/>
      </c>
      <c r="AD109" t="str">
        <f>IFERROR(ROUND(O109*VLOOKUP(N109,[1]note_pop_types!$A$16:$E$16,4,FALSE),0),"")</f>
        <v/>
      </c>
      <c r="AE109" t="str">
        <f>IFERROR(ROUND(Q109*VLOOKUP(P109,商品!$A$4:$B$60,2,FALSE),0),"")</f>
        <v/>
      </c>
      <c r="AF109" t="str">
        <f>IFERROR(ROUND(S109*VLOOKUP(R109,商品!$A$4:$B$60,2,FALSE),0),"")</f>
        <v/>
      </c>
    </row>
    <row r="110" spans="1:32" ht="19.05" customHeight="1" x14ac:dyDescent="0.25">
      <c r="A110" s="15" t="s">
        <v>196</v>
      </c>
      <c r="C110" s="15">
        <v>7</v>
      </c>
      <c r="T110" s="2">
        <f t="shared" si="4"/>
        <v>0</v>
      </c>
      <c r="U110" s="2">
        <f t="shared" si="5"/>
        <v>0</v>
      </c>
      <c r="V110" s="2">
        <f t="shared" si="6"/>
        <v>0</v>
      </c>
      <c r="W110" s="2">
        <f t="shared" si="7"/>
        <v>0</v>
      </c>
      <c r="Y110" t="str">
        <f>IFERROR(ROUND(E110*VLOOKUP(D110,商品!$A$4:$B$60,2,FALSE),0),"")</f>
        <v/>
      </c>
      <c r="Z110" t="str">
        <f>IFERROR(ROUND(G110*VLOOKUP(F110,商品!$A$4:$B$60,2,FALSE),0),"")</f>
        <v/>
      </c>
      <c r="AA110" t="str">
        <f>IFERROR(ROUND(I110*VLOOKUP(H110,商品!$A$4:$B$60,2,FALSE),0),"")</f>
        <v/>
      </c>
      <c r="AB110" t="str">
        <f>IFERROR(ROUND(K110*VLOOKUP(J110,[1]note_pop_types!$A$16:$E$16,4,FALSE),0),"")</f>
        <v/>
      </c>
      <c r="AC110" t="str">
        <f>IFERROR(ROUND(M110*VLOOKUP(L110,[1]note_pop_types!$A$16:$E$16,4,FALSE),0),"")</f>
        <v/>
      </c>
      <c r="AD110" t="str">
        <f>IFERROR(ROUND(O110*VLOOKUP(N110,[1]note_pop_types!$A$16:$E$16,4,FALSE),0),"")</f>
        <v/>
      </c>
      <c r="AE110" t="str">
        <f>IFERROR(ROUND(Q110*VLOOKUP(P110,商品!$A$4:$B$60,2,FALSE),0),"")</f>
        <v/>
      </c>
      <c r="AF110" t="str">
        <f>IFERROR(ROUND(S110*VLOOKUP(R110,商品!$A$4:$B$60,2,FALSE),0),"")</f>
        <v/>
      </c>
    </row>
    <row r="111" spans="1:32" ht="19.05" customHeight="1" x14ac:dyDescent="0.25">
      <c r="A111" s="15" t="s">
        <v>196</v>
      </c>
      <c r="C111" s="15">
        <v>8</v>
      </c>
      <c r="T111" s="2">
        <f t="shared" si="4"/>
        <v>0</v>
      </c>
      <c r="U111" s="2">
        <f t="shared" si="5"/>
        <v>0</v>
      </c>
      <c r="V111" s="2">
        <f t="shared" si="6"/>
        <v>0</v>
      </c>
      <c r="W111" s="2">
        <f t="shared" si="7"/>
        <v>0</v>
      </c>
      <c r="Y111" t="str">
        <f>IFERROR(ROUND(E111*VLOOKUP(D111,商品!$A$4:$B$60,2,FALSE),0),"")</f>
        <v/>
      </c>
      <c r="Z111" t="str">
        <f>IFERROR(ROUND(G111*VLOOKUP(F111,商品!$A$4:$B$60,2,FALSE),0),"")</f>
        <v/>
      </c>
      <c r="AA111" t="str">
        <f>IFERROR(ROUND(I111*VLOOKUP(H111,商品!$A$4:$B$60,2,FALSE),0),"")</f>
        <v/>
      </c>
      <c r="AB111" t="str">
        <f>IFERROR(ROUND(K111*VLOOKUP(J111,[1]note_pop_types!$A$16:$E$16,4,FALSE),0),"")</f>
        <v/>
      </c>
      <c r="AC111" t="str">
        <f>IFERROR(ROUND(M111*VLOOKUP(L111,[1]note_pop_types!$A$16:$E$16,4,FALSE),0),"")</f>
        <v/>
      </c>
      <c r="AD111" t="str">
        <f>IFERROR(ROUND(O111*VLOOKUP(N111,[1]note_pop_types!$A$16:$E$16,4,FALSE),0),"")</f>
        <v/>
      </c>
      <c r="AE111" t="str">
        <f>IFERROR(ROUND(Q111*VLOOKUP(P111,商品!$A$4:$B$60,2,FALSE),0),"")</f>
        <v/>
      </c>
      <c r="AF111" t="str">
        <f>IFERROR(ROUND(S111*VLOOKUP(R111,商品!$A$4:$B$60,2,FALSE),0),"")</f>
        <v/>
      </c>
    </row>
    <row r="112" spans="1:32" ht="19.05" customHeight="1" x14ac:dyDescent="0.25">
      <c r="A112" s="16" t="s">
        <v>198</v>
      </c>
      <c r="C112" s="16">
        <v>1</v>
      </c>
      <c r="T112" s="2">
        <f t="shared" si="4"/>
        <v>0</v>
      </c>
      <c r="U112" s="2">
        <f t="shared" si="5"/>
        <v>0</v>
      </c>
      <c r="V112" s="2">
        <f t="shared" si="6"/>
        <v>0</v>
      </c>
      <c r="W112" s="2">
        <f t="shared" si="7"/>
        <v>0</v>
      </c>
      <c r="Y112" t="str">
        <f>IFERROR(ROUND(E112*VLOOKUP(D112,商品!$A$4:$B$60,2,FALSE),0),"")</f>
        <v/>
      </c>
      <c r="Z112" t="str">
        <f>IFERROR(ROUND(G112*VLOOKUP(F112,商品!$A$4:$B$60,2,FALSE),0),"")</f>
        <v/>
      </c>
      <c r="AA112" t="str">
        <f>IFERROR(ROUND(I112*VLOOKUP(H112,商品!$A$4:$B$60,2,FALSE),0),"")</f>
        <v/>
      </c>
      <c r="AB112" t="str">
        <f>IFERROR(ROUND(K112*VLOOKUP(J112,[1]note_pop_types!$A$16:$E$16,4,FALSE),0),"")</f>
        <v/>
      </c>
      <c r="AC112" t="str">
        <f>IFERROR(ROUND(M112*VLOOKUP(L112,[1]note_pop_types!$A$16:$E$16,4,FALSE),0),"")</f>
        <v/>
      </c>
      <c r="AD112" t="str">
        <f>IFERROR(ROUND(O112*VLOOKUP(N112,[1]note_pop_types!$A$16:$E$16,4,FALSE),0),"")</f>
        <v/>
      </c>
      <c r="AE112" t="str">
        <f>IFERROR(ROUND(Q112*VLOOKUP(P112,商品!$A$4:$B$60,2,FALSE),0),"")</f>
        <v/>
      </c>
      <c r="AF112" t="str">
        <f>IFERROR(ROUND(S112*VLOOKUP(R112,商品!$A$4:$B$60,2,FALSE),0),"")</f>
        <v/>
      </c>
    </row>
    <row r="113" spans="1:32" ht="19.05" customHeight="1" x14ac:dyDescent="0.25">
      <c r="A113" s="16" t="s">
        <v>198</v>
      </c>
      <c r="C113" s="16">
        <v>2</v>
      </c>
      <c r="T113" s="2">
        <f t="shared" si="4"/>
        <v>0</v>
      </c>
      <c r="U113" s="2">
        <f t="shared" si="5"/>
        <v>0</v>
      </c>
      <c r="V113" s="2">
        <f t="shared" si="6"/>
        <v>0</v>
      </c>
      <c r="W113" s="2">
        <f t="shared" si="7"/>
        <v>0</v>
      </c>
      <c r="Y113" t="str">
        <f>IFERROR(ROUND(E113*VLOOKUP(D113,商品!$A$4:$B$60,2,FALSE),0),"")</f>
        <v/>
      </c>
      <c r="Z113" t="str">
        <f>IFERROR(ROUND(G113*VLOOKUP(F113,商品!$A$4:$B$60,2,FALSE),0),"")</f>
        <v/>
      </c>
      <c r="AA113" t="str">
        <f>IFERROR(ROUND(I113*VLOOKUP(H113,商品!$A$4:$B$60,2,FALSE),0),"")</f>
        <v/>
      </c>
      <c r="AB113" t="str">
        <f>IFERROR(ROUND(K113*VLOOKUP(J113,[1]note_pop_types!$A$16:$E$16,4,FALSE),0),"")</f>
        <v/>
      </c>
      <c r="AC113" t="str">
        <f>IFERROR(ROUND(M113*VLOOKUP(L113,[1]note_pop_types!$A$16:$E$16,4,FALSE),0),"")</f>
        <v/>
      </c>
      <c r="AD113" t="str">
        <f>IFERROR(ROUND(O113*VLOOKUP(N113,[1]note_pop_types!$A$16:$E$16,4,FALSE),0),"")</f>
        <v/>
      </c>
      <c r="AE113" t="str">
        <f>IFERROR(ROUND(Q113*VLOOKUP(P113,商品!$A$4:$B$60,2,FALSE),0),"")</f>
        <v/>
      </c>
      <c r="AF113" t="str">
        <f>IFERROR(ROUND(S113*VLOOKUP(R113,商品!$A$4:$B$60,2,FALSE),0),"")</f>
        <v/>
      </c>
    </row>
    <row r="114" spans="1:32" ht="19.05" customHeight="1" x14ac:dyDescent="0.25">
      <c r="A114" s="16" t="s">
        <v>198</v>
      </c>
      <c r="C114" s="16">
        <v>3</v>
      </c>
      <c r="T114" s="2">
        <f t="shared" si="4"/>
        <v>0</v>
      </c>
      <c r="U114" s="2">
        <f t="shared" si="5"/>
        <v>0</v>
      </c>
      <c r="V114" s="2">
        <f t="shared" si="6"/>
        <v>0</v>
      </c>
      <c r="W114" s="2">
        <f t="shared" si="7"/>
        <v>0</v>
      </c>
      <c r="Y114" t="str">
        <f>IFERROR(ROUND(E114*VLOOKUP(D114,商品!$A$4:$B$60,2,FALSE),0),"")</f>
        <v/>
      </c>
      <c r="Z114" t="str">
        <f>IFERROR(ROUND(G114*VLOOKUP(F114,商品!$A$4:$B$60,2,FALSE),0),"")</f>
        <v/>
      </c>
      <c r="AA114" t="str">
        <f>IFERROR(ROUND(I114*VLOOKUP(H114,商品!$A$4:$B$60,2,FALSE),0),"")</f>
        <v/>
      </c>
      <c r="AB114" t="str">
        <f>IFERROR(ROUND(K114*VLOOKUP(J114,[1]note_pop_types!$A$16:$E$16,4,FALSE),0),"")</f>
        <v/>
      </c>
      <c r="AC114" t="str">
        <f>IFERROR(ROUND(M114*VLOOKUP(L114,[1]note_pop_types!$A$16:$E$16,4,FALSE),0),"")</f>
        <v/>
      </c>
      <c r="AD114" t="str">
        <f>IFERROR(ROUND(O114*VLOOKUP(N114,[1]note_pop_types!$A$16:$E$16,4,FALSE),0),"")</f>
        <v/>
      </c>
      <c r="AE114" t="str">
        <f>IFERROR(ROUND(Q114*VLOOKUP(P114,商品!$A$4:$B$60,2,FALSE),0),"")</f>
        <v/>
      </c>
      <c r="AF114" t="str">
        <f>IFERROR(ROUND(S114*VLOOKUP(R114,商品!$A$4:$B$60,2,FALSE),0),"")</f>
        <v/>
      </c>
    </row>
    <row r="115" spans="1:32" ht="19.05" customHeight="1" x14ac:dyDescent="0.25">
      <c r="A115" s="16" t="s">
        <v>198</v>
      </c>
      <c r="C115" s="16">
        <v>4</v>
      </c>
      <c r="T115" s="2">
        <f t="shared" si="4"/>
        <v>0</v>
      </c>
      <c r="U115" s="2">
        <f t="shared" si="5"/>
        <v>0</v>
      </c>
      <c r="V115" s="2">
        <f t="shared" si="6"/>
        <v>0</v>
      </c>
      <c r="W115" s="2">
        <f t="shared" si="7"/>
        <v>0</v>
      </c>
      <c r="Y115" t="str">
        <f>IFERROR(ROUND(E115*VLOOKUP(D115,商品!$A$4:$B$60,2,FALSE),0),"")</f>
        <v/>
      </c>
      <c r="Z115" t="str">
        <f>IFERROR(ROUND(G115*VLOOKUP(F115,商品!$A$4:$B$60,2,FALSE),0),"")</f>
        <v/>
      </c>
      <c r="AA115" t="str">
        <f>IFERROR(ROUND(I115*VLOOKUP(H115,商品!$A$4:$B$60,2,FALSE),0),"")</f>
        <v/>
      </c>
      <c r="AB115" t="str">
        <f>IFERROR(ROUND(K115*VLOOKUP(J115,[1]note_pop_types!$A$16:$E$16,4,FALSE),0),"")</f>
        <v/>
      </c>
      <c r="AC115" t="str">
        <f>IFERROR(ROUND(M115*VLOOKUP(L115,[1]note_pop_types!$A$16:$E$16,4,FALSE),0),"")</f>
        <v/>
      </c>
      <c r="AD115" t="str">
        <f>IFERROR(ROUND(O115*VLOOKUP(N115,[1]note_pop_types!$A$16:$E$16,4,FALSE),0),"")</f>
        <v/>
      </c>
      <c r="AE115" t="str">
        <f>IFERROR(ROUND(Q115*VLOOKUP(P115,商品!$A$4:$B$60,2,FALSE),0),"")</f>
        <v/>
      </c>
      <c r="AF115" t="str">
        <f>IFERROR(ROUND(S115*VLOOKUP(R115,商品!$A$4:$B$60,2,FALSE),0),"")</f>
        <v/>
      </c>
    </row>
    <row r="116" spans="1:32" ht="19.05" customHeight="1" x14ac:dyDescent="0.25">
      <c r="A116" s="16" t="s">
        <v>198</v>
      </c>
      <c r="C116" s="16">
        <v>5</v>
      </c>
      <c r="T116" s="2">
        <f t="shared" si="4"/>
        <v>0</v>
      </c>
      <c r="U116" s="2">
        <f t="shared" si="5"/>
        <v>0</v>
      </c>
      <c r="V116" s="2">
        <f t="shared" si="6"/>
        <v>0</v>
      </c>
      <c r="W116" s="2">
        <f t="shared" si="7"/>
        <v>0</v>
      </c>
      <c r="Y116" t="str">
        <f>IFERROR(ROUND(E116*VLOOKUP(D116,商品!$A$4:$B$60,2,FALSE),0),"")</f>
        <v/>
      </c>
      <c r="Z116" t="str">
        <f>IFERROR(ROUND(G116*VLOOKUP(F116,商品!$A$4:$B$60,2,FALSE),0),"")</f>
        <v/>
      </c>
      <c r="AA116" t="str">
        <f>IFERROR(ROUND(I116*VLOOKUP(H116,商品!$A$4:$B$60,2,FALSE),0),"")</f>
        <v/>
      </c>
      <c r="AB116" t="str">
        <f>IFERROR(ROUND(K116*VLOOKUP(J116,[1]note_pop_types!$A$16:$E$16,4,FALSE),0),"")</f>
        <v/>
      </c>
      <c r="AC116" t="str">
        <f>IFERROR(ROUND(M116*VLOOKUP(L116,[1]note_pop_types!$A$16:$E$16,4,FALSE),0),"")</f>
        <v/>
      </c>
      <c r="AD116" t="str">
        <f>IFERROR(ROUND(O116*VLOOKUP(N116,[1]note_pop_types!$A$16:$E$16,4,FALSE),0),"")</f>
        <v/>
      </c>
      <c r="AE116" t="str">
        <f>IFERROR(ROUND(Q116*VLOOKUP(P116,商品!$A$4:$B$60,2,FALSE),0),"")</f>
        <v/>
      </c>
      <c r="AF116" t="str">
        <f>IFERROR(ROUND(S116*VLOOKUP(R116,商品!$A$4:$B$60,2,FALSE),0),"")</f>
        <v/>
      </c>
    </row>
    <row r="117" spans="1:32" ht="19.05" customHeight="1" x14ac:dyDescent="0.25">
      <c r="A117" s="15" t="s">
        <v>199</v>
      </c>
      <c r="C117" s="15">
        <v>1</v>
      </c>
      <c r="T117" s="2">
        <f t="shared" si="4"/>
        <v>0</v>
      </c>
      <c r="U117" s="2">
        <f t="shared" si="5"/>
        <v>0</v>
      </c>
      <c r="V117" s="2">
        <f t="shared" si="6"/>
        <v>0</v>
      </c>
      <c r="W117" s="2">
        <f t="shared" si="7"/>
        <v>0</v>
      </c>
      <c r="Y117" t="str">
        <f>IFERROR(ROUND(E117*VLOOKUP(D117,商品!$A$4:$B$60,2,FALSE),0),"")</f>
        <v/>
      </c>
      <c r="Z117" t="str">
        <f>IFERROR(ROUND(G117*VLOOKUP(F117,商品!$A$4:$B$60,2,FALSE),0),"")</f>
        <v/>
      </c>
      <c r="AA117" t="str">
        <f>IFERROR(ROUND(I117*VLOOKUP(H117,商品!$A$4:$B$60,2,FALSE),0),"")</f>
        <v/>
      </c>
      <c r="AB117" t="str">
        <f>IFERROR(ROUND(K117*VLOOKUP(J117,[1]note_pop_types!$A$16:$E$16,4,FALSE),0),"")</f>
        <v/>
      </c>
      <c r="AC117" t="str">
        <f>IFERROR(ROUND(M117*VLOOKUP(L117,[1]note_pop_types!$A$16:$E$16,4,FALSE),0),"")</f>
        <v/>
      </c>
      <c r="AD117" t="str">
        <f>IFERROR(ROUND(O117*VLOOKUP(N117,[1]note_pop_types!$A$16:$E$16,4,FALSE),0),"")</f>
        <v/>
      </c>
      <c r="AE117" t="str">
        <f>IFERROR(ROUND(Q117*VLOOKUP(P117,商品!$A$4:$B$60,2,FALSE),0),"")</f>
        <v/>
      </c>
      <c r="AF117" t="str">
        <f>IFERROR(ROUND(S117*VLOOKUP(R117,商品!$A$4:$B$60,2,FALSE),0),"")</f>
        <v/>
      </c>
    </row>
    <row r="118" spans="1:32" ht="19.05" customHeight="1" x14ac:dyDescent="0.25">
      <c r="A118" s="15" t="s">
        <v>199</v>
      </c>
      <c r="C118" s="15">
        <v>2</v>
      </c>
      <c r="T118" s="2">
        <f t="shared" si="4"/>
        <v>0</v>
      </c>
      <c r="U118" s="2">
        <f t="shared" si="5"/>
        <v>0</v>
      </c>
      <c r="V118" s="2">
        <f t="shared" si="6"/>
        <v>0</v>
      </c>
      <c r="W118" s="2">
        <f t="shared" si="7"/>
        <v>0</v>
      </c>
      <c r="Y118" t="str">
        <f>IFERROR(ROUND(E118*VLOOKUP(D118,商品!$A$4:$B$60,2,FALSE),0),"")</f>
        <v/>
      </c>
      <c r="Z118" t="str">
        <f>IFERROR(ROUND(G118*VLOOKUP(F118,商品!$A$4:$B$60,2,FALSE),0),"")</f>
        <v/>
      </c>
      <c r="AA118" t="str">
        <f>IFERROR(ROUND(I118*VLOOKUP(H118,商品!$A$4:$B$60,2,FALSE),0),"")</f>
        <v/>
      </c>
      <c r="AB118" t="str">
        <f>IFERROR(ROUND(K118*VLOOKUP(J118,[1]note_pop_types!$A$16:$E$16,4,FALSE),0),"")</f>
        <v/>
      </c>
      <c r="AC118" t="str">
        <f>IFERROR(ROUND(M118*VLOOKUP(L118,[1]note_pop_types!$A$16:$E$16,4,FALSE),0),"")</f>
        <v/>
      </c>
      <c r="AD118" t="str">
        <f>IFERROR(ROUND(O118*VLOOKUP(N118,[1]note_pop_types!$A$16:$E$16,4,FALSE),0),"")</f>
        <v/>
      </c>
      <c r="AE118" t="str">
        <f>IFERROR(ROUND(Q118*VLOOKUP(P118,商品!$A$4:$B$60,2,FALSE),0),"")</f>
        <v/>
      </c>
      <c r="AF118" t="str">
        <f>IFERROR(ROUND(S118*VLOOKUP(R118,商品!$A$4:$B$60,2,FALSE),0),"")</f>
        <v/>
      </c>
    </row>
    <row r="119" spans="1:32" ht="19.05" customHeight="1" x14ac:dyDescent="0.25">
      <c r="A119" s="15" t="s">
        <v>199</v>
      </c>
      <c r="C119" s="15">
        <v>3</v>
      </c>
      <c r="T119" s="2">
        <f t="shared" si="4"/>
        <v>0</v>
      </c>
      <c r="U119" s="2">
        <f t="shared" si="5"/>
        <v>0</v>
      </c>
      <c r="V119" s="2">
        <f t="shared" si="6"/>
        <v>0</v>
      </c>
      <c r="W119" s="2">
        <f t="shared" si="7"/>
        <v>0</v>
      </c>
      <c r="Y119" t="str">
        <f>IFERROR(ROUND(E119*VLOOKUP(D119,商品!$A$4:$B$60,2,FALSE),0),"")</f>
        <v/>
      </c>
      <c r="Z119" t="str">
        <f>IFERROR(ROUND(G119*VLOOKUP(F119,商品!$A$4:$B$60,2,FALSE),0),"")</f>
        <v/>
      </c>
      <c r="AA119" t="str">
        <f>IFERROR(ROUND(I119*VLOOKUP(H119,商品!$A$4:$B$60,2,FALSE),0),"")</f>
        <v/>
      </c>
      <c r="AB119" t="str">
        <f>IFERROR(ROUND(K119*VLOOKUP(J119,[1]note_pop_types!$A$16:$E$16,4,FALSE),0),"")</f>
        <v/>
      </c>
      <c r="AC119" t="str">
        <f>IFERROR(ROUND(M119*VLOOKUP(L119,[1]note_pop_types!$A$16:$E$16,4,FALSE),0),"")</f>
        <v/>
      </c>
      <c r="AD119" t="str">
        <f>IFERROR(ROUND(O119*VLOOKUP(N119,[1]note_pop_types!$A$16:$E$16,4,FALSE),0),"")</f>
        <v/>
      </c>
      <c r="AE119" t="str">
        <f>IFERROR(ROUND(Q119*VLOOKUP(P119,商品!$A$4:$B$60,2,FALSE),0),"")</f>
        <v/>
      </c>
      <c r="AF119" t="str">
        <f>IFERROR(ROUND(S119*VLOOKUP(R119,商品!$A$4:$B$60,2,FALSE),0),"")</f>
        <v/>
      </c>
    </row>
    <row r="120" spans="1:32" ht="19.05" customHeight="1" x14ac:dyDescent="0.25">
      <c r="A120" s="15" t="s">
        <v>199</v>
      </c>
      <c r="C120" s="15">
        <v>4</v>
      </c>
      <c r="T120" s="2">
        <f t="shared" si="4"/>
        <v>0</v>
      </c>
      <c r="U120" s="2">
        <f t="shared" si="5"/>
        <v>0</v>
      </c>
      <c r="V120" s="2">
        <f t="shared" si="6"/>
        <v>0</v>
      </c>
      <c r="W120" s="2">
        <f t="shared" si="7"/>
        <v>0</v>
      </c>
      <c r="Y120" t="str">
        <f>IFERROR(ROUND(E120*VLOOKUP(D120,商品!$A$4:$B$60,2,FALSE),0),"")</f>
        <v/>
      </c>
      <c r="Z120" t="str">
        <f>IFERROR(ROUND(G120*VLOOKUP(F120,商品!$A$4:$B$60,2,FALSE),0),"")</f>
        <v/>
      </c>
      <c r="AA120" t="str">
        <f>IFERROR(ROUND(I120*VLOOKUP(H120,商品!$A$4:$B$60,2,FALSE),0),"")</f>
        <v/>
      </c>
      <c r="AB120" t="str">
        <f>IFERROR(ROUND(K120*VLOOKUP(J120,[1]note_pop_types!$A$16:$E$16,4,FALSE),0),"")</f>
        <v/>
      </c>
      <c r="AC120" t="str">
        <f>IFERROR(ROUND(M120*VLOOKUP(L120,[1]note_pop_types!$A$16:$E$16,4,FALSE),0),"")</f>
        <v/>
      </c>
      <c r="AD120" t="str">
        <f>IFERROR(ROUND(O120*VLOOKUP(N120,[1]note_pop_types!$A$16:$E$16,4,FALSE),0),"")</f>
        <v/>
      </c>
      <c r="AE120" t="str">
        <f>IFERROR(ROUND(Q120*VLOOKUP(P120,商品!$A$4:$B$60,2,FALSE),0),"")</f>
        <v/>
      </c>
      <c r="AF120" t="str">
        <f>IFERROR(ROUND(S120*VLOOKUP(R120,商品!$A$4:$B$60,2,FALSE),0),"")</f>
        <v/>
      </c>
    </row>
    <row r="121" spans="1:32" ht="19.05" customHeight="1" x14ac:dyDescent="0.25">
      <c r="A121" s="15" t="s">
        <v>199</v>
      </c>
      <c r="C121" s="15">
        <v>5</v>
      </c>
      <c r="T121" s="2">
        <f t="shared" si="4"/>
        <v>0</v>
      </c>
      <c r="U121" s="2">
        <f t="shared" si="5"/>
        <v>0</v>
      </c>
      <c r="V121" s="2">
        <f t="shared" si="6"/>
        <v>0</v>
      </c>
      <c r="W121" s="2">
        <f t="shared" si="7"/>
        <v>0</v>
      </c>
      <c r="Y121" t="str">
        <f>IFERROR(ROUND(E121*VLOOKUP(D121,商品!$A$4:$B$60,2,FALSE),0),"")</f>
        <v/>
      </c>
      <c r="Z121" t="str">
        <f>IFERROR(ROUND(G121*VLOOKUP(F121,商品!$A$4:$B$60,2,FALSE),0),"")</f>
        <v/>
      </c>
      <c r="AA121" t="str">
        <f>IFERROR(ROUND(I121*VLOOKUP(H121,商品!$A$4:$B$60,2,FALSE),0),"")</f>
        <v/>
      </c>
      <c r="AB121" t="str">
        <f>IFERROR(ROUND(K121*VLOOKUP(J121,[1]note_pop_types!$A$16:$E$16,4,FALSE),0),"")</f>
        <v/>
      </c>
      <c r="AC121" t="str">
        <f>IFERROR(ROUND(M121*VLOOKUP(L121,[1]note_pop_types!$A$16:$E$16,4,FALSE),0),"")</f>
        <v/>
      </c>
      <c r="AD121" t="str">
        <f>IFERROR(ROUND(O121*VLOOKUP(N121,[1]note_pop_types!$A$16:$E$16,4,FALSE),0),"")</f>
        <v/>
      </c>
      <c r="AE121" t="str">
        <f>IFERROR(ROUND(Q121*VLOOKUP(P121,商品!$A$4:$B$60,2,FALSE),0),"")</f>
        <v/>
      </c>
      <c r="AF121" t="str">
        <f>IFERROR(ROUND(S121*VLOOKUP(R121,商品!$A$4:$B$60,2,FALSE),0),"")</f>
        <v/>
      </c>
    </row>
    <row r="122" spans="1:32" ht="19.05" customHeight="1" x14ac:dyDescent="0.25">
      <c r="A122" s="16" t="s">
        <v>509</v>
      </c>
      <c r="C122" s="16">
        <v>1</v>
      </c>
      <c r="T122" s="2">
        <f t="shared" si="4"/>
        <v>0</v>
      </c>
      <c r="U122" s="2">
        <f t="shared" si="5"/>
        <v>0</v>
      </c>
      <c r="V122" s="2">
        <f t="shared" si="6"/>
        <v>0</v>
      </c>
      <c r="W122" s="2">
        <f t="shared" si="7"/>
        <v>0</v>
      </c>
      <c r="Y122" t="str">
        <f>IFERROR(ROUND(E122*VLOOKUP(D122,商品!$A$4:$B$60,2,FALSE),0),"")</f>
        <v/>
      </c>
      <c r="Z122" t="str">
        <f>IFERROR(ROUND(G122*VLOOKUP(F122,商品!$A$4:$B$60,2,FALSE),0),"")</f>
        <v/>
      </c>
      <c r="AA122" t="str">
        <f>IFERROR(ROUND(I122*VLOOKUP(H122,商品!$A$4:$B$60,2,FALSE),0),"")</f>
        <v/>
      </c>
      <c r="AB122" t="str">
        <f>IFERROR(ROUND(K122*VLOOKUP(J122,[1]note_pop_types!$A$16:$E$16,4,FALSE),0),"")</f>
        <v/>
      </c>
      <c r="AC122" t="str">
        <f>IFERROR(ROUND(M122*VLOOKUP(L122,[1]note_pop_types!$A$16:$E$16,4,FALSE),0),"")</f>
        <v/>
      </c>
      <c r="AD122" t="str">
        <f>IFERROR(ROUND(O122*VLOOKUP(N122,[1]note_pop_types!$A$16:$E$16,4,FALSE),0),"")</f>
        <v/>
      </c>
      <c r="AE122" t="str">
        <f>IFERROR(ROUND(Q122*VLOOKUP(P122,商品!$A$4:$B$60,2,FALSE),0),"")</f>
        <v/>
      </c>
      <c r="AF122" t="str">
        <f>IFERROR(ROUND(S122*VLOOKUP(R122,商品!$A$4:$B$60,2,FALSE),0),"")</f>
        <v/>
      </c>
    </row>
    <row r="123" spans="1:32" ht="19.05" customHeight="1" x14ac:dyDescent="0.25">
      <c r="A123" s="16" t="s">
        <v>509</v>
      </c>
      <c r="C123" s="16">
        <v>2</v>
      </c>
      <c r="T123" s="2">
        <f t="shared" si="4"/>
        <v>0</v>
      </c>
      <c r="U123" s="2">
        <f t="shared" si="5"/>
        <v>0</v>
      </c>
      <c r="V123" s="2">
        <f t="shared" si="6"/>
        <v>0</v>
      </c>
      <c r="W123" s="2">
        <f t="shared" si="7"/>
        <v>0</v>
      </c>
      <c r="Y123" t="str">
        <f>IFERROR(ROUND(E123*VLOOKUP(D123,商品!$A$4:$B$60,2,FALSE),0),"")</f>
        <v/>
      </c>
      <c r="Z123" t="str">
        <f>IFERROR(ROUND(G123*VLOOKUP(F123,商品!$A$4:$B$60,2,FALSE),0),"")</f>
        <v/>
      </c>
      <c r="AA123" t="str">
        <f>IFERROR(ROUND(I123*VLOOKUP(H123,商品!$A$4:$B$60,2,FALSE),0),"")</f>
        <v/>
      </c>
      <c r="AB123" t="str">
        <f>IFERROR(ROUND(K123*VLOOKUP(J123,[1]note_pop_types!$A$16:$E$16,4,FALSE),0),"")</f>
        <v/>
      </c>
      <c r="AC123" t="str">
        <f>IFERROR(ROUND(M123*VLOOKUP(L123,[1]note_pop_types!$A$16:$E$16,4,FALSE),0),"")</f>
        <v/>
      </c>
      <c r="AD123" t="str">
        <f>IFERROR(ROUND(O123*VLOOKUP(N123,[1]note_pop_types!$A$16:$E$16,4,FALSE),0),"")</f>
        <v/>
      </c>
      <c r="AE123" t="str">
        <f>IFERROR(ROUND(Q123*VLOOKUP(P123,商品!$A$4:$B$60,2,FALSE),0),"")</f>
        <v/>
      </c>
      <c r="AF123" t="str">
        <f>IFERROR(ROUND(S123*VLOOKUP(R123,商品!$A$4:$B$60,2,FALSE),0),"")</f>
        <v/>
      </c>
    </row>
    <row r="124" spans="1:32" ht="19.05" customHeight="1" x14ac:dyDescent="0.25">
      <c r="A124" s="16" t="s">
        <v>509</v>
      </c>
      <c r="C124" s="16">
        <v>3</v>
      </c>
      <c r="T124" s="2">
        <f t="shared" si="4"/>
        <v>0</v>
      </c>
      <c r="U124" s="2">
        <f t="shared" si="5"/>
        <v>0</v>
      </c>
      <c r="V124" s="2">
        <f t="shared" si="6"/>
        <v>0</v>
      </c>
      <c r="W124" s="2">
        <f t="shared" si="7"/>
        <v>0</v>
      </c>
      <c r="Y124" t="str">
        <f>IFERROR(ROUND(E124*VLOOKUP(D124,商品!$A$4:$B$60,2,FALSE),0),"")</f>
        <v/>
      </c>
      <c r="Z124" t="str">
        <f>IFERROR(ROUND(G124*VLOOKUP(F124,商品!$A$4:$B$60,2,FALSE),0),"")</f>
        <v/>
      </c>
      <c r="AA124" t="str">
        <f>IFERROR(ROUND(I124*VLOOKUP(H124,商品!$A$4:$B$60,2,FALSE),0),"")</f>
        <v/>
      </c>
      <c r="AB124" t="str">
        <f>IFERROR(ROUND(K124*VLOOKUP(J124,[1]note_pop_types!$A$16:$E$16,4,FALSE),0),"")</f>
        <v/>
      </c>
      <c r="AC124" t="str">
        <f>IFERROR(ROUND(M124*VLOOKUP(L124,[1]note_pop_types!$A$16:$E$16,4,FALSE),0),"")</f>
        <v/>
      </c>
      <c r="AD124" t="str">
        <f>IFERROR(ROUND(O124*VLOOKUP(N124,[1]note_pop_types!$A$16:$E$16,4,FALSE),0),"")</f>
        <v/>
      </c>
      <c r="AE124" t="str">
        <f>IFERROR(ROUND(Q124*VLOOKUP(P124,商品!$A$4:$B$60,2,FALSE),0),"")</f>
        <v/>
      </c>
      <c r="AF124" t="str">
        <f>IFERROR(ROUND(S124*VLOOKUP(R124,商品!$A$4:$B$60,2,FALSE),0),"")</f>
        <v/>
      </c>
    </row>
    <row r="125" spans="1:32" ht="19.05" customHeight="1" x14ac:dyDescent="0.25">
      <c r="A125" s="16" t="s">
        <v>509</v>
      </c>
      <c r="C125" s="16">
        <v>4</v>
      </c>
      <c r="T125" s="2">
        <f t="shared" si="4"/>
        <v>0</v>
      </c>
      <c r="U125" s="2">
        <f t="shared" si="5"/>
        <v>0</v>
      </c>
      <c r="V125" s="2">
        <f t="shared" si="6"/>
        <v>0</v>
      </c>
      <c r="W125" s="2">
        <f t="shared" si="7"/>
        <v>0</v>
      </c>
      <c r="Y125" t="str">
        <f>IFERROR(ROUND(E125*VLOOKUP(D125,商品!$A$4:$B$60,2,FALSE),0),"")</f>
        <v/>
      </c>
      <c r="Z125" t="str">
        <f>IFERROR(ROUND(G125*VLOOKUP(F125,商品!$A$4:$B$60,2,FALSE),0),"")</f>
        <v/>
      </c>
      <c r="AA125" t="str">
        <f>IFERROR(ROUND(I125*VLOOKUP(H125,商品!$A$4:$B$60,2,FALSE),0),"")</f>
        <v/>
      </c>
      <c r="AB125" t="str">
        <f>IFERROR(ROUND(K125*VLOOKUP(J125,[1]note_pop_types!$A$16:$E$16,4,FALSE),0),"")</f>
        <v/>
      </c>
      <c r="AC125" t="str">
        <f>IFERROR(ROUND(M125*VLOOKUP(L125,[1]note_pop_types!$A$16:$E$16,4,FALSE),0),"")</f>
        <v/>
      </c>
      <c r="AD125" t="str">
        <f>IFERROR(ROUND(O125*VLOOKUP(N125,[1]note_pop_types!$A$16:$E$16,4,FALSE),0),"")</f>
        <v/>
      </c>
      <c r="AE125" t="str">
        <f>IFERROR(ROUND(Q125*VLOOKUP(P125,商品!$A$4:$B$60,2,FALSE),0),"")</f>
        <v/>
      </c>
      <c r="AF125" t="str">
        <f>IFERROR(ROUND(S125*VLOOKUP(R125,商品!$A$4:$B$60,2,FALSE),0),"")</f>
        <v/>
      </c>
    </row>
    <row r="126" spans="1:32" ht="19.05" customHeight="1" x14ac:dyDescent="0.25">
      <c r="A126" s="16" t="s">
        <v>509</v>
      </c>
      <c r="C126" s="16">
        <v>5</v>
      </c>
      <c r="T126" s="2">
        <f t="shared" si="4"/>
        <v>0</v>
      </c>
      <c r="U126" s="2">
        <f t="shared" si="5"/>
        <v>0</v>
      </c>
      <c r="V126" s="2">
        <f t="shared" si="6"/>
        <v>0</v>
      </c>
      <c r="W126" s="2">
        <f t="shared" si="7"/>
        <v>0</v>
      </c>
      <c r="Y126" t="str">
        <f>IFERROR(ROUND(E126*VLOOKUP(D126,商品!$A$4:$B$60,2,FALSE),0),"")</f>
        <v/>
      </c>
      <c r="Z126" t="str">
        <f>IFERROR(ROUND(G126*VLOOKUP(F126,商品!$A$4:$B$60,2,FALSE),0),"")</f>
        <v/>
      </c>
      <c r="AA126" t="str">
        <f>IFERROR(ROUND(I126*VLOOKUP(H126,商品!$A$4:$B$60,2,FALSE),0),"")</f>
        <v/>
      </c>
      <c r="AB126" t="str">
        <f>IFERROR(ROUND(K126*VLOOKUP(J126,[1]note_pop_types!$A$16:$E$16,4,FALSE),0),"")</f>
        <v/>
      </c>
      <c r="AC126" t="str">
        <f>IFERROR(ROUND(M126*VLOOKUP(L126,[1]note_pop_types!$A$16:$E$16,4,FALSE),0),"")</f>
        <v/>
      </c>
      <c r="AD126" t="str">
        <f>IFERROR(ROUND(O126*VLOOKUP(N126,[1]note_pop_types!$A$16:$E$16,4,FALSE),0),"")</f>
        <v/>
      </c>
      <c r="AE126" t="str">
        <f>IFERROR(ROUND(Q126*VLOOKUP(P126,商品!$A$4:$B$60,2,FALSE),0),"")</f>
        <v/>
      </c>
      <c r="AF126" t="str">
        <f>IFERROR(ROUND(S126*VLOOKUP(R126,商品!$A$4:$B$60,2,FALSE),0),"")</f>
        <v/>
      </c>
    </row>
    <row r="127" spans="1:32" ht="19.05" customHeight="1" x14ac:dyDescent="0.25">
      <c r="A127" s="15" t="s">
        <v>509</v>
      </c>
      <c r="C127" s="15">
        <v>1</v>
      </c>
      <c r="T127" s="2">
        <f t="shared" si="4"/>
        <v>0</v>
      </c>
      <c r="U127" s="2">
        <f t="shared" si="5"/>
        <v>0</v>
      </c>
      <c r="V127" s="2">
        <f t="shared" si="6"/>
        <v>0</v>
      </c>
      <c r="W127" s="2">
        <f t="shared" si="7"/>
        <v>0</v>
      </c>
      <c r="Y127" t="str">
        <f>IFERROR(ROUND(E127*VLOOKUP(D127,商品!$A$4:$B$60,2,FALSE),0),"")</f>
        <v/>
      </c>
      <c r="Z127" t="str">
        <f>IFERROR(ROUND(G127*VLOOKUP(F127,商品!$A$4:$B$60,2,FALSE),0),"")</f>
        <v/>
      </c>
      <c r="AA127" t="str">
        <f>IFERROR(ROUND(I127*VLOOKUP(H127,商品!$A$4:$B$60,2,FALSE),0),"")</f>
        <v/>
      </c>
      <c r="AB127" t="str">
        <f>IFERROR(ROUND(K127*VLOOKUP(J127,[1]note_pop_types!$A$16:$E$16,4,FALSE),0),"")</f>
        <v/>
      </c>
      <c r="AC127" t="str">
        <f>IFERROR(ROUND(M127*VLOOKUP(L127,[1]note_pop_types!$A$16:$E$16,4,FALSE),0),"")</f>
        <v/>
      </c>
      <c r="AD127" t="str">
        <f>IFERROR(ROUND(O127*VLOOKUP(N127,[1]note_pop_types!$A$16:$E$16,4,FALSE),0),"")</f>
        <v/>
      </c>
      <c r="AE127" t="str">
        <f>IFERROR(ROUND(Q127*VLOOKUP(P127,商品!$A$4:$B$60,2,FALSE),0),"")</f>
        <v/>
      </c>
      <c r="AF127" t="str">
        <f>IFERROR(ROUND(S127*VLOOKUP(R127,商品!$A$4:$B$60,2,FALSE),0),"")</f>
        <v/>
      </c>
    </row>
    <row r="128" spans="1:32" ht="19.05" customHeight="1" x14ac:dyDescent="0.25">
      <c r="A128" s="15" t="s">
        <v>509</v>
      </c>
      <c r="C128" s="15">
        <v>2</v>
      </c>
      <c r="T128" s="2">
        <f t="shared" si="4"/>
        <v>0</v>
      </c>
      <c r="U128" s="2">
        <f t="shared" si="5"/>
        <v>0</v>
      </c>
      <c r="V128" s="2">
        <f t="shared" si="6"/>
        <v>0</v>
      </c>
      <c r="W128" s="2">
        <f t="shared" si="7"/>
        <v>0</v>
      </c>
      <c r="Y128" t="str">
        <f>IFERROR(ROUND(E128*VLOOKUP(D128,商品!$A$4:$B$60,2,FALSE),0),"")</f>
        <v/>
      </c>
      <c r="Z128" t="str">
        <f>IFERROR(ROUND(G128*VLOOKUP(F128,商品!$A$4:$B$60,2,FALSE),0),"")</f>
        <v/>
      </c>
      <c r="AA128" t="str">
        <f>IFERROR(ROUND(I128*VLOOKUP(H128,商品!$A$4:$B$60,2,FALSE),0),"")</f>
        <v/>
      </c>
      <c r="AB128" t="str">
        <f>IFERROR(ROUND(K128*VLOOKUP(J128,[1]note_pop_types!$A$16:$E$16,4,FALSE),0),"")</f>
        <v/>
      </c>
      <c r="AC128" t="str">
        <f>IFERROR(ROUND(M128*VLOOKUP(L128,[1]note_pop_types!$A$16:$E$16,4,FALSE),0),"")</f>
        <v/>
      </c>
      <c r="AD128" t="str">
        <f>IFERROR(ROUND(O128*VLOOKUP(N128,[1]note_pop_types!$A$16:$E$16,4,FALSE),0),"")</f>
        <v/>
      </c>
      <c r="AE128" t="str">
        <f>IFERROR(ROUND(Q128*VLOOKUP(P128,商品!$A$4:$B$60,2,FALSE),0),"")</f>
        <v/>
      </c>
      <c r="AF128" t="str">
        <f>IFERROR(ROUND(S128*VLOOKUP(R128,商品!$A$4:$B$60,2,FALSE),0),"")</f>
        <v/>
      </c>
    </row>
    <row r="129" spans="1:32" ht="19.05" customHeight="1" x14ac:dyDescent="0.25">
      <c r="A129" s="15" t="s">
        <v>509</v>
      </c>
      <c r="C129" s="15">
        <v>3</v>
      </c>
      <c r="T129" s="2">
        <f t="shared" si="4"/>
        <v>0</v>
      </c>
      <c r="U129" s="2">
        <f t="shared" si="5"/>
        <v>0</v>
      </c>
      <c r="V129" s="2">
        <f t="shared" si="6"/>
        <v>0</v>
      </c>
      <c r="W129" s="2">
        <f t="shared" si="7"/>
        <v>0</v>
      </c>
      <c r="Y129" t="str">
        <f>IFERROR(ROUND(E129*VLOOKUP(D129,商品!$A$4:$B$60,2,FALSE),0),"")</f>
        <v/>
      </c>
      <c r="Z129" t="str">
        <f>IFERROR(ROUND(G129*VLOOKUP(F129,商品!$A$4:$B$60,2,FALSE),0),"")</f>
        <v/>
      </c>
      <c r="AA129" t="str">
        <f>IFERROR(ROUND(I129*VLOOKUP(H129,商品!$A$4:$B$60,2,FALSE),0),"")</f>
        <v/>
      </c>
      <c r="AB129" t="str">
        <f>IFERROR(ROUND(K129*VLOOKUP(J129,[1]note_pop_types!$A$16:$E$16,4,FALSE),0),"")</f>
        <v/>
      </c>
      <c r="AC129" t="str">
        <f>IFERROR(ROUND(M129*VLOOKUP(L129,[1]note_pop_types!$A$16:$E$16,4,FALSE),0),"")</f>
        <v/>
      </c>
      <c r="AD129" t="str">
        <f>IFERROR(ROUND(O129*VLOOKUP(N129,[1]note_pop_types!$A$16:$E$16,4,FALSE),0),"")</f>
        <v/>
      </c>
      <c r="AE129" t="str">
        <f>IFERROR(ROUND(Q129*VLOOKUP(P129,商品!$A$4:$B$60,2,FALSE),0),"")</f>
        <v/>
      </c>
      <c r="AF129" t="str">
        <f>IFERROR(ROUND(S129*VLOOKUP(R129,商品!$A$4:$B$60,2,FALSE),0),"")</f>
        <v/>
      </c>
    </row>
    <row r="130" spans="1:32" ht="19.05" customHeight="1" x14ac:dyDescent="0.25">
      <c r="A130" s="15" t="s">
        <v>509</v>
      </c>
      <c r="C130" s="15">
        <v>4</v>
      </c>
      <c r="T130" s="2">
        <f t="shared" si="4"/>
        <v>0</v>
      </c>
      <c r="U130" s="2">
        <f t="shared" si="5"/>
        <v>0</v>
      </c>
      <c r="V130" s="2">
        <f t="shared" si="6"/>
        <v>0</v>
      </c>
      <c r="W130" s="2">
        <f t="shared" si="7"/>
        <v>0</v>
      </c>
      <c r="Y130" t="str">
        <f>IFERROR(ROUND(E130*VLOOKUP(D130,商品!$A$4:$B$60,2,FALSE),0),"")</f>
        <v/>
      </c>
      <c r="Z130" t="str">
        <f>IFERROR(ROUND(G130*VLOOKUP(F130,商品!$A$4:$B$60,2,FALSE),0),"")</f>
        <v/>
      </c>
      <c r="AA130" t="str">
        <f>IFERROR(ROUND(I130*VLOOKUP(H130,商品!$A$4:$B$60,2,FALSE),0),"")</f>
        <v/>
      </c>
      <c r="AB130" t="str">
        <f>IFERROR(ROUND(K130*VLOOKUP(J130,[1]note_pop_types!$A$16:$E$16,4,FALSE),0),"")</f>
        <v/>
      </c>
      <c r="AC130" t="str">
        <f>IFERROR(ROUND(M130*VLOOKUP(L130,[1]note_pop_types!$A$16:$E$16,4,FALSE),0),"")</f>
        <v/>
      </c>
      <c r="AD130" t="str">
        <f>IFERROR(ROUND(O130*VLOOKUP(N130,[1]note_pop_types!$A$16:$E$16,4,FALSE),0),"")</f>
        <v/>
      </c>
      <c r="AE130" t="str">
        <f>IFERROR(ROUND(Q130*VLOOKUP(P130,商品!$A$4:$B$60,2,FALSE),0),"")</f>
        <v/>
      </c>
      <c r="AF130" t="str">
        <f>IFERROR(ROUND(S130*VLOOKUP(R130,商品!$A$4:$B$60,2,FALSE),0),"")</f>
        <v/>
      </c>
    </row>
    <row r="131" spans="1:32" ht="19.05" customHeight="1" x14ac:dyDescent="0.25">
      <c r="A131" s="15" t="s">
        <v>509</v>
      </c>
      <c r="C131" s="15">
        <v>5</v>
      </c>
      <c r="T131" s="2">
        <f t="shared" si="4"/>
        <v>0</v>
      </c>
      <c r="U131" s="2">
        <f t="shared" si="5"/>
        <v>0</v>
      </c>
      <c r="V131" s="2">
        <f t="shared" si="6"/>
        <v>0</v>
      </c>
      <c r="W131" s="2">
        <f t="shared" si="7"/>
        <v>0</v>
      </c>
      <c r="Y131" t="str">
        <f>IFERROR(ROUND(E131*VLOOKUP(D131,商品!$A$4:$B$60,2,FALSE),0),"")</f>
        <v/>
      </c>
      <c r="Z131" t="str">
        <f>IFERROR(ROUND(G131*VLOOKUP(F131,商品!$A$4:$B$60,2,FALSE),0),"")</f>
        <v/>
      </c>
      <c r="AA131" t="str">
        <f>IFERROR(ROUND(I131*VLOOKUP(H131,商品!$A$4:$B$60,2,FALSE),0),"")</f>
        <v/>
      </c>
      <c r="AB131" t="str">
        <f>IFERROR(ROUND(K131*VLOOKUP(J131,[1]note_pop_types!$A$16:$E$16,4,FALSE),0),"")</f>
        <v/>
      </c>
      <c r="AC131" t="str">
        <f>IFERROR(ROUND(M131*VLOOKUP(L131,[1]note_pop_types!$A$16:$E$16,4,FALSE),0),"")</f>
        <v/>
      </c>
      <c r="AD131" t="str">
        <f>IFERROR(ROUND(O131*VLOOKUP(N131,[1]note_pop_types!$A$16:$E$16,4,FALSE),0),"")</f>
        <v/>
      </c>
      <c r="AE131" t="str">
        <f>IFERROR(ROUND(Q131*VLOOKUP(P131,商品!$A$4:$B$60,2,FALSE),0),"")</f>
        <v/>
      </c>
      <c r="AF131" t="str">
        <f>IFERROR(ROUND(S131*VLOOKUP(R131,商品!$A$4:$B$60,2,FALSE),0),"")</f>
        <v/>
      </c>
    </row>
    <row r="132" spans="1:32" ht="19.05" customHeight="1" x14ac:dyDescent="0.25">
      <c r="A132" s="16" t="s">
        <v>202</v>
      </c>
      <c r="C132" s="16">
        <v>1</v>
      </c>
      <c r="T132" s="2">
        <f t="shared" si="4"/>
        <v>0</v>
      </c>
      <c r="U132" s="2">
        <f t="shared" si="5"/>
        <v>0</v>
      </c>
      <c r="V132" s="2">
        <f t="shared" si="6"/>
        <v>0</v>
      </c>
      <c r="W132" s="2">
        <f t="shared" si="7"/>
        <v>0</v>
      </c>
      <c r="Y132" t="str">
        <f>IFERROR(ROUND(E132*VLOOKUP(D132,商品!$A$4:$B$60,2,FALSE),0),"")</f>
        <v/>
      </c>
      <c r="Z132" t="str">
        <f>IFERROR(ROUND(G132*VLOOKUP(F132,商品!$A$4:$B$60,2,FALSE),0),"")</f>
        <v/>
      </c>
      <c r="AA132" t="str">
        <f>IFERROR(ROUND(I132*VLOOKUP(H132,商品!$A$4:$B$60,2,FALSE),0),"")</f>
        <v/>
      </c>
      <c r="AB132" t="str">
        <f>IFERROR(ROUND(K132*VLOOKUP(J132,[1]note_pop_types!$A$16:$E$16,4,FALSE),0),"")</f>
        <v/>
      </c>
      <c r="AC132" t="str">
        <f>IFERROR(ROUND(M132*VLOOKUP(L132,[1]note_pop_types!$A$16:$E$16,4,FALSE),0),"")</f>
        <v/>
      </c>
      <c r="AD132" t="str">
        <f>IFERROR(ROUND(O132*VLOOKUP(N132,[1]note_pop_types!$A$16:$E$16,4,FALSE),0),"")</f>
        <v/>
      </c>
      <c r="AE132" t="str">
        <f>IFERROR(ROUND(Q132*VLOOKUP(P132,商品!$A$4:$B$60,2,FALSE),0),"")</f>
        <v/>
      </c>
      <c r="AF132" t="str">
        <f>IFERROR(ROUND(S132*VLOOKUP(R132,商品!$A$4:$B$60,2,FALSE),0),"")</f>
        <v/>
      </c>
    </row>
    <row r="133" spans="1:32" ht="19.05" customHeight="1" x14ac:dyDescent="0.25">
      <c r="A133" s="16" t="s">
        <v>202</v>
      </c>
      <c r="C133" s="16">
        <v>2</v>
      </c>
      <c r="T133" s="2">
        <f t="shared" si="4"/>
        <v>0</v>
      </c>
      <c r="U133" s="2">
        <f t="shared" si="5"/>
        <v>0</v>
      </c>
      <c r="V133" s="2">
        <f t="shared" si="6"/>
        <v>0</v>
      </c>
      <c r="W133" s="2">
        <f t="shared" si="7"/>
        <v>0</v>
      </c>
      <c r="Y133" t="str">
        <f>IFERROR(ROUND(E133*VLOOKUP(D133,商品!$A$4:$B$60,2,FALSE),0),"")</f>
        <v/>
      </c>
      <c r="Z133" t="str">
        <f>IFERROR(ROUND(G133*VLOOKUP(F133,商品!$A$4:$B$60,2,FALSE),0),"")</f>
        <v/>
      </c>
      <c r="AA133" t="str">
        <f>IFERROR(ROUND(I133*VLOOKUP(H133,商品!$A$4:$B$60,2,FALSE),0),"")</f>
        <v/>
      </c>
      <c r="AB133" t="str">
        <f>IFERROR(ROUND(K133*VLOOKUP(J133,[1]note_pop_types!$A$16:$E$16,4,FALSE),0),"")</f>
        <v/>
      </c>
      <c r="AC133" t="str">
        <f>IFERROR(ROUND(M133*VLOOKUP(L133,[1]note_pop_types!$A$16:$E$16,4,FALSE),0),"")</f>
        <v/>
      </c>
      <c r="AD133" t="str">
        <f>IFERROR(ROUND(O133*VLOOKUP(N133,[1]note_pop_types!$A$16:$E$16,4,FALSE),0),"")</f>
        <v/>
      </c>
      <c r="AE133" t="str">
        <f>IFERROR(ROUND(Q133*VLOOKUP(P133,商品!$A$4:$B$60,2,FALSE),0),"")</f>
        <v/>
      </c>
      <c r="AF133" t="str">
        <f>IFERROR(ROUND(S133*VLOOKUP(R133,商品!$A$4:$B$60,2,FALSE),0),"")</f>
        <v/>
      </c>
    </row>
    <row r="134" spans="1:32" ht="19.05" customHeight="1" x14ac:dyDescent="0.25">
      <c r="A134" s="16" t="s">
        <v>202</v>
      </c>
      <c r="C134" s="16">
        <v>3</v>
      </c>
      <c r="T134" s="2">
        <f t="shared" ref="T134:T197" si="8">SUM(Y134:AA134)</f>
        <v>0</v>
      </c>
      <c r="U134" s="2">
        <f t="shared" ref="U134:U197" si="9">SUM(AB134:AC134)</f>
        <v>0</v>
      </c>
      <c r="V134" s="2">
        <f t="shared" ref="V134:V197" si="10">SUM(AE134:AF134)</f>
        <v>0</v>
      </c>
      <c r="W134" s="2">
        <f t="shared" ref="W134:W197" si="11">V134-T134-U134</f>
        <v>0</v>
      </c>
      <c r="Y134" t="str">
        <f>IFERROR(ROUND(E134*VLOOKUP(D134,商品!$A$4:$B$60,2,FALSE),0),"")</f>
        <v/>
      </c>
      <c r="Z134" t="str">
        <f>IFERROR(ROUND(G134*VLOOKUP(F134,商品!$A$4:$B$60,2,FALSE),0),"")</f>
        <v/>
      </c>
      <c r="AA134" t="str">
        <f>IFERROR(ROUND(I134*VLOOKUP(H134,商品!$A$4:$B$60,2,FALSE),0),"")</f>
        <v/>
      </c>
      <c r="AB134" t="str">
        <f>IFERROR(ROUND(K134*VLOOKUP(J134,[1]note_pop_types!$A$16:$E$16,4,FALSE),0),"")</f>
        <v/>
      </c>
      <c r="AC134" t="str">
        <f>IFERROR(ROUND(M134*VLOOKUP(L134,[1]note_pop_types!$A$16:$E$16,4,FALSE),0),"")</f>
        <v/>
      </c>
      <c r="AD134" t="str">
        <f>IFERROR(ROUND(O134*VLOOKUP(N134,[1]note_pop_types!$A$16:$E$16,4,FALSE),0),"")</f>
        <v/>
      </c>
      <c r="AE134" t="str">
        <f>IFERROR(ROUND(Q134*VLOOKUP(P134,商品!$A$4:$B$60,2,FALSE),0),"")</f>
        <v/>
      </c>
      <c r="AF134" t="str">
        <f>IFERROR(ROUND(S134*VLOOKUP(R134,商品!$A$4:$B$60,2,FALSE),0),"")</f>
        <v/>
      </c>
    </row>
    <row r="135" spans="1:32" ht="19.05" customHeight="1" x14ac:dyDescent="0.25">
      <c r="A135" s="16" t="s">
        <v>202</v>
      </c>
      <c r="C135" s="16">
        <v>4</v>
      </c>
      <c r="T135" s="2">
        <f t="shared" si="8"/>
        <v>0</v>
      </c>
      <c r="U135" s="2">
        <f t="shared" si="9"/>
        <v>0</v>
      </c>
      <c r="V135" s="2">
        <f t="shared" si="10"/>
        <v>0</v>
      </c>
      <c r="W135" s="2">
        <f t="shared" si="11"/>
        <v>0</v>
      </c>
      <c r="Y135" t="str">
        <f>IFERROR(ROUND(E135*VLOOKUP(D135,商品!$A$4:$B$60,2,FALSE),0),"")</f>
        <v/>
      </c>
      <c r="Z135" t="str">
        <f>IFERROR(ROUND(G135*VLOOKUP(F135,商品!$A$4:$B$60,2,FALSE),0),"")</f>
        <v/>
      </c>
      <c r="AA135" t="str">
        <f>IFERROR(ROUND(I135*VLOOKUP(H135,商品!$A$4:$B$60,2,FALSE),0),"")</f>
        <v/>
      </c>
      <c r="AB135" t="str">
        <f>IFERROR(ROUND(K135*VLOOKUP(J135,[1]note_pop_types!$A$16:$E$16,4,FALSE),0),"")</f>
        <v/>
      </c>
      <c r="AC135" t="str">
        <f>IFERROR(ROUND(M135*VLOOKUP(L135,[1]note_pop_types!$A$16:$E$16,4,FALSE),0),"")</f>
        <v/>
      </c>
      <c r="AD135" t="str">
        <f>IFERROR(ROUND(O135*VLOOKUP(N135,[1]note_pop_types!$A$16:$E$16,4,FALSE),0),"")</f>
        <v/>
      </c>
      <c r="AE135" t="str">
        <f>IFERROR(ROUND(Q135*VLOOKUP(P135,商品!$A$4:$B$60,2,FALSE),0),"")</f>
        <v/>
      </c>
      <c r="AF135" t="str">
        <f>IFERROR(ROUND(S135*VLOOKUP(R135,商品!$A$4:$B$60,2,FALSE),0),"")</f>
        <v/>
      </c>
    </row>
    <row r="136" spans="1:32" ht="19.05" customHeight="1" x14ac:dyDescent="0.25">
      <c r="A136" s="16" t="s">
        <v>202</v>
      </c>
      <c r="C136" s="16">
        <v>5</v>
      </c>
      <c r="T136" s="2">
        <f t="shared" si="8"/>
        <v>0</v>
      </c>
      <c r="U136" s="2">
        <f t="shared" si="9"/>
        <v>0</v>
      </c>
      <c r="V136" s="2">
        <f t="shared" si="10"/>
        <v>0</v>
      </c>
      <c r="W136" s="2">
        <f t="shared" si="11"/>
        <v>0</v>
      </c>
      <c r="Y136" t="str">
        <f>IFERROR(ROUND(E136*VLOOKUP(D136,商品!$A$4:$B$60,2,FALSE),0),"")</f>
        <v/>
      </c>
      <c r="Z136" t="str">
        <f>IFERROR(ROUND(G136*VLOOKUP(F136,商品!$A$4:$B$60,2,FALSE),0),"")</f>
        <v/>
      </c>
      <c r="AA136" t="str">
        <f>IFERROR(ROUND(I136*VLOOKUP(H136,商品!$A$4:$B$60,2,FALSE),0),"")</f>
        <v/>
      </c>
      <c r="AB136" t="str">
        <f>IFERROR(ROUND(K136*VLOOKUP(J136,[1]note_pop_types!$A$16:$E$16,4,FALSE),0),"")</f>
        <v/>
      </c>
      <c r="AC136" t="str">
        <f>IFERROR(ROUND(M136*VLOOKUP(L136,[1]note_pop_types!$A$16:$E$16,4,FALSE),0),"")</f>
        <v/>
      </c>
      <c r="AD136" t="str">
        <f>IFERROR(ROUND(O136*VLOOKUP(N136,[1]note_pop_types!$A$16:$E$16,4,FALSE),0),"")</f>
        <v/>
      </c>
      <c r="AE136" t="str">
        <f>IFERROR(ROUND(Q136*VLOOKUP(P136,商品!$A$4:$B$60,2,FALSE),0),"")</f>
        <v/>
      </c>
      <c r="AF136" t="str">
        <f>IFERROR(ROUND(S136*VLOOKUP(R136,商品!$A$4:$B$60,2,FALSE),0),"")</f>
        <v/>
      </c>
    </row>
    <row r="137" spans="1:32" ht="19.05" customHeight="1" x14ac:dyDescent="0.25">
      <c r="A137" s="16" t="s">
        <v>202</v>
      </c>
      <c r="C137" s="16">
        <v>6</v>
      </c>
      <c r="T137" s="2">
        <f t="shared" si="8"/>
        <v>0</v>
      </c>
      <c r="U137" s="2">
        <f t="shared" si="9"/>
        <v>0</v>
      </c>
      <c r="V137" s="2">
        <f t="shared" si="10"/>
        <v>0</v>
      </c>
      <c r="W137" s="2">
        <f t="shared" si="11"/>
        <v>0</v>
      </c>
      <c r="Y137" t="str">
        <f>IFERROR(ROUND(E137*VLOOKUP(D137,商品!$A$4:$B$60,2,FALSE),0),"")</f>
        <v/>
      </c>
      <c r="Z137" t="str">
        <f>IFERROR(ROUND(G137*VLOOKUP(F137,商品!$A$4:$B$60,2,FALSE),0),"")</f>
        <v/>
      </c>
      <c r="AA137" t="str">
        <f>IFERROR(ROUND(I137*VLOOKUP(H137,商品!$A$4:$B$60,2,FALSE),0),"")</f>
        <v/>
      </c>
      <c r="AB137" t="str">
        <f>IFERROR(ROUND(K137*VLOOKUP(J137,[1]note_pop_types!$A$16:$E$16,4,FALSE),0),"")</f>
        <v/>
      </c>
      <c r="AC137" t="str">
        <f>IFERROR(ROUND(M137*VLOOKUP(L137,[1]note_pop_types!$A$16:$E$16,4,FALSE),0),"")</f>
        <v/>
      </c>
      <c r="AD137" t="str">
        <f>IFERROR(ROUND(O137*VLOOKUP(N137,[1]note_pop_types!$A$16:$E$16,4,FALSE),0),"")</f>
        <v/>
      </c>
      <c r="AE137" t="str">
        <f>IFERROR(ROUND(Q137*VLOOKUP(P137,商品!$A$4:$B$60,2,FALSE),0),"")</f>
        <v/>
      </c>
      <c r="AF137" t="str">
        <f>IFERROR(ROUND(S137*VLOOKUP(R137,商品!$A$4:$B$60,2,FALSE),0),"")</f>
        <v/>
      </c>
    </row>
    <row r="138" spans="1:32" ht="19.05" customHeight="1" x14ac:dyDescent="0.25">
      <c r="A138" s="16" t="s">
        <v>202</v>
      </c>
      <c r="C138" s="16">
        <v>7</v>
      </c>
      <c r="T138" s="2">
        <f t="shared" si="8"/>
        <v>0</v>
      </c>
      <c r="U138" s="2">
        <f t="shared" si="9"/>
        <v>0</v>
      </c>
      <c r="V138" s="2">
        <f t="shared" si="10"/>
        <v>0</v>
      </c>
      <c r="W138" s="2">
        <f t="shared" si="11"/>
        <v>0</v>
      </c>
      <c r="Y138" t="str">
        <f>IFERROR(ROUND(E138*VLOOKUP(D138,商品!$A$4:$B$60,2,FALSE),0),"")</f>
        <v/>
      </c>
      <c r="Z138" t="str">
        <f>IFERROR(ROUND(G138*VLOOKUP(F138,商品!$A$4:$B$60,2,FALSE),0),"")</f>
        <v/>
      </c>
      <c r="AA138" t="str">
        <f>IFERROR(ROUND(I138*VLOOKUP(H138,商品!$A$4:$B$60,2,FALSE),0),"")</f>
        <v/>
      </c>
      <c r="AB138" t="str">
        <f>IFERROR(ROUND(K138*VLOOKUP(J138,[1]note_pop_types!$A$16:$E$16,4,FALSE),0),"")</f>
        <v/>
      </c>
      <c r="AC138" t="str">
        <f>IFERROR(ROUND(M138*VLOOKUP(L138,[1]note_pop_types!$A$16:$E$16,4,FALSE),0),"")</f>
        <v/>
      </c>
      <c r="AD138" t="str">
        <f>IFERROR(ROUND(O138*VLOOKUP(N138,[1]note_pop_types!$A$16:$E$16,4,FALSE),0),"")</f>
        <v/>
      </c>
      <c r="AE138" t="str">
        <f>IFERROR(ROUND(Q138*VLOOKUP(P138,商品!$A$4:$B$60,2,FALSE),0),"")</f>
        <v/>
      </c>
      <c r="AF138" t="str">
        <f>IFERROR(ROUND(S138*VLOOKUP(R138,商品!$A$4:$B$60,2,FALSE),0),"")</f>
        <v/>
      </c>
    </row>
    <row r="139" spans="1:32" ht="19.05" customHeight="1" x14ac:dyDescent="0.25">
      <c r="A139" s="16" t="s">
        <v>202</v>
      </c>
      <c r="C139" s="16">
        <v>8</v>
      </c>
      <c r="T139" s="2">
        <f t="shared" si="8"/>
        <v>0</v>
      </c>
      <c r="U139" s="2">
        <f t="shared" si="9"/>
        <v>0</v>
      </c>
      <c r="V139" s="2">
        <f t="shared" si="10"/>
        <v>0</v>
      </c>
      <c r="W139" s="2">
        <f t="shared" si="11"/>
        <v>0</v>
      </c>
      <c r="Y139" t="str">
        <f>IFERROR(ROUND(E139*VLOOKUP(D139,商品!$A$4:$B$60,2,FALSE),0),"")</f>
        <v/>
      </c>
      <c r="Z139" t="str">
        <f>IFERROR(ROUND(G139*VLOOKUP(F139,商品!$A$4:$B$60,2,FALSE),0),"")</f>
        <v/>
      </c>
      <c r="AA139" t="str">
        <f>IFERROR(ROUND(I139*VLOOKUP(H139,商品!$A$4:$B$60,2,FALSE),0),"")</f>
        <v/>
      </c>
      <c r="AB139" t="str">
        <f>IFERROR(ROUND(K139*VLOOKUP(J139,[1]note_pop_types!$A$16:$E$16,4,FALSE),0),"")</f>
        <v/>
      </c>
      <c r="AC139" t="str">
        <f>IFERROR(ROUND(M139*VLOOKUP(L139,[1]note_pop_types!$A$16:$E$16,4,FALSE),0),"")</f>
        <v/>
      </c>
      <c r="AD139" t="str">
        <f>IFERROR(ROUND(O139*VLOOKUP(N139,[1]note_pop_types!$A$16:$E$16,4,FALSE),0),"")</f>
        <v/>
      </c>
      <c r="AE139" t="str">
        <f>IFERROR(ROUND(Q139*VLOOKUP(P139,商品!$A$4:$B$60,2,FALSE),0),"")</f>
        <v/>
      </c>
      <c r="AF139" t="str">
        <f>IFERROR(ROUND(S139*VLOOKUP(R139,商品!$A$4:$B$60,2,FALSE),0),"")</f>
        <v/>
      </c>
    </row>
    <row r="140" spans="1:32" ht="19.05" customHeight="1" x14ac:dyDescent="0.25">
      <c r="A140" s="15" t="s">
        <v>204</v>
      </c>
      <c r="C140" s="15">
        <v>1</v>
      </c>
      <c r="T140" s="2">
        <f t="shared" si="8"/>
        <v>0</v>
      </c>
      <c r="U140" s="2">
        <f t="shared" si="9"/>
        <v>0</v>
      </c>
      <c r="V140" s="2">
        <f t="shared" si="10"/>
        <v>0</v>
      </c>
      <c r="W140" s="2">
        <f t="shared" si="11"/>
        <v>0</v>
      </c>
      <c r="Y140" t="str">
        <f>IFERROR(ROUND(E140*VLOOKUP(D140,商品!$A$4:$B$60,2,FALSE),0),"")</f>
        <v/>
      </c>
      <c r="Z140" t="str">
        <f>IFERROR(ROUND(G140*VLOOKUP(F140,商品!$A$4:$B$60,2,FALSE),0),"")</f>
        <v/>
      </c>
      <c r="AA140" t="str">
        <f>IFERROR(ROUND(I140*VLOOKUP(H140,商品!$A$4:$B$60,2,FALSE),0),"")</f>
        <v/>
      </c>
      <c r="AB140" t="str">
        <f>IFERROR(ROUND(K140*VLOOKUP(J140,[1]note_pop_types!$A$16:$E$16,4,FALSE),0),"")</f>
        <v/>
      </c>
      <c r="AC140" t="str">
        <f>IFERROR(ROUND(M140*VLOOKUP(L140,[1]note_pop_types!$A$16:$E$16,4,FALSE),0),"")</f>
        <v/>
      </c>
      <c r="AD140" t="str">
        <f>IFERROR(ROUND(O140*VLOOKUP(N140,[1]note_pop_types!$A$16:$E$16,4,FALSE),0),"")</f>
        <v/>
      </c>
      <c r="AE140" t="str">
        <f>IFERROR(ROUND(Q140*VLOOKUP(P140,商品!$A$4:$B$60,2,FALSE),0),"")</f>
        <v/>
      </c>
      <c r="AF140" t="str">
        <f>IFERROR(ROUND(S140*VLOOKUP(R140,商品!$A$4:$B$60,2,FALSE),0),"")</f>
        <v/>
      </c>
    </row>
    <row r="141" spans="1:32" ht="19.05" customHeight="1" x14ac:dyDescent="0.25">
      <c r="A141" s="15" t="s">
        <v>204</v>
      </c>
      <c r="C141" s="15">
        <v>2</v>
      </c>
      <c r="T141" s="2">
        <f t="shared" si="8"/>
        <v>0</v>
      </c>
      <c r="U141" s="2">
        <f t="shared" si="9"/>
        <v>0</v>
      </c>
      <c r="V141" s="2">
        <f t="shared" si="10"/>
        <v>0</v>
      </c>
      <c r="W141" s="2">
        <f t="shared" si="11"/>
        <v>0</v>
      </c>
      <c r="Y141" t="str">
        <f>IFERROR(ROUND(E141*VLOOKUP(D141,商品!$A$4:$B$60,2,FALSE),0),"")</f>
        <v/>
      </c>
      <c r="Z141" t="str">
        <f>IFERROR(ROUND(G141*VLOOKUP(F141,商品!$A$4:$B$60,2,FALSE),0),"")</f>
        <v/>
      </c>
      <c r="AA141" t="str">
        <f>IFERROR(ROUND(I141*VLOOKUP(H141,商品!$A$4:$B$60,2,FALSE),0),"")</f>
        <v/>
      </c>
      <c r="AB141" t="str">
        <f>IFERROR(ROUND(K141*VLOOKUP(J141,[1]note_pop_types!$A$16:$E$16,4,FALSE),0),"")</f>
        <v/>
      </c>
      <c r="AC141" t="str">
        <f>IFERROR(ROUND(M141*VLOOKUP(L141,[1]note_pop_types!$A$16:$E$16,4,FALSE),0),"")</f>
        <v/>
      </c>
      <c r="AD141" t="str">
        <f>IFERROR(ROUND(O141*VLOOKUP(N141,[1]note_pop_types!$A$16:$E$16,4,FALSE),0),"")</f>
        <v/>
      </c>
      <c r="AE141" t="str">
        <f>IFERROR(ROUND(Q141*VLOOKUP(P141,商品!$A$4:$B$60,2,FALSE),0),"")</f>
        <v/>
      </c>
      <c r="AF141" t="str">
        <f>IFERROR(ROUND(S141*VLOOKUP(R141,商品!$A$4:$B$60,2,FALSE),0),"")</f>
        <v/>
      </c>
    </row>
    <row r="142" spans="1:32" ht="19.05" customHeight="1" x14ac:dyDescent="0.25">
      <c r="A142" s="15" t="s">
        <v>204</v>
      </c>
      <c r="C142" s="15">
        <v>3</v>
      </c>
      <c r="T142" s="2">
        <f t="shared" si="8"/>
        <v>0</v>
      </c>
      <c r="U142" s="2">
        <f t="shared" si="9"/>
        <v>0</v>
      </c>
      <c r="V142" s="2">
        <f t="shared" si="10"/>
        <v>0</v>
      </c>
      <c r="W142" s="2">
        <f t="shared" si="11"/>
        <v>0</v>
      </c>
      <c r="Y142" t="str">
        <f>IFERROR(ROUND(E142*VLOOKUP(D142,商品!$A$4:$B$60,2,FALSE),0),"")</f>
        <v/>
      </c>
      <c r="Z142" t="str">
        <f>IFERROR(ROUND(G142*VLOOKUP(F142,商品!$A$4:$B$60,2,FALSE),0),"")</f>
        <v/>
      </c>
      <c r="AA142" t="str">
        <f>IFERROR(ROUND(I142*VLOOKUP(H142,商品!$A$4:$B$60,2,FALSE),0),"")</f>
        <v/>
      </c>
      <c r="AB142" t="str">
        <f>IFERROR(ROUND(K142*VLOOKUP(J142,[1]note_pop_types!$A$16:$E$16,4,FALSE),0),"")</f>
        <v/>
      </c>
      <c r="AC142" t="str">
        <f>IFERROR(ROUND(M142*VLOOKUP(L142,[1]note_pop_types!$A$16:$E$16,4,FALSE),0),"")</f>
        <v/>
      </c>
      <c r="AD142" t="str">
        <f>IFERROR(ROUND(O142*VLOOKUP(N142,[1]note_pop_types!$A$16:$E$16,4,FALSE),0),"")</f>
        <v/>
      </c>
      <c r="AE142" t="str">
        <f>IFERROR(ROUND(Q142*VLOOKUP(P142,商品!$A$4:$B$60,2,FALSE),0),"")</f>
        <v/>
      </c>
      <c r="AF142" t="str">
        <f>IFERROR(ROUND(S142*VLOOKUP(R142,商品!$A$4:$B$60,2,FALSE),0),"")</f>
        <v/>
      </c>
    </row>
    <row r="143" spans="1:32" ht="19.05" customHeight="1" x14ac:dyDescent="0.25">
      <c r="A143" s="15" t="s">
        <v>204</v>
      </c>
      <c r="C143" s="15">
        <v>4</v>
      </c>
      <c r="T143" s="2">
        <f t="shared" si="8"/>
        <v>0</v>
      </c>
      <c r="U143" s="2">
        <f t="shared" si="9"/>
        <v>0</v>
      </c>
      <c r="V143" s="2">
        <f t="shared" si="10"/>
        <v>0</v>
      </c>
      <c r="W143" s="2">
        <f t="shared" si="11"/>
        <v>0</v>
      </c>
      <c r="Y143" t="str">
        <f>IFERROR(ROUND(E143*VLOOKUP(D143,商品!$A$4:$B$60,2,FALSE),0),"")</f>
        <v/>
      </c>
      <c r="Z143" t="str">
        <f>IFERROR(ROUND(G143*VLOOKUP(F143,商品!$A$4:$B$60,2,FALSE),0),"")</f>
        <v/>
      </c>
      <c r="AA143" t="str">
        <f>IFERROR(ROUND(I143*VLOOKUP(H143,商品!$A$4:$B$60,2,FALSE),0),"")</f>
        <v/>
      </c>
      <c r="AB143" t="str">
        <f>IFERROR(ROUND(K143*VLOOKUP(J143,[1]note_pop_types!$A$16:$E$16,4,FALSE),0),"")</f>
        <v/>
      </c>
      <c r="AC143" t="str">
        <f>IFERROR(ROUND(M143*VLOOKUP(L143,[1]note_pop_types!$A$16:$E$16,4,FALSE),0),"")</f>
        <v/>
      </c>
      <c r="AD143" t="str">
        <f>IFERROR(ROUND(O143*VLOOKUP(N143,[1]note_pop_types!$A$16:$E$16,4,FALSE),0),"")</f>
        <v/>
      </c>
      <c r="AE143" t="str">
        <f>IFERROR(ROUND(Q143*VLOOKUP(P143,商品!$A$4:$B$60,2,FALSE),0),"")</f>
        <v/>
      </c>
      <c r="AF143" t="str">
        <f>IFERROR(ROUND(S143*VLOOKUP(R143,商品!$A$4:$B$60,2,FALSE),0),"")</f>
        <v/>
      </c>
    </row>
    <row r="144" spans="1:32" ht="19.05" customHeight="1" x14ac:dyDescent="0.25">
      <c r="A144" s="15" t="s">
        <v>204</v>
      </c>
      <c r="C144" s="15">
        <v>5</v>
      </c>
      <c r="T144" s="2">
        <f t="shared" si="8"/>
        <v>0</v>
      </c>
      <c r="U144" s="2">
        <f t="shared" si="9"/>
        <v>0</v>
      </c>
      <c r="V144" s="2">
        <f t="shared" si="10"/>
        <v>0</v>
      </c>
      <c r="W144" s="2">
        <f t="shared" si="11"/>
        <v>0</v>
      </c>
      <c r="Y144" t="str">
        <f>IFERROR(ROUND(E144*VLOOKUP(D144,商品!$A$4:$B$60,2,FALSE),0),"")</f>
        <v/>
      </c>
      <c r="Z144" t="str">
        <f>IFERROR(ROUND(G144*VLOOKUP(F144,商品!$A$4:$B$60,2,FALSE),0),"")</f>
        <v/>
      </c>
      <c r="AA144" t="str">
        <f>IFERROR(ROUND(I144*VLOOKUP(H144,商品!$A$4:$B$60,2,FALSE),0),"")</f>
        <v/>
      </c>
      <c r="AB144" t="str">
        <f>IFERROR(ROUND(K144*VLOOKUP(J144,[1]note_pop_types!$A$16:$E$16,4,FALSE),0),"")</f>
        <v/>
      </c>
      <c r="AC144" t="str">
        <f>IFERROR(ROUND(M144*VLOOKUP(L144,[1]note_pop_types!$A$16:$E$16,4,FALSE),0),"")</f>
        <v/>
      </c>
      <c r="AD144" t="str">
        <f>IFERROR(ROUND(O144*VLOOKUP(N144,[1]note_pop_types!$A$16:$E$16,4,FALSE),0),"")</f>
        <v/>
      </c>
      <c r="AE144" t="str">
        <f>IFERROR(ROUND(Q144*VLOOKUP(P144,商品!$A$4:$B$60,2,FALSE),0),"")</f>
        <v/>
      </c>
      <c r="AF144" t="str">
        <f>IFERROR(ROUND(S144*VLOOKUP(R144,商品!$A$4:$B$60,2,FALSE),0),"")</f>
        <v/>
      </c>
    </row>
    <row r="145" spans="1:32" ht="19.05" customHeight="1" x14ac:dyDescent="0.25">
      <c r="A145" s="16" t="s">
        <v>205</v>
      </c>
      <c r="C145" s="16">
        <v>1</v>
      </c>
      <c r="T145" s="2">
        <f t="shared" si="8"/>
        <v>0</v>
      </c>
      <c r="U145" s="2">
        <f t="shared" si="9"/>
        <v>0</v>
      </c>
      <c r="V145" s="2">
        <f t="shared" si="10"/>
        <v>0</v>
      </c>
      <c r="W145" s="2">
        <f t="shared" si="11"/>
        <v>0</v>
      </c>
      <c r="Y145" t="str">
        <f>IFERROR(ROUND(E145*VLOOKUP(D145,商品!$A$4:$B$60,2,FALSE),0),"")</f>
        <v/>
      </c>
      <c r="Z145" t="str">
        <f>IFERROR(ROUND(G145*VLOOKUP(F145,商品!$A$4:$B$60,2,FALSE),0),"")</f>
        <v/>
      </c>
      <c r="AA145" t="str">
        <f>IFERROR(ROUND(I145*VLOOKUP(H145,商品!$A$4:$B$60,2,FALSE),0),"")</f>
        <v/>
      </c>
      <c r="AB145" t="str">
        <f>IFERROR(ROUND(K145*VLOOKUP(J145,[1]note_pop_types!$A$16:$E$16,4,FALSE),0),"")</f>
        <v/>
      </c>
      <c r="AC145" t="str">
        <f>IFERROR(ROUND(M145*VLOOKUP(L145,[1]note_pop_types!$A$16:$E$16,4,FALSE),0),"")</f>
        <v/>
      </c>
      <c r="AD145" t="str">
        <f>IFERROR(ROUND(O145*VLOOKUP(N145,[1]note_pop_types!$A$16:$E$16,4,FALSE),0),"")</f>
        <v/>
      </c>
      <c r="AE145" t="str">
        <f>IFERROR(ROUND(Q145*VLOOKUP(P145,商品!$A$4:$B$60,2,FALSE),0),"")</f>
        <v/>
      </c>
      <c r="AF145" t="str">
        <f>IFERROR(ROUND(S145*VLOOKUP(R145,商品!$A$4:$B$60,2,FALSE),0),"")</f>
        <v/>
      </c>
    </row>
    <row r="146" spans="1:32" ht="19.05" customHeight="1" x14ac:dyDescent="0.25">
      <c r="A146" s="16" t="s">
        <v>205</v>
      </c>
      <c r="C146" s="16">
        <v>2</v>
      </c>
      <c r="T146" s="2">
        <f t="shared" si="8"/>
        <v>0</v>
      </c>
      <c r="U146" s="2">
        <f t="shared" si="9"/>
        <v>0</v>
      </c>
      <c r="V146" s="2">
        <f t="shared" si="10"/>
        <v>0</v>
      </c>
      <c r="W146" s="2">
        <f t="shared" si="11"/>
        <v>0</v>
      </c>
      <c r="Y146" t="str">
        <f>IFERROR(ROUND(E146*VLOOKUP(D146,商品!$A$4:$B$60,2,FALSE),0),"")</f>
        <v/>
      </c>
      <c r="Z146" t="str">
        <f>IFERROR(ROUND(G146*VLOOKUP(F146,商品!$A$4:$B$60,2,FALSE),0),"")</f>
        <v/>
      </c>
      <c r="AA146" t="str">
        <f>IFERROR(ROUND(I146*VLOOKUP(H146,商品!$A$4:$B$60,2,FALSE),0),"")</f>
        <v/>
      </c>
      <c r="AB146" t="str">
        <f>IFERROR(ROUND(K146*VLOOKUP(J146,[1]note_pop_types!$A$16:$E$16,4,FALSE),0),"")</f>
        <v/>
      </c>
      <c r="AC146" t="str">
        <f>IFERROR(ROUND(M146*VLOOKUP(L146,[1]note_pop_types!$A$16:$E$16,4,FALSE),0),"")</f>
        <v/>
      </c>
      <c r="AD146" t="str">
        <f>IFERROR(ROUND(O146*VLOOKUP(N146,[1]note_pop_types!$A$16:$E$16,4,FALSE),0),"")</f>
        <v/>
      </c>
      <c r="AE146" t="str">
        <f>IFERROR(ROUND(Q146*VLOOKUP(P146,商品!$A$4:$B$60,2,FALSE),0),"")</f>
        <v/>
      </c>
      <c r="AF146" t="str">
        <f>IFERROR(ROUND(S146*VLOOKUP(R146,商品!$A$4:$B$60,2,FALSE),0),"")</f>
        <v/>
      </c>
    </row>
    <row r="147" spans="1:32" ht="19.05" customHeight="1" x14ac:dyDescent="0.25">
      <c r="A147" s="16" t="s">
        <v>205</v>
      </c>
      <c r="C147" s="16">
        <v>3</v>
      </c>
      <c r="T147" s="2">
        <f t="shared" si="8"/>
        <v>0</v>
      </c>
      <c r="U147" s="2">
        <f t="shared" si="9"/>
        <v>0</v>
      </c>
      <c r="V147" s="2">
        <f t="shared" si="10"/>
        <v>0</v>
      </c>
      <c r="W147" s="2">
        <f t="shared" si="11"/>
        <v>0</v>
      </c>
      <c r="Y147" t="str">
        <f>IFERROR(ROUND(E147*VLOOKUP(D147,商品!$A$4:$B$60,2,FALSE),0),"")</f>
        <v/>
      </c>
      <c r="Z147" t="str">
        <f>IFERROR(ROUND(G147*VLOOKUP(F147,商品!$A$4:$B$60,2,FALSE),0),"")</f>
        <v/>
      </c>
      <c r="AA147" t="str">
        <f>IFERROR(ROUND(I147*VLOOKUP(H147,商品!$A$4:$B$60,2,FALSE),0),"")</f>
        <v/>
      </c>
      <c r="AB147" t="str">
        <f>IFERROR(ROUND(K147*VLOOKUP(J147,[1]note_pop_types!$A$16:$E$16,4,FALSE),0),"")</f>
        <v/>
      </c>
      <c r="AC147" t="str">
        <f>IFERROR(ROUND(M147*VLOOKUP(L147,[1]note_pop_types!$A$16:$E$16,4,FALSE),0),"")</f>
        <v/>
      </c>
      <c r="AD147" t="str">
        <f>IFERROR(ROUND(O147*VLOOKUP(N147,[1]note_pop_types!$A$16:$E$16,4,FALSE),0),"")</f>
        <v/>
      </c>
      <c r="AE147" t="str">
        <f>IFERROR(ROUND(Q147*VLOOKUP(P147,商品!$A$4:$B$60,2,FALSE),0),"")</f>
        <v/>
      </c>
      <c r="AF147" t="str">
        <f>IFERROR(ROUND(S147*VLOOKUP(R147,商品!$A$4:$B$60,2,FALSE),0),"")</f>
        <v/>
      </c>
    </row>
    <row r="148" spans="1:32" ht="19.05" customHeight="1" x14ac:dyDescent="0.25">
      <c r="A148" s="16" t="s">
        <v>205</v>
      </c>
      <c r="C148" s="16">
        <v>4</v>
      </c>
      <c r="T148" s="2">
        <f t="shared" si="8"/>
        <v>0</v>
      </c>
      <c r="U148" s="2">
        <f t="shared" si="9"/>
        <v>0</v>
      </c>
      <c r="V148" s="2">
        <f t="shared" si="10"/>
        <v>0</v>
      </c>
      <c r="W148" s="2">
        <f t="shared" si="11"/>
        <v>0</v>
      </c>
      <c r="Y148" t="str">
        <f>IFERROR(ROUND(E148*VLOOKUP(D148,商品!$A$4:$B$60,2,FALSE),0),"")</f>
        <v/>
      </c>
      <c r="Z148" t="str">
        <f>IFERROR(ROUND(G148*VLOOKUP(F148,商品!$A$4:$B$60,2,FALSE),0),"")</f>
        <v/>
      </c>
      <c r="AA148" t="str">
        <f>IFERROR(ROUND(I148*VLOOKUP(H148,商品!$A$4:$B$60,2,FALSE),0),"")</f>
        <v/>
      </c>
      <c r="AB148" t="str">
        <f>IFERROR(ROUND(K148*VLOOKUP(J148,[1]note_pop_types!$A$16:$E$16,4,FALSE),0),"")</f>
        <v/>
      </c>
      <c r="AC148" t="str">
        <f>IFERROR(ROUND(M148*VLOOKUP(L148,[1]note_pop_types!$A$16:$E$16,4,FALSE),0),"")</f>
        <v/>
      </c>
      <c r="AD148" t="str">
        <f>IFERROR(ROUND(O148*VLOOKUP(N148,[1]note_pop_types!$A$16:$E$16,4,FALSE),0),"")</f>
        <v/>
      </c>
      <c r="AE148" t="str">
        <f>IFERROR(ROUND(Q148*VLOOKUP(P148,商品!$A$4:$B$60,2,FALSE),0),"")</f>
        <v/>
      </c>
      <c r="AF148" t="str">
        <f>IFERROR(ROUND(S148*VLOOKUP(R148,商品!$A$4:$B$60,2,FALSE),0),"")</f>
        <v/>
      </c>
    </row>
    <row r="149" spans="1:32" ht="19.05" customHeight="1" x14ac:dyDescent="0.25">
      <c r="A149" s="16" t="s">
        <v>205</v>
      </c>
      <c r="C149" s="16">
        <v>5</v>
      </c>
      <c r="T149" s="2">
        <f t="shared" si="8"/>
        <v>0</v>
      </c>
      <c r="U149" s="2">
        <f t="shared" si="9"/>
        <v>0</v>
      </c>
      <c r="V149" s="2">
        <f t="shared" si="10"/>
        <v>0</v>
      </c>
      <c r="W149" s="2">
        <f t="shared" si="11"/>
        <v>0</v>
      </c>
      <c r="Y149" t="str">
        <f>IFERROR(ROUND(E149*VLOOKUP(D149,商品!$A$4:$B$60,2,FALSE),0),"")</f>
        <v/>
      </c>
      <c r="Z149" t="str">
        <f>IFERROR(ROUND(G149*VLOOKUP(F149,商品!$A$4:$B$60,2,FALSE),0),"")</f>
        <v/>
      </c>
      <c r="AA149" t="str">
        <f>IFERROR(ROUND(I149*VLOOKUP(H149,商品!$A$4:$B$60,2,FALSE),0),"")</f>
        <v/>
      </c>
      <c r="AB149" t="str">
        <f>IFERROR(ROUND(K149*VLOOKUP(J149,[1]note_pop_types!$A$16:$E$16,4,FALSE),0),"")</f>
        <v/>
      </c>
      <c r="AC149" t="str">
        <f>IFERROR(ROUND(M149*VLOOKUP(L149,[1]note_pop_types!$A$16:$E$16,4,FALSE),0),"")</f>
        <v/>
      </c>
      <c r="AD149" t="str">
        <f>IFERROR(ROUND(O149*VLOOKUP(N149,[1]note_pop_types!$A$16:$E$16,4,FALSE),0),"")</f>
        <v/>
      </c>
      <c r="AE149" t="str">
        <f>IFERROR(ROUND(Q149*VLOOKUP(P149,商品!$A$4:$B$60,2,FALSE),0),"")</f>
        <v/>
      </c>
      <c r="AF149" t="str">
        <f>IFERROR(ROUND(S149*VLOOKUP(R149,商品!$A$4:$B$60,2,FALSE),0),"")</f>
        <v/>
      </c>
    </row>
    <row r="150" spans="1:32" ht="19.05" customHeight="1" x14ac:dyDescent="0.25">
      <c r="A150" s="15" t="s">
        <v>510</v>
      </c>
      <c r="C150" s="15">
        <v>1</v>
      </c>
      <c r="T150" s="2">
        <f t="shared" si="8"/>
        <v>0</v>
      </c>
      <c r="U150" s="2">
        <f t="shared" si="9"/>
        <v>0</v>
      </c>
      <c r="V150" s="2">
        <f t="shared" si="10"/>
        <v>0</v>
      </c>
      <c r="W150" s="2">
        <f t="shared" si="11"/>
        <v>0</v>
      </c>
      <c r="Y150" t="str">
        <f>IFERROR(ROUND(E150*VLOOKUP(D150,商品!$A$4:$B$60,2,FALSE),0),"")</f>
        <v/>
      </c>
      <c r="Z150" t="str">
        <f>IFERROR(ROUND(G150*VLOOKUP(F150,商品!$A$4:$B$60,2,FALSE),0),"")</f>
        <v/>
      </c>
      <c r="AA150" t="str">
        <f>IFERROR(ROUND(I150*VLOOKUP(H150,商品!$A$4:$B$60,2,FALSE),0),"")</f>
        <v/>
      </c>
      <c r="AB150" t="str">
        <f>IFERROR(ROUND(K150*VLOOKUP(J150,[1]note_pop_types!$A$16:$E$16,4,FALSE),0),"")</f>
        <v/>
      </c>
      <c r="AC150" t="str">
        <f>IFERROR(ROUND(M150*VLOOKUP(L150,[1]note_pop_types!$A$16:$E$16,4,FALSE),0),"")</f>
        <v/>
      </c>
      <c r="AD150" t="str">
        <f>IFERROR(ROUND(O150*VLOOKUP(N150,[1]note_pop_types!$A$16:$E$16,4,FALSE),0),"")</f>
        <v/>
      </c>
      <c r="AE150" t="str">
        <f>IFERROR(ROUND(Q150*VLOOKUP(P150,商品!$A$4:$B$60,2,FALSE),0),"")</f>
        <v/>
      </c>
      <c r="AF150" t="str">
        <f>IFERROR(ROUND(S150*VLOOKUP(R150,商品!$A$4:$B$60,2,FALSE),0),"")</f>
        <v/>
      </c>
    </row>
    <row r="151" spans="1:32" ht="19.05" customHeight="1" x14ac:dyDescent="0.25">
      <c r="A151" s="15" t="s">
        <v>510</v>
      </c>
      <c r="C151" s="15">
        <v>2</v>
      </c>
      <c r="T151" s="2">
        <f t="shared" si="8"/>
        <v>0</v>
      </c>
      <c r="U151" s="2">
        <f t="shared" si="9"/>
        <v>0</v>
      </c>
      <c r="V151" s="2">
        <f t="shared" si="10"/>
        <v>0</v>
      </c>
      <c r="W151" s="2">
        <f t="shared" si="11"/>
        <v>0</v>
      </c>
      <c r="Y151" t="str">
        <f>IFERROR(ROUND(E151*VLOOKUP(D151,商品!$A$4:$B$60,2,FALSE),0),"")</f>
        <v/>
      </c>
      <c r="Z151" t="str">
        <f>IFERROR(ROUND(G151*VLOOKUP(F151,商品!$A$4:$B$60,2,FALSE),0),"")</f>
        <v/>
      </c>
      <c r="AA151" t="str">
        <f>IFERROR(ROUND(I151*VLOOKUP(H151,商品!$A$4:$B$60,2,FALSE),0),"")</f>
        <v/>
      </c>
      <c r="AB151" t="str">
        <f>IFERROR(ROUND(K151*VLOOKUP(J151,[1]note_pop_types!$A$16:$E$16,4,FALSE),0),"")</f>
        <v/>
      </c>
      <c r="AC151" t="str">
        <f>IFERROR(ROUND(M151*VLOOKUP(L151,[1]note_pop_types!$A$16:$E$16,4,FALSE),0),"")</f>
        <v/>
      </c>
      <c r="AD151" t="str">
        <f>IFERROR(ROUND(O151*VLOOKUP(N151,[1]note_pop_types!$A$16:$E$16,4,FALSE),0),"")</f>
        <v/>
      </c>
      <c r="AE151" t="str">
        <f>IFERROR(ROUND(Q151*VLOOKUP(P151,商品!$A$4:$B$60,2,FALSE),0),"")</f>
        <v/>
      </c>
      <c r="AF151" t="str">
        <f>IFERROR(ROUND(S151*VLOOKUP(R151,商品!$A$4:$B$60,2,FALSE),0),"")</f>
        <v/>
      </c>
    </row>
    <row r="152" spans="1:32" ht="19.05" customHeight="1" x14ac:dyDescent="0.25">
      <c r="A152" s="15" t="s">
        <v>510</v>
      </c>
      <c r="C152" s="15">
        <v>3</v>
      </c>
      <c r="T152" s="2">
        <f t="shared" si="8"/>
        <v>0</v>
      </c>
      <c r="U152" s="2">
        <f t="shared" si="9"/>
        <v>0</v>
      </c>
      <c r="V152" s="2">
        <f t="shared" si="10"/>
        <v>0</v>
      </c>
      <c r="W152" s="2">
        <f t="shared" si="11"/>
        <v>0</v>
      </c>
      <c r="Y152" t="str">
        <f>IFERROR(ROUND(E152*VLOOKUP(D152,商品!$A$4:$B$60,2,FALSE),0),"")</f>
        <v/>
      </c>
      <c r="Z152" t="str">
        <f>IFERROR(ROUND(G152*VLOOKUP(F152,商品!$A$4:$B$60,2,FALSE),0),"")</f>
        <v/>
      </c>
      <c r="AA152" t="str">
        <f>IFERROR(ROUND(I152*VLOOKUP(H152,商品!$A$4:$B$60,2,FALSE),0),"")</f>
        <v/>
      </c>
      <c r="AB152" t="str">
        <f>IFERROR(ROUND(K152*VLOOKUP(J152,[1]note_pop_types!$A$16:$E$16,4,FALSE),0),"")</f>
        <v/>
      </c>
      <c r="AC152" t="str">
        <f>IFERROR(ROUND(M152*VLOOKUP(L152,[1]note_pop_types!$A$16:$E$16,4,FALSE),0),"")</f>
        <v/>
      </c>
      <c r="AD152" t="str">
        <f>IFERROR(ROUND(O152*VLOOKUP(N152,[1]note_pop_types!$A$16:$E$16,4,FALSE),0),"")</f>
        <v/>
      </c>
      <c r="AE152" t="str">
        <f>IFERROR(ROUND(Q152*VLOOKUP(P152,商品!$A$4:$B$60,2,FALSE),0),"")</f>
        <v/>
      </c>
      <c r="AF152" t="str">
        <f>IFERROR(ROUND(S152*VLOOKUP(R152,商品!$A$4:$B$60,2,FALSE),0),"")</f>
        <v/>
      </c>
    </row>
    <row r="153" spans="1:32" ht="19.05" customHeight="1" x14ac:dyDescent="0.25">
      <c r="A153" s="15" t="s">
        <v>510</v>
      </c>
      <c r="C153" s="15">
        <v>4</v>
      </c>
      <c r="T153" s="2">
        <f t="shared" si="8"/>
        <v>0</v>
      </c>
      <c r="U153" s="2">
        <f t="shared" si="9"/>
        <v>0</v>
      </c>
      <c r="V153" s="2">
        <f t="shared" si="10"/>
        <v>0</v>
      </c>
      <c r="W153" s="2">
        <f t="shared" si="11"/>
        <v>0</v>
      </c>
      <c r="Y153" t="str">
        <f>IFERROR(ROUND(E153*VLOOKUP(D153,商品!$A$4:$B$60,2,FALSE),0),"")</f>
        <v/>
      </c>
      <c r="Z153" t="str">
        <f>IFERROR(ROUND(G153*VLOOKUP(F153,商品!$A$4:$B$60,2,FALSE),0),"")</f>
        <v/>
      </c>
      <c r="AA153" t="str">
        <f>IFERROR(ROUND(I153*VLOOKUP(H153,商品!$A$4:$B$60,2,FALSE),0),"")</f>
        <v/>
      </c>
      <c r="AB153" t="str">
        <f>IFERROR(ROUND(K153*VLOOKUP(J153,[1]note_pop_types!$A$16:$E$16,4,FALSE),0),"")</f>
        <v/>
      </c>
      <c r="AC153" t="str">
        <f>IFERROR(ROUND(M153*VLOOKUP(L153,[1]note_pop_types!$A$16:$E$16,4,FALSE),0),"")</f>
        <v/>
      </c>
      <c r="AD153" t="str">
        <f>IFERROR(ROUND(O153*VLOOKUP(N153,[1]note_pop_types!$A$16:$E$16,4,FALSE),0),"")</f>
        <v/>
      </c>
      <c r="AE153" t="str">
        <f>IFERROR(ROUND(Q153*VLOOKUP(P153,商品!$A$4:$B$60,2,FALSE),0),"")</f>
        <v/>
      </c>
      <c r="AF153" t="str">
        <f>IFERROR(ROUND(S153*VLOOKUP(R153,商品!$A$4:$B$60,2,FALSE),0),"")</f>
        <v/>
      </c>
    </row>
    <row r="154" spans="1:32" ht="19.05" customHeight="1" x14ac:dyDescent="0.25">
      <c r="A154" s="15" t="s">
        <v>510</v>
      </c>
      <c r="C154" s="15">
        <v>5</v>
      </c>
      <c r="T154" s="2">
        <f t="shared" si="8"/>
        <v>0</v>
      </c>
      <c r="U154" s="2">
        <f t="shared" si="9"/>
        <v>0</v>
      </c>
      <c r="V154" s="2">
        <f t="shared" si="10"/>
        <v>0</v>
      </c>
      <c r="W154" s="2">
        <f t="shared" si="11"/>
        <v>0</v>
      </c>
      <c r="Y154" t="str">
        <f>IFERROR(ROUND(E154*VLOOKUP(D154,商品!$A$4:$B$60,2,FALSE),0),"")</f>
        <v/>
      </c>
      <c r="Z154" t="str">
        <f>IFERROR(ROUND(G154*VLOOKUP(F154,商品!$A$4:$B$60,2,FALSE),0),"")</f>
        <v/>
      </c>
      <c r="AA154" t="str">
        <f>IFERROR(ROUND(I154*VLOOKUP(H154,商品!$A$4:$B$60,2,FALSE),0),"")</f>
        <v/>
      </c>
      <c r="AB154" t="str">
        <f>IFERROR(ROUND(K154*VLOOKUP(J154,[1]note_pop_types!$A$16:$E$16,4,FALSE),0),"")</f>
        <v/>
      </c>
      <c r="AC154" t="str">
        <f>IFERROR(ROUND(M154*VLOOKUP(L154,[1]note_pop_types!$A$16:$E$16,4,FALSE),0),"")</f>
        <v/>
      </c>
      <c r="AD154" t="str">
        <f>IFERROR(ROUND(O154*VLOOKUP(N154,[1]note_pop_types!$A$16:$E$16,4,FALSE),0),"")</f>
        <v/>
      </c>
      <c r="AE154" t="str">
        <f>IFERROR(ROUND(Q154*VLOOKUP(P154,商品!$A$4:$B$60,2,FALSE),0),"")</f>
        <v/>
      </c>
      <c r="AF154" t="str">
        <f>IFERROR(ROUND(S154*VLOOKUP(R154,商品!$A$4:$B$60,2,FALSE),0),"")</f>
        <v/>
      </c>
    </row>
    <row r="155" spans="1:32" ht="19.05" customHeight="1" x14ac:dyDescent="0.25">
      <c r="A155" s="16" t="s">
        <v>510</v>
      </c>
      <c r="C155" s="16">
        <v>1</v>
      </c>
      <c r="T155" s="2">
        <f t="shared" si="8"/>
        <v>0</v>
      </c>
      <c r="U155" s="2">
        <f t="shared" si="9"/>
        <v>0</v>
      </c>
      <c r="V155" s="2">
        <f t="shared" si="10"/>
        <v>0</v>
      </c>
      <c r="W155" s="2">
        <f t="shared" si="11"/>
        <v>0</v>
      </c>
      <c r="Y155" t="str">
        <f>IFERROR(ROUND(E155*VLOOKUP(D155,商品!$A$4:$B$60,2,FALSE),0),"")</f>
        <v/>
      </c>
      <c r="Z155" t="str">
        <f>IFERROR(ROUND(G155*VLOOKUP(F155,商品!$A$4:$B$60,2,FALSE),0),"")</f>
        <v/>
      </c>
      <c r="AA155" t="str">
        <f>IFERROR(ROUND(I155*VLOOKUP(H155,商品!$A$4:$B$60,2,FALSE),0),"")</f>
        <v/>
      </c>
      <c r="AB155" t="str">
        <f>IFERROR(ROUND(K155*VLOOKUP(J155,[1]note_pop_types!$A$16:$E$16,4,FALSE),0),"")</f>
        <v/>
      </c>
      <c r="AC155" t="str">
        <f>IFERROR(ROUND(M155*VLOOKUP(L155,[1]note_pop_types!$A$16:$E$16,4,FALSE),0),"")</f>
        <v/>
      </c>
      <c r="AD155" t="str">
        <f>IFERROR(ROUND(O155*VLOOKUP(N155,[1]note_pop_types!$A$16:$E$16,4,FALSE),0),"")</f>
        <v/>
      </c>
      <c r="AE155" t="str">
        <f>IFERROR(ROUND(Q155*VLOOKUP(P155,商品!$A$4:$B$60,2,FALSE),0),"")</f>
        <v/>
      </c>
      <c r="AF155" t="str">
        <f>IFERROR(ROUND(S155*VLOOKUP(R155,商品!$A$4:$B$60,2,FALSE),0),"")</f>
        <v/>
      </c>
    </row>
    <row r="156" spans="1:32" ht="19.05" customHeight="1" x14ac:dyDescent="0.25">
      <c r="A156" s="16" t="s">
        <v>510</v>
      </c>
      <c r="C156" s="16">
        <v>2</v>
      </c>
      <c r="T156" s="2">
        <f t="shared" si="8"/>
        <v>0</v>
      </c>
      <c r="U156" s="2">
        <f t="shared" si="9"/>
        <v>0</v>
      </c>
      <c r="V156" s="2">
        <f t="shared" si="10"/>
        <v>0</v>
      </c>
      <c r="W156" s="2">
        <f t="shared" si="11"/>
        <v>0</v>
      </c>
      <c r="Y156" t="str">
        <f>IFERROR(ROUND(E156*VLOOKUP(D156,商品!$A$4:$B$60,2,FALSE),0),"")</f>
        <v/>
      </c>
      <c r="Z156" t="str">
        <f>IFERROR(ROUND(G156*VLOOKUP(F156,商品!$A$4:$B$60,2,FALSE),0),"")</f>
        <v/>
      </c>
      <c r="AA156" t="str">
        <f>IFERROR(ROUND(I156*VLOOKUP(H156,商品!$A$4:$B$60,2,FALSE),0),"")</f>
        <v/>
      </c>
      <c r="AB156" t="str">
        <f>IFERROR(ROUND(K156*VLOOKUP(J156,[1]note_pop_types!$A$16:$E$16,4,FALSE),0),"")</f>
        <v/>
      </c>
      <c r="AC156" t="str">
        <f>IFERROR(ROUND(M156*VLOOKUP(L156,[1]note_pop_types!$A$16:$E$16,4,FALSE),0),"")</f>
        <v/>
      </c>
      <c r="AD156" t="str">
        <f>IFERROR(ROUND(O156*VLOOKUP(N156,[1]note_pop_types!$A$16:$E$16,4,FALSE),0),"")</f>
        <v/>
      </c>
      <c r="AE156" t="str">
        <f>IFERROR(ROUND(Q156*VLOOKUP(P156,商品!$A$4:$B$60,2,FALSE),0),"")</f>
        <v/>
      </c>
      <c r="AF156" t="str">
        <f>IFERROR(ROUND(S156*VLOOKUP(R156,商品!$A$4:$B$60,2,FALSE),0),"")</f>
        <v/>
      </c>
    </row>
    <row r="157" spans="1:32" ht="19.05" customHeight="1" x14ac:dyDescent="0.25">
      <c r="A157" s="16" t="s">
        <v>510</v>
      </c>
      <c r="C157" s="16">
        <v>3</v>
      </c>
      <c r="T157" s="2">
        <f t="shared" si="8"/>
        <v>0</v>
      </c>
      <c r="U157" s="2">
        <f t="shared" si="9"/>
        <v>0</v>
      </c>
      <c r="V157" s="2">
        <f t="shared" si="10"/>
        <v>0</v>
      </c>
      <c r="W157" s="2">
        <f t="shared" si="11"/>
        <v>0</v>
      </c>
      <c r="Y157" t="str">
        <f>IFERROR(ROUND(E157*VLOOKUP(D157,商品!$A$4:$B$60,2,FALSE),0),"")</f>
        <v/>
      </c>
      <c r="Z157" t="str">
        <f>IFERROR(ROUND(G157*VLOOKUP(F157,商品!$A$4:$B$60,2,FALSE),0),"")</f>
        <v/>
      </c>
      <c r="AA157" t="str">
        <f>IFERROR(ROUND(I157*VLOOKUP(H157,商品!$A$4:$B$60,2,FALSE),0),"")</f>
        <v/>
      </c>
      <c r="AB157" t="str">
        <f>IFERROR(ROUND(K157*VLOOKUP(J157,[1]note_pop_types!$A$16:$E$16,4,FALSE),0),"")</f>
        <v/>
      </c>
      <c r="AC157" t="str">
        <f>IFERROR(ROUND(M157*VLOOKUP(L157,[1]note_pop_types!$A$16:$E$16,4,FALSE),0),"")</f>
        <v/>
      </c>
      <c r="AD157" t="str">
        <f>IFERROR(ROUND(O157*VLOOKUP(N157,[1]note_pop_types!$A$16:$E$16,4,FALSE),0),"")</f>
        <v/>
      </c>
      <c r="AE157" t="str">
        <f>IFERROR(ROUND(Q157*VLOOKUP(P157,商品!$A$4:$B$60,2,FALSE),0),"")</f>
        <v/>
      </c>
      <c r="AF157" t="str">
        <f>IFERROR(ROUND(S157*VLOOKUP(R157,商品!$A$4:$B$60,2,FALSE),0),"")</f>
        <v/>
      </c>
    </row>
    <row r="158" spans="1:32" ht="19.05" customHeight="1" x14ac:dyDescent="0.25">
      <c r="A158" s="16" t="s">
        <v>510</v>
      </c>
      <c r="C158" s="16">
        <v>4</v>
      </c>
      <c r="T158" s="2">
        <f t="shared" si="8"/>
        <v>0</v>
      </c>
      <c r="U158" s="2">
        <f t="shared" si="9"/>
        <v>0</v>
      </c>
      <c r="V158" s="2">
        <f t="shared" si="10"/>
        <v>0</v>
      </c>
      <c r="W158" s="2">
        <f t="shared" si="11"/>
        <v>0</v>
      </c>
      <c r="Y158" t="str">
        <f>IFERROR(ROUND(E158*VLOOKUP(D158,商品!$A$4:$B$60,2,FALSE),0),"")</f>
        <v/>
      </c>
      <c r="Z158" t="str">
        <f>IFERROR(ROUND(G158*VLOOKUP(F158,商品!$A$4:$B$60,2,FALSE),0),"")</f>
        <v/>
      </c>
      <c r="AA158" t="str">
        <f>IFERROR(ROUND(I158*VLOOKUP(H158,商品!$A$4:$B$60,2,FALSE),0),"")</f>
        <v/>
      </c>
      <c r="AB158" t="str">
        <f>IFERROR(ROUND(K158*VLOOKUP(J158,[1]note_pop_types!$A$16:$E$16,4,FALSE),0),"")</f>
        <v/>
      </c>
      <c r="AC158" t="str">
        <f>IFERROR(ROUND(M158*VLOOKUP(L158,[1]note_pop_types!$A$16:$E$16,4,FALSE),0),"")</f>
        <v/>
      </c>
      <c r="AD158" t="str">
        <f>IFERROR(ROUND(O158*VLOOKUP(N158,[1]note_pop_types!$A$16:$E$16,4,FALSE),0),"")</f>
        <v/>
      </c>
      <c r="AE158" t="str">
        <f>IFERROR(ROUND(Q158*VLOOKUP(P158,商品!$A$4:$B$60,2,FALSE),0),"")</f>
        <v/>
      </c>
      <c r="AF158" t="str">
        <f>IFERROR(ROUND(S158*VLOOKUP(R158,商品!$A$4:$B$60,2,FALSE),0),"")</f>
        <v/>
      </c>
    </row>
    <row r="159" spans="1:32" ht="19.05" customHeight="1" x14ac:dyDescent="0.25">
      <c r="A159" s="16" t="s">
        <v>510</v>
      </c>
      <c r="C159" s="16">
        <v>5</v>
      </c>
      <c r="T159" s="2">
        <f t="shared" si="8"/>
        <v>0</v>
      </c>
      <c r="U159" s="2">
        <f t="shared" si="9"/>
        <v>0</v>
      </c>
      <c r="V159" s="2">
        <f t="shared" si="10"/>
        <v>0</v>
      </c>
      <c r="W159" s="2">
        <f t="shared" si="11"/>
        <v>0</v>
      </c>
      <c r="Y159" t="str">
        <f>IFERROR(ROUND(E159*VLOOKUP(D159,商品!$A$4:$B$60,2,FALSE),0),"")</f>
        <v/>
      </c>
      <c r="Z159" t="str">
        <f>IFERROR(ROUND(G159*VLOOKUP(F159,商品!$A$4:$B$60,2,FALSE),0),"")</f>
        <v/>
      </c>
      <c r="AA159" t="str">
        <f>IFERROR(ROUND(I159*VLOOKUP(H159,商品!$A$4:$B$60,2,FALSE),0),"")</f>
        <v/>
      </c>
      <c r="AB159" t="str">
        <f>IFERROR(ROUND(K159*VLOOKUP(J159,[1]note_pop_types!$A$16:$E$16,4,FALSE),0),"")</f>
        <v/>
      </c>
      <c r="AC159" t="str">
        <f>IFERROR(ROUND(M159*VLOOKUP(L159,[1]note_pop_types!$A$16:$E$16,4,FALSE),0),"")</f>
        <v/>
      </c>
      <c r="AD159" t="str">
        <f>IFERROR(ROUND(O159*VLOOKUP(N159,[1]note_pop_types!$A$16:$E$16,4,FALSE),0),"")</f>
        <v/>
      </c>
      <c r="AE159" t="str">
        <f>IFERROR(ROUND(Q159*VLOOKUP(P159,商品!$A$4:$B$60,2,FALSE),0),"")</f>
        <v/>
      </c>
      <c r="AF159" t="str">
        <f>IFERROR(ROUND(S159*VLOOKUP(R159,商品!$A$4:$B$60,2,FALSE),0),"")</f>
        <v/>
      </c>
    </row>
    <row r="160" spans="1:32" ht="19.05" customHeight="1" x14ac:dyDescent="0.25">
      <c r="A160" s="15" t="s">
        <v>208</v>
      </c>
      <c r="C160" s="15">
        <v>1</v>
      </c>
      <c r="T160" s="2">
        <f t="shared" si="8"/>
        <v>0</v>
      </c>
      <c r="U160" s="2">
        <f t="shared" si="9"/>
        <v>0</v>
      </c>
      <c r="V160" s="2">
        <f t="shared" si="10"/>
        <v>0</v>
      </c>
      <c r="W160" s="2">
        <f t="shared" si="11"/>
        <v>0</v>
      </c>
      <c r="Y160" t="str">
        <f>IFERROR(ROUND(E160*VLOOKUP(D160,商品!$A$4:$B$60,2,FALSE),0),"")</f>
        <v/>
      </c>
      <c r="Z160" t="str">
        <f>IFERROR(ROUND(G160*VLOOKUP(F160,商品!$A$4:$B$60,2,FALSE),0),"")</f>
        <v/>
      </c>
      <c r="AA160" t="str">
        <f>IFERROR(ROUND(I160*VLOOKUP(H160,商品!$A$4:$B$60,2,FALSE),0),"")</f>
        <v/>
      </c>
      <c r="AB160" t="str">
        <f>IFERROR(ROUND(K160*VLOOKUP(J160,[1]note_pop_types!$A$16:$E$16,4,FALSE),0),"")</f>
        <v/>
      </c>
      <c r="AC160" t="str">
        <f>IFERROR(ROUND(M160*VLOOKUP(L160,[1]note_pop_types!$A$16:$E$16,4,FALSE),0),"")</f>
        <v/>
      </c>
      <c r="AD160" t="str">
        <f>IFERROR(ROUND(O160*VLOOKUP(N160,[1]note_pop_types!$A$16:$E$16,4,FALSE),0),"")</f>
        <v/>
      </c>
      <c r="AE160" t="str">
        <f>IFERROR(ROUND(Q160*VLOOKUP(P160,商品!$A$4:$B$60,2,FALSE),0),"")</f>
        <v/>
      </c>
      <c r="AF160" t="str">
        <f>IFERROR(ROUND(S160*VLOOKUP(R160,商品!$A$4:$B$60,2,FALSE),0),"")</f>
        <v/>
      </c>
    </row>
    <row r="161" spans="1:32" ht="19.05" customHeight="1" x14ac:dyDescent="0.25">
      <c r="A161" s="15" t="s">
        <v>208</v>
      </c>
      <c r="C161" s="15">
        <v>2</v>
      </c>
      <c r="T161" s="2">
        <f t="shared" si="8"/>
        <v>0</v>
      </c>
      <c r="U161" s="2">
        <f t="shared" si="9"/>
        <v>0</v>
      </c>
      <c r="V161" s="2">
        <f t="shared" si="10"/>
        <v>0</v>
      </c>
      <c r="W161" s="2">
        <f t="shared" si="11"/>
        <v>0</v>
      </c>
      <c r="Y161" t="str">
        <f>IFERROR(ROUND(E161*VLOOKUP(D161,商品!$A$4:$B$60,2,FALSE),0),"")</f>
        <v/>
      </c>
      <c r="Z161" t="str">
        <f>IFERROR(ROUND(G161*VLOOKUP(F161,商品!$A$4:$B$60,2,FALSE),0),"")</f>
        <v/>
      </c>
      <c r="AA161" t="str">
        <f>IFERROR(ROUND(I161*VLOOKUP(H161,商品!$A$4:$B$60,2,FALSE),0),"")</f>
        <v/>
      </c>
      <c r="AB161" t="str">
        <f>IFERROR(ROUND(K161*VLOOKUP(J161,[1]note_pop_types!$A$16:$E$16,4,FALSE),0),"")</f>
        <v/>
      </c>
      <c r="AC161" t="str">
        <f>IFERROR(ROUND(M161*VLOOKUP(L161,[1]note_pop_types!$A$16:$E$16,4,FALSE),0),"")</f>
        <v/>
      </c>
      <c r="AD161" t="str">
        <f>IFERROR(ROUND(O161*VLOOKUP(N161,[1]note_pop_types!$A$16:$E$16,4,FALSE),0),"")</f>
        <v/>
      </c>
      <c r="AE161" t="str">
        <f>IFERROR(ROUND(Q161*VLOOKUP(P161,商品!$A$4:$B$60,2,FALSE),0),"")</f>
        <v/>
      </c>
      <c r="AF161" t="str">
        <f>IFERROR(ROUND(S161*VLOOKUP(R161,商品!$A$4:$B$60,2,FALSE),0),"")</f>
        <v/>
      </c>
    </row>
    <row r="162" spans="1:32" ht="19.05" customHeight="1" x14ac:dyDescent="0.25">
      <c r="A162" s="15" t="s">
        <v>208</v>
      </c>
      <c r="C162" s="15">
        <v>3</v>
      </c>
      <c r="T162" s="2">
        <f t="shared" si="8"/>
        <v>0</v>
      </c>
      <c r="U162" s="2">
        <f t="shared" si="9"/>
        <v>0</v>
      </c>
      <c r="V162" s="2">
        <f t="shared" si="10"/>
        <v>0</v>
      </c>
      <c r="W162" s="2">
        <f t="shared" si="11"/>
        <v>0</v>
      </c>
      <c r="Y162" t="str">
        <f>IFERROR(ROUND(E162*VLOOKUP(D162,商品!$A$4:$B$60,2,FALSE),0),"")</f>
        <v/>
      </c>
      <c r="Z162" t="str">
        <f>IFERROR(ROUND(G162*VLOOKUP(F162,商品!$A$4:$B$60,2,FALSE),0),"")</f>
        <v/>
      </c>
      <c r="AA162" t="str">
        <f>IFERROR(ROUND(I162*VLOOKUP(H162,商品!$A$4:$B$60,2,FALSE),0),"")</f>
        <v/>
      </c>
      <c r="AB162" t="str">
        <f>IFERROR(ROUND(K162*VLOOKUP(J162,[1]note_pop_types!$A$16:$E$16,4,FALSE),0),"")</f>
        <v/>
      </c>
      <c r="AC162" t="str">
        <f>IFERROR(ROUND(M162*VLOOKUP(L162,[1]note_pop_types!$A$16:$E$16,4,FALSE),0),"")</f>
        <v/>
      </c>
      <c r="AD162" t="str">
        <f>IFERROR(ROUND(O162*VLOOKUP(N162,[1]note_pop_types!$A$16:$E$16,4,FALSE),0),"")</f>
        <v/>
      </c>
      <c r="AE162" t="str">
        <f>IFERROR(ROUND(Q162*VLOOKUP(P162,商品!$A$4:$B$60,2,FALSE),0),"")</f>
        <v/>
      </c>
      <c r="AF162" t="str">
        <f>IFERROR(ROUND(S162*VLOOKUP(R162,商品!$A$4:$B$60,2,FALSE),0),"")</f>
        <v/>
      </c>
    </row>
    <row r="163" spans="1:32" ht="19.05" customHeight="1" x14ac:dyDescent="0.25">
      <c r="A163" s="15" t="s">
        <v>208</v>
      </c>
      <c r="C163" s="15">
        <v>4</v>
      </c>
      <c r="T163" s="2">
        <f t="shared" si="8"/>
        <v>0</v>
      </c>
      <c r="U163" s="2">
        <f t="shared" si="9"/>
        <v>0</v>
      </c>
      <c r="V163" s="2">
        <f t="shared" si="10"/>
        <v>0</v>
      </c>
      <c r="W163" s="2">
        <f t="shared" si="11"/>
        <v>0</v>
      </c>
      <c r="Y163" t="str">
        <f>IFERROR(ROUND(E163*VLOOKUP(D163,商品!$A$4:$B$60,2,FALSE),0),"")</f>
        <v/>
      </c>
      <c r="Z163" t="str">
        <f>IFERROR(ROUND(G163*VLOOKUP(F163,商品!$A$4:$B$60,2,FALSE),0),"")</f>
        <v/>
      </c>
      <c r="AA163" t="str">
        <f>IFERROR(ROUND(I163*VLOOKUP(H163,商品!$A$4:$B$60,2,FALSE),0),"")</f>
        <v/>
      </c>
      <c r="AB163" t="str">
        <f>IFERROR(ROUND(K163*VLOOKUP(J163,[1]note_pop_types!$A$16:$E$16,4,FALSE),0),"")</f>
        <v/>
      </c>
      <c r="AC163" t="str">
        <f>IFERROR(ROUND(M163*VLOOKUP(L163,[1]note_pop_types!$A$16:$E$16,4,FALSE),0),"")</f>
        <v/>
      </c>
      <c r="AD163" t="str">
        <f>IFERROR(ROUND(O163*VLOOKUP(N163,[1]note_pop_types!$A$16:$E$16,4,FALSE),0),"")</f>
        <v/>
      </c>
      <c r="AE163" t="str">
        <f>IFERROR(ROUND(Q163*VLOOKUP(P163,商品!$A$4:$B$60,2,FALSE),0),"")</f>
        <v/>
      </c>
      <c r="AF163" t="str">
        <f>IFERROR(ROUND(S163*VLOOKUP(R163,商品!$A$4:$B$60,2,FALSE),0),"")</f>
        <v/>
      </c>
    </row>
    <row r="164" spans="1:32" ht="19.05" customHeight="1" x14ac:dyDescent="0.25">
      <c r="A164" s="15" t="s">
        <v>208</v>
      </c>
      <c r="C164" s="15">
        <v>5</v>
      </c>
      <c r="T164" s="2">
        <f t="shared" si="8"/>
        <v>0</v>
      </c>
      <c r="U164" s="2">
        <f t="shared" si="9"/>
        <v>0</v>
      </c>
      <c r="V164" s="2">
        <f t="shared" si="10"/>
        <v>0</v>
      </c>
      <c r="W164" s="2">
        <f t="shared" si="11"/>
        <v>0</v>
      </c>
      <c r="Y164" t="str">
        <f>IFERROR(ROUND(E164*VLOOKUP(D164,商品!$A$4:$B$60,2,FALSE),0),"")</f>
        <v/>
      </c>
      <c r="Z164" t="str">
        <f>IFERROR(ROUND(G164*VLOOKUP(F164,商品!$A$4:$B$60,2,FALSE),0),"")</f>
        <v/>
      </c>
      <c r="AA164" t="str">
        <f>IFERROR(ROUND(I164*VLOOKUP(H164,商品!$A$4:$B$60,2,FALSE),0),"")</f>
        <v/>
      </c>
      <c r="AB164" t="str">
        <f>IFERROR(ROUND(K164*VLOOKUP(J164,[1]note_pop_types!$A$16:$E$16,4,FALSE),0),"")</f>
        <v/>
      </c>
      <c r="AC164" t="str">
        <f>IFERROR(ROUND(M164*VLOOKUP(L164,[1]note_pop_types!$A$16:$E$16,4,FALSE),0),"")</f>
        <v/>
      </c>
      <c r="AD164" t="str">
        <f>IFERROR(ROUND(O164*VLOOKUP(N164,[1]note_pop_types!$A$16:$E$16,4,FALSE),0),"")</f>
        <v/>
      </c>
      <c r="AE164" t="str">
        <f>IFERROR(ROUND(Q164*VLOOKUP(P164,商品!$A$4:$B$60,2,FALSE),0),"")</f>
        <v/>
      </c>
      <c r="AF164" t="str">
        <f>IFERROR(ROUND(S164*VLOOKUP(R164,商品!$A$4:$B$60,2,FALSE),0),"")</f>
        <v/>
      </c>
    </row>
    <row r="165" spans="1:32" ht="19.05" customHeight="1" x14ac:dyDescent="0.25">
      <c r="A165" s="15" t="s">
        <v>208</v>
      </c>
      <c r="C165" s="15">
        <v>6</v>
      </c>
      <c r="T165" s="2">
        <f t="shared" si="8"/>
        <v>0</v>
      </c>
      <c r="U165" s="2">
        <f t="shared" si="9"/>
        <v>0</v>
      </c>
      <c r="V165" s="2">
        <f t="shared" si="10"/>
        <v>0</v>
      </c>
      <c r="W165" s="2">
        <f t="shared" si="11"/>
        <v>0</v>
      </c>
      <c r="Y165" t="str">
        <f>IFERROR(ROUND(E165*VLOOKUP(D165,商品!$A$4:$B$60,2,FALSE),0),"")</f>
        <v/>
      </c>
      <c r="Z165" t="str">
        <f>IFERROR(ROUND(G165*VLOOKUP(F165,商品!$A$4:$B$60,2,FALSE),0),"")</f>
        <v/>
      </c>
      <c r="AA165" t="str">
        <f>IFERROR(ROUND(I165*VLOOKUP(H165,商品!$A$4:$B$60,2,FALSE),0),"")</f>
        <v/>
      </c>
      <c r="AB165" t="str">
        <f>IFERROR(ROUND(K165*VLOOKUP(J165,[1]note_pop_types!$A$16:$E$16,4,FALSE),0),"")</f>
        <v/>
      </c>
      <c r="AC165" t="str">
        <f>IFERROR(ROUND(M165*VLOOKUP(L165,[1]note_pop_types!$A$16:$E$16,4,FALSE),0),"")</f>
        <v/>
      </c>
      <c r="AD165" t="str">
        <f>IFERROR(ROUND(O165*VLOOKUP(N165,[1]note_pop_types!$A$16:$E$16,4,FALSE),0),"")</f>
        <v/>
      </c>
      <c r="AE165" t="str">
        <f>IFERROR(ROUND(Q165*VLOOKUP(P165,商品!$A$4:$B$60,2,FALSE),0),"")</f>
        <v/>
      </c>
      <c r="AF165" t="str">
        <f>IFERROR(ROUND(S165*VLOOKUP(R165,商品!$A$4:$B$60,2,FALSE),0),"")</f>
        <v/>
      </c>
    </row>
    <row r="166" spans="1:32" ht="19.05" customHeight="1" x14ac:dyDescent="0.25">
      <c r="A166" s="15" t="s">
        <v>208</v>
      </c>
      <c r="C166" s="15">
        <v>7</v>
      </c>
      <c r="T166" s="2">
        <f t="shared" si="8"/>
        <v>0</v>
      </c>
      <c r="U166" s="2">
        <f t="shared" si="9"/>
        <v>0</v>
      </c>
      <c r="V166" s="2">
        <f t="shared" si="10"/>
        <v>0</v>
      </c>
      <c r="W166" s="2">
        <f t="shared" si="11"/>
        <v>0</v>
      </c>
      <c r="Y166" t="str">
        <f>IFERROR(ROUND(E166*VLOOKUP(D166,商品!$A$4:$B$60,2,FALSE),0),"")</f>
        <v/>
      </c>
      <c r="Z166" t="str">
        <f>IFERROR(ROUND(G166*VLOOKUP(F166,商品!$A$4:$B$60,2,FALSE),0),"")</f>
        <v/>
      </c>
      <c r="AA166" t="str">
        <f>IFERROR(ROUND(I166*VLOOKUP(H166,商品!$A$4:$B$60,2,FALSE),0),"")</f>
        <v/>
      </c>
      <c r="AB166" t="str">
        <f>IFERROR(ROUND(K166*VLOOKUP(J166,[1]note_pop_types!$A$16:$E$16,4,FALSE),0),"")</f>
        <v/>
      </c>
      <c r="AC166" t="str">
        <f>IFERROR(ROUND(M166*VLOOKUP(L166,[1]note_pop_types!$A$16:$E$16,4,FALSE),0),"")</f>
        <v/>
      </c>
      <c r="AD166" t="str">
        <f>IFERROR(ROUND(O166*VLOOKUP(N166,[1]note_pop_types!$A$16:$E$16,4,FALSE),0),"")</f>
        <v/>
      </c>
      <c r="AE166" t="str">
        <f>IFERROR(ROUND(Q166*VLOOKUP(P166,商品!$A$4:$B$60,2,FALSE),0),"")</f>
        <v/>
      </c>
      <c r="AF166" t="str">
        <f>IFERROR(ROUND(S166*VLOOKUP(R166,商品!$A$4:$B$60,2,FALSE),0),"")</f>
        <v/>
      </c>
    </row>
    <row r="167" spans="1:32" ht="19.05" customHeight="1" x14ac:dyDescent="0.25">
      <c r="A167" s="15" t="s">
        <v>208</v>
      </c>
      <c r="C167" s="15">
        <v>8</v>
      </c>
      <c r="T167" s="2">
        <f t="shared" si="8"/>
        <v>0</v>
      </c>
      <c r="U167" s="2">
        <f t="shared" si="9"/>
        <v>0</v>
      </c>
      <c r="V167" s="2">
        <f t="shared" si="10"/>
        <v>0</v>
      </c>
      <c r="W167" s="2">
        <f t="shared" si="11"/>
        <v>0</v>
      </c>
      <c r="Y167" t="str">
        <f>IFERROR(ROUND(E167*VLOOKUP(D167,商品!$A$4:$B$60,2,FALSE),0),"")</f>
        <v/>
      </c>
      <c r="Z167" t="str">
        <f>IFERROR(ROUND(G167*VLOOKUP(F167,商品!$A$4:$B$60,2,FALSE),0),"")</f>
        <v/>
      </c>
      <c r="AA167" t="str">
        <f>IFERROR(ROUND(I167*VLOOKUP(H167,商品!$A$4:$B$60,2,FALSE),0),"")</f>
        <v/>
      </c>
      <c r="AB167" t="str">
        <f>IFERROR(ROUND(K167*VLOOKUP(J167,[1]note_pop_types!$A$16:$E$16,4,FALSE),0),"")</f>
        <v/>
      </c>
      <c r="AC167" t="str">
        <f>IFERROR(ROUND(M167*VLOOKUP(L167,[1]note_pop_types!$A$16:$E$16,4,FALSE),0),"")</f>
        <v/>
      </c>
      <c r="AD167" t="str">
        <f>IFERROR(ROUND(O167*VLOOKUP(N167,[1]note_pop_types!$A$16:$E$16,4,FALSE),0),"")</f>
        <v/>
      </c>
      <c r="AE167" t="str">
        <f>IFERROR(ROUND(Q167*VLOOKUP(P167,商品!$A$4:$B$60,2,FALSE),0),"")</f>
        <v/>
      </c>
      <c r="AF167" t="str">
        <f>IFERROR(ROUND(S167*VLOOKUP(R167,商品!$A$4:$B$60,2,FALSE),0),"")</f>
        <v/>
      </c>
    </row>
    <row r="168" spans="1:32" ht="19.05" customHeight="1" x14ac:dyDescent="0.25">
      <c r="A168" s="16" t="s">
        <v>210</v>
      </c>
      <c r="C168" s="16">
        <v>1</v>
      </c>
      <c r="T168" s="2">
        <f t="shared" si="8"/>
        <v>0</v>
      </c>
      <c r="U168" s="2">
        <f t="shared" si="9"/>
        <v>0</v>
      </c>
      <c r="V168" s="2">
        <f t="shared" si="10"/>
        <v>0</v>
      </c>
      <c r="W168" s="2">
        <f t="shared" si="11"/>
        <v>0</v>
      </c>
      <c r="Y168" t="str">
        <f>IFERROR(ROUND(E168*VLOOKUP(D168,商品!$A$4:$B$60,2,FALSE),0),"")</f>
        <v/>
      </c>
      <c r="Z168" t="str">
        <f>IFERROR(ROUND(G168*VLOOKUP(F168,商品!$A$4:$B$60,2,FALSE),0),"")</f>
        <v/>
      </c>
      <c r="AA168" t="str">
        <f>IFERROR(ROUND(I168*VLOOKUP(H168,商品!$A$4:$B$60,2,FALSE),0),"")</f>
        <v/>
      </c>
      <c r="AB168" t="str">
        <f>IFERROR(ROUND(K168*VLOOKUP(J168,[1]note_pop_types!$A$16:$E$16,4,FALSE),0),"")</f>
        <v/>
      </c>
      <c r="AC168" t="str">
        <f>IFERROR(ROUND(M168*VLOOKUP(L168,[1]note_pop_types!$A$16:$E$16,4,FALSE),0),"")</f>
        <v/>
      </c>
      <c r="AD168" t="str">
        <f>IFERROR(ROUND(O168*VLOOKUP(N168,[1]note_pop_types!$A$16:$E$16,4,FALSE),0),"")</f>
        <v/>
      </c>
      <c r="AE168" t="str">
        <f>IFERROR(ROUND(Q168*VLOOKUP(P168,商品!$A$4:$B$60,2,FALSE),0),"")</f>
        <v/>
      </c>
      <c r="AF168" t="str">
        <f>IFERROR(ROUND(S168*VLOOKUP(R168,商品!$A$4:$B$60,2,FALSE),0),"")</f>
        <v/>
      </c>
    </row>
    <row r="169" spans="1:32" ht="19.05" customHeight="1" x14ac:dyDescent="0.25">
      <c r="A169" s="16" t="s">
        <v>210</v>
      </c>
      <c r="C169" s="16">
        <v>2</v>
      </c>
      <c r="T169" s="2">
        <f t="shared" si="8"/>
        <v>0</v>
      </c>
      <c r="U169" s="2">
        <f t="shared" si="9"/>
        <v>0</v>
      </c>
      <c r="V169" s="2">
        <f t="shared" si="10"/>
        <v>0</v>
      </c>
      <c r="W169" s="2">
        <f t="shared" si="11"/>
        <v>0</v>
      </c>
      <c r="Y169" t="str">
        <f>IFERROR(ROUND(E169*VLOOKUP(D169,商品!$A$4:$B$60,2,FALSE),0),"")</f>
        <v/>
      </c>
      <c r="Z169" t="str">
        <f>IFERROR(ROUND(G169*VLOOKUP(F169,商品!$A$4:$B$60,2,FALSE),0),"")</f>
        <v/>
      </c>
      <c r="AA169" t="str">
        <f>IFERROR(ROUND(I169*VLOOKUP(H169,商品!$A$4:$B$60,2,FALSE),0),"")</f>
        <v/>
      </c>
      <c r="AB169" t="str">
        <f>IFERROR(ROUND(K169*VLOOKUP(J169,[1]note_pop_types!$A$16:$E$16,4,FALSE),0),"")</f>
        <v/>
      </c>
      <c r="AC169" t="str">
        <f>IFERROR(ROUND(M169*VLOOKUP(L169,[1]note_pop_types!$A$16:$E$16,4,FALSE),0),"")</f>
        <v/>
      </c>
      <c r="AD169" t="str">
        <f>IFERROR(ROUND(O169*VLOOKUP(N169,[1]note_pop_types!$A$16:$E$16,4,FALSE),0),"")</f>
        <v/>
      </c>
      <c r="AE169" t="str">
        <f>IFERROR(ROUND(Q169*VLOOKUP(P169,商品!$A$4:$B$60,2,FALSE),0),"")</f>
        <v/>
      </c>
      <c r="AF169" t="str">
        <f>IFERROR(ROUND(S169*VLOOKUP(R169,商品!$A$4:$B$60,2,FALSE),0),"")</f>
        <v/>
      </c>
    </row>
    <row r="170" spans="1:32" ht="19.05" customHeight="1" x14ac:dyDescent="0.25">
      <c r="A170" s="16" t="s">
        <v>210</v>
      </c>
      <c r="C170" s="16">
        <v>3</v>
      </c>
      <c r="T170" s="2">
        <f t="shared" si="8"/>
        <v>0</v>
      </c>
      <c r="U170" s="2">
        <f t="shared" si="9"/>
        <v>0</v>
      </c>
      <c r="V170" s="2">
        <f t="shared" si="10"/>
        <v>0</v>
      </c>
      <c r="W170" s="2">
        <f t="shared" si="11"/>
        <v>0</v>
      </c>
      <c r="Y170" t="str">
        <f>IFERROR(ROUND(E170*VLOOKUP(D170,商品!$A$4:$B$60,2,FALSE),0),"")</f>
        <v/>
      </c>
      <c r="Z170" t="str">
        <f>IFERROR(ROUND(G170*VLOOKUP(F170,商品!$A$4:$B$60,2,FALSE),0),"")</f>
        <v/>
      </c>
      <c r="AA170" t="str">
        <f>IFERROR(ROUND(I170*VLOOKUP(H170,商品!$A$4:$B$60,2,FALSE),0),"")</f>
        <v/>
      </c>
      <c r="AB170" t="str">
        <f>IFERROR(ROUND(K170*VLOOKUP(J170,[1]note_pop_types!$A$16:$E$16,4,FALSE),0),"")</f>
        <v/>
      </c>
      <c r="AC170" t="str">
        <f>IFERROR(ROUND(M170*VLOOKUP(L170,[1]note_pop_types!$A$16:$E$16,4,FALSE),0),"")</f>
        <v/>
      </c>
      <c r="AD170" t="str">
        <f>IFERROR(ROUND(O170*VLOOKUP(N170,[1]note_pop_types!$A$16:$E$16,4,FALSE),0),"")</f>
        <v/>
      </c>
      <c r="AE170" t="str">
        <f>IFERROR(ROUND(Q170*VLOOKUP(P170,商品!$A$4:$B$60,2,FALSE),0),"")</f>
        <v/>
      </c>
      <c r="AF170" t="str">
        <f>IFERROR(ROUND(S170*VLOOKUP(R170,商品!$A$4:$B$60,2,FALSE),0),"")</f>
        <v/>
      </c>
    </row>
    <row r="171" spans="1:32" ht="19.05" customHeight="1" x14ac:dyDescent="0.25">
      <c r="A171" s="16" t="s">
        <v>210</v>
      </c>
      <c r="C171" s="16">
        <v>4</v>
      </c>
      <c r="T171" s="2">
        <f t="shared" si="8"/>
        <v>0</v>
      </c>
      <c r="U171" s="2">
        <f t="shared" si="9"/>
        <v>0</v>
      </c>
      <c r="V171" s="2">
        <f t="shared" si="10"/>
        <v>0</v>
      </c>
      <c r="W171" s="2">
        <f t="shared" si="11"/>
        <v>0</v>
      </c>
      <c r="Y171" t="str">
        <f>IFERROR(ROUND(E171*VLOOKUP(D171,商品!$A$4:$B$60,2,FALSE),0),"")</f>
        <v/>
      </c>
      <c r="Z171" t="str">
        <f>IFERROR(ROUND(G171*VLOOKUP(F171,商品!$A$4:$B$60,2,FALSE),0),"")</f>
        <v/>
      </c>
      <c r="AA171" t="str">
        <f>IFERROR(ROUND(I171*VLOOKUP(H171,商品!$A$4:$B$60,2,FALSE),0),"")</f>
        <v/>
      </c>
      <c r="AB171" t="str">
        <f>IFERROR(ROUND(K171*VLOOKUP(J171,[1]note_pop_types!$A$16:$E$16,4,FALSE),0),"")</f>
        <v/>
      </c>
      <c r="AC171" t="str">
        <f>IFERROR(ROUND(M171*VLOOKUP(L171,[1]note_pop_types!$A$16:$E$16,4,FALSE),0),"")</f>
        <v/>
      </c>
      <c r="AD171" t="str">
        <f>IFERROR(ROUND(O171*VLOOKUP(N171,[1]note_pop_types!$A$16:$E$16,4,FALSE),0),"")</f>
        <v/>
      </c>
      <c r="AE171" t="str">
        <f>IFERROR(ROUND(Q171*VLOOKUP(P171,商品!$A$4:$B$60,2,FALSE),0),"")</f>
        <v/>
      </c>
      <c r="AF171" t="str">
        <f>IFERROR(ROUND(S171*VLOOKUP(R171,商品!$A$4:$B$60,2,FALSE),0),"")</f>
        <v/>
      </c>
    </row>
    <row r="172" spans="1:32" ht="19.05" customHeight="1" x14ac:dyDescent="0.25">
      <c r="A172" s="16" t="s">
        <v>210</v>
      </c>
      <c r="C172" s="16">
        <v>5</v>
      </c>
      <c r="T172" s="2">
        <f t="shared" si="8"/>
        <v>0</v>
      </c>
      <c r="U172" s="2">
        <f t="shared" si="9"/>
        <v>0</v>
      </c>
      <c r="V172" s="2">
        <f t="shared" si="10"/>
        <v>0</v>
      </c>
      <c r="W172" s="2">
        <f t="shared" si="11"/>
        <v>0</v>
      </c>
      <c r="Y172" t="str">
        <f>IFERROR(ROUND(E172*VLOOKUP(D172,商品!$A$4:$B$60,2,FALSE),0),"")</f>
        <v/>
      </c>
      <c r="Z172" t="str">
        <f>IFERROR(ROUND(G172*VLOOKUP(F172,商品!$A$4:$B$60,2,FALSE),0),"")</f>
        <v/>
      </c>
      <c r="AA172" t="str">
        <f>IFERROR(ROUND(I172*VLOOKUP(H172,商品!$A$4:$B$60,2,FALSE),0),"")</f>
        <v/>
      </c>
      <c r="AB172" t="str">
        <f>IFERROR(ROUND(K172*VLOOKUP(J172,[1]note_pop_types!$A$16:$E$16,4,FALSE),0),"")</f>
        <v/>
      </c>
      <c r="AC172" t="str">
        <f>IFERROR(ROUND(M172*VLOOKUP(L172,[1]note_pop_types!$A$16:$E$16,4,FALSE),0),"")</f>
        <v/>
      </c>
      <c r="AD172" t="str">
        <f>IFERROR(ROUND(O172*VLOOKUP(N172,[1]note_pop_types!$A$16:$E$16,4,FALSE),0),"")</f>
        <v/>
      </c>
      <c r="AE172" t="str">
        <f>IFERROR(ROUND(Q172*VLOOKUP(P172,商品!$A$4:$B$60,2,FALSE),0),"")</f>
        <v/>
      </c>
      <c r="AF172" t="str">
        <f>IFERROR(ROUND(S172*VLOOKUP(R172,商品!$A$4:$B$60,2,FALSE),0),"")</f>
        <v/>
      </c>
    </row>
    <row r="173" spans="1:32" ht="19.05" customHeight="1" x14ac:dyDescent="0.25">
      <c r="A173" s="15" t="s">
        <v>211</v>
      </c>
      <c r="C173" s="15">
        <v>1</v>
      </c>
      <c r="T173" s="2">
        <f t="shared" si="8"/>
        <v>0</v>
      </c>
      <c r="U173" s="2">
        <f t="shared" si="9"/>
        <v>0</v>
      </c>
      <c r="V173" s="2">
        <f t="shared" si="10"/>
        <v>0</v>
      </c>
      <c r="W173" s="2">
        <f t="shared" si="11"/>
        <v>0</v>
      </c>
      <c r="Y173" t="str">
        <f>IFERROR(ROUND(E173*VLOOKUP(D173,商品!$A$4:$B$60,2,FALSE),0),"")</f>
        <v/>
      </c>
      <c r="Z173" t="str">
        <f>IFERROR(ROUND(G173*VLOOKUP(F173,商品!$A$4:$B$60,2,FALSE),0),"")</f>
        <v/>
      </c>
      <c r="AA173" t="str">
        <f>IFERROR(ROUND(I173*VLOOKUP(H173,商品!$A$4:$B$60,2,FALSE),0),"")</f>
        <v/>
      </c>
      <c r="AB173" t="str">
        <f>IFERROR(ROUND(K173*VLOOKUP(J173,[1]note_pop_types!$A$16:$E$16,4,FALSE),0),"")</f>
        <v/>
      </c>
      <c r="AC173" t="str">
        <f>IFERROR(ROUND(M173*VLOOKUP(L173,[1]note_pop_types!$A$16:$E$16,4,FALSE),0),"")</f>
        <v/>
      </c>
      <c r="AD173" t="str">
        <f>IFERROR(ROUND(O173*VLOOKUP(N173,[1]note_pop_types!$A$16:$E$16,4,FALSE),0),"")</f>
        <v/>
      </c>
      <c r="AE173" t="str">
        <f>IFERROR(ROUND(Q173*VLOOKUP(P173,商品!$A$4:$B$60,2,FALSE),0),"")</f>
        <v/>
      </c>
      <c r="AF173" t="str">
        <f>IFERROR(ROUND(S173*VLOOKUP(R173,商品!$A$4:$B$60,2,FALSE),0),"")</f>
        <v/>
      </c>
    </row>
    <row r="174" spans="1:32" ht="19.05" customHeight="1" x14ac:dyDescent="0.25">
      <c r="A174" s="15" t="s">
        <v>211</v>
      </c>
      <c r="C174" s="15">
        <v>2</v>
      </c>
      <c r="T174" s="2">
        <f t="shared" si="8"/>
        <v>0</v>
      </c>
      <c r="U174" s="2">
        <f t="shared" si="9"/>
        <v>0</v>
      </c>
      <c r="V174" s="2">
        <f t="shared" si="10"/>
        <v>0</v>
      </c>
      <c r="W174" s="2">
        <f t="shared" si="11"/>
        <v>0</v>
      </c>
      <c r="Y174" t="str">
        <f>IFERROR(ROUND(E174*VLOOKUP(D174,商品!$A$4:$B$60,2,FALSE),0),"")</f>
        <v/>
      </c>
      <c r="Z174" t="str">
        <f>IFERROR(ROUND(G174*VLOOKUP(F174,商品!$A$4:$B$60,2,FALSE),0),"")</f>
        <v/>
      </c>
      <c r="AA174" t="str">
        <f>IFERROR(ROUND(I174*VLOOKUP(H174,商品!$A$4:$B$60,2,FALSE),0),"")</f>
        <v/>
      </c>
      <c r="AB174" t="str">
        <f>IFERROR(ROUND(K174*VLOOKUP(J174,[1]note_pop_types!$A$16:$E$16,4,FALSE),0),"")</f>
        <v/>
      </c>
      <c r="AC174" t="str">
        <f>IFERROR(ROUND(M174*VLOOKUP(L174,[1]note_pop_types!$A$16:$E$16,4,FALSE),0),"")</f>
        <v/>
      </c>
      <c r="AD174" t="str">
        <f>IFERROR(ROUND(O174*VLOOKUP(N174,[1]note_pop_types!$A$16:$E$16,4,FALSE),0),"")</f>
        <v/>
      </c>
      <c r="AE174" t="str">
        <f>IFERROR(ROUND(Q174*VLOOKUP(P174,商品!$A$4:$B$60,2,FALSE),0),"")</f>
        <v/>
      </c>
      <c r="AF174" t="str">
        <f>IFERROR(ROUND(S174*VLOOKUP(R174,商品!$A$4:$B$60,2,FALSE),0),"")</f>
        <v/>
      </c>
    </row>
    <row r="175" spans="1:32" ht="19.05" customHeight="1" x14ac:dyDescent="0.25">
      <c r="A175" s="15" t="s">
        <v>211</v>
      </c>
      <c r="C175" s="15">
        <v>3</v>
      </c>
      <c r="T175" s="2">
        <f t="shared" si="8"/>
        <v>0</v>
      </c>
      <c r="U175" s="2">
        <f t="shared" si="9"/>
        <v>0</v>
      </c>
      <c r="V175" s="2">
        <f t="shared" si="10"/>
        <v>0</v>
      </c>
      <c r="W175" s="2">
        <f t="shared" si="11"/>
        <v>0</v>
      </c>
      <c r="Y175" t="str">
        <f>IFERROR(ROUND(E175*VLOOKUP(D175,商品!$A$4:$B$60,2,FALSE),0),"")</f>
        <v/>
      </c>
      <c r="Z175" t="str">
        <f>IFERROR(ROUND(G175*VLOOKUP(F175,商品!$A$4:$B$60,2,FALSE),0),"")</f>
        <v/>
      </c>
      <c r="AA175" t="str">
        <f>IFERROR(ROUND(I175*VLOOKUP(H175,商品!$A$4:$B$60,2,FALSE),0),"")</f>
        <v/>
      </c>
      <c r="AB175" t="str">
        <f>IFERROR(ROUND(K175*VLOOKUP(J175,[1]note_pop_types!$A$16:$E$16,4,FALSE),0),"")</f>
        <v/>
      </c>
      <c r="AC175" t="str">
        <f>IFERROR(ROUND(M175*VLOOKUP(L175,[1]note_pop_types!$A$16:$E$16,4,FALSE),0),"")</f>
        <v/>
      </c>
      <c r="AD175" t="str">
        <f>IFERROR(ROUND(O175*VLOOKUP(N175,[1]note_pop_types!$A$16:$E$16,4,FALSE),0),"")</f>
        <v/>
      </c>
      <c r="AE175" t="str">
        <f>IFERROR(ROUND(Q175*VLOOKUP(P175,商品!$A$4:$B$60,2,FALSE),0),"")</f>
        <v/>
      </c>
      <c r="AF175" t="str">
        <f>IFERROR(ROUND(S175*VLOOKUP(R175,商品!$A$4:$B$60,2,FALSE),0),"")</f>
        <v/>
      </c>
    </row>
    <row r="176" spans="1:32" ht="19.05" customHeight="1" x14ac:dyDescent="0.25">
      <c r="A176" s="15" t="s">
        <v>211</v>
      </c>
      <c r="C176" s="15">
        <v>4</v>
      </c>
      <c r="T176" s="2">
        <f t="shared" si="8"/>
        <v>0</v>
      </c>
      <c r="U176" s="2">
        <f t="shared" si="9"/>
        <v>0</v>
      </c>
      <c r="V176" s="2">
        <f t="shared" si="10"/>
        <v>0</v>
      </c>
      <c r="W176" s="2">
        <f t="shared" si="11"/>
        <v>0</v>
      </c>
      <c r="Y176" t="str">
        <f>IFERROR(ROUND(E176*VLOOKUP(D176,商品!$A$4:$B$60,2,FALSE),0),"")</f>
        <v/>
      </c>
      <c r="Z176" t="str">
        <f>IFERROR(ROUND(G176*VLOOKUP(F176,商品!$A$4:$B$60,2,FALSE),0),"")</f>
        <v/>
      </c>
      <c r="AA176" t="str">
        <f>IFERROR(ROUND(I176*VLOOKUP(H176,商品!$A$4:$B$60,2,FALSE),0),"")</f>
        <v/>
      </c>
      <c r="AB176" t="str">
        <f>IFERROR(ROUND(K176*VLOOKUP(J176,[1]note_pop_types!$A$16:$E$16,4,FALSE),0),"")</f>
        <v/>
      </c>
      <c r="AC176" t="str">
        <f>IFERROR(ROUND(M176*VLOOKUP(L176,[1]note_pop_types!$A$16:$E$16,4,FALSE),0),"")</f>
        <v/>
      </c>
      <c r="AD176" t="str">
        <f>IFERROR(ROUND(O176*VLOOKUP(N176,[1]note_pop_types!$A$16:$E$16,4,FALSE),0),"")</f>
        <v/>
      </c>
      <c r="AE176" t="str">
        <f>IFERROR(ROUND(Q176*VLOOKUP(P176,商品!$A$4:$B$60,2,FALSE),0),"")</f>
        <v/>
      </c>
      <c r="AF176" t="str">
        <f>IFERROR(ROUND(S176*VLOOKUP(R176,商品!$A$4:$B$60,2,FALSE),0),"")</f>
        <v/>
      </c>
    </row>
    <row r="177" spans="1:32" ht="19.05" customHeight="1" x14ac:dyDescent="0.25">
      <c r="A177" s="15" t="s">
        <v>211</v>
      </c>
      <c r="C177" s="15">
        <v>5</v>
      </c>
      <c r="T177" s="2">
        <f t="shared" si="8"/>
        <v>0</v>
      </c>
      <c r="U177" s="2">
        <f t="shared" si="9"/>
        <v>0</v>
      </c>
      <c r="V177" s="2">
        <f t="shared" si="10"/>
        <v>0</v>
      </c>
      <c r="W177" s="2">
        <f t="shared" si="11"/>
        <v>0</v>
      </c>
      <c r="Y177" t="str">
        <f>IFERROR(ROUND(E177*VLOOKUP(D177,商品!$A$4:$B$60,2,FALSE),0),"")</f>
        <v/>
      </c>
      <c r="Z177" t="str">
        <f>IFERROR(ROUND(G177*VLOOKUP(F177,商品!$A$4:$B$60,2,FALSE),0),"")</f>
        <v/>
      </c>
      <c r="AA177" t="str">
        <f>IFERROR(ROUND(I177*VLOOKUP(H177,商品!$A$4:$B$60,2,FALSE),0),"")</f>
        <v/>
      </c>
      <c r="AB177" t="str">
        <f>IFERROR(ROUND(K177*VLOOKUP(J177,[1]note_pop_types!$A$16:$E$16,4,FALSE),0),"")</f>
        <v/>
      </c>
      <c r="AC177" t="str">
        <f>IFERROR(ROUND(M177*VLOOKUP(L177,[1]note_pop_types!$A$16:$E$16,4,FALSE),0),"")</f>
        <v/>
      </c>
      <c r="AD177" t="str">
        <f>IFERROR(ROUND(O177*VLOOKUP(N177,[1]note_pop_types!$A$16:$E$16,4,FALSE),0),"")</f>
        <v/>
      </c>
      <c r="AE177" t="str">
        <f>IFERROR(ROUND(Q177*VLOOKUP(P177,商品!$A$4:$B$60,2,FALSE),0),"")</f>
        <v/>
      </c>
      <c r="AF177" t="str">
        <f>IFERROR(ROUND(S177*VLOOKUP(R177,商品!$A$4:$B$60,2,FALSE),0),"")</f>
        <v/>
      </c>
    </row>
    <row r="178" spans="1:32" ht="19.05" customHeight="1" x14ac:dyDescent="0.25">
      <c r="A178" s="16" t="s">
        <v>511</v>
      </c>
      <c r="C178" s="16">
        <v>1</v>
      </c>
      <c r="T178" s="2">
        <f t="shared" si="8"/>
        <v>0</v>
      </c>
      <c r="U178" s="2">
        <f t="shared" si="9"/>
        <v>0</v>
      </c>
      <c r="V178" s="2">
        <f t="shared" si="10"/>
        <v>0</v>
      </c>
      <c r="W178" s="2">
        <f t="shared" si="11"/>
        <v>0</v>
      </c>
      <c r="Y178" t="str">
        <f>IFERROR(ROUND(E178*VLOOKUP(D178,商品!$A$4:$B$60,2,FALSE),0),"")</f>
        <v/>
      </c>
      <c r="Z178" t="str">
        <f>IFERROR(ROUND(G178*VLOOKUP(F178,商品!$A$4:$B$60,2,FALSE),0),"")</f>
        <v/>
      </c>
      <c r="AA178" t="str">
        <f>IFERROR(ROUND(I178*VLOOKUP(H178,商品!$A$4:$B$60,2,FALSE),0),"")</f>
        <v/>
      </c>
      <c r="AB178" t="str">
        <f>IFERROR(ROUND(K178*VLOOKUP(J178,[1]note_pop_types!$A$16:$E$16,4,FALSE),0),"")</f>
        <v/>
      </c>
      <c r="AC178" t="str">
        <f>IFERROR(ROUND(M178*VLOOKUP(L178,[1]note_pop_types!$A$16:$E$16,4,FALSE),0),"")</f>
        <v/>
      </c>
      <c r="AD178" t="str">
        <f>IFERROR(ROUND(O178*VLOOKUP(N178,[1]note_pop_types!$A$16:$E$16,4,FALSE),0),"")</f>
        <v/>
      </c>
      <c r="AE178" t="str">
        <f>IFERROR(ROUND(Q178*VLOOKUP(P178,商品!$A$4:$B$60,2,FALSE),0),"")</f>
        <v/>
      </c>
      <c r="AF178" t="str">
        <f>IFERROR(ROUND(S178*VLOOKUP(R178,商品!$A$4:$B$60,2,FALSE),0),"")</f>
        <v/>
      </c>
    </row>
    <row r="179" spans="1:32" ht="19.05" customHeight="1" x14ac:dyDescent="0.25">
      <c r="A179" s="16" t="s">
        <v>511</v>
      </c>
      <c r="C179" s="16">
        <v>2</v>
      </c>
      <c r="T179" s="2">
        <f t="shared" si="8"/>
        <v>0</v>
      </c>
      <c r="U179" s="2">
        <f t="shared" si="9"/>
        <v>0</v>
      </c>
      <c r="V179" s="2">
        <f t="shared" si="10"/>
        <v>0</v>
      </c>
      <c r="W179" s="2">
        <f t="shared" si="11"/>
        <v>0</v>
      </c>
      <c r="Y179" t="str">
        <f>IFERROR(ROUND(E179*VLOOKUP(D179,商品!$A$4:$B$60,2,FALSE),0),"")</f>
        <v/>
      </c>
      <c r="Z179" t="str">
        <f>IFERROR(ROUND(G179*VLOOKUP(F179,商品!$A$4:$B$60,2,FALSE),0),"")</f>
        <v/>
      </c>
      <c r="AA179" t="str">
        <f>IFERROR(ROUND(I179*VLOOKUP(H179,商品!$A$4:$B$60,2,FALSE),0),"")</f>
        <v/>
      </c>
      <c r="AB179" t="str">
        <f>IFERROR(ROUND(K179*VLOOKUP(J179,[1]note_pop_types!$A$16:$E$16,4,FALSE),0),"")</f>
        <v/>
      </c>
      <c r="AC179" t="str">
        <f>IFERROR(ROUND(M179*VLOOKUP(L179,[1]note_pop_types!$A$16:$E$16,4,FALSE),0),"")</f>
        <v/>
      </c>
      <c r="AD179" t="str">
        <f>IFERROR(ROUND(O179*VLOOKUP(N179,[1]note_pop_types!$A$16:$E$16,4,FALSE),0),"")</f>
        <v/>
      </c>
      <c r="AE179" t="str">
        <f>IFERROR(ROUND(Q179*VLOOKUP(P179,商品!$A$4:$B$60,2,FALSE),0),"")</f>
        <v/>
      </c>
      <c r="AF179" t="str">
        <f>IFERROR(ROUND(S179*VLOOKUP(R179,商品!$A$4:$B$60,2,FALSE),0),"")</f>
        <v/>
      </c>
    </row>
    <row r="180" spans="1:32" ht="19.05" customHeight="1" x14ac:dyDescent="0.25">
      <c r="A180" s="16" t="s">
        <v>511</v>
      </c>
      <c r="C180" s="16">
        <v>3</v>
      </c>
      <c r="T180" s="2">
        <f t="shared" si="8"/>
        <v>0</v>
      </c>
      <c r="U180" s="2">
        <f t="shared" si="9"/>
        <v>0</v>
      </c>
      <c r="V180" s="2">
        <f t="shared" si="10"/>
        <v>0</v>
      </c>
      <c r="W180" s="2">
        <f t="shared" si="11"/>
        <v>0</v>
      </c>
      <c r="Y180" t="str">
        <f>IFERROR(ROUND(E180*VLOOKUP(D180,商品!$A$4:$B$60,2,FALSE),0),"")</f>
        <v/>
      </c>
      <c r="Z180" t="str">
        <f>IFERROR(ROUND(G180*VLOOKUP(F180,商品!$A$4:$B$60,2,FALSE),0),"")</f>
        <v/>
      </c>
      <c r="AA180" t="str">
        <f>IFERROR(ROUND(I180*VLOOKUP(H180,商品!$A$4:$B$60,2,FALSE),0),"")</f>
        <v/>
      </c>
      <c r="AB180" t="str">
        <f>IFERROR(ROUND(K180*VLOOKUP(J180,[1]note_pop_types!$A$16:$E$16,4,FALSE),0),"")</f>
        <v/>
      </c>
      <c r="AC180" t="str">
        <f>IFERROR(ROUND(M180*VLOOKUP(L180,[1]note_pop_types!$A$16:$E$16,4,FALSE),0),"")</f>
        <v/>
      </c>
      <c r="AD180" t="str">
        <f>IFERROR(ROUND(O180*VLOOKUP(N180,[1]note_pop_types!$A$16:$E$16,4,FALSE),0),"")</f>
        <v/>
      </c>
      <c r="AE180" t="str">
        <f>IFERROR(ROUND(Q180*VLOOKUP(P180,商品!$A$4:$B$60,2,FALSE),0),"")</f>
        <v/>
      </c>
      <c r="AF180" t="str">
        <f>IFERROR(ROUND(S180*VLOOKUP(R180,商品!$A$4:$B$60,2,FALSE),0),"")</f>
        <v/>
      </c>
    </row>
    <row r="181" spans="1:32" ht="19.05" customHeight="1" x14ac:dyDescent="0.25">
      <c r="A181" s="16" t="s">
        <v>511</v>
      </c>
      <c r="C181" s="16">
        <v>4</v>
      </c>
      <c r="T181" s="2">
        <f t="shared" si="8"/>
        <v>0</v>
      </c>
      <c r="U181" s="2">
        <f t="shared" si="9"/>
        <v>0</v>
      </c>
      <c r="V181" s="2">
        <f t="shared" si="10"/>
        <v>0</v>
      </c>
      <c r="W181" s="2">
        <f t="shared" si="11"/>
        <v>0</v>
      </c>
      <c r="Y181" t="str">
        <f>IFERROR(ROUND(E181*VLOOKUP(D181,商品!$A$4:$B$60,2,FALSE),0),"")</f>
        <v/>
      </c>
      <c r="Z181" t="str">
        <f>IFERROR(ROUND(G181*VLOOKUP(F181,商品!$A$4:$B$60,2,FALSE),0),"")</f>
        <v/>
      </c>
      <c r="AA181" t="str">
        <f>IFERROR(ROUND(I181*VLOOKUP(H181,商品!$A$4:$B$60,2,FALSE),0),"")</f>
        <v/>
      </c>
      <c r="AB181" t="str">
        <f>IFERROR(ROUND(K181*VLOOKUP(J181,[1]note_pop_types!$A$16:$E$16,4,FALSE),0),"")</f>
        <v/>
      </c>
      <c r="AC181" t="str">
        <f>IFERROR(ROUND(M181*VLOOKUP(L181,[1]note_pop_types!$A$16:$E$16,4,FALSE),0),"")</f>
        <v/>
      </c>
      <c r="AD181" t="str">
        <f>IFERROR(ROUND(O181*VLOOKUP(N181,[1]note_pop_types!$A$16:$E$16,4,FALSE),0),"")</f>
        <v/>
      </c>
      <c r="AE181" t="str">
        <f>IFERROR(ROUND(Q181*VLOOKUP(P181,商品!$A$4:$B$60,2,FALSE),0),"")</f>
        <v/>
      </c>
      <c r="AF181" t="str">
        <f>IFERROR(ROUND(S181*VLOOKUP(R181,商品!$A$4:$B$60,2,FALSE),0),"")</f>
        <v/>
      </c>
    </row>
    <row r="182" spans="1:32" ht="19.05" customHeight="1" x14ac:dyDescent="0.25">
      <c r="A182" s="16" t="s">
        <v>511</v>
      </c>
      <c r="C182" s="16">
        <v>5</v>
      </c>
      <c r="T182" s="2">
        <f t="shared" si="8"/>
        <v>0</v>
      </c>
      <c r="U182" s="2">
        <f t="shared" si="9"/>
        <v>0</v>
      </c>
      <c r="V182" s="2">
        <f t="shared" si="10"/>
        <v>0</v>
      </c>
      <c r="W182" s="2">
        <f t="shared" si="11"/>
        <v>0</v>
      </c>
      <c r="Y182" t="str">
        <f>IFERROR(ROUND(E182*VLOOKUP(D182,商品!$A$4:$B$60,2,FALSE),0),"")</f>
        <v/>
      </c>
      <c r="Z182" t="str">
        <f>IFERROR(ROUND(G182*VLOOKUP(F182,商品!$A$4:$B$60,2,FALSE),0),"")</f>
        <v/>
      </c>
      <c r="AA182" t="str">
        <f>IFERROR(ROUND(I182*VLOOKUP(H182,商品!$A$4:$B$60,2,FALSE),0),"")</f>
        <v/>
      </c>
      <c r="AB182" t="str">
        <f>IFERROR(ROUND(K182*VLOOKUP(J182,[1]note_pop_types!$A$16:$E$16,4,FALSE),0),"")</f>
        <v/>
      </c>
      <c r="AC182" t="str">
        <f>IFERROR(ROUND(M182*VLOOKUP(L182,[1]note_pop_types!$A$16:$E$16,4,FALSE),0),"")</f>
        <v/>
      </c>
      <c r="AD182" t="str">
        <f>IFERROR(ROUND(O182*VLOOKUP(N182,[1]note_pop_types!$A$16:$E$16,4,FALSE),0),"")</f>
        <v/>
      </c>
      <c r="AE182" t="str">
        <f>IFERROR(ROUND(Q182*VLOOKUP(P182,商品!$A$4:$B$60,2,FALSE),0),"")</f>
        <v/>
      </c>
      <c r="AF182" t="str">
        <f>IFERROR(ROUND(S182*VLOOKUP(R182,商品!$A$4:$B$60,2,FALSE),0),"")</f>
        <v/>
      </c>
    </row>
    <row r="183" spans="1:32" ht="19.05" customHeight="1" x14ac:dyDescent="0.25">
      <c r="A183" s="15" t="s">
        <v>511</v>
      </c>
      <c r="C183" s="15">
        <v>1</v>
      </c>
      <c r="T183" s="2">
        <f t="shared" si="8"/>
        <v>0</v>
      </c>
      <c r="U183" s="2">
        <f t="shared" si="9"/>
        <v>0</v>
      </c>
      <c r="V183" s="2">
        <f t="shared" si="10"/>
        <v>0</v>
      </c>
      <c r="W183" s="2">
        <f t="shared" si="11"/>
        <v>0</v>
      </c>
      <c r="Y183" t="str">
        <f>IFERROR(ROUND(E183*VLOOKUP(D183,商品!$A$4:$B$60,2,FALSE),0),"")</f>
        <v/>
      </c>
      <c r="Z183" t="str">
        <f>IFERROR(ROUND(G183*VLOOKUP(F183,商品!$A$4:$B$60,2,FALSE),0),"")</f>
        <v/>
      </c>
      <c r="AA183" t="str">
        <f>IFERROR(ROUND(I183*VLOOKUP(H183,商品!$A$4:$B$60,2,FALSE),0),"")</f>
        <v/>
      </c>
      <c r="AB183" t="str">
        <f>IFERROR(ROUND(K183*VLOOKUP(J183,[1]note_pop_types!$A$16:$E$16,4,FALSE),0),"")</f>
        <v/>
      </c>
      <c r="AC183" t="str">
        <f>IFERROR(ROUND(M183*VLOOKUP(L183,[1]note_pop_types!$A$16:$E$16,4,FALSE),0),"")</f>
        <v/>
      </c>
      <c r="AD183" t="str">
        <f>IFERROR(ROUND(O183*VLOOKUP(N183,[1]note_pop_types!$A$16:$E$16,4,FALSE),0),"")</f>
        <v/>
      </c>
      <c r="AE183" t="str">
        <f>IFERROR(ROUND(Q183*VLOOKUP(P183,商品!$A$4:$B$60,2,FALSE),0),"")</f>
        <v/>
      </c>
      <c r="AF183" t="str">
        <f>IFERROR(ROUND(S183*VLOOKUP(R183,商品!$A$4:$B$60,2,FALSE),0),"")</f>
        <v/>
      </c>
    </row>
    <row r="184" spans="1:32" ht="19.05" customHeight="1" x14ac:dyDescent="0.25">
      <c r="A184" s="15" t="s">
        <v>511</v>
      </c>
      <c r="C184" s="15">
        <v>2</v>
      </c>
      <c r="T184" s="2">
        <f t="shared" si="8"/>
        <v>0</v>
      </c>
      <c r="U184" s="2">
        <f t="shared" si="9"/>
        <v>0</v>
      </c>
      <c r="V184" s="2">
        <f t="shared" si="10"/>
        <v>0</v>
      </c>
      <c r="W184" s="2">
        <f t="shared" si="11"/>
        <v>0</v>
      </c>
      <c r="Y184" t="str">
        <f>IFERROR(ROUND(E184*VLOOKUP(D184,商品!$A$4:$B$60,2,FALSE),0),"")</f>
        <v/>
      </c>
      <c r="Z184" t="str">
        <f>IFERROR(ROUND(G184*VLOOKUP(F184,商品!$A$4:$B$60,2,FALSE),0),"")</f>
        <v/>
      </c>
      <c r="AA184" t="str">
        <f>IFERROR(ROUND(I184*VLOOKUP(H184,商品!$A$4:$B$60,2,FALSE),0),"")</f>
        <v/>
      </c>
      <c r="AB184" t="str">
        <f>IFERROR(ROUND(K184*VLOOKUP(J184,[1]note_pop_types!$A$16:$E$16,4,FALSE),0),"")</f>
        <v/>
      </c>
      <c r="AC184" t="str">
        <f>IFERROR(ROUND(M184*VLOOKUP(L184,[1]note_pop_types!$A$16:$E$16,4,FALSE),0),"")</f>
        <v/>
      </c>
      <c r="AD184" t="str">
        <f>IFERROR(ROUND(O184*VLOOKUP(N184,[1]note_pop_types!$A$16:$E$16,4,FALSE),0),"")</f>
        <v/>
      </c>
      <c r="AE184" t="str">
        <f>IFERROR(ROUND(Q184*VLOOKUP(P184,商品!$A$4:$B$60,2,FALSE),0),"")</f>
        <v/>
      </c>
      <c r="AF184" t="str">
        <f>IFERROR(ROUND(S184*VLOOKUP(R184,商品!$A$4:$B$60,2,FALSE),0),"")</f>
        <v/>
      </c>
    </row>
    <row r="185" spans="1:32" ht="19.05" customHeight="1" x14ac:dyDescent="0.25">
      <c r="A185" s="15" t="s">
        <v>511</v>
      </c>
      <c r="C185" s="15">
        <v>3</v>
      </c>
      <c r="T185" s="2">
        <f t="shared" si="8"/>
        <v>0</v>
      </c>
      <c r="U185" s="2">
        <f t="shared" si="9"/>
        <v>0</v>
      </c>
      <c r="V185" s="2">
        <f t="shared" si="10"/>
        <v>0</v>
      </c>
      <c r="W185" s="2">
        <f t="shared" si="11"/>
        <v>0</v>
      </c>
      <c r="Y185" t="str">
        <f>IFERROR(ROUND(E185*VLOOKUP(D185,商品!$A$4:$B$60,2,FALSE),0),"")</f>
        <v/>
      </c>
      <c r="Z185" t="str">
        <f>IFERROR(ROUND(G185*VLOOKUP(F185,商品!$A$4:$B$60,2,FALSE),0),"")</f>
        <v/>
      </c>
      <c r="AA185" t="str">
        <f>IFERROR(ROUND(I185*VLOOKUP(H185,商品!$A$4:$B$60,2,FALSE),0),"")</f>
        <v/>
      </c>
      <c r="AB185" t="str">
        <f>IFERROR(ROUND(K185*VLOOKUP(J185,[1]note_pop_types!$A$16:$E$16,4,FALSE),0),"")</f>
        <v/>
      </c>
      <c r="AC185" t="str">
        <f>IFERROR(ROUND(M185*VLOOKUP(L185,[1]note_pop_types!$A$16:$E$16,4,FALSE),0),"")</f>
        <v/>
      </c>
      <c r="AD185" t="str">
        <f>IFERROR(ROUND(O185*VLOOKUP(N185,[1]note_pop_types!$A$16:$E$16,4,FALSE),0),"")</f>
        <v/>
      </c>
      <c r="AE185" t="str">
        <f>IFERROR(ROUND(Q185*VLOOKUP(P185,商品!$A$4:$B$60,2,FALSE),0),"")</f>
        <v/>
      </c>
      <c r="AF185" t="str">
        <f>IFERROR(ROUND(S185*VLOOKUP(R185,商品!$A$4:$B$60,2,FALSE),0),"")</f>
        <v/>
      </c>
    </row>
    <row r="186" spans="1:32" ht="19.05" customHeight="1" x14ac:dyDescent="0.25">
      <c r="A186" s="15" t="s">
        <v>511</v>
      </c>
      <c r="C186" s="15">
        <v>4</v>
      </c>
      <c r="T186" s="2">
        <f t="shared" si="8"/>
        <v>0</v>
      </c>
      <c r="U186" s="2">
        <f t="shared" si="9"/>
        <v>0</v>
      </c>
      <c r="V186" s="2">
        <f t="shared" si="10"/>
        <v>0</v>
      </c>
      <c r="W186" s="2">
        <f t="shared" si="11"/>
        <v>0</v>
      </c>
      <c r="Y186" t="str">
        <f>IFERROR(ROUND(E186*VLOOKUP(D186,商品!$A$4:$B$60,2,FALSE),0),"")</f>
        <v/>
      </c>
      <c r="Z186" t="str">
        <f>IFERROR(ROUND(G186*VLOOKUP(F186,商品!$A$4:$B$60,2,FALSE),0),"")</f>
        <v/>
      </c>
      <c r="AA186" t="str">
        <f>IFERROR(ROUND(I186*VLOOKUP(H186,商品!$A$4:$B$60,2,FALSE),0),"")</f>
        <v/>
      </c>
      <c r="AB186" t="str">
        <f>IFERROR(ROUND(K186*VLOOKUP(J186,[1]note_pop_types!$A$16:$E$16,4,FALSE),0),"")</f>
        <v/>
      </c>
      <c r="AC186" t="str">
        <f>IFERROR(ROUND(M186*VLOOKUP(L186,[1]note_pop_types!$A$16:$E$16,4,FALSE),0),"")</f>
        <v/>
      </c>
      <c r="AD186" t="str">
        <f>IFERROR(ROUND(O186*VLOOKUP(N186,[1]note_pop_types!$A$16:$E$16,4,FALSE),0),"")</f>
        <v/>
      </c>
      <c r="AE186" t="str">
        <f>IFERROR(ROUND(Q186*VLOOKUP(P186,商品!$A$4:$B$60,2,FALSE),0),"")</f>
        <v/>
      </c>
      <c r="AF186" t="str">
        <f>IFERROR(ROUND(S186*VLOOKUP(R186,商品!$A$4:$B$60,2,FALSE),0),"")</f>
        <v/>
      </c>
    </row>
    <row r="187" spans="1:32" ht="19.05" customHeight="1" x14ac:dyDescent="0.25">
      <c r="A187" s="15" t="s">
        <v>511</v>
      </c>
      <c r="C187" s="15">
        <v>5</v>
      </c>
      <c r="T187" s="2">
        <f t="shared" si="8"/>
        <v>0</v>
      </c>
      <c r="U187" s="2">
        <f t="shared" si="9"/>
        <v>0</v>
      </c>
      <c r="V187" s="2">
        <f t="shared" si="10"/>
        <v>0</v>
      </c>
      <c r="W187" s="2">
        <f t="shared" si="11"/>
        <v>0</v>
      </c>
      <c r="Y187" t="str">
        <f>IFERROR(ROUND(E187*VLOOKUP(D187,商品!$A$4:$B$60,2,FALSE),0),"")</f>
        <v/>
      </c>
      <c r="Z187" t="str">
        <f>IFERROR(ROUND(G187*VLOOKUP(F187,商品!$A$4:$B$60,2,FALSE),0),"")</f>
        <v/>
      </c>
      <c r="AA187" t="str">
        <f>IFERROR(ROUND(I187*VLOOKUP(H187,商品!$A$4:$B$60,2,FALSE),0),"")</f>
        <v/>
      </c>
      <c r="AB187" t="str">
        <f>IFERROR(ROUND(K187*VLOOKUP(J187,[1]note_pop_types!$A$16:$E$16,4,FALSE),0),"")</f>
        <v/>
      </c>
      <c r="AC187" t="str">
        <f>IFERROR(ROUND(M187*VLOOKUP(L187,[1]note_pop_types!$A$16:$E$16,4,FALSE),0),"")</f>
        <v/>
      </c>
      <c r="AD187" t="str">
        <f>IFERROR(ROUND(O187*VLOOKUP(N187,[1]note_pop_types!$A$16:$E$16,4,FALSE),0),"")</f>
        <v/>
      </c>
      <c r="AE187" t="str">
        <f>IFERROR(ROUND(Q187*VLOOKUP(P187,商品!$A$4:$B$60,2,FALSE),0),"")</f>
        <v/>
      </c>
      <c r="AF187" t="str">
        <f>IFERROR(ROUND(S187*VLOOKUP(R187,商品!$A$4:$B$60,2,FALSE),0),"")</f>
        <v/>
      </c>
    </row>
    <row r="188" spans="1:32" ht="19.05" customHeight="1" x14ac:dyDescent="0.25">
      <c r="A188" s="16" t="s">
        <v>214</v>
      </c>
      <c r="C188" s="16">
        <v>1</v>
      </c>
      <c r="T188" s="2">
        <f t="shared" si="8"/>
        <v>0</v>
      </c>
      <c r="U188" s="2">
        <f t="shared" si="9"/>
        <v>0</v>
      </c>
      <c r="V188" s="2">
        <f t="shared" si="10"/>
        <v>0</v>
      </c>
      <c r="W188" s="2">
        <f t="shared" si="11"/>
        <v>0</v>
      </c>
      <c r="Y188" t="str">
        <f>IFERROR(ROUND(E188*VLOOKUP(D188,商品!$A$4:$B$60,2,FALSE),0),"")</f>
        <v/>
      </c>
      <c r="Z188" t="str">
        <f>IFERROR(ROUND(G188*VLOOKUP(F188,商品!$A$4:$B$60,2,FALSE),0),"")</f>
        <v/>
      </c>
      <c r="AA188" t="str">
        <f>IFERROR(ROUND(I188*VLOOKUP(H188,商品!$A$4:$B$60,2,FALSE),0),"")</f>
        <v/>
      </c>
      <c r="AB188" t="str">
        <f>IFERROR(ROUND(K188*VLOOKUP(J188,[1]note_pop_types!$A$16:$E$16,4,FALSE),0),"")</f>
        <v/>
      </c>
      <c r="AC188" t="str">
        <f>IFERROR(ROUND(M188*VLOOKUP(L188,[1]note_pop_types!$A$16:$E$16,4,FALSE),0),"")</f>
        <v/>
      </c>
      <c r="AD188" t="str">
        <f>IFERROR(ROUND(O188*VLOOKUP(N188,[1]note_pop_types!$A$16:$E$16,4,FALSE),0),"")</f>
        <v/>
      </c>
      <c r="AE188" t="str">
        <f>IFERROR(ROUND(Q188*VLOOKUP(P188,商品!$A$4:$B$60,2,FALSE),0),"")</f>
        <v/>
      </c>
      <c r="AF188" t="str">
        <f>IFERROR(ROUND(S188*VLOOKUP(R188,商品!$A$4:$B$60,2,FALSE),0),"")</f>
        <v/>
      </c>
    </row>
    <row r="189" spans="1:32" ht="19.05" customHeight="1" x14ac:dyDescent="0.25">
      <c r="A189" s="16" t="s">
        <v>214</v>
      </c>
      <c r="C189" s="16">
        <v>2</v>
      </c>
      <c r="T189" s="2">
        <f t="shared" si="8"/>
        <v>0</v>
      </c>
      <c r="U189" s="2">
        <f t="shared" si="9"/>
        <v>0</v>
      </c>
      <c r="V189" s="2">
        <f t="shared" si="10"/>
        <v>0</v>
      </c>
      <c r="W189" s="2">
        <f t="shared" si="11"/>
        <v>0</v>
      </c>
      <c r="Y189" t="str">
        <f>IFERROR(ROUND(E189*VLOOKUP(D189,商品!$A$4:$B$60,2,FALSE),0),"")</f>
        <v/>
      </c>
      <c r="Z189" t="str">
        <f>IFERROR(ROUND(G189*VLOOKUP(F189,商品!$A$4:$B$60,2,FALSE),0),"")</f>
        <v/>
      </c>
      <c r="AA189" t="str">
        <f>IFERROR(ROUND(I189*VLOOKUP(H189,商品!$A$4:$B$60,2,FALSE),0),"")</f>
        <v/>
      </c>
      <c r="AB189" t="str">
        <f>IFERROR(ROUND(K189*VLOOKUP(J189,[1]note_pop_types!$A$16:$E$16,4,FALSE),0),"")</f>
        <v/>
      </c>
      <c r="AC189" t="str">
        <f>IFERROR(ROUND(M189*VLOOKUP(L189,[1]note_pop_types!$A$16:$E$16,4,FALSE),0),"")</f>
        <v/>
      </c>
      <c r="AD189" t="str">
        <f>IFERROR(ROUND(O189*VLOOKUP(N189,[1]note_pop_types!$A$16:$E$16,4,FALSE),0),"")</f>
        <v/>
      </c>
      <c r="AE189" t="str">
        <f>IFERROR(ROUND(Q189*VLOOKUP(P189,商品!$A$4:$B$60,2,FALSE),0),"")</f>
        <v/>
      </c>
      <c r="AF189" t="str">
        <f>IFERROR(ROUND(S189*VLOOKUP(R189,商品!$A$4:$B$60,2,FALSE),0),"")</f>
        <v/>
      </c>
    </row>
    <row r="190" spans="1:32" ht="19.05" customHeight="1" x14ac:dyDescent="0.25">
      <c r="A190" s="16" t="s">
        <v>214</v>
      </c>
      <c r="C190" s="16">
        <v>3</v>
      </c>
      <c r="T190" s="2">
        <f t="shared" si="8"/>
        <v>0</v>
      </c>
      <c r="U190" s="2">
        <f t="shared" si="9"/>
        <v>0</v>
      </c>
      <c r="V190" s="2">
        <f t="shared" si="10"/>
        <v>0</v>
      </c>
      <c r="W190" s="2">
        <f t="shared" si="11"/>
        <v>0</v>
      </c>
      <c r="Y190" t="str">
        <f>IFERROR(ROUND(E190*VLOOKUP(D190,商品!$A$4:$B$60,2,FALSE),0),"")</f>
        <v/>
      </c>
      <c r="Z190" t="str">
        <f>IFERROR(ROUND(G190*VLOOKUP(F190,商品!$A$4:$B$60,2,FALSE),0),"")</f>
        <v/>
      </c>
      <c r="AA190" t="str">
        <f>IFERROR(ROUND(I190*VLOOKUP(H190,商品!$A$4:$B$60,2,FALSE),0),"")</f>
        <v/>
      </c>
      <c r="AB190" t="str">
        <f>IFERROR(ROUND(K190*VLOOKUP(J190,[1]note_pop_types!$A$16:$E$16,4,FALSE),0),"")</f>
        <v/>
      </c>
      <c r="AC190" t="str">
        <f>IFERROR(ROUND(M190*VLOOKUP(L190,[1]note_pop_types!$A$16:$E$16,4,FALSE),0),"")</f>
        <v/>
      </c>
      <c r="AD190" t="str">
        <f>IFERROR(ROUND(O190*VLOOKUP(N190,[1]note_pop_types!$A$16:$E$16,4,FALSE),0),"")</f>
        <v/>
      </c>
      <c r="AE190" t="str">
        <f>IFERROR(ROUND(Q190*VLOOKUP(P190,商品!$A$4:$B$60,2,FALSE),0),"")</f>
        <v/>
      </c>
      <c r="AF190" t="str">
        <f>IFERROR(ROUND(S190*VLOOKUP(R190,商品!$A$4:$B$60,2,FALSE),0),"")</f>
        <v/>
      </c>
    </row>
    <row r="191" spans="1:32" ht="19.05" customHeight="1" x14ac:dyDescent="0.25">
      <c r="A191" s="16" t="s">
        <v>214</v>
      </c>
      <c r="C191" s="16">
        <v>4</v>
      </c>
      <c r="T191" s="2">
        <f t="shared" si="8"/>
        <v>0</v>
      </c>
      <c r="U191" s="2">
        <f t="shared" si="9"/>
        <v>0</v>
      </c>
      <c r="V191" s="2">
        <f t="shared" si="10"/>
        <v>0</v>
      </c>
      <c r="W191" s="2">
        <f t="shared" si="11"/>
        <v>0</v>
      </c>
      <c r="Y191" t="str">
        <f>IFERROR(ROUND(E191*VLOOKUP(D191,商品!$A$4:$B$60,2,FALSE),0),"")</f>
        <v/>
      </c>
      <c r="Z191" t="str">
        <f>IFERROR(ROUND(G191*VLOOKUP(F191,商品!$A$4:$B$60,2,FALSE),0),"")</f>
        <v/>
      </c>
      <c r="AA191" t="str">
        <f>IFERROR(ROUND(I191*VLOOKUP(H191,商品!$A$4:$B$60,2,FALSE),0),"")</f>
        <v/>
      </c>
      <c r="AB191" t="str">
        <f>IFERROR(ROUND(K191*VLOOKUP(J191,[1]note_pop_types!$A$16:$E$16,4,FALSE),0),"")</f>
        <v/>
      </c>
      <c r="AC191" t="str">
        <f>IFERROR(ROUND(M191*VLOOKUP(L191,[1]note_pop_types!$A$16:$E$16,4,FALSE),0),"")</f>
        <v/>
      </c>
      <c r="AD191" t="str">
        <f>IFERROR(ROUND(O191*VLOOKUP(N191,[1]note_pop_types!$A$16:$E$16,4,FALSE),0),"")</f>
        <v/>
      </c>
      <c r="AE191" t="str">
        <f>IFERROR(ROUND(Q191*VLOOKUP(P191,商品!$A$4:$B$60,2,FALSE),0),"")</f>
        <v/>
      </c>
      <c r="AF191" t="str">
        <f>IFERROR(ROUND(S191*VLOOKUP(R191,商品!$A$4:$B$60,2,FALSE),0),"")</f>
        <v/>
      </c>
    </row>
    <row r="192" spans="1:32" ht="19.05" customHeight="1" x14ac:dyDescent="0.25">
      <c r="A192" s="16" t="s">
        <v>214</v>
      </c>
      <c r="C192" s="16">
        <v>5</v>
      </c>
      <c r="T192" s="2">
        <f t="shared" si="8"/>
        <v>0</v>
      </c>
      <c r="U192" s="2">
        <f t="shared" si="9"/>
        <v>0</v>
      </c>
      <c r="V192" s="2">
        <f t="shared" si="10"/>
        <v>0</v>
      </c>
      <c r="W192" s="2">
        <f t="shared" si="11"/>
        <v>0</v>
      </c>
      <c r="Y192" t="str">
        <f>IFERROR(ROUND(E192*VLOOKUP(D192,商品!$A$4:$B$60,2,FALSE),0),"")</f>
        <v/>
      </c>
      <c r="Z192" t="str">
        <f>IFERROR(ROUND(G192*VLOOKUP(F192,商品!$A$4:$B$60,2,FALSE),0),"")</f>
        <v/>
      </c>
      <c r="AA192" t="str">
        <f>IFERROR(ROUND(I192*VLOOKUP(H192,商品!$A$4:$B$60,2,FALSE),0),"")</f>
        <v/>
      </c>
      <c r="AB192" t="str">
        <f>IFERROR(ROUND(K192*VLOOKUP(J192,[1]note_pop_types!$A$16:$E$16,4,FALSE),0),"")</f>
        <v/>
      </c>
      <c r="AC192" t="str">
        <f>IFERROR(ROUND(M192*VLOOKUP(L192,[1]note_pop_types!$A$16:$E$16,4,FALSE),0),"")</f>
        <v/>
      </c>
      <c r="AD192" t="str">
        <f>IFERROR(ROUND(O192*VLOOKUP(N192,[1]note_pop_types!$A$16:$E$16,4,FALSE),0),"")</f>
        <v/>
      </c>
      <c r="AE192" t="str">
        <f>IFERROR(ROUND(Q192*VLOOKUP(P192,商品!$A$4:$B$60,2,FALSE),0),"")</f>
        <v/>
      </c>
      <c r="AF192" t="str">
        <f>IFERROR(ROUND(S192*VLOOKUP(R192,商品!$A$4:$B$60,2,FALSE),0),"")</f>
        <v/>
      </c>
    </row>
    <row r="193" spans="1:32" ht="19.05" customHeight="1" x14ac:dyDescent="0.25">
      <c r="A193" s="16" t="s">
        <v>214</v>
      </c>
      <c r="C193" s="16">
        <v>6</v>
      </c>
      <c r="T193" s="2">
        <f t="shared" si="8"/>
        <v>0</v>
      </c>
      <c r="U193" s="2">
        <f t="shared" si="9"/>
        <v>0</v>
      </c>
      <c r="V193" s="2">
        <f t="shared" si="10"/>
        <v>0</v>
      </c>
      <c r="W193" s="2">
        <f t="shared" si="11"/>
        <v>0</v>
      </c>
      <c r="Y193" t="str">
        <f>IFERROR(ROUND(E193*VLOOKUP(D193,商品!$A$4:$B$60,2,FALSE),0),"")</f>
        <v/>
      </c>
      <c r="Z193" t="str">
        <f>IFERROR(ROUND(G193*VLOOKUP(F193,商品!$A$4:$B$60,2,FALSE),0),"")</f>
        <v/>
      </c>
      <c r="AA193" t="str">
        <f>IFERROR(ROUND(I193*VLOOKUP(H193,商品!$A$4:$B$60,2,FALSE),0),"")</f>
        <v/>
      </c>
      <c r="AB193" t="str">
        <f>IFERROR(ROUND(K193*VLOOKUP(J193,[1]note_pop_types!$A$16:$E$16,4,FALSE),0),"")</f>
        <v/>
      </c>
      <c r="AC193" t="str">
        <f>IFERROR(ROUND(M193*VLOOKUP(L193,[1]note_pop_types!$A$16:$E$16,4,FALSE),0),"")</f>
        <v/>
      </c>
      <c r="AD193" t="str">
        <f>IFERROR(ROUND(O193*VLOOKUP(N193,[1]note_pop_types!$A$16:$E$16,4,FALSE),0),"")</f>
        <v/>
      </c>
      <c r="AE193" t="str">
        <f>IFERROR(ROUND(Q193*VLOOKUP(P193,商品!$A$4:$B$60,2,FALSE),0),"")</f>
        <v/>
      </c>
      <c r="AF193" t="str">
        <f>IFERROR(ROUND(S193*VLOOKUP(R193,商品!$A$4:$B$60,2,FALSE),0),"")</f>
        <v/>
      </c>
    </row>
    <row r="194" spans="1:32" ht="19.05" customHeight="1" x14ac:dyDescent="0.25">
      <c r="A194" s="16" t="s">
        <v>214</v>
      </c>
      <c r="C194" s="16">
        <v>7</v>
      </c>
      <c r="T194" s="2">
        <f t="shared" si="8"/>
        <v>0</v>
      </c>
      <c r="U194" s="2">
        <f t="shared" si="9"/>
        <v>0</v>
      </c>
      <c r="V194" s="2">
        <f t="shared" si="10"/>
        <v>0</v>
      </c>
      <c r="W194" s="2">
        <f t="shared" si="11"/>
        <v>0</v>
      </c>
      <c r="Y194" t="str">
        <f>IFERROR(ROUND(E194*VLOOKUP(D194,商品!$A$4:$B$60,2,FALSE),0),"")</f>
        <v/>
      </c>
      <c r="Z194" t="str">
        <f>IFERROR(ROUND(G194*VLOOKUP(F194,商品!$A$4:$B$60,2,FALSE),0),"")</f>
        <v/>
      </c>
      <c r="AA194" t="str">
        <f>IFERROR(ROUND(I194*VLOOKUP(H194,商品!$A$4:$B$60,2,FALSE),0),"")</f>
        <v/>
      </c>
      <c r="AB194" t="str">
        <f>IFERROR(ROUND(K194*VLOOKUP(J194,[1]note_pop_types!$A$16:$E$16,4,FALSE),0),"")</f>
        <v/>
      </c>
      <c r="AC194" t="str">
        <f>IFERROR(ROUND(M194*VLOOKUP(L194,[1]note_pop_types!$A$16:$E$16,4,FALSE),0),"")</f>
        <v/>
      </c>
      <c r="AD194" t="str">
        <f>IFERROR(ROUND(O194*VLOOKUP(N194,[1]note_pop_types!$A$16:$E$16,4,FALSE),0),"")</f>
        <v/>
      </c>
      <c r="AE194" t="str">
        <f>IFERROR(ROUND(Q194*VLOOKUP(P194,商品!$A$4:$B$60,2,FALSE),0),"")</f>
        <v/>
      </c>
      <c r="AF194" t="str">
        <f>IFERROR(ROUND(S194*VLOOKUP(R194,商品!$A$4:$B$60,2,FALSE),0),"")</f>
        <v/>
      </c>
    </row>
    <row r="195" spans="1:32" ht="19.05" customHeight="1" x14ac:dyDescent="0.25">
      <c r="A195" s="16" t="s">
        <v>214</v>
      </c>
      <c r="C195" s="16">
        <v>8</v>
      </c>
      <c r="T195" s="2">
        <f t="shared" si="8"/>
        <v>0</v>
      </c>
      <c r="U195" s="2">
        <f t="shared" si="9"/>
        <v>0</v>
      </c>
      <c r="V195" s="2">
        <f t="shared" si="10"/>
        <v>0</v>
      </c>
      <c r="W195" s="2">
        <f t="shared" si="11"/>
        <v>0</v>
      </c>
      <c r="Y195" t="str">
        <f>IFERROR(ROUND(E195*VLOOKUP(D195,商品!$A$4:$B$60,2,FALSE),0),"")</f>
        <v/>
      </c>
      <c r="Z195" t="str">
        <f>IFERROR(ROUND(G195*VLOOKUP(F195,商品!$A$4:$B$60,2,FALSE),0),"")</f>
        <v/>
      </c>
      <c r="AA195" t="str">
        <f>IFERROR(ROUND(I195*VLOOKUP(H195,商品!$A$4:$B$60,2,FALSE),0),"")</f>
        <v/>
      </c>
      <c r="AB195" t="str">
        <f>IFERROR(ROUND(K195*VLOOKUP(J195,[1]note_pop_types!$A$16:$E$16,4,FALSE),0),"")</f>
        <v/>
      </c>
      <c r="AC195" t="str">
        <f>IFERROR(ROUND(M195*VLOOKUP(L195,[1]note_pop_types!$A$16:$E$16,4,FALSE),0),"")</f>
        <v/>
      </c>
      <c r="AD195" t="str">
        <f>IFERROR(ROUND(O195*VLOOKUP(N195,[1]note_pop_types!$A$16:$E$16,4,FALSE),0),"")</f>
        <v/>
      </c>
      <c r="AE195" t="str">
        <f>IFERROR(ROUND(Q195*VLOOKUP(P195,商品!$A$4:$B$60,2,FALSE),0),"")</f>
        <v/>
      </c>
      <c r="AF195" t="str">
        <f>IFERROR(ROUND(S195*VLOOKUP(R195,商品!$A$4:$B$60,2,FALSE),0),"")</f>
        <v/>
      </c>
    </row>
    <row r="196" spans="1:32" ht="19.05" customHeight="1" x14ac:dyDescent="0.25">
      <c r="A196" s="15" t="s">
        <v>216</v>
      </c>
      <c r="C196" s="15">
        <v>1</v>
      </c>
      <c r="T196" s="2">
        <f t="shared" si="8"/>
        <v>0</v>
      </c>
      <c r="U196" s="2">
        <f t="shared" si="9"/>
        <v>0</v>
      </c>
      <c r="V196" s="2">
        <f t="shared" si="10"/>
        <v>0</v>
      </c>
      <c r="W196" s="2">
        <f t="shared" si="11"/>
        <v>0</v>
      </c>
      <c r="Y196" t="str">
        <f>IFERROR(ROUND(E196*VLOOKUP(D196,商品!$A$4:$B$60,2,FALSE),0),"")</f>
        <v/>
      </c>
      <c r="Z196" t="str">
        <f>IFERROR(ROUND(G196*VLOOKUP(F196,商品!$A$4:$B$60,2,FALSE),0),"")</f>
        <v/>
      </c>
      <c r="AA196" t="str">
        <f>IFERROR(ROUND(I196*VLOOKUP(H196,商品!$A$4:$B$60,2,FALSE),0),"")</f>
        <v/>
      </c>
      <c r="AB196" t="str">
        <f>IFERROR(ROUND(K196*VLOOKUP(J196,[1]note_pop_types!$A$16:$E$16,4,FALSE),0),"")</f>
        <v/>
      </c>
      <c r="AC196" t="str">
        <f>IFERROR(ROUND(M196*VLOOKUP(L196,[1]note_pop_types!$A$16:$E$16,4,FALSE),0),"")</f>
        <v/>
      </c>
      <c r="AD196" t="str">
        <f>IFERROR(ROUND(O196*VLOOKUP(N196,[1]note_pop_types!$A$16:$E$16,4,FALSE),0),"")</f>
        <v/>
      </c>
      <c r="AE196" t="str">
        <f>IFERROR(ROUND(Q196*VLOOKUP(P196,商品!$A$4:$B$60,2,FALSE),0),"")</f>
        <v/>
      </c>
      <c r="AF196" t="str">
        <f>IFERROR(ROUND(S196*VLOOKUP(R196,商品!$A$4:$B$60,2,FALSE),0),"")</f>
        <v/>
      </c>
    </row>
    <row r="197" spans="1:32" ht="19.05" customHeight="1" x14ac:dyDescent="0.25">
      <c r="A197" s="15" t="s">
        <v>216</v>
      </c>
      <c r="C197" s="15">
        <v>2</v>
      </c>
      <c r="T197" s="2">
        <f t="shared" si="8"/>
        <v>0</v>
      </c>
      <c r="U197" s="2">
        <f t="shared" si="9"/>
        <v>0</v>
      </c>
      <c r="V197" s="2">
        <f t="shared" si="10"/>
        <v>0</v>
      </c>
      <c r="W197" s="2">
        <f t="shared" si="11"/>
        <v>0</v>
      </c>
      <c r="Y197" t="str">
        <f>IFERROR(ROUND(E197*VLOOKUP(D197,商品!$A$4:$B$60,2,FALSE),0),"")</f>
        <v/>
      </c>
      <c r="Z197" t="str">
        <f>IFERROR(ROUND(G197*VLOOKUP(F197,商品!$A$4:$B$60,2,FALSE),0),"")</f>
        <v/>
      </c>
      <c r="AA197" t="str">
        <f>IFERROR(ROUND(I197*VLOOKUP(H197,商品!$A$4:$B$60,2,FALSE),0),"")</f>
        <v/>
      </c>
      <c r="AB197" t="str">
        <f>IFERROR(ROUND(K197*VLOOKUP(J197,[1]note_pop_types!$A$16:$E$16,4,FALSE),0),"")</f>
        <v/>
      </c>
      <c r="AC197" t="str">
        <f>IFERROR(ROUND(M197*VLOOKUP(L197,[1]note_pop_types!$A$16:$E$16,4,FALSE),0),"")</f>
        <v/>
      </c>
      <c r="AD197" t="str">
        <f>IFERROR(ROUND(O197*VLOOKUP(N197,[1]note_pop_types!$A$16:$E$16,4,FALSE),0),"")</f>
        <v/>
      </c>
      <c r="AE197" t="str">
        <f>IFERROR(ROUND(Q197*VLOOKUP(P197,商品!$A$4:$B$60,2,FALSE),0),"")</f>
        <v/>
      </c>
      <c r="AF197" t="str">
        <f>IFERROR(ROUND(S197*VLOOKUP(R197,商品!$A$4:$B$60,2,FALSE),0),"")</f>
        <v/>
      </c>
    </row>
    <row r="198" spans="1:32" ht="19.05" customHeight="1" x14ac:dyDescent="0.25">
      <c r="A198" s="15" t="s">
        <v>216</v>
      </c>
      <c r="C198" s="15">
        <v>3</v>
      </c>
      <c r="T198" s="2">
        <f t="shared" ref="T198:T261" si="12">SUM(Y198:AA198)</f>
        <v>0</v>
      </c>
      <c r="U198" s="2">
        <f t="shared" ref="U198:U261" si="13">SUM(AB198:AC198)</f>
        <v>0</v>
      </c>
      <c r="V198" s="2">
        <f t="shared" ref="V198:V261" si="14">SUM(AE198:AF198)</f>
        <v>0</v>
      </c>
      <c r="W198" s="2">
        <f t="shared" ref="W198:W261" si="15">V198-T198-U198</f>
        <v>0</v>
      </c>
      <c r="Y198" t="str">
        <f>IFERROR(ROUND(E198*VLOOKUP(D198,商品!$A$4:$B$60,2,FALSE),0),"")</f>
        <v/>
      </c>
      <c r="Z198" t="str">
        <f>IFERROR(ROUND(G198*VLOOKUP(F198,商品!$A$4:$B$60,2,FALSE),0),"")</f>
        <v/>
      </c>
      <c r="AA198" t="str">
        <f>IFERROR(ROUND(I198*VLOOKUP(H198,商品!$A$4:$B$60,2,FALSE),0),"")</f>
        <v/>
      </c>
      <c r="AB198" t="str">
        <f>IFERROR(ROUND(K198*VLOOKUP(J198,[1]note_pop_types!$A$16:$E$16,4,FALSE),0),"")</f>
        <v/>
      </c>
      <c r="AC198" t="str">
        <f>IFERROR(ROUND(M198*VLOOKUP(L198,[1]note_pop_types!$A$16:$E$16,4,FALSE),0),"")</f>
        <v/>
      </c>
      <c r="AD198" t="str">
        <f>IFERROR(ROUND(O198*VLOOKUP(N198,[1]note_pop_types!$A$16:$E$16,4,FALSE),0),"")</f>
        <v/>
      </c>
      <c r="AE198" t="str">
        <f>IFERROR(ROUND(Q198*VLOOKUP(P198,商品!$A$4:$B$60,2,FALSE),0),"")</f>
        <v/>
      </c>
      <c r="AF198" t="str">
        <f>IFERROR(ROUND(S198*VLOOKUP(R198,商品!$A$4:$B$60,2,FALSE),0),"")</f>
        <v/>
      </c>
    </row>
    <row r="199" spans="1:32" ht="19.05" customHeight="1" x14ac:dyDescent="0.25">
      <c r="A199" s="15" t="s">
        <v>216</v>
      </c>
      <c r="C199" s="15">
        <v>4</v>
      </c>
      <c r="T199" s="2">
        <f t="shared" si="12"/>
        <v>0</v>
      </c>
      <c r="U199" s="2">
        <f t="shared" si="13"/>
        <v>0</v>
      </c>
      <c r="V199" s="2">
        <f t="shared" si="14"/>
        <v>0</v>
      </c>
      <c r="W199" s="2">
        <f t="shared" si="15"/>
        <v>0</v>
      </c>
      <c r="Y199" t="str">
        <f>IFERROR(ROUND(E199*VLOOKUP(D199,商品!$A$4:$B$60,2,FALSE),0),"")</f>
        <v/>
      </c>
      <c r="Z199" t="str">
        <f>IFERROR(ROUND(G199*VLOOKUP(F199,商品!$A$4:$B$60,2,FALSE),0),"")</f>
        <v/>
      </c>
      <c r="AA199" t="str">
        <f>IFERROR(ROUND(I199*VLOOKUP(H199,商品!$A$4:$B$60,2,FALSE),0),"")</f>
        <v/>
      </c>
      <c r="AB199" t="str">
        <f>IFERROR(ROUND(K199*VLOOKUP(J199,[1]note_pop_types!$A$16:$E$16,4,FALSE),0),"")</f>
        <v/>
      </c>
      <c r="AC199" t="str">
        <f>IFERROR(ROUND(M199*VLOOKUP(L199,[1]note_pop_types!$A$16:$E$16,4,FALSE),0),"")</f>
        <v/>
      </c>
      <c r="AD199" t="str">
        <f>IFERROR(ROUND(O199*VLOOKUP(N199,[1]note_pop_types!$A$16:$E$16,4,FALSE),0),"")</f>
        <v/>
      </c>
      <c r="AE199" t="str">
        <f>IFERROR(ROUND(Q199*VLOOKUP(P199,商品!$A$4:$B$60,2,FALSE),0),"")</f>
        <v/>
      </c>
      <c r="AF199" t="str">
        <f>IFERROR(ROUND(S199*VLOOKUP(R199,商品!$A$4:$B$60,2,FALSE),0),"")</f>
        <v/>
      </c>
    </row>
    <row r="200" spans="1:32" ht="19.05" customHeight="1" x14ac:dyDescent="0.25">
      <c r="A200" s="15" t="s">
        <v>216</v>
      </c>
      <c r="C200" s="15">
        <v>5</v>
      </c>
      <c r="T200" s="2">
        <f t="shared" si="12"/>
        <v>0</v>
      </c>
      <c r="U200" s="2">
        <f t="shared" si="13"/>
        <v>0</v>
      </c>
      <c r="V200" s="2">
        <f t="shared" si="14"/>
        <v>0</v>
      </c>
      <c r="W200" s="2">
        <f t="shared" si="15"/>
        <v>0</v>
      </c>
      <c r="Y200" t="str">
        <f>IFERROR(ROUND(E200*VLOOKUP(D200,商品!$A$4:$B$60,2,FALSE),0),"")</f>
        <v/>
      </c>
      <c r="Z200" t="str">
        <f>IFERROR(ROUND(G200*VLOOKUP(F200,商品!$A$4:$B$60,2,FALSE),0),"")</f>
        <v/>
      </c>
      <c r="AA200" t="str">
        <f>IFERROR(ROUND(I200*VLOOKUP(H200,商品!$A$4:$B$60,2,FALSE),0),"")</f>
        <v/>
      </c>
      <c r="AB200" t="str">
        <f>IFERROR(ROUND(K200*VLOOKUP(J200,[1]note_pop_types!$A$16:$E$16,4,FALSE),0),"")</f>
        <v/>
      </c>
      <c r="AC200" t="str">
        <f>IFERROR(ROUND(M200*VLOOKUP(L200,[1]note_pop_types!$A$16:$E$16,4,FALSE),0),"")</f>
        <v/>
      </c>
      <c r="AD200" t="str">
        <f>IFERROR(ROUND(O200*VLOOKUP(N200,[1]note_pop_types!$A$16:$E$16,4,FALSE),0),"")</f>
        <v/>
      </c>
      <c r="AE200" t="str">
        <f>IFERROR(ROUND(Q200*VLOOKUP(P200,商品!$A$4:$B$60,2,FALSE),0),"")</f>
        <v/>
      </c>
      <c r="AF200" t="str">
        <f>IFERROR(ROUND(S200*VLOOKUP(R200,商品!$A$4:$B$60,2,FALSE),0),"")</f>
        <v/>
      </c>
    </row>
    <row r="201" spans="1:32" ht="19.05" customHeight="1" x14ac:dyDescent="0.25">
      <c r="A201" s="16" t="s">
        <v>512</v>
      </c>
      <c r="C201" s="16">
        <v>1</v>
      </c>
      <c r="T201" s="2">
        <f t="shared" si="12"/>
        <v>0</v>
      </c>
      <c r="U201" s="2">
        <f t="shared" si="13"/>
        <v>0</v>
      </c>
      <c r="V201" s="2">
        <f t="shared" si="14"/>
        <v>0</v>
      </c>
      <c r="W201" s="2">
        <f t="shared" si="15"/>
        <v>0</v>
      </c>
      <c r="Y201" t="str">
        <f>IFERROR(ROUND(E201*VLOOKUP(D201,商品!$A$4:$B$60,2,FALSE),0),"")</f>
        <v/>
      </c>
      <c r="Z201" t="str">
        <f>IFERROR(ROUND(G201*VLOOKUP(F201,商品!$A$4:$B$60,2,FALSE),0),"")</f>
        <v/>
      </c>
      <c r="AA201" t="str">
        <f>IFERROR(ROUND(I201*VLOOKUP(H201,商品!$A$4:$B$60,2,FALSE),0),"")</f>
        <v/>
      </c>
      <c r="AB201" t="str">
        <f>IFERROR(ROUND(K201*VLOOKUP(J201,[1]note_pop_types!$A$16:$E$16,4,FALSE),0),"")</f>
        <v/>
      </c>
      <c r="AC201" t="str">
        <f>IFERROR(ROUND(M201*VLOOKUP(L201,[1]note_pop_types!$A$16:$E$16,4,FALSE),0),"")</f>
        <v/>
      </c>
      <c r="AD201" t="str">
        <f>IFERROR(ROUND(O201*VLOOKUP(N201,[1]note_pop_types!$A$16:$E$16,4,FALSE),0),"")</f>
        <v/>
      </c>
      <c r="AE201" t="str">
        <f>IFERROR(ROUND(Q201*VLOOKUP(P201,商品!$A$4:$B$60,2,FALSE),0),"")</f>
        <v/>
      </c>
      <c r="AF201" t="str">
        <f>IFERROR(ROUND(S201*VLOOKUP(R201,商品!$A$4:$B$60,2,FALSE),0),"")</f>
        <v/>
      </c>
    </row>
    <row r="202" spans="1:32" ht="19.05" customHeight="1" x14ac:dyDescent="0.25">
      <c r="A202" s="16" t="s">
        <v>512</v>
      </c>
      <c r="C202" s="16">
        <v>2</v>
      </c>
      <c r="T202" s="2">
        <f t="shared" si="12"/>
        <v>0</v>
      </c>
      <c r="U202" s="2">
        <f t="shared" si="13"/>
        <v>0</v>
      </c>
      <c r="V202" s="2">
        <f t="shared" si="14"/>
        <v>0</v>
      </c>
      <c r="W202" s="2">
        <f t="shared" si="15"/>
        <v>0</v>
      </c>
      <c r="Y202" t="str">
        <f>IFERROR(ROUND(E202*VLOOKUP(D202,商品!$A$4:$B$60,2,FALSE),0),"")</f>
        <v/>
      </c>
      <c r="Z202" t="str">
        <f>IFERROR(ROUND(G202*VLOOKUP(F202,商品!$A$4:$B$60,2,FALSE),0),"")</f>
        <v/>
      </c>
      <c r="AA202" t="str">
        <f>IFERROR(ROUND(I202*VLOOKUP(H202,商品!$A$4:$B$60,2,FALSE),0),"")</f>
        <v/>
      </c>
      <c r="AB202" t="str">
        <f>IFERROR(ROUND(K202*VLOOKUP(J202,[1]note_pop_types!$A$16:$E$16,4,FALSE),0),"")</f>
        <v/>
      </c>
      <c r="AC202" t="str">
        <f>IFERROR(ROUND(M202*VLOOKUP(L202,[1]note_pop_types!$A$16:$E$16,4,FALSE),0),"")</f>
        <v/>
      </c>
      <c r="AD202" t="str">
        <f>IFERROR(ROUND(O202*VLOOKUP(N202,[1]note_pop_types!$A$16:$E$16,4,FALSE),0),"")</f>
        <v/>
      </c>
      <c r="AE202" t="str">
        <f>IFERROR(ROUND(Q202*VLOOKUP(P202,商品!$A$4:$B$60,2,FALSE),0),"")</f>
        <v/>
      </c>
      <c r="AF202" t="str">
        <f>IFERROR(ROUND(S202*VLOOKUP(R202,商品!$A$4:$B$60,2,FALSE),0),"")</f>
        <v/>
      </c>
    </row>
    <row r="203" spans="1:32" ht="19.05" customHeight="1" x14ac:dyDescent="0.25">
      <c r="A203" s="16" t="s">
        <v>512</v>
      </c>
      <c r="C203" s="16">
        <v>3</v>
      </c>
      <c r="T203" s="2">
        <f t="shared" si="12"/>
        <v>0</v>
      </c>
      <c r="U203" s="2">
        <f t="shared" si="13"/>
        <v>0</v>
      </c>
      <c r="V203" s="2">
        <f t="shared" si="14"/>
        <v>0</v>
      </c>
      <c r="W203" s="2">
        <f t="shared" si="15"/>
        <v>0</v>
      </c>
      <c r="Y203" t="str">
        <f>IFERROR(ROUND(E203*VLOOKUP(D203,商品!$A$4:$B$60,2,FALSE),0),"")</f>
        <v/>
      </c>
      <c r="Z203" t="str">
        <f>IFERROR(ROUND(G203*VLOOKUP(F203,商品!$A$4:$B$60,2,FALSE),0),"")</f>
        <v/>
      </c>
      <c r="AA203" t="str">
        <f>IFERROR(ROUND(I203*VLOOKUP(H203,商品!$A$4:$B$60,2,FALSE),0),"")</f>
        <v/>
      </c>
      <c r="AB203" t="str">
        <f>IFERROR(ROUND(K203*VLOOKUP(J203,[1]note_pop_types!$A$16:$E$16,4,FALSE),0),"")</f>
        <v/>
      </c>
      <c r="AC203" t="str">
        <f>IFERROR(ROUND(M203*VLOOKUP(L203,[1]note_pop_types!$A$16:$E$16,4,FALSE),0),"")</f>
        <v/>
      </c>
      <c r="AD203" t="str">
        <f>IFERROR(ROUND(O203*VLOOKUP(N203,[1]note_pop_types!$A$16:$E$16,4,FALSE),0),"")</f>
        <v/>
      </c>
      <c r="AE203" t="str">
        <f>IFERROR(ROUND(Q203*VLOOKUP(P203,商品!$A$4:$B$60,2,FALSE),0),"")</f>
        <v/>
      </c>
      <c r="AF203" t="str">
        <f>IFERROR(ROUND(S203*VLOOKUP(R203,商品!$A$4:$B$60,2,FALSE),0),"")</f>
        <v/>
      </c>
    </row>
    <row r="204" spans="1:32" ht="19.05" customHeight="1" x14ac:dyDescent="0.25">
      <c r="A204" s="16" t="s">
        <v>512</v>
      </c>
      <c r="C204" s="16">
        <v>4</v>
      </c>
      <c r="T204" s="2">
        <f t="shared" si="12"/>
        <v>0</v>
      </c>
      <c r="U204" s="2">
        <f t="shared" si="13"/>
        <v>0</v>
      </c>
      <c r="V204" s="2">
        <f t="shared" si="14"/>
        <v>0</v>
      </c>
      <c r="W204" s="2">
        <f t="shared" si="15"/>
        <v>0</v>
      </c>
      <c r="Y204" t="str">
        <f>IFERROR(ROUND(E204*VLOOKUP(D204,商品!$A$4:$B$60,2,FALSE),0),"")</f>
        <v/>
      </c>
      <c r="Z204" t="str">
        <f>IFERROR(ROUND(G204*VLOOKUP(F204,商品!$A$4:$B$60,2,FALSE),0),"")</f>
        <v/>
      </c>
      <c r="AA204" t="str">
        <f>IFERROR(ROUND(I204*VLOOKUP(H204,商品!$A$4:$B$60,2,FALSE),0),"")</f>
        <v/>
      </c>
      <c r="AB204" t="str">
        <f>IFERROR(ROUND(K204*VLOOKUP(J204,[1]note_pop_types!$A$16:$E$16,4,FALSE),0),"")</f>
        <v/>
      </c>
      <c r="AC204" t="str">
        <f>IFERROR(ROUND(M204*VLOOKUP(L204,[1]note_pop_types!$A$16:$E$16,4,FALSE),0),"")</f>
        <v/>
      </c>
      <c r="AD204" t="str">
        <f>IFERROR(ROUND(O204*VLOOKUP(N204,[1]note_pop_types!$A$16:$E$16,4,FALSE),0),"")</f>
        <v/>
      </c>
      <c r="AE204" t="str">
        <f>IFERROR(ROUND(Q204*VLOOKUP(P204,商品!$A$4:$B$60,2,FALSE),0),"")</f>
        <v/>
      </c>
      <c r="AF204" t="str">
        <f>IFERROR(ROUND(S204*VLOOKUP(R204,商品!$A$4:$B$60,2,FALSE),0),"")</f>
        <v/>
      </c>
    </row>
    <row r="205" spans="1:32" ht="19.05" customHeight="1" x14ac:dyDescent="0.25">
      <c r="A205" s="16" t="s">
        <v>512</v>
      </c>
      <c r="C205" s="16">
        <v>5</v>
      </c>
      <c r="T205" s="2">
        <f t="shared" si="12"/>
        <v>0</v>
      </c>
      <c r="U205" s="2">
        <f t="shared" si="13"/>
        <v>0</v>
      </c>
      <c r="V205" s="2">
        <f t="shared" si="14"/>
        <v>0</v>
      </c>
      <c r="W205" s="2">
        <f t="shared" si="15"/>
        <v>0</v>
      </c>
      <c r="Y205" t="str">
        <f>IFERROR(ROUND(E205*VLOOKUP(D205,商品!$A$4:$B$60,2,FALSE),0),"")</f>
        <v/>
      </c>
      <c r="Z205" t="str">
        <f>IFERROR(ROUND(G205*VLOOKUP(F205,商品!$A$4:$B$60,2,FALSE),0),"")</f>
        <v/>
      </c>
      <c r="AA205" t="str">
        <f>IFERROR(ROUND(I205*VLOOKUP(H205,商品!$A$4:$B$60,2,FALSE),0),"")</f>
        <v/>
      </c>
      <c r="AB205" t="str">
        <f>IFERROR(ROUND(K205*VLOOKUP(J205,[1]note_pop_types!$A$16:$E$16,4,FALSE),0),"")</f>
        <v/>
      </c>
      <c r="AC205" t="str">
        <f>IFERROR(ROUND(M205*VLOOKUP(L205,[1]note_pop_types!$A$16:$E$16,4,FALSE),0),"")</f>
        <v/>
      </c>
      <c r="AD205" t="str">
        <f>IFERROR(ROUND(O205*VLOOKUP(N205,[1]note_pop_types!$A$16:$E$16,4,FALSE),0),"")</f>
        <v/>
      </c>
      <c r="AE205" t="str">
        <f>IFERROR(ROUND(Q205*VLOOKUP(P205,商品!$A$4:$B$60,2,FALSE),0),"")</f>
        <v/>
      </c>
      <c r="AF205" t="str">
        <f>IFERROR(ROUND(S205*VLOOKUP(R205,商品!$A$4:$B$60,2,FALSE),0),"")</f>
        <v/>
      </c>
    </row>
    <row r="206" spans="1:32" ht="19.05" customHeight="1" x14ac:dyDescent="0.25">
      <c r="A206" s="15" t="s">
        <v>512</v>
      </c>
      <c r="C206" s="15">
        <v>1</v>
      </c>
      <c r="T206" s="2">
        <f t="shared" si="12"/>
        <v>0</v>
      </c>
      <c r="U206" s="2">
        <f t="shared" si="13"/>
        <v>0</v>
      </c>
      <c r="V206" s="2">
        <f t="shared" si="14"/>
        <v>0</v>
      </c>
      <c r="W206" s="2">
        <f t="shared" si="15"/>
        <v>0</v>
      </c>
      <c r="Y206" t="str">
        <f>IFERROR(ROUND(E206*VLOOKUP(D206,商品!$A$4:$B$60,2,FALSE),0),"")</f>
        <v/>
      </c>
      <c r="Z206" t="str">
        <f>IFERROR(ROUND(G206*VLOOKUP(F206,商品!$A$4:$B$60,2,FALSE),0),"")</f>
        <v/>
      </c>
      <c r="AA206" t="str">
        <f>IFERROR(ROUND(I206*VLOOKUP(H206,商品!$A$4:$B$60,2,FALSE),0),"")</f>
        <v/>
      </c>
      <c r="AB206" t="str">
        <f>IFERROR(ROUND(K206*VLOOKUP(J206,[1]note_pop_types!$A$16:$E$16,4,FALSE),0),"")</f>
        <v/>
      </c>
      <c r="AC206" t="str">
        <f>IFERROR(ROUND(M206*VLOOKUP(L206,[1]note_pop_types!$A$16:$E$16,4,FALSE),0),"")</f>
        <v/>
      </c>
      <c r="AD206" t="str">
        <f>IFERROR(ROUND(O206*VLOOKUP(N206,[1]note_pop_types!$A$16:$E$16,4,FALSE),0),"")</f>
        <v/>
      </c>
      <c r="AE206" t="str">
        <f>IFERROR(ROUND(Q206*VLOOKUP(P206,商品!$A$4:$B$60,2,FALSE),0),"")</f>
        <v/>
      </c>
      <c r="AF206" t="str">
        <f>IFERROR(ROUND(S206*VLOOKUP(R206,商品!$A$4:$B$60,2,FALSE),0),"")</f>
        <v/>
      </c>
    </row>
    <row r="207" spans="1:32" ht="19.05" customHeight="1" x14ac:dyDescent="0.25">
      <c r="A207" s="15" t="s">
        <v>512</v>
      </c>
      <c r="C207" s="15">
        <v>2</v>
      </c>
      <c r="T207" s="2">
        <f t="shared" si="12"/>
        <v>0</v>
      </c>
      <c r="U207" s="2">
        <f t="shared" si="13"/>
        <v>0</v>
      </c>
      <c r="V207" s="2">
        <f t="shared" si="14"/>
        <v>0</v>
      </c>
      <c r="W207" s="2">
        <f t="shared" si="15"/>
        <v>0</v>
      </c>
      <c r="Y207" t="str">
        <f>IFERROR(ROUND(E207*VLOOKUP(D207,商品!$A$4:$B$60,2,FALSE),0),"")</f>
        <v/>
      </c>
      <c r="Z207" t="str">
        <f>IFERROR(ROUND(G207*VLOOKUP(F207,商品!$A$4:$B$60,2,FALSE),0),"")</f>
        <v/>
      </c>
      <c r="AA207" t="str">
        <f>IFERROR(ROUND(I207*VLOOKUP(H207,商品!$A$4:$B$60,2,FALSE),0),"")</f>
        <v/>
      </c>
      <c r="AB207" t="str">
        <f>IFERROR(ROUND(K207*VLOOKUP(J207,[1]note_pop_types!$A$16:$E$16,4,FALSE),0),"")</f>
        <v/>
      </c>
      <c r="AC207" t="str">
        <f>IFERROR(ROUND(M207*VLOOKUP(L207,[1]note_pop_types!$A$16:$E$16,4,FALSE),0),"")</f>
        <v/>
      </c>
      <c r="AD207" t="str">
        <f>IFERROR(ROUND(O207*VLOOKUP(N207,[1]note_pop_types!$A$16:$E$16,4,FALSE),0),"")</f>
        <v/>
      </c>
      <c r="AE207" t="str">
        <f>IFERROR(ROUND(Q207*VLOOKUP(P207,商品!$A$4:$B$60,2,FALSE),0),"")</f>
        <v/>
      </c>
      <c r="AF207" t="str">
        <f>IFERROR(ROUND(S207*VLOOKUP(R207,商品!$A$4:$B$60,2,FALSE),0),"")</f>
        <v/>
      </c>
    </row>
    <row r="208" spans="1:32" ht="19.05" customHeight="1" x14ac:dyDescent="0.25">
      <c r="A208" s="15" t="s">
        <v>512</v>
      </c>
      <c r="C208" s="15">
        <v>3</v>
      </c>
      <c r="T208" s="2">
        <f t="shared" si="12"/>
        <v>0</v>
      </c>
      <c r="U208" s="2">
        <f t="shared" si="13"/>
        <v>0</v>
      </c>
      <c r="V208" s="2">
        <f t="shared" si="14"/>
        <v>0</v>
      </c>
      <c r="W208" s="2">
        <f t="shared" si="15"/>
        <v>0</v>
      </c>
      <c r="Y208" t="str">
        <f>IFERROR(ROUND(E208*VLOOKUP(D208,商品!$A$4:$B$60,2,FALSE),0),"")</f>
        <v/>
      </c>
      <c r="Z208" t="str">
        <f>IFERROR(ROUND(G208*VLOOKUP(F208,商品!$A$4:$B$60,2,FALSE),0),"")</f>
        <v/>
      </c>
      <c r="AA208" t="str">
        <f>IFERROR(ROUND(I208*VLOOKUP(H208,商品!$A$4:$B$60,2,FALSE),0),"")</f>
        <v/>
      </c>
      <c r="AB208" t="str">
        <f>IFERROR(ROUND(K208*VLOOKUP(J208,[1]note_pop_types!$A$16:$E$16,4,FALSE),0),"")</f>
        <v/>
      </c>
      <c r="AC208" t="str">
        <f>IFERROR(ROUND(M208*VLOOKUP(L208,[1]note_pop_types!$A$16:$E$16,4,FALSE),0),"")</f>
        <v/>
      </c>
      <c r="AD208" t="str">
        <f>IFERROR(ROUND(O208*VLOOKUP(N208,[1]note_pop_types!$A$16:$E$16,4,FALSE),0),"")</f>
        <v/>
      </c>
      <c r="AE208" t="str">
        <f>IFERROR(ROUND(Q208*VLOOKUP(P208,商品!$A$4:$B$60,2,FALSE),0),"")</f>
        <v/>
      </c>
      <c r="AF208" t="str">
        <f>IFERROR(ROUND(S208*VLOOKUP(R208,商品!$A$4:$B$60,2,FALSE),0),"")</f>
        <v/>
      </c>
    </row>
    <row r="209" spans="1:32" ht="19.05" customHeight="1" x14ac:dyDescent="0.25">
      <c r="A209" s="15" t="s">
        <v>512</v>
      </c>
      <c r="C209" s="15">
        <v>4</v>
      </c>
      <c r="T209" s="2">
        <f t="shared" si="12"/>
        <v>0</v>
      </c>
      <c r="U209" s="2">
        <f t="shared" si="13"/>
        <v>0</v>
      </c>
      <c r="V209" s="2">
        <f t="shared" si="14"/>
        <v>0</v>
      </c>
      <c r="W209" s="2">
        <f t="shared" si="15"/>
        <v>0</v>
      </c>
      <c r="Y209" t="str">
        <f>IFERROR(ROUND(E209*VLOOKUP(D209,商品!$A$4:$B$60,2,FALSE),0),"")</f>
        <v/>
      </c>
      <c r="Z209" t="str">
        <f>IFERROR(ROUND(G209*VLOOKUP(F209,商品!$A$4:$B$60,2,FALSE),0),"")</f>
        <v/>
      </c>
      <c r="AA209" t="str">
        <f>IFERROR(ROUND(I209*VLOOKUP(H209,商品!$A$4:$B$60,2,FALSE),0),"")</f>
        <v/>
      </c>
      <c r="AB209" t="str">
        <f>IFERROR(ROUND(K209*VLOOKUP(J209,[1]note_pop_types!$A$16:$E$16,4,FALSE),0),"")</f>
        <v/>
      </c>
      <c r="AC209" t="str">
        <f>IFERROR(ROUND(M209*VLOOKUP(L209,[1]note_pop_types!$A$16:$E$16,4,FALSE),0),"")</f>
        <v/>
      </c>
      <c r="AD209" t="str">
        <f>IFERROR(ROUND(O209*VLOOKUP(N209,[1]note_pop_types!$A$16:$E$16,4,FALSE),0),"")</f>
        <v/>
      </c>
      <c r="AE209" t="str">
        <f>IFERROR(ROUND(Q209*VLOOKUP(P209,商品!$A$4:$B$60,2,FALSE),0),"")</f>
        <v/>
      </c>
      <c r="AF209" t="str">
        <f>IFERROR(ROUND(S209*VLOOKUP(R209,商品!$A$4:$B$60,2,FALSE),0),"")</f>
        <v/>
      </c>
    </row>
    <row r="210" spans="1:32" ht="19.05" customHeight="1" x14ac:dyDescent="0.25">
      <c r="A210" s="15" t="s">
        <v>512</v>
      </c>
      <c r="C210" s="15">
        <v>5</v>
      </c>
      <c r="T210" s="2">
        <f t="shared" si="12"/>
        <v>0</v>
      </c>
      <c r="U210" s="2">
        <f t="shared" si="13"/>
        <v>0</v>
      </c>
      <c r="V210" s="2">
        <f t="shared" si="14"/>
        <v>0</v>
      </c>
      <c r="W210" s="2">
        <f t="shared" si="15"/>
        <v>0</v>
      </c>
      <c r="Y210" t="str">
        <f>IFERROR(ROUND(E210*VLOOKUP(D210,商品!$A$4:$B$60,2,FALSE),0),"")</f>
        <v/>
      </c>
      <c r="Z210" t="str">
        <f>IFERROR(ROUND(G210*VLOOKUP(F210,商品!$A$4:$B$60,2,FALSE),0),"")</f>
        <v/>
      </c>
      <c r="AA210" t="str">
        <f>IFERROR(ROUND(I210*VLOOKUP(H210,商品!$A$4:$B$60,2,FALSE),0),"")</f>
        <v/>
      </c>
      <c r="AB210" t="str">
        <f>IFERROR(ROUND(K210*VLOOKUP(J210,[1]note_pop_types!$A$16:$E$16,4,FALSE),0),"")</f>
        <v/>
      </c>
      <c r="AC210" t="str">
        <f>IFERROR(ROUND(M210*VLOOKUP(L210,[1]note_pop_types!$A$16:$E$16,4,FALSE),0),"")</f>
        <v/>
      </c>
      <c r="AD210" t="str">
        <f>IFERROR(ROUND(O210*VLOOKUP(N210,[1]note_pop_types!$A$16:$E$16,4,FALSE),0),"")</f>
        <v/>
      </c>
      <c r="AE210" t="str">
        <f>IFERROR(ROUND(Q210*VLOOKUP(P210,商品!$A$4:$B$60,2,FALSE),0),"")</f>
        <v/>
      </c>
      <c r="AF210" t="str">
        <f>IFERROR(ROUND(S210*VLOOKUP(R210,商品!$A$4:$B$60,2,FALSE),0),"")</f>
        <v/>
      </c>
    </row>
    <row r="211" spans="1:32" ht="19.05" customHeight="1" x14ac:dyDescent="0.25">
      <c r="A211" s="16" t="s">
        <v>219</v>
      </c>
      <c r="C211" s="16">
        <v>1</v>
      </c>
      <c r="T211" s="2">
        <f t="shared" si="12"/>
        <v>0</v>
      </c>
      <c r="U211" s="2">
        <f t="shared" si="13"/>
        <v>0</v>
      </c>
      <c r="V211" s="2">
        <f t="shared" si="14"/>
        <v>0</v>
      </c>
      <c r="W211" s="2">
        <f t="shared" si="15"/>
        <v>0</v>
      </c>
      <c r="Y211" t="str">
        <f>IFERROR(ROUND(E211*VLOOKUP(D211,商品!$A$4:$B$60,2,FALSE),0),"")</f>
        <v/>
      </c>
      <c r="Z211" t="str">
        <f>IFERROR(ROUND(G211*VLOOKUP(F211,商品!$A$4:$B$60,2,FALSE),0),"")</f>
        <v/>
      </c>
      <c r="AA211" t="str">
        <f>IFERROR(ROUND(I211*VLOOKUP(H211,商品!$A$4:$B$60,2,FALSE),0),"")</f>
        <v/>
      </c>
      <c r="AB211" t="str">
        <f>IFERROR(ROUND(K211*VLOOKUP(J211,[1]note_pop_types!$A$16:$E$16,4,FALSE),0),"")</f>
        <v/>
      </c>
      <c r="AC211" t="str">
        <f>IFERROR(ROUND(M211*VLOOKUP(L211,[1]note_pop_types!$A$16:$E$16,4,FALSE),0),"")</f>
        <v/>
      </c>
      <c r="AD211" t="str">
        <f>IFERROR(ROUND(O211*VLOOKUP(N211,[1]note_pop_types!$A$16:$E$16,4,FALSE),0),"")</f>
        <v/>
      </c>
      <c r="AE211" t="str">
        <f>IFERROR(ROUND(Q211*VLOOKUP(P211,商品!$A$4:$B$60,2,FALSE),0),"")</f>
        <v/>
      </c>
      <c r="AF211" t="str">
        <f>IFERROR(ROUND(S211*VLOOKUP(R211,商品!$A$4:$B$60,2,FALSE),0),"")</f>
        <v/>
      </c>
    </row>
    <row r="212" spans="1:32" ht="19.05" customHeight="1" x14ac:dyDescent="0.25">
      <c r="A212" s="16" t="s">
        <v>219</v>
      </c>
      <c r="C212" s="16">
        <v>2</v>
      </c>
      <c r="T212" s="2">
        <f t="shared" si="12"/>
        <v>0</v>
      </c>
      <c r="U212" s="2">
        <f t="shared" si="13"/>
        <v>0</v>
      </c>
      <c r="V212" s="2">
        <f t="shared" si="14"/>
        <v>0</v>
      </c>
      <c r="W212" s="2">
        <f t="shared" si="15"/>
        <v>0</v>
      </c>
      <c r="Y212" t="str">
        <f>IFERROR(ROUND(E212*VLOOKUP(D212,商品!$A$4:$B$60,2,FALSE),0),"")</f>
        <v/>
      </c>
      <c r="Z212" t="str">
        <f>IFERROR(ROUND(G212*VLOOKUP(F212,商品!$A$4:$B$60,2,FALSE),0),"")</f>
        <v/>
      </c>
      <c r="AA212" t="str">
        <f>IFERROR(ROUND(I212*VLOOKUP(H212,商品!$A$4:$B$60,2,FALSE),0),"")</f>
        <v/>
      </c>
      <c r="AB212" t="str">
        <f>IFERROR(ROUND(K212*VLOOKUP(J212,[1]note_pop_types!$A$16:$E$16,4,FALSE),0),"")</f>
        <v/>
      </c>
      <c r="AC212" t="str">
        <f>IFERROR(ROUND(M212*VLOOKUP(L212,[1]note_pop_types!$A$16:$E$16,4,FALSE),0),"")</f>
        <v/>
      </c>
      <c r="AD212" t="str">
        <f>IFERROR(ROUND(O212*VLOOKUP(N212,[1]note_pop_types!$A$16:$E$16,4,FALSE),0),"")</f>
        <v/>
      </c>
      <c r="AE212" t="str">
        <f>IFERROR(ROUND(Q212*VLOOKUP(P212,商品!$A$4:$B$60,2,FALSE),0),"")</f>
        <v/>
      </c>
      <c r="AF212" t="str">
        <f>IFERROR(ROUND(S212*VLOOKUP(R212,商品!$A$4:$B$60,2,FALSE),0),"")</f>
        <v/>
      </c>
    </row>
    <row r="213" spans="1:32" ht="19.05" customHeight="1" x14ac:dyDescent="0.25">
      <c r="A213" s="16" t="s">
        <v>219</v>
      </c>
      <c r="C213" s="16">
        <v>3</v>
      </c>
      <c r="T213" s="2">
        <f t="shared" si="12"/>
        <v>0</v>
      </c>
      <c r="U213" s="2">
        <f t="shared" si="13"/>
        <v>0</v>
      </c>
      <c r="V213" s="2">
        <f t="shared" si="14"/>
        <v>0</v>
      </c>
      <c r="W213" s="2">
        <f t="shared" si="15"/>
        <v>0</v>
      </c>
      <c r="Y213" t="str">
        <f>IFERROR(ROUND(E213*VLOOKUP(D213,商品!$A$4:$B$60,2,FALSE),0),"")</f>
        <v/>
      </c>
      <c r="Z213" t="str">
        <f>IFERROR(ROUND(G213*VLOOKUP(F213,商品!$A$4:$B$60,2,FALSE),0),"")</f>
        <v/>
      </c>
      <c r="AA213" t="str">
        <f>IFERROR(ROUND(I213*VLOOKUP(H213,商品!$A$4:$B$60,2,FALSE),0),"")</f>
        <v/>
      </c>
      <c r="AB213" t="str">
        <f>IFERROR(ROUND(K213*VLOOKUP(J213,[1]note_pop_types!$A$16:$E$16,4,FALSE),0),"")</f>
        <v/>
      </c>
      <c r="AC213" t="str">
        <f>IFERROR(ROUND(M213*VLOOKUP(L213,[1]note_pop_types!$A$16:$E$16,4,FALSE),0),"")</f>
        <v/>
      </c>
      <c r="AD213" t="str">
        <f>IFERROR(ROUND(O213*VLOOKUP(N213,[1]note_pop_types!$A$16:$E$16,4,FALSE),0),"")</f>
        <v/>
      </c>
      <c r="AE213" t="str">
        <f>IFERROR(ROUND(Q213*VLOOKUP(P213,商品!$A$4:$B$60,2,FALSE),0),"")</f>
        <v/>
      </c>
      <c r="AF213" t="str">
        <f>IFERROR(ROUND(S213*VLOOKUP(R213,商品!$A$4:$B$60,2,FALSE),0),"")</f>
        <v/>
      </c>
    </row>
    <row r="214" spans="1:32" ht="19.05" customHeight="1" x14ac:dyDescent="0.25">
      <c r="A214" s="16" t="s">
        <v>219</v>
      </c>
      <c r="C214" s="16">
        <v>4</v>
      </c>
      <c r="T214" s="2">
        <f t="shared" si="12"/>
        <v>0</v>
      </c>
      <c r="U214" s="2">
        <f t="shared" si="13"/>
        <v>0</v>
      </c>
      <c r="V214" s="2">
        <f t="shared" si="14"/>
        <v>0</v>
      </c>
      <c r="W214" s="2">
        <f t="shared" si="15"/>
        <v>0</v>
      </c>
      <c r="Y214" t="str">
        <f>IFERROR(ROUND(E214*VLOOKUP(D214,商品!$A$4:$B$60,2,FALSE),0),"")</f>
        <v/>
      </c>
      <c r="Z214" t="str">
        <f>IFERROR(ROUND(G214*VLOOKUP(F214,商品!$A$4:$B$60,2,FALSE),0),"")</f>
        <v/>
      </c>
      <c r="AA214" t="str">
        <f>IFERROR(ROUND(I214*VLOOKUP(H214,商品!$A$4:$B$60,2,FALSE),0),"")</f>
        <v/>
      </c>
      <c r="AB214" t="str">
        <f>IFERROR(ROUND(K214*VLOOKUP(J214,[1]note_pop_types!$A$16:$E$16,4,FALSE),0),"")</f>
        <v/>
      </c>
      <c r="AC214" t="str">
        <f>IFERROR(ROUND(M214*VLOOKUP(L214,[1]note_pop_types!$A$16:$E$16,4,FALSE),0),"")</f>
        <v/>
      </c>
      <c r="AD214" t="str">
        <f>IFERROR(ROUND(O214*VLOOKUP(N214,[1]note_pop_types!$A$16:$E$16,4,FALSE),0),"")</f>
        <v/>
      </c>
      <c r="AE214" t="str">
        <f>IFERROR(ROUND(Q214*VLOOKUP(P214,商品!$A$4:$B$60,2,FALSE),0),"")</f>
        <v/>
      </c>
      <c r="AF214" t="str">
        <f>IFERROR(ROUND(S214*VLOOKUP(R214,商品!$A$4:$B$60,2,FALSE),0),"")</f>
        <v/>
      </c>
    </row>
    <row r="215" spans="1:32" ht="19.05" customHeight="1" x14ac:dyDescent="0.25">
      <c r="A215" s="16" t="s">
        <v>219</v>
      </c>
      <c r="C215" s="16">
        <v>5</v>
      </c>
      <c r="T215" s="2">
        <f t="shared" si="12"/>
        <v>0</v>
      </c>
      <c r="U215" s="2">
        <f t="shared" si="13"/>
        <v>0</v>
      </c>
      <c r="V215" s="2">
        <f t="shared" si="14"/>
        <v>0</v>
      </c>
      <c r="W215" s="2">
        <f t="shared" si="15"/>
        <v>0</v>
      </c>
      <c r="Y215" t="str">
        <f>IFERROR(ROUND(E215*VLOOKUP(D215,商品!$A$4:$B$60,2,FALSE),0),"")</f>
        <v/>
      </c>
      <c r="Z215" t="str">
        <f>IFERROR(ROUND(G215*VLOOKUP(F215,商品!$A$4:$B$60,2,FALSE),0),"")</f>
        <v/>
      </c>
      <c r="AA215" t="str">
        <f>IFERROR(ROUND(I215*VLOOKUP(H215,商品!$A$4:$B$60,2,FALSE),0),"")</f>
        <v/>
      </c>
      <c r="AB215" t="str">
        <f>IFERROR(ROUND(K215*VLOOKUP(J215,[1]note_pop_types!$A$16:$E$16,4,FALSE),0),"")</f>
        <v/>
      </c>
      <c r="AC215" t="str">
        <f>IFERROR(ROUND(M215*VLOOKUP(L215,[1]note_pop_types!$A$16:$E$16,4,FALSE),0),"")</f>
        <v/>
      </c>
      <c r="AD215" t="str">
        <f>IFERROR(ROUND(O215*VLOOKUP(N215,[1]note_pop_types!$A$16:$E$16,4,FALSE),0),"")</f>
        <v/>
      </c>
      <c r="AE215" t="str">
        <f>IFERROR(ROUND(Q215*VLOOKUP(P215,商品!$A$4:$B$60,2,FALSE),0),"")</f>
        <v/>
      </c>
      <c r="AF215" t="str">
        <f>IFERROR(ROUND(S215*VLOOKUP(R215,商品!$A$4:$B$60,2,FALSE),0),"")</f>
        <v/>
      </c>
    </row>
    <row r="216" spans="1:32" ht="19.05" customHeight="1" x14ac:dyDescent="0.25">
      <c r="A216" s="16" t="s">
        <v>219</v>
      </c>
      <c r="C216" s="16">
        <v>6</v>
      </c>
      <c r="T216" s="2">
        <f t="shared" si="12"/>
        <v>0</v>
      </c>
      <c r="U216" s="2">
        <f t="shared" si="13"/>
        <v>0</v>
      </c>
      <c r="V216" s="2">
        <f t="shared" si="14"/>
        <v>0</v>
      </c>
      <c r="W216" s="2">
        <f t="shared" si="15"/>
        <v>0</v>
      </c>
      <c r="Y216" t="str">
        <f>IFERROR(ROUND(E216*VLOOKUP(D216,商品!$A$4:$B$60,2,FALSE),0),"")</f>
        <v/>
      </c>
      <c r="Z216" t="str">
        <f>IFERROR(ROUND(G216*VLOOKUP(F216,商品!$A$4:$B$60,2,FALSE),0),"")</f>
        <v/>
      </c>
      <c r="AA216" t="str">
        <f>IFERROR(ROUND(I216*VLOOKUP(H216,商品!$A$4:$B$60,2,FALSE),0),"")</f>
        <v/>
      </c>
      <c r="AB216" t="str">
        <f>IFERROR(ROUND(K216*VLOOKUP(J216,[1]note_pop_types!$A$16:$E$16,4,FALSE),0),"")</f>
        <v/>
      </c>
      <c r="AC216" t="str">
        <f>IFERROR(ROUND(M216*VLOOKUP(L216,[1]note_pop_types!$A$16:$E$16,4,FALSE),0),"")</f>
        <v/>
      </c>
      <c r="AD216" t="str">
        <f>IFERROR(ROUND(O216*VLOOKUP(N216,[1]note_pop_types!$A$16:$E$16,4,FALSE),0),"")</f>
        <v/>
      </c>
      <c r="AE216" t="str">
        <f>IFERROR(ROUND(Q216*VLOOKUP(P216,商品!$A$4:$B$60,2,FALSE),0),"")</f>
        <v/>
      </c>
      <c r="AF216" t="str">
        <f>IFERROR(ROUND(S216*VLOOKUP(R216,商品!$A$4:$B$60,2,FALSE),0),"")</f>
        <v/>
      </c>
    </row>
    <row r="217" spans="1:32" ht="19.05" customHeight="1" x14ac:dyDescent="0.25">
      <c r="A217" s="16" t="s">
        <v>219</v>
      </c>
      <c r="C217" s="16">
        <v>7</v>
      </c>
      <c r="T217" s="2">
        <f t="shared" si="12"/>
        <v>0</v>
      </c>
      <c r="U217" s="2">
        <f t="shared" si="13"/>
        <v>0</v>
      </c>
      <c r="V217" s="2">
        <f t="shared" si="14"/>
        <v>0</v>
      </c>
      <c r="W217" s="2">
        <f t="shared" si="15"/>
        <v>0</v>
      </c>
      <c r="Y217" t="str">
        <f>IFERROR(ROUND(E217*VLOOKUP(D217,商品!$A$4:$B$60,2,FALSE),0),"")</f>
        <v/>
      </c>
      <c r="Z217" t="str">
        <f>IFERROR(ROUND(G217*VLOOKUP(F217,商品!$A$4:$B$60,2,FALSE),0),"")</f>
        <v/>
      </c>
      <c r="AA217" t="str">
        <f>IFERROR(ROUND(I217*VLOOKUP(H217,商品!$A$4:$B$60,2,FALSE),0),"")</f>
        <v/>
      </c>
      <c r="AB217" t="str">
        <f>IFERROR(ROUND(K217*VLOOKUP(J217,[1]note_pop_types!$A$16:$E$16,4,FALSE),0),"")</f>
        <v/>
      </c>
      <c r="AC217" t="str">
        <f>IFERROR(ROUND(M217*VLOOKUP(L217,[1]note_pop_types!$A$16:$E$16,4,FALSE),0),"")</f>
        <v/>
      </c>
      <c r="AD217" t="str">
        <f>IFERROR(ROUND(O217*VLOOKUP(N217,[1]note_pop_types!$A$16:$E$16,4,FALSE),0),"")</f>
        <v/>
      </c>
      <c r="AE217" t="str">
        <f>IFERROR(ROUND(Q217*VLOOKUP(P217,商品!$A$4:$B$60,2,FALSE),0),"")</f>
        <v/>
      </c>
      <c r="AF217" t="str">
        <f>IFERROR(ROUND(S217*VLOOKUP(R217,商品!$A$4:$B$60,2,FALSE),0),"")</f>
        <v/>
      </c>
    </row>
    <row r="218" spans="1:32" ht="19.05" customHeight="1" x14ac:dyDescent="0.25">
      <c r="A218" s="16" t="s">
        <v>219</v>
      </c>
      <c r="C218" s="16">
        <v>8</v>
      </c>
      <c r="T218" s="2">
        <f t="shared" si="12"/>
        <v>0</v>
      </c>
      <c r="U218" s="2">
        <f t="shared" si="13"/>
        <v>0</v>
      </c>
      <c r="V218" s="2">
        <f t="shared" si="14"/>
        <v>0</v>
      </c>
      <c r="W218" s="2">
        <f t="shared" si="15"/>
        <v>0</v>
      </c>
      <c r="Y218" t="str">
        <f>IFERROR(ROUND(E218*VLOOKUP(D218,商品!$A$4:$B$60,2,FALSE),0),"")</f>
        <v/>
      </c>
      <c r="Z218" t="str">
        <f>IFERROR(ROUND(G218*VLOOKUP(F218,商品!$A$4:$B$60,2,FALSE),0),"")</f>
        <v/>
      </c>
      <c r="AA218" t="str">
        <f>IFERROR(ROUND(I218*VLOOKUP(H218,商品!$A$4:$B$60,2,FALSE),0),"")</f>
        <v/>
      </c>
      <c r="AB218" t="str">
        <f>IFERROR(ROUND(K218*VLOOKUP(J218,[1]note_pop_types!$A$16:$E$16,4,FALSE),0),"")</f>
        <v/>
      </c>
      <c r="AC218" t="str">
        <f>IFERROR(ROUND(M218*VLOOKUP(L218,[1]note_pop_types!$A$16:$E$16,4,FALSE),0),"")</f>
        <v/>
      </c>
      <c r="AD218" t="str">
        <f>IFERROR(ROUND(O218*VLOOKUP(N218,[1]note_pop_types!$A$16:$E$16,4,FALSE),0),"")</f>
        <v/>
      </c>
      <c r="AE218" t="str">
        <f>IFERROR(ROUND(Q218*VLOOKUP(P218,商品!$A$4:$B$60,2,FALSE),0),"")</f>
        <v/>
      </c>
      <c r="AF218" t="str">
        <f>IFERROR(ROUND(S218*VLOOKUP(R218,商品!$A$4:$B$60,2,FALSE),0),"")</f>
        <v/>
      </c>
    </row>
    <row r="219" spans="1:32" ht="19.05" customHeight="1" x14ac:dyDescent="0.25">
      <c r="A219" s="15" t="s">
        <v>221</v>
      </c>
      <c r="C219" s="15">
        <v>1</v>
      </c>
      <c r="T219" s="2">
        <f t="shared" si="12"/>
        <v>0</v>
      </c>
      <c r="U219" s="2">
        <f t="shared" si="13"/>
        <v>0</v>
      </c>
      <c r="V219" s="2">
        <f t="shared" si="14"/>
        <v>0</v>
      </c>
      <c r="W219" s="2">
        <f t="shared" si="15"/>
        <v>0</v>
      </c>
      <c r="Y219" t="str">
        <f>IFERROR(ROUND(E219*VLOOKUP(D219,商品!$A$4:$B$60,2,FALSE),0),"")</f>
        <v/>
      </c>
      <c r="Z219" t="str">
        <f>IFERROR(ROUND(G219*VLOOKUP(F219,商品!$A$4:$B$60,2,FALSE),0),"")</f>
        <v/>
      </c>
      <c r="AA219" t="str">
        <f>IFERROR(ROUND(I219*VLOOKUP(H219,商品!$A$4:$B$60,2,FALSE),0),"")</f>
        <v/>
      </c>
      <c r="AB219" t="str">
        <f>IFERROR(ROUND(K219*VLOOKUP(J219,[1]note_pop_types!$A$16:$E$16,4,FALSE),0),"")</f>
        <v/>
      </c>
      <c r="AC219" t="str">
        <f>IFERROR(ROUND(M219*VLOOKUP(L219,[1]note_pop_types!$A$16:$E$16,4,FALSE),0),"")</f>
        <v/>
      </c>
      <c r="AD219" t="str">
        <f>IFERROR(ROUND(O219*VLOOKUP(N219,[1]note_pop_types!$A$16:$E$16,4,FALSE),0),"")</f>
        <v/>
      </c>
      <c r="AE219" t="str">
        <f>IFERROR(ROUND(Q219*VLOOKUP(P219,商品!$A$4:$B$60,2,FALSE),0),"")</f>
        <v/>
      </c>
      <c r="AF219" t="str">
        <f>IFERROR(ROUND(S219*VLOOKUP(R219,商品!$A$4:$B$60,2,FALSE),0),"")</f>
        <v/>
      </c>
    </row>
    <row r="220" spans="1:32" ht="19.05" customHeight="1" x14ac:dyDescent="0.25">
      <c r="A220" s="15" t="s">
        <v>221</v>
      </c>
      <c r="C220" s="15">
        <v>2</v>
      </c>
      <c r="T220" s="2">
        <f t="shared" si="12"/>
        <v>0</v>
      </c>
      <c r="U220" s="2">
        <f t="shared" si="13"/>
        <v>0</v>
      </c>
      <c r="V220" s="2">
        <f t="shared" si="14"/>
        <v>0</v>
      </c>
      <c r="W220" s="2">
        <f t="shared" si="15"/>
        <v>0</v>
      </c>
      <c r="Y220" t="str">
        <f>IFERROR(ROUND(E220*VLOOKUP(D220,商品!$A$4:$B$60,2,FALSE),0),"")</f>
        <v/>
      </c>
      <c r="Z220" t="str">
        <f>IFERROR(ROUND(G220*VLOOKUP(F220,商品!$A$4:$B$60,2,FALSE),0),"")</f>
        <v/>
      </c>
      <c r="AA220" t="str">
        <f>IFERROR(ROUND(I220*VLOOKUP(H220,商品!$A$4:$B$60,2,FALSE),0),"")</f>
        <v/>
      </c>
      <c r="AB220" t="str">
        <f>IFERROR(ROUND(K220*VLOOKUP(J220,[1]note_pop_types!$A$16:$E$16,4,FALSE),0),"")</f>
        <v/>
      </c>
      <c r="AC220" t="str">
        <f>IFERROR(ROUND(M220*VLOOKUP(L220,[1]note_pop_types!$A$16:$E$16,4,FALSE),0),"")</f>
        <v/>
      </c>
      <c r="AD220" t="str">
        <f>IFERROR(ROUND(O220*VLOOKUP(N220,[1]note_pop_types!$A$16:$E$16,4,FALSE),0),"")</f>
        <v/>
      </c>
      <c r="AE220" t="str">
        <f>IFERROR(ROUND(Q220*VLOOKUP(P220,商品!$A$4:$B$60,2,FALSE),0),"")</f>
        <v/>
      </c>
      <c r="AF220" t="str">
        <f>IFERROR(ROUND(S220*VLOOKUP(R220,商品!$A$4:$B$60,2,FALSE),0),"")</f>
        <v/>
      </c>
    </row>
    <row r="221" spans="1:32" ht="19.05" customHeight="1" x14ac:dyDescent="0.25">
      <c r="A221" s="15" t="s">
        <v>221</v>
      </c>
      <c r="C221" s="15">
        <v>3</v>
      </c>
      <c r="T221" s="2">
        <f t="shared" si="12"/>
        <v>0</v>
      </c>
      <c r="U221" s="2">
        <f t="shared" si="13"/>
        <v>0</v>
      </c>
      <c r="V221" s="2">
        <f t="shared" si="14"/>
        <v>0</v>
      </c>
      <c r="W221" s="2">
        <f t="shared" si="15"/>
        <v>0</v>
      </c>
      <c r="Y221" t="str">
        <f>IFERROR(ROUND(E221*VLOOKUP(D221,商品!$A$4:$B$60,2,FALSE),0),"")</f>
        <v/>
      </c>
      <c r="Z221" t="str">
        <f>IFERROR(ROUND(G221*VLOOKUP(F221,商品!$A$4:$B$60,2,FALSE),0),"")</f>
        <v/>
      </c>
      <c r="AA221" t="str">
        <f>IFERROR(ROUND(I221*VLOOKUP(H221,商品!$A$4:$B$60,2,FALSE),0),"")</f>
        <v/>
      </c>
      <c r="AB221" t="str">
        <f>IFERROR(ROUND(K221*VLOOKUP(J221,[1]note_pop_types!$A$16:$E$16,4,FALSE),0),"")</f>
        <v/>
      </c>
      <c r="AC221" t="str">
        <f>IFERROR(ROUND(M221*VLOOKUP(L221,[1]note_pop_types!$A$16:$E$16,4,FALSE),0),"")</f>
        <v/>
      </c>
      <c r="AD221" t="str">
        <f>IFERROR(ROUND(O221*VLOOKUP(N221,[1]note_pop_types!$A$16:$E$16,4,FALSE),0),"")</f>
        <v/>
      </c>
      <c r="AE221" t="str">
        <f>IFERROR(ROUND(Q221*VLOOKUP(P221,商品!$A$4:$B$60,2,FALSE),0),"")</f>
        <v/>
      </c>
      <c r="AF221" t="str">
        <f>IFERROR(ROUND(S221*VLOOKUP(R221,商品!$A$4:$B$60,2,FALSE),0),"")</f>
        <v/>
      </c>
    </row>
    <row r="222" spans="1:32" ht="19.05" customHeight="1" x14ac:dyDescent="0.25">
      <c r="A222" s="15" t="s">
        <v>221</v>
      </c>
      <c r="C222" s="15">
        <v>4</v>
      </c>
      <c r="T222" s="2">
        <f t="shared" si="12"/>
        <v>0</v>
      </c>
      <c r="U222" s="2">
        <f t="shared" si="13"/>
        <v>0</v>
      </c>
      <c r="V222" s="2">
        <f t="shared" si="14"/>
        <v>0</v>
      </c>
      <c r="W222" s="2">
        <f t="shared" si="15"/>
        <v>0</v>
      </c>
      <c r="Y222" t="str">
        <f>IFERROR(ROUND(E222*VLOOKUP(D222,商品!$A$4:$B$60,2,FALSE),0),"")</f>
        <v/>
      </c>
      <c r="Z222" t="str">
        <f>IFERROR(ROUND(G222*VLOOKUP(F222,商品!$A$4:$B$60,2,FALSE),0),"")</f>
        <v/>
      </c>
      <c r="AA222" t="str">
        <f>IFERROR(ROUND(I222*VLOOKUP(H222,商品!$A$4:$B$60,2,FALSE),0),"")</f>
        <v/>
      </c>
      <c r="AB222" t="str">
        <f>IFERROR(ROUND(K222*VLOOKUP(J222,[1]note_pop_types!$A$16:$E$16,4,FALSE),0),"")</f>
        <v/>
      </c>
      <c r="AC222" t="str">
        <f>IFERROR(ROUND(M222*VLOOKUP(L222,[1]note_pop_types!$A$16:$E$16,4,FALSE),0),"")</f>
        <v/>
      </c>
      <c r="AD222" t="str">
        <f>IFERROR(ROUND(O222*VLOOKUP(N222,[1]note_pop_types!$A$16:$E$16,4,FALSE),0),"")</f>
        <v/>
      </c>
      <c r="AE222" t="str">
        <f>IFERROR(ROUND(Q222*VLOOKUP(P222,商品!$A$4:$B$60,2,FALSE),0),"")</f>
        <v/>
      </c>
      <c r="AF222" t="str">
        <f>IFERROR(ROUND(S222*VLOOKUP(R222,商品!$A$4:$B$60,2,FALSE),0),"")</f>
        <v/>
      </c>
    </row>
    <row r="223" spans="1:32" ht="19.05" customHeight="1" x14ac:dyDescent="0.25">
      <c r="A223" s="15" t="s">
        <v>221</v>
      </c>
      <c r="C223" s="15">
        <v>5</v>
      </c>
      <c r="T223" s="2">
        <f t="shared" si="12"/>
        <v>0</v>
      </c>
      <c r="U223" s="2">
        <f t="shared" si="13"/>
        <v>0</v>
      </c>
      <c r="V223" s="2">
        <f t="shared" si="14"/>
        <v>0</v>
      </c>
      <c r="W223" s="2">
        <f t="shared" si="15"/>
        <v>0</v>
      </c>
      <c r="Y223" t="str">
        <f>IFERROR(ROUND(E223*VLOOKUP(D223,商品!$A$4:$B$60,2,FALSE),0),"")</f>
        <v/>
      </c>
      <c r="Z223" t="str">
        <f>IFERROR(ROUND(G223*VLOOKUP(F223,商品!$A$4:$B$60,2,FALSE),0),"")</f>
        <v/>
      </c>
      <c r="AA223" t="str">
        <f>IFERROR(ROUND(I223*VLOOKUP(H223,商品!$A$4:$B$60,2,FALSE),0),"")</f>
        <v/>
      </c>
      <c r="AB223" t="str">
        <f>IFERROR(ROUND(K223*VLOOKUP(J223,[1]note_pop_types!$A$16:$E$16,4,FALSE),0),"")</f>
        <v/>
      </c>
      <c r="AC223" t="str">
        <f>IFERROR(ROUND(M223*VLOOKUP(L223,[1]note_pop_types!$A$16:$E$16,4,FALSE),0),"")</f>
        <v/>
      </c>
      <c r="AD223" t="str">
        <f>IFERROR(ROUND(O223*VLOOKUP(N223,[1]note_pop_types!$A$16:$E$16,4,FALSE),0),"")</f>
        <v/>
      </c>
      <c r="AE223" t="str">
        <f>IFERROR(ROUND(Q223*VLOOKUP(P223,商品!$A$4:$B$60,2,FALSE),0),"")</f>
        <v/>
      </c>
      <c r="AF223" t="str">
        <f>IFERROR(ROUND(S223*VLOOKUP(R223,商品!$A$4:$B$60,2,FALSE),0),"")</f>
        <v/>
      </c>
    </row>
    <row r="224" spans="1:32" ht="19.05" customHeight="1" x14ac:dyDescent="0.25">
      <c r="A224" s="16" t="s">
        <v>513</v>
      </c>
      <c r="C224" s="16">
        <v>1</v>
      </c>
      <c r="T224" s="2">
        <f t="shared" si="12"/>
        <v>0</v>
      </c>
      <c r="U224" s="2">
        <f t="shared" si="13"/>
        <v>0</v>
      </c>
      <c r="V224" s="2">
        <f t="shared" si="14"/>
        <v>0</v>
      </c>
      <c r="W224" s="2">
        <f t="shared" si="15"/>
        <v>0</v>
      </c>
      <c r="Y224" t="str">
        <f>IFERROR(ROUND(E224*VLOOKUP(D224,商品!$A$4:$B$60,2,FALSE),0),"")</f>
        <v/>
      </c>
      <c r="Z224" t="str">
        <f>IFERROR(ROUND(G224*VLOOKUP(F224,商品!$A$4:$B$60,2,FALSE),0),"")</f>
        <v/>
      </c>
      <c r="AA224" t="str">
        <f>IFERROR(ROUND(I224*VLOOKUP(H224,商品!$A$4:$B$60,2,FALSE),0),"")</f>
        <v/>
      </c>
      <c r="AB224" t="str">
        <f>IFERROR(ROUND(K224*VLOOKUP(J224,[1]note_pop_types!$A$16:$E$16,4,FALSE),0),"")</f>
        <v/>
      </c>
      <c r="AC224" t="str">
        <f>IFERROR(ROUND(M224*VLOOKUP(L224,[1]note_pop_types!$A$16:$E$16,4,FALSE),0),"")</f>
        <v/>
      </c>
      <c r="AD224" t="str">
        <f>IFERROR(ROUND(O224*VLOOKUP(N224,[1]note_pop_types!$A$16:$E$16,4,FALSE),0),"")</f>
        <v/>
      </c>
      <c r="AE224" t="str">
        <f>IFERROR(ROUND(Q224*VLOOKUP(P224,商品!$A$4:$B$60,2,FALSE),0),"")</f>
        <v/>
      </c>
      <c r="AF224" t="str">
        <f>IFERROR(ROUND(S224*VLOOKUP(R224,商品!$A$4:$B$60,2,FALSE),0),"")</f>
        <v/>
      </c>
    </row>
    <row r="225" spans="1:32" ht="19.05" customHeight="1" x14ac:dyDescent="0.25">
      <c r="A225" s="16" t="s">
        <v>513</v>
      </c>
      <c r="C225" s="16">
        <v>2</v>
      </c>
      <c r="T225" s="2">
        <f t="shared" si="12"/>
        <v>0</v>
      </c>
      <c r="U225" s="2">
        <f t="shared" si="13"/>
        <v>0</v>
      </c>
      <c r="V225" s="2">
        <f t="shared" si="14"/>
        <v>0</v>
      </c>
      <c r="W225" s="2">
        <f t="shared" si="15"/>
        <v>0</v>
      </c>
      <c r="Y225" t="str">
        <f>IFERROR(ROUND(E225*VLOOKUP(D225,商品!$A$4:$B$60,2,FALSE),0),"")</f>
        <v/>
      </c>
      <c r="Z225" t="str">
        <f>IFERROR(ROUND(G225*VLOOKUP(F225,商品!$A$4:$B$60,2,FALSE),0),"")</f>
        <v/>
      </c>
      <c r="AA225" t="str">
        <f>IFERROR(ROUND(I225*VLOOKUP(H225,商品!$A$4:$B$60,2,FALSE),0),"")</f>
        <v/>
      </c>
      <c r="AB225" t="str">
        <f>IFERROR(ROUND(K225*VLOOKUP(J225,[1]note_pop_types!$A$16:$E$16,4,FALSE),0),"")</f>
        <v/>
      </c>
      <c r="AC225" t="str">
        <f>IFERROR(ROUND(M225*VLOOKUP(L225,[1]note_pop_types!$A$16:$E$16,4,FALSE),0),"")</f>
        <v/>
      </c>
      <c r="AD225" t="str">
        <f>IFERROR(ROUND(O225*VLOOKUP(N225,[1]note_pop_types!$A$16:$E$16,4,FALSE),0),"")</f>
        <v/>
      </c>
      <c r="AE225" t="str">
        <f>IFERROR(ROUND(Q225*VLOOKUP(P225,商品!$A$4:$B$60,2,FALSE),0),"")</f>
        <v/>
      </c>
      <c r="AF225" t="str">
        <f>IFERROR(ROUND(S225*VLOOKUP(R225,商品!$A$4:$B$60,2,FALSE),0),"")</f>
        <v/>
      </c>
    </row>
    <row r="226" spans="1:32" ht="19.05" customHeight="1" x14ac:dyDescent="0.25">
      <c r="A226" s="16" t="s">
        <v>513</v>
      </c>
      <c r="C226" s="16">
        <v>3</v>
      </c>
      <c r="T226" s="2">
        <f t="shared" si="12"/>
        <v>0</v>
      </c>
      <c r="U226" s="2">
        <f t="shared" si="13"/>
        <v>0</v>
      </c>
      <c r="V226" s="2">
        <f t="shared" si="14"/>
        <v>0</v>
      </c>
      <c r="W226" s="2">
        <f t="shared" si="15"/>
        <v>0</v>
      </c>
      <c r="Y226" t="str">
        <f>IFERROR(ROUND(E226*VLOOKUP(D226,商品!$A$4:$B$60,2,FALSE),0),"")</f>
        <v/>
      </c>
      <c r="Z226" t="str">
        <f>IFERROR(ROUND(G226*VLOOKUP(F226,商品!$A$4:$B$60,2,FALSE),0),"")</f>
        <v/>
      </c>
      <c r="AA226" t="str">
        <f>IFERROR(ROUND(I226*VLOOKUP(H226,商品!$A$4:$B$60,2,FALSE),0),"")</f>
        <v/>
      </c>
      <c r="AB226" t="str">
        <f>IFERROR(ROUND(K226*VLOOKUP(J226,[1]note_pop_types!$A$16:$E$16,4,FALSE),0),"")</f>
        <v/>
      </c>
      <c r="AC226" t="str">
        <f>IFERROR(ROUND(M226*VLOOKUP(L226,[1]note_pop_types!$A$16:$E$16,4,FALSE),0),"")</f>
        <v/>
      </c>
      <c r="AD226" t="str">
        <f>IFERROR(ROUND(O226*VLOOKUP(N226,[1]note_pop_types!$A$16:$E$16,4,FALSE),0),"")</f>
        <v/>
      </c>
      <c r="AE226" t="str">
        <f>IFERROR(ROUND(Q226*VLOOKUP(P226,商品!$A$4:$B$60,2,FALSE),0),"")</f>
        <v/>
      </c>
      <c r="AF226" t="str">
        <f>IFERROR(ROUND(S226*VLOOKUP(R226,商品!$A$4:$B$60,2,FALSE),0),"")</f>
        <v/>
      </c>
    </row>
    <row r="227" spans="1:32" ht="19.05" customHeight="1" x14ac:dyDescent="0.25">
      <c r="A227" s="16" t="s">
        <v>513</v>
      </c>
      <c r="C227" s="16">
        <v>4</v>
      </c>
      <c r="T227" s="2">
        <f t="shared" si="12"/>
        <v>0</v>
      </c>
      <c r="U227" s="2">
        <f t="shared" si="13"/>
        <v>0</v>
      </c>
      <c r="V227" s="2">
        <f t="shared" si="14"/>
        <v>0</v>
      </c>
      <c r="W227" s="2">
        <f t="shared" si="15"/>
        <v>0</v>
      </c>
      <c r="Y227" t="str">
        <f>IFERROR(ROUND(E227*VLOOKUP(D227,商品!$A$4:$B$60,2,FALSE),0),"")</f>
        <v/>
      </c>
      <c r="Z227" t="str">
        <f>IFERROR(ROUND(G227*VLOOKUP(F227,商品!$A$4:$B$60,2,FALSE),0),"")</f>
        <v/>
      </c>
      <c r="AA227" t="str">
        <f>IFERROR(ROUND(I227*VLOOKUP(H227,商品!$A$4:$B$60,2,FALSE),0),"")</f>
        <v/>
      </c>
      <c r="AB227" t="str">
        <f>IFERROR(ROUND(K227*VLOOKUP(J227,[1]note_pop_types!$A$16:$E$16,4,FALSE),0),"")</f>
        <v/>
      </c>
      <c r="AC227" t="str">
        <f>IFERROR(ROUND(M227*VLOOKUP(L227,[1]note_pop_types!$A$16:$E$16,4,FALSE),0),"")</f>
        <v/>
      </c>
      <c r="AD227" t="str">
        <f>IFERROR(ROUND(O227*VLOOKUP(N227,[1]note_pop_types!$A$16:$E$16,4,FALSE),0),"")</f>
        <v/>
      </c>
      <c r="AE227" t="str">
        <f>IFERROR(ROUND(Q227*VLOOKUP(P227,商品!$A$4:$B$60,2,FALSE),0),"")</f>
        <v/>
      </c>
      <c r="AF227" t="str">
        <f>IFERROR(ROUND(S227*VLOOKUP(R227,商品!$A$4:$B$60,2,FALSE),0),"")</f>
        <v/>
      </c>
    </row>
    <row r="228" spans="1:32" ht="19.05" customHeight="1" x14ac:dyDescent="0.25">
      <c r="A228" s="16" t="s">
        <v>513</v>
      </c>
      <c r="C228" s="16">
        <v>5</v>
      </c>
      <c r="T228" s="2">
        <f t="shared" si="12"/>
        <v>0</v>
      </c>
      <c r="U228" s="2">
        <f t="shared" si="13"/>
        <v>0</v>
      </c>
      <c r="V228" s="2">
        <f t="shared" si="14"/>
        <v>0</v>
      </c>
      <c r="W228" s="2">
        <f t="shared" si="15"/>
        <v>0</v>
      </c>
      <c r="Y228" t="str">
        <f>IFERROR(ROUND(E228*VLOOKUP(D228,商品!$A$4:$B$60,2,FALSE),0),"")</f>
        <v/>
      </c>
      <c r="Z228" t="str">
        <f>IFERROR(ROUND(G228*VLOOKUP(F228,商品!$A$4:$B$60,2,FALSE),0),"")</f>
        <v/>
      </c>
      <c r="AA228" t="str">
        <f>IFERROR(ROUND(I228*VLOOKUP(H228,商品!$A$4:$B$60,2,FALSE),0),"")</f>
        <v/>
      </c>
      <c r="AB228" t="str">
        <f>IFERROR(ROUND(K228*VLOOKUP(J228,[1]note_pop_types!$A$16:$E$16,4,FALSE),0),"")</f>
        <v/>
      </c>
      <c r="AC228" t="str">
        <f>IFERROR(ROUND(M228*VLOOKUP(L228,[1]note_pop_types!$A$16:$E$16,4,FALSE),0),"")</f>
        <v/>
      </c>
      <c r="AD228" t="str">
        <f>IFERROR(ROUND(O228*VLOOKUP(N228,[1]note_pop_types!$A$16:$E$16,4,FALSE),0),"")</f>
        <v/>
      </c>
      <c r="AE228" t="str">
        <f>IFERROR(ROUND(Q228*VLOOKUP(P228,商品!$A$4:$B$60,2,FALSE),0),"")</f>
        <v/>
      </c>
      <c r="AF228" t="str">
        <f>IFERROR(ROUND(S228*VLOOKUP(R228,商品!$A$4:$B$60,2,FALSE),0),"")</f>
        <v/>
      </c>
    </row>
    <row r="229" spans="1:32" ht="19.05" customHeight="1" x14ac:dyDescent="0.25">
      <c r="A229" s="15" t="s">
        <v>513</v>
      </c>
      <c r="C229" s="15">
        <v>1</v>
      </c>
      <c r="T229" s="2">
        <f t="shared" si="12"/>
        <v>0</v>
      </c>
      <c r="U229" s="2">
        <f t="shared" si="13"/>
        <v>0</v>
      </c>
      <c r="V229" s="2">
        <f t="shared" si="14"/>
        <v>0</v>
      </c>
      <c r="W229" s="2">
        <f t="shared" si="15"/>
        <v>0</v>
      </c>
      <c r="Y229" t="str">
        <f>IFERROR(ROUND(E229*VLOOKUP(D229,商品!$A$4:$B$60,2,FALSE),0),"")</f>
        <v/>
      </c>
      <c r="Z229" t="str">
        <f>IFERROR(ROUND(G229*VLOOKUP(F229,商品!$A$4:$B$60,2,FALSE),0),"")</f>
        <v/>
      </c>
      <c r="AA229" t="str">
        <f>IFERROR(ROUND(I229*VLOOKUP(H229,商品!$A$4:$B$60,2,FALSE),0),"")</f>
        <v/>
      </c>
      <c r="AB229" t="str">
        <f>IFERROR(ROUND(K229*VLOOKUP(J229,[1]note_pop_types!$A$16:$E$16,4,FALSE),0),"")</f>
        <v/>
      </c>
      <c r="AC229" t="str">
        <f>IFERROR(ROUND(M229*VLOOKUP(L229,[1]note_pop_types!$A$16:$E$16,4,FALSE),0),"")</f>
        <v/>
      </c>
      <c r="AD229" t="str">
        <f>IFERROR(ROUND(O229*VLOOKUP(N229,[1]note_pop_types!$A$16:$E$16,4,FALSE),0),"")</f>
        <v/>
      </c>
      <c r="AE229" t="str">
        <f>IFERROR(ROUND(Q229*VLOOKUP(P229,商品!$A$4:$B$60,2,FALSE),0),"")</f>
        <v/>
      </c>
      <c r="AF229" t="str">
        <f>IFERROR(ROUND(S229*VLOOKUP(R229,商品!$A$4:$B$60,2,FALSE),0),"")</f>
        <v/>
      </c>
    </row>
    <row r="230" spans="1:32" ht="19.05" customHeight="1" x14ac:dyDescent="0.25">
      <c r="A230" s="15" t="s">
        <v>513</v>
      </c>
      <c r="C230" s="15">
        <v>2</v>
      </c>
      <c r="T230" s="2">
        <f t="shared" si="12"/>
        <v>0</v>
      </c>
      <c r="U230" s="2">
        <f t="shared" si="13"/>
        <v>0</v>
      </c>
      <c r="V230" s="2">
        <f t="shared" si="14"/>
        <v>0</v>
      </c>
      <c r="W230" s="2">
        <f t="shared" si="15"/>
        <v>0</v>
      </c>
      <c r="Y230" t="str">
        <f>IFERROR(ROUND(E230*VLOOKUP(D230,商品!$A$4:$B$60,2,FALSE),0),"")</f>
        <v/>
      </c>
      <c r="Z230" t="str">
        <f>IFERROR(ROUND(G230*VLOOKUP(F230,商品!$A$4:$B$60,2,FALSE),0),"")</f>
        <v/>
      </c>
      <c r="AA230" t="str">
        <f>IFERROR(ROUND(I230*VLOOKUP(H230,商品!$A$4:$B$60,2,FALSE),0),"")</f>
        <v/>
      </c>
      <c r="AB230" t="str">
        <f>IFERROR(ROUND(K230*VLOOKUP(J230,[1]note_pop_types!$A$16:$E$16,4,FALSE),0),"")</f>
        <v/>
      </c>
      <c r="AC230" t="str">
        <f>IFERROR(ROUND(M230*VLOOKUP(L230,[1]note_pop_types!$A$16:$E$16,4,FALSE),0),"")</f>
        <v/>
      </c>
      <c r="AD230" t="str">
        <f>IFERROR(ROUND(O230*VLOOKUP(N230,[1]note_pop_types!$A$16:$E$16,4,FALSE),0),"")</f>
        <v/>
      </c>
      <c r="AE230" t="str">
        <f>IFERROR(ROUND(Q230*VLOOKUP(P230,商品!$A$4:$B$60,2,FALSE),0),"")</f>
        <v/>
      </c>
      <c r="AF230" t="str">
        <f>IFERROR(ROUND(S230*VLOOKUP(R230,商品!$A$4:$B$60,2,FALSE),0),"")</f>
        <v/>
      </c>
    </row>
    <row r="231" spans="1:32" ht="19.05" customHeight="1" x14ac:dyDescent="0.25">
      <c r="A231" s="15" t="s">
        <v>513</v>
      </c>
      <c r="C231" s="15">
        <v>3</v>
      </c>
      <c r="T231" s="2">
        <f t="shared" si="12"/>
        <v>0</v>
      </c>
      <c r="U231" s="2">
        <f t="shared" si="13"/>
        <v>0</v>
      </c>
      <c r="V231" s="2">
        <f t="shared" si="14"/>
        <v>0</v>
      </c>
      <c r="W231" s="2">
        <f t="shared" si="15"/>
        <v>0</v>
      </c>
      <c r="Y231" t="str">
        <f>IFERROR(ROUND(E231*VLOOKUP(D231,商品!$A$4:$B$60,2,FALSE),0),"")</f>
        <v/>
      </c>
      <c r="Z231" t="str">
        <f>IFERROR(ROUND(G231*VLOOKUP(F231,商品!$A$4:$B$60,2,FALSE),0),"")</f>
        <v/>
      </c>
      <c r="AA231" t="str">
        <f>IFERROR(ROUND(I231*VLOOKUP(H231,商品!$A$4:$B$60,2,FALSE),0),"")</f>
        <v/>
      </c>
      <c r="AB231" t="str">
        <f>IFERROR(ROUND(K231*VLOOKUP(J231,[1]note_pop_types!$A$16:$E$16,4,FALSE),0),"")</f>
        <v/>
      </c>
      <c r="AC231" t="str">
        <f>IFERROR(ROUND(M231*VLOOKUP(L231,[1]note_pop_types!$A$16:$E$16,4,FALSE),0),"")</f>
        <v/>
      </c>
      <c r="AD231" t="str">
        <f>IFERROR(ROUND(O231*VLOOKUP(N231,[1]note_pop_types!$A$16:$E$16,4,FALSE),0),"")</f>
        <v/>
      </c>
      <c r="AE231" t="str">
        <f>IFERROR(ROUND(Q231*VLOOKUP(P231,商品!$A$4:$B$60,2,FALSE),0),"")</f>
        <v/>
      </c>
      <c r="AF231" t="str">
        <f>IFERROR(ROUND(S231*VLOOKUP(R231,商品!$A$4:$B$60,2,FALSE),0),"")</f>
        <v/>
      </c>
    </row>
    <row r="232" spans="1:32" ht="19.05" customHeight="1" x14ac:dyDescent="0.25">
      <c r="A232" s="15" t="s">
        <v>513</v>
      </c>
      <c r="C232" s="15">
        <v>4</v>
      </c>
      <c r="T232" s="2">
        <f t="shared" si="12"/>
        <v>0</v>
      </c>
      <c r="U232" s="2">
        <f t="shared" si="13"/>
        <v>0</v>
      </c>
      <c r="V232" s="2">
        <f t="shared" si="14"/>
        <v>0</v>
      </c>
      <c r="W232" s="2">
        <f t="shared" si="15"/>
        <v>0</v>
      </c>
      <c r="Y232" t="str">
        <f>IFERROR(ROUND(E232*VLOOKUP(D232,商品!$A$4:$B$60,2,FALSE),0),"")</f>
        <v/>
      </c>
      <c r="Z232" t="str">
        <f>IFERROR(ROUND(G232*VLOOKUP(F232,商品!$A$4:$B$60,2,FALSE),0),"")</f>
        <v/>
      </c>
      <c r="AA232" t="str">
        <f>IFERROR(ROUND(I232*VLOOKUP(H232,商品!$A$4:$B$60,2,FALSE),0),"")</f>
        <v/>
      </c>
      <c r="AB232" t="str">
        <f>IFERROR(ROUND(K232*VLOOKUP(J232,[1]note_pop_types!$A$16:$E$16,4,FALSE),0),"")</f>
        <v/>
      </c>
      <c r="AC232" t="str">
        <f>IFERROR(ROUND(M232*VLOOKUP(L232,[1]note_pop_types!$A$16:$E$16,4,FALSE),0),"")</f>
        <v/>
      </c>
      <c r="AD232" t="str">
        <f>IFERROR(ROUND(O232*VLOOKUP(N232,[1]note_pop_types!$A$16:$E$16,4,FALSE),0),"")</f>
        <v/>
      </c>
      <c r="AE232" t="str">
        <f>IFERROR(ROUND(Q232*VLOOKUP(P232,商品!$A$4:$B$60,2,FALSE),0),"")</f>
        <v/>
      </c>
      <c r="AF232" t="str">
        <f>IFERROR(ROUND(S232*VLOOKUP(R232,商品!$A$4:$B$60,2,FALSE),0),"")</f>
        <v/>
      </c>
    </row>
    <row r="233" spans="1:32" ht="19.05" customHeight="1" x14ac:dyDescent="0.25">
      <c r="A233" s="15" t="s">
        <v>513</v>
      </c>
      <c r="C233" s="15">
        <v>5</v>
      </c>
      <c r="T233" s="2">
        <f t="shared" si="12"/>
        <v>0</v>
      </c>
      <c r="U233" s="2">
        <f t="shared" si="13"/>
        <v>0</v>
      </c>
      <c r="V233" s="2">
        <f t="shared" si="14"/>
        <v>0</v>
      </c>
      <c r="W233" s="2">
        <f t="shared" si="15"/>
        <v>0</v>
      </c>
      <c r="Y233" t="str">
        <f>IFERROR(ROUND(E233*VLOOKUP(D233,商品!$A$4:$B$60,2,FALSE),0),"")</f>
        <v/>
      </c>
      <c r="Z233" t="str">
        <f>IFERROR(ROUND(G233*VLOOKUP(F233,商品!$A$4:$B$60,2,FALSE),0),"")</f>
        <v/>
      </c>
      <c r="AA233" t="str">
        <f>IFERROR(ROUND(I233*VLOOKUP(H233,商品!$A$4:$B$60,2,FALSE),0),"")</f>
        <v/>
      </c>
      <c r="AB233" t="str">
        <f>IFERROR(ROUND(K233*VLOOKUP(J233,[1]note_pop_types!$A$16:$E$16,4,FALSE),0),"")</f>
        <v/>
      </c>
      <c r="AC233" t="str">
        <f>IFERROR(ROUND(M233*VLOOKUP(L233,[1]note_pop_types!$A$16:$E$16,4,FALSE),0),"")</f>
        <v/>
      </c>
      <c r="AD233" t="str">
        <f>IFERROR(ROUND(O233*VLOOKUP(N233,[1]note_pop_types!$A$16:$E$16,4,FALSE),0),"")</f>
        <v/>
      </c>
      <c r="AE233" t="str">
        <f>IFERROR(ROUND(Q233*VLOOKUP(P233,商品!$A$4:$B$60,2,FALSE),0),"")</f>
        <v/>
      </c>
      <c r="AF233" t="str">
        <f>IFERROR(ROUND(S233*VLOOKUP(R233,商品!$A$4:$B$60,2,FALSE),0),"")</f>
        <v/>
      </c>
    </row>
    <row r="234" spans="1:32" ht="19.05" customHeight="1" x14ac:dyDescent="0.25">
      <c r="A234" s="16" t="s">
        <v>225</v>
      </c>
      <c r="C234" s="16">
        <v>1</v>
      </c>
      <c r="T234" s="2">
        <f t="shared" si="12"/>
        <v>0</v>
      </c>
      <c r="U234" s="2">
        <f t="shared" si="13"/>
        <v>0</v>
      </c>
      <c r="V234" s="2">
        <f t="shared" si="14"/>
        <v>0</v>
      </c>
      <c r="W234" s="2">
        <f t="shared" si="15"/>
        <v>0</v>
      </c>
      <c r="Y234" t="str">
        <f>IFERROR(ROUND(E234*VLOOKUP(D234,商品!$A$4:$B$60,2,FALSE),0),"")</f>
        <v/>
      </c>
      <c r="Z234" t="str">
        <f>IFERROR(ROUND(G234*VLOOKUP(F234,商品!$A$4:$B$60,2,FALSE),0),"")</f>
        <v/>
      </c>
      <c r="AA234" t="str">
        <f>IFERROR(ROUND(I234*VLOOKUP(H234,商品!$A$4:$B$60,2,FALSE),0),"")</f>
        <v/>
      </c>
      <c r="AB234" t="str">
        <f>IFERROR(ROUND(K234*VLOOKUP(J234,[1]note_pop_types!$A$16:$E$16,4,FALSE),0),"")</f>
        <v/>
      </c>
      <c r="AC234" t="str">
        <f>IFERROR(ROUND(M234*VLOOKUP(L234,[1]note_pop_types!$A$16:$E$16,4,FALSE),0),"")</f>
        <v/>
      </c>
      <c r="AD234" t="str">
        <f>IFERROR(ROUND(O234*VLOOKUP(N234,[1]note_pop_types!$A$16:$E$16,4,FALSE),0),"")</f>
        <v/>
      </c>
      <c r="AE234" t="str">
        <f>IFERROR(ROUND(Q234*VLOOKUP(P234,商品!$A$4:$B$60,2,FALSE),0),"")</f>
        <v/>
      </c>
      <c r="AF234" t="str">
        <f>IFERROR(ROUND(S234*VLOOKUP(R234,商品!$A$4:$B$60,2,FALSE),0),"")</f>
        <v/>
      </c>
    </row>
    <row r="235" spans="1:32" ht="19.05" customHeight="1" x14ac:dyDescent="0.25">
      <c r="A235" s="16" t="s">
        <v>225</v>
      </c>
      <c r="C235" s="16">
        <v>2</v>
      </c>
      <c r="T235" s="2">
        <f t="shared" si="12"/>
        <v>0</v>
      </c>
      <c r="U235" s="2">
        <f t="shared" si="13"/>
        <v>0</v>
      </c>
      <c r="V235" s="2">
        <f t="shared" si="14"/>
        <v>0</v>
      </c>
      <c r="W235" s="2">
        <f t="shared" si="15"/>
        <v>0</v>
      </c>
      <c r="Y235" t="str">
        <f>IFERROR(ROUND(E235*VLOOKUP(D235,商品!$A$4:$B$60,2,FALSE),0),"")</f>
        <v/>
      </c>
      <c r="Z235" t="str">
        <f>IFERROR(ROUND(G235*VLOOKUP(F235,商品!$A$4:$B$60,2,FALSE),0),"")</f>
        <v/>
      </c>
      <c r="AA235" t="str">
        <f>IFERROR(ROUND(I235*VLOOKUP(H235,商品!$A$4:$B$60,2,FALSE),0),"")</f>
        <v/>
      </c>
      <c r="AB235" t="str">
        <f>IFERROR(ROUND(K235*VLOOKUP(J235,[1]note_pop_types!$A$16:$E$16,4,FALSE),0),"")</f>
        <v/>
      </c>
      <c r="AC235" t="str">
        <f>IFERROR(ROUND(M235*VLOOKUP(L235,[1]note_pop_types!$A$16:$E$16,4,FALSE),0),"")</f>
        <v/>
      </c>
      <c r="AD235" t="str">
        <f>IFERROR(ROUND(O235*VLOOKUP(N235,[1]note_pop_types!$A$16:$E$16,4,FALSE),0),"")</f>
        <v/>
      </c>
      <c r="AE235" t="str">
        <f>IFERROR(ROUND(Q235*VLOOKUP(P235,商品!$A$4:$B$60,2,FALSE),0),"")</f>
        <v/>
      </c>
      <c r="AF235" t="str">
        <f>IFERROR(ROUND(S235*VLOOKUP(R235,商品!$A$4:$B$60,2,FALSE),0),"")</f>
        <v/>
      </c>
    </row>
    <row r="236" spans="1:32" ht="19.05" customHeight="1" x14ac:dyDescent="0.25">
      <c r="A236" s="16" t="s">
        <v>225</v>
      </c>
      <c r="C236" s="16">
        <v>3</v>
      </c>
      <c r="T236" s="2">
        <f t="shared" si="12"/>
        <v>0</v>
      </c>
      <c r="U236" s="2">
        <f t="shared" si="13"/>
        <v>0</v>
      </c>
      <c r="V236" s="2">
        <f t="shared" si="14"/>
        <v>0</v>
      </c>
      <c r="W236" s="2">
        <f t="shared" si="15"/>
        <v>0</v>
      </c>
      <c r="Y236" t="str">
        <f>IFERROR(ROUND(E236*VLOOKUP(D236,商品!$A$4:$B$60,2,FALSE),0),"")</f>
        <v/>
      </c>
      <c r="Z236" t="str">
        <f>IFERROR(ROUND(G236*VLOOKUP(F236,商品!$A$4:$B$60,2,FALSE),0),"")</f>
        <v/>
      </c>
      <c r="AA236" t="str">
        <f>IFERROR(ROUND(I236*VLOOKUP(H236,商品!$A$4:$B$60,2,FALSE),0),"")</f>
        <v/>
      </c>
      <c r="AB236" t="str">
        <f>IFERROR(ROUND(K236*VLOOKUP(J236,[1]note_pop_types!$A$16:$E$16,4,FALSE),0),"")</f>
        <v/>
      </c>
      <c r="AC236" t="str">
        <f>IFERROR(ROUND(M236*VLOOKUP(L236,[1]note_pop_types!$A$16:$E$16,4,FALSE),0),"")</f>
        <v/>
      </c>
      <c r="AD236" t="str">
        <f>IFERROR(ROUND(O236*VLOOKUP(N236,[1]note_pop_types!$A$16:$E$16,4,FALSE),0),"")</f>
        <v/>
      </c>
      <c r="AE236" t="str">
        <f>IFERROR(ROUND(Q236*VLOOKUP(P236,商品!$A$4:$B$60,2,FALSE),0),"")</f>
        <v/>
      </c>
      <c r="AF236" t="str">
        <f>IFERROR(ROUND(S236*VLOOKUP(R236,商品!$A$4:$B$60,2,FALSE),0),"")</f>
        <v/>
      </c>
    </row>
    <row r="237" spans="1:32" ht="19.05" customHeight="1" x14ac:dyDescent="0.25">
      <c r="A237" s="16" t="s">
        <v>225</v>
      </c>
      <c r="C237" s="16">
        <v>4</v>
      </c>
      <c r="T237" s="2">
        <f t="shared" si="12"/>
        <v>0</v>
      </c>
      <c r="U237" s="2">
        <f t="shared" si="13"/>
        <v>0</v>
      </c>
      <c r="V237" s="2">
        <f t="shared" si="14"/>
        <v>0</v>
      </c>
      <c r="W237" s="2">
        <f t="shared" si="15"/>
        <v>0</v>
      </c>
      <c r="Y237" t="str">
        <f>IFERROR(ROUND(E237*VLOOKUP(D237,商品!$A$4:$B$60,2,FALSE),0),"")</f>
        <v/>
      </c>
      <c r="Z237" t="str">
        <f>IFERROR(ROUND(G237*VLOOKUP(F237,商品!$A$4:$B$60,2,FALSE),0),"")</f>
        <v/>
      </c>
      <c r="AA237" t="str">
        <f>IFERROR(ROUND(I237*VLOOKUP(H237,商品!$A$4:$B$60,2,FALSE),0),"")</f>
        <v/>
      </c>
      <c r="AB237" t="str">
        <f>IFERROR(ROUND(K237*VLOOKUP(J237,[1]note_pop_types!$A$16:$E$16,4,FALSE),0),"")</f>
        <v/>
      </c>
      <c r="AC237" t="str">
        <f>IFERROR(ROUND(M237*VLOOKUP(L237,[1]note_pop_types!$A$16:$E$16,4,FALSE),0),"")</f>
        <v/>
      </c>
      <c r="AD237" t="str">
        <f>IFERROR(ROUND(O237*VLOOKUP(N237,[1]note_pop_types!$A$16:$E$16,4,FALSE),0),"")</f>
        <v/>
      </c>
      <c r="AE237" t="str">
        <f>IFERROR(ROUND(Q237*VLOOKUP(P237,商品!$A$4:$B$60,2,FALSE),0),"")</f>
        <v/>
      </c>
      <c r="AF237" t="str">
        <f>IFERROR(ROUND(S237*VLOOKUP(R237,商品!$A$4:$B$60,2,FALSE),0),"")</f>
        <v/>
      </c>
    </row>
    <row r="238" spans="1:32" ht="19.05" customHeight="1" x14ac:dyDescent="0.25">
      <c r="A238" s="16" t="s">
        <v>225</v>
      </c>
      <c r="C238" s="16">
        <v>5</v>
      </c>
      <c r="T238" s="2">
        <f t="shared" si="12"/>
        <v>0</v>
      </c>
      <c r="U238" s="2">
        <f t="shared" si="13"/>
        <v>0</v>
      </c>
      <c r="V238" s="2">
        <f t="shared" si="14"/>
        <v>0</v>
      </c>
      <c r="W238" s="2">
        <f t="shared" si="15"/>
        <v>0</v>
      </c>
      <c r="Y238" t="str">
        <f>IFERROR(ROUND(E238*VLOOKUP(D238,商品!$A$4:$B$60,2,FALSE),0),"")</f>
        <v/>
      </c>
      <c r="Z238" t="str">
        <f>IFERROR(ROUND(G238*VLOOKUP(F238,商品!$A$4:$B$60,2,FALSE),0),"")</f>
        <v/>
      </c>
      <c r="AA238" t="str">
        <f>IFERROR(ROUND(I238*VLOOKUP(H238,商品!$A$4:$B$60,2,FALSE),0),"")</f>
        <v/>
      </c>
      <c r="AB238" t="str">
        <f>IFERROR(ROUND(K238*VLOOKUP(J238,[1]note_pop_types!$A$16:$E$16,4,FALSE),0),"")</f>
        <v/>
      </c>
      <c r="AC238" t="str">
        <f>IFERROR(ROUND(M238*VLOOKUP(L238,[1]note_pop_types!$A$16:$E$16,4,FALSE),0),"")</f>
        <v/>
      </c>
      <c r="AD238" t="str">
        <f>IFERROR(ROUND(O238*VLOOKUP(N238,[1]note_pop_types!$A$16:$E$16,4,FALSE),0),"")</f>
        <v/>
      </c>
      <c r="AE238" t="str">
        <f>IFERROR(ROUND(Q238*VLOOKUP(P238,商品!$A$4:$B$60,2,FALSE),0),"")</f>
        <v/>
      </c>
      <c r="AF238" t="str">
        <f>IFERROR(ROUND(S238*VLOOKUP(R238,商品!$A$4:$B$60,2,FALSE),0),"")</f>
        <v/>
      </c>
    </row>
    <row r="239" spans="1:32" ht="19.05" customHeight="1" x14ac:dyDescent="0.25">
      <c r="A239" s="16" t="s">
        <v>225</v>
      </c>
      <c r="C239" s="16">
        <v>6</v>
      </c>
      <c r="T239" s="2">
        <f t="shared" si="12"/>
        <v>0</v>
      </c>
      <c r="U239" s="2">
        <f t="shared" si="13"/>
        <v>0</v>
      </c>
      <c r="V239" s="2">
        <f t="shared" si="14"/>
        <v>0</v>
      </c>
      <c r="W239" s="2">
        <f t="shared" si="15"/>
        <v>0</v>
      </c>
      <c r="Y239" t="str">
        <f>IFERROR(ROUND(E239*VLOOKUP(D239,商品!$A$4:$B$60,2,FALSE),0),"")</f>
        <v/>
      </c>
      <c r="Z239" t="str">
        <f>IFERROR(ROUND(G239*VLOOKUP(F239,商品!$A$4:$B$60,2,FALSE),0),"")</f>
        <v/>
      </c>
      <c r="AA239" t="str">
        <f>IFERROR(ROUND(I239*VLOOKUP(H239,商品!$A$4:$B$60,2,FALSE),0),"")</f>
        <v/>
      </c>
      <c r="AB239" t="str">
        <f>IFERROR(ROUND(K239*VLOOKUP(J239,[1]note_pop_types!$A$16:$E$16,4,FALSE),0),"")</f>
        <v/>
      </c>
      <c r="AC239" t="str">
        <f>IFERROR(ROUND(M239*VLOOKUP(L239,[1]note_pop_types!$A$16:$E$16,4,FALSE),0),"")</f>
        <v/>
      </c>
      <c r="AD239" t="str">
        <f>IFERROR(ROUND(O239*VLOOKUP(N239,[1]note_pop_types!$A$16:$E$16,4,FALSE),0),"")</f>
        <v/>
      </c>
      <c r="AE239" t="str">
        <f>IFERROR(ROUND(Q239*VLOOKUP(P239,商品!$A$4:$B$60,2,FALSE),0),"")</f>
        <v/>
      </c>
      <c r="AF239" t="str">
        <f>IFERROR(ROUND(S239*VLOOKUP(R239,商品!$A$4:$B$60,2,FALSE),0),"")</f>
        <v/>
      </c>
    </row>
    <row r="240" spans="1:32" ht="19.05" customHeight="1" x14ac:dyDescent="0.25">
      <c r="A240" s="16" t="s">
        <v>225</v>
      </c>
      <c r="C240" s="16">
        <v>7</v>
      </c>
      <c r="T240" s="2">
        <f t="shared" si="12"/>
        <v>0</v>
      </c>
      <c r="U240" s="2">
        <f t="shared" si="13"/>
        <v>0</v>
      </c>
      <c r="V240" s="2">
        <f t="shared" si="14"/>
        <v>0</v>
      </c>
      <c r="W240" s="2">
        <f t="shared" si="15"/>
        <v>0</v>
      </c>
      <c r="Y240" t="str">
        <f>IFERROR(ROUND(E240*VLOOKUP(D240,商品!$A$4:$B$60,2,FALSE),0),"")</f>
        <v/>
      </c>
      <c r="Z240" t="str">
        <f>IFERROR(ROUND(G240*VLOOKUP(F240,商品!$A$4:$B$60,2,FALSE),0),"")</f>
        <v/>
      </c>
      <c r="AA240" t="str">
        <f>IFERROR(ROUND(I240*VLOOKUP(H240,商品!$A$4:$B$60,2,FALSE),0),"")</f>
        <v/>
      </c>
      <c r="AB240" t="str">
        <f>IFERROR(ROUND(K240*VLOOKUP(J240,[1]note_pop_types!$A$16:$E$16,4,FALSE),0),"")</f>
        <v/>
      </c>
      <c r="AC240" t="str">
        <f>IFERROR(ROUND(M240*VLOOKUP(L240,[1]note_pop_types!$A$16:$E$16,4,FALSE),0),"")</f>
        <v/>
      </c>
      <c r="AD240" t="str">
        <f>IFERROR(ROUND(O240*VLOOKUP(N240,[1]note_pop_types!$A$16:$E$16,4,FALSE),0),"")</f>
        <v/>
      </c>
      <c r="AE240" t="str">
        <f>IFERROR(ROUND(Q240*VLOOKUP(P240,商品!$A$4:$B$60,2,FALSE),0),"")</f>
        <v/>
      </c>
      <c r="AF240" t="str">
        <f>IFERROR(ROUND(S240*VLOOKUP(R240,商品!$A$4:$B$60,2,FALSE),0),"")</f>
        <v/>
      </c>
    </row>
    <row r="241" spans="1:32" ht="19.05" customHeight="1" x14ac:dyDescent="0.25">
      <c r="A241" s="16" t="s">
        <v>225</v>
      </c>
      <c r="C241" s="16">
        <v>8</v>
      </c>
      <c r="T241" s="2">
        <f t="shared" si="12"/>
        <v>0</v>
      </c>
      <c r="U241" s="2">
        <f t="shared" si="13"/>
        <v>0</v>
      </c>
      <c r="V241" s="2">
        <f t="shared" si="14"/>
        <v>0</v>
      </c>
      <c r="W241" s="2">
        <f t="shared" si="15"/>
        <v>0</v>
      </c>
      <c r="Y241" t="str">
        <f>IFERROR(ROUND(E241*VLOOKUP(D241,商品!$A$4:$B$60,2,FALSE),0),"")</f>
        <v/>
      </c>
      <c r="Z241" t="str">
        <f>IFERROR(ROUND(G241*VLOOKUP(F241,商品!$A$4:$B$60,2,FALSE),0),"")</f>
        <v/>
      </c>
      <c r="AA241" t="str">
        <f>IFERROR(ROUND(I241*VLOOKUP(H241,商品!$A$4:$B$60,2,FALSE),0),"")</f>
        <v/>
      </c>
      <c r="AB241" t="str">
        <f>IFERROR(ROUND(K241*VLOOKUP(J241,[1]note_pop_types!$A$16:$E$16,4,FALSE),0),"")</f>
        <v/>
      </c>
      <c r="AC241" t="str">
        <f>IFERROR(ROUND(M241*VLOOKUP(L241,[1]note_pop_types!$A$16:$E$16,4,FALSE),0),"")</f>
        <v/>
      </c>
      <c r="AD241" t="str">
        <f>IFERROR(ROUND(O241*VLOOKUP(N241,[1]note_pop_types!$A$16:$E$16,4,FALSE),0),"")</f>
        <v/>
      </c>
      <c r="AE241" t="str">
        <f>IFERROR(ROUND(Q241*VLOOKUP(P241,商品!$A$4:$B$60,2,FALSE),0),"")</f>
        <v/>
      </c>
      <c r="AF241" t="str">
        <f>IFERROR(ROUND(S241*VLOOKUP(R241,商品!$A$4:$B$60,2,FALSE),0),"")</f>
        <v/>
      </c>
    </row>
    <row r="242" spans="1:32" ht="19.05" customHeight="1" x14ac:dyDescent="0.25">
      <c r="A242" s="15" t="s">
        <v>227</v>
      </c>
      <c r="C242" s="15">
        <v>1</v>
      </c>
      <c r="T242" s="2">
        <f t="shared" si="12"/>
        <v>0</v>
      </c>
      <c r="U242" s="2">
        <f t="shared" si="13"/>
        <v>0</v>
      </c>
      <c r="V242" s="2">
        <f t="shared" si="14"/>
        <v>0</v>
      </c>
      <c r="W242" s="2">
        <f t="shared" si="15"/>
        <v>0</v>
      </c>
      <c r="Y242" t="str">
        <f>IFERROR(ROUND(E242*VLOOKUP(D242,商品!$A$4:$B$60,2,FALSE),0),"")</f>
        <v/>
      </c>
      <c r="Z242" t="str">
        <f>IFERROR(ROUND(G242*VLOOKUP(F242,商品!$A$4:$B$60,2,FALSE),0),"")</f>
        <v/>
      </c>
      <c r="AA242" t="str">
        <f>IFERROR(ROUND(I242*VLOOKUP(H242,商品!$A$4:$B$60,2,FALSE),0),"")</f>
        <v/>
      </c>
      <c r="AB242" t="str">
        <f>IFERROR(ROUND(K242*VLOOKUP(J242,[1]note_pop_types!$A$16:$E$16,4,FALSE),0),"")</f>
        <v/>
      </c>
      <c r="AC242" t="str">
        <f>IFERROR(ROUND(M242*VLOOKUP(L242,[1]note_pop_types!$A$16:$E$16,4,FALSE),0),"")</f>
        <v/>
      </c>
      <c r="AD242" t="str">
        <f>IFERROR(ROUND(O242*VLOOKUP(N242,[1]note_pop_types!$A$16:$E$16,4,FALSE),0),"")</f>
        <v/>
      </c>
      <c r="AE242" t="str">
        <f>IFERROR(ROUND(Q242*VLOOKUP(P242,商品!$A$4:$B$60,2,FALSE),0),"")</f>
        <v/>
      </c>
      <c r="AF242" t="str">
        <f>IFERROR(ROUND(S242*VLOOKUP(R242,商品!$A$4:$B$60,2,FALSE),0),"")</f>
        <v/>
      </c>
    </row>
    <row r="243" spans="1:32" ht="19.05" customHeight="1" x14ac:dyDescent="0.25">
      <c r="A243" s="15" t="s">
        <v>227</v>
      </c>
      <c r="C243" s="15">
        <v>2</v>
      </c>
      <c r="T243" s="2">
        <f t="shared" si="12"/>
        <v>0</v>
      </c>
      <c r="U243" s="2">
        <f t="shared" si="13"/>
        <v>0</v>
      </c>
      <c r="V243" s="2">
        <f t="shared" si="14"/>
        <v>0</v>
      </c>
      <c r="W243" s="2">
        <f t="shared" si="15"/>
        <v>0</v>
      </c>
      <c r="Y243" t="str">
        <f>IFERROR(ROUND(E243*VLOOKUP(D243,商品!$A$4:$B$60,2,FALSE),0),"")</f>
        <v/>
      </c>
      <c r="Z243" t="str">
        <f>IFERROR(ROUND(G243*VLOOKUP(F243,商品!$A$4:$B$60,2,FALSE),0),"")</f>
        <v/>
      </c>
      <c r="AA243" t="str">
        <f>IFERROR(ROUND(I243*VLOOKUP(H243,商品!$A$4:$B$60,2,FALSE),0),"")</f>
        <v/>
      </c>
      <c r="AB243" t="str">
        <f>IFERROR(ROUND(K243*VLOOKUP(J243,[1]note_pop_types!$A$16:$E$16,4,FALSE),0),"")</f>
        <v/>
      </c>
      <c r="AC243" t="str">
        <f>IFERROR(ROUND(M243*VLOOKUP(L243,[1]note_pop_types!$A$16:$E$16,4,FALSE),0),"")</f>
        <v/>
      </c>
      <c r="AD243" t="str">
        <f>IFERROR(ROUND(O243*VLOOKUP(N243,[1]note_pop_types!$A$16:$E$16,4,FALSE),0),"")</f>
        <v/>
      </c>
      <c r="AE243" t="str">
        <f>IFERROR(ROUND(Q243*VLOOKUP(P243,商品!$A$4:$B$60,2,FALSE),0),"")</f>
        <v/>
      </c>
      <c r="AF243" t="str">
        <f>IFERROR(ROUND(S243*VLOOKUP(R243,商品!$A$4:$B$60,2,FALSE),0),"")</f>
        <v/>
      </c>
    </row>
    <row r="244" spans="1:32" ht="19.05" customHeight="1" x14ac:dyDescent="0.25">
      <c r="A244" s="15" t="s">
        <v>227</v>
      </c>
      <c r="C244" s="15">
        <v>3</v>
      </c>
      <c r="T244" s="2">
        <f t="shared" si="12"/>
        <v>0</v>
      </c>
      <c r="U244" s="2">
        <f t="shared" si="13"/>
        <v>0</v>
      </c>
      <c r="V244" s="2">
        <f t="shared" si="14"/>
        <v>0</v>
      </c>
      <c r="W244" s="2">
        <f t="shared" si="15"/>
        <v>0</v>
      </c>
      <c r="Y244" t="str">
        <f>IFERROR(ROUND(E244*VLOOKUP(D244,商品!$A$4:$B$60,2,FALSE),0),"")</f>
        <v/>
      </c>
      <c r="Z244" t="str">
        <f>IFERROR(ROUND(G244*VLOOKUP(F244,商品!$A$4:$B$60,2,FALSE),0),"")</f>
        <v/>
      </c>
      <c r="AA244" t="str">
        <f>IFERROR(ROUND(I244*VLOOKUP(H244,商品!$A$4:$B$60,2,FALSE),0),"")</f>
        <v/>
      </c>
      <c r="AB244" t="str">
        <f>IFERROR(ROUND(K244*VLOOKUP(J244,[1]note_pop_types!$A$16:$E$16,4,FALSE),0),"")</f>
        <v/>
      </c>
      <c r="AC244" t="str">
        <f>IFERROR(ROUND(M244*VLOOKUP(L244,[1]note_pop_types!$A$16:$E$16,4,FALSE),0),"")</f>
        <v/>
      </c>
      <c r="AD244" t="str">
        <f>IFERROR(ROUND(O244*VLOOKUP(N244,[1]note_pop_types!$A$16:$E$16,4,FALSE),0),"")</f>
        <v/>
      </c>
      <c r="AE244" t="str">
        <f>IFERROR(ROUND(Q244*VLOOKUP(P244,商品!$A$4:$B$60,2,FALSE),0),"")</f>
        <v/>
      </c>
      <c r="AF244" t="str">
        <f>IFERROR(ROUND(S244*VLOOKUP(R244,商品!$A$4:$B$60,2,FALSE),0),"")</f>
        <v/>
      </c>
    </row>
    <row r="245" spans="1:32" ht="19.05" customHeight="1" x14ac:dyDescent="0.25">
      <c r="A245" s="15" t="s">
        <v>227</v>
      </c>
      <c r="C245" s="15">
        <v>4</v>
      </c>
      <c r="T245" s="2">
        <f t="shared" si="12"/>
        <v>0</v>
      </c>
      <c r="U245" s="2">
        <f t="shared" si="13"/>
        <v>0</v>
      </c>
      <c r="V245" s="2">
        <f t="shared" si="14"/>
        <v>0</v>
      </c>
      <c r="W245" s="2">
        <f t="shared" si="15"/>
        <v>0</v>
      </c>
      <c r="Y245" t="str">
        <f>IFERROR(ROUND(E245*VLOOKUP(D245,商品!$A$4:$B$60,2,FALSE),0),"")</f>
        <v/>
      </c>
      <c r="Z245" t="str">
        <f>IFERROR(ROUND(G245*VLOOKUP(F245,商品!$A$4:$B$60,2,FALSE),0),"")</f>
        <v/>
      </c>
      <c r="AA245" t="str">
        <f>IFERROR(ROUND(I245*VLOOKUP(H245,商品!$A$4:$B$60,2,FALSE),0),"")</f>
        <v/>
      </c>
      <c r="AB245" t="str">
        <f>IFERROR(ROUND(K245*VLOOKUP(J245,[1]note_pop_types!$A$16:$E$16,4,FALSE),0),"")</f>
        <v/>
      </c>
      <c r="AC245" t="str">
        <f>IFERROR(ROUND(M245*VLOOKUP(L245,[1]note_pop_types!$A$16:$E$16,4,FALSE),0),"")</f>
        <v/>
      </c>
      <c r="AD245" t="str">
        <f>IFERROR(ROUND(O245*VLOOKUP(N245,[1]note_pop_types!$A$16:$E$16,4,FALSE),0),"")</f>
        <v/>
      </c>
      <c r="AE245" t="str">
        <f>IFERROR(ROUND(Q245*VLOOKUP(P245,商品!$A$4:$B$60,2,FALSE),0),"")</f>
        <v/>
      </c>
      <c r="AF245" t="str">
        <f>IFERROR(ROUND(S245*VLOOKUP(R245,商品!$A$4:$B$60,2,FALSE),0),"")</f>
        <v/>
      </c>
    </row>
    <row r="246" spans="1:32" ht="19.05" customHeight="1" x14ac:dyDescent="0.25">
      <c r="A246" s="15" t="s">
        <v>227</v>
      </c>
      <c r="C246" s="15">
        <v>5</v>
      </c>
      <c r="T246" s="2">
        <f t="shared" si="12"/>
        <v>0</v>
      </c>
      <c r="U246" s="2">
        <f t="shared" si="13"/>
        <v>0</v>
      </c>
      <c r="V246" s="2">
        <f t="shared" si="14"/>
        <v>0</v>
      </c>
      <c r="W246" s="2">
        <f t="shared" si="15"/>
        <v>0</v>
      </c>
      <c r="Y246" t="str">
        <f>IFERROR(ROUND(E246*VLOOKUP(D246,商品!$A$4:$B$60,2,FALSE),0),"")</f>
        <v/>
      </c>
      <c r="Z246" t="str">
        <f>IFERROR(ROUND(G246*VLOOKUP(F246,商品!$A$4:$B$60,2,FALSE),0),"")</f>
        <v/>
      </c>
      <c r="AA246" t="str">
        <f>IFERROR(ROUND(I246*VLOOKUP(H246,商品!$A$4:$B$60,2,FALSE),0),"")</f>
        <v/>
      </c>
      <c r="AB246" t="str">
        <f>IFERROR(ROUND(K246*VLOOKUP(J246,[1]note_pop_types!$A$16:$E$16,4,FALSE),0),"")</f>
        <v/>
      </c>
      <c r="AC246" t="str">
        <f>IFERROR(ROUND(M246*VLOOKUP(L246,[1]note_pop_types!$A$16:$E$16,4,FALSE),0),"")</f>
        <v/>
      </c>
      <c r="AD246" t="str">
        <f>IFERROR(ROUND(O246*VLOOKUP(N246,[1]note_pop_types!$A$16:$E$16,4,FALSE),0),"")</f>
        <v/>
      </c>
      <c r="AE246" t="str">
        <f>IFERROR(ROUND(Q246*VLOOKUP(P246,商品!$A$4:$B$60,2,FALSE),0),"")</f>
        <v/>
      </c>
      <c r="AF246" t="str">
        <f>IFERROR(ROUND(S246*VLOOKUP(R246,商品!$A$4:$B$60,2,FALSE),0),"")</f>
        <v/>
      </c>
    </row>
    <row r="247" spans="1:32" ht="19.05" customHeight="1" x14ac:dyDescent="0.25">
      <c r="A247" s="16" t="s">
        <v>228</v>
      </c>
      <c r="C247" s="16">
        <v>1</v>
      </c>
      <c r="T247" s="2">
        <f t="shared" si="12"/>
        <v>0</v>
      </c>
      <c r="U247" s="2">
        <f t="shared" si="13"/>
        <v>0</v>
      </c>
      <c r="V247" s="2">
        <f t="shared" si="14"/>
        <v>0</v>
      </c>
      <c r="W247" s="2">
        <f t="shared" si="15"/>
        <v>0</v>
      </c>
      <c r="Y247" t="str">
        <f>IFERROR(ROUND(E247*VLOOKUP(D247,商品!$A$4:$B$60,2,FALSE),0),"")</f>
        <v/>
      </c>
      <c r="Z247" t="str">
        <f>IFERROR(ROUND(G247*VLOOKUP(F247,商品!$A$4:$B$60,2,FALSE),0),"")</f>
        <v/>
      </c>
      <c r="AA247" t="str">
        <f>IFERROR(ROUND(I247*VLOOKUP(H247,商品!$A$4:$B$60,2,FALSE),0),"")</f>
        <v/>
      </c>
      <c r="AB247" t="str">
        <f>IFERROR(ROUND(K247*VLOOKUP(J247,[1]note_pop_types!$A$16:$E$16,4,FALSE),0),"")</f>
        <v/>
      </c>
      <c r="AC247" t="str">
        <f>IFERROR(ROUND(M247*VLOOKUP(L247,[1]note_pop_types!$A$16:$E$16,4,FALSE),0),"")</f>
        <v/>
      </c>
      <c r="AD247" t="str">
        <f>IFERROR(ROUND(O247*VLOOKUP(N247,[1]note_pop_types!$A$16:$E$16,4,FALSE),0),"")</f>
        <v/>
      </c>
      <c r="AE247" t="str">
        <f>IFERROR(ROUND(Q247*VLOOKUP(P247,商品!$A$4:$B$60,2,FALSE),0),"")</f>
        <v/>
      </c>
      <c r="AF247" t="str">
        <f>IFERROR(ROUND(S247*VLOOKUP(R247,商品!$A$4:$B$60,2,FALSE),0),"")</f>
        <v/>
      </c>
    </row>
    <row r="248" spans="1:32" ht="19.05" customHeight="1" x14ac:dyDescent="0.25">
      <c r="A248" s="16" t="s">
        <v>228</v>
      </c>
      <c r="C248" s="16">
        <v>2</v>
      </c>
      <c r="T248" s="2">
        <f t="shared" si="12"/>
        <v>0</v>
      </c>
      <c r="U248" s="2">
        <f t="shared" si="13"/>
        <v>0</v>
      </c>
      <c r="V248" s="2">
        <f t="shared" si="14"/>
        <v>0</v>
      </c>
      <c r="W248" s="2">
        <f t="shared" si="15"/>
        <v>0</v>
      </c>
      <c r="Y248" t="str">
        <f>IFERROR(ROUND(E248*VLOOKUP(D248,商品!$A$4:$B$60,2,FALSE),0),"")</f>
        <v/>
      </c>
      <c r="Z248" t="str">
        <f>IFERROR(ROUND(G248*VLOOKUP(F248,商品!$A$4:$B$60,2,FALSE),0),"")</f>
        <v/>
      </c>
      <c r="AA248" t="str">
        <f>IFERROR(ROUND(I248*VLOOKUP(H248,商品!$A$4:$B$60,2,FALSE),0),"")</f>
        <v/>
      </c>
      <c r="AB248" t="str">
        <f>IFERROR(ROUND(K248*VLOOKUP(J248,[1]note_pop_types!$A$16:$E$16,4,FALSE),0),"")</f>
        <v/>
      </c>
      <c r="AC248" t="str">
        <f>IFERROR(ROUND(M248*VLOOKUP(L248,[1]note_pop_types!$A$16:$E$16,4,FALSE),0),"")</f>
        <v/>
      </c>
      <c r="AD248" t="str">
        <f>IFERROR(ROUND(O248*VLOOKUP(N248,[1]note_pop_types!$A$16:$E$16,4,FALSE),0),"")</f>
        <v/>
      </c>
      <c r="AE248" t="str">
        <f>IFERROR(ROUND(Q248*VLOOKUP(P248,商品!$A$4:$B$60,2,FALSE),0),"")</f>
        <v/>
      </c>
      <c r="AF248" t="str">
        <f>IFERROR(ROUND(S248*VLOOKUP(R248,商品!$A$4:$B$60,2,FALSE),0),"")</f>
        <v/>
      </c>
    </row>
    <row r="249" spans="1:32" ht="19.05" customHeight="1" x14ac:dyDescent="0.25">
      <c r="A249" s="16" t="s">
        <v>228</v>
      </c>
      <c r="C249" s="16">
        <v>3</v>
      </c>
      <c r="T249" s="2">
        <f t="shared" si="12"/>
        <v>0</v>
      </c>
      <c r="U249" s="2">
        <f t="shared" si="13"/>
        <v>0</v>
      </c>
      <c r="V249" s="2">
        <f t="shared" si="14"/>
        <v>0</v>
      </c>
      <c r="W249" s="2">
        <f t="shared" si="15"/>
        <v>0</v>
      </c>
      <c r="Y249" t="str">
        <f>IFERROR(ROUND(E249*VLOOKUP(D249,商品!$A$4:$B$60,2,FALSE),0),"")</f>
        <v/>
      </c>
      <c r="Z249" t="str">
        <f>IFERROR(ROUND(G249*VLOOKUP(F249,商品!$A$4:$B$60,2,FALSE),0),"")</f>
        <v/>
      </c>
      <c r="AA249" t="str">
        <f>IFERROR(ROUND(I249*VLOOKUP(H249,商品!$A$4:$B$60,2,FALSE),0),"")</f>
        <v/>
      </c>
      <c r="AB249" t="str">
        <f>IFERROR(ROUND(K249*VLOOKUP(J249,[1]note_pop_types!$A$16:$E$16,4,FALSE),0),"")</f>
        <v/>
      </c>
      <c r="AC249" t="str">
        <f>IFERROR(ROUND(M249*VLOOKUP(L249,[1]note_pop_types!$A$16:$E$16,4,FALSE),0),"")</f>
        <v/>
      </c>
      <c r="AD249" t="str">
        <f>IFERROR(ROUND(O249*VLOOKUP(N249,[1]note_pop_types!$A$16:$E$16,4,FALSE),0),"")</f>
        <v/>
      </c>
      <c r="AE249" t="str">
        <f>IFERROR(ROUND(Q249*VLOOKUP(P249,商品!$A$4:$B$60,2,FALSE),0),"")</f>
        <v/>
      </c>
      <c r="AF249" t="str">
        <f>IFERROR(ROUND(S249*VLOOKUP(R249,商品!$A$4:$B$60,2,FALSE),0),"")</f>
        <v/>
      </c>
    </row>
    <row r="250" spans="1:32" ht="19.05" customHeight="1" x14ac:dyDescent="0.25">
      <c r="A250" s="16" t="s">
        <v>228</v>
      </c>
      <c r="C250" s="16">
        <v>4</v>
      </c>
      <c r="T250" s="2">
        <f t="shared" si="12"/>
        <v>0</v>
      </c>
      <c r="U250" s="2">
        <f t="shared" si="13"/>
        <v>0</v>
      </c>
      <c r="V250" s="2">
        <f t="shared" si="14"/>
        <v>0</v>
      </c>
      <c r="W250" s="2">
        <f t="shared" si="15"/>
        <v>0</v>
      </c>
      <c r="Y250" t="str">
        <f>IFERROR(ROUND(E250*VLOOKUP(D250,商品!$A$4:$B$60,2,FALSE),0),"")</f>
        <v/>
      </c>
      <c r="Z250" t="str">
        <f>IFERROR(ROUND(G250*VLOOKUP(F250,商品!$A$4:$B$60,2,FALSE),0),"")</f>
        <v/>
      </c>
      <c r="AA250" t="str">
        <f>IFERROR(ROUND(I250*VLOOKUP(H250,商品!$A$4:$B$60,2,FALSE),0),"")</f>
        <v/>
      </c>
      <c r="AB250" t="str">
        <f>IFERROR(ROUND(K250*VLOOKUP(J250,[1]note_pop_types!$A$16:$E$16,4,FALSE),0),"")</f>
        <v/>
      </c>
      <c r="AC250" t="str">
        <f>IFERROR(ROUND(M250*VLOOKUP(L250,[1]note_pop_types!$A$16:$E$16,4,FALSE),0),"")</f>
        <v/>
      </c>
      <c r="AD250" t="str">
        <f>IFERROR(ROUND(O250*VLOOKUP(N250,[1]note_pop_types!$A$16:$E$16,4,FALSE),0),"")</f>
        <v/>
      </c>
      <c r="AE250" t="str">
        <f>IFERROR(ROUND(Q250*VLOOKUP(P250,商品!$A$4:$B$60,2,FALSE),0),"")</f>
        <v/>
      </c>
      <c r="AF250" t="str">
        <f>IFERROR(ROUND(S250*VLOOKUP(R250,商品!$A$4:$B$60,2,FALSE),0),"")</f>
        <v/>
      </c>
    </row>
    <row r="251" spans="1:32" ht="19.05" customHeight="1" x14ac:dyDescent="0.25">
      <c r="A251" s="16" t="s">
        <v>228</v>
      </c>
      <c r="C251" s="16">
        <v>5</v>
      </c>
      <c r="T251" s="2">
        <f t="shared" si="12"/>
        <v>0</v>
      </c>
      <c r="U251" s="2">
        <f t="shared" si="13"/>
        <v>0</v>
      </c>
      <c r="V251" s="2">
        <f t="shared" si="14"/>
        <v>0</v>
      </c>
      <c r="W251" s="2">
        <f t="shared" si="15"/>
        <v>0</v>
      </c>
      <c r="Y251" t="str">
        <f>IFERROR(ROUND(E251*VLOOKUP(D251,商品!$A$4:$B$60,2,FALSE),0),"")</f>
        <v/>
      </c>
      <c r="Z251" t="str">
        <f>IFERROR(ROUND(G251*VLOOKUP(F251,商品!$A$4:$B$60,2,FALSE),0),"")</f>
        <v/>
      </c>
      <c r="AA251" t="str">
        <f>IFERROR(ROUND(I251*VLOOKUP(H251,商品!$A$4:$B$60,2,FALSE),0),"")</f>
        <v/>
      </c>
      <c r="AB251" t="str">
        <f>IFERROR(ROUND(K251*VLOOKUP(J251,[1]note_pop_types!$A$16:$E$16,4,FALSE),0),"")</f>
        <v/>
      </c>
      <c r="AC251" t="str">
        <f>IFERROR(ROUND(M251*VLOOKUP(L251,[1]note_pop_types!$A$16:$E$16,4,FALSE),0),"")</f>
        <v/>
      </c>
      <c r="AD251" t="str">
        <f>IFERROR(ROUND(O251*VLOOKUP(N251,[1]note_pop_types!$A$16:$E$16,4,FALSE),0),"")</f>
        <v/>
      </c>
      <c r="AE251" t="str">
        <f>IFERROR(ROUND(Q251*VLOOKUP(P251,商品!$A$4:$B$60,2,FALSE),0),"")</f>
        <v/>
      </c>
      <c r="AF251" t="str">
        <f>IFERROR(ROUND(S251*VLOOKUP(R251,商品!$A$4:$B$60,2,FALSE),0),"")</f>
        <v/>
      </c>
    </row>
    <row r="252" spans="1:32" ht="19.05" customHeight="1" x14ac:dyDescent="0.25">
      <c r="A252" s="15" t="s">
        <v>514</v>
      </c>
      <c r="C252" s="15">
        <v>1</v>
      </c>
      <c r="T252" s="2">
        <f t="shared" si="12"/>
        <v>0</v>
      </c>
      <c r="U252" s="2">
        <f t="shared" si="13"/>
        <v>0</v>
      </c>
      <c r="V252" s="2">
        <f t="shared" si="14"/>
        <v>0</v>
      </c>
      <c r="W252" s="2">
        <f t="shared" si="15"/>
        <v>0</v>
      </c>
      <c r="Y252" t="str">
        <f>IFERROR(ROUND(E252*VLOOKUP(D252,商品!$A$4:$B$60,2,FALSE),0),"")</f>
        <v/>
      </c>
      <c r="Z252" t="str">
        <f>IFERROR(ROUND(G252*VLOOKUP(F252,商品!$A$4:$B$60,2,FALSE),0),"")</f>
        <v/>
      </c>
      <c r="AA252" t="str">
        <f>IFERROR(ROUND(I252*VLOOKUP(H252,商品!$A$4:$B$60,2,FALSE),0),"")</f>
        <v/>
      </c>
      <c r="AB252" t="str">
        <f>IFERROR(ROUND(K252*VLOOKUP(J252,[1]note_pop_types!$A$16:$E$16,4,FALSE),0),"")</f>
        <v/>
      </c>
      <c r="AC252" t="str">
        <f>IFERROR(ROUND(M252*VLOOKUP(L252,[1]note_pop_types!$A$16:$E$16,4,FALSE),0),"")</f>
        <v/>
      </c>
      <c r="AD252" t="str">
        <f>IFERROR(ROUND(O252*VLOOKUP(N252,[1]note_pop_types!$A$16:$E$16,4,FALSE),0),"")</f>
        <v/>
      </c>
      <c r="AE252" t="str">
        <f>IFERROR(ROUND(Q252*VLOOKUP(P252,商品!$A$4:$B$60,2,FALSE),0),"")</f>
        <v/>
      </c>
      <c r="AF252" t="str">
        <f>IFERROR(ROUND(S252*VLOOKUP(R252,商品!$A$4:$B$60,2,FALSE),0),"")</f>
        <v/>
      </c>
    </row>
    <row r="253" spans="1:32" ht="19.05" customHeight="1" x14ac:dyDescent="0.25">
      <c r="A253" s="15" t="s">
        <v>514</v>
      </c>
      <c r="C253" s="15">
        <v>2</v>
      </c>
      <c r="T253" s="2">
        <f t="shared" si="12"/>
        <v>0</v>
      </c>
      <c r="U253" s="2">
        <f t="shared" si="13"/>
        <v>0</v>
      </c>
      <c r="V253" s="2">
        <f t="shared" si="14"/>
        <v>0</v>
      </c>
      <c r="W253" s="2">
        <f t="shared" si="15"/>
        <v>0</v>
      </c>
      <c r="Y253" t="str">
        <f>IFERROR(ROUND(E253*VLOOKUP(D253,商品!$A$4:$B$60,2,FALSE),0),"")</f>
        <v/>
      </c>
      <c r="Z253" t="str">
        <f>IFERROR(ROUND(G253*VLOOKUP(F253,商品!$A$4:$B$60,2,FALSE),0),"")</f>
        <v/>
      </c>
      <c r="AA253" t="str">
        <f>IFERROR(ROUND(I253*VLOOKUP(H253,商品!$A$4:$B$60,2,FALSE),0),"")</f>
        <v/>
      </c>
      <c r="AB253" t="str">
        <f>IFERROR(ROUND(K253*VLOOKUP(J253,[1]note_pop_types!$A$16:$E$16,4,FALSE),0),"")</f>
        <v/>
      </c>
      <c r="AC253" t="str">
        <f>IFERROR(ROUND(M253*VLOOKUP(L253,[1]note_pop_types!$A$16:$E$16,4,FALSE),0),"")</f>
        <v/>
      </c>
      <c r="AD253" t="str">
        <f>IFERROR(ROUND(O253*VLOOKUP(N253,[1]note_pop_types!$A$16:$E$16,4,FALSE),0),"")</f>
        <v/>
      </c>
      <c r="AE253" t="str">
        <f>IFERROR(ROUND(Q253*VLOOKUP(P253,商品!$A$4:$B$60,2,FALSE),0),"")</f>
        <v/>
      </c>
      <c r="AF253" t="str">
        <f>IFERROR(ROUND(S253*VLOOKUP(R253,商品!$A$4:$B$60,2,FALSE),0),"")</f>
        <v/>
      </c>
    </row>
    <row r="254" spans="1:32" ht="19.05" customHeight="1" x14ac:dyDescent="0.25">
      <c r="A254" s="15" t="s">
        <v>514</v>
      </c>
      <c r="C254" s="15">
        <v>3</v>
      </c>
      <c r="T254" s="2">
        <f t="shared" si="12"/>
        <v>0</v>
      </c>
      <c r="U254" s="2">
        <f t="shared" si="13"/>
        <v>0</v>
      </c>
      <c r="V254" s="2">
        <f t="shared" si="14"/>
        <v>0</v>
      </c>
      <c r="W254" s="2">
        <f t="shared" si="15"/>
        <v>0</v>
      </c>
      <c r="Y254" t="str">
        <f>IFERROR(ROUND(E254*VLOOKUP(D254,商品!$A$4:$B$60,2,FALSE),0),"")</f>
        <v/>
      </c>
      <c r="Z254" t="str">
        <f>IFERROR(ROUND(G254*VLOOKUP(F254,商品!$A$4:$B$60,2,FALSE),0),"")</f>
        <v/>
      </c>
      <c r="AA254" t="str">
        <f>IFERROR(ROUND(I254*VLOOKUP(H254,商品!$A$4:$B$60,2,FALSE),0),"")</f>
        <v/>
      </c>
      <c r="AB254" t="str">
        <f>IFERROR(ROUND(K254*VLOOKUP(J254,[1]note_pop_types!$A$16:$E$16,4,FALSE),0),"")</f>
        <v/>
      </c>
      <c r="AC254" t="str">
        <f>IFERROR(ROUND(M254*VLOOKUP(L254,[1]note_pop_types!$A$16:$E$16,4,FALSE),0),"")</f>
        <v/>
      </c>
      <c r="AD254" t="str">
        <f>IFERROR(ROUND(O254*VLOOKUP(N254,[1]note_pop_types!$A$16:$E$16,4,FALSE),0),"")</f>
        <v/>
      </c>
      <c r="AE254" t="str">
        <f>IFERROR(ROUND(Q254*VLOOKUP(P254,商品!$A$4:$B$60,2,FALSE),0),"")</f>
        <v/>
      </c>
      <c r="AF254" t="str">
        <f>IFERROR(ROUND(S254*VLOOKUP(R254,商品!$A$4:$B$60,2,FALSE),0),"")</f>
        <v/>
      </c>
    </row>
    <row r="255" spans="1:32" ht="19.05" customHeight="1" x14ac:dyDescent="0.25">
      <c r="A255" s="15" t="s">
        <v>514</v>
      </c>
      <c r="C255" s="15">
        <v>4</v>
      </c>
      <c r="T255" s="2">
        <f t="shared" si="12"/>
        <v>0</v>
      </c>
      <c r="U255" s="2">
        <f t="shared" si="13"/>
        <v>0</v>
      </c>
      <c r="V255" s="2">
        <f t="shared" si="14"/>
        <v>0</v>
      </c>
      <c r="W255" s="2">
        <f t="shared" si="15"/>
        <v>0</v>
      </c>
      <c r="Y255" t="str">
        <f>IFERROR(ROUND(E255*VLOOKUP(D255,商品!$A$4:$B$60,2,FALSE),0),"")</f>
        <v/>
      </c>
      <c r="Z255" t="str">
        <f>IFERROR(ROUND(G255*VLOOKUP(F255,商品!$A$4:$B$60,2,FALSE),0),"")</f>
        <v/>
      </c>
      <c r="AA255" t="str">
        <f>IFERROR(ROUND(I255*VLOOKUP(H255,商品!$A$4:$B$60,2,FALSE),0),"")</f>
        <v/>
      </c>
      <c r="AB255" t="str">
        <f>IFERROR(ROUND(K255*VLOOKUP(J255,[1]note_pop_types!$A$16:$E$16,4,FALSE),0),"")</f>
        <v/>
      </c>
      <c r="AC255" t="str">
        <f>IFERROR(ROUND(M255*VLOOKUP(L255,[1]note_pop_types!$A$16:$E$16,4,FALSE),0),"")</f>
        <v/>
      </c>
      <c r="AD255" t="str">
        <f>IFERROR(ROUND(O255*VLOOKUP(N255,[1]note_pop_types!$A$16:$E$16,4,FALSE),0),"")</f>
        <v/>
      </c>
      <c r="AE255" t="str">
        <f>IFERROR(ROUND(Q255*VLOOKUP(P255,商品!$A$4:$B$60,2,FALSE),0),"")</f>
        <v/>
      </c>
      <c r="AF255" t="str">
        <f>IFERROR(ROUND(S255*VLOOKUP(R255,商品!$A$4:$B$60,2,FALSE),0),"")</f>
        <v/>
      </c>
    </row>
    <row r="256" spans="1:32" ht="19.05" customHeight="1" x14ac:dyDescent="0.25">
      <c r="A256" s="15" t="s">
        <v>514</v>
      </c>
      <c r="C256" s="15">
        <v>5</v>
      </c>
      <c r="T256" s="2">
        <f t="shared" si="12"/>
        <v>0</v>
      </c>
      <c r="U256" s="2">
        <f t="shared" si="13"/>
        <v>0</v>
      </c>
      <c r="V256" s="2">
        <f t="shared" si="14"/>
        <v>0</v>
      </c>
      <c r="W256" s="2">
        <f t="shared" si="15"/>
        <v>0</v>
      </c>
      <c r="Y256" t="str">
        <f>IFERROR(ROUND(E256*VLOOKUP(D256,商品!$A$4:$B$60,2,FALSE),0),"")</f>
        <v/>
      </c>
      <c r="Z256" t="str">
        <f>IFERROR(ROUND(G256*VLOOKUP(F256,商品!$A$4:$B$60,2,FALSE),0),"")</f>
        <v/>
      </c>
      <c r="AA256" t="str">
        <f>IFERROR(ROUND(I256*VLOOKUP(H256,商品!$A$4:$B$60,2,FALSE),0),"")</f>
        <v/>
      </c>
      <c r="AB256" t="str">
        <f>IFERROR(ROUND(K256*VLOOKUP(J256,[1]note_pop_types!$A$16:$E$16,4,FALSE),0),"")</f>
        <v/>
      </c>
      <c r="AC256" t="str">
        <f>IFERROR(ROUND(M256*VLOOKUP(L256,[1]note_pop_types!$A$16:$E$16,4,FALSE),0),"")</f>
        <v/>
      </c>
      <c r="AD256" t="str">
        <f>IFERROR(ROUND(O256*VLOOKUP(N256,[1]note_pop_types!$A$16:$E$16,4,FALSE),0),"")</f>
        <v/>
      </c>
      <c r="AE256" t="str">
        <f>IFERROR(ROUND(Q256*VLOOKUP(P256,商品!$A$4:$B$60,2,FALSE),0),"")</f>
        <v/>
      </c>
      <c r="AF256" t="str">
        <f>IFERROR(ROUND(S256*VLOOKUP(R256,商品!$A$4:$B$60,2,FALSE),0),"")</f>
        <v/>
      </c>
    </row>
    <row r="257" spans="1:32" ht="19.05" customHeight="1" x14ac:dyDescent="0.25">
      <c r="A257" s="16" t="s">
        <v>514</v>
      </c>
      <c r="C257" s="16">
        <v>1</v>
      </c>
      <c r="T257" s="2">
        <f t="shared" si="12"/>
        <v>0</v>
      </c>
      <c r="U257" s="2">
        <f t="shared" si="13"/>
        <v>0</v>
      </c>
      <c r="V257" s="2">
        <f t="shared" si="14"/>
        <v>0</v>
      </c>
      <c r="W257" s="2">
        <f t="shared" si="15"/>
        <v>0</v>
      </c>
      <c r="Y257" t="str">
        <f>IFERROR(ROUND(E257*VLOOKUP(D257,商品!$A$4:$B$60,2,FALSE),0),"")</f>
        <v/>
      </c>
      <c r="Z257" t="str">
        <f>IFERROR(ROUND(G257*VLOOKUP(F257,商品!$A$4:$B$60,2,FALSE),0),"")</f>
        <v/>
      </c>
      <c r="AA257" t="str">
        <f>IFERROR(ROUND(I257*VLOOKUP(H257,商品!$A$4:$B$60,2,FALSE),0),"")</f>
        <v/>
      </c>
      <c r="AB257" t="str">
        <f>IFERROR(ROUND(K257*VLOOKUP(J257,[1]note_pop_types!$A$16:$E$16,4,FALSE),0),"")</f>
        <v/>
      </c>
      <c r="AC257" t="str">
        <f>IFERROR(ROUND(M257*VLOOKUP(L257,[1]note_pop_types!$A$16:$E$16,4,FALSE),0),"")</f>
        <v/>
      </c>
      <c r="AD257" t="str">
        <f>IFERROR(ROUND(O257*VLOOKUP(N257,[1]note_pop_types!$A$16:$E$16,4,FALSE),0),"")</f>
        <v/>
      </c>
      <c r="AE257" t="str">
        <f>IFERROR(ROUND(Q257*VLOOKUP(P257,商品!$A$4:$B$60,2,FALSE),0),"")</f>
        <v/>
      </c>
      <c r="AF257" t="str">
        <f>IFERROR(ROUND(S257*VLOOKUP(R257,商品!$A$4:$B$60,2,FALSE),0),"")</f>
        <v/>
      </c>
    </row>
    <row r="258" spans="1:32" ht="19.05" customHeight="1" x14ac:dyDescent="0.25">
      <c r="A258" s="16" t="s">
        <v>514</v>
      </c>
      <c r="C258" s="16">
        <v>2</v>
      </c>
      <c r="T258" s="2">
        <f t="shared" si="12"/>
        <v>0</v>
      </c>
      <c r="U258" s="2">
        <f t="shared" si="13"/>
        <v>0</v>
      </c>
      <c r="V258" s="2">
        <f t="shared" si="14"/>
        <v>0</v>
      </c>
      <c r="W258" s="2">
        <f t="shared" si="15"/>
        <v>0</v>
      </c>
      <c r="Y258" t="str">
        <f>IFERROR(ROUND(E258*VLOOKUP(D258,商品!$A$4:$B$60,2,FALSE),0),"")</f>
        <v/>
      </c>
      <c r="Z258" t="str">
        <f>IFERROR(ROUND(G258*VLOOKUP(F258,商品!$A$4:$B$60,2,FALSE),0),"")</f>
        <v/>
      </c>
      <c r="AA258" t="str">
        <f>IFERROR(ROUND(I258*VLOOKUP(H258,商品!$A$4:$B$60,2,FALSE),0),"")</f>
        <v/>
      </c>
      <c r="AB258" t="str">
        <f>IFERROR(ROUND(K258*VLOOKUP(J258,[1]note_pop_types!$A$16:$E$16,4,FALSE),0),"")</f>
        <v/>
      </c>
      <c r="AC258" t="str">
        <f>IFERROR(ROUND(M258*VLOOKUP(L258,[1]note_pop_types!$A$16:$E$16,4,FALSE),0),"")</f>
        <v/>
      </c>
      <c r="AD258" t="str">
        <f>IFERROR(ROUND(O258*VLOOKUP(N258,[1]note_pop_types!$A$16:$E$16,4,FALSE),0),"")</f>
        <v/>
      </c>
      <c r="AE258" t="str">
        <f>IFERROR(ROUND(Q258*VLOOKUP(P258,商品!$A$4:$B$60,2,FALSE),0),"")</f>
        <v/>
      </c>
      <c r="AF258" t="str">
        <f>IFERROR(ROUND(S258*VLOOKUP(R258,商品!$A$4:$B$60,2,FALSE),0),"")</f>
        <v/>
      </c>
    </row>
    <row r="259" spans="1:32" ht="19.05" customHeight="1" x14ac:dyDescent="0.25">
      <c r="A259" s="16" t="s">
        <v>514</v>
      </c>
      <c r="C259" s="16">
        <v>3</v>
      </c>
      <c r="T259" s="2">
        <f t="shared" si="12"/>
        <v>0</v>
      </c>
      <c r="U259" s="2">
        <f t="shared" si="13"/>
        <v>0</v>
      </c>
      <c r="V259" s="2">
        <f t="shared" si="14"/>
        <v>0</v>
      </c>
      <c r="W259" s="2">
        <f t="shared" si="15"/>
        <v>0</v>
      </c>
      <c r="Y259" t="str">
        <f>IFERROR(ROUND(E259*VLOOKUP(D259,商品!$A$4:$B$60,2,FALSE),0),"")</f>
        <v/>
      </c>
      <c r="Z259" t="str">
        <f>IFERROR(ROUND(G259*VLOOKUP(F259,商品!$A$4:$B$60,2,FALSE),0),"")</f>
        <v/>
      </c>
      <c r="AA259" t="str">
        <f>IFERROR(ROUND(I259*VLOOKUP(H259,商品!$A$4:$B$60,2,FALSE),0),"")</f>
        <v/>
      </c>
      <c r="AB259" t="str">
        <f>IFERROR(ROUND(K259*VLOOKUP(J259,[1]note_pop_types!$A$16:$E$16,4,FALSE),0),"")</f>
        <v/>
      </c>
      <c r="AC259" t="str">
        <f>IFERROR(ROUND(M259*VLOOKUP(L259,[1]note_pop_types!$A$16:$E$16,4,FALSE),0),"")</f>
        <v/>
      </c>
      <c r="AD259" t="str">
        <f>IFERROR(ROUND(O259*VLOOKUP(N259,[1]note_pop_types!$A$16:$E$16,4,FALSE),0),"")</f>
        <v/>
      </c>
      <c r="AE259" t="str">
        <f>IFERROR(ROUND(Q259*VLOOKUP(P259,商品!$A$4:$B$60,2,FALSE),0),"")</f>
        <v/>
      </c>
      <c r="AF259" t="str">
        <f>IFERROR(ROUND(S259*VLOOKUP(R259,商品!$A$4:$B$60,2,FALSE),0),"")</f>
        <v/>
      </c>
    </row>
    <row r="260" spans="1:32" ht="19.05" customHeight="1" x14ac:dyDescent="0.25">
      <c r="A260" s="16" t="s">
        <v>514</v>
      </c>
      <c r="C260" s="16">
        <v>4</v>
      </c>
      <c r="T260" s="2">
        <f t="shared" si="12"/>
        <v>0</v>
      </c>
      <c r="U260" s="2">
        <f t="shared" si="13"/>
        <v>0</v>
      </c>
      <c r="V260" s="2">
        <f t="shared" si="14"/>
        <v>0</v>
      </c>
      <c r="W260" s="2">
        <f t="shared" si="15"/>
        <v>0</v>
      </c>
      <c r="Y260" t="str">
        <f>IFERROR(ROUND(E260*VLOOKUP(D260,商品!$A$4:$B$60,2,FALSE),0),"")</f>
        <v/>
      </c>
      <c r="Z260" t="str">
        <f>IFERROR(ROUND(G260*VLOOKUP(F260,商品!$A$4:$B$60,2,FALSE),0),"")</f>
        <v/>
      </c>
      <c r="AA260" t="str">
        <f>IFERROR(ROUND(I260*VLOOKUP(H260,商品!$A$4:$B$60,2,FALSE),0),"")</f>
        <v/>
      </c>
      <c r="AB260" t="str">
        <f>IFERROR(ROUND(K260*VLOOKUP(J260,[1]note_pop_types!$A$16:$E$16,4,FALSE),0),"")</f>
        <v/>
      </c>
      <c r="AC260" t="str">
        <f>IFERROR(ROUND(M260*VLOOKUP(L260,[1]note_pop_types!$A$16:$E$16,4,FALSE),0),"")</f>
        <v/>
      </c>
      <c r="AD260" t="str">
        <f>IFERROR(ROUND(O260*VLOOKUP(N260,[1]note_pop_types!$A$16:$E$16,4,FALSE),0),"")</f>
        <v/>
      </c>
      <c r="AE260" t="str">
        <f>IFERROR(ROUND(Q260*VLOOKUP(P260,商品!$A$4:$B$60,2,FALSE),0),"")</f>
        <v/>
      </c>
      <c r="AF260" t="str">
        <f>IFERROR(ROUND(S260*VLOOKUP(R260,商品!$A$4:$B$60,2,FALSE),0),"")</f>
        <v/>
      </c>
    </row>
    <row r="261" spans="1:32" ht="19.05" customHeight="1" x14ac:dyDescent="0.25">
      <c r="A261" s="16" t="s">
        <v>514</v>
      </c>
      <c r="C261" s="16">
        <v>5</v>
      </c>
      <c r="T261" s="2">
        <f t="shared" si="12"/>
        <v>0</v>
      </c>
      <c r="U261" s="2">
        <f t="shared" si="13"/>
        <v>0</v>
      </c>
      <c r="V261" s="2">
        <f t="shared" si="14"/>
        <v>0</v>
      </c>
      <c r="W261" s="2">
        <f t="shared" si="15"/>
        <v>0</v>
      </c>
      <c r="Y261" t="str">
        <f>IFERROR(ROUND(E261*VLOOKUP(D261,商品!$A$4:$B$60,2,FALSE),0),"")</f>
        <v/>
      </c>
      <c r="Z261" t="str">
        <f>IFERROR(ROUND(G261*VLOOKUP(F261,商品!$A$4:$B$60,2,FALSE),0),"")</f>
        <v/>
      </c>
      <c r="AA261" t="str">
        <f>IFERROR(ROUND(I261*VLOOKUP(H261,商品!$A$4:$B$60,2,FALSE),0),"")</f>
        <v/>
      </c>
      <c r="AB261" t="str">
        <f>IFERROR(ROUND(K261*VLOOKUP(J261,[1]note_pop_types!$A$16:$E$16,4,FALSE),0),"")</f>
        <v/>
      </c>
      <c r="AC261" t="str">
        <f>IFERROR(ROUND(M261*VLOOKUP(L261,[1]note_pop_types!$A$16:$E$16,4,FALSE),0),"")</f>
        <v/>
      </c>
      <c r="AD261" t="str">
        <f>IFERROR(ROUND(O261*VLOOKUP(N261,[1]note_pop_types!$A$16:$E$16,4,FALSE),0),"")</f>
        <v/>
      </c>
      <c r="AE261" t="str">
        <f>IFERROR(ROUND(Q261*VLOOKUP(P261,商品!$A$4:$B$60,2,FALSE),0),"")</f>
        <v/>
      </c>
      <c r="AF261" t="str">
        <f>IFERROR(ROUND(S261*VLOOKUP(R261,商品!$A$4:$B$60,2,FALSE),0),"")</f>
        <v/>
      </c>
    </row>
    <row r="262" spans="1:32" ht="19.05" customHeight="1" x14ac:dyDescent="0.25">
      <c r="A262" s="15" t="s">
        <v>231</v>
      </c>
      <c r="C262" s="15">
        <v>1</v>
      </c>
      <c r="T262" s="2">
        <f t="shared" ref="T262:T325" si="16">SUM(Y262:AA262)</f>
        <v>0</v>
      </c>
      <c r="U262" s="2">
        <f t="shared" ref="U262:U325" si="17">SUM(AB262:AC262)</f>
        <v>0</v>
      </c>
      <c r="V262" s="2">
        <f t="shared" ref="V262:V325" si="18">SUM(AE262:AF262)</f>
        <v>0</v>
      </c>
      <c r="W262" s="2">
        <f t="shared" ref="W262:W325" si="19">V262-T262-U262</f>
        <v>0</v>
      </c>
      <c r="Y262" t="str">
        <f>IFERROR(ROUND(E262*VLOOKUP(D262,商品!$A$4:$B$60,2,FALSE),0),"")</f>
        <v/>
      </c>
      <c r="Z262" t="str">
        <f>IFERROR(ROUND(G262*VLOOKUP(F262,商品!$A$4:$B$60,2,FALSE),0),"")</f>
        <v/>
      </c>
      <c r="AA262" t="str">
        <f>IFERROR(ROUND(I262*VLOOKUP(H262,商品!$A$4:$B$60,2,FALSE),0),"")</f>
        <v/>
      </c>
      <c r="AB262" t="str">
        <f>IFERROR(ROUND(K262*VLOOKUP(J262,[1]note_pop_types!$A$16:$E$16,4,FALSE),0),"")</f>
        <v/>
      </c>
      <c r="AC262" t="str">
        <f>IFERROR(ROUND(M262*VLOOKUP(L262,[1]note_pop_types!$A$16:$E$16,4,FALSE),0),"")</f>
        <v/>
      </c>
      <c r="AD262" t="str">
        <f>IFERROR(ROUND(O262*VLOOKUP(N262,[1]note_pop_types!$A$16:$E$16,4,FALSE),0),"")</f>
        <v/>
      </c>
      <c r="AE262" t="str">
        <f>IFERROR(ROUND(Q262*VLOOKUP(P262,商品!$A$4:$B$60,2,FALSE),0),"")</f>
        <v/>
      </c>
      <c r="AF262" t="str">
        <f>IFERROR(ROUND(S262*VLOOKUP(R262,商品!$A$4:$B$60,2,FALSE),0),"")</f>
        <v/>
      </c>
    </row>
    <row r="263" spans="1:32" ht="19.05" customHeight="1" x14ac:dyDescent="0.25">
      <c r="A263" s="15" t="s">
        <v>231</v>
      </c>
      <c r="C263" s="15">
        <v>2</v>
      </c>
      <c r="T263" s="2">
        <f t="shared" si="16"/>
        <v>0</v>
      </c>
      <c r="U263" s="2">
        <f t="shared" si="17"/>
        <v>0</v>
      </c>
      <c r="V263" s="2">
        <f t="shared" si="18"/>
        <v>0</v>
      </c>
      <c r="W263" s="2">
        <f t="shared" si="19"/>
        <v>0</v>
      </c>
      <c r="Y263" t="str">
        <f>IFERROR(ROUND(E263*VLOOKUP(D263,商品!$A$4:$B$60,2,FALSE),0),"")</f>
        <v/>
      </c>
      <c r="Z263" t="str">
        <f>IFERROR(ROUND(G263*VLOOKUP(F263,商品!$A$4:$B$60,2,FALSE),0),"")</f>
        <v/>
      </c>
      <c r="AA263" t="str">
        <f>IFERROR(ROUND(I263*VLOOKUP(H263,商品!$A$4:$B$60,2,FALSE),0),"")</f>
        <v/>
      </c>
      <c r="AB263" t="str">
        <f>IFERROR(ROUND(K263*VLOOKUP(J263,[1]note_pop_types!$A$16:$E$16,4,FALSE),0),"")</f>
        <v/>
      </c>
      <c r="AC263" t="str">
        <f>IFERROR(ROUND(M263*VLOOKUP(L263,[1]note_pop_types!$A$16:$E$16,4,FALSE),0),"")</f>
        <v/>
      </c>
      <c r="AD263" t="str">
        <f>IFERROR(ROUND(O263*VLOOKUP(N263,[1]note_pop_types!$A$16:$E$16,4,FALSE),0),"")</f>
        <v/>
      </c>
      <c r="AE263" t="str">
        <f>IFERROR(ROUND(Q263*VLOOKUP(P263,商品!$A$4:$B$60,2,FALSE),0),"")</f>
        <v/>
      </c>
      <c r="AF263" t="str">
        <f>IFERROR(ROUND(S263*VLOOKUP(R263,商品!$A$4:$B$60,2,FALSE),0),"")</f>
        <v/>
      </c>
    </row>
    <row r="264" spans="1:32" ht="19.05" customHeight="1" x14ac:dyDescent="0.25">
      <c r="A264" s="15" t="s">
        <v>231</v>
      </c>
      <c r="C264" s="15">
        <v>3</v>
      </c>
      <c r="T264" s="2">
        <f t="shared" si="16"/>
        <v>0</v>
      </c>
      <c r="U264" s="2">
        <f t="shared" si="17"/>
        <v>0</v>
      </c>
      <c r="V264" s="2">
        <f t="shared" si="18"/>
        <v>0</v>
      </c>
      <c r="W264" s="2">
        <f t="shared" si="19"/>
        <v>0</v>
      </c>
      <c r="Y264" t="str">
        <f>IFERROR(ROUND(E264*VLOOKUP(D264,商品!$A$4:$B$60,2,FALSE),0),"")</f>
        <v/>
      </c>
      <c r="Z264" t="str">
        <f>IFERROR(ROUND(G264*VLOOKUP(F264,商品!$A$4:$B$60,2,FALSE),0),"")</f>
        <v/>
      </c>
      <c r="AA264" t="str">
        <f>IFERROR(ROUND(I264*VLOOKUP(H264,商品!$A$4:$B$60,2,FALSE),0),"")</f>
        <v/>
      </c>
      <c r="AB264" t="str">
        <f>IFERROR(ROUND(K264*VLOOKUP(J264,[1]note_pop_types!$A$16:$E$16,4,FALSE),0),"")</f>
        <v/>
      </c>
      <c r="AC264" t="str">
        <f>IFERROR(ROUND(M264*VLOOKUP(L264,[1]note_pop_types!$A$16:$E$16,4,FALSE),0),"")</f>
        <v/>
      </c>
      <c r="AD264" t="str">
        <f>IFERROR(ROUND(O264*VLOOKUP(N264,[1]note_pop_types!$A$16:$E$16,4,FALSE),0),"")</f>
        <v/>
      </c>
      <c r="AE264" t="str">
        <f>IFERROR(ROUND(Q264*VLOOKUP(P264,商品!$A$4:$B$60,2,FALSE),0),"")</f>
        <v/>
      </c>
      <c r="AF264" t="str">
        <f>IFERROR(ROUND(S264*VLOOKUP(R264,商品!$A$4:$B$60,2,FALSE),0),"")</f>
        <v/>
      </c>
    </row>
    <row r="265" spans="1:32" ht="19.05" customHeight="1" x14ac:dyDescent="0.25">
      <c r="A265" s="15" t="s">
        <v>231</v>
      </c>
      <c r="C265" s="15">
        <v>4</v>
      </c>
      <c r="T265" s="2">
        <f t="shared" si="16"/>
        <v>0</v>
      </c>
      <c r="U265" s="2">
        <f t="shared" si="17"/>
        <v>0</v>
      </c>
      <c r="V265" s="2">
        <f t="shared" si="18"/>
        <v>0</v>
      </c>
      <c r="W265" s="2">
        <f t="shared" si="19"/>
        <v>0</v>
      </c>
      <c r="Y265" t="str">
        <f>IFERROR(ROUND(E265*VLOOKUP(D265,商品!$A$4:$B$60,2,FALSE),0),"")</f>
        <v/>
      </c>
      <c r="Z265" t="str">
        <f>IFERROR(ROUND(G265*VLOOKUP(F265,商品!$A$4:$B$60,2,FALSE),0),"")</f>
        <v/>
      </c>
      <c r="AA265" t="str">
        <f>IFERROR(ROUND(I265*VLOOKUP(H265,商品!$A$4:$B$60,2,FALSE),0),"")</f>
        <v/>
      </c>
      <c r="AB265" t="str">
        <f>IFERROR(ROUND(K265*VLOOKUP(J265,[1]note_pop_types!$A$16:$E$16,4,FALSE),0),"")</f>
        <v/>
      </c>
      <c r="AC265" t="str">
        <f>IFERROR(ROUND(M265*VLOOKUP(L265,[1]note_pop_types!$A$16:$E$16,4,FALSE),0),"")</f>
        <v/>
      </c>
      <c r="AD265" t="str">
        <f>IFERROR(ROUND(O265*VLOOKUP(N265,[1]note_pop_types!$A$16:$E$16,4,FALSE),0),"")</f>
        <v/>
      </c>
      <c r="AE265" t="str">
        <f>IFERROR(ROUND(Q265*VLOOKUP(P265,商品!$A$4:$B$60,2,FALSE),0),"")</f>
        <v/>
      </c>
      <c r="AF265" t="str">
        <f>IFERROR(ROUND(S265*VLOOKUP(R265,商品!$A$4:$B$60,2,FALSE),0),"")</f>
        <v/>
      </c>
    </row>
    <row r="266" spans="1:32" ht="19.05" customHeight="1" x14ac:dyDescent="0.25">
      <c r="A266" s="15" t="s">
        <v>231</v>
      </c>
      <c r="C266" s="15">
        <v>5</v>
      </c>
      <c r="T266" s="2">
        <f t="shared" si="16"/>
        <v>0</v>
      </c>
      <c r="U266" s="2">
        <f t="shared" si="17"/>
        <v>0</v>
      </c>
      <c r="V266" s="2">
        <f t="shared" si="18"/>
        <v>0</v>
      </c>
      <c r="W266" s="2">
        <f t="shared" si="19"/>
        <v>0</v>
      </c>
      <c r="Y266" t="str">
        <f>IFERROR(ROUND(E266*VLOOKUP(D266,商品!$A$4:$B$60,2,FALSE),0),"")</f>
        <v/>
      </c>
      <c r="Z266" t="str">
        <f>IFERROR(ROUND(G266*VLOOKUP(F266,商品!$A$4:$B$60,2,FALSE),0),"")</f>
        <v/>
      </c>
      <c r="AA266" t="str">
        <f>IFERROR(ROUND(I266*VLOOKUP(H266,商品!$A$4:$B$60,2,FALSE),0),"")</f>
        <v/>
      </c>
      <c r="AB266" t="str">
        <f>IFERROR(ROUND(K266*VLOOKUP(J266,[1]note_pop_types!$A$16:$E$16,4,FALSE),0),"")</f>
        <v/>
      </c>
      <c r="AC266" t="str">
        <f>IFERROR(ROUND(M266*VLOOKUP(L266,[1]note_pop_types!$A$16:$E$16,4,FALSE),0),"")</f>
        <v/>
      </c>
      <c r="AD266" t="str">
        <f>IFERROR(ROUND(O266*VLOOKUP(N266,[1]note_pop_types!$A$16:$E$16,4,FALSE),0),"")</f>
        <v/>
      </c>
      <c r="AE266" t="str">
        <f>IFERROR(ROUND(Q266*VLOOKUP(P266,商品!$A$4:$B$60,2,FALSE),0),"")</f>
        <v/>
      </c>
      <c r="AF266" t="str">
        <f>IFERROR(ROUND(S266*VLOOKUP(R266,商品!$A$4:$B$60,2,FALSE),0),"")</f>
        <v/>
      </c>
    </row>
    <row r="267" spans="1:32" ht="19.05" customHeight="1" x14ac:dyDescent="0.25">
      <c r="A267" s="15" t="s">
        <v>231</v>
      </c>
      <c r="C267" s="15">
        <v>6</v>
      </c>
      <c r="T267" s="2">
        <f t="shared" si="16"/>
        <v>0</v>
      </c>
      <c r="U267" s="2">
        <f t="shared" si="17"/>
        <v>0</v>
      </c>
      <c r="V267" s="2">
        <f t="shared" si="18"/>
        <v>0</v>
      </c>
      <c r="W267" s="2">
        <f t="shared" si="19"/>
        <v>0</v>
      </c>
      <c r="Y267" t="str">
        <f>IFERROR(ROUND(E267*VLOOKUP(D267,商品!$A$4:$B$60,2,FALSE),0),"")</f>
        <v/>
      </c>
      <c r="Z267" t="str">
        <f>IFERROR(ROUND(G267*VLOOKUP(F267,商品!$A$4:$B$60,2,FALSE),0),"")</f>
        <v/>
      </c>
      <c r="AA267" t="str">
        <f>IFERROR(ROUND(I267*VLOOKUP(H267,商品!$A$4:$B$60,2,FALSE),0),"")</f>
        <v/>
      </c>
      <c r="AB267" t="str">
        <f>IFERROR(ROUND(K267*VLOOKUP(J267,[1]note_pop_types!$A$16:$E$16,4,FALSE),0),"")</f>
        <v/>
      </c>
      <c r="AC267" t="str">
        <f>IFERROR(ROUND(M267*VLOOKUP(L267,[1]note_pop_types!$A$16:$E$16,4,FALSE),0),"")</f>
        <v/>
      </c>
      <c r="AD267" t="str">
        <f>IFERROR(ROUND(O267*VLOOKUP(N267,[1]note_pop_types!$A$16:$E$16,4,FALSE),0),"")</f>
        <v/>
      </c>
      <c r="AE267" t="str">
        <f>IFERROR(ROUND(Q267*VLOOKUP(P267,商品!$A$4:$B$60,2,FALSE),0),"")</f>
        <v/>
      </c>
      <c r="AF267" t="str">
        <f>IFERROR(ROUND(S267*VLOOKUP(R267,商品!$A$4:$B$60,2,FALSE),0),"")</f>
        <v/>
      </c>
    </row>
    <row r="268" spans="1:32" ht="19.05" customHeight="1" x14ac:dyDescent="0.25">
      <c r="A268" s="15" t="s">
        <v>231</v>
      </c>
      <c r="C268" s="15">
        <v>7</v>
      </c>
      <c r="T268" s="2">
        <f t="shared" si="16"/>
        <v>0</v>
      </c>
      <c r="U268" s="2">
        <f t="shared" si="17"/>
        <v>0</v>
      </c>
      <c r="V268" s="2">
        <f t="shared" si="18"/>
        <v>0</v>
      </c>
      <c r="W268" s="2">
        <f t="shared" si="19"/>
        <v>0</v>
      </c>
      <c r="Y268" t="str">
        <f>IFERROR(ROUND(E268*VLOOKUP(D268,商品!$A$4:$B$60,2,FALSE),0),"")</f>
        <v/>
      </c>
      <c r="Z268" t="str">
        <f>IFERROR(ROUND(G268*VLOOKUP(F268,商品!$A$4:$B$60,2,FALSE),0),"")</f>
        <v/>
      </c>
      <c r="AA268" t="str">
        <f>IFERROR(ROUND(I268*VLOOKUP(H268,商品!$A$4:$B$60,2,FALSE),0),"")</f>
        <v/>
      </c>
      <c r="AB268" t="str">
        <f>IFERROR(ROUND(K268*VLOOKUP(J268,[1]note_pop_types!$A$16:$E$16,4,FALSE),0),"")</f>
        <v/>
      </c>
      <c r="AC268" t="str">
        <f>IFERROR(ROUND(M268*VLOOKUP(L268,[1]note_pop_types!$A$16:$E$16,4,FALSE),0),"")</f>
        <v/>
      </c>
      <c r="AD268" t="str">
        <f>IFERROR(ROUND(O268*VLOOKUP(N268,[1]note_pop_types!$A$16:$E$16,4,FALSE),0),"")</f>
        <v/>
      </c>
      <c r="AE268" t="str">
        <f>IFERROR(ROUND(Q268*VLOOKUP(P268,商品!$A$4:$B$60,2,FALSE),0),"")</f>
        <v/>
      </c>
      <c r="AF268" t="str">
        <f>IFERROR(ROUND(S268*VLOOKUP(R268,商品!$A$4:$B$60,2,FALSE),0),"")</f>
        <v/>
      </c>
    </row>
    <row r="269" spans="1:32" ht="19.05" customHeight="1" x14ac:dyDescent="0.25">
      <c r="A269" s="15" t="s">
        <v>231</v>
      </c>
      <c r="C269" s="15">
        <v>8</v>
      </c>
      <c r="T269" s="2">
        <f t="shared" si="16"/>
        <v>0</v>
      </c>
      <c r="U269" s="2">
        <f t="shared" si="17"/>
        <v>0</v>
      </c>
      <c r="V269" s="2">
        <f t="shared" si="18"/>
        <v>0</v>
      </c>
      <c r="W269" s="2">
        <f t="shared" si="19"/>
        <v>0</v>
      </c>
      <c r="Y269" t="str">
        <f>IFERROR(ROUND(E269*VLOOKUP(D269,商品!$A$4:$B$60,2,FALSE),0),"")</f>
        <v/>
      </c>
      <c r="Z269" t="str">
        <f>IFERROR(ROUND(G269*VLOOKUP(F269,商品!$A$4:$B$60,2,FALSE),0),"")</f>
        <v/>
      </c>
      <c r="AA269" t="str">
        <f>IFERROR(ROUND(I269*VLOOKUP(H269,商品!$A$4:$B$60,2,FALSE),0),"")</f>
        <v/>
      </c>
      <c r="AB269" t="str">
        <f>IFERROR(ROUND(K269*VLOOKUP(J269,[1]note_pop_types!$A$16:$E$16,4,FALSE),0),"")</f>
        <v/>
      </c>
      <c r="AC269" t="str">
        <f>IFERROR(ROUND(M269*VLOOKUP(L269,[1]note_pop_types!$A$16:$E$16,4,FALSE),0),"")</f>
        <v/>
      </c>
      <c r="AD269" t="str">
        <f>IFERROR(ROUND(O269*VLOOKUP(N269,[1]note_pop_types!$A$16:$E$16,4,FALSE),0),"")</f>
        <v/>
      </c>
      <c r="AE269" t="str">
        <f>IFERROR(ROUND(Q269*VLOOKUP(P269,商品!$A$4:$B$60,2,FALSE),0),"")</f>
        <v/>
      </c>
      <c r="AF269" t="str">
        <f>IFERROR(ROUND(S269*VLOOKUP(R269,商品!$A$4:$B$60,2,FALSE),0),"")</f>
        <v/>
      </c>
    </row>
    <row r="270" spans="1:32" ht="19.05" customHeight="1" x14ac:dyDescent="0.25">
      <c r="A270" s="16" t="s">
        <v>233</v>
      </c>
      <c r="C270" s="16">
        <v>1</v>
      </c>
      <c r="T270" s="2">
        <f t="shared" si="16"/>
        <v>0</v>
      </c>
      <c r="U270" s="2">
        <f t="shared" si="17"/>
        <v>0</v>
      </c>
      <c r="V270" s="2">
        <f t="shared" si="18"/>
        <v>0</v>
      </c>
      <c r="W270" s="2">
        <f t="shared" si="19"/>
        <v>0</v>
      </c>
      <c r="Y270" t="str">
        <f>IFERROR(ROUND(E270*VLOOKUP(D270,商品!$A$4:$B$60,2,FALSE),0),"")</f>
        <v/>
      </c>
      <c r="Z270" t="str">
        <f>IFERROR(ROUND(G270*VLOOKUP(F270,商品!$A$4:$B$60,2,FALSE),0),"")</f>
        <v/>
      </c>
      <c r="AA270" t="str">
        <f>IFERROR(ROUND(I270*VLOOKUP(H270,商品!$A$4:$B$60,2,FALSE),0),"")</f>
        <v/>
      </c>
      <c r="AB270" t="str">
        <f>IFERROR(ROUND(K270*VLOOKUP(J270,[1]note_pop_types!$A$16:$E$16,4,FALSE),0),"")</f>
        <v/>
      </c>
      <c r="AC270" t="str">
        <f>IFERROR(ROUND(M270*VLOOKUP(L270,[1]note_pop_types!$A$16:$E$16,4,FALSE),0),"")</f>
        <v/>
      </c>
      <c r="AD270" t="str">
        <f>IFERROR(ROUND(O270*VLOOKUP(N270,[1]note_pop_types!$A$16:$E$16,4,FALSE),0),"")</f>
        <v/>
      </c>
      <c r="AE270" t="str">
        <f>IFERROR(ROUND(Q270*VLOOKUP(P270,商品!$A$4:$B$60,2,FALSE),0),"")</f>
        <v/>
      </c>
      <c r="AF270" t="str">
        <f>IFERROR(ROUND(S270*VLOOKUP(R270,商品!$A$4:$B$60,2,FALSE),0),"")</f>
        <v/>
      </c>
    </row>
    <row r="271" spans="1:32" ht="19.05" customHeight="1" x14ac:dyDescent="0.25">
      <c r="A271" s="16" t="s">
        <v>233</v>
      </c>
      <c r="C271" s="16">
        <v>2</v>
      </c>
      <c r="T271" s="2">
        <f t="shared" si="16"/>
        <v>0</v>
      </c>
      <c r="U271" s="2">
        <f t="shared" si="17"/>
        <v>0</v>
      </c>
      <c r="V271" s="2">
        <f t="shared" si="18"/>
        <v>0</v>
      </c>
      <c r="W271" s="2">
        <f t="shared" si="19"/>
        <v>0</v>
      </c>
      <c r="Y271" t="str">
        <f>IFERROR(ROUND(E271*VLOOKUP(D271,商品!$A$4:$B$60,2,FALSE),0),"")</f>
        <v/>
      </c>
      <c r="Z271" t="str">
        <f>IFERROR(ROUND(G271*VLOOKUP(F271,商品!$A$4:$B$60,2,FALSE),0),"")</f>
        <v/>
      </c>
      <c r="AA271" t="str">
        <f>IFERROR(ROUND(I271*VLOOKUP(H271,商品!$A$4:$B$60,2,FALSE),0),"")</f>
        <v/>
      </c>
      <c r="AB271" t="str">
        <f>IFERROR(ROUND(K271*VLOOKUP(J271,[1]note_pop_types!$A$16:$E$16,4,FALSE),0),"")</f>
        <v/>
      </c>
      <c r="AC271" t="str">
        <f>IFERROR(ROUND(M271*VLOOKUP(L271,[1]note_pop_types!$A$16:$E$16,4,FALSE),0),"")</f>
        <v/>
      </c>
      <c r="AD271" t="str">
        <f>IFERROR(ROUND(O271*VLOOKUP(N271,[1]note_pop_types!$A$16:$E$16,4,FALSE),0),"")</f>
        <v/>
      </c>
      <c r="AE271" t="str">
        <f>IFERROR(ROUND(Q271*VLOOKUP(P271,商品!$A$4:$B$60,2,FALSE),0),"")</f>
        <v/>
      </c>
      <c r="AF271" t="str">
        <f>IFERROR(ROUND(S271*VLOOKUP(R271,商品!$A$4:$B$60,2,FALSE),0),"")</f>
        <v/>
      </c>
    </row>
    <row r="272" spans="1:32" ht="19.05" customHeight="1" x14ac:dyDescent="0.25">
      <c r="A272" s="16" t="s">
        <v>233</v>
      </c>
      <c r="C272" s="16">
        <v>3</v>
      </c>
      <c r="T272" s="2">
        <f t="shared" si="16"/>
        <v>0</v>
      </c>
      <c r="U272" s="2">
        <f t="shared" si="17"/>
        <v>0</v>
      </c>
      <c r="V272" s="2">
        <f t="shared" si="18"/>
        <v>0</v>
      </c>
      <c r="W272" s="2">
        <f t="shared" si="19"/>
        <v>0</v>
      </c>
      <c r="Y272" t="str">
        <f>IFERROR(ROUND(E272*VLOOKUP(D272,商品!$A$4:$B$60,2,FALSE),0),"")</f>
        <v/>
      </c>
      <c r="Z272" t="str">
        <f>IFERROR(ROUND(G272*VLOOKUP(F272,商品!$A$4:$B$60,2,FALSE),0),"")</f>
        <v/>
      </c>
      <c r="AA272" t="str">
        <f>IFERROR(ROUND(I272*VLOOKUP(H272,商品!$A$4:$B$60,2,FALSE),0),"")</f>
        <v/>
      </c>
      <c r="AB272" t="str">
        <f>IFERROR(ROUND(K272*VLOOKUP(J272,[1]note_pop_types!$A$16:$E$16,4,FALSE),0),"")</f>
        <v/>
      </c>
      <c r="AC272" t="str">
        <f>IFERROR(ROUND(M272*VLOOKUP(L272,[1]note_pop_types!$A$16:$E$16,4,FALSE),0),"")</f>
        <v/>
      </c>
      <c r="AD272" t="str">
        <f>IFERROR(ROUND(O272*VLOOKUP(N272,[1]note_pop_types!$A$16:$E$16,4,FALSE),0),"")</f>
        <v/>
      </c>
      <c r="AE272" t="str">
        <f>IFERROR(ROUND(Q272*VLOOKUP(P272,商品!$A$4:$B$60,2,FALSE),0),"")</f>
        <v/>
      </c>
      <c r="AF272" t="str">
        <f>IFERROR(ROUND(S272*VLOOKUP(R272,商品!$A$4:$B$60,2,FALSE),0),"")</f>
        <v/>
      </c>
    </row>
    <row r="273" spans="1:32" ht="19.05" customHeight="1" x14ac:dyDescent="0.25">
      <c r="A273" s="16" t="s">
        <v>233</v>
      </c>
      <c r="C273" s="16">
        <v>4</v>
      </c>
      <c r="T273" s="2">
        <f t="shared" si="16"/>
        <v>0</v>
      </c>
      <c r="U273" s="2">
        <f t="shared" si="17"/>
        <v>0</v>
      </c>
      <c r="V273" s="2">
        <f t="shared" si="18"/>
        <v>0</v>
      </c>
      <c r="W273" s="2">
        <f t="shared" si="19"/>
        <v>0</v>
      </c>
      <c r="Y273" t="str">
        <f>IFERROR(ROUND(E273*VLOOKUP(D273,商品!$A$4:$B$60,2,FALSE),0),"")</f>
        <v/>
      </c>
      <c r="Z273" t="str">
        <f>IFERROR(ROUND(G273*VLOOKUP(F273,商品!$A$4:$B$60,2,FALSE),0),"")</f>
        <v/>
      </c>
      <c r="AA273" t="str">
        <f>IFERROR(ROUND(I273*VLOOKUP(H273,商品!$A$4:$B$60,2,FALSE),0),"")</f>
        <v/>
      </c>
      <c r="AB273" t="str">
        <f>IFERROR(ROUND(K273*VLOOKUP(J273,[1]note_pop_types!$A$16:$E$16,4,FALSE),0),"")</f>
        <v/>
      </c>
      <c r="AC273" t="str">
        <f>IFERROR(ROUND(M273*VLOOKUP(L273,[1]note_pop_types!$A$16:$E$16,4,FALSE),0),"")</f>
        <v/>
      </c>
      <c r="AD273" t="str">
        <f>IFERROR(ROUND(O273*VLOOKUP(N273,[1]note_pop_types!$A$16:$E$16,4,FALSE),0),"")</f>
        <v/>
      </c>
      <c r="AE273" t="str">
        <f>IFERROR(ROUND(Q273*VLOOKUP(P273,商品!$A$4:$B$60,2,FALSE),0),"")</f>
        <v/>
      </c>
      <c r="AF273" t="str">
        <f>IFERROR(ROUND(S273*VLOOKUP(R273,商品!$A$4:$B$60,2,FALSE),0),"")</f>
        <v/>
      </c>
    </row>
    <row r="274" spans="1:32" ht="19.05" customHeight="1" x14ac:dyDescent="0.25">
      <c r="A274" s="16" t="s">
        <v>233</v>
      </c>
      <c r="C274" s="16">
        <v>5</v>
      </c>
      <c r="T274" s="2">
        <f t="shared" si="16"/>
        <v>0</v>
      </c>
      <c r="U274" s="2">
        <f t="shared" si="17"/>
        <v>0</v>
      </c>
      <c r="V274" s="2">
        <f t="shared" si="18"/>
        <v>0</v>
      </c>
      <c r="W274" s="2">
        <f t="shared" si="19"/>
        <v>0</v>
      </c>
      <c r="Y274" t="str">
        <f>IFERROR(ROUND(E274*VLOOKUP(D274,商品!$A$4:$B$60,2,FALSE),0),"")</f>
        <v/>
      </c>
      <c r="Z274" t="str">
        <f>IFERROR(ROUND(G274*VLOOKUP(F274,商品!$A$4:$B$60,2,FALSE),0),"")</f>
        <v/>
      </c>
      <c r="AA274" t="str">
        <f>IFERROR(ROUND(I274*VLOOKUP(H274,商品!$A$4:$B$60,2,FALSE),0),"")</f>
        <v/>
      </c>
      <c r="AB274" t="str">
        <f>IFERROR(ROUND(K274*VLOOKUP(J274,[1]note_pop_types!$A$16:$E$16,4,FALSE),0),"")</f>
        <v/>
      </c>
      <c r="AC274" t="str">
        <f>IFERROR(ROUND(M274*VLOOKUP(L274,[1]note_pop_types!$A$16:$E$16,4,FALSE),0),"")</f>
        <v/>
      </c>
      <c r="AD274" t="str">
        <f>IFERROR(ROUND(O274*VLOOKUP(N274,[1]note_pop_types!$A$16:$E$16,4,FALSE),0),"")</f>
        <v/>
      </c>
      <c r="AE274" t="str">
        <f>IFERROR(ROUND(Q274*VLOOKUP(P274,商品!$A$4:$B$60,2,FALSE),0),"")</f>
        <v/>
      </c>
      <c r="AF274" t="str">
        <f>IFERROR(ROUND(S274*VLOOKUP(R274,商品!$A$4:$B$60,2,FALSE),0),"")</f>
        <v/>
      </c>
    </row>
    <row r="275" spans="1:32" ht="19.05" customHeight="1" x14ac:dyDescent="0.25">
      <c r="A275" s="15" t="s">
        <v>234</v>
      </c>
      <c r="C275" s="15">
        <v>1</v>
      </c>
      <c r="T275" s="2">
        <f t="shared" si="16"/>
        <v>0</v>
      </c>
      <c r="U275" s="2">
        <f t="shared" si="17"/>
        <v>0</v>
      </c>
      <c r="V275" s="2">
        <f t="shared" si="18"/>
        <v>0</v>
      </c>
      <c r="W275" s="2">
        <f t="shared" si="19"/>
        <v>0</v>
      </c>
      <c r="Y275" t="str">
        <f>IFERROR(ROUND(E275*VLOOKUP(D275,商品!$A$4:$B$60,2,FALSE),0),"")</f>
        <v/>
      </c>
      <c r="Z275" t="str">
        <f>IFERROR(ROUND(G275*VLOOKUP(F275,商品!$A$4:$B$60,2,FALSE),0),"")</f>
        <v/>
      </c>
      <c r="AA275" t="str">
        <f>IFERROR(ROUND(I275*VLOOKUP(H275,商品!$A$4:$B$60,2,FALSE),0),"")</f>
        <v/>
      </c>
      <c r="AB275" t="str">
        <f>IFERROR(ROUND(K275*VLOOKUP(J275,[1]note_pop_types!$A$16:$E$16,4,FALSE),0),"")</f>
        <v/>
      </c>
      <c r="AC275" t="str">
        <f>IFERROR(ROUND(M275*VLOOKUP(L275,[1]note_pop_types!$A$16:$E$16,4,FALSE),0),"")</f>
        <v/>
      </c>
      <c r="AD275" t="str">
        <f>IFERROR(ROUND(O275*VLOOKUP(N275,[1]note_pop_types!$A$16:$E$16,4,FALSE),0),"")</f>
        <v/>
      </c>
      <c r="AE275" t="str">
        <f>IFERROR(ROUND(Q275*VLOOKUP(P275,商品!$A$4:$B$60,2,FALSE),0),"")</f>
        <v/>
      </c>
      <c r="AF275" t="str">
        <f>IFERROR(ROUND(S275*VLOOKUP(R275,商品!$A$4:$B$60,2,FALSE),0),"")</f>
        <v/>
      </c>
    </row>
    <row r="276" spans="1:32" ht="19.05" customHeight="1" x14ac:dyDescent="0.25">
      <c r="A276" s="15" t="s">
        <v>234</v>
      </c>
      <c r="C276" s="15">
        <v>2</v>
      </c>
      <c r="T276" s="2">
        <f t="shared" si="16"/>
        <v>0</v>
      </c>
      <c r="U276" s="2">
        <f t="shared" si="17"/>
        <v>0</v>
      </c>
      <c r="V276" s="2">
        <f t="shared" si="18"/>
        <v>0</v>
      </c>
      <c r="W276" s="2">
        <f t="shared" si="19"/>
        <v>0</v>
      </c>
      <c r="Y276" t="str">
        <f>IFERROR(ROUND(E276*VLOOKUP(D276,商品!$A$4:$B$60,2,FALSE),0),"")</f>
        <v/>
      </c>
      <c r="Z276" t="str">
        <f>IFERROR(ROUND(G276*VLOOKUP(F276,商品!$A$4:$B$60,2,FALSE),0),"")</f>
        <v/>
      </c>
      <c r="AA276" t="str">
        <f>IFERROR(ROUND(I276*VLOOKUP(H276,商品!$A$4:$B$60,2,FALSE),0),"")</f>
        <v/>
      </c>
      <c r="AB276" t="str">
        <f>IFERROR(ROUND(K276*VLOOKUP(J276,[1]note_pop_types!$A$16:$E$16,4,FALSE),0),"")</f>
        <v/>
      </c>
      <c r="AC276" t="str">
        <f>IFERROR(ROUND(M276*VLOOKUP(L276,[1]note_pop_types!$A$16:$E$16,4,FALSE),0),"")</f>
        <v/>
      </c>
      <c r="AD276" t="str">
        <f>IFERROR(ROUND(O276*VLOOKUP(N276,[1]note_pop_types!$A$16:$E$16,4,FALSE),0),"")</f>
        <v/>
      </c>
      <c r="AE276" t="str">
        <f>IFERROR(ROUND(Q276*VLOOKUP(P276,商品!$A$4:$B$60,2,FALSE),0),"")</f>
        <v/>
      </c>
      <c r="AF276" t="str">
        <f>IFERROR(ROUND(S276*VLOOKUP(R276,商品!$A$4:$B$60,2,FALSE),0),"")</f>
        <v/>
      </c>
    </row>
    <row r="277" spans="1:32" ht="19.05" customHeight="1" x14ac:dyDescent="0.25">
      <c r="A277" s="15" t="s">
        <v>234</v>
      </c>
      <c r="C277" s="15">
        <v>3</v>
      </c>
      <c r="T277" s="2">
        <f t="shared" si="16"/>
        <v>0</v>
      </c>
      <c r="U277" s="2">
        <f t="shared" si="17"/>
        <v>0</v>
      </c>
      <c r="V277" s="2">
        <f t="shared" si="18"/>
        <v>0</v>
      </c>
      <c r="W277" s="2">
        <f t="shared" si="19"/>
        <v>0</v>
      </c>
      <c r="Y277" t="str">
        <f>IFERROR(ROUND(E277*VLOOKUP(D277,商品!$A$4:$B$60,2,FALSE),0),"")</f>
        <v/>
      </c>
      <c r="Z277" t="str">
        <f>IFERROR(ROUND(G277*VLOOKUP(F277,商品!$A$4:$B$60,2,FALSE),0),"")</f>
        <v/>
      </c>
      <c r="AA277" t="str">
        <f>IFERROR(ROUND(I277*VLOOKUP(H277,商品!$A$4:$B$60,2,FALSE),0),"")</f>
        <v/>
      </c>
      <c r="AB277" t="str">
        <f>IFERROR(ROUND(K277*VLOOKUP(J277,[1]note_pop_types!$A$16:$E$16,4,FALSE),0),"")</f>
        <v/>
      </c>
      <c r="AC277" t="str">
        <f>IFERROR(ROUND(M277*VLOOKUP(L277,[1]note_pop_types!$A$16:$E$16,4,FALSE),0),"")</f>
        <v/>
      </c>
      <c r="AD277" t="str">
        <f>IFERROR(ROUND(O277*VLOOKUP(N277,[1]note_pop_types!$A$16:$E$16,4,FALSE),0),"")</f>
        <v/>
      </c>
      <c r="AE277" t="str">
        <f>IFERROR(ROUND(Q277*VLOOKUP(P277,商品!$A$4:$B$60,2,FALSE),0),"")</f>
        <v/>
      </c>
      <c r="AF277" t="str">
        <f>IFERROR(ROUND(S277*VLOOKUP(R277,商品!$A$4:$B$60,2,FALSE),0),"")</f>
        <v/>
      </c>
    </row>
    <row r="278" spans="1:32" ht="19.05" customHeight="1" x14ac:dyDescent="0.25">
      <c r="A278" s="15" t="s">
        <v>234</v>
      </c>
      <c r="C278" s="15">
        <v>4</v>
      </c>
      <c r="T278" s="2">
        <f t="shared" si="16"/>
        <v>0</v>
      </c>
      <c r="U278" s="2">
        <f t="shared" si="17"/>
        <v>0</v>
      </c>
      <c r="V278" s="2">
        <f t="shared" si="18"/>
        <v>0</v>
      </c>
      <c r="W278" s="2">
        <f t="shared" si="19"/>
        <v>0</v>
      </c>
      <c r="Y278" t="str">
        <f>IFERROR(ROUND(E278*VLOOKUP(D278,商品!$A$4:$B$60,2,FALSE),0),"")</f>
        <v/>
      </c>
      <c r="Z278" t="str">
        <f>IFERROR(ROUND(G278*VLOOKUP(F278,商品!$A$4:$B$60,2,FALSE),0),"")</f>
        <v/>
      </c>
      <c r="AA278" t="str">
        <f>IFERROR(ROUND(I278*VLOOKUP(H278,商品!$A$4:$B$60,2,FALSE),0),"")</f>
        <v/>
      </c>
      <c r="AB278" t="str">
        <f>IFERROR(ROUND(K278*VLOOKUP(J278,[1]note_pop_types!$A$16:$E$16,4,FALSE),0),"")</f>
        <v/>
      </c>
      <c r="AC278" t="str">
        <f>IFERROR(ROUND(M278*VLOOKUP(L278,[1]note_pop_types!$A$16:$E$16,4,FALSE),0),"")</f>
        <v/>
      </c>
      <c r="AD278" t="str">
        <f>IFERROR(ROUND(O278*VLOOKUP(N278,[1]note_pop_types!$A$16:$E$16,4,FALSE),0),"")</f>
        <v/>
      </c>
      <c r="AE278" t="str">
        <f>IFERROR(ROUND(Q278*VLOOKUP(P278,商品!$A$4:$B$60,2,FALSE),0),"")</f>
        <v/>
      </c>
      <c r="AF278" t="str">
        <f>IFERROR(ROUND(S278*VLOOKUP(R278,商品!$A$4:$B$60,2,FALSE),0),"")</f>
        <v/>
      </c>
    </row>
    <row r="279" spans="1:32" ht="19.05" customHeight="1" x14ac:dyDescent="0.25">
      <c r="A279" s="15" t="s">
        <v>234</v>
      </c>
      <c r="C279" s="15">
        <v>5</v>
      </c>
      <c r="T279" s="2">
        <f t="shared" si="16"/>
        <v>0</v>
      </c>
      <c r="U279" s="2">
        <f t="shared" si="17"/>
        <v>0</v>
      </c>
      <c r="V279" s="2">
        <f t="shared" si="18"/>
        <v>0</v>
      </c>
      <c r="W279" s="2">
        <f t="shared" si="19"/>
        <v>0</v>
      </c>
      <c r="Y279" t="str">
        <f>IFERROR(ROUND(E279*VLOOKUP(D279,商品!$A$4:$B$60,2,FALSE),0),"")</f>
        <v/>
      </c>
      <c r="Z279" t="str">
        <f>IFERROR(ROUND(G279*VLOOKUP(F279,商品!$A$4:$B$60,2,FALSE),0),"")</f>
        <v/>
      </c>
      <c r="AA279" t="str">
        <f>IFERROR(ROUND(I279*VLOOKUP(H279,商品!$A$4:$B$60,2,FALSE),0),"")</f>
        <v/>
      </c>
      <c r="AB279" t="str">
        <f>IFERROR(ROUND(K279*VLOOKUP(J279,[1]note_pop_types!$A$16:$E$16,4,FALSE),0),"")</f>
        <v/>
      </c>
      <c r="AC279" t="str">
        <f>IFERROR(ROUND(M279*VLOOKUP(L279,[1]note_pop_types!$A$16:$E$16,4,FALSE),0),"")</f>
        <v/>
      </c>
      <c r="AD279" t="str">
        <f>IFERROR(ROUND(O279*VLOOKUP(N279,[1]note_pop_types!$A$16:$E$16,4,FALSE),0),"")</f>
        <v/>
      </c>
      <c r="AE279" t="str">
        <f>IFERROR(ROUND(Q279*VLOOKUP(P279,商品!$A$4:$B$60,2,FALSE),0),"")</f>
        <v/>
      </c>
      <c r="AF279" t="str">
        <f>IFERROR(ROUND(S279*VLOOKUP(R279,商品!$A$4:$B$60,2,FALSE),0),"")</f>
        <v/>
      </c>
    </row>
    <row r="280" spans="1:32" ht="19.05" customHeight="1" x14ac:dyDescent="0.25">
      <c r="A280" s="16" t="s">
        <v>515</v>
      </c>
      <c r="C280" s="16">
        <v>1</v>
      </c>
      <c r="T280" s="2">
        <f t="shared" si="16"/>
        <v>0</v>
      </c>
      <c r="U280" s="2">
        <f t="shared" si="17"/>
        <v>0</v>
      </c>
      <c r="V280" s="2">
        <f t="shared" si="18"/>
        <v>0</v>
      </c>
      <c r="W280" s="2">
        <f t="shared" si="19"/>
        <v>0</v>
      </c>
      <c r="Y280" t="str">
        <f>IFERROR(ROUND(E280*VLOOKUP(D280,商品!$A$4:$B$60,2,FALSE),0),"")</f>
        <v/>
      </c>
      <c r="Z280" t="str">
        <f>IFERROR(ROUND(G280*VLOOKUP(F280,商品!$A$4:$B$60,2,FALSE),0),"")</f>
        <v/>
      </c>
      <c r="AA280" t="str">
        <f>IFERROR(ROUND(I280*VLOOKUP(H280,商品!$A$4:$B$60,2,FALSE),0),"")</f>
        <v/>
      </c>
      <c r="AB280" t="str">
        <f>IFERROR(ROUND(K280*VLOOKUP(J280,[1]note_pop_types!$A$16:$E$16,4,FALSE),0),"")</f>
        <v/>
      </c>
      <c r="AC280" t="str">
        <f>IFERROR(ROUND(M280*VLOOKUP(L280,[1]note_pop_types!$A$16:$E$16,4,FALSE),0),"")</f>
        <v/>
      </c>
      <c r="AD280" t="str">
        <f>IFERROR(ROUND(O280*VLOOKUP(N280,[1]note_pop_types!$A$16:$E$16,4,FALSE),0),"")</f>
        <v/>
      </c>
      <c r="AE280" t="str">
        <f>IFERROR(ROUND(Q280*VLOOKUP(P280,商品!$A$4:$B$60,2,FALSE),0),"")</f>
        <v/>
      </c>
      <c r="AF280" t="str">
        <f>IFERROR(ROUND(S280*VLOOKUP(R280,商品!$A$4:$B$60,2,FALSE),0),"")</f>
        <v/>
      </c>
    </row>
    <row r="281" spans="1:32" ht="19.05" customHeight="1" x14ac:dyDescent="0.25">
      <c r="A281" s="16" t="s">
        <v>515</v>
      </c>
      <c r="C281" s="16">
        <v>2</v>
      </c>
      <c r="T281" s="2">
        <f t="shared" si="16"/>
        <v>0</v>
      </c>
      <c r="U281" s="2">
        <f t="shared" si="17"/>
        <v>0</v>
      </c>
      <c r="V281" s="2">
        <f t="shared" si="18"/>
        <v>0</v>
      </c>
      <c r="W281" s="2">
        <f t="shared" si="19"/>
        <v>0</v>
      </c>
      <c r="Y281" t="str">
        <f>IFERROR(ROUND(E281*VLOOKUP(D281,商品!$A$4:$B$60,2,FALSE),0),"")</f>
        <v/>
      </c>
      <c r="Z281" t="str">
        <f>IFERROR(ROUND(G281*VLOOKUP(F281,商品!$A$4:$B$60,2,FALSE),0),"")</f>
        <v/>
      </c>
      <c r="AA281" t="str">
        <f>IFERROR(ROUND(I281*VLOOKUP(H281,商品!$A$4:$B$60,2,FALSE),0),"")</f>
        <v/>
      </c>
      <c r="AB281" t="str">
        <f>IFERROR(ROUND(K281*VLOOKUP(J281,[1]note_pop_types!$A$16:$E$16,4,FALSE),0),"")</f>
        <v/>
      </c>
      <c r="AC281" t="str">
        <f>IFERROR(ROUND(M281*VLOOKUP(L281,[1]note_pop_types!$A$16:$E$16,4,FALSE),0),"")</f>
        <v/>
      </c>
      <c r="AD281" t="str">
        <f>IFERROR(ROUND(O281*VLOOKUP(N281,[1]note_pop_types!$A$16:$E$16,4,FALSE),0),"")</f>
        <v/>
      </c>
      <c r="AE281" t="str">
        <f>IFERROR(ROUND(Q281*VLOOKUP(P281,商品!$A$4:$B$60,2,FALSE),0),"")</f>
        <v/>
      </c>
      <c r="AF281" t="str">
        <f>IFERROR(ROUND(S281*VLOOKUP(R281,商品!$A$4:$B$60,2,FALSE),0),"")</f>
        <v/>
      </c>
    </row>
    <row r="282" spans="1:32" ht="19.05" customHeight="1" x14ac:dyDescent="0.25">
      <c r="A282" s="16" t="s">
        <v>515</v>
      </c>
      <c r="C282" s="16">
        <v>3</v>
      </c>
      <c r="T282" s="2">
        <f t="shared" si="16"/>
        <v>0</v>
      </c>
      <c r="U282" s="2">
        <f t="shared" si="17"/>
        <v>0</v>
      </c>
      <c r="V282" s="2">
        <f t="shared" si="18"/>
        <v>0</v>
      </c>
      <c r="W282" s="2">
        <f t="shared" si="19"/>
        <v>0</v>
      </c>
      <c r="Y282" t="str">
        <f>IFERROR(ROUND(E282*VLOOKUP(D282,商品!$A$4:$B$60,2,FALSE),0),"")</f>
        <v/>
      </c>
      <c r="Z282" t="str">
        <f>IFERROR(ROUND(G282*VLOOKUP(F282,商品!$A$4:$B$60,2,FALSE),0),"")</f>
        <v/>
      </c>
      <c r="AA282" t="str">
        <f>IFERROR(ROUND(I282*VLOOKUP(H282,商品!$A$4:$B$60,2,FALSE),0),"")</f>
        <v/>
      </c>
      <c r="AB282" t="str">
        <f>IFERROR(ROUND(K282*VLOOKUP(J282,[1]note_pop_types!$A$16:$E$16,4,FALSE),0),"")</f>
        <v/>
      </c>
      <c r="AC282" t="str">
        <f>IFERROR(ROUND(M282*VLOOKUP(L282,[1]note_pop_types!$A$16:$E$16,4,FALSE),0),"")</f>
        <v/>
      </c>
      <c r="AD282" t="str">
        <f>IFERROR(ROUND(O282*VLOOKUP(N282,[1]note_pop_types!$A$16:$E$16,4,FALSE),0),"")</f>
        <v/>
      </c>
      <c r="AE282" t="str">
        <f>IFERROR(ROUND(Q282*VLOOKUP(P282,商品!$A$4:$B$60,2,FALSE),0),"")</f>
        <v/>
      </c>
      <c r="AF282" t="str">
        <f>IFERROR(ROUND(S282*VLOOKUP(R282,商品!$A$4:$B$60,2,FALSE),0),"")</f>
        <v/>
      </c>
    </row>
    <row r="283" spans="1:32" ht="19.05" customHeight="1" x14ac:dyDescent="0.25">
      <c r="A283" s="16" t="s">
        <v>515</v>
      </c>
      <c r="C283" s="16">
        <v>4</v>
      </c>
      <c r="T283" s="2">
        <f t="shared" si="16"/>
        <v>0</v>
      </c>
      <c r="U283" s="2">
        <f t="shared" si="17"/>
        <v>0</v>
      </c>
      <c r="V283" s="2">
        <f t="shared" si="18"/>
        <v>0</v>
      </c>
      <c r="W283" s="2">
        <f t="shared" si="19"/>
        <v>0</v>
      </c>
      <c r="Y283" t="str">
        <f>IFERROR(ROUND(E283*VLOOKUP(D283,商品!$A$4:$B$60,2,FALSE),0),"")</f>
        <v/>
      </c>
      <c r="Z283" t="str">
        <f>IFERROR(ROUND(G283*VLOOKUP(F283,商品!$A$4:$B$60,2,FALSE),0),"")</f>
        <v/>
      </c>
      <c r="AA283" t="str">
        <f>IFERROR(ROUND(I283*VLOOKUP(H283,商品!$A$4:$B$60,2,FALSE),0),"")</f>
        <v/>
      </c>
      <c r="AB283" t="str">
        <f>IFERROR(ROUND(K283*VLOOKUP(J283,[1]note_pop_types!$A$16:$E$16,4,FALSE),0),"")</f>
        <v/>
      </c>
      <c r="AC283" t="str">
        <f>IFERROR(ROUND(M283*VLOOKUP(L283,[1]note_pop_types!$A$16:$E$16,4,FALSE),0),"")</f>
        <v/>
      </c>
      <c r="AD283" t="str">
        <f>IFERROR(ROUND(O283*VLOOKUP(N283,[1]note_pop_types!$A$16:$E$16,4,FALSE),0),"")</f>
        <v/>
      </c>
      <c r="AE283" t="str">
        <f>IFERROR(ROUND(Q283*VLOOKUP(P283,商品!$A$4:$B$60,2,FALSE),0),"")</f>
        <v/>
      </c>
      <c r="AF283" t="str">
        <f>IFERROR(ROUND(S283*VLOOKUP(R283,商品!$A$4:$B$60,2,FALSE),0),"")</f>
        <v/>
      </c>
    </row>
    <row r="284" spans="1:32" ht="19.05" customHeight="1" x14ac:dyDescent="0.25">
      <c r="A284" s="16" t="s">
        <v>515</v>
      </c>
      <c r="C284" s="16">
        <v>5</v>
      </c>
      <c r="T284" s="2">
        <f t="shared" si="16"/>
        <v>0</v>
      </c>
      <c r="U284" s="2">
        <f t="shared" si="17"/>
        <v>0</v>
      </c>
      <c r="V284" s="2">
        <f t="shared" si="18"/>
        <v>0</v>
      </c>
      <c r="W284" s="2">
        <f t="shared" si="19"/>
        <v>0</v>
      </c>
      <c r="Y284" t="str">
        <f>IFERROR(ROUND(E284*VLOOKUP(D284,商品!$A$4:$B$60,2,FALSE),0),"")</f>
        <v/>
      </c>
      <c r="Z284" t="str">
        <f>IFERROR(ROUND(G284*VLOOKUP(F284,商品!$A$4:$B$60,2,FALSE),0),"")</f>
        <v/>
      </c>
      <c r="AA284" t="str">
        <f>IFERROR(ROUND(I284*VLOOKUP(H284,商品!$A$4:$B$60,2,FALSE),0),"")</f>
        <v/>
      </c>
      <c r="AB284" t="str">
        <f>IFERROR(ROUND(K284*VLOOKUP(J284,[1]note_pop_types!$A$16:$E$16,4,FALSE),0),"")</f>
        <v/>
      </c>
      <c r="AC284" t="str">
        <f>IFERROR(ROUND(M284*VLOOKUP(L284,[1]note_pop_types!$A$16:$E$16,4,FALSE),0),"")</f>
        <v/>
      </c>
      <c r="AD284" t="str">
        <f>IFERROR(ROUND(O284*VLOOKUP(N284,[1]note_pop_types!$A$16:$E$16,4,FALSE),0),"")</f>
        <v/>
      </c>
      <c r="AE284" t="str">
        <f>IFERROR(ROUND(Q284*VLOOKUP(P284,商品!$A$4:$B$60,2,FALSE),0),"")</f>
        <v/>
      </c>
      <c r="AF284" t="str">
        <f>IFERROR(ROUND(S284*VLOOKUP(R284,商品!$A$4:$B$60,2,FALSE),0),"")</f>
        <v/>
      </c>
    </row>
    <row r="285" spans="1:32" ht="19.05" customHeight="1" x14ac:dyDescent="0.25">
      <c r="A285" s="15" t="s">
        <v>515</v>
      </c>
      <c r="C285" s="15">
        <v>1</v>
      </c>
      <c r="T285" s="2">
        <f t="shared" si="16"/>
        <v>0</v>
      </c>
      <c r="U285" s="2">
        <f t="shared" si="17"/>
        <v>0</v>
      </c>
      <c r="V285" s="2">
        <f t="shared" si="18"/>
        <v>0</v>
      </c>
      <c r="W285" s="2">
        <f t="shared" si="19"/>
        <v>0</v>
      </c>
      <c r="Y285" t="str">
        <f>IFERROR(ROUND(E285*VLOOKUP(D285,商品!$A$4:$B$60,2,FALSE),0),"")</f>
        <v/>
      </c>
      <c r="Z285" t="str">
        <f>IFERROR(ROUND(G285*VLOOKUP(F285,商品!$A$4:$B$60,2,FALSE),0),"")</f>
        <v/>
      </c>
      <c r="AA285" t="str">
        <f>IFERROR(ROUND(I285*VLOOKUP(H285,商品!$A$4:$B$60,2,FALSE),0),"")</f>
        <v/>
      </c>
      <c r="AB285" t="str">
        <f>IFERROR(ROUND(K285*VLOOKUP(J285,[1]note_pop_types!$A$16:$E$16,4,FALSE),0),"")</f>
        <v/>
      </c>
      <c r="AC285" t="str">
        <f>IFERROR(ROUND(M285*VLOOKUP(L285,[1]note_pop_types!$A$16:$E$16,4,FALSE),0),"")</f>
        <v/>
      </c>
      <c r="AD285" t="str">
        <f>IFERROR(ROUND(O285*VLOOKUP(N285,[1]note_pop_types!$A$16:$E$16,4,FALSE),0),"")</f>
        <v/>
      </c>
      <c r="AE285" t="str">
        <f>IFERROR(ROUND(Q285*VLOOKUP(P285,商品!$A$4:$B$60,2,FALSE),0),"")</f>
        <v/>
      </c>
      <c r="AF285" t="str">
        <f>IFERROR(ROUND(S285*VLOOKUP(R285,商品!$A$4:$B$60,2,FALSE),0),"")</f>
        <v/>
      </c>
    </row>
    <row r="286" spans="1:32" ht="19.05" customHeight="1" x14ac:dyDescent="0.25">
      <c r="A286" s="15" t="s">
        <v>515</v>
      </c>
      <c r="C286" s="15">
        <v>2</v>
      </c>
      <c r="T286" s="2">
        <f t="shared" si="16"/>
        <v>0</v>
      </c>
      <c r="U286" s="2">
        <f t="shared" si="17"/>
        <v>0</v>
      </c>
      <c r="V286" s="2">
        <f t="shared" si="18"/>
        <v>0</v>
      </c>
      <c r="W286" s="2">
        <f t="shared" si="19"/>
        <v>0</v>
      </c>
      <c r="Y286" t="str">
        <f>IFERROR(ROUND(E286*VLOOKUP(D286,商品!$A$4:$B$60,2,FALSE),0),"")</f>
        <v/>
      </c>
      <c r="Z286" t="str">
        <f>IFERROR(ROUND(G286*VLOOKUP(F286,商品!$A$4:$B$60,2,FALSE),0),"")</f>
        <v/>
      </c>
      <c r="AA286" t="str">
        <f>IFERROR(ROUND(I286*VLOOKUP(H286,商品!$A$4:$B$60,2,FALSE),0),"")</f>
        <v/>
      </c>
      <c r="AB286" t="str">
        <f>IFERROR(ROUND(K286*VLOOKUP(J286,[1]note_pop_types!$A$16:$E$16,4,FALSE),0),"")</f>
        <v/>
      </c>
      <c r="AC286" t="str">
        <f>IFERROR(ROUND(M286*VLOOKUP(L286,[1]note_pop_types!$A$16:$E$16,4,FALSE),0),"")</f>
        <v/>
      </c>
      <c r="AD286" t="str">
        <f>IFERROR(ROUND(O286*VLOOKUP(N286,[1]note_pop_types!$A$16:$E$16,4,FALSE),0),"")</f>
        <v/>
      </c>
      <c r="AE286" t="str">
        <f>IFERROR(ROUND(Q286*VLOOKUP(P286,商品!$A$4:$B$60,2,FALSE),0),"")</f>
        <v/>
      </c>
      <c r="AF286" t="str">
        <f>IFERROR(ROUND(S286*VLOOKUP(R286,商品!$A$4:$B$60,2,FALSE),0),"")</f>
        <v/>
      </c>
    </row>
    <row r="287" spans="1:32" ht="19.05" customHeight="1" x14ac:dyDescent="0.25">
      <c r="A287" s="15" t="s">
        <v>515</v>
      </c>
      <c r="C287" s="15">
        <v>3</v>
      </c>
      <c r="T287" s="2">
        <f t="shared" si="16"/>
        <v>0</v>
      </c>
      <c r="U287" s="2">
        <f t="shared" si="17"/>
        <v>0</v>
      </c>
      <c r="V287" s="2">
        <f t="shared" si="18"/>
        <v>0</v>
      </c>
      <c r="W287" s="2">
        <f t="shared" si="19"/>
        <v>0</v>
      </c>
      <c r="Y287" t="str">
        <f>IFERROR(ROUND(E287*VLOOKUP(D287,商品!$A$4:$B$60,2,FALSE),0),"")</f>
        <v/>
      </c>
      <c r="Z287" t="str">
        <f>IFERROR(ROUND(G287*VLOOKUP(F287,商品!$A$4:$B$60,2,FALSE),0),"")</f>
        <v/>
      </c>
      <c r="AA287" t="str">
        <f>IFERROR(ROUND(I287*VLOOKUP(H287,商品!$A$4:$B$60,2,FALSE),0),"")</f>
        <v/>
      </c>
      <c r="AB287" t="str">
        <f>IFERROR(ROUND(K287*VLOOKUP(J287,[1]note_pop_types!$A$16:$E$16,4,FALSE),0),"")</f>
        <v/>
      </c>
      <c r="AC287" t="str">
        <f>IFERROR(ROUND(M287*VLOOKUP(L287,[1]note_pop_types!$A$16:$E$16,4,FALSE),0),"")</f>
        <v/>
      </c>
      <c r="AD287" t="str">
        <f>IFERROR(ROUND(O287*VLOOKUP(N287,[1]note_pop_types!$A$16:$E$16,4,FALSE),0),"")</f>
        <v/>
      </c>
      <c r="AE287" t="str">
        <f>IFERROR(ROUND(Q287*VLOOKUP(P287,商品!$A$4:$B$60,2,FALSE),0),"")</f>
        <v/>
      </c>
      <c r="AF287" t="str">
        <f>IFERROR(ROUND(S287*VLOOKUP(R287,商品!$A$4:$B$60,2,FALSE),0),"")</f>
        <v/>
      </c>
    </row>
    <row r="288" spans="1:32" ht="19.05" customHeight="1" x14ac:dyDescent="0.25">
      <c r="A288" s="15" t="s">
        <v>515</v>
      </c>
      <c r="C288" s="15">
        <v>4</v>
      </c>
      <c r="T288" s="2">
        <f t="shared" si="16"/>
        <v>0</v>
      </c>
      <c r="U288" s="2">
        <f t="shared" si="17"/>
        <v>0</v>
      </c>
      <c r="V288" s="2">
        <f t="shared" si="18"/>
        <v>0</v>
      </c>
      <c r="W288" s="2">
        <f t="shared" si="19"/>
        <v>0</v>
      </c>
      <c r="Y288" t="str">
        <f>IFERROR(ROUND(E288*VLOOKUP(D288,商品!$A$4:$B$60,2,FALSE),0),"")</f>
        <v/>
      </c>
      <c r="Z288" t="str">
        <f>IFERROR(ROUND(G288*VLOOKUP(F288,商品!$A$4:$B$60,2,FALSE),0),"")</f>
        <v/>
      </c>
      <c r="AA288" t="str">
        <f>IFERROR(ROUND(I288*VLOOKUP(H288,商品!$A$4:$B$60,2,FALSE),0),"")</f>
        <v/>
      </c>
      <c r="AB288" t="str">
        <f>IFERROR(ROUND(K288*VLOOKUP(J288,[1]note_pop_types!$A$16:$E$16,4,FALSE),0),"")</f>
        <v/>
      </c>
      <c r="AC288" t="str">
        <f>IFERROR(ROUND(M288*VLOOKUP(L288,[1]note_pop_types!$A$16:$E$16,4,FALSE),0),"")</f>
        <v/>
      </c>
      <c r="AD288" t="str">
        <f>IFERROR(ROUND(O288*VLOOKUP(N288,[1]note_pop_types!$A$16:$E$16,4,FALSE),0),"")</f>
        <v/>
      </c>
      <c r="AE288" t="str">
        <f>IFERROR(ROUND(Q288*VLOOKUP(P288,商品!$A$4:$B$60,2,FALSE),0),"")</f>
        <v/>
      </c>
      <c r="AF288" t="str">
        <f>IFERROR(ROUND(S288*VLOOKUP(R288,商品!$A$4:$B$60,2,FALSE),0),"")</f>
        <v/>
      </c>
    </row>
    <row r="289" spans="1:32" ht="19.05" customHeight="1" x14ac:dyDescent="0.25">
      <c r="A289" s="15" t="s">
        <v>515</v>
      </c>
      <c r="C289" s="15">
        <v>5</v>
      </c>
      <c r="T289" s="2">
        <f t="shared" si="16"/>
        <v>0</v>
      </c>
      <c r="U289" s="2">
        <f t="shared" si="17"/>
        <v>0</v>
      </c>
      <c r="V289" s="2">
        <f t="shared" si="18"/>
        <v>0</v>
      </c>
      <c r="W289" s="2">
        <f t="shared" si="19"/>
        <v>0</v>
      </c>
      <c r="Y289" t="str">
        <f>IFERROR(ROUND(E289*VLOOKUP(D289,商品!$A$4:$B$60,2,FALSE),0),"")</f>
        <v/>
      </c>
      <c r="Z289" t="str">
        <f>IFERROR(ROUND(G289*VLOOKUP(F289,商品!$A$4:$B$60,2,FALSE),0),"")</f>
        <v/>
      </c>
      <c r="AA289" t="str">
        <f>IFERROR(ROUND(I289*VLOOKUP(H289,商品!$A$4:$B$60,2,FALSE),0),"")</f>
        <v/>
      </c>
      <c r="AB289" t="str">
        <f>IFERROR(ROUND(K289*VLOOKUP(J289,[1]note_pop_types!$A$16:$E$16,4,FALSE),0),"")</f>
        <v/>
      </c>
      <c r="AC289" t="str">
        <f>IFERROR(ROUND(M289*VLOOKUP(L289,[1]note_pop_types!$A$16:$E$16,4,FALSE),0),"")</f>
        <v/>
      </c>
      <c r="AD289" t="str">
        <f>IFERROR(ROUND(O289*VLOOKUP(N289,[1]note_pop_types!$A$16:$E$16,4,FALSE),0),"")</f>
        <v/>
      </c>
      <c r="AE289" t="str">
        <f>IFERROR(ROUND(Q289*VLOOKUP(P289,商品!$A$4:$B$60,2,FALSE),0),"")</f>
        <v/>
      </c>
      <c r="AF289" t="str">
        <f>IFERROR(ROUND(S289*VLOOKUP(R289,商品!$A$4:$B$60,2,FALSE),0),"")</f>
        <v/>
      </c>
    </row>
    <row r="290" spans="1:32" ht="19.05" customHeight="1" x14ac:dyDescent="0.25">
      <c r="A290" s="16" t="s">
        <v>237</v>
      </c>
      <c r="C290" s="16">
        <v>1</v>
      </c>
      <c r="T290" s="2">
        <f t="shared" si="16"/>
        <v>0</v>
      </c>
      <c r="U290" s="2">
        <f t="shared" si="17"/>
        <v>0</v>
      </c>
      <c r="V290" s="2">
        <f t="shared" si="18"/>
        <v>0</v>
      </c>
      <c r="W290" s="2">
        <f t="shared" si="19"/>
        <v>0</v>
      </c>
      <c r="Y290" t="str">
        <f>IFERROR(ROUND(E290*VLOOKUP(D290,商品!$A$4:$B$60,2,FALSE),0),"")</f>
        <v/>
      </c>
      <c r="Z290" t="str">
        <f>IFERROR(ROUND(G290*VLOOKUP(F290,商品!$A$4:$B$60,2,FALSE),0),"")</f>
        <v/>
      </c>
      <c r="AA290" t="str">
        <f>IFERROR(ROUND(I290*VLOOKUP(H290,商品!$A$4:$B$60,2,FALSE),0),"")</f>
        <v/>
      </c>
      <c r="AB290" t="str">
        <f>IFERROR(ROUND(K290*VLOOKUP(J290,[1]note_pop_types!$A$16:$E$16,4,FALSE),0),"")</f>
        <v/>
      </c>
      <c r="AC290" t="str">
        <f>IFERROR(ROUND(M290*VLOOKUP(L290,[1]note_pop_types!$A$16:$E$16,4,FALSE),0),"")</f>
        <v/>
      </c>
      <c r="AD290" t="str">
        <f>IFERROR(ROUND(O290*VLOOKUP(N290,[1]note_pop_types!$A$16:$E$16,4,FALSE),0),"")</f>
        <v/>
      </c>
      <c r="AE290" t="str">
        <f>IFERROR(ROUND(Q290*VLOOKUP(P290,商品!$A$4:$B$60,2,FALSE),0),"")</f>
        <v/>
      </c>
      <c r="AF290" t="str">
        <f>IFERROR(ROUND(S290*VLOOKUP(R290,商品!$A$4:$B$60,2,FALSE),0),"")</f>
        <v/>
      </c>
    </row>
    <row r="291" spans="1:32" ht="19.05" customHeight="1" x14ac:dyDescent="0.25">
      <c r="A291" s="16" t="s">
        <v>237</v>
      </c>
      <c r="C291" s="16">
        <v>2</v>
      </c>
      <c r="T291" s="2">
        <f t="shared" si="16"/>
        <v>0</v>
      </c>
      <c r="U291" s="2">
        <f t="shared" si="17"/>
        <v>0</v>
      </c>
      <c r="V291" s="2">
        <f t="shared" si="18"/>
        <v>0</v>
      </c>
      <c r="W291" s="2">
        <f t="shared" si="19"/>
        <v>0</v>
      </c>
      <c r="Y291" t="str">
        <f>IFERROR(ROUND(E291*VLOOKUP(D291,商品!$A$4:$B$60,2,FALSE),0),"")</f>
        <v/>
      </c>
      <c r="Z291" t="str">
        <f>IFERROR(ROUND(G291*VLOOKUP(F291,商品!$A$4:$B$60,2,FALSE),0),"")</f>
        <v/>
      </c>
      <c r="AA291" t="str">
        <f>IFERROR(ROUND(I291*VLOOKUP(H291,商品!$A$4:$B$60,2,FALSE),0),"")</f>
        <v/>
      </c>
      <c r="AB291" t="str">
        <f>IFERROR(ROUND(K291*VLOOKUP(J291,[1]note_pop_types!$A$16:$E$16,4,FALSE),0),"")</f>
        <v/>
      </c>
      <c r="AC291" t="str">
        <f>IFERROR(ROUND(M291*VLOOKUP(L291,[1]note_pop_types!$A$16:$E$16,4,FALSE),0),"")</f>
        <v/>
      </c>
      <c r="AD291" t="str">
        <f>IFERROR(ROUND(O291*VLOOKUP(N291,[1]note_pop_types!$A$16:$E$16,4,FALSE),0),"")</f>
        <v/>
      </c>
      <c r="AE291" t="str">
        <f>IFERROR(ROUND(Q291*VLOOKUP(P291,商品!$A$4:$B$60,2,FALSE),0),"")</f>
        <v/>
      </c>
      <c r="AF291" t="str">
        <f>IFERROR(ROUND(S291*VLOOKUP(R291,商品!$A$4:$B$60,2,FALSE),0),"")</f>
        <v/>
      </c>
    </row>
    <row r="292" spans="1:32" ht="19.05" customHeight="1" x14ac:dyDescent="0.25">
      <c r="A292" s="16" t="s">
        <v>237</v>
      </c>
      <c r="C292" s="16">
        <v>3</v>
      </c>
      <c r="T292" s="2">
        <f t="shared" si="16"/>
        <v>0</v>
      </c>
      <c r="U292" s="2">
        <f t="shared" si="17"/>
        <v>0</v>
      </c>
      <c r="V292" s="2">
        <f t="shared" si="18"/>
        <v>0</v>
      </c>
      <c r="W292" s="2">
        <f t="shared" si="19"/>
        <v>0</v>
      </c>
      <c r="Y292" t="str">
        <f>IFERROR(ROUND(E292*VLOOKUP(D292,商品!$A$4:$B$60,2,FALSE),0),"")</f>
        <v/>
      </c>
      <c r="Z292" t="str">
        <f>IFERROR(ROUND(G292*VLOOKUP(F292,商品!$A$4:$B$60,2,FALSE),0),"")</f>
        <v/>
      </c>
      <c r="AA292" t="str">
        <f>IFERROR(ROUND(I292*VLOOKUP(H292,商品!$A$4:$B$60,2,FALSE),0),"")</f>
        <v/>
      </c>
      <c r="AB292" t="str">
        <f>IFERROR(ROUND(K292*VLOOKUP(J292,[1]note_pop_types!$A$16:$E$16,4,FALSE),0),"")</f>
        <v/>
      </c>
      <c r="AC292" t="str">
        <f>IFERROR(ROUND(M292*VLOOKUP(L292,[1]note_pop_types!$A$16:$E$16,4,FALSE),0),"")</f>
        <v/>
      </c>
      <c r="AD292" t="str">
        <f>IFERROR(ROUND(O292*VLOOKUP(N292,[1]note_pop_types!$A$16:$E$16,4,FALSE),0),"")</f>
        <v/>
      </c>
      <c r="AE292" t="str">
        <f>IFERROR(ROUND(Q292*VLOOKUP(P292,商品!$A$4:$B$60,2,FALSE),0),"")</f>
        <v/>
      </c>
      <c r="AF292" t="str">
        <f>IFERROR(ROUND(S292*VLOOKUP(R292,商品!$A$4:$B$60,2,FALSE),0),"")</f>
        <v/>
      </c>
    </row>
    <row r="293" spans="1:32" ht="19.05" customHeight="1" x14ac:dyDescent="0.25">
      <c r="A293" s="16" t="s">
        <v>237</v>
      </c>
      <c r="C293" s="16">
        <v>4</v>
      </c>
      <c r="T293" s="2">
        <f t="shared" si="16"/>
        <v>0</v>
      </c>
      <c r="U293" s="2">
        <f t="shared" si="17"/>
        <v>0</v>
      </c>
      <c r="V293" s="2">
        <f t="shared" si="18"/>
        <v>0</v>
      </c>
      <c r="W293" s="2">
        <f t="shared" si="19"/>
        <v>0</v>
      </c>
      <c r="Y293" t="str">
        <f>IFERROR(ROUND(E293*VLOOKUP(D293,商品!$A$4:$B$60,2,FALSE),0),"")</f>
        <v/>
      </c>
      <c r="Z293" t="str">
        <f>IFERROR(ROUND(G293*VLOOKUP(F293,商品!$A$4:$B$60,2,FALSE),0),"")</f>
        <v/>
      </c>
      <c r="AA293" t="str">
        <f>IFERROR(ROUND(I293*VLOOKUP(H293,商品!$A$4:$B$60,2,FALSE),0),"")</f>
        <v/>
      </c>
      <c r="AB293" t="str">
        <f>IFERROR(ROUND(K293*VLOOKUP(J293,[1]note_pop_types!$A$16:$E$16,4,FALSE),0),"")</f>
        <v/>
      </c>
      <c r="AC293" t="str">
        <f>IFERROR(ROUND(M293*VLOOKUP(L293,[1]note_pop_types!$A$16:$E$16,4,FALSE),0),"")</f>
        <v/>
      </c>
      <c r="AD293" t="str">
        <f>IFERROR(ROUND(O293*VLOOKUP(N293,[1]note_pop_types!$A$16:$E$16,4,FALSE),0),"")</f>
        <v/>
      </c>
      <c r="AE293" t="str">
        <f>IFERROR(ROUND(Q293*VLOOKUP(P293,商品!$A$4:$B$60,2,FALSE),0),"")</f>
        <v/>
      </c>
      <c r="AF293" t="str">
        <f>IFERROR(ROUND(S293*VLOOKUP(R293,商品!$A$4:$B$60,2,FALSE),0),"")</f>
        <v/>
      </c>
    </row>
    <row r="294" spans="1:32" ht="19.05" customHeight="1" x14ac:dyDescent="0.25">
      <c r="A294" s="16" t="s">
        <v>237</v>
      </c>
      <c r="C294" s="16">
        <v>5</v>
      </c>
      <c r="T294" s="2">
        <f t="shared" si="16"/>
        <v>0</v>
      </c>
      <c r="U294" s="2">
        <f t="shared" si="17"/>
        <v>0</v>
      </c>
      <c r="V294" s="2">
        <f t="shared" si="18"/>
        <v>0</v>
      </c>
      <c r="W294" s="2">
        <f t="shared" si="19"/>
        <v>0</v>
      </c>
      <c r="Y294" t="str">
        <f>IFERROR(ROUND(E294*VLOOKUP(D294,商品!$A$4:$B$60,2,FALSE),0),"")</f>
        <v/>
      </c>
      <c r="Z294" t="str">
        <f>IFERROR(ROUND(G294*VLOOKUP(F294,商品!$A$4:$B$60,2,FALSE),0),"")</f>
        <v/>
      </c>
      <c r="AA294" t="str">
        <f>IFERROR(ROUND(I294*VLOOKUP(H294,商品!$A$4:$B$60,2,FALSE),0),"")</f>
        <v/>
      </c>
      <c r="AB294" t="str">
        <f>IFERROR(ROUND(K294*VLOOKUP(J294,[1]note_pop_types!$A$16:$E$16,4,FALSE),0),"")</f>
        <v/>
      </c>
      <c r="AC294" t="str">
        <f>IFERROR(ROUND(M294*VLOOKUP(L294,[1]note_pop_types!$A$16:$E$16,4,FALSE),0),"")</f>
        <v/>
      </c>
      <c r="AD294" t="str">
        <f>IFERROR(ROUND(O294*VLOOKUP(N294,[1]note_pop_types!$A$16:$E$16,4,FALSE),0),"")</f>
        <v/>
      </c>
      <c r="AE294" t="str">
        <f>IFERROR(ROUND(Q294*VLOOKUP(P294,商品!$A$4:$B$60,2,FALSE),0),"")</f>
        <v/>
      </c>
      <c r="AF294" t="str">
        <f>IFERROR(ROUND(S294*VLOOKUP(R294,商品!$A$4:$B$60,2,FALSE),0),"")</f>
        <v/>
      </c>
    </row>
    <row r="295" spans="1:32" ht="19.05" customHeight="1" x14ac:dyDescent="0.25">
      <c r="A295" s="16" t="s">
        <v>237</v>
      </c>
      <c r="C295" s="16">
        <v>6</v>
      </c>
      <c r="T295" s="2">
        <f t="shared" si="16"/>
        <v>0</v>
      </c>
      <c r="U295" s="2">
        <f t="shared" si="17"/>
        <v>0</v>
      </c>
      <c r="V295" s="2">
        <f t="shared" si="18"/>
        <v>0</v>
      </c>
      <c r="W295" s="2">
        <f t="shared" si="19"/>
        <v>0</v>
      </c>
      <c r="Y295" t="str">
        <f>IFERROR(ROUND(E295*VLOOKUP(D295,商品!$A$4:$B$60,2,FALSE),0),"")</f>
        <v/>
      </c>
      <c r="Z295" t="str">
        <f>IFERROR(ROUND(G295*VLOOKUP(F295,商品!$A$4:$B$60,2,FALSE),0),"")</f>
        <v/>
      </c>
      <c r="AA295" t="str">
        <f>IFERROR(ROUND(I295*VLOOKUP(H295,商品!$A$4:$B$60,2,FALSE),0),"")</f>
        <v/>
      </c>
      <c r="AB295" t="str">
        <f>IFERROR(ROUND(K295*VLOOKUP(J295,[1]note_pop_types!$A$16:$E$16,4,FALSE),0),"")</f>
        <v/>
      </c>
      <c r="AC295" t="str">
        <f>IFERROR(ROUND(M295*VLOOKUP(L295,[1]note_pop_types!$A$16:$E$16,4,FALSE),0),"")</f>
        <v/>
      </c>
      <c r="AD295" t="str">
        <f>IFERROR(ROUND(O295*VLOOKUP(N295,[1]note_pop_types!$A$16:$E$16,4,FALSE),0),"")</f>
        <v/>
      </c>
      <c r="AE295" t="str">
        <f>IFERROR(ROUND(Q295*VLOOKUP(P295,商品!$A$4:$B$60,2,FALSE),0),"")</f>
        <v/>
      </c>
      <c r="AF295" t="str">
        <f>IFERROR(ROUND(S295*VLOOKUP(R295,商品!$A$4:$B$60,2,FALSE),0),"")</f>
        <v/>
      </c>
    </row>
    <row r="296" spans="1:32" ht="19.05" customHeight="1" x14ac:dyDescent="0.25">
      <c r="A296" s="16" t="s">
        <v>237</v>
      </c>
      <c r="C296" s="16">
        <v>7</v>
      </c>
      <c r="T296" s="2">
        <f t="shared" si="16"/>
        <v>0</v>
      </c>
      <c r="U296" s="2">
        <f t="shared" si="17"/>
        <v>0</v>
      </c>
      <c r="V296" s="2">
        <f t="shared" si="18"/>
        <v>0</v>
      </c>
      <c r="W296" s="2">
        <f t="shared" si="19"/>
        <v>0</v>
      </c>
      <c r="Y296" t="str">
        <f>IFERROR(ROUND(E296*VLOOKUP(D296,商品!$A$4:$B$60,2,FALSE),0),"")</f>
        <v/>
      </c>
      <c r="Z296" t="str">
        <f>IFERROR(ROUND(G296*VLOOKUP(F296,商品!$A$4:$B$60,2,FALSE),0),"")</f>
        <v/>
      </c>
      <c r="AA296" t="str">
        <f>IFERROR(ROUND(I296*VLOOKUP(H296,商品!$A$4:$B$60,2,FALSE),0),"")</f>
        <v/>
      </c>
      <c r="AB296" t="str">
        <f>IFERROR(ROUND(K296*VLOOKUP(J296,[1]note_pop_types!$A$16:$E$16,4,FALSE),0),"")</f>
        <v/>
      </c>
      <c r="AC296" t="str">
        <f>IFERROR(ROUND(M296*VLOOKUP(L296,[1]note_pop_types!$A$16:$E$16,4,FALSE),0),"")</f>
        <v/>
      </c>
      <c r="AD296" t="str">
        <f>IFERROR(ROUND(O296*VLOOKUP(N296,[1]note_pop_types!$A$16:$E$16,4,FALSE),0),"")</f>
        <v/>
      </c>
      <c r="AE296" t="str">
        <f>IFERROR(ROUND(Q296*VLOOKUP(P296,商品!$A$4:$B$60,2,FALSE),0),"")</f>
        <v/>
      </c>
      <c r="AF296" t="str">
        <f>IFERROR(ROUND(S296*VLOOKUP(R296,商品!$A$4:$B$60,2,FALSE),0),"")</f>
        <v/>
      </c>
    </row>
    <row r="297" spans="1:32" ht="19.05" customHeight="1" x14ac:dyDescent="0.25">
      <c r="A297" s="16" t="s">
        <v>237</v>
      </c>
      <c r="C297" s="16">
        <v>8</v>
      </c>
      <c r="T297" s="2">
        <f t="shared" si="16"/>
        <v>0</v>
      </c>
      <c r="U297" s="2">
        <f t="shared" si="17"/>
        <v>0</v>
      </c>
      <c r="V297" s="2">
        <f t="shared" si="18"/>
        <v>0</v>
      </c>
      <c r="W297" s="2">
        <f t="shared" si="19"/>
        <v>0</v>
      </c>
      <c r="Y297" t="str">
        <f>IFERROR(ROUND(E297*VLOOKUP(D297,商品!$A$4:$B$60,2,FALSE),0),"")</f>
        <v/>
      </c>
      <c r="Z297" t="str">
        <f>IFERROR(ROUND(G297*VLOOKUP(F297,商品!$A$4:$B$60,2,FALSE),0),"")</f>
        <v/>
      </c>
      <c r="AA297" t="str">
        <f>IFERROR(ROUND(I297*VLOOKUP(H297,商品!$A$4:$B$60,2,FALSE),0),"")</f>
        <v/>
      </c>
      <c r="AB297" t="str">
        <f>IFERROR(ROUND(K297*VLOOKUP(J297,[1]note_pop_types!$A$16:$E$16,4,FALSE),0),"")</f>
        <v/>
      </c>
      <c r="AC297" t="str">
        <f>IFERROR(ROUND(M297*VLOOKUP(L297,[1]note_pop_types!$A$16:$E$16,4,FALSE),0),"")</f>
        <v/>
      </c>
      <c r="AD297" t="str">
        <f>IFERROR(ROUND(O297*VLOOKUP(N297,[1]note_pop_types!$A$16:$E$16,4,FALSE),0),"")</f>
        <v/>
      </c>
      <c r="AE297" t="str">
        <f>IFERROR(ROUND(Q297*VLOOKUP(P297,商品!$A$4:$B$60,2,FALSE),0),"")</f>
        <v/>
      </c>
      <c r="AF297" t="str">
        <f>IFERROR(ROUND(S297*VLOOKUP(R297,商品!$A$4:$B$60,2,FALSE),0),"")</f>
        <v/>
      </c>
    </row>
    <row r="298" spans="1:32" ht="19.05" customHeight="1" x14ac:dyDescent="0.25">
      <c r="A298" s="15" t="s">
        <v>239</v>
      </c>
      <c r="C298" s="15">
        <v>1</v>
      </c>
      <c r="T298" s="2">
        <f t="shared" si="16"/>
        <v>0</v>
      </c>
      <c r="U298" s="2">
        <f t="shared" si="17"/>
        <v>0</v>
      </c>
      <c r="V298" s="2">
        <f t="shared" si="18"/>
        <v>0</v>
      </c>
      <c r="W298" s="2">
        <f t="shared" si="19"/>
        <v>0</v>
      </c>
      <c r="Y298" t="str">
        <f>IFERROR(ROUND(E298*VLOOKUP(D298,商品!$A$4:$B$60,2,FALSE),0),"")</f>
        <v/>
      </c>
      <c r="Z298" t="str">
        <f>IFERROR(ROUND(G298*VLOOKUP(F298,商品!$A$4:$B$60,2,FALSE),0),"")</f>
        <v/>
      </c>
      <c r="AA298" t="str">
        <f>IFERROR(ROUND(I298*VLOOKUP(H298,商品!$A$4:$B$60,2,FALSE),0),"")</f>
        <v/>
      </c>
      <c r="AB298" t="str">
        <f>IFERROR(ROUND(K298*VLOOKUP(J298,[1]note_pop_types!$A$16:$E$16,4,FALSE),0),"")</f>
        <v/>
      </c>
      <c r="AC298" t="str">
        <f>IFERROR(ROUND(M298*VLOOKUP(L298,[1]note_pop_types!$A$16:$E$16,4,FALSE),0),"")</f>
        <v/>
      </c>
      <c r="AD298" t="str">
        <f>IFERROR(ROUND(O298*VLOOKUP(N298,[1]note_pop_types!$A$16:$E$16,4,FALSE),0),"")</f>
        <v/>
      </c>
      <c r="AE298" t="str">
        <f>IFERROR(ROUND(Q298*VLOOKUP(P298,商品!$A$4:$B$60,2,FALSE),0),"")</f>
        <v/>
      </c>
      <c r="AF298" t="str">
        <f>IFERROR(ROUND(S298*VLOOKUP(R298,商品!$A$4:$B$60,2,FALSE),0),"")</f>
        <v/>
      </c>
    </row>
    <row r="299" spans="1:32" ht="19.05" customHeight="1" x14ac:dyDescent="0.25">
      <c r="A299" s="15" t="s">
        <v>239</v>
      </c>
      <c r="C299" s="15">
        <v>2</v>
      </c>
      <c r="T299" s="2">
        <f t="shared" si="16"/>
        <v>0</v>
      </c>
      <c r="U299" s="2">
        <f t="shared" si="17"/>
        <v>0</v>
      </c>
      <c r="V299" s="2">
        <f t="shared" si="18"/>
        <v>0</v>
      </c>
      <c r="W299" s="2">
        <f t="shared" si="19"/>
        <v>0</v>
      </c>
      <c r="Y299" t="str">
        <f>IFERROR(ROUND(E299*VLOOKUP(D299,商品!$A$4:$B$60,2,FALSE),0),"")</f>
        <v/>
      </c>
      <c r="Z299" t="str">
        <f>IFERROR(ROUND(G299*VLOOKUP(F299,商品!$A$4:$B$60,2,FALSE),0),"")</f>
        <v/>
      </c>
      <c r="AA299" t="str">
        <f>IFERROR(ROUND(I299*VLOOKUP(H299,商品!$A$4:$B$60,2,FALSE),0),"")</f>
        <v/>
      </c>
      <c r="AB299" t="str">
        <f>IFERROR(ROUND(K299*VLOOKUP(J299,[1]note_pop_types!$A$16:$E$16,4,FALSE),0),"")</f>
        <v/>
      </c>
      <c r="AC299" t="str">
        <f>IFERROR(ROUND(M299*VLOOKUP(L299,[1]note_pop_types!$A$16:$E$16,4,FALSE),0),"")</f>
        <v/>
      </c>
      <c r="AD299" t="str">
        <f>IFERROR(ROUND(O299*VLOOKUP(N299,[1]note_pop_types!$A$16:$E$16,4,FALSE),0),"")</f>
        <v/>
      </c>
      <c r="AE299" t="str">
        <f>IFERROR(ROUND(Q299*VLOOKUP(P299,商品!$A$4:$B$60,2,FALSE),0),"")</f>
        <v/>
      </c>
      <c r="AF299" t="str">
        <f>IFERROR(ROUND(S299*VLOOKUP(R299,商品!$A$4:$B$60,2,FALSE),0),"")</f>
        <v/>
      </c>
    </row>
    <row r="300" spans="1:32" ht="19.05" customHeight="1" x14ac:dyDescent="0.25">
      <c r="A300" s="15" t="s">
        <v>239</v>
      </c>
      <c r="C300" s="15">
        <v>3</v>
      </c>
      <c r="T300" s="2">
        <f t="shared" si="16"/>
        <v>0</v>
      </c>
      <c r="U300" s="2">
        <f t="shared" si="17"/>
        <v>0</v>
      </c>
      <c r="V300" s="2">
        <f t="shared" si="18"/>
        <v>0</v>
      </c>
      <c r="W300" s="2">
        <f t="shared" si="19"/>
        <v>0</v>
      </c>
      <c r="Y300" t="str">
        <f>IFERROR(ROUND(E300*VLOOKUP(D300,商品!$A$4:$B$60,2,FALSE),0),"")</f>
        <v/>
      </c>
      <c r="Z300" t="str">
        <f>IFERROR(ROUND(G300*VLOOKUP(F300,商品!$A$4:$B$60,2,FALSE),0),"")</f>
        <v/>
      </c>
      <c r="AA300" t="str">
        <f>IFERROR(ROUND(I300*VLOOKUP(H300,商品!$A$4:$B$60,2,FALSE),0),"")</f>
        <v/>
      </c>
      <c r="AB300" t="str">
        <f>IFERROR(ROUND(K300*VLOOKUP(J300,[1]note_pop_types!$A$16:$E$16,4,FALSE),0),"")</f>
        <v/>
      </c>
      <c r="AC300" t="str">
        <f>IFERROR(ROUND(M300*VLOOKUP(L300,[1]note_pop_types!$A$16:$E$16,4,FALSE),0),"")</f>
        <v/>
      </c>
      <c r="AD300" t="str">
        <f>IFERROR(ROUND(O300*VLOOKUP(N300,[1]note_pop_types!$A$16:$E$16,4,FALSE),0),"")</f>
        <v/>
      </c>
      <c r="AE300" t="str">
        <f>IFERROR(ROUND(Q300*VLOOKUP(P300,商品!$A$4:$B$60,2,FALSE),0),"")</f>
        <v/>
      </c>
      <c r="AF300" t="str">
        <f>IFERROR(ROUND(S300*VLOOKUP(R300,商品!$A$4:$B$60,2,FALSE),0),"")</f>
        <v/>
      </c>
    </row>
    <row r="301" spans="1:32" ht="19.05" customHeight="1" x14ac:dyDescent="0.25">
      <c r="A301" s="15" t="s">
        <v>239</v>
      </c>
      <c r="C301" s="15">
        <v>4</v>
      </c>
      <c r="T301" s="2">
        <f t="shared" si="16"/>
        <v>0</v>
      </c>
      <c r="U301" s="2">
        <f t="shared" si="17"/>
        <v>0</v>
      </c>
      <c r="V301" s="2">
        <f t="shared" si="18"/>
        <v>0</v>
      </c>
      <c r="W301" s="2">
        <f t="shared" si="19"/>
        <v>0</v>
      </c>
      <c r="Y301" t="str">
        <f>IFERROR(ROUND(E301*VLOOKUP(D301,商品!$A$4:$B$60,2,FALSE),0),"")</f>
        <v/>
      </c>
      <c r="Z301" t="str">
        <f>IFERROR(ROUND(G301*VLOOKUP(F301,商品!$A$4:$B$60,2,FALSE),0),"")</f>
        <v/>
      </c>
      <c r="AA301" t="str">
        <f>IFERROR(ROUND(I301*VLOOKUP(H301,商品!$A$4:$B$60,2,FALSE),0),"")</f>
        <v/>
      </c>
      <c r="AB301" t="str">
        <f>IFERROR(ROUND(K301*VLOOKUP(J301,[1]note_pop_types!$A$16:$E$16,4,FALSE),0),"")</f>
        <v/>
      </c>
      <c r="AC301" t="str">
        <f>IFERROR(ROUND(M301*VLOOKUP(L301,[1]note_pop_types!$A$16:$E$16,4,FALSE),0),"")</f>
        <v/>
      </c>
      <c r="AD301" t="str">
        <f>IFERROR(ROUND(O301*VLOOKUP(N301,[1]note_pop_types!$A$16:$E$16,4,FALSE),0),"")</f>
        <v/>
      </c>
      <c r="AE301" t="str">
        <f>IFERROR(ROUND(Q301*VLOOKUP(P301,商品!$A$4:$B$60,2,FALSE),0),"")</f>
        <v/>
      </c>
      <c r="AF301" t="str">
        <f>IFERROR(ROUND(S301*VLOOKUP(R301,商品!$A$4:$B$60,2,FALSE),0),"")</f>
        <v/>
      </c>
    </row>
    <row r="302" spans="1:32" ht="19.05" customHeight="1" x14ac:dyDescent="0.25">
      <c r="A302" s="15" t="s">
        <v>239</v>
      </c>
      <c r="C302" s="15">
        <v>5</v>
      </c>
      <c r="T302" s="2">
        <f t="shared" si="16"/>
        <v>0</v>
      </c>
      <c r="U302" s="2">
        <f t="shared" si="17"/>
        <v>0</v>
      </c>
      <c r="V302" s="2">
        <f t="shared" si="18"/>
        <v>0</v>
      </c>
      <c r="W302" s="2">
        <f t="shared" si="19"/>
        <v>0</v>
      </c>
      <c r="Y302" t="str">
        <f>IFERROR(ROUND(E302*VLOOKUP(D302,商品!$A$4:$B$60,2,FALSE),0),"")</f>
        <v/>
      </c>
      <c r="Z302" t="str">
        <f>IFERROR(ROUND(G302*VLOOKUP(F302,商品!$A$4:$B$60,2,FALSE),0),"")</f>
        <v/>
      </c>
      <c r="AA302" t="str">
        <f>IFERROR(ROUND(I302*VLOOKUP(H302,商品!$A$4:$B$60,2,FALSE),0),"")</f>
        <v/>
      </c>
      <c r="AB302" t="str">
        <f>IFERROR(ROUND(K302*VLOOKUP(J302,[1]note_pop_types!$A$16:$E$16,4,FALSE),0),"")</f>
        <v/>
      </c>
      <c r="AC302" t="str">
        <f>IFERROR(ROUND(M302*VLOOKUP(L302,[1]note_pop_types!$A$16:$E$16,4,FALSE),0),"")</f>
        <v/>
      </c>
      <c r="AD302" t="str">
        <f>IFERROR(ROUND(O302*VLOOKUP(N302,[1]note_pop_types!$A$16:$E$16,4,FALSE),0),"")</f>
        <v/>
      </c>
      <c r="AE302" t="str">
        <f>IFERROR(ROUND(Q302*VLOOKUP(P302,商品!$A$4:$B$60,2,FALSE),0),"")</f>
        <v/>
      </c>
      <c r="AF302" t="str">
        <f>IFERROR(ROUND(S302*VLOOKUP(R302,商品!$A$4:$B$60,2,FALSE),0),"")</f>
        <v/>
      </c>
    </row>
    <row r="303" spans="1:32" ht="19.05" customHeight="1" x14ac:dyDescent="0.25">
      <c r="A303" s="16" t="s">
        <v>516</v>
      </c>
      <c r="C303" s="16">
        <v>1</v>
      </c>
      <c r="T303" s="2">
        <f t="shared" si="16"/>
        <v>0</v>
      </c>
      <c r="U303" s="2">
        <f t="shared" si="17"/>
        <v>0</v>
      </c>
      <c r="V303" s="2">
        <f t="shared" si="18"/>
        <v>0</v>
      </c>
      <c r="W303" s="2">
        <f t="shared" si="19"/>
        <v>0</v>
      </c>
      <c r="Y303" t="str">
        <f>IFERROR(ROUND(E303*VLOOKUP(D303,商品!$A$4:$B$60,2,FALSE),0),"")</f>
        <v/>
      </c>
      <c r="Z303" t="str">
        <f>IFERROR(ROUND(G303*VLOOKUP(F303,商品!$A$4:$B$60,2,FALSE),0),"")</f>
        <v/>
      </c>
      <c r="AA303" t="str">
        <f>IFERROR(ROUND(I303*VLOOKUP(H303,商品!$A$4:$B$60,2,FALSE),0),"")</f>
        <v/>
      </c>
      <c r="AB303" t="str">
        <f>IFERROR(ROUND(K303*VLOOKUP(J303,[1]note_pop_types!$A$16:$E$16,4,FALSE),0),"")</f>
        <v/>
      </c>
      <c r="AC303" t="str">
        <f>IFERROR(ROUND(M303*VLOOKUP(L303,[1]note_pop_types!$A$16:$E$16,4,FALSE),0),"")</f>
        <v/>
      </c>
      <c r="AD303" t="str">
        <f>IFERROR(ROUND(O303*VLOOKUP(N303,[1]note_pop_types!$A$16:$E$16,4,FALSE),0),"")</f>
        <v/>
      </c>
      <c r="AE303" t="str">
        <f>IFERROR(ROUND(Q303*VLOOKUP(P303,商品!$A$4:$B$60,2,FALSE),0),"")</f>
        <v/>
      </c>
      <c r="AF303" t="str">
        <f>IFERROR(ROUND(S303*VLOOKUP(R303,商品!$A$4:$B$60,2,FALSE),0),"")</f>
        <v/>
      </c>
    </row>
    <row r="304" spans="1:32" ht="19.05" customHeight="1" x14ac:dyDescent="0.25">
      <c r="A304" s="16" t="s">
        <v>516</v>
      </c>
      <c r="C304" s="16">
        <v>2</v>
      </c>
      <c r="T304" s="2">
        <f t="shared" si="16"/>
        <v>0</v>
      </c>
      <c r="U304" s="2">
        <f t="shared" si="17"/>
        <v>0</v>
      </c>
      <c r="V304" s="2">
        <f t="shared" si="18"/>
        <v>0</v>
      </c>
      <c r="W304" s="2">
        <f t="shared" si="19"/>
        <v>0</v>
      </c>
      <c r="Y304" t="str">
        <f>IFERROR(ROUND(E304*VLOOKUP(D304,商品!$A$4:$B$60,2,FALSE),0),"")</f>
        <v/>
      </c>
      <c r="Z304" t="str">
        <f>IFERROR(ROUND(G304*VLOOKUP(F304,商品!$A$4:$B$60,2,FALSE),0),"")</f>
        <v/>
      </c>
      <c r="AA304" t="str">
        <f>IFERROR(ROUND(I304*VLOOKUP(H304,商品!$A$4:$B$60,2,FALSE),0),"")</f>
        <v/>
      </c>
      <c r="AB304" t="str">
        <f>IFERROR(ROUND(K304*VLOOKUP(J304,[1]note_pop_types!$A$16:$E$16,4,FALSE),0),"")</f>
        <v/>
      </c>
      <c r="AC304" t="str">
        <f>IFERROR(ROUND(M304*VLOOKUP(L304,[1]note_pop_types!$A$16:$E$16,4,FALSE),0),"")</f>
        <v/>
      </c>
      <c r="AD304" t="str">
        <f>IFERROR(ROUND(O304*VLOOKUP(N304,[1]note_pop_types!$A$16:$E$16,4,FALSE),0),"")</f>
        <v/>
      </c>
      <c r="AE304" t="str">
        <f>IFERROR(ROUND(Q304*VLOOKUP(P304,商品!$A$4:$B$60,2,FALSE),0),"")</f>
        <v/>
      </c>
      <c r="AF304" t="str">
        <f>IFERROR(ROUND(S304*VLOOKUP(R304,商品!$A$4:$B$60,2,FALSE),0),"")</f>
        <v/>
      </c>
    </row>
    <row r="305" spans="1:32" ht="19.05" customHeight="1" x14ac:dyDescent="0.25">
      <c r="A305" s="16" t="s">
        <v>516</v>
      </c>
      <c r="C305" s="16">
        <v>3</v>
      </c>
      <c r="T305" s="2">
        <f t="shared" si="16"/>
        <v>0</v>
      </c>
      <c r="U305" s="2">
        <f t="shared" si="17"/>
        <v>0</v>
      </c>
      <c r="V305" s="2">
        <f t="shared" si="18"/>
        <v>0</v>
      </c>
      <c r="W305" s="2">
        <f t="shared" si="19"/>
        <v>0</v>
      </c>
      <c r="Y305" t="str">
        <f>IFERROR(ROUND(E305*VLOOKUP(D305,商品!$A$4:$B$60,2,FALSE),0),"")</f>
        <v/>
      </c>
      <c r="Z305" t="str">
        <f>IFERROR(ROUND(G305*VLOOKUP(F305,商品!$A$4:$B$60,2,FALSE),0),"")</f>
        <v/>
      </c>
      <c r="AA305" t="str">
        <f>IFERROR(ROUND(I305*VLOOKUP(H305,商品!$A$4:$B$60,2,FALSE),0),"")</f>
        <v/>
      </c>
      <c r="AB305" t="str">
        <f>IFERROR(ROUND(K305*VLOOKUP(J305,[1]note_pop_types!$A$16:$E$16,4,FALSE),0),"")</f>
        <v/>
      </c>
      <c r="AC305" t="str">
        <f>IFERROR(ROUND(M305*VLOOKUP(L305,[1]note_pop_types!$A$16:$E$16,4,FALSE),0),"")</f>
        <v/>
      </c>
      <c r="AD305" t="str">
        <f>IFERROR(ROUND(O305*VLOOKUP(N305,[1]note_pop_types!$A$16:$E$16,4,FALSE),0),"")</f>
        <v/>
      </c>
      <c r="AE305" t="str">
        <f>IFERROR(ROUND(Q305*VLOOKUP(P305,商品!$A$4:$B$60,2,FALSE),0),"")</f>
        <v/>
      </c>
      <c r="AF305" t="str">
        <f>IFERROR(ROUND(S305*VLOOKUP(R305,商品!$A$4:$B$60,2,FALSE),0),"")</f>
        <v/>
      </c>
    </row>
    <row r="306" spans="1:32" ht="19.05" customHeight="1" x14ac:dyDescent="0.25">
      <c r="A306" s="16" t="s">
        <v>516</v>
      </c>
      <c r="C306" s="16">
        <v>4</v>
      </c>
      <c r="T306" s="2">
        <f t="shared" si="16"/>
        <v>0</v>
      </c>
      <c r="U306" s="2">
        <f t="shared" si="17"/>
        <v>0</v>
      </c>
      <c r="V306" s="2">
        <f t="shared" si="18"/>
        <v>0</v>
      </c>
      <c r="W306" s="2">
        <f t="shared" si="19"/>
        <v>0</v>
      </c>
      <c r="Y306" t="str">
        <f>IFERROR(ROUND(E306*VLOOKUP(D306,商品!$A$4:$B$60,2,FALSE),0),"")</f>
        <v/>
      </c>
      <c r="Z306" t="str">
        <f>IFERROR(ROUND(G306*VLOOKUP(F306,商品!$A$4:$B$60,2,FALSE),0),"")</f>
        <v/>
      </c>
      <c r="AA306" t="str">
        <f>IFERROR(ROUND(I306*VLOOKUP(H306,商品!$A$4:$B$60,2,FALSE),0),"")</f>
        <v/>
      </c>
      <c r="AB306" t="str">
        <f>IFERROR(ROUND(K306*VLOOKUP(J306,[1]note_pop_types!$A$16:$E$16,4,FALSE),0),"")</f>
        <v/>
      </c>
      <c r="AC306" t="str">
        <f>IFERROR(ROUND(M306*VLOOKUP(L306,[1]note_pop_types!$A$16:$E$16,4,FALSE),0),"")</f>
        <v/>
      </c>
      <c r="AD306" t="str">
        <f>IFERROR(ROUND(O306*VLOOKUP(N306,[1]note_pop_types!$A$16:$E$16,4,FALSE),0),"")</f>
        <v/>
      </c>
      <c r="AE306" t="str">
        <f>IFERROR(ROUND(Q306*VLOOKUP(P306,商品!$A$4:$B$60,2,FALSE),0),"")</f>
        <v/>
      </c>
      <c r="AF306" t="str">
        <f>IFERROR(ROUND(S306*VLOOKUP(R306,商品!$A$4:$B$60,2,FALSE),0),"")</f>
        <v/>
      </c>
    </row>
    <row r="307" spans="1:32" ht="19.05" customHeight="1" x14ac:dyDescent="0.25">
      <c r="A307" s="16" t="s">
        <v>516</v>
      </c>
      <c r="C307" s="16">
        <v>5</v>
      </c>
      <c r="T307" s="2">
        <f t="shared" si="16"/>
        <v>0</v>
      </c>
      <c r="U307" s="2">
        <f t="shared" si="17"/>
        <v>0</v>
      </c>
      <c r="V307" s="2">
        <f t="shared" si="18"/>
        <v>0</v>
      </c>
      <c r="W307" s="2">
        <f t="shared" si="19"/>
        <v>0</v>
      </c>
      <c r="Y307" t="str">
        <f>IFERROR(ROUND(E307*VLOOKUP(D307,商品!$A$4:$B$60,2,FALSE),0),"")</f>
        <v/>
      </c>
      <c r="Z307" t="str">
        <f>IFERROR(ROUND(G307*VLOOKUP(F307,商品!$A$4:$B$60,2,FALSE),0),"")</f>
        <v/>
      </c>
      <c r="AA307" t="str">
        <f>IFERROR(ROUND(I307*VLOOKUP(H307,商品!$A$4:$B$60,2,FALSE),0),"")</f>
        <v/>
      </c>
      <c r="AB307" t="str">
        <f>IFERROR(ROUND(K307*VLOOKUP(J307,[1]note_pop_types!$A$16:$E$16,4,FALSE),0),"")</f>
        <v/>
      </c>
      <c r="AC307" t="str">
        <f>IFERROR(ROUND(M307*VLOOKUP(L307,[1]note_pop_types!$A$16:$E$16,4,FALSE),0),"")</f>
        <v/>
      </c>
      <c r="AD307" t="str">
        <f>IFERROR(ROUND(O307*VLOOKUP(N307,[1]note_pop_types!$A$16:$E$16,4,FALSE),0),"")</f>
        <v/>
      </c>
      <c r="AE307" t="str">
        <f>IFERROR(ROUND(Q307*VLOOKUP(P307,商品!$A$4:$B$60,2,FALSE),0),"")</f>
        <v/>
      </c>
      <c r="AF307" t="str">
        <f>IFERROR(ROUND(S307*VLOOKUP(R307,商品!$A$4:$B$60,2,FALSE),0),"")</f>
        <v/>
      </c>
    </row>
    <row r="308" spans="1:32" ht="19.05" customHeight="1" x14ac:dyDescent="0.25">
      <c r="A308" s="15" t="s">
        <v>516</v>
      </c>
      <c r="C308" s="15">
        <v>1</v>
      </c>
      <c r="T308" s="2">
        <f t="shared" si="16"/>
        <v>0</v>
      </c>
      <c r="U308" s="2">
        <f t="shared" si="17"/>
        <v>0</v>
      </c>
      <c r="V308" s="2">
        <f t="shared" si="18"/>
        <v>0</v>
      </c>
      <c r="W308" s="2">
        <f t="shared" si="19"/>
        <v>0</v>
      </c>
      <c r="Y308" t="str">
        <f>IFERROR(ROUND(E308*VLOOKUP(D308,商品!$A$4:$B$60,2,FALSE),0),"")</f>
        <v/>
      </c>
      <c r="Z308" t="str">
        <f>IFERROR(ROUND(G308*VLOOKUP(F308,商品!$A$4:$B$60,2,FALSE),0),"")</f>
        <v/>
      </c>
      <c r="AA308" t="str">
        <f>IFERROR(ROUND(I308*VLOOKUP(H308,商品!$A$4:$B$60,2,FALSE),0),"")</f>
        <v/>
      </c>
      <c r="AB308" t="str">
        <f>IFERROR(ROUND(K308*VLOOKUP(J308,[1]note_pop_types!$A$16:$E$16,4,FALSE),0),"")</f>
        <v/>
      </c>
      <c r="AC308" t="str">
        <f>IFERROR(ROUND(M308*VLOOKUP(L308,[1]note_pop_types!$A$16:$E$16,4,FALSE),0),"")</f>
        <v/>
      </c>
      <c r="AD308" t="str">
        <f>IFERROR(ROUND(O308*VLOOKUP(N308,[1]note_pop_types!$A$16:$E$16,4,FALSE),0),"")</f>
        <v/>
      </c>
      <c r="AE308" t="str">
        <f>IFERROR(ROUND(Q308*VLOOKUP(P308,商品!$A$4:$B$60,2,FALSE),0),"")</f>
        <v/>
      </c>
      <c r="AF308" t="str">
        <f>IFERROR(ROUND(S308*VLOOKUP(R308,商品!$A$4:$B$60,2,FALSE),0),"")</f>
        <v/>
      </c>
    </row>
    <row r="309" spans="1:32" ht="19.05" customHeight="1" x14ac:dyDescent="0.25">
      <c r="A309" s="15" t="s">
        <v>516</v>
      </c>
      <c r="C309" s="15">
        <v>2</v>
      </c>
      <c r="T309" s="2">
        <f t="shared" si="16"/>
        <v>0</v>
      </c>
      <c r="U309" s="2">
        <f t="shared" si="17"/>
        <v>0</v>
      </c>
      <c r="V309" s="2">
        <f t="shared" si="18"/>
        <v>0</v>
      </c>
      <c r="W309" s="2">
        <f t="shared" si="19"/>
        <v>0</v>
      </c>
      <c r="Y309" t="str">
        <f>IFERROR(ROUND(E309*VLOOKUP(D309,商品!$A$4:$B$60,2,FALSE),0),"")</f>
        <v/>
      </c>
      <c r="Z309" t="str">
        <f>IFERROR(ROUND(G309*VLOOKUP(F309,商品!$A$4:$B$60,2,FALSE),0),"")</f>
        <v/>
      </c>
      <c r="AA309" t="str">
        <f>IFERROR(ROUND(I309*VLOOKUP(H309,商品!$A$4:$B$60,2,FALSE),0),"")</f>
        <v/>
      </c>
      <c r="AB309" t="str">
        <f>IFERROR(ROUND(K309*VLOOKUP(J309,[1]note_pop_types!$A$16:$E$16,4,FALSE),0),"")</f>
        <v/>
      </c>
      <c r="AC309" t="str">
        <f>IFERROR(ROUND(M309*VLOOKUP(L309,[1]note_pop_types!$A$16:$E$16,4,FALSE),0),"")</f>
        <v/>
      </c>
      <c r="AD309" t="str">
        <f>IFERROR(ROUND(O309*VLOOKUP(N309,[1]note_pop_types!$A$16:$E$16,4,FALSE),0),"")</f>
        <v/>
      </c>
      <c r="AE309" t="str">
        <f>IFERROR(ROUND(Q309*VLOOKUP(P309,商品!$A$4:$B$60,2,FALSE),0),"")</f>
        <v/>
      </c>
      <c r="AF309" t="str">
        <f>IFERROR(ROUND(S309*VLOOKUP(R309,商品!$A$4:$B$60,2,FALSE),0),"")</f>
        <v/>
      </c>
    </row>
    <row r="310" spans="1:32" ht="19.05" customHeight="1" x14ac:dyDescent="0.25">
      <c r="A310" s="15" t="s">
        <v>516</v>
      </c>
      <c r="C310" s="15">
        <v>3</v>
      </c>
      <c r="T310" s="2">
        <f t="shared" si="16"/>
        <v>0</v>
      </c>
      <c r="U310" s="2">
        <f t="shared" si="17"/>
        <v>0</v>
      </c>
      <c r="V310" s="2">
        <f t="shared" si="18"/>
        <v>0</v>
      </c>
      <c r="W310" s="2">
        <f t="shared" si="19"/>
        <v>0</v>
      </c>
      <c r="Y310" t="str">
        <f>IFERROR(ROUND(E310*VLOOKUP(D310,商品!$A$4:$B$60,2,FALSE),0),"")</f>
        <v/>
      </c>
      <c r="Z310" t="str">
        <f>IFERROR(ROUND(G310*VLOOKUP(F310,商品!$A$4:$B$60,2,FALSE),0),"")</f>
        <v/>
      </c>
      <c r="AA310" t="str">
        <f>IFERROR(ROUND(I310*VLOOKUP(H310,商品!$A$4:$B$60,2,FALSE),0),"")</f>
        <v/>
      </c>
      <c r="AB310" t="str">
        <f>IFERROR(ROUND(K310*VLOOKUP(J310,[1]note_pop_types!$A$16:$E$16,4,FALSE),0),"")</f>
        <v/>
      </c>
      <c r="AC310" t="str">
        <f>IFERROR(ROUND(M310*VLOOKUP(L310,[1]note_pop_types!$A$16:$E$16,4,FALSE),0),"")</f>
        <v/>
      </c>
      <c r="AD310" t="str">
        <f>IFERROR(ROUND(O310*VLOOKUP(N310,[1]note_pop_types!$A$16:$E$16,4,FALSE),0),"")</f>
        <v/>
      </c>
      <c r="AE310" t="str">
        <f>IFERROR(ROUND(Q310*VLOOKUP(P310,商品!$A$4:$B$60,2,FALSE),0),"")</f>
        <v/>
      </c>
      <c r="AF310" t="str">
        <f>IFERROR(ROUND(S310*VLOOKUP(R310,商品!$A$4:$B$60,2,FALSE),0),"")</f>
        <v/>
      </c>
    </row>
    <row r="311" spans="1:32" ht="19.05" customHeight="1" x14ac:dyDescent="0.25">
      <c r="A311" s="15" t="s">
        <v>516</v>
      </c>
      <c r="C311" s="15">
        <v>4</v>
      </c>
      <c r="T311" s="2">
        <f t="shared" si="16"/>
        <v>0</v>
      </c>
      <c r="U311" s="2">
        <f t="shared" si="17"/>
        <v>0</v>
      </c>
      <c r="V311" s="2">
        <f t="shared" si="18"/>
        <v>0</v>
      </c>
      <c r="W311" s="2">
        <f t="shared" si="19"/>
        <v>0</v>
      </c>
      <c r="Y311" t="str">
        <f>IFERROR(ROUND(E311*VLOOKUP(D311,商品!$A$4:$B$60,2,FALSE),0),"")</f>
        <v/>
      </c>
      <c r="Z311" t="str">
        <f>IFERROR(ROUND(G311*VLOOKUP(F311,商品!$A$4:$B$60,2,FALSE),0),"")</f>
        <v/>
      </c>
      <c r="AA311" t="str">
        <f>IFERROR(ROUND(I311*VLOOKUP(H311,商品!$A$4:$B$60,2,FALSE),0),"")</f>
        <v/>
      </c>
      <c r="AB311" t="str">
        <f>IFERROR(ROUND(K311*VLOOKUP(J311,[1]note_pop_types!$A$16:$E$16,4,FALSE),0),"")</f>
        <v/>
      </c>
      <c r="AC311" t="str">
        <f>IFERROR(ROUND(M311*VLOOKUP(L311,[1]note_pop_types!$A$16:$E$16,4,FALSE),0),"")</f>
        <v/>
      </c>
      <c r="AD311" t="str">
        <f>IFERROR(ROUND(O311*VLOOKUP(N311,[1]note_pop_types!$A$16:$E$16,4,FALSE),0),"")</f>
        <v/>
      </c>
      <c r="AE311" t="str">
        <f>IFERROR(ROUND(Q311*VLOOKUP(P311,商品!$A$4:$B$60,2,FALSE),0),"")</f>
        <v/>
      </c>
      <c r="AF311" t="str">
        <f>IFERROR(ROUND(S311*VLOOKUP(R311,商品!$A$4:$B$60,2,FALSE),0),"")</f>
        <v/>
      </c>
    </row>
    <row r="312" spans="1:32" ht="19.05" customHeight="1" x14ac:dyDescent="0.25">
      <c r="A312" s="15" t="s">
        <v>516</v>
      </c>
      <c r="C312" s="15">
        <v>5</v>
      </c>
      <c r="T312" s="2">
        <f t="shared" si="16"/>
        <v>0</v>
      </c>
      <c r="U312" s="2">
        <f t="shared" si="17"/>
        <v>0</v>
      </c>
      <c r="V312" s="2">
        <f t="shared" si="18"/>
        <v>0</v>
      </c>
      <c r="W312" s="2">
        <f t="shared" si="19"/>
        <v>0</v>
      </c>
      <c r="Y312" t="str">
        <f>IFERROR(ROUND(E312*VLOOKUP(D312,商品!$A$4:$B$60,2,FALSE),0),"")</f>
        <v/>
      </c>
      <c r="Z312" t="str">
        <f>IFERROR(ROUND(G312*VLOOKUP(F312,商品!$A$4:$B$60,2,FALSE),0),"")</f>
        <v/>
      </c>
      <c r="AA312" t="str">
        <f>IFERROR(ROUND(I312*VLOOKUP(H312,商品!$A$4:$B$60,2,FALSE),0),"")</f>
        <v/>
      </c>
      <c r="AB312" t="str">
        <f>IFERROR(ROUND(K312*VLOOKUP(J312,[1]note_pop_types!$A$16:$E$16,4,FALSE),0),"")</f>
        <v/>
      </c>
      <c r="AC312" t="str">
        <f>IFERROR(ROUND(M312*VLOOKUP(L312,[1]note_pop_types!$A$16:$E$16,4,FALSE),0),"")</f>
        <v/>
      </c>
      <c r="AD312" t="str">
        <f>IFERROR(ROUND(O312*VLOOKUP(N312,[1]note_pop_types!$A$16:$E$16,4,FALSE),0),"")</f>
        <v/>
      </c>
      <c r="AE312" t="str">
        <f>IFERROR(ROUND(Q312*VLOOKUP(P312,商品!$A$4:$B$60,2,FALSE),0),"")</f>
        <v/>
      </c>
      <c r="AF312" t="str">
        <f>IFERROR(ROUND(S312*VLOOKUP(R312,商品!$A$4:$B$60,2,FALSE),0),"")</f>
        <v/>
      </c>
    </row>
    <row r="313" spans="1:32" ht="19.05" customHeight="1" x14ac:dyDescent="0.25">
      <c r="A313" s="16" t="s">
        <v>242</v>
      </c>
      <c r="C313" s="16">
        <v>1</v>
      </c>
      <c r="T313" s="2">
        <f t="shared" si="16"/>
        <v>0</v>
      </c>
      <c r="U313" s="2">
        <f t="shared" si="17"/>
        <v>0</v>
      </c>
      <c r="V313" s="2">
        <f t="shared" si="18"/>
        <v>0</v>
      </c>
      <c r="W313" s="2">
        <f t="shared" si="19"/>
        <v>0</v>
      </c>
      <c r="Y313" t="str">
        <f>IFERROR(ROUND(E313*VLOOKUP(D313,商品!$A$4:$B$60,2,FALSE),0),"")</f>
        <v/>
      </c>
      <c r="Z313" t="str">
        <f>IFERROR(ROUND(G313*VLOOKUP(F313,商品!$A$4:$B$60,2,FALSE),0),"")</f>
        <v/>
      </c>
      <c r="AA313" t="str">
        <f>IFERROR(ROUND(I313*VLOOKUP(H313,商品!$A$4:$B$60,2,FALSE),0),"")</f>
        <v/>
      </c>
      <c r="AB313" t="str">
        <f>IFERROR(ROUND(K313*VLOOKUP(J313,[1]note_pop_types!$A$16:$E$16,4,FALSE),0),"")</f>
        <v/>
      </c>
      <c r="AC313" t="str">
        <f>IFERROR(ROUND(M313*VLOOKUP(L313,[1]note_pop_types!$A$16:$E$16,4,FALSE),0),"")</f>
        <v/>
      </c>
      <c r="AD313" t="str">
        <f>IFERROR(ROUND(O313*VLOOKUP(N313,[1]note_pop_types!$A$16:$E$16,4,FALSE),0),"")</f>
        <v/>
      </c>
      <c r="AE313" t="str">
        <f>IFERROR(ROUND(Q313*VLOOKUP(P313,商品!$A$4:$B$60,2,FALSE),0),"")</f>
        <v/>
      </c>
      <c r="AF313" t="str">
        <f>IFERROR(ROUND(S313*VLOOKUP(R313,商品!$A$4:$B$60,2,FALSE),0),"")</f>
        <v/>
      </c>
    </row>
    <row r="314" spans="1:32" ht="19.05" customHeight="1" x14ac:dyDescent="0.25">
      <c r="A314" s="16" t="s">
        <v>242</v>
      </c>
      <c r="C314" s="16">
        <v>2</v>
      </c>
      <c r="T314" s="2">
        <f t="shared" si="16"/>
        <v>0</v>
      </c>
      <c r="U314" s="2">
        <f t="shared" si="17"/>
        <v>0</v>
      </c>
      <c r="V314" s="2">
        <f t="shared" si="18"/>
        <v>0</v>
      </c>
      <c r="W314" s="2">
        <f t="shared" si="19"/>
        <v>0</v>
      </c>
      <c r="Y314" t="str">
        <f>IFERROR(ROUND(E314*VLOOKUP(D314,商品!$A$4:$B$60,2,FALSE),0),"")</f>
        <v/>
      </c>
      <c r="Z314" t="str">
        <f>IFERROR(ROUND(G314*VLOOKUP(F314,商品!$A$4:$B$60,2,FALSE),0),"")</f>
        <v/>
      </c>
      <c r="AA314" t="str">
        <f>IFERROR(ROUND(I314*VLOOKUP(H314,商品!$A$4:$B$60,2,FALSE),0),"")</f>
        <v/>
      </c>
      <c r="AB314" t="str">
        <f>IFERROR(ROUND(K314*VLOOKUP(J314,[1]note_pop_types!$A$16:$E$16,4,FALSE),0),"")</f>
        <v/>
      </c>
      <c r="AC314" t="str">
        <f>IFERROR(ROUND(M314*VLOOKUP(L314,[1]note_pop_types!$A$16:$E$16,4,FALSE),0),"")</f>
        <v/>
      </c>
      <c r="AD314" t="str">
        <f>IFERROR(ROUND(O314*VLOOKUP(N314,[1]note_pop_types!$A$16:$E$16,4,FALSE),0),"")</f>
        <v/>
      </c>
      <c r="AE314" t="str">
        <f>IFERROR(ROUND(Q314*VLOOKUP(P314,商品!$A$4:$B$60,2,FALSE),0),"")</f>
        <v/>
      </c>
      <c r="AF314" t="str">
        <f>IFERROR(ROUND(S314*VLOOKUP(R314,商品!$A$4:$B$60,2,FALSE),0),"")</f>
        <v/>
      </c>
    </row>
    <row r="315" spans="1:32" ht="19.05" customHeight="1" x14ac:dyDescent="0.25">
      <c r="A315" s="16" t="s">
        <v>242</v>
      </c>
      <c r="C315" s="16">
        <v>3</v>
      </c>
      <c r="T315" s="2">
        <f t="shared" si="16"/>
        <v>0</v>
      </c>
      <c r="U315" s="2">
        <f t="shared" si="17"/>
        <v>0</v>
      </c>
      <c r="V315" s="2">
        <f t="shared" si="18"/>
        <v>0</v>
      </c>
      <c r="W315" s="2">
        <f t="shared" si="19"/>
        <v>0</v>
      </c>
      <c r="Y315" t="str">
        <f>IFERROR(ROUND(E315*VLOOKUP(D315,商品!$A$4:$B$60,2,FALSE),0),"")</f>
        <v/>
      </c>
      <c r="Z315" t="str">
        <f>IFERROR(ROUND(G315*VLOOKUP(F315,商品!$A$4:$B$60,2,FALSE),0),"")</f>
        <v/>
      </c>
      <c r="AA315" t="str">
        <f>IFERROR(ROUND(I315*VLOOKUP(H315,商品!$A$4:$B$60,2,FALSE),0),"")</f>
        <v/>
      </c>
      <c r="AB315" t="str">
        <f>IFERROR(ROUND(K315*VLOOKUP(J315,[1]note_pop_types!$A$16:$E$16,4,FALSE),0),"")</f>
        <v/>
      </c>
      <c r="AC315" t="str">
        <f>IFERROR(ROUND(M315*VLOOKUP(L315,[1]note_pop_types!$A$16:$E$16,4,FALSE),0),"")</f>
        <v/>
      </c>
      <c r="AD315" t="str">
        <f>IFERROR(ROUND(O315*VLOOKUP(N315,[1]note_pop_types!$A$16:$E$16,4,FALSE),0),"")</f>
        <v/>
      </c>
      <c r="AE315" t="str">
        <f>IFERROR(ROUND(Q315*VLOOKUP(P315,商品!$A$4:$B$60,2,FALSE),0),"")</f>
        <v/>
      </c>
      <c r="AF315" t="str">
        <f>IFERROR(ROUND(S315*VLOOKUP(R315,商品!$A$4:$B$60,2,FALSE),0),"")</f>
        <v/>
      </c>
    </row>
    <row r="316" spans="1:32" ht="19.05" customHeight="1" x14ac:dyDescent="0.25">
      <c r="A316" s="16" t="s">
        <v>242</v>
      </c>
      <c r="C316" s="16">
        <v>4</v>
      </c>
      <c r="T316" s="2">
        <f t="shared" si="16"/>
        <v>0</v>
      </c>
      <c r="U316" s="2">
        <f t="shared" si="17"/>
        <v>0</v>
      </c>
      <c r="V316" s="2">
        <f t="shared" si="18"/>
        <v>0</v>
      </c>
      <c r="W316" s="2">
        <f t="shared" si="19"/>
        <v>0</v>
      </c>
      <c r="Y316" t="str">
        <f>IFERROR(ROUND(E316*VLOOKUP(D316,商品!$A$4:$B$60,2,FALSE),0),"")</f>
        <v/>
      </c>
      <c r="Z316" t="str">
        <f>IFERROR(ROUND(G316*VLOOKUP(F316,商品!$A$4:$B$60,2,FALSE),0),"")</f>
        <v/>
      </c>
      <c r="AA316" t="str">
        <f>IFERROR(ROUND(I316*VLOOKUP(H316,商品!$A$4:$B$60,2,FALSE),0),"")</f>
        <v/>
      </c>
      <c r="AB316" t="str">
        <f>IFERROR(ROUND(K316*VLOOKUP(J316,[1]note_pop_types!$A$16:$E$16,4,FALSE),0),"")</f>
        <v/>
      </c>
      <c r="AC316" t="str">
        <f>IFERROR(ROUND(M316*VLOOKUP(L316,[1]note_pop_types!$A$16:$E$16,4,FALSE),0),"")</f>
        <v/>
      </c>
      <c r="AD316" t="str">
        <f>IFERROR(ROUND(O316*VLOOKUP(N316,[1]note_pop_types!$A$16:$E$16,4,FALSE),0),"")</f>
        <v/>
      </c>
      <c r="AE316" t="str">
        <f>IFERROR(ROUND(Q316*VLOOKUP(P316,商品!$A$4:$B$60,2,FALSE),0),"")</f>
        <v/>
      </c>
      <c r="AF316" t="str">
        <f>IFERROR(ROUND(S316*VLOOKUP(R316,商品!$A$4:$B$60,2,FALSE),0),"")</f>
        <v/>
      </c>
    </row>
    <row r="317" spans="1:32" ht="19.05" customHeight="1" x14ac:dyDescent="0.25">
      <c r="A317" s="16" t="s">
        <v>242</v>
      </c>
      <c r="C317" s="16">
        <v>5</v>
      </c>
      <c r="T317" s="2">
        <f t="shared" si="16"/>
        <v>0</v>
      </c>
      <c r="U317" s="2">
        <f t="shared" si="17"/>
        <v>0</v>
      </c>
      <c r="V317" s="2">
        <f t="shared" si="18"/>
        <v>0</v>
      </c>
      <c r="W317" s="2">
        <f t="shared" si="19"/>
        <v>0</v>
      </c>
      <c r="Y317" t="str">
        <f>IFERROR(ROUND(E317*VLOOKUP(D317,商品!$A$4:$B$60,2,FALSE),0),"")</f>
        <v/>
      </c>
      <c r="Z317" t="str">
        <f>IFERROR(ROUND(G317*VLOOKUP(F317,商品!$A$4:$B$60,2,FALSE),0),"")</f>
        <v/>
      </c>
      <c r="AA317" t="str">
        <f>IFERROR(ROUND(I317*VLOOKUP(H317,商品!$A$4:$B$60,2,FALSE),0),"")</f>
        <v/>
      </c>
      <c r="AB317" t="str">
        <f>IFERROR(ROUND(K317*VLOOKUP(J317,[1]note_pop_types!$A$16:$E$16,4,FALSE),0),"")</f>
        <v/>
      </c>
      <c r="AC317" t="str">
        <f>IFERROR(ROUND(M317*VLOOKUP(L317,[1]note_pop_types!$A$16:$E$16,4,FALSE),0),"")</f>
        <v/>
      </c>
      <c r="AD317" t="str">
        <f>IFERROR(ROUND(O317*VLOOKUP(N317,[1]note_pop_types!$A$16:$E$16,4,FALSE),0),"")</f>
        <v/>
      </c>
      <c r="AE317" t="str">
        <f>IFERROR(ROUND(Q317*VLOOKUP(P317,商品!$A$4:$B$60,2,FALSE),0),"")</f>
        <v/>
      </c>
      <c r="AF317" t="str">
        <f>IFERROR(ROUND(S317*VLOOKUP(R317,商品!$A$4:$B$60,2,FALSE),0),"")</f>
        <v/>
      </c>
    </row>
    <row r="318" spans="1:32" ht="19.05" customHeight="1" x14ac:dyDescent="0.25">
      <c r="A318" s="16" t="s">
        <v>242</v>
      </c>
      <c r="C318" s="16">
        <v>6</v>
      </c>
      <c r="T318" s="2">
        <f t="shared" si="16"/>
        <v>0</v>
      </c>
      <c r="U318" s="2">
        <f t="shared" si="17"/>
        <v>0</v>
      </c>
      <c r="V318" s="2">
        <f t="shared" si="18"/>
        <v>0</v>
      </c>
      <c r="W318" s="2">
        <f t="shared" si="19"/>
        <v>0</v>
      </c>
      <c r="Y318" t="str">
        <f>IFERROR(ROUND(E318*VLOOKUP(D318,商品!$A$4:$B$60,2,FALSE),0),"")</f>
        <v/>
      </c>
      <c r="Z318" t="str">
        <f>IFERROR(ROUND(G318*VLOOKUP(F318,商品!$A$4:$B$60,2,FALSE),0),"")</f>
        <v/>
      </c>
      <c r="AA318" t="str">
        <f>IFERROR(ROUND(I318*VLOOKUP(H318,商品!$A$4:$B$60,2,FALSE),0),"")</f>
        <v/>
      </c>
      <c r="AB318" t="str">
        <f>IFERROR(ROUND(K318*VLOOKUP(J318,[1]note_pop_types!$A$16:$E$16,4,FALSE),0),"")</f>
        <v/>
      </c>
      <c r="AC318" t="str">
        <f>IFERROR(ROUND(M318*VLOOKUP(L318,[1]note_pop_types!$A$16:$E$16,4,FALSE),0),"")</f>
        <v/>
      </c>
      <c r="AD318" t="str">
        <f>IFERROR(ROUND(O318*VLOOKUP(N318,[1]note_pop_types!$A$16:$E$16,4,FALSE),0),"")</f>
        <v/>
      </c>
      <c r="AE318" t="str">
        <f>IFERROR(ROUND(Q318*VLOOKUP(P318,商品!$A$4:$B$60,2,FALSE),0),"")</f>
        <v/>
      </c>
      <c r="AF318" t="str">
        <f>IFERROR(ROUND(S318*VLOOKUP(R318,商品!$A$4:$B$60,2,FALSE),0),"")</f>
        <v/>
      </c>
    </row>
    <row r="319" spans="1:32" ht="19.05" customHeight="1" x14ac:dyDescent="0.25">
      <c r="A319" s="16" t="s">
        <v>242</v>
      </c>
      <c r="C319" s="16">
        <v>7</v>
      </c>
      <c r="T319" s="2">
        <f t="shared" si="16"/>
        <v>0</v>
      </c>
      <c r="U319" s="2">
        <f t="shared" si="17"/>
        <v>0</v>
      </c>
      <c r="V319" s="2">
        <f t="shared" si="18"/>
        <v>0</v>
      </c>
      <c r="W319" s="2">
        <f t="shared" si="19"/>
        <v>0</v>
      </c>
      <c r="Y319" t="str">
        <f>IFERROR(ROUND(E319*VLOOKUP(D319,商品!$A$4:$B$60,2,FALSE),0),"")</f>
        <v/>
      </c>
      <c r="Z319" t="str">
        <f>IFERROR(ROUND(G319*VLOOKUP(F319,商品!$A$4:$B$60,2,FALSE),0),"")</f>
        <v/>
      </c>
      <c r="AA319" t="str">
        <f>IFERROR(ROUND(I319*VLOOKUP(H319,商品!$A$4:$B$60,2,FALSE),0),"")</f>
        <v/>
      </c>
      <c r="AB319" t="str">
        <f>IFERROR(ROUND(K319*VLOOKUP(J319,[1]note_pop_types!$A$16:$E$16,4,FALSE),0),"")</f>
        <v/>
      </c>
      <c r="AC319" t="str">
        <f>IFERROR(ROUND(M319*VLOOKUP(L319,[1]note_pop_types!$A$16:$E$16,4,FALSE),0),"")</f>
        <v/>
      </c>
      <c r="AD319" t="str">
        <f>IFERROR(ROUND(O319*VLOOKUP(N319,[1]note_pop_types!$A$16:$E$16,4,FALSE),0),"")</f>
        <v/>
      </c>
      <c r="AE319" t="str">
        <f>IFERROR(ROUND(Q319*VLOOKUP(P319,商品!$A$4:$B$60,2,FALSE),0),"")</f>
        <v/>
      </c>
      <c r="AF319" t="str">
        <f>IFERROR(ROUND(S319*VLOOKUP(R319,商品!$A$4:$B$60,2,FALSE),0),"")</f>
        <v/>
      </c>
    </row>
    <row r="320" spans="1:32" ht="19.05" customHeight="1" x14ac:dyDescent="0.25">
      <c r="A320" s="16" t="s">
        <v>242</v>
      </c>
      <c r="C320" s="16">
        <v>8</v>
      </c>
      <c r="T320" s="2">
        <f t="shared" si="16"/>
        <v>0</v>
      </c>
      <c r="U320" s="2">
        <f t="shared" si="17"/>
        <v>0</v>
      </c>
      <c r="V320" s="2">
        <f t="shared" si="18"/>
        <v>0</v>
      </c>
      <c r="W320" s="2">
        <f t="shared" si="19"/>
        <v>0</v>
      </c>
      <c r="Y320" t="str">
        <f>IFERROR(ROUND(E320*VLOOKUP(D320,商品!$A$4:$B$60,2,FALSE),0),"")</f>
        <v/>
      </c>
      <c r="Z320" t="str">
        <f>IFERROR(ROUND(G320*VLOOKUP(F320,商品!$A$4:$B$60,2,FALSE),0),"")</f>
        <v/>
      </c>
      <c r="AA320" t="str">
        <f>IFERROR(ROUND(I320*VLOOKUP(H320,商品!$A$4:$B$60,2,FALSE),0),"")</f>
        <v/>
      </c>
      <c r="AB320" t="str">
        <f>IFERROR(ROUND(K320*VLOOKUP(J320,[1]note_pop_types!$A$16:$E$16,4,FALSE),0),"")</f>
        <v/>
      </c>
      <c r="AC320" t="str">
        <f>IFERROR(ROUND(M320*VLOOKUP(L320,[1]note_pop_types!$A$16:$E$16,4,FALSE),0),"")</f>
        <v/>
      </c>
      <c r="AD320" t="str">
        <f>IFERROR(ROUND(O320*VLOOKUP(N320,[1]note_pop_types!$A$16:$E$16,4,FALSE),0),"")</f>
        <v/>
      </c>
      <c r="AE320" t="str">
        <f>IFERROR(ROUND(Q320*VLOOKUP(P320,商品!$A$4:$B$60,2,FALSE),0),"")</f>
        <v/>
      </c>
      <c r="AF320" t="str">
        <f>IFERROR(ROUND(S320*VLOOKUP(R320,商品!$A$4:$B$60,2,FALSE),0),"")</f>
        <v/>
      </c>
    </row>
    <row r="321" spans="1:32" ht="19.05" customHeight="1" x14ac:dyDescent="0.25">
      <c r="A321" s="15" t="s">
        <v>244</v>
      </c>
      <c r="C321" s="15">
        <v>1</v>
      </c>
      <c r="T321" s="2">
        <f t="shared" si="16"/>
        <v>0</v>
      </c>
      <c r="U321" s="2">
        <f t="shared" si="17"/>
        <v>0</v>
      </c>
      <c r="V321" s="2">
        <f t="shared" si="18"/>
        <v>0</v>
      </c>
      <c r="W321" s="2">
        <f t="shared" si="19"/>
        <v>0</v>
      </c>
      <c r="Y321" t="str">
        <f>IFERROR(ROUND(E321*VLOOKUP(D321,商品!$A$4:$B$60,2,FALSE),0),"")</f>
        <v/>
      </c>
      <c r="Z321" t="str">
        <f>IFERROR(ROUND(G321*VLOOKUP(F321,商品!$A$4:$B$60,2,FALSE),0),"")</f>
        <v/>
      </c>
      <c r="AA321" t="str">
        <f>IFERROR(ROUND(I321*VLOOKUP(H321,商品!$A$4:$B$60,2,FALSE),0),"")</f>
        <v/>
      </c>
      <c r="AB321" t="str">
        <f>IFERROR(ROUND(K321*VLOOKUP(J321,[1]note_pop_types!$A$16:$E$16,4,FALSE),0),"")</f>
        <v/>
      </c>
      <c r="AC321" t="str">
        <f>IFERROR(ROUND(M321*VLOOKUP(L321,[1]note_pop_types!$A$16:$E$16,4,FALSE),0),"")</f>
        <v/>
      </c>
      <c r="AD321" t="str">
        <f>IFERROR(ROUND(O321*VLOOKUP(N321,[1]note_pop_types!$A$16:$E$16,4,FALSE),0),"")</f>
        <v/>
      </c>
      <c r="AE321" t="str">
        <f>IFERROR(ROUND(Q321*VLOOKUP(P321,商品!$A$4:$B$60,2,FALSE),0),"")</f>
        <v/>
      </c>
      <c r="AF321" t="str">
        <f>IFERROR(ROUND(S321*VLOOKUP(R321,商品!$A$4:$B$60,2,FALSE),0),"")</f>
        <v/>
      </c>
    </row>
    <row r="322" spans="1:32" ht="19.05" customHeight="1" x14ac:dyDescent="0.25">
      <c r="A322" s="15" t="s">
        <v>244</v>
      </c>
      <c r="C322" s="15">
        <v>2</v>
      </c>
      <c r="T322" s="2">
        <f t="shared" si="16"/>
        <v>0</v>
      </c>
      <c r="U322" s="2">
        <f t="shared" si="17"/>
        <v>0</v>
      </c>
      <c r="V322" s="2">
        <f t="shared" si="18"/>
        <v>0</v>
      </c>
      <c r="W322" s="2">
        <f t="shared" si="19"/>
        <v>0</v>
      </c>
      <c r="Y322" t="str">
        <f>IFERROR(ROUND(E322*VLOOKUP(D322,商品!$A$4:$B$60,2,FALSE),0),"")</f>
        <v/>
      </c>
      <c r="Z322" t="str">
        <f>IFERROR(ROUND(G322*VLOOKUP(F322,商品!$A$4:$B$60,2,FALSE),0),"")</f>
        <v/>
      </c>
      <c r="AA322" t="str">
        <f>IFERROR(ROUND(I322*VLOOKUP(H322,商品!$A$4:$B$60,2,FALSE),0),"")</f>
        <v/>
      </c>
      <c r="AB322" t="str">
        <f>IFERROR(ROUND(K322*VLOOKUP(J322,[1]note_pop_types!$A$16:$E$16,4,FALSE),0),"")</f>
        <v/>
      </c>
      <c r="AC322" t="str">
        <f>IFERROR(ROUND(M322*VLOOKUP(L322,[1]note_pop_types!$A$16:$E$16,4,FALSE),0),"")</f>
        <v/>
      </c>
      <c r="AD322" t="str">
        <f>IFERROR(ROUND(O322*VLOOKUP(N322,[1]note_pop_types!$A$16:$E$16,4,FALSE),0),"")</f>
        <v/>
      </c>
      <c r="AE322" t="str">
        <f>IFERROR(ROUND(Q322*VLOOKUP(P322,商品!$A$4:$B$60,2,FALSE),0),"")</f>
        <v/>
      </c>
      <c r="AF322" t="str">
        <f>IFERROR(ROUND(S322*VLOOKUP(R322,商品!$A$4:$B$60,2,FALSE),0),"")</f>
        <v/>
      </c>
    </row>
    <row r="323" spans="1:32" ht="19.05" customHeight="1" x14ac:dyDescent="0.25">
      <c r="A323" s="15" t="s">
        <v>244</v>
      </c>
      <c r="C323" s="15">
        <v>3</v>
      </c>
      <c r="T323" s="2">
        <f t="shared" si="16"/>
        <v>0</v>
      </c>
      <c r="U323" s="2">
        <f t="shared" si="17"/>
        <v>0</v>
      </c>
      <c r="V323" s="2">
        <f t="shared" si="18"/>
        <v>0</v>
      </c>
      <c r="W323" s="2">
        <f t="shared" si="19"/>
        <v>0</v>
      </c>
      <c r="Y323" t="str">
        <f>IFERROR(ROUND(E323*VLOOKUP(D323,商品!$A$4:$B$60,2,FALSE),0),"")</f>
        <v/>
      </c>
      <c r="Z323" t="str">
        <f>IFERROR(ROUND(G323*VLOOKUP(F323,商品!$A$4:$B$60,2,FALSE),0),"")</f>
        <v/>
      </c>
      <c r="AA323" t="str">
        <f>IFERROR(ROUND(I323*VLOOKUP(H323,商品!$A$4:$B$60,2,FALSE),0),"")</f>
        <v/>
      </c>
      <c r="AB323" t="str">
        <f>IFERROR(ROUND(K323*VLOOKUP(J323,[1]note_pop_types!$A$16:$E$16,4,FALSE),0),"")</f>
        <v/>
      </c>
      <c r="AC323" t="str">
        <f>IFERROR(ROUND(M323*VLOOKUP(L323,[1]note_pop_types!$A$16:$E$16,4,FALSE),0),"")</f>
        <v/>
      </c>
      <c r="AD323" t="str">
        <f>IFERROR(ROUND(O323*VLOOKUP(N323,[1]note_pop_types!$A$16:$E$16,4,FALSE),0),"")</f>
        <v/>
      </c>
      <c r="AE323" t="str">
        <f>IFERROR(ROUND(Q323*VLOOKUP(P323,商品!$A$4:$B$60,2,FALSE),0),"")</f>
        <v/>
      </c>
      <c r="AF323" t="str">
        <f>IFERROR(ROUND(S323*VLOOKUP(R323,商品!$A$4:$B$60,2,FALSE),0),"")</f>
        <v/>
      </c>
    </row>
    <row r="324" spans="1:32" ht="19.05" customHeight="1" x14ac:dyDescent="0.25">
      <c r="A324" s="15" t="s">
        <v>244</v>
      </c>
      <c r="C324" s="15">
        <v>4</v>
      </c>
      <c r="T324" s="2">
        <f t="shared" si="16"/>
        <v>0</v>
      </c>
      <c r="U324" s="2">
        <f t="shared" si="17"/>
        <v>0</v>
      </c>
      <c r="V324" s="2">
        <f t="shared" si="18"/>
        <v>0</v>
      </c>
      <c r="W324" s="2">
        <f t="shared" si="19"/>
        <v>0</v>
      </c>
      <c r="Y324" t="str">
        <f>IFERROR(ROUND(E324*VLOOKUP(D324,商品!$A$4:$B$60,2,FALSE),0),"")</f>
        <v/>
      </c>
      <c r="Z324" t="str">
        <f>IFERROR(ROUND(G324*VLOOKUP(F324,商品!$A$4:$B$60,2,FALSE),0),"")</f>
        <v/>
      </c>
      <c r="AA324" t="str">
        <f>IFERROR(ROUND(I324*VLOOKUP(H324,商品!$A$4:$B$60,2,FALSE),0),"")</f>
        <v/>
      </c>
      <c r="AB324" t="str">
        <f>IFERROR(ROUND(K324*VLOOKUP(J324,[1]note_pop_types!$A$16:$E$16,4,FALSE),0),"")</f>
        <v/>
      </c>
      <c r="AC324" t="str">
        <f>IFERROR(ROUND(M324*VLOOKUP(L324,[1]note_pop_types!$A$16:$E$16,4,FALSE),0),"")</f>
        <v/>
      </c>
      <c r="AD324" t="str">
        <f>IFERROR(ROUND(O324*VLOOKUP(N324,[1]note_pop_types!$A$16:$E$16,4,FALSE),0),"")</f>
        <v/>
      </c>
      <c r="AE324" t="str">
        <f>IFERROR(ROUND(Q324*VLOOKUP(P324,商品!$A$4:$B$60,2,FALSE),0),"")</f>
        <v/>
      </c>
      <c r="AF324" t="str">
        <f>IFERROR(ROUND(S324*VLOOKUP(R324,商品!$A$4:$B$60,2,FALSE),0),"")</f>
        <v/>
      </c>
    </row>
    <row r="325" spans="1:32" ht="19.05" customHeight="1" x14ac:dyDescent="0.25">
      <c r="A325" s="15" t="s">
        <v>244</v>
      </c>
      <c r="C325" s="15">
        <v>5</v>
      </c>
      <c r="T325" s="2">
        <f t="shared" si="16"/>
        <v>0</v>
      </c>
      <c r="U325" s="2">
        <f t="shared" si="17"/>
        <v>0</v>
      </c>
      <c r="V325" s="2">
        <f t="shared" si="18"/>
        <v>0</v>
      </c>
      <c r="W325" s="2">
        <f t="shared" si="19"/>
        <v>0</v>
      </c>
      <c r="Y325" t="str">
        <f>IFERROR(ROUND(E325*VLOOKUP(D325,商品!$A$4:$B$60,2,FALSE),0),"")</f>
        <v/>
      </c>
      <c r="Z325" t="str">
        <f>IFERROR(ROUND(G325*VLOOKUP(F325,商品!$A$4:$B$60,2,FALSE),0),"")</f>
        <v/>
      </c>
      <c r="AA325" t="str">
        <f>IFERROR(ROUND(I325*VLOOKUP(H325,商品!$A$4:$B$60,2,FALSE),0),"")</f>
        <v/>
      </c>
      <c r="AB325" t="str">
        <f>IFERROR(ROUND(K325*VLOOKUP(J325,[1]note_pop_types!$A$16:$E$16,4,FALSE),0),"")</f>
        <v/>
      </c>
      <c r="AC325" t="str">
        <f>IFERROR(ROUND(M325*VLOOKUP(L325,[1]note_pop_types!$A$16:$E$16,4,FALSE),0),"")</f>
        <v/>
      </c>
      <c r="AD325" t="str">
        <f>IFERROR(ROUND(O325*VLOOKUP(N325,[1]note_pop_types!$A$16:$E$16,4,FALSE),0),"")</f>
        <v/>
      </c>
      <c r="AE325" t="str">
        <f>IFERROR(ROUND(Q325*VLOOKUP(P325,商品!$A$4:$B$60,2,FALSE),0),"")</f>
        <v/>
      </c>
      <c r="AF325" t="str">
        <f>IFERROR(ROUND(S325*VLOOKUP(R325,商品!$A$4:$B$60,2,FALSE),0),"")</f>
        <v/>
      </c>
    </row>
    <row r="326" spans="1:32" ht="19.05" customHeight="1" x14ac:dyDescent="0.25">
      <c r="A326" s="16" t="s">
        <v>517</v>
      </c>
      <c r="C326" s="16">
        <v>1</v>
      </c>
      <c r="T326" s="2">
        <f t="shared" ref="T326:T389" si="20">SUM(Y326:AA326)</f>
        <v>0</v>
      </c>
      <c r="U326" s="2">
        <f t="shared" ref="U326:U389" si="21">SUM(AB326:AC326)</f>
        <v>0</v>
      </c>
      <c r="V326" s="2">
        <f t="shared" ref="V326:V389" si="22">SUM(AE326:AF326)</f>
        <v>0</v>
      </c>
      <c r="W326" s="2">
        <f t="shared" ref="W326:W389" si="23">V326-T326-U326</f>
        <v>0</v>
      </c>
      <c r="Y326" t="str">
        <f>IFERROR(ROUND(E326*VLOOKUP(D326,商品!$A$4:$B$60,2,FALSE),0),"")</f>
        <v/>
      </c>
      <c r="Z326" t="str">
        <f>IFERROR(ROUND(G326*VLOOKUP(F326,商品!$A$4:$B$60,2,FALSE),0),"")</f>
        <v/>
      </c>
      <c r="AA326" t="str">
        <f>IFERROR(ROUND(I326*VLOOKUP(H326,商品!$A$4:$B$60,2,FALSE),0),"")</f>
        <v/>
      </c>
      <c r="AB326" t="str">
        <f>IFERROR(ROUND(K326*VLOOKUP(J326,[1]note_pop_types!$A$16:$E$16,4,FALSE),0),"")</f>
        <v/>
      </c>
      <c r="AC326" t="str">
        <f>IFERROR(ROUND(M326*VLOOKUP(L326,[1]note_pop_types!$A$16:$E$16,4,FALSE),0),"")</f>
        <v/>
      </c>
      <c r="AD326" t="str">
        <f>IFERROR(ROUND(O326*VLOOKUP(N326,[1]note_pop_types!$A$16:$E$16,4,FALSE),0),"")</f>
        <v/>
      </c>
      <c r="AE326" t="str">
        <f>IFERROR(ROUND(Q326*VLOOKUP(P326,商品!$A$4:$B$60,2,FALSE),0),"")</f>
        <v/>
      </c>
      <c r="AF326" t="str">
        <f>IFERROR(ROUND(S326*VLOOKUP(R326,商品!$A$4:$B$60,2,FALSE),0),"")</f>
        <v/>
      </c>
    </row>
    <row r="327" spans="1:32" ht="19.05" customHeight="1" x14ac:dyDescent="0.25">
      <c r="A327" s="16" t="s">
        <v>517</v>
      </c>
      <c r="C327" s="16">
        <v>2</v>
      </c>
      <c r="T327" s="2">
        <f t="shared" si="20"/>
        <v>0</v>
      </c>
      <c r="U327" s="2">
        <f t="shared" si="21"/>
        <v>0</v>
      </c>
      <c r="V327" s="2">
        <f t="shared" si="22"/>
        <v>0</v>
      </c>
      <c r="W327" s="2">
        <f t="shared" si="23"/>
        <v>0</v>
      </c>
      <c r="Y327" t="str">
        <f>IFERROR(ROUND(E327*VLOOKUP(D327,商品!$A$4:$B$60,2,FALSE),0),"")</f>
        <v/>
      </c>
      <c r="Z327" t="str">
        <f>IFERROR(ROUND(G327*VLOOKUP(F327,商品!$A$4:$B$60,2,FALSE),0),"")</f>
        <v/>
      </c>
      <c r="AA327" t="str">
        <f>IFERROR(ROUND(I327*VLOOKUP(H327,商品!$A$4:$B$60,2,FALSE),0),"")</f>
        <v/>
      </c>
      <c r="AB327" t="str">
        <f>IFERROR(ROUND(K327*VLOOKUP(J327,[1]note_pop_types!$A$16:$E$16,4,FALSE),0),"")</f>
        <v/>
      </c>
      <c r="AC327" t="str">
        <f>IFERROR(ROUND(M327*VLOOKUP(L327,[1]note_pop_types!$A$16:$E$16,4,FALSE),0),"")</f>
        <v/>
      </c>
      <c r="AD327" t="str">
        <f>IFERROR(ROUND(O327*VLOOKUP(N327,[1]note_pop_types!$A$16:$E$16,4,FALSE),0),"")</f>
        <v/>
      </c>
      <c r="AE327" t="str">
        <f>IFERROR(ROUND(Q327*VLOOKUP(P327,商品!$A$4:$B$60,2,FALSE),0),"")</f>
        <v/>
      </c>
      <c r="AF327" t="str">
        <f>IFERROR(ROUND(S327*VLOOKUP(R327,商品!$A$4:$B$60,2,FALSE),0),"")</f>
        <v/>
      </c>
    </row>
    <row r="328" spans="1:32" ht="19.05" customHeight="1" x14ac:dyDescent="0.25">
      <c r="A328" s="16" t="s">
        <v>517</v>
      </c>
      <c r="C328" s="16">
        <v>3</v>
      </c>
      <c r="T328" s="2">
        <f t="shared" si="20"/>
        <v>0</v>
      </c>
      <c r="U328" s="2">
        <f t="shared" si="21"/>
        <v>0</v>
      </c>
      <c r="V328" s="2">
        <f t="shared" si="22"/>
        <v>0</v>
      </c>
      <c r="W328" s="2">
        <f t="shared" si="23"/>
        <v>0</v>
      </c>
      <c r="Y328" t="str">
        <f>IFERROR(ROUND(E328*VLOOKUP(D328,商品!$A$4:$B$60,2,FALSE),0),"")</f>
        <v/>
      </c>
      <c r="Z328" t="str">
        <f>IFERROR(ROUND(G328*VLOOKUP(F328,商品!$A$4:$B$60,2,FALSE),0),"")</f>
        <v/>
      </c>
      <c r="AA328" t="str">
        <f>IFERROR(ROUND(I328*VLOOKUP(H328,商品!$A$4:$B$60,2,FALSE),0),"")</f>
        <v/>
      </c>
      <c r="AB328" t="str">
        <f>IFERROR(ROUND(K328*VLOOKUP(J328,[1]note_pop_types!$A$16:$E$16,4,FALSE),0),"")</f>
        <v/>
      </c>
      <c r="AC328" t="str">
        <f>IFERROR(ROUND(M328*VLOOKUP(L328,[1]note_pop_types!$A$16:$E$16,4,FALSE),0),"")</f>
        <v/>
      </c>
      <c r="AD328" t="str">
        <f>IFERROR(ROUND(O328*VLOOKUP(N328,[1]note_pop_types!$A$16:$E$16,4,FALSE),0),"")</f>
        <v/>
      </c>
      <c r="AE328" t="str">
        <f>IFERROR(ROUND(Q328*VLOOKUP(P328,商品!$A$4:$B$60,2,FALSE),0),"")</f>
        <v/>
      </c>
      <c r="AF328" t="str">
        <f>IFERROR(ROUND(S328*VLOOKUP(R328,商品!$A$4:$B$60,2,FALSE),0),"")</f>
        <v/>
      </c>
    </row>
    <row r="329" spans="1:32" ht="19.05" customHeight="1" x14ac:dyDescent="0.25">
      <c r="A329" s="16" t="s">
        <v>517</v>
      </c>
      <c r="C329" s="16">
        <v>4</v>
      </c>
      <c r="T329" s="2">
        <f t="shared" si="20"/>
        <v>0</v>
      </c>
      <c r="U329" s="2">
        <f t="shared" si="21"/>
        <v>0</v>
      </c>
      <c r="V329" s="2">
        <f t="shared" si="22"/>
        <v>0</v>
      </c>
      <c r="W329" s="2">
        <f t="shared" si="23"/>
        <v>0</v>
      </c>
      <c r="Y329" t="str">
        <f>IFERROR(ROUND(E329*VLOOKUP(D329,商品!$A$4:$B$60,2,FALSE),0),"")</f>
        <v/>
      </c>
      <c r="Z329" t="str">
        <f>IFERROR(ROUND(G329*VLOOKUP(F329,商品!$A$4:$B$60,2,FALSE),0),"")</f>
        <v/>
      </c>
      <c r="AA329" t="str">
        <f>IFERROR(ROUND(I329*VLOOKUP(H329,商品!$A$4:$B$60,2,FALSE),0),"")</f>
        <v/>
      </c>
      <c r="AB329" t="str">
        <f>IFERROR(ROUND(K329*VLOOKUP(J329,[1]note_pop_types!$A$16:$E$16,4,FALSE),0),"")</f>
        <v/>
      </c>
      <c r="AC329" t="str">
        <f>IFERROR(ROUND(M329*VLOOKUP(L329,[1]note_pop_types!$A$16:$E$16,4,FALSE),0),"")</f>
        <v/>
      </c>
      <c r="AD329" t="str">
        <f>IFERROR(ROUND(O329*VLOOKUP(N329,[1]note_pop_types!$A$16:$E$16,4,FALSE),0),"")</f>
        <v/>
      </c>
      <c r="AE329" t="str">
        <f>IFERROR(ROUND(Q329*VLOOKUP(P329,商品!$A$4:$B$60,2,FALSE),0),"")</f>
        <v/>
      </c>
      <c r="AF329" t="str">
        <f>IFERROR(ROUND(S329*VLOOKUP(R329,商品!$A$4:$B$60,2,FALSE),0),"")</f>
        <v/>
      </c>
    </row>
    <row r="330" spans="1:32" ht="19.05" customHeight="1" x14ac:dyDescent="0.25">
      <c r="A330" s="16" t="s">
        <v>517</v>
      </c>
      <c r="C330" s="16">
        <v>5</v>
      </c>
      <c r="T330" s="2">
        <f t="shared" si="20"/>
        <v>0</v>
      </c>
      <c r="U330" s="2">
        <f t="shared" si="21"/>
        <v>0</v>
      </c>
      <c r="V330" s="2">
        <f t="shared" si="22"/>
        <v>0</v>
      </c>
      <c r="W330" s="2">
        <f t="shared" si="23"/>
        <v>0</v>
      </c>
      <c r="Y330" t="str">
        <f>IFERROR(ROUND(E330*VLOOKUP(D330,商品!$A$4:$B$60,2,FALSE),0),"")</f>
        <v/>
      </c>
      <c r="Z330" t="str">
        <f>IFERROR(ROUND(G330*VLOOKUP(F330,商品!$A$4:$B$60,2,FALSE),0),"")</f>
        <v/>
      </c>
      <c r="AA330" t="str">
        <f>IFERROR(ROUND(I330*VLOOKUP(H330,商品!$A$4:$B$60,2,FALSE),0),"")</f>
        <v/>
      </c>
      <c r="AB330" t="str">
        <f>IFERROR(ROUND(K330*VLOOKUP(J330,[1]note_pop_types!$A$16:$E$16,4,FALSE),0),"")</f>
        <v/>
      </c>
      <c r="AC330" t="str">
        <f>IFERROR(ROUND(M330*VLOOKUP(L330,[1]note_pop_types!$A$16:$E$16,4,FALSE),0),"")</f>
        <v/>
      </c>
      <c r="AD330" t="str">
        <f>IFERROR(ROUND(O330*VLOOKUP(N330,[1]note_pop_types!$A$16:$E$16,4,FALSE),0),"")</f>
        <v/>
      </c>
      <c r="AE330" t="str">
        <f>IFERROR(ROUND(Q330*VLOOKUP(P330,商品!$A$4:$B$60,2,FALSE),0),"")</f>
        <v/>
      </c>
      <c r="AF330" t="str">
        <f>IFERROR(ROUND(S330*VLOOKUP(R330,商品!$A$4:$B$60,2,FALSE),0),"")</f>
        <v/>
      </c>
    </row>
    <row r="331" spans="1:32" ht="19.05" customHeight="1" x14ac:dyDescent="0.25">
      <c r="A331" s="15" t="s">
        <v>517</v>
      </c>
      <c r="C331" s="15">
        <v>1</v>
      </c>
      <c r="T331" s="2">
        <f t="shared" si="20"/>
        <v>0</v>
      </c>
      <c r="U331" s="2">
        <f t="shared" si="21"/>
        <v>0</v>
      </c>
      <c r="V331" s="2">
        <f t="shared" si="22"/>
        <v>0</v>
      </c>
      <c r="W331" s="2">
        <f t="shared" si="23"/>
        <v>0</v>
      </c>
      <c r="Y331" t="str">
        <f>IFERROR(ROUND(E331*VLOOKUP(D331,商品!$A$4:$B$60,2,FALSE),0),"")</f>
        <v/>
      </c>
      <c r="Z331" t="str">
        <f>IFERROR(ROUND(G331*VLOOKUP(F331,商品!$A$4:$B$60,2,FALSE),0),"")</f>
        <v/>
      </c>
      <c r="AA331" t="str">
        <f>IFERROR(ROUND(I331*VLOOKUP(H331,商品!$A$4:$B$60,2,FALSE),0),"")</f>
        <v/>
      </c>
      <c r="AB331" t="str">
        <f>IFERROR(ROUND(K331*VLOOKUP(J331,[1]note_pop_types!$A$16:$E$16,4,FALSE),0),"")</f>
        <v/>
      </c>
      <c r="AC331" t="str">
        <f>IFERROR(ROUND(M331*VLOOKUP(L331,[1]note_pop_types!$A$16:$E$16,4,FALSE),0),"")</f>
        <v/>
      </c>
      <c r="AD331" t="str">
        <f>IFERROR(ROUND(O331*VLOOKUP(N331,[1]note_pop_types!$A$16:$E$16,4,FALSE),0),"")</f>
        <v/>
      </c>
      <c r="AE331" t="str">
        <f>IFERROR(ROUND(Q331*VLOOKUP(P331,商品!$A$4:$B$60,2,FALSE),0),"")</f>
        <v/>
      </c>
      <c r="AF331" t="str">
        <f>IFERROR(ROUND(S331*VLOOKUP(R331,商品!$A$4:$B$60,2,FALSE),0),"")</f>
        <v/>
      </c>
    </row>
    <row r="332" spans="1:32" ht="19.05" customHeight="1" x14ac:dyDescent="0.25">
      <c r="A332" s="15" t="s">
        <v>517</v>
      </c>
      <c r="C332" s="15">
        <v>2</v>
      </c>
      <c r="T332" s="2">
        <f t="shared" si="20"/>
        <v>0</v>
      </c>
      <c r="U332" s="2">
        <f t="shared" si="21"/>
        <v>0</v>
      </c>
      <c r="V332" s="2">
        <f t="shared" si="22"/>
        <v>0</v>
      </c>
      <c r="W332" s="2">
        <f t="shared" si="23"/>
        <v>0</v>
      </c>
      <c r="Y332" t="str">
        <f>IFERROR(ROUND(E332*VLOOKUP(D332,商品!$A$4:$B$60,2,FALSE),0),"")</f>
        <v/>
      </c>
      <c r="Z332" t="str">
        <f>IFERROR(ROUND(G332*VLOOKUP(F332,商品!$A$4:$B$60,2,FALSE),0),"")</f>
        <v/>
      </c>
      <c r="AA332" t="str">
        <f>IFERROR(ROUND(I332*VLOOKUP(H332,商品!$A$4:$B$60,2,FALSE),0),"")</f>
        <v/>
      </c>
      <c r="AB332" t="str">
        <f>IFERROR(ROUND(K332*VLOOKUP(J332,[1]note_pop_types!$A$16:$E$16,4,FALSE),0),"")</f>
        <v/>
      </c>
      <c r="AC332" t="str">
        <f>IFERROR(ROUND(M332*VLOOKUP(L332,[1]note_pop_types!$A$16:$E$16,4,FALSE),0),"")</f>
        <v/>
      </c>
      <c r="AD332" t="str">
        <f>IFERROR(ROUND(O332*VLOOKUP(N332,[1]note_pop_types!$A$16:$E$16,4,FALSE),0),"")</f>
        <v/>
      </c>
      <c r="AE332" t="str">
        <f>IFERROR(ROUND(Q332*VLOOKUP(P332,商品!$A$4:$B$60,2,FALSE),0),"")</f>
        <v/>
      </c>
      <c r="AF332" t="str">
        <f>IFERROR(ROUND(S332*VLOOKUP(R332,商品!$A$4:$B$60,2,FALSE),0),"")</f>
        <v/>
      </c>
    </row>
    <row r="333" spans="1:32" ht="19.05" customHeight="1" x14ac:dyDescent="0.25">
      <c r="A333" s="15" t="s">
        <v>517</v>
      </c>
      <c r="C333" s="15">
        <v>3</v>
      </c>
      <c r="T333" s="2">
        <f t="shared" si="20"/>
        <v>0</v>
      </c>
      <c r="U333" s="2">
        <f t="shared" si="21"/>
        <v>0</v>
      </c>
      <c r="V333" s="2">
        <f t="shared" si="22"/>
        <v>0</v>
      </c>
      <c r="W333" s="2">
        <f t="shared" si="23"/>
        <v>0</v>
      </c>
      <c r="Y333" t="str">
        <f>IFERROR(ROUND(E333*VLOOKUP(D333,商品!$A$4:$B$60,2,FALSE),0),"")</f>
        <v/>
      </c>
      <c r="Z333" t="str">
        <f>IFERROR(ROUND(G333*VLOOKUP(F333,商品!$A$4:$B$60,2,FALSE),0),"")</f>
        <v/>
      </c>
      <c r="AA333" t="str">
        <f>IFERROR(ROUND(I333*VLOOKUP(H333,商品!$A$4:$B$60,2,FALSE),0),"")</f>
        <v/>
      </c>
      <c r="AB333" t="str">
        <f>IFERROR(ROUND(K333*VLOOKUP(J333,[1]note_pop_types!$A$16:$E$16,4,FALSE),0),"")</f>
        <v/>
      </c>
      <c r="AC333" t="str">
        <f>IFERROR(ROUND(M333*VLOOKUP(L333,[1]note_pop_types!$A$16:$E$16,4,FALSE),0),"")</f>
        <v/>
      </c>
      <c r="AD333" t="str">
        <f>IFERROR(ROUND(O333*VLOOKUP(N333,[1]note_pop_types!$A$16:$E$16,4,FALSE),0),"")</f>
        <v/>
      </c>
      <c r="AE333" t="str">
        <f>IFERROR(ROUND(Q333*VLOOKUP(P333,商品!$A$4:$B$60,2,FALSE),0),"")</f>
        <v/>
      </c>
      <c r="AF333" t="str">
        <f>IFERROR(ROUND(S333*VLOOKUP(R333,商品!$A$4:$B$60,2,FALSE),0),"")</f>
        <v/>
      </c>
    </row>
    <row r="334" spans="1:32" ht="19.05" customHeight="1" x14ac:dyDescent="0.25">
      <c r="A334" s="15" t="s">
        <v>517</v>
      </c>
      <c r="C334" s="15">
        <v>4</v>
      </c>
      <c r="T334" s="2">
        <f t="shared" si="20"/>
        <v>0</v>
      </c>
      <c r="U334" s="2">
        <f t="shared" si="21"/>
        <v>0</v>
      </c>
      <c r="V334" s="2">
        <f t="shared" si="22"/>
        <v>0</v>
      </c>
      <c r="W334" s="2">
        <f t="shared" si="23"/>
        <v>0</v>
      </c>
      <c r="Y334" t="str">
        <f>IFERROR(ROUND(E334*VLOOKUP(D334,商品!$A$4:$B$60,2,FALSE),0),"")</f>
        <v/>
      </c>
      <c r="Z334" t="str">
        <f>IFERROR(ROUND(G334*VLOOKUP(F334,商品!$A$4:$B$60,2,FALSE),0),"")</f>
        <v/>
      </c>
      <c r="AA334" t="str">
        <f>IFERROR(ROUND(I334*VLOOKUP(H334,商品!$A$4:$B$60,2,FALSE),0),"")</f>
        <v/>
      </c>
      <c r="AB334" t="str">
        <f>IFERROR(ROUND(K334*VLOOKUP(J334,[1]note_pop_types!$A$16:$E$16,4,FALSE),0),"")</f>
        <v/>
      </c>
      <c r="AC334" t="str">
        <f>IFERROR(ROUND(M334*VLOOKUP(L334,[1]note_pop_types!$A$16:$E$16,4,FALSE),0),"")</f>
        <v/>
      </c>
      <c r="AD334" t="str">
        <f>IFERROR(ROUND(O334*VLOOKUP(N334,[1]note_pop_types!$A$16:$E$16,4,FALSE),0),"")</f>
        <v/>
      </c>
      <c r="AE334" t="str">
        <f>IFERROR(ROUND(Q334*VLOOKUP(P334,商品!$A$4:$B$60,2,FALSE),0),"")</f>
        <v/>
      </c>
      <c r="AF334" t="str">
        <f>IFERROR(ROUND(S334*VLOOKUP(R334,商品!$A$4:$B$60,2,FALSE),0),"")</f>
        <v/>
      </c>
    </row>
    <row r="335" spans="1:32" ht="19.05" customHeight="1" x14ac:dyDescent="0.25">
      <c r="A335" s="15" t="s">
        <v>517</v>
      </c>
      <c r="C335" s="15">
        <v>5</v>
      </c>
      <c r="T335" s="2">
        <f t="shared" si="20"/>
        <v>0</v>
      </c>
      <c r="U335" s="2">
        <f t="shared" si="21"/>
        <v>0</v>
      </c>
      <c r="V335" s="2">
        <f t="shared" si="22"/>
        <v>0</v>
      </c>
      <c r="W335" s="2">
        <f t="shared" si="23"/>
        <v>0</v>
      </c>
      <c r="Y335" t="str">
        <f>IFERROR(ROUND(E335*VLOOKUP(D335,商品!$A$4:$B$60,2,FALSE),0),"")</f>
        <v/>
      </c>
      <c r="Z335" t="str">
        <f>IFERROR(ROUND(G335*VLOOKUP(F335,商品!$A$4:$B$60,2,FALSE),0),"")</f>
        <v/>
      </c>
      <c r="AA335" t="str">
        <f>IFERROR(ROUND(I335*VLOOKUP(H335,商品!$A$4:$B$60,2,FALSE),0),"")</f>
        <v/>
      </c>
      <c r="AB335" t="str">
        <f>IFERROR(ROUND(K335*VLOOKUP(J335,[1]note_pop_types!$A$16:$E$16,4,FALSE),0),"")</f>
        <v/>
      </c>
      <c r="AC335" t="str">
        <f>IFERROR(ROUND(M335*VLOOKUP(L335,[1]note_pop_types!$A$16:$E$16,4,FALSE),0),"")</f>
        <v/>
      </c>
      <c r="AD335" t="str">
        <f>IFERROR(ROUND(O335*VLOOKUP(N335,[1]note_pop_types!$A$16:$E$16,4,FALSE),0),"")</f>
        <v/>
      </c>
      <c r="AE335" t="str">
        <f>IFERROR(ROUND(Q335*VLOOKUP(P335,商品!$A$4:$B$60,2,FALSE),0),"")</f>
        <v/>
      </c>
      <c r="AF335" t="str">
        <f>IFERROR(ROUND(S335*VLOOKUP(R335,商品!$A$4:$B$60,2,FALSE),0),"")</f>
        <v/>
      </c>
    </row>
    <row r="336" spans="1:32" ht="19.05" customHeight="1" x14ac:dyDescent="0.25">
      <c r="A336" s="16" t="s">
        <v>247</v>
      </c>
      <c r="C336" s="16">
        <v>1</v>
      </c>
      <c r="T336" s="2">
        <f t="shared" si="20"/>
        <v>0</v>
      </c>
      <c r="U336" s="2">
        <f t="shared" si="21"/>
        <v>0</v>
      </c>
      <c r="V336" s="2">
        <f t="shared" si="22"/>
        <v>0</v>
      </c>
      <c r="W336" s="2">
        <f t="shared" si="23"/>
        <v>0</v>
      </c>
      <c r="Y336" t="str">
        <f>IFERROR(ROUND(E336*VLOOKUP(D336,商品!$A$4:$B$60,2,FALSE),0),"")</f>
        <v/>
      </c>
      <c r="Z336" t="str">
        <f>IFERROR(ROUND(G336*VLOOKUP(F336,商品!$A$4:$B$60,2,FALSE),0),"")</f>
        <v/>
      </c>
      <c r="AA336" t="str">
        <f>IFERROR(ROUND(I336*VLOOKUP(H336,商品!$A$4:$B$60,2,FALSE),0),"")</f>
        <v/>
      </c>
      <c r="AB336" t="str">
        <f>IFERROR(ROUND(K336*VLOOKUP(J336,[1]note_pop_types!$A$16:$E$16,4,FALSE),0),"")</f>
        <v/>
      </c>
      <c r="AC336" t="str">
        <f>IFERROR(ROUND(M336*VLOOKUP(L336,[1]note_pop_types!$A$16:$E$16,4,FALSE),0),"")</f>
        <v/>
      </c>
      <c r="AD336" t="str">
        <f>IFERROR(ROUND(O336*VLOOKUP(N336,[1]note_pop_types!$A$16:$E$16,4,FALSE),0),"")</f>
        <v/>
      </c>
      <c r="AE336" t="str">
        <f>IFERROR(ROUND(Q336*VLOOKUP(P336,商品!$A$4:$B$60,2,FALSE),0),"")</f>
        <v/>
      </c>
      <c r="AF336" t="str">
        <f>IFERROR(ROUND(S336*VLOOKUP(R336,商品!$A$4:$B$60,2,FALSE),0),"")</f>
        <v/>
      </c>
    </row>
    <row r="337" spans="1:32" ht="19.05" customHeight="1" x14ac:dyDescent="0.25">
      <c r="A337" s="16" t="s">
        <v>247</v>
      </c>
      <c r="C337" s="16">
        <v>2</v>
      </c>
      <c r="T337" s="2">
        <f t="shared" si="20"/>
        <v>0</v>
      </c>
      <c r="U337" s="2">
        <f t="shared" si="21"/>
        <v>0</v>
      </c>
      <c r="V337" s="2">
        <f t="shared" si="22"/>
        <v>0</v>
      </c>
      <c r="W337" s="2">
        <f t="shared" si="23"/>
        <v>0</v>
      </c>
      <c r="Y337" t="str">
        <f>IFERROR(ROUND(E337*VLOOKUP(D337,商品!$A$4:$B$60,2,FALSE),0),"")</f>
        <v/>
      </c>
      <c r="Z337" t="str">
        <f>IFERROR(ROUND(G337*VLOOKUP(F337,商品!$A$4:$B$60,2,FALSE),0),"")</f>
        <v/>
      </c>
      <c r="AA337" t="str">
        <f>IFERROR(ROUND(I337*VLOOKUP(H337,商品!$A$4:$B$60,2,FALSE),0),"")</f>
        <v/>
      </c>
      <c r="AB337" t="str">
        <f>IFERROR(ROUND(K337*VLOOKUP(J337,[1]note_pop_types!$A$16:$E$16,4,FALSE),0),"")</f>
        <v/>
      </c>
      <c r="AC337" t="str">
        <f>IFERROR(ROUND(M337*VLOOKUP(L337,[1]note_pop_types!$A$16:$E$16,4,FALSE),0),"")</f>
        <v/>
      </c>
      <c r="AD337" t="str">
        <f>IFERROR(ROUND(O337*VLOOKUP(N337,[1]note_pop_types!$A$16:$E$16,4,FALSE),0),"")</f>
        <v/>
      </c>
      <c r="AE337" t="str">
        <f>IFERROR(ROUND(Q337*VLOOKUP(P337,商品!$A$4:$B$60,2,FALSE),0),"")</f>
        <v/>
      </c>
      <c r="AF337" t="str">
        <f>IFERROR(ROUND(S337*VLOOKUP(R337,商品!$A$4:$B$60,2,FALSE),0),"")</f>
        <v/>
      </c>
    </row>
    <row r="338" spans="1:32" ht="19.05" customHeight="1" x14ac:dyDescent="0.25">
      <c r="A338" s="16" t="s">
        <v>247</v>
      </c>
      <c r="C338" s="16">
        <v>3</v>
      </c>
      <c r="T338" s="2">
        <f t="shared" si="20"/>
        <v>0</v>
      </c>
      <c r="U338" s="2">
        <f t="shared" si="21"/>
        <v>0</v>
      </c>
      <c r="V338" s="2">
        <f t="shared" si="22"/>
        <v>0</v>
      </c>
      <c r="W338" s="2">
        <f t="shared" si="23"/>
        <v>0</v>
      </c>
      <c r="Y338" t="str">
        <f>IFERROR(ROUND(E338*VLOOKUP(D338,商品!$A$4:$B$60,2,FALSE),0),"")</f>
        <v/>
      </c>
      <c r="Z338" t="str">
        <f>IFERROR(ROUND(G338*VLOOKUP(F338,商品!$A$4:$B$60,2,FALSE),0),"")</f>
        <v/>
      </c>
      <c r="AA338" t="str">
        <f>IFERROR(ROUND(I338*VLOOKUP(H338,商品!$A$4:$B$60,2,FALSE),0),"")</f>
        <v/>
      </c>
      <c r="AB338" t="str">
        <f>IFERROR(ROUND(K338*VLOOKUP(J338,[1]note_pop_types!$A$16:$E$16,4,FALSE),0),"")</f>
        <v/>
      </c>
      <c r="AC338" t="str">
        <f>IFERROR(ROUND(M338*VLOOKUP(L338,[1]note_pop_types!$A$16:$E$16,4,FALSE),0),"")</f>
        <v/>
      </c>
      <c r="AD338" t="str">
        <f>IFERROR(ROUND(O338*VLOOKUP(N338,[1]note_pop_types!$A$16:$E$16,4,FALSE),0),"")</f>
        <v/>
      </c>
      <c r="AE338" t="str">
        <f>IFERROR(ROUND(Q338*VLOOKUP(P338,商品!$A$4:$B$60,2,FALSE),0),"")</f>
        <v/>
      </c>
      <c r="AF338" t="str">
        <f>IFERROR(ROUND(S338*VLOOKUP(R338,商品!$A$4:$B$60,2,FALSE),0),"")</f>
        <v/>
      </c>
    </row>
    <row r="339" spans="1:32" ht="19.05" customHeight="1" x14ac:dyDescent="0.25">
      <c r="A339" s="16" t="s">
        <v>247</v>
      </c>
      <c r="C339" s="16">
        <v>4</v>
      </c>
      <c r="T339" s="2">
        <f t="shared" si="20"/>
        <v>0</v>
      </c>
      <c r="U339" s="2">
        <f t="shared" si="21"/>
        <v>0</v>
      </c>
      <c r="V339" s="2">
        <f t="shared" si="22"/>
        <v>0</v>
      </c>
      <c r="W339" s="2">
        <f t="shared" si="23"/>
        <v>0</v>
      </c>
      <c r="Y339" t="str">
        <f>IFERROR(ROUND(E339*VLOOKUP(D339,商品!$A$4:$B$60,2,FALSE),0),"")</f>
        <v/>
      </c>
      <c r="Z339" t="str">
        <f>IFERROR(ROUND(G339*VLOOKUP(F339,商品!$A$4:$B$60,2,FALSE),0),"")</f>
        <v/>
      </c>
      <c r="AA339" t="str">
        <f>IFERROR(ROUND(I339*VLOOKUP(H339,商品!$A$4:$B$60,2,FALSE),0),"")</f>
        <v/>
      </c>
      <c r="AB339" t="str">
        <f>IFERROR(ROUND(K339*VLOOKUP(J339,[1]note_pop_types!$A$16:$E$16,4,FALSE),0),"")</f>
        <v/>
      </c>
      <c r="AC339" t="str">
        <f>IFERROR(ROUND(M339*VLOOKUP(L339,[1]note_pop_types!$A$16:$E$16,4,FALSE),0),"")</f>
        <v/>
      </c>
      <c r="AD339" t="str">
        <f>IFERROR(ROUND(O339*VLOOKUP(N339,[1]note_pop_types!$A$16:$E$16,4,FALSE),0),"")</f>
        <v/>
      </c>
      <c r="AE339" t="str">
        <f>IFERROR(ROUND(Q339*VLOOKUP(P339,商品!$A$4:$B$60,2,FALSE),0),"")</f>
        <v/>
      </c>
      <c r="AF339" t="str">
        <f>IFERROR(ROUND(S339*VLOOKUP(R339,商品!$A$4:$B$60,2,FALSE),0),"")</f>
        <v/>
      </c>
    </row>
    <row r="340" spans="1:32" ht="19.05" customHeight="1" x14ac:dyDescent="0.25">
      <c r="A340" s="16" t="s">
        <v>247</v>
      </c>
      <c r="C340" s="16">
        <v>5</v>
      </c>
      <c r="T340" s="2">
        <f t="shared" si="20"/>
        <v>0</v>
      </c>
      <c r="U340" s="2">
        <f t="shared" si="21"/>
        <v>0</v>
      </c>
      <c r="V340" s="2">
        <f t="shared" si="22"/>
        <v>0</v>
      </c>
      <c r="W340" s="2">
        <f t="shared" si="23"/>
        <v>0</v>
      </c>
      <c r="Y340" t="str">
        <f>IFERROR(ROUND(E340*VLOOKUP(D340,商品!$A$4:$B$60,2,FALSE),0),"")</f>
        <v/>
      </c>
      <c r="Z340" t="str">
        <f>IFERROR(ROUND(G340*VLOOKUP(F340,商品!$A$4:$B$60,2,FALSE),0),"")</f>
        <v/>
      </c>
      <c r="AA340" t="str">
        <f>IFERROR(ROUND(I340*VLOOKUP(H340,商品!$A$4:$B$60,2,FALSE),0),"")</f>
        <v/>
      </c>
      <c r="AB340" t="str">
        <f>IFERROR(ROUND(K340*VLOOKUP(J340,[1]note_pop_types!$A$16:$E$16,4,FALSE),0),"")</f>
        <v/>
      </c>
      <c r="AC340" t="str">
        <f>IFERROR(ROUND(M340*VLOOKUP(L340,[1]note_pop_types!$A$16:$E$16,4,FALSE),0),"")</f>
        <v/>
      </c>
      <c r="AD340" t="str">
        <f>IFERROR(ROUND(O340*VLOOKUP(N340,[1]note_pop_types!$A$16:$E$16,4,FALSE),0),"")</f>
        <v/>
      </c>
      <c r="AE340" t="str">
        <f>IFERROR(ROUND(Q340*VLOOKUP(P340,商品!$A$4:$B$60,2,FALSE),0),"")</f>
        <v/>
      </c>
      <c r="AF340" t="str">
        <f>IFERROR(ROUND(S340*VLOOKUP(R340,商品!$A$4:$B$60,2,FALSE),0),"")</f>
        <v/>
      </c>
    </row>
    <row r="341" spans="1:32" ht="19.05" customHeight="1" x14ac:dyDescent="0.25">
      <c r="A341" s="16" t="s">
        <v>247</v>
      </c>
      <c r="C341" s="16">
        <v>6</v>
      </c>
      <c r="T341" s="2">
        <f t="shared" si="20"/>
        <v>0</v>
      </c>
      <c r="U341" s="2">
        <f t="shared" si="21"/>
        <v>0</v>
      </c>
      <c r="V341" s="2">
        <f t="shared" si="22"/>
        <v>0</v>
      </c>
      <c r="W341" s="2">
        <f t="shared" si="23"/>
        <v>0</v>
      </c>
      <c r="Y341" t="str">
        <f>IFERROR(ROUND(E341*VLOOKUP(D341,商品!$A$4:$B$60,2,FALSE),0),"")</f>
        <v/>
      </c>
      <c r="Z341" t="str">
        <f>IFERROR(ROUND(G341*VLOOKUP(F341,商品!$A$4:$B$60,2,FALSE),0),"")</f>
        <v/>
      </c>
      <c r="AA341" t="str">
        <f>IFERROR(ROUND(I341*VLOOKUP(H341,商品!$A$4:$B$60,2,FALSE),0),"")</f>
        <v/>
      </c>
      <c r="AB341" t="str">
        <f>IFERROR(ROUND(K341*VLOOKUP(J341,[1]note_pop_types!$A$16:$E$16,4,FALSE),0),"")</f>
        <v/>
      </c>
      <c r="AC341" t="str">
        <f>IFERROR(ROUND(M341*VLOOKUP(L341,[1]note_pop_types!$A$16:$E$16,4,FALSE),0),"")</f>
        <v/>
      </c>
      <c r="AD341" t="str">
        <f>IFERROR(ROUND(O341*VLOOKUP(N341,[1]note_pop_types!$A$16:$E$16,4,FALSE),0),"")</f>
        <v/>
      </c>
      <c r="AE341" t="str">
        <f>IFERROR(ROUND(Q341*VLOOKUP(P341,商品!$A$4:$B$60,2,FALSE),0),"")</f>
        <v/>
      </c>
      <c r="AF341" t="str">
        <f>IFERROR(ROUND(S341*VLOOKUP(R341,商品!$A$4:$B$60,2,FALSE),0),"")</f>
        <v/>
      </c>
    </row>
    <row r="342" spans="1:32" ht="19.05" customHeight="1" x14ac:dyDescent="0.25">
      <c r="A342" s="16" t="s">
        <v>247</v>
      </c>
      <c r="C342" s="16">
        <v>7</v>
      </c>
      <c r="T342" s="2">
        <f t="shared" si="20"/>
        <v>0</v>
      </c>
      <c r="U342" s="2">
        <f t="shared" si="21"/>
        <v>0</v>
      </c>
      <c r="V342" s="2">
        <f t="shared" si="22"/>
        <v>0</v>
      </c>
      <c r="W342" s="2">
        <f t="shared" si="23"/>
        <v>0</v>
      </c>
      <c r="Y342" t="str">
        <f>IFERROR(ROUND(E342*VLOOKUP(D342,商品!$A$4:$B$60,2,FALSE),0),"")</f>
        <v/>
      </c>
      <c r="Z342" t="str">
        <f>IFERROR(ROUND(G342*VLOOKUP(F342,商品!$A$4:$B$60,2,FALSE),0),"")</f>
        <v/>
      </c>
      <c r="AA342" t="str">
        <f>IFERROR(ROUND(I342*VLOOKUP(H342,商品!$A$4:$B$60,2,FALSE),0),"")</f>
        <v/>
      </c>
      <c r="AB342" t="str">
        <f>IFERROR(ROUND(K342*VLOOKUP(J342,[1]note_pop_types!$A$16:$E$16,4,FALSE),0),"")</f>
        <v/>
      </c>
      <c r="AC342" t="str">
        <f>IFERROR(ROUND(M342*VLOOKUP(L342,[1]note_pop_types!$A$16:$E$16,4,FALSE),0),"")</f>
        <v/>
      </c>
      <c r="AD342" t="str">
        <f>IFERROR(ROUND(O342*VLOOKUP(N342,[1]note_pop_types!$A$16:$E$16,4,FALSE),0),"")</f>
        <v/>
      </c>
      <c r="AE342" t="str">
        <f>IFERROR(ROUND(Q342*VLOOKUP(P342,商品!$A$4:$B$60,2,FALSE),0),"")</f>
        <v/>
      </c>
      <c r="AF342" t="str">
        <f>IFERROR(ROUND(S342*VLOOKUP(R342,商品!$A$4:$B$60,2,FALSE),0),"")</f>
        <v/>
      </c>
    </row>
    <row r="343" spans="1:32" ht="19.05" customHeight="1" x14ac:dyDescent="0.25">
      <c r="A343" s="16" t="s">
        <v>247</v>
      </c>
      <c r="C343" s="16">
        <v>8</v>
      </c>
      <c r="T343" s="2">
        <f t="shared" si="20"/>
        <v>0</v>
      </c>
      <c r="U343" s="2">
        <f t="shared" si="21"/>
        <v>0</v>
      </c>
      <c r="V343" s="2">
        <f t="shared" si="22"/>
        <v>0</v>
      </c>
      <c r="W343" s="2">
        <f t="shared" si="23"/>
        <v>0</v>
      </c>
      <c r="Y343" t="str">
        <f>IFERROR(ROUND(E343*VLOOKUP(D343,商品!$A$4:$B$60,2,FALSE),0),"")</f>
        <v/>
      </c>
      <c r="Z343" t="str">
        <f>IFERROR(ROUND(G343*VLOOKUP(F343,商品!$A$4:$B$60,2,FALSE),0),"")</f>
        <v/>
      </c>
      <c r="AA343" t="str">
        <f>IFERROR(ROUND(I343*VLOOKUP(H343,商品!$A$4:$B$60,2,FALSE),0),"")</f>
        <v/>
      </c>
      <c r="AB343" t="str">
        <f>IFERROR(ROUND(K343*VLOOKUP(J343,[1]note_pop_types!$A$16:$E$16,4,FALSE),0),"")</f>
        <v/>
      </c>
      <c r="AC343" t="str">
        <f>IFERROR(ROUND(M343*VLOOKUP(L343,[1]note_pop_types!$A$16:$E$16,4,FALSE),0),"")</f>
        <v/>
      </c>
      <c r="AD343" t="str">
        <f>IFERROR(ROUND(O343*VLOOKUP(N343,[1]note_pop_types!$A$16:$E$16,4,FALSE),0),"")</f>
        <v/>
      </c>
      <c r="AE343" t="str">
        <f>IFERROR(ROUND(Q343*VLOOKUP(P343,商品!$A$4:$B$60,2,FALSE),0),"")</f>
        <v/>
      </c>
      <c r="AF343" t="str">
        <f>IFERROR(ROUND(S343*VLOOKUP(R343,商品!$A$4:$B$60,2,FALSE),0),"")</f>
        <v/>
      </c>
    </row>
    <row r="344" spans="1:32" ht="19.05" customHeight="1" x14ac:dyDescent="0.25">
      <c r="A344" s="15" t="s">
        <v>249</v>
      </c>
      <c r="C344" s="15">
        <v>1</v>
      </c>
      <c r="T344" s="2">
        <f t="shared" si="20"/>
        <v>0</v>
      </c>
      <c r="U344" s="2">
        <f t="shared" si="21"/>
        <v>0</v>
      </c>
      <c r="V344" s="2">
        <f t="shared" si="22"/>
        <v>0</v>
      </c>
      <c r="W344" s="2">
        <f t="shared" si="23"/>
        <v>0</v>
      </c>
      <c r="Y344" t="str">
        <f>IFERROR(ROUND(E344*VLOOKUP(D344,商品!$A$4:$B$60,2,FALSE),0),"")</f>
        <v/>
      </c>
      <c r="Z344" t="str">
        <f>IFERROR(ROUND(G344*VLOOKUP(F344,商品!$A$4:$B$60,2,FALSE),0),"")</f>
        <v/>
      </c>
      <c r="AA344" t="str">
        <f>IFERROR(ROUND(I344*VLOOKUP(H344,商品!$A$4:$B$60,2,FALSE),0),"")</f>
        <v/>
      </c>
      <c r="AB344" t="str">
        <f>IFERROR(ROUND(K344*VLOOKUP(J344,[1]note_pop_types!$A$16:$E$16,4,FALSE),0),"")</f>
        <v/>
      </c>
      <c r="AC344" t="str">
        <f>IFERROR(ROUND(M344*VLOOKUP(L344,[1]note_pop_types!$A$16:$E$16,4,FALSE),0),"")</f>
        <v/>
      </c>
      <c r="AD344" t="str">
        <f>IFERROR(ROUND(O344*VLOOKUP(N344,[1]note_pop_types!$A$16:$E$16,4,FALSE),0),"")</f>
        <v/>
      </c>
      <c r="AE344" t="str">
        <f>IFERROR(ROUND(Q344*VLOOKUP(P344,商品!$A$4:$B$60,2,FALSE),0),"")</f>
        <v/>
      </c>
      <c r="AF344" t="str">
        <f>IFERROR(ROUND(S344*VLOOKUP(R344,商品!$A$4:$B$60,2,FALSE),0),"")</f>
        <v/>
      </c>
    </row>
    <row r="345" spans="1:32" ht="19.05" customHeight="1" x14ac:dyDescent="0.25">
      <c r="A345" s="15" t="s">
        <v>249</v>
      </c>
      <c r="C345" s="15">
        <v>2</v>
      </c>
      <c r="T345" s="2">
        <f t="shared" si="20"/>
        <v>0</v>
      </c>
      <c r="U345" s="2">
        <f t="shared" si="21"/>
        <v>0</v>
      </c>
      <c r="V345" s="2">
        <f t="shared" si="22"/>
        <v>0</v>
      </c>
      <c r="W345" s="2">
        <f t="shared" si="23"/>
        <v>0</v>
      </c>
      <c r="Y345" t="str">
        <f>IFERROR(ROUND(E345*VLOOKUP(D345,商品!$A$4:$B$60,2,FALSE),0),"")</f>
        <v/>
      </c>
      <c r="Z345" t="str">
        <f>IFERROR(ROUND(G345*VLOOKUP(F345,商品!$A$4:$B$60,2,FALSE),0),"")</f>
        <v/>
      </c>
      <c r="AA345" t="str">
        <f>IFERROR(ROUND(I345*VLOOKUP(H345,商品!$A$4:$B$60,2,FALSE),0),"")</f>
        <v/>
      </c>
      <c r="AB345" t="str">
        <f>IFERROR(ROUND(K345*VLOOKUP(J345,[1]note_pop_types!$A$16:$E$16,4,FALSE),0),"")</f>
        <v/>
      </c>
      <c r="AC345" t="str">
        <f>IFERROR(ROUND(M345*VLOOKUP(L345,[1]note_pop_types!$A$16:$E$16,4,FALSE),0),"")</f>
        <v/>
      </c>
      <c r="AD345" t="str">
        <f>IFERROR(ROUND(O345*VLOOKUP(N345,[1]note_pop_types!$A$16:$E$16,4,FALSE),0),"")</f>
        <v/>
      </c>
      <c r="AE345" t="str">
        <f>IFERROR(ROUND(Q345*VLOOKUP(P345,商品!$A$4:$B$60,2,FALSE),0),"")</f>
        <v/>
      </c>
      <c r="AF345" t="str">
        <f>IFERROR(ROUND(S345*VLOOKUP(R345,商品!$A$4:$B$60,2,FALSE),0),"")</f>
        <v/>
      </c>
    </row>
    <row r="346" spans="1:32" ht="19.05" customHeight="1" x14ac:dyDescent="0.25">
      <c r="A346" s="15" t="s">
        <v>249</v>
      </c>
      <c r="C346" s="15">
        <v>3</v>
      </c>
      <c r="T346" s="2">
        <f t="shared" si="20"/>
        <v>0</v>
      </c>
      <c r="U346" s="2">
        <f t="shared" si="21"/>
        <v>0</v>
      </c>
      <c r="V346" s="2">
        <f t="shared" si="22"/>
        <v>0</v>
      </c>
      <c r="W346" s="2">
        <f t="shared" si="23"/>
        <v>0</v>
      </c>
      <c r="Y346" t="str">
        <f>IFERROR(ROUND(E346*VLOOKUP(D346,商品!$A$4:$B$60,2,FALSE),0),"")</f>
        <v/>
      </c>
      <c r="Z346" t="str">
        <f>IFERROR(ROUND(G346*VLOOKUP(F346,商品!$A$4:$B$60,2,FALSE),0),"")</f>
        <v/>
      </c>
      <c r="AA346" t="str">
        <f>IFERROR(ROUND(I346*VLOOKUP(H346,商品!$A$4:$B$60,2,FALSE),0),"")</f>
        <v/>
      </c>
      <c r="AB346" t="str">
        <f>IFERROR(ROUND(K346*VLOOKUP(J346,[1]note_pop_types!$A$16:$E$16,4,FALSE),0),"")</f>
        <v/>
      </c>
      <c r="AC346" t="str">
        <f>IFERROR(ROUND(M346*VLOOKUP(L346,[1]note_pop_types!$A$16:$E$16,4,FALSE),0),"")</f>
        <v/>
      </c>
      <c r="AD346" t="str">
        <f>IFERROR(ROUND(O346*VLOOKUP(N346,[1]note_pop_types!$A$16:$E$16,4,FALSE),0),"")</f>
        <v/>
      </c>
      <c r="AE346" t="str">
        <f>IFERROR(ROUND(Q346*VLOOKUP(P346,商品!$A$4:$B$60,2,FALSE),0),"")</f>
        <v/>
      </c>
      <c r="AF346" t="str">
        <f>IFERROR(ROUND(S346*VLOOKUP(R346,商品!$A$4:$B$60,2,FALSE),0),"")</f>
        <v/>
      </c>
    </row>
    <row r="347" spans="1:32" ht="19.05" customHeight="1" x14ac:dyDescent="0.25">
      <c r="A347" s="15" t="s">
        <v>249</v>
      </c>
      <c r="C347" s="15">
        <v>4</v>
      </c>
      <c r="T347" s="2">
        <f t="shared" si="20"/>
        <v>0</v>
      </c>
      <c r="U347" s="2">
        <f t="shared" si="21"/>
        <v>0</v>
      </c>
      <c r="V347" s="2">
        <f t="shared" si="22"/>
        <v>0</v>
      </c>
      <c r="W347" s="2">
        <f t="shared" si="23"/>
        <v>0</v>
      </c>
      <c r="Y347" t="str">
        <f>IFERROR(ROUND(E347*VLOOKUP(D347,商品!$A$4:$B$60,2,FALSE),0),"")</f>
        <v/>
      </c>
      <c r="Z347" t="str">
        <f>IFERROR(ROUND(G347*VLOOKUP(F347,商品!$A$4:$B$60,2,FALSE),0),"")</f>
        <v/>
      </c>
      <c r="AA347" t="str">
        <f>IFERROR(ROUND(I347*VLOOKUP(H347,商品!$A$4:$B$60,2,FALSE),0),"")</f>
        <v/>
      </c>
      <c r="AB347" t="str">
        <f>IFERROR(ROUND(K347*VLOOKUP(J347,[1]note_pop_types!$A$16:$E$16,4,FALSE),0),"")</f>
        <v/>
      </c>
      <c r="AC347" t="str">
        <f>IFERROR(ROUND(M347*VLOOKUP(L347,[1]note_pop_types!$A$16:$E$16,4,FALSE),0),"")</f>
        <v/>
      </c>
      <c r="AD347" t="str">
        <f>IFERROR(ROUND(O347*VLOOKUP(N347,[1]note_pop_types!$A$16:$E$16,4,FALSE),0),"")</f>
        <v/>
      </c>
      <c r="AE347" t="str">
        <f>IFERROR(ROUND(Q347*VLOOKUP(P347,商品!$A$4:$B$60,2,FALSE),0),"")</f>
        <v/>
      </c>
      <c r="AF347" t="str">
        <f>IFERROR(ROUND(S347*VLOOKUP(R347,商品!$A$4:$B$60,2,FALSE),0),"")</f>
        <v/>
      </c>
    </row>
    <row r="348" spans="1:32" ht="19.05" customHeight="1" x14ac:dyDescent="0.25">
      <c r="A348" s="15" t="s">
        <v>249</v>
      </c>
      <c r="C348" s="15">
        <v>5</v>
      </c>
      <c r="T348" s="2">
        <f t="shared" si="20"/>
        <v>0</v>
      </c>
      <c r="U348" s="2">
        <f t="shared" si="21"/>
        <v>0</v>
      </c>
      <c r="V348" s="2">
        <f t="shared" si="22"/>
        <v>0</v>
      </c>
      <c r="W348" s="2">
        <f t="shared" si="23"/>
        <v>0</v>
      </c>
      <c r="Y348" t="str">
        <f>IFERROR(ROUND(E348*VLOOKUP(D348,商品!$A$4:$B$60,2,FALSE),0),"")</f>
        <v/>
      </c>
      <c r="Z348" t="str">
        <f>IFERROR(ROUND(G348*VLOOKUP(F348,商品!$A$4:$B$60,2,FALSE),0),"")</f>
        <v/>
      </c>
      <c r="AA348" t="str">
        <f>IFERROR(ROUND(I348*VLOOKUP(H348,商品!$A$4:$B$60,2,FALSE),0),"")</f>
        <v/>
      </c>
      <c r="AB348" t="str">
        <f>IFERROR(ROUND(K348*VLOOKUP(J348,[1]note_pop_types!$A$16:$E$16,4,FALSE),0),"")</f>
        <v/>
      </c>
      <c r="AC348" t="str">
        <f>IFERROR(ROUND(M348*VLOOKUP(L348,[1]note_pop_types!$A$16:$E$16,4,FALSE),0),"")</f>
        <v/>
      </c>
      <c r="AD348" t="str">
        <f>IFERROR(ROUND(O348*VLOOKUP(N348,[1]note_pop_types!$A$16:$E$16,4,FALSE),0),"")</f>
        <v/>
      </c>
      <c r="AE348" t="str">
        <f>IFERROR(ROUND(Q348*VLOOKUP(P348,商品!$A$4:$B$60,2,FALSE),0),"")</f>
        <v/>
      </c>
      <c r="AF348" t="str">
        <f>IFERROR(ROUND(S348*VLOOKUP(R348,商品!$A$4:$B$60,2,FALSE),0),"")</f>
        <v/>
      </c>
    </row>
    <row r="349" spans="1:32" ht="19.05" customHeight="1" x14ac:dyDescent="0.25">
      <c r="A349" s="16" t="s">
        <v>518</v>
      </c>
      <c r="C349" s="16">
        <v>1</v>
      </c>
      <c r="T349" s="2">
        <f t="shared" si="20"/>
        <v>0</v>
      </c>
      <c r="U349" s="2">
        <f t="shared" si="21"/>
        <v>0</v>
      </c>
      <c r="V349" s="2">
        <f t="shared" si="22"/>
        <v>0</v>
      </c>
      <c r="W349" s="2">
        <f t="shared" si="23"/>
        <v>0</v>
      </c>
      <c r="Y349" t="str">
        <f>IFERROR(ROUND(E349*VLOOKUP(D349,商品!$A$4:$B$60,2,FALSE),0),"")</f>
        <v/>
      </c>
      <c r="Z349" t="str">
        <f>IFERROR(ROUND(G349*VLOOKUP(F349,商品!$A$4:$B$60,2,FALSE),0),"")</f>
        <v/>
      </c>
      <c r="AA349" t="str">
        <f>IFERROR(ROUND(I349*VLOOKUP(H349,商品!$A$4:$B$60,2,FALSE),0),"")</f>
        <v/>
      </c>
      <c r="AB349" t="str">
        <f>IFERROR(ROUND(K349*VLOOKUP(J349,[1]note_pop_types!$A$16:$E$16,4,FALSE),0),"")</f>
        <v/>
      </c>
      <c r="AC349" t="str">
        <f>IFERROR(ROUND(M349*VLOOKUP(L349,[1]note_pop_types!$A$16:$E$16,4,FALSE),0),"")</f>
        <v/>
      </c>
      <c r="AD349" t="str">
        <f>IFERROR(ROUND(O349*VLOOKUP(N349,[1]note_pop_types!$A$16:$E$16,4,FALSE),0),"")</f>
        <v/>
      </c>
      <c r="AE349" t="str">
        <f>IFERROR(ROUND(Q349*VLOOKUP(P349,商品!$A$4:$B$60,2,FALSE),0),"")</f>
        <v/>
      </c>
      <c r="AF349" t="str">
        <f>IFERROR(ROUND(S349*VLOOKUP(R349,商品!$A$4:$B$60,2,FALSE),0),"")</f>
        <v/>
      </c>
    </row>
    <row r="350" spans="1:32" ht="19.05" customHeight="1" x14ac:dyDescent="0.25">
      <c r="A350" s="16" t="s">
        <v>518</v>
      </c>
      <c r="C350" s="16">
        <v>2</v>
      </c>
      <c r="T350" s="2">
        <f t="shared" si="20"/>
        <v>0</v>
      </c>
      <c r="U350" s="2">
        <f t="shared" si="21"/>
        <v>0</v>
      </c>
      <c r="V350" s="2">
        <f t="shared" si="22"/>
        <v>0</v>
      </c>
      <c r="W350" s="2">
        <f t="shared" si="23"/>
        <v>0</v>
      </c>
      <c r="Y350" t="str">
        <f>IFERROR(ROUND(E350*VLOOKUP(D350,商品!$A$4:$B$60,2,FALSE),0),"")</f>
        <v/>
      </c>
      <c r="Z350" t="str">
        <f>IFERROR(ROUND(G350*VLOOKUP(F350,商品!$A$4:$B$60,2,FALSE),0),"")</f>
        <v/>
      </c>
      <c r="AA350" t="str">
        <f>IFERROR(ROUND(I350*VLOOKUP(H350,商品!$A$4:$B$60,2,FALSE),0),"")</f>
        <v/>
      </c>
      <c r="AB350" t="str">
        <f>IFERROR(ROUND(K350*VLOOKUP(J350,[1]note_pop_types!$A$16:$E$16,4,FALSE),0),"")</f>
        <v/>
      </c>
      <c r="AC350" t="str">
        <f>IFERROR(ROUND(M350*VLOOKUP(L350,[1]note_pop_types!$A$16:$E$16,4,FALSE),0),"")</f>
        <v/>
      </c>
      <c r="AD350" t="str">
        <f>IFERROR(ROUND(O350*VLOOKUP(N350,[1]note_pop_types!$A$16:$E$16,4,FALSE),0),"")</f>
        <v/>
      </c>
      <c r="AE350" t="str">
        <f>IFERROR(ROUND(Q350*VLOOKUP(P350,商品!$A$4:$B$60,2,FALSE),0),"")</f>
        <v/>
      </c>
      <c r="AF350" t="str">
        <f>IFERROR(ROUND(S350*VLOOKUP(R350,商品!$A$4:$B$60,2,FALSE),0),"")</f>
        <v/>
      </c>
    </row>
    <row r="351" spans="1:32" ht="19.05" customHeight="1" x14ac:dyDescent="0.25">
      <c r="A351" s="16" t="s">
        <v>518</v>
      </c>
      <c r="C351" s="16">
        <v>3</v>
      </c>
      <c r="T351" s="2">
        <f t="shared" si="20"/>
        <v>0</v>
      </c>
      <c r="U351" s="2">
        <f t="shared" si="21"/>
        <v>0</v>
      </c>
      <c r="V351" s="2">
        <f t="shared" si="22"/>
        <v>0</v>
      </c>
      <c r="W351" s="2">
        <f t="shared" si="23"/>
        <v>0</v>
      </c>
      <c r="Y351" t="str">
        <f>IFERROR(ROUND(E351*VLOOKUP(D351,商品!$A$4:$B$60,2,FALSE),0),"")</f>
        <v/>
      </c>
      <c r="Z351" t="str">
        <f>IFERROR(ROUND(G351*VLOOKUP(F351,商品!$A$4:$B$60,2,FALSE),0),"")</f>
        <v/>
      </c>
      <c r="AA351" t="str">
        <f>IFERROR(ROUND(I351*VLOOKUP(H351,商品!$A$4:$B$60,2,FALSE),0),"")</f>
        <v/>
      </c>
      <c r="AB351" t="str">
        <f>IFERROR(ROUND(K351*VLOOKUP(J351,[1]note_pop_types!$A$16:$E$16,4,FALSE),0),"")</f>
        <v/>
      </c>
      <c r="AC351" t="str">
        <f>IFERROR(ROUND(M351*VLOOKUP(L351,[1]note_pop_types!$A$16:$E$16,4,FALSE),0),"")</f>
        <v/>
      </c>
      <c r="AD351" t="str">
        <f>IFERROR(ROUND(O351*VLOOKUP(N351,[1]note_pop_types!$A$16:$E$16,4,FALSE),0),"")</f>
        <v/>
      </c>
      <c r="AE351" t="str">
        <f>IFERROR(ROUND(Q351*VLOOKUP(P351,商品!$A$4:$B$60,2,FALSE),0),"")</f>
        <v/>
      </c>
      <c r="AF351" t="str">
        <f>IFERROR(ROUND(S351*VLOOKUP(R351,商品!$A$4:$B$60,2,FALSE),0),"")</f>
        <v/>
      </c>
    </row>
    <row r="352" spans="1:32" ht="19.05" customHeight="1" x14ac:dyDescent="0.25">
      <c r="A352" s="16" t="s">
        <v>518</v>
      </c>
      <c r="C352" s="16">
        <v>4</v>
      </c>
      <c r="T352" s="2">
        <f t="shared" si="20"/>
        <v>0</v>
      </c>
      <c r="U352" s="2">
        <f t="shared" si="21"/>
        <v>0</v>
      </c>
      <c r="V352" s="2">
        <f t="shared" si="22"/>
        <v>0</v>
      </c>
      <c r="W352" s="2">
        <f t="shared" si="23"/>
        <v>0</v>
      </c>
      <c r="Y352" t="str">
        <f>IFERROR(ROUND(E352*VLOOKUP(D352,商品!$A$4:$B$60,2,FALSE),0),"")</f>
        <v/>
      </c>
      <c r="Z352" t="str">
        <f>IFERROR(ROUND(G352*VLOOKUP(F352,商品!$A$4:$B$60,2,FALSE),0),"")</f>
        <v/>
      </c>
      <c r="AA352" t="str">
        <f>IFERROR(ROUND(I352*VLOOKUP(H352,商品!$A$4:$B$60,2,FALSE),0),"")</f>
        <v/>
      </c>
      <c r="AB352" t="str">
        <f>IFERROR(ROUND(K352*VLOOKUP(J352,[1]note_pop_types!$A$16:$E$16,4,FALSE),0),"")</f>
        <v/>
      </c>
      <c r="AC352" t="str">
        <f>IFERROR(ROUND(M352*VLOOKUP(L352,[1]note_pop_types!$A$16:$E$16,4,FALSE),0),"")</f>
        <v/>
      </c>
      <c r="AD352" t="str">
        <f>IFERROR(ROUND(O352*VLOOKUP(N352,[1]note_pop_types!$A$16:$E$16,4,FALSE),0),"")</f>
        <v/>
      </c>
      <c r="AE352" t="str">
        <f>IFERROR(ROUND(Q352*VLOOKUP(P352,商品!$A$4:$B$60,2,FALSE),0),"")</f>
        <v/>
      </c>
      <c r="AF352" t="str">
        <f>IFERROR(ROUND(S352*VLOOKUP(R352,商品!$A$4:$B$60,2,FALSE),0),"")</f>
        <v/>
      </c>
    </row>
    <row r="353" spans="1:32" ht="19.05" customHeight="1" x14ac:dyDescent="0.25">
      <c r="A353" s="16" t="s">
        <v>518</v>
      </c>
      <c r="C353" s="16">
        <v>5</v>
      </c>
      <c r="T353" s="2">
        <f t="shared" si="20"/>
        <v>0</v>
      </c>
      <c r="U353" s="2">
        <f t="shared" si="21"/>
        <v>0</v>
      </c>
      <c r="V353" s="2">
        <f t="shared" si="22"/>
        <v>0</v>
      </c>
      <c r="W353" s="2">
        <f t="shared" si="23"/>
        <v>0</v>
      </c>
      <c r="Y353" t="str">
        <f>IFERROR(ROUND(E353*VLOOKUP(D353,商品!$A$4:$B$60,2,FALSE),0),"")</f>
        <v/>
      </c>
      <c r="Z353" t="str">
        <f>IFERROR(ROUND(G353*VLOOKUP(F353,商品!$A$4:$B$60,2,FALSE),0),"")</f>
        <v/>
      </c>
      <c r="AA353" t="str">
        <f>IFERROR(ROUND(I353*VLOOKUP(H353,商品!$A$4:$B$60,2,FALSE),0),"")</f>
        <v/>
      </c>
      <c r="AB353" t="str">
        <f>IFERROR(ROUND(K353*VLOOKUP(J353,[1]note_pop_types!$A$16:$E$16,4,FALSE),0),"")</f>
        <v/>
      </c>
      <c r="AC353" t="str">
        <f>IFERROR(ROUND(M353*VLOOKUP(L353,[1]note_pop_types!$A$16:$E$16,4,FALSE),0),"")</f>
        <v/>
      </c>
      <c r="AD353" t="str">
        <f>IFERROR(ROUND(O353*VLOOKUP(N353,[1]note_pop_types!$A$16:$E$16,4,FALSE),0),"")</f>
        <v/>
      </c>
      <c r="AE353" t="str">
        <f>IFERROR(ROUND(Q353*VLOOKUP(P353,商品!$A$4:$B$60,2,FALSE),0),"")</f>
        <v/>
      </c>
      <c r="AF353" t="str">
        <f>IFERROR(ROUND(S353*VLOOKUP(R353,商品!$A$4:$B$60,2,FALSE),0),"")</f>
        <v/>
      </c>
    </row>
    <row r="354" spans="1:32" ht="19.05" customHeight="1" x14ac:dyDescent="0.25">
      <c r="A354" s="15" t="s">
        <v>518</v>
      </c>
      <c r="C354" s="15">
        <v>1</v>
      </c>
      <c r="T354" s="2">
        <f t="shared" si="20"/>
        <v>0</v>
      </c>
      <c r="U354" s="2">
        <f t="shared" si="21"/>
        <v>0</v>
      </c>
      <c r="V354" s="2">
        <f t="shared" si="22"/>
        <v>0</v>
      </c>
      <c r="W354" s="2">
        <f t="shared" si="23"/>
        <v>0</v>
      </c>
      <c r="Y354" t="str">
        <f>IFERROR(ROUND(E354*VLOOKUP(D354,商品!$A$4:$B$60,2,FALSE),0),"")</f>
        <v/>
      </c>
      <c r="Z354" t="str">
        <f>IFERROR(ROUND(G354*VLOOKUP(F354,商品!$A$4:$B$60,2,FALSE),0),"")</f>
        <v/>
      </c>
      <c r="AA354" t="str">
        <f>IFERROR(ROUND(I354*VLOOKUP(H354,商品!$A$4:$B$60,2,FALSE),0),"")</f>
        <v/>
      </c>
      <c r="AB354" t="str">
        <f>IFERROR(ROUND(K354*VLOOKUP(J354,[1]note_pop_types!$A$16:$E$16,4,FALSE),0),"")</f>
        <v/>
      </c>
      <c r="AC354" t="str">
        <f>IFERROR(ROUND(M354*VLOOKUP(L354,[1]note_pop_types!$A$16:$E$16,4,FALSE),0),"")</f>
        <v/>
      </c>
      <c r="AD354" t="str">
        <f>IFERROR(ROUND(O354*VLOOKUP(N354,[1]note_pop_types!$A$16:$E$16,4,FALSE),0),"")</f>
        <v/>
      </c>
      <c r="AE354" t="str">
        <f>IFERROR(ROUND(Q354*VLOOKUP(P354,商品!$A$4:$B$60,2,FALSE),0),"")</f>
        <v/>
      </c>
      <c r="AF354" t="str">
        <f>IFERROR(ROUND(S354*VLOOKUP(R354,商品!$A$4:$B$60,2,FALSE),0),"")</f>
        <v/>
      </c>
    </row>
    <row r="355" spans="1:32" ht="19.05" customHeight="1" x14ac:dyDescent="0.25">
      <c r="A355" s="15" t="s">
        <v>518</v>
      </c>
      <c r="C355" s="15">
        <v>2</v>
      </c>
      <c r="T355" s="2">
        <f t="shared" si="20"/>
        <v>0</v>
      </c>
      <c r="U355" s="2">
        <f t="shared" si="21"/>
        <v>0</v>
      </c>
      <c r="V355" s="2">
        <f t="shared" si="22"/>
        <v>0</v>
      </c>
      <c r="W355" s="2">
        <f t="shared" si="23"/>
        <v>0</v>
      </c>
      <c r="Y355" t="str">
        <f>IFERROR(ROUND(E355*VLOOKUP(D355,商品!$A$4:$B$60,2,FALSE),0),"")</f>
        <v/>
      </c>
      <c r="Z355" t="str">
        <f>IFERROR(ROUND(G355*VLOOKUP(F355,商品!$A$4:$B$60,2,FALSE),0),"")</f>
        <v/>
      </c>
      <c r="AA355" t="str">
        <f>IFERROR(ROUND(I355*VLOOKUP(H355,商品!$A$4:$B$60,2,FALSE),0),"")</f>
        <v/>
      </c>
      <c r="AB355" t="str">
        <f>IFERROR(ROUND(K355*VLOOKUP(J355,[1]note_pop_types!$A$16:$E$16,4,FALSE),0),"")</f>
        <v/>
      </c>
      <c r="AC355" t="str">
        <f>IFERROR(ROUND(M355*VLOOKUP(L355,[1]note_pop_types!$A$16:$E$16,4,FALSE),0),"")</f>
        <v/>
      </c>
      <c r="AD355" t="str">
        <f>IFERROR(ROUND(O355*VLOOKUP(N355,[1]note_pop_types!$A$16:$E$16,4,FALSE),0),"")</f>
        <v/>
      </c>
      <c r="AE355" t="str">
        <f>IFERROR(ROUND(Q355*VLOOKUP(P355,商品!$A$4:$B$60,2,FALSE),0),"")</f>
        <v/>
      </c>
      <c r="AF355" t="str">
        <f>IFERROR(ROUND(S355*VLOOKUP(R355,商品!$A$4:$B$60,2,FALSE),0),"")</f>
        <v/>
      </c>
    </row>
    <row r="356" spans="1:32" ht="19.05" customHeight="1" x14ac:dyDescent="0.25">
      <c r="A356" s="15" t="s">
        <v>518</v>
      </c>
      <c r="C356" s="15">
        <v>3</v>
      </c>
      <c r="T356" s="2">
        <f t="shared" si="20"/>
        <v>0</v>
      </c>
      <c r="U356" s="2">
        <f t="shared" si="21"/>
        <v>0</v>
      </c>
      <c r="V356" s="2">
        <f t="shared" si="22"/>
        <v>0</v>
      </c>
      <c r="W356" s="2">
        <f t="shared" si="23"/>
        <v>0</v>
      </c>
      <c r="Y356" t="str">
        <f>IFERROR(ROUND(E356*VLOOKUP(D356,商品!$A$4:$B$60,2,FALSE),0),"")</f>
        <v/>
      </c>
      <c r="Z356" t="str">
        <f>IFERROR(ROUND(G356*VLOOKUP(F356,商品!$A$4:$B$60,2,FALSE),0),"")</f>
        <v/>
      </c>
      <c r="AA356" t="str">
        <f>IFERROR(ROUND(I356*VLOOKUP(H356,商品!$A$4:$B$60,2,FALSE),0),"")</f>
        <v/>
      </c>
      <c r="AB356" t="str">
        <f>IFERROR(ROUND(K356*VLOOKUP(J356,[1]note_pop_types!$A$16:$E$16,4,FALSE),0),"")</f>
        <v/>
      </c>
      <c r="AC356" t="str">
        <f>IFERROR(ROUND(M356*VLOOKUP(L356,[1]note_pop_types!$A$16:$E$16,4,FALSE),0),"")</f>
        <v/>
      </c>
      <c r="AD356" t="str">
        <f>IFERROR(ROUND(O356*VLOOKUP(N356,[1]note_pop_types!$A$16:$E$16,4,FALSE),0),"")</f>
        <v/>
      </c>
      <c r="AE356" t="str">
        <f>IFERROR(ROUND(Q356*VLOOKUP(P356,商品!$A$4:$B$60,2,FALSE),0),"")</f>
        <v/>
      </c>
      <c r="AF356" t="str">
        <f>IFERROR(ROUND(S356*VLOOKUP(R356,商品!$A$4:$B$60,2,FALSE),0),"")</f>
        <v/>
      </c>
    </row>
    <row r="357" spans="1:32" ht="19.05" customHeight="1" x14ac:dyDescent="0.25">
      <c r="A357" s="15" t="s">
        <v>518</v>
      </c>
      <c r="C357" s="15">
        <v>4</v>
      </c>
      <c r="T357" s="2">
        <f t="shared" si="20"/>
        <v>0</v>
      </c>
      <c r="U357" s="2">
        <f t="shared" si="21"/>
        <v>0</v>
      </c>
      <c r="V357" s="2">
        <f t="shared" si="22"/>
        <v>0</v>
      </c>
      <c r="W357" s="2">
        <f t="shared" si="23"/>
        <v>0</v>
      </c>
      <c r="Y357" t="str">
        <f>IFERROR(ROUND(E357*VLOOKUP(D357,商品!$A$4:$B$60,2,FALSE),0),"")</f>
        <v/>
      </c>
      <c r="Z357" t="str">
        <f>IFERROR(ROUND(G357*VLOOKUP(F357,商品!$A$4:$B$60,2,FALSE),0),"")</f>
        <v/>
      </c>
      <c r="AA357" t="str">
        <f>IFERROR(ROUND(I357*VLOOKUP(H357,商品!$A$4:$B$60,2,FALSE),0),"")</f>
        <v/>
      </c>
      <c r="AB357" t="str">
        <f>IFERROR(ROUND(K357*VLOOKUP(J357,[1]note_pop_types!$A$16:$E$16,4,FALSE),0),"")</f>
        <v/>
      </c>
      <c r="AC357" t="str">
        <f>IFERROR(ROUND(M357*VLOOKUP(L357,[1]note_pop_types!$A$16:$E$16,4,FALSE),0),"")</f>
        <v/>
      </c>
      <c r="AD357" t="str">
        <f>IFERROR(ROUND(O357*VLOOKUP(N357,[1]note_pop_types!$A$16:$E$16,4,FALSE),0),"")</f>
        <v/>
      </c>
      <c r="AE357" t="str">
        <f>IFERROR(ROUND(Q357*VLOOKUP(P357,商品!$A$4:$B$60,2,FALSE),0),"")</f>
        <v/>
      </c>
      <c r="AF357" t="str">
        <f>IFERROR(ROUND(S357*VLOOKUP(R357,商品!$A$4:$B$60,2,FALSE),0),"")</f>
        <v/>
      </c>
    </row>
    <row r="358" spans="1:32" ht="19.05" customHeight="1" x14ac:dyDescent="0.25">
      <c r="A358" s="15" t="s">
        <v>518</v>
      </c>
      <c r="C358" s="15">
        <v>5</v>
      </c>
      <c r="T358" s="2">
        <f t="shared" si="20"/>
        <v>0</v>
      </c>
      <c r="U358" s="2">
        <f t="shared" si="21"/>
        <v>0</v>
      </c>
      <c r="V358" s="2">
        <f t="shared" si="22"/>
        <v>0</v>
      </c>
      <c r="W358" s="2">
        <f t="shared" si="23"/>
        <v>0</v>
      </c>
      <c r="Y358" t="str">
        <f>IFERROR(ROUND(E358*VLOOKUP(D358,商品!$A$4:$B$60,2,FALSE),0),"")</f>
        <v/>
      </c>
      <c r="Z358" t="str">
        <f>IFERROR(ROUND(G358*VLOOKUP(F358,商品!$A$4:$B$60,2,FALSE),0),"")</f>
        <v/>
      </c>
      <c r="AA358" t="str">
        <f>IFERROR(ROUND(I358*VLOOKUP(H358,商品!$A$4:$B$60,2,FALSE),0),"")</f>
        <v/>
      </c>
      <c r="AB358" t="str">
        <f>IFERROR(ROUND(K358*VLOOKUP(J358,[1]note_pop_types!$A$16:$E$16,4,FALSE),0),"")</f>
        <v/>
      </c>
      <c r="AC358" t="str">
        <f>IFERROR(ROUND(M358*VLOOKUP(L358,[1]note_pop_types!$A$16:$E$16,4,FALSE),0),"")</f>
        <v/>
      </c>
      <c r="AD358" t="str">
        <f>IFERROR(ROUND(O358*VLOOKUP(N358,[1]note_pop_types!$A$16:$E$16,4,FALSE),0),"")</f>
        <v/>
      </c>
      <c r="AE358" t="str">
        <f>IFERROR(ROUND(Q358*VLOOKUP(P358,商品!$A$4:$B$60,2,FALSE),0),"")</f>
        <v/>
      </c>
      <c r="AF358" t="str">
        <f>IFERROR(ROUND(S358*VLOOKUP(R358,商品!$A$4:$B$60,2,FALSE),0),"")</f>
        <v/>
      </c>
    </row>
    <row r="359" spans="1:32" ht="19.05" customHeight="1" x14ac:dyDescent="0.25">
      <c r="A359" s="16" t="s">
        <v>252</v>
      </c>
      <c r="C359" s="16">
        <v>1</v>
      </c>
      <c r="T359" s="2">
        <f t="shared" si="20"/>
        <v>0</v>
      </c>
      <c r="U359" s="2">
        <f t="shared" si="21"/>
        <v>0</v>
      </c>
      <c r="V359" s="2">
        <f t="shared" si="22"/>
        <v>0</v>
      </c>
      <c r="W359" s="2">
        <f t="shared" si="23"/>
        <v>0</v>
      </c>
      <c r="Y359" t="str">
        <f>IFERROR(ROUND(E359*VLOOKUP(D359,商品!$A$4:$B$60,2,FALSE),0),"")</f>
        <v/>
      </c>
      <c r="Z359" t="str">
        <f>IFERROR(ROUND(G359*VLOOKUP(F359,商品!$A$4:$B$60,2,FALSE),0),"")</f>
        <v/>
      </c>
      <c r="AA359" t="str">
        <f>IFERROR(ROUND(I359*VLOOKUP(H359,商品!$A$4:$B$60,2,FALSE),0),"")</f>
        <v/>
      </c>
      <c r="AB359" t="str">
        <f>IFERROR(ROUND(K359*VLOOKUP(J359,[1]note_pop_types!$A$16:$E$16,4,FALSE),0),"")</f>
        <v/>
      </c>
      <c r="AC359" t="str">
        <f>IFERROR(ROUND(M359*VLOOKUP(L359,[1]note_pop_types!$A$16:$E$16,4,FALSE),0),"")</f>
        <v/>
      </c>
      <c r="AD359" t="str">
        <f>IFERROR(ROUND(O359*VLOOKUP(N359,[1]note_pop_types!$A$16:$E$16,4,FALSE),0),"")</f>
        <v/>
      </c>
      <c r="AE359" t="str">
        <f>IFERROR(ROUND(Q359*VLOOKUP(P359,商品!$A$4:$B$60,2,FALSE),0),"")</f>
        <v/>
      </c>
      <c r="AF359" t="str">
        <f>IFERROR(ROUND(S359*VLOOKUP(R359,商品!$A$4:$B$60,2,FALSE),0),"")</f>
        <v/>
      </c>
    </row>
    <row r="360" spans="1:32" ht="19.05" customHeight="1" x14ac:dyDescent="0.25">
      <c r="A360" s="16" t="s">
        <v>252</v>
      </c>
      <c r="C360" s="16">
        <v>2</v>
      </c>
      <c r="T360" s="2">
        <f t="shared" si="20"/>
        <v>0</v>
      </c>
      <c r="U360" s="2">
        <f t="shared" si="21"/>
        <v>0</v>
      </c>
      <c r="V360" s="2">
        <f t="shared" si="22"/>
        <v>0</v>
      </c>
      <c r="W360" s="2">
        <f t="shared" si="23"/>
        <v>0</v>
      </c>
      <c r="Y360" t="str">
        <f>IFERROR(ROUND(E360*VLOOKUP(D360,商品!$A$4:$B$60,2,FALSE),0),"")</f>
        <v/>
      </c>
      <c r="Z360" t="str">
        <f>IFERROR(ROUND(G360*VLOOKUP(F360,商品!$A$4:$B$60,2,FALSE),0),"")</f>
        <v/>
      </c>
      <c r="AA360" t="str">
        <f>IFERROR(ROUND(I360*VLOOKUP(H360,商品!$A$4:$B$60,2,FALSE),0),"")</f>
        <v/>
      </c>
      <c r="AB360" t="str">
        <f>IFERROR(ROUND(K360*VLOOKUP(J360,[1]note_pop_types!$A$16:$E$16,4,FALSE),0),"")</f>
        <v/>
      </c>
      <c r="AC360" t="str">
        <f>IFERROR(ROUND(M360*VLOOKUP(L360,[1]note_pop_types!$A$16:$E$16,4,FALSE),0),"")</f>
        <v/>
      </c>
      <c r="AD360" t="str">
        <f>IFERROR(ROUND(O360*VLOOKUP(N360,[1]note_pop_types!$A$16:$E$16,4,FALSE),0),"")</f>
        <v/>
      </c>
      <c r="AE360" t="str">
        <f>IFERROR(ROUND(Q360*VLOOKUP(P360,商品!$A$4:$B$60,2,FALSE),0),"")</f>
        <v/>
      </c>
      <c r="AF360" t="str">
        <f>IFERROR(ROUND(S360*VLOOKUP(R360,商品!$A$4:$B$60,2,FALSE),0),"")</f>
        <v/>
      </c>
    </row>
    <row r="361" spans="1:32" ht="19.05" customHeight="1" x14ac:dyDescent="0.25">
      <c r="A361" s="16" t="s">
        <v>252</v>
      </c>
      <c r="C361" s="16">
        <v>3</v>
      </c>
      <c r="T361" s="2">
        <f t="shared" si="20"/>
        <v>0</v>
      </c>
      <c r="U361" s="2">
        <f t="shared" si="21"/>
        <v>0</v>
      </c>
      <c r="V361" s="2">
        <f t="shared" si="22"/>
        <v>0</v>
      </c>
      <c r="W361" s="2">
        <f t="shared" si="23"/>
        <v>0</v>
      </c>
      <c r="Y361" t="str">
        <f>IFERROR(ROUND(E361*VLOOKUP(D361,商品!$A$4:$B$60,2,FALSE),0),"")</f>
        <v/>
      </c>
      <c r="Z361" t="str">
        <f>IFERROR(ROUND(G361*VLOOKUP(F361,商品!$A$4:$B$60,2,FALSE),0),"")</f>
        <v/>
      </c>
      <c r="AA361" t="str">
        <f>IFERROR(ROUND(I361*VLOOKUP(H361,商品!$A$4:$B$60,2,FALSE),0),"")</f>
        <v/>
      </c>
      <c r="AB361" t="str">
        <f>IFERROR(ROUND(K361*VLOOKUP(J361,[1]note_pop_types!$A$16:$E$16,4,FALSE),0),"")</f>
        <v/>
      </c>
      <c r="AC361" t="str">
        <f>IFERROR(ROUND(M361*VLOOKUP(L361,[1]note_pop_types!$A$16:$E$16,4,FALSE),0),"")</f>
        <v/>
      </c>
      <c r="AD361" t="str">
        <f>IFERROR(ROUND(O361*VLOOKUP(N361,[1]note_pop_types!$A$16:$E$16,4,FALSE),0),"")</f>
        <v/>
      </c>
      <c r="AE361" t="str">
        <f>IFERROR(ROUND(Q361*VLOOKUP(P361,商品!$A$4:$B$60,2,FALSE),0),"")</f>
        <v/>
      </c>
      <c r="AF361" t="str">
        <f>IFERROR(ROUND(S361*VLOOKUP(R361,商品!$A$4:$B$60,2,FALSE),0),"")</f>
        <v/>
      </c>
    </row>
    <row r="362" spans="1:32" ht="19.05" customHeight="1" x14ac:dyDescent="0.25">
      <c r="A362" s="16" t="s">
        <v>252</v>
      </c>
      <c r="C362" s="16">
        <v>4</v>
      </c>
      <c r="T362" s="2">
        <f t="shared" si="20"/>
        <v>0</v>
      </c>
      <c r="U362" s="2">
        <f t="shared" si="21"/>
        <v>0</v>
      </c>
      <c r="V362" s="2">
        <f t="shared" si="22"/>
        <v>0</v>
      </c>
      <c r="W362" s="2">
        <f t="shared" si="23"/>
        <v>0</v>
      </c>
      <c r="Y362" t="str">
        <f>IFERROR(ROUND(E362*VLOOKUP(D362,商品!$A$4:$B$60,2,FALSE),0),"")</f>
        <v/>
      </c>
      <c r="Z362" t="str">
        <f>IFERROR(ROUND(G362*VLOOKUP(F362,商品!$A$4:$B$60,2,FALSE),0),"")</f>
        <v/>
      </c>
      <c r="AA362" t="str">
        <f>IFERROR(ROUND(I362*VLOOKUP(H362,商品!$A$4:$B$60,2,FALSE),0),"")</f>
        <v/>
      </c>
      <c r="AB362" t="str">
        <f>IFERROR(ROUND(K362*VLOOKUP(J362,[1]note_pop_types!$A$16:$E$16,4,FALSE),0),"")</f>
        <v/>
      </c>
      <c r="AC362" t="str">
        <f>IFERROR(ROUND(M362*VLOOKUP(L362,[1]note_pop_types!$A$16:$E$16,4,FALSE),0),"")</f>
        <v/>
      </c>
      <c r="AD362" t="str">
        <f>IFERROR(ROUND(O362*VLOOKUP(N362,[1]note_pop_types!$A$16:$E$16,4,FALSE),0),"")</f>
        <v/>
      </c>
      <c r="AE362" t="str">
        <f>IFERROR(ROUND(Q362*VLOOKUP(P362,商品!$A$4:$B$60,2,FALSE),0),"")</f>
        <v/>
      </c>
      <c r="AF362" t="str">
        <f>IFERROR(ROUND(S362*VLOOKUP(R362,商品!$A$4:$B$60,2,FALSE),0),"")</f>
        <v/>
      </c>
    </row>
    <row r="363" spans="1:32" ht="19.05" customHeight="1" x14ac:dyDescent="0.25">
      <c r="A363" s="16" t="s">
        <v>252</v>
      </c>
      <c r="C363" s="16">
        <v>5</v>
      </c>
      <c r="T363" s="2">
        <f t="shared" si="20"/>
        <v>0</v>
      </c>
      <c r="U363" s="2">
        <f t="shared" si="21"/>
        <v>0</v>
      </c>
      <c r="V363" s="2">
        <f t="shared" si="22"/>
        <v>0</v>
      </c>
      <c r="W363" s="2">
        <f t="shared" si="23"/>
        <v>0</v>
      </c>
      <c r="Y363" t="str">
        <f>IFERROR(ROUND(E363*VLOOKUP(D363,商品!$A$4:$B$60,2,FALSE),0),"")</f>
        <v/>
      </c>
      <c r="Z363" t="str">
        <f>IFERROR(ROUND(G363*VLOOKUP(F363,商品!$A$4:$B$60,2,FALSE),0),"")</f>
        <v/>
      </c>
      <c r="AA363" t="str">
        <f>IFERROR(ROUND(I363*VLOOKUP(H363,商品!$A$4:$B$60,2,FALSE),0),"")</f>
        <v/>
      </c>
      <c r="AB363" t="str">
        <f>IFERROR(ROUND(K363*VLOOKUP(J363,[1]note_pop_types!$A$16:$E$16,4,FALSE),0),"")</f>
        <v/>
      </c>
      <c r="AC363" t="str">
        <f>IFERROR(ROUND(M363*VLOOKUP(L363,[1]note_pop_types!$A$16:$E$16,4,FALSE),0),"")</f>
        <v/>
      </c>
      <c r="AD363" t="str">
        <f>IFERROR(ROUND(O363*VLOOKUP(N363,[1]note_pop_types!$A$16:$E$16,4,FALSE),0),"")</f>
        <v/>
      </c>
      <c r="AE363" t="str">
        <f>IFERROR(ROUND(Q363*VLOOKUP(P363,商品!$A$4:$B$60,2,FALSE),0),"")</f>
        <v/>
      </c>
      <c r="AF363" t="str">
        <f>IFERROR(ROUND(S363*VLOOKUP(R363,商品!$A$4:$B$60,2,FALSE),0),"")</f>
        <v/>
      </c>
    </row>
    <row r="364" spans="1:32" ht="19.05" customHeight="1" x14ac:dyDescent="0.25">
      <c r="A364" s="16" t="s">
        <v>252</v>
      </c>
      <c r="C364" s="16">
        <v>6</v>
      </c>
      <c r="T364" s="2">
        <f t="shared" si="20"/>
        <v>0</v>
      </c>
      <c r="U364" s="2">
        <f t="shared" si="21"/>
        <v>0</v>
      </c>
      <c r="V364" s="2">
        <f t="shared" si="22"/>
        <v>0</v>
      </c>
      <c r="W364" s="2">
        <f t="shared" si="23"/>
        <v>0</v>
      </c>
      <c r="Y364" t="str">
        <f>IFERROR(ROUND(E364*VLOOKUP(D364,商品!$A$4:$B$60,2,FALSE),0),"")</f>
        <v/>
      </c>
      <c r="Z364" t="str">
        <f>IFERROR(ROUND(G364*VLOOKUP(F364,商品!$A$4:$B$60,2,FALSE),0),"")</f>
        <v/>
      </c>
      <c r="AA364" t="str">
        <f>IFERROR(ROUND(I364*VLOOKUP(H364,商品!$A$4:$B$60,2,FALSE),0),"")</f>
        <v/>
      </c>
      <c r="AB364" t="str">
        <f>IFERROR(ROUND(K364*VLOOKUP(J364,[1]note_pop_types!$A$16:$E$16,4,FALSE),0),"")</f>
        <v/>
      </c>
      <c r="AC364" t="str">
        <f>IFERROR(ROUND(M364*VLOOKUP(L364,[1]note_pop_types!$A$16:$E$16,4,FALSE),0),"")</f>
        <v/>
      </c>
      <c r="AD364" t="str">
        <f>IFERROR(ROUND(O364*VLOOKUP(N364,[1]note_pop_types!$A$16:$E$16,4,FALSE),0),"")</f>
        <v/>
      </c>
      <c r="AE364" t="str">
        <f>IFERROR(ROUND(Q364*VLOOKUP(P364,商品!$A$4:$B$60,2,FALSE),0),"")</f>
        <v/>
      </c>
      <c r="AF364" t="str">
        <f>IFERROR(ROUND(S364*VLOOKUP(R364,商品!$A$4:$B$60,2,FALSE),0),"")</f>
        <v/>
      </c>
    </row>
    <row r="365" spans="1:32" ht="19.05" customHeight="1" x14ac:dyDescent="0.25">
      <c r="A365" s="16" t="s">
        <v>252</v>
      </c>
      <c r="C365" s="16">
        <v>7</v>
      </c>
      <c r="T365" s="2">
        <f t="shared" si="20"/>
        <v>0</v>
      </c>
      <c r="U365" s="2">
        <f t="shared" si="21"/>
        <v>0</v>
      </c>
      <c r="V365" s="2">
        <f t="shared" si="22"/>
        <v>0</v>
      </c>
      <c r="W365" s="2">
        <f t="shared" si="23"/>
        <v>0</v>
      </c>
      <c r="Y365" t="str">
        <f>IFERROR(ROUND(E365*VLOOKUP(D365,商品!$A$4:$B$60,2,FALSE),0),"")</f>
        <v/>
      </c>
      <c r="Z365" t="str">
        <f>IFERROR(ROUND(G365*VLOOKUP(F365,商品!$A$4:$B$60,2,FALSE),0),"")</f>
        <v/>
      </c>
      <c r="AA365" t="str">
        <f>IFERROR(ROUND(I365*VLOOKUP(H365,商品!$A$4:$B$60,2,FALSE),0),"")</f>
        <v/>
      </c>
      <c r="AB365" t="str">
        <f>IFERROR(ROUND(K365*VLOOKUP(J365,[1]note_pop_types!$A$16:$E$16,4,FALSE),0),"")</f>
        <v/>
      </c>
      <c r="AC365" t="str">
        <f>IFERROR(ROUND(M365*VLOOKUP(L365,[1]note_pop_types!$A$16:$E$16,4,FALSE),0),"")</f>
        <v/>
      </c>
      <c r="AD365" t="str">
        <f>IFERROR(ROUND(O365*VLOOKUP(N365,[1]note_pop_types!$A$16:$E$16,4,FALSE),0),"")</f>
        <v/>
      </c>
      <c r="AE365" t="str">
        <f>IFERROR(ROUND(Q365*VLOOKUP(P365,商品!$A$4:$B$60,2,FALSE),0),"")</f>
        <v/>
      </c>
      <c r="AF365" t="str">
        <f>IFERROR(ROUND(S365*VLOOKUP(R365,商品!$A$4:$B$60,2,FALSE),0),"")</f>
        <v/>
      </c>
    </row>
    <row r="366" spans="1:32" ht="19.05" customHeight="1" x14ac:dyDescent="0.25">
      <c r="A366" s="16" t="s">
        <v>252</v>
      </c>
      <c r="C366" s="16">
        <v>8</v>
      </c>
      <c r="T366" s="2">
        <f t="shared" si="20"/>
        <v>0</v>
      </c>
      <c r="U366" s="2">
        <f t="shared" si="21"/>
        <v>0</v>
      </c>
      <c r="V366" s="2">
        <f t="shared" si="22"/>
        <v>0</v>
      </c>
      <c r="W366" s="2">
        <f t="shared" si="23"/>
        <v>0</v>
      </c>
      <c r="Y366" t="str">
        <f>IFERROR(ROUND(E366*VLOOKUP(D366,商品!$A$4:$B$60,2,FALSE),0),"")</f>
        <v/>
      </c>
      <c r="Z366" t="str">
        <f>IFERROR(ROUND(G366*VLOOKUP(F366,商品!$A$4:$B$60,2,FALSE),0),"")</f>
        <v/>
      </c>
      <c r="AA366" t="str">
        <f>IFERROR(ROUND(I366*VLOOKUP(H366,商品!$A$4:$B$60,2,FALSE),0),"")</f>
        <v/>
      </c>
      <c r="AB366" t="str">
        <f>IFERROR(ROUND(K366*VLOOKUP(J366,[1]note_pop_types!$A$16:$E$16,4,FALSE),0),"")</f>
        <v/>
      </c>
      <c r="AC366" t="str">
        <f>IFERROR(ROUND(M366*VLOOKUP(L366,[1]note_pop_types!$A$16:$E$16,4,FALSE),0),"")</f>
        <v/>
      </c>
      <c r="AD366" t="str">
        <f>IFERROR(ROUND(O366*VLOOKUP(N366,[1]note_pop_types!$A$16:$E$16,4,FALSE),0),"")</f>
        <v/>
      </c>
      <c r="AE366" t="str">
        <f>IFERROR(ROUND(Q366*VLOOKUP(P366,商品!$A$4:$B$60,2,FALSE),0),"")</f>
        <v/>
      </c>
      <c r="AF366" t="str">
        <f>IFERROR(ROUND(S366*VLOOKUP(R366,商品!$A$4:$B$60,2,FALSE),0),"")</f>
        <v/>
      </c>
    </row>
    <row r="367" spans="1:32" ht="19.05" customHeight="1" x14ac:dyDescent="0.25">
      <c r="A367" s="15" t="s">
        <v>254</v>
      </c>
      <c r="C367" s="15">
        <v>1</v>
      </c>
      <c r="T367" s="2">
        <f t="shared" si="20"/>
        <v>0</v>
      </c>
      <c r="U367" s="2">
        <f t="shared" si="21"/>
        <v>0</v>
      </c>
      <c r="V367" s="2">
        <f t="shared" si="22"/>
        <v>0</v>
      </c>
      <c r="W367" s="2">
        <f t="shared" si="23"/>
        <v>0</v>
      </c>
      <c r="Y367" t="str">
        <f>IFERROR(ROUND(E367*VLOOKUP(D367,商品!$A$4:$B$60,2,FALSE),0),"")</f>
        <v/>
      </c>
      <c r="Z367" t="str">
        <f>IFERROR(ROUND(G367*VLOOKUP(F367,商品!$A$4:$B$60,2,FALSE),0),"")</f>
        <v/>
      </c>
      <c r="AA367" t="str">
        <f>IFERROR(ROUND(I367*VLOOKUP(H367,商品!$A$4:$B$60,2,FALSE),0),"")</f>
        <v/>
      </c>
      <c r="AB367" t="str">
        <f>IFERROR(ROUND(K367*VLOOKUP(J367,[1]note_pop_types!$A$16:$E$16,4,FALSE),0),"")</f>
        <v/>
      </c>
      <c r="AC367" t="str">
        <f>IFERROR(ROUND(M367*VLOOKUP(L367,[1]note_pop_types!$A$16:$E$16,4,FALSE),0),"")</f>
        <v/>
      </c>
      <c r="AD367" t="str">
        <f>IFERROR(ROUND(O367*VLOOKUP(N367,[1]note_pop_types!$A$16:$E$16,4,FALSE),0),"")</f>
        <v/>
      </c>
      <c r="AE367" t="str">
        <f>IFERROR(ROUND(Q367*VLOOKUP(P367,商品!$A$4:$B$60,2,FALSE),0),"")</f>
        <v/>
      </c>
      <c r="AF367" t="str">
        <f>IFERROR(ROUND(S367*VLOOKUP(R367,商品!$A$4:$B$60,2,FALSE),0),"")</f>
        <v/>
      </c>
    </row>
    <row r="368" spans="1:32" ht="19.05" customHeight="1" x14ac:dyDescent="0.25">
      <c r="A368" s="15" t="s">
        <v>254</v>
      </c>
      <c r="C368" s="15">
        <v>2</v>
      </c>
      <c r="T368" s="2">
        <f t="shared" si="20"/>
        <v>0</v>
      </c>
      <c r="U368" s="2">
        <f t="shared" si="21"/>
        <v>0</v>
      </c>
      <c r="V368" s="2">
        <f t="shared" si="22"/>
        <v>0</v>
      </c>
      <c r="W368" s="2">
        <f t="shared" si="23"/>
        <v>0</v>
      </c>
      <c r="Y368" t="str">
        <f>IFERROR(ROUND(E368*VLOOKUP(D368,商品!$A$4:$B$60,2,FALSE),0),"")</f>
        <v/>
      </c>
      <c r="Z368" t="str">
        <f>IFERROR(ROUND(G368*VLOOKUP(F368,商品!$A$4:$B$60,2,FALSE),0),"")</f>
        <v/>
      </c>
      <c r="AA368" t="str">
        <f>IFERROR(ROUND(I368*VLOOKUP(H368,商品!$A$4:$B$60,2,FALSE),0),"")</f>
        <v/>
      </c>
      <c r="AB368" t="str">
        <f>IFERROR(ROUND(K368*VLOOKUP(J368,[1]note_pop_types!$A$16:$E$16,4,FALSE),0),"")</f>
        <v/>
      </c>
      <c r="AC368" t="str">
        <f>IFERROR(ROUND(M368*VLOOKUP(L368,[1]note_pop_types!$A$16:$E$16,4,FALSE),0),"")</f>
        <v/>
      </c>
      <c r="AD368" t="str">
        <f>IFERROR(ROUND(O368*VLOOKUP(N368,[1]note_pop_types!$A$16:$E$16,4,FALSE),0),"")</f>
        <v/>
      </c>
      <c r="AE368" t="str">
        <f>IFERROR(ROUND(Q368*VLOOKUP(P368,商品!$A$4:$B$60,2,FALSE),0),"")</f>
        <v/>
      </c>
      <c r="AF368" t="str">
        <f>IFERROR(ROUND(S368*VLOOKUP(R368,商品!$A$4:$B$60,2,FALSE),0),"")</f>
        <v/>
      </c>
    </row>
    <row r="369" spans="1:32" ht="19.05" customHeight="1" x14ac:dyDescent="0.25">
      <c r="A369" s="15" t="s">
        <v>254</v>
      </c>
      <c r="C369" s="15">
        <v>3</v>
      </c>
      <c r="T369" s="2">
        <f t="shared" si="20"/>
        <v>0</v>
      </c>
      <c r="U369" s="2">
        <f t="shared" si="21"/>
        <v>0</v>
      </c>
      <c r="V369" s="2">
        <f t="shared" si="22"/>
        <v>0</v>
      </c>
      <c r="W369" s="2">
        <f t="shared" si="23"/>
        <v>0</v>
      </c>
      <c r="Y369" t="str">
        <f>IFERROR(ROUND(E369*VLOOKUP(D369,商品!$A$4:$B$60,2,FALSE),0),"")</f>
        <v/>
      </c>
      <c r="Z369" t="str">
        <f>IFERROR(ROUND(G369*VLOOKUP(F369,商品!$A$4:$B$60,2,FALSE),0),"")</f>
        <v/>
      </c>
      <c r="AA369" t="str">
        <f>IFERROR(ROUND(I369*VLOOKUP(H369,商品!$A$4:$B$60,2,FALSE),0),"")</f>
        <v/>
      </c>
      <c r="AB369" t="str">
        <f>IFERROR(ROUND(K369*VLOOKUP(J369,[1]note_pop_types!$A$16:$E$16,4,FALSE),0),"")</f>
        <v/>
      </c>
      <c r="AC369" t="str">
        <f>IFERROR(ROUND(M369*VLOOKUP(L369,[1]note_pop_types!$A$16:$E$16,4,FALSE),0),"")</f>
        <v/>
      </c>
      <c r="AD369" t="str">
        <f>IFERROR(ROUND(O369*VLOOKUP(N369,[1]note_pop_types!$A$16:$E$16,4,FALSE),0),"")</f>
        <v/>
      </c>
      <c r="AE369" t="str">
        <f>IFERROR(ROUND(Q369*VLOOKUP(P369,商品!$A$4:$B$60,2,FALSE),0),"")</f>
        <v/>
      </c>
      <c r="AF369" t="str">
        <f>IFERROR(ROUND(S369*VLOOKUP(R369,商品!$A$4:$B$60,2,FALSE),0),"")</f>
        <v/>
      </c>
    </row>
    <row r="370" spans="1:32" ht="19.05" customHeight="1" x14ac:dyDescent="0.25">
      <c r="A370" s="15" t="s">
        <v>254</v>
      </c>
      <c r="C370" s="15">
        <v>4</v>
      </c>
      <c r="T370" s="2">
        <f t="shared" si="20"/>
        <v>0</v>
      </c>
      <c r="U370" s="2">
        <f t="shared" si="21"/>
        <v>0</v>
      </c>
      <c r="V370" s="2">
        <f t="shared" si="22"/>
        <v>0</v>
      </c>
      <c r="W370" s="2">
        <f t="shared" si="23"/>
        <v>0</v>
      </c>
      <c r="Y370" t="str">
        <f>IFERROR(ROUND(E370*VLOOKUP(D370,商品!$A$4:$B$60,2,FALSE),0),"")</f>
        <v/>
      </c>
      <c r="Z370" t="str">
        <f>IFERROR(ROUND(G370*VLOOKUP(F370,商品!$A$4:$B$60,2,FALSE),0),"")</f>
        <v/>
      </c>
      <c r="AA370" t="str">
        <f>IFERROR(ROUND(I370*VLOOKUP(H370,商品!$A$4:$B$60,2,FALSE),0),"")</f>
        <v/>
      </c>
      <c r="AB370" t="str">
        <f>IFERROR(ROUND(K370*VLOOKUP(J370,[1]note_pop_types!$A$16:$E$16,4,FALSE),0),"")</f>
        <v/>
      </c>
      <c r="AC370" t="str">
        <f>IFERROR(ROUND(M370*VLOOKUP(L370,[1]note_pop_types!$A$16:$E$16,4,FALSE),0),"")</f>
        <v/>
      </c>
      <c r="AD370" t="str">
        <f>IFERROR(ROUND(O370*VLOOKUP(N370,[1]note_pop_types!$A$16:$E$16,4,FALSE),0),"")</f>
        <v/>
      </c>
      <c r="AE370" t="str">
        <f>IFERROR(ROUND(Q370*VLOOKUP(P370,商品!$A$4:$B$60,2,FALSE),0),"")</f>
        <v/>
      </c>
      <c r="AF370" t="str">
        <f>IFERROR(ROUND(S370*VLOOKUP(R370,商品!$A$4:$B$60,2,FALSE),0),"")</f>
        <v/>
      </c>
    </row>
    <row r="371" spans="1:32" ht="19.05" customHeight="1" x14ac:dyDescent="0.25">
      <c r="A371" s="15" t="s">
        <v>254</v>
      </c>
      <c r="C371" s="15">
        <v>5</v>
      </c>
      <c r="T371" s="2">
        <f t="shared" si="20"/>
        <v>0</v>
      </c>
      <c r="U371" s="2">
        <f t="shared" si="21"/>
        <v>0</v>
      </c>
      <c r="V371" s="2">
        <f t="shared" si="22"/>
        <v>0</v>
      </c>
      <c r="W371" s="2">
        <f t="shared" si="23"/>
        <v>0</v>
      </c>
      <c r="Y371" t="str">
        <f>IFERROR(ROUND(E371*VLOOKUP(D371,商品!$A$4:$B$60,2,FALSE),0),"")</f>
        <v/>
      </c>
      <c r="Z371" t="str">
        <f>IFERROR(ROUND(G371*VLOOKUP(F371,商品!$A$4:$B$60,2,FALSE),0),"")</f>
        <v/>
      </c>
      <c r="AA371" t="str">
        <f>IFERROR(ROUND(I371*VLOOKUP(H371,商品!$A$4:$B$60,2,FALSE),0),"")</f>
        <v/>
      </c>
      <c r="AB371" t="str">
        <f>IFERROR(ROUND(K371*VLOOKUP(J371,[1]note_pop_types!$A$16:$E$16,4,FALSE),0),"")</f>
        <v/>
      </c>
      <c r="AC371" t="str">
        <f>IFERROR(ROUND(M371*VLOOKUP(L371,[1]note_pop_types!$A$16:$E$16,4,FALSE),0),"")</f>
        <v/>
      </c>
      <c r="AD371" t="str">
        <f>IFERROR(ROUND(O371*VLOOKUP(N371,[1]note_pop_types!$A$16:$E$16,4,FALSE),0),"")</f>
        <v/>
      </c>
      <c r="AE371" t="str">
        <f>IFERROR(ROUND(Q371*VLOOKUP(P371,商品!$A$4:$B$60,2,FALSE),0),"")</f>
        <v/>
      </c>
      <c r="AF371" t="str">
        <f>IFERROR(ROUND(S371*VLOOKUP(R371,商品!$A$4:$B$60,2,FALSE),0),"")</f>
        <v/>
      </c>
    </row>
    <row r="372" spans="1:32" ht="19.05" customHeight="1" x14ac:dyDescent="0.25">
      <c r="A372" s="16" t="s">
        <v>519</v>
      </c>
      <c r="C372" s="16">
        <v>1</v>
      </c>
      <c r="T372" s="2">
        <f t="shared" si="20"/>
        <v>0</v>
      </c>
      <c r="U372" s="2">
        <f t="shared" si="21"/>
        <v>0</v>
      </c>
      <c r="V372" s="2">
        <f t="shared" si="22"/>
        <v>0</v>
      </c>
      <c r="W372" s="2">
        <f t="shared" si="23"/>
        <v>0</v>
      </c>
      <c r="Y372" t="str">
        <f>IFERROR(ROUND(E372*VLOOKUP(D372,商品!$A$4:$B$60,2,FALSE),0),"")</f>
        <v/>
      </c>
      <c r="Z372" t="str">
        <f>IFERROR(ROUND(G372*VLOOKUP(F372,商品!$A$4:$B$60,2,FALSE),0),"")</f>
        <v/>
      </c>
      <c r="AA372" t="str">
        <f>IFERROR(ROUND(I372*VLOOKUP(H372,商品!$A$4:$B$60,2,FALSE),0),"")</f>
        <v/>
      </c>
      <c r="AB372" t="str">
        <f>IFERROR(ROUND(K372*VLOOKUP(J372,[1]note_pop_types!$A$16:$E$16,4,FALSE),0),"")</f>
        <v/>
      </c>
      <c r="AC372" t="str">
        <f>IFERROR(ROUND(M372*VLOOKUP(L372,[1]note_pop_types!$A$16:$E$16,4,FALSE),0),"")</f>
        <v/>
      </c>
      <c r="AD372" t="str">
        <f>IFERROR(ROUND(O372*VLOOKUP(N372,[1]note_pop_types!$A$16:$E$16,4,FALSE),0),"")</f>
        <v/>
      </c>
      <c r="AE372" t="str">
        <f>IFERROR(ROUND(Q372*VLOOKUP(P372,商品!$A$4:$B$60,2,FALSE),0),"")</f>
        <v/>
      </c>
      <c r="AF372" t="str">
        <f>IFERROR(ROUND(S372*VLOOKUP(R372,商品!$A$4:$B$60,2,FALSE),0),"")</f>
        <v/>
      </c>
    </row>
    <row r="373" spans="1:32" ht="19.05" customHeight="1" x14ac:dyDescent="0.25">
      <c r="A373" s="16" t="s">
        <v>519</v>
      </c>
      <c r="C373" s="16">
        <v>2</v>
      </c>
      <c r="T373" s="2">
        <f t="shared" si="20"/>
        <v>0</v>
      </c>
      <c r="U373" s="2">
        <f t="shared" si="21"/>
        <v>0</v>
      </c>
      <c r="V373" s="2">
        <f t="shared" si="22"/>
        <v>0</v>
      </c>
      <c r="W373" s="2">
        <f t="shared" si="23"/>
        <v>0</v>
      </c>
      <c r="Y373" t="str">
        <f>IFERROR(ROUND(E373*VLOOKUP(D373,商品!$A$4:$B$60,2,FALSE),0),"")</f>
        <v/>
      </c>
      <c r="Z373" t="str">
        <f>IFERROR(ROUND(G373*VLOOKUP(F373,商品!$A$4:$B$60,2,FALSE),0),"")</f>
        <v/>
      </c>
      <c r="AA373" t="str">
        <f>IFERROR(ROUND(I373*VLOOKUP(H373,商品!$A$4:$B$60,2,FALSE),0),"")</f>
        <v/>
      </c>
      <c r="AB373" t="str">
        <f>IFERROR(ROUND(K373*VLOOKUP(J373,[1]note_pop_types!$A$16:$E$16,4,FALSE),0),"")</f>
        <v/>
      </c>
      <c r="AC373" t="str">
        <f>IFERROR(ROUND(M373*VLOOKUP(L373,[1]note_pop_types!$A$16:$E$16,4,FALSE),0),"")</f>
        <v/>
      </c>
      <c r="AD373" t="str">
        <f>IFERROR(ROUND(O373*VLOOKUP(N373,[1]note_pop_types!$A$16:$E$16,4,FALSE),0),"")</f>
        <v/>
      </c>
      <c r="AE373" t="str">
        <f>IFERROR(ROUND(Q373*VLOOKUP(P373,商品!$A$4:$B$60,2,FALSE),0),"")</f>
        <v/>
      </c>
      <c r="AF373" t="str">
        <f>IFERROR(ROUND(S373*VLOOKUP(R373,商品!$A$4:$B$60,2,FALSE),0),"")</f>
        <v/>
      </c>
    </row>
    <row r="374" spans="1:32" ht="19.05" customHeight="1" x14ac:dyDescent="0.25">
      <c r="A374" s="16" t="s">
        <v>519</v>
      </c>
      <c r="C374" s="16">
        <v>3</v>
      </c>
      <c r="T374" s="2">
        <f t="shared" si="20"/>
        <v>0</v>
      </c>
      <c r="U374" s="2">
        <f t="shared" si="21"/>
        <v>0</v>
      </c>
      <c r="V374" s="2">
        <f t="shared" si="22"/>
        <v>0</v>
      </c>
      <c r="W374" s="2">
        <f t="shared" si="23"/>
        <v>0</v>
      </c>
      <c r="Y374" t="str">
        <f>IFERROR(ROUND(E374*VLOOKUP(D374,商品!$A$4:$B$60,2,FALSE),0),"")</f>
        <v/>
      </c>
      <c r="Z374" t="str">
        <f>IFERROR(ROUND(G374*VLOOKUP(F374,商品!$A$4:$B$60,2,FALSE),0),"")</f>
        <v/>
      </c>
      <c r="AA374" t="str">
        <f>IFERROR(ROUND(I374*VLOOKUP(H374,商品!$A$4:$B$60,2,FALSE),0),"")</f>
        <v/>
      </c>
      <c r="AB374" t="str">
        <f>IFERROR(ROUND(K374*VLOOKUP(J374,[1]note_pop_types!$A$16:$E$16,4,FALSE),0),"")</f>
        <v/>
      </c>
      <c r="AC374" t="str">
        <f>IFERROR(ROUND(M374*VLOOKUP(L374,[1]note_pop_types!$A$16:$E$16,4,FALSE),0),"")</f>
        <v/>
      </c>
      <c r="AD374" t="str">
        <f>IFERROR(ROUND(O374*VLOOKUP(N374,[1]note_pop_types!$A$16:$E$16,4,FALSE),0),"")</f>
        <v/>
      </c>
      <c r="AE374" t="str">
        <f>IFERROR(ROUND(Q374*VLOOKUP(P374,商品!$A$4:$B$60,2,FALSE),0),"")</f>
        <v/>
      </c>
      <c r="AF374" t="str">
        <f>IFERROR(ROUND(S374*VLOOKUP(R374,商品!$A$4:$B$60,2,FALSE),0),"")</f>
        <v/>
      </c>
    </row>
    <row r="375" spans="1:32" ht="19.05" customHeight="1" x14ac:dyDescent="0.25">
      <c r="A375" s="16" t="s">
        <v>519</v>
      </c>
      <c r="C375" s="16">
        <v>4</v>
      </c>
      <c r="T375" s="2">
        <f t="shared" si="20"/>
        <v>0</v>
      </c>
      <c r="U375" s="2">
        <f t="shared" si="21"/>
        <v>0</v>
      </c>
      <c r="V375" s="2">
        <f t="shared" si="22"/>
        <v>0</v>
      </c>
      <c r="W375" s="2">
        <f t="shared" si="23"/>
        <v>0</v>
      </c>
      <c r="Y375" t="str">
        <f>IFERROR(ROUND(E375*VLOOKUP(D375,商品!$A$4:$B$60,2,FALSE),0),"")</f>
        <v/>
      </c>
      <c r="Z375" t="str">
        <f>IFERROR(ROUND(G375*VLOOKUP(F375,商品!$A$4:$B$60,2,FALSE),0),"")</f>
        <v/>
      </c>
      <c r="AA375" t="str">
        <f>IFERROR(ROUND(I375*VLOOKUP(H375,商品!$A$4:$B$60,2,FALSE),0),"")</f>
        <v/>
      </c>
      <c r="AB375" t="str">
        <f>IFERROR(ROUND(K375*VLOOKUP(J375,[1]note_pop_types!$A$16:$E$16,4,FALSE),0),"")</f>
        <v/>
      </c>
      <c r="AC375" t="str">
        <f>IFERROR(ROUND(M375*VLOOKUP(L375,[1]note_pop_types!$A$16:$E$16,4,FALSE),0),"")</f>
        <v/>
      </c>
      <c r="AD375" t="str">
        <f>IFERROR(ROUND(O375*VLOOKUP(N375,[1]note_pop_types!$A$16:$E$16,4,FALSE),0),"")</f>
        <v/>
      </c>
      <c r="AE375" t="str">
        <f>IFERROR(ROUND(Q375*VLOOKUP(P375,商品!$A$4:$B$60,2,FALSE),0),"")</f>
        <v/>
      </c>
      <c r="AF375" t="str">
        <f>IFERROR(ROUND(S375*VLOOKUP(R375,商品!$A$4:$B$60,2,FALSE),0),"")</f>
        <v/>
      </c>
    </row>
    <row r="376" spans="1:32" ht="19.05" customHeight="1" x14ac:dyDescent="0.25">
      <c r="A376" s="16" t="s">
        <v>519</v>
      </c>
      <c r="C376" s="16">
        <v>5</v>
      </c>
      <c r="T376" s="2">
        <f t="shared" si="20"/>
        <v>0</v>
      </c>
      <c r="U376" s="2">
        <f t="shared" si="21"/>
        <v>0</v>
      </c>
      <c r="V376" s="2">
        <f t="shared" si="22"/>
        <v>0</v>
      </c>
      <c r="W376" s="2">
        <f t="shared" si="23"/>
        <v>0</v>
      </c>
      <c r="Y376" t="str">
        <f>IFERROR(ROUND(E376*VLOOKUP(D376,商品!$A$4:$B$60,2,FALSE),0),"")</f>
        <v/>
      </c>
      <c r="Z376" t="str">
        <f>IFERROR(ROUND(G376*VLOOKUP(F376,商品!$A$4:$B$60,2,FALSE),0),"")</f>
        <v/>
      </c>
      <c r="AA376" t="str">
        <f>IFERROR(ROUND(I376*VLOOKUP(H376,商品!$A$4:$B$60,2,FALSE),0),"")</f>
        <v/>
      </c>
      <c r="AB376" t="str">
        <f>IFERROR(ROUND(K376*VLOOKUP(J376,[1]note_pop_types!$A$16:$E$16,4,FALSE),0),"")</f>
        <v/>
      </c>
      <c r="AC376" t="str">
        <f>IFERROR(ROUND(M376*VLOOKUP(L376,[1]note_pop_types!$A$16:$E$16,4,FALSE),0),"")</f>
        <v/>
      </c>
      <c r="AD376" t="str">
        <f>IFERROR(ROUND(O376*VLOOKUP(N376,[1]note_pop_types!$A$16:$E$16,4,FALSE),0),"")</f>
        <v/>
      </c>
      <c r="AE376" t="str">
        <f>IFERROR(ROUND(Q376*VLOOKUP(P376,商品!$A$4:$B$60,2,FALSE),0),"")</f>
        <v/>
      </c>
      <c r="AF376" t="str">
        <f>IFERROR(ROUND(S376*VLOOKUP(R376,商品!$A$4:$B$60,2,FALSE),0),"")</f>
        <v/>
      </c>
    </row>
    <row r="377" spans="1:32" ht="19.05" customHeight="1" x14ac:dyDescent="0.25">
      <c r="A377" s="15" t="s">
        <v>519</v>
      </c>
      <c r="C377" s="15">
        <v>1</v>
      </c>
      <c r="T377" s="2">
        <f t="shared" si="20"/>
        <v>0</v>
      </c>
      <c r="U377" s="2">
        <f t="shared" si="21"/>
        <v>0</v>
      </c>
      <c r="V377" s="2">
        <f t="shared" si="22"/>
        <v>0</v>
      </c>
      <c r="W377" s="2">
        <f t="shared" si="23"/>
        <v>0</v>
      </c>
      <c r="Y377" t="str">
        <f>IFERROR(ROUND(E377*VLOOKUP(D377,商品!$A$4:$B$60,2,FALSE),0),"")</f>
        <v/>
      </c>
      <c r="Z377" t="str">
        <f>IFERROR(ROUND(G377*VLOOKUP(F377,商品!$A$4:$B$60,2,FALSE),0),"")</f>
        <v/>
      </c>
      <c r="AA377" t="str">
        <f>IFERROR(ROUND(I377*VLOOKUP(H377,商品!$A$4:$B$60,2,FALSE),0),"")</f>
        <v/>
      </c>
      <c r="AB377" t="str">
        <f>IFERROR(ROUND(K377*VLOOKUP(J377,[1]note_pop_types!$A$16:$E$16,4,FALSE),0),"")</f>
        <v/>
      </c>
      <c r="AC377" t="str">
        <f>IFERROR(ROUND(M377*VLOOKUP(L377,[1]note_pop_types!$A$16:$E$16,4,FALSE),0),"")</f>
        <v/>
      </c>
      <c r="AD377" t="str">
        <f>IFERROR(ROUND(O377*VLOOKUP(N377,[1]note_pop_types!$A$16:$E$16,4,FALSE),0),"")</f>
        <v/>
      </c>
      <c r="AE377" t="str">
        <f>IFERROR(ROUND(Q377*VLOOKUP(P377,商品!$A$4:$B$60,2,FALSE),0),"")</f>
        <v/>
      </c>
      <c r="AF377" t="str">
        <f>IFERROR(ROUND(S377*VLOOKUP(R377,商品!$A$4:$B$60,2,FALSE),0),"")</f>
        <v/>
      </c>
    </row>
    <row r="378" spans="1:32" ht="19.05" customHeight="1" x14ac:dyDescent="0.25">
      <c r="A378" s="15" t="s">
        <v>519</v>
      </c>
      <c r="C378" s="15">
        <v>2</v>
      </c>
      <c r="T378" s="2">
        <f t="shared" si="20"/>
        <v>0</v>
      </c>
      <c r="U378" s="2">
        <f t="shared" si="21"/>
        <v>0</v>
      </c>
      <c r="V378" s="2">
        <f t="shared" si="22"/>
        <v>0</v>
      </c>
      <c r="W378" s="2">
        <f t="shared" si="23"/>
        <v>0</v>
      </c>
      <c r="Y378" t="str">
        <f>IFERROR(ROUND(E378*VLOOKUP(D378,商品!$A$4:$B$60,2,FALSE),0),"")</f>
        <v/>
      </c>
      <c r="Z378" t="str">
        <f>IFERROR(ROUND(G378*VLOOKUP(F378,商品!$A$4:$B$60,2,FALSE),0),"")</f>
        <v/>
      </c>
      <c r="AA378" t="str">
        <f>IFERROR(ROUND(I378*VLOOKUP(H378,商品!$A$4:$B$60,2,FALSE),0),"")</f>
        <v/>
      </c>
      <c r="AB378" t="str">
        <f>IFERROR(ROUND(K378*VLOOKUP(J378,[1]note_pop_types!$A$16:$E$16,4,FALSE),0),"")</f>
        <v/>
      </c>
      <c r="AC378" t="str">
        <f>IFERROR(ROUND(M378*VLOOKUP(L378,[1]note_pop_types!$A$16:$E$16,4,FALSE),0),"")</f>
        <v/>
      </c>
      <c r="AD378" t="str">
        <f>IFERROR(ROUND(O378*VLOOKUP(N378,[1]note_pop_types!$A$16:$E$16,4,FALSE),0),"")</f>
        <v/>
      </c>
      <c r="AE378" t="str">
        <f>IFERROR(ROUND(Q378*VLOOKUP(P378,商品!$A$4:$B$60,2,FALSE),0),"")</f>
        <v/>
      </c>
      <c r="AF378" t="str">
        <f>IFERROR(ROUND(S378*VLOOKUP(R378,商品!$A$4:$B$60,2,FALSE),0),"")</f>
        <v/>
      </c>
    </row>
    <row r="379" spans="1:32" ht="19.05" customHeight="1" x14ac:dyDescent="0.25">
      <c r="A379" s="15" t="s">
        <v>519</v>
      </c>
      <c r="C379" s="15">
        <v>3</v>
      </c>
      <c r="T379" s="2">
        <f t="shared" si="20"/>
        <v>0</v>
      </c>
      <c r="U379" s="2">
        <f t="shared" si="21"/>
        <v>0</v>
      </c>
      <c r="V379" s="2">
        <f t="shared" si="22"/>
        <v>0</v>
      </c>
      <c r="W379" s="2">
        <f t="shared" si="23"/>
        <v>0</v>
      </c>
      <c r="Y379" t="str">
        <f>IFERROR(ROUND(E379*VLOOKUP(D379,商品!$A$4:$B$60,2,FALSE),0),"")</f>
        <v/>
      </c>
      <c r="Z379" t="str">
        <f>IFERROR(ROUND(G379*VLOOKUP(F379,商品!$A$4:$B$60,2,FALSE),0),"")</f>
        <v/>
      </c>
      <c r="AA379" t="str">
        <f>IFERROR(ROUND(I379*VLOOKUP(H379,商品!$A$4:$B$60,2,FALSE),0),"")</f>
        <v/>
      </c>
      <c r="AB379" t="str">
        <f>IFERROR(ROUND(K379*VLOOKUP(J379,[1]note_pop_types!$A$16:$E$16,4,FALSE),0),"")</f>
        <v/>
      </c>
      <c r="AC379" t="str">
        <f>IFERROR(ROUND(M379*VLOOKUP(L379,[1]note_pop_types!$A$16:$E$16,4,FALSE),0),"")</f>
        <v/>
      </c>
      <c r="AD379" t="str">
        <f>IFERROR(ROUND(O379*VLOOKUP(N379,[1]note_pop_types!$A$16:$E$16,4,FALSE),0),"")</f>
        <v/>
      </c>
      <c r="AE379" t="str">
        <f>IFERROR(ROUND(Q379*VLOOKUP(P379,商品!$A$4:$B$60,2,FALSE),0),"")</f>
        <v/>
      </c>
      <c r="AF379" t="str">
        <f>IFERROR(ROUND(S379*VLOOKUP(R379,商品!$A$4:$B$60,2,FALSE),0),"")</f>
        <v/>
      </c>
    </row>
    <row r="380" spans="1:32" ht="19.05" customHeight="1" x14ac:dyDescent="0.25">
      <c r="A380" s="15" t="s">
        <v>519</v>
      </c>
      <c r="C380" s="15">
        <v>4</v>
      </c>
      <c r="T380" s="2">
        <f t="shared" si="20"/>
        <v>0</v>
      </c>
      <c r="U380" s="2">
        <f t="shared" si="21"/>
        <v>0</v>
      </c>
      <c r="V380" s="2">
        <f t="shared" si="22"/>
        <v>0</v>
      </c>
      <c r="W380" s="2">
        <f t="shared" si="23"/>
        <v>0</v>
      </c>
      <c r="Y380" t="str">
        <f>IFERROR(ROUND(E380*VLOOKUP(D380,商品!$A$4:$B$60,2,FALSE),0),"")</f>
        <v/>
      </c>
      <c r="Z380" t="str">
        <f>IFERROR(ROUND(G380*VLOOKUP(F380,商品!$A$4:$B$60,2,FALSE),0),"")</f>
        <v/>
      </c>
      <c r="AA380" t="str">
        <f>IFERROR(ROUND(I380*VLOOKUP(H380,商品!$A$4:$B$60,2,FALSE),0),"")</f>
        <v/>
      </c>
      <c r="AB380" t="str">
        <f>IFERROR(ROUND(K380*VLOOKUP(J380,[1]note_pop_types!$A$16:$E$16,4,FALSE),0),"")</f>
        <v/>
      </c>
      <c r="AC380" t="str">
        <f>IFERROR(ROUND(M380*VLOOKUP(L380,[1]note_pop_types!$A$16:$E$16,4,FALSE),0),"")</f>
        <v/>
      </c>
      <c r="AD380" t="str">
        <f>IFERROR(ROUND(O380*VLOOKUP(N380,[1]note_pop_types!$A$16:$E$16,4,FALSE),0),"")</f>
        <v/>
      </c>
      <c r="AE380" t="str">
        <f>IFERROR(ROUND(Q380*VLOOKUP(P380,商品!$A$4:$B$60,2,FALSE),0),"")</f>
        <v/>
      </c>
      <c r="AF380" t="str">
        <f>IFERROR(ROUND(S380*VLOOKUP(R380,商品!$A$4:$B$60,2,FALSE),0),"")</f>
        <v/>
      </c>
    </row>
    <row r="381" spans="1:32" ht="19.05" customHeight="1" x14ac:dyDescent="0.25">
      <c r="A381" s="15" t="s">
        <v>519</v>
      </c>
      <c r="C381" s="15">
        <v>5</v>
      </c>
      <c r="T381" s="2">
        <f t="shared" si="20"/>
        <v>0</v>
      </c>
      <c r="U381" s="2">
        <f t="shared" si="21"/>
        <v>0</v>
      </c>
      <c r="V381" s="2">
        <f t="shared" si="22"/>
        <v>0</v>
      </c>
      <c r="W381" s="2">
        <f t="shared" si="23"/>
        <v>0</v>
      </c>
      <c r="Y381" t="str">
        <f>IFERROR(ROUND(E381*VLOOKUP(D381,商品!$A$4:$B$60,2,FALSE),0),"")</f>
        <v/>
      </c>
      <c r="Z381" t="str">
        <f>IFERROR(ROUND(G381*VLOOKUP(F381,商品!$A$4:$B$60,2,FALSE),0),"")</f>
        <v/>
      </c>
      <c r="AA381" t="str">
        <f>IFERROR(ROUND(I381*VLOOKUP(H381,商品!$A$4:$B$60,2,FALSE),0),"")</f>
        <v/>
      </c>
      <c r="AB381" t="str">
        <f>IFERROR(ROUND(K381*VLOOKUP(J381,[1]note_pop_types!$A$16:$E$16,4,FALSE),0),"")</f>
        <v/>
      </c>
      <c r="AC381" t="str">
        <f>IFERROR(ROUND(M381*VLOOKUP(L381,[1]note_pop_types!$A$16:$E$16,4,FALSE),0),"")</f>
        <v/>
      </c>
      <c r="AD381" t="str">
        <f>IFERROR(ROUND(O381*VLOOKUP(N381,[1]note_pop_types!$A$16:$E$16,4,FALSE),0),"")</f>
        <v/>
      </c>
      <c r="AE381" t="str">
        <f>IFERROR(ROUND(Q381*VLOOKUP(P381,商品!$A$4:$B$60,2,FALSE),0),"")</f>
        <v/>
      </c>
      <c r="AF381" t="str">
        <f>IFERROR(ROUND(S381*VLOOKUP(R381,商品!$A$4:$B$60,2,FALSE),0),"")</f>
        <v/>
      </c>
    </row>
    <row r="382" spans="1:32" ht="19.05" customHeight="1" x14ac:dyDescent="0.25">
      <c r="A382" s="16" t="s">
        <v>257</v>
      </c>
      <c r="C382" s="16">
        <v>1</v>
      </c>
      <c r="T382" s="2">
        <f t="shared" si="20"/>
        <v>0</v>
      </c>
      <c r="U382" s="2">
        <f t="shared" si="21"/>
        <v>0</v>
      </c>
      <c r="V382" s="2">
        <f t="shared" si="22"/>
        <v>0</v>
      </c>
      <c r="W382" s="2">
        <f t="shared" si="23"/>
        <v>0</v>
      </c>
      <c r="Y382" t="str">
        <f>IFERROR(ROUND(E382*VLOOKUP(D382,商品!$A$4:$B$60,2,FALSE),0),"")</f>
        <v/>
      </c>
      <c r="Z382" t="str">
        <f>IFERROR(ROUND(G382*VLOOKUP(F382,商品!$A$4:$B$60,2,FALSE),0),"")</f>
        <v/>
      </c>
      <c r="AA382" t="str">
        <f>IFERROR(ROUND(I382*VLOOKUP(H382,商品!$A$4:$B$60,2,FALSE),0),"")</f>
        <v/>
      </c>
      <c r="AB382" t="str">
        <f>IFERROR(ROUND(K382*VLOOKUP(J382,[1]note_pop_types!$A$16:$E$16,4,FALSE),0),"")</f>
        <v/>
      </c>
      <c r="AC382" t="str">
        <f>IFERROR(ROUND(M382*VLOOKUP(L382,[1]note_pop_types!$A$16:$E$16,4,FALSE),0),"")</f>
        <v/>
      </c>
      <c r="AD382" t="str">
        <f>IFERROR(ROUND(O382*VLOOKUP(N382,[1]note_pop_types!$A$16:$E$16,4,FALSE),0),"")</f>
        <v/>
      </c>
      <c r="AE382" t="str">
        <f>IFERROR(ROUND(Q382*VLOOKUP(P382,商品!$A$4:$B$60,2,FALSE),0),"")</f>
        <v/>
      </c>
      <c r="AF382" t="str">
        <f>IFERROR(ROUND(S382*VLOOKUP(R382,商品!$A$4:$B$60,2,FALSE),0),"")</f>
        <v/>
      </c>
    </row>
    <row r="383" spans="1:32" ht="19.05" customHeight="1" x14ac:dyDescent="0.25">
      <c r="A383" s="16" t="s">
        <v>257</v>
      </c>
      <c r="C383" s="16">
        <v>2</v>
      </c>
      <c r="T383" s="2">
        <f t="shared" si="20"/>
        <v>0</v>
      </c>
      <c r="U383" s="2">
        <f t="shared" si="21"/>
        <v>0</v>
      </c>
      <c r="V383" s="2">
        <f t="shared" si="22"/>
        <v>0</v>
      </c>
      <c r="W383" s="2">
        <f t="shared" si="23"/>
        <v>0</v>
      </c>
      <c r="Y383" t="str">
        <f>IFERROR(ROUND(E383*VLOOKUP(D383,商品!$A$4:$B$60,2,FALSE),0),"")</f>
        <v/>
      </c>
      <c r="Z383" t="str">
        <f>IFERROR(ROUND(G383*VLOOKUP(F383,商品!$A$4:$B$60,2,FALSE),0),"")</f>
        <v/>
      </c>
      <c r="AA383" t="str">
        <f>IFERROR(ROUND(I383*VLOOKUP(H383,商品!$A$4:$B$60,2,FALSE),0),"")</f>
        <v/>
      </c>
      <c r="AB383" t="str">
        <f>IFERROR(ROUND(K383*VLOOKUP(J383,[1]note_pop_types!$A$16:$E$16,4,FALSE),0),"")</f>
        <v/>
      </c>
      <c r="AC383" t="str">
        <f>IFERROR(ROUND(M383*VLOOKUP(L383,[1]note_pop_types!$A$16:$E$16,4,FALSE),0),"")</f>
        <v/>
      </c>
      <c r="AD383" t="str">
        <f>IFERROR(ROUND(O383*VLOOKUP(N383,[1]note_pop_types!$A$16:$E$16,4,FALSE),0),"")</f>
        <v/>
      </c>
      <c r="AE383" t="str">
        <f>IFERROR(ROUND(Q383*VLOOKUP(P383,商品!$A$4:$B$60,2,FALSE),0),"")</f>
        <v/>
      </c>
      <c r="AF383" t="str">
        <f>IFERROR(ROUND(S383*VLOOKUP(R383,商品!$A$4:$B$60,2,FALSE),0),"")</f>
        <v/>
      </c>
    </row>
    <row r="384" spans="1:32" ht="19.05" customHeight="1" x14ac:dyDescent="0.25">
      <c r="A384" s="16" t="s">
        <v>257</v>
      </c>
      <c r="C384" s="16">
        <v>3</v>
      </c>
      <c r="T384" s="2">
        <f t="shared" si="20"/>
        <v>0</v>
      </c>
      <c r="U384" s="2">
        <f t="shared" si="21"/>
        <v>0</v>
      </c>
      <c r="V384" s="2">
        <f t="shared" si="22"/>
        <v>0</v>
      </c>
      <c r="W384" s="2">
        <f t="shared" si="23"/>
        <v>0</v>
      </c>
      <c r="Y384" t="str">
        <f>IFERROR(ROUND(E384*VLOOKUP(D384,商品!$A$4:$B$60,2,FALSE),0),"")</f>
        <v/>
      </c>
      <c r="Z384" t="str">
        <f>IFERROR(ROUND(G384*VLOOKUP(F384,商品!$A$4:$B$60,2,FALSE),0),"")</f>
        <v/>
      </c>
      <c r="AA384" t="str">
        <f>IFERROR(ROUND(I384*VLOOKUP(H384,商品!$A$4:$B$60,2,FALSE),0),"")</f>
        <v/>
      </c>
      <c r="AB384" t="str">
        <f>IFERROR(ROUND(K384*VLOOKUP(J384,[1]note_pop_types!$A$16:$E$16,4,FALSE),0),"")</f>
        <v/>
      </c>
      <c r="AC384" t="str">
        <f>IFERROR(ROUND(M384*VLOOKUP(L384,[1]note_pop_types!$A$16:$E$16,4,FALSE),0),"")</f>
        <v/>
      </c>
      <c r="AD384" t="str">
        <f>IFERROR(ROUND(O384*VLOOKUP(N384,[1]note_pop_types!$A$16:$E$16,4,FALSE),0),"")</f>
        <v/>
      </c>
      <c r="AE384" t="str">
        <f>IFERROR(ROUND(Q384*VLOOKUP(P384,商品!$A$4:$B$60,2,FALSE),0),"")</f>
        <v/>
      </c>
      <c r="AF384" t="str">
        <f>IFERROR(ROUND(S384*VLOOKUP(R384,商品!$A$4:$B$60,2,FALSE),0),"")</f>
        <v/>
      </c>
    </row>
    <row r="385" spans="1:32" ht="19.05" customHeight="1" x14ac:dyDescent="0.25">
      <c r="A385" s="16" t="s">
        <v>257</v>
      </c>
      <c r="C385" s="16">
        <v>4</v>
      </c>
      <c r="T385" s="2">
        <f t="shared" si="20"/>
        <v>0</v>
      </c>
      <c r="U385" s="2">
        <f t="shared" si="21"/>
        <v>0</v>
      </c>
      <c r="V385" s="2">
        <f t="shared" si="22"/>
        <v>0</v>
      </c>
      <c r="W385" s="2">
        <f t="shared" si="23"/>
        <v>0</v>
      </c>
      <c r="Y385" t="str">
        <f>IFERROR(ROUND(E385*VLOOKUP(D385,商品!$A$4:$B$60,2,FALSE),0),"")</f>
        <v/>
      </c>
      <c r="Z385" t="str">
        <f>IFERROR(ROUND(G385*VLOOKUP(F385,商品!$A$4:$B$60,2,FALSE),0),"")</f>
        <v/>
      </c>
      <c r="AA385" t="str">
        <f>IFERROR(ROUND(I385*VLOOKUP(H385,商品!$A$4:$B$60,2,FALSE),0),"")</f>
        <v/>
      </c>
      <c r="AB385" t="str">
        <f>IFERROR(ROUND(K385*VLOOKUP(J385,[1]note_pop_types!$A$16:$E$16,4,FALSE),0),"")</f>
        <v/>
      </c>
      <c r="AC385" t="str">
        <f>IFERROR(ROUND(M385*VLOOKUP(L385,[1]note_pop_types!$A$16:$E$16,4,FALSE),0),"")</f>
        <v/>
      </c>
      <c r="AD385" t="str">
        <f>IFERROR(ROUND(O385*VLOOKUP(N385,[1]note_pop_types!$A$16:$E$16,4,FALSE),0),"")</f>
        <v/>
      </c>
      <c r="AE385" t="str">
        <f>IFERROR(ROUND(Q385*VLOOKUP(P385,商品!$A$4:$B$60,2,FALSE),0),"")</f>
        <v/>
      </c>
      <c r="AF385" t="str">
        <f>IFERROR(ROUND(S385*VLOOKUP(R385,商品!$A$4:$B$60,2,FALSE),0),"")</f>
        <v/>
      </c>
    </row>
    <row r="386" spans="1:32" ht="19.05" customHeight="1" x14ac:dyDescent="0.25">
      <c r="A386" s="16" t="s">
        <v>257</v>
      </c>
      <c r="C386" s="16">
        <v>5</v>
      </c>
      <c r="T386" s="2">
        <f t="shared" si="20"/>
        <v>0</v>
      </c>
      <c r="U386" s="2">
        <f t="shared" si="21"/>
        <v>0</v>
      </c>
      <c r="V386" s="2">
        <f t="shared" si="22"/>
        <v>0</v>
      </c>
      <c r="W386" s="2">
        <f t="shared" si="23"/>
        <v>0</v>
      </c>
      <c r="Y386" t="str">
        <f>IFERROR(ROUND(E386*VLOOKUP(D386,商品!$A$4:$B$60,2,FALSE),0),"")</f>
        <v/>
      </c>
      <c r="Z386" t="str">
        <f>IFERROR(ROUND(G386*VLOOKUP(F386,商品!$A$4:$B$60,2,FALSE),0),"")</f>
        <v/>
      </c>
      <c r="AA386" t="str">
        <f>IFERROR(ROUND(I386*VLOOKUP(H386,商品!$A$4:$B$60,2,FALSE),0),"")</f>
        <v/>
      </c>
      <c r="AB386" t="str">
        <f>IFERROR(ROUND(K386*VLOOKUP(J386,[1]note_pop_types!$A$16:$E$16,4,FALSE),0),"")</f>
        <v/>
      </c>
      <c r="AC386" t="str">
        <f>IFERROR(ROUND(M386*VLOOKUP(L386,[1]note_pop_types!$A$16:$E$16,4,FALSE),0),"")</f>
        <v/>
      </c>
      <c r="AD386" t="str">
        <f>IFERROR(ROUND(O386*VLOOKUP(N386,[1]note_pop_types!$A$16:$E$16,4,FALSE),0),"")</f>
        <v/>
      </c>
      <c r="AE386" t="str">
        <f>IFERROR(ROUND(Q386*VLOOKUP(P386,商品!$A$4:$B$60,2,FALSE),0),"")</f>
        <v/>
      </c>
      <c r="AF386" t="str">
        <f>IFERROR(ROUND(S386*VLOOKUP(R386,商品!$A$4:$B$60,2,FALSE),0),"")</f>
        <v/>
      </c>
    </row>
    <row r="387" spans="1:32" ht="19.05" customHeight="1" x14ac:dyDescent="0.25">
      <c r="A387" s="16" t="s">
        <v>257</v>
      </c>
      <c r="C387" s="16">
        <v>6</v>
      </c>
      <c r="T387" s="2">
        <f t="shared" si="20"/>
        <v>0</v>
      </c>
      <c r="U387" s="2">
        <f t="shared" si="21"/>
        <v>0</v>
      </c>
      <c r="V387" s="2">
        <f t="shared" si="22"/>
        <v>0</v>
      </c>
      <c r="W387" s="2">
        <f t="shared" si="23"/>
        <v>0</v>
      </c>
      <c r="Y387" t="str">
        <f>IFERROR(ROUND(E387*VLOOKUP(D387,商品!$A$4:$B$60,2,FALSE),0),"")</f>
        <v/>
      </c>
      <c r="Z387" t="str">
        <f>IFERROR(ROUND(G387*VLOOKUP(F387,商品!$A$4:$B$60,2,FALSE),0),"")</f>
        <v/>
      </c>
      <c r="AA387" t="str">
        <f>IFERROR(ROUND(I387*VLOOKUP(H387,商品!$A$4:$B$60,2,FALSE),0),"")</f>
        <v/>
      </c>
      <c r="AB387" t="str">
        <f>IFERROR(ROUND(K387*VLOOKUP(J387,[1]note_pop_types!$A$16:$E$16,4,FALSE),0),"")</f>
        <v/>
      </c>
      <c r="AC387" t="str">
        <f>IFERROR(ROUND(M387*VLOOKUP(L387,[1]note_pop_types!$A$16:$E$16,4,FALSE),0),"")</f>
        <v/>
      </c>
      <c r="AD387" t="str">
        <f>IFERROR(ROUND(O387*VLOOKUP(N387,[1]note_pop_types!$A$16:$E$16,4,FALSE),0),"")</f>
        <v/>
      </c>
      <c r="AE387" t="str">
        <f>IFERROR(ROUND(Q387*VLOOKUP(P387,商品!$A$4:$B$60,2,FALSE),0),"")</f>
        <v/>
      </c>
      <c r="AF387" t="str">
        <f>IFERROR(ROUND(S387*VLOOKUP(R387,商品!$A$4:$B$60,2,FALSE),0),"")</f>
        <v/>
      </c>
    </row>
    <row r="388" spans="1:32" ht="19.05" customHeight="1" x14ac:dyDescent="0.25">
      <c r="A388" s="16" t="s">
        <v>257</v>
      </c>
      <c r="C388" s="16">
        <v>7</v>
      </c>
      <c r="T388" s="2">
        <f t="shared" si="20"/>
        <v>0</v>
      </c>
      <c r="U388" s="2">
        <f t="shared" si="21"/>
        <v>0</v>
      </c>
      <c r="V388" s="2">
        <f t="shared" si="22"/>
        <v>0</v>
      </c>
      <c r="W388" s="2">
        <f t="shared" si="23"/>
        <v>0</v>
      </c>
      <c r="Y388" t="str">
        <f>IFERROR(ROUND(E388*VLOOKUP(D388,商品!$A$4:$B$60,2,FALSE),0),"")</f>
        <v/>
      </c>
      <c r="Z388" t="str">
        <f>IFERROR(ROUND(G388*VLOOKUP(F388,商品!$A$4:$B$60,2,FALSE),0),"")</f>
        <v/>
      </c>
      <c r="AA388" t="str">
        <f>IFERROR(ROUND(I388*VLOOKUP(H388,商品!$A$4:$B$60,2,FALSE),0),"")</f>
        <v/>
      </c>
      <c r="AB388" t="str">
        <f>IFERROR(ROUND(K388*VLOOKUP(J388,[1]note_pop_types!$A$16:$E$16,4,FALSE),0),"")</f>
        <v/>
      </c>
      <c r="AC388" t="str">
        <f>IFERROR(ROUND(M388*VLOOKUP(L388,[1]note_pop_types!$A$16:$E$16,4,FALSE),0),"")</f>
        <v/>
      </c>
      <c r="AD388" t="str">
        <f>IFERROR(ROUND(O388*VLOOKUP(N388,[1]note_pop_types!$A$16:$E$16,4,FALSE),0),"")</f>
        <v/>
      </c>
      <c r="AE388" t="str">
        <f>IFERROR(ROUND(Q388*VLOOKUP(P388,商品!$A$4:$B$60,2,FALSE),0),"")</f>
        <v/>
      </c>
      <c r="AF388" t="str">
        <f>IFERROR(ROUND(S388*VLOOKUP(R388,商品!$A$4:$B$60,2,FALSE),0),"")</f>
        <v/>
      </c>
    </row>
    <row r="389" spans="1:32" ht="19.05" customHeight="1" x14ac:dyDescent="0.25">
      <c r="A389" s="16" t="s">
        <v>257</v>
      </c>
      <c r="C389" s="16">
        <v>8</v>
      </c>
      <c r="T389" s="2">
        <f t="shared" si="20"/>
        <v>0</v>
      </c>
      <c r="U389" s="2">
        <f t="shared" si="21"/>
        <v>0</v>
      </c>
      <c r="V389" s="2">
        <f t="shared" si="22"/>
        <v>0</v>
      </c>
      <c r="W389" s="2">
        <f t="shared" si="23"/>
        <v>0</v>
      </c>
      <c r="Y389" t="str">
        <f>IFERROR(ROUND(E389*VLOOKUP(D389,商品!$A$4:$B$60,2,FALSE),0),"")</f>
        <v/>
      </c>
      <c r="Z389" t="str">
        <f>IFERROR(ROUND(G389*VLOOKUP(F389,商品!$A$4:$B$60,2,FALSE),0),"")</f>
        <v/>
      </c>
      <c r="AA389" t="str">
        <f>IFERROR(ROUND(I389*VLOOKUP(H389,商品!$A$4:$B$60,2,FALSE),0),"")</f>
        <v/>
      </c>
      <c r="AB389" t="str">
        <f>IFERROR(ROUND(K389*VLOOKUP(J389,[1]note_pop_types!$A$16:$E$16,4,FALSE),0),"")</f>
        <v/>
      </c>
      <c r="AC389" t="str">
        <f>IFERROR(ROUND(M389*VLOOKUP(L389,[1]note_pop_types!$A$16:$E$16,4,FALSE),0),"")</f>
        <v/>
      </c>
      <c r="AD389" t="str">
        <f>IFERROR(ROUND(O389*VLOOKUP(N389,[1]note_pop_types!$A$16:$E$16,4,FALSE),0),"")</f>
        <v/>
      </c>
      <c r="AE389" t="str">
        <f>IFERROR(ROUND(Q389*VLOOKUP(P389,商品!$A$4:$B$60,2,FALSE),0),"")</f>
        <v/>
      </c>
      <c r="AF389" t="str">
        <f>IFERROR(ROUND(S389*VLOOKUP(R389,商品!$A$4:$B$60,2,FALSE),0),"")</f>
        <v/>
      </c>
    </row>
    <row r="390" spans="1:32" ht="19.05" customHeight="1" x14ac:dyDescent="0.25">
      <c r="A390" s="15" t="s">
        <v>259</v>
      </c>
      <c r="C390" s="15">
        <v>1</v>
      </c>
      <c r="T390" s="2">
        <f t="shared" ref="T390:T453" si="24">SUM(Y390:AA390)</f>
        <v>0</v>
      </c>
      <c r="U390" s="2">
        <f t="shared" ref="U390:U453" si="25">SUM(AB390:AC390)</f>
        <v>0</v>
      </c>
      <c r="V390" s="2">
        <f t="shared" ref="V390:V453" si="26">SUM(AE390:AF390)</f>
        <v>0</v>
      </c>
      <c r="W390" s="2">
        <f t="shared" ref="W390:W453" si="27">V390-T390-U390</f>
        <v>0</v>
      </c>
      <c r="Y390" t="str">
        <f>IFERROR(ROUND(E390*VLOOKUP(D390,商品!$A$4:$B$60,2,FALSE),0),"")</f>
        <v/>
      </c>
      <c r="Z390" t="str">
        <f>IFERROR(ROUND(G390*VLOOKUP(F390,商品!$A$4:$B$60,2,FALSE),0),"")</f>
        <v/>
      </c>
      <c r="AA390" t="str">
        <f>IFERROR(ROUND(I390*VLOOKUP(H390,商品!$A$4:$B$60,2,FALSE),0),"")</f>
        <v/>
      </c>
      <c r="AB390" t="str">
        <f>IFERROR(ROUND(K390*VLOOKUP(J390,[1]note_pop_types!$A$16:$E$16,4,FALSE),0),"")</f>
        <v/>
      </c>
      <c r="AC390" t="str">
        <f>IFERROR(ROUND(M390*VLOOKUP(L390,[1]note_pop_types!$A$16:$E$16,4,FALSE),0),"")</f>
        <v/>
      </c>
      <c r="AD390" t="str">
        <f>IFERROR(ROUND(O390*VLOOKUP(N390,[1]note_pop_types!$A$16:$E$16,4,FALSE),0),"")</f>
        <v/>
      </c>
      <c r="AE390" t="str">
        <f>IFERROR(ROUND(Q390*VLOOKUP(P390,商品!$A$4:$B$60,2,FALSE),0),"")</f>
        <v/>
      </c>
      <c r="AF390" t="str">
        <f>IFERROR(ROUND(S390*VLOOKUP(R390,商品!$A$4:$B$60,2,FALSE),0),"")</f>
        <v/>
      </c>
    </row>
    <row r="391" spans="1:32" ht="19.05" customHeight="1" x14ac:dyDescent="0.25">
      <c r="A391" s="15" t="s">
        <v>259</v>
      </c>
      <c r="C391" s="15">
        <v>2</v>
      </c>
      <c r="T391" s="2">
        <f t="shared" si="24"/>
        <v>0</v>
      </c>
      <c r="U391" s="2">
        <f t="shared" si="25"/>
        <v>0</v>
      </c>
      <c r="V391" s="2">
        <f t="shared" si="26"/>
        <v>0</v>
      </c>
      <c r="W391" s="2">
        <f t="shared" si="27"/>
        <v>0</v>
      </c>
      <c r="Y391" t="str">
        <f>IFERROR(ROUND(E391*VLOOKUP(D391,商品!$A$4:$B$60,2,FALSE),0),"")</f>
        <v/>
      </c>
      <c r="Z391" t="str">
        <f>IFERROR(ROUND(G391*VLOOKUP(F391,商品!$A$4:$B$60,2,FALSE),0),"")</f>
        <v/>
      </c>
      <c r="AA391" t="str">
        <f>IFERROR(ROUND(I391*VLOOKUP(H391,商品!$A$4:$B$60,2,FALSE),0),"")</f>
        <v/>
      </c>
      <c r="AB391" t="str">
        <f>IFERROR(ROUND(K391*VLOOKUP(J391,[1]note_pop_types!$A$16:$E$16,4,FALSE),0),"")</f>
        <v/>
      </c>
      <c r="AC391" t="str">
        <f>IFERROR(ROUND(M391*VLOOKUP(L391,[1]note_pop_types!$A$16:$E$16,4,FALSE),0),"")</f>
        <v/>
      </c>
      <c r="AD391" t="str">
        <f>IFERROR(ROUND(O391*VLOOKUP(N391,[1]note_pop_types!$A$16:$E$16,4,FALSE),0),"")</f>
        <v/>
      </c>
      <c r="AE391" t="str">
        <f>IFERROR(ROUND(Q391*VLOOKUP(P391,商品!$A$4:$B$60,2,FALSE),0),"")</f>
        <v/>
      </c>
      <c r="AF391" t="str">
        <f>IFERROR(ROUND(S391*VLOOKUP(R391,商品!$A$4:$B$60,2,FALSE),0),"")</f>
        <v/>
      </c>
    </row>
    <row r="392" spans="1:32" ht="19.05" customHeight="1" x14ac:dyDescent="0.25">
      <c r="A392" s="15" t="s">
        <v>259</v>
      </c>
      <c r="C392" s="15">
        <v>3</v>
      </c>
      <c r="T392" s="2">
        <f t="shared" si="24"/>
        <v>0</v>
      </c>
      <c r="U392" s="2">
        <f t="shared" si="25"/>
        <v>0</v>
      </c>
      <c r="V392" s="2">
        <f t="shared" si="26"/>
        <v>0</v>
      </c>
      <c r="W392" s="2">
        <f t="shared" si="27"/>
        <v>0</v>
      </c>
      <c r="Y392" t="str">
        <f>IFERROR(ROUND(E392*VLOOKUP(D392,商品!$A$4:$B$60,2,FALSE),0),"")</f>
        <v/>
      </c>
      <c r="Z392" t="str">
        <f>IFERROR(ROUND(G392*VLOOKUP(F392,商品!$A$4:$B$60,2,FALSE),0),"")</f>
        <v/>
      </c>
      <c r="AA392" t="str">
        <f>IFERROR(ROUND(I392*VLOOKUP(H392,商品!$A$4:$B$60,2,FALSE),0),"")</f>
        <v/>
      </c>
      <c r="AB392" t="str">
        <f>IFERROR(ROUND(K392*VLOOKUP(J392,[1]note_pop_types!$A$16:$E$16,4,FALSE),0),"")</f>
        <v/>
      </c>
      <c r="AC392" t="str">
        <f>IFERROR(ROUND(M392*VLOOKUP(L392,[1]note_pop_types!$A$16:$E$16,4,FALSE),0),"")</f>
        <v/>
      </c>
      <c r="AD392" t="str">
        <f>IFERROR(ROUND(O392*VLOOKUP(N392,[1]note_pop_types!$A$16:$E$16,4,FALSE),0),"")</f>
        <v/>
      </c>
      <c r="AE392" t="str">
        <f>IFERROR(ROUND(Q392*VLOOKUP(P392,商品!$A$4:$B$60,2,FALSE),0),"")</f>
        <v/>
      </c>
      <c r="AF392" t="str">
        <f>IFERROR(ROUND(S392*VLOOKUP(R392,商品!$A$4:$B$60,2,FALSE),0),"")</f>
        <v/>
      </c>
    </row>
    <row r="393" spans="1:32" ht="19.05" customHeight="1" x14ac:dyDescent="0.25">
      <c r="A393" s="15" t="s">
        <v>259</v>
      </c>
      <c r="C393" s="15">
        <v>4</v>
      </c>
      <c r="T393" s="2">
        <f t="shared" si="24"/>
        <v>0</v>
      </c>
      <c r="U393" s="2">
        <f t="shared" si="25"/>
        <v>0</v>
      </c>
      <c r="V393" s="2">
        <f t="shared" si="26"/>
        <v>0</v>
      </c>
      <c r="W393" s="2">
        <f t="shared" si="27"/>
        <v>0</v>
      </c>
      <c r="Y393" t="str">
        <f>IFERROR(ROUND(E393*VLOOKUP(D393,商品!$A$4:$B$60,2,FALSE),0),"")</f>
        <v/>
      </c>
      <c r="Z393" t="str">
        <f>IFERROR(ROUND(G393*VLOOKUP(F393,商品!$A$4:$B$60,2,FALSE),0),"")</f>
        <v/>
      </c>
      <c r="AA393" t="str">
        <f>IFERROR(ROUND(I393*VLOOKUP(H393,商品!$A$4:$B$60,2,FALSE),0),"")</f>
        <v/>
      </c>
      <c r="AB393" t="str">
        <f>IFERROR(ROUND(K393*VLOOKUP(J393,[1]note_pop_types!$A$16:$E$16,4,FALSE),0),"")</f>
        <v/>
      </c>
      <c r="AC393" t="str">
        <f>IFERROR(ROUND(M393*VLOOKUP(L393,[1]note_pop_types!$A$16:$E$16,4,FALSE),0),"")</f>
        <v/>
      </c>
      <c r="AD393" t="str">
        <f>IFERROR(ROUND(O393*VLOOKUP(N393,[1]note_pop_types!$A$16:$E$16,4,FALSE),0),"")</f>
        <v/>
      </c>
      <c r="AE393" t="str">
        <f>IFERROR(ROUND(Q393*VLOOKUP(P393,商品!$A$4:$B$60,2,FALSE),0),"")</f>
        <v/>
      </c>
      <c r="AF393" t="str">
        <f>IFERROR(ROUND(S393*VLOOKUP(R393,商品!$A$4:$B$60,2,FALSE),0),"")</f>
        <v/>
      </c>
    </row>
    <row r="394" spans="1:32" ht="19.05" customHeight="1" x14ac:dyDescent="0.25">
      <c r="A394" s="15" t="s">
        <v>259</v>
      </c>
      <c r="C394" s="15">
        <v>5</v>
      </c>
      <c r="T394" s="2">
        <f t="shared" si="24"/>
        <v>0</v>
      </c>
      <c r="U394" s="2">
        <f t="shared" si="25"/>
        <v>0</v>
      </c>
      <c r="V394" s="2">
        <f t="shared" si="26"/>
        <v>0</v>
      </c>
      <c r="W394" s="2">
        <f t="shared" si="27"/>
        <v>0</v>
      </c>
      <c r="Y394" t="str">
        <f>IFERROR(ROUND(E394*VLOOKUP(D394,商品!$A$4:$B$60,2,FALSE),0),"")</f>
        <v/>
      </c>
      <c r="Z394" t="str">
        <f>IFERROR(ROUND(G394*VLOOKUP(F394,商品!$A$4:$B$60,2,FALSE),0),"")</f>
        <v/>
      </c>
      <c r="AA394" t="str">
        <f>IFERROR(ROUND(I394*VLOOKUP(H394,商品!$A$4:$B$60,2,FALSE),0),"")</f>
        <v/>
      </c>
      <c r="AB394" t="str">
        <f>IFERROR(ROUND(K394*VLOOKUP(J394,[1]note_pop_types!$A$16:$E$16,4,FALSE),0),"")</f>
        <v/>
      </c>
      <c r="AC394" t="str">
        <f>IFERROR(ROUND(M394*VLOOKUP(L394,[1]note_pop_types!$A$16:$E$16,4,FALSE),0),"")</f>
        <v/>
      </c>
      <c r="AD394" t="str">
        <f>IFERROR(ROUND(O394*VLOOKUP(N394,[1]note_pop_types!$A$16:$E$16,4,FALSE),0),"")</f>
        <v/>
      </c>
      <c r="AE394" t="str">
        <f>IFERROR(ROUND(Q394*VLOOKUP(P394,商品!$A$4:$B$60,2,FALSE),0),"")</f>
        <v/>
      </c>
      <c r="AF394" t="str">
        <f>IFERROR(ROUND(S394*VLOOKUP(R394,商品!$A$4:$B$60,2,FALSE),0),"")</f>
        <v/>
      </c>
    </row>
    <row r="395" spans="1:32" ht="19.05" customHeight="1" x14ac:dyDescent="0.25">
      <c r="A395" s="16" t="s">
        <v>520</v>
      </c>
      <c r="C395" s="16">
        <v>1</v>
      </c>
      <c r="T395" s="2">
        <f t="shared" si="24"/>
        <v>0</v>
      </c>
      <c r="U395" s="2">
        <f t="shared" si="25"/>
        <v>0</v>
      </c>
      <c r="V395" s="2">
        <f t="shared" si="26"/>
        <v>0</v>
      </c>
      <c r="W395" s="2">
        <f t="shared" si="27"/>
        <v>0</v>
      </c>
      <c r="Y395" t="str">
        <f>IFERROR(ROUND(E395*VLOOKUP(D395,商品!$A$4:$B$60,2,FALSE),0),"")</f>
        <v/>
      </c>
      <c r="Z395" t="str">
        <f>IFERROR(ROUND(G395*VLOOKUP(F395,商品!$A$4:$B$60,2,FALSE),0),"")</f>
        <v/>
      </c>
      <c r="AA395" t="str">
        <f>IFERROR(ROUND(I395*VLOOKUP(H395,商品!$A$4:$B$60,2,FALSE),0),"")</f>
        <v/>
      </c>
      <c r="AB395" t="str">
        <f>IFERROR(ROUND(K395*VLOOKUP(J395,[1]note_pop_types!$A$16:$E$16,4,FALSE),0),"")</f>
        <v/>
      </c>
      <c r="AC395" t="str">
        <f>IFERROR(ROUND(M395*VLOOKUP(L395,[1]note_pop_types!$A$16:$E$16,4,FALSE),0),"")</f>
        <v/>
      </c>
      <c r="AD395" t="str">
        <f>IFERROR(ROUND(O395*VLOOKUP(N395,[1]note_pop_types!$A$16:$E$16,4,FALSE),0),"")</f>
        <v/>
      </c>
      <c r="AE395" t="str">
        <f>IFERROR(ROUND(Q395*VLOOKUP(P395,商品!$A$4:$B$60,2,FALSE),0),"")</f>
        <v/>
      </c>
      <c r="AF395" t="str">
        <f>IFERROR(ROUND(S395*VLOOKUP(R395,商品!$A$4:$B$60,2,FALSE),0),"")</f>
        <v/>
      </c>
    </row>
    <row r="396" spans="1:32" ht="19.05" customHeight="1" x14ac:dyDescent="0.25">
      <c r="A396" s="16" t="s">
        <v>520</v>
      </c>
      <c r="C396" s="16">
        <v>2</v>
      </c>
      <c r="T396" s="2">
        <f t="shared" si="24"/>
        <v>0</v>
      </c>
      <c r="U396" s="2">
        <f t="shared" si="25"/>
        <v>0</v>
      </c>
      <c r="V396" s="2">
        <f t="shared" si="26"/>
        <v>0</v>
      </c>
      <c r="W396" s="2">
        <f t="shared" si="27"/>
        <v>0</v>
      </c>
      <c r="Y396" t="str">
        <f>IFERROR(ROUND(E396*VLOOKUP(D396,商品!$A$4:$B$60,2,FALSE),0),"")</f>
        <v/>
      </c>
      <c r="Z396" t="str">
        <f>IFERROR(ROUND(G396*VLOOKUP(F396,商品!$A$4:$B$60,2,FALSE),0),"")</f>
        <v/>
      </c>
      <c r="AA396" t="str">
        <f>IFERROR(ROUND(I396*VLOOKUP(H396,商品!$A$4:$B$60,2,FALSE),0),"")</f>
        <v/>
      </c>
      <c r="AB396" t="str">
        <f>IFERROR(ROUND(K396*VLOOKUP(J396,[1]note_pop_types!$A$16:$E$16,4,FALSE),0),"")</f>
        <v/>
      </c>
      <c r="AC396" t="str">
        <f>IFERROR(ROUND(M396*VLOOKUP(L396,[1]note_pop_types!$A$16:$E$16,4,FALSE),0),"")</f>
        <v/>
      </c>
      <c r="AD396" t="str">
        <f>IFERROR(ROUND(O396*VLOOKUP(N396,[1]note_pop_types!$A$16:$E$16,4,FALSE),0),"")</f>
        <v/>
      </c>
      <c r="AE396" t="str">
        <f>IFERROR(ROUND(Q396*VLOOKUP(P396,商品!$A$4:$B$60,2,FALSE),0),"")</f>
        <v/>
      </c>
      <c r="AF396" t="str">
        <f>IFERROR(ROUND(S396*VLOOKUP(R396,商品!$A$4:$B$60,2,FALSE),0),"")</f>
        <v/>
      </c>
    </row>
    <row r="397" spans="1:32" ht="19.05" customHeight="1" x14ac:dyDescent="0.25">
      <c r="A397" s="16" t="s">
        <v>520</v>
      </c>
      <c r="C397" s="16">
        <v>3</v>
      </c>
      <c r="T397" s="2">
        <f t="shared" si="24"/>
        <v>0</v>
      </c>
      <c r="U397" s="2">
        <f t="shared" si="25"/>
        <v>0</v>
      </c>
      <c r="V397" s="2">
        <f t="shared" si="26"/>
        <v>0</v>
      </c>
      <c r="W397" s="2">
        <f t="shared" si="27"/>
        <v>0</v>
      </c>
      <c r="Y397" t="str">
        <f>IFERROR(ROUND(E397*VLOOKUP(D397,商品!$A$4:$B$60,2,FALSE),0),"")</f>
        <v/>
      </c>
      <c r="Z397" t="str">
        <f>IFERROR(ROUND(G397*VLOOKUP(F397,商品!$A$4:$B$60,2,FALSE),0),"")</f>
        <v/>
      </c>
      <c r="AA397" t="str">
        <f>IFERROR(ROUND(I397*VLOOKUP(H397,商品!$A$4:$B$60,2,FALSE),0),"")</f>
        <v/>
      </c>
      <c r="AB397" t="str">
        <f>IFERROR(ROUND(K397*VLOOKUP(J397,[1]note_pop_types!$A$16:$E$16,4,FALSE),0),"")</f>
        <v/>
      </c>
      <c r="AC397" t="str">
        <f>IFERROR(ROUND(M397*VLOOKUP(L397,[1]note_pop_types!$A$16:$E$16,4,FALSE),0),"")</f>
        <v/>
      </c>
      <c r="AD397" t="str">
        <f>IFERROR(ROUND(O397*VLOOKUP(N397,[1]note_pop_types!$A$16:$E$16,4,FALSE),0),"")</f>
        <v/>
      </c>
      <c r="AE397" t="str">
        <f>IFERROR(ROUND(Q397*VLOOKUP(P397,商品!$A$4:$B$60,2,FALSE),0),"")</f>
        <v/>
      </c>
      <c r="AF397" t="str">
        <f>IFERROR(ROUND(S397*VLOOKUP(R397,商品!$A$4:$B$60,2,FALSE),0),"")</f>
        <v/>
      </c>
    </row>
    <row r="398" spans="1:32" ht="19.05" customHeight="1" x14ac:dyDescent="0.25">
      <c r="A398" s="16" t="s">
        <v>520</v>
      </c>
      <c r="C398" s="16">
        <v>4</v>
      </c>
      <c r="T398" s="2">
        <f t="shared" si="24"/>
        <v>0</v>
      </c>
      <c r="U398" s="2">
        <f t="shared" si="25"/>
        <v>0</v>
      </c>
      <c r="V398" s="2">
        <f t="shared" si="26"/>
        <v>0</v>
      </c>
      <c r="W398" s="2">
        <f t="shared" si="27"/>
        <v>0</v>
      </c>
      <c r="Y398" t="str">
        <f>IFERROR(ROUND(E398*VLOOKUP(D398,商品!$A$4:$B$60,2,FALSE),0),"")</f>
        <v/>
      </c>
      <c r="Z398" t="str">
        <f>IFERROR(ROUND(G398*VLOOKUP(F398,商品!$A$4:$B$60,2,FALSE),0),"")</f>
        <v/>
      </c>
      <c r="AA398" t="str">
        <f>IFERROR(ROUND(I398*VLOOKUP(H398,商品!$A$4:$B$60,2,FALSE),0),"")</f>
        <v/>
      </c>
      <c r="AB398" t="str">
        <f>IFERROR(ROUND(K398*VLOOKUP(J398,[1]note_pop_types!$A$16:$E$16,4,FALSE),0),"")</f>
        <v/>
      </c>
      <c r="AC398" t="str">
        <f>IFERROR(ROUND(M398*VLOOKUP(L398,[1]note_pop_types!$A$16:$E$16,4,FALSE),0),"")</f>
        <v/>
      </c>
      <c r="AD398" t="str">
        <f>IFERROR(ROUND(O398*VLOOKUP(N398,[1]note_pop_types!$A$16:$E$16,4,FALSE),0),"")</f>
        <v/>
      </c>
      <c r="AE398" t="str">
        <f>IFERROR(ROUND(Q398*VLOOKUP(P398,商品!$A$4:$B$60,2,FALSE),0),"")</f>
        <v/>
      </c>
      <c r="AF398" t="str">
        <f>IFERROR(ROUND(S398*VLOOKUP(R398,商品!$A$4:$B$60,2,FALSE),0),"")</f>
        <v/>
      </c>
    </row>
    <row r="399" spans="1:32" ht="19.05" customHeight="1" x14ac:dyDescent="0.25">
      <c r="A399" s="16" t="s">
        <v>520</v>
      </c>
      <c r="C399" s="16">
        <v>5</v>
      </c>
      <c r="T399" s="2">
        <f t="shared" si="24"/>
        <v>0</v>
      </c>
      <c r="U399" s="2">
        <f t="shared" si="25"/>
        <v>0</v>
      </c>
      <c r="V399" s="2">
        <f t="shared" si="26"/>
        <v>0</v>
      </c>
      <c r="W399" s="2">
        <f t="shared" si="27"/>
        <v>0</v>
      </c>
      <c r="Y399" t="str">
        <f>IFERROR(ROUND(E399*VLOOKUP(D399,商品!$A$4:$B$60,2,FALSE),0),"")</f>
        <v/>
      </c>
      <c r="Z399" t="str">
        <f>IFERROR(ROUND(G399*VLOOKUP(F399,商品!$A$4:$B$60,2,FALSE),0),"")</f>
        <v/>
      </c>
      <c r="AA399" t="str">
        <f>IFERROR(ROUND(I399*VLOOKUP(H399,商品!$A$4:$B$60,2,FALSE),0),"")</f>
        <v/>
      </c>
      <c r="AB399" t="str">
        <f>IFERROR(ROUND(K399*VLOOKUP(J399,[1]note_pop_types!$A$16:$E$16,4,FALSE),0),"")</f>
        <v/>
      </c>
      <c r="AC399" t="str">
        <f>IFERROR(ROUND(M399*VLOOKUP(L399,[1]note_pop_types!$A$16:$E$16,4,FALSE),0),"")</f>
        <v/>
      </c>
      <c r="AD399" t="str">
        <f>IFERROR(ROUND(O399*VLOOKUP(N399,[1]note_pop_types!$A$16:$E$16,4,FALSE),0),"")</f>
        <v/>
      </c>
      <c r="AE399" t="str">
        <f>IFERROR(ROUND(Q399*VLOOKUP(P399,商品!$A$4:$B$60,2,FALSE),0),"")</f>
        <v/>
      </c>
      <c r="AF399" t="str">
        <f>IFERROR(ROUND(S399*VLOOKUP(R399,商品!$A$4:$B$60,2,FALSE),0),"")</f>
        <v/>
      </c>
    </row>
    <row r="400" spans="1:32" ht="19.05" customHeight="1" x14ac:dyDescent="0.25">
      <c r="A400" s="15" t="s">
        <v>520</v>
      </c>
      <c r="C400" s="15">
        <v>1</v>
      </c>
      <c r="T400" s="2">
        <f t="shared" si="24"/>
        <v>0</v>
      </c>
      <c r="U400" s="2">
        <f t="shared" si="25"/>
        <v>0</v>
      </c>
      <c r="V400" s="2">
        <f t="shared" si="26"/>
        <v>0</v>
      </c>
      <c r="W400" s="2">
        <f t="shared" si="27"/>
        <v>0</v>
      </c>
      <c r="Y400" t="str">
        <f>IFERROR(ROUND(E400*VLOOKUP(D400,商品!$A$4:$B$60,2,FALSE),0),"")</f>
        <v/>
      </c>
      <c r="Z400" t="str">
        <f>IFERROR(ROUND(G400*VLOOKUP(F400,商品!$A$4:$B$60,2,FALSE),0),"")</f>
        <v/>
      </c>
      <c r="AA400" t="str">
        <f>IFERROR(ROUND(I400*VLOOKUP(H400,商品!$A$4:$B$60,2,FALSE),0),"")</f>
        <v/>
      </c>
      <c r="AB400" t="str">
        <f>IFERROR(ROUND(K400*VLOOKUP(J400,[1]note_pop_types!$A$16:$E$16,4,FALSE),0),"")</f>
        <v/>
      </c>
      <c r="AC400" t="str">
        <f>IFERROR(ROUND(M400*VLOOKUP(L400,[1]note_pop_types!$A$16:$E$16,4,FALSE),0),"")</f>
        <v/>
      </c>
      <c r="AD400" t="str">
        <f>IFERROR(ROUND(O400*VLOOKUP(N400,[1]note_pop_types!$A$16:$E$16,4,FALSE),0),"")</f>
        <v/>
      </c>
      <c r="AE400" t="str">
        <f>IFERROR(ROUND(Q400*VLOOKUP(P400,商品!$A$4:$B$60,2,FALSE),0),"")</f>
        <v/>
      </c>
      <c r="AF400" t="str">
        <f>IFERROR(ROUND(S400*VLOOKUP(R400,商品!$A$4:$B$60,2,FALSE),0),"")</f>
        <v/>
      </c>
    </row>
    <row r="401" spans="1:32" ht="19.05" customHeight="1" x14ac:dyDescent="0.25">
      <c r="A401" s="15" t="s">
        <v>520</v>
      </c>
      <c r="C401" s="15">
        <v>2</v>
      </c>
      <c r="T401" s="2">
        <f t="shared" si="24"/>
        <v>0</v>
      </c>
      <c r="U401" s="2">
        <f t="shared" si="25"/>
        <v>0</v>
      </c>
      <c r="V401" s="2">
        <f t="shared" si="26"/>
        <v>0</v>
      </c>
      <c r="W401" s="2">
        <f t="shared" si="27"/>
        <v>0</v>
      </c>
      <c r="Y401" t="str">
        <f>IFERROR(ROUND(E401*VLOOKUP(D401,商品!$A$4:$B$60,2,FALSE),0),"")</f>
        <v/>
      </c>
      <c r="Z401" t="str">
        <f>IFERROR(ROUND(G401*VLOOKUP(F401,商品!$A$4:$B$60,2,FALSE),0),"")</f>
        <v/>
      </c>
      <c r="AA401" t="str">
        <f>IFERROR(ROUND(I401*VLOOKUP(H401,商品!$A$4:$B$60,2,FALSE),0),"")</f>
        <v/>
      </c>
      <c r="AB401" t="str">
        <f>IFERROR(ROUND(K401*VLOOKUP(J401,[1]note_pop_types!$A$16:$E$16,4,FALSE),0),"")</f>
        <v/>
      </c>
      <c r="AC401" t="str">
        <f>IFERROR(ROUND(M401*VLOOKUP(L401,[1]note_pop_types!$A$16:$E$16,4,FALSE),0),"")</f>
        <v/>
      </c>
      <c r="AD401" t="str">
        <f>IFERROR(ROUND(O401*VLOOKUP(N401,[1]note_pop_types!$A$16:$E$16,4,FALSE),0),"")</f>
        <v/>
      </c>
      <c r="AE401" t="str">
        <f>IFERROR(ROUND(Q401*VLOOKUP(P401,商品!$A$4:$B$60,2,FALSE),0),"")</f>
        <v/>
      </c>
      <c r="AF401" t="str">
        <f>IFERROR(ROUND(S401*VLOOKUP(R401,商品!$A$4:$B$60,2,FALSE),0),"")</f>
        <v/>
      </c>
    </row>
    <row r="402" spans="1:32" ht="19.05" customHeight="1" x14ac:dyDescent="0.25">
      <c r="A402" s="15" t="s">
        <v>520</v>
      </c>
      <c r="C402" s="15">
        <v>3</v>
      </c>
      <c r="T402" s="2">
        <f t="shared" si="24"/>
        <v>0</v>
      </c>
      <c r="U402" s="2">
        <f t="shared" si="25"/>
        <v>0</v>
      </c>
      <c r="V402" s="2">
        <f t="shared" si="26"/>
        <v>0</v>
      </c>
      <c r="W402" s="2">
        <f t="shared" si="27"/>
        <v>0</v>
      </c>
      <c r="Y402" t="str">
        <f>IFERROR(ROUND(E402*VLOOKUP(D402,商品!$A$4:$B$60,2,FALSE),0),"")</f>
        <v/>
      </c>
      <c r="Z402" t="str">
        <f>IFERROR(ROUND(G402*VLOOKUP(F402,商品!$A$4:$B$60,2,FALSE),0),"")</f>
        <v/>
      </c>
      <c r="AA402" t="str">
        <f>IFERROR(ROUND(I402*VLOOKUP(H402,商品!$A$4:$B$60,2,FALSE),0),"")</f>
        <v/>
      </c>
      <c r="AB402" t="str">
        <f>IFERROR(ROUND(K402*VLOOKUP(J402,[1]note_pop_types!$A$16:$E$16,4,FALSE),0),"")</f>
        <v/>
      </c>
      <c r="AC402" t="str">
        <f>IFERROR(ROUND(M402*VLOOKUP(L402,[1]note_pop_types!$A$16:$E$16,4,FALSE),0),"")</f>
        <v/>
      </c>
      <c r="AD402" t="str">
        <f>IFERROR(ROUND(O402*VLOOKUP(N402,[1]note_pop_types!$A$16:$E$16,4,FALSE),0),"")</f>
        <v/>
      </c>
      <c r="AE402" t="str">
        <f>IFERROR(ROUND(Q402*VLOOKUP(P402,商品!$A$4:$B$60,2,FALSE),0),"")</f>
        <v/>
      </c>
      <c r="AF402" t="str">
        <f>IFERROR(ROUND(S402*VLOOKUP(R402,商品!$A$4:$B$60,2,FALSE),0),"")</f>
        <v/>
      </c>
    </row>
    <row r="403" spans="1:32" ht="19.05" customHeight="1" x14ac:dyDescent="0.25">
      <c r="A403" s="15" t="s">
        <v>520</v>
      </c>
      <c r="C403" s="15">
        <v>4</v>
      </c>
      <c r="T403" s="2">
        <f t="shared" si="24"/>
        <v>0</v>
      </c>
      <c r="U403" s="2">
        <f t="shared" si="25"/>
        <v>0</v>
      </c>
      <c r="V403" s="2">
        <f t="shared" si="26"/>
        <v>0</v>
      </c>
      <c r="W403" s="2">
        <f t="shared" si="27"/>
        <v>0</v>
      </c>
      <c r="Y403" t="str">
        <f>IFERROR(ROUND(E403*VLOOKUP(D403,商品!$A$4:$B$60,2,FALSE),0),"")</f>
        <v/>
      </c>
      <c r="Z403" t="str">
        <f>IFERROR(ROUND(G403*VLOOKUP(F403,商品!$A$4:$B$60,2,FALSE),0),"")</f>
        <v/>
      </c>
      <c r="AA403" t="str">
        <f>IFERROR(ROUND(I403*VLOOKUP(H403,商品!$A$4:$B$60,2,FALSE),0),"")</f>
        <v/>
      </c>
      <c r="AB403" t="str">
        <f>IFERROR(ROUND(K403*VLOOKUP(J403,[1]note_pop_types!$A$16:$E$16,4,FALSE),0),"")</f>
        <v/>
      </c>
      <c r="AC403" t="str">
        <f>IFERROR(ROUND(M403*VLOOKUP(L403,[1]note_pop_types!$A$16:$E$16,4,FALSE),0),"")</f>
        <v/>
      </c>
      <c r="AD403" t="str">
        <f>IFERROR(ROUND(O403*VLOOKUP(N403,[1]note_pop_types!$A$16:$E$16,4,FALSE),0),"")</f>
        <v/>
      </c>
      <c r="AE403" t="str">
        <f>IFERROR(ROUND(Q403*VLOOKUP(P403,商品!$A$4:$B$60,2,FALSE),0),"")</f>
        <v/>
      </c>
      <c r="AF403" t="str">
        <f>IFERROR(ROUND(S403*VLOOKUP(R403,商品!$A$4:$B$60,2,FALSE),0),"")</f>
        <v/>
      </c>
    </row>
    <row r="404" spans="1:32" ht="19.05" customHeight="1" x14ac:dyDescent="0.25">
      <c r="A404" s="15" t="s">
        <v>520</v>
      </c>
      <c r="C404" s="15">
        <v>5</v>
      </c>
      <c r="T404" s="2">
        <f t="shared" si="24"/>
        <v>0</v>
      </c>
      <c r="U404" s="2">
        <f t="shared" si="25"/>
        <v>0</v>
      </c>
      <c r="V404" s="2">
        <f t="shared" si="26"/>
        <v>0</v>
      </c>
      <c r="W404" s="2">
        <f t="shared" si="27"/>
        <v>0</v>
      </c>
      <c r="Y404" t="str">
        <f>IFERROR(ROUND(E404*VLOOKUP(D404,商品!$A$4:$B$60,2,FALSE),0),"")</f>
        <v/>
      </c>
      <c r="Z404" t="str">
        <f>IFERROR(ROUND(G404*VLOOKUP(F404,商品!$A$4:$B$60,2,FALSE),0),"")</f>
        <v/>
      </c>
      <c r="AA404" t="str">
        <f>IFERROR(ROUND(I404*VLOOKUP(H404,商品!$A$4:$B$60,2,FALSE),0),"")</f>
        <v/>
      </c>
      <c r="AB404" t="str">
        <f>IFERROR(ROUND(K404*VLOOKUP(J404,[1]note_pop_types!$A$16:$E$16,4,FALSE),0),"")</f>
        <v/>
      </c>
      <c r="AC404" t="str">
        <f>IFERROR(ROUND(M404*VLOOKUP(L404,[1]note_pop_types!$A$16:$E$16,4,FALSE),0),"")</f>
        <v/>
      </c>
      <c r="AD404" t="str">
        <f>IFERROR(ROUND(O404*VLOOKUP(N404,[1]note_pop_types!$A$16:$E$16,4,FALSE),0),"")</f>
        <v/>
      </c>
      <c r="AE404" t="str">
        <f>IFERROR(ROUND(Q404*VLOOKUP(P404,商品!$A$4:$B$60,2,FALSE),0),"")</f>
        <v/>
      </c>
      <c r="AF404" t="str">
        <f>IFERROR(ROUND(S404*VLOOKUP(R404,商品!$A$4:$B$60,2,FALSE),0),"")</f>
        <v/>
      </c>
    </row>
    <row r="405" spans="1:32" ht="19.05" customHeight="1" x14ac:dyDescent="0.25">
      <c r="A405" s="16" t="s">
        <v>262</v>
      </c>
      <c r="C405" s="16">
        <v>1</v>
      </c>
      <c r="T405" s="2">
        <f t="shared" si="24"/>
        <v>0</v>
      </c>
      <c r="U405" s="2">
        <f t="shared" si="25"/>
        <v>0</v>
      </c>
      <c r="V405" s="2">
        <f t="shared" si="26"/>
        <v>0</v>
      </c>
      <c r="W405" s="2">
        <f t="shared" si="27"/>
        <v>0</v>
      </c>
      <c r="Y405" t="str">
        <f>IFERROR(ROUND(E405*VLOOKUP(D405,商品!$A$4:$B$60,2,FALSE),0),"")</f>
        <v/>
      </c>
      <c r="Z405" t="str">
        <f>IFERROR(ROUND(G405*VLOOKUP(F405,商品!$A$4:$B$60,2,FALSE),0),"")</f>
        <v/>
      </c>
      <c r="AA405" t="str">
        <f>IFERROR(ROUND(I405*VLOOKUP(H405,商品!$A$4:$B$60,2,FALSE),0),"")</f>
        <v/>
      </c>
      <c r="AB405" t="str">
        <f>IFERROR(ROUND(K405*VLOOKUP(J405,[1]note_pop_types!$A$16:$E$16,4,FALSE),0),"")</f>
        <v/>
      </c>
      <c r="AC405" t="str">
        <f>IFERROR(ROUND(M405*VLOOKUP(L405,[1]note_pop_types!$A$16:$E$16,4,FALSE),0),"")</f>
        <v/>
      </c>
      <c r="AD405" t="str">
        <f>IFERROR(ROUND(O405*VLOOKUP(N405,[1]note_pop_types!$A$16:$E$16,4,FALSE),0),"")</f>
        <v/>
      </c>
      <c r="AE405" t="str">
        <f>IFERROR(ROUND(Q405*VLOOKUP(P405,商品!$A$4:$B$60,2,FALSE),0),"")</f>
        <v/>
      </c>
      <c r="AF405" t="str">
        <f>IFERROR(ROUND(S405*VLOOKUP(R405,商品!$A$4:$B$60,2,FALSE),0),"")</f>
        <v/>
      </c>
    </row>
    <row r="406" spans="1:32" ht="19.05" customHeight="1" x14ac:dyDescent="0.25">
      <c r="A406" s="16" t="s">
        <v>262</v>
      </c>
      <c r="C406" s="16">
        <v>2</v>
      </c>
      <c r="T406" s="2">
        <f t="shared" si="24"/>
        <v>0</v>
      </c>
      <c r="U406" s="2">
        <f t="shared" si="25"/>
        <v>0</v>
      </c>
      <c r="V406" s="2">
        <f t="shared" si="26"/>
        <v>0</v>
      </c>
      <c r="W406" s="2">
        <f t="shared" si="27"/>
        <v>0</v>
      </c>
      <c r="Y406" t="str">
        <f>IFERROR(ROUND(E406*VLOOKUP(D406,商品!$A$4:$B$60,2,FALSE),0),"")</f>
        <v/>
      </c>
      <c r="Z406" t="str">
        <f>IFERROR(ROUND(G406*VLOOKUP(F406,商品!$A$4:$B$60,2,FALSE),0),"")</f>
        <v/>
      </c>
      <c r="AA406" t="str">
        <f>IFERROR(ROUND(I406*VLOOKUP(H406,商品!$A$4:$B$60,2,FALSE),0),"")</f>
        <v/>
      </c>
      <c r="AB406" t="str">
        <f>IFERROR(ROUND(K406*VLOOKUP(J406,[1]note_pop_types!$A$16:$E$16,4,FALSE),0),"")</f>
        <v/>
      </c>
      <c r="AC406" t="str">
        <f>IFERROR(ROUND(M406*VLOOKUP(L406,[1]note_pop_types!$A$16:$E$16,4,FALSE),0),"")</f>
        <v/>
      </c>
      <c r="AD406" t="str">
        <f>IFERROR(ROUND(O406*VLOOKUP(N406,[1]note_pop_types!$A$16:$E$16,4,FALSE),0),"")</f>
        <v/>
      </c>
      <c r="AE406" t="str">
        <f>IFERROR(ROUND(Q406*VLOOKUP(P406,商品!$A$4:$B$60,2,FALSE),0),"")</f>
        <v/>
      </c>
      <c r="AF406" t="str">
        <f>IFERROR(ROUND(S406*VLOOKUP(R406,商品!$A$4:$B$60,2,FALSE),0),"")</f>
        <v/>
      </c>
    </row>
    <row r="407" spans="1:32" ht="19.05" customHeight="1" x14ac:dyDescent="0.25">
      <c r="A407" s="16" t="s">
        <v>262</v>
      </c>
      <c r="C407" s="16">
        <v>3</v>
      </c>
      <c r="T407" s="2">
        <f t="shared" si="24"/>
        <v>0</v>
      </c>
      <c r="U407" s="2">
        <f t="shared" si="25"/>
        <v>0</v>
      </c>
      <c r="V407" s="2">
        <f t="shared" si="26"/>
        <v>0</v>
      </c>
      <c r="W407" s="2">
        <f t="shared" si="27"/>
        <v>0</v>
      </c>
      <c r="Y407" t="str">
        <f>IFERROR(ROUND(E407*VLOOKUP(D407,商品!$A$4:$B$60,2,FALSE),0),"")</f>
        <v/>
      </c>
      <c r="Z407" t="str">
        <f>IFERROR(ROUND(G407*VLOOKUP(F407,商品!$A$4:$B$60,2,FALSE),0),"")</f>
        <v/>
      </c>
      <c r="AA407" t="str">
        <f>IFERROR(ROUND(I407*VLOOKUP(H407,商品!$A$4:$B$60,2,FALSE),0),"")</f>
        <v/>
      </c>
      <c r="AB407" t="str">
        <f>IFERROR(ROUND(K407*VLOOKUP(J407,[1]note_pop_types!$A$16:$E$16,4,FALSE),0),"")</f>
        <v/>
      </c>
      <c r="AC407" t="str">
        <f>IFERROR(ROUND(M407*VLOOKUP(L407,[1]note_pop_types!$A$16:$E$16,4,FALSE),0),"")</f>
        <v/>
      </c>
      <c r="AD407" t="str">
        <f>IFERROR(ROUND(O407*VLOOKUP(N407,[1]note_pop_types!$A$16:$E$16,4,FALSE),0),"")</f>
        <v/>
      </c>
      <c r="AE407" t="str">
        <f>IFERROR(ROUND(Q407*VLOOKUP(P407,商品!$A$4:$B$60,2,FALSE),0),"")</f>
        <v/>
      </c>
      <c r="AF407" t="str">
        <f>IFERROR(ROUND(S407*VLOOKUP(R407,商品!$A$4:$B$60,2,FALSE),0),"")</f>
        <v/>
      </c>
    </row>
    <row r="408" spans="1:32" ht="19.05" customHeight="1" x14ac:dyDescent="0.25">
      <c r="A408" s="16" t="s">
        <v>262</v>
      </c>
      <c r="C408" s="16">
        <v>4</v>
      </c>
      <c r="T408" s="2">
        <f t="shared" si="24"/>
        <v>0</v>
      </c>
      <c r="U408" s="2">
        <f t="shared" si="25"/>
        <v>0</v>
      </c>
      <c r="V408" s="2">
        <f t="shared" si="26"/>
        <v>0</v>
      </c>
      <c r="W408" s="2">
        <f t="shared" si="27"/>
        <v>0</v>
      </c>
      <c r="Y408" t="str">
        <f>IFERROR(ROUND(E408*VLOOKUP(D408,商品!$A$4:$B$60,2,FALSE),0),"")</f>
        <v/>
      </c>
      <c r="Z408" t="str">
        <f>IFERROR(ROUND(G408*VLOOKUP(F408,商品!$A$4:$B$60,2,FALSE),0),"")</f>
        <v/>
      </c>
      <c r="AA408" t="str">
        <f>IFERROR(ROUND(I408*VLOOKUP(H408,商品!$A$4:$B$60,2,FALSE),0),"")</f>
        <v/>
      </c>
      <c r="AB408" t="str">
        <f>IFERROR(ROUND(K408*VLOOKUP(J408,[1]note_pop_types!$A$16:$E$16,4,FALSE),0),"")</f>
        <v/>
      </c>
      <c r="AC408" t="str">
        <f>IFERROR(ROUND(M408*VLOOKUP(L408,[1]note_pop_types!$A$16:$E$16,4,FALSE),0),"")</f>
        <v/>
      </c>
      <c r="AD408" t="str">
        <f>IFERROR(ROUND(O408*VLOOKUP(N408,[1]note_pop_types!$A$16:$E$16,4,FALSE),0),"")</f>
        <v/>
      </c>
      <c r="AE408" t="str">
        <f>IFERROR(ROUND(Q408*VLOOKUP(P408,商品!$A$4:$B$60,2,FALSE),0),"")</f>
        <v/>
      </c>
      <c r="AF408" t="str">
        <f>IFERROR(ROUND(S408*VLOOKUP(R408,商品!$A$4:$B$60,2,FALSE),0),"")</f>
        <v/>
      </c>
    </row>
    <row r="409" spans="1:32" ht="19.05" customHeight="1" x14ac:dyDescent="0.25">
      <c r="A409" s="16" t="s">
        <v>262</v>
      </c>
      <c r="C409" s="16">
        <v>5</v>
      </c>
      <c r="T409" s="2">
        <f t="shared" si="24"/>
        <v>0</v>
      </c>
      <c r="U409" s="2">
        <f t="shared" si="25"/>
        <v>0</v>
      </c>
      <c r="V409" s="2">
        <f t="shared" si="26"/>
        <v>0</v>
      </c>
      <c r="W409" s="2">
        <f t="shared" si="27"/>
        <v>0</v>
      </c>
      <c r="Y409" t="str">
        <f>IFERROR(ROUND(E409*VLOOKUP(D409,商品!$A$4:$B$60,2,FALSE),0),"")</f>
        <v/>
      </c>
      <c r="Z409" t="str">
        <f>IFERROR(ROUND(G409*VLOOKUP(F409,商品!$A$4:$B$60,2,FALSE),0),"")</f>
        <v/>
      </c>
      <c r="AA409" t="str">
        <f>IFERROR(ROUND(I409*VLOOKUP(H409,商品!$A$4:$B$60,2,FALSE),0),"")</f>
        <v/>
      </c>
      <c r="AB409" t="str">
        <f>IFERROR(ROUND(K409*VLOOKUP(J409,[1]note_pop_types!$A$16:$E$16,4,FALSE),0),"")</f>
        <v/>
      </c>
      <c r="AC409" t="str">
        <f>IFERROR(ROUND(M409*VLOOKUP(L409,[1]note_pop_types!$A$16:$E$16,4,FALSE),0),"")</f>
        <v/>
      </c>
      <c r="AD409" t="str">
        <f>IFERROR(ROUND(O409*VLOOKUP(N409,[1]note_pop_types!$A$16:$E$16,4,FALSE),0),"")</f>
        <v/>
      </c>
      <c r="AE409" t="str">
        <f>IFERROR(ROUND(Q409*VLOOKUP(P409,商品!$A$4:$B$60,2,FALSE),0),"")</f>
        <v/>
      </c>
      <c r="AF409" t="str">
        <f>IFERROR(ROUND(S409*VLOOKUP(R409,商品!$A$4:$B$60,2,FALSE),0),"")</f>
        <v/>
      </c>
    </row>
    <row r="410" spans="1:32" ht="19.05" customHeight="1" x14ac:dyDescent="0.25">
      <c r="A410" s="16" t="s">
        <v>262</v>
      </c>
      <c r="C410" s="16">
        <v>6</v>
      </c>
      <c r="T410" s="2">
        <f t="shared" si="24"/>
        <v>0</v>
      </c>
      <c r="U410" s="2">
        <f t="shared" si="25"/>
        <v>0</v>
      </c>
      <c r="V410" s="2">
        <f t="shared" si="26"/>
        <v>0</v>
      </c>
      <c r="W410" s="2">
        <f t="shared" si="27"/>
        <v>0</v>
      </c>
      <c r="Y410" t="str">
        <f>IFERROR(ROUND(E410*VLOOKUP(D410,商品!$A$4:$B$60,2,FALSE),0),"")</f>
        <v/>
      </c>
      <c r="Z410" t="str">
        <f>IFERROR(ROUND(G410*VLOOKUP(F410,商品!$A$4:$B$60,2,FALSE),0),"")</f>
        <v/>
      </c>
      <c r="AA410" t="str">
        <f>IFERROR(ROUND(I410*VLOOKUP(H410,商品!$A$4:$B$60,2,FALSE),0),"")</f>
        <v/>
      </c>
      <c r="AB410" t="str">
        <f>IFERROR(ROUND(K410*VLOOKUP(J410,[1]note_pop_types!$A$16:$E$16,4,FALSE),0),"")</f>
        <v/>
      </c>
      <c r="AC410" t="str">
        <f>IFERROR(ROUND(M410*VLOOKUP(L410,[1]note_pop_types!$A$16:$E$16,4,FALSE),0),"")</f>
        <v/>
      </c>
      <c r="AD410" t="str">
        <f>IFERROR(ROUND(O410*VLOOKUP(N410,[1]note_pop_types!$A$16:$E$16,4,FALSE),0),"")</f>
        <v/>
      </c>
      <c r="AE410" t="str">
        <f>IFERROR(ROUND(Q410*VLOOKUP(P410,商品!$A$4:$B$60,2,FALSE),0),"")</f>
        <v/>
      </c>
      <c r="AF410" t="str">
        <f>IFERROR(ROUND(S410*VLOOKUP(R410,商品!$A$4:$B$60,2,FALSE),0),"")</f>
        <v/>
      </c>
    </row>
    <row r="411" spans="1:32" ht="19.05" customHeight="1" x14ac:dyDescent="0.25">
      <c r="A411" s="16" t="s">
        <v>262</v>
      </c>
      <c r="C411" s="16">
        <v>7</v>
      </c>
      <c r="T411" s="2">
        <f t="shared" si="24"/>
        <v>0</v>
      </c>
      <c r="U411" s="2">
        <f t="shared" si="25"/>
        <v>0</v>
      </c>
      <c r="V411" s="2">
        <f t="shared" si="26"/>
        <v>0</v>
      </c>
      <c r="W411" s="2">
        <f t="shared" si="27"/>
        <v>0</v>
      </c>
      <c r="Y411" t="str">
        <f>IFERROR(ROUND(E411*VLOOKUP(D411,商品!$A$4:$B$60,2,FALSE),0),"")</f>
        <v/>
      </c>
      <c r="Z411" t="str">
        <f>IFERROR(ROUND(G411*VLOOKUP(F411,商品!$A$4:$B$60,2,FALSE),0),"")</f>
        <v/>
      </c>
      <c r="AA411" t="str">
        <f>IFERROR(ROUND(I411*VLOOKUP(H411,商品!$A$4:$B$60,2,FALSE),0),"")</f>
        <v/>
      </c>
      <c r="AB411" t="str">
        <f>IFERROR(ROUND(K411*VLOOKUP(J411,[1]note_pop_types!$A$16:$E$16,4,FALSE),0),"")</f>
        <v/>
      </c>
      <c r="AC411" t="str">
        <f>IFERROR(ROUND(M411*VLOOKUP(L411,[1]note_pop_types!$A$16:$E$16,4,FALSE),0),"")</f>
        <v/>
      </c>
      <c r="AD411" t="str">
        <f>IFERROR(ROUND(O411*VLOOKUP(N411,[1]note_pop_types!$A$16:$E$16,4,FALSE),0),"")</f>
        <v/>
      </c>
      <c r="AE411" t="str">
        <f>IFERROR(ROUND(Q411*VLOOKUP(P411,商品!$A$4:$B$60,2,FALSE),0),"")</f>
        <v/>
      </c>
      <c r="AF411" t="str">
        <f>IFERROR(ROUND(S411*VLOOKUP(R411,商品!$A$4:$B$60,2,FALSE),0),"")</f>
        <v/>
      </c>
    </row>
    <row r="412" spans="1:32" ht="19.05" customHeight="1" x14ac:dyDescent="0.25">
      <c r="A412" s="16" t="s">
        <v>262</v>
      </c>
      <c r="C412" s="16">
        <v>8</v>
      </c>
      <c r="T412" s="2">
        <f t="shared" si="24"/>
        <v>0</v>
      </c>
      <c r="U412" s="2">
        <f t="shared" si="25"/>
        <v>0</v>
      </c>
      <c r="V412" s="2">
        <f t="shared" si="26"/>
        <v>0</v>
      </c>
      <c r="W412" s="2">
        <f t="shared" si="27"/>
        <v>0</v>
      </c>
      <c r="Y412" t="str">
        <f>IFERROR(ROUND(E412*VLOOKUP(D412,商品!$A$4:$B$60,2,FALSE),0),"")</f>
        <v/>
      </c>
      <c r="Z412" t="str">
        <f>IFERROR(ROUND(G412*VLOOKUP(F412,商品!$A$4:$B$60,2,FALSE),0),"")</f>
        <v/>
      </c>
      <c r="AA412" t="str">
        <f>IFERROR(ROUND(I412*VLOOKUP(H412,商品!$A$4:$B$60,2,FALSE),0),"")</f>
        <v/>
      </c>
      <c r="AB412" t="str">
        <f>IFERROR(ROUND(K412*VLOOKUP(J412,[1]note_pop_types!$A$16:$E$16,4,FALSE),0),"")</f>
        <v/>
      </c>
      <c r="AC412" t="str">
        <f>IFERROR(ROUND(M412*VLOOKUP(L412,[1]note_pop_types!$A$16:$E$16,4,FALSE),0),"")</f>
        <v/>
      </c>
      <c r="AD412" t="str">
        <f>IFERROR(ROUND(O412*VLOOKUP(N412,[1]note_pop_types!$A$16:$E$16,4,FALSE),0),"")</f>
        <v/>
      </c>
      <c r="AE412" t="str">
        <f>IFERROR(ROUND(Q412*VLOOKUP(P412,商品!$A$4:$B$60,2,FALSE),0),"")</f>
        <v/>
      </c>
      <c r="AF412" t="str">
        <f>IFERROR(ROUND(S412*VLOOKUP(R412,商品!$A$4:$B$60,2,FALSE),0),"")</f>
        <v/>
      </c>
    </row>
    <row r="413" spans="1:32" ht="19.05" customHeight="1" x14ac:dyDescent="0.25">
      <c r="A413" s="15" t="s">
        <v>264</v>
      </c>
      <c r="C413" s="15">
        <v>1</v>
      </c>
      <c r="T413" s="2">
        <f t="shared" si="24"/>
        <v>0</v>
      </c>
      <c r="U413" s="2">
        <f t="shared" si="25"/>
        <v>0</v>
      </c>
      <c r="V413" s="2">
        <f t="shared" si="26"/>
        <v>0</v>
      </c>
      <c r="W413" s="2">
        <f t="shared" si="27"/>
        <v>0</v>
      </c>
      <c r="Y413" t="str">
        <f>IFERROR(ROUND(E413*VLOOKUP(D413,商品!$A$4:$B$60,2,FALSE),0),"")</f>
        <v/>
      </c>
      <c r="Z413" t="str">
        <f>IFERROR(ROUND(G413*VLOOKUP(F413,商品!$A$4:$B$60,2,FALSE),0),"")</f>
        <v/>
      </c>
      <c r="AA413" t="str">
        <f>IFERROR(ROUND(I413*VLOOKUP(H413,商品!$A$4:$B$60,2,FALSE),0),"")</f>
        <v/>
      </c>
      <c r="AB413" t="str">
        <f>IFERROR(ROUND(K413*VLOOKUP(J413,[1]note_pop_types!$A$16:$E$16,4,FALSE),0),"")</f>
        <v/>
      </c>
      <c r="AC413" t="str">
        <f>IFERROR(ROUND(M413*VLOOKUP(L413,[1]note_pop_types!$A$16:$E$16,4,FALSE),0),"")</f>
        <v/>
      </c>
      <c r="AD413" t="str">
        <f>IFERROR(ROUND(O413*VLOOKUP(N413,[1]note_pop_types!$A$16:$E$16,4,FALSE),0),"")</f>
        <v/>
      </c>
      <c r="AE413" t="str">
        <f>IFERROR(ROUND(Q413*VLOOKUP(P413,商品!$A$4:$B$60,2,FALSE),0),"")</f>
        <v/>
      </c>
      <c r="AF413" t="str">
        <f>IFERROR(ROUND(S413*VLOOKUP(R413,商品!$A$4:$B$60,2,FALSE),0),"")</f>
        <v/>
      </c>
    </row>
    <row r="414" spans="1:32" ht="19.05" customHeight="1" x14ac:dyDescent="0.25">
      <c r="A414" s="15" t="s">
        <v>264</v>
      </c>
      <c r="C414" s="15">
        <v>2</v>
      </c>
      <c r="T414" s="2">
        <f t="shared" si="24"/>
        <v>0</v>
      </c>
      <c r="U414" s="2">
        <f t="shared" si="25"/>
        <v>0</v>
      </c>
      <c r="V414" s="2">
        <f t="shared" si="26"/>
        <v>0</v>
      </c>
      <c r="W414" s="2">
        <f t="shared" si="27"/>
        <v>0</v>
      </c>
      <c r="Y414" t="str">
        <f>IFERROR(ROUND(E414*VLOOKUP(D414,商品!$A$4:$B$60,2,FALSE),0),"")</f>
        <v/>
      </c>
      <c r="Z414" t="str">
        <f>IFERROR(ROUND(G414*VLOOKUP(F414,商品!$A$4:$B$60,2,FALSE),0),"")</f>
        <v/>
      </c>
      <c r="AA414" t="str">
        <f>IFERROR(ROUND(I414*VLOOKUP(H414,商品!$A$4:$B$60,2,FALSE),0),"")</f>
        <v/>
      </c>
      <c r="AB414" t="str">
        <f>IFERROR(ROUND(K414*VLOOKUP(J414,[1]note_pop_types!$A$16:$E$16,4,FALSE),0),"")</f>
        <v/>
      </c>
      <c r="AC414" t="str">
        <f>IFERROR(ROUND(M414*VLOOKUP(L414,[1]note_pop_types!$A$16:$E$16,4,FALSE),0),"")</f>
        <v/>
      </c>
      <c r="AD414" t="str">
        <f>IFERROR(ROUND(O414*VLOOKUP(N414,[1]note_pop_types!$A$16:$E$16,4,FALSE),0),"")</f>
        <v/>
      </c>
      <c r="AE414" t="str">
        <f>IFERROR(ROUND(Q414*VLOOKUP(P414,商品!$A$4:$B$60,2,FALSE),0),"")</f>
        <v/>
      </c>
      <c r="AF414" t="str">
        <f>IFERROR(ROUND(S414*VLOOKUP(R414,商品!$A$4:$B$60,2,FALSE),0),"")</f>
        <v/>
      </c>
    </row>
    <row r="415" spans="1:32" ht="19.05" customHeight="1" x14ac:dyDescent="0.25">
      <c r="A415" s="15" t="s">
        <v>264</v>
      </c>
      <c r="C415" s="15">
        <v>3</v>
      </c>
      <c r="T415" s="2">
        <f t="shared" si="24"/>
        <v>0</v>
      </c>
      <c r="U415" s="2">
        <f t="shared" si="25"/>
        <v>0</v>
      </c>
      <c r="V415" s="2">
        <f t="shared" si="26"/>
        <v>0</v>
      </c>
      <c r="W415" s="2">
        <f t="shared" si="27"/>
        <v>0</v>
      </c>
      <c r="Y415" t="str">
        <f>IFERROR(ROUND(E415*VLOOKUP(D415,商品!$A$4:$B$60,2,FALSE),0),"")</f>
        <v/>
      </c>
      <c r="Z415" t="str">
        <f>IFERROR(ROUND(G415*VLOOKUP(F415,商品!$A$4:$B$60,2,FALSE),0),"")</f>
        <v/>
      </c>
      <c r="AA415" t="str">
        <f>IFERROR(ROUND(I415*VLOOKUP(H415,商品!$A$4:$B$60,2,FALSE),0),"")</f>
        <v/>
      </c>
      <c r="AB415" t="str">
        <f>IFERROR(ROUND(K415*VLOOKUP(J415,[1]note_pop_types!$A$16:$E$16,4,FALSE),0),"")</f>
        <v/>
      </c>
      <c r="AC415" t="str">
        <f>IFERROR(ROUND(M415*VLOOKUP(L415,[1]note_pop_types!$A$16:$E$16,4,FALSE),0),"")</f>
        <v/>
      </c>
      <c r="AD415" t="str">
        <f>IFERROR(ROUND(O415*VLOOKUP(N415,[1]note_pop_types!$A$16:$E$16,4,FALSE),0),"")</f>
        <v/>
      </c>
      <c r="AE415" t="str">
        <f>IFERROR(ROUND(Q415*VLOOKUP(P415,商品!$A$4:$B$60,2,FALSE),0),"")</f>
        <v/>
      </c>
      <c r="AF415" t="str">
        <f>IFERROR(ROUND(S415*VLOOKUP(R415,商品!$A$4:$B$60,2,FALSE),0),"")</f>
        <v/>
      </c>
    </row>
    <row r="416" spans="1:32" ht="19.05" customHeight="1" x14ac:dyDescent="0.25">
      <c r="A416" s="15" t="s">
        <v>264</v>
      </c>
      <c r="C416" s="15">
        <v>4</v>
      </c>
      <c r="T416" s="2">
        <f t="shared" si="24"/>
        <v>0</v>
      </c>
      <c r="U416" s="2">
        <f t="shared" si="25"/>
        <v>0</v>
      </c>
      <c r="V416" s="2">
        <f t="shared" si="26"/>
        <v>0</v>
      </c>
      <c r="W416" s="2">
        <f t="shared" si="27"/>
        <v>0</v>
      </c>
      <c r="Y416" t="str">
        <f>IFERROR(ROUND(E416*VLOOKUP(D416,商品!$A$4:$B$60,2,FALSE),0),"")</f>
        <v/>
      </c>
      <c r="Z416" t="str">
        <f>IFERROR(ROUND(G416*VLOOKUP(F416,商品!$A$4:$B$60,2,FALSE),0),"")</f>
        <v/>
      </c>
      <c r="AA416" t="str">
        <f>IFERROR(ROUND(I416*VLOOKUP(H416,商品!$A$4:$B$60,2,FALSE),0),"")</f>
        <v/>
      </c>
      <c r="AB416" t="str">
        <f>IFERROR(ROUND(K416*VLOOKUP(J416,[1]note_pop_types!$A$16:$E$16,4,FALSE),0),"")</f>
        <v/>
      </c>
      <c r="AC416" t="str">
        <f>IFERROR(ROUND(M416*VLOOKUP(L416,[1]note_pop_types!$A$16:$E$16,4,FALSE),0),"")</f>
        <v/>
      </c>
      <c r="AD416" t="str">
        <f>IFERROR(ROUND(O416*VLOOKUP(N416,[1]note_pop_types!$A$16:$E$16,4,FALSE),0),"")</f>
        <v/>
      </c>
      <c r="AE416" t="str">
        <f>IFERROR(ROUND(Q416*VLOOKUP(P416,商品!$A$4:$B$60,2,FALSE),0),"")</f>
        <v/>
      </c>
      <c r="AF416" t="str">
        <f>IFERROR(ROUND(S416*VLOOKUP(R416,商品!$A$4:$B$60,2,FALSE),0),"")</f>
        <v/>
      </c>
    </row>
    <row r="417" spans="1:32" ht="19.05" customHeight="1" x14ac:dyDescent="0.25">
      <c r="A417" s="15" t="s">
        <v>264</v>
      </c>
      <c r="C417" s="15">
        <v>5</v>
      </c>
      <c r="T417" s="2">
        <f t="shared" si="24"/>
        <v>0</v>
      </c>
      <c r="U417" s="2">
        <f t="shared" si="25"/>
        <v>0</v>
      </c>
      <c r="V417" s="2">
        <f t="shared" si="26"/>
        <v>0</v>
      </c>
      <c r="W417" s="2">
        <f t="shared" si="27"/>
        <v>0</v>
      </c>
      <c r="Y417" t="str">
        <f>IFERROR(ROUND(E417*VLOOKUP(D417,商品!$A$4:$B$60,2,FALSE),0),"")</f>
        <v/>
      </c>
      <c r="Z417" t="str">
        <f>IFERROR(ROUND(G417*VLOOKUP(F417,商品!$A$4:$B$60,2,FALSE),0),"")</f>
        <v/>
      </c>
      <c r="AA417" t="str">
        <f>IFERROR(ROUND(I417*VLOOKUP(H417,商品!$A$4:$B$60,2,FALSE),0),"")</f>
        <v/>
      </c>
      <c r="AB417" t="str">
        <f>IFERROR(ROUND(K417*VLOOKUP(J417,[1]note_pop_types!$A$16:$E$16,4,FALSE),0),"")</f>
        <v/>
      </c>
      <c r="AC417" t="str">
        <f>IFERROR(ROUND(M417*VLOOKUP(L417,[1]note_pop_types!$A$16:$E$16,4,FALSE),0),"")</f>
        <v/>
      </c>
      <c r="AD417" t="str">
        <f>IFERROR(ROUND(O417*VLOOKUP(N417,[1]note_pop_types!$A$16:$E$16,4,FALSE),0),"")</f>
        <v/>
      </c>
      <c r="AE417" t="str">
        <f>IFERROR(ROUND(Q417*VLOOKUP(P417,商品!$A$4:$B$60,2,FALSE),0),"")</f>
        <v/>
      </c>
      <c r="AF417" t="str">
        <f>IFERROR(ROUND(S417*VLOOKUP(R417,商品!$A$4:$B$60,2,FALSE),0),"")</f>
        <v/>
      </c>
    </row>
    <row r="418" spans="1:32" ht="19.05" customHeight="1" x14ac:dyDescent="0.25">
      <c r="A418" s="16" t="s">
        <v>521</v>
      </c>
      <c r="C418" s="16">
        <v>1</v>
      </c>
      <c r="T418" s="2">
        <f t="shared" si="24"/>
        <v>0</v>
      </c>
      <c r="U418" s="2">
        <f t="shared" si="25"/>
        <v>0</v>
      </c>
      <c r="V418" s="2">
        <f t="shared" si="26"/>
        <v>0</v>
      </c>
      <c r="W418" s="2">
        <f t="shared" si="27"/>
        <v>0</v>
      </c>
      <c r="Y418" t="str">
        <f>IFERROR(ROUND(E418*VLOOKUP(D418,商品!$A$4:$B$60,2,FALSE),0),"")</f>
        <v/>
      </c>
      <c r="Z418" t="str">
        <f>IFERROR(ROUND(G418*VLOOKUP(F418,商品!$A$4:$B$60,2,FALSE),0),"")</f>
        <v/>
      </c>
      <c r="AA418" t="str">
        <f>IFERROR(ROUND(I418*VLOOKUP(H418,商品!$A$4:$B$60,2,FALSE),0),"")</f>
        <v/>
      </c>
      <c r="AB418" t="str">
        <f>IFERROR(ROUND(K418*VLOOKUP(J418,[1]note_pop_types!$A$16:$E$16,4,FALSE),0),"")</f>
        <v/>
      </c>
      <c r="AC418" t="str">
        <f>IFERROR(ROUND(M418*VLOOKUP(L418,[1]note_pop_types!$A$16:$E$16,4,FALSE),0),"")</f>
        <v/>
      </c>
      <c r="AD418" t="str">
        <f>IFERROR(ROUND(O418*VLOOKUP(N418,[1]note_pop_types!$A$16:$E$16,4,FALSE),0),"")</f>
        <v/>
      </c>
      <c r="AE418" t="str">
        <f>IFERROR(ROUND(Q418*VLOOKUP(P418,商品!$A$4:$B$60,2,FALSE),0),"")</f>
        <v/>
      </c>
      <c r="AF418" t="str">
        <f>IFERROR(ROUND(S418*VLOOKUP(R418,商品!$A$4:$B$60,2,FALSE),0),"")</f>
        <v/>
      </c>
    </row>
    <row r="419" spans="1:32" ht="19.05" customHeight="1" x14ac:dyDescent="0.25">
      <c r="A419" s="16" t="s">
        <v>521</v>
      </c>
      <c r="C419" s="16">
        <v>2</v>
      </c>
      <c r="T419" s="2">
        <f t="shared" si="24"/>
        <v>0</v>
      </c>
      <c r="U419" s="2">
        <f t="shared" si="25"/>
        <v>0</v>
      </c>
      <c r="V419" s="2">
        <f t="shared" si="26"/>
        <v>0</v>
      </c>
      <c r="W419" s="2">
        <f t="shared" si="27"/>
        <v>0</v>
      </c>
      <c r="Y419" t="str">
        <f>IFERROR(ROUND(E419*VLOOKUP(D419,商品!$A$4:$B$60,2,FALSE),0),"")</f>
        <v/>
      </c>
      <c r="Z419" t="str">
        <f>IFERROR(ROUND(G419*VLOOKUP(F419,商品!$A$4:$B$60,2,FALSE),0),"")</f>
        <v/>
      </c>
      <c r="AA419" t="str">
        <f>IFERROR(ROUND(I419*VLOOKUP(H419,商品!$A$4:$B$60,2,FALSE),0),"")</f>
        <v/>
      </c>
      <c r="AB419" t="str">
        <f>IFERROR(ROUND(K419*VLOOKUP(J419,[1]note_pop_types!$A$16:$E$16,4,FALSE),0),"")</f>
        <v/>
      </c>
      <c r="AC419" t="str">
        <f>IFERROR(ROUND(M419*VLOOKUP(L419,[1]note_pop_types!$A$16:$E$16,4,FALSE),0),"")</f>
        <v/>
      </c>
      <c r="AD419" t="str">
        <f>IFERROR(ROUND(O419*VLOOKUP(N419,[1]note_pop_types!$A$16:$E$16,4,FALSE),0),"")</f>
        <v/>
      </c>
      <c r="AE419" t="str">
        <f>IFERROR(ROUND(Q419*VLOOKUP(P419,商品!$A$4:$B$60,2,FALSE),0),"")</f>
        <v/>
      </c>
      <c r="AF419" t="str">
        <f>IFERROR(ROUND(S419*VLOOKUP(R419,商品!$A$4:$B$60,2,FALSE),0),"")</f>
        <v/>
      </c>
    </row>
    <row r="420" spans="1:32" ht="19.05" customHeight="1" x14ac:dyDescent="0.25">
      <c r="A420" s="16" t="s">
        <v>521</v>
      </c>
      <c r="C420" s="16">
        <v>3</v>
      </c>
      <c r="T420" s="2">
        <f t="shared" si="24"/>
        <v>0</v>
      </c>
      <c r="U420" s="2">
        <f t="shared" si="25"/>
        <v>0</v>
      </c>
      <c r="V420" s="2">
        <f t="shared" si="26"/>
        <v>0</v>
      </c>
      <c r="W420" s="2">
        <f t="shared" si="27"/>
        <v>0</v>
      </c>
      <c r="Y420" t="str">
        <f>IFERROR(ROUND(E420*VLOOKUP(D420,商品!$A$4:$B$60,2,FALSE),0),"")</f>
        <v/>
      </c>
      <c r="Z420" t="str">
        <f>IFERROR(ROUND(G420*VLOOKUP(F420,商品!$A$4:$B$60,2,FALSE),0),"")</f>
        <v/>
      </c>
      <c r="AA420" t="str">
        <f>IFERROR(ROUND(I420*VLOOKUP(H420,商品!$A$4:$B$60,2,FALSE),0),"")</f>
        <v/>
      </c>
      <c r="AB420" t="str">
        <f>IFERROR(ROUND(K420*VLOOKUP(J420,[1]note_pop_types!$A$16:$E$16,4,FALSE),0),"")</f>
        <v/>
      </c>
      <c r="AC420" t="str">
        <f>IFERROR(ROUND(M420*VLOOKUP(L420,[1]note_pop_types!$A$16:$E$16,4,FALSE),0),"")</f>
        <v/>
      </c>
      <c r="AD420" t="str">
        <f>IFERROR(ROUND(O420*VLOOKUP(N420,[1]note_pop_types!$A$16:$E$16,4,FALSE),0),"")</f>
        <v/>
      </c>
      <c r="AE420" t="str">
        <f>IFERROR(ROUND(Q420*VLOOKUP(P420,商品!$A$4:$B$60,2,FALSE),0),"")</f>
        <v/>
      </c>
      <c r="AF420" t="str">
        <f>IFERROR(ROUND(S420*VLOOKUP(R420,商品!$A$4:$B$60,2,FALSE),0),"")</f>
        <v/>
      </c>
    </row>
    <row r="421" spans="1:32" ht="19.05" customHeight="1" x14ac:dyDescent="0.25">
      <c r="A421" s="16" t="s">
        <v>521</v>
      </c>
      <c r="C421" s="16">
        <v>4</v>
      </c>
      <c r="T421" s="2">
        <f t="shared" si="24"/>
        <v>0</v>
      </c>
      <c r="U421" s="2">
        <f t="shared" si="25"/>
        <v>0</v>
      </c>
      <c r="V421" s="2">
        <f t="shared" si="26"/>
        <v>0</v>
      </c>
      <c r="W421" s="2">
        <f t="shared" si="27"/>
        <v>0</v>
      </c>
      <c r="Y421" t="str">
        <f>IFERROR(ROUND(E421*VLOOKUP(D421,商品!$A$4:$B$60,2,FALSE),0),"")</f>
        <v/>
      </c>
      <c r="Z421" t="str">
        <f>IFERROR(ROUND(G421*VLOOKUP(F421,商品!$A$4:$B$60,2,FALSE),0),"")</f>
        <v/>
      </c>
      <c r="AA421" t="str">
        <f>IFERROR(ROUND(I421*VLOOKUP(H421,商品!$A$4:$B$60,2,FALSE),0),"")</f>
        <v/>
      </c>
      <c r="AB421" t="str">
        <f>IFERROR(ROUND(K421*VLOOKUP(J421,[1]note_pop_types!$A$16:$E$16,4,FALSE),0),"")</f>
        <v/>
      </c>
      <c r="AC421" t="str">
        <f>IFERROR(ROUND(M421*VLOOKUP(L421,[1]note_pop_types!$A$16:$E$16,4,FALSE),0),"")</f>
        <v/>
      </c>
      <c r="AD421" t="str">
        <f>IFERROR(ROUND(O421*VLOOKUP(N421,[1]note_pop_types!$A$16:$E$16,4,FALSE),0),"")</f>
        <v/>
      </c>
      <c r="AE421" t="str">
        <f>IFERROR(ROUND(Q421*VLOOKUP(P421,商品!$A$4:$B$60,2,FALSE),0),"")</f>
        <v/>
      </c>
      <c r="AF421" t="str">
        <f>IFERROR(ROUND(S421*VLOOKUP(R421,商品!$A$4:$B$60,2,FALSE),0),"")</f>
        <v/>
      </c>
    </row>
    <row r="422" spans="1:32" ht="19.05" customHeight="1" x14ac:dyDescent="0.25">
      <c r="A422" s="16" t="s">
        <v>521</v>
      </c>
      <c r="C422" s="16">
        <v>5</v>
      </c>
      <c r="T422" s="2">
        <f t="shared" si="24"/>
        <v>0</v>
      </c>
      <c r="U422" s="2">
        <f t="shared" si="25"/>
        <v>0</v>
      </c>
      <c r="V422" s="2">
        <f t="shared" si="26"/>
        <v>0</v>
      </c>
      <c r="W422" s="2">
        <f t="shared" si="27"/>
        <v>0</v>
      </c>
      <c r="Y422" t="str">
        <f>IFERROR(ROUND(E422*VLOOKUP(D422,商品!$A$4:$B$60,2,FALSE),0),"")</f>
        <v/>
      </c>
      <c r="Z422" t="str">
        <f>IFERROR(ROUND(G422*VLOOKUP(F422,商品!$A$4:$B$60,2,FALSE),0),"")</f>
        <v/>
      </c>
      <c r="AA422" t="str">
        <f>IFERROR(ROUND(I422*VLOOKUP(H422,商品!$A$4:$B$60,2,FALSE),0),"")</f>
        <v/>
      </c>
      <c r="AB422" t="str">
        <f>IFERROR(ROUND(K422*VLOOKUP(J422,[1]note_pop_types!$A$16:$E$16,4,FALSE),0),"")</f>
        <v/>
      </c>
      <c r="AC422" t="str">
        <f>IFERROR(ROUND(M422*VLOOKUP(L422,[1]note_pop_types!$A$16:$E$16,4,FALSE),0),"")</f>
        <v/>
      </c>
      <c r="AD422" t="str">
        <f>IFERROR(ROUND(O422*VLOOKUP(N422,[1]note_pop_types!$A$16:$E$16,4,FALSE),0),"")</f>
        <v/>
      </c>
      <c r="AE422" t="str">
        <f>IFERROR(ROUND(Q422*VLOOKUP(P422,商品!$A$4:$B$60,2,FALSE),0),"")</f>
        <v/>
      </c>
      <c r="AF422" t="str">
        <f>IFERROR(ROUND(S422*VLOOKUP(R422,商品!$A$4:$B$60,2,FALSE),0),"")</f>
        <v/>
      </c>
    </row>
    <row r="423" spans="1:32" ht="19.05" customHeight="1" x14ac:dyDescent="0.25">
      <c r="A423" s="15" t="s">
        <v>521</v>
      </c>
      <c r="C423" s="15">
        <v>1</v>
      </c>
      <c r="T423" s="2">
        <f t="shared" si="24"/>
        <v>0</v>
      </c>
      <c r="U423" s="2">
        <f t="shared" si="25"/>
        <v>0</v>
      </c>
      <c r="V423" s="2">
        <f t="shared" si="26"/>
        <v>0</v>
      </c>
      <c r="W423" s="2">
        <f t="shared" si="27"/>
        <v>0</v>
      </c>
      <c r="Y423" t="str">
        <f>IFERROR(ROUND(E423*VLOOKUP(D423,商品!$A$4:$B$60,2,FALSE),0),"")</f>
        <v/>
      </c>
      <c r="Z423" t="str">
        <f>IFERROR(ROUND(G423*VLOOKUP(F423,商品!$A$4:$B$60,2,FALSE),0),"")</f>
        <v/>
      </c>
      <c r="AA423" t="str">
        <f>IFERROR(ROUND(I423*VLOOKUP(H423,商品!$A$4:$B$60,2,FALSE),0),"")</f>
        <v/>
      </c>
      <c r="AB423" t="str">
        <f>IFERROR(ROUND(K423*VLOOKUP(J423,[1]note_pop_types!$A$16:$E$16,4,FALSE),0),"")</f>
        <v/>
      </c>
      <c r="AC423" t="str">
        <f>IFERROR(ROUND(M423*VLOOKUP(L423,[1]note_pop_types!$A$16:$E$16,4,FALSE),0),"")</f>
        <v/>
      </c>
      <c r="AD423" t="str">
        <f>IFERROR(ROUND(O423*VLOOKUP(N423,[1]note_pop_types!$A$16:$E$16,4,FALSE),0),"")</f>
        <v/>
      </c>
      <c r="AE423" t="str">
        <f>IFERROR(ROUND(Q423*VLOOKUP(P423,商品!$A$4:$B$60,2,FALSE),0),"")</f>
        <v/>
      </c>
      <c r="AF423" t="str">
        <f>IFERROR(ROUND(S423*VLOOKUP(R423,商品!$A$4:$B$60,2,FALSE),0),"")</f>
        <v/>
      </c>
    </row>
    <row r="424" spans="1:32" ht="19.05" customHeight="1" x14ac:dyDescent="0.25">
      <c r="A424" s="15" t="s">
        <v>521</v>
      </c>
      <c r="C424" s="15">
        <v>2</v>
      </c>
      <c r="T424" s="2">
        <f t="shared" si="24"/>
        <v>0</v>
      </c>
      <c r="U424" s="2">
        <f t="shared" si="25"/>
        <v>0</v>
      </c>
      <c r="V424" s="2">
        <f t="shared" si="26"/>
        <v>0</v>
      </c>
      <c r="W424" s="2">
        <f t="shared" si="27"/>
        <v>0</v>
      </c>
      <c r="Y424" t="str">
        <f>IFERROR(ROUND(E424*VLOOKUP(D424,商品!$A$4:$B$60,2,FALSE),0),"")</f>
        <v/>
      </c>
      <c r="Z424" t="str">
        <f>IFERROR(ROUND(G424*VLOOKUP(F424,商品!$A$4:$B$60,2,FALSE),0),"")</f>
        <v/>
      </c>
      <c r="AA424" t="str">
        <f>IFERROR(ROUND(I424*VLOOKUP(H424,商品!$A$4:$B$60,2,FALSE),0),"")</f>
        <v/>
      </c>
      <c r="AB424" t="str">
        <f>IFERROR(ROUND(K424*VLOOKUP(J424,[1]note_pop_types!$A$16:$E$16,4,FALSE),0),"")</f>
        <v/>
      </c>
      <c r="AC424" t="str">
        <f>IFERROR(ROUND(M424*VLOOKUP(L424,[1]note_pop_types!$A$16:$E$16,4,FALSE),0),"")</f>
        <v/>
      </c>
      <c r="AD424" t="str">
        <f>IFERROR(ROUND(O424*VLOOKUP(N424,[1]note_pop_types!$A$16:$E$16,4,FALSE),0),"")</f>
        <v/>
      </c>
      <c r="AE424" t="str">
        <f>IFERROR(ROUND(Q424*VLOOKUP(P424,商品!$A$4:$B$60,2,FALSE),0),"")</f>
        <v/>
      </c>
      <c r="AF424" t="str">
        <f>IFERROR(ROUND(S424*VLOOKUP(R424,商品!$A$4:$B$60,2,FALSE),0),"")</f>
        <v/>
      </c>
    </row>
    <row r="425" spans="1:32" ht="19.05" customHeight="1" x14ac:dyDescent="0.25">
      <c r="A425" s="15" t="s">
        <v>521</v>
      </c>
      <c r="C425" s="15">
        <v>3</v>
      </c>
      <c r="T425" s="2">
        <f t="shared" si="24"/>
        <v>0</v>
      </c>
      <c r="U425" s="2">
        <f t="shared" si="25"/>
        <v>0</v>
      </c>
      <c r="V425" s="2">
        <f t="shared" si="26"/>
        <v>0</v>
      </c>
      <c r="W425" s="2">
        <f t="shared" si="27"/>
        <v>0</v>
      </c>
      <c r="Y425" t="str">
        <f>IFERROR(ROUND(E425*VLOOKUP(D425,商品!$A$4:$B$60,2,FALSE),0),"")</f>
        <v/>
      </c>
      <c r="Z425" t="str">
        <f>IFERROR(ROUND(G425*VLOOKUP(F425,商品!$A$4:$B$60,2,FALSE),0),"")</f>
        <v/>
      </c>
      <c r="AA425" t="str">
        <f>IFERROR(ROUND(I425*VLOOKUP(H425,商品!$A$4:$B$60,2,FALSE),0),"")</f>
        <v/>
      </c>
      <c r="AB425" t="str">
        <f>IFERROR(ROUND(K425*VLOOKUP(J425,[1]note_pop_types!$A$16:$E$16,4,FALSE),0),"")</f>
        <v/>
      </c>
      <c r="AC425" t="str">
        <f>IFERROR(ROUND(M425*VLOOKUP(L425,[1]note_pop_types!$A$16:$E$16,4,FALSE),0),"")</f>
        <v/>
      </c>
      <c r="AD425" t="str">
        <f>IFERROR(ROUND(O425*VLOOKUP(N425,[1]note_pop_types!$A$16:$E$16,4,FALSE),0),"")</f>
        <v/>
      </c>
      <c r="AE425" t="str">
        <f>IFERROR(ROUND(Q425*VLOOKUP(P425,商品!$A$4:$B$60,2,FALSE),0),"")</f>
        <v/>
      </c>
      <c r="AF425" t="str">
        <f>IFERROR(ROUND(S425*VLOOKUP(R425,商品!$A$4:$B$60,2,FALSE),0),"")</f>
        <v/>
      </c>
    </row>
    <row r="426" spans="1:32" ht="19.05" customHeight="1" x14ac:dyDescent="0.25">
      <c r="A426" s="15" t="s">
        <v>521</v>
      </c>
      <c r="C426" s="15">
        <v>4</v>
      </c>
      <c r="T426" s="2">
        <f t="shared" si="24"/>
        <v>0</v>
      </c>
      <c r="U426" s="2">
        <f t="shared" si="25"/>
        <v>0</v>
      </c>
      <c r="V426" s="2">
        <f t="shared" si="26"/>
        <v>0</v>
      </c>
      <c r="W426" s="2">
        <f t="shared" si="27"/>
        <v>0</v>
      </c>
      <c r="Y426" t="str">
        <f>IFERROR(ROUND(E426*VLOOKUP(D426,商品!$A$4:$B$60,2,FALSE),0),"")</f>
        <v/>
      </c>
      <c r="Z426" t="str">
        <f>IFERROR(ROUND(G426*VLOOKUP(F426,商品!$A$4:$B$60,2,FALSE),0),"")</f>
        <v/>
      </c>
      <c r="AA426" t="str">
        <f>IFERROR(ROUND(I426*VLOOKUP(H426,商品!$A$4:$B$60,2,FALSE),0),"")</f>
        <v/>
      </c>
      <c r="AB426" t="str">
        <f>IFERROR(ROUND(K426*VLOOKUP(J426,[1]note_pop_types!$A$16:$E$16,4,FALSE),0),"")</f>
        <v/>
      </c>
      <c r="AC426" t="str">
        <f>IFERROR(ROUND(M426*VLOOKUP(L426,[1]note_pop_types!$A$16:$E$16,4,FALSE),0),"")</f>
        <v/>
      </c>
      <c r="AD426" t="str">
        <f>IFERROR(ROUND(O426*VLOOKUP(N426,[1]note_pop_types!$A$16:$E$16,4,FALSE),0),"")</f>
        <v/>
      </c>
      <c r="AE426" t="str">
        <f>IFERROR(ROUND(Q426*VLOOKUP(P426,商品!$A$4:$B$60,2,FALSE),0),"")</f>
        <v/>
      </c>
      <c r="AF426" t="str">
        <f>IFERROR(ROUND(S426*VLOOKUP(R426,商品!$A$4:$B$60,2,FALSE),0),"")</f>
        <v/>
      </c>
    </row>
    <row r="427" spans="1:32" ht="19.05" customHeight="1" x14ac:dyDescent="0.25">
      <c r="A427" s="15" t="s">
        <v>521</v>
      </c>
      <c r="C427" s="15">
        <v>5</v>
      </c>
      <c r="T427" s="2">
        <f t="shared" si="24"/>
        <v>0</v>
      </c>
      <c r="U427" s="2">
        <f t="shared" si="25"/>
        <v>0</v>
      </c>
      <c r="V427" s="2">
        <f t="shared" si="26"/>
        <v>0</v>
      </c>
      <c r="W427" s="2">
        <f t="shared" si="27"/>
        <v>0</v>
      </c>
      <c r="Y427" t="str">
        <f>IFERROR(ROUND(E427*VLOOKUP(D427,商品!$A$4:$B$60,2,FALSE),0),"")</f>
        <v/>
      </c>
      <c r="Z427" t="str">
        <f>IFERROR(ROUND(G427*VLOOKUP(F427,商品!$A$4:$B$60,2,FALSE),0),"")</f>
        <v/>
      </c>
      <c r="AA427" t="str">
        <f>IFERROR(ROUND(I427*VLOOKUP(H427,商品!$A$4:$B$60,2,FALSE),0),"")</f>
        <v/>
      </c>
      <c r="AB427" t="str">
        <f>IFERROR(ROUND(K427*VLOOKUP(J427,[1]note_pop_types!$A$16:$E$16,4,FALSE),0),"")</f>
        <v/>
      </c>
      <c r="AC427" t="str">
        <f>IFERROR(ROUND(M427*VLOOKUP(L427,[1]note_pop_types!$A$16:$E$16,4,FALSE),0),"")</f>
        <v/>
      </c>
      <c r="AD427" t="str">
        <f>IFERROR(ROUND(O427*VLOOKUP(N427,[1]note_pop_types!$A$16:$E$16,4,FALSE),0),"")</f>
        <v/>
      </c>
      <c r="AE427" t="str">
        <f>IFERROR(ROUND(Q427*VLOOKUP(P427,商品!$A$4:$B$60,2,FALSE),0),"")</f>
        <v/>
      </c>
      <c r="AF427" t="str">
        <f>IFERROR(ROUND(S427*VLOOKUP(R427,商品!$A$4:$B$60,2,FALSE),0),"")</f>
        <v/>
      </c>
    </row>
    <row r="428" spans="1:32" ht="19.05" customHeight="1" x14ac:dyDescent="0.25">
      <c r="A428" s="16" t="s">
        <v>267</v>
      </c>
      <c r="C428" s="16">
        <v>1</v>
      </c>
      <c r="T428" s="2">
        <f t="shared" si="24"/>
        <v>0</v>
      </c>
      <c r="U428" s="2">
        <f t="shared" si="25"/>
        <v>0</v>
      </c>
      <c r="V428" s="2">
        <f t="shared" si="26"/>
        <v>0</v>
      </c>
      <c r="W428" s="2">
        <f t="shared" si="27"/>
        <v>0</v>
      </c>
      <c r="Y428" t="str">
        <f>IFERROR(ROUND(E428*VLOOKUP(D428,商品!$A$4:$B$60,2,FALSE),0),"")</f>
        <v/>
      </c>
      <c r="Z428" t="str">
        <f>IFERROR(ROUND(G428*VLOOKUP(F428,商品!$A$4:$B$60,2,FALSE),0),"")</f>
        <v/>
      </c>
      <c r="AA428" t="str">
        <f>IFERROR(ROUND(I428*VLOOKUP(H428,商品!$A$4:$B$60,2,FALSE),0),"")</f>
        <v/>
      </c>
      <c r="AB428" t="str">
        <f>IFERROR(ROUND(K428*VLOOKUP(J428,[1]note_pop_types!$A$16:$E$16,4,FALSE),0),"")</f>
        <v/>
      </c>
      <c r="AC428" t="str">
        <f>IFERROR(ROUND(M428*VLOOKUP(L428,[1]note_pop_types!$A$16:$E$16,4,FALSE),0),"")</f>
        <v/>
      </c>
      <c r="AD428" t="str">
        <f>IFERROR(ROUND(O428*VLOOKUP(N428,[1]note_pop_types!$A$16:$E$16,4,FALSE),0),"")</f>
        <v/>
      </c>
      <c r="AE428" t="str">
        <f>IFERROR(ROUND(Q428*VLOOKUP(P428,商品!$A$4:$B$60,2,FALSE),0),"")</f>
        <v/>
      </c>
      <c r="AF428" t="str">
        <f>IFERROR(ROUND(S428*VLOOKUP(R428,商品!$A$4:$B$60,2,FALSE),0),"")</f>
        <v/>
      </c>
    </row>
    <row r="429" spans="1:32" ht="19.05" customHeight="1" x14ac:dyDescent="0.25">
      <c r="A429" s="16" t="s">
        <v>267</v>
      </c>
      <c r="C429" s="16">
        <v>2</v>
      </c>
      <c r="T429" s="2">
        <f t="shared" si="24"/>
        <v>0</v>
      </c>
      <c r="U429" s="2">
        <f t="shared" si="25"/>
        <v>0</v>
      </c>
      <c r="V429" s="2">
        <f t="shared" si="26"/>
        <v>0</v>
      </c>
      <c r="W429" s="2">
        <f t="shared" si="27"/>
        <v>0</v>
      </c>
      <c r="Y429" t="str">
        <f>IFERROR(ROUND(E429*VLOOKUP(D429,商品!$A$4:$B$60,2,FALSE),0),"")</f>
        <v/>
      </c>
      <c r="Z429" t="str">
        <f>IFERROR(ROUND(G429*VLOOKUP(F429,商品!$A$4:$B$60,2,FALSE),0),"")</f>
        <v/>
      </c>
      <c r="AA429" t="str">
        <f>IFERROR(ROUND(I429*VLOOKUP(H429,商品!$A$4:$B$60,2,FALSE),0),"")</f>
        <v/>
      </c>
      <c r="AB429" t="str">
        <f>IFERROR(ROUND(K429*VLOOKUP(J429,[1]note_pop_types!$A$16:$E$16,4,FALSE),0),"")</f>
        <v/>
      </c>
      <c r="AC429" t="str">
        <f>IFERROR(ROUND(M429*VLOOKUP(L429,[1]note_pop_types!$A$16:$E$16,4,FALSE),0),"")</f>
        <v/>
      </c>
      <c r="AD429" t="str">
        <f>IFERROR(ROUND(O429*VLOOKUP(N429,[1]note_pop_types!$A$16:$E$16,4,FALSE),0),"")</f>
        <v/>
      </c>
      <c r="AE429" t="str">
        <f>IFERROR(ROUND(Q429*VLOOKUP(P429,商品!$A$4:$B$60,2,FALSE),0),"")</f>
        <v/>
      </c>
      <c r="AF429" t="str">
        <f>IFERROR(ROUND(S429*VLOOKUP(R429,商品!$A$4:$B$60,2,FALSE),0),"")</f>
        <v/>
      </c>
    </row>
    <row r="430" spans="1:32" ht="19.05" customHeight="1" x14ac:dyDescent="0.25">
      <c r="A430" s="16" t="s">
        <v>267</v>
      </c>
      <c r="C430" s="16">
        <v>3</v>
      </c>
      <c r="T430" s="2">
        <f t="shared" si="24"/>
        <v>0</v>
      </c>
      <c r="U430" s="2">
        <f t="shared" si="25"/>
        <v>0</v>
      </c>
      <c r="V430" s="2">
        <f t="shared" si="26"/>
        <v>0</v>
      </c>
      <c r="W430" s="2">
        <f t="shared" si="27"/>
        <v>0</v>
      </c>
      <c r="Y430" t="str">
        <f>IFERROR(ROUND(E430*VLOOKUP(D430,商品!$A$4:$B$60,2,FALSE),0),"")</f>
        <v/>
      </c>
      <c r="Z430" t="str">
        <f>IFERROR(ROUND(G430*VLOOKUP(F430,商品!$A$4:$B$60,2,FALSE),0),"")</f>
        <v/>
      </c>
      <c r="AA430" t="str">
        <f>IFERROR(ROUND(I430*VLOOKUP(H430,商品!$A$4:$B$60,2,FALSE),0),"")</f>
        <v/>
      </c>
      <c r="AB430" t="str">
        <f>IFERROR(ROUND(K430*VLOOKUP(J430,[1]note_pop_types!$A$16:$E$16,4,FALSE),0),"")</f>
        <v/>
      </c>
      <c r="AC430" t="str">
        <f>IFERROR(ROUND(M430*VLOOKUP(L430,[1]note_pop_types!$A$16:$E$16,4,FALSE),0),"")</f>
        <v/>
      </c>
      <c r="AD430" t="str">
        <f>IFERROR(ROUND(O430*VLOOKUP(N430,[1]note_pop_types!$A$16:$E$16,4,FALSE),0),"")</f>
        <v/>
      </c>
      <c r="AE430" t="str">
        <f>IFERROR(ROUND(Q430*VLOOKUP(P430,商品!$A$4:$B$60,2,FALSE),0),"")</f>
        <v/>
      </c>
      <c r="AF430" t="str">
        <f>IFERROR(ROUND(S430*VLOOKUP(R430,商品!$A$4:$B$60,2,FALSE),0),"")</f>
        <v/>
      </c>
    </row>
    <row r="431" spans="1:32" ht="19.05" customHeight="1" x14ac:dyDescent="0.25">
      <c r="A431" s="16" t="s">
        <v>267</v>
      </c>
      <c r="C431" s="16">
        <v>4</v>
      </c>
      <c r="T431" s="2">
        <f t="shared" si="24"/>
        <v>0</v>
      </c>
      <c r="U431" s="2">
        <f t="shared" si="25"/>
        <v>0</v>
      </c>
      <c r="V431" s="2">
        <f t="shared" si="26"/>
        <v>0</v>
      </c>
      <c r="W431" s="2">
        <f t="shared" si="27"/>
        <v>0</v>
      </c>
      <c r="Y431" t="str">
        <f>IFERROR(ROUND(E431*VLOOKUP(D431,商品!$A$4:$B$60,2,FALSE),0),"")</f>
        <v/>
      </c>
      <c r="Z431" t="str">
        <f>IFERROR(ROUND(G431*VLOOKUP(F431,商品!$A$4:$B$60,2,FALSE),0),"")</f>
        <v/>
      </c>
      <c r="AA431" t="str">
        <f>IFERROR(ROUND(I431*VLOOKUP(H431,商品!$A$4:$B$60,2,FALSE),0),"")</f>
        <v/>
      </c>
      <c r="AB431" t="str">
        <f>IFERROR(ROUND(K431*VLOOKUP(J431,[1]note_pop_types!$A$16:$E$16,4,FALSE),0),"")</f>
        <v/>
      </c>
      <c r="AC431" t="str">
        <f>IFERROR(ROUND(M431*VLOOKUP(L431,[1]note_pop_types!$A$16:$E$16,4,FALSE),0),"")</f>
        <v/>
      </c>
      <c r="AD431" t="str">
        <f>IFERROR(ROUND(O431*VLOOKUP(N431,[1]note_pop_types!$A$16:$E$16,4,FALSE),0),"")</f>
        <v/>
      </c>
      <c r="AE431" t="str">
        <f>IFERROR(ROUND(Q431*VLOOKUP(P431,商品!$A$4:$B$60,2,FALSE),0),"")</f>
        <v/>
      </c>
      <c r="AF431" t="str">
        <f>IFERROR(ROUND(S431*VLOOKUP(R431,商品!$A$4:$B$60,2,FALSE),0),"")</f>
        <v/>
      </c>
    </row>
    <row r="432" spans="1:32" ht="19.05" customHeight="1" x14ac:dyDescent="0.25">
      <c r="A432" s="16" t="s">
        <v>267</v>
      </c>
      <c r="C432" s="16">
        <v>5</v>
      </c>
      <c r="T432" s="2">
        <f t="shared" si="24"/>
        <v>0</v>
      </c>
      <c r="U432" s="2">
        <f t="shared" si="25"/>
        <v>0</v>
      </c>
      <c r="V432" s="2">
        <f t="shared" si="26"/>
        <v>0</v>
      </c>
      <c r="W432" s="2">
        <f t="shared" si="27"/>
        <v>0</v>
      </c>
      <c r="Y432" t="str">
        <f>IFERROR(ROUND(E432*VLOOKUP(D432,商品!$A$4:$B$60,2,FALSE),0),"")</f>
        <v/>
      </c>
      <c r="Z432" t="str">
        <f>IFERROR(ROUND(G432*VLOOKUP(F432,商品!$A$4:$B$60,2,FALSE),0),"")</f>
        <v/>
      </c>
      <c r="AA432" t="str">
        <f>IFERROR(ROUND(I432*VLOOKUP(H432,商品!$A$4:$B$60,2,FALSE),0),"")</f>
        <v/>
      </c>
      <c r="AB432" t="str">
        <f>IFERROR(ROUND(K432*VLOOKUP(J432,[1]note_pop_types!$A$16:$E$16,4,FALSE),0),"")</f>
        <v/>
      </c>
      <c r="AC432" t="str">
        <f>IFERROR(ROUND(M432*VLOOKUP(L432,[1]note_pop_types!$A$16:$E$16,4,FALSE),0),"")</f>
        <v/>
      </c>
      <c r="AD432" t="str">
        <f>IFERROR(ROUND(O432*VLOOKUP(N432,[1]note_pop_types!$A$16:$E$16,4,FALSE),0),"")</f>
        <v/>
      </c>
      <c r="AE432" t="str">
        <f>IFERROR(ROUND(Q432*VLOOKUP(P432,商品!$A$4:$B$60,2,FALSE),0),"")</f>
        <v/>
      </c>
      <c r="AF432" t="str">
        <f>IFERROR(ROUND(S432*VLOOKUP(R432,商品!$A$4:$B$60,2,FALSE),0),"")</f>
        <v/>
      </c>
    </row>
    <row r="433" spans="1:32" ht="19.05" customHeight="1" x14ac:dyDescent="0.25">
      <c r="A433" s="16" t="s">
        <v>267</v>
      </c>
      <c r="C433" s="16">
        <v>6</v>
      </c>
      <c r="T433" s="2">
        <f t="shared" si="24"/>
        <v>0</v>
      </c>
      <c r="U433" s="2">
        <f t="shared" si="25"/>
        <v>0</v>
      </c>
      <c r="V433" s="2">
        <f t="shared" si="26"/>
        <v>0</v>
      </c>
      <c r="W433" s="2">
        <f t="shared" si="27"/>
        <v>0</v>
      </c>
      <c r="Y433" t="str">
        <f>IFERROR(ROUND(E433*VLOOKUP(D433,商品!$A$4:$B$60,2,FALSE),0),"")</f>
        <v/>
      </c>
      <c r="Z433" t="str">
        <f>IFERROR(ROUND(G433*VLOOKUP(F433,商品!$A$4:$B$60,2,FALSE),0),"")</f>
        <v/>
      </c>
      <c r="AA433" t="str">
        <f>IFERROR(ROUND(I433*VLOOKUP(H433,商品!$A$4:$B$60,2,FALSE),0),"")</f>
        <v/>
      </c>
      <c r="AB433" t="str">
        <f>IFERROR(ROUND(K433*VLOOKUP(J433,[1]note_pop_types!$A$16:$E$16,4,FALSE),0),"")</f>
        <v/>
      </c>
      <c r="AC433" t="str">
        <f>IFERROR(ROUND(M433*VLOOKUP(L433,[1]note_pop_types!$A$16:$E$16,4,FALSE),0),"")</f>
        <v/>
      </c>
      <c r="AD433" t="str">
        <f>IFERROR(ROUND(O433*VLOOKUP(N433,[1]note_pop_types!$A$16:$E$16,4,FALSE),0),"")</f>
        <v/>
      </c>
      <c r="AE433" t="str">
        <f>IFERROR(ROUND(Q433*VLOOKUP(P433,商品!$A$4:$B$60,2,FALSE),0),"")</f>
        <v/>
      </c>
      <c r="AF433" t="str">
        <f>IFERROR(ROUND(S433*VLOOKUP(R433,商品!$A$4:$B$60,2,FALSE),0),"")</f>
        <v/>
      </c>
    </row>
    <row r="434" spans="1:32" ht="19.05" customHeight="1" x14ac:dyDescent="0.25">
      <c r="A434" s="16" t="s">
        <v>267</v>
      </c>
      <c r="C434" s="16">
        <v>7</v>
      </c>
      <c r="T434" s="2">
        <f t="shared" si="24"/>
        <v>0</v>
      </c>
      <c r="U434" s="2">
        <f t="shared" si="25"/>
        <v>0</v>
      </c>
      <c r="V434" s="2">
        <f t="shared" si="26"/>
        <v>0</v>
      </c>
      <c r="W434" s="2">
        <f t="shared" si="27"/>
        <v>0</v>
      </c>
      <c r="Y434" t="str">
        <f>IFERROR(ROUND(E434*VLOOKUP(D434,商品!$A$4:$B$60,2,FALSE),0),"")</f>
        <v/>
      </c>
      <c r="Z434" t="str">
        <f>IFERROR(ROUND(G434*VLOOKUP(F434,商品!$A$4:$B$60,2,FALSE),0),"")</f>
        <v/>
      </c>
      <c r="AA434" t="str">
        <f>IFERROR(ROUND(I434*VLOOKUP(H434,商品!$A$4:$B$60,2,FALSE),0),"")</f>
        <v/>
      </c>
      <c r="AB434" t="str">
        <f>IFERROR(ROUND(K434*VLOOKUP(J434,[1]note_pop_types!$A$16:$E$16,4,FALSE),0),"")</f>
        <v/>
      </c>
      <c r="AC434" t="str">
        <f>IFERROR(ROUND(M434*VLOOKUP(L434,[1]note_pop_types!$A$16:$E$16,4,FALSE),0),"")</f>
        <v/>
      </c>
      <c r="AD434" t="str">
        <f>IFERROR(ROUND(O434*VLOOKUP(N434,[1]note_pop_types!$A$16:$E$16,4,FALSE),0),"")</f>
        <v/>
      </c>
      <c r="AE434" t="str">
        <f>IFERROR(ROUND(Q434*VLOOKUP(P434,商品!$A$4:$B$60,2,FALSE),0),"")</f>
        <v/>
      </c>
      <c r="AF434" t="str">
        <f>IFERROR(ROUND(S434*VLOOKUP(R434,商品!$A$4:$B$60,2,FALSE),0),"")</f>
        <v/>
      </c>
    </row>
    <row r="435" spans="1:32" ht="19.05" customHeight="1" x14ac:dyDescent="0.25">
      <c r="A435" s="16" t="s">
        <v>267</v>
      </c>
      <c r="C435" s="16">
        <v>8</v>
      </c>
      <c r="T435" s="2">
        <f t="shared" si="24"/>
        <v>0</v>
      </c>
      <c r="U435" s="2">
        <f t="shared" si="25"/>
        <v>0</v>
      </c>
      <c r="V435" s="2">
        <f t="shared" si="26"/>
        <v>0</v>
      </c>
      <c r="W435" s="2">
        <f t="shared" si="27"/>
        <v>0</v>
      </c>
      <c r="Y435" t="str">
        <f>IFERROR(ROUND(E435*VLOOKUP(D435,商品!$A$4:$B$60,2,FALSE),0),"")</f>
        <v/>
      </c>
      <c r="Z435" t="str">
        <f>IFERROR(ROUND(G435*VLOOKUP(F435,商品!$A$4:$B$60,2,FALSE),0),"")</f>
        <v/>
      </c>
      <c r="AA435" t="str">
        <f>IFERROR(ROUND(I435*VLOOKUP(H435,商品!$A$4:$B$60,2,FALSE),0),"")</f>
        <v/>
      </c>
      <c r="AB435" t="str">
        <f>IFERROR(ROUND(K435*VLOOKUP(J435,[1]note_pop_types!$A$16:$E$16,4,FALSE),0),"")</f>
        <v/>
      </c>
      <c r="AC435" t="str">
        <f>IFERROR(ROUND(M435*VLOOKUP(L435,[1]note_pop_types!$A$16:$E$16,4,FALSE),0),"")</f>
        <v/>
      </c>
      <c r="AD435" t="str">
        <f>IFERROR(ROUND(O435*VLOOKUP(N435,[1]note_pop_types!$A$16:$E$16,4,FALSE),0),"")</f>
        <v/>
      </c>
      <c r="AE435" t="str">
        <f>IFERROR(ROUND(Q435*VLOOKUP(P435,商品!$A$4:$B$60,2,FALSE),0),"")</f>
        <v/>
      </c>
      <c r="AF435" t="str">
        <f>IFERROR(ROUND(S435*VLOOKUP(R435,商品!$A$4:$B$60,2,FALSE),0),"")</f>
        <v/>
      </c>
    </row>
    <row r="436" spans="1:32" ht="19.05" customHeight="1" x14ac:dyDescent="0.25">
      <c r="A436" s="15" t="s">
        <v>269</v>
      </c>
      <c r="C436" s="15">
        <v>1</v>
      </c>
      <c r="T436" s="2">
        <f t="shared" si="24"/>
        <v>0</v>
      </c>
      <c r="U436" s="2">
        <f t="shared" si="25"/>
        <v>0</v>
      </c>
      <c r="V436" s="2">
        <f t="shared" si="26"/>
        <v>0</v>
      </c>
      <c r="W436" s="2">
        <f t="shared" si="27"/>
        <v>0</v>
      </c>
      <c r="Y436" t="str">
        <f>IFERROR(ROUND(E436*VLOOKUP(D436,商品!$A$4:$B$60,2,FALSE),0),"")</f>
        <v/>
      </c>
      <c r="Z436" t="str">
        <f>IFERROR(ROUND(G436*VLOOKUP(F436,商品!$A$4:$B$60,2,FALSE),0),"")</f>
        <v/>
      </c>
      <c r="AA436" t="str">
        <f>IFERROR(ROUND(I436*VLOOKUP(H436,商品!$A$4:$B$60,2,FALSE),0),"")</f>
        <v/>
      </c>
      <c r="AB436" t="str">
        <f>IFERROR(ROUND(K436*VLOOKUP(J436,[1]note_pop_types!$A$16:$E$16,4,FALSE),0),"")</f>
        <v/>
      </c>
      <c r="AC436" t="str">
        <f>IFERROR(ROUND(M436*VLOOKUP(L436,[1]note_pop_types!$A$16:$E$16,4,FALSE),0),"")</f>
        <v/>
      </c>
      <c r="AD436" t="str">
        <f>IFERROR(ROUND(O436*VLOOKUP(N436,[1]note_pop_types!$A$16:$E$16,4,FALSE),0),"")</f>
        <v/>
      </c>
      <c r="AE436" t="str">
        <f>IFERROR(ROUND(Q436*VLOOKUP(P436,商品!$A$4:$B$60,2,FALSE),0),"")</f>
        <v/>
      </c>
      <c r="AF436" t="str">
        <f>IFERROR(ROUND(S436*VLOOKUP(R436,商品!$A$4:$B$60,2,FALSE),0),"")</f>
        <v/>
      </c>
    </row>
    <row r="437" spans="1:32" ht="19.05" customHeight="1" x14ac:dyDescent="0.25">
      <c r="A437" s="15" t="s">
        <v>269</v>
      </c>
      <c r="C437" s="15">
        <v>2</v>
      </c>
      <c r="T437" s="2">
        <f t="shared" si="24"/>
        <v>0</v>
      </c>
      <c r="U437" s="2">
        <f t="shared" si="25"/>
        <v>0</v>
      </c>
      <c r="V437" s="2">
        <f t="shared" si="26"/>
        <v>0</v>
      </c>
      <c r="W437" s="2">
        <f t="shared" si="27"/>
        <v>0</v>
      </c>
      <c r="Y437" t="str">
        <f>IFERROR(ROUND(E437*VLOOKUP(D437,商品!$A$4:$B$60,2,FALSE),0),"")</f>
        <v/>
      </c>
      <c r="Z437" t="str">
        <f>IFERROR(ROUND(G437*VLOOKUP(F437,商品!$A$4:$B$60,2,FALSE),0),"")</f>
        <v/>
      </c>
      <c r="AA437" t="str">
        <f>IFERROR(ROUND(I437*VLOOKUP(H437,商品!$A$4:$B$60,2,FALSE),0),"")</f>
        <v/>
      </c>
      <c r="AB437" t="str">
        <f>IFERROR(ROUND(K437*VLOOKUP(J437,[1]note_pop_types!$A$16:$E$16,4,FALSE),0),"")</f>
        <v/>
      </c>
      <c r="AC437" t="str">
        <f>IFERROR(ROUND(M437*VLOOKUP(L437,[1]note_pop_types!$A$16:$E$16,4,FALSE),0),"")</f>
        <v/>
      </c>
      <c r="AD437" t="str">
        <f>IFERROR(ROUND(O437*VLOOKUP(N437,[1]note_pop_types!$A$16:$E$16,4,FALSE),0),"")</f>
        <v/>
      </c>
      <c r="AE437" t="str">
        <f>IFERROR(ROUND(Q437*VLOOKUP(P437,商品!$A$4:$B$60,2,FALSE),0),"")</f>
        <v/>
      </c>
      <c r="AF437" t="str">
        <f>IFERROR(ROUND(S437*VLOOKUP(R437,商品!$A$4:$B$60,2,FALSE),0),"")</f>
        <v/>
      </c>
    </row>
    <row r="438" spans="1:32" ht="19.05" customHeight="1" x14ac:dyDescent="0.25">
      <c r="A438" s="15" t="s">
        <v>269</v>
      </c>
      <c r="C438" s="15">
        <v>3</v>
      </c>
      <c r="T438" s="2">
        <f t="shared" si="24"/>
        <v>0</v>
      </c>
      <c r="U438" s="2">
        <f t="shared" si="25"/>
        <v>0</v>
      </c>
      <c r="V438" s="2">
        <f t="shared" si="26"/>
        <v>0</v>
      </c>
      <c r="W438" s="2">
        <f t="shared" si="27"/>
        <v>0</v>
      </c>
      <c r="Y438" t="str">
        <f>IFERROR(ROUND(E438*VLOOKUP(D438,商品!$A$4:$B$60,2,FALSE),0),"")</f>
        <v/>
      </c>
      <c r="Z438" t="str">
        <f>IFERROR(ROUND(G438*VLOOKUP(F438,商品!$A$4:$B$60,2,FALSE),0),"")</f>
        <v/>
      </c>
      <c r="AA438" t="str">
        <f>IFERROR(ROUND(I438*VLOOKUP(H438,商品!$A$4:$B$60,2,FALSE),0),"")</f>
        <v/>
      </c>
      <c r="AB438" t="str">
        <f>IFERROR(ROUND(K438*VLOOKUP(J438,[1]note_pop_types!$A$16:$E$16,4,FALSE),0),"")</f>
        <v/>
      </c>
      <c r="AC438" t="str">
        <f>IFERROR(ROUND(M438*VLOOKUP(L438,[1]note_pop_types!$A$16:$E$16,4,FALSE),0),"")</f>
        <v/>
      </c>
      <c r="AD438" t="str">
        <f>IFERROR(ROUND(O438*VLOOKUP(N438,[1]note_pop_types!$A$16:$E$16,4,FALSE),0),"")</f>
        <v/>
      </c>
      <c r="AE438" t="str">
        <f>IFERROR(ROUND(Q438*VLOOKUP(P438,商品!$A$4:$B$60,2,FALSE),0),"")</f>
        <v/>
      </c>
      <c r="AF438" t="str">
        <f>IFERROR(ROUND(S438*VLOOKUP(R438,商品!$A$4:$B$60,2,FALSE),0),"")</f>
        <v/>
      </c>
    </row>
    <row r="439" spans="1:32" ht="19.05" customHeight="1" x14ac:dyDescent="0.25">
      <c r="A439" s="15" t="s">
        <v>269</v>
      </c>
      <c r="C439" s="15">
        <v>4</v>
      </c>
      <c r="T439" s="2">
        <f t="shared" si="24"/>
        <v>0</v>
      </c>
      <c r="U439" s="2">
        <f t="shared" si="25"/>
        <v>0</v>
      </c>
      <c r="V439" s="2">
        <f t="shared" si="26"/>
        <v>0</v>
      </c>
      <c r="W439" s="2">
        <f t="shared" si="27"/>
        <v>0</v>
      </c>
      <c r="Y439" t="str">
        <f>IFERROR(ROUND(E439*VLOOKUP(D439,商品!$A$4:$B$60,2,FALSE),0),"")</f>
        <v/>
      </c>
      <c r="Z439" t="str">
        <f>IFERROR(ROUND(G439*VLOOKUP(F439,商品!$A$4:$B$60,2,FALSE),0),"")</f>
        <v/>
      </c>
      <c r="AA439" t="str">
        <f>IFERROR(ROUND(I439*VLOOKUP(H439,商品!$A$4:$B$60,2,FALSE),0),"")</f>
        <v/>
      </c>
      <c r="AB439" t="str">
        <f>IFERROR(ROUND(K439*VLOOKUP(J439,[1]note_pop_types!$A$16:$E$16,4,FALSE),0),"")</f>
        <v/>
      </c>
      <c r="AC439" t="str">
        <f>IFERROR(ROUND(M439*VLOOKUP(L439,[1]note_pop_types!$A$16:$E$16,4,FALSE),0),"")</f>
        <v/>
      </c>
      <c r="AD439" t="str">
        <f>IFERROR(ROUND(O439*VLOOKUP(N439,[1]note_pop_types!$A$16:$E$16,4,FALSE),0),"")</f>
        <v/>
      </c>
      <c r="AE439" t="str">
        <f>IFERROR(ROUND(Q439*VLOOKUP(P439,商品!$A$4:$B$60,2,FALSE),0),"")</f>
        <v/>
      </c>
      <c r="AF439" t="str">
        <f>IFERROR(ROUND(S439*VLOOKUP(R439,商品!$A$4:$B$60,2,FALSE),0),"")</f>
        <v/>
      </c>
    </row>
    <row r="440" spans="1:32" ht="19.05" customHeight="1" x14ac:dyDescent="0.25">
      <c r="A440" s="15" t="s">
        <v>269</v>
      </c>
      <c r="C440" s="15">
        <v>5</v>
      </c>
      <c r="T440" s="2">
        <f t="shared" si="24"/>
        <v>0</v>
      </c>
      <c r="U440" s="2">
        <f t="shared" si="25"/>
        <v>0</v>
      </c>
      <c r="V440" s="2">
        <f t="shared" si="26"/>
        <v>0</v>
      </c>
      <c r="W440" s="2">
        <f t="shared" si="27"/>
        <v>0</v>
      </c>
      <c r="Y440" t="str">
        <f>IFERROR(ROUND(E440*VLOOKUP(D440,商品!$A$4:$B$60,2,FALSE),0),"")</f>
        <v/>
      </c>
      <c r="Z440" t="str">
        <f>IFERROR(ROUND(G440*VLOOKUP(F440,商品!$A$4:$B$60,2,FALSE),0),"")</f>
        <v/>
      </c>
      <c r="AA440" t="str">
        <f>IFERROR(ROUND(I440*VLOOKUP(H440,商品!$A$4:$B$60,2,FALSE),0),"")</f>
        <v/>
      </c>
      <c r="AB440" t="str">
        <f>IFERROR(ROUND(K440*VLOOKUP(J440,[1]note_pop_types!$A$16:$E$16,4,FALSE),0),"")</f>
        <v/>
      </c>
      <c r="AC440" t="str">
        <f>IFERROR(ROUND(M440*VLOOKUP(L440,[1]note_pop_types!$A$16:$E$16,4,FALSE),0),"")</f>
        <v/>
      </c>
      <c r="AD440" t="str">
        <f>IFERROR(ROUND(O440*VLOOKUP(N440,[1]note_pop_types!$A$16:$E$16,4,FALSE),0),"")</f>
        <v/>
      </c>
      <c r="AE440" t="str">
        <f>IFERROR(ROUND(Q440*VLOOKUP(P440,商品!$A$4:$B$60,2,FALSE),0),"")</f>
        <v/>
      </c>
      <c r="AF440" t="str">
        <f>IFERROR(ROUND(S440*VLOOKUP(R440,商品!$A$4:$B$60,2,FALSE),0),"")</f>
        <v/>
      </c>
    </row>
    <row r="441" spans="1:32" ht="19.05" customHeight="1" x14ac:dyDescent="0.25">
      <c r="A441" s="16" t="s">
        <v>270</v>
      </c>
      <c r="C441" s="16">
        <v>1</v>
      </c>
      <c r="T441" s="2">
        <f t="shared" si="24"/>
        <v>0</v>
      </c>
      <c r="U441" s="2">
        <f t="shared" si="25"/>
        <v>0</v>
      </c>
      <c r="V441" s="2">
        <f t="shared" si="26"/>
        <v>0</v>
      </c>
      <c r="W441" s="2">
        <f t="shared" si="27"/>
        <v>0</v>
      </c>
      <c r="Y441" t="str">
        <f>IFERROR(ROUND(E441*VLOOKUP(D441,商品!$A$4:$B$60,2,FALSE),0),"")</f>
        <v/>
      </c>
      <c r="Z441" t="str">
        <f>IFERROR(ROUND(G441*VLOOKUP(F441,商品!$A$4:$B$60,2,FALSE),0),"")</f>
        <v/>
      </c>
      <c r="AA441" t="str">
        <f>IFERROR(ROUND(I441*VLOOKUP(H441,商品!$A$4:$B$60,2,FALSE),0),"")</f>
        <v/>
      </c>
      <c r="AB441" t="str">
        <f>IFERROR(ROUND(K441*VLOOKUP(J441,[1]note_pop_types!$A$16:$E$16,4,FALSE),0),"")</f>
        <v/>
      </c>
      <c r="AC441" t="str">
        <f>IFERROR(ROUND(M441*VLOOKUP(L441,[1]note_pop_types!$A$16:$E$16,4,FALSE),0),"")</f>
        <v/>
      </c>
      <c r="AD441" t="str">
        <f>IFERROR(ROUND(O441*VLOOKUP(N441,[1]note_pop_types!$A$16:$E$16,4,FALSE),0),"")</f>
        <v/>
      </c>
      <c r="AE441" t="str">
        <f>IFERROR(ROUND(Q441*VLOOKUP(P441,商品!$A$4:$B$60,2,FALSE),0),"")</f>
        <v/>
      </c>
      <c r="AF441" t="str">
        <f>IFERROR(ROUND(S441*VLOOKUP(R441,商品!$A$4:$B$60,2,FALSE),0),"")</f>
        <v/>
      </c>
    </row>
    <row r="442" spans="1:32" ht="19.05" customHeight="1" x14ac:dyDescent="0.25">
      <c r="A442" s="16" t="s">
        <v>270</v>
      </c>
      <c r="C442" s="16">
        <v>2</v>
      </c>
      <c r="T442" s="2">
        <f t="shared" si="24"/>
        <v>0</v>
      </c>
      <c r="U442" s="2">
        <f t="shared" si="25"/>
        <v>0</v>
      </c>
      <c r="V442" s="2">
        <f t="shared" si="26"/>
        <v>0</v>
      </c>
      <c r="W442" s="2">
        <f t="shared" si="27"/>
        <v>0</v>
      </c>
      <c r="Y442" t="str">
        <f>IFERROR(ROUND(E442*VLOOKUP(D442,商品!$A$4:$B$60,2,FALSE),0),"")</f>
        <v/>
      </c>
      <c r="Z442" t="str">
        <f>IFERROR(ROUND(G442*VLOOKUP(F442,商品!$A$4:$B$60,2,FALSE),0),"")</f>
        <v/>
      </c>
      <c r="AA442" t="str">
        <f>IFERROR(ROUND(I442*VLOOKUP(H442,商品!$A$4:$B$60,2,FALSE),0),"")</f>
        <v/>
      </c>
      <c r="AB442" t="str">
        <f>IFERROR(ROUND(K442*VLOOKUP(J442,[1]note_pop_types!$A$16:$E$16,4,FALSE),0),"")</f>
        <v/>
      </c>
      <c r="AC442" t="str">
        <f>IFERROR(ROUND(M442*VLOOKUP(L442,[1]note_pop_types!$A$16:$E$16,4,FALSE),0),"")</f>
        <v/>
      </c>
      <c r="AD442" t="str">
        <f>IFERROR(ROUND(O442*VLOOKUP(N442,[1]note_pop_types!$A$16:$E$16,4,FALSE),0),"")</f>
        <v/>
      </c>
      <c r="AE442" t="str">
        <f>IFERROR(ROUND(Q442*VLOOKUP(P442,商品!$A$4:$B$60,2,FALSE),0),"")</f>
        <v/>
      </c>
      <c r="AF442" t="str">
        <f>IFERROR(ROUND(S442*VLOOKUP(R442,商品!$A$4:$B$60,2,FALSE),0),"")</f>
        <v/>
      </c>
    </row>
    <row r="443" spans="1:32" ht="19.05" customHeight="1" x14ac:dyDescent="0.25">
      <c r="A443" s="16" t="s">
        <v>270</v>
      </c>
      <c r="C443" s="16">
        <v>3</v>
      </c>
      <c r="T443" s="2">
        <f t="shared" si="24"/>
        <v>0</v>
      </c>
      <c r="U443" s="2">
        <f t="shared" si="25"/>
        <v>0</v>
      </c>
      <c r="V443" s="2">
        <f t="shared" si="26"/>
        <v>0</v>
      </c>
      <c r="W443" s="2">
        <f t="shared" si="27"/>
        <v>0</v>
      </c>
      <c r="Y443" t="str">
        <f>IFERROR(ROUND(E443*VLOOKUP(D443,商品!$A$4:$B$60,2,FALSE),0),"")</f>
        <v/>
      </c>
      <c r="Z443" t="str">
        <f>IFERROR(ROUND(G443*VLOOKUP(F443,商品!$A$4:$B$60,2,FALSE),0),"")</f>
        <v/>
      </c>
      <c r="AA443" t="str">
        <f>IFERROR(ROUND(I443*VLOOKUP(H443,商品!$A$4:$B$60,2,FALSE),0),"")</f>
        <v/>
      </c>
      <c r="AB443" t="str">
        <f>IFERROR(ROUND(K443*VLOOKUP(J443,[1]note_pop_types!$A$16:$E$16,4,FALSE),0),"")</f>
        <v/>
      </c>
      <c r="AC443" t="str">
        <f>IFERROR(ROUND(M443*VLOOKUP(L443,[1]note_pop_types!$A$16:$E$16,4,FALSE),0),"")</f>
        <v/>
      </c>
      <c r="AD443" t="str">
        <f>IFERROR(ROUND(O443*VLOOKUP(N443,[1]note_pop_types!$A$16:$E$16,4,FALSE),0),"")</f>
        <v/>
      </c>
      <c r="AE443" t="str">
        <f>IFERROR(ROUND(Q443*VLOOKUP(P443,商品!$A$4:$B$60,2,FALSE),0),"")</f>
        <v/>
      </c>
      <c r="AF443" t="str">
        <f>IFERROR(ROUND(S443*VLOOKUP(R443,商品!$A$4:$B$60,2,FALSE),0),"")</f>
        <v/>
      </c>
    </row>
    <row r="444" spans="1:32" ht="19.05" customHeight="1" x14ac:dyDescent="0.25">
      <c r="A444" s="16" t="s">
        <v>270</v>
      </c>
      <c r="C444" s="16">
        <v>4</v>
      </c>
      <c r="T444" s="2">
        <f t="shared" si="24"/>
        <v>0</v>
      </c>
      <c r="U444" s="2">
        <f t="shared" si="25"/>
        <v>0</v>
      </c>
      <c r="V444" s="2">
        <f t="shared" si="26"/>
        <v>0</v>
      </c>
      <c r="W444" s="2">
        <f t="shared" si="27"/>
        <v>0</v>
      </c>
      <c r="Y444" t="str">
        <f>IFERROR(ROUND(E444*VLOOKUP(D444,商品!$A$4:$B$60,2,FALSE),0),"")</f>
        <v/>
      </c>
      <c r="Z444" t="str">
        <f>IFERROR(ROUND(G444*VLOOKUP(F444,商品!$A$4:$B$60,2,FALSE),0),"")</f>
        <v/>
      </c>
      <c r="AA444" t="str">
        <f>IFERROR(ROUND(I444*VLOOKUP(H444,商品!$A$4:$B$60,2,FALSE),0),"")</f>
        <v/>
      </c>
      <c r="AB444" t="str">
        <f>IFERROR(ROUND(K444*VLOOKUP(J444,[1]note_pop_types!$A$16:$E$16,4,FALSE),0),"")</f>
        <v/>
      </c>
      <c r="AC444" t="str">
        <f>IFERROR(ROUND(M444*VLOOKUP(L444,[1]note_pop_types!$A$16:$E$16,4,FALSE),0),"")</f>
        <v/>
      </c>
      <c r="AD444" t="str">
        <f>IFERROR(ROUND(O444*VLOOKUP(N444,[1]note_pop_types!$A$16:$E$16,4,FALSE),0),"")</f>
        <v/>
      </c>
      <c r="AE444" t="str">
        <f>IFERROR(ROUND(Q444*VLOOKUP(P444,商品!$A$4:$B$60,2,FALSE),0),"")</f>
        <v/>
      </c>
      <c r="AF444" t="str">
        <f>IFERROR(ROUND(S444*VLOOKUP(R444,商品!$A$4:$B$60,2,FALSE),0),"")</f>
        <v/>
      </c>
    </row>
    <row r="445" spans="1:32" ht="19.05" customHeight="1" x14ac:dyDescent="0.25">
      <c r="A445" s="16" t="s">
        <v>270</v>
      </c>
      <c r="C445" s="16">
        <v>5</v>
      </c>
      <c r="T445" s="2">
        <f t="shared" si="24"/>
        <v>0</v>
      </c>
      <c r="U445" s="2">
        <f t="shared" si="25"/>
        <v>0</v>
      </c>
      <c r="V445" s="2">
        <f t="shared" si="26"/>
        <v>0</v>
      </c>
      <c r="W445" s="2">
        <f t="shared" si="27"/>
        <v>0</v>
      </c>
      <c r="Y445" t="str">
        <f>IFERROR(ROUND(E445*VLOOKUP(D445,商品!$A$4:$B$60,2,FALSE),0),"")</f>
        <v/>
      </c>
      <c r="Z445" t="str">
        <f>IFERROR(ROUND(G445*VLOOKUP(F445,商品!$A$4:$B$60,2,FALSE),0),"")</f>
        <v/>
      </c>
      <c r="AA445" t="str">
        <f>IFERROR(ROUND(I445*VLOOKUP(H445,商品!$A$4:$B$60,2,FALSE),0),"")</f>
        <v/>
      </c>
      <c r="AB445" t="str">
        <f>IFERROR(ROUND(K445*VLOOKUP(J445,[1]note_pop_types!$A$16:$E$16,4,FALSE),0),"")</f>
        <v/>
      </c>
      <c r="AC445" t="str">
        <f>IFERROR(ROUND(M445*VLOOKUP(L445,[1]note_pop_types!$A$16:$E$16,4,FALSE),0),"")</f>
        <v/>
      </c>
      <c r="AD445" t="str">
        <f>IFERROR(ROUND(O445*VLOOKUP(N445,[1]note_pop_types!$A$16:$E$16,4,FALSE),0),"")</f>
        <v/>
      </c>
      <c r="AE445" t="str">
        <f>IFERROR(ROUND(Q445*VLOOKUP(P445,商品!$A$4:$B$60,2,FALSE),0),"")</f>
        <v/>
      </c>
      <c r="AF445" t="str">
        <f>IFERROR(ROUND(S445*VLOOKUP(R445,商品!$A$4:$B$60,2,FALSE),0),"")</f>
        <v/>
      </c>
    </row>
    <row r="446" spans="1:32" ht="19.05" customHeight="1" x14ac:dyDescent="0.25">
      <c r="A446" s="15" t="s">
        <v>522</v>
      </c>
      <c r="C446" s="15">
        <v>1</v>
      </c>
      <c r="T446" s="2">
        <f t="shared" si="24"/>
        <v>0</v>
      </c>
      <c r="U446" s="2">
        <f t="shared" si="25"/>
        <v>0</v>
      </c>
      <c r="V446" s="2">
        <f t="shared" si="26"/>
        <v>0</v>
      </c>
      <c r="W446" s="2">
        <f t="shared" si="27"/>
        <v>0</v>
      </c>
      <c r="Y446" t="str">
        <f>IFERROR(ROUND(E446*VLOOKUP(D446,商品!$A$4:$B$60,2,FALSE),0),"")</f>
        <v/>
      </c>
      <c r="Z446" t="str">
        <f>IFERROR(ROUND(G446*VLOOKUP(F446,商品!$A$4:$B$60,2,FALSE),0),"")</f>
        <v/>
      </c>
      <c r="AA446" t="str">
        <f>IFERROR(ROUND(I446*VLOOKUP(H446,商品!$A$4:$B$60,2,FALSE),0),"")</f>
        <v/>
      </c>
      <c r="AB446" t="str">
        <f>IFERROR(ROUND(K446*VLOOKUP(J446,[1]note_pop_types!$A$16:$E$16,4,FALSE),0),"")</f>
        <v/>
      </c>
      <c r="AC446" t="str">
        <f>IFERROR(ROUND(M446*VLOOKUP(L446,[1]note_pop_types!$A$16:$E$16,4,FALSE),0),"")</f>
        <v/>
      </c>
      <c r="AD446" t="str">
        <f>IFERROR(ROUND(O446*VLOOKUP(N446,[1]note_pop_types!$A$16:$E$16,4,FALSE),0),"")</f>
        <v/>
      </c>
      <c r="AE446" t="str">
        <f>IFERROR(ROUND(Q446*VLOOKUP(P446,商品!$A$4:$B$60,2,FALSE),0),"")</f>
        <v/>
      </c>
      <c r="AF446" t="str">
        <f>IFERROR(ROUND(S446*VLOOKUP(R446,商品!$A$4:$B$60,2,FALSE),0),"")</f>
        <v/>
      </c>
    </row>
    <row r="447" spans="1:32" ht="19.05" customHeight="1" x14ac:dyDescent="0.25">
      <c r="A447" s="15" t="s">
        <v>522</v>
      </c>
      <c r="C447" s="15">
        <v>2</v>
      </c>
      <c r="T447" s="2">
        <f t="shared" si="24"/>
        <v>0</v>
      </c>
      <c r="U447" s="2">
        <f t="shared" si="25"/>
        <v>0</v>
      </c>
      <c r="V447" s="2">
        <f t="shared" si="26"/>
        <v>0</v>
      </c>
      <c r="W447" s="2">
        <f t="shared" si="27"/>
        <v>0</v>
      </c>
      <c r="Y447" t="str">
        <f>IFERROR(ROUND(E447*VLOOKUP(D447,商品!$A$4:$B$60,2,FALSE),0),"")</f>
        <v/>
      </c>
      <c r="Z447" t="str">
        <f>IFERROR(ROUND(G447*VLOOKUP(F447,商品!$A$4:$B$60,2,FALSE),0),"")</f>
        <v/>
      </c>
      <c r="AA447" t="str">
        <f>IFERROR(ROUND(I447*VLOOKUP(H447,商品!$A$4:$B$60,2,FALSE),0),"")</f>
        <v/>
      </c>
      <c r="AB447" t="str">
        <f>IFERROR(ROUND(K447*VLOOKUP(J447,[1]note_pop_types!$A$16:$E$16,4,FALSE),0),"")</f>
        <v/>
      </c>
      <c r="AC447" t="str">
        <f>IFERROR(ROUND(M447*VLOOKUP(L447,[1]note_pop_types!$A$16:$E$16,4,FALSE),0),"")</f>
        <v/>
      </c>
      <c r="AD447" t="str">
        <f>IFERROR(ROUND(O447*VLOOKUP(N447,[1]note_pop_types!$A$16:$E$16,4,FALSE),0),"")</f>
        <v/>
      </c>
      <c r="AE447" t="str">
        <f>IFERROR(ROUND(Q447*VLOOKUP(P447,商品!$A$4:$B$60,2,FALSE),0),"")</f>
        <v/>
      </c>
      <c r="AF447" t="str">
        <f>IFERROR(ROUND(S447*VLOOKUP(R447,商品!$A$4:$B$60,2,FALSE),0),"")</f>
        <v/>
      </c>
    </row>
    <row r="448" spans="1:32" ht="19.05" customHeight="1" x14ac:dyDescent="0.25">
      <c r="A448" s="15" t="s">
        <v>522</v>
      </c>
      <c r="C448" s="15">
        <v>3</v>
      </c>
      <c r="T448" s="2">
        <f t="shared" si="24"/>
        <v>0</v>
      </c>
      <c r="U448" s="2">
        <f t="shared" si="25"/>
        <v>0</v>
      </c>
      <c r="V448" s="2">
        <f t="shared" si="26"/>
        <v>0</v>
      </c>
      <c r="W448" s="2">
        <f t="shared" si="27"/>
        <v>0</v>
      </c>
      <c r="Y448" t="str">
        <f>IFERROR(ROUND(E448*VLOOKUP(D448,商品!$A$4:$B$60,2,FALSE),0),"")</f>
        <v/>
      </c>
      <c r="Z448" t="str">
        <f>IFERROR(ROUND(G448*VLOOKUP(F448,商品!$A$4:$B$60,2,FALSE),0),"")</f>
        <v/>
      </c>
      <c r="AA448" t="str">
        <f>IFERROR(ROUND(I448*VLOOKUP(H448,商品!$A$4:$B$60,2,FALSE),0),"")</f>
        <v/>
      </c>
      <c r="AB448" t="str">
        <f>IFERROR(ROUND(K448*VLOOKUP(J448,[1]note_pop_types!$A$16:$E$16,4,FALSE),0),"")</f>
        <v/>
      </c>
      <c r="AC448" t="str">
        <f>IFERROR(ROUND(M448*VLOOKUP(L448,[1]note_pop_types!$A$16:$E$16,4,FALSE),0),"")</f>
        <v/>
      </c>
      <c r="AD448" t="str">
        <f>IFERROR(ROUND(O448*VLOOKUP(N448,[1]note_pop_types!$A$16:$E$16,4,FALSE),0),"")</f>
        <v/>
      </c>
      <c r="AE448" t="str">
        <f>IFERROR(ROUND(Q448*VLOOKUP(P448,商品!$A$4:$B$60,2,FALSE),0),"")</f>
        <v/>
      </c>
      <c r="AF448" t="str">
        <f>IFERROR(ROUND(S448*VLOOKUP(R448,商品!$A$4:$B$60,2,FALSE),0),"")</f>
        <v/>
      </c>
    </row>
    <row r="449" spans="1:32" ht="19.05" customHeight="1" x14ac:dyDescent="0.25">
      <c r="A449" s="15" t="s">
        <v>522</v>
      </c>
      <c r="C449" s="15">
        <v>4</v>
      </c>
      <c r="T449" s="2">
        <f t="shared" si="24"/>
        <v>0</v>
      </c>
      <c r="U449" s="2">
        <f t="shared" si="25"/>
        <v>0</v>
      </c>
      <c r="V449" s="2">
        <f t="shared" si="26"/>
        <v>0</v>
      </c>
      <c r="W449" s="2">
        <f t="shared" si="27"/>
        <v>0</v>
      </c>
      <c r="Y449" t="str">
        <f>IFERROR(ROUND(E449*VLOOKUP(D449,商品!$A$4:$B$60,2,FALSE),0),"")</f>
        <v/>
      </c>
      <c r="Z449" t="str">
        <f>IFERROR(ROUND(G449*VLOOKUP(F449,商品!$A$4:$B$60,2,FALSE),0),"")</f>
        <v/>
      </c>
      <c r="AA449" t="str">
        <f>IFERROR(ROUND(I449*VLOOKUP(H449,商品!$A$4:$B$60,2,FALSE),0),"")</f>
        <v/>
      </c>
      <c r="AB449" t="str">
        <f>IFERROR(ROUND(K449*VLOOKUP(J449,[1]note_pop_types!$A$16:$E$16,4,FALSE),0),"")</f>
        <v/>
      </c>
      <c r="AC449" t="str">
        <f>IFERROR(ROUND(M449*VLOOKUP(L449,[1]note_pop_types!$A$16:$E$16,4,FALSE),0),"")</f>
        <v/>
      </c>
      <c r="AD449" t="str">
        <f>IFERROR(ROUND(O449*VLOOKUP(N449,[1]note_pop_types!$A$16:$E$16,4,FALSE),0),"")</f>
        <v/>
      </c>
      <c r="AE449" t="str">
        <f>IFERROR(ROUND(Q449*VLOOKUP(P449,商品!$A$4:$B$60,2,FALSE),0),"")</f>
        <v/>
      </c>
      <c r="AF449" t="str">
        <f>IFERROR(ROUND(S449*VLOOKUP(R449,商品!$A$4:$B$60,2,FALSE),0),"")</f>
        <v/>
      </c>
    </row>
    <row r="450" spans="1:32" ht="19.05" customHeight="1" x14ac:dyDescent="0.25">
      <c r="A450" s="15" t="s">
        <v>522</v>
      </c>
      <c r="C450" s="15">
        <v>5</v>
      </c>
      <c r="T450" s="2">
        <f t="shared" si="24"/>
        <v>0</v>
      </c>
      <c r="U450" s="2">
        <f t="shared" si="25"/>
        <v>0</v>
      </c>
      <c r="V450" s="2">
        <f t="shared" si="26"/>
        <v>0</v>
      </c>
      <c r="W450" s="2">
        <f t="shared" si="27"/>
        <v>0</v>
      </c>
      <c r="Y450" t="str">
        <f>IFERROR(ROUND(E450*VLOOKUP(D450,商品!$A$4:$B$60,2,FALSE),0),"")</f>
        <v/>
      </c>
      <c r="Z450" t="str">
        <f>IFERROR(ROUND(G450*VLOOKUP(F450,商品!$A$4:$B$60,2,FALSE),0),"")</f>
        <v/>
      </c>
      <c r="AA450" t="str">
        <f>IFERROR(ROUND(I450*VLOOKUP(H450,商品!$A$4:$B$60,2,FALSE),0),"")</f>
        <v/>
      </c>
      <c r="AB450" t="str">
        <f>IFERROR(ROUND(K450*VLOOKUP(J450,[1]note_pop_types!$A$16:$E$16,4,FALSE),0),"")</f>
        <v/>
      </c>
      <c r="AC450" t="str">
        <f>IFERROR(ROUND(M450*VLOOKUP(L450,[1]note_pop_types!$A$16:$E$16,4,FALSE),0),"")</f>
        <v/>
      </c>
      <c r="AD450" t="str">
        <f>IFERROR(ROUND(O450*VLOOKUP(N450,[1]note_pop_types!$A$16:$E$16,4,FALSE),0),"")</f>
        <v/>
      </c>
      <c r="AE450" t="str">
        <f>IFERROR(ROUND(Q450*VLOOKUP(P450,商品!$A$4:$B$60,2,FALSE),0),"")</f>
        <v/>
      </c>
      <c r="AF450" t="str">
        <f>IFERROR(ROUND(S450*VLOOKUP(R450,商品!$A$4:$B$60,2,FALSE),0),"")</f>
        <v/>
      </c>
    </row>
    <row r="451" spans="1:32" ht="19.05" customHeight="1" x14ac:dyDescent="0.25">
      <c r="A451" s="16" t="s">
        <v>522</v>
      </c>
      <c r="C451" s="16">
        <v>1</v>
      </c>
      <c r="T451" s="2">
        <f t="shared" si="24"/>
        <v>0</v>
      </c>
      <c r="U451" s="2">
        <f t="shared" si="25"/>
        <v>0</v>
      </c>
      <c r="V451" s="2">
        <f t="shared" si="26"/>
        <v>0</v>
      </c>
      <c r="W451" s="2">
        <f t="shared" si="27"/>
        <v>0</v>
      </c>
      <c r="Y451" t="str">
        <f>IFERROR(ROUND(E451*VLOOKUP(D451,商品!$A$4:$B$60,2,FALSE),0),"")</f>
        <v/>
      </c>
      <c r="Z451" t="str">
        <f>IFERROR(ROUND(G451*VLOOKUP(F451,商品!$A$4:$B$60,2,FALSE),0),"")</f>
        <v/>
      </c>
      <c r="AA451" t="str">
        <f>IFERROR(ROUND(I451*VLOOKUP(H451,商品!$A$4:$B$60,2,FALSE),0),"")</f>
        <v/>
      </c>
      <c r="AB451" t="str">
        <f>IFERROR(ROUND(K451*VLOOKUP(J451,[1]note_pop_types!$A$16:$E$16,4,FALSE),0),"")</f>
        <v/>
      </c>
      <c r="AC451" t="str">
        <f>IFERROR(ROUND(M451*VLOOKUP(L451,[1]note_pop_types!$A$16:$E$16,4,FALSE),0),"")</f>
        <v/>
      </c>
      <c r="AD451" t="str">
        <f>IFERROR(ROUND(O451*VLOOKUP(N451,[1]note_pop_types!$A$16:$E$16,4,FALSE),0),"")</f>
        <v/>
      </c>
      <c r="AE451" t="str">
        <f>IFERROR(ROUND(Q451*VLOOKUP(P451,商品!$A$4:$B$60,2,FALSE),0),"")</f>
        <v/>
      </c>
      <c r="AF451" t="str">
        <f>IFERROR(ROUND(S451*VLOOKUP(R451,商品!$A$4:$B$60,2,FALSE),0),"")</f>
        <v/>
      </c>
    </row>
    <row r="452" spans="1:32" ht="19.05" customHeight="1" x14ac:dyDescent="0.25">
      <c r="A452" s="16" t="s">
        <v>522</v>
      </c>
      <c r="C452" s="16">
        <v>2</v>
      </c>
      <c r="T452" s="2">
        <f t="shared" si="24"/>
        <v>0</v>
      </c>
      <c r="U452" s="2">
        <f t="shared" si="25"/>
        <v>0</v>
      </c>
      <c r="V452" s="2">
        <f t="shared" si="26"/>
        <v>0</v>
      </c>
      <c r="W452" s="2">
        <f t="shared" si="27"/>
        <v>0</v>
      </c>
      <c r="Y452" t="str">
        <f>IFERROR(ROUND(E452*VLOOKUP(D452,商品!$A$4:$B$60,2,FALSE),0),"")</f>
        <v/>
      </c>
      <c r="Z452" t="str">
        <f>IFERROR(ROUND(G452*VLOOKUP(F452,商品!$A$4:$B$60,2,FALSE),0),"")</f>
        <v/>
      </c>
      <c r="AA452" t="str">
        <f>IFERROR(ROUND(I452*VLOOKUP(H452,商品!$A$4:$B$60,2,FALSE),0),"")</f>
        <v/>
      </c>
      <c r="AB452" t="str">
        <f>IFERROR(ROUND(K452*VLOOKUP(J452,[1]note_pop_types!$A$16:$E$16,4,FALSE),0),"")</f>
        <v/>
      </c>
      <c r="AC452" t="str">
        <f>IFERROR(ROUND(M452*VLOOKUP(L452,[1]note_pop_types!$A$16:$E$16,4,FALSE),0),"")</f>
        <v/>
      </c>
      <c r="AD452" t="str">
        <f>IFERROR(ROUND(O452*VLOOKUP(N452,[1]note_pop_types!$A$16:$E$16,4,FALSE),0),"")</f>
        <v/>
      </c>
      <c r="AE452" t="str">
        <f>IFERROR(ROUND(Q452*VLOOKUP(P452,商品!$A$4:$B$60,2,FALSE),0),"")</f>
        <v/>
      </c>
      <c r="AF452" t="str">
        <f>IFERROR(ROUND(S452*VLOOKUP(R452,商品!$A$4:$B$60,2,FALSE),0),"")</f>
        <v/>
      </c>
    </row>
    <row r="453" spans="1:32" ht="19.05" customHeight="1" x14ac:dyDescent="0.25">
      <c r="A453" s="16" t="s">
        <v>522</v>
      </c>
      <c r="C453" s="16">
        <v>3</v>
      </c>
      <c r="T453" s="2">
        <f t="shared" si="24"/>
        <v>0</v>
      </c>
      <c r="U453" s="2">
        <f t="shared" si="25"/>
        <v>0</v>
      </c>
      <c r="V453" s="2">
        <f t="shared" si="26"/>
        <v>0</v>
      </c>
      <c r="W453" s="2">
        <f t="shared" si="27"/>
        <v>0</v>
      </c>
      <c r="Y453" t="str">
        <f>IFERROR(ROUND(E453*VLOOKUP(D453,商品!$A$4:$B$60,2,FALSE),0),"")</f>
        <v/>
      </c>
      <c r="Z453" t="str">
        <f>IFERROR(ROUND(G453*VLOOKUP(F453,商品!$A$4:$B$60,2,FALSE),0),"")</f>
        <v/>
      </c>
      <c r="AA453" t="str">
        <f>IFERROR(ROUND(I453*VLOOKUP(H453,商品!$A$4:$B$60,2,FALSE),0),"")</f>
        <v/>
      </c>
      <c r="AB453" t="str">
        <f>IFERROR(ROUND(K453*VLOOKUP(J453,[1]note_pop_types!$A$16:$E$16,4,FALSE),0),"")</f>
        <v/>
      </c>
      <c r="AC453" t="str">
        <f>IFERROR(ROUND(M453*VLOOKUP(L453,[1]note_pop_types!$A$16:$E$16,4,FALSE),0),"")</f>
        <v/>
      </c>
      <c r="AD453" t="str">
        <f>IFERROR(ROUND(O453*VLOOKUP(N453,[1]note_pop_types!$A$16:$E$16,4,FALSE),0),"")</f>
        <v/>
      </c>
      <c r="AE453" t="str">
        <f>IFERROR(ROUND(Q453*VLOOKUP(P453,商品!$A$4:$B$60,2,FALSE),0),"")</f>
        <v/>
      </c>
      <c r="AF453" t="str">
        <f>IFERROR(ROUND(S453*VLOOKUP(R453,商品!$A$4:$B$60,2,FALSE),0),"")</f>
        <v/>
      </c>
    </row>
    <row r="454" spans="1:32" ht="19.05" customHeight="1" x14ac:dyDescent="0.25">
      <c r="A454" s="16" t="s">
        <v>522</v>
      </c>
      <c r="C454" s="16">
        <v>4</v>
      </c>
      <c r="T454" s="2">
        <f t="shared" ref="T454:T517" si="28">SUM(Y454:AA454)</f>
        <v>0</v>
      </c>
      <c r="U454" s="2">
        <f t="shared" ref="U454:U517" si="29">SUM(AB454:AC454)</f>
        <v>0</v>
      </c>
      <c r="V454" s="2">
        <f t="shared" ref="V454:V517" si="30">SUM(AE454:AF454)</f>
        <v>0</v>
      </c>
      <c r="W454" s="2">
        <f t="shared" ref="W454:W517" si="31">V454-T454-U454</f>
        <v>0</v>
      </c>
      <c r="Y454" t="str">
        <f>IFERROR(ROUND(E454*VLOOKUP(D454,商品!$A$4:$B$60,2,FALSE),0),"")</f>
        <v/>
      </c>
      <c r="Z454" t="str">
        <f>IFERROR(ROUND(G454*VLOOKUP(F454,商品!$A$4:$B$60,2,FALSE),0),"")</f>
        <v/>
      </c>
      <c r="AA454" t="str">
        <f>IFERROR(ROUND(I454*VLOOKUP(H454,商品!$A$4:$B$60,2,FALSE),0),"")</f>
        <v/>
      </c>
      <c r="AB454" t="str">
        <f>IFERROR(ROUND(K454*VLOOKUP(J454,[1]note_pop_types!$A$16:$E$16,4,FALSE),0),"")</f>
        <v/>
      </c>
      <c r="AC454" t="str">
        <f>IFERROR(ROUND(M454*VLOOKUP(L454,[1]note_pop_types!$A$16:$E$16,4,FALSE),0),"")</f>
        <v/>
      </c>
      <c r="AD454" t="str">
        <f>IFERROR(ROUND(O454*VLOOKUP(N454,[1]note_pop_types!$A$16:$E$16,4,FALSE),0),"")</f>
        <v/>
      </c>
      <c r="AE454" t="str">
        <f>IFERROR(ROUND(Q454*VLOOKUP(P454,商品!$A$4:$B$60,2,FALSE),0),"")</f>
        <v/>
      </c>
      <c r="AF454" t="str">
        <f>IFERROR(ROUND(S454*VLOOKUP(R454,商品!$A$4:$B$60,2,FALSE),0),"")</f>
        <v/>
      </c>
    </row>
    <row r="455" spans="1:32" ht="19.05" customHeight="1" x14ac:dyDescent="0.25">
      <c r="A455" s="16" t="s">
        <v>522</v>
      </c>
      <c r="C455" s="16">
        <v>5</v>
      </c>
      <c r="T455" s="2">
        <f t="shared" si="28"/>
        <v>0</v>
      </c>
      <c r="U455" s="2">
        <f t="shared" si="29"/>
        <v>0</v>
      </c>
      <c r="V455" s="2">
        <f t="shared" si="30"/>
        <v>0</v>
      </c>
      <c r="W455" s="2">
        <f t="shared" si="31"/>
        <v>0</v>
      </c>
      <c r="Y455" t="str">
        <f>IFERROR(ROUND(E455*VLOOKUP(D455,商品!$A$4:$B$60,2,FALSE),0),"")</f>
        <v/>
      </c>
      <c r="Z455" t="str">
        <f>IFERROR(ROUND(G455*VLOOKUP(F455,商品!$A$4:$B$60,2,FALSE),0),"")</f>
        <v/>
      </c>
      <c r="AA455" t="str">
        <f>IFERROR(ROUND(I455*VLOOKUP(H455,商品!$A$4:$B$60,2,FALSE),0),"")</f>
        <v/>
      </c>
      <c r="AB455" t="str">
        <f>IFERROR(ROUND(K455*VLOOKUP(J455,[1]note_pop_types!$A$16:$E$16,4,FALSE),0),"")</f>
        <v/>
      </c>
      <c r="AC455" t="str">
        <f>IFERROR(ROUND(M455*VLOOKUP(L455,[1]note_pop_types!$A$16:$E$16,4,FALSE),0),"")</f>
        <v/>
      </c>
      <c r="AD455" t="str">
        <f>IFERROR(ROUND(O455*VLOOKUP(N455,[1]note_pop_types!$A$16:$E$16,4,FALSE),0),"")</f>
        <v/>
      </c>
      <c r="AE455" t="str">
        <f>IFERROR(ROUND(Q455*VLOOKUP(P455,商品!$A$4:$B$60,2,FALSE),0),"")</f>
        <v/>
      </c>
      <c r="AF455" t="str">
        <f>IFERROR(ROUND(S455*VLOOKUP(R455,商品!$A$4:$B$60,2,FALSE),0),"")</f>
        <v/>
      </c>
    </row>
    <row r="456" spans="1:32" ht="19.05" customHeight="1" x14ac:dyDescent="0.25">
      <c r="A456" s="15" t="s">
        <v>273</v>
      </c>
      <c r="C456" s="15">
        <v>1</v>
      </c>
      <c r="T456" s="2">
        <f t="shared" si="28"/>
        <v>0</v>
      </c>
      <c r="U456" s="2">
        <f t="shared" si="29"/>
        <v>0</v>
      </c>
      <c r="V456" s="2">
        <f t="shared" si="30"/>
        <v>0</v>
      </c>
      <c r="W456" s="2">
        <f t="shared" si="31"/>
        <v>0</v>
      </c>
      <c r="Y456" t="str">
        <f>IFERROR(ROUND(E456*VLOOKUP(D456,商品!$A$4:$B$60,2,FALSE),0),"")</f>
        <v/>
      </c>
      <c r="Z456" t="str">
        <f>IFERROR(ROUND(G456*VLOOKUP(F456,商品!$A$4:$B$60,2,FALSE),0),"")</f>
        <v/>
      </c>
      <c r="AA456" t="str">
        <f>IFERROR(ROUND(I456*VLOOKUP(H456,商品!$A$4:$B$60,2,FALSE),0),"")</f>
        <v/>
      </c>
      <c r="AB456" t="str">
        <f>IFERROR(ROUND(K456*VLOOKUP(J456,[1]note_pop_types!$A$16:$E$16,4,FALSE),0),"")</f>
        <v/>
      </c>
      <c r="AC456" t="str">
        <f>IFERROR(ROUND(M456*VLOOKUP(L456,[1]note_pop_types!$A$16:$E$16,4,FALSE),0),"")</f>
        <v/>
      </c>
      <c r="AD456" t="str">
        <f>IFERROR(ROUND(O456*VLOOKUP(N456,[1]note_pop_types!$A$16:$E$16,4,FALSE),0),"")</f>
        <v/>
      </c>
      <c r="AE456" t="str">
        <f>IFERROR(ROUND(Q456*VLOOKUP(P456,商品!$A$4:$B$60,2,FALSE),0),"")</f>
        <v/>
      </c>
      <c r="AF456" t="str">
        <f>IFERROR(ROUND(S456*VLOOKUP(R456,商品!$A$4:$B$60,2,FALSE),0),"")</f>
        <v/>
      </c>
    </row>
    <row r="457" spans="1:32" ht="19.05" customHeight="1" x14ac:dyDescent="0.25">
      <c r="A457" s="15" t="s">
        <v>273</v>
      </c>
      <c r="C457" s="15">
        <v>2</v>
      </c>
      <c r="T457" s="2">
        <f t="shared" si="28"/>
        <v>0</v>
      </c>
      <c r="U457" s="2">
        <f t="shared" si="29"/>
        <v>0</v>
      </c>
      <c r="V457" s="2">
        <f t="shared" si="30"/>
        <v>0</v>
      </c>
      <c r="W457" s="2">
        <f t="shared" si="31"/>
        <v>0</v>
      </c>
      <c r="Y457" t="str">
        <f>IFERROR(ROUND(E457*VLOOKUP(D457,商品!$A$4:$B$60,2,FALSE),0),"")</f>
        <v/>
      </c>
      <c r="Z457" t="str">
        <f>IFERROR(ROUND(G457*VLOOKUP(F457,商品!$A$4:$B$60,2,FALSE),0),"")</f>
        <v/>
      </c>
      <c r="AA457" t="str">
        <f>IFERROR(ROUND(I457*VLOOKUP(H457,商品!$A$4:$B$60,2,FALSE),0),"")</f>
        <v/>
      </c>
      <c r="AB457" t="str">
        <f>IFERROR(ROUND(K457*VLOOKUP(J457,[1]note_pop_types!$A$16:$E$16,4,FALSE),0),"")</f>
        <v/>
      </c>
      <c r="AC457" t="str">
        <f>IFERROR(ROUND(M457*VLOOKUP(L457,[1]note_pop_types!$A$16:$E$16,4,FALSE),0),"")</f>
        <v/>
      </c>
      <c r="AD457" t="str">
        <f>IFERROR(ROUND(O457*VLOOKUP(N457,[1]note_pop_types!$A$16:$E$16,4,FALSE),0),"")</f>
        <v/>
      </c>
      <c r="AE457" t="str">
        <f>IFERROR(ROUND(Q457*VLOOKUP(P457,商品!$A$4:$B$60,2,FALSE),0),"")</f>
        <v/>
      </c>
      <c r="AF457" t="str">
        <f>IFERROR(ROUND(S457*VLOOKUP(R457,商品!$A$4:$B$60,2,FALSE),0),"")</f>
        <v/>
      </c>
    </row>
    <row r="458" spans="1:32" ht="19.05" customHeight="1" x14ac:dyDescent="0.25">
      <c r="A458" s="15" t="s">
        <v>273</v>
      </c>
      <c r="C458" s="15">
        <v>3</v>
      </c>
      <c r="T458" s="2">
        <f t="shared" si="28"/>
        <v>0</v>
      </c>
      <c r="U458" s="2">
        <f t="shared" si="29"/>
        <v>0</v>
      </c>
      <c r="V458" s="2">
        <f t="shared" si="30"/>
        <v>0</v>
      </c>
      <c r="W458" s="2">
        <f t="shared" si="31"/>
        <v>0</v>
      </c>
      <c r="Y458" t="str">
        <f>IFERROR(ROUND(E458*VLOOKUP(D458,商品!$A$4:$B$60,2,FALSE),0),"")</f>
        <v/>
      </c>
      <c r="Z458" t="str">
        <f>IFERROR(ROUND(G458*VLOOKUP(F458,商品!$A$4:$B$60,2,FALSE),0),"")</f>
        <v/>
      </c>
      <c r="AA458" t="str">
        <f>IFERROR(ROUND(I458*VLOOKUP(H458,商品!$A$4:$B$60,2,FALSE),0),"")</f>
        <v/>
      </c>
      <c r="AB458" t="str">
        <f>IFERROR(ROUND(K458*VLOOKUP(J458,[1]note_pop_types!$A$16:$E$16,4,FALSE),0),"")</f>
        <v/>
      </c>
      <c r="AC458" t="str">
        <f>IFERROR(ROUND(M458*VLOOKUP(L458,[1]note_pop_types!$A$16:$E$16,4,FALSE),0),"")</f>
        <v/>
      </c>
      <c r="AD458" t="str">
        <f>IFERROR(ROUND(O458*VLOOKUP(N458,[1]note_pop_types!$A$16:$E$16,4,FALSE),0),"")</f>
        <v/>
      </c>
      <c r="AE458" t="str">
        <f>IFERROR(ROUND(Q458*VLOOKUP(P458,商品!$A$4:$B$60,2,FALSE),0),"")</f>
        <v/>
      </c>
      <c r="AF458" t="str">
        <f>IFERROR(ROUND(S458*VLOOKUP(R458,商品!$A$4:$B$60,2,FALSE),0),"")</f>
        <v/>
      </c>
    </row>
    <row r="459" spans="1:32" ht="19.05" customHeight="1" x14ac:dyDescent="0.25">
      <c r="A459" s="15" t="s">
        <v>273</v>
      </c>
      <c r="C459" s="15">
        <v>4</v>
      </c>
      <c r="T459" s="2">
        <f t="shared" si="28"/>
        <v>0</v>
      </c>
      <c r="U459" s="2">
        <f t="shared" si="29"/>
        <v>0</v>
      </c>
      <c r="V459" s="2">
        <f t="shared" si="30"/>
        <v>0</v>
      </c>
      <c r="W459" s="2">
        <f t="shared" si="31"/>
        <v>0</v>
      </c>
      <c r="Y459" t="str">
        <f>IFERROR(ROUND(E459*VLOOKUP(D459,商品!$A$4:$B$60,2,FALSE),0),"")</f>
        <v/>
      </c>
      <c r="Z459" t="str">
        <f>IFERROR(ROUND(G459*VLOOKUP(F459,商品!$A$4:$B$60,2,FALSE),0),"")</f>
        <v/>
      </c>
      <c r="AA459" t="str">
        <f>IFERROR(ROUND(I459*VLOOKUP(H459,商品!$A$4:$B$60,2,FALSE),0),"")</f>
        <v/>
      </c>
      <c r="AB459" t="str">
        <f>IFERROR(ROUND(K459*VLOOKUP(J459,[1]note_pop_types!$A$16:$E$16,4,FALSE),0),"")</f>
        <v/>
      </c>
      <c r="AC459" t="str">
        <f>IFERROR(ROUND(M459*VLOOKUP(L459,[1]note_pop_types!$A$16:$E$16,4,FALSE),0),"")</f>
        <v/>
      </c>
      <c r="AD459" t="str">
        <f>IFERROR(ROUND(O459*VLOOKUP(N459,[1]note_pop_types!$A$16:$E$16,4,FALSE),0),"")</f>
        <v/>
      </c>
      <c r="AE459" t="str">
        <f>IFERROR(ROUND(Q459*VLOOKUP(P459,商品!$A$4:$B$60,2,FALSE),0),"")</f>
        <v/>
      </c>
      <c r="AF459" t="str">
        <f>IFERROR(ROUND(S459*VLOOKUP(R459,商品!$A$4:$B$60,2,FALSE),0),"")</f>
        <v/>
      </c>
    </row>
    <row r="460" spans="1:32" ht="19.05" customHeight="1" x14ac:dyDescent="0.25">
      <c r="A460" s="15" t="s">
        <v>273</v>
      </c>
      <c r="C460" s="15">
        <v>5</v>
      </c>
      <c r="T460" s="2">
        <f t="shared" si="28"/>
        <v>0</v>
      </c>
      <c r="U460" s="2">
        <f t="shared" si="29"/>
        <v>0</v>
      </c>
      <c r="V460" s="2">
        <f t="shared" si="30"/>
        <v>0</v>
      </c>
      <c r="W460" s="2">
        <f t="shared" si="31"/>
        <v>0</v>
      </c>
      <c r="Y460" t="str">
        <f>IFERROR(ROUND(E460*VLOOKUP(D460,商品!$A$4:$B$60,2,FALSE),0),"")</f>
        <v/>
      </c>
      <c r="Z460" t="str">
        <f>IFERROR(ROUND(G460*VLOOKUP(F460,商品!$A$4:$B$60,2,FALSE),0),"")</f>
        <v/>
      </c>
      <c r="AA460" t="str">
        <f>IFERROR(ROUND(I460*VLOOKUP(H460,商品!$A$4:$B$60,2,FALSE),0),"")</f>
        <v/>
      </c>
      <c r="AB460" t="str">
        <f>IFERROR(ROUND(K460*VLOOKUP(J460,[1]note_pop_types!$A$16:$E$16,4,FALSE),0),"")</f>
        <v/>
      </c>
      <c r="AC460" t="str">
        <f>IFERROR(ROUND(M460*VLOOKUP(L460,[1]note_pop_types!$A$16:$E$16,4,FALSE),0),"")</f>
        <v/>
      </c>
      <c r="AD460" t="str">
        <f>IFERROR(ROUND(O460*VLOOKUP(N460,[1]note_pop_types!$A$16:$E$16,4,FALSE),0),"")</f>
        <v/>
      </c>
      <c r="AE460" t="str">
        <f>IFERROR(ROUND(Q460*VLOOKUP(P460,商品!$A$4:$B$60,2,FALSE),0),"")</f>
        <v/>
      </c>
      <c r="AF460" t="str">
        <f>IFERROR(ROUND(S460*VLOOKUP(R460,商品!$A$4:$B$60,2,FALSE),0),"")</f>
        <v/>
      </c>
    </row>
    <row r="461" spans="1:32" ht="19.05" customHeight="1" x14ac:dyDescent="0.25">
      <c r="A461" s="15" t="s">
        <v>273</v>
      </c>
      <c r="C461" s="15">
        <v>6</v>
      </c>
      <c r="T461" s="2">
        <f t="shared" si="28"/>
        <v>0</v>
      </c>
      <c r="U461" s="2">
        <f t="shared" si="29"/>
        <v>0</v>
      </c>
      <c r="V461" s="2">
        <f t="shared" si="30"/>
        <v>0</v>
      </c>
      <c r="W461" s="2">
        <f t="shared" si="31"/>
        <v>0</v>
      </c>
      <c r="Y461" t="str">
        <f>IFERROR(ROUND(E461*VLOOKUP(D461,商品!$A$4:$B$60,2,FALSE),0),"")</f>
        <v/>
      </c>
      <c r="Z461" t="str">
        <f>IFERROR(ROUND(G461*VLOOKUP(F461,商品!$A$4:$B$60,2,FALSE),0),"")</f>
        <v/>
      </c>
      <c r="AA461" t="str">
        <f>IFERROR(ROUND(I461*VLOOKUP(H461,商品!$A$4:$B$60,2,FALSE),0),"")</f>
        <v/>
      </c>
      <c r="AB461" t="str">
        <f>IFERROR(ROUND(K461*VLOOKUP(J461,[1]note_pop_types!$A$16:$E$16,4,FALSE),0),"")</f>
        <v/>
      </c>
      <c r="AC461" t="str">
        <f>IFERROR(ROUND(M461*VLOOKUP(L461,[1]note_pop_types!$A$16:$E$16,4,FALSE),0),"")</f>
        <v/>
      </c>
      <c r="AD461" t="str">
        <f>IFERROR(ROUND(O461*VLOOKUP(N461,[1]note_pop_types!$A$16:$E$16,4,FALSE),0),"")</f>
        <v/>
      </c>
      <c r="AE461" t="str">
        <f>IFERROR(ROUND(Q461*VLOOKUP(P461,商品!$A$4:$B$60,2,FALSE),0),"")</f>
        <v/>
      </c>
      <c r="AF461" t="str">
        <f>IFERROR(ROUND(S461*VLOOKUP(R461,商品!$A$4:$B$60,2,FALSE),0),"")</f>
        <v/>
      </c>
    </row>
    <row r="462" spans="1:32" ht="19.05" customHeight="1" x14ac:dyDescent="0.25">
      <c r="A462" s="15" t="s">
        <v>273</v>
      </c>
      <c r="C462" s="15">
        <v>7</v>
      </c>
      <c r="T462" s="2">
        <f t="shared" si="28"/>
        <v>0</v>
      </c>
      <c r="U462" s="2">
        <f t="shared" si="29"/>
        <v>0</v>
      </c>
      <c r="V462" s="2">
        <f t="shared" si="30"/>
        <v>0</v>
      </c>
      <c r="W462" s="2">
        <f t="shared" si="31"/>
        <v>0</v>
      </c>
      <c r="Y462" t="str">
        <f>IFERROR(ROUND(E462*VLOOKUP(D462,商品!$A$4:$B$60,2,FALSE),0),"")</f>
        <v/>
      </c>
      <c r="Z462" t="str">
        <f>IFERROR(ROUND(G462*VLOOKUP(F462,商品!$A$4:$B$60,2,FALSE),0),"")</f>
        <v/>
      </c>
      <c r="AA462" t="str">
        <f>IFERROR(ROUND(I462*VLOOKUP(H462,商品!$A$4:$B$60,2,FALSE),0),"")</f>
        <v/>
      </c>
      <c r="AB462" t="str">
        <f>IFERROR(ROUND(K462*VLOOKUP(J462,[1]note_pop_types!$A$16:$E$16,4,FALSE),0),"")</f>
        <v/>
      </c>
      <c r="AC462" t="str">
        <f>IFERROR(ROUND(M462*VLOOKUP(L462,[1]note_pop_types!$A$16:$E$16,4,FALSE),0),"")</f>
        <v/>
      </c>
      <c r="AD462" t="str">
        <f>IFERROR(ROUND(O462*VLOOKUP(N462,[1]note_pop_types!$A$16:$E$16,4,FALSE),0),"")</f>
        <v/>
      </c>
      <c r="AE462" t="str">
        <f>IFERROR(ROUND(Q462*VLOOKUP(P462,商品!$A$4:$B$60,2,FALSE),0),"")</f>
        <v/>
      </c>
      <c r="AF462" t="str">
        <f>IFERROR(ROUND(S462*VLOOKUP(R462,商品!$A$4:$B$60,2,FALSE),0),"")</f>
        <v/>
      </c>
    </row>
    <row r="463" spans="1:32" ht="19.05" customHeight="1" x14ac:dyDescent="0.25">
      <c r="A463" s="15" t="s">
        <v>273</v>
      </c>
      <c r="C463" s="15">
        <v>8</v>
      </c>
      <c r="T463" s="2">
        <f t="shared" si="28"/>
        <v>0</v>
      </c>
      <c r="U463" s="2">
        <f t="shared" si="29"/>
        <v>0</v>
      </c>
      <c r="V463" s="2">
        <f t="shared" si="30"/>
        <v>0</v>
      </c>
      <c r="W463" s="2">
        <f t="shared" si="31"/>
        <v>0</v>
      </c>
      <c r="Y463" t="str">
        <f>IFERROR(ROUND(E463*VLOOKUP(D463,商品!$A$4:$B$60,2,FALSE),0),"")</f>
        <v/>
      </c>
      <c r="Z463" t="str">
        <f>IFERROR(ROUND(G463*VLOOKUP(F463,商品!$A$4:$B$60,2,FALSE),0),"")</f>
        <v/>
      </c>
      <c r="AA463" t="str">
        <f>IFERROR(ROUND(I463*VLOOKUP(H463,商品!$A$4:$B$60,2,FALSE),0),"")</f>
        <v/>
      </c>
      <c r="AB463" t="str">
        <f>IFERROR(ROUND(K463*VLOOKUP(J463,[1]note_pop_types!$A$16:$E$16,4,FALSE),0),"")</f>
        <v/>
      </c>
      <c r="AC463" t="str">
        <f>IFERROR(ROUND(M463*VLOOKUP(L463,[1]note_pop_types!$A$16:$E$16,4,FALSE),0),"")</f>
        <v/>
      </c>
      <c r="AD463" t="str">
        <f>IFERROR(ROUND(O463*VLOOKUP(N463,[1]note_pop_types!$A$16:$E$16,4,FALSE),0),"")</f>
        <v/>
      </c>
      <c r="AE463" t="str">
        <f>IFERROR(ROUND(Q463*VLOOKUP(P463,商品!$A$4:$B$60,2,FALSE),0),"")</f>
        <v/>
      </c>
      <c r="AF463" t="str">
        <f>IFERROR(ROUND(S463*VLOOKUP(R463,商品!$A$4:$B$60,2,FALSE),0),"")</f>
        <v/>
      </c>
    </row>
    <row r="464" spans="1:32" ht="19.05" customHeight="1" x14ac:dyDescent="0.25">
      <c r="A464" s="16" t="s">
        <v>275</v>
      </c>
      <c r="C464" s="16">
        <v>1</v>
      </c>
      <c r="T464" s="2">
        <f t="shared" si="28"/>
        <v>0</v>
      </c>
      <c r="U464" s="2">
        <f t="shared" si="29"/>
        <v>0</v>
      </c>
      <c r="V464" s="2">
        <f t="shared" si="30"/>
        <v>0</v>
      </c>
      <c r="W464" s="2">
        <f t="shared" si="31"/>
        <v>0</v>
      </c>
      <c r="Y464" t="str">
        <f>IFERROR(ROUND(E464*VLOOKUP(D464,商品!$A$4:$B$60,2,FALSE),0),"")</f>
        <v/>
      </c>
      <c r="Z464" t="str">
        <f>IFERROR(ROUND(G464*VLOOKUP(F464,商品!$A$4:$B$60,2,FALSE),0),"")</f>
        <v/>
      </c>
      <c r="AA464" t="str">
        <f>IFERROR(ROUND(I464*VLOOKUP(H464,商品!$A$4:$B$60,2,FALSE),0),"")</f>
        <v/>
      </c>
      <c r="AB464" t="str">
        <f>IFERROR(ROUND(K464*VLOOKUP(J464,[1]note_pop_types!$A$16:$E$16,4,FALSE),0),"")</f>
        <v/>
      </c>
      <c r="AC464" t="str">
        <f>IFERROR(ROUND(M464*VLOOKUP(L464,[1]note_pop_types!$A$16:$E$16,4,FALSE),0),"")</f>
        <v/>
      </c>
      <c r="AD464" t="str">
        <f>IFERROR(ROUND(O464*VLOOKUP(N464,[1]note_pop_types!$A$16:$E$16,4,FALSE),0),"")</f>
        <v/>
      </c>
      <c r="AE464" t="str">
        <f>IFERROR(ROUND(Q464*VLOOKUP(P464,商品!$A$4:$B$60,2,FALSE),0),"")</f>
        <v/>
      </c>
      <c r="AF464" t="str">
        <f>IFERROR(ROUND(S464*VLOOKUP(R464,商品!$A$4:$B$60,2,FALSE),0),"")</f>
        <v/>
      </c>
    </row>
    <row r="465" spans="1:32" ht="19.05" customHeight="1" x14ac:dyDescent="0.25">
      <c r="A465" s="16" t="s">
        <v>275</v>
      </c>
      <c r="C465" s="16">
        <v>2</v>
      </c>
      <c r="T465" s="2">
        <f t="shared" si="28"/>
        <v>0</v>
      </c>
      <c r="U465" s="2">
        <f t="shared" si="29"/>
        <v>0</v>
      </c>
      <c r="V465" s="2">
        <f t="shared" si="30"/>
        <v>0</v>
      </c>
      <c r="W465" s="2">
        <f t="shared" si="31"/>
        <v>0</v>
      </c>
      <c r="Y465" t="str">
        <f>IFERROR(ROUND(E465*VLOOKUP(D465,商品!$A$4:$B$60,2,FALSE),0),"")</f>
        <v/>
      </c>
      <c r="Z465" t="str">
        <f>IFERROR(ROUND(G465*VLOOKUP(F465,商品!$A$4:$B$60,2,FALSE),0),"")</f>
        <v/>
      </c>
      <c r="AA465" t="str">
        <f>IFERROR(ROUND(I465*VLOOKUP(H465,商品!$A$4:$B$60,2,FALSE),0),"")</f>
        <v/>
      </c>
      <c r="AB465" t="str">
        <f>IFERROR(ROUND(K465*VLOOKUP(J465,[1]note_pop_types!$A$16:$E$16,4,FALSE),0),"")</f>
        <v/>
      </c>
      <c r="AC465" t="str">
        <f>IFERROR(ROUND(M465*VLOOKUP(L465,[1]note_pop_types!$A$16:$E$16,4,FALSE),0),"")</f>
        <v/>
      </c>
      <c r="AD465" t="str">
        <f>IFERROR(ROUND(O465*VLOOKUP(N465,[1]note_pop_types!$A$16:$E$16,4,FALSE),0),"")</f>
        <v/>
      </c>
      <c r="AE465" t="str">
        <f>IFERROR(ROUND(Q465*VLOOKUP(P465,商品!$A$4:$B$60,2,FALSE),0),"")</f>
        <v/>
      </c>
      <c r="AF465" t="str">
        <f>IFERROR(ROUND(S465*VLOOKUP(R465,商品!$A$4:$B$60,2,FALSE),0),"")</f>
        <v/>
      </c>
    </row>
    <row r="466" spans="1:32" ht="19.05" customHeight="1" x14ac:dyDescent="0.25">
      <c r="A466" s="16" t="s">
        <v>275</v>
      </c>
      <c r="C466" s="16">
        <v>3</v>
      </c>
      <c r="T466" s="2">
        <f t="shared" si="28"/>
        <v>0</v>
      </c>
      <c r="U466" s="2">
        <f t="shared" si="29"/>
        <v>0</v>
      </c>
      <c r="V466" s="2">
        <f t="shared" si="30"/>
        <v>0</v>
      </c>
      <c r="W466" s="2">
        <f t="shared" si="31"/>
        <v>0</v>
      </c>
      <c r="Y466" t="str">
        <f>IFERROR(ROUND(E466*VLOOKUP(D466,商品!$A$4:$B$60,2,FALSE),0),"")</f>
        <v/>
      </c>
      <c r="Z466" t="str">
        <f>IFERROR(ROUND(G466*VLOOKUP(F466,商品!$A$4:$B$60,2,FALSE),0),"")</f>
        <v/>
      </c>
      <c r="AA466" t="str">
        <f>IFERROR(ROUND(I466*VLOOKUP(H466,商品!$A$4:$B$60,2,FALSE),0),"")</f>
        <v/>
      </c>
      <c r="AB466" t="str">
        <f>IFERROR(ROUND(K466*VLOOKUP(J466,[1]note_pop_types!$A$16:$E$16,4,FALSE),0),"")</f>
        <v/>
      </c>
      <c r="AC466" t="str">
        <f>IFERROR(ROUND(M466*VLOOKUP(L466,[1]note_pop_types!$A$16:$E$16,4,FALSE),0),"")</f>
        <v/>
      </c>
      <c r="AD466" t="str">
        <f>IFERROR(ROUND(O466*VLOOKUP(N466,[1]note_pop_types!$A$16:$E$16,4,FALSE),0),"")</f>
        <v/>
      </c>
      <c r="AE466" t="str">
        <f>IFERROR(ROUND(Q466*VLOOKUP(P466,商品!$A$4:$B$60,2,FALSE),0),"")</f>
        <v/>
      </c>
      <c r="AF466" t="str">
        <f>IFERROR(ROUND(S466*VLOOKUP(R466,商品!$A$4:$B$60,2,FALSE),0),"")</f>
        <v/>
      </c>
    </row>
    <row r="467" spans="1:32" ht="19.05" customHeight="1" x14ac:dyDescent="0.25">
      <c r="A467" s="16" t="s">
        <v>275</v>
      </c>
      <c r="C467" s="16">
        <v>4</v>
      </c>
      <c r="T467" s="2">
        <f t="shared" si="28"/>
        <v>0</v>
      </c>
      <c r="U467" s="2">
        <f t="shared" si="29"/>
        <v>0</v>
      </c>
      <c r="V467" s="2">
        <f t="shared" si="30"/>
        <v>0</v>
      </c>
      <c r="W467" s="2">
        <f t="shared" si="31"/>
        <v>0</v>
      </c>
      <c r="Y467" t="str">
        <f>IFERROR(ROUND(E467*VLOOKUP(D467,商品!$A$4:$B$60,2,FALSE),0),"")</f>
        <v/>
      </c>
      <c r="Z467" t="str">
        <f>IFERROR(ROUND(G467*VLOOKUP(F467,商品!$A$4:$B$60,2,FALSE),0),"")</f>
        <v/>
      </c>
      <c r="AA467" t="str">
        <f>IFERROR(ROUND(I467*VLOOKUP(H467,商品!$A$4:$B$60,2,FALSE),0),"")</f>
        <v/>
      </c>
      <c r="AB467" t="str">
        <f>IFERROR(ROUND(K467*VLOOKUP(J467,[1]note_pop_types!$A$16:$E$16,4,FALSE),0),"")</f>
        <v/>
      </c>
      <c r="AC467" t="str">
        <f>IFERROR(ROUND(M467*VLOOKUP(L467,[1]note_pop_types!$A$16:$E$16,4,FALSE),0),"")</f>
        <v/>
      </c>
      <c r="AD467" t="str">
        <f>IFERROR(ROUND(O467*VLOOKUP(N467,[1]note_pop_types!$A$16:$E$16,4,FALSE),0),"")</f>
        <v/>
      </c>
      <c r="AE467" t="str">
        <f>IFERROR(ROUND(Q467*VLOOKUP(P467,商品!$A$4:$B$60,2,FALSE),0),"")</f>
        <v/>
      </c>
      <c r="AF467" t="str">
        <f>IFERROR(ROUND(S467*VLOOKUP(R467,商品!$A$4:$B$60,2,FALSE),0),"")</f>
        <v/>
      </c>
    </row>
    <row r="468" spans="1:32" ht="19.05" customHeight="1" x14ac:dyDescent="0.25">
      <c r="A468" s="16" t="s">
        <v>275</v>
      </c>
      <c r="C468" s="16">
        <v>5</v>
      </c>
      <c r="T468" s="2">
        <f t="shared" si="28"/>
        <v>0</v>
      </c>
      <c r="U468" s="2">
        <f t="shared" si="29"/>
        <v>0</v>
      </c>
      <c r="V468" s="2">
        <f t="shared" si="30"/>
        <v>0</v>
      </c>
      <c r="W468" s="2">
        <f t="shared" si="31"/>
        <v>0</v>
      </c>
      <c r="Y468" t="str">
        <f>IFERROR(ROUND(E468*VLOOKUP(D468,商品!$A$4:$B$60,2,FALSE),0),"")</f>
        <v/>
      </c>
      <c r="Z468" t="str">
        <f>IFERROR(ROUND(G468*VLOOKUP(F468,商品!$A$4:$B$60,2,FALSE),0),"")</f>
        <v/>
      </c>
      <c r="AA468" t="str">
        <f>IFERROR(ROUND(I468*VLOOKUP(H468,商品!$A$4:$B$60,2,FALSE),0),"")</f>
        <v/>
      </c>
      <c r="AB468" t="str">
        <f>IFERROR(ROUND(K468*VLOOKUP(J468,[1]note_pop_types!$A$16:$E$16,4,FALSE),0),"")</f>
        <v/>
      </c>
      <c r="AC468" t="str">
        <f>IFERROR(ROUND(M468*VLOOKUP(L468,[1]note_pop_types!$A$16:$E$16,4,FALSE),0),"")</f>
        <v/>
      </c>
      <c r="AD468" t="str">
        <f>IFERROR(ROUND(O468*VLOOKUP(N468,[1]note_pop_types!$A$16:$E$16,4,FALSE),0),"")</f>
        <v/>
      </c>
      <c r="AE468" t="str">
        <f>IFERROR(ROUND(Q468*VLOOKUP(P468,商品!$A$4:$B$60,2,FALSE),0),"")</f>
        <v/>
      </c>
      <c r="AF468" t="str">
        <f>IFERROR(ROUND(S468*VLOOKUP(R468,商品!$A$4:$B$60,2,FALSE),0),"")</f>
        <v/>
      </c>
    </row>
    <row r="469" spans="1:32" ht="19.05" customHeight="1" x14ac:dyDescent="0.25">
      <c r="A469" s="15" t="s">
        <v>276</v>
      </c>
      <c r="C469" s="15">
        <v>1</v>
      </c>
      <c r="T469" s="2">
        <f t="shared" si="28"/>
        <v>0</v>
      </c>
      <c r="U469" s="2">
        <f t="shared" si="29"/>
        <v>0</v>
      </c>
      <c r="V469" s="2">
        <f t="shared" si="30"/>
        <v>0</v>
      </c>
      <c r="W469" s="2">
        <f t="shared" si="31"/>
        <v>0</v>
      </c>
      <c r="Y469" t="str">
        <f>IFERROR(ROUND(E469*VLOOKUP(D469,商品!$A$4:$B$60,2,FALSE),0),"")</f>
        <v/>
      </c>
      <c r="Z469" t="str">
        <f>IFERROR(ROUND(G469*VLOOKUP(F469,商品!$A$4:$B$60,2,FALSE),0),"")</f>
        <v/>
      </c>
      <c r="AA469" t="str">
        <f>IFERROR(ROUND(I469*VLOOKUP(H469,商品!$A$4:$B$60,2,FALSE),0),"")</f>
        <v/>
      </c>
      <c r="AB469" t="str">
        <f>IFERROR(ROUND(K469*VLOOKUP(J469,[1]note_pop_types!$A$16:$E$16,4,FALSE),0),"")</f>
        <v/>
      </c>
      <c r="AC469" t="str">
        <f>IFERROR(ROUND(M469*VLOOKUP(L469,[1]note_pop_types!$A$16:$E$16,4,FALSE),0),"")</f>
        <v/>
      </c>
      <c r="AD469" t="str">
        <f>IFERROR(ROUND(O469*VLOOKUP(N469,[1]note_pop_types!$A$16:$E$16,4,FALSE),0),"")</f>
        <v/>
      </c>
      <c r="AE469" t="str">
        <f>IFERROR(ROUND(Q469*VLOOKUP(P469,商品!$A$4:$B$60,2,FALSE),0),"")</f>
        <v/>
      </c>
      <c r="AF469" t="str">
        <f>IFERROR(ROUND(S469*VLOOKUP(R469,商品!$A$4:$B$60,2,FALSE),0),"")</f>
        <v/>
      </c>
    </row>
    <row r="470" spans="1:32" ht="19.05" customHeight="1" x14ac:dyDescent="0.25">
      <c r="A470" s="15" t="s">
        <v>276</v>
      </c>
      <c r="C470" s="15">
        <v>2</v>
      </c>
      <c r="T470" s="2">
        <f t="shared" si="28"/>
        <v>0</v>
      </c>
      <c r="U470" s="2">
        <f t="shared" si="29"/>
        <v>0</v>
      </c>
      <c r="V470" s="2">
        <f t="shared" si="30"/>
        <v>0</v>
      </c>
      <c r="W470" s="2">
        <f t="shared" si="31"/>
        <v>0</v>
      </c>
      <c r="Y470" t="str">
        <f>IFERROR(ROUND(E470*VLOOKUP(D470,商品!$A$4:$B$60,2,FALSE),0),"")</f>
        <v/>
      </c>
      <c r="Z470" t="str">
        <f>IFERROR(ROUND(G470*VLOOKUP(F470,商品!$A$4:$B$60,2,FALSE),0),"")</f>
        <v/>
      </c>
      <c r="AA470" t="str">
        <f>IFERROR(ROUND(I470*VLOOKUP(H470,商品!$A$4:$B$60,2,FALSE),0),"")</f>
        <v/>
      </c>
      <c r="AB470" t="str">
        <f>IFERROR(ROUND(K470*VLOOKUP(J470,[1]note_pop_types!$A$16:$E$16,4,FALSE),0),"")</f>
        <v/>
      </c>
      <c r="AC470" t="str">
        <f>IFERROR(ROUND(M470*VLOOKUP(L470,[1]note_pop_types!$A$16:$E$16,4,FALSE),0),"")</f>
        <v/>
      </c>
      <c r="AD470" t="str">
        <f>IFERROR(ROUND(O470*VLOOKUP(N470,[1]note_pop_types!$A$16:$E$16,4,FALSE),0),"")</f>
        <v/>
      </c>
      <c r="AE470" t="str">
        <f>IFERROR(ROUND(Q470*VLOOKUP(P470,商品!$A$4:$B$60,2,FALSE),0),"")</f>
        <v/>
      </c>
      <c r="AF470" t="str">
        <f>IFERROR(ROUND(S470*VLOOKUP(R470,商品!$A$4:$B$60,2,FALSE),0),"")</f>
        <v/>
      </c>
    </row>
    <row r="471" spans="1:32" ht="19.05" customHeight="1" x14ac:dyDescent="0.25">
      <c r="A471" s="15" t="s">
        <v>276</v>
      </c>
      <c r="C471" s="15">
        <v>3</v>
      </c>
      <c r="T471" s="2">
        <f t="shared" si="28"/>
        <v>0</v>
      </c>
      <c r="U471" s="2">
        <f t="shared" si="29"/>
        <v>0</v>
      </c>
      <c r="V471" s="2">
        <f t="shared" si="30"/>
        <v>0</v>
      </c>
      <c r="W471" s="2">
        <f t="shared" si="31"/>
        <v>0</v>
      </c>
      <c r="Y471" t="str">
        <f>IFERROR(ROUND(E471*VLOOKUP(D471,商品!$A$4:$B$60,2,FALSE),0),"")</f>
        <v/>
      </c>
      <c r="Z471" t="str">
        <f>IFERROR(ROUND(G471*VLOOKUP(F471,商品!$A$4:$B$60,2,FALSE),0),"")</f>
        <v/>
      </c>
      <c r="AA471" t="str">
        <f>IFERROR(ROUND(I471*VLOOKUP(H471,商品!$A$4:$B$60,2,FALSE),0),"")</f>
        <v/>
      </c>
      <c r="AB471" t="str">
        <f>IFERROR(ROUND(K471*VLOOKUP(J471,[1]note_pop_types!$A$16:$E$16,4,FALSE),0),"")</f>
        <v/>
      </c>
      <c r="AC471" t="str">
        <f>IFERROR(ROUND(M471*VLOOKUP(L471,[1]note_pop_types!$A$16:$E$16,4,FALSE),0),"")</f>
        <v/>
      </c>
      <c r="AD471" t="str">
        <f>IFERROR(ROUND(O471*VLOOKUP(N471,[1]note_pop_types!$A$16:$E$16,4,FALSE),0),"")</f>
        <v/>
      </c>
      <c r="AE471" t="str">
        <f>IFERROR(ROUND(Q471*VLOOKUP(P471,商品!$A$4:$B$60,2,FALSE),0),"")</f>
        <v/>
      </c>
      <c r="AF471" t="str">
        <f>IFERROR(ROUND(S471*VLOOKUP(R471,商品!$A$4:$B$60,2,FALSE),0),"")</f>
        <v/>
      </c>
    </row>
    <row r="472" spans="1:32" ht="19.05" customHeight="1" x14ac:dyDescent="0.25">
      <c r="A472" s="15" t="s">
        <v>276</v>
      </c>
      <c r="C472" s="15">
        <v>4</v>
      </c>
      <c r="T472" s="2">
        <f t="shared" si="28"/>
        <v>0</v>
      </c>
      <c r="U472" s="2">
        <f t="shared" si="29"/>
        <v>0</v>
      </c>
      <c r="V472" s="2">
        <f t="shared" si="30"/>
        <v>0</v>
      </c>
      <c r="W472" s="2">
        <f t="shared" si="31"/>
        <v>0</v>
      </c>
      <c r="Y472" t="str">
        <f>IFERROR(ROUND(E472*VLOOKUP(D472,商品!$A$4:$B$60,2,FALSE),0),"")</f>
        <v/>
      </c>
      <c r="Z472" t="str">
        <f>IFERROR(ROUND(G472*VLOOKUP(F472,商品!$A$4:$B$60,2,FALSE),0),"")</f>
        <v/>
      </c>
      <c r="AA472" t="str">
        <f>IFERROR(ROUND(I472*VLOOKUP(H472,商品!$A$4:$B$60,2,FALSE),0),"")</f>
        <v/>
      </c>
      <c r="AB472" t="str">
        <f>IFERROR(ROUND(K472*VLOOKUP(J472,[1]note_pop_types!$A$16:$E$16,4,FALSE),0),"")</f>
        <v/>
      </c>
      <c r="AC472" t="str">
        <f>IFERROR(ROUND(M472*VLOOKUP(L472,[1]note_pop_types!$A$16:$E$16,4,FALSE),0),"")</f>
        <v/>
      </c>
      <c r="AD472" t="str">
        <f>IFERROR(ROUND(O472*VLOOKUP(N472,[1]note_pop_types!$A$16:$E$16,4,FALSE),0),"")</f>
        <v/>
      </c>
      <c r="AE472" t="str">
        <f>IFERROR(ROUND(Q472*VLOOKUP(P472,商品!$A$4:$B$60,2,FALSE),0),"")</f>
        <v/>
      </c>
      <c r="AF472" t="str">
        <f>IFERROR(ROUND(S472*VLOOKUP(R472,商品!$A$4:$B$60,2,FALSE),0),"")</f>
        <v/>
      </c>
    </row>
    <row r="473" spans="1:32" ht="19.05" customHeight="1" x14ac:dyDescent="0.25">
      <c r="A473" s="15" t="s">
        <v>276</v>
      </c>
      <c r="C473" s="15">
        <v>5</v>
      </c>
      <c r="T473" s="2">
        <f t="shared" si="28"/>
        <v>0</v>
      </c>
      <c r="U473" s="2">
        <f t="shared" si="29"/>
        <v>0</v>
      </c>
      <c r="V473" s="2">
        <f t="shared" si="30"/>
        <v>0</v>
      </c>
      <c r="W473" s="2">
        <f t="shared" si="31"/>
        <v>0</v>
      </c>
      <c r="Y473" t="str">
        <f>IFERROR(ROUND(E473*VLOOKUP(D473,商品!$A$4:$B$60,2,FALSE),0),"")</f>
        <v/>
      </c>
      <c r="Z473" t="str">
        <f>IFERROR(ROUND(G473*VLOOKUP(F473,商品!$A$4:$B$60,2,FALSE),0),"")</f>
        <v/>
      </c>
      <c r="AA473" t="str">
        <f>IFERROR(ROUND(I473*VLOOKUP(H473,商品!$A$4:$B$60,2,FALSE),0),"")</f>
        <v/>
      </c>
      <c r="AB473" t="str">
        <f>IFERROR(ROUND(K473*VLOOKUP(J473,[1]note_pop_types!$A$16:$E$16,4,FALSE),0),"")</f>
        <v/>
      </c>
      <c r="AC473" t="str">
        <f>IFERROR(ROUND(M473*VLOOKUP(L473,[1]note_pop_types!$A$16:$E$16,4,FALSE),0),"")</f>
        <v/>
      </c>
      <c r="AD473" t="str">
        <f>IFERROR(ROUND(O473*VLOOKUP(N473,[1]note_pop_types!$A$16:$E$16,4,FALSE),0),"")</f>
        <v/>
      </c>
      <c r="AE473" t="str">
        <f>IFERROR(ROUND(Q473*VLOOKUP(P473,商品!$A$4:$B$60,2,FALSE),0),"")</f>
        <v/>
      </c>
      <c r="AF473" t="str">
        <f>IFERROR(ROUND(S473*VLOOKUP(R473,商品!$A$4:$B$60,2,FALSE),0),"")</f>
        <v/>
      </c>
    </row>
    <row r="474" spans="1:32" ht="19.05" customHeight="1" x14ac:dyDescent="0.25">
      <c r="A474" s="16" t="s">
        <v>523</v>
      </c>
      <c r="C474" s="16">
        <v>1</v>
      </c>
      <c r="T474" s="2">
        <f t="shared" si="28"/>
        <v>0</v>
      </c>
      <c r="U474" s="2">
        <f t="shared" si="29"/>
        <v>0</v>
      </c>
      <c r="V474" s="2">
        <f t="shared" si="30"/>
        <v>0</v>
      </c>
      <c r="W474" s="2">
        <f t="shared" si="31"/>
        <v>0</v>
      </c>
      <c r="Y474" t="str">
        <f>IFERROR(ROUND(E474*VLOOKUP(D474,商品!$A$4:$B$60,2,FALSE),0),"")</f>
        <v/>
      </c>
      <c r="Z474" t="str">
        <f>IFERROR(ROUND(G474*VLOOKUP(F474,商品!$A$4:$B$60,2,FALSE),0),"")</f>
        <v/>
      </c>
      <c r="AA474" t="str">
        <f>IFERROR(ROUND(I474*VLOOKUP(H474,商品!$A$4:$B$60,2,FALSE),0),"")</f>
        <v/>
      </c>
      <c r="AB474" t="str">
        <f>IFERROR(ROUND(K474*VLOOKUP(J474,[1]note_pop_types!$A$16:$E$16,4,FALSE),0),"")</f>
        <v/>
      </c>
      <c r="AC474" t="str">
        <f>IFERROR(ROUND(M474*VLOOKUP(L474,[1]note_pop_types!$A$16:$E$16,4,FALSE),0),"")</f>
        <v/>
      </c>
      <c r="AD474" t="str">
        <f>IFERROR(ROUND(O474*VLOOKUP(N474,[1]note_pop_types!$A$16:$E$16,4,FALSE),0),"")</f>
        <v/>
      </c>
      <c r="AE474" t="str">
        <f>IFERROR(ROUND(Q474*VLOOKUP(P474,商品!$A$4:$B$60,2,FALSE),0),"")</f>
        <v/>
      </c>
      <c r="AF474" t="str">
        <f>IFERROR(ROUND(S474*VLOOKUP(R474,商品!$A$4:$B$60,2,FALSE),0),"")</f>
        <v/>
      </c>
    </row>
    <row r="475" spans="1:32" ht="19.05" customHeight="1" x14ac:dyDescent="0.25">
      <c r="A475" s="16" t="s">
        <v>523</v>
      </c>
      <c r="C475" s="16">
        <v>2</v>
      </c>
      <c r="T475" s="2">
        <f t="shared" si="28"/>
        <v>0</v>
      </c>
      <c r="U475" s="2">
        <f t="shared" si="29"/>
        <v>0</v>
      </c>
      <c r="V475" s="2">
        <f t="shared" si="30"/>
        <v>0</v>
      </c>
      <c r="W475" s="2">
        <f t="shared" si="31"/>
        <v>0</v>
      </c>
      <c r="Y475" t="str">
        <f>IFERROR(ROUND(E475*VLOOKUP(D475,商品!$A$4:$B$60,2,FALSE),0),"")</f>
        <v/>
      </c>
      <c r="Z475" t="str">
        <f>IFERROR(ROUND(G475*VLOOKUP(F475,商品!$A$4:$B$60,2,FALSE),0),"")</f>
        <v/>
      </c>
      <c r="AA475" t="str">
        <f>IFERROR(ROUND(I475*VLOOKUP(H475,商品!$A$4:$B$60,2,FALSE),0),"")</f>
        <v/>
      </c>
      <c r="AB475" t="str">
        <f>IFERROR(ROUND(K475*VLOOKUP(J475,[1]note_pop_types!$A$16:$E$16,4,FALSE),0),"")</f>
        <v/>
      </c>
      <c r="AC475" t="str">
        <f>IFERROR(ROUND(M475*VLOOKUP(L475,[1]note_pop_types!$A$16:$E$16,4,FALSE),0),"")</f>
        <v/>
      </c>
      <c r="AD475" t="str">
        <f>IFERROR(ROUND(O475*VLOOKUP(N475,[1]note_pop_types!$A$16:$E$16,4,FALSE),0),"")</f>
        <v/>
      </c>
      <c r="AE475" t="str">
        <f>IFERROR(ROUND(Q475*VLOOKUP(P475,商品!$A$4:$B$60,2,FALSE),0),"")</f>
        <v/>
      </c>
      <c r="AF475" t="str">
        <f>IFERROR(ROUND(S475*VLOOKUP(R475,商品!$A$4:$B$60,2,FALSE),0),"")</f>
        <v/>
      </c>
    </row>
    <row r="476" spans="1:32" ht="19.05" customHeight="1" x14ac:dyDescent="0.25">
      <c r="A476" s="16" t="s">
        <v>523</v>
      </c>
      <c r="C476" s="16">
        <v>3</v>
      </c>
      <c r="T476" s="2">
        <f t="shared" si="28"/>
        <v>0</v>
      </c>
      <c r="U476" s="2">
        <f t="shared" si="29"/>
        <v>0</v>
      </c>
      <c r="V476" s="2">
        <f t="shared" si="30"/>
        <v>0</v>
      </c>
      <c r="W476" s="2">
        <f t="shared" si="31"/>
        <v>0</v>
      </c>
      <c r="Y476" t="str">
        <f>IFERROR(ROUND(E476*VLOOKUP(D476,商品!$A$4:$B$60,2,FALSE),0),"")</f>
        <v/>
      </c>
      <c r="Z476" t="str">
        <f>IFERROR(ROUND(G476*VLOOKUP(F476,商品!$A$4:$B$60,2,FALSE),0),"")</f>
        <v/>
      </c>
      <c r="AA476" t="str">
        <f>IFERROR(ROUND(I476*VLOOKUP(H476,商品!$A$4:$B$60,2,FALSE),0),"")</f>
        <v/>
      </c>
      <c r="AB476" t="str">
        <f>IFERROR(ROUND(K476*VLOOKUP(J476,[1]note_pop_types!$A$16:$E$16,4,FALSE),0),"")</f>
        <v/>
      </c>
      <c r="AC476" t="str">
        <f>IFERROR(ROUND(M476*VLOOKUP(L476,[1]note_pop_types!$A$16:$E$16,4,FALSE),0),"")</f>
        <v/>
      </c>
      <c r="AD476" t="str">
        <f>IFERROR(ROUND(O476*VLOOKUP(N476,[1]note_pop_types!$A$16:$E$16,4,FALSE),0),"")</f>
        <v/>
      </c>
      <c r="AE476" t="str">
        <f>IFERROR(ROUND(Q476*VLOOKUP(P476,商品!$A$4:$B$60,2,FALSE),0),"")</f>
        <v/>
      </c>
      <c r="AF476" t="str">
        <f>IFERROR(ROUND(S476*VLOOKUP(R476,商品!$A$4:$B$60,2,FALSE),0),"")</f>
        <v/>
      </c>
    </row>
    <row r="477" spans="1:32" ht="19.05" customHeight="1" x14ac:dyDescent="0.25">
      <c r="A477" s="16" t="s">
        <v>523</v>
      </c>
      <c r="C477" s="16">
        <v>4</v>
      </c>
      <c r="T477" s="2">
        <f t="shared" si="28"/>
        <v>0</v>
      </c>
      <c r="U477" s="2">
        <f t="shared" si="29"/>
        <v>0</v>
      </c>
      <c r="V477" s="2">
        <f t="shared" si="30"/>
        <v>0</v>
      </c>
      <c r="W477" s="2">
        <f t="shared" si="31"/>
        <v>0</v>
      </c>
      <c r="Y477" t="str">
        <f>IFERROR(ROUND(E477*VLOOKUP(D477,商品!$A$4:$B$60,2,FALSE),0),"")</f>
        <v/>
      </c>
      <c r="Z477" t="str">
        <f>IFERROR(ROUND(G477*VLOOKUP(F477,商品!$A$4:$B$60,2,FALSE),0),"")</f>
        <v/>
      </c>
      <c r="AA477" t="str">
        <f>IFERROR(ROUND(I477*VLOOKUP(H477,商品!$A$4:$B$60,2,FALSE),0),"")</f>
        <v/>
      </c>
      <c r="AB477" t="str">
        <f>IFERROR(ROUND(K477*VLOOKUP(J477,[1]note_pop_types!$A$16:$E$16,4,FALSE),0),"")</f>
        <v/>
      </c>
      <c r="AC477" t="str">
        <f>IFERROR(ROUND(M477*VLOOKUP(L477,[1]note_pop_types!$A$16:$E$16,4,FALSE),0),"")</f>
        <v/>
      </c>
      <c r="AD477" t="str">
        <f>IFERROR(ROUND(O477*VLOOKUP(N477,[1]note_pop_types!$A$16:$E$16,4,FALSE),0),"")</f>
        <v/>
      </c>
      <c r="AE477" t="str">
        <f>IFERROR(ROUND(Q477*VLOOKUP(P477,商品!$A$4:$B$60,2,FALSE),0),"")</f>
        <v/>
      </c>
      <c r="AF477" t="str">
        <f>IFERROR(ROUND(S477*VLOOKUP(R477,商品!$A$4:$B$60,2,FALSE),0),"")</f>
        <v/>
      </c>
    </row>
    <row r="478" spans="1:32" ht="19.05" customHeight="1" x14ac:dyDescent="0.25">
      <c r="A478" s="16" t="s">
        <v>523</v>
      </c>
      <c r="C478" s="16">
        <v>5</v>
      </c>
      <c r="T478" s="2">
        <f t="shared" si="28"/>
        <v>0</v>
      </c>
      <c r="U478" s="2">
        <f t="shared" si="29"/>
        <v>0</v>
      </c>
      <c r="V478" s="2">
        <f t="shared" si="30"/>
        <v>0</v>
      </c>
      <c r="W478" s="2">
        <f t="shared" si="31"/>
        <v>0</v>
      </c>
      <c r="Y478" t="str">
        <f>IFERROR(ROUND(E478*VLOOKUP(D478,商品!$A$4:$B$60,2,FALSE),0),"")</f>
        <v/>
      </c>
      <c r="Z478" t="str">
        <f>IFERROR(ROUND(G478*VLOOKUP(F478,商品!$A$4:$B$60,2,FALSE),0),"")</f>
        <v/>
      </c>
      <c r="AA478" t="str">
        <f>IFERROR(ROUND(I478*VLOOKUP(H478,商品!$A$4:$B$60,2,FALSE),0),"")</f>
        <v/>
      </c>
      <c r="AB478" t="str">
        <f>IFERROR(ROUND(K478*VLOOKUP(J478,[1]note_pop_types!$A$16:$E$16,4,FALSE),0),"")</f>
        <v/>
      </c>
      <c r="AC478" t="str">
        <f>IFERROR(ROUND(M478*VLOOKUP(L478,[1]note_pop_types!$A$16:$E$16,4,FALSE),0),"")</f>
        <v/>
      </c>
      <c r="AD478" t="str">
        <f>IFERROR(ROUND(O478*VLOOKUP(N478,[1]note_pop_types!$A$16:$E$16,4,FALSE),0),"")</f>
        <v/>
      </c>
      <c r="AE478" t="str">
        <f>IFERROR(ROUND(Q478*VLOOKUP(P478,商品!$A$4:$B$60,2,FALSE),0),"")</f>
        <v/>
      </c>
      <c r="AF478" t="str">
        <f>IFERROR(ROUND(S478*VLOOKUP(R478,商品!$A$4:$B$60,2,FALSE),0),"")</f>
        <v/>
      </c>
    </row>
    <row r="479" spans="1:32" ht="19.05" customHeight="1" x14ac:dyDescent="0.25">
      <c r="A479" s="15" t="s">
        <v>523</v>
      </c>
      <c r="C479" s="15">
        <v>1</v>
      </c>
      <c r="T479" s="2">
        <f t="shared" si="28"/>
        <v>0</v>
      </c>
      <c r="U479" s="2">
        <f t="shared" si="29"/>
        <v>0</v>
      </c>
      <c r="V479" s="2">
        <f t="shared" si="30"/>
        <v>0</v>
      </c>
      <c r="W479" s="2">
        <f t="shared" si="31"/>
        <v>0</v>
      </c>
      <c r="Y479" t="str">
        <f>IFERROR(ROUND(E479*VLOOKUP(D479,商品!$A$4:$B$60,2,FALSE),0),"")</f>
        <v/>
      </c>
      <c r="Z479" t="str">
        <f>IFERROR(ROUND(G479*VLOOKUP(F479,商品!$A$4:$B$60,2,FALSE),0),"")</f>
        <v/>
      </c>
      <c r="AA479" t="str">
        <f>IFERROR(ROUND(I479*VLOOKUP(H479,商品!$A$4:$B$60,2,FALSE),0),"")</f>
        <v/>
      </c>
      <c r="AB479" t="str">
        <f>IFERROR(ROUND(K479*VLOOKUP(J479,[1]note_pop_types!$A$16:$E$16,4,FALSE),0),"")</f>
        <v/>
      </c>
      <c r="AC479" t="str">
        <f>IFERROR(ROUND(M479*VLOOKUP(L479,[1]note_pop_types!$A$16:$E$16,4,FALSE),0),"")</f>
        <v/>
      </c>
      <c r="AD479" t="str">
        <f>IFERROR(ROUND(O479*VLOOKUP(N479,[1]note_pop_types!$A$16:$E$16,4,FALSE),0),"")</f>
        <v/>
      </c>
      <c r="AE479" t="str">
        <f>IFERROR(ROUND(Q479*VLOOKUP(P479,商品!$A$4:$B$60,2,FALSE),0),"")</f>
        <v/>
      </c>
      <c r="AF479" t="str">
        <f>IFERROR(ROUND(S479*VLOOKUP(R479,商品!$A$4:$B$60,2,FALSE),0),"")</f>
        <v/>
      </c>
    </row>
    <row r="480" spans="1:32" ht="19.05" customHeight="1" x14ac:dyDescent="0.25">
      <c r="A480" s="15" t="s">
        <v>523</v>
      </c>
      <c r="C480" s="15">
        <v>2</v>
      </c>
      <c r="T480" s="2">
        <f t="shared" si="28"/>
        <v>0</v>
      </c>
      <c r="U480" s="2">
        <f t="shared" si="29"/>
        <v>0</v>
      </c>
      <c r="V480" s="2">
        <f t="shared" si="30"/>
        <v>0</v>
      </c>
      <c r="W480" s="2">
        <f t="shared" si="31"/>
        <v>0</v>
      </c>
      <c r="Y480" t="str">
        <f>IFERROR(ROUND(E480*VLOOKUP(D480,商品!$A$4:$B$60,2,FALSE),0),"")</f>
        <v/>
      </c>
      <c r="Z480" t="str">
        <f>IFERROR(ROUND(G480*VLOOKUP(F480,商品!$A$4:$B$60,2,FALSE),0),"")</f>
        <v/>
      </c>
      <c r="AA480" t="str">
        <f>IFERROR(ROUND(I480*VLOOKUP(H480,商品!$A$4:$B$60,2,FALSE),0),"")</f>
        <v/>
      </c>
      <c r="AB480" t="str">
        <f>IFERROR(ROUND(K480*VLOOKUP(J480,[1]note_pop_types!$A$16:$E$16,4,FALSE),0),"")</f>
        <v/>
      </c>
      <c r="AC480" t="str">
        <f>IFERROR(ROUND(M480*VLOOKUP(L480,[1]note_pop_types!$A$16:$E$16,4,FALSE),0),"")</f>
        <v/>
      </c>
      <c r="AD480" t="str">
        <f>IFERROR(ROUND(O480*VLOOKUP(N480,[1]note_pop_types!$A$16:$E$16,4,FALSE),0),"")</f>
        <v/>
      </c>
      <c r="AE480" t="str">
        <f>IFERROR(ROUND(Q480*VLOOKUP(P480,商品!$A$4:$B$60,2,FALSE),0),"")</f>
        <v/>
      </c>
      <c r="AF480" t="str">
        <f>IFERROR(ROUND(S480*VLOOKUP(R480,商品!$A$4:$B$60,2,FALSE),0),"")</f>
        <v/>
      </c>
    </row>
    <row r="481" spans="1:32" ht="19.05" customHeight="1" x14ac:dyDescent="0.25">
      <c r="A481" s="15" t="s">
        <v>523</v>
      </c>
      <c r="C481" s="15">
        <v>3</v>
      </c>
      <c r="T481" s="2">
        <f t="shared" si="28"/>
        <v>0</v>
      </c>
      <c r="U481" s="2">
        <f t="shared" si="29"/>
        <v>0</v>
      </c>
      <c r="V481" s="2">
        <f t="shared" si="30"/>
        <v>0</v>
      </c>
      <c r="W481" s="2">
        <f t="shared" si="31"/>
        <v>0</v>
      </c>
      <c r="Y481" t="str">
        <f>IFERROR(ROUND(E481*VLOOKUP(D481,商品!$A$4:$B$60,2,FALSE),0),"")</f>
        <v/>
      </c>
      <c r="Z481" t="str">
        <f>IFERROR(ROUND(G481*VLOOKUP(F481,商品!$A$4:$B$60,2,FALSE),0),"")</f>
        <v/>
      </c>
      <c r="AA481" t="str">
        <f>IFERROR(ROUND(I481*VLOOKUP(H481,商品!$A$4:$B$60,2,FALSE),0),"")</f>
        <v/>
      </c>
      <c r="AB481" t="str">
        <f>IFERROR(ROUND(K481*VLOOKUP(J481,[1]note_pop_types!$A$16:$E$16,4,FALSE),0),"")</f>
        <v/>
      </c>
      <c r="AC481" t="str">
        <f>IFERROR(ROUND(M481*VLOOKUP(L481,[1]note_pop_types!$A$16:$E$16,4,FALSE),0),"")</f>
        <v/>
      </c>
      <c r="AD481" t="str">
        <f>IFERROR(ROUND(O481*VLOOKUP(N481,[1]note_pop_types!$A$16:$E$16,4,FALSE),0),"")</f>
        <v/>
      </c>
      <c r="AE481" t="str">
        <f>IFERROR(ROUND(Q481*VLOOKUP(P481,商品!$A$4:$B$60,2,FALSE),0),"")</f>
        <v/>
      </c>
      <c r="AF481" t="str">
        <f>IFERROR(ROUND(S481*VLOOKUP(R481,商品!$A$4:$B$60,2,FALSE),0),"")</f>
        <v/>
      </c>
    </row>
    <row r="482" spans="1:32" ht="19.05" customHeight="1" x14ac:dyDescent="0.25">
      <c r="A482" s="15" t="s">
        <v>523</v>
      </c>
      <c r="C482" s="15">
        <v>4</v>
      </c>
      <c r="T482" s="2">
        <f t="shared" si="28"/>
        <v>0</v>
      </c>
      <c r="U482" s="2">
        <f t="shared" si="29"/>
        <v>0</v>
      </c>
      <c r="V482" s="2">
        <f t="shared" si="30"/>
        <v>0</v>
      </c>
      <c r="W482" s="2">
        <f t="shared" si="31"/>
        <v>0</v>
      </c>
      <c r="Y482" t="str">
        <f>IFERROR(ROUND(E482*VLOOKUP(D482,商品!$A$4:$B$60,2,FALSE),0),"")</f>
        <v/>
      </c>
      <c r="Z482" t="str">
        <f>IFERROR(ROUND(G482*VLOOKUP(F482,商品!$A$4:$B$60,2,FALSE),0),"")</f>
        <v/>
      </c>
      <c r="AA482" t="str">
        <f>IFERROR(ROUND(I482*VLOOKUP(H482,商品!$A$4:$B$60,2,FALSE),0),"")</f>
        <v/>
      </c>
      <c r="AB482" t="str">
        <f>IFERROR(ROUND(K482*VLOOKUP(J482,[1]note_pop_types!$A$16:$E$16,4,FALSE),0),"")</f>
        <v/>
      </c>
      <c r="AC482" t="str">
        <f>IFERROR(ROUND(M482*VLOOKUP(L482,[1]note_pop_types!$A$16:$E$16,4,FALSE),0),"")</f>
        <v/>
      </c>
      <c r="AD482" t="str">
        <f>IFERROR(ROUND(O482*VLOOKUP(N482,[1]note_pop_types!$A$16:$E$16,4,FALSE),0),"")</f>
        <v/>
      </c>
      <c r="AE482" t="str">
        <f>IFERROR(ROUND(Q482*VLOOKUP(P482,商品!$A$4:$B$60,2,FALSE),0),"")</f>
        <v/>
      </c>
      <c r="AF482" t="str">
        <f>IFERROR(ROUND(S482*VLOOKUP(R482,商品!$A$4:$B$60,2,FALSE),0),"")</f>
        <v/>
      </c>
    </row>
    <row r="483" spans="1:32" ht="19.05" customHeight="1" x14ac:dyDescent="0.25">
      <c r="A483" s="15" t="s">
        <v>523</v>
      </c>
      <c r="C483" s="15">
        <v>5</v>
      </c>
      <c r="T483" s="2">
        <f t="shared" si="28"/>
        <v>0</v>
      </c>
      <c r="U483" s="2">
        <f t="shared" si="29"/>
        <v>0</v>
      </c>
      <c r="V483" s="2">
        <f t="shared" si="30"/>
        <v>0</v>
      </c>
      <c r="W483" s="2">
        <f t="shared" si="31"/>
        <v>0</v>
      </c>
      <c r="Y483" t="str">
        <f>IFERROR(ROUND(E483*VLOOKUP(D483,商品!$A$4:$B$60,2,FALSE),0),"")</f>
        <v/>
      </c>
      <c r="Z483" t="str">
        <f>IFERROR(ROUND(G483*VLOOKUP(F483,商品!$A$4:$B$60,2,FALSE),0),"")</f>
        <v/>
      </c>
      <c r="AA483" t="str">
        <f>IFERROR(ROUND(I483*VLOOKUP(H483,商品!$A$4:$B$60,2,FALSE),0),"")</f>
        <v/>
      </c>
      <c r="AB483" t="str">
        <f>IFERROR(ROUND(K483*VLOOKUP(J483,[1]note_pop_types!$A$16:$E$16,4,FALSE),0),"")</f>
        <v/>
      </c>
      <c r="AC483" t="str">
        <f>IFERROR(ROUND(M483*VLOOKUP(L483,[1]note_pop_types!$A$16:$E$16,4,FALSE),0),"")</f>
        <v/>
      </c>
      <c r="AD483" t="str">
        <f>IFERROR(ROUND(O483*VLOOKUP(N483,[1]note_pop_types!$A$16:$E$16,4,FALSE),0),"")</f>
        <v/>
      </c>
      <c r="AE483" t="str">
        <f>IFERROR(ROUND(Q483*VLOOKUP(P483,商品!$A$4:$B$60,2,FALSE),0),"")</f>
        <v/>
      </c>
      <c r="AF483" t="str">
        <f>IFERROR(ROUND(S483*VLOOKUP(R483,商品!$A$4:$B$60,2,FALSE),0),"")</f>
        <v/>
      </c>
    </row>
    <row r="484" spans="1:32" ht="19.05" customHeight="1" x14ac:dyDescent="0.25">
      <c r="A484" s="16" t="s">
        <v>279</v>
      </c>
      <c r="C484" s="16">
        <v>1</v>
      </c>
      <c r="T484" s="2">
        <f t="shared" si="28"/>
        <v>0</v>
      </c>
      <c r="U484" s="2">
        <f t="shared" si="29"/>
        <v>0</v>
      </c>
      <c r="V484" s="2">
        <f t="shared" si="30"/>
        <v>0</v>
      </c>
      <c r="W484" s="2">
        <f t="shared" si="31"/>
        <v>0</v>
      </c>
      <c r="Y484" t="str">
        <f>IFERROR(ROUND(E484*VLOOKUP(D484,商品!$A$4:$B$60,2,FALSE),0),"")</f>
        <v/>
      </c>
      <c r="Z484" t="str">
        <f>IFERROR(ROUND(G484*VLOOKUP(F484,商品!$A$4:$B$60,2,FALSE),0),"")</f>
        <v/>
      </c>
      <c r="AA484" t="str">
        <f>IFERROR(ROUND(I484*VLOOKUP(H484,商品!$A$4:$B$60,2,FALSE),0),"")</f>
        <v/>
      </c>
      <c r="AB484" t="str">
        <f>IFERROR(ROUND(K484*VLOOKUP(J484,[1]note_pop_types!$A$16:$E$16,4,FALSE),0),"")</f>
        <v/>
      </c>
      <c r="AC484" t="str">
        <f>IFERROR(ROUND(M484*VLOOKUP(L484,[1]note_pop_types!$A$16:$E$16,4,FALSE),0),"")</f>
        <v/>
      </c>
      <c r="AD484" t="str">
        <f>IFERROR(ROUND(O484*VLOOKUP(N484,[1]note_pop_types!$A$16:$E$16,4,FALSE),0),"")</f>
        <v/>
      </c>
      <c r="AE484" t="str">
        <f>IFERROR(ROUND(Q484*VLOOKUP(P484,商品!$A$4:$B$60,2,FALSE),0),"")</f>
        <v/>
      </c>
      <c r="AF484" t="str">
        <f>IFERROR(ROUND(S484*VLOOKUP(R484,商品!$A$4:$B$60,2,FALSE),0),"")</f>
        <v/>
      </c>
    </row>
    <row r="485" spans="1:32" ht="19.05" customHeight="1" x14ac:dyDescent="0.25">
      <c r="A485" s="16" t="s">
        <v>279</v>
      </c>
      <c r="C485" s="16">
        <v>2</v>
      </c>
      <c r="T485" s="2">
        <f t="shared" si="28"/>
        <v>0</v>
      </c>
      <c r="U485" s="2">
        <f t="shared" si="29"/>
        <v>0</v>
      </c>
      <c r="V485" s="2">
        <f t="shared" si="30"/>
        <v>0</v>
      </c>
      <c r="W485" s="2">
        <f t="shared" si="31"/>
        <v>0</v>
      </c>
      <c r="Y485" t="str">
        <f>IFERROR(ROUND(E485*VLOOKUP(D485,商品!$A$4:$B$60,2,FALSE),0),"")</f>
        <v/>
      </c>
      <c r="Z485" t="str">
        <f>IFERROR(ROUND(G485*VLOOKUP(F485,商品!$A$4:$B$60,2,FALSE),0),"")</f>
        <v/>
      </c>
      <c r="AA485" t="str">
        <f>IFERROR(ROUND(I485*VLOOKUP(H485,商品!$A$4:$B$60,2,FALSE),0),"")</f>
        <v/>
      </c>
      <c r="AB485" t="str">
        <f>IFERROR(ROUND(K485*VLOOKUP(J485,[1]note_pop_types!$A$16:$E$16,4,FALSE),0),"")</f>
        <v/>
      </c>
      <c r="AC485" t="str">
        <f>IFERROR(ROUND(M485*VLOOKUP(L485,[1]note_pop_types!$A$16:$E$16,4,FALSE),0),"")</f>
        <v/>
      </c>
      <c r="AD485" t="str">
        <f>IFERROR(ROUND(O485*VLOOKUP(N485,[1]note_pop_types!$A$16:$E$16,4,FALSE),0),"")</f>
        <v/>
      </c>
      <c r="AE485" t="str">
        <f>IFERROR(ROUND(Q485*VLOOKUP(P485,商品!$A$4:$B$60,2,FALSE),0),"")</f>
        <v/>
      </c>
      <c r="AF485" t="str">
        <f>IFERROR(ROUND(S485*VLOOKUP(R485,商品!$A$4:$B$60,2,FALSE),0),"")</f>
        <v/>
      </c>
    </row>
    <row r="486" spans="1:32" ht="19.05" customHeight="1" x14ac:dyDescent="0.25">
      <c r="A486" s="16" t="s">
        <v>279</v>
      </c>
      <c r="C486" s="16">
        <v>3</v>
      </c>
      <c r="T486" s="2">
        <f t="shared" si="28"/>
        <v>0</v>
      </c>
      <c r="U486" s="2">
        <f t="shared" si="29"/>
        <v>0</v>
      </c>
      <c r="V486" s="2">
        <f t="shared" si="30"/>
        <v>0</v>
      </c>
      <c r="W486" s="2">
        <f t="shared" si="31"/>
        <v>0</v>
      </c>
      <c r="Y486" t="str">
        <f>IFERROR(ROUND(E486*VLOOKUP(D486,商品!$A$4:$B$60,2,FALSE),0),"")</f>
        <v/>
      </c>
      <c r="Z486" t="str">
        <f>IFERROR(ROUND(G486*VLOOKUP(F486,商品!$A$4:$B$60,2,FALSE),0),"")</f>
        <v/>
      </c>
      <c r="AA486" t="str">
        <f>IFERROR(ROUND(I486*VLOOKUP(H486,商品!$A$4:$B$60,2,FALSE),0),"")</f>
        <v/>
      </c>
      <c r="AB486" t="str">
        <f>IFERROR(ROUND(K486*VLOOKUP(J486,[1]note_pop_types!$A$16:$E$16,4,FALSE),0),"")</f>
        <v/>
      </c>
      <c r="AC486" t="str">
        <f>IFERROR(ROUND(M486*VLOOKUP(L486,[1]note_pop_types!$A$16:$E$16,4,FALSE),0),"")</f>
        <v/>
      </c>
      <c r="AD486" t="str">
        <f>IFERROR(ROUND(O486*VLOOKUP(N486,[1]note_pop_types!$A$16:$E$16,4,FALSE),0),"")</f>
        <v/>
      </c>
      <c r="AE486" t="str">
        <f>IFERROR(ROUND(Q486*VLOOKUP(P486,商品!$A$4:$B$60,2,FALSE),0),"")</f>
        <v/>
      </c>
      <c r="AF486" t="str">
        <f>IFERROR(ROUND(S486*VLOOKUP(R486,商品!$A$4:$B$60,2,FALSE),0),"")</f>
        <v/>
      </c>
    </row>
    <row r="487" spans="1:32" ht="19.05" customHeight="1" x14ac:dyDescent="0.25">
      <c r="A487" s="16" t="s">
        <v>279</v>
      </c>
      <c r="C487" s="16">
        <v>4</v>
      </c>
      <c r="T487" s="2">
        <f t="shared" si="28"/>
        <v>0</v>
      </c>
      <c r="U487" s="2">
        <f t="shared" si="29"/>
        <v>0</v>
      </c>
      <c r="V487" s="2">
        <f t="shared" si="30"/>
        <v>0</v>
      </c>
      <c r="W487" s="2">
        <f t="shared" si="31"/>
        <v>0</v>
      </c>
      <c r="Y487" t="str">
        <f>IFERROR(ROUND(E487*VLOOKUP(D487,商品!$A$4:$B$60,2,FALSE),0),"")</f>
        <v/>
      </c>
      <c r="Z487" t="str">
        <f>IFERROR(ROUND(G487*VLOOKUP(F487,商品!$A$4:$B$60,2,FALSE),0),"")</f>
        <v/>
      </c>
      <c r="AA487" t="str">
        <f>IFERROR(ROUND(I487*VLOOKUP(H487,商品!$A$4:$B$60,2,FALSE),0),"")</f>
        <v/>
      </c>
      <c r="AB487" t="str">
        <f>IFERROR(ROUND(K487*VLOOKUP(J487,[1]note_pop_types!$A$16:$E$16,4,FALSE),0),"")</f>
        <v/>
      </c>
      <c r="AC487" t="str">
        <f>IFERROR(ROUND(M487*VLOOKUP(L487,[1]note_pop_types!$A$16:$E$16,4,FALSE),0),"")</f>
        <v/>
      </c>
      <c r="AD487" t="str">
        <f>IFERROR(ROUND(O487*VLOOKUP(N487,[1]note_pop_types!$A$16:$E$16,4,FALSE),0),"")</f>
        <v/>
      </c>
      <c r="AE487" t="str">
        <f>IFERROR(ROUND(Q487*VLOOKUP(P487,商品!$A$4:$B$60,2,FALSE),0),"")</f>
        <v/>
      </c>
      <c r="AF487" t="str">
        <f>IFERROR(ROUND(S487*VLOOKUP(R487,商品!$A$4:$B$60,2,FALSE),0),"")</f>
        <v/>
      </c>
    </row>
    <row r="488" spans="1:32" ht="19.05" customHeight="1" x14ac:dyDescent="0.25">
      <c r="A488" s="16" t="s">
        <v>279</v>
      </c>
      <c r="C488" s="16">
        <v>5</v>
      </c>
      <c r="T488" s="2">
        <f t="shared" si="28"/>
        <v>0</v>
      </c>
      <c r="U488" s="2">
        <f t="shared" si="29"/>
        <v>0</v>
      </c>
      <c r="V488" s="2">
        <f t="shared" si="30"/>
        <v>0</v>
      </c>
      <c r="W488" s="2">
        <f t="shared" si="31"/>
        <v>0</v>
      </c>
      <c r="Y488" t="str">
        <f>IFERROR(ROUND(E488*VLOOKUP(D488,商品!$A$4:$B$60,2,FALSE),0),"")</f>
        <v/>
      </c>
      <c r="Z488" t="str">
        <f>IFERROR(ROUND(G488*VLOOKUP(F488,商品!$A$4:$B$60,2,FALSE),0),"")</f>
        <v/>
      </c>
      <c r="AA488" t="str">
        <f>IFERROR(ROUND(I488*VLOOKUP(H488,商品!$A$4:$B$60,2,FALSE),0),"")</f>
        <v/>
      </c>
      <c r="AB488" t="str">
        <f>IFERROR(ROUND(K488*VLOOKUP(J488,[1]note_pop_types!$A$16:$E$16,4,FALSE),0),"")</f>
        <v/>
      </c>
      <c r="AC488" t="str">
        <f>IFERROR(ROUND(M488*VLOOKUP(L488,[1]note_pop_types!$A$16:$E$16,4,FALSE),0),"")</f>
        <v/>
      </c>
      <c r="AD488" t="str">
        <f>IFERROR(ROUND(O488*VLOOKUP(N488,[1]note_pop_types!$A$16:$E$16,4,FALSE),0),"")</f>
        <v/>
      </c>
      <c r="AE488" t="str">
        <f>IFERROR(ROUND(Q488*VLOOKUP(P488,商品!$A$4:$B$60,2,FALSE),0),"")</f>
        <v/>
      </c>
      <c r="AF488" t="str">
        <f>IFERROR(ROUND(S488*VLOOKUP(R488,商品!$A$4:$B$60,2,FALSE),0),"")</f>
        <v/>
      </c>
    </row>
    <row r="489" spans="1:32" ht="19.05" customHeight="1" x14ac:dyDescent="0.25">
      <c r="A489" s="16" t="s">
        <v>279</v>
      </c>
      <c r="C489" s="16">
        <v>6</v>
      </c>
      <c r="T489" s="2">
        <f t="shared" si="28"/>
        <v>0</v>
      </c>
      <c r="U489" s="2">
        <f t="shared" si="29"/>
        <v>0</v>
      </c>
      <c r="V489" s="2">
        <f t="shared" si="30"/>
        <v>0</v>
      </c>
      <c r="W489" s="2">
        <f t="shared" si="31"/>
        <v>0</v>
      </c>
      <c r="Y489" t="str">
        <f>IFERROR(ROUND(E489*VLOOKUP(D489,商品!$A$4:$B$60,2,FALSE),0),"")</f>
        <v/>
      </c>
      <c r="Z489" t="str">
        <f>IFERROR(ROUND(G489*VLOOKUP(F489,商品!$A$4:$B$60,2,FALSE),0),"")</f>
        <v/>
      </c>
      <c r="AA489" t="str">
        <f>IFERROR(ROUND(I489*VLOOKUP(H489,商品!$A$4:$B$60,2,FALSE),0),"")</f>
        <v/>
      </c>
      <c r="AB489" t="str">
        <f>IFERROR(ROUND(K489*VLOOKUP(J489,[1]note_pop_types!$A$16:$E$16,4,FALSE),0),"")</f>
        <v/>
      </c>
      <c r="AC489" t="str">
        <f>IFERROR(ROUND(M489*VLOOKUP(L489,[1]note_pop_types!$A$16:$E$16,4,FALSE),0),"")</f>
        <v/>
      </c>
      <c r="AD489" t="str">
        <f>IFERROR(ROUND(O489*VLOOKUP(N489,[1]note_pop_types!$A$16:$E$16,4,FALSE),0),"")</f>
        <v/>
      </c>
      <c r="AE489" t="str">
        <f>IFERROR(ROUND(Q489*VLOOKUP(P489,商品!$A$4:$B$60,2,FALSE),0),"")</f>
        <v/>
      </c>
      <c r="AF489" t="str">
        <f>IFERROR(ROUND(S489*VLOOKUP(R489,商品!$A$4:$B$60,2,FALSE),0),"")</f>
        <v/>
      </c>
    </row>
    <row r="490" spans="1:32" ht="19.05" customHeight="1" x14ac:dyDescent="0.25">
      <c r="A490" s="16" t="s">
        <v>279</v>
      </c>
      <c r="C490" s="16">
        <v>7</v>
      </c>
      <c r="T490" s="2">
        <f t="shared" si="28"/>
        <v>0</v>
      </c>
      <c r="U490" s="2">
        <f t="shared" si="29"/>
        <v>0</v>
      </c>
      <c r="V490" s="2">
        <f t="shared" si="30"/>
        <v>0</v>
      </c>
      <c r="W490" s="2">
        <f t="shared" si="31"/>
        <v>0</v>
      </c>
      <c r="Y490" t="str">
        <f>IFERROR(ROUND(E490*VLOOKUP(D490,商品!$A$4:$B$60,2,FALSE),0),"")</f>
        <v/>
      </c>
      <c r="Z490" t="str">
        <f>IFERROR(ROUND(G490*VLOOKUP(F490,商品!$A$4:$B$60,2,FALSE),0),"")</f>
        <v/>
      </c>
      <c r="AA490" t="str">
        <f>IFERROR(ROUND(I490*VLOOKUP(H490,商品!$A$4:$B$60,2,FALSE),0),"")</f>
        <v/>
      </c>
      <c r="AB490" t="str">
        <f>IFERROR(ROUND(K490*VLOOKUP(J490,[1]note_pop_types!$A$16:$E$16,4,FALSE),0),"")</f>
        <v/>
      </c>
      <c r="AC490" t="str">
        <f>IFERROR(ROUND(M490*VLOOKUP(L490,[1]note_pop_types!$A$16:$E$16,4,FALSE),0),"")</f>
        <v/>
      </c>
      <c r="AD490" t="str">
        <f>IFERROR(ROUND(O490*VLOOKUP(N490,[1]note_pop_types!$A$16:$E$16,4,FALSE),0),"")</f>
        <v/>
      </c>
      <c r="AE490" t="str">
        <f>IFERROR(ROUND(Q490*VLOOKUP(P490,商品!$A$4:$B$60,2,FALSE),0),"")</f>
        <v/>
      </c>
      <c r="AF490" t="str">
        <f>IFERROR(ROUND(S490*VLOOKUP(R490,商品!$A$4:$B$60,2,FALSE),0),"")</f>
        <v/>
      </c>
    </row>
    <row r="491" spans="1:32" ht="19.05" customHeight="1" x14ac:dyDescent="0.25">
      <c r="A491" s="16" t="s">
        <v>279</v>
      </c>
      <c r="C491" s="16">
        <v>8</v>
      </c>
      <c r="T491" s="2">
        <f t="shared" si="28"/>
        <v>0</v>
      </c>
      <c r="U491" s="2">
        <f t="shared" si="29"/>
        <v>0</v>
      </c>
      <c r="V491" s="2">
        <f t="shared" si="30"/>
        <v>0</v>
      </c>
      <c r="W491" s="2">
        <f t="shared" si="31"/>
        <v>0</v>
      </c>
      <c r="Y491" t="str">
        <f>IFERROR(ROUND(E491*VLOOKUP(D491,商品!$A$4:$B$60,2,FALSE),0),"")</f>
        <v/>
      </c>
      <c r="Z491" t="str">
        <f>IFERROR(ROUND(G491*VLOOKUP(F491,商品!$A$4:$B$60,2,FALSE),0),"")</f>
        <v/>
      </c>
      <c r="AA491" t="str">
        <f>IFERROR(ROUND(I491*VLOOKUP(H491,商品!$A$4:$B$60,2,FALSE),0),"")</f>
        <v/>
      </c>
      <c r="AB491" t="str">
        <f>IFERROR(ROUND(K491*VLOOKUP(J491,[1]note_pop_types!$A$16:$E$16,4,FALSE),0),"")</f>
        <v/>
      </c>
      <c r="AC491" t="str">
        <f>IFERROR(ROUND(M491*VLOOKUP(L491,[1]note_pop_types!$A$16:$E$16,4,FALSE),0),"")</f>
        <v/>
      </c>
      <c r="AD491" t="str">
        <f>IFERROR(ROUND(O491*VLOOKUP(N491,[1]note_pop_types!$A$16:$E$16,4,FALSE),0),"")</f>
        <v/>
      </c>
      <c r="AE491" t="str">
        <f>IFERROR(ROUND(Q491*VLOOKUP(P491,商品!$A$4:$B$60,2,FALSE),0),"")</f>
        <v/>
      </c>
      <c r="AF491" t="str">
        <f>IFERROR(ROUND(S491*VLOOKUP(R491,商品!$A$4:$B$60,2,FALSE),0),"")</f>
        <v/>
      </c>
    </row>
    <row r="492" spans="1:32" ht="19.05" customHeight="1" x14ac:dyDescent="0.25">
      <c r="A492" s="15" t="s">
        <v>281</v>
      </c>
      <c r="C492" s="15">
        <v>1</v>
      </c>
      <c r="T492" s="2">
        <f t="shared" si="28"/>
        <v>0</v>
      </c>
      <c r="U492" s="2">
        <f t="shared" si="29"/>
        <v>0</v>
      </c>
      <c r="V492" s="2">
        <f t="shared" si="30"/>
        <v>0</v>
      </c>
      <c r="W492" s="2">
        <f t="shared" si="31"/>
        <v>0</v>
      </c>
      <c r="Y492" t="str">
        <f>IFERROR(ROUND(E492*VLOOKUP(D492,商品!$A$4:$B$60,2,FALSE),0),"")</f>
        <v/>
      </c>
      <c r="Z492" t="str">
        <f>IFERROR(ROUND(G492*VLOOKUP(F492,商品!$A$4:$B$60,2,FALSE),0),"")</f>
        <v/>
      </c>
      <c r="AA492" t="str">
        <f>IFERROR(ROUND(I492*VLOOKUP(H492,商品!$A$4:$B$60,2,FALSE),0),"")</f>
        <v/>
      </c>
      <c r="AB492" t="str">
        <f>IFERROR(ROUND(K492*VLOOKUP(J492,[1]note_pop_types!$A$16:$E$16,4,FALSE),0),"")</f>
        <v/>
      </c>
      <c r="AC492" t="str">
        <f>IFERROR(ROUND(M492*VLOOKUP(L492,[1]note_pop_types!$A$16:$E$16,4,FALSE),0),"")</f>
        <v/>
      </c>
      <c r="AD492" t="str">
        <f>IFERROR(ROUND(O492*VLOOKUP(N492,[1]note_pop_types!$A$16:$E$16,4,FALSE),0),"")</f>
        <v/>
      </c>
      <c r="AE492" t="str">
        <f>IFERROR(ROUND(Q492*VLOOKUP(P492,商品!$A$4:$B$60,2,FALSE),0),"")</f>
        <v/>
      </c>
      <c r="AF492" t="str">
        <f>IFERROR(ROUND(S492*VLOOKUP(R492,商品!$A$4:$B$60,2,FALSE),0),"")</f>
        <v/>
      </c>
    </row>
    <row r="493" spans="1:32" ht="19.05" customHeight="1" x14ac:dyDescent="0.25">
      <c r="A493" s="15" t="s">
        <v>281</v>
      </c>
      <c r="C493" s="15">
        <v>2</v>
      </c>
      <c r="T493" s="2">
        <f t="shared" si="28"/>
        <v>0</v>
      </c>
      <c r="U493" s="2">
        <f t="shared" si="29"/>
        <v>0</v>
      </c>
      <c r="V493" s="2">
        <f t="shared" si="30"/>
        <v>0</v>
      </c>
      <c r="W493" s="2">
        <f t="shared" si="31"/>
        <v>0</v>
      </c>
      <c r="Y493" t="str">
        <f>IFERROR(ROUND(E493*VLOOKUP(D493,商品!$A$4:$B$60,2,FALSE),0),"")</f>
        <v/>
      </c>
      <c r="Z493" t="str">
        <f>IFERROR(ROUND(G493*VLOOKUP(F493,商品!$A$4:$B$60,2,FALSE),0),"")</f>
        <v/>
      </c>
      <c r="AA493" t="str">
        <f>IFERROR(ROUND(I493*VLOOKUP(H493,商品!$A$4:$B$60,2,FALSE),0),"")</f>
        <v/>
      </c>
      <c r="AB493" t="str">
        <f>IFERROR(ROUND(K493*VLOOKUP(J493,[1]note_pop_types!$A$16:$E$16,4,FALSE),0),"")</f>
        <v/>
      </c>
      <c r="AC493" t="str">
        <f>IFERROR(ROUND(M493*VLOOKUP(L493,[1]note_pop_types!$A$16:$E$16,4,FALSE),0),"")</f>
        <v/>
      </c>
      <c r="AD493" t="str">
        <f>IFERROR(ROUND(O493*VLOOKUP(N493,[1]note_pop_types!$A$16:$E$16,4,FALSE),0),"")</f>
        <v/>
      </c>
      <c r="AE493" t="str">
        <f>IFERROR(ROUND(Q493*VLOOKUP(P493,商品!$A$4:$B$60,2,FALSE),0),"")</f>
        <v/>
      </c>
      <c r="AF493" t="str">
        <f>IFERROR(ROUND(S493*VLOOKUP(R493,商品!$A$4:$B$60,2,FALSE),0),"")</f>
        <v/>
      </c>
    </row>
    <row r="494" spans="1:32" ht="19.05" customHeight="1" x14ac:dyDescent="0.25">
      <c r="A494" s="15" t="s">
        <v>281</v>
      </c>
      <c r="C494" s="15">
        <v>3</v>
      </c>
      <c r="T494" s="2">
        <f t="shared" si="28"/>
        <v>0</v>
      </c>
      <c r="U494" s="2">
        <f t="shared" si="29"/>
        <v>0</v>
      </c>
      <c r="V494" s="2">
        <f t="shared" si="30"/>
        <v>0</v>
      </c>
      <c r="W494" s="2">
        <f t="shared" si="31"/>
        <v>0</v>
      </c>
      <c r="Y494" t="str">
        <f>IFERROR(ROUND(E494*VLOOKUP(D494,商品!$A$4:$B$60,2,FALSE),0),"")</f>
        <v/>
      </c>
      <c r="Z494" t="str">
        <f>IFERROR(ROUND(G494*VLOOKUP(F494,商品!$A$4:$B$60,2,FALSE),0),"")</f>
        <v/>
      </c>
      <c r="AA494" t="str">
        <f>IFERROR(ROUND(I494*VLOOKUP(H494,商品!$A$4:$B$60,2,FALSE),0),"")</f>
        <v/>
      </c>
      <c r="AB494" t="str">
        <f>IFERROR(ROUND(K494*VLOOKUP(J494,[1]note_pop_types!$A$16:$E$16,4,FALSE),0),"")</f>
        <v/>
      </c>
      <c r="AC494" t="str">
        <f>IFERROR(ROUND(M494*VLOOKUP(L494,[1]note_pop_types!$A$16:$E$16,4,FALSE),0),"")</f>
        <v/>
      </c>
      <c r="AD494" t="str">
        <f>IFERROR(ROUND(O494*VLOOKUP(N494,[1]note_pop_types!$A$16:$E$16,4,FALSE),0),"")</f>
        <v/>
      </c>
      <c r="AE494" t="str">
        <f>IFERROR(ROUND(Q494*VLOOKUP(P494,商品!$A$4:$B$60,2,FALSE),0),"")</f>
        <v/>
      </c>
      <c r="AF494" t="str">
        <f>IFERROR(ROUND(S494*VLOOKUP(R494,商品!$A$4:$B$60,2,FALSE),0),"")</f>
        <v/>
      </c>
    </row>
    <row r="495" spans="1:32" ht="19.05" customHeight="1" x14ac:dyDescent="0.25">
      <c r="A495" s="15" t="s">
        <v>281</v>
      </c>
      <c r="C495" s="15">
        <v>4</v>
      </c>
      <c r="T495" s="2">
        <f t="shared" si="28"/>
        <v>0</v>
      </c>
      <c r="U495" s="2">
        <f t="shared" si="29"/>
        <v>0</v>
      </c>
      <c r="V495" s="2">
        <f t="shared" si="30"/>
        <v>0</v>
      </c>
      <c r="W495" s="2">
        <f t="shared" si="31"/>
        <v>0</v>
      </c>
      <c r="Y495" t="str">
        <f>IFERROR(ROUND(E495*VLOOKUP(D495,商品!$A$4:$B$60,2,FALSE),0),"")</f>
        <v/>
      </c>
      <c r="Z495" t="str">
        <f>IFERROR(ROUND(G495*VLOOKUP(F495,商品!$A$4:$B$60,2,FALSE),0),"")</f>
        <v/>
      </c>
      <c r="AA495" t="str">
        <f>IFERROR(ROUND(I495*VLOOKUP(H495,商品!$A$4:$B$60,2,FALSE),0),"")</f>
        <v/>
      </c>
      <c r="AB495" t="str">
        <f>IFERROR(ROUND(K495*VLOOKUP(J495,[1]note_pop_types!$A$16:$E$16,4,FALSE),0),"")</f>
        <v/>
      </c>
      <c r="AC495" t="str">
        <f>IFERROR(ROUND(M495*VLOOKUP(L495,[1]note_pop_types!$A$16:$E$16,4,FALSE),0),"")</f>
        <v/>
      </c>
      <c r="AD495" t="str">
        <f>IFERROR(ROUND(O495*VLOOKUP(N495,[1]note_pop_types!$A$16:$E$16,4,FALSE),0),"")</f>
        <v/>
      </c>
      <c r="AE495" t="str">
        <f>IFERROR(ROUND(Q495*VLOOKUP(P495,商品!$A$4:$B$60,2,FALSE),0),"")</f>
        <v/>
      </c>
      <c r="AF495" t="str">
        <f>IFERROR(ROUND(S495*VLOOKUP(R495,商品!$A$4:$B$60,2,FALSE),0),"")</f>
        <v/>
      </c>
    </row>
    <row r="496" spans="1:32" ht="19.05" customHeight="1" x14ac:dyDescent="0.25">
      <c r="A496" s="15" t="s">
        <v>281</v>
      </c>
      <c r="C496" s="15">
        <v>5</v>
      </c>
      <c r="T496" s="2">
        <f t="shared" si="28"/>
        <v>0</v>
      </c>
      <c r="U496" s="2">
        <f t="shared" si="29"/>
        <v>0</v>
      </c>
      <c r="V496" s="2">
        <f t="shared" si="30"/>
        <v>0</v>
      </c>
      <c r="W496" s="2">
        <f t="shared" si="31"/>
        <v>0</v>
      </c>
      <c r="Y496" t="str">
        <f>IFERROR(ROUND(E496*VLOOKUP(D496,商品!$A$4:$B$60,2,FALSE),0),"")</f>
        <v/>
      </c>
      <c r="Z496" t="str">
        <f>IFERROR(ROUND(G496*VLOOKUP(F496,商品!$A$4:$B$60,2,FALSE),0),"")</f>
        <v/>
      </c>
      <c r="AA496" t="str">
        <f>IFERROR(ROUND(I496*VLOOKUP(H496,商品!$A$4:$B$60,2,FALSE),0),"")</f>
        <v/>
      </c>
      <c r="AB496" t="str">
        <f>IFERROR(ROUND(K496*VLOOKUP(J496,[1]note_pop_types!$A$16:$E$16,4,FALSE),0),"")</f>
        <v/>
      </c>
      <c r="AC496" t="str">
        <f>IFERROR(ROUND(M496*VLOOKUP(L496,[1]note_pop_types!$A$16:$E$16,4,FALSE),0),"")</f>
        <v/>
      </c>
      <c r="AD496" t="str">
        <f>IFERROR(ROUND(O496*VLOOKUP(N496,[1]note_pop_types!$A$16:$E$16,4,FALSE),0),"")</f>
        <v/>
      </c>
      <c r="AE496" t="str">
        <f>IFERROR(ROUND(Q496*VLOOKUP(P496,商品!$A$4:$B$60,2,FALSE),0),"")</f>
        <v/>
      </c>
      <c r="AF496" t="str">
        <f>IFERROR(ROUND(S496*VLOOKUP(R496,商品!$A$4:$B$60,2,FALSE),0),"")</f>
        <v/>
      </c>
    </row>
    <row r="497" spans="1:32" ht="19.05" customHeight="1" x14ac:dyDescent="0.25">
      <c r="A497" s="16" t="s">
        <v>284</v>
      </c>
      <c r="C497" s="16">
        <v>1</v>
      </c>
      <c r="T497" s="2">
        <f t="shared" si="28"/>
        <v>0</v>
      </c>
      <c r="U497" s="2">
        <f t="shared" si="29"/>
        <v>0</v>
      </c>
      <c r="V497" s="2">
        <f t="shared" si="30"/>
        <v>0</v>
      </c>
      <c r="W497" s="2">
        <f t="shared" si="31"/>
        <v>0</v>
      </c>
      <c r="Y497" t="str">
        <f>IFERROR(ROUND(E497*VLOOKUP(D497,商品!$A$4:$B$60,2,FALSE),0),"")</f>
        <v/>
      </c>
      <c r="Z497" t="str">
        <f>IFERROR(ROUND(G497*VLOOKUP(F497,商品!$A$4:$B$60,2,FALSE),0),"")</f>
        <v/>
      </c>
      <c r="AA497" t="str">
        <f>IFERROR(ROUND(I497*VLOOKUP(H497,商品!$A$4:$B$60,2,FALSE),0),"")</f>
        <v/>
      </c>
      <c r="AB497" t="str">
        <f>IFERROR(ROUND(K497*VLOOKUP(J497,[1]note_pop_types!$A$16:$E$16,4,FALSE),0),"")</f>
        <v/>
      </c>
      <c r="AC497" t="str">
        <f>IFERROR(ROUND(M497*VLOOKUP(L497,[1]note_pop_types!$A$16:$E$16,4,FALSE),0),"")</f>
        <v/>
      </c>
      <c r="AD497" t="str">
        <f>IFERROR(ROUND(O497*VLOOKUP(N497,[1]note_pop_types!$A$16:$E$16,4,FALSE),0),"")</f>
        <v/>
      </c>
      <c r="AE497" t="str">
        <f>IFERROR(ROUND(Q497*VLOOKUP(P497,商品!$A$4:$B$60,2,FALSE),0),"")</f>
        <v/>
      </c>
      <c r="AF497" t="str">
        <f>IFERROR(ROUND(S497*VLOOKUP(R497,商品!$A$4:$B$60,2,FALSE),0),"")</f>
        <v/>
      </c>
    </row>
    <row r="498" spans="1:32" ht="19.05" customHeight="1" x14ac:dyDescent="0.25">
      <c r="A498" s="16" t="s">
        <v>284</v>
      </c>
      <c r="C498" s="16">
        <v>2</v>
      </c>
      <c r="T498" s="2">
        <f t="shared" si="28"/>
        <v>0</v>
      </c>
      <c r="U498" s="2">
        <f t="shared" si="29"/>
        <v>0</v>
      </c>
      <c r="V498" s="2">
        <f t="shared" si="30"/>
        <v>0</v>
      </c>
      <c r="W498" s="2">
        <f t="shared" si="31"/>
        <v>0</v>
      </c>
      <c r="Y498" t="str">
        <f>IFERROR(ROUND(E498*VLOOKUP(D498,商品!$A$4:$B$60,2,FALSE),0),"")</f>
        <v/>
      </c>
      <c r="Z498" t="str">
        <f>IFERROR(ROUND(G498*VLOOKUP(F498,商品!$A$4:$B$60,2,FALSE),0),"")</f>
        <v/>
      </c>
      <c r="AA498" t="str">
        <f>IFERROR(ROUND(I498*VLOOKUP(H498,商品!$A$4:$B$60,2,FALSE),0),"")</f>
        <v/>
      </c>
      <c r="AB498" t="str">
        <f>IFERROR(ROUND(K498*VLOOKUP(J498,[1]note_pop_types!$A$16:$E$16,4,FALSE),0),"")</f>
        <v/>
      </c>
      <c r="AC498" t="str">
        <f>IFERROR(ROUND(M498*VLOOKUP(L498,[1]note_pop_types!$A$16:$E$16,4,FALSE),0),"")</f>
        <v/>
      </c>
      <c r="AD498" t="str">
        <f>IFERROR(ROUND(O498*VLOOKUP(N498,[1]note_pop_types!$A$16:$E$16,4,FALSE),0),"")</f>
        <v/>
      </c>
      <c r="AE498" t="str">
        <f>IFERROR(ROUND(Q498*VLOOKUP(P498,商品!$A$4:$B$60,2,FALSE),0),"")</f>
        <v/>
      </c>
      <c r="AF498" t="str">
        <f>IFERROR(ROUND(S498*VLOOKUP(R498,商品!$A$4:$B$60,2,FALSE),0),"")</f>
        <v/>
      </c>
    </row>
    <row r="499" spans="1:32" ht="19.05" customHeight="1" x14ac:dyDescent="0.25">
      <c r="A499" s="16" t="s">
        <v>284</v>
      </c>
      <c r="C499" s="16">
        <v>3</v>
      </c>
      <c r="T499" s="2">
        <f t="shared" si="28"/>
        <v>0</v>
      </c>
      <c r="U499" s="2">
        <f t="shared" si="29"/>
        <v>0</v>
      </c>
      <c r="V499" s="2">
        <f t="shared" si="30"/>
        <v>0</v>
      </c>
      <c r="W499" s="2">
        <f t="shared" si="31"/>
        <v>0</v>
      </c>
      <c r="Y499" t="str">
        <f>IFERROR(ROUND(E499*VLOOKUP(D499,商品!$A$4:$B$60,2,FALSE),0),"")</f>
        <v/>
      </c>
      <c r="Z499" t="str">
        <f>IFERROR(ROUND(G499*VLOOKUP(F499,商品!$A$4:$B$60,2,FALSE),0),"")</f>
        <v/>
      </c>
      <c r="AA499" t="str">
        <f>IFERROR(ROUND(I499*VLOOKUP(H499,商品!$A$4:$B$60,2,FALSE),0),"")</f>
        <v/>
      </c>
      <c r="AB499" t="str">
        <f>IFERROR(ROUND(K499*VLOOKUP(J499,[1]note_pop_types!$A$16:$E$16,4,FALSE),0),"")</f>
        <v/>
      </c>
      <c r="AC499" t="str">
        <f>IFERROR(ROUND(M499*VLOOKUP(L499,[1]note_pop_types!$A$16:$E$16,4,FALSE),0),"")</f>
        <v/>
      </c>
      <c r="AD499" t="str">
        <f>IFERROR(ROUND(O499*VLOOKUP(N499,[1]note_pop_types!$A$16:$E$16,4,FALSE),0),"")</f>
        <v/>
      </c>
      <c r="AE499" t="str">
        <f>IFERROR(ROUND(Q499*VLOOKUP(P499,商品!$A$4:$B$60,2,FALSE),0),"")</f>
        <v/>
      </c>
      <c r="AF499" t="str">
        <f>IFERROR(ROUND(S499*VLOOKUP(R499,商品!$A$4:$B$60,2,FALSE),0),"")</f>
        <v/>
      </c>
    </row>
    <row r="500" spans="1:32" ht="19.05" customHeight="1" x14ac:dyDescent="0.25">
      <c r="A500" s="16" t="s">
        <v>284</v>
      </c>
      <c r="C500" s="16">
        <v>4</v>
      </c>
      <c r="T500" s="2">
        <f t="shared" si="28"/>
        <v>0</v>
      </c>
      <c r="U500" s="2">
        <f t="shared" si="29"/>
        <v>0</v>
      </c>
      <c r="V500" s="2">
        <f t="shared" si="30"/>
        <v>0</v>
      </c>
      <c r="W500" s="2">
        <f t="shared" si="31"/>
        <v>0</v>
      </c>
      <c r="Y500" t="str">
        <f>IFERROR(ROUND(E500*VLOOKUP(D500,商品!$A$4:$B$60,2,FALSE),0),"")</f>
        <v/>
      </c>
      <c r="Z500" t="str">
        <f>IFERROR(ROUND(G500*VLOOKUP(F500,商品!$A$4:$B$60,2,FALSE),0),"")</f>
        <v/>
      </c>
      <c r="AA500" t="str">
        <f>IFERROR(ROUND(I500*VLOOKUP(H500,商品!$A$4:$B$60,2,FALSE),0),"")</f>
        <v/>
      </c>
      <c r="AB500" t="str">
        <f>IFERROR(ROUND(K500*VLOOKUP(J500,[1]note_pop_types!$A$16:$E$16,4,FALSE),0),"")</f>
        <v/>
      </c>
      <c r="AC500" t="str">
        <f>IFERROR(ROUND(M500*VLOOKUP(L500,[1]note_pop_types!$A$16:$E$16,4,FALSE),0),"")</f>
        <v/>
      </c>
      <c r="AD500" t="str">
        <f>IFERROR(ROUND(O500*VLOOKUP(N500,[1]note_pop_types!$A$16:$E$16,4,FALSE),0),"")</f>
        <v/>
      </c>
      <c r="AE500" t="str">
        <f>IFERROR(ROUND(Q500*VLOOKUP(P500,商品!$A$4:$B$60,2,FALSE),0),"")</f>
        <v/>
      </c>
      <c r="AF500" t="str">
        <f>IFERROR(ROUND(S500*VLOOKUP(R500,商品!$A$4:$B$60,2,FALSE),0),"")</f>
        <v/>
      </c>
    </row>
    <row r="501" spans="1:32" ht="19.05" customHeight="1" x14ac:dyDescent="0.25">
      <c r="A501" s="16" t="s">
        <v>284</v>
      </c>
      <c r="C501" s="16">
        <v>5</v>
      </c>
      <c r="T501" s="2">
        <f t="shared" si="28"/>
        <v>0</v>
      </c>
      <c r="U501" s="2">
        <f t="shared" si="29"/>
        <v>0</v>
      </c>
      <c r="V501" s="2">
        <f t="shared" si="30"/>
        <v>0</v>
      </c>
      <c r="W501" s="2">
        <f t="shared" si="31"/>
        <v>0</v>
      </c>
      <c r="Y501" t="str">
        <f>IFERROR(ROUND(E501*VLOOKUP(D501,商品!$A$4:$B$60,2,FALSE),0),"")</f>
        <v/>
      </c>
      <c r="Z501" t="str">
        <f>IFERROR(ROUND(G501*VLOOKUP(F501,商品!$A$4:$B$60,2,FALSE),0),"")</f>
        <v/>
      </c>
      <c r="AA501" t="str">
        <f>IFERROR(ROUND(I501*VLOOKUP(H501,商品!$A$4:$B$60,2,FALSE),0),"")</f>
        <v/>
      </c>
      <c r="AB501" t="str">
        <f>IFERROR(ROUND(K501*VLOOKUP(J501,[1]note_pop_types!$A$16:$E$16,4,FALSE),0),"")</f>
        <v/>
      </c>
      <c r="AC501" t="str">
        <f>IFERROR(ROUND(M501*VLOOKUP(L501,[1]note_pop_types!$A$16:$E$16,4,FALSE),0),"")</f>
        <v/>
      </c>
      <c r="AD501" t="str">
        <f>IFERROR(ROUND(O501*VLOOKUP(N501,[1]note_pop_types!$A$16:$E$16,4,FALSE),0),"")</f>
        <v/>
      </c>
      <c r="AE501" t="str">
        <f>IFERROR(ROUND(Q501*VLOOKUP(P501,商品!$A$4:$B$60,2,FALSE),0),"")</f>
        <v/>
      </c>
      <c r="AF501" t="str">
        <f>IFERROR(ROUND(S501*VLOOKUP(R501,商品!$A$4:$B$60,2,FALSE),0),"")</f>
        <v/>
      </c>
    </row>
    <row r="502" spans="1:32" ht="19.05" customHeight="1" x14ac:dyDescent="0.25">
      <c r="A502" s="15" t="s">
        <v>286</v>
      </c>
      <c r="C502" s="15">
        <v>1</v>
      </c>
      <c r="T502" s="2">
        <f t="shared" si="28"/>
        <v>0</v>
      </c>
      <c r="U502" s="2">
        <f t="shared" si="29"/>
        <v>0</v>
      </c>
      <c r="V502" s="2">
        <f t="shared" si="30"/>
        <v>0</v>
      </c>
      <c r="W502" s="2">
        <f t="shared" si="31"/>
        <v>0</v>
      </c>
      <c r="Y502" t="str">
        <f>IFERROR(ROUND(E502*VLOOKUP(D502,商品!$A$4:$B$60,2,FALSE),0),"")</f>
        <v/>
      </c>
      <c r="Z502" t="str">
        <f>IFERROR(ROUND(G502*VLOOKUP(F502,商品!$A$4:$B$60,2,FALSE),0),"")</f>
        <v/>
      </c>
      <c r="AA502" t="str">
        <f>IFERROR(ROUND(I502*VLOOKUP(H502,商品!$A$4:$B$60,2,FALSE),0),"")</f>
        <v/>
      </c>
      <c r="AB502" t="str">
        <f>IFERROR(ROUND(K502*VLOOKUP(J502,[1]note_pop_types!$A$16:$E$16,4,FALSE),0),"")</f>
        <v/>
      </c>
      <c r="AC502" t="str">
        <f>IFERROR(ROUND(M502*VLOOKUP(L502,[1]note_pop_types!$A$16:$E$16,4,FALSE),0),"")</f>
        <v/>
      </c>
      <c r="AD502" t="str">
        <f>IFERROR(ROUND(O502*VLOOKUP(N502,[1]note_pop_types!$A$16:$E$16,4,FALSE),0),"")</f>
        <v/>
      </c>
      <c r="AE502" t="str">
        <f>IFERROR(ROUND(Q502*VLOOKUP(P502,商品!$A$4:$B$60,2,FALSE),0),"")</f>
        <v/>
      </c>
      <c r="AF502" t="str">
        <f>IFERROR(ROUND(S502*VLOOKUP(R502,商品!$A$4:$B$60,2,FALSE),0),"")</f>
        <v/>
      </c>
    </row>
    <row r="503" spans="1:32" ht="19.05" customHeight="1" x14ac:dyDescent="0.25">
      <c r="A503" s="15" t="s">
        <v>286</v>
      </c>
      <c r="C503" s="15">
        <v>2</v>
      </c>
      <c r="T503" s="2">
        <f t="shared" si="28"/>
        <v>0</v>
      </c>
      <c r="U503" s="2">
        <f t="shared" si="29"/>
        <v>0</v>
      </c>
      <c r="V503" s="2">
        <f t="shared" si="30"/>
        <v>0</v>
      </c>
      <c r="W503" s="2">
        <f t="shared" si="31"/>
        <v>0</v>
      </c>
      <c r="Y503" t="str">
        <f>IFERROR(ROUND(E503*VLOOKUP(D503,商品!$A$4:$B$60,2,FALSE),0),"")</f>
        <v/>
      </c>
      <c r="Z503" t="str">
        <f>IFERROR(ROUND(G503*VLOOKUP(F503,商品!$A$4:$B$60,2,FALSE),0),"")</f>
        <v/>
      </c>
      <c r="AA503" t="str">
        <f>IFERROR(ROUND(I503*VLOOKUP(H503,商品!$A$4:$B$60,2,FALSE),0),"")</f>
        <v/>
      </c>
      <c r="AB503" t="str">
        <f>IFERROR(ROUND(K503*VLOOKUP(J503,[1]note_pop_types!$A$16:$E$16,4,FALSE),0),"")</f>
        <v/>
      </c>
      <c r="AC503" t="str">
        <f>IFERROR(ROUND(M503*VLOOKUP(L503,[1]note_pop_types!$A$16:$E$16,4,FALSE),0),"")</f>
        <v/>
      </c>
      <c r="AD503" t="str">
        <f>IFERROR(ROUND(O503*VLOOKUP(N503,[1]note_pop_types!$A$16:$E$16,4,FALSE),0),"")</f>
        <v/>
      </c>
      <c r="AE503" t="str">
        <f>IFERROR(ROUND(Q503*VLOOKUP(P503,商品!$A$4:$B$60,2,FALSE),0),"")</f>
        <v/>
      </c>
      <c r="AF503" t="str">
        <f>IFERROR(ROUND(S503*VLOOKUP(R503,商品!$A$4:$B$60,2,FALSE),0),"")</f>
        <v/>
      </c>
    </row>
    <row r="504" spans="1:32" ht="19.05" customHeight="1" x14ac:dyDescent="0.25">
      <c r="A504" s="15" t="s">
        <v>286</v>
      </c>
      <c r="C504" s="15">
        <v>3</v>
      </c>
      <c r="T504" s="2">
        <f t="shared" si="28"/>
        <v>0</v>
      </c>
      <c r="U504" s="2">
        <f t="shared" si="29"/>
        <v>0</v>
      </c>
      <c r="V504" s="2">
        <f t="shared" si="30"/>
        <v>0</v>
      </c>
      <c r="W504" s="2">
        <f t="shared" si="31"/>
        <v>0</v>
      </c>
      <c r="Y504" t="str">
        <f>IFERROR(ROUND(E504*VLOOKUP(D504,商品!$A$4:$B$60,2,FALSE),0),"")</f>
        <v/>
      </c>
      <c r="Z504" t="str">
        <f>IFERROR(ROUND(G504*VLOOKUP(F504,商品!$A$4:$B$60,2,FALSE),0),"")</f>
        <v/>
      </c>
      <c r="AA504" t="str">
        <f>IFERROR(ROUND(I504*VLOOKUP(H504,商品!$A$4:$B$60,2,FALSE),0),"")</f>
        <v/>
      </c>
      <c r="AB504" t="str">
        <f>IFERROR(ROUND(K504*VLOOKUP(J504,[1]note_pop_types!$A$16:$E$16,4,FALSE),0),"")</f>
        <v/>
      </c>
      <c r="AC504" t="str">
        <f>IFERROR(ROUND(M504*VLOOKUP(L504,[1]note_pop_types!$A$16:$E$16,4,FALSE),0),"")</f>
        <v/>
      </c>
      <c r="AD504" t="str">
        <f>IFERROR(ROUND(O504*VLOOKUP(N504,[1]note_pop_types!$A$16:$E$16,4,FALSE),0),"")</f>
        <v/>
      </c>
      <c r="AE504" t="str">
        <f>IFERROR(ROUND(Q504*VLOOKUP(P504,商品!$A$4:$B$60,2,FALSE),0),"")</f>
        <v/>
      </c>
      <c r="AF504" t="str">
        <f>IFERROR(ROUND(S504*VLOOKUP(R504,商品!$A$4:$B$60,2,FALSE),0),"")</f>
        <v/>
      </c>
    </row>
    <row r="505" spans="1:32" ht="19.05" customHeight="1" x14ac:dyDescent="0.25">
      <c r="A505" s="15" t="s">
        <v>286</v>
      </c>
      <c r="C505" s="15">
        <v>4</v>
      </c>
      <c r="T505" s="2">
        <f t="shared" si="28"/>
        <v>0</v>
      </c>
      <c r="U505" s="2">
        <f t="shared" si="29"/>
        <v>0</v>
      </c>
      <c r="V505" s="2">
        <f t="shared" si="30"/>
        <v>0</v>
      </c>
      <c r="W505" s="2">
        <f t="shared" si="31"/>
        <v>0</v>
      </c>
      <c r="Y505" t="str">
        <f>IFERROR(ROUND(E505*VLOOKUP(D505,商品!$A$4:$B$60,2,FALSE),0),"")</f>
        <v/>
      </c>
      <c r="Z505" t="str">
        <f>IFERROR(ROUND(G505*VLOOKUP(F505,商品!$A$4:$B$60,2,FALSE),0),"")</f>
        <v/>
      </c>
      <c r="AA505" t="str">
        <f>IFERROR(ROUND(I505*VLOOKUP(H505,商品!$A$4:$B$60,2,FALSE),0),"")</f>
        <v/>
      </c>
      <c r="AB505" t="str">
        <f>IFERROR(ROUND(K505*VLOOKUP(J505,[1]note_pop_types!$A$16:$E$16,4,FALSE),0),"")</f>
        <v/>
      </c>
      <c r="AC505" t="str">
        <f>IFERROR(ROUND(M505*VLOOKUP(L505,[1]note_pop_types!$A$16:$E$16,4,FALSE),0),"")</f>
        <v/>
      </c>
      <c r="AD505" t="str">
        <f>IFERROR(ROUND(O505*VLOOKUP(N505,[1]note_pop_types!$A$16:$E$16,4,FALSE),0),"")</f>
        <v/>
      </c>
      <c r="AE505" t="str">
        <f>IFERROR(ROUND(Q505*VLOOKUP(P505,商品!$A$4:$B$60,2,FALSE),0),"")</f>
        <v/>
      </c>
      <c r="AF505" t="str">
        <f>IFERROR(ROUND(S505*VLOOKUP(R505,商品!$A$4:$B$60,2,FALSE),0),"")</f>
        <v/>
      </c>
    </row>
    <row r="506" spans="1:32" ht="19.05" customHeight="1" x14ac:dyDescent="0.25">
      <c r="A506" s="15" t="s">
        <v>286</v>
      </c>
      <c r="C506" s="15">
        <v>5</v>
      </c>
      <c r="T506" s="2">
        <f t="shared" si="28"/>
        <v>0</v>
      </c>
      <c r="U506" s="2">
        <f t="shared" si="29"/>
        <v>0</v>
      </c>
      <c r="V506" s="2">
        <f t="shared" si="30"/>
        <v>0</v>
      </c>
      <c r="W506" s="2">
        <f t="shared" si="31"/>
        <v>0</v>
      </c>
      <c r="Y506" t="str">
        <f>IFERROR(ROUND(E506*VLOOKUP(D506,商品!$A$4:$B$60,2,FALSE),0),"")</f>
        <v/>
      </c>
      <c r="Z506" t="str">
        <f>IFERROR(ROUND(G506*VLOOKUP(F506,商品!$A$4:$B$60,2,FALSE),0),"")</f>
        <v/>
      </c>
      <c r="AA506" t="str">
        <f>IFERROR(ROUND(I506*VLOOKUP(H506,商品!$A$4:$B$60,2,FALSE),0),"")</f>
        <v/>
      </c>
      <c r="AB506" t="str">
        <f>IFERROR(ROUND(K506*VLOOKUP(J506,[1]note_pop_types!$A$16:$E$16,4,FALSE),0),"")</f>
        <v/>
      </c>
      <c r="AC506" t="str">
        <f>IFERROR(ROUND(M506*VLOOKUP(L506,[1]note_pop_types!$A$16:$E$16,4,FALSE),0),"")</f>
        <v/>
      </c>
      <c r="AD506" t="str">
        <f>IFERROR(ROUND(O506*VLOOKUP(N506,[1]note_pop_types!$A$16:$E$16,4,FALSE),0),"")</f>
        <v/>
      </c>
      <c r="AE506" t="str">
        <f>IFERROR(ROUND(Q506*VLOOKUP(P506,商品!$A$4:$B$60,2,FALSE),0),"")</f>
        <v/>
      </c>
      <c r="AF506" t="str">
        <f>IFERROR(ROUND(S506*VLOOKUP(R506,商品!$A$4:$B$60,2,FALSE),0),"")</f>
        <v/>
      </c>
    </row>
    <row r="507" spans="1:32" ht="19.05" customHeight="1" x14ac:dyDescent="0.25">
      <c r="A507" s="16" t="s">
        <v>287</v>
      </c>
      <c r="C507" s="16">
        <v>1</v>
      </c>
      <c r="T507" s="2">
        <f t="shared" si="28"/>
        <v>0</v>
      </c>
      <c r="U507" s="2">
        <f t="shared" si="29"/>
        <v>0</v>
      </c>
      <c r="V507" s="2">
        <f t="shared" si="30"/>
        <v>0</v>
      </c>
      <c r="W507" s="2">
        <f t="shared" si="31"/>
        <v>0</v>
      </c>
      <c r="Y507" t="str">
        <f>IFERROR(ROUND(E507*VLOOKUP(D507,商品!$A$4:$B$60,2,FALSE),0),"")</f>
        <v/>
      </c>
      <c r="Z507" t="str">
        <f>IFERROR(ROUND(G507*VLOOKUP(F507,商品!$A$4:$B$60,2,FALSE),0),"")</f>
        <v/>
      </c>
      <c r="AA507" t="str">
        <f>IFERROR(ROUND(I507*VLOOKUP(H507,商品!$A$4:$B$60,2,FALSE),0),"")</f>
        <v/>
      </c>
      <c r="AB507" t="str">
        <f>IFERROR(ROUND(K507*VLOOKUP(J507,[1]note_pop_types!$A$16:$E$16,4,FALSE),0),"")</f>
        <v/>
      </c>
      <c r="AC507" t="str">
        <f>IFERROR(ROUND(M507*VLOOKUP(L507,[1]note_pop_types!$A$16:$E$16,4,FALSE),0),"")</f>
        <v/>
      </c>
      <c r="AD507" t="str">
        <f>IFERROR(ROUND(O507*VLOOKUP(N507,[1]note_pop_types!$A$16:$E$16,4,FALSE),0),"")</f>
        <v/>
      </c>
      <c r="AE507" t="str">
        <f>IFERROR(ROUND(Q507*VLOOKUP(P507,商品!$A$4:$B$60,2,FALSE),0),"")</f>
        <v/>
      </c>
      <c r="AF507" t="str">
        <f>IFERROR(ROUND(S507*VLOOKUP(R507,商品!$A$4:$B$60,2,FALSE),0),"")</f>
        <v/>
      </c>
    </row>
    <row r="508" spans="1:32" ht="19.05" customHeight="1" x14ac:dyDescent="0.25">
      <c r="A508" s="16" t="s">
        <v>287</v>
      </c>
      <c r="C508" s="16">
        <v>2</v>
      </c>
      <c r="T508" s="2">
        <f t="shared" si="28"/>
        <v>0</v>
      </c>
      <c r="U508" s="2">
        <f t="shared" si="29"/>
        <v>0</v>
      </c>
      <c r="V508" s="2">
        <f t="shared" si="30"/>
        <v>0</v>
      </c>
      <c r="W508" s="2">
        <f t="shared" si="31"/>
        <v>0</v>
      </c>
      <c r="Y508" t="str">
        <f>IFERROR(ROUND(E508*VLOOKUP(D508,商品!$A$4:$B$60,2,FALSE),0),"")</f>
        <v/>
      </c>
      <c r="Z508" t="str">
        <f>IFERROR(ROUND(G508*VLOOKUP(F508,商品!$A$4:$B$60,2,FALSE),0),"")</f>
        <v/>
      </c>
      <c r="AA508" t="str">
        <f>IFERROR(ROUND(I508*VLOOKUP(H508,商品!$A$4:$B$60,2,FALSE),0),"")</f>
        <v/>
      </c>
      <c r="AB508" t="str">
        <f>IFERROR(ROUND(K508*VLOOKUP(J508,[1]note_pop_types!$A$16:$E$16,4,FALSE),0),"")</f>
        <v/>
      </c>
      <c r="AC508" t="str">
        <f>IFERROR(ROUND(M508*VLOOKUP(L508,[1]note_pop_types!$A$16:$E$16,4,FALSE),0),"")</f>
        <v/>
      </c>
      <c r="AD508" t="str">
        <f>IFERROR(ROUND(O508*VLOOKUP(N508,[1]note_pop_types!$A$16:$E$16,4,FALSE),0),"")</f>
        <v/>
      </c>
      <c r="AE508" t="str">
        <f>IFERROR(ROUND(Q508*VLOOKUP(P508,商品!$A$4:$B$60,2,FALSE),0),"")</f>
        <v/>
      </c>
      <c r="AF508" t="str">
        <f>IFERROR(ROUND(S508*VLOOKUP(R508,商品!$A$4:$B$60,2,FALSE),0),"")</f>
        <v/>
      </c>
    </row>
    <row r="509" spans="1:32" ht="19.05" customHeight="1" x14ac:dyDescent="0.25">
      <c r="A509" s="16" t="s">
        <v>287</v>
      </c>
      <c r="C509" s="16">
        <v>3</v>
      </c>
      <c r="T509" s="2">
        <f t="shared" si="28"/>
        <v>0</v>
      </c>
      <c r="U509" s="2">
        <f t="shared" si="29"/>
        <v>0</v>
      </c>
      <c r="V509" s="2">
        <f t="shared" si="30"/>
        <v>0</v>
      </c>
      <c r="W509" s="2">
        <f t="shared" si="31"/>
        <v>0</v>
      </c>
      <c r="Y509" t="str">
        <f>IFERROR(ROUND(E509*VLOOKUP(D509,商品!$A$4:$B$60,2,FALSE),0),"")</f>
        <v/>
      </c>
      <c r="Z509" t="str">
        <f>IFERROR(ROUND(G509*VLOOKUP(F509,商品!$A$4:$B$60,2,FALSE),0),"")</f>
        <v/>
      </c>
      <c r="AA509" t="str">
        <f>IFERROR(ROUND(I509*VLOOKUP(H509,商品!$A$4:$B$60,2,FALSE),0),"")</f>
        <v/>
      </c>
      <c r="AB509" t="str">
        <f>IFERROR(ROUND(K509*VLOOKUP(J509,[1]note_pop_types!$A$16:$E$16,4,FALSE),0),"")</f>
        <v/>
      </c>
      <c r="AC509" t="str">
        <f>IFERROR(ROUND(M509*VLOOKUP(L509,[1]note_pop_types!$A$16:$E$16,4,FALSE),0),"")</f>
        <v/>
      </c>
      <c r="AD509" t="str">
        <f>IFERROR(ROUND(O509*VLOOKUP(N509,[1]note_pop_types!$A$16:$E$16,4,FALSE),0),"")</f>
        <v/>
      </c>
      <c r="AE509" t="str">
        <f>IFERROR(ROUND(Q509*VLOOKUP(P509,商品!$A$4:$B$60,2,FALSE),0),"")</f>
        <v/>
      </c>
      <c r="AF509" t="str">
        <f>IFERROR(ROUND(S509*VLOOKUP(R509,商品!$A$4:$B$60,2,FALSE),0),"")</f>
        <v/>
      </c>
    </row>
    <row r="510" spans="1:32" ht="19.05" customHeight="1" x14ac:dyDescent="0.25">
      <c r="A510" s="16" t="s">
        <v>287</v>
      </c>
      <c r="C510" s="16">
        <v>4</v>
      </c>
      <c r="T510" s="2">
        <f t="shared" si="28"/>
        <v>0</v>
      </c>
      <c r="U510" s="2">
        <f t="shared" si="29"/>
        <v>0</v>
      </c>
      <c r="V510" s="2">
        <f t="shared" si="30"/>
        <v>0</v>
      </c>
      <c r="W510" s="2">
        <f t="shared" si="31"/>
        <v>0</v>
      </c>
      <c r="Y510" t="str">
        <f>IFERROR(ROUND(E510*VLOOKUP(D510,商品!$A$4:$B$60,2,FALSE),0),"")</f>
        <v/>
      </c>
      <c r="Z510" t="str">
        <f>IFERROR(ROUND(G510*VLOOKUP(F510,商品!$A$4:$B$60,2,FALSE),0),"")</f>
        <v/>
      </c>
      <c r="AA510" t="str">
        <f>IFERROR(ROUND(I510*VLOOKUP(H510,商品!$A$4:$B$60,2,FALSE),0),"")</f>
        <v/>
      </c>
      <c r="AB510" t="str">
        <f>IFERROR(ROUND(K510*VLOOKUP(J510,[1]note_pop_types!$A$16:$E$16,4,FALSE),0),"")</f>
        <v/>
      </c>
      <c r="AC510" t="str">
        <f>IFERROR(ROUND(M510*VLOOKUP(L510,[1]note_pop_types!$A$16:$E$16,4,FALSE),0),"")</f>
        <v/>
      </c>
      <c r="AD510" t="str">
        <f>IFERROR(ROUND(O510*VLOOKUP(N510,[1]note_pop_types!$A$16:$E$16,4,FALSE),0),"")</f>
        <v/>
      </c>
      <c r="AE510" t="str">
        <f>IFERROR(ROUND(Q510*VLOOKUP(P510,商品!$A$4:$B$60,2,FALSE),0),"")</f>
        <v/>
      </c>
      <c r="AF510" t="str">
        <f>IFERROR(ROUND(S510*VLOOKUP(R510,商品!$A$4:$B$60,2,FALSE),0),"")</f>
        <v/>
      </c>
    </row>
    <row r="511" spans="1:32" ht="19.05" customHeight="1" x14ac:dyDescent="0.25">
      <c r="A511" s="16" t="s">
        <v>287</v>
      </c>
      <c r="C511" s="16">
        <v>5</v>
      </c>
      <c r="T511" s="2">
        <f t="shared" si="28"/>
        <v>0</v>
      </c>
      <c r="U511" s="2">
        <f t="shared" si="29"/>
        <v>0</v>
      </c>
      <c r="V511" s="2">
        <f t="shared" si="30"/>
        <v>0</v>
      </c>
      <c r="W511" s="2">
        <f t="shared" si="31"/>
        <v>0</v>
      </c>
      <c r="Y511" t="str">
        <f>IFERROR(ROUND(E511*VLOOKUP(D511,商品!$A$4:$B$60,2,FALSE),0),"")</f>
        <v/>
      </c>
      <c r="Z511" t="str">
        <f>IFERROR(ROUND(G511*VLOOKUP(F511,商品!$A$4:$B$60,2,FALSE),0),"")</f>
        <v/>
      </c>
      <c r="AA511" t="str">
        <f>IFERROR(ROUND(I511*VLOOKUP(H511,商品!$A$4:$B$60,2,FALSE),0),"")</f>
        <v/>
      </c>
      <c r="AB511" t="str">
        <f>IFERROR(ROUND(K511*VLOOKUP(J511,[1]note_pop_types!$A$16:$E$16,4,FALSE),0),"")</f>
        <v/>
      </c>
      <c r="AC511" t="str">
        <f>IFERROR(ROUND(M511*VLOOKUP(L511,[1]note_pop_types!$A$16:$E$16,4,FALSE),0),"")</f>
        <v/>
      </c>
      <c r="AD511" t="str">
        <f>IFERROR(ROUND(O511*VLOOKUP(N511,[1]note_pop_types!$A$16:$E$16,4,FALSE),0),"")</f>
        <v/>
      </c>
      <c r="AE511" t="str">
        <f>IFERROR(ROUND(Q511*VLOOKUP(P511,商品!$A$4:$B$60,2,FALSE),0),"")</f>
        <v/>
      </c>
      <c r="AF511" t="str">
        <f>IFERROR(ROUND(S511*VLOOKUP(R511,商品!$A$4:$B$60,2,FALSE),0),"")</f>
        <v/>
      </c>
    </row>
    <row r="512" spans="1:32" ht="19.05" customHeight="1" x14ac:dyDescent="0.25">
      <c r="A512" s="15" t="s">
        <v>289</v>
      </c>
      <c r="C512" s="15">
        <v>1</v>
      </c>
      <c r="T512" s="2">
        <f t="shared" si="28"/>
        <v>0</v>
      </c>
      <c r="U512" s="2">
        <f t="shared" si="29"/>
        <v>0</v>
      </c>
      <c r="V512" s="2">
        <f t="shared" si="30"/>
        <v>0</v>
      </c>
      <c r="W512" s="2">
        <f t="shared" si="31"/>
        <v>0</v>
      </c>
      <c r="Y512" t="str">
        <f>IFERROR(ROUND(E512*VLOOKUP(D512,商品!$A$4:$B$60,2,FALSE),0),"")</f>
        <v/>
      </c>
      <c r="Z512" t="str">
        <f>IFERROR(ROUND(G512*VLOOKUP(F512,商品!$A$4:$B$60,2,FALSE),0),"")</f>
        <v/>
      </c>
      <c r="AA512" t="str">
        <f>IFERROR(ROUND(I512*VLOOKUP(H512,商品!$A$4:$B$60,2,FALSE),0),"")</f>
        <v/>
      </c>
      <c r="AB512" t="str">
        <f>IFERROR(ROUND(K512*VLOOKUP(J512,[1]note_pop_types!$A$16:$E$16,4,FALSE),0),"")</f>
        <v/>
      </c>
      <c r="AC512" t="str">
        <f>IFERROR(ROUND(M512*VLOOKUP(L512,[1]note_pop_types!$A$16:$E$16,4,FALSE),0),"")</f>
        <v/>
      </c>
      <c r="AD512" t="str">
        <f>IFERROR(ROUND(O512*VLOOKUP(N512,[1]note_pop_types!$A$16:$E$16,4,FALSE),0),"")</f>
        <v/>
      </c>
      <c r="AE512" t="str">
        <f>IFERROR(ROUND(Q512*VLOOKUP(P512,商品!$A$4:$B$60,2,FALSE),0),"")</f>
        <v/>
      </c>
      <c r="AF512" t="str">
        <f>IFERROR(ROUND(S512*VLOOKUP(R512,商品!$A$4:$B$60,2,FALSE),0),"")</f>
        <v/>
      </c>
    </row>
    <row r="513" spans="1:32" ht="19.05" customHeight="1" x14ac:dyDescent="0.25">
      <c r="A513" s="15" t="s">
        <v>289</v>
      </c>
      <c r="C513" s="15">
        <v>2</v>
      </c>
      <c r="T513" s="2">
        <f t="shared" si="28"/>
        <v>0</v>
      </c>
      <c r="U513" s="2">
        <f t="shared" si="29"/>
        <v>0</v>
      </c>
      <c r="V513" s="2">
        <f t="shared" si="30"/>
        <v>0</v>
      </c>
      <c r="W513" s="2">
        <f t="shared" si="31"/>
        <v>0</v>
      </c>
      <c r="Y513" t="str">
        <f>IFERROR(ROUND(E513*VLOOKUP(D513,商品!$A$4:$B$60,2,FALSE),0),"")</f>
        <v/>
      </c>
      <c r="Z513" t="str">
        <f>IFERROR(ROUND(G513*VLOOKUP(F513,商品!$A$4:$B$60,2,FALSE),0),"")</f>
        <v/>
      </c>
      <c r="AA513" t="str">
        <f>IFERROR(ROUND(I513*VLOOKUP(H513,商品!$A$4:$B$60,2,FALSE),0),"")</f>
        <v/>
      </c>
      <c r="AB513" t="str">
        <f>IFERROR(ROUND(K513*VLOOKUP(J513,[1]note_pop_types!$A$16:$E$16,4,FALSE),0),"")</f>
        <v/>
      </c>
      <c r="AC513" t="str">
        <f>IFERROR(ROUND(M513*VLOOKUP(L513,[1]note_pop_types!$A$16:$E$16,4,FALSE),0),"")</f>
        <v/>
      </c>
      <c r="AD513" t="str">
        <f>IFERROR(ROUND(O513*VLOOKUP(N513,[1]note_pop_types!$A$16:$E$16,4,FALSE),0),"")</f>
        <v/>
      </c>
      <c r="AE513" t="str">
        <f>IFERROR(ROUND(Q513*VLOOKUP(P513,商品!$A$4:$B$60,2,FALSE),0),"")</f>
        <v/>
      </c>
      <c r="AF513" t="str">
        <f>IFERROR(ROUND(S513*VLOOKUP(R513,商品!$A$4:$B$60,2,FALSE),0),"")</f>
        <v/>
      </c>
    </row>
    <row r="514" spans="1:32" ht="19.05" customHeight="1" x14ac:dyDescent="0.25">
      <c r="A514" s="15" t="s">
        <v>289</v>
      </c>
      <c r="C514" s="15">
        <v>3</v>
      </c>
      <c r="T514" s="2">
        <f t="shared" si="28"/>
        <v>0</v>
      </c>
      <c r="U514" s="2">
        <f t="shared" si="29"/>
        <v>0</v>
      </c>
      <c r="V514" s="2">
        <f t="shared" si="30"/>
        <v>0</v>
      </c>
      <c r="W514" s="2">
        <f t="shared" si="31"/>
        <v>0</v>
      </c>
      <c r="Y514" t="str">
        <f>IFERROR(ROUND(E514*VLOOKUP(D514,商品!$A$4:$B$60,2,FALSE),0),"")</f>
        <v/>
      </c>
      <c r="Z514" t="str">
        <f>IFERROR(ROUND(G514*VLOOKUP(F514,商品!$A$4:$B$60,2,FALSE),0),"")</f>
        <v/>
      </c>
      <c r="AA514" t="str">
        <f>IFERROR(ROUND(I514*VLOOKUP(H514,商品!$A$4:$B$60,2,FALSE),0),"")</f>
        <v/>
      </c>
      <c r="AB514" t="str">
        <f>IFERROR(ROUND(K514*VLOOKUP(J514,[1]note_pop_types!$A$16:$E$16,4,FALSE),0),"")</f>
        <v/>
      </c>
      <c r="AC514" t="str">
        <f>IFERROR(ROUND(M514*VLOOKUP(L514,[1]note_pop_types!$A$16:$E$16,4,FALSE),0),"")</f>
        <v/>
      </c>
      <c r="AD514" t="str">
        <f>IFERROR(ROUND(O514*VLOOKUP(N514,[1]note_pop_types!$A$16:$E$16,4,FALSE),0),"")</f>
        <v/>
      </c>
      <c r="AE514" t="str">
        <f>IFERROR(ROUND(Q514*VLOOKUP(P514,商品!$A$4:$B$60,2,FALSE),0),"")</f>
        <v/>
      </c>
      <c r="AF514" t="str">
        <f>IFERROR(ROUND(S514*VLOOKUP(R514,商品!$A$4:$B$60,2,FALSE),0),"")</f>
        <v/>
      </c>
    </row>
    <row r="515" spans="1:32" ht="19.05" customHeight="1" x14ac:dyDescent="0.25">
      <c r="A515" s="15" t="s">
        <v>289</v>
      </c>
      <c r="C515" s="15">
        <v>4</v>
      </c>
      <c r="T515" s="2">
        <f t="shared" si="28"/>
        <v>0</v>
      </c>
      <c r="U515" s="2">
        <f t="shared" si="29"/>
        <v>0</v>
      </c>
      <c r="V515" s="2">
        <f t="shared" si="30"/>
        <v>0</v>
      </c>
      <c r="W515" s="2">
        <f t="shared" si="31"/>
        <v>0</v>
      </c>
      <c r="Y515" t="str">
        <f>IFERROR(ROUND(E515*VLOOKUP(D515,商品!$A$4:$B$60,2,FALSE),0),"")</f>
        <v/>
      </c>
      <c r="Z515" t="str">
        <f>IFERROR(ROUND(G515*VLOOKUP(F515,商品!$A$4:$B$60,2,FALSE),0),"")</f>
        <v/>
      </c>
      <c r="AA515" t="str">
        <f>IFERROR(ROUND(I515*VLOOKUP(H515,商品!$A$4:$B$60,2,FALSE),0),"")</f>
        <v/>
      </c>
      <c r="AB515" t="str">
        <f>IFERROR(ROUND(K515*VLOOKUP(J515,[1]note_pop_types!$A$16:$E$16,4,FALSE),0),"")</f>
        <v/>
      </c>
      <c r="AC515" t="str">
        <f>IFERROR(ROUND(M515*VLOOKUP(L515,[1]note_pop_types!$A$16:$E$16,4,FALSE),0),"")</f>
        <v/>
      </c>
      <c r="AD515" t="str">
        <f>IFERROR(ROUND(O515*VLOOKUP(N515,[1]note_pop_types!$A$16:$E$16,4,FALSE),0),"")</f>
        <v/>
      </c>
      <c r="AE515" t="str">
        <f>IFERROR(ROUND(Q515*VLOOKUP(P515,商品!$A$4:$B$60,2,FALSE),0),"")</f>
        <v/>
      </c>
      <c r="AF515" t="str">
        <f>IFERROR(ROUND(S515*VLOOKUP(R515,商品!$A$4:$B$60,2,FALSE),0),"")</f>
        <v/>
      </c>
    </row>
    <row r="516" spans="1:32" ht="19.05" customHeight="1" x14ac:dyDescent="0.25">
      <c r="A516" s="15" t="s">
        <v>289</v>
      </c>
      <c r="C516" s="15">
        <v>5</v>
      </c>
      <c r="T516" s="2">
        <f t="shared" si="28"/>
        <v>0</v>
      </c>
      <c r="U516" s="2">
        <f t="shared" si="29"/>
        <v>0</v>
      </c>
      <c r="V516" s="2">
        <f t="shared" si="30"/>
        <v>0</v>
      </c>
      <c r="W516" s="2">
        <f t="shared" si="31"/>
        <v>0</v>
      </c>
      <c r="Y516" t="str">
        <f>IFERROR(ROUND(E516*VLOOKUP(D516,商品!$A$4:$B$60,2,FALSE),0),"")</f>
        <v/>
      </c>
      <c r="Z516" t="str">
        <f>IFERROR(ROUND(G516*VLOOKUP(F516,商品!$A$4:$B$60,2,FALSE),0),"")</f>
        <v/>
      </c>
      <c r="AA516" t="str">
        <f>IFERROR(ROUND(I516*VLOOKUP(H516,商品!$A$4:$B$60,2,FALSE),0),"")</f>
        <v/>
      </c>
      <c r="AB516" t="str">
        <f>IFERROR(ROUND(K516*VLOOKUP(J516,[1]note_pop_types!$A$16:$E$16,4,FALSE),0),"")</f>
        <v/>
      </c>
      <c r="AC516" t="str">
        <f>IFERROR(ROUND(M516*VLOOKUP(L516,[1]note_pop_types!$A$16:$E$16,4,FALSE),0),"")</f>
        <v/>
      </c>
      <c r="AD516" t="str">
        <f>IFERROR(ROUND(O516*VLOOKUP(N516,[1]note_pop_types!$A$16:$E$16,4,FALSE),0),"")</f>
        <v/>
      </c>
      <c r="AE516" t="str">
        <f>IFERROR(ROUND(Q516*VLOOKUP(P516,商品!$A$4:$B$60,2,FALSE),0),"")</f>
        <v/>
      </c>
      <c r="AF516" t="str">
        <f>IFERROR(ROUND(S516*VLOOKUP(R516,商品!$A$4:$B$60,2,FALSE),0),"")</f>
        <v/>
      </c>
    </row>
    <row r="517" spans="1:32" ht="19.05" customHeight="1" x14ac:dyDescent="0.25">
      <c r="A517" s="16" t="s">
        <v>290</v>
      </c>
      <c r="C517" s="16">
        <v>1</v>
      </c>
      <c r="T517" s="2">
        <f t="shared" si="28"/>
        <v>0</v>
      </c>
      <c r="U517" s="2">
        <f t="shared" si="29"/>
        <v>0</v>
      </c>
      <c r="V517" s="2">
        <f t="shared" si="30"/>
        <v>0</v>
      </c>
      <c r="W517" s="2">
        <f t="shared" si="31"/>
        <v>0</v>
      </c>
      <c r="Y517" t="str">
        <f>IFERROR(ROUND(E517*VLOOKUP(D517,商品!$A$4:$B$60,2,FALSE),0),"")</f>
        <v/>
      </c>
      <c r="Z517" t="str">
        <f>IFERROR(ROUND(G517*VLOOKUP(F517,商品!$A$4:$B$60,2,FALSE),0),"")</f>
        <v/>
      </c>
      <c r="AA517" t="str">
        <f>IFERROR(ROUND(I517*VLOOKUP(H517,商品!$A$4:$B$60,2,FALSE),0),"")</f>
        <v/>
      </c>
      <c r="AB517" t="str">
        <f>IFERROR(ROUND(K517*VLOOKUP(J517,[1]note_pop_types!$A$16:$E$16,4,FALSE),0),"")</f>
        <v/>
      </c>
      <c r="AC517" t="str">
        <f>IFERROR(ROUND(M517*VLOOKUP(L517,[1]note_pop_types!$A$16:$E$16,4,FALSE),0),"")</f>
        <v/>
      </c>
      <c r="AD517" t="str">
        <f>IFERROR(ROUND(O517*VLOOKUP(N517,[1]note_pop_types!$A$16:$E$16,4,FALSE),0),"")</f>
        <v/>
      </c>
      <c r="AE517" t="str">
        <f>IFERROR(ROUND(Q517*VLOOKUP(P517,商品!$A$4:$B$60,2,FALSE),0),"")</f>
        <v/>
      </c>
      <c r="AF517" t="str">
        <f>IFERROR(ROUND(S517*VLOOKUP(R517,商品!$A$4:$B$60,2,FALSE),0),"")</f>
        <v/>
      </c>
    </row>
    <row r="518" spans="1:32" ht="19.05" customHeight="1" x14ac:dyDescent="0.25">
      <c r="A518" s="16" t="s">
        <v>290</v>
      </c>
      <c r="C518" s="16">
        <v>2</v>
      </c>
      <c r="T518" s="2">
        <f t="shared" ref="T518:T581" si="32">SUM(Y518:AA518)</f>
        <v>0</v>
      </c>
      <c r="U518" s="2">
        <f t="shared" ref="U518:U581" si="33">SUM(AB518:AC518)</f>
        <v>0</v>
      </c>
      <c r="V518" s="2">
        <f t="shared" ref="V518:V581" si="34">SUM(AE518:AF518)</f>
        <v>0</v>
      </c>
      <c r="W518" s="2">
        <f t="shared" ref="W518:W581" si="35">V518-T518-U518</f>
        <v>0</v>
      </c>
      <c r="Y518" t="str">
        <f>IFERROR(ROUND(E518*VLOOKUP(D518,商品!$A$4:$B$60,2,FALSE),0),"")</f>
        <v/>
      </c>
      <c r="Z518" t="str">
        <f>IFERROR(ROUND(G518*VLOOKUP(F518,商品!$A$4:$B$60,2,FALSE),0),"")</f>
        <v/>
      </c>
      <c r="AA518" t="str">
        <f>IFERROR(ROUND(I518*VLOOKUP(H518,商品!$A$4:$B$60,2,FALSE),0),"")</f>
        <v/>
      </c>
      <c r="AB518" t="str">
        <f>IFERROR(ROUND(K518*VLOOKUP(J518,[1]note_pop_types!$A$16:$E$16,4,FALSE),0),"")</f>
        <v/>
      </c>
      <c r="AC518" t="str">
        <f>IFERROR(ROUND(M518*VLOOKUP(L518,[1]note_pop_types!$A$16:$E$16,4,FALSE),0),"")</f>
        <v/>
      </c>
      <c r="AD518" t="str">
        <f>IFERROR(ROUND(O518*VLOOKUP(N518,[1]note_pop_types!$A$16:$E$16,4,FALSE),0),"")</f>
        <v/>
      </c>
      <c r="AE518" t="str">
        <f>IFERROR(ROUND(Q518*VLOOKUP(P518,商品!$A$4:$B$60,2,FALSE),0),"")</f>
        <v/>
      </c>
      <c r="AF518" t="str">
        <f>IFERROR(ROUND(S518*VLOOKUP(R518,商品!$A$4:$B$60,2,FALSE),0),"")</f>
        <v/>
      </c>
    </row>
    <row r="519" spans="1:32" ht="19.05" customHeight="1" x14ac:dyDescent="0.25">
      <c r="A519" s="16" t="s">
        <v>290</v>
      </c>
      <c r="C519" s="16">
        <v>3</v>
      </c>
      <c r="T519" s="2">
        <f t="shared" si="32"/>
        <v>0</v>
      </c>
      <c r="U519" s="2">
        <f t="shared" si="33"/>
        <v>0</v>
      </c>
      <c r="V519" s="2">
        <f t="shared" si="34"/>
        <v>0</v>
      </c>
      <c r="W519" s="2">
        <f t="shared" si="35"/>
        <v>0</v>
      </c>
      <c r="Y519" t="str">
        <f>IFERROR(ROUND(E519*VLOOKUP(D519,商品!$A$4:$B$60,2,FALSE),0),"")</f>
        <v/>
      </c>
      <c r="Z519" t="str">
        <f>IFERROR(ROUND(G519*VLOOKUP(F519,商品!$A$4:$B$60,2,FALSE),0),"")</f>
        <v/>
      </c>
      <c r="AA519" t="str">
        <f>IFERROR(ROUND(I519*VLOOKUP(H519,商品!$A$4:$B$60,2,FALSE),0),"")</f>
        <v/>
      </c>
      <c r="AB519" t="str">
        <f>IFERROR(ROUND(K519*VLOOKUP(J519,[1]note_pop_types!$A$16:$E$16,4,FALSE),0),"")</f>
        <v/>
      </c>
      <c r="AC519" t="str">
        <f>IFERROR(ROUND(M519*VLOOKUP(L519,[1]note_pop_types!$A$16:$E$16,4,FALSE),0),"")</f>
        <v/>
      </c>
      <c r="AD519" t="str">
        <f>IFERROR(ROUND(O519*VLOOKUP(N519,[1]note_pop_types!$A$16:$E$16,4,FALSE),0),"")</f>
        <v/>
      </c>
      <c r="AE519" t="str">
        <f>IFERROR(ROUND(Q519*VLOOKUP(P519,商品!$A$4:$B$60,2,FALSE),0),"")</f>
        <v/>
      </c>
      <c r="AF519" t="str">
        <f>IFERROR(ROUND(S519*VLOOKUP(R519,商品!$A$4:$B$60,2,FALSE),0),"")</f>
        <v/>
      </c>
    </row>
    <row r="520" spans="1:32" ht="19.05" customHeight="1" x14ac:dyDescent="0.25">
      <c r="A520" s="16" t="s">
        <v>290</v>
      </c>
      <c r="C520" s="16">
        <v>4</v>
      </c>
      <c r="T520" s="2">
        <f t="shared" si="32"/>
        <v>0</v>
      </c>
      <c r="U520" s="2">
        <f t="shared" si="33"/>
        <v>0</v>
      </c>
      <c r="V520" s="2">
        <f t="shared" si="34"/>
        <v>0</v>
      </c>
      <c r="W520" s="2">
        <f t="shared" si="35"/>
        <v>0</v>
      </c>
      <c r="Y520" t="str">
        <f>IFERROR(ROUND(E520*VLOOKUP(D520,商品!$A$4:$B$60,2,FALSE),0),"")</f>
        <v/>
      </c>
      <c r="Z520" t="str">
        <f>IFERROR(ROUND(G520*VLOOKUP(F520,商品!$A$4:$B$60,2,FALSE),0),"")</f>
        <v/>
      </c>
      <c r="AA520" t="str">
        <f>IFERROR(ROUND(I520*VLOOKUP(H520,商品!$A$4:$B$60,2,FALSE),0),"")</f>
        <v/>
      </c>
      <c r="AB520" t="str">
        <f>IFERROR(ROUND(K520*VLOOKUP(J520,[1]note_pop_types!$A$16:$E$16,4,FALSE),0),"")</f>
        <v/>
      </c>
      <c r="AC520" t="str">
        <f>IFERROR(ROUND(M520*VLOOKUP(L520,[1]note_pop_types!$A$16:$E$16,4,FALSE),0),"")</f>
        <v/>
      </c>
      <c r="AD520" t="str">
        <f>IFERROR(ROUND(O520*VLOOKUP(N520,[1]note_pop_types!$A$16:$E$16,4,FALSE),0),"")</f>
        <v/>
      </c>
      <c r="AE520" t="str">
        <f>IFERROR(ROUND(Q520*VLOOKUP(P520,商品!$A$4:$B$60,2,FALSE),0),"")</f>
        <v/>
      </c>
      <c r="AF520" t="str">
        <f>IFERROR(ROUND(S520*VLOOKUP(R520,商品!$A$4:$B$60,2,FALSE),0),"")</f>
        <v/>
      </c>
    </row>
    <row r="521" spans="1:32" ht="19.05" customHeight="1" x14ac:dyDescent="0.25">
      <c r="A521" s="16" t="s">
        <v>290</v>
      </c>
      <c r="C521" s="16">
        <v>5</v>
      </c>
      <c r="T521" s="2">
        <f t="shared" si="32"/>
        <v>0</v>
      </c>
      <c r="U521" s="2">
        <f t="shared" si="33"/>
        <v>0</v>
      </c>
      <c r="V521" s="2">
        <f t="shared" si="34"/>
        <v>0</v>
      </c>
      <c r="W521" s="2">
        <f t="shared" si="35"/>
        <v>0</v>
      </c>
      <c r="Y521" t="str">
        <f>IFERROR(ROUND(E521*VLOOKUP(D521,商品!$A$4:$B$60,2,FALSE),0),"")</f>
        <v/>
      </c>
      <c r="Z521" t="str">
        <f>IFERROR(ROUND(G521*VLOOKUP(F521,商品!$A$4:$B$60,2,FALSE),0),"")</f>
        <v/>
      </c>
      <c r="AA521" t="str">
        <f>IFERROR(ROUND(I521*VLOOKUP(H521,商品!$A$4:$B$60,2,FALSE),0),"")</f>
        <v/>
      </c>
      <c r="AB521" t="str">
        <f>IFERROR(ROUND(K521*VLOOKUP(J521,[1]note_pop_types!$A$16:$E$16,4,FALSE),0),"")</f>
        <v/>
      </c>
      <c r="AC521" t="str">
        <f>IFERROR(ROUND(M521*VLOOKUP(L521,[1]note_pop_types!$A$16:$E$16,4,FALSE),0),"")</f>
        <v/>
      </c>
      <c r="AD521" t="str">
        <f>IFERROR(ROUND(O521*VLOOKUP(N521,[1]note_pop_types!$A$16:$E$16,4,FALSE),0),"")</f>
        <v/>
      </c>
      <c r="AE521" t="str">
        <f>IFERROR(ROUND(Q521*VLOOKUP(P521,商品!$A$4:$B$60,2,FALSE),0),"")</f>
        <v/>
      </c>
      <c r="AF521" t="str">
        <f>IFERROR(ROUND(S521*VLOOKUP(R521,商品!$A$4:$B$60,2,FALSE),0),"")</f>
        <v/>
      </c>
    </row>
    <row r="522" spans="1:32" ht="19.05" customHeight="1" x14ac:dyDescent="0.25">
      <c r="A522" s="15" t="s">
        <v>292</v>
      </c>
      <c r="C522" s="15">
        <v>1</v>
      </c>
      <c r="T522" s="2">
        <f t="shared" si="32"/>
        <v>0</v>
      </c>
      <c r="U522" s="2">
        <f t="shared" si="33"/>
        <v>0</v>
      </c>
      <c r="V522" s="2">
        <f t="shared" si="34"/>
        <v>0</v>
      </c>
      <c r="W522" s="2">
        <f t="shared" si="35"/>
        <v>0</v>
      </c>
      <c r="Y522" t="str">
        <f>IFERROR(ROUND(E522*VLOOKUP(D522,商品!$A$4:$B$60,2,FALSE),0),"")</f>
        <v/>
      </c>
      <c r="Z522" t="str">
        <f>IFERROR(ROUND(G522*VLOOKUP(F522,商品!$A$4:$B$60,2,FALSE),0),"")</f>
        <v/>
      </c>
      <c r="AA522" t="str">
        <f>IFERROR(ROUND(I522*VLOOKUP(H522,商品!$A$4:$B$60,2,FALSE),0),"")</f>
        <v/>
      </c>
      <c r="AB522" t="str">
        <f>IFERROR(ROUND(K522*VLOOKUP(J522,[1]note_pop_types!$A$16:$E$16,4,FALSE),0),"")</f>
        <v/>
      </c>
      <c r="AC522" t="str">
        <f>IFERROR(ROUND(M522*VLOOKUP(L522,[1]note_pop_types!$A$16:$E$16,4,FALSE),0),"")</f>
        <v/>
      </c>
      <c r="AD522" t="str">
        <f>IFERROR(ROUND(O522*VLOOKUP(N522,[1]note_pop_types!$A$16:$E$16,4,FALSE),0),"")</f>
        <v/>
      </c>
      <c r="AE522" t="str">
        <f>IFERROR(ROUND(Q522*VLOOKUP(P522,商品!$A$4:$B$60,2,FALSE),0),"")</f>
        <v/>
      </c>
      <c r="AF522" t="str">
        <f>IFERROR(ROUND(S522*VLOOKUP(R522,商品!$A$4:$B$60,2,FALSE),0),"")</f>
        <v/>
      </c>
    </row>
    <row r="523" spans="1:32" ht="19.05" customHeight="1" x14ac:dyDescent="0.25">
      <c r="A523" s="15" t="s">
        <v>292</v>
      </c>
      <c r="C523" s="15">
        <v>2</v>
      </c>
      <c r="T523" s="2">
        <f t="shared" si="32"/>
        <v>0</v>
      </c>
      <c r="U523" s="2">
        <f t="shared" si="33"/>
        <v>0</v>
      </c>
      <c r="V523" s="2">
        <f t="shared" si="34"/>
        <v>0</v>
      </c>
      <c r="W523" s="2">
        <f t="shared" si="35"/>
        <v>0</v>
      </c>
      <c r="Y523" t="str">
        <f>IFERROR(ROUND(E523*VLOOKUP(D523,商品!$A$4:$B$60,2,FALSE),0),"")</f>
        <v/>
      </c>
      <c r="Z523" t="str">
        <f>IFERROR(ROUND(G523*VLOOKUP(F523,商品!$A$4:$B$60,2,FALSE),0),"")</f>
        <v/>
      </c>
      <c r="AA523" t="str">
        <f>IFERROR(ROUND(I523*VLOOKUP(H523,商品!$A$4:$B$60,2,FALSE),0),"")</f>
        <v/>
      </c>
      <c r="AB523" t="str">
        <f>IFERROR(ROUND(K523*VLOOKUP(J523,[1]note_pop_types!$A$16:$E$16,4,FALSE),0),"")</f>
        <v/>
      </c>
      <c r="AC523" t="str">
        <f>IFERROR(ROUND(M523*VLOOKUP(L523,[1]note_pop_types!$A$16:$E$16,4,FALSE),0),"")</f>
        <v/>
      </c>
      <c r="AD523" t="str">
        <f>IFERROR(ROUND(O523*VLOOKUP(N523,[1]note_pop_types!$A$16:$E$16,4,FALSE),0),"")</f>
        <v/>
      </c>
      <c r="AE523" t="str">
        <f>IFERROR(ROUND(Q523*VLOOKUP(P523,商品!$A$4:$B$60,2,FALSE),0),"")</f>
        <v/>
      </c>
      <c r="AF523" t="str">
        <f>IFERROR(ROUND(S523*VLOOKUP(R523,商品!$A$4:$B$60,2,FALSE),0),"")</f>
        <v/>
      </c>
    </row>
    <row r="524" spans="1:32" ht="19.05" customHeight="1" x14ac:dyDescent="0.25">
      <c r="A524" s="15" t="s">
        <v>292</v>
      </c>
      <c r="C524" s="15">
        <v>3</v>
      </c>
      <c r="T524" s="2">
        <f t="shared" si="32"/>
        <v>0</v>
      </c>
      <c r="U524" s="2">
        <f t="shared" si="33"/>
        <v>0</v>
      </c>
      <c r="V524" s="2">
        <f t="shared" si="34"/>
        <v>0</v>
      </c>
      <c r="W524" s="2">
        <f t="shared" si="35"/>
        <v>0</v>
      </c>
      <c r="Y524" t="str">
        <f>IFERROR(ROUND(E524*VLOOKUP(D524,商品!$A$4:$B$60,2,FALSE),0),"")</f>
        <v/>
      </c>
      <c r="Z524" t="str">
        <f>IFERROR(ROUND(G524*VLOOKUP(F524,商品!$A$4:$B$60,2,FALSE),0),"")</f>
        <v/>
      </c>
      <c r="AA524" t="str">
        <f>IFERROR(ROUND(I524*VLOOKUP(H524,商品!$A$4:$B$60,2,FALSE),0),"")</f>
        <v/>
      </c>
      <c r="AB524" t="str">
        <f>IFERROR(ROUND(K524*VLOOKUP(J524,[1]note_pop_types!$A$16:$E$16,4,FALSE),0),"")</f>
        <v/>
      </c>
      <c r="AC524" t="str">
        <f>IFERROR(ROUND(M524*VLOOKUP(L524,[1]note_pop_types!$A$16:$E$16,4,FALSE),0),"")</f>
        <v/>
      </c>
      <c r="AD524" t="str">
        <f>IFERROR(ROUND(O524*VLOOKUP(N524,[1]note_pop_types!$A$16:$E$16,4,FALSE),0),"")</f>
        <v/>
      </c>
      <c r="AE524" t="str">
        <f>IFERROR(ROUND(Q524*VLOOKUP(P524,商品!$A$4:$B$60,2,FALSE),0),"")</f>
        <v/>
      </c>
      <c r="AF524" t="str">
        <f>IFERROR(ROUND(S524*VLOOKUP(R524,商品!$A$4:$B$60,2,FALSE),0),"")</f>
        <v/>
      </c>
    </row>
    <row r="525" spans="1:32" ht="19.05" customHeight="1" x14ac:dyDescent="0.25">
      <c r="A525" s="15" t="s">
        <v>292</v>
      </c>
      <c r="C525" s="15">
        <v>4</v>
      </c>
      <c r="T525" s="2">
        <f t="shared" si="32"/>
        <v>0</v>
      </c>
      <c r="U525" s="2">
        <f t="shared" si="33"/>
        <v>0</v>
      </c>
      <c r="V525" s="2">
        <f t="shared" si="34"/>
        <v>0</v>
      </c>
      <c r="W525" s="2">
        <f t="shared" si="35"/>
        <v>0</v>
      </c>
      <c r="Y525" t="str">
        <f>IFERROR(ROUND(E525*VLOOKUP(D525,商品!$A$4:$B$60,2,FALSE),0),"")</f>
        <v/>
      </c>
      <c r="Z525" t="str">
        <f>IFERROR(ROUND(G525*VLOOKUP(F525,商品!$A$4:$B$60,2,FALSE),0),"")</f>
        <v/>
      </c>
      <c r="AA525" t="str">
        <f>IFERROR(ROUND(I525*VLOOKUP(H525,商品!$A$4:$B$60,2,FALSE),0),"")</f>
        <v/>
      </c>
      <c r="AB525" t="str">
        <f>IFERROR(ROUND(K525*VLOOKUP(J525,[1]note_pop_types!$A$16:$E$16,4,FALSE),0),"")</f>
        <v/>
      </c>
      <c r="AC525" t="str">
        <f>IFERROR(ROUND(M525*VLOOKUP(L525,[1]note_pop_types!$A$16:$E$16,4,FALSE),0),"")</f>
        <v/>
      </c>
      <c r="AD525" t="str">
        <f>IFERROR(ROUND(O525*VLOOKUP(N525,[1]note_pop_types!$A$16:$E$16,4,FALSE),0),"")</f>
        <v/>
      </c>
      <c r="AE525" t="str">
        <f>IFERROR(ROUND(Q525*VLOOKUP(P525,商品!$A$4:$B$60,2,FALSE),0),"")</f>
        <v/>
      </c>
      <c r="AF525" t="str">
        <f>IFERROR(ROUND(S525*VLOOKUP(R525,商品!$A$4:$B$60,2,FALSE),0),"")</f>
        <v/>
      </c>
    </row>
    <row r="526" spans="1:32" ht="19.05" customHeight="1" x14ac:dyDescent="0.25">
      <c r="A526" s="15" t="s">
        <v>292</v>
      </c>
      <c r="C526" s="15">
        <v>5</v>
      </c>
      <c r="T526" s="2">
        <f t="shared" si="32"/>
        <v>0</v>
      </c>
      <c r="U526" s="2">
        <f t="shared" si="33"/>
        <v>0</v>
      </c>
      <c r="V526" s="2">
        <f t="shared" si="34"/>
        <v>0</v>
      </c>
      <c r="W526" s="2">
        <f t="shared" si="35"/>
        <v>0</v>
      </c>
      <c r="Y526" t="str">
        <f>IFERROR(ROUND(E526*VLOOKUP(D526,商品!$A$4:$B$60,2,FALSE),0),"")</f>
        <v/>
      </c>
      <c r="Z526" t="str">
        <f>IFERROR(ROUND(G526*VLOOKUP(F526,商品!$A$4:$B$60,2,FALSE),0),"")</f>
        <v/>
      </c>
      <c r="AA526" t="str">
        <f>IFERROR(ROUND(I526*VLOOKUP(H526,商品!$A$4:$B$60,2,FALSE),0),"")</f>
        <v/>
      </c>
      <c r="AB526" t="str">
        <f>IFERROR(ROUND(K526*VLOOKUP(J526,[1]note_pop_types!$A$16:$E$16,4,FALSE),0),"")</f>
        <v/>
      </c>
      <c r="AC526" t="str">
        <f>IFERROR(ROUND(M526*VLOOKUP(L526,[1]note_pop_types!$A$16:$E$16,4,FALSE),0),"")</f>
        <v/>
      </c>
      <c r="AD526" t="str">
        <f>IFERROR(ROUND(O526*VLOOKUP(N526,[1]note_pop_types!$A$16:$E$16,4,FALSE),0),"")</f>
        <v/>
      </c>
      <c r="AE526" t="str">
        <f>IFERROR(ROUND(Q526*VLOOKUP(P526,商品!$A$4:$B$60,2,FALSE),0),"")</f>
        <v/>
      </c>
      <c r="AF526" t="str">
        <f>IFERROR(ROUND(S526*VLOOKUP(R526,商品!$A$4:$B$60,2,FALSE),0),"")</f>
        <v/>
      </c>
    </row>
    <row r="527" spans="1:32" ht="19.05" customHeight="1" x14ac:dyDescent="0.25">
      <c r="A527" s="16" t="s">
        <v>293</v>
      </c>
      <c r="C527" s="16">
        <v>1</v>
      </c>
      <c r="T527" s="2">
        <f t="shared" si="32"/>
        <v>0</v>
      </c>
      <c r="U527" s="2">
        <f t="shared" si="33"/>
        <v>0</v>
      </c>
      <c r="V527" s="2">
        <f t="shared" si="34"/>
        <v>0</v>
      </c>
      <c r="W527" s="2">
        <f t="shared" si="35"/>
        <v>0</v>
      </c>
      <c r="Y527" t="str">
        <f>IFERROR(ROUND(E527*VLOOKUP(D527,商品!$A$4:$B$60,2,FALSE),0),"")</f>
        <v/>
      </c>
      <c r="Z527" t="str">
        <f>IFERROR(ROUND(G527*VLOOKUP(F527,商品!$A$4:$B$60,2,FALSE),0),"")</f>
        <v/>
      </c>
      <c r="AA527" t="str">
        <f>IFERROR(ROUND(I527*VLOOKUP(H527,商品!$A$4:$B$60,2,FALSE),0),"")</f>
        <v/>
      </c>
      <c r="AB527" t="str">
        <f>IFERROR(ROUND(K527*VLOOKUP(J527,[1]note_pop_types!$A$16:$E$16,4,FALSE),0),"")</f>
        <v/>
      </c>
      <c r="AC527" t="str">
        <f>IFERROR(ROUND(M527*VLOOKUP(L527,[1]note_pop_types!$A$16:$E$16,4,FALSE),0),"")</f>
        <v/>
      </c>
      <c r="AD527" t="str">
        <f>IFERROR(ROUND(O527*VLOOKUP(N527,[1]note_pop_types!$A$16:$E$16,4,FALSE),0),"")</f>
        <v/>
      </c>
      <c r="AE527" t="str">
        <f>IFERROR(ROUND(Q527*VLOOKUP(P527,商品!$A$4:$B$60,2,FALSE),0),"")</f>
        <v/>
      </c>
      <c r="AF527" t="str">
        <f>IFERROR(ROUND(S527*VLOOKUP(R527,商品!$A$4:$B$60,2,FALSE),0),"")</f>
        <v/>
      </c>
    </row>
    <row r="528" spans="1:32" ht="19.05" customHeight="1" x14ac:dyDescent="0.25">
      <c r="A528" s="16" t="s">
        <v>293</v>
      </c>
      <c r="C528" s="16">
        <v>2</v>
      </c>
      <c r="T528" s="2">
        <f t="shared" si="32"/>
        <v>0</v>
      </c>
      <c r="U528" s="2">
        <f t="shared" si="33"/>
        <v>0</v>
      </c>
      <c r="V528" s="2">
        <f t="shared" si="34"/>
        <v>0</v>
      </c>
      <c r="W528" s="2">
        <f t="shared" si="35"/>
        <v>0</v>
      </c>
      <c r="Y528" t="str">
        <f>IFERROR(ROUND(E528*VLOOKUP(D528,商品!$A$4:$B$60,2,FALSE),0),"")</f>
        <v/>
      </c>
      <c r="Z528" t="str">
        <f>IFERROR(ROUND(G528*VLOOKUP(F528,商品!$A$4:$B$60,2,FALSE),0),"")</f>
        <v/>
      </c>
      <c r="AA528" t="str">
        <f>IFERROR(ROUND(I528*VLOOKUP(H528,商品!$A$4:$B$60,2,FALSE),0),"")</f>
        <v/>
      </c>
      <c r="AB528" t="str">
        <f>IFERROR(ROUND(K528*VLOOKUP(J528,[1]note_pop_types!$A$16:$E$16,4,FALSE),0),"")</f>
        <v/>
      </c>
      <c r="AC528" t="str">
        <f>IFERROR(ROUND(M528*VLOOKUP(L528,[1]note_pop_types!$A$16:$E$16,4,FALSE),0),"")</f>
        <v/>
      </c>
      <c r="AD528" t="str">
        <f>IFERROR(ROUND(O528*VLOOKUP(N528,[1]note_pop_types!$A$16:$E$16,4,FALSE),0),"")</f>
        <v/>
      </c>
      <c r="AE528" t="str">
        <f>IFERROR(ROUND(Q528*VLOOKUP(P528,商品!$A$4:$B$60,2,FALSE),0),"")</f>
        <v/>
      </c>
      <c r="AF528" t="str">
        <f>IFERROR(ROUND(S528*VLOOKUP(R528,商品!$A$4:$B$60,2,FALSE),0),"")</f>
        <v/>
      </c>
    </row>
    <row r="529" spans="1:32" ht="19.05" customHeight="1" x14ac:dyDescent="0.25">
      <c r="A529" s="16" t="s">
        <v>293</v>
      </c>
      <c r="C529" s="16">
        <v>3</v>
      </c>
      <c r="T529" s="2">
        <f t="shared" si="32"/>
        <v>0</v>
      </c>
      <c r="U529" s="2">
        <f t="shared" si="33"/>
        <v>0</v>
      </c>
      <c r="V529" s="2">
        <f t="shared" si="34"/>
        <v>0</v>
      </c>
      <c r="W529" s="2">
        <f t="shared" si="35"/>
        <v>0</v>
      </c>
      <c r="Y529" t="str">
        <f>IFERROR(ROUND(E529*VLOOKUP(D529,商品!$A$4:$B$60,2,FALSE),0),"")</f>
        <v/>
      </c>
      <c r="Z529" t="str">
        <f>IFERROR(ROUND(G529*VLOOKUP(F529,商品!$A$4:$B$60,2,FALSE),0),"")</f>
        <v/>
      </c>
      <c r="AA529" t="str">
        <f>IFERROR(ROUND(I529*VLOOKUP(H529,商品!$A$4:$B$60,2,FALSE),0),"")</f>
        <v/>
      </c>
      <c r="AB529" t="str">
        <f>IFERROR(ROUND(K529*VLOOKUP(J529,[1]note_pop_types!$A$16:$E$16,4,FALSE),0),"")</f>
        <v/>
      </c>
      <c r="AC529" t="str">
        <f>IFERROR(ROUND(M529*VLOOKUP(L529,[1]note_pop_types!$A$16:$E$16,4,FALSE),0),"")</f>
        <v/>
      </c>
      <c r="AD529" t="str">
        <f>IFERROR(ROUND(O529*VLOOKUP(N529,[1]note_pop_types!$A$16:$E$16,4,FALSE),0),"")</f>
        <v/>
      </c>
      <c r="AE529" t="str">
        <f>IFERROR(ROUND(Q529*VLOOKUP(P529,商品!$A$4:$B$60,2,FALSE),0),"")</f>
        <v/>
      </c>
      <c r="AF529" t="str">
        <f>IFERROR(ROUND(S529*VLOOKUP(R529,商品!$A$4:$B$60,2,FALSE),0),"")</f>
        <v/>
      </c>
    </row>
    <row r="530" spans="1:32" ht="19.05" customHeight="1" x14ac:dyDescent="0.25">
      <c r="A530" s="16" t="s">
        <v>293</v>
      </c>
      <c r="C530" s="16">
        <v>4</v>
      </c>
      <c r="T530" s="2">
        <f t="shared" si="32"/>
        <v>0</v>
      </c>
      <c r="U530" s="2">
        <f t="shared" si="33"/>
        <v>0</v>
      </c>
      <c r="V530" s="2">
        <f t="shared" si="34"/>
        <v>0</v>
      </c>
      <c r="W530" s="2">
        <f t="shared" si="35"/>
        <v>0</v>
      </c>
      <c r="Y530" t="str">
        <f>IFERROR(ROUND(E530*VLOOKUP(D530,商品!$A$4:$B$60,2,FALSE),0),"")</f>
        <v/>
      </c>
      <c r="Z530" t="str">
        <f>IFERROR(ROUND(G530*VLOOKUP(F530,商品!$A$4:$B$60,2,FALSE),0),"")</f>
        <v/>
      </c>
      <c r="AA530" t="str">
        <f>IFERROR(ROUND(I530*VLOOKUP(H530,商品!$A$4:$B$60,2,FALSE),0),"")</f>
        <v/>
      </c>
      <c r="AB530" t="str">
        <f>IFERROR(ROUND(K530*VLOOKUP(J530,[1]note_pop_types!$A$16:$E$16,4,FALSE),0),"")</f>
        <v/>
      </c>
      <c r="AC530" t="str">
        <f>IFERROR(ROUND(M530*VLOOKUP(L530,[1]note_pop_types!$A$16:$E$16,4,FALSE),0),"")</f>
        <v/>
      </c>
      <c r="AD530" t="str">
        <f>IFERROR(ROUND(O530*VLOOKUP(N530,[1]note_pop_types!$A$16:$E$16,4,FALSE),0),"")</f>
        <v/>
      </c>
      <c r="AE530" t="str">
        <f>IFERROR(ROUND(Q530*VLOOKUP(P530,商品!$A$4:$B$60,2,FALSE),0),"")</f>
        <v/>
      </c>
      <c r="AF530" t="str">
        <f>IFERROR(ROUND(S530*VLOOKUP(R530,商品!$A$4:$B$60,2,FALSE),0),"")</f>
        <v/>
      </c>
    </row>
    <row r="531" spans="1:32" ht="19.05" customHeight="1" x14ac:dyDescent="0.25">
      <c r="A531" s="16" t="s">
        <v>293</v>
      </c>
      <c r="C531" s="16">
        <v>5</v>
      </c>
      <c r="T531" s="2">
        <f t="shared" si="32"/>
        <v>0</v>
      </c>
      <c r="U531" s="2">
        <f t="shared" si="33"/>
        <v>0</v>
      </c>
      <c r="V531" s="2">
        <f t="shared" si="34"/>
        <v>0</v>
      </c>
      <c r="W531" s="2">
        <f t="shared" si="35"/>
        <v>0</v>
      </c>
      <c r="Y531" t="str">
        <f>IFERROR(ROUND(E531*VLOOKUP(D531,商品!$A$4:$B$60,2,FALSE),0),"")</f>
        <v/>
      </c>
      <c r="Z531" t="str">
        <f>IFERROR(ROUND(G531*VLOOKUP(F531,商品!$A$4:$B$60,2,FALSE),0),"")</f>
        <v/>
      </c>
      <c r="AA531" t="str">
        <f>IFERROR(ROUND(I531*VLOOKUP(H531,商品!$A$4:$B$60,2,FALSE),0),"")</f>
        <v/>
      </c>
      <c r="AB531" t="str">
        <f>IFERROR(ROUND(K531*VLOOKUP(J531,[1]note_pop_types!$A$16:$E$16,4,FALSE),0),"")</f>
        <v/>
      </c>
      <c r="AC531" t="str">
        <f>IFERROR(ROUND(M531*VLOOKUP(L531,[1]note_pop_types!$A$16:$E$16,4,FALSE),0),"")</f>
        <v/>
      </c>
      <c r="AD531" t="str">
        <f>IFERROR(ROUND(O531*VLOOKUP(N531,[1]note_pop_types!$A$16:$E$16,4,FALSE),0),"")</f>
        <v/>
      </c>
      <c r="AE531" t="str">
        <f>IFERROR(ROUND(Q531*VLOOKUP(P531,商品!$A$4:$B$60,2,FALSE),0),"")</f>
        <v/>
      </c>
      <c r="AF531" t="str">
        <f>IFERROR(ROUND(S531*VLOOKUP(R531,商品!$A$4:$B$60,2,FALSE),0),"")</f>
        <v/>
      </c>
    </row>
    <row r="532" spans="1:32" ht="19.05" customHeight="1" x14ac:dyDescent="0.25">
      <c r="A532" s="16" t="s">
        <v>293</v>
      </c>
      <c r="C532" s="16">
        <v>6</v>
      </c>
      <c r="T532" s="2">
        <f t="shared" si="32"/>
        <v>0</v>
      </c>
      <c r="U532" s="2">
        <f t="shared" si="33"/>
        <v>0</v>
      </c>
      <c r="V532" s="2">
        <f t="shared" si="34"/>
        <v>0</v>
      </c>
      <c r="W532" s="2">
        <f t="shared" si="35"/>
        <v>0</v>
      </c>
      <c r="Y532" t="str">
        <f>IFERROR(ROUND(E532*VLOOKUP(D532,商品!$A$4:$B$60,2,FALSE),0),"")</f>
        <v/>
      </c>
      <c r="Z532" t="str">
        <f>IFERROR(ROUND(G532*VLOOKUP(F532,商品!$A$4:$B$60,2,FALSE),0),"")</f>
        <v/>
      </c>
      <c r="AA532" t="str">
        <f>IFERROR(ROUND(I532*VLOOKUP(H532,商品!$A$4:$B$60,2,FALSE),0),"")</f>
        <v/>
      </c>
      <c r="AB532" t="str">
        <f>IFERROR(ROUND(K532*VLOOKUP(J532,[1]note_pop_types!$A$16:$E$16,4,FALSE),0),"")</f>
        <v/>
      </c>
      <c r="AC532" t="str">
        <f>IFERROR(ROUND(M532*VLOOKUP(L532,[1]note_pop_types!$A$16:$E$16,4,FALSE),0),"")</f>
        <v/>
      </c>
      <c r="AD532" t="str">
        <f>IFERROR(ROUND(O532*VLOOKUP(N532,[1]note_pop_types!$A$16:$E$16,4,FALSE),0),"")</f>
        <v/>
      </c>
      <c r="AE532" t="str">
        <f>IFERROR(ROUND(Q532*VLOOKUP(P532,商品!$A$4:$B$60,2,FALSE),0),"")</f>
        <v/>
      </c>
      <c r="AF532" t="str">
        <f>IFERROR(ROUND(S532*VLOOKUP(R532,商品!$A$4:$B$60,2,FALSE),0),"")</f>
        <v/>
      </c>
    </row>
    <row r="533" spans="1:32" ht="19.05" customHeight="1" x14ac:dyDescent="0.25">
      <c r="A533" s="16" t="s">
        <v>293</v>
      </c>
      <c r="C533" s="16">
        <v>7</v>
      </c>
      <c r="T533" s="2">
        <f t="shared" si="32"/>
        <v>0</v>
      </c>
      <c r="U533" s="2">
        <f t="shared" si="33"/>
        <v>0</v>
      </c>
      <c r="V533" s="2">
        <f t="shared" si="34"/>
        <v>0</v>
      </c>
      <c r="W533" s="2">
        <f t="shared" si="35"/>
        <v>0</v>
      </c>
      <c r="Y533" t="str">
        <f>IFERROR(ROUND(E533*VLOOKUP(D533,商品!$A$4:$B$60,2,FALSE),0),"")</f>
        <v/>
      </c>
      <c r="Z533" t="str">
        <f>IFERROR(ROUND(G533*VLOOKUP(F533,商品!$A$4:$B$60,2,FALSE),0),"")</f>
        <v/>
      </c>
      <c r="AA533" t="str">
        <f>IFERROR(ROUND(I533*VLOOKUP(H533,商品!$A$4:$B$60,2,FALSE),0),"")</f>
        <v/>
      </c>
      <c r="AB533" t="str">
        <f>IFERROR(ROUND(K533*VLOOKUP(J533,[1]note_pop_types!$A$16:$E$16,4,FALSE),0),"")</f>
        <v/>
      </c>
      <c r="AC533" t="str">
        <f>IFERROR(ROUND(M533*VLOOKUP(L533,[1]note_pop_types!$A$16:$E$16,4,FALSE),0),"")</f>
        <v/>
      </c>
      <c r="AD533" t="str">
        <f>IFERROR(ROUND(O533*VLOOKUP(N533,[1]note_pop_types!$A$16:$E$16,4,FALSE),0),"")</f>
        <v/>
      </c>
      <c r="AE533" t="str">
        <f>IFERROR(ROUND(Q533*VLOOKUP(P533,商品!$A$4:$B$60,2,FALSE),0),"")</f>
        <v/>
      </c>
      <c r="AF533" t="str">
        <f>IFERROR(ROUND(S533*VLOOKUP(R533,商品!$A$4:$B$60,2,FALSE),0),"")</f>
        <v/>
      </c>
    </row>
    <row r="534" spans="1:32" ht="19.05" customHeight="1" x14ac:dyDescent="0.25">
      <c r="A534" s="16" t="s">
        <v>293</v>
      </c>
      <c r="C534" s="16">
        <v>8</v>
      </c>
      <c r="T534" s="2">
        <f t="shared" si="32"/>
        <v>0</v>
      </c>
      <c r="U534" s="2">
        <f t="shared" si="33"/>
        <v>0</v>
      </c>
      <c r="V534" s="2">
        <f t="shared" si="34"/>
        <v>0</v>
      </c>
      <c r="W534" s="2">
        <f t="shared" si="35"/>
        <v>0</v>
      </c>
      <c r="Y534" t="str">
        <f>IFERROR(ROUND(E534*VLOOKUP(D534,商品!$A$4:$B$60,2,FALSE),0),"")</f>
        <v/>
      </c>
      <c r="Z534" t="str">
        <f>IFERROR(ROUND(G534*VLOOKUP(F534,商品!$A$4:$B$60,2,FALSE),0),"")</f>
        <v/>
      </c>
      <c r="AA534" t="str">
        <f>IFERROR(ROUND(I534*VLOOKUP(H534,商品!$A$4:$B$60,2,FALSE),0),"")</f>
        <v/>
      </c>
      <c r="AB534" t="str">
        <f>IFERROR(ROUND(K534*VLOOKUP(J534,[1]note_pop_types!$A$16:$E$16,4,FALSE),0),"")</f>
        <v/>
      </c>
      <c r="AC534" t="str">
        <f>IFERROR(ROUND(M534*VLOOKUP(L534,[1]note_pop_types!$A$16:$E$16,4,FALSE),0),"")</f>
        <v/>
      </c>
      <c r="AD534" t="str">
        <f>IFERROR(ROUND(O534*VLOOKUP(N534,[1]note_pop_types!$A$16:$E$16,4,FALSE),0),"")</f>
        <v/>
      </c>
      <c r="AE534" t="str">
        <f>IFERROR(ROUND(Q534*VLOOKUP(P534,商品!$A$4:$B$60,2,FALSE),0),"")</f>
        <v/>
      </c>
      <c r="AF534" t="str">
        <f>IFERROR(ROUND(S534*VLOOKUP(R534,商品!$A$4:$B$60,2,FALSE),0),"")</f>
        <v/>
      </c>
    </row>
    <row r="535" spans="1:32" ht="19.05" customHeight="1" x14ac:dyDescent="0.25">
      <c r="A535" s="15" t="s">
        <v>293</v>
      </c>
      <c r="C535" s="15">
        <v>1</v>
      </c>
      <c r="T535" s="2">
        <f t="shared" si="32"/>
        <v>0</v>
      </c>
      <c r="U535" s="2">
        <f t="shared" si="33"/>
        <v>0</v>
      </c>
      <c r="V535" s="2">
        <f t="shared" si="34"/>
        <v>0</v>
      </c>
      <c r="W535" s="2">
        <f t="shared" si="35"/>
        <v>0</v>
      </c>
      <c r="Y535" t="str">
        <f>IFERROR(ROUND(E535*VLOOKUP(D535,商品!$A$4:$B$60,2,FALSE),0),"")</f>
        <v/>
      </c>
      <c r="Z535" t="str">
        <f>IFERROR(ROUND(G535*VLOOKUP(F535,商品!$A$4:$B$60,2,FALSE),0),"")</f>
        <v/>
      </c>
      <c r="AA535" t="str">
        <f>IFERROR(ROUND(I535*VLOOKUP(H535,商品!$A$4:$B$60,2,FALSE),0),"")</f>
        <v/>
      </c>
      <c r="AB535" t="str">
        <f>IFERROR(ROUND(K535*VLOOKUP(J535,[1]note_pop_types!$A$16:$E$16,4,FALSE),0),"")</f>
        <v/>
      </c>
      <c r="AC535" t="str">
        <f>IFERROR(ROUND(M535*VLOOKUP(L535,[1]note_pop_types!$A$16:$E$16,4,FALSE),0),"")</f>
        <v/>
      </c>
      <c r="AD535" t="str">
        <f>IFERROR(ROUND(O535*VLOOKUP(N535,[1]note_pop_types!$A$16:$E$16,4,FALSE),0),"")</f>
        <v/>
      </c>
      <c r="AE535" t="str">
        <f>IFERROR(ROUND(Q535*VLOOKUP(P535,商品!$A$4:$B$60,2,FALSE),0),"")</f>
        <v/>
      </c>
      <c r="AF535" t="str">
        <f>IFERROR(ROUND(S535*VLOOKUP(R535,商品!$A$4:$B$60,2,FALSE),0),"")</f>
        <v/>
      </c>
    </row>
    <row r="536" spans="1:32" ht="19.05" customHeight="1" x14ac:dyDescent="0.25">
      <c r="A536" s="15" t="s">
        <v>293</v>
      </c>
      <c r="C536" s="15">
        <v>2</v>
      </c>
      <c r="T536" s="2">
        <f t="shared" si="32"/>
        <v>0</v>
      </c>
      <c r="U536" s="2">
        <f t="shared" si="33"/>
        <v>0</v>
      </c>
      <c r="V536" s="2">
        <f t="shared" si="34"/>
        <v>0</v>
      </c>
      <c r="W536" s="2">
        <f t="shared" si="35"/>
        <v>0</v>
      </c>
      <c r="Y536" t="str">
        <f>IFERROR(ROUND(E536*VLOOKUP(D536,商品!$A$4:$B$60,2,FALSE),0),"")</f>
        <v/>
      </c>
      <c r="Z536" t="str">
        <f>IFERROR(ROUND(G536*VLOOKUP(F536,商品!$A$4:$B$60,2,FALSE),0),"")</f>
        <v/>
      </c>
      <c r="AA536" t="str">
        <f>IFERROR(ROUND(I536*VLOOKUP(H536,商品!$A$4:$B$60,2,FALSE),0),"")</f>
        <v/>
      </c>
      <c r="AB536" t="str">
        <f>IFERROR(ROUND(K536*VLOOKUP(J536,[1]note_pop_types!$A$16:$E$16,4,FALSE),0),"")</f>
        <v/>
      </c>
      <c r="AC536" t="str">
        <f>IFERROR(ROUND(M536*VLOOKUP(L536,[1]note_pop_types!$A$16:$E$16,4,FALSE),0),"")</f>
        <v/>
      </c>
      <c r="AD536" t="str">
        <f>IFERROR(ROUND(O536*VLOOKUP(N536,[1]note_pop_types!$A$16:$E$16,4,FALSE),0),"")</f>
        <v/>
      </c>
      <c r="AE536" t="str">
        <f>IFERROR(ROUND(Q536*VLOOKUP(P536,商品!$A$4:$B$60,2,FALSE),0),"")</f>
        <v/>
      </c>
      <c r="AF536" t="str">
        <f>IFERROR(ROUND(S536*VLOOKUP(R536,商品!$A$4:$B$60,2,FALSE),0),"")</f>
        <v/>
      </c>
    </row>
    <row r="537" spans="1:32" ht="19.05" customHeight="1" x14ac:dyDescent="0.25">
      <c r="A537" s="15" t="s">
        <v>293</v>
      </c>
      <c r="C537" s="15">
        <v>3</v>
      </c>
      <c r="T537" s="2">
        <f t="shared" si="32"/>
        <v>0</v>
      </c>
      <c r="U537" s="2">
        <f t="shared" si="33"/>
        <v>0</v>
      </c>
      <c r="V537" s="2">
        <f t="shared" si="34"/>
        <v>0</v>
      </c>
      <c r="W537" s="2">
        <f t="shared" si="35"/>
        <v>0</v>
      </c>
      <c r="Y537" t="str">
        <f>IFERROR(ROUND(E537*VLOOKUP(D537,商品!$A$4:$B$60,2,FALSE),0),"")</f>
        <v/>
      </c>
      <c r="Z537" t="str">
        <f>IFERROR(ROUND(G537*VLOOKUP(F537,商品!$A$4:$B$60,2,FALSE),0),"")</f>
        <v/>
      </c>
      <c r="AA537" t="str">
        <f>IFERROR(ROUND(I537*VLOOKUP(H537,商品!$A$4:$B$60,2,FALSE),0),"")</f>
        <v/>
      </c>
      <c r="AB537" t="str">
        <f>IFERROR(ROUND(K537*VLOOKUP(J537,[1]note_pop_types!$A$16:$E$16,4,FALSE),0),"")</f>
        <v/>
      </c>
      <c r="AC537" t="str">
        <f>IFERROR(ROUND(M537*VLOOKUP(L537,[1]note_pop_types!$A$16:$E$16,4,FALSE),0),"")</f>
        <v/>
      </c>
      <c r="AD537" t="str">
        <f>IFERROR(ROUND(O537*VLOOKUP(N537,[1]note_pop_types!$A$16:$E$16,4,FALSE),0),"")</f>
        <v/>
      </c>
      <c r="AE537" t="str">
        <f>IFERROR(ROUND(Q537*VLOOKUP(P537,商品!$A$4:$B$60,2,FALSE),0),"")</f>
        <v/>
      </c>
      <c r="AF537" t="str">
        <f>IFERROR(ROUND(S537*VLOOKUP(R537,商品!$A$4:$B$60,2,FALSE),0),"")</f>
        <v/>
      </c>
    </row>
    <row r="538" spans="1:32" ht="19.05" customHeight="1" x14ac:dyDescent="0.25">
      <c r="A538" s="15" t="s">
        <v>293</v>
      </c>
      <c r="C538" s="15">
        <v>4</v>
      </c>
      <c r="T538" s="2">
        <f t="shared" si="32"/>
        <v>0</v>
      </c>
      <c r="U538" s="2">
        <f t="shared" si="33"/>
        <v>0</v>
      </c>
      <c r="V538" s="2">
        <f t="shared" si="34"/>
        <v>0</v>
      </c>
      <c r="W538" s="2">
        <f t="shared" si="35"/>
        <v>0</v>
      </c>
      <c r="Y538" t="str">
        <f>IFERROR(ROUND(E538*VLOOKUP(D538,商品!$A$4:$B$60,2,FALSE),0),"")</f>
        <v/>
      </c>
      <c r="Z538" t="str">
        <f>IFERROR(ROUND(G538*VLOOKUP(F538,商品!$A$4:$B$60,2,FALSE),0),"")</f>
        <v/>
      </c>
      <c r="AA538" t="str">
        <f>IFERROR(ROUND(I538*VLOOKUP(H538,商品!$A$4:$B$60,2,FALSE),0),"")</f>
        <v/>
      </c>
      <c r="AB538" t="str">
        <f>IFERROR(ROUND(K538*VLOOKUP(J538,[1]note_pop_types!$A$16:$E$16,4,FALSE),0),"")</f>
        <v/>
      </c>
      <c r="AC538" t="str">
        <f>IFERROR(ROUND(M538*VLOOKUP(L538,[1]note_pop_types!$A$16:$E$16,4,FALSE),0),"")</f>
        <v/>
      </c>
      <c r="AD538" t="str">
        <f>IFERROR(ROUND(O538*VLOOKUP(N538,[1]note_pop_types!$A$16:$E$16,4,FALSE),0),"")</f>
        <v/>
      </c>
      <c r="AE538" t="str">
        <f>IFERROR(ROUND(Q538*VLOOKUP(P538,商品!$A$4:$B$60,2,FALSE),0),"")</f>
        <v/>
      </c>
      <c r="AF538" t="str">
        <f>IFERROR(ROUND(S538*VLOOKUP(R538,商品!$A$4:$B$60,2,FALSE),0),"")</f>
        <v/>
      </c>
    </row>
    <row r="539" spans="1:32" ht="19.05" customHeight="1" x14ac:dyDescent="0.25">
      <c r="A539" s="15" t="s">
        <v>293</v>
      </c>
      <c r="C539" s="15">
        <v>5</v>
      </c>
      <c r="T539" s="2">
        <f t="shared" si="32"/>
        <v>0</v>
      </c>
      <c r="U539" s="2">
        <f t="shared" si="33"/>
        <v>0</v>
      </c>
      <c r="V539" s="2">
        <f t="shared" si="34"/>
        <v>0</v>
      </c>
      <c r="W539" s="2">
        <f t="shared" si="35"/>
        <v>0</v>
      </c>
      <c r="Y539" t="str">
        <f>IFERROR(ROUND(E539*VLOOKUP(D539,商品!$A$4:$B$60,2,FALSE),0),"")</f>
        <v/>
      </c>
      <c r="Z539" t="str">
        <f>IFERROR(ROUND(G539*VLOOKUP(F539,商品!$A$4:$B$60,2,FALSE),0),"")</f>
        <v/>
      </c>
      <c r="AA539" t="str">
        <f>IFERROR(ROUND(I539*VLOOKUP(H539,商品!$A$4:$B$60,2,FALSE),0),"")</f>
        <v/>
      </c>
      <c r="AB539" t="str">
        <f>IFERROR(ROUND(K539*VLOOKUP(J539,[1]note_pop_types!$A$16:$E$16,4,FALSE),0),"")</f>
        <v/>
      </c>
      <c r="AC539" t="str">
        <f>IFERROR(ROUND(M539*VLOOKUP(L539,[1]note_pop_types!$A$16:$E$16,4,FALSE),0),"")</f>
        <v/>
      </c>
      <c r="AD539" t="str">
        <f>IFERROR(ROUND(O539*VLOOKUP(N539,[1]note_pop_types!$A$16:$E$16,4,FALSE),0),"")</f>
        <v/>
      </c>
      <c r="AE539" t="str">
        <f>IFERROR(ROUND(Q539*VLOOKUP(P539,商品!$A$4:$B$60,2,FALSE),0),"")</f>
        <v/>
      </c>
      <c r="AF539" t="str">
        <f>IFERROR(ROUND(S539*VLOOKUP(R539,商品!$A$4:$B$60,2,FALSE),0),"")</f>
        <v/>
      </c>
    </row>
    <row r="540" spans="1:32" ht="19.05" customHeight="1" x14ac:dyDescent="0.25">
      <c r="A540" s="15" t="s">
        <v>293</v>
      </c>
      <c r="C540" s="15">
        <v>6</v>
      </c>
      <c r="T540" s="2">
        <f t="shared" si="32"/>
        <v>0</v>
      </c>
      <c r="U540" s="2">
        <f t="shared" si="33"/>
        <v>0</v>
      </c>
      <c r="V540" s="2">
        <f t="shared" si="34"/>
        <v>0</v>
      </c>
      <c r="W540" s="2">
        <f t="shared" si="35"/>
        <v>0</v>
      </c>
      <c r="Y540" t="str">
        <f>IFERROR(ROUND(E540*VLOOKUP(D540,商品!$A$4:$B$60,2,FALSE),0),"")</f>
        <v/>
      </c>
      <c r="Z540" t="str">
        <f>IFERROR(ROUND(G540*VLOOKUP(F540,商品!$A$4:$B$60,2,FALSE),0),"")</f>
        <v/>
      </c>
      <c r="AA540" t="str">
        <f>IFERROR(ROUND(I540*VLOOKUP(H540,商品!$A$4:$B$60,2,FALSE),0),"")</f>
        <v/>
      </c>
      <c r="AB540" t="str">
        <f>IFERROR(ROUND(K540*VLOOKUP(J540,[1]note_pop_types!$A$16:$E$16,4,FALSE),0),"")</f>
        <v/>
      </c>
      <c r="AC540" t="str">
        <f>IFERROR(ROUND(M540*VLOOKUP(L540,[1]note_pop_types!$A$16:$E$16,4,FALSE),0),"")</f>
        <v/>
      </c>
      <c r="AD540" t="str">
        <f>IFERROR(ROUND(O540*VLOOKUP(N540,[1]note_pop_types!$A$16:$E$16,4,FALSE),0),"")</f>
        <v/>
      </c>
      <c r="AE540" t="str">
        <f>IFERROR(ROUND(Q540*VLOOKUP(P540,商品!$A$4:$B$60,2,FALSE),0),"")</f>
        <v/>
      </c>
      <c r="AF540" t="str">
        <f>IFERROR(ROUND(S540*VLOOKUP(R540,商品!$A$4:$B$60,2,FALSE),0),"")</f>
        <v/>
      </c>
    </row>
    <row r="541" spans="1:32" ht="19.05" customHeight="1" x14ac:dyDescent="0.25">
      <c r="A541" s="15" t="s">
        <v>293</v>
      </c>
      <c r="C541" s="15">
        <v>7</v>
      </c>
      <c r="T541" s="2">
        <f t="shared" si="32"/>
        <v>0</v>
      </c>
      <c r="U541" s="2">
        <f t="shared" si="33"/>
        <v>0</v>
      </c>
      <c r="V541" s="2">
        <f t="shared" si="34"/>
        <v>0</v>
      </c>
      <c r="W541" s="2">
        <f t="shared" si="35"/>
        <v>0</v>
      </c>
      <c r="Y541" t="str">
        <f>IFERROR(ROUND(E541*VLOOKUP(D541,商品!$A$4:$B$60,2,FALSE),0),"")</f>
        <v/>
      </c>
      <c r="Z541" t="str">
        <f>IFERROR(ROUND(G541*VLOOKUP(F541,商品!$A$4:$B$60,2,FALSE),0),"")</f>
        <v/>
      </c>
      <c r="AA541" t="str">
        <f>IFERROR(ROUND(I541*VLOOKUP(H541,商品!$A$4:$B$60,2,FALSE),0),"")</f>
        <v/>
      </c>
      <c r="AB541" t="str">
        <f>IFERROR(ROUND(K541*VLOOKUP(J541,[1]note_pop_types!$A$16:$E$16,4,FALSE),0),"")</f>
        <v/>
      </c>
      <c r="AC541" t="str">
        <f>IFERROR(ROUND(M541*VLOOKUP(L541,[1]note_pop_types!$A$16:$E$16,4,FALSE),0),"")</f>
        <v/>
      </c>
      <c r="AD541" t="str">
        <f>IFERROR(ROUND(O541*VLOOKUP(N541,[1]note_pop_types!$A$16:$E$16,4,FALSE),0),"")</f>
        <v/>
      </c>
      <c r="AE541" t="str">
        <f>IFERROR(ROUND(Q541*VLOOKUP(P541,商品!$A$4:$B$60,2,FALSE),0),"")</f>
        <v/>
      </c>
      <c r="AF541" t="str">
        <f>IFERROR(ROUND(S541*VLOOKUP(R541,商品!$A$4:$B$60,2,FALSE),0),"")</f>
        <v/>
      </c>
    </row>
    <row r="542" spans="1:32" ht="19.05" customHeight="1" x14ac:dyDescent="0.25">
      <c r="A542" s="15" t="s">
        <v>293</v>
      </c>
      <c r="C542" s="15">
        <v>8</v>
      </c>
      <c r="T542" s="2">
        <f t="shared" si="32"/>
        <v>0</v>
      </c>
      <c r="U542" s="2">
        <f t="shared" si="33"/>
        <v>0</v>
      </c>
      <c r="V542" s="2">
        <f t="shared" si="34"/>
        <v>0</v>
      </c>
      <c r="W542" s="2">
        <f t="shared" si="35"/>
        <v>0</v>
      </c>
      <c r="Y542" t="str">
        <f>IFERROR(ROUND(E542*VLOOKUP(D542,商品!$A$4:$B$60,2,FALSE),0),"")</f>
        <v/>
      </c>
      <c r="Z542" t="str">
        <f>IFERROR(ROUND(G542*VLOOKUP(F542,商品!$A$4:$B$60,2,FALSE),0),"")</f>
        <v/>
      </c>
      <c r="AA542" t="str">
        <f>IFERROR(ROUND(I542*VLOOKUP(H542,商品!$A$4:$B$60,2,FALSE),0),"")</f>
        <v/>
      </c>
      <c r="AB542" t="str">
        <f>IFERROR(ROUND(K542*VLOOKUP(J542,[1]note_pop_types!$A$16:$E$16,4,FALSE),0),"")</f>
        <v/>
      </c>
      <c r="AC542" t="str">
        <f>IFERROR(ROUND(M542*VLOOKUP(L542,[1]note_pop_types!$A$16:$E$16,4,FALSE),0),"")</f>
        <v/>
      </c>
      <c r="AD542" t="str">
        <f>IFERROR(ROUND(O542*VLOOKUP(N542,[1]note_pop_types!$A$16:$E$16,4,FALSE),0),"")</f>
        <v/>
      </c>
      <c r="AE542" t="str">
        <f>IFERROR(ROUND(Q542*VLOOKUP(P542,商品!$A$4:$B$60,2,FALSE),0),"")</f>
        <v/>
      </c>
      <c r="AF542" t="str">
        <f>IFERROR(ROUND(S542*VLOOKUP(R542,商品!$A$4:$B$60,2,FALSE),0),"")</f>
        <v/>
      </c>
    </row>
    <row r="543" spans="1:32" ht="19.05" customHeight="1" x14ac:dyDescent="0.25">
      <c r="A543" s="16" t="s">
        <v>295</v>
      </c>
      <c r="C543" s="16">
        <v>1</v>
      </c>
      <c r="T543" s="2">
        <f t="shared" si="32"/>
        <v>0</v>
      </c>
      <c r="U543" s="2">
        <f t="shared" si="33"/>
        <v>0</v>
      </c>
      <c r="V543" s="2">
        <f t="shared" si="34"/>
        <v>0</v>
      </c>
      <c r="W543" s="2">
        <f t="shared" si="35"/>
        <v>0</v>
      </c>
      <c r="Y543" t="str">
        <f>IFERROR(ROUND(E543*VLOOKUP(D543,商品!$A$4:$B$60,2,FALSE),0),"")</f>
        <v/>
      </c>
      <c r="Z543" t="str">
        <f>IFERROR(ROUND(G543*VLOOKUP(F543,商品!$A$4:$B$60,2,FALSE),0),"")</f>
        <v/>
      </c>
      <c r="AA543" t="str">
        <f>IFERROR(ROUND(I543*VLOOKUP(H543,商品!$A$4:$B$60,2,FALSE),0),"")</f>
        <v/>
      </c>
      <c r="AB543" t="str">
        <f>IFERROR(ROUND(K543*VLOOKUP(J543,[1]note_pop_types!$A$16:$E$16,4,FALSE),0),"")</f>
        <v/>
      </c>
      <c r="AC543" t="str">
        <f>IFERROR(ROUND(M543*VLOOKUP(L543,[1]note_pop_types!$A$16:$E$16,4,FALSE),0),"")</f>
        <v/>
      </c>
      <c r="AD543" t="str">
        <f>IFERROR(ROUND(O543*VLOOKUP(N543,[1]note_pop_types!$A$16:$E$16,4,FALSE),0),"")</f>
        <v/>
      </c>
      <c r="AE543" t="str">
        <f>IFERROR(ROUND(Q543*VLOOKUP(P543,商品!$A$4:$B$60,2,FALSE),0),"")</f>
        <v/>
      </c>
      <c r="AF543" t="str">
        <f>IFERROR(ROUND(S543*VLOOKUP(R543,商品!$A$4:$B$60,2,FALSE),0),"")</f>
        <v/>
      </c>
    </row>
    <row r="544" spans="1:32" ht="19.05" customHeight="1" x14ac:dyDescent="0.25">
      <c r="A544" s="16" t="s">
        <v>295</v>
      </c>
      <c r="C544" s="16">
        <v>2</v>
      </c>
      <c r="T544" s="2">
        <f t="shared" si="32"/>
        <v>0</v>
      </c>
      <c r="U544" s="2">
        <f t="shared" si="33"/>
        <v>0</v>
      </c>
      <c r="V544" s="2">
        <f t="shared" si="34"/>
        <v>0</v>
      </c>
      <c r="W544" s="2">
        <f t="shared" si="35"/>
        <v>0</v>
      </c>
      <c r="Y544" t="str">
        <f>IFERROR(ROUND(E544*VLOOKUP(D544,商品!$A$4:$B$60,2,FALSE),0),"")</f>
        <v/>
      </c>
      <c r="Z544" t="str">
        <f>IFERROR(ROUND(G544*VLOOKUP(F544,商品!$A$4:$B$60,2,FALSE),0),"")</f>
        <v/>
      </c>
      <c r="AA544" t="str">
        <f>IFERROR(ROUND(I544*VLOOKUP(H544,商品!$A$4:$B$60,2,FALSE),0),"")</f>
        <v/>
      </c>
      <c r="AB544" t="str">
        <f>IFERROR(ROUND(K544*VLOOKUP(J544,[1]note_pop_types!$A$16:$E$16,4,FALSE),0),"")</f>
        <v/>
      </c>
      <c r="AC544" t="str">
        <f>IFERROR(ROUND(M544*VLOOKUP(L544,[1]note_pop_types!$A$16:$E$16,4,FALSE),0),"")</f>
        <v/>
      </c>
      <c r="AD544" t="str">
        <f>IFERROR(ROUND(O544*VLOOKUP(N544,[1]note_pop_types!$A$16:$E$16,4,FALSE),0),"")</f>
        <v/>
      </c>
      <c r="AE544" t="str">
        <f>IFERROR(ROUND(Q544*VLOOKUP(P544,商品!$A$4:$B$60,2,FALSE),0),"")</f>
        <v/>
      </c>
      <c r="AF544" t="str">
        <f>IFERROR(ROUND(S544*VLOOKUP(R544,商品!$A$4:$B$60,2,FALSE),0),"")</f>
        <v/>
      </c>
    </row>
    <row r="545" spans="1:32" ht="19.05" customHeight="1" x14ac:dyDescent="0.25">
      <c r="A545" s="16" t="s">
        <v>295</v>
      </c>
      <c r="C545" s="16">
        <v>3</v>
      </c>
      <c r="T545" s="2">
        <f t="shared" si="32"/>
        <v>0</v>
      </c>
      <c r="U545" s="2">
        <f t="shared" si="33"/>
        <v>0</v>
      </c>
      <c r="V545" s="2">
        <f t="shared" si="34"/>
        <v>0</v>
      </c>
      <c r="W545" s="2">
        <f t="shared" si="35"/>
        <v>0</v>
      </c>
      <c r="Y545" t="str">
        <f>IFERROR(ROUND(E545*VLOOKUP(D545,商品!$A$4:$B$60,2,FALSE),0),"")</f>
        <v/>
      </c>
      <c r="Z545" t="str">
        <f>IFERROR(ROUND(G545*VLOOKUP(F545,商品!$A$4:$B$60,2,FALSE),0),"")</f>
        <v/>
      </c>
      <c r="AA545" t="str">
        <f>IFERROR(ROUND(I545*VLOOKUP(H545,商品!$A$4:$B$60,2,FALSE),0),"")</f>
        <v/>
      </c>
      <c r="AB545" t="str">
        <f>IFERROR(ROUND(K545*VLOOKUP(J545,[1]note_pop_types!$A$16:$E$16,4,FALSE),0),"")</f>
        <v/>
      </c>
      <c r="AC545" t="str">
        <f>IFERROR(ROUND(M545*VLOOKUP(L545,[1]note_pop_types!$A$16:$E$16,4,FALSE),0),"")</f>
        <v/>
      </c>
      <c r="AD545" t="str">
        <f>IFERROR(ROUND(O545*VLOOKUP(N545,[1]note_pop_types!$A$16:$E$16,4,FALSE),0),"")</f>
        <v/>
      </c>
      <c r="AE545" t="str">
        <f>IFERROR(ROUND(Q545*VLOOKUP(P545,商品!$A$4:$B$60,2,FALSE),0),"")</f>
        <v/>
      </c>
      <c r="AF545" t="str">
        <f>IFERROR(ROUND(S545*VLOOKUP(R545,商品!$A$4:$B$60,2,FALSE),0),"")</f>
        <v/>
      </c>
    </row>
    <row r="546" spans="1:32" ht="19.05" customHeight="1" x14ac:dyDescent="0.25">
      <c r="A546" s="16" t="s">
        <v>295</v>
      </c>
      <c r="C546" s="16">
        <v>4</v>
      </c>
      <c r="T546" s="2">
        <f t="shared" si="32"/>
        <v>0</v>
      </c>
      <c r="U546" s="2">
        <f t="shared" si="33"/>
        <v>0</v>
      </c>
      <c r="V546" s="2">
        <f t="shared" si="34"/>
        <v>0</v>
      </c>
      <c r="W546" s="2">
        <f t="shared" si="35"/>
        <v>0</v>
      </c>
      <c r="Y546" t="str">
        <f>IFERROR(ROUND(E546*VLOOKUP(D546,商品!$A$4:$B$60,2,FALSE),0),"")</f>
        <v/>
      </c>
      <c r="Z546" t="str">
        <f>IFERROR(ROUND(G546*VLOOKUP(F546,商品!$A$4:$B$60,2,FALSE),0),"")</f>
        <v/>
      </c>
      <c r="AA546" t="str">
        <f>IFERROR(ROUND(I546*VLOOKUP(H546,商品!$A$4:$B$60,2,FALSE),0),"")</f>
        <v/>
      </c>
      <c r="AB546" t="str">
        <f>IFERROR(ROUND(K546*VLOOKUP(J546,[1]note_pop_types!$A$16:$E$16,4,FALSE),0),"")</f>
        <v/>
      </c>
      <c r="AC546" t="str">
        <f>IFERROR(ROUND(M546*VLOOKUP(L546,[1]note_pop_types!$A$16:$E$16,4,FALSE),0),"")</f>
        <v/>
      </c>
      <c r="AD546" t="str">
        <f>IFERROR(ROUND(O546*VLOOKUP(N546,[1]note_pop_types!$A$16:$E$16,4,FALSE),0),"")</f>
        <v/>
      </c>
      <c r="AE546" t="str">
        <f>IFERROR(ROUND(Q546*VLOOKUP(P546,商品!$A$4:$B$60,2,FALSE),0),"")</f>
        <v/>
      </c>
      <c r="AF546" t="str">
        <f>IFERROR(ROUND(S546*VLOOKUP(R546,商品!$A$4:$B$60,2,FALSE),0),"")</f>
        <v/>
      </c>
    </row>
    <row r="547" spans="1:32" ht="19.05" customHeight="1" x14ac:dyDescent="0.25">
      <c r="A547" s="16" t="s">
        <v>295</v>
      </c>
      <c r="C547" s="16">
        <v>5</v>
      </c>
      <c r="T547" s="2">
        <f t="shared" si="32"/>
        <v>0</v>
      </c>
      <c r="U547" s="2">
        <f t="shared" si="33"/>
        <v>0</v>
      </c>
      <c r="V547" s="2">
        <f t="shared" si="34"/>
        <v>0</v>
      </c>
      <c r="W547" s="2">
        <f t="shared" si="35"/>
        <v>0</v>
      </c>
      <c r="Y547" t="str">
        <f>IFERROR(ROUND(E547*VLOOKUP(D547,商品!$A$4:$B$60,2,FALSE),0),"")</f>
        <v/>
      </c>
      <c r="Z547" t="str">
        <f>IFERROR(ROUND(G547*VLOOKUP(F547,商品!$A$4:$B$60,2,FALSE),0),"")</f>
        <v/>
      </c>
      <c r="AA547" t="str">
        <f>IFERROR(ROUND(I547*VLOOKUP(H547,商品!$A$4:$B$60,2,FALSE),0),"")</f>
        <v/>
      </c>
      <c r="AB547" t="str">
        <f>IFERROR(ROUND(K547*VLOOKUP(J547,[1]note_pop_types!$A$16:$E$16,4,FALSE),0),"")</f>
        <v/>
      </c>
      <c r="AC547" t="str">
        <f>IFERROR(ROUND(M547*VLOOKUP(L547,[1]note_pop_types!$A$16:$E$16,4,FALSE),0),"")</f>
        <v/>
      </c>
      <c r="AD547" t="str">
        <f>IFERROR(ROUND(O547*VLOOKUP(N547,[1]note_pop_types!$A$16:$E$16,4,FALSE),0),"")</f>
        <v/>
      </c>
      <c r="AE547" t="str">
        <f>IFERROR(ROUND(Q547*VLOOKUP(P547,商品!$A$4:$B$60,2,FALSE),0),"")</f>
        <v/>
      </c>
      <c r="AF547" t="str">
        <f>IFERROR(ROUND(S547*VLOOKUP(R547,商品!$A$4:$B$60,2,FALSE),0),"")</f>
        <v/>
      </c>
    </row>
    <row r="548" spans="1:32" ht="19.05" customHeight="1" x14ac:dyDescent="0.25">
      <c r="A548" s="15" t="s">
        <v>295</v>
      </c>
      <c r="C548" s="15">
        <v>1</v>
      </c>
      <c r="T548" s="2">
        <f t="shared" si="32"/>
        <v>0</v>
      </c>
      <c r="U548" s="2">
        <f t="shared" si="33"/>
        <v>0</v>
      </c>
      <c r="V548" s="2">
        <f t="shared" si="34"/>
        <v>0</v>
      </c>
      <c r="W548" s="2">
        <f t="shared" si="35"/>
        <v>0</v>
      </c>
      <c r="Y548" t="str">
        <f>IFERROR(ROUND(E548*VLOOKUP(D548,商品!$A$4:$B$60,2,FALSE),0),"")</f>
        <v/>
      </c>
      <c r="Z548" t="str">
        <f>IFERROR(ROUND(G548*VLOOKUP(F548,商品!$A$4:$B$60,2,FALSE),0),"")</f>
        <v/>
      </c>
      <c r="AA548" t="str">
        <f>IFERROR(ROUND(I548*VLOOKUP(H548,商品!$A$4:$B$60,2,FALSE),0),"")</f>
        <v/>
      </c>
      <c r="AB548" t="str">
        <f>IFERROR(ROUND(K548*VLOOKUP(J548,[1]note_pop_types!$A$16:$E$16,4,FALSE),0),"")</f>
        <v/>
      </c>
      <c r="AC548" t="str">
        <f>IFERROR(ROUND(M548*VLOOKUP(L548,[1]note_pop_types!$A$16:$E$16,4,FALSE),0),"")</f>
        <v/>
      </c>
      <c r="AD548" t="str">
        <f>IFERROR(ROUND(O548*VLOOKUP(N548,[1]note_pop_types!$A$16:$E$16,4,FALSE),0),"")</f>
        <v/>
      </c>
      <c r="AE548" t="str">
        <f>IFERROR(ROUND(Q548*VLOOKUP(P548,商品!$A$4:$B$60,2,FALSE),0),"")</f>
        <v/>
      </c>
      <c r="AF548" t="str">
        <f>IFERROR(ROUND(S548*VLOOKUP(R548,商品!$A$4:$B$60,2,FALSE),0),"")</f>
        <v/>
      </c>
    </row>
    <row r="549" spans="1:32" ht="19.05" customHeight="1" x14ac:dyDescent="0.25">
      <c r="A549" s="15" t="s">
        <v>295</v>
      </c>
      <c r="C549" s="15">
        <v>2</v>
      </c>
      <c r="T549" s="2">
        <f t="shared" si="32"/>
        <v>0</v>
      </c>
      <c r="U549" s="2">
        <f t="shared" si="33"/>
        <v>0</v>
      </c>
      <c r="V549" s="2">
        <f t="shared" si="34"/>
        <v>0</v>
      </c>
      <c r="W549" s="2">
        <f t="shared" si="35"/>
        <v>0</v>
      </c>
      <c r="Y549" t="str">
        <f>IFERROR(ROUND(E549*VLOOKUP(D549,商品!$A$4:$B$60,2,FALSE),0),"")</f>
        <v/>
      </c>
      <c r="Z549" t="str">
        <f>IFERROR(ROUND(G549*VLOOKUP(F549,商品!$A$4:$B$60,2,FALSE),0),"")</f>
        <v/>
      </c>
      <c r="AA549" t="str">
        <f>IFERROR(ROUND(I549*VLOOKUP(H549,商品!$A$4:$B$60,2,FALSE),0),"")</f>
        <v/>
      </c>
      <c r="AB549" t="str">
        <f>IFERROR(ROUND(K549*VLOOKUP(J549,[1]note_pop_types!$A$16:$E$16,4,FALSE),0),"")</f>
        <v/>
      </c>
      <c r="AC549" t="str">
        <f>IFERROR(ROUND(M549*VLOOKUP(L549,[1]note_pop_types!$A$16:$E$16,4,FALSE),0),"")</f>
        <v/>
      </c>
      <c r="AD549" t="str">
        <f>IFERROR(ROUND(O549*VLOOKUP(N549,[1]note_pop_types!$A$16:$E$16,4,FALSE),0),"")</f>
        <v/>
      </c>
      <c r="AE549" t="str">
        <f>IFERROR(ROUND(Q549*VLOOKUP(P549,商品!$A$4:$B$60,2,FALSE),0),"")</f>
        <v/>
      </c>
      <c r="AF549" t="str">
        <f>IFERROR(ROUND(S549*VLOOKUP(R549,商品!$A$4:$B$60,2,FALSE),0),"")</f>
        <v/>
      </c>
    </row>
    <row r="550" spans="1:32" ht="19.05" customHeight="1" x14ac:dyDescent="0.25">
      <c r="A550" s="15" t="s">
        <v>295</v>
      </c>
      <c r="C550" s="15">
        <v>3</v>
      </c>
      <c r="T550" s="2">
        <f t="shared" si="32"/>
        <v>0</v>
      </c>
      <c r="U550" s="2">
        <f t="shared" si="33"/>
        <v>0</v>
      </c>
      <c r="V550" s="2">
        <f t="shared" si="34"/>
        <v>0</v>
      </c>
      <c r="W550" s="2">
        <f t="shared" si="35"/>
        <v>0</v>
      </c>
      <c r="Y550" t="str">
        <f>IFERROR(ROUND(E550*VLOOKUP(D550,商品!$A$4:$B$60,2,FALSE),0),"")</f>
        <v/>
      </c>
      <c r="Z550" t="str">
        <f>IFERROR(ROUND(G550*VLOOKUP(F550,商品!$A$4:$B$60,2,FALSE),0),"")</f>
        <v/>
      </c>
      <c r="AA550" t="str">
        <f>IFERROR(ROUND(I550*VLOOKUP(H550,商品!$A$4:$B$60,2,FALSE),0),"")</f>
        <v/>
      </c>
      <c r="AB550" t="str">
        <f>IFERROR(ROUND(K550*VLOOKUP(J550,[1]note_pop_types!$A$16:$E$16,4,FALSE),0),"")</f>
        <v/>
      </c>
      <c r="AC550" t="str">
        <f>IFERROR(ROUND(M550*VLOOKUP(L550,[1]note_pop_types!$A$16:$E$16,4,FALSE),0),"")</f>
        <v/>
      </c>
      <c r="AD550" t="str">
        <f>IFERROR(ROUND(O550*VLOOKUP(N550,[1]note_pop_types!$A$16:$E$16,4,FALSE),0),"")</f>
        <v/>
      </c>
      <c r="AE550" t="str">
        <f>IFERROR(ROUND(Q550*VLOOKUP(P550,商品!$A$4:$B$60,2,FALSE),0),"")</f>
        <v/>
      </c>
      <c r="AF550" t="str">
        <f>IFERROR(ROUND(S550*VLOOKUP(R550,商品!$A$4:$B$60,2,FALSE),0),"")</f>
        <v/>
      </c>
    </row>
    <row r="551" spans="1:32" ht="19.05" customHeight="1" x14ac:dyDescent="0.25">
      <c r="A551" s="15" t="s">
        <v>295</v>
      </c>
      <c r="C551" s="15">
        <v>4</v>
      </c>
      <c r="T551" s="2">
        <f t="shared" si="32"/>
        <v>0</v>
      </c>
      <c r="U551" s="2">
        <f t="shared" si="33"/>
        <v>0</v>
      </c>
      <c r="V551" s="2">
        <f t="shared" si="34"/>
        <v>0</v>
      </c>
      <c r="W551" s="2">
        <f t="shared" si="35"/>
        <v>0</v>
      </c>
      <c r="Y551" t="str">
        <f>IFERROR(ROUND(E551*VLOOKUP(D551,商品!$A$4:$B$60,2,FALSE),0),"")</f>
        <v/>
      </c>
      <c r="Z551" t="str">
        <f>IFERROR(ROUND(G551*VLOOKUP(F551,商品!$A$4:$B$60,2,FALSE),0),"")</f>
        <v/>
      </c>
      <c r="AA551" t="str">
        <f>IFERROR(ROUND(I551*VLOOKUP(H551,商品!$A$4:$B$60,2,FALSE),0),"")</f>
        <v/>
      </c>
      <c r="AB551" t="str">
        <f>IFERROR(ROUND(K551*VLOOKUP(J551,[1]note_pop_types!$A$16:$E$16,4,FALSE),0),"")</f>
        <v/>
      </c>
      <c r="AC551" t="str">
        <f>IFERROR(ROUND(M551*VLOOKUP(L551,[1]note_pop_types!$A$16:$E$16,4,FALSE),0),"")</f>
        <v/>
      </c>
      <c r="AD551" t="str">
        <f>IFERROR(ROUND(O551*VLOOKUP(N551,[1]note_pop_types!$A$16:$E$16,4,FALSE),0),"")</f>
        <v/>
      </c>
      <c r="AE551" t="str">
        <f>IFERROR(ROUND(Q551*VLOOKUP(P551,商品!$A$4:$B$60,2,FALSE),0),"")</f>
        <v/>
      </c>
      <c r="AF551" t="str">
        <f>IFERROR(ROUND(S551*VLOOKUP(R551,商品!$A$4:$B$60,2,FALSE),0),"")</f>
        <v/>
      </c>
    </row>
    <row r="552" spans="1:32" ht="19.05" customHeight="1" x14ac:dyDescent="0.25">
      <c r="A552" s="15" t="s">
        <v>295</v>
      </c>
      <c r="C552" s="15">
        <v>5</v>
      </c>
      <c r="T552" s="2">
        <f t="shared" si="32"/>
        <v>0</v>
      </c>
      <c r="U552" s="2">
        <f t="shared" si="33"/>
        <v>0</v>
      </c>
      <c r="V552" s="2">
        <f t="shared" si="34"/>
        <v>0</v>
      </c>
      <c r="W552" s="2">
        <f t="shared" si="35"/>
        <v>0</v>
      </c>
      <c r="Y552" t="str">
        <f>IFERROR(ROUND(E552*VLOOKUP(D552,商品!$A$4:$B$60,2,FALSE),0),"")</f>
        <v/>
      </c>
      <c r="Z552" t="str">
        <f>IFERROR(ROUND(G552*VLOOKUP(F552,商品!$A$4:$B$60,2,FALSE),0),"")</f>
        <v/>
      </c>
      <c r="AA552" t="str">
        <f>IFERROR(ROUND(I552*VLOOKUP(H552,商品!$A$4:$B$60,2,FALSE),0),"")</f>
        <v/>
      </c>
      <c r="AB552" t="str">
        <f>IFERROR(ROUND(K552*VLOOKUP(J552,[1]note_pop_types!$A$16:$E$16,4,FALSE),0),"")</f>
        <v/>
      </c>
      <c r="AC552" t="str">
        <f>IFERROR(ROUND(M552*VLOOKUP(L552,[1]note_pop_types!$A$16:$E$16,4,FALSE),0),"")</f>
        <v/>
      </c>
      <c r="AD552" t="str">
        <f>IFERROR(ROUND(O552*VLOOKUP(N552,[1]note_pop_types!$A$16:$E$16,4,FALSE),0),"")</f>
        <v/>
      </c>
      <c r="AE552" t="str">
        <f>IFERROR(ROUND(Q552*VLOOKUP(P552,商品!$A$4:$B$60,2,FALSE),0),"")</f>
        <v/>
      </c>
      <c r="AF552" t="str">
        <f>IFERROR(ROUND(S552*VLOOKUP(R552,商品!$A$4:$B$60,2,FALSE),0),"")</f>
        <v/>
      </c>
    </row>
    <row r="553" spans="1:32" ht="19.05" customHeight="1" x14ac:dyDescent="0.25">
      <c r="A553" s="16" t="s">
        <v>296</v>
      </c>
      <c r="C553" s="16">
        <v>1</v>
      </c>
      <c r="T553" s="2">
        <f t="shared" si="32"/>
        <v>0</v>
      </c>
      <c r="U553" s="2">
        <f t="shared" si="33"/>
        <v>0</v>
      </c>
      <c r="V553" s="2">
        <f t="shared" si="34"/>
        <v>0</v>
      </c>
      <c r="W553" s="2">
        <f t="shared" si="35"/>
        <v>0</v>
      </c>
      <c r="Y553" t="str">
        <f>IFERROR(ROUND(E553*VLOOKUP(D553,商品!$A$4:$B$60,2,FALSE),0),"")</f>
        <v/>
      </c>
      <c r="Z553" t="str">
        <f>IFERROR(ROUND(G553*VLOOKUP(F553,商品!$A$4:$B$60,2,FALSE),0),"")</f>
        <v/>
      </c>
      <c r="AA553" t="str">
        <f>IFERROR(ROUND(I553*VLOOKUP(H553,商品!$A$4:$B$60,2,FALSE),0),"")</f>
        <v/>
      </c>
      <c r="AB553" t="str">
        <f>IFERROR(ROUND(K553*VLOOKUP(J553,[1]note_pop_types!$A$16:$E$16,4,FALSE),0),"")</f>
        <v/>
      </c>
      <c r="AC553" t="str">
        <f>IFERROR(ROUND(M553*VLOOKUP(L553,[1]note_pop_types!$A$16:$E$16,4,FALSE),0),"")</f>
        <v/>
      </c>
      <c r="AD553" t="str">
        <f>IFERROR(ROUND(O553*VLOOKUP(N553,[1]note_pop_types!$A$16:$E$16,4,FALSE),0),"")</f>
        <v/>
      </c>
      <c r="AE553" t="str">
        <f>IFERROR(ROUND(Q553*VLOOKUP(P553,商品!$A$4:$B$60,2,FALSE),0),"")</f>
        <v/>
      </c>
      <c r="AF553" t="str">
        <f>IFERROR(ROUND(S553*VLOOKUP(R553,商品!$A$4:$B$60,2,FALSE),0),"")</f>
        <v/>
      </c>
    </row>
    <row r="554" spans="1:32" ht="19.05" customHeight="1" x14ac:dyDescent="0.25">
      <c r="A554" s="16" t="s">
        <v>296</v>
      </c>
      <c r="C554" s="16">
        <v>2</v>
      </c>
      <c r="T554" s="2">
        <f t="shared" si="32"/>
        <v>0</v>
      </c>
      <c r="U554" s="2">
        <f t="shared" si="33"/>
        <v>0</v>
      </c>
      <c r="V554" s="2">
        <f t="shared" si="34"/>
        <v>0</v>
      </c>
      <c r="W554" s="2">
        <f t="shared" si="35"/>
        <v>0</v>
      </c>
      <c r="Y554" t="str">
        <f>IFERROR(ROUND(E554*VLOOKUP(D554,商品!$A$4:$B$60,2,FALSE),0),"")</f>
        <v/>
      </c>
      <c r="Z554" t="str">
        <f>IFERROR(ROUND(G554*VLOOKUP(F554,商品!$A$4:$B$60,2,FALSE),0),"")</f>
        <v/>
      </c>
      <c r="AA554" t="str">
        <f>IFERROR(ROUND(I554*VLOOKUP(H554,商品!$A$4:$B$60,2,FALSE),0),"")</f>
        <v/>
      </c>
      <c r="AB554" t="str">
        <f>IFERROR(ROUND(K554*VLOOKUP(J554,[1]note_pop_types!$A$16:$E$16,4,FALSE),0),"")</f>
        <v/>
      </c>
      <c r="AC554" t="str">
        <f>IFERROR(ROUND(M554*VLOOKUP(L554,[1]note_pop_types!$A$16:$E$16,4,FALSE),0),"")</f>
        <v/>
      </c>
      <c r="AD554" t="str">
        <f>IFERROR(ROUND(O554*VLOOKUP(N554,[1]note_pop_types!$A$16:$E$16,4,FALSE),0),"")</f>
        <v/>
      </c>
      <c r="AE554" t="str">
        <f>IFERROR(ROUND(Q554*VLOOKUP(P554,商品!$A$4:$B$60,2,FALSE),0),"")</f>
        <v/>
      </c>
      <c r="AF554" t="str">
        <f>IFERROR(ROUND(S554*VLOOKUP(R554,商品!$A$4:$B$60,2,FALSE),0),"")</f>
        <v/>
      </c>
    </row>
    <row r="555" spans="1:32" ht="19.05" customHeight="1" x14ac:dyDescent="0.25">
      <c r="A555" s="16" t="s">
        <v>296</v>
      </c>
      <c r="C555" s="16">
        <v>3</v>
      </c>
      <c r="T555" s="2">
        <f t="shared" si="32"/>
        <v>0</v>
      </c>
      <c r="U555" s="2">
        <f t="shared" si="33"/>
        <v>0</v>
      </c>
      <c r="V555" s="2">
        <f t="shared" si="34"/>
        <v>0</v>
      </c>
      <c r="W555" s="2">
        <f t="shared" si="35"/>
        <v>0</v>
      </c>
      <c r="Y555" t="str">
        <f>IFERROR(ROUND(E555*VLOOKUP(D555,商品!$A$4:$B$60,2,FALSE),0),"")</f>
        <v/>
      </c>
      <c r="Z555" t="str">
        <f>IFERROR(ROUND(G555*VLOOKUP(F555,商品!$A$4:$B$60,2,FALSE),0),"")</f>
        <v/>
      </c>
      <c r="AA555" t="str">
        <f>IFERROR(ROUND(I555*VLOOKUP(H555,商品!$A$4:$B$60,2,FALSE),0),"")</f>
        <v/>
      </c>
      <c r="AB555" t="str">
        <f>IFERROR(ROUND(K555*VLOOKUP(J555,[1]note_pop_types!$A$16:$E$16,4,FALSE),0),"")</f>
        <v/>
      </c>
      <c r="AC555" t="str">
        <f>IFERROR(ROUND(M555*VLOOKUP(L555,[1]note_pop_types!$A$16:$E$16,4,FALSE),0),"")</f>
        <v/>
      </c>
      <c r="AD555" t="str">
        <f>IFERROR(ROUND(O555*VLOOKUP(N555,[1]note_pop_types!$A$16:$E$16,4,FALSE),0),"")</f>
        <v/>
      </c>
      <c r="AE555" t="str">
        <f>IFERROR(ROUND(Q555*VLOOKUP(P555,商品!$A$4:$B$60,2,FALSE),0),"")</f>
        <v/>
      </c>
      <c r="AF555" t="str">
        <f>IFERROR(ROUND(S555*VLOOKUP(R555,商品!$A$4:$B$60,2,FALSE),0),"")</f>
        <v/>
      </c>
    </row>
    <row r="556" spans="1:32" ht="19.05" customHeight="1" x14ac:dyDescent="0.25">
      <c r="A556" s="16" t="s">
        <v>296</v>
      </c>
      <c r="C556" s="16">
        <v>4</v>
      </c>
      <c r="T556" s="2">
        <f t="shared" si="32"/>
        <v>0</v>
      </c>
      <c r="U556" s="2">
        <f t="shared" si="33"/>
        <v>0</v>
      </c>
      <c r="V556" s="2">
        <f t="shared" si="34"/>
        <v>0</v>
      </c>
      <c r="W556" s="2">
        <f t="shared" si="35"/>
        <v>0</v>
      </c>
      <c r="Y556" t="str">
        <f>IFERROR(ROUND(E556*VLOOKUP(D556,商品!$A$4:$B$60,2,FALSE),0),"")</f>
        <v/>
      </c>
      <c r="Z556" t="str">
        <f>IFERROR(ROUND(G556*VLOOKUP(F556,商品!$A$4:$B$60,2,FALSE),0),"")</f>
        <v/>
      </c>
      <c r="AA556" t="str">
        <f>IFERROR(ROUND(I556*VLOOKUP(H556,商品!$A$4:$B$60,2,FALSE),0),"")</f>
        <v/>
      </c>
      <c r="AB556" t="str">
        <f>IFERROR(ROUND(K556*VLOOKUP(J556,[1]note_pop_types!$A$16:$E$16,4,FALSE),0),"")</f>
        <v/>
      </c>
      <c r="AC556" t="str">
        <f>IFERROR(ROUND(M556*VLOOKUP(L556,[1]note_pop_types!$A$16:$E$16,4,FALSE),0),"")</f>
        <v/>
      </c>
      <c r="AD556" t="str">
        <f>IFERROR(ROUND(O556*VLOOKUP(N556,[1]note_pop_types!$A$16:$E$16,4,FALSE),0),"")</f>
        <v/>
      </c>
      <c r="AE556" t="str">
        <f>IFERROR(ROUND(Q556*VLOOKUP(P556,商品!$A$4:$B$60,2,FALSE),0),"")</f>
        <v/>
      </c>
      <c r="AF556" t="str">
        <f>IFERROR(ROUND(S556*VLOOKUP(R556,商品!$A$4:$B$60,2,FALSE),0),"")</f>
        <v/>
      </c>
    </row>
    <row r="557" spans="1:32" ht="19.05" customHeight="1" x14ac:dyDescent="0.25">
      <c r="A557" s="16" t="s">
        <v>296</v>
      </c>
      <c r="C557" s="16">
        <v>5</v>
      </c>
      <c r="T557" s="2">
        <f t="shared" si="32"/>
        <v>0</v>
      </c>
      <c r="U557" s="2">
        <f t="shared" si="33"/>
        <v>0</v>
      </c>
      <c r="V557" s="2">
        <f t="shared" si="34"/>
        <v>0</v>
      </c>
      <c r="W557" s="2">
        <f t="shared" si="35"/>
        <v>0</v>
      </c>
      <c r="Y557" t="str">
        <f>IFERROR(ROUND(E557*VLOOKUP(D557,商品!$A$4:$B$60,2,FALSE),0),"")</f>
        <v/>
      </c>
      <c r="Z557" t="str">
        <f>IFERROR(ROUND(G557*VLOOKUP(F557,商品!$A$4:$B$60,2,FALSE),0),"")</f>
        <v/>
      </c>
      <c r="AA557" t="str">
        <f>IFERROR(ROUND(I557*VLOOKUP(H557,商品!$A$4:$B$60,2,FALSE),0),"")</f>
        <v/>
      </c>
      <c r="AB557" t="str">
        <f>IFERROR(ROUND(K557*VLOOKUP(J557,[1]note_pop_types!$A$16:$E$16,4,FALSE),0),"")</f>
        <v/>
      </c>
      <c r="AC557" t="str">
        <f>IFERROR(ROUND(M557*VLOOKUP(L557,[1]note_pop_types!$A$16:$E$16,4,FALSE),0),"")</f>
        <v/>
      </c>
      <c r="AD557" t="str">
        <f>IFERROR(ROUND(O557*VLOOKUP(N557,[1]note_pop_types!$A$16:$E$16,4,FALSE),0),"")</f>
        <v/>
      </c>
      <c r="AE557" t="str">
        <f>IFERROR(ROUND(Q557*VLOOKUP(P557,商品!$A$4:$B$60,2,FALSE),0),"")</f>
        <v/>
      </c>
      <c r="AF557" t="str">
        <f>IFERROR(ROUND(S557*VLOOKUP(R557,商品!$A$4:$B$60,2,FALSE),0),"")</f>
        <v/>
      </c>
    </row>
    <row r="558" spans="1:32" ht="19.05" customHeight="1" x14ac:dyDescent="0.25">
      <c r="A558" s="15" t="s">
        <v>298</v>
      </c>
      <c r="C558" s="15">
        <v>1</v>
      </c>
      <c r="T558" s="2">
        <f t="shared" si="32"/>
        <v>0</v>
      </c>
      <c r="U558" s="2">
        <f t="shared" si="33"/>
        <v>0</v>
      </c>
      <c r="V558" s="2">
        <f t="shared" si="34"/>
        <v>0</v>
      </c>
      <c r="W558" s="2">
        <f t="shared" si="35"/>
        <v>0</v>
      </c>
      <c r="Y558" t="str">
        <f>IFERROR(ROUND(E558*VLOOKUP(D558,商品!$A$4:$B$60,2,FALSE),0),"")</f>
        <v/>
      </c>
      <c r="Z558" t="str">
        <f>IFERROR(ROUND(G558*VLOOKUP(F558,商品!$A$4:$B$60,2,FALSE),0),"")</f>
        <v/>
      </c>
      <c r="AA558" t="str">
        <f>IFERROR(ROUND(I558*VLOOKUP(H558,商品!$A$4:$B$60,2,FALSE),0),"")</f>
        <v/>
      </c>
      <c r="AB558" t="str">
        <f>IFERROR(ROUND(K558*VLOOKUP(J558,[1]note_pop_types!$A$16:$E$16,4,FALSE),0),"")</f>
        <v/>
      </c>
      <c r="AC558" t="str">
        <f>IFERROR(ROUND(M558*VLOOKUP(L558,[1]note_pop_types!$A$16:$E$16,4,FALSE),0),"")</f>
        <v/>
      </c>
      <c r="AD558" t="str">
        <f>IFERROR(ROUND(O558*VLOOKUP(N558,[1]note_pop_types!$A$16:$E$16,4,FALSE),0),"")</f>
        <v/>
      </c>
      <c r="AE558" t="str">
        <f>IFERROR(ROUND(Q558*VLOOKUP(P558,商品!$A$4:$B$60,2,FALSE),0),"")</f>
        <v/>
      </c>
      <c r="AF558" t="str">
        <f>IFERROR(ROUND(S558*VLOOKUP(R558,商品!$A$4:$B$60,2,FALSE),0),"")</f>
        <v/>
      </c>
    </row>
    <row r="559" spans="1:32" ht="19.05" customHeight="1" x14ac:dyDescent="0.25">
      <c r="A559" s="15" t="s">
        <v>298</v>
      </c>
      <c r="C559" s="15">
        <v>2</v>
      </c>
      <c r="T559" s="2">
        <f t="shared" si="32"/>
        <v>0</v>
      </c>
      <c r="U559" s="2">
        <f t="shared" si="33"/>
        <v>0</v>
      </c>
      <c r="V559" s="2">
        <f t="shared" si="34"/>
        <v>0</v>
      </c>
      <c r="W559" s="2">
        <f t="shared" si="35"/>
        <v>0</v>
      </c>
      <c r="Y559" t="str">
        <f>IFERROR(ROUND(E559*VLOOKUP(D559,商品!$A$4:$B$60,2,FALSE),0),"")</f>
        <v/>
      </c>
      <c r="Z559" t="str">
        <f>IFERROR(ROUND(G559*VLOOKUP(F559,商品!$A$4:$B$60,2,FALSE),0),"")</f>
        <v/>
      </c>
      <c r="AA559" t="str">
        <f>IFERROR(ROUND(I559*VLOOKUP(H559,商品!$A$4:$B$60,2,FALSE),0),"")</f>
        <v/>
      </c>
      <c r="AB559" t="str">
        <f>IFERROR(ROUND(K559*VLOOKUP(J559,[1]note_pop_types!$A$16:$E$16,4,FALSE),0),"")</f>
        <v/>
      </c>
      <c r="AC559" t="str">
        <f>IFERROR(ROUND(M559*VLOOKUP(L559,[1]note_pop_types!$A$16:$E$16,4,FALSE),0),"")</f>
        <v/>
      </c>
      <c r="AD559" t="str">
        <f>IFERROR(ROUND(O559*VLOOKUP(N559,[1]note_pop_types!$A$16:$E$16,4,FALSE),0),"")</f>
        <v/>
      </c>
      <c r="AE559" t="str">
        <f>IFERROR(ROUND(Q559*VLOOKUP(P559,商品!$A$4:$B$60,2,FALSE),0),"")</f>
        <v/>
      </c>
      <c r="AF559" t="str">
        <f>IFERROR(ROUND(S559*VLOOKUP(R559,商品!$A$4:$B$60,2,FALSE),0),"")</f>
        <v/>
      </c>
    </row>
    <row r="560" spans="1:32" ht="19.05" customHeight="1" x14ac:dyDescent="0.25">
      <c r="A560" s="15" t="s">
        <v>298</v>
      </c>
      <c r="C560" s="15">
        <v>3</v>
      </c>
      <c r="T560" s="2">
        <f t="shared" si="32"/>
        <v>0</v>
      </c>
      <c r="U560" s="2">
        <f t="shared" si="33"/>
        <v>0</v>
      </c>
      <c r="V560" s="2">
        <f t="shared" si="34"/>
        <v>0</v>
      </c>
      <c r="W560" s="2">
        <f t="shared" si="35"/>
        <v>0</v>
      </c>
      <c r="Y560" t="str">
        <f>IFERROR(ROUND(E560*VLOOKUP(D560,商品!$A$4:$B$60,2,FALSE),0),"")</f>
        <v/>
      </c>
      <c r="Z560" t="str">
        <f>IFERROR(ROUND(G560*VLOOKUP(F560,商品!$A$4:$B$60,2,FALSE),0),"")</f>
        <v/>
      </c>
      <c r="AA560" t="str">
        <f>IFERROR(ROUND(I560*VLOOKUP(H560,商品!$A$4:$B$60,2,FALSE),0),"")</f>
        <v/>
      </c>
      <c r="AB560" t="str">
        <f>IFERROR(ROUND(K560*VLOOKUP(J560,[1]note_pop_types!$A$16:$E$16,4,FALSE),0),"")</f>
        <v/>
      </c>
      <c r="AC560" t="str">
        <f>IFERROR(ROUND(M560*VLOOKUP(L560,[1]note_pop_types!$A$16:$E$16,4,FALSE),0),"")</f>
        <v/>
      </c>
      <c r="AD560" t="str">
        <f>IFERROR(ROUND(O560*VLOOKUP(N560,[1]note_pop_types!$A$16:$E$16,4,FALSE),0),"")</f>
        <v/>
      </c>
      <c r="AE560" t="str">
        <f>IFERROR(ROUND(Q560*VLOOKUP(P560,商品!$A$4:$B$60,2,FALSE),0),"")</f>
        <v/>
      </c>
      <c r="AF560" t="str">
        <f>IFERROR(ROUND(S560*VLOOKUP(R560,商品!$A$4:$B$60,2,FALSE),0),"")</f>
        <v/>
      </c>
    </row>
    <row r="561" spans="1:32" ht="19.05" customHeight="1" x14ac:dyDescent="0.25">
      <c r="A561" s="15" t="s">
        <v>298</v>
      </c>
      <c r="C561" s="15">
        <v>4</v>
      </c>
      <c r="T561" s="2">
        <f t="shared" si="32"/>
        <v>0</v>
      </c>
      <c r="U561" s="2">
        <f t="shared" si="33"/>
        <v>0</v>
      </c>
      <c r="V561" s="2">
        <f t="shared" si="34"/>
        <v>0</v>
      </c>
      <c r="W561" s="2">
        <f t="shared" si="35"/>
        <v>0</v>
      </c>
      <c r="Y561" t="str">
        <f>IFERROR(ROUND(E561*VLOOKUP(D561,商品!$A$4:$B$60,2,FALSE),0),"")</f>
        <v/>
      </c>
      <c r="Z561" t="str">
        <f>IFERROR(ROUND(G561*VLOOKUP(F561,商品!$A$4:$B$60,2,FALSE),0),"")</f>
        <v/>
      </c>
      <c r="AA561" t="str">
        <f>IFERROR(ROUND(I561*VLOOKUP(H561,商品!$A$4:$B$60,2,FALSE),0),"")</f>
        <v/>
      </c>
      <c r="AB561" t="str">
        <f>IFERROR(ROUND(K561*VLOOKUP(J561,[1]note_pop_types!$A$16:$E$16,4,FALSE),0),"")</f>
        <v/>
      </c>
      <c r="AC561" t="str">
        <f>IFERROR(ROUND(M561*VLOOKUP(L561,[1]note_pop_types!$A$16:$E$16,4,FALSE),0),"")</f>
        <v/>
      </c>
      <c r="AD561" t="str">
        <f>IFERROR(ROUND(O561*VLOOKUP(N561,[1]note_pop_types!$A$16:$E$16,4,FALSE),0),"")</f>
        <v/>
      </c>
      <c r="AE561" t="str">
        <f>IFERROR(ROUND(Q561*VLOOKUP(P561,商品!$A$4:$B$60,2,FALSE),0),"")</f>
        <v/>
      </c>
      <c r="AF561" t="str">
        <f>IFERROR(ROUND(S561*VLOOKUP(R561,商品!$A$4:$B$60,2,FALSE),0),"")</f>
        <v/>
      </c>
    </row>
    <row r="562" spans="1:32" ht="19.05" customHeight="1" x14ac:dyDescent="0.25">
      <c r="A562" s="15" t="s">
        <v>298</v>
      </c>
      <c r="C562" s="15">
        <v>5</v>
      </c>
      <c r="T562" s="2">
        <f t="shared" si="32"/>
        <v>0</v>
      </c>
      <c r="U562" s="2">
        <f t="shared" si="33"/>
        <v>0</v>
      </c>
      <c r="V562" s="2">
        <f t="shared" si="34"/>
        <v>0</v>
      </c>
      <c r="W562" s="2">
        <f t="shared" si="35"/>
        <v>0</v>
      </c>
      <c r="Y562" t="str">
        <f>IFERROR(ROUND(E562*VLOOKUP(D562,商品!$A$4:$B$60,2,FALSE),0),"")</f>
        <v/>
      </c>
      <c r="Z562" t="str">
        <f>IFERROR(ROUND(G562*VLOOKUP(F562,商品!$A$4:$B$60,2,FALSE),0),"")</f>
        <v/>
      </c>
      <c r="AA562" t="str">
        <f>IFERROR(ROUND(I562*VLOOKUP(H562,商品!$A$4:$B$60,2,FALSE),0),"")</f>
        <v/>
      </c>
      <c r="AB562" t="str">
        <f>IFERROR(ROUND(K562*VLOOKUP(J562,[1]note_pop_types!$A$16:$E$16,4,FALSE),0),"")</f>
        <v/>
      </c>
      <c r="AC562" t="str">
        <f>IFERROR(ROUND(M562*VLOOKUP(L562,[1]note_pop_types!$A$16:$E$16,4,FALSE),0),"")</f>
        <v/>
      </c>
      <c r="AD562" t="str">
        <f>IFERROR(ROUND(O562*VLOOKUP(N562,[1]note_pop_types!$A$16:$E$16,4,FALSE),0),"")</f>
        <v/>
      </c>
      <c r="AE562" t="str">
        <f>IFERROR(ROUND(Q562*VLOOKUP(P562,商品!$A$4:$B$60,2,FALSE),0),"")</f>
        <v/>
      </c>
      <c r="AF562" t="str">
        <f>IFERROR(ROUND(S562*VLOOKUP(R562,商品!$A$4:$B$60,2,FALSE),0),"")</f>
        <v/>
      </c>
    </row>
    <row r="563" spans="1:32" ht="19.05" customHeight="1" x14ac:dyDescent="0.25">
      <c r="A563" s="15" t="s">
        <v>298</v>
      </c>
      <c r="C563" s="15">
        <v>6</v>
      </c>
      <c r="T563" s="2">
        <f t="shared" si="32"/>
        <v>0</v>
      </c>
      <c r="U563" s="2">
        <f t="shared" si="33"/>
        <v>0</v>
      </c>
      <c r="V563" s="2">
        <f t="shared" si="34"/>
        <v>0</v>
      </c>
      <c r="W563" s="2">
        <f t="shared" si="35"/>
        <v>0</v>
      </c>
      <c r="Y563" t="str">
        <f>IFERROR(ROUND(E563*VLOOKUP(D563,商品!$A$4:$B$60,2,FALSE),0),"")</f>
        <v/>
      </c>
      <c r="Z563" t="str">
        <f>IFERROR(ROUND(G563*VLOOKUP(F563,商品!$A$4:$B$60,2,FALSE),0),"")</f>
        <v/>
      </c>
      <c r="AA563" t="str">
        <f>IFERROR(ROUND(I563*VLOOKUP(H563,商品!$A$4:$B$60,2,FALSE),0),"")</f>
        <v/>
      </c>
      <c r="AB563" t="str">
        <f>IFERROR(ROUND(K563*VLOOKUP(J563,[1]note_pop_types!$A$16:$E$16,4,FALSE),0),"")</f>
        <v/>
      </c>
      <c r="AC563" t="str">
        <f>IFERROR(ROUND(M563*VLOOKUP(L563,[1]note_pop_types!$A$16:$E$16,4,FALSE),0),"")</f>
        <v/>
      </c>
      <c r="AD563" t="str">
        <f>IFERROR(ROUND(O563*VLOOKUP(N563,[1]note_pop_types!$A$16:$E$16,4,FALSE),0),"")</f>
        <v/>
      </c>
      <c r="AE563" t="str">
        <f>IFERROR(ROUND(Q563*VLOOKUP(P563,商品!$A$4:$B$60,2,FALSE),0),"")</f>
        <v/>
      </c>
      <c r="AF563" t="str">
        <f>IFERROR(ROUND(S563*VLOOKUP(R563,商品!$A$4:$B$60,2,FALSE),0),"")</f>
        <v/>
      </c>
    </row>
    <row r="564" spans="1:32" ht="19.05" customHeight="1" x14ac:dyDescent="0.25">
      <c r="A564" s="15" t="s">
        <v>298</v>
      </c>
      <c r="C564" s="15">
        <v>7</v>
      </c>
      <c r="T564" s="2">
        <f t="shared" si="32"/>
        <v>0</v>
      </c>
      <c r="U564" s="2">
        <f t="shared" si="33"/>
        <v>0</v>
      </c>
      <c r="V564" s="2">
        <f t="shared" si="34"/>
        <v>0</v>
      </c>
      <c r="W564" s="2">
        <f t="shared" si="35"/>
        <v>0</v>
      </c>
      <c r="Y564" t="str">
        <f>IFERROR(ROUND(E564*VLOOKUP(D564,商品!$A$4:$B$60,2,FALSE),0),"")</f>
        <v/>
      </c>
      <c r="Z564" t="str">
        <f>IFERROR(ROUND(G564*VLOOKUP(F564,商品!$A$4:$B$60,2,FALSE),0),"")</f>
        <v/>
      </c>
      <c r="AA564" t="str">
        <f>IFERROR(ROUND(I564*VLOOKUP(H564,商品!$A$4:$B$60,2,FALSE),0),"")</f>
        <v/>
      </c>
      <c r="AB564" t="str">
        <f>IFERROR(ROUND(K564*VLOOKUP(J564,[1]note_pop_types!$A$16:$E$16,4,FALSE),0),"")</f>
        <v/>
      </c>
      <c r="AC564" t="str">
        <f>IFERROR(ROUND(M564*VLOOKUP(L564,[1]note_pop_types!$A$16:$E$16,4,FALSE),0),"")</f>
        <v/>
      </c>
      <c r="AD564" t="str">
        <f>IFERROR(ROUND(O564*VLOOKUP(N564,[1]note_pop_types!$A$16:$E$16,4,FALSE),0),"")</f>
        <v/>
      </c>
      <c r="AE564" t="str">
        <f>IFERROR(ROUND(Q564*VLOOKUP(P564,商品!$A$4:$B$60,2,FALSE),0),"")</f>
        <v/>
      </c>
      <c r="AF564" t="str">
        <f>IFERROR(ROUND(S564*VLOOKUP(R564,商品!$A$4:$B$60,2,FALSE),0),"")</f>
        <v/>
      </c>
    </row>
    <row r="565" spans="1:32" ht="19.05" customHeight="1" x14ac:dyDescent="0.25">
      <c r="A565" s="15" t="s">
        <v>298</v>
      </c>
      <c r="C565" s="15">
        <v>8</v>
      </c>
      <c r="T565" s="2">
        <f t="shared" si="32"/>
        <v>0</v>
      </c>
      <c r="U565" s="2">
        <f t="shared" si="33"/>
        <v>0</v>
      </c>
      <c r="V565" s="2">
        <f t="shared" si="34"/>
        <v>0</v>
      </c>
      <c r="W565" s="2">
        <f t="shared" si="35"/>
        <v>0</v>
      </c>
      <c r="Y565" t="str">
        <f>IFERROR(ROUND(E565*VLOOKUP(D565,商品!$A$4:$B$60,2,FALSE),0),"")</f>
        <v/>
      </c>
      <c r="Z565" t="str">
        <f>IFERROR(ROUND(G565*VLOOKUP(F565,商品!$A$4:$B$60,2,FALSE),0),"")</f>
        <v/>
      </c>
      <c r="AA565" t="str">
        <f>IFERROR(ROUND(I565*VLOOKUP(H565,商品!$A$4:$B$60,2,FALSE),0),"")</f>
        <v/>
      </c>
      <c r="AB565" t="str">
        <f>IFERROR(ROUND(K565*VLOOKUP(J565,[1]note_pop_types!$A$16:$E$16,4,FALSE),0),"")</f>
        <v/>
      </c>
      <c r="AC565" t="str">
        <f>IFERROR(ROUND(M565*VLOOKUP(L565,[1]note_pop_types!$A$16:$E$16,4,FALSE),0),"")</f>
        <v/>
      </c>
      <c r="AD565" t="str">
        <f>IFERROR(ROUND(O565*VLOOKUP(N565,[1]note_pop_types!$A$16:$E$16,4,FALSE),0),"")</f>
        <v/>
      </c>
      <c r="AE565" t="str">
        <f>IFERROR(ROUND(Q565*VLOOKUP(P565,商品!$A$4:$B$60,2,FALSE),0),"")</f>
        <v/>
      </c>
      <c r="AF565" t="str">
        <f>IFERROR(ROUND(S565*VLOOKUP(R565,商品!$A$4:$B$60,2,FALSE),0),"")</f>
        <v/>
      </c>
    </row>
    <row r="566" spans="1:32" ht="19.05" customHeight="1" x14ac:dyDescent="0.25">
      <c r="A566" s="16" t="s">
        <v>300</v>
      </c>
      <c r="C566" s="16">
        <v>1</v>
      </c>
      <c r="T566" s="2">
        <f t="shared" si="32"/>
        <v>0</v>
      </c>
      <c r="U566" s="2">
        <f t="shared" si="33"/>
        <v>0</v>
      </c>
      <c r="V566" s="2">
        <f t="shared" si="34"/>
        <v>0</v>
      </c>
      <c r="W566" s="2">
        <f t="shared" si="35"/>
        <v>0</v>
      </c>
      <c r="Y566" t="str">
        <f>IFERROR(ROUND(E566*VLOOKUP(D566,商品!$A$4:$B$60,2,FALSE),0),"")</f>
        <v/>
      </c>
      <c r="Z566" t="str">
        <f>IFERROR(ROUND(G566*VLOOKUP(F566,商品!$A$4:$B$60,2,FALSE),0),"")</f>
        <v/>
      </c>
      <c r="AA566" t="str">
        <f>IFERROR(ROUND(I566*VLOOKUP(H566,商品!$A$4:$B$60,2,FALSE),0),"")</f>
        <v/>
      </c>
      <c r="AB566" t="str">
        <f>IFERROR(ROUND(K566*VLOOKUP(J566,[1]note_pop_types!$A$16:$E$16,4,FALSE),0),"")</f>
        <v/>
      </c>
      <c r="AC566" t="str">
        <f>IFERROR(ROUND(M566*VLOOKUP(L566,[1]note_pop_types!$A$16:$E$16,4,FALSE),0),"")</f>
        <v/>
      </c>
      <c r="AD566" t="str">
        <f>IFERROR(ROUND(O566*VLOOKUP(N566,[1]note_pop_types!$A$16:$E$16,4,FALSE),0),"")</f>
        <v/>
      </c>
      <c r="AE566" t="str">
        <f>IFERROR(ROUND(Q566*VLOOKUP(P566,商品!$A$4:$B$60,2,FALSE),0),"")</f>
        <v/>
      </c>
      <c r="AF566" t="str">
        <f>IFERROR(ROUND(S566*VLOOKUP(R566,商品!$A$4:$B$60,2,FALSE),0),"")</f>
        <v/>
      </c>
    </row>
    <row r="567" spans="1:32" ht="19.05" customHeight="1" x14ac:dyDescent="0.25">
      <c r="A567" s="16" t="s">
        <v>300</v>
      </c>
      <c r="C567" s="16">
        <v>2</v>
      </c>
      <c r="T567" s="2">
        <f t="shared" si="32"/>
        <v>0</v>
      </c>
      <c r="U567" s="2">
        <f t="shared" si="33"/>
        <v>0</v>
      </c>
      <c r="V567" s="2">
        <f t="shared" si="34"/>
        <v>0</v>
      </c>
      <c r="W567" s="2">
        <f t="shared" si="35"/>
        <v>0</v>
      </c>
      <c r="Y567" t="str">
        <f>IFERROR(ROUND(E567*VLOOKUP(D567,商品!$A$4:$B$60,2,FALSE),0),"")</f>
        <v/>
      </c>
      <c r="Z567" t="str">
        <f>IFERROR(ROUND(G567*VLOOKUP(F567,商品!$A$4:$B$60,2,FALSE),0),"")</f>
        <v/>
      </c>
      <c r="AA567" t="str">
        <f>IFERROR(ROUND(I567*VLOOKUP(H567,商品!$A$4:$B$60,2,FALSE),0),"")</f>
        <v/>
      </c>
      <c r="AB567" t="str">
        <f>IFERROR(ROUND(K567*VLOOKUP(J567,[1]note_pop_types!$A$16:$E$16,4,FALSE),0),"")</f>
        <v/>
      </c>
      <c r="AC567" t="str">
        <f>IFERROR(ROUND(M567*VLOOKUP(L567,[1]note_pop_types!$A$16:$E$16,4,FALSE),0),"")</f>
        <v/>
      </c>
      <c r="AD567" t="str">
        <f>IFERROR(ROUND(O567*VLOOKUP(N567,[1]note_pop_types!$A$16:$E$16,4,FALSE),0),"")</f>
        <v/>
      </c>
      <c r="AE567" t="str">
        <f>IFERROR(ROUND(Q567*VLOOKUP(P567,商品!$A$4:$B$60,2,FALSE),0),"")</f>
        <v/>
      </c>
      <c r="AF567" t="str">
        <f>IFERROR(ROUND(S567*VLOOKUP(R567,商品!$A$4:$B$60,2,FALSE),0),"")</f>
        <v/>
      </c>
    </row>
    <row r="568" spans="1:32" ht="19.05" customHeight="1" x14ac:dyDescent="0.25">
      <c r="A568" s="16" t="s">
        <v>300</v>
      </c>
      <c r="C568" s="16">
        <v>3</v>
      </c>
      <c r="T568" s="2">
        <f t="shared" si="32"/>
        <v>0</v>
      </c>
      <c r="U568" s="2">
        <f t="shared" si="33"/>
        <v>0</v>
      </c>
      <c r="V568" s="2">
        <f t="shared" si="34"/>
        <v>0</v>
      </c>
      <c r="W568" s="2">
        <f t="shared" si="35"/>
        <v>0</v>
      </c>
      <c r="Y568" t="str">
        <f>IFERROR(ROUND(E568*VLOOKUP(D568,商品!$A$4:$B$60,2,FALSE),0),"")</f>
        <v/>
      </c>
      <c r="Z568" t="str">
        <f>IFERROR(ROUND(G568*VLOOKUP(F568,商品!$A$4:$B$60,2,FALSE),0),"")</f>
        <v/>
      </c>
      <c r="AA568" t="str">
        <f>IFERROR(ROUND(I568*VLOOKUP(H568,商品!$A$4:$B$60,2,FALSE),0),"")</f>
        <v/>
      </c>
      <c r="AB568" t="str">
        <f>IFERROR(ROUND(K568*VLOOKUP(J568,[1]note_pop_types!$A$16:$E$16,4,FALSE),0),"")</f>
        <v/>
      </c>
      <c r="AC568" t="str">
        <f>IFERROR(ROUND(M568*VLOOKUP(L568,[1]note_pop_types!$A$16:$E$16,4,FALSE),0),"")</f>
        <v/>
      </c>
      <c r="AD568" t="str">
        <f>IFERROR(ROUND(O568*VLOOKUP(N568,[1]note_pop_types!$A$16:$E$16,4,FALSE),0),"")</f>
        <v/>
      </c>
      <c r="AE568" t="str">
        <f>IFERROR(ROUND(Q568*VLOOKUP(P568,商品!$A$4:$B$60,2,FALSE),0),"")</f>
        <v/>
      </c>
      <c r="AF568" t="str">
        <f>IFERROR(ROUND(S568*VLOOKUP(R568,商品!$A$4:$B$60,2,FALSE),0),"")</f>
        <v/>
      </c>
    </row>
    <row r="569" spans="1:32" ht="19.05" customHeight="1" x14ac:dyDescent="0.25">
      <c r="A569" s="16" t="s">
        <v>300</v>
      </c>
      <c r="C569" s="16">
        <v>4</v>
      </c>
      <c r="T569" s="2">
        <f t="shared" si="32"/>
        <v>0</v>
      </c>
      <c r="U569" s="2">
        <f t="shared" si="33"/>
        <v>0</v>
      </c>
      <c r="V569" s="2">
        <f t="shared" si="34"/>
        <v>0</v>
      </c>
      <c r="W569" s="2">
        <f t="shared" si="35"/>
        <v>0</v>
      </c>
      <c r="Y569" t="str">
        <f>IFERROR(ROUND(E569*VLOOKUP(D569,商品!$A$4:$B$60,2,FALSE),0),"")</f>
        <v/>
      </c>
      <c r="Z569" t="str">
        <f>IFERROR(ROUND(G569*VLOOKUP(F569,商品!$A$4:$B$60,2,FALSE),0),"")</f>
        <v/>
      </c>
      <c r="AA569" t="str">
        <f>IFERROR(ROUND(I569*VLOOKUP(H569,商品!$A$4:$B$60,2,FALSE),0),"")</f>
        <v/>
      </c>
      <c r="AB569" t="str">
        <f>IFERROR(ROUND(K569*VLOOKUP(J569,[1]note_pop_types!$A$16:$E$16,4,FALSE),0),"")</f>
        <v/>
      </c>
      <c r="AC569" t="str">
        <f>IFERROR(ROUND(M569*VLOOKUP(L569,[1]note_pop_types!$A$16:$E$16,4,FALSE),0),"")</f>
        <v/>
      </c>
      <c r="AD569" t="str">
        <f>IFERROR(ROUND(O569*VLOOKUP(N569,[1]note_pop_types!$A$16:$E$16,4,FALSE),0),"")</f>
        <v/>
      </c>
      <c r="AE569" t="str">
        <f>IFERROR(ROUND(Q569*VLOOKUP(P569,商品!$A$4:$B$60,2,FALSE),0),"")</f>
        <v/>
      </c>
      <c r="AF569" t="str">
        <f>IFERROR(ROUND(S569*VLOOKUP(R569,商品!$A$4:$B$60,2,FALSE),0),"")</f>
        <v/>
      </c>
    </row>
    <row r="570" spans="1:32" ht="19.05" customHeight="1" x14ac:dyDescent="0.25">
      <c r="A570" s="16" t="s">
        <v>300</v>
      </c>
      <c r="C570" s="16">
        <v>5</v>
      </c>
      <c r="T570" s="2">
        <f t="shared" si="32"/>
        <v>0</v>
      </c>
      <c r="U570" s="2">
        <f t="shared" si="33"/>
        <v>0</v>
      </c>
      <c r="V570" s="2">
        <f t="shared" si="34"/>
        <v>0</v>
      </c>
      <c r="W570" s="2">
        <f t="shared" si="35"/>
        <v>0</v>
      </c>
      <c r="Y570" t="str">
        <f>IFERROR(ROUND(E570*VLOOKUP(D570,商品!$A$4:$B$60,2,FALSE),0),"")</f>
        <v/>
      </c>
      <c r="Z570" t="str">
        <f>IFERROR(ROUND(G570*VLOOKUP(F570,商品!$A$4:$B$60,2,FALSE),0),"")</f>
        <v/>
      </c>
      <c r="AA570" t="str">
        <f>IFERROR(ROUND(I570*VLOOKUP(H570,商品!$A$4:$B$60,2,FALSE),0),"")</f>
        <v/>
      </c>
      <c r="AB570" t="str">
        <f>IFERROR(ROUND(K570*VLOOKUP(J570,[1]note_pop_types!$A$16:$E$16,4,FALSE),0),"")</f>
        <v/>
      </c>
      <c r="AC570" t="str">
        <f>IFERROR(ROUND(M570*VLOOKUP(L570,[1]note_pop_types!$A$16:$E$16,4,FALSE),0),"")</f>
        <v/>
      </c>
      <c r="AD570" t="str">
        <f>IFERROR(ROUND(O570*VLOOKUP(N570,[1]note_pop_types!$A$16:$E$16,4,FALSE),0),"")</f>
        <v/>
      </c>
      <c r="AE570" t="str">
        <f>IFERROR(ROUND(Q570*VLOOKUP(P570,商品!$A$4:$B$60,2,FALSE),0),"")</f>
        <v/>
      </c>
      <c r="AF570" t="str">
        <f>IFERROR(ROUND(S570*VLOOKUP(R570,商品!$A$4:$B$60,2,FALSE),0),"")</f>
        <v/>
      </c>
    </row>
    <row r="571" spans="1:32" ht="19.05" customHeight="1" x14ac:dyDescent="0.25">
      <c r="A571" s="15" t="s">
        <v>302</v>
      </c>
      <c r="C571" s="15">
        <v>1</v>
      </c>
      <c r="T571" s="2">
        <f t="shared" si="32"/>
        <v>0</v>
      </c>
      <c r="U571" s="2">
        <f t="shared" si="33"/>
        <v>0</v>
      </c>
      <c r="V571" s="2">
        <f t="shared" si="34"/>
        <v>0</v>
      </c>
      <c r="W571" s="2">
        <f t="shared" si="35"/>
        <v>0</v>
      </c>
      <c r="Y571" t="str">
        <f>IFERROR(ROUND(E571*VLOOKUP(D571,商品!$A$4:$B$60,2,FALSE),0),"")</f>
        <v/>
      </c>
      <c r="Z571" t="str">
        <f>IFERROR(ROUND(G571*VLOOKUP(F571,商品!$A$4:$B$60,2,FALSE),0),"")</f>
        <v/>
      </c>
      <c r="AA571" t="str">
        <f>IFERROR(ROUND(I571*VLOOKUP(H571,商品!$A$4:$B$60,2,FALSE),0),"")</f>
        <v/>
      </c>
      <c r="AB571" t="str">
        <f>IFERROR(ROUND(K571*VLOOKUP(J571,[1]note_pop_types!$A$16:$E$16,4,FALSE),0),"")</f>
        <v/>
      </c>
      <c r="AC571" t="str">
        <f>IFERROR(ROUND(M571*VLOOKUP(L571,[1]note_pop_types!$A$16:$E$16,4,FALSE),0),"")</f>
        <v/>
      </c>
      <c r="AD571" t="str">
        <f>IFERROR(ROUND(O571*VLOOKUP(N571,[1]note_pop_types!$A$16:$E$16,4,FALSE),0),"")</f>
        <v/>
      </c>
      <c r="AE571" t="str">
        <f>IFERROR(ROUND(Q571*VLOOKUP(P571,商品!$A$4:$B$60,2,FALSE),0),"")</f>
        <v/>
      </c>
      <c r="AF571" t="str">
        <f>IFERROR(ROUND(S571*VLOOKUP(R571,商品!$A$4:$B$60,2,FALSE),0),"")</f>
        <v/>
      </c>
    </row>
    <row r="572" spans="1:32" ht="19.05" customHeight="1" x14ac:dyDescent="0.25">
      <c r="A572" s="15" t="s">
        <v>302</v>
      </c>
      <c r="C572" s="15">
        <v>2</v>
      </c>
      <c r="T572" s="2">
        <f t="shared" si="32"/>
        <v>0</v>
      </c>
      <c r="U572" s="2">
        <f t="shared" si="33"/>
        <v>0</v>
      </c>
      <c r="V572" s="2">
        <f t="shared" si="34"/>
        <v>0</v>
      </c>
      <c r="W572" s="2">
        <f t="shared" si="35"/>
        <v>0</v>
      </c>
      <c r="Y572" t="str">
        <f>IFERROR(ROUND(E572*VLOOKUP(D572,商品!$A$4:$B$60,2,FALSE),0),"")</f>
        <v/>
      </c>
      <c r="Z572" t="str">
        <f>IFERROR(ROUND(G572*VLOOKUP(F572,商品!$A$4:$B$60,2,FALSE),0),"")</f>
        <v/>
      </c>
      <c r="AA572" t="str">
        <f>IFERROR(ROUND(I572*VLOOKUP(H572,商品!$A$4:$B$60,2,FALSE),0),"")</f>
        <v/>
      </c>
      <c r="AB572" t="str">
        <f>IFERROR(ROUND(K572*VLOOKUP(J572,[1]note_pop_types!$A$16:$E$16,4,FALSE),0),"")</f>
        <v/>
      </c>
      <c r="AC572" t="str">
        <f>IFERROR(ROUND(M572*VLOOKUP(L572,[1]note_pop_types!$A$16:$E$16,4,FALSE),0),"")</f>
        <v/>
      </c>
      <c r="AD572" t="str">
        <f>IFERROR(ROUND(O572*VLOOKUP(N572,[1]note_pop_types!$A$16:$E$16,4,FALSE),0),"")</f>
        <v/>
      </c>
      <c r="AE572" t="str">
        <f>IFERROR(ROUND(Q572*VLOOKUP(P572,商品!$A$4:$B$60,2,FALSE),0),"")</f>
        <v/>
      </c>
      <c r="AF572" t="str">
        <f>IFERROR(ROUND(S572*VLOOKUP(R572,商品!$A$4:$B$60,2,FALSE),0),"")</f>
        <v/>
      </c>
    </row>
    <row r="573" spans="1:32" ht="19.05" customHeight="1" x14ac:dyDescent="0.25">
      <c r="A573" s="15" t="s">
        <v>302</v>
      </c>
      <c r="C573" s="15">
        <v>3</v>
      </c>
      <c r="T573" s="2">
        <f t="shared" si="32"/>
        <v>0</v>
      </c>
      <c r="U573" s="2">
        <f t="shared" si="33"/>
        <v>0</v>
      </c>
      <c r="V573" s="2">
        <f t="shared" si="34"/>
        <v>0</v>
      </c>
      <c r="W573" s="2">
        <f t="shared" si="35"/>
        <v>0</v>
      </c>
      <c r="Y573" t="str">
        <f>IFERROR(ROUND(E573*VLOOKUP(D573,商品!$A$4:$B$60,2,FALSE),0),"")</f>
        <v/>
      </c>
      <c r="Z573" t="str">
        <f>IFERROR(ROUND(G573*VLOOKUP(F573,商品!$A$4:$B$60,2,FALSE),0),"")</f>
        <v/>
      </c>
      <c r="AA573" t="str">
        <f>IFERROR(ROUND(I573*VLOOKUP(H573,商品!$A$4:$B$60,2,FALSE),0),"")</f>
        <v/>
      </c>
      <c r="AB573" t="str">
        <f>IFERROR(ROUND(K573*VLOOKUP(J573,[1]note_pop_types!$A$16:$E$16,4,FALSE),0),"")</f>
        <v/>
      </c>
      <c r="AC573" t="str">
        <f>IFERROR(ROUND(M573*VLOOKUP(L573,[1]note_pop_types!$A$16:$E$16,4,FALSE),0),"")</f>
        <v/>
      </c>
      <c r="AD573" t="str">
        <f>IFERROR(ROUND(O573*VLOOKUP(N573,[1]note_pop_types!$A$16:$E$16,4,FALSE),0),"")</f>
        <v/>
      </c>
      <c r="AE573" t="str">
        <f>IFERROR(ROUND(Q573*VLOOKUP(P573,商品!$A$4:$B$60,2,FALSE),0),"")</f>
        <v/>
      </c>
      <c r="AF573" t="str">
        <f>IFERROR(ROUND(S573*VLOOKUP(R573,商品!$A$4:$B$60,2,FALSE),0),"")</f>
        <v/>
      </c>
    </row>
    <row r="574" spans="1:32" ht="19.05" customHeight="1" x14ac:dyDescent="0.25">
      <c r="A574" s="15" t="s">
        <v>302</v>
      </c>
      <c r="C574" s="15">
        <v>4</v>
      </c>
      <c r="T574" s="2">
        <f t="shared" si="32"/>
        <v>0</v>
      </c>
      <c r="U574" s="2">
        <f t="shared" si="33"/>
        <v>0</v>
      </c>
      <c r="V574" s="2">
        <f t="shared" si="34"/>
        <v>0</v>
      </c>
      <c r="W574" s="2">
        <f t="shared" si="35"/>
        <v>0</v>
      </c>
      <c r="Y574" t="str">
        <f>IFERROR(ROUND(E574*VLOOKUP(D574,商品!$A$4:$B$60,2,FALSE),0),"")</f>
        <v/>
      </c>
      <c r="Z574" t="str">
        <f>IFERROR(ROUND(G574*VLOOKUP(F574,商品!$A$4:$B$60,2,FALSE),0),"")</f>
        <v/>
      </c>
      <c r="AA574" t="str">
        <f>IFERROR(ROUND(I574*VLOOKUP(H574,商品!$A$4:$B$60,2,FALSE),0),"")</f>
        <v/>
      </c>
      <c r="AB574" t="str">
        <f>IFERROR(ROUND(K574*VLOOKUP(J574,[1]note_pop_types!$A$16:$E$16,4,FALSE),0),"")</f>
        <v/>
      </c>
      <c r="AC574" t="str">
        <f>IFERROR(ROUND(M574*VLOOKUP(L574,[1]note_pop_types!$A$16:$E$16,4,FALSE),0),"")</f>
        <v/>
      </c>
      <c r="AD574" t="str">
        <f>IFERROR(ROUND(O574*VLOOKUP(N574,[1]note_pop_types!$A$16:$E$16,4,FALSE),0),"")</f>
        <v/>
      </c>
      <c r="AE574" t="str">
        <f>IFERROR(ROUND(Q574*VLOOKUP(P574,商品!$A$4:$B$60,2,FALSE),0),"")</f>
        <v/>
      </c>
      <c r="AF574" t="str">
        <f>IFERROR(ROUND(S574*VLOOKUP(R574,商品!$A$4:$B$60,2,FALSE),0),"")</f>
        <v/>
      </c>
    </row>
    <row r="575" spans="1:32" ht="19.05" customHeight="1" x14ac:dyDescent="0.25">
      <c r="A575" s="15" t="s">
        <v>302</v>
      </c>
      <c r="C575" s="15">
        <v>5</v>
      </c>
      <c r="T575" s="2">
        <f t="shared" si="32"/>
        <v>0</v>
      </c>
      <c r="U575" s="2">
        <f t="shared" si="33"/>
        <v>0</v>
      </c>
      <c r="V575" s="2">
        <f t="shared" si="34"/>
        <v>0</v>
      </c>
      <c r="W575" s="2">
        <f t="shared" si="35"/>
        <v>0</v>
      </c>
      <c r="Y575" t="str">
        <f>IFERROR(ROUND(E575*VLOOKUP(D575,商品!$A$4:$B$60,2,FALSE),0),"")</f>
        <v/>
      </c>
      <c r="Z575" t="str">
        <f>IFERROR(ROUND(G575*VLOOKUP(F575,商品!$A$4:$B$60,2,FALSE),0),"")</f>
        <v/>
      </c>
      <c r="AA575" t="str">
        <f>IFERROR(ROUND(I575*VLOOKUP(H575,商品!$A$4:$B$60,2,FALSE),0),"")</f>
        <v/>
      </c>
      <c r="AB575" t="str">
        <f>IFERROR(ROUND(K575*VLOOKUP(J575,[1]note_pop_types!$A$16:$E$16,4,FALSE),0),"")</f>
        <v/>
      </c>
      <c r="AC575" t="str">
        <f>IFERROR(ROUND(M575*VLOOKUP(L575,[1]note_pop_types!$A$16:$E$16,4,FALSE),0),"")</f>
        <v/>
      </c>
      <c r="AD575" t="str">
        <f>IFERROR(ROUND(O575*VLOOKUP(N575,[1]note_pop_types!$A$16:$E$16,4,FALSE),0),"")</f>
        <v/>
      </c>
      <c r="AE575" t="str">
        <f>IFERROR(ROUND(Q575*VLOOKUP(P575,商品!$A$4:$B$60,2,FALSE),0),"")</f>
        <v/>
      </c>
      <c r="AF575" t="str">
        <f>IFERROR(ROUND(S575*VLOOKUP(R575,商品!$A$4:$B$60,2,FALSE),0),"")</f>
        <v/>
      </c>
    </row>
    <row r="576" spans="1:32" ht="19.05" customHeight="1" x14ac:dyDescent="0.25">
      <c r="A576" s="16" t="s">
        <v>303</v>
      </c>
      <c r="C576" s="16">
        <v>1</v>
      </c>
      <c r="T576" s="2">
        <f t="shared" si="32"/>
        <v>0</v>
      </c>
      <c r="U576" s="2">
        <f t="shared" si="33"/>
        <v>0</v>
      </c>
      <c r="V576" s="2">
        <f t="shared" si="34"/>
        <v>0</v>
      </c>
      <c r="W576" s="2">
        <f t="shared" si="35"/>
        <v>0</v>
      </c>
      <c r="Y576" t="str">
        <f>IFERROR(ROUND(E576*VLOOKUP(D576,商品!$A$4:$B$60,2,FALSE),0),"")</f>
        <v/>
      </c>
      <c r="Z576" t="str">
        <f>IFERROR(ROUND(G576*VLOOKUP(F576,商品!$A$4:$B$60,2,FALSE),0),"")</f>
        <v/>
      </c>
      <c r="AA576" t="str">
        <f>IFERROR(ROUND(I576*VLOOKUP(H576,商品!$A$4:$B$60,2,FALSE),0),"")</f>
        <v/>
      </c>
      <c r="AB576" t="str">
        <f>IFERROR(ROUND(K576*VLOOKUP(J576,[1]note_pop_types!$A$16:$E$16,4,FALSE),0),"")</f>
        <v/>
      </c>
      <c r="AC576" t="str">
        <f>IFERROR(ROUND(M576*VLOOKUP(L576,[1]note_pop_types!$A$16:$E$16,4,FALSE),0),"")</f>
        <v/>
      </c>
      <c r="AD576" t="str">
        <f>IFERROR(ROUND(O576*VLOOKUP(N576,[1]note_pop_types!$A$16:$E$16,4,FALSE),0),"")</f>
        <v/>
      </c>
      <c r="AE576" t="str">
        <f>IFERROR(ROUND(Q576*VLOOKUP(P576,商品!$A$4:$B$60,2,FALSE),0),"")</f>
        <v/>
      </c>
      <c r="AF576" t="str">
        <f>IFERROR(ROUND(S576*VLOOKUP(R576,商品!$A$4:$B$60,2,FALSE),0),"")</f>
        <v/>
      </c>
    </row>
    <row r="577" spans="1:32" ht="19.05" customHeight="1" x14ac:dyDescent="0.25">
      <c r="A577" s="16" t="s">
        <v>303</v>
      </c>
      <c r="C577" s="16">
        <v>2</v>
      </c>
      <c r="T577" s="2">
        <f t="shared" si="32"/>
        <v>0</v>
      </c>
      <c r="U577" s="2">
        <f t="shared" si="33"/>
        <v>0</v>
      </c>
      <c r="V577" s="2">
        <f t="shared" si="34"/>
        <v>0</v>
      </c>
      <c r="W577" s="2">
        <f t="shared" si="35"/>
        <v>0</v>
      </c>
      <c r="Y577" t="str">
        <f>IFERROR(ROUND(E577*VLOOKUP(D577,商品!$A$4:$B$60,2,FALSE),0),"")</f>
        <v/>
      </c>
      <c r="Z577" t="str">
        <f>IFERROR(ROUND(G577*VLOOKUP(F577,商品!$A$4:$B$60,2,FALSE),0),"")</f>
        <v/>
      </c>
      <c r="AA577" t="str">
        <f>IFERROR(ROUND(I577*VLOOKUP(H577,商品!$A$4:$B$60,2,FALSE),0),"")</f>
        <v/>
      </c>
      <c r="AB577" t="str">
        <f>IFERROR(ROUND(K577*VLOOKUP(J577,[1]note_pop_types!$A$16:$E$16,4,FALSE),0),"")</f>
        <v/>
      </c>
      <c r="AC577" t="str">
        <f>IFERROR(ROUND(M577*VLOOKUP(L577,[1]note_pop_types!$A$16:$E$16,4,FALSE),0),"")</f>
        <v/>
      </c>
      <c r="AD577" t="str">
        <f>IFERROR(ROUND(O577*VLOOKUP(N577,[1]note_pop_types!$A$16:$E$16,4,FALSE),0),"")</f>
        <v/>
      </c>
      <c r="AE577" t="str">
        <f>IFERROR(ROUND(Q577*VLOOKUP(P577,商品!$A$4:$B$60,2,FALSE),0),"")</f>
        <v/>
      </c>
      <c r="AF577" t="str">
        <f>IFERROR(ROUND(S577*VLOOKUP(R577,商品!$A$4:$B$60,2,FALSE),0),"")</f>
        <v/>
      </c>
    </row>
    <row r="578" spans="1:32" ht="19.05" customHeight="1" x14ac:dyDescent="0.25">
      <c r="A578" s="16" t="s">
        <v>303</v>
      </c>
      <c r="C578" s="16">
        <v>3</v>
      </c>
      <c r="T578" s="2">
        <f t="shared" si="32"/>
        <v>0</v>
      </c>
      <c r="U578" s="2">
        <f t="shared" si="33"/>
        <v>0</v>
      </c>
      <c r="V578" s="2">
        <f t="shared" si="34"/>
        <v>0</v>
      </c>
      <c r="W578" s="2">
        <f t="shared" si="35"/>
        <v>0</v>
      </c>
      <c r="Y578" t="str">
        <f>IFERROR(ROUND(E578*VLOOKUP(D578,商品!$A$4:$B$60,2,FALSE),0),"")</f>
        <v/>
      </c>
      <c r="Z578" t="str">
        <f>IFERROR(ROUND(G578*VLOOKUP(F578,商品!$A$4:$B$60,2,FALSE),0),"")</f>
        <v/>
      </c>
      <c r="AA578" t="str">
        <f>IFERROR(ROUND(I578*VLOOKUP(H578,商品!$A$4:$B$60,2,FALSE),0),"")</f>
        <v/>
      </c>
      <c r="AB578" t="str">
        <f>IFERROR(ROUND(K578*VLOOKUP(J578,[1]note_pop_types!$A$16:$E$16,4,FALSE),0),"")</f>
        <v/>
      </c>
      <c r="AC578" t="str">
        <f>IFERROR(ROUND(M578*VLOOKUP(L578,[1]note_pop_types!$A$16:$E$16,4,FALSE),0),"")</f>
        <v/>
      </c>
      <c r="AD578" t="str">
        <f>IFERROR(ROUND(O578*VLOOKUP(N578,[1]note_pop_types!$A$16:$E$16,4,FALSE),0),"")</f>
        <v/>
      </c>
      <c r="AE578" t="str">
        <f>IFERROR(ROUND(Q578*VLOOKUP(P578,商品!$A$4:$B$60,2,FALSE),0),"")</f>
        <v/>
      </c>
      <c r="AF578" t="str">
        <f>IFERROR(ROUND(S578*VLOOKUP(R578,商品!$A$4:$B$60,2,FALSE),0),"")</f>
        <v/>
      </c>
    </row>
    <row r="579" spans="1:32" ht="19.05" customHeight="1" x14ac:dyDescent="0.25">
      <c r="A579" s="16" t="s">
        <v>303</v>
      </c>
      <c r="C579" s="16">
        <v>4</v>
      </c>
      <c r="T579" s="2">
        <f t="shared" si="32"/>
        <v>0</v>
      </c>
      <c r="U579" s="2">
        <f t="shared" si="33"/>
        <v>0</v>
      </c>
      <c r="V579" s="2">
        <f t="shared" si="34"/>
        <v>0</v>
      </c>
      <c r="W579" s="2">
        <f t="shared" si="35"/>
        <v>0</v>
      </c>
      <c r="Y579" t="str">
        <f>IFERROR(ROUND(E579*VLOOKUP(D579,商品!$A$4:$B$60,2,FALSE),0),"")</f>
        <v/>
      </c>
      <c r="Z579" t="str">
        <f>IFERROR(ROUND(G579*VLOOKUP(F579,商品!$A$4:$B$60,2,FALSE),0),"")</f>
        <v/>
      </c>
      <c r="AA579" t="str">
        <f>IFERROR(ROUND(I579*VLOOKUP(H579,商品!$A$4:$B$60,2,FALSE),0),"")</f>
        <v/>
      </c>
      <c r="AB579" t="str">
        <f>IFERROR(ROUND(K579*VLOOKUP(J579,[1]note_pop_types!$A$16:$E$16,4,FALSE),0),"")</f>
        <v/>
      </c>
      <c r="AC579" t="str">
        <f>IFERROR(ROUND(M579*VLOOKUP(L579,[1]note_pop_types!$A$16:$E$16,4,FALSE),0),"")</f>
        <v/>
      </c>
      <c r="AD579" t="str">
        <f>IFERROR(ROUND(O579*VLOOKUP(N579,[1]note_pop_types!$A$16:$E$16,4,FALSE),0),"")</f>
        <v/>
      </c>
      <c r="AE579" t="str">
        <f>IFERROR(ROUND(Q579*VLOOKUP(P579,商品!$A$4:$B$60,2,FALSE),0),"")</f>
        <v/>
      </c>
      <c r="AF579" t="str">
        <f>IFERROR(ROUND(S579*VLOOKUP(R579,商品!$A$4:$B$60,2,FALSE),0),"")</f>
        <v/>
      </c>
    </row>
    <row r="580" spans="1:32" ht="19.05" customHeight="1" x14ac:dyDescent="0.25">
      <c r="A580" s="16" t="s">
        <v>303</v>
      </c>
      <c r="C580" s="16">
        <v>5</v>
      </c>
      <c r="T580" s="2">
        <f t="shared" si="32"/>
        <v>0</v>
      </c>
      <c r="U580" s="2">
        <f t="shared" si="33"/>
        <v>0</v>
      </c>
      <c r="V580" s="2">
        <f t="shared" si="34"/>
        <v>0</v>
      </c>
      <c r="W580" s="2">
        <f t="shared" si="35"/>
        <v>0</v>
      </c>
      <c r="Y580" t="str">
        <f>IFERROR(ROUND(E580*VLOOKUP(D580,商品!$A$4:$B$60,2,FALSE),0),"")</f>
        <v/>
      </c>
      <c r="Z580" t="str">
        <f>IFERROR(ROUND(G580*VLOOKUP(F580,商品!$A$4:$B$60,2,FALSE),0),"")</f>
        <v/>
      </c>
      <c r="AA580" t="str">
        <f>IFERROR(ROUND(I580*VLOOKUP(H580,商品!$A$4:$B$60,2,FALSE),0),"")</f>
        <v/>
      </c>
      <c r="AB580" t="str">
        <f>IFERROR(ROUND(K580*VLOOKUP(J580,[1]note_pop_types!$A$16:$E$16,4,FALSE),0),"")</f>
        <v/>
      </c>
      <c r="AC580" t="str">
        <f>IFERROR(ROUND(M580*VLOOKUP(L580,[1]note_pop_types!$A$16:$E$16,4,FALSE),0),"")</f>
        <v/>
      </c>
      <c r="AD580" t="str">
        <f>IFERROR(ROUND(O580*VLOOKUP(N580,[1]note_pop_types!$A$16:$E$16,4,FALSE),0),"")</f>
        <v/>
      </c>
      <c r="AE580" t="str">
        <f>IFERROR(ROUND(Q580*VLOOKUP(P580,商品!$A$4:$B$60,2,FALSE),0),"")</f>
        <v/>
      </c>
      <c r="AF580" t="str">
        <f>IFERROR(ROUND(S580*VLOOKUP(R580,商品!$A$4:$B$60,2,FALSE),0),"")</f>
        <v/>
      </c>
    </row>
    <row r="581" spans="1:32" ht="19.05" customHeight="1" x14ac:dyDescent="0.25">
      <c r="A581" s="16" t="s">
        <v>303</v>
      </c>
      <c r="C581" s="16">
        <v>6</v>
      </c>
      <c r="T581" s="2">
        <f t="shared" si="32"/>
        <v>0</v>
      </c>
      <c r="U581" s="2">
        <f t="shared" si="33"/>
        <v>0</v>
      </c>
      <c r="V581" s="2">
        <f t="shared" si="34"/>
        <v>0</v>
      </c>
      <c r="W581" s="2">
        <f t="shared" si="35"/>
        <v>0</v>
      </c>
      <c r="Y581" t="str">
        <f>IFERROR(ROUND(E581*VLOOKUP(D581,商品!$A$4:$B$60,2,FALSE),0),"")</f>
        <v/>
      </c>
      <c r="Z581" t="str">
        <f>IFERROR(ROUND(G581*VLOOKUP(F581,商品!$A$4:$B$60,2,FALSE),0),"")</f>
        <v/>
      </c>
      <c r="AA581" t="str">
        <f>IFERROR(ROUND(I581*VLOOKUP(H581,商品!$A$4:$B$60,2,FALSE),0),"")</f>
        <v/>
      </c>
      <c r="AB581" t="str">
        <f>IFERROR(ROUND(K581*VLOOKUP(J581,[1]note_pop_types!$A$16:$E$16,4,FALSE),0),"")</f>
        <v/>
      </c>
      <c r="AC581" t="str">
        <f>IFERROR(ROUND(M581*VLOOKUP(L581,[1]note_pop_types!$A$16:$E$16,4,FALSE),0),"")</f>
        <v/>
      </c>
      <c r="AD581" t="str">
        <f>IFERROR(ROUND(O581*VLOOKUP(N581,[1]note_pop_types!$A$16:$E$16,4,FALSE),0),"")</f>
        <v/>
      </c>
      <c r="AE581" t="str">
        <f>IFERROR(ROUND(Q581*VLOOKUP(P581,商品!$A$4:$B$60,2,FALSE),0),"")</f>
        <v/>
      </c>
      <c r="AF581" t="str">
        <f>IFERROR(ROUND(S581*VLOOKUP(R581,商品!$A$4:$B$60,2,FALSE),0),"")</f>
        <v/>
      </c>
    </row>
    <row r="582" spans="1:32" ht="19.05" customHeight="1" x14ac:dyDescent="0.25">
      <c r="A582" s="16" t="s">
        <v>303</v>
      </c>
      <c r="C582" s="16">
        <v>7</v>
      </c>
      <c r="T582" s="2">
        <f t="shared" ref="T582:T645" si="36">SUM(Y582:AA582)</f>
        <v>0</v>
      </c>
      <c r="U582" s="2">
        <f t="shared" ref="U582:U645" si="37">SUM(AB582:AC582)</f>
        <v>0</v>
      </c>
      <c r="V582" s="2">
        <f t="shared" ref="V582:V645" si="38">SUM(AE582:AF582)</f>
        <v>0</v>
      </c>
      <c r="W582" s="2">
        <f t="shared" ref="W582:W645" si="39">V582-T582-U582</f>
        <v>0</v>
      </c>
      <c r="Y582" t="str">
        <f>IFERROR(ROUND(E582*VLOOKUP(D582,商品!$A$4:$B$60,2,FALSE),0),"")</f>
        <v/>
      </c>
      <c r="Z582" t="str">
        <f>IFERROR(ROUND(G582*VLOOKUP(F582,商品!$A$4:$B$60,2,FALSE),0),"")</f>
        <v/>
      </c>
      <c r="AA582" t="str">
        <f>IFERROR(ROUND(I582*VLOOKUP(H582,商品!$A$4:$B$60,2,FALSE),0),"")</f>
        <v/>
      </c>
      <c r="AB582" t="str">
        <f>IFERROR(ROUND(K582*VLOOKUP(J582,[1]note_pop_types!$A$16:$E$16,4,FALSE),0),"")</f>
        <v/>
      </c>
      <c r="AC582" t="str">
        <f>IFERROR(ROUND(M582*VLOOKUP(L582,[1]note_pop_types!$A$16:$E$16,4,FALSE),0),"")</f>
        <v/>
      </c>
      <c r="AD582" t="str">
        <f>IFERROR(ROUND(O582*VLOOKUP(N582,[1]note_pop_types!$A$16:$E$16,4,FALSE),0),"")</f>
        <v/>
      </c>
      <c r="AE582" t="str">
        <f>IFERROR(ROUND(Q582*VLOOKUP(P582,商品!$A$4:$B$60,2,FALSE),0),"")</f>
        <v/>
      </c>
      <c r="AF582" t="str">
        <f>IFERROR(ROUND(S582*VLOOKUP(R582,商品!$A$4:$B$60,2,FALSE),0),"")</f>
        <v/>
      </c>
    </row>
    <row r="583" spans="1:32" ht="19.05" customHeight="1" x14ac:dyDescent="0.25">
      <c r="A583" s="16" t="s">
        <v>303</v>
      </c>
      <c r="C583" s="16">
        <v>8</v>
      </c>
      <c r="T583" s="2">
        <f t="shared" si="36"/>
        <v>0</v>
      </c>
      <c r="U583" s="2">
        <f t="shared" si="37"/>
        <v>0</v>
      </c>
      <c r="V583" s="2">
        <f t="shared" si="38"/>
        <v>0</v>
      </c>
      <c r="W583" s="2">
        <f t="shared" si="39"/>
        <v>0</v>
      </c>
      <c r="Y583" t="str">
        <f>IFERROR(ROUND(E583*VLOOKUP(D583,商品!$A$4:$B$60,2,FALSE),0),"")</f>
        <v/>
      </c>
      <c r="Z583" t="str">
        <f>IFERROR(ROUND(G583*VLOOKUP(F583,商品!$A$4:$B$60,2,FALSE),0),"")</f>
        <v/>
      </c>
      <c r="AA583" t="str">
        <f>IFERROR(ROUND(I583*VLOOKUP(H583,商品!$A$4:$B$60,2,FALSE),0),"")</f>
        <v/>
      </c>
      <c r="AB583" t="str">
        <f>IFERROR(ROUND(K583*VLOOKUP(J583,[1]note_pop_types!$A$16:$E$16,4,FALSE),0),"")</f>
        <v/>
      </c>
      <c r="AC583" t="str">
        <f>IFERROR(ROUND(M583*VLOOKUP(L583,[1]note_pop_types!$A$16:$E$16,4,FALSE),0),"")</f>
        <v/>
      </c>
      <c r="AD583" t="str">
        <f>IFERROR(ROUND(O583*VLOOKUP(N583,[1]note_pop_types!$A$16:$E$16,4,FALSE),0),"")</f>
        <v/>
      </c>
      <c r="AE583" t="str">
        <f>IFERROR(ROUND(Q583*VLOOKUP(P583,商品!$A$4:$B$60,2,FALSE),0),"")</f>
        <v/>
      </c>
      <c r="AF583" t="str">
        <f>IFERROR(ROUND(S583*VLOOKUP(R583,商品!$A$4:$B$60,2,FALSE),0),"")</f>
        <v/>
      </c>
    </row>
    <row r="584" spans="1:32" ht="19.05" customHeight="1" x14ac:dyDescent="0.25">
      <c r="A584" s="15" t="s">
        <v>305</v>
      </c>
      <c r="C584" s="15">
        <v>1</v>
      </c>
      <c r="T584" s="2">
        <f t="shared" si="36"/>
        <v>0</v>
      </c>
      <c r="U584" s="2">
        <f t="shared" si="37"/>
        <v>0</v>
      </c>
      <c r="V584" s="2">
        <f t="shared" si="38"/>
        <v>0</v>
      </c>
      <c r="W584" s="2">
        <f t="shared" si="39"/>
        <v>0</v>
      </c>
      <c r="Y584" t="str">
        <f>IFERROR(ROUND(E584*VLOOKUP(D584,商品!$A$4:$B$60,2,FALSE),0),"")</f>
        <v/>
      </c>
      <c r="Z584" t="str">
        <f>IFERROR(ROUND(G584*VLOOKUP(F584,商品!$A$4:$B$60,2,FALSE),0),"")</f>
        <v/>
      </c>
      <c r="AA584" t="str">
        <f>IFERROR(ROUND(I584*VLOOKUP(H584,商品!$A$4:$B$60,2,FALSE),0),"")</f>
        <v/>
      </c>
      <c r="AB584" t="str">
        <f>IFERROR(ROUND(K584*VLOOKUP(J584,[1]note_pop_types!$A$16:$E$16,4,FALSE),0),"")</f>
        <v/>
      </c>
      <c r="AC584" t="str">
        <f>IFERROR(ROUND(M584*VLOOKUP(L584,[1]note_pop_types!$A$16:$E$16,4,FALSE),0),"")</f>
        <v/>
      </c>
      <c r="AD584" t="str">
        <f>IFERROR(ROUND(O584*VLOOKUP(N584,[1]note_pop_types!$A$16:$E$16,4,FALSE),0),"")</f>
        <v/>
      </c>
      <c r="AE584" t="str">
        <f>IFERROR(ROUND(Q584*VLOOKUP(P584,商品!$A$4:$B$60,2,FALSE),0),"")</f>
        <v/>
      </c>
      <c r="AF584" t="str">
        <f>IFERROR(ROUND(S584*VLOOKUP(R584,商品!$A$4:$B$60,2,FALSE),0),"")</f>
        <v/>
      </c>
    </row>
    <row r="585" spans="1:32" ht="19.05" customHeight="1" x14ac:dyDescent="0.25">
      <c r="A585" s="15" t="s">
        <v>305</v>
      </c>
      <c r="C585" s="15">
        <v>2</v>
      </c>
      <c r="T585" s="2">
        <f t="shared" si="36"/>
        <v>0</v>
      </c>
      <c r="U585" s="2">
        <f t="shared" si="37"/>
        <v>0</v>
      </c>
      <c r="V585" s="2">
        <f t="shared" si="38"/>
        <v>0</v>
      </c>
      <c r="W585" s="2">
        <f t="shared" si="39"/>
        <v>0</v>
      </c>
      <c r="Y585" t="str">
        <f>IFERROR(ROUND(E585*VLOOKUP(D585,商品!$A$4:$B$60,2,FALSE),0),"")</f>
        <v/>
      </c>
      <c r="Z585" t="str">
        <f>IFERROR(ROUND(G585*VLOOKUP(F585,商品!$A$4:$B$60,2,FALSE),0),"")</f>
        <v/>
      </c>
      <c r="AA585" t="str">
        <f>IFERROR(ROUND(I585*VLOOKUP(H585,商品!$A$4:$B$60,2,FALSE),0),"")</f>
        <v/>
      </c>
      <c r="AB585" t="str">
        <f>IFERROR(ROUND(K585*VLOOKUP(J585,[1]note_pop_types!$A$16:$E$16,4,FALSE),0),"")</f>
        <v/>
      </c>
      <c r="AC585" t="str">
        <f>IFERROR(ROUND(M585*VLOOKUP(L585,[1]note_pop_types!$A$16:$E$16,4,FALSE),0),"")</f>
        <v/>
      </c>
      <c r="AD585" t="str">
        <f>IFERROR(ROUND(O585*VLOOKUP(N585,[1]note_pop_types!$A$16:$E$16,4,FALSE),0),"")</f>
        <v/>
      </c>
      <c r="AE585" t="str">
        <f>IFERROR(ROUND(Q585*VLOOKUP(P585,商品!$A$4:$B$60,2,FALSE),0),"")</f>
        <v/>
      </c>
      <c r="AF585" t="str">
        <f>IFERROR(ROUND(S585*VLOOKUP(R585,商品!$A$4:$B$60,2,FALSE),0),"")</f>
        <v/>
      </c>
    </row>
    <row r="586" spans="1:32" ht="19.05" customHeight="1" x14ac:dyDescent="0.25">
      <c r="A586" s="15" t="s">
        <v>305</v>
      </c>
      <c r="C586" s="15">
        <v>3</v>
      </c>
      <c r="T586" s="2">
        <f t="shared" si="36"/>
        <v>0</v>
      </c>
      <c r="U586" s="2">
        <f t="shared" si="37"/>
        <v>0</v>
      </c>
      <c r="V586" s="2">
        <f t="shared" si="38"/>
        <v>0</v>
      </c>
      <c r="W586" s="2">
        <f t="shared" si="39"/>
        <v>0</v>
      </c>
      <c r="Y586" t="str">
        <f>IFERROR(ROUND(E586*VLOOKUP(D586,商品!$A$4:$B$60,2,FALSE),0),"")</f>
        <v/>
      </c>
      <c r="Z586" t="str">
        <f>IFERROR(ROUND(G586*VLOOKUP(F586,商品!$A$4:$B$60,2,FALSE),0),"")</f>
        <v/>
      </c>
      <c r="AA586" t="str">
        <f>IFERROR(ROUND(I586*VLOOKUP(H586,商品!$A$4:$B$60,2,FALSE),0),"")</f>
        <v/>
      </c>
      <c r="AB586" t="str">
        <f>IFERROR(ROUND(K586*VLOOKUP(J586,[1]note_pop_types!$A$16:$E$16,4,FALSE),0),"")</f>
        <v/>
      </c>
      <c r="AC586" t="str">
        <f>IFERROR(ROUND(M586*VLOOKUP(L586,[1]note_pop_types!$A$16:$E$16,4,FALSE),0),"")</f>
        <v/>
      </c>
      <c r="AD586" t="str">
        <f>IFERROR(ROUND(O586*VLOOKUP(N586,[1]note_pop_types!$A$16:$E$16,4,FALSE),0),"")</f>
        <v/>
      </c>
      <c r="AE586" t="str">
        <f>IFERROR(ROUND(Q586*VLOOKUP(P586,商品!$A$4:$B$60,2,FALSE),0),"")</f>
        <v/>
      </c>
      <c r="AF586" t="str">
        <f>IFERROR(ROUND(S586*VLOOKUP(R586,商品!$A$4:$B$60,2,FALSE),0),"")</f>
        <v/>
      </c>
    </row>
    <row r="587" spans="1:32" ht="19.05" customHeight="1" x14ac:dyDescent="0.25">
      <c r="A587" s="15" t="s">
        <v>305</v>
      </c>
      <c r="C587" s="15">
        <v>4</v>
      </c>
      <c r="T587" s="2">
        <f t="shared" si="36"/>
        <v>0</v>
      </c>
      <c r="U587" s="2">
        <f t="shared" si="37"/>
        <v>0</v>
      </c>
      <c r="V587" s="2">
        <f t="shared" si="38"/>
        <v>0</v>
      </c>
      <c r="W587" s="2">
        <f t="shared" si="39"/>
        <v>0</v>
      </c>
      <c r="Y587" t="str">
        <f>IFERROR(ROUND(E587*VLOOKUP(D587,商品!$A$4:$B$60,2,FALSE),0),"")</f>
        <v/>
      </c>
      <c r="Z587" t="str">
        <f>IFERROR(ROUND(G587*VLOOKUP(F587,商品!$A$4:$B$60,2,FALSE),0),"")</f>
        <v/>
      </c>
      <c r="AA587" t="str">
        <f>IFERROR(ROUND(I587*VLOOKUP(H587,商品!$A$4:$B$60,2,FALSE),0),"")</f>
        <v/>
      </c>
      <c r="AB587" t="str">
        <f>IFERROR(ROUND(K587*VLOOKUP(J587,[1]note_pop_types!$A$16:$E$16,4,FALSE),0),"")</f>
        <v/>
      </c>
      <c r="AC587" t="str">
        <f>IFERROR(ROUND(M587*VLOOKUP(L587,[1]note_pop_types!$A$16:$E$16,4,FALSE),0),"")</f>
        <v/>
      </c>
      <c r="AD587" t="str">
        <f>IFERROR(ROUND(O587*VLOOKUP(N587,[1]note_pop_types!$A$16:$E$16,4,FALSE),0),"")</f>
        <v/>
      </c>
      <c r="AE587" t="str">
        <f>IFERROR(ROUND(Q587*VLOOKUP(P587,商品!$A$4:$B$60,2,FALSE),0),"")</f>
        <v/>
      </c>
      <c r="AF587" t="str">
        <f>IFERROR(ROUND(S587*VLOOKUP(R587,商品!$A$4:$B$60,2,FALSE),0),"")</f>
        <v/>
      </c>
    </row>
    <row r="588" spans="1:32" ht="19.05" customHeight="1" x14ac:dyDescent="0.25">
      <c r="A588" s="15" t="s">
        <v>305</v>
      </c>
      <c r="C588" s="15">
        <v>5</v>
      </c>
      <c r="T588" s="2">
        <f t="shared" si="36"/>
        <v>0</v>
      </c>
      <c r="U588" s="2">
        <f t="shared" si="37"/>
        <v>0</v>
      </c>
      <c r="V588" s="2">
        <f t="shared" si="38"/>
        <v>0</v>
      </c>
      <c r="W588" s="2">
        <f t="shared" si="39"/>
        <v>0</v>
      </c>
      <c r="Y588" t="str">
        <f>IFERROR(ROUND(E588*VLOOKUP(D588,商品!$A$4:$B$60,2,FALSE),0),"")</f>
        <v/>
      </c>
      <c r="Z588" t="str">
        <f>IFERROR(ROUND(G588*VLOOKUP(F588,商品!$A$4:$B$60,2,FALSE),0),"")</f>
        <v/>
      </c>
      <c r="AA588" t="str">
        <f>IFERROR(ROUND(I588*VLOOKUP(H588,商品!$A$4:$B$60,2,FALSE),0),"")</f>
        <v/>
      </c>
      <c r="AB588" t="str">
        <f>IFERROR(ROUND(K588*VLOOKUP(J588,[1]note_pop_types!$A$16:$E$16,4,FALSE),0),"")</f>
        <v/>
      </c>
      <c r="AC588" t="str">
        <f>IFERROR(ROUND(M588*VLOOKUP(L588,[1]note_pop_types!$A$16:$E$16,4,FALSE),0),"")</f>
        <v/>
      </c>
      <c r="AD588" t="str">
        <f>IFERROR(ROUND(O588*VLOOKUP(N588,[1]note_pop_types!$A$16:$E$16,4,FALSE),0),"")</f>
        <v/>
      </c>
      <c r="AE588" t="str">
        <f>IFERROR(ROUND(Q588*VLOOKUP(P588,商品!$A$4:$B$60,2,FALSE),0),"")</f>
        <v/>
      </c>
      <c r="AF588" t="str">
        <f>IFERROR(ROUND(S588*VLOOKUP(R588,商品!$A$4:$B$60,2,FALSE),0),"")</f>
        <v/>
      </c>
    </row>
    <row r="589" spans="1:32" ht="19.05" customHeight="1" x14ac:dyDescent="0.25">
      <c r="A589" s="16" t="s">
        <v>306</v>
      </c>
      <c r="C589" s="16">
        <v>1</v>
      </c>
      <c r="T589" s="2">
        <f t="shared" si="36"/>
        <v>0</v>
      </c>
      <c r="U589" s="2">
        <f t="shared" si="37"/>
        <v>0</v>
      </c>
      <c r="V589" s="2">
        <f t="shared" si="38"/>
        <v>0</v>
      </c>
      <c r="W589" s="2">
        <f t="shared" si="39"/>
        <v>0</v>
      </c>
      <c r="Y589" t="str">
        <f>IFERROR(ROUND(E589*VLOOKUP(D589,商品!$A$4:$B$60,2,FALSE),0),"")</f>
        <v/>
      </c>
      <c r="Z589" t="str">
        <f>IFERROR(ROUND(G589*VLOOKUP(F589,商品!$A$4:$B$60,2,FALSE),0),"")</f>
        <v/>
      </c>
      <c r="AA589" t="str">
        <f>IFERROR(ROUND(I589*VLOOKUP(H589,商品!$A$4:$B$60,2,FALSE),0),"")</f>
        <v/>
      </c>
      <c r="AB589" t="str">
        <f>IFERROR(ROUND(K589*VLOOKUP(J589,[1]note_pop_types!$A$16:$E$16,4,FALSE),0),"")</f>
        <v/>
      </c>
      <c r="AC589" t="str">
        <f>IFERROR(ROUND(M589*VLOOKUP(L589,[1]note_pop_types!$A$16:$E$16,4,FALSE),0),"")</f>
        <v/>
      </c>
      <c r="AD589" t="str">
        <f>IFERROR(ROUND(O589*VLOOKUP(N589,[1]note_pop_types!$A$16:$E$16,4,FALSE),0),"")</f>
        <v/>
      </c>
      <c r="AE589" t="str">
        <f>IFERROR(ROUND(Q589*VLOOKUP(P589,商品!$A$4:$B$60,2,FALSE),0),"")</f>
        <v/>
      </c>
      <c r="AF589" t="str">
        <f>IFERROR(ROUND(S589*VLOOKUP(R589,商品!$A$4:$B$60,2,FALSE),0),"")</f>
        <v/>
      </c>
    </row>
    <row r="590" spans="1:32" ht="19.05" customHeight="1" x14ac:dyDescent="0.25">
      <c r="A590" s="16" t="s">
        <v>306</v>
      </c>
      <c r="C590" s="16">
        <v>2</v>
      </c>
      <c r="T590" s="2">
        <f t="shared" si="36"/>
        <v>0</v>
      </c>
      <c r="U590" s="2">
        <f t="shared" si="37"/>
        <v>0</v>
      </c>
      <c r="V590" s="2">
        <f t="shared" si="38"/>
        <v>0</v>
      </c>
      <c r="W590" s="2">
        <f t="shared" si="39"/>
        <v>0</v>
      </c>
      <c r="Y590" t="str">
        <f>IFERROR(ROUND(E590*VLOOKUP(D590,商品!$A$4:$B$60,2,FALSE),0),"")</f>
        <v/>
      </c>
      <c r="Z590" t="str">
        <f>IFERROR(ROUND(G590*VLOOKUP(F590,商品!$A$4:$B$60,2,FALSE),0),"")</f>
        <v/>
      </c>
      <c r="AA590" t="str">
        <f>IFERROR(ROUND(I590*VLOOKUP(H590,商品!$A$4:$B$60,2,FALSE),0),"")</f>
        <v/>
      </c>
      <c r="AB590" t="str">
        <f>IFERROR(ROUND(K590*VLOOKUP(J590,[1]note_pop_types!$A$16:$E$16,4,FALSE),0),"")</f>
        <v/>
      </c>
      <c r="AC590" t="str">
        <f>IFERROR(ROUND(M590*VLOOKUP(L590,[1]note_pop_types!$A$16:$E$16,4,FALSE),0),"")</f>
        <v/>
      </c>
      <c r="AD590" t="str">
        <f>IFERROR(ROUND(O590*VLOOKUP(N590,[1]note_pop_types!$A$16:$E$16,4,FALSE),0),"")</f>
        <v/>
      </c>
      <c r="AE590" t="str">
        <f>IFERROR(ROUND(Q590*VLOOKUP(P590,商品!$A$4:$B$60,2,FALSE),0),"")</f>
        <v/>
      </c>
      <c r="AF590" t="str">
        <f>IFERROR(ROUND(S590*VLOOKUP(R590,商品!$A$4:$B$60,2,FALSE),0),"")</f>
        <v/>
      </c>
    </row>
    <row r="591" spans="1:32" ht="19.05" customHeight="1" x14ac:dyDescent="0.25">
      <c r="A591" s="16" t="s">
        <v>306</v>
      </c>
      <c r="C591" s="16">
        <v>3</v>
      </c>
      <c r="T591" s="2">
        <f t="shared" si="36"/>
        <v>0</v>
      </c>
      <c r="U591" s="2">
        <f t="shared" si="37"/>
        <v>0</v>
      </c>
      <c r="V591" s="2">
        <f t="shared" si="38"/>
        <v>0</v>
      </c>
      <c r="W591" s="2">
        <f t="shared" si="39"/>
        <v>0</v>
      </c>
      <c r="Y591" t="str">
        <f>IFERROR(ROUND(E591*VLOOKUP(D591,商品!$A$4:$B$60,2,FALSE),0),"")</f>
        <v/>
      </c>
      <c r="Z591" t="str">
        <f>IFERROR(ROUND(G591*VLOOKUP(F591,商品!$A$4:$B$60,2,FALSE),0),"")</f>
        <v/>
      </c>
      <c r="AA591" t="str">
        <f>IFERROR(ROUND(I591*VLOOKUP(H591,商品!$A$4:$B$60,2,FALSE),0),"")</f>
        <v/>
      </c>
      <c r="AB591" t="str">
        <f>IFERROR(ROUND(K591*VLOOKUP(J591,[1]note_pop_types!$A$16:$E$16,4,FALSE),0),"")</f>
        <v/>
      </c>
      <c r="AC591" t="str">
        <f>IFERROR(ROUND(M591*VLOOKUP(L591,[1]note_pop_types!$A$16:$E$16,4,FALSE),0),"")</f>
        <v/>
      </c>
      <c r="AD591" t="str">
        <f>IFERROR(ROUND(O591*VLOOKUP(N591,[1]note_pop_types!$A$16:$E$16,4,FALSE),0),"")</f>
        <v/>
      </c>
      <c r="AE591" t="str">
        <f>IFERROR(ROUND(Q591*VLOOKUP(P591,商品!$A$4:$B$60,2,FALSE),0),"")</f>
        <v/>
      </c>
      <c r="AF591" t="str">
        <f>IFERROR(ROUND(S591*VLOOKUP(R591,商品!$A$4:$B$60,2,FALSE),0),"")</f>
        <v/>
      </c>
    </row>
    <row r="592" spans="1:32" ht="19.05" customHeight="1" x14ac:dyDescent="0.25">
      <c r="A592" s="16" t="s">
        <v>306</v>
      </c>
      <c r="C592" s="16">
        <v>4</v>
      </c>
      <c r="T592" s="2">
        <f t="shared" si="36"/>
        <v>0</v>
      </c>
      <c r="U592" s="2">
        <f t="shared" si="37"/>
        <v>0</v>
      </c>
      <c r="V592" s="2">
        <f t="shared" si="38"/>
        <v>0</v>
      </c>
      <c r="W592" s="2">
        <f t="shared" si="39"/>
        <v>0</v>
      </c>
      <c r="Y592" t="str">
        <f>IFERROR(ROUND(E592*VLOOKUP(D592,商品!$A$4:$B$60,2,FALSE),0),"")</f>
        <v/>
      </c>
      <c r="Z592" t="str">
        <f>IFERROR(ROUND(G592*VLOOKUP(F592,商品!$A$4:$B$60,2,FALSE),0),"")</f>
        <v/>
      </c>
      <c r="AA592" t="str">
        <f>IFERROR(ROUND(I592*VLOOKUP(H592,商品!$A$4:$B$60,2,FALSE),0),"")</f>
        <v/>
      </c>
      <c r="AB592" t="str">
        <f>IFERROR(ROUND(K592*VLOOKUP(J592,[1]note_pop_types!$A$16:$E$16,4,FALSE),0),"")</f>
        <v/>
      </c>
      <c r="AC592" t="str">
        <f>IFERROR(ROUND(M592*VLOOKUP(L592,[1]note_pop_types!$A$16:$E$16,4,FALSE),0),"")</f>
        <v/>
      </c>
      <c r="AD592" t="str">
        <f>IFERROR(ROUND(O592*VLOOKUP(N592,[1]note_pop_types!$A$16:$E$16,4,FALSE),0),"")</f>
        <v/>
      </c>
      <c r="AE592" t="str">
        <f>IFERROR(ROUND(Q592*VLOOKUP(P592,商品!$A$4:$B$60,2,FALSE),0),"")</f>
        <v/>
      </c>
      <c r="AF592" t="str">
        <f>IFERROR(ROUND(S592*VLOOKUP(R592,商品!$A$4:$B$60,2,FALSE),0),"")</f>
        <v/>
      </c>
    </row>
    <row r="593" spans="1:32" ht="19.05" customHeight="1" x14ac:dyDescent="0.25">
      <c r="A593" s="16" t="s">
        <v>306</v>
      </c>
      <c r="C593" s="16">
        <v>5</v>
      </c>
      <c r="T593" s="2">
        <f t="shared" si="36"/>
        <v>0</v>
      </c>
      <c r="U593" s="2">
        <f t="shared" si="37"/>
        <v>0</v>
      </c>
      <c r="V593" s="2">
        <f t="shared" si="38"/>
        <v>0</v>
      </c>
      <c r="W593" s="2">
        <f t="shared" si="39"/>
        <v>0</v>
      </c>
      <c r="Y593" t="str">
        <f>IFERROR(ROUND(E593*VLOOKUP(D593,商品!$A$4:$B$60,2,FALSE),0),"")</f>
        <v/>
      </c>
      <c r="Z593" t="str">
        <f>IFERROR(ROUND(G593*VLOOKUP(F593,商品!$A$4:$B$60,2,FALSE),0),"")</f>
        <v/>
      </c>
      <c r="AA593" t="str">
        <f>IFERROR(ROUND(I593*VLOOKUP(H593,商品!$A$4:$B$60,2,FALSE),0),"")</f>
        <v/>
      </c>
      <c r="AB593" t="str">
        <f>IFERROR(ROUND(K593*VLOOKUP(J593,[1]note_pop_types!$A$16:$E$16,4,FALSE),0),"")</f>
        <v/>
      </c>
      <c r="AC593" t="str">
        <f>IFERROR(ROUND(M593*VLOOKUP(L593,[1]note_pop_types!$A$16:$E$16,4,FALSE),0),"")</f>
        <v/>
      </c>
      <c r="AD593" t="str">
        <f>IFERROR(ROUND(O593*VLOOKUP(N593,[1]note_pop_types!$A$16:$E$16,4,FALSE),0),"")</f>
        <v/>
      </c>
      <c r="AE593" t="str">
        <f>IFERROR(ROUND(Q593*VLOOKUP(P593,商品!$A$4:$B$60,2,FALSE),0),"")</f>
        <v/>
      </c>
      <c r="AF593" t="str">
        <f>IFERROR(ROUND(S593*VLOOKUP(R593,商品!$A$4:$B$60,2,FALSE),0),"")</f>
        <v/>
      </c>
    </row>
    <row r="594" spans="1:32" ht="19.05" customHeight="1" x14ac:dyDescent="0.25">
      <c r="A594" s="16" t="s">
        <v>306</v>
      </c>
      <c r="C594" s="16">
        <v>6</v>
      </c>
      <c r="T594" s="2">
        <f t="shared" si="36"/>
        <v>0</v>
      </c>
      <c r="U594" s="2">
        <f t="shared" si="37"/>
        <v>0</v>
      </c>
      <c r="V594" s="2">
        <f t="shared" si="38"/>
        <v>0</v>
      </c>
      <c r="W594" s="2">
        <f t="shared" si="39"/>
        <v>0</v>
      </c>
      <c r="Y594" t="str">
        <f>IFERROR(ROUND(E594*VLOOKUP(D594,商品!$A$4:$B$60,2,FALSE),0),"")</f>
        <v/>
      </c>
      <c r="Z594" t="str">
        <f>IFERROR(ROUND(G594*VLOOKUP(F594,商品!$A$4:$B$60,2,FALSE),0),"")</f>
        <v/>
      </c>
      <c r="AA594" t="str">
        <f>IFERROR(ROUND(I594*VLOOKUP(H594,商品!$A$4:$B$60,2,FALSE),0),"")</f>
        <v/>
      </c>
      <c r="AB594" t="str">
        <f>IFERROR(ROUND(K594*VLOOKUP(J594,[1]note_pop_types!$A$16:$E$16,4,FALSE),0),"")</f>
        <v/>
      </c>
      <c r="AC594" t="str">
        <f>IFERROR(ROUND(M594*VLOOKUP(L594,[1]note_pop_types!$A$16:$E$16,4,FALSE),0),"")</f>
        <v/>
      </c>
      <c r="AD594" t="str">
        <f>IFERROR(ROUND(O594*VLOOKUP(N594,[1]note_pop_types!$A$16:$E$16,4,FALSE),0),"")</f>
        <v/>
      </c>
      <c r="AE594" t="str">
        <f>IFERROR(ROUND(Q594*VLOOKUP(P594,商品!$A$4:$B$60,2,FALSE),0),"")</f>
        <v/>
      </c>
      <c r="AF594" t="str">
        <f>IFERROR(ROUND(S594*VLOOKUP(R594,商品!$A$4:$B$60,2,FALSE),0),"")</f>
        <v/>
      </c>
    </row>
    <row r="595" spans="1:32" ht="19.05" customHeight="1" x14ac:dyDescent="0.25">
      <c r="A595" s="16" t="s">
        <v>306</v>
      </c>
      <c r="C595" s="16">
        <v>7</v>
      </c>
      <c r="T595" s="2">
        <f t="shared" si="36"/>
        <v>0</v>
      </c>
      <c r="U595" s="2">
        <f t="shared" si="37"/>
        <v>0</v>
      </c>
      <c r="V595" s="2">
        <f t="shared" si="38"/>
        <v>0</v>
      </c>
      <c r="W595" s="2">
        <f t="shared" si="39"/>
        <v>0</v>
      </c>
      <c r="Y595" t="str">
        <f>IFERROR(ROUND(E595*VLOOKUP(D595,商品!$A$4:$B$60,2,FALSE),0),"")</f>
        <v/>
      </c>
      <c r="Z595" t="str">
        <f>IFERROR(ROUND(G595*VLOOKUP(F595,商品!$A$4:$B$60,2,FALSE),0),"")</f>
        <v/>
      </c>
      <c r="AA595" t="str">
        <f>IFERROR(ROUND(I595*VLOOKUP(H595,商品!$A$4:$B$60,2,FALSE),0),"")</f>
        <v/>
      </c>
      <c r="AB595" t="str">
        <f>IFERROR(ROUND(K595*VLOOKUP(J595,[1]note_pop_types!$A$16:$E$16,4,FALSE),0),"")</f>
        <v/>
      </c>
      <c r="AC595" t="str">
        <f>IFERROR(ROUND(M595*VLOOKUP(L595,[1]note_pop_types!$A$16:$E$16,4,FALSE),0),"")</f>
        <v/>
      </c>
      <c r="AD595" t="str">
        <f>IFERROR(ROUND(O595*VLOOKUP(N595,[1]note_pop_types!$A$16:$E$16,4,FALSE),0),"")</f>
        <v/>
      </c>
      <c r="AE595" t="str">
        <f>IFERROR(ROUND(Q595*VLOOKUP(P595,商品!$A$4:$B$60,2,FALSE),0),"")</f>
        <v/>
      </c>
      <c r="AF595" t="str">
        <f>IFERROR(ROUND(S595*VLOOKUP(R595,商品!$A$4:$B$60,2,FALSE),0),"")</f>
        <v/>
      </c>
    </row>
    <row r="596" spans="1:32" ht="19.05" customHeight="1" x14ac:dyDescent="0.25">
      <c r="A596" s="16" t="s">
        <v>306</v>
      </c>
      <c r="C596" s="16">
        <v>8</v>
      </c>
      <c r="T596" s="2">
        <f t="shared" si="36"/>
        <v>0</v>
      </c>
      <c r="U596" s="2">
        <f t="shared" si="37"/>
        <v>0</v>
      </c>
      <c r="V596" s="2">
        <f t="shared" si="38"/>
        <v>0</v>
      </c>
      <c r="W596" s="2">
        <f t="shared" si="39"/>
        <v>0</v>
      </c>
      <c r="Y596" t="str">
        <f>IFERROR(ROUND(E596*VLOOKUP(D596,商品!$A$4:$B$60,2,FALSE),0),"")</f>
        <v/>
      </c>
      <c r="Z596" t="str">
        <f>IFERROR(ROUND(G596*VLOOKUP(F596,商品!$A$4:$B$60,2,FALSE),0),"")</f>
        <v/>
      </c>
      <c r="AA596" t="str">
        <f>IFERROR(ROUND(I596*VLOOKUP(H596,商品!$A$4:$B$60,2,FALSE),0),"")</f>
        <v/>
      </c>
      <c r="AB596" t="str">
        <f>IFERROR(ROUND(K596*VLOOKUP(J596,[1]note_pop_types!$A$16:$E$16,4,FALSE),0),"")</f>
        <v/>
      </c>
      <c r="AC596" t="str">
        <f>IFERROR(ROUND(M596*VLOOKUP(L596,[1]note_pop_types!$A$16:$E$16,4,FALSE),0),"")</f>
        <v/>
      </c>
      <c r="AD596" t="str">
        <f>IFERROR(ROUND(O596*VLOOKUP(N596,[1]note_pop_types!$A$16:$E$16,4,FALSE),0),"")</f>
        <v/>
      </c>
      <c r="AE596" t="str">
        <f>IFERROR(ROUND(Q596*VLOOKUP(P596,商品!$A$4:$B$60,2,FALSE),0),"")</f>
        <v/>
      </c>
      <c r="AF596" t="str">
        <f>IFERROR(ROUND(S596*VLOOKUP(R596,商品!$A$4:$B$60,2,FALSE),0),"")</f>
        <v/>
      </c>
    </row>
    <row r="597" spans="1:32" ht="19.05" customHeight="1" x14ac:dyDescent="0.25">
      <c r="A597" s="15" t="s">
        <v>306</v>
      </c>
      <c r="C597" s="15">
        <v>1</v>
      </c>
      <c r="T597" s="2">
        <f t="shared" si="36"/>
        <v>0</v>
      </c>
      <c r="U597" s="2">
        <f t="shared" si="37"/>
        <v>0</v>
      </c>
      <c r="V597" s="2">
        <f t="shared" si="38"/>
        <v>0</v>
      </c>
      <c r="W597" s="2">
        <f t="shared" si="39"/>
        <v>0</v>
      </c>
      <c r="Y597" t="str">
        <f>IFERROR(ROUND(E597*VLOOKUP(D597,商品!$A$4:$B$60,2,FALSE),0),"")</f>
        <v/>
      </c>
      <c r="Z597" t="str">
        <f>IFERROR(ROUND(G597*VLOOKUP(F597,商品!$A$4:$B$60,2,FALSE),0),"")</f>
        <v/>
      </c>
      <c r="AA597" t="str">
        <f>IFERROR(ROUND(I597*VLOOKUP(H597,商品!$A$4:$B$60,2,FALSE),0),"")</f>
        <v/>
      </c>
      <c r="AB597" t="str">
        <f>IFERROR(ROUND(K597*VLOOKUP(J597,[1]note_pop_types!$A$16:$E$16,4,FALSE),0),"")</f>
        <v/>
      </c>
      <c r="AC597" t="str">
        <f>IFERROR(ROUND(M597*VLOOKUP(L597,[1]note_pop_types!$A$16:$E$16,4,FALSE),0),"")</f>
        <v/>
      </c>
      <c r="AD597" t="str">
        <f>IFERROR(ROUND(O597*VLOOKUP(N597,[1]note_pop_types!$A$16:$E$16,4,FALSE),0),"")</f>
        <v/>
      </c>
      <c r="AE597" t="str">
        <f>IFERROR(ROUND(Q597*VLOOKUP(P597,商品!$A$4:$B$60,2,FALSE),0),"")</f>
        <v/>
      </c>
      <c r="AF597" t="str">
        <f>IFERROR(ROUND(S597*VLOOKUP(R597,商品!$A$4:$B$60,2,FALSE),0),"")</f>
        <v/>
      </c>
    </row>
    <row r="598" spans="1:32" ht="19.05" customHeight="1" x14ac:dyDescent="0.25">
      <c r="A598" s="15" t="s">
        <v>306</v>
      </c>
      <c r="C598" s="15">
        <v>2</v>
      </c>
      <c r="T598" s="2">
        <f t="shared" si="36"/>
        <v>0</v>
      </c>
      <c r="U598" s="2">
        <f t="shared" si="37"/>
        <v>0</v>
      </c>
      <c r="V598" s="2">
        <f t="shared" si="38"/>
        <v>0</v>
      </c>
      <c r="W598" s="2">
        <f t="shared" si="39"/>
        <v>0</v>
      </c>
      <c r="Y598" t="str">
        <f>IFERROR(ROUND(E598*VLOOKUP(D598,商品!$A$4:$B$60,2,FALSE),0),"")</f>
        <v/>
      </c>
      <c r="Z598" t="str">
        <f>IFERROR(ROUND(G598*VLOOKUP(F598,商品!$A$4:$B$60,2,FALSE),0),"")</f>
        <v/>
      </c>
      <c r="AA598" t="str">
        <f>IFERROR(ROUND(I598*VLOOKUP(H598,商品!$A$4:$B$60,2,FALSE),0),"")</f>
        <v/>
      </c>
      <c r="AB598" t="str">
        <f>IFERROR(ROUND(K598*VLOOKUP(J598,[1]note_pop_types!$A$16:$E$16,4,FALSE),0),"")</f>
        <v/>
      </c>
      <c r="AC598" t="str">
        <f>IFERROR(ROUND(M598*VLOOKUP(L598,[1]note_pop_types!$A$16:$E$16,4,FALSE),0),"")</f>
        <v/>
      </c>
      <c r="AD598" t="str">
        <f>IFERROR(ROUND(O598*VLOOKUP(N598,[1]note_pop_types!$A$16:$E$16,4,FALSE),0),"")</f>
        <v/>
      </c>
      <c r="AE598" t="str">
        <f>IFERROR(ROUND(Q598*VLOOKUP(P598,商品!$A$4:$B$60,2,FALSE),0),"")</f>
        <v/>
      </c>
      <c r="AF598" t="str">
        <f>IFERROR(ROUND(S598*VLOOKUP(R598,商品!$A$4:$B$60,2,FALSE),0),"")</f>
        <v/>
      </c>
    </row>
    <row r="599" spans="1:32" ht="19.05" customHeight="1" x14ac:dyDescent="0.25">
      <c r="A599" s="15" t="s">
        <v>306</v>
      </c>
      <c r="C599" s="15">
        <v>3</v>
      </c>
      <c r="T599" s="2">
        <f t="shared" si="36"/>
        <v>0</v>
      </c>
      <c r="U599" s="2">
        <f t="shared" si="37"/>
        <v>0</v>
      </c>
      <c r="V599" s="2">
        <f t="shared" si="38"/>
        <v>0</v>
      </c>
      <c r="W599" s="2">
        <f t="shared" si="39"/>
        <v>0</v>
      </c>
      <c r="Y599" t="str">
        <f>IFERROR(ROUND(E599*VLOOKUP(D599,商品!$A$4:$B$60,2,FALSE),0),"")</f>
        <v/>
      </c>
      <c r="Z599" t="str">
        <f>IFERROR(ROUND(G599*VLOOKUP(F599,商品!$A$4:$B$60,2,FALSE),0),"")</f>
        <v/>
      </c>
      <c r="AA599" t="str">
        <f>IFERROR(ROUND(I599*VLOOKUP(H599,商品!$A$4:$B$60,2,FALSE),0),"")</f>
        <v/>
      </c>
      <c r="AB599" t="str">
        <f>IFERROR(ROUND(K599*VLOOKUP(J599,[1]note_pop_types!$A$16:$E$16,4,FALSE),0),"")</f>
        <v/>
      </c>
      <c r="AC599" t="str">
        <f>IFERROR(ROUND(M599*VLOOKUP(L599,[1]note_pop_types!$A$16:$E$16,4,FALSE),0),"")</f>
        <v/>
      </c>
      <c r="AD599" t="str">
        <f>IFERROR(ROUND(O599*VLOOKUP(N599,[1]note_pop_types!$A$16:$E$16,4,FALSE),0),"")</f>
        <v/>
      </c>
      <c r="AE599" t="str">
        <f>IFERROR(ROUND(Q599*VLOOKUP(P599,商品!$A$4:$B$60,2,FALSE),0),"")</f>
        <v/>
      </c>
      <c r="AF599" t="str">
        <f>IFERROR(ROUND(S599*VLOOKUP(R599,商品!$A$4:$B$60,2,FALSE),0),"")</f>
        <v/>
      </c>
    </row>
    <row r="600" spans="1:32" ht="19.05" customHeight="1" x14ac:dyDescent="0.25">
      <c r="A600" s="15" t="s">
        <v>306</v>
      </c>
      <c r="C600" s="15">
        <v>4</v>
      </c>
      <c r="T600" s="2">
        <f t="shared" si="36"/>
        <v>0</v>
      </c>
      <c r="U600" s="2">
        <f t="shared" si="37"/>
        <v>0</v>
      </c>
      <c r="V600" s="2">
        <f t="shared" si="38"/>
        <v>0</v>
      </c>
      <c r="W600" s="2">
        <f t="shared" si="39"/>
        <v>0</v>
      </c>
      <c r="Y600" t="str">
        <f>IFERROR(ROUND(E600*VLOOKUP(D600,商品!$A$4:$B$60,2,FALSE),0),"")</f>
        <v/>
      </c>
      <c r="Z600" t="str">
        <f>IFERROR(ROUND(G600*VLOOKUP(F600,商品!$A$4:$B$60,2,FALSE),0),"")</f>
        <v/>
      </c>
      <c r="AA600" t="str">
        <f>IFERROR(ROUND(I600*VLOOKUP(H600,商品!$A$4:$B$60,2,FALSE),0),"")</f>
        <v/>
      </c>
      <c r="AB600" t="str">
        <f>IFERROR(ROUND(K600*VLOOKUP(J600,[1]note_pop_types!$A$16:$E$16,4,FALSE),0),"")</f>
        <v/>
      </c>
      <c r="AC600" t="str">
        <f>IFERROR(ROUND(M600*VLOOKUP(L600,[1]note_pop_types!$A$16:$E$16,4,FALSE),0),"")</f>
        <v/>
      </c>
      <c r="AD600" t="str">
        <f>IFERROR(ROUND(O600*VLOOKUP(N600,[1]note_pop_types!$A$16:$E$16,4,FALSE),0),"")</f>
        <v/>
      </c>
      <c r="AE600" t="str">
        <f>IFERROR(ROUND(Q600*VLOOKUP(P600,商品!$A$4:$B$60,2,FALSE),0),"")</f>
        <v/>
      </c>
      <c r="AF600" t="str">
        <f>IFERROR(ROUND(S600*VLOOKUP(R600,商品!$A$4:$B$60,2,FALSE),0),"")</f>
        <v/>
      </c>
    </row>
    <row r="601" spans="1:32" ht="19.05" customHeight="1" x14ac:dyDescent="0.25">
      <c r="A601" s="15" t="s">
        <v>306</v>
      </c>
      <c r="C601" s="15">
        <v>5</v>
      </c>
      <c r="T601" s="2">
        <f t="shared" si="36"/>
        <v>0</v>
      </c>
      <c r="U601" s="2">
        <f t="shared" si="37"/>
        <v>0</v>
      </c>
      <c r="V601" s="2">
        <f t="shared" si="38"/>
        <v>0</v>
      </c>
      <c r="W601" s="2">
        <f t="shared" si="39"/>
        <v>0</v>
      </c>
      <c r="Y601" t="str">
        <f>IFERROR(ROUND(E601*VLOOKUP(D601,商品!$A$4:$B$60,2,FALSE),0),"")</f>
        <v/>
      </c>
      <c r="Z601" t="str">
        <f>IFERROR(ROUND(G601*VLOOKUP(F601,商品!$A$4:$B$60,2,FALSE),0),"")</f>
        <v/>
      </c>
      <c r="AA601" t="str">
        <f>IFERROR(ROUND(I601*VLOOKUP(H601,商品!$A$4:$B$60,2,FALSE),0),"")</f>
        <v/>
      </c>
      <c r="AB601" t="str">
        <f>IFERROR(ROUND(K601*VLOOKUP(J601,[1]note_pop_types!$A$16:$E$16,4,FALSE),0),"")</f>
        <v/>
      </c>
      <c r="AC601" t="str">
        <f>IFERROR(ROUND(M601*VLOOKUP(L601,[1]note_pop_types!$A$16:$E$16,4,FALSE),0),"")</f>
        <v/>
      </c>
      <c r="AD601" t="str">
        <f>IFERROR(ROUND(O601*VLOOKUP(N601,[1]note_pop_types!$A$16:$E$16,4,FALSE),0),"")</f>
        <v/>
      </c>
      <c r="AE601" t="str">
        <f>IFERROR(ROUND(Q601*VLOOKUP(P601,商品!$A$4:$B$60,2,FALSE),0),"")</f>
        <v/>
      </c>
      <c r="AF601" t="str">
        <f>IFERROR(ROUND(S601*VLOOKUP(R601,商品!$A$4:$B$60,2,FALSE),0),"")</f>
        <v/>
      </c>
    </row>
    <row r="602" spans="1:32" ht="19.05" customHeight="1" x14ac:dyDescent="0.25">
      <c r="A602" s="15" t="s">
        <v>306</v>
      </c>
      <c r="C602" s="15">
        <v>6</v>
      </c>
      <c r="T602" s="2">
        <f t="shared" si="36"/>
        <v>0</v>
      </c>
      <c r="U602" s="2">
        <f t="shared" si="37"/>
        <v>0</v>
      </c>
      <c r="V602" s="2">
        <f t="shared" si="38"/>
        <v>0</v>
      </c>
      <c r="W602" s="2">
        <f t="shared" si="39"/>
        <v>0</v>
      </c>
      <c r="Y602" t="str">
        <f>IFERROR(ROUND(E602*VLOOKUP(D602,商品!$A$4:$B$60,2,FALSE),0),"")</f>
        <v/>
      </c>
      <c r="Z602" t="str">
        <f>IFERROR(ROUND(G602*VLOOKUP(F602,商品!$A$4:$B$60,2,FALSE),0),"")</f>
        <v/>
      </c>
      <c r="AA602" t="str">
        <f>IFERROR(ROUND(I602*VLOOKUP(H602,商品!$A$4:$B$60,2,FALSE),0),"")</f>
        <v/>
      </c>
      <c r="AB602" t="str">
        <f>IFERROR(ROUND(K602*VLOOKUP(J602,[1]note_pop_types!$A$16:$E$16,4,FALSE),0),"")</f>
        <v/>
      </c>
      <c r="AC602" t="str">
        <f>IFERROR(ROUND(M602*VLOOKUP(L602,[1]note_pop_types!$A$16:$E$16,4,FALSE),0),"")</f>
        <v/>
      </c>
      <c r="AD602" t="str">
        <f>IFERROR(ROUND(O602*VLOOKUP(N602,[1]note_pop_types!$A$16:$E$16,4,FALSE),0),"")</f>
        <v/>
      </c>
      <c r="AE602" t="str">
        <f>IFERROR(ROUND(Q602*VLOOKUP(P602,商品!$A$4:$B$60,2,FALSE),0),"")</f>
        <v/>
      </c>
      <c r="AF602" t="str">
        <f>IFERROR(ROUND(S602*VLOOKUP(R602,商品!$A$4:$B$60,2,FALSE),0),"")</f>
        <v/>
      </c>
    </row>
    <row r="603" spans="1:32" ht="19.05" customHeight="1" x14ac:dyDescent="0.25">
      <c r="A603" s="15" t="s">
        <v>306</v>
      </c>
      <c r="C603" s="15">
        <v>7</v>
      </c>
      <c r="T603" s="2">
        <f t="shared" si="36"/>
        <v>0</v>
      </c>
      <c r="U603" s="2">
        <f t="shared" si="37"/>
        <v>0</v>
      </c>
      <c r="V603" s="2">
        <f t="shared" si="38"/>
        <v>0</v>
      </c>
      <c r="W603" s="2">
        <f t="shared" si="39"/>
        <v>0</v>
      </c>
      <c r="Y603" t="str">
        <f>IFERROR(ROUND(E603*VLOOKUP(D603,商品!$A$4:$B$60,2,FALSE),0),"")</f>
        <v/>
      </c>
      <c r="Z603" t="str">
        <f>IFERROR(ROUND(G603*VLOOKUP(F603,商品!$A$4:$B$60,2,FALSE),0),"")</f>
        <v/>
      </c>
      <c r="AA603" t="str">
        <f>IFERROR(ROUND(I603*VLOOKUP(H603,商品!$A$4:$B$60,2,FALSE),0),"")</f>
        <v/>
      </c>
      <c r="AB603" t="str">
        <f>IFERROR(ROUND(K603*VLOOKUP(J603,[1]note_pop_types!$A$16:$E$16,4,FALSE),0),"")</f>
        <v/>
      </c>
      <c r="AC603" t="str">
        <f>IFERROR(ROUND(M603*VLOOKUP(L603,[1]note_pop_types!$A$16:$E$16,4,FALSE),0),"")</f>
        <v/>
      </c>
      <c r="AD603" t="str">
        <f>IFERROR(ROUND(O603*VLOOKUP(N603,[1]note_pop_types!$A$16:$E$16,4,FALSE),0),"")</f>
        <v/>
      </c>
      <c r="AE603" t="str">
        <f>IFERROR(ROUND(Q603*VLOOKUP(P603,商品!$A$4:$B$60,2,FALSE),0),"")</f>
        <v/>
      </c>
      <c r="AF603" t="str">
        <f>IFERROR(ROUND(S603*VLOOKUP(R603,商品!$A$4:$B$60,2,FALSE),0),"")</f>
        <v/>
      </c>
    </row>
    <row r="604" spans="1:32" ht="19.05" customHeight="1" x14ac:dyDescent="0.25">
      <c r="A604" s="15" t="s">
        <v>306</v>
      </c>
      <c r="C604" s="15">
        <v>8</v>
      </c>
      <c r="T604" s="2">
        <f t="shared" si="36"/>
        <v>0</v>
      </c>
      <c r="U604" s="2">
        <f t="shared" si="37"/>
        <v>0</v>
      </c>
      <c r="V604" s="2">
        <f t="shared" si="38"/>
        <v>0</v>
      </c>
      <c r="W604" s="2">
        <f t="shared" si="39"/>
        <v>0</v>
      </c>
      <c r="Y604" t="str">
        <f>IFERROR(ROUND(E604*VLOOKUP(D604,商品!$A$4:$B$60,2,FALSE),0),"")</f>
        <v/>
      </c>
      <c r="Z604" t="str">
        <f>IFERROR(ROUND(G604*VLOOKUP(F604,商品!$A$4:$B$60,2,FALSE),0),"")</f>
        <v/>
      </c>
      <c r="AA604" t="str">
        <f>IFERROR(ROUND(I604*VLOOKUP(H604,商品!$A$4:$B$60,2,FALSE),0),"")</f>
        <v/>
      </c>
      <c r="AB604" t="str">
        <f>IFERROR(ROUND(K604*VLOOKUP(J604,[1]note_pop_types!$A$16:$E$16,4,FALSE),0),"")</f>
        <v/>
      </c>
      <c r="AC604" t="str">
        <f>IFERROR(ROUND(M604*VLOOKUP(L604,[1]note_pop_types!$A$16:$E$16,4,FALSE),0),"")</f>
        <v/>
      </c>
      <c r="AD604" t="str">
        <f>IFERROR(ROUND(O604*VLOOKUP(N604,[1]note_pop_types!$A$16:$E$16,4,FALSE),0),"")</f>
        <v/>
      </c>
      <c r="AE604" t="str">
        <f>IFERROR(ROUND(Q604*VLOOKUP(P604,商品!$A$4:$B$60,2,FALSE),0),"")</f>
        <v/>
      </c>
      <c r="AF604" t="str">
        <f>IFERROR(ROUND(S604*VLOOKUP(R604,商品!$A$4:$B$60,2,FALSE),0),"")</f>
        <v/>
      </c>
    </row>
    <row r="605" spans="1:32" ht="19.05" customHeight="1" x14ac:dyDescent="0.25">
      <c r="A605" s="16" t="s">
        <v>308</v>
      </c>
      <c r="C605" s="16">
        <v>1</v>
      </c>
      <c r="T605" s="2">
        <f t="shared" si="36"/>
        <v>0</v>
      </c>
      <c r="U605" s="2">
        <f t="shared" si="37"/>
        <v>0</v>
      </c>
      <c r="V605" s="2">
        <f t="shared" si="38"/>
        <v>0</v>
      </c>
      <c r="W605" s="2">
        <f t="shared" si="39"/>
        <v>0</v>
      </c>
      <c r="Y605" t="str">
        <f>IFERROR(ROUND(E605*VLOOKUP(D605,商品!$A$4:$B$60,2,FALSE),0),"")</f>
        <v/>
      </c>
      <c r="Z605" t="str">
        <f>IFERROR(ROUND(G605*VLOOKUP(F605,商品!$A$4:$B$60,2,FALSE),0),"")</f>
        <v/>
      </c>
      <c r="AA605" t="str">
        <f>IFERROR(ROUND(I605*VLOOKUP(H605,商品!$A$4:$B$60,2,FALSE),0),"")</f>
        <v/>
      </c>
      <c r="AB605" t="str">
        <f>IFERROR(ROUND(K605*VLOOKUP(J605,[1]note_pop_types!$A$16:$E$16,4,FALSE),0),"")</f>
        <v/>
      </c>
      <c r="AC605" t="str">
        <f>IFERROR(ROUND(M605*VLOOKUP(L605,[1]note_pop_types!$A$16:$E$16,4,FALSE),0),"")</f>
        <v/>
      </c>
      <c r="AD605" t="str">
        <f>IFERROR(ROUND(O605*VLOOKUP(N605,[1]note_pop_types!$A$16:$E$16,4,FALSE),0),"")</f>
        <v/>
      </c>
      <c r="AE605" t="str">
        <f>IFERROR(ROUND(Q605*VLOOKUP(P605,商品!$A$4:$B$60,2,FALSE),0),"")</f>
        <v/>
      </c>
      <c r="AF605" t="str">
        <f>IFERROR(ROUND(S605*VLOOKUP(R605,商品!$A$4:$B$60,2,FALSE),0),"")</f>
        <v/>
      </c>
    </row>
    <row r="606" spans="1:32" ht="19.05" customHeight="1" x14ac:dyDescent="0.25">
      <c r="A606" s="16" t="s">
        <v>308</v>
      </c>
      <c r="C606" s="16">
        <v>2</v>
      </c>
      <c r="T606" s="2">
        <f t="shared" si="36"/>
        <v>0</v>
      </c>
      <c r="U606" s="2">
        <f t="shared" si="37"/>
        <v>0</v>
      </c>
      <c r="V606" s="2">
        <f t="shared" si="38"/>
        <v>0</v>
      </c>
      <c r="W606" s="2">
        <f t="shared" si="39"/>
        <v>0</v>
      </c>
      <c r="Y606" t="str">
        <f>IFERROR(ROUND(E606*VLOOKUP(D606,商品!$A$4:$B$60,2,FALSE),0),"")</f>
        <v/>
      </c>
      <c r="Z606" t="str">
        <f>IFERROR(ROUND(G606*VLOOKUP(F606,商品!$A$4:$B$60,2,FALSE),0),"")</f>
        <v/>
      </c>
      <c r="AA606" t="str">
        <f>IFERROR(ROUND(I606*VLOOKUP(H606,商品!$A$4:$B$60,2,FALSE),0),"")</f>
        <v/>
      </c>
      <c r="AB606" t="str">
        <f>IFERROR(ROUND(K606*VLOOKUP(J606,[1]note_pop_types!$A$16:$E$16,4,FALSE),0),"")</f>
        <v/>
      </c>
      <c r="AC606" t="str">
        <f>IFERROR(ROUND(M606*VLOOKUP(L606,[1]note_pop_types!$A$16:$E$16,4,FALSE),0),"")</f>
        <v/>
      </c>
      <c r="AD606" t="str">
        <f>IFERROR(ROUND(O606*VLOOKUP(N606,[1]note_pop_types!$A$16:$E$16,4,FALSE),0),"")</f>
        <v/>
      </c>
      <c r="AE606" t="str">
        <f>IFERROR(ROUND(Q606*VLOOKUP(P606,商品!$A$4:$B$60,2,FALSE),0),"")</f>
        <v/>
      </c>
      <c r="AF606" t="str">
        <f>IFERROR(ROUND(S606*VLOOKUP(R606,商品!$A$4:$B$60,2,FALSE),0),"")</f>
        <v/>
      </c>
    </row>
    <row r="607" spans="1:32" ht="19.05" customHeight="1" x14ac:dyDescent="0.25">
      <c r="A607" s="16" t="s">
        <v>308</v>
      </c>
      <c r="C607" s="16">
        <v>3</v>
      </c>
      <c r="T607" s="2">
        <f t="shared" si="36"/>
        <v>0</v>
      </c>
      <c r="U607" s="2">
        <f t="shared" si="37"/>
        <v>0</v>
      </c>
      <c r="V607" s="2">
        <f t="shared" si="38"/>
        <v>0</v>
      </c>
      <c r="W607" s="2">
        <f t="shared" si="39"/>
        <v>0</v>
      </c>
      <c r="Y607" t="str">
        <f>IFERROR(ROUND(E607*VLOOKUP(D607,商品!$A$4:$B$60,2,FALSE),0),"")</f>
        <v/>
      </c>
      <c r="Z607" t="str">
        <f>IFERROR(ROUND(G607*VLOOKUP(F607,商品!$A$4:$B$60,2,FALSE),0),"")</f>
        <v/>
      </c>
      <c r="AA607" t="str">
        <f>IFERROR(ROUND(I607*VLOOKUP(H607,商品!$A$4:$B$60,2,FALSE),0),"")</f>
        <v/>
      </c>
      <c r="AB607" t="str">
        <f>IFERROR(ROUND(K607*VLOOKUP(J607,[1]note_pop_types!$A$16:$E$16,4,FALSE),0),"")</f>
        <v/>
      </c>
      <c r="AC607" t="str">
        <f>IFERROR(ROUND(M607*VLOOKUP(L607,[1]note_pop_types!$A$16:$E$16,4,FALSE),0),"")</f>
        <v/>
      </c>
      <c r="AD607" t="str">
        <f>IFERROR(ROUND(O607*VLOOKUP(N607,[1]note_pop_types!$A$16:$E$16,4,FALSE),0),"")</f>
        <v/>
      </c>
      <c r="AE607" t="str">
        <f>IFERROR(ROUND(Q607*VLOOKUP(P607,商品!$A$4:$B$60,2,FALSE),0),"")</f>
        <v/>
      </c>
      <c r="AF607" t="str">
        <f>IFERROR(ROUND(S607*VLOOKUP(R607,商品!$A$4:$B$60,2,FALSE),0),"")</f>
        <v/>
      </c>
    </row>
    <row r="608" spans="1:32" ht="19.05" customHeight="1" x14ac:dyDescent="0.25">
      <c r="A608" s="16" t="s">
        <v>308</v>
      </c>
      <c r="C608" s="16">
        <v>4</v>
      </c>
      <c r="T608" s="2">
        <f t="shared" si="36"/>
        <v>0</v>
      </c>
      <c r="U608" s="2">
        <f t="shared" si="37"/>
        <v>0</v>
      </c>
      <c r="V608" s="2">
        <f t="shared" si="38"/>
        <v>0</v>
      </c>
      <c r="W608" s="2">
        <f t="shared" si="39"/>
        <v>0</v>
      </c>
      <c r="Y608" t="str">
        <f>IFERROR(ROUND(E608*VLOOKUP(D608,商品!$A$4:$B$60,2,FALSE),0),"")</f>
        <v/>
      </c>
      <c r="Z608" t="str">
        <f>IFERROR(ROUND(G608*VLOOKUP(F608,商品!$A$4:$B$60,2,FALSE),0),"")</f>
        <v/>
      </c>
      <c r="AA608" t="str">
        <f>IFERROR(ROUND(I608*VLOOKUP(H608,商品!$A$4:$B$60,2,FALSE),0),"")</f>
        <v/>
      </c>
      <c r="AB608" t="str">
        <f>IFERROR(ROUND(K608*VLOOKUP(J608,[1]note_pop_types!$A$16:$E$16,4,FALSE),0),"")</f>
        <v/>
      </c>
      <c r="AC608" t="str">
        <f>IFERROR(ROUND(M608*VLOOKUP(L608,[1]note_pop_types!$A$16:$E$16,4,FALSE),0),"")</f>
        <v/>
      </c>
      <c r="AD608" t="str">
        <f>IFERROR(ROUND(O608*VLOOKUP(N608,[1]note_pop_types!$A$16:$E$16,4,FALSE),0),"")</f>
        <v/>
      </c>
      <c r="AE608" t="str">
        <f>IFERROR(ROUND(Q608*VLOOKUP(P608,商品!$A$4:$B$60,2,FALSE),0),"")</f>
        <v/>
      </c>
      <c r="AF608" t="str">
        <f>IFERROR(ROUND(S608*VLOOKUP(R608,商品!$A$4:$B$60,2,FALSE),0),"")</f>
        <v/>
      </c>
    </row>
    <row r="609" spans="1:32" ht="19.05" customHeight="1" x14ac:dyDescent="0.25">
      <c r="A609" s="16" t="s">
        <v>308</v>
      </c>
      <c r="C609" s="16">
        <v>5</v>
      </c>
      <c r="T609" s="2">
        <f t="shared" si="36"/>
        <v>0</v>
      </c>
      <c r="U609" s="2">
        <f t="shared" si="37"/>
        <v>0</v>
      </c>
      <c r="V609" s="2">
        <f t="shared" si="38"/>
        <v>0</v>
      </c>
      <c r="W609" s="2">
        <f t="shared" si="39"/>
        <v>0</v>
      </c>
      <c r="Y609" t="str">
        <f>IFERROR(ROUND(E609*VLOOKUP(D609,商品!$A$4:$B$60,2,FALSE),0),"")</f>
        <v/>
      </c>
      <c r="Z609" t="str">
        <f>IFERROR(ROUND(G609*VLOOKUP(F609,商品!$A$4:$B$60,2,FALSE),0),"")</f>
        <v/>
      </c>
      <c r="AA609" t="str">
        <f>IFERROR(ROUND(I609*VLOOKUP(H609,商品!$A$4:$B$60,2,FALSE),0),"")</f>
        <v/>
      </c>
      <c r="AB609" t="str">
        <f>IFERROR(ROUND(K609*VLOOKUP(J609,[1]note_pop_types!$A$16:$E$16,4,FALSE),0),"")</f>
        <v/>
      </c>
      <c r="AC609" t="str">
        <f>IFERROR(ROUND(M609*VLOOKUP(L609,[1]note_pop_types!$A$16:$E$16,4,FALSE),0),"")</f>
        <v/>
      </c>
      <c r="AD609" t="str">
        <f>IFERROR(ROUND(O609*VLOOKUP(N609,[1]note_pop_types!$A$16:$E$16,4,FALSE),0),"")</f>
        <v/>
      </c>
      <c r="AE609" t="str">
        <f>IFERROR(ROUND(Q609*VLOOKUP(P609,商品!$A$4:$B$60,2,FALSE),0),"")</f>
        <v/>
      </c>
      <c r="AF609" t="str">
        <f>IFERROR(ROUND(S609*VLOOKUP(R609,商品!$A$4:$B$60,2,FALSE),0),"")</f>
        <v/>
      </c>
    </row>
    <row r="610" spans="1:32" ht="19.05" customHeight="1" x14ac:dyDescent="0.25">
      <c r="A610" s="15" t="s">
        <v>309</v>
      </c>
      <c r="C610" s="15">
        <v>1</v>
      </c>
      <c r="T610" s="2">
        <f t="shared" si="36"/>
        <v>0</v>
      </c>
      <c r="U610" s="2">
        <f t="shared" si="37"/>
        <v>0</v>
      </c>
      <c r="V610" s="2">
        <f t="shared" si="38"/>
        <v>0</v>
      </c>
      <c r="W610" s="2">
        <f t="shared" si="39"/>
        <v>0</v>
      </c>
      <c r="Y610" t="str">
        <f>IFERROR(ROUND(E610*VLOOKUP(D610,商品!$A$4:$B$60,2,FALSE),0),"")</f>
        <v/>
      </c>
      <c r="Z610" t="str">
        <f>IFERROR(ROUND(G610*VLOOKUP(F610,商品!$A$4:$B$60,2,FALSE),0),"")</f>
        <v/>
      </c>
      <c r="AA610" t="str">
        <f>IFERROR(ROUND(I610*VLOOKUP(H610,商品!$A$4:$B$60,2,FALSE),0),"")</f>
        <v/>
      </c>
      <c r="AB610" t="str">
        <f>IFERROR(ROUND(K610*VLOOKUP(J610,[1]note_pop_types!$A$16:$E$16,4,FALSE),0),"")</f>
        <v/>
      </c>
      <c r="AC610" t="str">
        <f>IFERROR(ROUND(M610*VLOOKUP(L610,[1]note_pop_types!$A$16:$E$16,4,FALSE),0),"")</f>
        <v/>
      </c>
      <c r="AD610" t="str">
        <f>IFERROR(ROUND(O610*VLOOKUP(N610,[1]note_pop_types!$A$16:$E$16,4,FALSE),0),"")</f>
        <v/>
      </c>
      <c r="AE610" t="str">
        <f>IFERROR(ROUND(Q610*VLOOKUP(P610,商品!$A$4:$B$60,2,FALSE),0),"")</f>
        <v/>
      </c>
      <c r="AF610" t="str">
        <f>IFERROR(ROUND(S610*VLOOKUP(R610,商品!$A$4:$B$60,2,FALSE),0),"")</f>
        <v/>
      </c>
    </row>
    <row r="611" spans="1:32" ht="19.05" customHeight="1" x14ac:dyDescent="0.25">
      <c r="A611" s="15" t="s">
        <v>309</v>
      </c>
      <c r="C611" s="15">
        <v>2</v>
      </c>
      <c r="T611" s="2">
        <f t="shared" si="36"/>
        <v>0</v>
      </c>
      <c r="U611" s="2">
        <f t="shared" si="37"/>
        <v>0</v>
      </c>
      <c r="V611" s="2">
        <f t="shared" si="38"/>
        <v>0</v>
      </c>
      <c r="W611" s="2">
        <f t="shared" si="39"/>
        <v>0</v>
      </c>
      <c r="Y611" t="str">
        <f>IFERROR(ROUND(E611*VLOOKUP(D611,商品!$A$4:$B$60,2,FALSE),0),"")</f>
        <v/>
      </c>
      <c r="Z611" t="str">
        <f>IFERROR(ROUND(G611*VLOOKUP(F611,商品!$A$4:$B$60,2,FALSE),0),"")</f>
        <v/>
      </c>
      <c r="AA611" t="str">
        <f>IFERROR(ROUND(I611*VLOOKUP(H611,商品!$A$4:$B$60,2,FALSE),0),"")</f>
        <v/>
      </c>
      <c r="AB611" t="str">
        <f>IFERROR(ROUND(K611*VLOOKUP(J611,[1]note_pop_types!$A$16:$E$16,4,FALSE),0),"")</f>
        <v/>
      </c>
      <c r="AC611" t="str">
        <f>IFERROR(ROUND(M611*VLOOKUP(L611,[1]note_pop_types!$A$16:$E$16,4,FALSE),0),"")</f>
        <v/>
      </c>
      <c r="AD611" t="str">
        <f>IFERROR(ROUND(O611*VLOOKUP(N611,[1]note_pop_types!$A$16:$E$16,4,FALSE),0),"")</f>
        <v/>
      </c>
      <c r="AE611" t="str">
        <f>IFERROR(ROUND(Q611*VLOOKUP(P611,商品!$A$4:$B$60,2,FALSE),0),"")</f>
        <v/>
      </c>
      <c r="AF611" t="str">
        <f>IFERROR(ROUND(S611*VLOOKUP(R611,商品!$A$4:$B$60,2,FALSE),0),"")</f>
        <v/>
      </c>
    </row>
    <row r="612" spans="1:32" ht="19.05" customHeight="1" x14ac:dyDescent="0.25">
      <c r="A612" s="15" t="s">
        <v>309</v>
      </c>
      <c r="C612" s="15">
        <v>3</v>
      </c>
      <c r="T612" s="2">
        <f t="shared" si="36"/>
        <v>0</v>
      </c>
      <c r="U612" s="2">
        <f t="shared" si="37"/>
        <v>0</v>
      </c>
      <c r="V612" s="2">
        <f t="shared" si="38"/>
        <v>0</v>
      </c>
      <c r="W612" s="2">
        <f t="shared" si="39"/>
        <v>0</v>
      </c>
      <c r="Y612" t="str">
        <f>IFERROR(ROUND(E612*VLOOKUP(D612,商品!$A$4:$B$60,2,FALSE),0),"")</f>
        <v/>
      </c>
      <c r="Z612" t="str">
        <f>IFERROR(ROUND(G612*VLOOKUP(F612,商品!$A$4:$B$60,2,FALSE),0),"")</f>
        <v/>
      </c>
      <c r="AA612" t="str">
        <f>IFERROR(ROUND(I612*VLOOKUP(H612,商品!$A$4:$B$60,2,FALSE),0),"")</f>
        <v/>
      </c>
      <c r="AB612" t="str">
        <f>IFERROR(ROUND(K612*VLOOKUP(J612,[1]note_pop_types!$A$16:$E$16,4,FALSE),0),"")</f>
        <v/>
      </c>
      <c r="AC612" t="str">
        <f>IFERROR(ROUND(M612*VLOOKUP(L612,[1]note_pop_types!$A$16:$E$16,4,FALSE),0),"")</f>
        <v/>
      </c>
      <c r="AD612" t="str">
        <f>IFERROR(ROUND(O612*VLOOKUP(N612,[1]note_pop_types!$A$16:$E$16,4,FALSE),0),"")</f>
        <v/>
      </c>
      <c r="AE612" t="str">
        <f>IFERROR(ROUND(Q612*VLOOKUP(P612,商品!$A$4:$B$60,2,FALSE),0),"")</f>
        <v/>
      </c>
      <c r="AF612" t="str">
        <f>IFERROR(ROUND(S612*VLOOKUP(R612,商品!$A$4:$B$60,2,FALSE),0),"")</f>
        <v/>
      </c>
    </row>
    <row r="613" spans="1:32" ht="19.05" customHeight="1" x14ac:dyDescent="0.25">
      <c r="A613" s="15" t="s">
        <v>309</v>
      </c>
      <c r="C613" s="15">
        <v>4</v>
      </c>
      <c r="T613" s="2">
        <f t="shared" si="36"/>
        <v>0</v>
      </c>
      <c r="U613" s="2">
        <f t="shared" si="37"/>
        <v>0</v>
      </c>
      <c r="V613" s="2">
        <f t="shared" si="38"/>
        <v>0</v>
      </c>
      <c r="W613" s="2">
        <f t="shared" si="39"/>
        <v>0</v>
      </c>
      <c r="Y613" t="str">
        <f>IFERROR(ROUND(E613*VLOOKUP(D613,商品!$A$4:$B$60,2,FALSE),0),"")</f>
        <v/>
      </c>
      <c r="Z613" t="str">
        <f>IFERROR(ROUND(G613*VLOOKUP(F613,商品!$A$4:$B$60,2,FALSE),0),"")</f>
        <v/>
      </c>
      <c r="AA613" t="str">
        <f>IFERROR(ROUND(I613*VLOOKUP(H613,商品!$A$4:$B$60,2,FALSE),0),"")</f>
        <v/>
      </c>
      <c r="AB613" t="str">
        <f>IFERROR(ROUND(K613*VLOOKUP(J613,[1]note_pop_types!$A$16:$E$16,4,FALSE),0),"")</f>
        <v/>
      </c>
      <c r="AC613" t="str">
        <f>IFERROR(ROUND(M613*VLOOKUP(L613,[1]note_pop_types!$A$16:$E$16,4,FALSE),0),"")</f>
        <v/>
      </c>
      <c r="AD613" t="str">
        <f>IFERROR(ROUND(O613*VLOOKUP(N613,[1]note_pop_types!$A$16:$E$16,4,FALSE),0),"")</f>
        <v/>
      </c>
      <c r="AE613" t="str">
        <f>IFERROR(ROUND(Q613*VLOOKUP(P613,商品!$A$4:$B$60,2,FALSE),0),"")</f>
        <v/>
      </c>
      <c r="AF613" t="str">
        <f>IFERROR(ROUND(S613*VLOOKUP(R613,商品!$A$4:$B$60,2,FALSE),0),"")</f>
        <v/>
      </c>
    </row>
    <row r="614" spans="1:32" ht="19.05" customHeight="1" x14ac:dyDescent="0.25">
      <c r="A614" s="15" t="s">
        <v>309</v>
      </c>
      <c r="C614" s="15">
        <v>5</v>
      </c>
      <c r="T614" s="2">
        <f t="shared" si="36"/>
        <v>0</v>
      </c>
      <c r="U614" s="2">
        <f t="shared" si="37"/>
        <v>0</v>
      </c>
      <c r="V614" s="2">
        <f t="shared" si="38"/>
        <v>0</v>
      </c>
      <c r="W614" s="2">
        <f t="shared" si="39"/>
        <v>0</v>
      </c>
      <c r="Y614" t="str">
        <f>IFERROR(ROUND(E614*VLOOKUP(D614,商品!$A$4:$B$60,2,FALSE),0),"")</f>
        <v/>
      </c>
      <c r="Z614" t="str">
        <f>IFERROR(ROUND(G614*VLOOKUP(F614,商品!$A$4:$B$60,2,FALSE),0),"")</f>
        <v/>
      </c>
      <c r="AA614" t="str">
        <f>IFERROR(ROUND(I614*VLOOKUP(H614,商品!$A$4:$B$60,2,FALSE),0),"")</f>
        <v/>
      </c>
      <c r="AB614" t="str">
        <f>IFERROR(ROUND(K614*VLOOKUP(J614,[1]note_pop_types!$A$16:$E$16,4,FALSE),0),"")</f>
        <v/>
      </c>
      <c r="AC614" t="str">
        <f>IFERROR(ROUND(M614*VLOOKUP(L614,[1]note_pop_types!$A$16:$E$16,4,FALSE),0),"")</f>
        <v/>
      </c>
      <c r="AD614" t="str">
        <f>IFERROR(ROUND(O614*VLOOKUP(N614,[1]note_pop_types!$A$16:$E$16,4,FALSE),0),"")</f>
        <v/>
      </c>
      <c r="AE614" t="str">
        <f>IFERROR(ROUND(Q614*VLOOKUP(P614,商品!$A$4:$B$60,2,FALSE),0),"")</f>
        <v/>
      </c>
      <c r="AF614" t="str">
        <f>IFERROR(ROUND(S614*VLOOKUP(R614,商品!$A$4:$B$60,2,FALSE),0),"")</f>
        <v/>
      </c>
    </row>
    <row r="615" spans="1:32" ht="19.05" customHeight="1" x14ac:dyDescent="0.25">
      <c r="A615" s="15" t="s">
        <v>309</v>
      </c>
      <c r="C615" s="15">
        <v>6</v>
      </c>
      <c r="T615" s="2">
        <f t="shared" si="36"/>
        <v>0</v>
      </c>
      <c r="U615" s="2">
        <f t="shared" si="37"/>
        <v>0</v>
      </c>
      <c r="V615" s="2">
        <f t="shared" si="38"/>
        <v>0</v>
      </c>
      <c r="W615" s="2">
        <f t="shared" si="39"/>
        <v>0</v>
      </c>
      <c r="Y615" t="str">
        <f>IFERROR(ROUND(E615*VLOOKUP(D615,商品!$A$4:$B$60,2,FALSE),0),"")</f>
        <v/>
      </c>
      <c r="Z615" t="str">
        <f>IFERROR(ROUND(G615*VLOOKUP(F615,商品!$A$4:$B$60,2,FALSE),0),"")</f>
        <v/>
      </c>
      <c r="AA615" t="str">
        <f>IFERROR(ROUND(I615*VLOOKUP(H615,商品!$A$4:$B$60,2,FALSE),0),"")</f>
        <v/>
      </c>
      <c r="AB615" t="str">
        <f>IFERROR(ROUND(K615*VLOOKUP(J615,[1]note_pop_types!$A$16:$E$16,4,FALSE),0),"")</f>
        <v/>
      </c>
      <c r="AC615" t="str">
        <f>IFERROR(ROUND(M615*VLOOKUP(L615,[1]note_pop_types!$A$16:$E$16,4,FALSE),0),"")</f>
        <v/>
      </c>
      <c r="AD615" t="str">
        <f>IFERROR(ROUND(O615*VLOOKUP(N615,[1]note_pop_types!$A$16:$E$16,4,FALSE),0),"")</f>
        <v/>
      </c>
      <c r="AE615" t="str">
        <f>IFERROR(ROUND(Q615*VLOOKUP(P615,商品!$A$4:$B$60,2,FALSE),0),"")</f>
        <v/>
      </c>
      <c r="AF615" t="str">
        <f>IFERROR(ROUND(S615*VLOOKUP(R615,商品!$A$4:$B$60,2,FALSE),0),"")</f>
        <v/>
      </c>
    </row>
    <row r="616" spans="1:32" ht="19.05" customHeight="1" x14ac:dyDescent="0.25">
      <c r="A616" s="15" t="s">
        <v>309</v>
      </c>
      <c r="C616" s="15">
        <v>7</v>
      </c>
      <c r="T616" s="2">
        <f t="shared" si="36"/>
        <v>0</v>
      </c>
      <c r="U616" s="2">
        <f t="shared" si="37"/>
        <v>0</v>
      </c>
      <c r="V616" s="2">
        <f t="shared" si="38"/>
        <v>0</v>
      </c>
      <c r="W616" s="2">
        <f t="shared" si="39"/>
        <v>0</v>
      </c>
      <c r="Y616" t="str">
        <f>IFERROR(ROUND(E616*VLOOKUP(D616,商品!$A$4:$B$60,2,FALSE),0),"")</f>
        <v/>
      </c>
      <c r="Z616" t="str">
        <f>IFERROR(ROUND(G616*VLOOKUP(F616,商品!$A$4:$B$60,2,FALSE),0),"")</f>
        <v/>
      </c>
      <c r="AA616" t="str">
        <f>IFERROR(ROUND(I616*VLOOKUP(H616,商品!$A$4:$B$60,2,FALSE),0),"")</f>
        <v/>
      </c>
      <c r="AB616" t="str">
        <f>IFERROR(ROUND(K616*VLOOKUP(J616,[1]note_pop_types!$A$16:$E$16,4,FALSE),0),"")</f>
        <v/>
      </c>
      <c r="AC616" t="str">
        <f>IFERROR(ROUND(M616*VLOOKUP(L616,[1]note_pop_types!$A$16:$E$16,4,FALSE),0),"")</f>
        <v/>
      </c>
      <c r="AD616" t="str">
        <f>IFERROR(ROUND(O616*VLOOKUP(N616,[1]note_pop_types!$A$16:$E$16,4,FALSE),0),"")</f>
        <v/>
      </c>
      <c r="AE616" t="str">
        <f>IFERROR(ROUND(Q616*VLOOKUP(P616,商品!$A$4:$B$60,2,FALSE),0),"")</f>
        <v/>
      </c>
      <c r="AF616" t="str">
        <f>IFERROR(ROUND(S616*VLOOKUP(R616,商品!$A$4:$B$60,2,FALSE),0),"")</f>
        <v/>
      </c>
    </row>
    <row r="617" spans="1:32" ht="19.05" customHeight="1" x14ac:dyDescent="0.25">
      <c r="A617" s="15" t="s">
        <v>309</v>
      </c>
      <c r="C617" s="15">
        <v>8</v>
      </c>
      <c r="T617" s="2">
        <f t="shared" si="36"/>
        <v>0</v>
      </c>
      <c r="U617" s="2">
        <f t="shared" si="37"/>
        <v>0</v>
      </c>
      <c r="V617" s="2">
        <f t="shared" si="38"/>
        <v>0</v>
      </c>
      <c r="W617" s="2">
        <f t="shared" si="39"/>
        <v>0</v>
      </c>
      <c r="Y617" t="str">
        <f>IFERROR(ROUND(E617*VLOOKUP(D617,商品!$A$4:$B$60,2,FALSE),0),"")</f>
        <v/>
      </c>
      <c r="Z617" t="str">
        <f>IFERROR(ROUND(G617*VLOOKUP(F617,商品!$A$4:$B$60,2,FALSE),0),"")</f>
        <v/>
      </c>
      <c r="AA617" t="str">
        <f>IFERROR(ROUND(I617*VLOOKUP(H617,商品!$A$4:$B$60,2,FALSE),0),"")</f>
        <v/>
      </c>
      <c r="AB617" t="str">
        <f>IFERROR(ROUND(K617*VLOOKUP(J617,[1]note_pop_types!$A$16:$E$16,4,FALSE),0),"")</f>
        <v/>
      </c>
      <c r="AC617" t="str">
        <f>IFERROR(ROUND(M617*VLOOKUP(L617,[1]note_pop_types!$A$16:$E$16,4,FALSE),0),"")</f>
        <v/>
      </c>
      <c r="AD617" t="str">
        <f>IFERROR(ROUND(O617*VLOOKUP(N617,[1]note_pop_types!$A$16:$E$16,4,FALSE),0),"")</f>
        <v/>
      </c>
      <c r="AE617" t="str">
        <f>IFERROR(ROUND(Q617*VLOOKUP(P617,商品!$A$4:$B$60,2,FALSE),0),"")</f>
        <v/>
      </c>
      <c r="AF617" t="str">
        <f>IFERROR(ROUND(S617*VLOOKUP(R617,商品!$A$4:$B$60,2,FALSE),0),"")</f>
        <v/>
      </c>
    </row>
    <row r="618" spans="1:32" ht="19.05" customHeight="1" x14ac:dyDescent="0.25">
      <c r="A618" s="16" t="s">
        <v>309</v>
      </c>
      <c r="C618" s="16">
        <v>1</v>
      </c>
      <c r="T618" s="2">
        <f t="shared" si="36"/>
        <v>0</v>
      </c>
      <c r="U618" s="2">
        <f t="shared" si="37"/>
        <v>0</v>
      </c>
      <c r="V618" s="2">
        <f t="shared" si="38"/>
        <v>0</v>
      </c>
      <c r="W618" s="2">
        <f t="shared" si="39"/>
        <v>0</v>
      </c>
      <c r="Y618" t="str">
        <f>IFERROR(ROUND(E618*VLOOKUP(D618,商品!$A$4:$B$60,2,FALSE),0),"")</f>
        <v/>
      </c>
      <c r="Z618" t="str">
        <f>IFERROR(ROUND(G618*VLOOKUP(F618,商品!$A$4:$B$60,2,FALSE),0),"")</f>
        <v/>
      </c>
      <c r="AA618" t="str">
        <f>IFERROR(ROUND(I618*VLOOKUP(H618,商品!$A$4:$B$60,2,FALSE),0),"")</f>
        <v/>
      </c>
      <c r="AB618" t="str">
        <f>IFERROR(ROUND(K618*VLOOKUP(J618,[1]note_pop_types!$A$16:$E$16,4,FALSE),0),"")</f>
        <v/>
      </c>
      <c r="AC618" t="str">
        <f>IFERROR(ROUND(M618*VLOOKUP(L618,[1]note_pop_types!$A$16:$E$16,4,FALSE),0),"")</f>
        <v/>
      </c>
      <c r="AD618" t="str">
        <f>IFERROR(ROUND(O618*VLOOKUP(N618,[1]note_pop_types!$A$16:$E$16,4,FALSE),0),"")</f>
        <v/>
      </c>
      <c r="AE618" t="str">
        <f>IFERROR(ROUND(Q618*VLOOKUP(P618,商品!$A$4:$B$60,2,FALSE),0),"")</f>
        <v/>
      </c>
      <c r="AF618" t="str">
        <f>IFERROR(ROUND(S618*VLOOKUP(R618,商品!$A$4:$B$60,2,FALSE),0),"")</f>
        <v/>
      </c>
    </row>
    <row r="619" spans="1:32" ht="19.05" customHeight="1" x14ac:dyDescent="0.25">
      <c r="A619" s="16" t="s">
        <v>309</v>
      </c>
      <c r="C619" s="16">
        <v>2</v>
      </c>
      <c r="T619" s="2">
        <f t="shared" si="36"/>
        <v>0</v>
      </c>
      <c r="U619" s="2">
        <f t="shared" si="37"/>
        <v>0</v>
      </c>
      <c r="V619" s="2">
        <f t="shared" si="38"/>
        <v>0</v>
      </c>
      <c r="W619" s="2">
        <f t="shared" si="39"/>
        <v>0</v>
      </c>
      <c r="Y619" t="str">
        <f>IFERROR(ROUND(E619*VLOOKUP(D619,商品!$A$4:$B$60,2,FALSE),0),"")</f>
        <v/>
      </c>
      <c r="Z619" t="str">
        <f>IFERROR(ROUND(G619*VLOOKUP(F619,商品!$A$4:$B$60,2,FALSE),0),"")</f>
        <v/>
      </c>
      <c r="AA619" t="str">
        <f>IFERROR(ROUND(I619*VLOOKUP(H619,商品!$A$4:$B$60,2,FALSE),0),"")</f>
        <v/>
      </c>
      <c r="AB619" t="str">
        <f>IFERROR(ROUND(K619*VLOOKUP(J619,[1]note_pop_types!$A$16:$E$16,4,FALSE),0),"")</f>
        <v/>
      </c>
      <c r="AC619" t="str">
        <f>IFERROR(ROUND(M619*VLOOKUP(L619,[1]note_pop_types!$A$16:$E$16,4,FALSE),0),"")</f>
        <v/>
      </c>
      <c r="AD619" t="str">
        <f>IFERROR(ROUND(O619*VLOOKUP(N619,[1]note_pop_types!$A$16:$E$16,4,FALSE),0),"")</f>
        <v/>
      </c>
      <c r="AE619" t="str">
        <f>IFERROR(ROUND(Q619*VLOOKUP(P619,商品!$A$4:$B$60,2,FALSE),0),"")</f>
        <v/>
      </c>
      <c r="AF619" t="str">
        <f>IFERROR(ROUND(S619*VLOOKUP(R619,商品!$A$4:$B$60,2,FALSE),0),"")</f>
        <v/>
      </c>
    </row>
    <row r="620" spans="1:32" ht="19.05" customHeight="1" x14ac:dyDescent="0.25">
      <c r="A620" s="16" t="s">
        <v>309</v>
      </c>
      <c r="C620" s="16">
        <v>3</v>
      </c>
      <c r="T620" s="2">
        <f t="shared" si="36"/>
        <v>0</v>
      </c>
      <c r="U620" s="2">
        <f t="shared" si="37"/>
        <v>0</v>
      </c>
      <c r="V620" s="2">
        <f t="shared" si="38"/>
        <v>0</v>
      </c>
      <c r="W620" s="2">
        <f t="shared" si="39"/>
        <v>0</v>
      </c>
      <c r="Y620" t="str">
        <f>IFERROR(ROUND(E620*VLOOKUP(D620,商品!$A$4:$B$60,2,FALSE),0),"")</f>
        <v/>
      </c>
      <c r="Z620" t="str">
        <f>IFERROR(ROUND(G620*VLOOKUP(F620,商品!$A$4:$B$60,2,FALSE),0),"")</f>
        <v/>
      </c>
      <c r="AA620" t="str">
        <f>IFERROR(ROUND(I620*VLOOKUP(H620,商品!$A$4:$B$60,2,FALSE),0),"")</f>
        <v/>
      </c>
      <c r="AB620" t="str">
        <f>IFERROR(ROUND(K620*VLOOKUP(J620,[1]note_pop_types!$A$16:$E$16,4,FALSE),0),"")</f>
        <v/>
      </c>
      <c r="AC620" t="str">
        <f>IFERROR(ROUND(M620*VLOOKUP(L620,[1]note_pop_types!$A$16:$E$16,4,FALSE),0),"")</f>
        <v/>
      </c>
      <c r="AD620" t="str">
        <f>IFERROR(ROUND(O620*VLOOKUP(N620,[1]note_pop_types!$A$16:$E$16,4,FALSE),0),"")</f>
        <v/>
      </c>
      <c r="AE620" t="str">
        <f>IFERROR(ROUND(Q620*VLOOKUP(P620,商品!$A$4:$B$60,2,FALSE),0),"")</f>
        <v/>
      </c>
      <c r="AF620" t="str">
        <f>IFERROR(ROUND(S620*VLOOKUP(R620,商品!$A$4:$B$60,2,FALSE),0),"")</f>
        <v/>
      </c>
    </row>
    <row r="621" spans="1:32" ht="19.05" customHeight="1" x14ac:dyDescent="0.25">
      <c r="A621" s="16" t="s">
        <v>309</v>
      </c>
      <c r="C621" s="16">
        <v>4</v>
      </c>
      <c r="T621" s="2">
        <f t="shared" si="36"/>
        <v>0</v>
      </c>
      <c r="U621" s="2">
        <f t="shared" si="37"/>
        <v>0</v>
      </c>
      <c r="V621" s="2">
        <f t="shared" si="38"/>
        <v>0</v>
      </c>
      <c r="W621" s="2">
        <f t="shared" si="39"/>
        <v>0</v>
      </c>
      <c r="Y621" t="str">
        <f>IFERROR(ROUND(E621*VLOOKUP(D621,商品!$A$4:$B$60,2,FALSE),0),"")</f>
        <v/>
      </c>
      <c r="Z621" t="str">
        <f>IFERROR(ROUND(G621*VLOOKUP(F621,商品!$A$4:$B$60,2,FALSE),0),"")</f>
        <v/>
      </c>
      <c r="AA621" t="str">
        <f>IFERROR(ROUND(I621*VLOOKUP(H621,商品!$A$4:$B$60,2,FALSE),0),"")</f>
        <v/>
      </c>
      <c r="AB621" t="str">
        <f>IFERROR(ROUND(K621*VLOOKUP(J621,[1]note_pop_types!$A$16:$E$16,4,FALSE),0),"")</f>
        <v/>
      </c>
      <c r="AC621" t="str">
        <f>IFERROR(ROUND(M621*VLOOKUP(L621,[1]note_pop_types!$A$16:$E$16,4,FALSE),0),"")</f>
        <v/>
      </c>
      <c r="AD621" t="str">
        <f>IFERROR(ROUND(O621*VLOOKUP(N621,[1]note_pop_types!$A$16:$E$16,4,FALSE),0),"")</f>
        <v/>
      </c>
      <c r="AE621" t="str">
        <f>IFERROR(ROUND(Q621*VLOOKUP(P621,商品!$A$4:$B$60,2,FALSE),0),"")</f>
        <v/>
      </c>
      <c r="AF621" t="str">
        <f>IFERROR(ROUND(S621*VLOOKUP(R621,商品!$A$4:$B$60,2,FALSE),0),"")</f>
        <v/>
      </c>
    </row>
    <row r="622" spans="1:32" ht="19.05" customHeight="1" x14ac:dyDescent="0.25">
      <c r="A622" s="16" t="s">
        <v>309</v>
      </c>
      <c r="C622" s="16">
        <v>5</v>
      </c>
      <c r="T622" s="2">
        <f t="shared" si="36"/>
        <v>0</v>
      </c>
      <c r="U622" s="2">
        <f t="shared" si="37"/>
        <v>0</v>
      </c>
      <c r="V622" s="2">
        <f t="shared" si="38"/>
        <v>0</v>
      </c>
      <c r="W622" s="2">
        <f t="shared" si="39"/>
        <v>0</v>
      </c>
      <c r="Y622" t="str">
        <f>IFERROR(ROUND(E622*VLOOKUP(D622,商品!$A$4:$B$60,2,FALSE),0),"")</f>
        <v/>
      </c>
      <c r="Z622" t="str">
        <f>IFERROR(ROUND(G622*VLOOKUP(F622,商品!$A$4:$B$60,2,FALSE),0),"")</f>
        <v/>
      </c>
      <c r="AA622" t="str">
        <f>IFERROR(ROUND(I622*VLOOKUP(H622,商品!$A$4:$B$60,2,FALSE),0),"")</f>
        <v/>
      </c>
      <c r="AB622" t="str">
        <f>IFERROR(ROUND(K622*VLOOKUP(J622,[1]note_pop_types!$A$16:$E$16,4,FALSE),0),"")</f>
        <v/>
      </c>
      <c r="AC622" t="str">
        <f>IFERROR(ROUND(M622*VLOOKUP(L622,[1]note_pop_types!$A$16:$E$16,4,FALSE),0),"")</f>
        <v/>
      </c>
      <c r="AD622" t="str">
        <f>IFERROR(ROUND(O622*VLOOKUP(N622,[1]note_pop_types!$A$16:$E$16,4,FALSE),0),"")</f>
        <v/>
      </c>
      <c r="AE622" t="str">
        <f>IFERROR(ROUND(Q622*VLOOKUP(P622,商品!$A$4:$B$60,2,FALSE),0),"")</f>
        <v/>
      </c>
      <c r="AF622" t="str">
        <f>IFERROR(ROUND(S622*VLOOKUP(R622,商品!$A$4:$B$60,2,FALSE),0),"")</f>
        <v/>
      </c>
    </row>
    <row r="623" spans="1:32" ht="19.05" customHeight="1" x14ac:dyDescent="0.25">
      <c r="A623" s="16" t="s">
        <v>309</v>
      </c>
      <c r="C623" s="16">
        <v>6</v>
      </c>
      <c r="T623" s="2">
        <f t="shared" si="36"/>
        <v>0</v>
      </c>
      <c r="U623" s="2">
        <f t="shared" si="37"/>
        <v>0</v>
      </c>
      <c r="V623" s="2">
        <f t="shared" si="38"/>
        <v>0</v>
      </c>
      <c r="W623" s="2">
        <f t="shared" si="39"/>
        <v>0</v>
      </c>
      <c r="Y623" t="str">
        <f>IFERROR(ROUND(E623*VLOOKUP(D623,商品!$A$4:$B$60,2,FALSE),0),"")</f>
        <v/>
      </c>
      <c r="Z623" t="str">
        <f>IFERROR(ROUND(G623*VLOOKUP(F623,商品!$A$4:$B$60,2,FALSE),0),"")</f>
        <v/>
      </c>
      <c r="AA623" t="str">
        <f>IFERROR(ROUND(I623*VLOOKUP(H623,商品!$A$4:$B$60,2,FALSE),0),"")</f>
        <v/>
      </c>
      <c r="AB623" t="str">
        <f>IFERROR(ROUND(K623*VLOOKUP(J623,[1]note_pop_types!$A$16:$E$16,4,FALSE),0),"")</f>
        <v/>
      </c>
      <c r="AC623" t="str">
        <f>IFERROR(ROUND(M623*VLOOKUP(L623,[1]note_pop_types!$A$16:$E$16,4,FALSE),0),"")</f>
        <v/>
      </c>
      <c r="AD623" t="str">
        <f>IFERROR(ROUND(O623*VLOOKUP(N623,[1]note_pop_types!$A$16:$E$16,4,FALSE),0),"")</f>
        <v/>
      </c>
      <c r="AE623" t="str">
        <f>IFERROR(ROUND(Q623*VLOOKUP(P623,商品!$A$4:$B$60,2,FALSE),0),"")</f>
        <v/>
      </c>
      <c r="AF623" t="str">
        <f>IFERROR(ROUND(S623*VLOOKUP(R623,商品!$A$4:$B$60,2,FALSE),0),"")</f>
        <v/>
      </c>
    </row>
    <row r="624" spans="1:32" ht="19.05" customHeight="1" x14ac:dyDescent="0.25">
      <c r="A624" s="16" t="s">
        <v>309</v>
      </c>
      <c r="C624" s="16">
        <v>7</v>
      </c>
      <c r="T624" s="2">
        <f t="shared" si="36"/>
        <v>0</v>
      </c>
      <c r="U624" s="2">
        <f t="shared" si="37"/>
        <v>0</v>
      </c>
      <c r="V624" s="2">
        <f t="shared" si="38"/>
        <v>0</v>
      </c>
      <c r="W624" s="2">
        <f t="shared" si="39"/>
        <v>0</v>
      </c>
      <c r="Y624" t="str">
        <f>IFERROR(ROUND(E624*VLOOKUP(D624,商品!$A$4:$B$60,2,FALSE),0),"")</f>
        <v/>
      </c>
      <c r="Z624" t="str">
        <f>IFERROR(ROUND(G624*VLOOKUP(F624,商品!$A$4:$B$60,2,FALSE),0),"")</f>
        <v/>
      </c>
      <c r="AA624" t="str">
        <f>IFERROR(ROUND(I624*VLOOKUP(H624,商品!$A$4:$B$60,2,FALSE),0),"")</f>
        <v/>
      </c>
      <c r="AB624" t="str">
        <f>IFERROR(ROUND(K624*VLOOKUP(J624,[1]note_pop_types!$A$16:$E$16,4,FALSE),0),"")</f>
        <v/>
      </c>
      <c r="AC624" t="str">
        <f>IFERROR(ROUND(M624*VLOOKUP(L624,[1]note_pop_types!$A$16:$E$16,4,FALSE),0),"")</f>
        <v/>
      </c>
      <c r="AD624" t="str">
        <f>IFERROR(ROUND(O624*VLOOKUP(N624,[1]note_pop_types!$A$16:$E$16,4,FALSE),0),"")</f>
        <v/>
      </c>
      <c r="AE624" t="str">
        <f>IFERROR(ROUND(Q624*VLOOKUP(P624,商品!$A$4:$B$60,2,FALSE),0),"")</f>
        <v/>
      </c>
      <c r="AF624" t="str">
        <f>IFERROR(ROUND(S624*VLOOKUP(R624,商品!$A$4:$B$60,2,FALSE),0),"")</f>
        <v/>
      </c>
    </row>
    <row r="625" spans="1:32" ht="19.05" customHeight="1" x14ac:dyDescent="0.25">
      <c r="A625" s="16" t="s">
        <v>309</v>
      </c>
      <c r="C625" s="16">
        <v>8</v>
      </c>
      <c r="T625" s="2">
        <f t="shared" si="36"/>
        <v>0</v>
      </c>
      <c r="U625" s="2">
        <f t="shared" si="37"/>
        <v>0</v>
      </c>
      <c r="V625" s="2">
        <f t="shared" si="38"/>
        <v>0</v>
      </c>
      <c r="W625" s="2">
        <f t="shared" si="39"/>
        <v>0</v>
      </c>
      <c r="Y625" t="str">
        <f>IFERROR(ROUND(E625*VLOOKUP(D625,商品!$A$4:$B$60,2,FALSE),0),"")</f>
        <v/>
      </c>
      <c r="Z625" t="str">
        <f>IFERROR(ROUND(G625*VLOOKUP(F625,商品!$A$4:$B$60,2,FALSE),0),"")</f>
        <v/>
      </c>
      <c r="AA625" t="str">
        <f>IFERROR(ROUND(I625*VLOOKUP(H625,商品!$A$4:$B$60,2,FALSE),0),"")</f>
        <v/>
      </c>
      <c r="AB625" t="str">
        <f>IFERROR(ROUND(K625*VLOOKUP(J625,[1]note_pop_types!$A$16:$E$16,4,FALSE),0),"")</f>
        <v/>
      </c>
      <c r="AC625" t="str">
        <f>IFERROR(ROUND(M625*VLOOKUP(L625,[1]note_pop_types!$A$16:$E$16,4,FALSE),0),"")</f>
        <v/>
      </c>
      <c r="AD625" t="str">
        <f>IFERROR(ROUND(O625*VLOOKUP(N625,[1]note_pop_types!$A$16:$E$16,4,FALSE),0),"")</f>
        <v/>
      </c>
      <c r="AE625" t="str">
        <f>IFERROR(ROUND(Q625*VLOOKUP(P625,商品!$A$4:$B$60,2,FALSE),0),"")</f>
        <v/>
      </c>
      <c r="AF625" t="str">
        <f>IFERROR(ROUND(S625*VLOOKUP(R625,商品!$A$4:$B$60,2,FALSE),0),"")</f>
        <v/>
      </c>
    </row>
    <row r="626" spans="1:32" ht="19.05" customHeight="1" x14ac:dyDescent="0.25">
      <c r="A626" s="15" t="s">
        <v>311</v>
      </c>
      <c r="C626" s="15">
        <v>1</v>
      </c>
      <c r="T626" s="2">
        <f t="shared" si="36"/>
        <v>0</v>
      </c>
      <c r="U626" s="2">
        <f t="shared" si="37"/>
        <v>0</v>
      </c>
      <c r="V626" s="2">
        <f t="shared" si="38"/>
        <v>0</v>
      </c>
      <c r="W626" s="2">
        <f t="shared" si="39"/>
        <v>0</v>
      </c>
      <c r="Y626" t="str">
        <f>IFERROR(ROUND(E626*VLOOKUP(D626,商品!$A$4:$B$60,2,FALSE),0),"")</f>
        <v/>
      </c>
      <c r="Z626" t="str">
        <f>IFERROR(ROUND(G626*VLOOKUP(F626,商品!$A$4:$B$60,2,FALSE),0),"")</f>
        <v/>
      </c>
      <c r="AA626" t="str">
        <f>IFERROR(ROUND(I626*VLOOKUP(H626,商品!$A$4:$B$60,2,FALSE),0),"")</f>
        <v/>
      </c>
      <c r="AB626" t="str">
        <f>IFERROR(ROUND(K626*VLOOKUP(J626,[1]note_pop_types!$A$16:$E$16,4,FALSE),0),"")</f>
        <v/>
      </c>
      <c r="AC626" t="str">
        <f>IFERROR(ROUND(M626*VLOOKUP(L626,[1]note_pop_types!$A$16:$E$16,4,FALSE),0),"")</f>
        <v/>
      </c>
      <c r="AD626" t="str">
        <f>IFERROR(ROUND(O626*VLOOKUP(N626,[1]note_pop_types!$A$16:$E$16,4,FALSE),0),"")</f>
        <v/>
      </c>
      <c r="AE626" t="str">
        <f>IFERROR(ROUND(Q626*VLOOKUP(P626,商品!$A$4:$B$60,2,FALSE),0),"")</f>
        <v/>
      </c>
      <c r="AF626" t="str">
        <f>IFERROR(ROUND(S626*VLOOKUP(R626,商品!$A$4:$B$60,2,FALSE),0),"")</f>
        <v/>
      </c>
    </row>
    <row r="627" spans="1:32" ht="19.05" customHeight="1" x14ac:dyDescent="0.25">
      <c r="A627" s="15" t="s">
        <v>311</v>
      </c>
      <c r="C627" s="15">
        <v>2</v>
      </c>
      <c r="T627" s="2">
        <f t="shared" si="36"/>
        <v>0</v>
      </c>
      <c r="U627" s="2">
        <f t="shared" si="37"/>
        <v>0</v>
      </c>
      <c r="V627" s="2">
        <f t="shared" si="38"/>
        <v>0</v>
      </c>
      <c r="W627" s="2">
        <f t="shared" si="39"/>
        <v>0</v>
      </c>
      <c r="Y627" t="str">
        <f>IFERROR(ROUND(E627*VLOOKUP(D627,商品!$A$4:$B$60,2,FALSE),0),"")</f>
        <v/>
      </c>
      <c r="Z627" t="str">
        <f>IFERROR(ROUND(G627*VLOOKUP(F627,商品!$A$4:$B$60,2,FALSE),0),"")</f>
        <v/>
      </c>
      <c r="AA627" t="str">
        <f>IFERROR(ROUND(I627*VLOOKUP(H627,商品!$A$4:$B$60,2,FALSE),0),"")</f>
        <v/>
      </c>
      <c r="AB627" t="str">
        <f>IFERROR(ROUND(K627*VLOOKUP(J627,[1]note_pop_types!$A$16:$E$16,4,FALSE),0),"")</f>
        <v/>
      </c>
      <c r="AC627" t="str">
        <f>IFERROR(ROUND(M627*VLOOKUP(L627,[1]note_pop_types!$A$16:$E$16,4,FALSE),0),"")</f>
        <v/>
      </c>
      <c r="AD627" t="str">
        <f>IFERROR(ROUND(O627*VLOOKUP(N627,[1]note_pop_types!$A$16:$E$16,4,FALSE),0),"")</f>
        <v/>
      </c>
      <c r="AE627" t="str">
        <f>IFERROR(ROUND(Q627*VLOOKUP(P627,商品!$A$4:$B$60,2,FALSE),0),"")</f>
        <v/>
      </c>
      <c r="AF627" t="str">
        <f>IFERROR(ROUND(S627*VLOOKUP(R627,商品!$A$4:$B$60,2,FALSE),0),"")</f>
        <v/>
      </c>
    </row>
    <row r="628" spans="1:32" ht="19.05" customHeight="1" x14ac:dyDescent="0.25">
      <c r="A628" s="15" t="s">
        <v>311</v>
      </c>
      <c r="C628" s="15">
        <v>3</v>
      </c>
      <c r="T628" s="2">
        <f t="shared" si="36"/>
        <v>0</v>
      </c>
      <c r="U628" s="2">
        <f t="shared" si="37"/>
        <v>0</v>
      </c>
      <c r="V628" s="2">
        <f t="shared" si="38"/>
        <v>0</v>
      </c>
      <c r="W628" s="2">
        <f t="shared" si="39"/>
        <v>0</v>
      </c>
      <c r="Y628" t="str">
        <f>IFERROR(ROUND(E628*VLOOKUP(D628,商品!$A$4:$B$60,2,FALSE),0),"")</f>
        <v/>
      </c>
      <c r="Z628" t="str">
        <f>IFERROR(ROUND(G628*VLOOKUP(F628,商品!$A$4:$B$60,2,FALSE),0),"")</f>
        <v/>
      </c>
      <c r="AA628" t="str">
        <f>IFERROR(ROUND(I628*VLOOKUP(H628,商品!$A$4:$B$60,2,FALSE),0),"")</f>
        <v/>
      </c>
      <c r="AB628" t="str">
        <f>IFERROR(ROUND(K628*VLOOKUP(J628,[1]note_pop_types!$A$16:$E$16,4,FALSE),0),"")</f>
        <v/>
      </c>
      <c r="AC628" t="str">
        <f>IFERROR(ROUND(M628*VLOOKUP(L628,[1]note_pop_types!$A$16:$E$16,4,FALSE),0),"")</f>
        <v/>
      </c>
      <c r="AD628" t="str">
        <f>IFERROR(ROUND(O628*VLOOKUP(N628,[1]note_pop_types!$A$16:$E$16,4,FALSE),0),"")</f>
        <v/>
      </c>
      <c r="AE628" t="str">
        <f>IFERROR(ROUND(Q628*VLOOKUP(P628,商品!$A$4:$B$60,2,FALSE),0),"")</f>
        <v/>
      </c>
      <c r="AF628" t="str">
        <f>IFERROR(ROUND(S628*VLOOKUP(R628,商品!$A$4:$B$60,2,FALSE),0),"")</f>
        <v/>
      </c>
    </row>
    <row r="629" spans="1:32" ht="19.05" customHeight="1" x14ac:dyDescent="0.25">
      <c r="A629" s="15" t="s">
        <v>311</v>
      </c>
      <c r="C629" s="15">
        <v>4</v>
      </c>
      <c r="T629" s="2">
        <f t="shared" si="36"/>
        <v>0</v>
      </c>
      <c r="U629" s="2">
        <f t="shared" si="37"/>
        <v>0</v>
      </c>
      <c r="V629" s="2">
        <f t="shared" si="38"/>
        <v>0</v>
      </c>
      <c r="W629" s="2">
        <f t="shared" si="39"/>
        <v>0</v>
      </c>
      <c r="Y629" t="str">
        <f>IFERROR(ROUND(E629*VLOOKUP(D629,商品!$A$4:$B$60,2,FALSE),0),"")</f>
        <v/>
      </c>
      <c r="Z629" t="str">
        <f>IFERROR(ROUND(G629*VLOOKUP(F629,商品!$A$4:$B$60,2,FALSE),0),"")</f>
        <v/>
      </c>
      <c r="AA629" t="str">
        <f>IFERROR(ROUND(I629*VLOOKUP(H629,商品!$A$4:$B$60,2,FALSE),0),"")</f>
        <v/>
      </c>
      <c r="AB629" t="str">
        <f>IFERROR(ROUND(K629*VLOOKUP(J629,[1]note_pop_types!$A$16:$E$16,4,FALSE),0),"")</f>
        <v/>
      </c>
      <c r="AC629" t="str">
        <f>IFERROR(ROUND(M629*VLOOKUP(L629,[1]note_pop_types!$A$16:$E$16,4,FALSE),0),"")</f>
        <v/>
      </c>
      <c r="AD629" t="str">
        <f>IFERROR(ROUND(O629*VLOOKUP(N629,[1]note_pop_types!$A$16:$E$16,4,FALSE),0),"")</f>
        <v/>
      </c>
      <c r="AE629" t="str">
        <f>IFERROR(ROUND(Q629*VLOOKUP(P629,商品!$A$4:$B$60,2,FALSE),0),"")</f>
        <v/>
      </c>
      <c r="AF629" t="str">
        <f>IFERROR(ROUND(S629*VLOOKUP(R629,商品!$A$4:$B$60,2,FALSE),0),"")</f>
        <v/>
      </c>
    </row>
    <row r="630" spans="1:32" ht="19.05" customHeight="1" x14ac:dyDescent="0.25">
      <c r="A630" s="15" t="s">
        <v>311</v>
      </c>
      <c r="C630" s="15">
        <v>5</v>
      </c>
      <c r="T630" s="2">
        <f t="shared" si="36"/>
        <v>0</v>
      </c>
      <c r="U630" s="2">
        <f t="shared" si="37"/>
        <v>0</v>
      </c>
      <c r="V630" s="2">
        <f t="shared" si="38"/>
        <v>0</v>
      </c>
      <c r="W630" s="2">
        <f t="shared" si="39"/>
        <v>0</v>
      </c>
      <c r="Y630" t="str">
        <f>IFERROR(ROUND(E630*VLOOKUP(D630,商品!$A$4:$B$60,2,FALSE),0),"")</f>
        <v/>
      </c>
      <c r="Z630" t="str">
        <f>IFERROR(ROUND(G630*VLOOKUP(F630,商品!$A$4:$B$60,2,FALSE),0),"")</f>
        <v/>
      </c>
      <c r="AA630" t="str">
        <f>IFERROR(ROUND(I630*VLOOKUP(H630,商品!$A$4:$B$60,2,FALSE),0),"")</f>
        <v/>
      </c>
      <c r="AB630" t="str">
        <f>IFERROR(ROUND(K630*VLOOKUP(J630,[1]note_pop_types!$A$16:$E$16,4,FALSE),0),"")</f>
        <v/>
      </c>
      <c r="AC630" t="str">
        <f>IFERROR(ROUND(M630*VLOOKUP(L630,[1]note_pop_types!$A$16:$E$16,4,FALSE),0),"")</f>
        <v/>
      </c>
      <c r="AD630" t="str">
        <f>IFERROR(ROUND(O630*VLOOKUP(N630,[1]note_pop_types!$A$16:$E$16,4,FALSE),0),"")</f>
        <v/>
      </c>
      <c r="AE630" t="str">
        <f>IFERROR(ROUND(Q630*VLOOKUP(P630,商品!$A$4:$B$60,2,FALSE),0),"")</f>
        <v/>
      </c>
      <c r="AF630" t="str">
        <f>IFERROR(ROUND(S630*VLOOKUP(R630,商品!$A$4:$B$60,2,FALSE),0),"")</f>
        <v/>
      </c>
    </row>
    <row r="631" spans="1:32" ht="19.05" customHeight="1" x14ac:dyDescent="0.25">
      <c r="A631" s="16" t="s">
        <v>313</v>
      </c>
      <c r="C631" s="16">
        <v>1</v>
      </c>
      <c r="T631" s="2">
        <f t="shared" si="36"/>
        <v>0</v>
      </c>
      <c r="U631" s="2">
        <f t="shared" si="37"/>
        <v>0</v>
      </c>
      <c r="V631" s="2">
        <f t="shared" si="38"/>
        <v>0</v>
      </c>
      <c r="W631" s="2">
        <f t="shared" si="39"/>
        <v>0</v>
      </c>
      <c r="Y631" t="str">
        <f>IFERROR(ROUND(E631*VLOOKUP(D631,商品!$A$4:$B$60,2,FALSE),0),"")</f>
        <v/>
      </c>
      <c r="Z631" t="str">
        <f>IFERROR(ROUND(G631*VLOOKUP(F631,商品!$A$4:$B$60,2,FALSE),0),"")</f>
        <v/>
      </c>
      <c r="AA631" t="str">
        <f>IFERROR(ROUND(I631*VLOOKUP(H631,商品!$A$4:$B$60,2,FALSE),0),"")</f>
        <v/>
      </c>
      <c r="AB631" t="str">
        <f>IFERROR(ROUND(K631*VLOOKUP(J631,[1]note_pop_types!$A$16:$E$16,4,FALSE),0),"")</f>
        <v/>
      </c>
      <c r="AC631" t="str">
        <f>IFERROR(ROUND(M631*VLOOKUP(L631,[1]note_pop_types!$A$16:$E$16,4,FALSE),0),"")</f>
        <v/>
      </c>
      <c r="AD631" t="str">
        <f>IFERROR(ROUND(O631*VLOOKUP(N631,[1]note_pop_types!$A$16:$E$16,4,FALSE),0),"")</f>
        <v/>
      </c>
      <c r="AE631" t="str">
        <f>IFERROR(ROUND(Q631*VLOOKUP(P631,商品!$A$4:$B$60,2,FALSE),0),"")</f>
        <v/>
      </c>
      <c r="AF631" t="str">
        <f>IFERROR(ROUND(S631*VLOOKUP(R631,商品!$A$4:$B$60,2,FALSE),0),"")</f>
        <v/>
      </c>
    </row>
    <row r="632" spans="1:32" ht="19.05" customHeight="1" x14ac:dyDescent="0.25">
      <c r="A632" s="16" t="s">
        <v>313</v>
      </c>
      <c r="C632" s="16">
        <v>2</v>
      </c>
      <c r="T632" s="2">
        <f t="shared" si="36"/>
        <v>0</v>
      </c>
      <c r="U632" s="2">
        <f t="shared" si="37"/>
        <v>0</v>
      </c>
      <c r="V632" s="2">
        <f t="shared" si="38"/>
        <v>0</v>
      </c>
      <c r="W632" s="2">
        <f t="shared" si="39"/>
        <v>0</v>
      </c>
      <c r="Y632" t="str">
        <f>IFERROR(ROUND(E632*VLOOKUP(D632,商品!$A$4:$B$60,2,FALSE),0),"")</f>
        <v/>
      </c>
      <c r="Z632" t="str">
        <f>IFERROR(ROUND(G632*VLOOKUP(F632,商品!$A$4:$B$60,2,FALSE),0),"")</f>
        <v/>
      </c>
      <c r="AA632" t="str">
        <f>IFERROR(ROUND(I632*VLOOKUP(H632,商品!$A$4:$B$60,2,FALSE),0),"")</f>
        <v/>
      </c>
      <c r="AB632" t="str">
        <f>IFERROR(ROUND(K632*VLOOKUP(J632,[1]note_pop_types!$A$16:$E$16,4,FALSE),0),"")</f>
        <v/>
      </c>
      <c r="AC632" t="str">
        <f>IFERROR(ROUND(M632*VLOOKUP(L632,[1]note_pop_types!$A$16:$E$16,4,FALSE),0),"")</f>
        <v/>
      </c>
      <c r="AD632" t="str">
        <f>IFERROR(ROUND(O632*VLOOKUP(N632,[1]note_pop_types!$A$16:$E$16,4,FALSE),0),"")</f>
        <v/>
      </c>
      <c r="AE632" t="str">
        <f>IFERROR(ROUND(Q632*VLOOKUP(P632,商品!$A$4:$B$60,2,FALSE),0),"")</f>
        <v/>
      </c>
      <c r="AF632" t="str">
        <f>IFERROR(ROUND(S632*VLOOKUP(R632,商品!$A$4:$B$60,2,FALSE),0),"")</f>
        <v/>
      </c>
    </row>
    <row r="633" spans="1:32" ht="19.05" customHeight="1" x14ac:dyDescent="0.25">
      <c r="A633" s="16" t="s">
        <v>313</v>
      </c>
      <c r="C633" s="16">
        <v>3</v>
      </c>
      <c r="T633" s="2">
        <f t="shared" si="36"/>
        <v>0</v>
      </c>
      <c r="U633" s="2">
        <f t="shared" si="37"/>
        <v>0</v>
      </c>
      <c r="V633" s="2">
        <f t="shared" si="38"/>
        <v>0</v>
      </c>
      <c r="W633" s="2">
        <f t="shared" si="39"/>
        <v>0</v>
      </c>
      <c r="Y633" t="str">
        <f>IFERROR(ROUND(E633*VLOOKUP(D633,商品!$A$4:$B$60,2,FALSE),0),"")</f>
        <v/>
      </c>
      <c r="Z633" t="str">
        <f>IFERROR(ROUND(G633*VLOOKUP(F633,商品!$A$4:$B$60,2,FALSE),0),"")</f>
        <v/>
      </c>
      <c r="AA633" t="str">
        <f>IFERROR(ROUND(I633*VLOOKUP(H633,商品!$A$4:$B$60,2,FALSE),0),"")</f>
        <v/>
      </c>
      <c r="AB633" t="str">
        <f>IFERROR(ROUND(K633*VLOOKUP(J633,[1]note_pop_types!$A$16:$E$16,4,FALSE),0),"")</f>
        <v/>
      </c>
      <c r="AC633" t="str">
        <f>IFERROR(ROUND(M633*VLOOKUP(L633,[1]note_pop_types!$A$16:$E$16,4,FALSE),0),"")</f>
        <v/>
      </c>
      <c r="AD633" t="str">
        <f>IFERROR(ROUND(O633*VLOOKUP(N633,[1]note_pop_types!$A$16:$E$16,4,FALSE),0),"")</f>
        <v/>
      </c>
      <c r="AE633" t="str">
        <f>IFERROR(ROUND(Q633*VLOOKUP(P633,商品!$A$4:$B$60,2,FALSE),0),"")</f>
        <v/>
      </c>
      <c r="AF633" t="str">
        <f>IFERROR(ROUND(S633*VLOOKUP(R633,商品!$A$4:$B$60,2,FALSE),0),"")</f>
        <v/>
      </c>
    </row>
    <row r="634" spans="1:32" ht="19.05" customHeight="1" x14ac:dyDescent="0.25">
      <c r="A634" s="16" t="s">
        <v>313</v>
      </c>
      <c r="C634" s="16">
        <v>4</v>
      </c>
      <c r="T634" s="2">
        <f t="shared" si="36"/>
        <v>0</v>
      </c>
      <c r="U634" s="2">
        <f t="shared" si="37"/>
        <v>0</v>
      </c>
      <c r="V634" s="2">
        <f t="shared" si="38"/>
        <v>0</v>
      </c>
      <c r="W634" s="2">
        <f t="shared" si="39"/>
        <v>0</v>
      </c>
      <c r="Y634" t="str">
        <f>IFERROR(ROUND(E634*VLOOKUP(D634,商品!$A$4:$B$60,2,FALSE),0),"")</f>
        <v/>
      </c>
      <c r="Z634" t="str">
        <f>IFERROR(ROUND(G634*VLOOKUP(F634,商品!$A$4:$B$60,2,FALSE),0),"")</f>
        <v/>
      </c>
      <c r="AA634" t="str">
        <f>IFERROR(ROUND(I634*VLOOKUP(H634,商品!$A$4:$B$60,2,FALSE),0),"")</f>
        <v/>
      </c>
      <c r="AB634" t="str">
        <f>IFERROR(ROUND(K634*VLOOKUP(J634,[1]note_pop_types!$A$16:$E$16,4,FALSE),0),"")</f>
        <v/>
      </c>
      <c r="AC634" t="str">
        <f>IFERROR(ROUND(M634*VLOOKUP(L634,[1]note_pop_types!$A$16:$E$16,4,FALSE),0),"")</f>
        <v/>
      </c>
      <c r="AD634" t="str">
        <f>IFERROR(ROUND(O634*VLOOKUP(N634,[1]note_pop_types!$A$16:$E$16,4,FALSE),0),"")</f>
        <v/>
      </c>
      <c r="AE634" t="str">
        <f>IFERROR(ROUND(Q634*VLOOKUP(P634,商品!$A$4:$B$60,2,FALSE),0),"")</f>
        <v/>
      </c>
      <c r="AF634" t="str">
        <f>IFERROR(ROUND(S634*VLOOKUP(R634,商品!$A$4:$B$60,2,FALSE),0),"")</f>
        <v/>
      </c>
    </row>
    <row r="635" spans="1:32" ht="19.05" customHeight="1" x14ac:dyDescent="0.25">
      <c r="A635" s="16" t="s">
        <v>313</v>
      </c>
      <c r="C635" s="16">
        <v>5</v>
      </c>
      <c r="T635" s="2">
        <f t="shared" si="36"/>
        <v>0</v>
      </c>
      <c r="U635" s="2">
        <f t="shared" si="37"/>
        <v>0</v>
      </c>
      <c r="V635" s="2">
        <f t="shared" si="38"/>
        <v>0</v>
      </c>
      <c r="W635" s="2">
        <f t="shared" si="39"/>
        <v>0</v>
      </c>
      <c r="Y635" t="str">
        <f>IFERROR(ROUND(E635*VLOOKUP(D635,商品!$A$4:$B$60,2,FALSE),0),"")</f>
        <v/>
      </c>
      <c r="Z635" t="str">
        <f>IFERROR(ROUND(G635*VLOOKUP(F635,商品!$A$4:$B$60,2,FALSE),0),"")</f>
        <v/>
      </c>
      <c r="AA635" t="str">
        <f>IFERROR(ROUND(I635*VLOOKUP(H635,商品!$A$4:$B$60,2,FALSE),0),"")</f>
        <v/>
      </c>
      <c r="AB635" t="str">
        <f>IFERROR(ROUND(K635*VLOOKUP(J635,[1]note_pop_types!$A$16:$E$16,4,FALSE),0),"")</f>
        <v/>
      </c>
      <c r="AC635" t="str">
        <f>IFERROR(ROUND(M635*VLOOKUP(L635,[1]note_pop_types!$A$16:$E$16,4,FALSE),0),"")</f>
        <v/>
      </c>
      <c r="AD635" t="str">
        <f>IFERROR(ROUND(O635*VLOOKUP(N635,[1]note_pop_types!$A$16:$E$16,4,FALSE),0),"")</f>
        <v/>
      </c>
      <c r="AE635" t="str">
        <f>IFERROR(ROUND(Q635*VLOOKUP(P635,商品!$A$4:$B$60,2,FALSE),0),"")</f>
        <v/>
      </c>
      <c r="AF635" t="str">
        <f>IFERROR(ROUND(S635*VLOOKUP(R635,商品!$A$4:$B$60,2,FALSE),0),"")</f>
        <v/>
      </c>
    </row>
    <row r="636" spans="1:32" ht="19.05" customHeight="1" x14ac:dyDescent="0.25">
      <c r="A636" s="15" t="s">
        <v>533</v>
      </c>
      <c r="C636" s="15">
        <v>1</v>
      </c>
      <c r="T636" s="2">
        <f t="shared" si="36"/>
        <v>0</v>
      </c>
      <c r="U636" s="2">
        <f t="shared" si="37"/>
        <v>0</v>
      </c>
      <c r="V636" s="2">
        <f t="shared" si="38"/>
        <v>0</v>
      </c>
      <c r="W636" s="2">
        <f t="shared" si="39"/>
        <v>0</v>
      </c>
      <c r="Y636" t="str">
        <f>IFERROR(ROUND(E636*VLOOKUP(D636,商品!$A$4:$B$60,2,FALSE),0),"")</f>
        <v/>
      </c>
      <c r="Z636" t="str">
        <f>IFERROR(ROUND(G636*VLOOKUP(F636,商品!$A$4:$B$60,2,FALSE),0),"")</f>
        <v/>
      </c>
      <c r="AA636" t="str">
        <f>IFERROR(ROUND(I636*VLOOKUP(H636,商品!$A$4:$B$60,2,FALSE),0),"")</f>
        <v/>
      </c>
      <c r="AB636" t="str">
        <f>IFERROR(ROUND(K636*VLOOKUP(J636,[1]note_pop_types!$A$16:$E$16,4,FALSE),0),"")</f>
        <v/>
      </c>
      <c r="AC636" t="str">
        <f>IFERROR(ROUND(M636*VLOOKUP(L636,[1]note_pop_types!$A$16:$E$16,4,FALSE),0),"")</f>
        <v/>
      </c>
      <c r="AD636" t="str">
        <f>IFERROR(ROUND(O636*VLOOKUP(N636,[1]note_pop_types!$A$16:$E$16,4,FALSE),0),"")</f>
        <v/>
      </c>
      <c r="AE636" t="str">
        <f>IFERROR(ROUND(Q636*VLOOKUP(P636,商品!$A$4:$B$60,2,FALSE),0),"")</f>
        <v/>
      </c>
      <c r="AF636" t="str">
        <f>IFERROR(ROUND(S636*VLOOKUP(R636,商品!$A$4:$B$60,2,FALSE),0),"")</f>
        <v/>
      </c>
    </row>
    <row r="637" spans="1:32" ht="19.05" customHeight="1" x14ac:dyDescent="0.25">
      <c r="A637" s="15" t="s">
        <v>533</v>
      </c>
      <c r="C637" s="15">
        <v>2</v>
      </c>
      <c r="T637" s="2">
        <f t="shared" si="36"/>
        <v>0</v>
      </c>
      <c r="U637" s="2">
        <f t="shared" si="37"/>
        <v>0</v>
      </c>
      <c r="V637" s="2">
        <f t="shared" si="38"/>
        <v>0</v>
      </c>
      <c r="W637" s="2">
        <f t="shared" si="39"/>
        <v>0</v>
      </c>
      <c r="Y637" t="str">
        <f>IFERROR(ROUND(E637*VLOOKUP(D637,商品!$A$4:$B$60,2,FALSE),0),"")</f>
        <v/>
      </c>
      <c r="Z637" t="str">
        <f>IFERROR(ROUND(G637*VLOOKUP(F637,商品!$A$4:$B$60,2,FALSE),0),"")</f>
        <v/>
      </c>
      <c r="AA637" t="str">
        <f>IFERROR(ROUND(I637*VLOOKUP(H637,商品!$A$4:$B$60,2,FALSE),0),"")</f>
        <v/>
      </c>
      <c r="AB637" t="str">
        <f>IFERROR(ROUND(K637*VLOOKUP(J637,[1]note_pop_types!$A$16:$E$16,4,FALSE),0),"")</f>
        <v/>
      </c>
      <c r="AC637" t="str">
        <f>IFERROR(ROUND(M637*VLOOKUP(L637,[1]note_pop_types!$A$16:$E$16,4,FALSE),0),"")</f>
        <v/>
      </c>
      <c r="AD637" t="str">
        <f>IFERROR(ROUND(O637*VLOOKUP(N637,[1]note_pop_types!$A$16:$E$16,4,FALSE),0),"")</f>
        <v/>
      </c>
      <c r="AE637" t="str">
        <f>IFERROR(ROUND(Q637*VLOOKUP(P637,商品!$A$4:$B$60,2,FALSE),0),"")</f>
        <v/>
      </c>
      <c r="AF637" t="str">
        <f>IFERROR(ROUND(S637*VLOOKUP(R637,商品!$A$4:$B$60,2,FALSE),0),"")</f>
        <v/>
      </c>
    </row>
    <row r="638" spans="1:32" ht="19.05" customHeight="1" x14ac:dyDescent="0.25">
      <c r="A638" s="15" t="s">
        <v>533</v>
      </c>
      <c r="C638" s="15">
        <v>3</v>
      </c>
      <c r="T638" s="2">
        <f t="shared" si="36"/>
        <v>0</v>
      </c>
      <c r="U638" s="2">
        <f t="shared" si="37"/>
        <v>0</v>
      </c>
      <c r="V638" s="2">
        <f t="shared" si="38"/>
        <v>0</v>
      </c>
      <c r="W638" s="2">
        <f t="shared" si="39"/>
        <v>0</v>
      </c>
      <c r="Y638" t="str">
        <f>IFERROR(ROUND(E638*VLOOKUP(D638,商品!$A$4:$B$60,2,FALSE),0),"")</f>
        <v/>
      </c>
      <c r="Z638" t="str">
        <f>IFERROR(ROUND(G638*VLOOKUP(F638,商品!$A$4:$B$60,2,FALSE),0),"")</f>
        <v/>
      </c>
      <c r="AA638" t="str">
        <f>IFERROR(ROUND(I638*VLOOKUP(H638,商品!$A$4:$B$60,2,FALSE),0),"")</f>
        <v/>
      </c>
      <c r="AB638" t="str">
        <f>IFERROR(ROUND(K638*VLOOKUP(J638,[1]note_pop_types!$A$16:$E$16,4,FALSE),0),"")</f>
        <v/>
      </c>
      <c r="AC638" t="str">
        <f>IFERROR(ROUND(M638*VLOOKUP(L638,[1]note_pop_types!$A$16:$E$16,4,FALSE),0),"")</f>
        <v/>
      </c>
      <c r="AD638" t="str">
        <f>IFERROR(ROUND(O638*VLOOKUP(N638,[1]note_pop_types!$A$16:$E$16,4,FALSE),0),"")</f>
        <v/>
      </c>
      <c r="AE638" t="str">
        <f>IFERROR(ROUND(Q638*VLOOKUP(P638,商品!$A$4:$B$60,2,FALSE),0),"")</f>
        <v/>
      </c>
      <c r="AF638" t="str">
        <f>IFERROR(ROUND(S638*VLOOKUP(R638,商品!$A$4:$B$60,2,FALSE),0),"")</f>
        <v/>
      </c>
    </row>
    <row r="639" spans="1:32" ht="19.05" customHeight="1" x14ac:dyDescent="0.25">
      <c r="A639" s="15" t="s">
        <v>533</v>
      </c>
      <c r="C639" s="15">
        <v>4</v>
      </c>
      <c r="T639" s="2">
        <f t="shared" si="36"/>
        <v>0</v>
      </c>
      <c r="U639" s="2">
        <f t="shared" si="37"/>
        <v>0</v>
      </c>
      <c r="V639" s="2">
        <f t="shared" si="38"/>
        <v>0</v>
      </c>
      <c r="W639" s="2">
        <f t="shared" si="39"/>
        <v>0</v>
      </c>
      <c r="Y639" t="str">
        <f>IFERROR(ROUND(E639*VLOOKUP(D639,商品!$A$4:$B$60,2,FALSE),0),"")</f>
        <v/>
      </c>
      <c r="Z639" t="str">
        <f>IFERROR(ROUND(G639*VLOOKUP(F639,商品!$A$4:$B$60,2,FALSE),0),"")</f>
        <v/>
      </c>
      <c r="AA639" t="str">
        <f>IFERROR(ROUND(I639*VLOOKUP(H639,商品!$A$4:$B$60,2,FALSE),0),"")</f>
        <v/>
      </c>
      <c r="AB639" t="str">
        <f>IFERROR(ROUND(K639*VLOOKUP(J639,[1]note_pop_types!$A$16:$E$16,4,FALSE),0),"")</f>
        <v/>
      </c>
      <c r="AC639" t="str">
        <f>IFERROR(ROUND(M639*VLOOKUP(L639,[1]note_pop_types!$A$16:$E$16,4,FALSE),0),"")</f>
        <v/>
      </c>
      <c r="AD639" t="str">
        <f>IFERROR(ROUND(O639*VLOOKUP(N639,[1]note_pop_types!$A$16:$E$16,4,FALSE),0),"")</f>
        <v/>
      </c>
      <c r="AE639" t="str">
        <f>IFERROR(ROUND(Q639*VLOOKUP(P639,商品!$A$4:$B$60,2,FALSE),0),"")</f>
        <v/>
      </c>
      <c r="AF639" t="str">
        <f>IFERROR(ROUND(S639*VLOOKUP(R639,商品!$A$4:$B$60,2,FALSE),0),"")</f>
        <v/>
      </c>
    </row>
    <row r="640" spans="1:32" ht="19.05" customHeight="1" x14ac:dyDescent="0.25">
      <c r="A640" s="15" t="s">
        <v>533</v>
      </c>
      <c r="C640" s="15">
        <v>5</v>
      </c>
      <c r="T640" s="2">
        <f t="shared" si="36"/>
        <v>0</v>
      </c>
      <c r="U640" s="2">
        <f t="shared" si="37"/>
        <v>0</v>
      </c>
      <c r="V640" s="2">
        <f t="shared" si="38"/>
        <v>0</v>
      </c>
      <c r="W640" s="2">
        <f t="shared" si="39"/>
        <v>0</v>
      </c>
      <c r="Y640" t="str">
        <f>IFERROR(ROUND(E640*VLOOKUP(D640,商品!$A$4:$B$60,2,FALSE),0),"")</f>
        <v/>
      </c>
      <c r="Z640" t="str">
        <f>IFERROR(ROUND(G640*VLOOKUP(F640,商品!$A$4:$B$60,2,FALSE),0),"")</f>
        <v/>
      </c>
      <c r="AA640" t="str">
        <f>IFERROR(ROUND(I640*VLOOKUP(H640,商品!$A$4:$B$60,2,FALSE),0),"")</f>
        <v/>
      </c>
      <c r="AB640" t="str">
        <f>IFERROR(ROUND(K640*VLOOKUP(J640,[1]note_pop_types!$A$16:$E$16,4,FALSE),0),"")</f>
        <v/>
      </c>
      <c r="AC640" t="str">
        <f>IFERROR(ROUND(M640*VLOOKUP(L640,[1]note_pop_types!$A$16:$E$16,4,FALSE),0),"")</f>
        <v/>
      </c>
      <c r="AD640" t="str">
        <f>IFERROR(ROUND(O640*VLOOKUP(N640,[1]note_pop_types!$A$16:$E$16,4,FALSE),0),"")</f>
        <v/>
      </c>
      <c r="AE640" t="str">
        <f>IFERROR(ROUND(Q640*VLOOKUP(P640,商品!$A$4:$B$60,2,FALSE),0),"")</f>
        <v/>
      </c>
      <c r="AF640" t="str">
        <f>IFERROR(ROUND(S640*VLOOKUP(R640,商品!$A$4:$B$60,2,FALSE),0),"")</f>
        <v/>
      </c>
    </row>
    <row r="641" spans="1:32" ht="19.05" customHeight="1" x14ac:dyDescent="0.25">
      <c r="A641" s="16" t="s">
        <v>533</v>
      </c>
      <c r="C641" s="16">
        <v>1</v>
      </c>
      <c r="T641" s="2">
        <f t="shared" si="36"/>
        <v>0</v>
      </c>
      <c r="U641" s="2">
        <f t="shared" si="37"/>
        <v>0</v>
      </c>
      <c r="V641" s="2">
        <f t="shared" si="38"/>
        <v>0</v>
      </c>
      <c r="W641" s="2">
        <f t="shared" si="39"/>
        <v>0</v>
      </c>
      <c r="Y641" t="str">
        <f>IFERROR(ROUND(E641*VLOOKUP(D641,商品!$A$4:$B$60,2,FALSE),0),"")</f>
        <v/>
      </c>
      <c r="Z641" t="str">
        <f>IFERROR(ROUND(G641*VLOOKUP(F641,商品!$A$4:$B$60,2,FALSE),0),"")</f>
        <v/>
      </c>
      <c r="AA641" t="str">
        <f>IFERROR(ROUND(I641*VLOOKUP(H641,商品!$A$4:$B$60,2,FALSE),0),"")</f>
        <v/>
      </c>
      <c r="AB641" t="str">
        <f>IFERROR(ROUND(K641*VLOOKUP(J641,[1]note_pop_types!$A$16:$E$16,4,FALSE),0),"")</f>
        <v/>
      </c>
      <c r="AC641" t="str">
        <f>IFERROR(ROUND(M641*VLOOKUP(L641,[1]note_pop_types!$A$16:$E$16,4,FALSE),0),"")</f>
        <v/>
      </c>
      <c r="AD641" t="str">
        <f>IFERROR(ROUND(O641*VLOOKUP(N641,[1]note_pop_types!$A$16:$E$16,4,FALSE),0),"")</f>
        <v/>
      </c>
      <c r="AE641" t="str">
        <f>IFERROR(ROUND(Q641*VLOOKUP(P641,商品!$A$4:$B$60,2,FALSE),0),"")</f>
        <v/>
      </c>
      <c r="AF641" t="str">
        <f>IFERROR(ROUND(S641*VLOOKUP(R641,商品!$A$4:$B$60,2,FALSE),0),"")</f>
        <v/>
      </c>
    </row>
    <row r="642" spans="1:32" ht="19.05" customHeight="1" x14ac:dyDescent="0.25">
      <c r="A642" s="16" t="s">
        <v>533</v>
      </c>
      <c r="C642" s="16">
        <v>2</v>
      </c>
      <c r="T642" s="2">
        <f t="shared" si="36"/>
        <v>0</v>
      </c>
      <c r="U642" s="2">
        <f t="shared" si="37"/>
        <v>0</v>
      </c>
      <c r="V642" s="2">
        <f t="shared" si="38"/>
        <v>0</v>
      </c>
      <c r="W642" s="2">
        <f t="shared" si="39"/>
        <v>0</v>
      </c>
      <c r="Y642" t="str">
        <f>IFERROR(ROUND(E642*VLOOKUP(D642,商品!$A$4:$B$60,2,FALSE),0),"")</f>
        <v/>
      </c>
      <c r="Z642" t="str">
        <f>IFERROR(ROUND(G642*VLOOKUP(F642,商品!$A$4:$B$60,2,FALSE),0),"")</f>
        <v/>
      </c>
      <c r="AA642" t="str">
        <f>IFERROR(ROUND(I642*VLOOKUP(H642,商品!$A$4:$B$60,2,FALSE),0),"")</f>
        <v/>
      </c>
      <c r="AB642" t="str">
        <f>IFERROR(ROUND(K642*VLOOKUP(J642,[1]note_pop_types!$A$16:$E$16,4,FALSE),0),"")</f>
        <v/>
      </c>
      <c r="AC642" t="str">
        <f>IFERROR(ROUND(M642*VLOOKUP(L642,[1]note_pop_types!$A$16:$E$16,4,FALSE),0),"")</f>
        <v/>
      </c>
      <c r="AD642" t="str">
        <f>IFERROR(ROUND(O642*VLOOKUP(N642,[1]note_pop_types!$A$16:$E$16,4,FALSE),0),"")</f>
        <v/>
      </c>
      <c r="AE642" t="str">
        <f>IFERROR(ROUND(Q642*VLOOKUP(P642,商品!$A$4:$B$60,2,FALSE),0),"")</f>
        <v/>
      </c>
      <c r="AF642" t="str">
        <f>IFERROR(ROUND(S642*VLOOKUP(R642,商品!$A$4:$B$60,2,FALSE),0),"")</f>
        <v/>
      </c>
    </row>
    <row r="643" spans="1:32" ht="19.05" customHeight="1" x14ac:dyDescent="0.25">
      <c r="A643" s="16" t="s">
        <v>533</v>
      </c>
      <c r="C643" s="16">
        <v>3</v>
      </c>
      <c r="T643" s="2">
        <f t="shared" si="36"/>
        <v>0</v>
      </c>
      <c r="U643" s="2">
        <f t="shared" si="37"/>
        <v>0</v>
      </c>
      <c r="V643" s="2">
        <f t="shared" si="38"/>
        <v>0</v>
      </c>
      <c r="W643" s="2">
        <f t="shared" si="39"/>
        <v>0</v>
      </c>
      <c r="Y643" t="str">
        <f>IFERROR(ROUND(E643*VLOOKUP(D643,商品!$A$4:$B$60,2,FALSE),0),"")</f>
        <v/>
      </c>
      <c r="Z643" t="str">
        <f>IFERROR(ROUND(G643*VLOOKUP(F643,商品!$A$4:$B$60,2,FALSE),0),"")</f>
        <v/>
      </c>
      <c r="AA643" t="str">
        <f>IFERROR(ROUND(I643*VLOOKUP(H643,商品!$A$4:$B$60,2,FALSE),0),"")</f>
        <v/>
      </c>
      <c r="AB643" t="str">
        <f>IFERROR(ROUND(K643*VLOOKUP(J643,[1]note_pop_types!$A$16:$E$16,4,FALSE),0),"")</f>
        <v/>
      </c>
      <c r="AC643" t="str">
        <f>IFERROR(ROUND(M643*VLOOKUP(L643,[1]note_pop_types!$A$16:$E$16,4,FALSE),0),"")</f>
        <v/>
      </c>
      <c r="AD643" t="str">
        <f>IFERROR(ROUND(O643*VLOOKUP(N643,[1]note_pop_types!$A$16:$E$16,4,FALSE),0),"")</f>
        <v/>
      </c>
      <c r="AE643" t="str">
        <f>IFERROR(ROUND(Q643*VLOOKUP(P643,商品!$A$4:$B$60,2,FALSE),0),"")</f>
        <v/>
      </c>
      <c r="AF643" t="str">
        <f>IFERROR(ROUND(S643*VLOOKUP(R643,商品!$A$4:$B$60,2,FALSE),0),"")</f>
        <v/>
      </c>
    </row>
    <row r="644" spans="1:32" ht="19.05" customHeight="1" x14ac:dyDescent="0.25">
      <c r="A644" s="16" t="s">
        <v>533</v>
      </c>
      <c r="C644" s="16">
        <v>4</v>
      </c>
      <c r="T644" s="2">
        <f t="shared" si="36"/>
        <v>0</v>
      </c>
      <c r="U644" s="2">
        <f t="shared" si="37"/>
        <v>0</v>
      </c>
      <c r="V644" s="2">
        <f t="shared" si="38"/>
        <v>0</v>
      </c>
      <c r="W644" s="2">
        <f t="shared" si="39"/>
        <v>0</v>
      </c>
      <c r="Y644" t="str">
        <f>IFERROR(ROUND(E644*VLOOKUP(D644,商品!$A$4:$B$60,2,FALSE),0),"")</f>
        <v/>
      </c>
      <c r="Z644" t="str">
        <f>IFERROR(ROUND(G644*VLOOKUP(F644,商品!$A$4:$B$60,2,FALSE),0),"")</f>
        <v/>
      </c>
      <c r="AA644" t="str">
        <f>IFERROR(ROUND(I644*VLOOKUP(H644,商品!$A$4:$B$60,2,FALSE),0),"")</f>
        <v/>
      </c>
      <c r="AB644" t="str">
        <f>IFERROR(ROUND(K644*VLOOKUP(J644,[1]note_pop_types!$A$16:$E$16,4,FALSE),0),"")</f>
        <v/>
      </c>
      <c r="AC644" t="str">
        <f>IFERROR(ROUND(M644*VLOOKUP(L644,[1]note_pop_types!$A$16:$E$16,4,FALSE),0),"")</f>
        <v/>
      </c>
      <c r="AD644" t="str">
        <f>IFERROR(ROUND(O644*VLOOKUP(N644,[1]note_pop_types!$A$16:$E$16,4,FALSE),0),"")</f>
        <v/>
      </c>
      <c r="AE644" t="str">
        <f>IFERROR(ROUND(Q644*VLOOKUP(P644,商品!$A$4:$B$60,2,FALSE),0),"")</f>
        <v/>
      </c>
      <c r="AF644" t="str">
        <f>IFERROR(ROUND(S644*VLOOKUP(R644,商品!$A$4:$B$60,2,FALSE),0),"")</f>
        <v/>
      </c>
    </row>
    <row r="645" spans="1:32" ht="19.05" customHeight="1" x14ac:dyDescent="0.25">
      <c r="A645" s="16" t="s">
        <v>533</v>
      </c>
      <c r="C645" s="16">
        <v>5</v>
      </c>
      <c r="T645" s="2">
        <f t="shared" si="36"/>
        <v>0</v>
      </c>
      <c r="U645" s="2">
        <f t="shared" si="37"/>
        <v>0</v>
      </c>
      <c r="V645" s="2">
        <f t="shared" si="38"/>
        <v>0</v>
      </c>
      <c r="W645" s="2">
        <f t="shared" si="39"/>
        <v>0</v>
      </c>
      <c r="Y645" t="str">
        <f>IFERROR(ROUND(E645*VLOOKUP(D645,商品!$A$4:$B$60,2,FALSE),0),"")</f>
        <v/>
      </c>
      <c r="Z645" t="str">
        <f>IFERROR(ROUND(G645*VLOOKUP(F645,商品!$A$4:$B$60,2,FALSE),0),"")</f>
        <v/>
      </c>
      <c r="AA645" t="str">
        <f>IFERROR(ROUND(I645*VLOOKUP(H645,商品!$A$4:$B$60,2,FALSE),0),"")</f>
        <v/>
      </c>
      <c r="AB645" t="str">
        <f>IFERROR(ROUND(K645*VLOOKUP(J645,[1]note_pop_types!$A$16:$E$16,4,FALSE),0),"")</f>
        <v/>
      </c>
      <c r="AC645" t="str">
        <f>IFERROR(ROUND(M645*VLOOKUP(L645,[1]note_pop_types!$A$16:$E$16,4,FALSE),0),"")</f>
        <v/>
      </c>
      <c r="AD645" t="str">
        <f>IFERROR(ROUND(O645*VLOOKUP(N645,[1]note_pop_types!$A$16:$E$16,4,FALSE),0),"")</f>
        <v/>
      </c>
      <c r="AE645" t="str">
        <f>IFERROR(ROUND(Q645*VLOOKUP(P645,商品!$A$4:$B$60,2,FALSE),0),"")</f>
        <v/>
      </c>
      <c r="AF645" t="str">
        <f>IFERROR(ROUND(S645*VLOOKUP(R645,商品!$A$4:$B$60,2,FALSE),0),"")</f>
        <v/>
      </c>
    </row>
    <row r="646" spans="1:32" ht="19.05" customHeight="1" x14ac:dyDescent="0.25">
      <c r="A646" s="15" t="s">
        <v>316</v>
      </c>
      <c r="C646" s="15">
        <v>1</v>
      </c>
      <c r="T646" s="2">
        <f t="shared" ref="T646:T709" si="40">SUM(Y646:AA646)</f>
        <v>0</v>
      </c>
      <c r="U646" s="2">
        <f t="shared" ref="U646:U709" si="41">SUM(AB646:AC646)</f>
        <v>0</v>
      </c>
      <c r="V646" s="2">
        <f t="shared" ref="V646:V709" si="42">SUM(AE646:AF646)</f>
        <v>0</v>
      </c>
      <c r="W646" s="2">
        <f t="shared" ref="W646:W709" si="43">V646-T646-U646</f>
        <v>0</v>
      </c>
      <c r="Y646" t="str">
        <f>IFERROR(ROUND(E646*VLOOKUP(D646,商品!$A$4:$B$60,2,FALSE),0),"")</f>
        <v/>
      </c>
      <c r="Z646" t="str">
        <f>IFERROR(ROUND(G646*VLOOKUP(F646,商品!$A$4:$B$60,2,FALSE),0),"")</f>
        <v/>
      </c>
      <c r="AA646" t="str">
        <f>IFERROR(ROUND(I646*VLOOKUP(H646,商品!$A$4:$B$60,2,FALSE),0),"")</f>
        <v/>
      </c>
      <c r="AB646" t="str">
        <f>IFERROR(ROUND(K646*VLOOKUP(J646,[1]note_pop_types!$A$16:$E$16,4,FALSE),0),"")</f>
        <v/>
      </c>
      <c r="AC646" t="str">
        <f>IFERROR(ROUND(M646*VLOOKUP(L646,[1]note_pop_types!$A$16:$E$16,4,FALSE),0),"")</f>
        <v/>
      </c>
      <c r="AD646" t="str">
        <f>IFERROR(ROUND(O646*VLOOKUP(N646,[1]note_pop_types!$A$16:$E$16,4,FALSE),0),"")</f>
        <v/>
      </c>
      <c r="AE646" t="str">
        <f>IFERROR(ROUND(Q646*VLOOKUP(P646,商品!$A$4:$B$60,2,FALSE),0),"")</f>
        <v/>
      </c>
      <c r="AF646" t="str">
        <f>IFERROR(ROUND(S646*VLOOKUP(R646,商品!$A$4:$B$60,2,FALSE),0),"")</f>
        <v/>
      </c>
    </row>
    <row r="647" spans="1:32" ht="19.05" customHeight="1" x14ac:dyDescent="0.25">
      <c r="A647" s="15" t="s">
        <v>316</v>
      </c>
      <c r="C647" s="15">
        <v>2</v>
      </c>
      <c r="T647" s="2">
        <f t="shared" si="40"/>
        <v>0</v>
      </c>
      <c r="U647" s="2">
        <f t="shared" si="41"/>
        <v>0</v>
      </c>
      <c r="V647" s="2">
        <f t="shared" si="42"/>
        <v>0</v>
      </c>
      <c r="W647" s="2">
        <f t="shared" si="43"/>
        <v>0</v>
      </c>
      <c r="Y647" t="str">
        <f>IFERROR(ROUND(E647*VLOOKUP(D647,商品!$A$4:$B$60,2,FALSE),0),"")</f>
        <v/>
      </c>
      <c r="Z647" t="str">
        <f>IFERROR(ROUND(G647*VLOOKUP(F647,商品!$A$4:$B$60,2,FALSE),0),"")</f>
        <v/>
      </c>
      <c r="AA647" t="str">
        <f>IFERROR(ROUND(I647*VLOOKUP(H647,商品!$A$4:$B$60,2,FALSE),0),"")</f>
        <v/>
      </c>
      <c r="AB647" t="str">
        <f>IFERROR(ROUND(K647*VLOOKUP(J647,[1]note_pop_types!$A$16:$E$16,4,FALSE),0),"")</f>
        <v/>
      </c>
      <c r="AC647" t="str">
        <f>IFERROR(ROUND(M647*VLOOKUP(L647,[1]note_pop_types!$A$16:$E$16,4,FALSE),0),"")</f>
        <v/>
      </c>
      <c r="AD647" t="str">
        <f>IFERROR(ROUND(O647*VLOOKUP(N647,[1]note_pop_types!$A$16:$E$16,4,FALSE),0),"")</f>
        <v/>
      </c>
      <c r="AE647" t="str">
        <f>IFERROR(ROUND(Q647*VLOOKUP(P647,商品!$A$4:$B$60,2,FALSE),0),"")</f>
        <v/>
      </c>
      <c r="AF647" t="str">
        <f>IFERROR(ROUND(S647*VLOOKUP(R647,商品!$A$4:$B$60,2,FALSE),0),"")</f>
        <v/>
      </c>
    </row>
    <row r="648" spans="1:32" ht="19.05" customHeight="1" x14ac:dyDescent="0.25">
      <c r="A648" s="15" t="s">
        <v>316</v>
      </c>
      <c r="C648" s="15">
        <v>3</v>
      </c>
      <c r="T648" s="2">
        <f t="shared" si="40"/>
        <v>0</v>
      </c>
      <c r="U648" s="2">
        <f t="shared" si="41"/>
        <v>0</v>
      </c>
      <c r="V648" s="2">
        <f t="shared" si="42"/>
        <v>0</v>
      </c>
      <c r="W648" s="2">
        <f t="shared" si="43"/>
        <v>0</v>
      </c>
      <c r="Y648" t="str">
        <f>IFERROR(ROUND(E648*VLOOKUP(D648,商品!$A$4:$B$60,2,FALSE),0),"")</f>
        <v/>
      </c>
      <c r="Z648" t="str">
        <f>IFERROR(ROUND(G648*VLOOKUP(F648,商品!$A$4:$B$60,2,FALSE),0),"")</f>
        <v/>
      </c>
      <c r="AA648" t="str">
        <f>IFERROR(ROUND(I648*VLOOKUP(H648,商品!$A$4:$B$60,2,FALSE),0),"")</f>
        <v/>
      </c>
      <c r="AB648" t="str">
        <f>IFERROR(ROUND(K648*VLOOKUP(J648,[1]note_pop_types!$A$16:$E$16,4,FALSE),0),"")</f>
        <v/>
      </c>
      <c r="AC648" t="str">
        <f>IFERROR(ROUND(M648*VLOOKUP(L648,[1]note_pop_types!$A$16:$E$16,4,FALSE),0),"")</f>
        <v/>
      </c>
      <c r="AD648" t="str">
        <f>IFERROR(ROUND(O648*VLOOKUP(N648,[1]note_pop_types!$A$16:$E$16,4,FALSE),0),"")</f>
        <v/>
      </c>
      <c r="AE648" t="str">
        <f>IFERROR(ROUND(Q648*VLOOKUP(P648,商品!$A$4:$B$60,2,FALSE),0),"")</f>
        <v/>
      </c>
      <c r="AF648" t="str">
        <f>IFERROR(ROUND(S648*VLOOKUP(R648,商品!$A$4:$B$60,2,FALSE),0),"")</f>
        <v/>
      </c>
    </row>
    <row r="649" spans="1:32" ht="19.05" customHeight="1" x14ac:dyDescent="0.25">
      <c r="A649" s="15" t="s">
        <v>316</v>
      </c>
      <c r="C649" s="15">
        <v>4</v>
      </c>
      <c r="T649" s="2">
        <f t="shared" si="40"/>
        <v>0</v>
      </c>
      <c r="U649" s="2">
        <f t="shared" si="41"/>
        <v>0</v>
      </c>
      <c r="V649" s="2">
        <f t="shared" si="42"/>
        <v>0</v>
      </c>
      <c r="W649" s="2">
        <f t="shared" si="43"/>
        <v>0</v>
      </c>
      <c r="Y649" t="str">
        <f>IFERROR(ROUND(E649*VLOOKUP(D649,商品!$A$4:$B$60,2,FALSE),0),"")</f>
        <v/>
      </c>
      <c r="Z649" t="str">
        <f>IFERROR(ROUND(G649*VLOOKUP(F649,商品!$A$4:$B$60,2,FALSE),0),"")</f>
        <v/>
      </c>
      <c r="AA649" t="str">
        <f>IFERROR(ROUND(I649*VLOOKUP(H649,商品!$A$4:$B$60,2,FALSE),0),"")</f>
        <v/>
      </c>
      <c r="AB649" t="str">
        <f>IFERROR(ROUND(K649*VLOOKUP(J649,[1]note_pop_types!$A$16:$E$16,4,FALSE),0),"")</f>
        <v/>
      </c>
      <c r="AC649" t="str">
        <f>IFERROR(ROUND(M649*VLOOKUP(L649,[1]note_pop_types!$A$16:$E$16,4,FALSE),0),"")</f>
        <v/>
      </c>
      <c r="AD649" t="str">
        <f>IFERROR(ROUND(O649*VLOOKUP(N649,[1]note_pop_types!$A$16:$E$16,4,FALSE),0),"")</f>
        <v/>
      </c>
      <c r="AE649" t="str">
        <f>IFERROR(ROUND(Q649*VLOOKUP(P649,商品!$A$4:$B$60,2,FALSE),0),"")</f>
        <v/>
      </c>
      <c r="AF649" t="str">
        <f>IFERROR(ROUND(S649*VLOOKUP(R649,商品!$A$4:$B$60,2,FALSE),0),"")</f>
        <v/>
      </c>
    </row>
    <row r="650" spans="1:32" ht="19.05" customHeight="1" x14ac:dyDescent="0.25">
      <c r="A650" s="15" t="s">
        <v>316</v>
      </c>
      <c r="C650" s="15">
        <v>5</v>
      </c>
      <c r="T650" s="2">
        <f t="shared" si="40"/>
        <v>0</v>
      </c>
      <c r="U650" s="2">
        <f t="shared" si="41"/>
        <v>0</v>
      </c>
      <c r="V650" s="2">
        <f t="shared" si="42"/>
        <v>0</v>
      </c>
      <c r="W650" s="2">
        <f t="shared" si="43"/>
        <v>0</v>
      </c>
      <c r="Y650" t="str">
        <f>IFERROR(ROUND(E650*VLOOKUP(D650,商品!$A$4:$B$60,2,FALSE),0),"")</f>
        <v/>
      </c>
      <c r="Z650" t="str">
        <f>IFERROR(ROUND(G650*VLOOKUP(F650,商品!$A$4:$B$60,2,FALSE),0),"")</f>
        <v/>
      </c>
      <c r="AA650" t="str">
        <f>IFERROR(ROUND(I650*VLOOKUP(H650,商品!$A$4:$B$60,2,FALSE),0),"")</f>
        <v/>
      </c>
      <c r="AB650" t="str">
        <f>IFERROR(ROUND(K650*VLOOKUP(J650,[1]note_pop_types!$A$16:$E$16,4,FALSE),0),"")</f>
        <v/>
      </c>
      <c r="AC650" t="str">
        <f>IFERROR(ROUND(M650*VLOOKUP(L650,[1]note_pop_types!$A$16:$E$16,4,FALSE),0),"")</f>
        <v/>
      </c>
      <c r="AD650" t="str">
        <f>IFERROR(ROUND(O650*VLOOKUP(N650,[1]note_pop_types!$A$16:$E$16,4,FALSE),0),"")</f>
        <v/>
      </c>
      <c r="AE650" t="str">
        <f>IFERROR(ROUND(Q650*VLOOKUP(P650,商品!$A$4:$B$60,2,FALSE),0),"")</f>
        <v/>
      </c>
      <c r="AF650" t="str">
        <f>IFERROR(ROUND(S650*VLOOKUP(R650,商品!$A$4:$B$60,2,FALSE),0),"")</f>
        <v/>
      </c>
    </row>
    <row r="651" spans="1:32" ht="19.05" customHeight="1" x14ac:dyDescent="0.25">
      <c r="A651" s="15" t="s">
        <v>316</v>
      </c>
      <c r="C651" s="15">
        <v>6</v>
      </c>
      <c r="T651" s="2">
        <f t="shared" si="40"/>
        <v>0</v>
      </c>
      <c r="U651" s="2">
        <f t="shared" si="41"/>
        <v>0</v>
      </c>
      <c r="V651" s="2">
        <f t="shared" si="42"/>
        <v>0</v>
      </c>
      <c r="W651" s="2">
        <f t="shared" si="43"/>
        <v>0</v>
      </c>
      <c r="Y651" t="str">
        <f>IFERROR(ROUND(E651*VLOOKUP(D651,商品!$A$4:$B$60,2,FALSE),0),"")</f>
        <v/>
      </c>
      <c r="Z651" t="str">
        <f>IFERROR(ROUND(G651*VLOOKUP(F651,商品!$A$4:$B$60,2,FALSE),0),"")</f>
        <v/>
      </c>
      <c r="AA651" t="str">
        <f>IFERROR(ROUND(I651*VLOOKUP(H651,商品!$A$4:$B$60,2,FALSE),0),"")</f>
        <v/>
      </c>
      <c r="AB651" t="str">
        <f>IFERROR(ROUND(K651*VLOOKUP(J651,[1]note_pop_types!$A$16:$E$16,4,FALSE),0),"")</f>
        <v/>
      </c>
      <c r="AC651" t="str">
        <f>IFERROR(ROUND(M651*VLOOKUP(L651,[1]note_pop_types!$A$16:$E$16,4,FALSE),0),"")</f>
        <v/>
      </c>
      <c r="AD651" t="str">
        <f>IFERROR(ROUND(O651*VLOOKUP(N651,[1]note_pop_types!$A$16:$E$16,4,FALSE),0),"")</f>
        <v/>
      </c>
      <c r="AE651" t="str">
        <f>IFERROR(ROUND(Q651*VLOOKUP(P651,商品!$A$4:$B$60,2,FALSE),0),"")</f>
        <v/>
      </c>
      <c r="AF651" t="str">
        <f>IFERROR(ROUND(S651*VLOOKUP(R651,商品!$A$4:$B$60,2,FALSE),0),"")</f>
        <v/>
      </c>
    </row>
    <row r="652" spans="1:32" ht="19.05" customHeight="1" x14ac:dyDescent="0.25">
      <c r="A652" s="15" t="s">
        <v>316</v>
      </c>
      <c r="C652" s="15">
        <v>7</v>
      </c>
      <c r="T652" s="2">
        <f t="shared" si="40"/>
        <v>0</v>
      </c>
      <c r="U652" s="2">
        <f t="shared" si="41"/>
        <v>0</v>
      </c>
      <c r="V652" s="2">
        <f t="shared" si="42"/>
        <v>0</v>
      </c>
      <c r="W652" s="2">
        <f t="shared" si="43"/>
        <v>0</v>
      </c>
      <c r="Y652" t="str">
        <f>IFERROR(ROUND(E652*VLOOKUP(D652,商品!$A$4:$B$60,2,FALSE),0),"")</f>
        <v/>
      </c>
      <c r="Z652" t="str">
        <f>IFERROR(ROUND(G652*VLOOKUP(F652,商品!$A$4:$B$60,2,FALSE),0),"")</f>
        <v/>
      </c>
      <c r="AA652" t="str">
        <f>IFERROR(ROUND(I652*VLOOKUP(H652,商品!$A$4:$B$60,2,FALSE),0),"")</f>
        <v/>
      </c>
      <c r="AB652" t="str">
        <f>IFERROR(ROUND(K652*VLOOKUP(J652,[1]note_pop_types!$A$16:$E$16,4,FALSE),0),"")</f>
        <v/>
      </c>
      <c r="AC652" t="str">
        <f>IFERROR(ROUND(M652*VLOOKUP(L652,[1]note_pop_types!$A$16:$E$16,4,FALSE),0),"")</f>
        <v/>
      </c>
      <c r="AD652" t="str">
        <f>IFERROR(ROUND(O652*VLOOKUP(N652,[1]note_pop_types!$A$16:$E$16,4,FALSE),0),"")</f>
        <v/>
      </c>
      <c r="AE652" t="str">
        <f>IFERROR(ROUND(Q652*VLOOKUP(P652,商品!$A$4:$B$60,2,FALSE),0),"")</f>
        <v/>
      </c>
      <c r="AF652" t="str">
        <f>IFERROR(ROUND(S652*VLOOKUP(R652,商品!$A$4:$B$60,2,FALSE),0),"")</f>
        <v/>
      </c>
    </row>
    <row r="653" spans="1:32" ht="19.05" customHeight="1" x14ac:dyDescent="0.25">
      <c r="A653" s="15" t="s">
        <v>316</v>
      </c>
      <c r="C653" s="15">
        <v>8</v>
      </c>
      <c r="T653" s="2">
        <f t="shared" si="40"/>
        <v>0</v>
      </c>
      <c r="U653" s="2">
        <f t="shared" si="41"/>
        <v>0</v>
      </c>
      <c r="V653" s="2">
        <f t="shared" si="42"/>
        <v>0</v>
      </c>
      <c r="W653" s="2">
        <f t="shared" si="43"/>
        <v>0</v>
      </c>
      <c r="Y653" t="str">
        <f>IFERROR(ROUND(E653*VLOOKUP(D653,商品!$A$4:$B$60,2,FALSE),0),"")</f>
        <v/>
      </c>
      <c r="Z653" t="str">
        <f>IFERROR(ROUND(G653*VLOOKUP(F653,商品!$A$4:$B$60,2,FALSE),0),"")</f>
        <v/>
      </c>
      <c r="AA653" t="str">
        <f>IFERROR(ROUND(I653*VLOOKUP(H653,商品!$A$4:$B$60,2,FALSE),0),"")</f>
        <v/>
      </c>
      <c r="AB653" t="str">
        <f>IFERROR(ROUND(K653*VLOOKUP(J653,[1]note_pop_types!$A$16:$E$16,4,FALSE),0),"")</f>
        <v/>
      </c>
      <c r="AC653" t="str">
        <f>IFERROR(ROUND(M653*VLOOKUP(L653,[1]note_pop_types!$A$16:$E$16,4,FALSE),0),"")</f>
        <v/>
      </c>
      <c r="AD653" t="str">
        <f>IFERROR(ROUND(O653*VLOOKUP(N653,[1]note_pop_types!$A$16:$E$16,4,FALSE),0),"")</f>
        <v/>
      </c>
      <c r="AE653" t="str">
        <f>IFERROR(ROUND(Q653*VLOOKUP(P653,商品!$A$4:$B$60,2,FALSE),0),"")</f>
        <v/>
      </c>
      <c r="AF653" t="str">
        <f>IFERROR(ROUND(S653*VLOOKUP(R653,商品!$A$4:$B$60,2,FALSE),0),"")</f>
        <v/>
      </c>
    </row>
    <row r="654" spans="1:32" ht="19.05" customHeight="1" x14ac:dyDescent="0.25">
      <c r="A654" s="16" t="s">
        <v>318</v>
      </c>
      <c r="C654" s="16">
        <v>1</v>
      </c>
      <c r="T654" s="2">
        <f t="shared" si="40"/>
        <v>0</v>
      </c>
      <c r="U654" s="2">
        <f t="shared" si="41"/>
        <v>0</v>
      </c>
      <c r="V654" s="2">
        <f t="shared" si="42"/>
        <v>0</v>
      </c>
      <c r="W654" s="2">
        <f t="shared" si="43"/>
        <v>0</v>
      </c>
      <c r="Y654" t="str">
        <f>IFERROR(ROUND(E654*VLOOKUP(D654,商品!$A$4:$B$60,2,FALSE),0),"")</f>
        <v/>
      </c>
      <c r="Z654" t="str">
        <f>IFERROR(ROUND(G654*VLOOKUP(F654,商品!$A$4:$B$60,2,FALSE),0),"")</f>
        <v/>
      </c>
      <c r="AA654" t="str">
        <f>IFERROR(ROUND(I654*VLOOKUP(H654,商品!$A$4:$B$60,2,FALSE),0),"")</f>
        <v/>
      </c>
      <c r="AB654" t="str">
        <f>IFERROR(ROUND(K654*VLOOKUP(J654,[1]note_pop_types!$A$16:$E$16,4,FALSE),0),"")</f>
        <v/>
      </c>
      <c r="AC654" t="str">
        <f>IFERROR(ROUND(M654*VLOOKUP(L654,[1]note_pop_types!$A$16:$E$16,4,FALSE),0),"")</f>
        <v/>
      </c>
      <c r="AD654" t="str">
        <f>IFERROR(ROUND(O654*VLOOKUP(N654,[1]note_pop_types!$A$16:$E$16,4,FALSE),0),"")</f>
        <v/>
      </c>
      <c r="AE654" t="str">
        <f>IFERROR(ROUND(Q654*VLOOKUP(P654,商品!$A$4:$B$60,2,FALSE),0),"")</f>
        <v/>
      </c>
      <c r="AF654" t="str">
        <f>IFERROR(ROUND(S654*VLOOKUP(R654,商品!$A$4:$B$60,2,FALSE),0),"")</f>
        <v/>
      </c>
    </row>
    <row r="655" spans="1:32" ht="19.05" customHeight="1" x14ac:dyDescent="0.25">
      <c r="A655" s="16" t="s">
        <v>318</v>
      </c>
      <c r="C655" s="16">
        <v>2</v>
      </c>
      <c r="T655" s="2">
        <f t="shared" si="40"/>
        <v>0</v>
      </c>
      <c r="U655" s="2">
        <f t="shared" si="41"/>
        <v>0</v>
      </c>
      <c r="V655" s="2">
        <f t="shared" si="42"/>
        <v>0</v>
      </c>
      <c r="W655" s="2">
        <f t="shared" si="43"/>
        <v>0</v>
      </c>
      <c r="Y655" t="str">
        <f>IFERROR(ROUND(E655*VLOOKUP(D655,商品!$A$4:$B$60,2,FALSE),0),"")</f>
        <v/>
      </c>
      <c r="Z655" t="str">
        <f>IFERROR(ROUND(G655*VLOOKUP(F655,商品!$A$4:$B$60,2,FALSE),0),"")</f>
        <v/>
      </c>
      <c r="AA655" t="str">
        <f>IFERROR(ROUND(I655*VLOOKUP(H655,商品!$A$4:$B$60,2,FALSE),0),"")</f>
        <v/>
      </c>
      <c r="AB655" t="str">
        <f>IFERROR(ROUND(K655*VLOOKUP(J655,[1]note_pop_types!$A$16:$E$16,4,FALSE),0),"")</f>
        <v/>
      </c>
      <c r="AC655" t="str">
        <f>IFERROR(ROUND(M655*VLOOKUP(L655,[1]note_pop_types!$A$16:$E$16,4,FALSE),0),"")</f>
        <v/>
      </c>
      <c r="AD655" t="str">
        <f>IFERROR(ROUND(O655*VLOOKUP(N655,[1]note_pop_types!$A$16:$E$16,4,FALSE),0),"")</f>
        <v/>
      </c>
      <c r="AE655" t="str">
        <f>IFERROR(ROUND(Q655*VLOOKUP(P655,商品!$A$4:$B$60,2,FALSE),0),"")</f>
        <v/>
      </c>
      <c r="AF655" t="str">
        <f>IFERROR(ROUND(S655*VLOOKUP(R655,商品!$A$4:$B$60,2,FALSE),0),"")</f>
        <v/>
      </c>
    </row>
    <row r="656" spans="1:32" ht="19.05" customHeight="1" x14ac:dyDescent="0.25">
      <c r="A656" s="16" t="s">
        <v>318</v>
      </c>
      <c r="C656" s="16">
        <v>3</v>
      </c>
      <c r="T656" s="2">
        <f t="shared" si="40"/>
        <v>0</v>
      </c>
      <c r="U656" s="2">
        <f t="shared" si="41"/>
        <v>0</v>
      </c>
      <c r="V656" s="2">
        <f t="shared" si="42"/>
        <v>0</v>
      </c>
      <c r="W656" s="2">
        <f t="shared" si="43"/>
        <v>0</v>
      </c>
      <c r="Y656" t="str">
        <f>IFERROR(ROUND(E656*VLOOKUP(D656,商品!$A$4:$B$60,2,FALSE),0),"")</f>
        <v/>
      </c>
      <c r="Z656" t="str">
        <f>IFERROR(ROUND(G656*VLOOKUP(F656,商品!$A$4:$B$60,2,FALSE),0),"")</f>
        <v/>
      </c>
      <c r="AA656" t="str">
        <f>IFERROR(ROUND(I656*VLOOKUP(H656,商品!$A$4:$B$60,2,FALSE),0),"")</f>
        <v/>
      </c>
      <c r="AB656" t="str">
        <f>IFERROR(ROUND(K656*VLOOKUP(J656,[1]note_pop_types!$A$16:$E$16,4,FALSE),0),"")</f>
        <v/>
      </c>
      <c r="AC656" t="str">
        <f>IFERROR(ROUND(M656*VLOOKUP(L656,[1]note_pop_types!$A$16:$E$16,4,FALSE),0),"")</f>
        <v/>
      </c>
      <c r="AD656" t="str">
        <f>IFERROR(ROUND(O656*VLOOKUP(N656,[1]note_pop_types!$A$16:$E$16,4,FALSE),0),"")</f>
        <v/>
      </c>
      <c r="AE656" t="str">
        <f>IFERROR(ROUND(Q656*VLOOKUP(P656,商品!$A$4:$B$60,2,FALSE),0),"")</f>
        <v/>
      </c>
      <c r="AF656" t="str">
        <f>IFERROR(ROUND(S656*VLOOKUP(R656,商品!$A$4:$B$60,2,FALSE),0),"")</f>
        <v/>
      </c>
    </row>
    <row r="657" spans="1:32" ht="19.05" customHeight="1" x14ac:dyDescent="0.25">
      <c r="A657" s="16" t="s">
        <v>318</v>
      </c>
      <c r="C657" s="16">
        <v>4</v>
      </c>
      <c r="T657" s="2">
        <f t="shared" si="40"/>
        <v>0</v>
      </c>
      <c r="U657" s="2">
        <f t="shared" si="41"/>
        <v>0</v>
      </c>
      <c r="V657" s="2">
        <f t="shared" si="42"/>
        <v>0</v>
      </c>
      <c r="W657" s="2">
        <f t="shared" si="43"/>
        <v>0</v>
      </c>
      <c r="Y657" t="str">
        <f>IFERROR(ROUND(E657*VLOOKUP(D657,商品!$A$4:$B$60,2,FALSE),0),"")</f>
        <v/>
      </c>
      <c r="Z657" t="str">
        <f>IFERROR(ROUND(G657*VLOOKUP(F657,商品!$A$4:$B$60,2,FALSE),0),"")</f>
        <v/>
      </c>
      <c r="AA657" t="str">
        <f>IFERROR(ROUND(I657*VLOOKUP(H657,商品!$A$4:$B$60,2,FALSE),0),"")</f>
        <v/>
      </c>
      <c r="AB657" t="str">
        <f>IFERROR(ROUND(K657*VLOOKUP(J657,[1]note_pop_types!$A$16:$E$16,4,FALSE),0),"")</f>
        <v/>
      </c>
      <c r="AC657" t="str">
        <f>IFERROR(ROUND(M657*VLOOKUP(L657,[1]note_pop_types!$A$16:$E$16,4,FALSE),0),"")</f>
        <v/>
      </c>
      <c r="AD657" t="str">
        <f>IFERROR(ROUND(O657*VLOOKUP(N657,[1]note_pop_types!$A$16:$E$16,4,FALSE),0),"")</f>
        <v/>
      </c>
      <c r="AE657" t="str">
        <f>IFERROR(ROUND(Q657*VLOOKUP(P657,商品!$A$4:$B$60,2,FALSE),0),"")</f>
        <v/>
      </c>
      <c r="AF657" t="str">
        <f>IFERROR(ROUND(S657*VLOOKUP(R657,商品!$A$4:$B$60,2,FALSE),0),"")</f>
        <v/>
      </c>
    </row>
    <row r="658" spans="1:32" ht="19.05" customHeight="1" x14ac:dyDescent="0.25">
      <c r="A658" s="16" t="s">
        <v>318</v>
      </c>
      <c r="C658" s="16">
        <v>5</v>
      </c>
      <c r="T658" s="2">
        <f t="shared" si="40"/>
        <v>0</v>
      </c>
      <c r="U658" s="2">
        <f t="shared" si="41"/>
        <v>0</v>
      </c>
      <c r="V658" s="2">
        <f t="shared" si="42"/>
        <v>0</v>
      </c>
      <c r="W658" s="2">
        <f t="shared" si="43"/>
        <v>0</v>
      </c>
      <c r="Y658" t="str">
        <f>IFERROR(ROUND(E658*VLOOKUP(D658,商品!$A$4:$B$60,2,FALSE),0),"")</f>
        <v/>
      </c>
      <c r="Z658" t="str">
        <f>IFERROR(ROUND(G658*VLOOKUP(F658,商品!$A$4:$B$60,2,FALSE),0),"")</f>
        <v/>
      </c>
      <c r="AA658" t="str">
        <f>IFERROR(ROUND(I658*VLOOKUP(H658,商品!$A$4:$B$60,2,FALSE),0),"")</f>
        <v/>
      </c>
      <c r="AB658" t="str">
        <f>IFERROR(ROUND(K658*VLOOKUP(J658,[1]note_pop_types!$A$16:$E$16,4,FALSE),0),"")</f>
        <v/>
      </c>
      <c r="AC658" t="str">
        <f>IFERROR(ROUND(M658*VLOOKUP(L658,[1]note_pop_types!$A$16:$E$16,4,FALSE),0),"")</f>
        <v/>
      </c>
      <c r="AD658" t="str">
        <f>IFERROR(ROUND(O658*VLOOKUP(N658,[1]note_pop_types!$A$16:$E$16,4,FALSE),0),"")</f>
        <v/>
      </c>
      <c r="AE658" t="str">
        <f>IFERROR(ROUND(Q658*VLOOKUP(P658,商品!$A$4:$B$60,2,FALSE),0),"")</f>
        <v/>
      </c>
      <c r="AF658" t="str">
        <f>IFERROR(ROUND(S658*VLOOKUP(R658,商品!$A$4:$B$60,2,FALSE),0),"")</f>
        <v/>
      </c>
    </row>
    <row r="659" spans="1:32" ht="19.05" customHeight="1" x14ac:dyDescent="0.25">
      <c r="A659" s="15" t="s">
        <v>319</v>
      </c>
      <c r="C659" s="15">
        <v>1</v>
      </c>
      <c r="T659" s="2">
        <f t="shared" si="40"/>
        <v>0</v>
      </c>
      <c r="U659" s="2">
        <f t="shared" si="41"/>
        <v>0</v>
      </c>
      <c r="V659" s="2">
        <f t="shared" si="42"/>
        <v>0</v>
      </c>
      <c r="W659" s="2">
        <f t="shared" si="43"/>
        <v>0</v>
      </c>
      <c r="Y659" t="str">
        <f>IFERROR(ROUND(E659*VLOOKUP(D659,商品!$A$4:$B$60,2,FALSE),0),"")</f>
        <v/>
      </c>
      <c r="Z659" t="str">
        <f>IFERROR(ROUND(G659*VLOOKUP(F659,商品!$A$4:$B$60,2,FALSE),0),"")</f>
        <v/>
      </c>
      <c r="AA659" t="str">
        <f>IFERROR(ROUND(I659*VLOOKUP(H659,商品!$A$4:$B$60,2,FALSE),0),"")</f>
        <v/>
      </c>
      <c r="AB659" t="str">
        <f>IFERROR(ROUND(K659*VLOOKUP(J659,[1]note_pop_types!$A$16:$E$16,4,FALSE),0),"")</f>
        <v/>
      </c>
      <c r="AC659" t="str">
        <f>IFERROR(ROUND(M659*VLOOKUP(L659,[1]note_pop_types!$A$16:$E$16,4,FALSE),0),"")</f>
        <v/>
      </c>
      <c r="AD659" t="str">
        <f>IFERROR(ROUND(O659*VLOOKUP(N659,[1]note_pop_types!$A$16:$E$16,4,FALSE),0),"")</f>
        <v/>
      </c>
      <c r="AE659" t="str">
        <f>IFERROR(ROUND(Q659*VLOOKUP(P659,商品!$A$4:$B$60,2,FALSE),0),"")</f>
        <v/>
      </c>
      <c r="AF659" t="str">
        <f>IFERROR(ROUND(S659*VLOOKUP(R659,商品!$A$4:$B$60,2,FALSE),0),"")</f>
        <v/>
      </c>
    </row>
    <row r="660" spans="1:32" ht="19.05" customHeight="1" x14ac:dyDescent="0.25">
      <c r="A660" s="15" t="s">
        <v>319</v>
      </c>
      <c r="C660" s="15">
        <v>2</v>
      </c>
      <c r="T660" s="2">
        <f t="shared" si="40"/>
        <v>0</v>
      </c>
      <c r="U660" s="2">
        <f t="shared" si="41"/>
        <v>0</v>
      </c>
      <c r="V660" s="2">
        <f t="shared" si="42"/>
        <v>0</v>
      </c>
      <c r="W660" s="2">
        <f t="shared" si="43"/>
        <v>0</v>
      </c>
      <c r="Y660" t="str">
        <f>IFERROR(ROUND(E660*VLOOKUP(D660,商品!$A$4:$B$60,2,FALSE),0),"")</f>
        <v/>
      </c>
      <c r="Z660" t="str">
        <f>IFERROR(ROUND(G660*VLOOKUP(F660,商品!$A$4:$B$60,2,FALSE),0),"")</f>
        <v/>
      </c>
      <c r="AA660" t="str">
        <f>IFERROR(ROUND(I660*VLOOKUP(H660,商品!$A$4:$B$60,2,FALSE),0),"")</f>
        <v/>
      </c>
      <c r="AB660" t="str">
        <f>IFERROR(ROUND(K660*VLOOKUP(J660,[1]note_pop_types!$A$16:$E$16,4,FALSE),0),"")</f>
        <v/>
      </c>
      <c r="AC660" t="str">
        <f>IFERROR(ROUND(M660*VLOOKUP(L660,[1]note_pop_types!$A$16:$E$16,4,FALSE),0),"")</f>
        <v/>
      </c>
      <c r="AD660" t="str">
        <f>IFERROR(ROUND(O660*VLOOKUP(N660,[1]note_pop_types!$A$16:$E$16,4,FALSE),0),"")</f>
        <v/>
      </c>
      <c r="AE660" t="str">
        <f>IFERROR(ROUND(Q660*VLOOKUP(P660,商品!$A$4:$B$60,2,FALSE),0),"")</f>
        <v/>
      </c>
      <c r="AF660" t="str">
        <f>IFERROR(ROUND(S660*VLOOKUP(R660,商品!$A$4:$B$60,2,FALSE),0),"")</f>
        <v/>
      </c>
    </row>
    <row r="661" spans="1:32" ht="19.05" customHeight="1" x14ac:dyDescent="0.25">
      <c r="A661" s="15" t="s">
        <v>319</v>
      </c>
      <c r="C661" s="15">
        <v>3</v>
      </c>
      <c r="T661" s="2">
        <f t="shared" si="40"/>
        <v>0</v>
      </c>
      <c r="U661" s="2">
        <f t="shared" si="41"/>
        <v>0</v>
      </c>
      <c r="V661" s="2">
        <f t="shared" si="42"/>
        <v>0</v>
      </c>
      <c r="W661" s="2">
        <f t="shared" si="43"/>
        <v>0</v>
      </c>
      <c r="Y661" t="str">
        <f>IFERROR(ROUND(E661*VLOOKUP(D661,商品!$A$4:$B$60,2,FALSE),0),"")</f>
        <v/>
      </c>
      <c r="Z661" t="str">
        <f>IFERROR(ROUND(G661*VLOOKUP(F661,商品!$A$4:$B$60,2,FALSE),0),"")</f>
        <v/>
      </c>
      <c r="AA661" t="str">
        <f>IFERROR(ROUND(I661*VLOOKUP(H661,商品!$A$4:$B$60,2,FALSE),0),"")</f>
        <v/>
      </c>
      <c r="AB661" t="str">
        <f>IFERROR(ROUND(K661*VLOOKUP(J661,[1]note_pop_types!$A$16:$E$16,4,FALSE),0),"")</f>
        <v/>
      </c>
      <c r="AC661" t="str">
        <f>IFERROR(ROUND(M661*VLOOKUP(L661,[1]note_pop_types!$A$16:$E$16,4,FALSE),0),"")</f>
        <v/>
      </c>
      <c r="AD661" t="str">
        <f>IFERROR(ROUND(O661*VLOOKUP(N661,[1]note_pop_types!$A$16:$E$16,4,FALSE),0),"")</f>
        <v/>
      </c>
      <c r="AE661" t="str">
        <f>IFERROR(ROUND(Q661*VLOOKUP(P661,商品!$A$4:$B$60,2,FALSE),0),"")</f>
        <v/>
      </c>
      <c r="AF661" t="str">
        <f>IFERROR(ROUND(S661*VLOOKUP(R661,商品!$A$4:$B$60,2,FALSE),0),"")</f>
        <v/>
      </c>
    </row>
    <row r="662" spans="1:32" ht="19.05" customHeight="1" x14ac:dyDescent="0.25">
      <c r="A662" s="15" t="s">
        <v>319</v>
      </c>
      <c r="C662" s="15">
        <v>4</v>
      </c>
      <c r="T662" s="2">
        <f t="shared" si="40"/>
        <v>0</v>
      </c>
      <c r="U662" s="2">
        <f t="shared" si="41"/>
        <v>0</v>
      </c>
      <c r="V662" s="2">
        <f t="shared" si="42"/>
        <v>0</v>
      </c>
      <c r="W662" s="2">
        <f t="shared" si="43"/>
        <v>0</v>
      </c>
      <c r="Y662" t="str">
        <f>IFERROR(ROUND(E662*VLOOKUP(D662,商品!$A$4:$B$60,2,FALSE),0),"")</f>
        <v/>
      </c>
      <c r="Z662" t="str">
        <f>IFERROR(ROUND(G662*VLOOKUP(F662,商品!$A$4:$B$60,2,FALSE),0),"")</f>
        <v/>
      </c>
      <c r="AA662" t="str">
        <f>IFERROR(ROUND(I662*VLOOKUP(H662,商品!$A$4:$B$60,2,FALSE),0),"")</f>
        <v/>
      </c>
      <c r="AB662" t="str">
        <f>IFERROR(ROUND(K662*VLOOKUP(J662,[1]note_pop_types!$A$16:$E$16,4,FALSE),0),"")</f>
        <v/>
      </c>
      <c r="AC662" t="str">
        <f>IFERROR(ROUND(M662*VLOOKUP(L662,[1]note_pop_types!$A$16:$E$16,4,FALSE),0),"")</f>
        <v/>
      </c>
      <c r="AD662" t="str">
        <f>IFERROR(ROUND(O662*VLOOKUP(N662,[1]note_pop_types!$A$16:$E$16,4,FALSE),0),"")</f>
        <v/>
      </c>
      <c r="AE662" t="str">
        <f>IFERROR(ROUND(Q662*VLOOKUP(P662,商品!$A$4:$B$60,2,FALSE),0),"")</f>
        <v/>
      </c>
      <c r="AF662" t="str">
        <f>IFERROR(ROUND(S662*VLOOKUP(R662,商品!$A$4:$B$60,2,FALSE),0),"")</f>
        <v/>
      </c>
    </row>
    <row r="663" spans="1:32" ht="19.05" customHeight="1" x14ac:dyDescent="0.25">
      <c r="A663" s="15" t="s">
        <v>319</v>
      </c>
      <c r="C663" s="15">
        <v>5</v>
      </c>
      <c r="T663" s="2">
        <f t="shared" si="40"/>
        <v>0</v>
      </c>
      <c r="U663" s="2">
        <f t="shared" si="41"/>
        <v>0</v>
      </c>
      <c r="V663" s="2">
        <f t="shared" si="42"/>
        <v>0</v>
      </c>
      <c r="W663" s="2">
        <f t="shared" si="43"/>
        <v>0</v>
      </c>
      <c r="Y663" t="str">
        <f>IFERROR(ROUND(E663*VLOOKUP(D663,商品!$A$4:$B$60,2,FALSE),0),"")</f>
        <v/>
      </c>
      <c r="Z663" t="str">
        <f>IFERROR(ROUND(G663*VLOOKUP(F663,商品!$A$4:$B$60,2,FALSE),0),"")</f>
        <v/>
      </c>
      <c r="AA663" t="str">
        <f>IFERROR(ROUND(I663*VLOOKUP(H663,商品!$A$4:$B$60,2,FALSE),0),"")</f>
        <v/>
      </c>
      <c r="AB663" t="str">
        <f>IFERROR(ROUND(K663*VLOOKUP(J663,[1]note_pop_types!$A$16:$E$16,4,FALSE),0),"")</f>
        <v/>
      </c>
      <c r="AC663" t="str">
        <f>IFERROR(ROUND(M663*VLOOKUP(L663,[1]note_pop_types!$A$16:$E$16,4,FALSE),0),"")</f>
        <v/>
      </c>
      <c r="AD663" t="str">
        <f>IFERROR(ROUND(O663*VLOOKUP(N663,[1]note_pop_types!$A$16:$E$16,4,FALSE),0),"")</f>
        <v/>
      </c>
      <c r="AE663" t="str">
        <f>IFERROR(ROUND(Q663*VLOOKUP(P663,商品!$A$4:$B$60,2,FALSE),0),"")</f>
        <v/>
      </c>
      <c r="AF663" t="str">
        <f>IFERROR(ROUND(S663*VLOOKUP(R663,商品!$A$4:$B$60,2,FALSE),0),"")</f>
        <v/>
      </c>
    </row>
    <row r="664" spans="1:32" ht="19.05" customHeight="1" x14ac:dyDescent="0.25">
      <c r="A664" s="16" t="s">
        <v>534</v>
      </c>
      <c r="C664" s="16">
        <v>1</v>
      </c>
      <c r="T664" s="2">
        <f t="shared" si="40"/>
        <v>0</v>
      </c>
      <c r="U664" s="2">
        <f t="shared" si="41"/>
        <v>0</v>
      </c>
      <c r="V664" s="2">
        <f t="shared" si="42"/>
        <v>0</v>
      </c>
      <c r="W664" s="2">
        <f t="shared" si="43"/>
        <v>0</v>
      </c>
      <c r="Y664" t="str">
        <f>IFERROR(ROUND(E664*VLOOKUP(D664,商品!$A$4:$B$60,2,FALSE),0),"")</f>
        <v/>
      </c>
      <c r="Z664" t="str">
        <f>IFERROR(ROUND(G664*VLOOKUP(F664,商品!$A$4:$B$60,2,FALSE),0),"")</f>
        <v/>
      </c>
      <c r="AA664" t="str">
        <f>IFERROR(ROUND(I664*VLOOKUP(H664,商品!$A$4:$B$60,2,FALSE),0),"")</f>
        <v/>
      </c>
      <c r="AB664" t="str">
        <f>IFERROR(ROUND(K664*VLOOKUP(J664,[1]note_pop_types!$A$16:$E$16,4,FALSE),0),"")</f>
        <v/>
      </c>
      <c r="AC664" t="str">
        <f>IFERROR(ROUND(M664*VLOOKUP(L664,[1]note_pop_types!$A$16:$E$16,4,FALSE),0),"")</f>
        <v/>
      </c>
      <c r="AD664" t="str">
        <f>IFERROR(ROUND(O664*VLOOKUP(N664,[1]note_pop_types!$A$16:$E$16,4,FALSE),0),"")</f>
        <v/>
      </c>
      <c r="AE664" t="str">
        <f>IFERROR(ROUND(Q664*VLOOKUP(P664,商品!$A$4:$B$60,2,FALSE),0),"")</f>
        <v/>
      </c>
      <c r="AF664" t="str">
        <f>IFERROR(ROUND(S664*VLOOKUP(R664,商品!$A$4:$B$60,2,FALSE),0),"")</f>
        <v/>
      </c>
    </row>
    <row r="665" spans="1:32" ht="19.05" customHeight="1" x14ac:dyDescent="0.25">
      <c r="A665" s="16" t="s">
        <v>534</v>
      </c>
      <c r="C665" s="16">
        <v>2</v>
      </c>
      <c r="T665" s="2">
        <f t="shared" si="40"/>
        <v>0</v>
      </c>
      <c r="U665" s="2">
        <f t="shared" si="41"/>
        <v>0</v>
      </c>
      <c r="V665" s="2">
        <f t="shared" si="42"/>
        <v>0</v>
      </c>
      <c r="W665" s="2">
        <f t="shared" si="43"/>
        <v>0</v>
      </c>
      <c r="Y665" t="str">
        <f>IFERROR(ROUND(E665*VLOOKUP(D665,商品!$A$4:$B$60,2,FALSE),0),"")</f>
        <v/>
      </c>
      <c r="Z665" t="str">
        <f>IFERROR(ROUND(G665*VLOOKUP(F665,商品!$A$4:$B$60,2,FALSE),0),"")</f>
        <v/>
      </c>
      <c r="AA665" t="str">
        <f>IFERROR(ROUND(I665*VLOOKUP(H665,商品!$A$4:$B$60,2,FALSE),0),"")</f>
        <v/>
      </c>
      <c r="AB665" t="str">
        <f>IFERROR(ROUND(K665*VLOOKUP(J665,[1]note_pop_types!$A$16:$E$16,4,FALSE),0),"")</f>
        <v/>
      </c>
      <c r="AC665" t="str">
        <f>IFERROR(ROUND(M665*VLOOKUP(L665,[1]note_pop_types!$A$16:$E$16,4,FALSE),0),"")</f>
        <v/>
      </c>
      <c r="AD665" t="str">
        <f>IFERROR(ROUND(O665*VLOOKUP(N665,[1]note_pop_types!$A$16:$E$16,4,FALSE),0),"")</f>
        <v/>
      </c>
      <c r="AE665" t="str">
        <f>IFERROR(ROUND(Q665*VLOOKUP(P665,商品!$A$4:$B$60,2,FALSE),0),"")</f>
        <v/>
      </c>
      <c r="AF665" t="str">
        <f>IFERROR(ROUND(S665*VLOOKUP(R665,商品!$A$4:$B$60,2,FALSE),0),"")</f>
        <v/>
      </c>
    </row>
    <row r="666" spans="1:32" ht="19.05" customHeight="1" x14ac:dyDescent="0.25">
      <c r="A666" s="16" t="s">
        <v>534</v>
      </c>
      <c r="C666" s="16">
        <v>3</v>
      </c>
      <c r="T666" s="2">
        <f t="shared" si="40"/>
        <v>0</v>
      </c>
      <c r="U666" s="2">
        <f t="shared" si="41"/>
        <v>0</v>
      </c>
      <c r="V666" s="2">
        <f t="shared" si="42"/>
        <v>0</v>
      </c>
      <c r="W666" s="2">
        <f t="shared" si="43"/>
        <v>0</v>
      </c>
      <c r="Y666" t="str">
        <f>IFERROR(ROUND(E666*VLOOKUP(D666,商品!$A$4:$B$60,2,FALSE),0),"")</f>
        <v/>
      </c>
      <c r="Z666" t="str">
        <f>IFERROR(ROUND(G666*VLOOKUP(F666,商品!$A$4:$B$60,2,FALSE),0),"")</f>
        <v/>
      </c>
      <c r="AA666" t="str">
        <f>IFERROR(ROUND(I666*VLOOKUP(H666,商品!$A$4:$B$60,2,FALSE),0),"")</f>
        <v/>
      </c>
      <c r="AB666" t="str">
        <f>IFERROR(ROUND(K666*VLOOKUP(J666,[1]note_pop_types!$A$16:$E$16,4,FALSE),0),"")</f>
        <v/>
      </c>
      <c r="AC666" t="str">
        <f>IFERROR(ROUND(M666*VLOOKUP(L666,[1]note_pop_types!$A$16:$E$16,4,FALSE),0),"")</f>
        <v/>
      </c>
      <c r="AD666" t="str">
        <f>IFERROR(ROUND(O666*VLOOKUP(N666,[1]note_pop_types!$A$16:$E$16,4,FALSE),0),"")</f>
        <v/>
      </c>
      <c r="AE666" t="str">
        <f>IFERROR(ROUND(Q666*VLOOKUP(P666,商品!$A$4:$B$60,2,FALSE),0),"")</f>
        <v/>
      </c>
      <c r="AF666" t="str">
        <f>IFERROR(ROUND(S666*VLOOKUP(R666,商品!$A$4:$B$60,2,FALSE),0),"")</f>
        <v/>
      </c>
    </row>
    <row r="667" spans="1:32" ht="19.05" customHeight="1" x14ac:dyDescent="0.25">
      <c r="A667" s="16" t="s">
        <v>534</v>
      </c>
      <c r="C667" s="16">
        <v>4</v>
      </c>
      <c r="T667" s="2">
        <f t="shared" si="40"/>
        <v>0</v>
      </c>
      <c r="U667" s="2">
        <f t="shared" si="41"/>
        <v>0</v>
      </c>
      <c r="V667" s="2">
        <f t="shared" si="42"/>
        <v>0</v>
      </c>
      <c r="W667" s="2">
        <f t="shared" si="43"/>
        <v>0</v>
      </c>
      <c r="Y667" t="str">
        <f>IFERROR(ROUND(E667*VLOOKUP(D667,商品!$A$4:$B$60,2,FALSE),0),"")</f>
        <v/>
      </c>
      <c r="Z667" t="str">
        <f>IFERROR(ROUND(G667*VLOOKUP(F667,商品!$A$4:$B$60,2,FALSE),0),"")</f>
        <v/>
      </c>
      <c r="AA667" t="str">
        <f>IFERROR(ROUND(I667*VLOOKUP(H667,商品!$A$4:$B$60,2,FALSE),0),"")</f>
        <v/>
      </c>
      <c r="AB667" t="str">
        <f>IFERROR(ROUND(K667*VLOOKUP(J667,[1]note_pop_types!$A$16:$E$16,4,FALSE),0),"")</f>
        <v/>
      </c>
      <c r="AC667" t="str">
        <f>IFERROR(ROUND(M667*VLOOKUP(L667,[1]note_pop_types!$A$16:$E$16,4,FALSE),0),"")</f>
        <v/>
      </c>
      <c r="AD667" t="str">
        <f>IFERROR(ROUND(O667*VLOOKUP(N667,[1]note_pop_types!$A$16:$E$16,4,FALSE),0),"")</f>
        <v/>
      </c>
      <c r="AE667" t="str">
        <f>IFERROR(ROUND(Q667*VLOOKUP(P667,商品!$A$4:$B$60,2,FALSE),0),"")</f>
        <v/>
      </c>
      <c r="AF667" t="str">
        <f>IFERROR(ROUND(S667*VLOOKUP(R667,商品!$A$4:$B$60,2,FALSE),0),"")</f>
        <v/>
      </c>
    </row>
    <row r="668" spans="1:32" ht="19.05" customHeight="1" x14ac:dyDescent="0.25">
      <c r="A668" s="16" t="s">
        <v>534</v>
      </c>
      <c r="C668" s="16">
        <v>5</v>
      </c>
      <c r="T668" s="2">
        <f t="shared" si="40"/>
        <v>0</v>
      </c>
      <c r="U668" s="2">
        <f t="shared" si="41"/>
        <v>0</v>
      </c>
      <c r="V668" s="2">
        <f t="shared" si="42"/>
        <v>0</v>
      </c>
      <c r="W668" s="2">
        <f t="shared" si="43"/>
        <v>0</v>
      </c>
      <c r="Y668" t="str">
        <f>IFERROR(ROUND(E668*VLOOKUP(D668,商品!$A$4:$B$60,2,FALSE),0),"")</f>
        <v/>
      </c>
      <c r="Z668" t="str">
        <f>IFERROR(ROUND(G668*VLOOKUP(F668,商品!$A$4:$B$60,2,FALSE),0),"")</f>
        <v/>
      </c>
      <c r="AA668" t="str">
        <f>IFERROR(ROUND(I668*VLOOKUP(H668,商品!$A$4:$B$60,2,FALSE),0),"")</f>
        <v/>
      </c>
      <c r="AB668" t="str">
        <f>IFERROR(ROUND(K668*VLOOKUP(J668,[1]note_pop_types!$A$16:$E$16,4,FALSE),0),"")</f>
        <v/>
      </c>
      <c r="AC668" t="str">
        <f>IFERROR(ROUND(M668*VLOOKUP(L668,[1]note_pop_types!$A$16:$E$16,4,FALSE),0),"")</f>
        <v/>
      </c>
      <c r="AD668" t="str">
        <f>IFERROR(ROUND(O668*VLOOKUP(N668,[1]note_pop_types!$A$16:$E$16,4,FALSE),0),"")</f>
        <v/>
      </c>
      <c r="AE668" t="str">
        <f>IFERROR(ROUND(Q668*VLOOKUP(P668,商品!$A$4:$B$60,2,FALSE),0),"")</f>
        <v/>
      </c>
      <c r="AF668" t="str">
        <f>IFERROR(ROUND(S668*VLOOKUP(R668,商品!$A$4:$B$60,2,FALSE),0),"")</f>
        <v/>
      </c>
    </row>
    <row r="669" spans="1:32" ht="19.05" customHeight="1" x14ac:dyDescent="0.25">
      <c r="A669" s="15" t="s">
        <v>534</v>
      </c>
      <c r="C669" s="15">
        <v>1</v>
      </c>
      <c r="T669" s="2">
        <f t="shared" si="40"/>
        <v>0</v>
      </c>
      <c r="U669" s="2">
        <f t="shared" si="41"/>
        <v>0</v>
      </c>
      <c r="V669" s="2">
        <f t="shared" si="42"/>
        <v>0</v>
      </c>
      <c r="W669" s="2">
        <f t="shared" si="43"/>
        <v>0</v>
      </c>
      <c r="Y669" t="str">
        <f>IFERROR(ROUND(E669*VLOOKUP(D669,商品!$A$4:$B$60,2,FALSE),0),"")</f>
        <v/>
      </c>
      <c r="Z669" t="str">
        <f>IFERROR(ROUND(G669*VLOOKUP(F669,商品!$A$4:$B$60,2,FALSE),0),"")</f>
        <v/>
      </c>
      <c r="AA669" t="str">
        <f>IFERROR(ROUND(I669*VLOOKUP(H669,商品!$A$4:$B$60,2,FALSE),0),"")</f>
        <v/>
      </c>
      <c r="AB669" t="str">
        <f>IFERROR(ROUND(K669*VLOOKUP(J669,[1]note_pop_types!$A$16:$E$16,4,FALSE),0),"")</f>
        <v/>
      </c>
      <c r="AC669" t="str">
        <f>IFERROR(ROUND(M669*VLOOKUP(L669,[1]note_pop_types!$A$16:$E$16,4,FALSE),0),"")</f>
        <v/>
      </c>
      <c r="AD669" t="str">
        <f>IFERROR(ROUND(O669*VLOOKUP(N669,[1]note_pop_types!$A$16:$E$16,4,FALSE),0),"")</f>
        <v/>
      </c>
      <c r="AE669" t="str">
        <f>IFERROR(ROUND(Q669*VLOOKUP(P669,商品!$A$4:$B$60,2,FALSE),0),"")</f>
        <v/>
      </c>
      <c r="AF669" t="str">
        <f>IFERROR(ROUND(S669*VLOOKUP(R669,商品!$A$4:$B$60,2,FALSE),0),"")</f>
        <v/>
      </c>
    </row>
    <row r="670" spans="1:32" ht="19.05" customHeight="1" x14ac:dyDescent="0.25">
      <c r="A670" s="15" t="s">
        <v>534</v>
      </c>
      <c r="C670" s="15">
        <v>2</v>
      </c>
      <c r="T670" s="2">
        <f t="shared" si="40"/>
        <v>0</v>
      </c>
      <c r="U670" s="2">
        <f t="shared" si="41"/>
        <v>0</v>
      </c>
      <c r="V670" s="2">
        <f t="shared" si="42"/>
        <v>0</v>
      </c>
      <c r="W670" s="2">
        <f t="shared" si="43"/>
        <v>0</v>
      </c>
      <c r="Y670" t="str">
        <f>IFERROR(ROUND(E670*VLOOKUP(D670,商品!$A$4:$B$60,2,FALSE),0),"")</f>
        <v/>
      </c>
      <c r="Z670" t="str">
        <f>IFERROR(ROUND(G670*VLOOKUP(F670,商品!$A$4:$B$60,2,FALSE),0),"")</f>
        <v/>
      </c>
      <c r="AA670" t="str">
        <f>IFERROR(ROUND(I670*VLOOKUP(H670,商品!$A$4:$B$60,2,FALSE),0),"")</f>
        <v/>
      </c>
      <c r="AB670" t="str">
        <f>IFERROR(ROUND(K670*VLOOKUP(J670,[1]note_pop_types!$A$16:$E$16,4,FALSE),0),"")</f>
        <v/>
      </c>
      <c r="AC670" t="str">
        <f>IFERROR(ROUND(M670*VLOOKUP(L670,[1]note_pop_types!$A$16:$E$16,4,FALSE),0),"")</f>
        <v/>
      </c>
      <c r="AD670" t="str">
        <f>IFERROR(ROUND(O670*VLOOKUP(N670,[1]note_pop_types!$A$16:$E$16,4,FALSE),0),"")</f>
        <v/>
      </c>
      <c r="AE670" t="str">
        <f>IFERROR(ROUND(Q670*VLOOKUP(P670,商品!$A$4:$B$60,2,FALSE),0),"")</f>
        <v/>
      </c>
      <c r="AF670" t="str">
        <f>IFERROR(ROUND(S670*VLOOKUP(R670,商品!$A$4:$B$60,2,FALSE),0),"")</f>
        <v/>
      </c>
    </row>
    <row r="671" spans="1:32" ht="19.05" customHeight="1" x14ac:dyDescent="0.25">
      <c r="A671" s="15" t="s">
        <v>534</v>
      </c>
      <c r="C671" s="15">
        <v>3</v>
      </c>
      <c r="T671" s="2">
        <f t="shared" si="40"/>
        <v>0</v>
      </c>
      <c r="U671" s="2">
        <f t="shared" si="41"/>
        <v>0</v>
      </c>
      <c r="V671" s="2">
        <f t="shared" si="42"/>
        <v>0</v>
      </c>
      <c r="W671" s="2">
        <f t="shared" si="43"/>
        <v>0</v>
      </c>
      <c r="Y671" t="str">
        <f>IFERROR(ROUND(E671*VLOOKUP(D671,商品!$A$4:$B$60,2,FALSE),0),"")</f>
        <v/>
      </c>
      <c r="Z671" t="str">
        <f>IFERROR(ROUND(G671*VLOOKUP(F671,商品!$A$4:$B$60,2,FALSE),0),"")</f>
        <v/>
      </c>
      <c r="AA671" t="str">
        <f>IFERROR(ROUND(I671*VLOOKUP(H671,商品!$A$4:$B$60,2,FALSE),0),"")</f>
        <v/>
      </c>
      <c r="AB671" t="str">
        <f>IFERROR(ROUND(K671*VLOOKUP(J671,[1]note_pop_types!$A$16:$E$16,4,FALSE),0),"")</f>
        <v/>
      </c>
      <c r="AC671" t="str">
        <f>IFERROR(ROUND(M671*VLOOKUP(L671,[1]note_pop_types!$A$16:$E$16,4,FALSE),0),"")</f>
        <v/>
      </c>
      <c r="AD671" t="str">
        <f>IFERROR(ROUND(O671*VLOOKUP(N671,[1]note_pop_types!$A$16:$E$16,4,FALSE),0),"")</f>
        <v/>
      </c>
      <c r="AE671" t="str">
        <f>IFERROR(ROUND(Q671*VLOOKUP(P671,商品!$A$4:$B$60,2,FALSE),0),"")</f>
        <v/>
      </c>
      <c r="AF671" t="str">
        <f>IFERROR(ROUND(S671*VLOOKUP(R671,商品!$A$4:$B$60,2,FALSE),0),"")</f>
        <v/>
      </c>
    </row>
    <row r="672" spans="1:32" ht="19.05" customHeight="1" x14ac:dyDescent="0.25">
      <c r="A672" s="15" t="s">
        <v>534</v>
      </c>
      <c r="C672" s="15">
        <v>4</v>
      </c>
      <c r="T672" s="2">
        <f t="shared" si="40"/>
        <v>0</v>
      </c>
      <c r="U672" s="2">
        <f t="shared" si="41"/>
        <v>0</v>
      </c>
      <c r="V672" s="2">
        <f t="shared" si="42"/>
        <v>0</v>
      </c>
      <c r="W672" s="2">
        <f t="shared" si="43"/>
        <v>0</v>
      </c>
      <c r="Y672" t="str">
        <f>IFERROR(ROUND(E672*VLOOKUP(D672,商品!$A$4:$B$60,2,FALSE),0),"")</f>
        <v/>
      </c>
      <c r="Z672" t="str">
        <f>IFERROR(ROUND(G672*VLOOKUP(F672,商品!$A$4:$B$60,2,FALSE),0),"")</f>
        <v/>
      </c>
      <c r="AA672" t="str">
        <f>IFERROR(ROUND(I672*VLOOKUP(H672,商品!$A$4:$B$60,2,FALSE),0),"")</f>
        <v/>
      </c>
      <c r="AB672" t="str">
        <f>IFERROR(ROUND(K672*VLOOKUP(J672,[1]note_pop_types!$A$16:$E$16,4,FALSE),0),"")</f>
        <v/>
      </c>
      <c r="AC672" t="str">
        <f>IFERROR(ROUND(M672*VLOOKUP(L672,[1]note_pop_types!$A$16:$E$16,4,FALSE),0),"")</f>
        <v/>
      </c>
      <c r="AD672" t="str">
        <f>IFERROR(ROUND(O672*VLOOKUP(N672,[1]note_pop_types!$A$16:$E$16,4,FALSE),0),"")</f>
        <v/>
      </c>
      <c r="AE672" t="str">
        <f>IFERROR(ROUND(Q672*VLOOKUP(P672,商品!$A$4:$B$60,2,FALSE),0),"")</f>
        <v/>
      </c>
      <c r="AF672" t="str">
        <f>IFERROR(ROUND(S672*VLOOKUP(R672,商品!$A$4:$B$60,2,FALSE),0),"")</f>
        <v/>
      </c>
    </row>
    <row r="673" spans="1:32" ht="19.05" customHeight="1" x14ac:dyDescent="0.25">
      <c r="A673" s="15" t="s">
        <v>534</v>
      </c>
      <c r="C673" s="15">
        <v>5</v>
      </c>
      <c r="T673" s="2">
        <f t="shared" si="40"/>
        <v>0</v>
      </c>
      <c r="U673" s="2">
        <f t="shared" si="41"/>
        <v>0</v>
      </c>
      <c r="V673" s="2">
        <f t="shared" si="42"/>
        <v>0</v>
      </c>
      <c r="W673" s="2">
        <f t="shared" si="43"/>
        <v>0</v>
      </c>
      <c r="Y673" t="str">
        <f>IFERROR(ROUND(E673*VLOOKUP(D673,商品!$A$4:$B$60,2,FALSE),0),"")</f>
        <v/>
      </c>
      <c r="Z673" t="str">
        <f>IFERROR(ROUND(G673*VLOOKUP(F673,商品!$A$4:$B$60,2,FALSE),0),"")</f>
        <v/>
      </c>
      <c r="AA673" t="str">
        <f>IFERROR(ROUND(I673*VLOOKUP(H673,商品!$A$4:$B$60,2,FALSE),0),"")</f>
        <v/>
      </c>
      <c r="AB673" t="str">
        <f>IFERROR(ROUND(K673*VLOOKUP(J673,[1]note_pop_types!$A$16:$E$16,4,FALSE),0),"")</f>
        <v/>
      </c>
      <c r="AC673" t="str">
        <f>IFERROR(ROUND(M673*VLOOKUP(L673,[1]note_pop_types!$A$16:$E$16,4,FALSE),0),"")</f>
        <v/>
      </c>
      <c r="AD673" t="str">
        <f>IFERROR(ROUND(O673*VLOOKUP(N673,[1]note_pop_types!$A$16:$E$16,4,FALSE),0),"")</f>
        <v/>
      </c>
      <c r="AE673" t="str">
        <f>IFERROR(ROUND(Q673*VLOOKUP(P673,商品!$A$4:$B$60,2,FALSE),0),"")</f>
        <v/>
      </c>
      <c r="AF673" t="str">
        <f>IFERROR(ROUND(S673*VLOOKUP(R673,商品!$A$4:$B$60,2,FALSE),0),"")</f>
        <v/>
      </c>
    </row>
    <row r="674" spans="1:32" ht="19.05" customHeight="1" x14ac:dyDescent="0.25">
      <c r="A674" s="16" t="s">
        <v>322</v>
      </c>
      <c r="C674" s="16">
        <v>1</v>
      </c>
      <c r="T674" s="2">
        <f t="shared" si="40"/>
        <v>0</v>
      </c>
      <c r="U674" s="2">
        <f t="shared" si="41"/>
        <v>0</v>
      </c>
      <c r="V674" s="2">
        <f t="shared" si="42"/>
        <v>0</v>
      </c>
      <c r="W674" s="2">
        <f t="shared" si="43"/>
        <v>0</v>
      </c>
      <c r="Y674" t="str">
        <f>IFERROR(ROUND(E674*VLOOKUP(D674,商品!$A$4:$B$60,2,FALSE),0),"")</f>
        <v/>
      </c>
      <c r="Z674" t="str">
        <f>IFERROR(ROUND(G674*VLOOKUP(F674,商品!$A$4:$B$60,2,FALSE),0),"")</f>
        <v/>
      </c>
      <c r="AA674" t="str">
        <f>IFERROR(ROUND(I674*VLOOKUP(H674,商品!$A$4:$B$60,2,FALSE),0),"")</f>
        <v/>
      </c>
      <c r="AB674" t="str">
        <f>IFERROR(ROUND(K674*VLOOKUP(J674,[1]note_pop_types!$A$16:$E$16,4,FALSE),0),"")</f>
        <v/>
      </c>
      <c r="AC674" t="str">
        <f>IFERROR(ROUND(M674*VLOOKUP(L674,[1]note_pop_types!$A$16:$E$16,4,FALSE),0),"")</f>
        <v/>
      </c>
      <c r="AD674" t="str">
        <f>IFERROR(ROUND(O674*VLOOKUP(N674,[1]note_pop_types!$A$16:$E$16,4,FALSE),0),"")</f>
        <v/>
      </c>
      <c r="AE674" t="str">
        <f>IFERROR(ROUND(Q674*VLOOKUP(P674,商品!$A$4:$B$60,2,FALSE),0),"")</f>
        <v/>
      </c>
      <c r="AF674" t="str">
        <f>IFERROR(ROUND(S674*VLOOKUP(R674,商品!$A$4:$B$60,2,FALSE),0),"")</f>
        <v/>
      </c>
    </row>
    <row r="675" spans="1:32" ht="19.05" customHeight="1" x14ac:dyDescent="0.25">
      <c r="A675" s="16" t="s">
        <v>322</v>
      </c>
      <c r="C675" s="16">
        <v>2</v>
      </c>
      <c r="T675" s="2">
        <f t="shared" si="40"/>
        <v>0</v>
      </c>
      <c r="U675" s="2">
        <f t="shared" si="41"/>
        <v>0</v>
      </c>
      <c r="V675" s="2">
        <f t="shared" si="42"/>
        <v>0</v>
      </c>
      <c r="W675" s="2">
        <f t="shared" si="43"/>
        <v>0</v>
      </c>
      <c r="Y675" t="str">
        <f>IFERROR(ROUND(E675*VLOOKUP(D675,商品!$A$4:$B$60,2,FALSE),0),"")</f>
        <v/>
      </c>
      <c r="Z675" t="str">
        <f>IFERROR(ROUND(G675*VLOOKUP(F675,商品!$A$4:$B$60,2,FALSE),0),"")</f>
        <v/>
      </c>
      <c r="AA675" t="str">
        <f>IFERROR(ROUND(I675*VLOOKUP(H675,商品!$A$4:$B$60,2,FALSE),0),"")</f>
        <v/>
      </c>
      <c r="AB675" t="str">
        <f>IFERROR(ROUND(K675*VLOOKUP(J675,[1]note_pop_types!$A$16:$E$16,4,FALSE),0),"")</f>
        <v/>
      </c>
      <c r="AC675" t="str">
        <f>IFERROR(ROUND(M675*VLOOKUP(L675,[1]note_pop_types!$A$16:$E$16,4,FALSE),0),"")</f>
        <v/>
      </c>
      <c r="AD675" t="str">
        <f>IFERROR(ROUND(O675*VLOOKUP(N675,[1]note_pop_types!$A$16:$E$16,4,FALSE),0),"")</f>
        <v/>
      </c>
      <c r="AE675" t="str">
        <f>IFERROR(ROUND(Q675*VLOOKUP(P675,商品!$A$4:$B$60,2,FALSE),0),"")</f>
        <v/>
      </c>
      <c r="AF675" t="str">
        <f>IFERROR(ROUND(S675*VLOOKUP(R675,商品!$A$4:$B$60,2,FALSE),0),"")</f>
        <v/>
      </c>
    </row>
    <row r="676" spans="1:32" ht="19.05" customHeight="1" x14ac:dyDescent="0.25">
      <c r="A676" s="16" t="s">
        <v>322</v>
      </c>
      <c r="C676" s="16">
        <v>3</v>
      </c>
      <c r="T676" s="2">
        <f t="shared" si="40"/>
        <v>0</v>
      </c>
      <c r="U676" s="2">
        <f t="shared" si="41"/>
        <v>0</v>
      </c>
      <c r="V676" s="2">
        <f t="shared" si="42"/>
        <v>0</v>
      </c>
      <c r="W676" s="2">
        <f t="shared" si="43"/>
        <v>0</v>
      </c>
      <c r="Y676" t="str">
        <f>IFERROR(ROUND(E676*VLOOKUP(D676,商品!$A$4:$B$60,2,FALSE),0),"")</f>
        <v/>
      </c>
      <c r="Z676" t="str">
        <f>IFERROR(ROUND(G676*VLOOKUP(F676,商品!$A$4:$B$60,2,FALSE),0),"")</f>
        <v/>
      </c>
      <c r="AA676" t="str">
        <f>IFERROR(ROUND(I676*VLOOKUP(H676,商品!$A$4:$B$60,2,FALSE),0),"")</f>
        <v/>
      </c>
      <c r="AB676" t="str">
        <f>IFERROR(ROUND(K676*VLOOKUP(J676,[1]note_pop_types!$A$16:$E$16,4,FALSE),0),"")</f>
        <v/>
      </c>
      <c r="AC676" t="str">
        <f>IFERROR(ROUND(M676*VLOOKUP(L676,[1]note_pop_types!$A$16:$E$16,4,FALSE),0),"")</f>
        <v/>
      </c>
      <c r="AD676" t="str">
        <f>IFERROR(ROUND(O676*VLOOKUP(N676,[1]note_pop_types!$A$16:$E$16,4,FALSE),0),"")</f>
        <v/>
      </c>
      <c r="AE676" t="str">
        <f>IFERROR(ROUND(Q676*VLOOKUP(P676,商品!$A$4:$B$60,2,FALSE),0),"")</f>
        <v/>
      </c>
      <c r="AF676" t="str">
        <f>IFERROR(ROUND(S676*VLOOKUP(R676,商品!$A$4:$B$60,2,FALSE),0),"")</f>
        <v/>
      </c>
    </row>
    <row r="677" spans="1:32" ht="19.05" customHeight="1" x14ac:dyDescent="0.25">
      <c r="A677" s="16" t="s">
        <v>322</v>
      </c>
      <c r="C677" s="16">
        <v>4</v>
      </c>
      <c r="T677" s="2">
        <f t="shared" si="40"/>
        <v>0</v>
      </c>
      <c r="U677" s="2">
        <f t="shared" si="41"/>
        <v>0</v>
      </c>
      <c r="V677" s="2">
        <f t="shared" si="42"/>
        <v>0</v>
      </c>
      <c r="W677" s="2">
        <f t="shared" si="43"/>
        <v>0</v>
      </c>
      <c r="Y677" t="str">
        <f>IFERROR(ROUND(E677*VLOOKUP(D677,商品!$A$4:$B$60,2,FALSE),0),"")</f>
        <v/>
      </c>
      <c r="Z677" t="str">
        <f>IFERROR(ROUND(G677*VLOOKUP(F677,商品!$A$4:$B$60,2,FALSE),0),"")</f>
        <v/>
      </c>
      <c r="AA677" t="str">
        <f>IFERROR(ROUND(I677*VLOOKUP(H677,商品!$A$4:$B$60,2,FALSE),0),"")</f>
        <v/>
      </c>
      <c r="AB677" t="str">
        <f>IFERROR(ROUND(K677*VLOOKUP(J677,[1]note_pop_types!$A$16:$E$16,4,FALSE),0),"")</f>
        <v/>
      </c>
      <c r="AC677" t="str">
        <f>IFERROR(ROUND(M677*VLOOKUP(L677,[1]note_pop_types!$A$16:$E$16,4,FALSE),0),"")</f>
        <v/>
      </c>
      <c r="AD677" t="str">
        <f>IFERROR(ROUND(O677*VLOOKUP(N677,[1]note_pop_types!$A$16:$E$16,4,FALSE),0),"")</f>
        <v/>
      </c>
      <c r="AE677" t="str">
        <f>IFERROR(ROUND(Q677*VLOOKUP(P677,商品!$A$4:$B$60,2,FALSE),0),"")</f>
        <v/>
      </c>
      <c r="AF677" t="str">
        <f>IFERROR(ROUND(S677*VLOOKUP(R677,商品!$A$4:$B$60,2,FALSE),0),"")</f>
        <v/>
      </c>
    </row>
    <row r="678" spans="1:32" ht="19.05" customHeight="1" x14ac:dyDescent="0.25">
      <c r="A678" s="16" t="s">
        <v>322</v>
      </c>
      <c r="C678" s="16">
        <v>5</v>
      </c>
      <c r="T678" s="2">
        <f t="shared" si="40"/>
        <v>0</v>
      </c>
      <c r="U678" s="2">
        <f t="shared" si="41"/>
        <v>0</v>
      </c>
      <c r="V678" s="2">
        <f t="shared" si="42"/>
        <v>0</v>
      </c>
      <c r="W678" s="2">
        <f t="shared" si="43"/>
        <v>0</v>
      </c>
      <c r="Y678" t="str">
        <f>IFERROR(ROUND(E678*VLOOKUP(D678,商品!$A$4:$B$60,2,FALSE),0),"")</f>
        <v/>
      </c>
      <c r="Z678" t="str">
        <f>IFERROR(ROUND(G678*VLOOKUP(F678,商品!$A$4:$B$60,2,FALSE),0),"")</f>
        <v/>
      </c>
      <c r="AA678" t="str">
        <f>IFERROR(ROUND(I678*VLOOKUP(H678,商品!$A$4:$B$60,2,FALSE),0),"")</f>
        <v/>
      </c>
      <c r="AB678" t="str">
        <f>IFERROR(ROUND(K678*VLOOKUP(J678,[1]note_pop_types!$A$16:$E$16,4,FALSE),0),"")</f>
        <v/>
      </c>
      <c r="AC678" t="str">
        <f>IFERROR(ROUND(M678*VLOOKUP(L678,[1]note_pop_types!$A$16:$E$16,4,FALSE),0),"")</f>
        <v/>
      </c>
      <c r="AD678" t="str">
        <f>IFERROR(ROUND(O678*VLOOKUP(N678,[1]note_pop_types!$A$16:$E$16,4,FALSE),0),"")</f>
        <v/>
      </c>
      <c r="AE678" t="str">
        <f>IFERROR(ROUND(Q678*VLOOKUP(P678,商品!$A$4:$B$60,2,FALSE),0),"")</f>
        <v/>
      </c>
      <c r="AF678" t="str">
        <f>IFERROR(ROUND(S678*VLOOKUP(R678,商品!$A$4:$B$60,2,FALSE),0),"")</f>
        <v/>
      </c>
    </row>
    <row r="679" spans="1:32" ht="19.05" customHeight="1" x14ac:dyDescent="0.25">
      <c r="A679" s="16" t="s">
        <v>322</v>
      </c>
      <c r="C679" s="16">
        <v>6</v>
      </c>
      <c r="T679" s="2">
        <f t="shared" si="40"/>
        <v>0</v>
      </c>
      <c r="U679" s="2">
        <f t="shared" si="41"/>
        <v>0</v>
      </c>
      <c r="V679" s="2">
        <f t="shared" si="42"/>
        <v>0</v>
      </c>
      <c r="W679" s="2">
        <f t="shared" si="43"/>
        <v>0</v>
      </c>
      <c r="Y679" t="str">
        <f>IFERROR(ROUND(E679*VLOOKUP(D679,商品!$A$4:$B$60,2,FALSE),0),"")</f>
        <v/>
      </c>
      <c r="Z679" t="str">
        <f>IFERROR(ROUND(G679*VLOOKUP(F679,商品!$A$4:$B$60,2,FALSE),0),"")</f>
        <v/>
      </c>
      <c r="AA679" t="str">
        <f>IFERROR(ROUND(I679*VLOOKUP(H679,商品!$A$4:$B$60,2,FALSE),0),"")</f>
        <v/>
      </c>
      <c r="AB679" t="str">
        <f>IFERROR(ROUND(K679*VLOOKUP(J679,[1]note_pop_types!$A$16:$E$16,4,FALSE),0),"")</f>
        <v/>
      </c>
      <c r="AC679" t="str">
        <f>IFERROR(ROUND(M679*VLOOKUP(L679,[1]note_pop_types!$A$16:$E$16,4,FALSE),0),"")</f>
        <v/>
      </c>
      <c r="AD679" t="str">
        <f>IFERROR(ROUND(O679*VLOOKUP(N679,[1]note_pop_types!$A$16:$E$16,4,FALSE),0),"")</f>
        <v/>
      </c>
      <c r="AE679" t="str">
        <f>IFERROR(ROUND(Q679*VLOOKUP(P679,商品!$A$4:$B$60,2,FALSE),0),"")</f>
        <v/>
      </c>
      <c r="AF679" t="str">
        <f>IFERROR(ROUND(S679*VLOOKUP(R679,商品!$A$4:$B$60,2,FALSE),0),"")</f>
        <v/>
      </c>
    </row>
    <row r="680" spans="1:32" ht="19.05" customHeight="1" x14ac:dyDescent="0.25">
      <c r="A680" s="16" t="s">
        <v>322</v>
      </c>
      <c r="C680" s="16">
        <v>7</v>
      </c>
      <c r="T680" s="2">
        <f t="shared" si="40"/>
        <v>0</v>
      </c>
      <c r="U680" s="2">
        <f t="shared" si="41"/>
        <v>0</v>
      </c>
      <c r="V680" s="2">
        <f t="shared" si="42"/>
        <v>0</v>
      </c>
      <c r="W680" s="2">
        <f t="shared" si="43"/>
        <v>0</v>
      </c>
      <c r="Y680" t="str">
        <f>IFERROR(ROUND(E680*VLOOKUP(D680,商品!$A$4:$B$60,2,FALSE),0),"")</f>
        <v/>
      </c>
      <c r="Z680" t="str">
        <f>IFERROR(ROUND(G680*VLOOKUP(F680,商品!$A$4:$B$60,2,FALSE),0),"")</f>
        <v/>
      </c>
      <c r="AA680" t="str">
        <f>IFERROR(ROUND(I680*VLOOKUP(H680,商品!$A$4:$B$60,2,FALSE),0),"")</f>
        <v/>
      </c>
      <c r="AB680" t="str">
        <f>IFERROR(ROUND(K680*VLOOKUP(J680,[1]note_pop_types!$A$16:$E$16,4,FALSE),0),"")</f>
        <v/>
      </c>
      <c r="AC680" t="str">
        <f>IFERROR(ROUND(M680*VLOOKUP(L680,[1]note_pop_types!$A$16:$E$16,4,FALSE),0),"")</f>
        <v/>
      </c>
      <c r="AD680" t="str">
        <f>IFERROR(ROUND(O680*VLOOKUP(N680,[1]note_pop_types!$A$16:$E$16,4,FALSE),0),"")</f>
        <v/>
      </c>
      <c r="AE680" t="str">
        <f>IFERROR(ROUND(Q680*VLOOKUP(P680,商品!$A$4:$B$60,2,FALSE),0),"")</f>
        <v/>
      </c>
      <c r="AF680" t="str">
        <f>IFERROR(ROUND(S680*VLOOKUP(R680,商品!$A$4:$B$60,2,FALSE),0),"")</f>
        <v/>
      </c>
    </row>
    <row r="681" spans="1:32" ht="19.05" customHeight="1" x14ac:dyDescent="0.25">
      <c r="A681" s="16" t="s">
        <v>322</v>
      </c>
      <c r="C681" s="16">
        <v>8</v>
      </c>
      <c r="T681" s="2">
        <f t="shared" si="40"/>
        <v>0</v>
      </c>
      <c r="U681" s="2">
        <f t="shared" si="41"/>
        <v>0</v>
      </c>
      <c r="V681" s="2">
        <f t="shared" si="42"/>
        <v>0</v>
      </c>
      <c r="W681" s="2">
        <f t="shared" si="43"/>
        <v>0</v>
      </c>
      <c r="Y681" t="str">
        <f>IFERROR(ROUND(E681*VLOOKUP(D681,商品!$A$4:$B$60,2,FALSE),0),"")</f>
        <v/>
      </c>
      <c r="Z681" t="str">
        <f>IFERROR(ROUND(G681*VLOOKUP(F681,商品!$A$4:$B$60,2,FALSE),0),"")</f>
        <v/>
      </c>
      <c r="AA681" t="str">
        <f>IFERROR(ROUND(I681*VLOOKUP(H681,商品!$A$4:$B$60,2,FALSE),0),"")</f>
        <v/>
      </c>
      <c r="AB681" t="str">
        <f>IFERROR(ROUND(K681*VLOOKUP(J681,[1]note_pop_types!$A$16:$E$16,4,FALSE),0),"")</f>
        <v/>
      </c>
      <c r="AC681" t="str">
        <f>IFERROR(ROUND(M681*VLOOKUP(L681,[1]note_pop_types!$A$16:$E$16,4,FALSE),0),"")</f>
        <v/>
      </c>
      <c r="AD681" t="str">
        <f>IFERROR(ROUND(O681*VLOOKUP(N681,[1]note_pop_types!$A$16:$E$16,4,FALSE),0),"")</f>
        <v/>
      </c>
      <c r="AE681" t="str">
        <f>IFERROR(ROUND(Q681*VLOOKUP(P681,商品!$A$4:$B$60,2,FALSE),0),"")</f>
        <v/>
      </c>
      <c r="AF681" t="str">
        <f>IFERROR(ROUND(S681*VLOOKUP(R681,商品!$A$4:$B$60,2,FALSE),0),"")</f>
        <v/>
      </c>
    </row>
    <row r="682" spans="1:32" ht="19.05" customHeight="1" x14ac:dyDescent="0.25">
      <c r="A682" s="15" t="s">
        <v>324</v>
      </c>
      <c r="C682" s="15">
        <v>1</v>
      </c>
      <c r="T682" s="2">
        <f t="shared" si="40"/>
        <v>0</v>
      </c>
      <c r="U682" s="2">
        <f t="shared" si="41"/>
        <v>0</v>
      </c>
      <c r="V682" s="2">
        <f t="shared" si="42"/>
        <v>0</v>
      </c>
      <c r="W682" s="2">
        <f t="shared" si="43"/>
        <v>0</v>
      </c>
      <c r="Y682" t="str">
        <f>IFERROR(ROUND(E682*VLOOKUP(D682,商品!$A$4:$B$60,2,FALSE),0),"")</f>
        <v/>
      </c>
      <c r="Z682" t="str">
        <f>IFERROR(ROUND(G682*VLOOKUP(F682,商品!$A$4:$B$60,2,FALSE),0),"")</f>
        <v/>
      </c>
      <c r="AA682" t="str">
        <f>IFERROR(ROUND(I682*VLOOKUP(H682,商品!$A$4:$B$60,2,FALSE),0),"")</f>
        <v/>
      </c>
      <c r="AB682" t="str">
        <f>IFERROR(ROUND(K682*VLOOKUP(J682,[1]note_pop_types!$A$16:$E$16,4,FALSE),0),"")</f>
        <v/>
      </c>
      <c r="AC682" t="str">
        <f>IFERROR(ROUND(M682*VLOOKUP(L682,[1]note_pop_types!$A$16:$E$16,4,FALSE),0),"")</f>
        <v/>
      </c>
      <c r="AD682" t="str">
        <f>IFERROR(ROUND(O682*VLOOKUP(N682,[1]note_pop_types!$A$16:$E$16,4,FALSE),0),"")</f>
        <v/>
      </c>
      <c r="AE682" t="str">
        <f>IFERROR(ROUND(Q682*VLOOKUP(P682,商品!$A$4:$B$60,2,FALSE),0),"")</f>
        <v/>
      </c>
      <c r="AF682" t="str">
        <f>IFERROR(ROUND(S682*VLOOKUP(R682,商品!$A$4:$B$60,2,FALSE),0),"")</f>
        <v/>
      </c>
    </row>
    <row r="683" spans="1:32" ht="19.05" customHeight="1" x14ac:dyDescent="0.25">
      <c r="A683" s="15" t="s">
        <v>324</v>
      </c>
      <c r="C683" s="15">
        <v>2</v>
      </c>
      <c r="T683" s="2">
        <f t="shared" si="40"/>
        <v>0</v>
      </c>
      <c r="U683" s="2">
        <f t="shared" si="41"/>
        <v>0</v>
      </c>
      <c r="V683" s="2">
        <f t="shared" si="42"/>
        <v>0</v>
      </c>
      <c r="W683" s="2">
        <f t="shared" si="43"/>
        <v>0</v>
      </c>
      <c r="Y683" t="str">
        <f>IFERROR(ROUND(E683*VLOOKUP(D683,商品!$A$4:$B$60,2,FALSE),0),"")</f>
        <v/>
      </c>
      <c r="Z683" t="str">
        <f>IFERROR(ROUND(G683*VLOOKUP(F683,商品!$A$4:$B$60,2,FALSE),0),"")</f>
        <v/>
      </c>
      <c r="AA683" t="str">
        <f>IFERROR(ROUND(I683*VLOOKUP(H683,商品!$A$4:$B$60,2,FALSE),0),"")</f>
        <v/>
      </c>
      <c r="AB683" t="str">
        <f>IFERROR(ROUND(K683*VLOOKUP(J683,[1]note_pop_types!$A$16:$E$16,4,FALSE),0),"")</f>
        <v/>
      </c>
      <c r="AC683" t="str">
        <f>IFERROR(ROUND(M683*VLOOKUP(L683,[1]note_pop_types!$A$16:$E$16,4,FALSE),0),"")</f>
        <v/>
      </c>
      <c r="AD683" t="str">
        <f>IFERROR(ROUND(O683*VLOOKUP(N683,[1]note_pop_types!$A$16:$E$16,4,FALSE),0),"")</f>
        <v/>
      </c>
      <c r="AE683" t="str">
        <f>IFERROR(ROUND(Q683*VLOOKUP(P683,商品!$A$4:$B$60,2,FALSE),0),"")</f>
        <v/>
      </c>
      <c r="AF683" t="str">
        <f>IFERROR(ROUND(S683*VLOOKUP(R683,商品!$A$4:$B$60,2,FALSE),0),"")</f>
        <v/>
      </c>
    </row>
    <row r="684" spans="1:32" ht="19.05" customHeight="1" x14ac:dyDescent="0.25">
      <c r="A684" s="15" t="s">
        <v>324</v>
      </c>
      <c r="C684" s="15">
        <v>3</v>
      </c>
      <c r="T684" s="2">
        <f t="shared" si="40"/>
        <v>0</v>
      </c>
      <c r="U684" s="2">
        <f t="shared" si="41"/>
        <v>0</v>
      </c>
      <c r="V684" s="2">
        <f t="shared" si="42"/>
        <v>0</v>
      </c>
      <c r="W684" s="2">
        <f t="shared" si="43"/>
        <v>0</v>
      </c>
      <c r="Y684" t="str">
        <f>IFERROR(ROUND(E684*VLOOKUP(D684,商品!$A$4:$B$60,2,FALSE),0),"")</f>
        <v/>
      </c>
      <c r="Z684" t="str">
        <f>IFERROR(ROUND(G684*VLOOKUP(F684,商品!$A$4:$B$60,2,FALSE),0),"")</f>
        <v/>
      </c>
      <c r="AA684" t="str">
        <f>IFERROR(ROUND(I684*VLOOKUP(H684,商品!$A$4:$B$60,2,FALSE),0),"")</f>
        <v/>
      </c>
      <c r="AB684" t="str">
        <f>IFERROR(ROUND(K684*VLOOKUP(J684,[1]note_pop_types!$A$16:$E$16,4,FALSE),0),"")</f>
        <v/>
      </c>
      <c r="AC684" t="str">
        <f>IFERROR(ROUND(M684*VLOOKUP(L684,[1]note_pop_types!$A$16:$E$16,4,FALSE),0),"")</f>
        <v/>
      </c>
      <c r="AD684" t="str">
        <f>IFERROR(ROUND(O684*VLOOKUP(N684,[1]note_pop_types!$A$16:$E$16,4,FALSE),0),"")</f>
        <v/>
      </c>
      <c r="AE684" t="str">
        <f>IFERROR(ROUND(Q684*VLOOKUP(P684,商品!$A$4:$B$60,2,FALSE),0),"")</f>
        <v/>
      </c>
      <c r="AF684" t="str">
        <f>IFERROR(ROUND(S684*VLOOKUP(R684,商品!$A$4:$B$60,2,FALSE),0),"")</f>
        <v/>
      </c>
    </row>
    <row r="685" spans="1:32" ht="19.05" customHeight="1" x14ac:dyDescent="0.25">
      <c r="A685" s="15" t="s">
        <v>324</v>
      </c>
      <c r="C685" s="15">
        <v>4</v>
      </c>
      <c r="T685" s="2">
        <f t="shared" si="40"/>
        <v>0</v>
      </c>
      <c r="U685" s="2">
        <f t="shared" si="41"/>
        <v>0</v>
      </c>
      <c r="V685" s="2">
        <f t="shared" si="42"/>
        <v>0</v>
      </c>
      <c r="W685" s="2">
        <f t="shared" si="43"/>
        <v>0</v>
      </c>
      <c r="Y685" t="str">
        <f>IFERROR(ROUND(E685*VLOOKUP(D685,商品!$A$4:$B$60,2,FALSE),0),"")</f>
        <v/>
      </c>
      <c r="Z685" t="str">
        <f>IFERROR(ROUND(G685*VLOOKUP(F685,商品!$A$4:$B$60,2,FALSE),0),"")</f>
        <v/>
      </c>
      <c r="AA685" t="str">
        <f>IFERROR(ROUND(I685*VLOOKUP(H685,商品!$A$4:$B$60,2,FALSE),0),"")</f>
        <v/>
      </c>
      <c r="AB685" t="str">
        <f>IFERROR(ROUND(K685*VLOOKUP(J685,[1]note_pop_types!$A$16:$E$16,4,FALSE),0),"")</f>
        <v/>
      </c>
      <c r="AC685" t="str">
        <f>IFERROR(ROUND(M685*VLOOKUP(L685,[1]note_pop_types!$A$16:$E$16,4,FALSE),0),"")</f>
        <v/>
      </c>
      <c r="AD685" t="str">
        <f>IFERROR(ROUND(O685*VLOOKUP(N685,[1]note_pop_types!$A$16:$E$16,4,FALSE),0),"")</f>
        <v/>
      </c>
      <c r="AE685" t="str">
        <f>IFERROR(ROUND(Q685*VLOOKUP(P685,商品!$A$4:$B$60,2,FALSE),0),"")</f>
        <v/>
      </c>
      <c r="AF685" t="str">
        <f>IFERROR(ROUND(S685*VLOOKUP(R685,商品!$A$4:$B$60,2,FALSE),0),"")</f>
        <v/>
      </c>
    </row>
    <row r="686" spans="1:32" ht="19.05" customHeight="1" x14ac:dyDescent="0.25">
      <c r="A686" s="15" t="s">
        <v>324</v>
      </c>
      <c r="C686" s="15">
        <v>5</v>
      </c>
      <c r="T686" s="2">
        <f t="shared" si="40"/>
        <v>0</v>
      </c>
      <c r="U686" s="2">
        <f t="shared" si="41"/>
        <v>0</v>
      </c>
      <c r="V686" s="2">
        <f t="shared" si="42"/>
        <v>0</v>
      </c>
      <c r="W686" s="2">
        <f t="shared" si="43"/>
        <v>0</v>
      </c>
      <c r="Y686" t="str">
        <f>IFERROR(ROUND(E686*VLOOKUP(D686,商品!$A$4:$B$60,2,FALSE),0),"")</f>
        <v/>
      </c>
      <c r="Z686" t="str">
        <f>IFERROR(ROUND(G686*VLOOKUP(F686,商品!$A$4:$B$60,2,FALSE),0),"")</f>
        <v/>
      </c>
      <c r="AA686" t="str">
        <f>IFERROR(ROUND(I686*VLOOKUP(H686,商品!$A$4:$B$60,2,FALSE),0),"")</f>
        <v/>
      </c>
      <c r="AB686" t="str">
        <f>IFERROR(ROUND(K686*VLOOKUP(J686,[1]note_pop_types!$A$16:$E$16,4,FALSE),0),"")</f>
        <v/>
      </c>
      <c r="AC686" t="str">
        <f>IFERROR(ROUND(M686*VLOOKUP(L686,[1]note_pop_types!$A$16:$E$16,4,FALSE),0),"")</f>
        <v/>
      </c>
      <c r="AD686" t="str">
        <f>IFERROR(ROUND(O686*VLOOKUP(N686,[1]note_pop_types!$A$16:$E$16,4,FALSE),0),"")</f>
        <v/>
      </c>
      <c r="AE686" t="str">
        <f>IFERROR(ROUND(Q686*VLOOKUP(P686,商品!$A$4:$B$60,2,FALSE),0),"")</f>
        <v/>
      </c>
      <c r="AF686" t="str">
        <f>IFERROR(ROUND(S686*VLOOKUP(R686,商品!$A$4:$B$60,2,FALSE),0),"")</f>
        <v/>
      </c>
    </row>
    <row r="687" spans="1:32" ht="19.05" customHeight="1" x14ac:dyDescent="0.25">
      <c r="A687" s="16" t="s">
        <v>325</v>
      </c>
      <c r="C687" s="16">
        <v>1</v>
      </c>
      <c r="T687" s="2">
        <f t="shared" si="40"/>
        <v>0</v>
      </c>
      <c r="U687" s="2">
        <f t="shared" si="41"/>
        <v>0</v>
      </c>
      <c r="V687" s="2">
        <f t="shared" si="42"/>
        <v>0</v>
      </c>
      <c r="W687" s="2">
        <f t="shared" si="43"/>
        <v>0</v>
      </c>
      <c r="Y687" t="str">
        <f>IFERROR(ROUND(E687*VLOOKUP(D687,商品!$A$4:$B$60,2,FALSE),0),"")</f>
        <v/>
      </c>
      <c r="Z687" t="str">
        <f>IFERROR(ROUND(G687*VLOOKUP(F687,商品!$A$4:$B$60,2,FALSE),0),"")</f>
        <v/>
      </c>
      <c r="AA687" t="str">
        <f>IFERROR(ROUND(I687*VLOOKUP(H687,商品!$A$4:$B$60,2,FALSE),0),"")</f>
        <v/>
      </c>
      <c r="AB687" t="str">
        <f>IFERROR(ROUND(K687*VLOOKUP(J687,[1]note_pop_types!$A$16:$E$16,4,FALSE),0),"")</f>
        <v/>
      </c>
      <c r="AC687" t="str">
        <f>IFERROR(ROUND(M687*VLOOKUP(L687,[1]note_pop_types!$A$16:$E$16,4,FALSE),0),"")</f>
        <v/>
      </c>
      <c r="AD687" t="str">
        <f>IFERROR(ROUND(O687*VLOOKUP(N687,[1]note_pop_types!$A$16:$E$16,4,FALSE),0),"")</f>
        <v/>
      </c>
      <c r="AE687" t="str">
        <f>IFERROR(ROUND(Q687*VLOOKUP(P687,商品!$A$4:$B$60,2,FALSE),0),"")</f>
        <v/>
      </c>
      <c r="AF687" t="str">
        <f>IFERROR(ROUND(S687*VLOOKUP(R687,商品!$A$4:$B$60,2,FALSE),0),"")</f>
        <v/>
      </c>
    </row>
    <row r="688" spans="1:32" ht="19.05" customHeight="1" x14ac:dyDescent="0.25">
      <c r="A688" s="16" t="s">
        <v>325</v>
      </c>
      <c r="C688" s="16">
        <v>2</v>
      </c>
      <c r="T688" s="2">
        <f t="shared" si="40"/>
        <v>0</v>
      </c>
      <c r="U688" s="2">
        <f t="shared" si="41"/>
        <v>0</v>
      </c>
      <c r="V688" s="2">
        <f t="shared" si="42"/>
        <v>0</v>
      </c>
      <c r="W688" s="2">
        <f t="shared" si="43"/>
        <v>0</v>
      </c>
      <c r="Y688" t="str">
        <f>IFERROR(ROUND(E688*VLOOKUP(D688,商品!$A$4:$B$60,2,FALSE),0),"")</f>
        <v/>
      </c>
      <c r="Z688" t="str">
        <f>IFERROR(ROUND(G688*VLOOKUP(F688,商品!$A$4:$B$60,2,FALSE),0),"")</f>
        <v/>
      </c>
      <c r="AA688" t="str">
        <f>IFERROR(ROUND(I688*VLOOKUP(H688,商品!$A$4:$B$60,2,FALSE),0),"")</f>
        <v/>
      </c>
      <c r="AB688" t="str">
        <f>IFERROR(ROUND(K688*VLOOKUP(J688,[1]note_pop_types!$A$16:$E$16,4,FALSE),0),"")</f>
        <v/>
      </c>
      <c r="AC688" t="str">
        <f>IFERROR(ROUND(M688*VLOOKUP(L688,[1]note_pop_types!$A$16:$E$16,4,FALSE),0),"")</f>
        <v/>
      </c>
      <c r="AD688" t="str">
        <f>IFERROR(ROUND(O688*VLOOKUP(N688,[1]note_pop_types!$A$16:$E$16,4,FALSE),0),"")</f>
        <v/>
      </c>
      <c r="AE688" t="str">
        <f>IFERROR(ROUND(Q688*VLOOKUP(P688,商品!$A$4:$B$60,2,FALSE),0),"")</f>
        <v/>
      </c>
      <c r="AF688" t="str">
        <f>IFERROR(ROUND(S688*VLOOKUP(R688,商品!$A$4:$B$60,2,FALSE),0),"")</f>
        <v/>
      </c>
    </row>
    <row r="689" spans="1:32" ht="19.05" customHeight="1" x14ac:dyDescent="0.25">
      <c r="A689" s="16" t="s">
        <v>325</v>
      </c>
      <c r="C689" s="16">
        <v>3</v>
      </c>
      <c r="T689" s="2">
        <f t="shared" si="40"/>
        <v>0</v>
      </c>
      <c r="U689" s="2">
        <f t="shared" si="41"/>
        <v>0</v>
      </c>
      <c r="V689" s="2">
        <f t="shared" si="42"/>
        <v>0</v>
      </c>
      <c r="W689" s="2">
        <f t="shared" si="43"/>
        <v>0</v>
      </c>
      <c r="Y689" t="str">
        <f>IFERROR(ROUND(E689*VLOOKUP(D689,商品!$A$4:$B$60,2,FALSE),0),"")</f>
        <v/>
      </c>
      <c r="Z689" t="str">
        <f>IFERROR(ROUND(G689*VLOOKUP(F689,商品!$A$4:$B$60,2,FALSE),0),"")</f>
        <v/>
      </c>
      <c r="AA689" t="str">
        <f>IFERROR(ROUND(I689*VLOOKUP(H689,商品!$A$4:$B$60,2,FALSE),0),"")</f>
        <v/>
      </c>
      <c r="AB689" t="str">
        <f>IFERROR(ROUND(K689*VLOOKUP(J689,[1]note_pop_types!$A$16:$E$16,4,FALSE),0),"")</f>
        <v/>
      </c>
      <c r="AC689" t="str">
        <f>IFERROR(ROUND(M689*VLOOKUP(L689,[1]note_pop_types!$A$16:$E$16,4,FALSE),0),"")</f>
        <v/>
      </c>
      <c r="AD689" t="str">
        <f>IFERROR(ROUND(O689*VLOOKUP(N689,[1]note_pop_types!$A$16:$E$16,4,FALSE),0),"")</f>
        <v/>
      </c>
      <c r="AE689" t="str">
        <f>IFERROR(ROUND(Q689*VLOOKUP(P689,商品!$A$4:$B$60,2,FALSE),0),"")</f>
        <v/>
      </c>
      <c r="AF689" t="str">
        <f>IFERROR(ROUND(S689*VLOOKUP(R689,商品!$A$4:$B$60,2,FALSE),0),"")</f>
        <v/>
      </c>
    </row>
    <row r="690" spans="1:32" ht="19.05" customHeight="1" x14ac:dyDescent="0.25">
      <c r="A690" s="16" t="s">
        <v>325</v>
      </c>
      <c r="C690" s="16">
        <v>4</v>
      </c>
      <c r="T690" s="2">
        <f t="shared" si="40"/>
        <v>0</v>
      </c>
      <c r="U690" s="2">
        <f t="shared" si="41"/>
        <v>0</v>
      </c>
      <c r="V690" s="2">
        <f t="shared" si="42"/>
        <v>0</v>
      </c>
      <c r="W690" s="2">
        <f t="shared" si="43"/>
        <v>0</v>
      </c>
      <c r="Y690" t="str">
        <f>IFERROR(ROUND(E690*VLOOKUP(D690,商品!$A$4:$B$60,2,FALSE),0),"")</f>
        <v/>
      </c>
      <c r="Z690" t="str">
        <f>IFERROR(ROUND(G690*VLOOKUP(F690,商品!$A$4:$B$60,2,FALSE),0),"")</f>
        <v/>
      </c>
      <c r="AA690" t="str">
        <f>IFERROR(ROUND(I690*VLOOKUP(H690,商品!$A$4:$B$60,2,FALSE),0),"")</f>
        <v/>
      </c>
      <c r="AB690" t="str">
        <f>IFERROR(ROUND(K690*VLOOKUP(J690,[1]note_pop_types!$A$16:$E$16,4,FALSE),0),"")</f>
        <v/>
      </c>
      <c r="AC690" t="str">
        <f>IFERROR(ROUND(M690*VLOOKUP(L690,[1]note_pop_types!$A$16:$E$16,4,FALSE),0),"")</f>
        <v/>
      </c>
      <c r="AD690" t="str">
        <f>IFERROR(ROUND(O690*VLOOKUP(N690,[1]note_pop_types!$A$16:$E$16,4,FALSE),0),"")</f>
        <v/>
      </c>
      <c r="AE690" t="str">
        <f>IFERROR(ROUND(Q690*VLOOKUP(P690,商品!$A$4:$B$60,2,FALSE),0),"")</f>
        <v/>
      </c>
      <c r="AF690" t="str">
        <f>IFERROR(ROUND(S690*VLOOKUP(R690,商品!$A$4:$B$60,2,FALSE),0),"")</f>
        <v/>
      </c>
    </row>
    <row r="691" spans="1:32" ht="19.05" customHeight="1" x14ac:dyDescent="0.25">
      <c r="A691" s="16" t="s">
        <v>325</v>
      </c>
      <c r="C691" s="16">
        <v>5</v>
      </c>
      <c r="T691" s="2">
        <f t="shared" si="40"/>
        <v>0</v>
      </c>
      <c r="U691" s="2">
        <f t="shared" si="41"/>
        <v>0</v>
      </c>
      <c r="V691" s="2">
        <f t="shared" si="42"/>
        <v>0</v>
      </c>
      <c r="W691" s="2">
        <f t="shared" si="43"/>
        <v>0</v>
      </c>
      <c r="Y691" t="str">
        <f>IFERROR(ROUND(E691*VLOOKUP(D691,商品!$A$4:$B$60,2,FALSE),0),"")</f>
        <v/>
      </c>
      <c r="Z691" t="str">
        <f>IFERROR(ROUND(G691*VLOOKUP(F691,商品!$A$4:$B$60,2,FALSE),0),"")</f>
        <v/>
      </c>
      <c r="AA691" t="str">
        <f>IFERROR(ROUND(I691*VLOOKUP(H691,商品!$A$4:$B$60,2,FALSE),0),"")</f>
        <v/>
      </c>
      <c r="AB691" t="str">
        <f>IFERROR(ROUND(K691*VLOOKUP(J691,[1]note_pop_types!$A$16:$E$16,4,FALSE),0),"")</f>
        <v/>
      </c>
      <c r="AC691" t="str">
        <f>IFERROR(ROUND(M691*VLOOKUP(L691,[1]note_pop_types!$A$16:$E$16,4,FALSE),0),"")</f>
        <v/>
      </c>
      <c r="AD691" t="str">
        <f>IFERROR(ROUND(O691*VLOOKUP(N691,[1]note_pop_types!$A$16:$E$16,4,FALSE),0),"")</f>
        <v/>
      </c>
      <c r="AE691" t="str">
        <f>IFERROR(ROUND(Q691*VLOOKUP(P691,商品!$A$4:$B$60,2,FALSE),0),"")</f>
        <v/>
      </c>
      <c r="AF691" t="str">
        <f>IFERROR(ROUND(S691*VLOOKUP(R691,商品!$A$4:$B$60,2,FALSE),0),"")</f>
        <v/>
      </c>
    </row>
    <row r="692" spans="1:32" ht="19.05" customHeight="1" x14ac:dyDescent="0.25">
      <c r="A692" s="15" t="s">
        <v>535</v>
      </c>
      <c r="C692" s="15">
        <v>1</v>
      </c>
      <c r="T692" s="2">
        <f t="shared" si="40"/>
        <v>0</v>
      </c>
      <c r="U692" s="2">
        <f t="shared" si="41"/>
        <v>0</v>
      </c>
      <c r="V692" s="2">
        <f t="shared" si="42"/>
        <v>0</v>
      </c>
      <c r="W692" s="2">
        <f t="shared" si="43"/>
        <v>0</v>
      </c>
      <c r="Y692" t="str">
        <f>IFERROR(ROUND(E692*VLOOKUP(D692,商品!$A$4:$B$60,2,FALSE),0),"")</f>
        <v/>
      </c>
      <c r="Z692" t="str">
        <f>IFERROR(ROUND(G692*VLOOKUP(F692,商品!$A$4:$B$60,2,FALSE),0),"")</f>
        <v/>
      </c>
      <c r="AA692" t="str">
        <f>IFERROR(ROUND(I692*VLOOKUP(H692,商品!$A$4:$B$60,2,FALSE),0),"")</f>
        <v/>
      </c>
      <c r="AB692" t="str">
        <f>IFERROR(ROUND(K692*VLOOKUP(J692,[1]note_pop_types!$A$16:$E$16,4,FALSE),0),"")</f>
        <v/>
      </c>
      <c r="AC692" t="str">
        <f>IFERROR(ROUND(M692*VLOOKUP(L692,[1]note_pop_types!$A$16:$E$16,4,FALSE),0),"")</f>
        <v/>
      </c>
      <c r="AD692" t="str">
        <f>IFERROR(ROUND(O692*VLOOKUP(N692,[1]note_pop_types!$A$16:$E$16,4,FALSE),0),"")</f>
        <v/>
      </c>
      <c r="AE692" t="str">
        <f>IFERROR(ROUND(Q692*VLOOKUP(P692,商品!$A$4:$B$60,2,FALSE),0),"")</f>
        <v/>
      </c>
      <c r="AF692" t="str">
        <f>IFERROR(ROUND(S692*VLOOKUP(R692,商品!$A$4:$B$60,2,FALSE),0),"")</f>
        <v/>
      </c>
    </row>
    <row r="693" spans="1:32" ht="19.05" customHeight="1" x14ac:dyDescent="0.25">
      <c r="A693" s="15" t="s">
        <v>535</v>
      </c>
      <c r="C693" s="15">
        <v>2</v>
      </c>
      <c r="T693" s="2">
        <f t="shared" si="40"/>
        <v>0</v>
      </c>
      <c r="U693" s="2">
        <f t="shared" si="41"/>
        <v>0</v>
      </c>
      <c r="V693" s="2">
        <f t="shared" si="42"/>
        <v>0</v>
      </c>
      <c r="W693" s="2">
        <f t="shared" si="43"/>
        <v>0</v>
      </c>
      <c r="Y693" t="str">
        <f>IFERROR(ROUND(E693*VLOOKUP(D693,商品!$A$4:$B$60,2,FALSE),0),"")</f>
        <v/>
      </c>
      <c r="Z693" t="str">
        <f>IFERROR(ROUND(G693*VLOOKUP(F693,商品!$A$4:$B$60,2,FALSE),0),"")</f>
        <v/>
      </c>
      <c r="AA693" t="str">
        <f>IFERROR(ROUND(I693*VLOOKUP(H693,商品!$A$4:$B$60,2,FALSE),0),"")</f>
        <v/>
      </c>
      <c r="AB693" t="str">
        <f>IFERROR(ROUND(K693*VLOOKUP(J693,[1]note_pop_types!$A$16:$E$16,4,FALSE),0),"")</f>
        <v/>
      </c>
      <c r="AC693" t="str">
        <f>IFERROR(ROUND(M693*VLOOKUP(L693,[1]note_pop_types!$A$16:$E$16,4,FALSE),0),"")</f>
        <v/>
      </c>
      <c r="AD693" t="str">
        <f>IFERROR(ROUND(O693*VLOOKUP(N693,[1]note_pop_types!$A$16:$E$16,4,FALSE),0),"")</f>
        <v/>
      </c>
      <c r="AE693" t="str">
        <f>IFERROR(ROUND(Q693*VLOOKUP(P693,商品!$A$4:$B$60,2,FALSE),0),"")</f>
        <v/>
      </c>
      <c r="AF693" t="str">
        <f>IFERROR(ROUND(S693*VLOOKUP(R693,商品!$A$4:$B$60,2,FALSE),0),"")</f>
        <v/>
      </c>
    </row>
    <row r="694" spans="1:32" ht="19.05" customHeight="1" x14ac:dyDescent="0.25">
      <c r="A694" s="15" t="s">
        <v>535</v>
      </c>
      <c r="C694" s="15">
        <v>3</v>
      </c>
      <c r="T694" s="2">
        <f t="shared" si="40"/>
        <v>0</v>
      </c>
      <c r="U694" s="2">
        <f t="shared" si="41"/>
        <v>0</v>
      </c>
      <c r="V694" s="2">
        <f t="shared" si="42"/>
        <v>0</v>
      </c>
      <c r="W694" s="2">
        <f t="shared" si="43"/>
        <v>0</v>
      </c>
      <c r="Y694" t="str">
        <f>IFERROR(ROUND(E694*VLOOKUP(D694,商品!$A$4:$B$60,2,FALSE),0),"")</f>
        <v/>
      </c>
      <c r="Z694" t="str">
        <f>IFERROR(ROUND(G694*VLOOKUP(F694,商品!$A$4:$B$60,2,FALSE),0),"")</f>
        <v/>
      </c>
      <c r="AA694" t="str">
        <f>IFERROR(ROUND(I694*VLOOKUP(H694,商品!$A$4:$B$60,2,FALSE),0),"")</f>
        <v/>
      </c>
      <c r="AB694" t="str">
        <f>IFERROR(ROUND(K694*VLOOKUP(J694,[1]note_pop_types!$A$16:$E$16,4,FALSE),0),"")</f>
        <v/>
      </c>
      <c r="AC694" t="str">
        <f>IFERROR(ROUND(M694*VLOOKUP(L694,[1]note_pop_types!$A$16:$E$16,4,FALSE),0),"")</f>
        <v/>
      </c>
      <c r="AD694" t="str">
        <f>IFERROR(ROUND(O694*VLOOKUP(N694,[1]note_pop_types!$A$16:$E$16,4,FALSE),0),"")</f>
        <v/>
      </c>
      <c r="AE694" t="str">
        <f>IFERROR(ROUND(Q694*VLOOKUP(P694,商品!$A$4:$B$60,2,FALSE),0),"")</f>
        <v/>
      </c>
      <c r="AF694" t="str">
        <f>IFERROR(ROUND(S694*VLOOKUP(R694,商品!$A$4:$B$60,2,FALSE),0),"")</f>
        <v/>
      </c>
    </row>
    <row r="695" spans="1:32" ht="19.05" customHeight="1" x14ac:dyDescent="0.25">
      <c r="A695" s="15" t="s">
        <v>535</v>
      </c>
      <c r="C695" s="15">
        <v>4</v>
      </c>
      <c r="T695" s="2">
        <f t="shared" si="40"/>
        <v>0</v>
      </c>
      <c r="U695" s="2">
        <f t="shared" si="41"/>
        <v>0</v>
      </c>
      <c r="V695" s="2">
        <f t="shared" si="42"/>
        <v>0</v>
      </c>
      <c r="W695" s="2">
        <f t="shared" si="43"/>
        <v>0</v>
      </c>
      <c r="Y695" t="str">
        <f>IFERROR(ROUND(E695*VLOOKUP(D695,商品!$A$4:$B$60,2,FALSE),0),"")</f>
        <v/>
      </c>
      <c r="Z695" t="str">
        <f>IFERROR(ROUND(G695*VLOOKUP(F695,商品!$A$4:$B$60,2,FALSE),0),"")</f>
        <v/>
      </c>
      <c r="AA695" t="str">
        <f>IFERROR(ROUND(I695*VLOOKUP(H695,商品!$A$4:$B$60,2,FALSE),0),"")</f>
        <v/>
      </c>
      <c r="AB695" t="str">
        <f>IFERROR(ROUND(K695*VLOOKUP(J695,[1]note_pop_types!$A$16:$E$16,4,FALSE),0),"")</f>
        <v/>
      </c>
      <c r="AC695" t="str">
        <f>IFERROR(ROUND(M695*VLOOKUP(L695,[1]note_pop_types!$A$16:$E$16,4,FALSE),0),"")</f>
        <v/>
      </c>
      <c r="AD695" t="str">
        <f>IFERROR(ROUND(O695*VLOOKUP(N695,[1]note_pop_types!$A$16:$E$16,4,FALSE),0),"")</f>
        <v/>
      </c>
      <c r="AE695" t="str">
        <f>IFERROR(ROUND(Q695*VLOOKUP(P695,商品!$A$4:$B$60,2,FALSE),0),"")</f>
        <v/>
      </c>
      <c r="AF695" t="str">
        <f>IFERROR(ROUND(S695*VLOOKUP(R695,商品!$A$4:$B$60,2,FALSE),0),"")</f>
        <v/>
      </c>
    </row>
    <row r="696" spans="1:32" ht="19.05" customHeight="1" x14ac:dyDescent="0.25">
      <c r="A696" s="15" t="s">
        <v>535</v>
      </c>
      <c r="C696" s="15">
        <v>5</v>
      </c>
      <c r="T696" s="2">
        <f t="shared" si="40"/>
        <v>0</v>
      </c>
      <c r="U696" s="2">
        <f t="shared" si="41"/>
        <v>0</v>
      </c>
      <c r="V696" s="2">
        <f t="shared" si="42"/>
        <v>0</v>
      </c>
      <c r="W696" s="2">
        <f t="shared" si="43"/>
        <v>0</v>
      </c>
      <c r="Y696" t="str">
        <f>IFERROR(ROUND(E696*VLOOKUP(D696,商品!$A$4:$B$60,2,FALSE),0),"")</f>
        <v/>
      </c>
      <c r="Z696" t="str">
        <f>IFERROR(ROUND(G696*VLOOKUP(F696,商品!$A$4:$B$60,2,FALSE),0),"")</f>
        <v/>
      </c>
      <c r="AA696" t="str">
        <f>IFERROR(ROUND(I696*VLOOKUP(H696,商品!$A$4:$B$60,2,FALSE),0),"")</f>
        <v/>
      </c>
      <c r="AB696" t="str">
        <f>IFERROR(ROUND(K696*VLOOKUP(J696,[1]note_pop_types!$A$16:$E$16,4,FALSE),0),"")</f>
        <v/>
      </c>
      <c r="AC696" t="str">
        <f>IFERROR(ROUND(M696*VLOOKUP(L696,[1]note_pop_types!$A$16:$E$16,4,FALSE),0),"")</f>
        <v/>
      </c>
      <c r="AD696" t="str">
        <f>IFERROR(ROUND(O696*VLOOKUP(N696,[1]note_pop_types!$A$16:$E$16,4,FALSE),0),"")</f>
        <v/>
      </c>
      <c r="AE696" t="str">
        <f>IFERROR(ROUND(Q696*VLOOKUP(P696,商品!$A$4:$B$60,2,FALSE),0),"")</f>
        <v/>
      </c>
      <c r="AF696" t="str">
        <f>IFERROR(ROUND(S696*VLOOKUP(R696,商品!$A$4:$B$60,2,FALSE),0),"")</f>
        <v/>
      </c>
    </row>
    <row r="697" spans="1:32" ht="19.05" customHeight="1" x14ac:dyDescent="0.25">
      <c r="A697" s="16" t="s">
        <v>535</v>
      </c>
      <c r="C697" s="16">
        <v>1</v>
      </c>
      <c r="T697" s="2">
        <f t="shared" si="40"/>
        <v>0</v>
      </c>
      <c r="U697" s="2">
        <f t="shared" si="41"/>
        <v>0</v>
      </c>
      <c r="V697" s="2">
        <f t="shared" si="42"/>
        <v>0</v>
      </c>
      <c r="W697" s="2">
        <f t="shared" si="43"/>
        <v>0</v>
      </c>
      <c r="Y697" t="str">
        <f>IFERROR(ROUND(E697*VLOOKUP(D697,商品!$A$4:$B$60,2,FALSE),0),"")</f>
        <v/>
      </c>
      <c r="Z697" t="str">
        <f>IFERROR(ROUND(G697*VLOOKUP(F697,商品!$A$4:$B$60,2,FALSE),0),"")</f>
        <v/>
      </c>
      <c r="AA697" t="str">
        <f>IFERROR(ROUND(I697*VLOOKUP(H697,商品!$A$4:$B$60,2,FALSE),0),"")</f>
        <v/>
      </c>
      <c r="AB697" t="str">
        <f>IFERROR(ROUND(K697*VLOOKUP(J697,[1]note_pop_types!$A$16:$E$16,4,FALSE),0),"")</f>
        <v/>
      </c>
      <c r="AC697" t="str">
        <f>IFERROR(ROUND(M697*VLOOKUP(L697,[1]note_pop_types!$A$16:$E$16,4,FALSE),0),"")</f>
        <v/>
      </c>
      <c r="AD697" t="str">
        <f>IFERROR(ROUND(O697*VLOOKUP(N697,[1]note_pop_types!$A$16:$E$16,4,FALSE),0),"")</f>
        <v/>
      </c>
      <c r="AE697" t="str">
        <f>IFERROR(ROUND(Q697*VLOOKUP(P697,商品!$A$4:$B$60,2,FALSE),0),"")</f>
        <v/>
      </c>
      <c r="AF697" t="str">
        <f>IFERROR(ROUND(S697*VLOOKUP(R697,商品!$A$4:$B$60,2,FALSE),0),"")</f>
        <v/>
      </c>
    </row>
    <row r="698" spans="1:32" ht="19.05" customHeight="1" x14ac:dyDescent="0.25">
      <c r="A698" s="16" t="s">
        <v>535</v>
      </c>
      <c r="C698" s="16">
        <v>2</v>
      </c>
      <c r="T698" s="2">
        <f t="shared" si="40"/>
        <v>0</v>
      </c>
      <c r="U698" s="2">
        <f t="shared" si="41"/>
        <v>0</v>
      </c>
      <c r="V698" s="2">
        <f t="shared" si="42"/>
        <v>0</v>
      </c>
      <c r="W698" s="2">
        <f t="shared" si="43"/>
        <v>0</v>
      </c>
      <c r="Y698" t="str">
        <f>IFERROR(ROUND(E698*VLOOKUP(D698,商品!$A$4:$B$60,2,FALSE),0),"")</f>
        <v/>
      </c>
      <c r="Z698" t="str">
        <f>IFERROR(ROUND(G698*VLOOKUP(F698,商品!$A$4:$B$60,2,FALSE),0),"")</f>
        <v/>
      </c>
      <c r="AA698" t="str">
        <f>IFERROR(ROUND(I698*VLOOKUP(H698,商品!$A$4:$B$60,2,FALSE),0),"")</f>
        <v/>
      </c>
      <c r="AB698" t="str">
        <f>IFERROR(ROUND(K698*VLOOKUP(J698,[1]note_pop_types!$A$16:$E$16,4,FALSE),0),"")</f>
        <v/>
      </c>
      <c r="AC698" t="str">
        <f>IFERROR(ROUND(M698*VLOOKUP(L698,[1]note_pop_types!$A$16:$E$16,4,FALSE),0),"")</f>
        <v/>
      </c>
      <c r="AD698" t="str">
        <f>IFERROR(ROUND(O698*VLOOKUP(N698,[1]note_pop_types!$A$16:$E$16,4,FALSE),0),"")</f>
        <v/>
      </c>
      <c r="AE698" t="str">
        <f>IFERROR(ROUND(Q698*VLOOKUP(P698,商品!$A$4:$B$60,2,FALSE),0),"")</f>
        <v/>
      </c>
      <c r="AF698" t="str">
        <f>IFERROR(ROUND(S698*VLOOKUP(R698,商品!$A$4:$B$60,2,FALSE),0),"")</f>
        <v/>
      </c>
    </row>
    <row r="699" spans="1:32" ht="19.05" customHeight="1" x14ac:dyDescent="0.25">
      <c r="A699" s="16" t="s">
        <v>535</v>
      </c>
      <c r="C699" s="16">
        <v>3</v>
      </c>
      <c r="T699" s="2">
        <f t="shared" si="40"/>
        <v>0</v>
      </c>
      <c r="U699" s="2">
        <f t="shared" si="41"/>
        <v>0</v>
      </c>
      <c r="V699" s="2">
        <f t="shared" si="42"/>
        <v>0</v>
      </c>
      <c r="W699" s="2">
        <f t="shared" si="43"/>
        <v>0</v>
      </c>
      <c r="Y699" t="str">
        <f>IFERROR(ROUND(E699*VLOOKUP(D699,商品!$A$4:$B$60,2,FALSE),0),"")</f>
        <v/>
      </c>
      <c r="Z699" t="str">
        <f>IFERROR(ROUND(G699*VLOOKUP(F699,商品!$A$4:$B$60,2,FALSE),0),"")</f>
        <v/>
      </c>
      <c r="AA699" t="str">
        <f>IFERROR(ROUND(I699*VLOOKUP(H699,商品!$A$4:$B$60,2,FALSE),0),"")</f>
        <v/>
      </c>
      <c r="AB699" t="str">
        <f>IFERROR(ROUND(K699*VLOOKUP(J699,[1]note_pop_types!$A$16:$E$16,4,FALSE),0),"")</f>
        <v/>
      </c>
      <c r="AC699" t="str">
        <f>IFERROR(ROUND(M699*VLOOKUP(L699,[1]note_pop_types!$A$16:$E$16,4,FALSE),0),"")</f>
        <v/>
      </c>
      <c r="AD699" t="str">
        <f>IFERROR(ROUND(O699*VLOOKUP(N699,[1]note_pop_types!$A$16:$E$16,4,FALSE),0),"")</f>
        <v/>
      </c>
      <c r="AE699" t="str">
        <f>IFERROR(ROUND(Q699*VLOOKUP(P699,商品!$A$4:$B$60,2,FALSE),0),"")</f>
        <v/>
      </c>
      <c r="AF699" t="str">
        <f>IFERROR(ROUND(S699*VLOOKUP(R699,商品!$A$4:$B$60,2,FALSE),0),"")</f>
        <v/>
      </c>
    </row>
    <row r="700" spans="1:32" ht="19.05" customHeight="1" x14ac:dyDescent="0.25">
      <c r="A700" s="16" t="s">
        <v>535</v>
      </c>
      <c r="C700" s="16">
        <v>4</v>
      </c>
      <c r="T700" s="2">
        <f t="shared" si="40"/>
        <v>0</v>
      </c>
      <c r="U700" s="2">
        <f t="shared" si="41"/>
        <v>0</v>
      </c>
      <c r="V700" s="2">
        <f t="shared" si="42"/>
        <v>0</v>
      </c>
      <c r="W700" s="2">
        <f t="shared" si="43"/>
        <v>0</v>
      </c>
      <c r="Y700" t="str">
        <f>IFERROR(ROUND(E700*VLOOKUP(D700,商品!$A$4:$B$60,2,FALSE),0),"")</f>
        <v/>
      </c>
      <c r="Z700" t="str">
        <f>IFERROR(ROUND(G700*VLOOKUP(F700,商品!$A$4:$B$60,2,FALSE),0),"")</f>
        <v/>
      </c>
      <c r="AA700" t="str">
        <f>IFERROR(ROUND(I700*VLOOKUP(H700,商品!$A$4:$B$60,2,FALSE),0),"")</f>
        <v/>
      </c>
      <c r="AB700" t="str">
        <f>IFERROR(ROUND(K700*VLOOKUP(J700,[1]note_pop_types!$A$16:$E$16,4,FALSE),0),"")</f>
        <v/>
      </c>
      <c r="AC700" t="str">
        <f>IFERROR(ROUND(M700*VLOOKUP(L700,[1]note_pop_types!$A$16:$E$16,4,FALSE),0),"")</f>
        <v/>
      </c>
      <c r="AD700" t="str">
        <f>IFERROR(ROUND(O700*VLOOKUP(N700,[1]note_pop_types!$A$16:$E$16,4,FALSE),0),"")</f>
        <v/>
      </c>
      <c r="AE700" t="str">
        <f>IFERROR(ROUND(Q700*VLOOKUP(P700,商品!$A$4:$B$60,2,FALSE),0),"")</f>
        <v/>
      </c>
      <c r="AF700" t="str">
        <f>IFERROR(ROUND(S700*VLOOKUP(R700,商品!$A$4:$B$60,2,FALSE),0),"")</f>
        <v/>
      </c>
    </row>
    <row r="701" spans="1:32" ht="19.05" customHeight="1" x14ac:dyDescent="0.25">
      <c r="A701" s="16" t="s">
        <v>535</v>
      </c>
      <c r="C701" s="16">
        <v>5</v>
      </c>
      <c r="T701" s="2">
        <f t="shared" si="40"/>
        <v>0</v>
      </c>
      <c r="U701" s="2">
        <f t="shared" si="41"/>
        <v>0</v>
      </c>
      <c r="V701" s="2">
        <f t="shared" si="42"/>
        <v>0</v>
      </c>
      <c r="W701" s="2">
        <f t="shared" si="43"/>
        <v>0</v>
      </c>
      <c r="Y701" t="str">
        <f>IFERROR(ROUND(E701*VLOOKUP(D701,商品!$A$4:$B$60,2,FALSE),0),"")</f>
        <v/>
      </c>
      <c r="Z701" t="str">
        <f>IFERROR(ROUND(G701*VLOOKUP(F701,商品!$A$4:$B$60,2,FALSE),0),"")</f>
        <v/>
      </c>
      <c r="AA701" t="str">
        <f>IFERROR(ROUND(I701*VLOOKUP(H701,商品!$A$4:$B$60,2,FALSE),0),"")</f>
        <v/>
      </c>
      <c r="AB701" t="str">
        <f>IFERROR(ROUND(K701*VLOOKUP(J701,[1]note_pop_types!$A$16:$E$16,4,FALSE),0),"")</f>
        <v/>
      </c>
      <c r="AC701" t="str">
        <f>IFERROR(ROUND(M701*VLOOKUP(L701,[1]note_pop_types!$A$16:$E$16,4,FALSE),0),"")</f>
        <v/>
      </c>
      <c r="AD701" t="str">
        <f>IFERROR(ROUND(O701*VLOOKUP(N701,[1]note_pop_types!$A$16:$E$16,4,FALSE),0),"")</f>
        <v/>
      </c>
      <c r="AE701" t="str">
        <f>IFERROR(ROUND(Q701*VLOOKUP(P701,商品!$A$4:$B$60,2,FALSE),0),"")</f>
        <v/>
      </c>
      <c r="AF701" t="str">
        <f>IFERROR(ROUND(S701*VLOOKUP(R701,商品!$A$4:$B$60,2,FALSE),0),"")</f>
        <v/>
      </c>
    </row>
    <row r="702" spans="1:32" ht="19.05" customHeight="1" x14ac:dyDescent="0.25">
      <c r="A702" s="15" t="s">
        <v>328</v>
      </c>
      <c r="C702" s="15">
        <v>1</v>
      </c>
      <c r="T702" s="2">
        <f t="shared" si="40"/>
        <v>0</v>
      </c>
      <c r="U702" s="2">
        <f t="shared" si="41"/>
        <v>0</v>
      </c>
      <c r="V702" s="2">
        <f t="shared" si="42"/>
        <v>0</v>
      </c>
      <c r="W702" s="2">
        <f t="shared" si="43"/>
        <v>0</v>
      </c>
      <c r="Y702" t="str">
        <f>IFERROR(ROUND(E702*VLOOKUP(D702,商品!$A$4:$B$60,2,FALSE),0),"")</f>
        <v/>
      </c>
      <c r="Z702" t="str">
        <f>IFERROR(ROUND(G702*VLOOKUP(F702,商品!$A$4:$B$60,2,FALSE),0),"")</f>
        <v/>
      </c>
      <c r="AA702" t="str">
        <f>IFERROR(ROUND(I702*VLOOKUP(H702,商品!$A$4:$B$60,2,FALSE),0),"")</f>
        <v/>
      </c>
      <c r="AB702" t="str">
        <f>IFERROR(ROUND(K702*VLOOKUP(J702,[1]note_pop_types!$A$16:$E$16,4,FALSE),0),"")</f>
        <v/>
      </c>
      <c r="AC702" t="str">
        <f>IFERROR(ROUND(M702*VLOOKUP(L702,[1]note_pop_types!$A$16:$E$16,4,FALSE),0),"")</f>
        <v/>
      </c>
      <c r="AD702" t="str">
        <f>IFERROR(ROUND(O702*VLOOKUP(N702,[1]note_pop_types!$A$16:$E$16,4,FALSE),0),"")</f>
        <v/>
      </c>
      <c r="AE702" t="str">
        <f>IFERROR(ROUND(Q702*VLOOKUP(P702,商品!$A$4:$B$60,2,FALSE),0),"")</f>
        <v/>
      </c>
      <c r="AF702" t="str">
        <f>IFERROR(ROUND(S702*VLOOKUP(R702,商品!$A$4:$B$60,2,FALSE),0),"")</f>
        <v/>
      </c>
    </row>
    <row r="703" spans="1:32" ht="19.05" customHeight="1" x14ac:dyDescent="0.25">
      <c r="A703" s="15" t="s">
        <v>328</v>
      </c>
      <c r="C703" s="15">
        <v>2</v>
      </c>
      <c r="T703" s="2">
        <f t="shared" si="40"/>
        <v>0</v>
      </c>
      <c r="U703" s="2">
        <f t="shared" si="41"/>
        <v>0</v>
      </c>
      <c r="V703" s="2">
        <f t="shared" si="42"/>
        <v>0</v>
      </c>
      <c r="W703" s="2">
        <f t="shared" si="43"/>
        <v>0</v>
      </c>
      <c r="Y703" t="str">
        <f>IFERROR(ROUND(E703*VLOOKUP(D703,商品!$A$4:$B$60,2,FALSE),0),"")</f>
        <v/>
      </c>
      <c r="Z703" t="str">
        <f>IFERROR(ROUND(G703*VLOOKUP(F703,商品!$A$4:$B$60,2,FALSE),0),"")</f>
        <v/>
      </c>
      <c r="AA703" t="str">
        <f>IFERROR(ROUND(I703*VLOOKUP(H703,商品!$A$4:$B$60,2,FALSE),0),"")</f>
        <v/>
      </c>
      <c r="AB703" t="str">
        <f>IFERROR(ROUND(K703*VLOOKUP(J703,[1]note_pop_types!$A$16:$E$16,4,FALSE),0),"")</f>
        <v/>
      </c>
      <c r="AC703" t="str">
        <f>IFERROR(ROUND(M703*VLOOKUP(L703,[1]note_pop_types!$A$16:$E$16,4,FALSE),0),"")</f>
        <v/>
      </c>
      <c r="AD703" t="str">
        <f>IFERROR(ROUND(O703*VLOOKUP(N703,[1]note_pop_types!$A$16:$E$16,4,FALSE),0),"")</f>
        <v/>
      </c>
      <c r="AE703" t="str">
        <f>IFERROR(ROUND(Q703*VLOOKUP(P703,商品!$A$4:$B$60,2,FALSE),0),"")</f>
        <v/>
      </c>
      <c r="AF703" t="str">
        <f>IFERROR(ROUND(S703*VLOOKUP(R703,商品!$A$4:$B$60,2,FALSE),0),"")</f>
        <v/>
      </c>
    </row>
    <row r="704" spans="1:32" ht="19.05" customHeight="1" x14ac:dyDescent="0.25">
      <c r="A704" s="15" t="s">
        <v>328</v>
      </c>
      <c r="C704" s="15">
        <v>3</v>
      </c>
      <c r="T704" s="2">
        <f t="shared" si="40"/>
        <v>0</v>
      </c>
      <c r="U704" s="2">
        <f t="shared" si="41"/>
        <v>0</v>
      </c>
      <c r="V704" s="2">
        <f t="shared" si="42"/>
        <v>0</v>
      </c>
      <c r="W704" s="2">
        <f t="shared" si="43"/>
        <v>0</v>
      </c>
      <c r="Y704" t="str">
        <f>IFERROR(ROUND(E704*VLOOKUP(D704,商品!$A$4:$B$60,2,FALSE),0),"")</f>
        <v/>
      </c>
      <c r="Z704" t="str">
        <f>IFERROR(ROUND(G704*VLOOKUP(F704,商品!$A$4:$B$60,2,FALSE),0),"")</f>
        <v/>
      </c>
      <c r="AA704" t="str">
        <f>IFERROR(ROUND(I704*VLOOKUP(H704,商品!$A$4:$B$60,2,FALSE),0),"")</f>
        <v/>
      </c>
      <c r="AB704" t="str">
        <f>IFERROR(ROUND(K704*VLOOKUP(J704,[1]note_pop_types!$A$16:$E$16,4,FALSE),0),"")</f>
        <v/>
      </c>
      <c r="AC704" t="str">
        <f>IFERROR(ROUND(M704*VLOOKUP(L704,[1]note_pop_types!$A$16:$E$16,4,FALSE),0),"")</f>
        <v/>
      </c>
      <c r="AD704" t="str">
        <f>IFERROR(ROUND(O704*VLOOKUP(N704,[1]note_pop_types!$A$16:$E$16,4,FALSE),0),"")</f>
        <v/>
      </c>
      <c r="AE704" t="str">
        <f>IFERROR(ROUND(Q704*VLOOKUP(P704,商品!$A$4:$B$60,2,FALSE),0),"")</f>
        <v/>
      </c>
      <c r="AF704" t="str">
        <f>IFERROR(ROUND(S704*VLOOKUP(R704,商品!$A$4:$B$60,2,FALSE),0),"")</f>
        <v/>
      </c>
    </row>
    <row r="705" spans="1:32" ht="19.05" customHeight="1" x14ac:dyDescent="0.25">
      <c r="A705" s="15" t="s">
        <v>328</v>
      </c>
      <c r="C705" s="15">
        <v>4</v>
      </c>
      <c r="T705" s="2">
        <f t="shared" si="40"/>
        <v>0</v>
      </c>
      <c r="U705" s="2">
        <f t="shared" si="41"/>
        <v>0</v>
      </c>
      <c r="V705" s="2">
        <f t="shared" si="42"/>
        <v>0</v>
      </c>
      <c r="W705" s="2">
        <f t="shared" si="43"/>
        <v>0</v>
      </c>
      <c r="Y705" t="str">
        <f>IFERROR(ROUND(E705*VLOOKUP(D705,商品!$A$4:$B$60,2,FALSE),0),"")</f>
        <v/>
      </c>
      <c r="Z705" t="str">
        <f>IFERROR(ROUND(G705*VLOOKUP(F705,商品!$A$4:$B$60,2,FALSE),0),"")</f>
        <v/>
      </c>
      <c r="AA705" t="str">
        <f>IFERROR(ROUND(I705*VLOOKUP(H705,商品!$A$4:$B$60,2,FALSE),0),"")</f>
        <v/>
      </c>
      <c r="AB705" t="str">
        <f>IFERROR(ROUND(K705*VLOOKUP(J705,[1]note_pop_types!$A$16:$E$16,4,FALSE),0),"")</f>
        <v/>
      </c>
      <c r="AC705" t="str">
        <f>IFERROR(ROUND(M705*VLOOKUP(L705,[1]note_pop_types!$A$16:$E$16,4,FALSE),0),"")</f>
        <v/>
      </c>
      <c r="AD705" t="str">
        <f>IFERROR(ROUND(O705*VLOOKUP(N705,[1]note_pop_types!$A$16:$E$16,4,FALSE),0),"")</f>
        <v/>
      </c>
      <c r="AE705" t="str">
        <f>IFERROR(ROUND(Q705*VLOOKUP(P705,商品!$A$4:$B$60,2,FALSE),0),"")</f>
        <v/>
      </c>
      <c r="AF705" t="str">
        <f>IFERROR(ROUND(S705*VLOOKUP(R705,商品!$A$4:$B$60,2,FALSE),0),"")</f>
        <v/>
      </c>
    </row>
    <row r="706" spans="1:32" ht="19.05" customHeight="1" x14ac:dyDescent="0.25">
      <c r="A706" s="15" t="s">
        <v>328</v>
      </c>
      <c r="C706" s="15">
        <v>5</v>
      </c>
      <c r="T706" s="2">
        <f t="shared" si="40"/>
        <v>0</v>
      </c>
      <c r="U706" s="2">
        <f t="shared" si="41"/>
        <v>0</v>
      </c>
      <c r="V706" s="2">
        <f t="shared" si="42"/>
        <v>0</v>
      </c>
      <c r="W706" s="2">
        <f t="shared" si="43"/>
        <v>0</v>
      </c>
      <c r="Y706" t="str">
        <f>IFERROR(ROUND(E706*VLOOKUP(D706,商品!$A$4:$B$60,2,FALSE),0),"")</f>
        <v/>
      </c>
      <c r="Z706" t="str">
        <f>IFERROR(ROUND(G706*VLOOKUP(F706,商品!$A$4:$B$60,2,FALSE),0),"")</f>
        <v/>
      </c>
      <c r="AA706" t="str">
        <f>IFERROR(ROUND(I706*VLOOKUP(H706,商品!$A$4:$B$60,2,FALSE),0),"")</f>
        <v/>
      </c>
      <c r="AB706" t="str">
        <f>IFERROR(ROUND(K706*VLOOKUP(J706,[1]note_pop_types!$A$16:$E$16,4,FALSE),0),"")</f>
        <v/>
      </c>
      <c r="AC706" t="str">
        <f>IFERROR(ROUND(M706*VLOOKUP(L706,[1]note_pop_types!$A$16:$E$16,4,FALSE),0),"")</f>
        <v/>
      </c>
      <c r="AD706" t="str">
        <f>IFERROR(ROUND(O706*VLOOKUP(N706,[1]note_pop_types!$A$16:$E$16,4,FALSE),0),"")</f>
        <v/>
      </c>
      <c r="AE706" t="str">
        <f>IFERROR(ROUND(Q706*VLOOKUP(P706,商品!$A$4:$B$60,2,FALSE),0),"")</f>
        <v/>
      </c>
      <c r="AF706" t="str">
        <f>IFERROR(ROUND(S706*VLOOKUP(R706,商品!$A$4:$B$60,2,FALSE),0),"")</f>
        <v/>
      </c>
    </row>
    <row r="707" spans="1:32" ht="19.05" customHeight="1" x14ac:dyDescent="0.25">
      <c r="A707" s="15" t="s">
        <v>328</v>
      </c>
      <c r="C707" s="15">
        <v>6</v>
      </c>
      <c r="T707" s="2">
        <f t="shared" si="40"/>
        <v>0</v>
      </c>
      <c r="U707" s="2">
        <f t="shared" si="41"/>
        <v>0</v>
      </c>
      <c r="V707" s="2">
        <f t="shared" si="42"/>
        <v>0</v>
      </c>
      <c r="W707" s="2">
        <f t="shared" si="43"/>
        <v>0</v>
      </c>
      <c r="Y707" t="str">
        <f>IFERROR(ROUND(E707*VLOOKUP(D707,商品!$A$4:$B$60,2,FALSE),0),"")</f>
        <v/>
      </c>
      <c r="Z707" t="str">
        <f>IFERROR(ROUND(G707*VLOOKUP(F707,商品!$A$4:$B$60,2,FALSE),0),"")</f>
        <v/>
      </c>
      <c r="AA707" t="str">
        <f>IFERROR(ROUND(I707*VLOOKUP(H707,商品!$A$4:$B$60,2,FALSE),0),"")</f>
        <v/>
      </c>
      <c r="AB707" t="str">
        <f>IFERROR(ROUND(K707*VLOOKUP(J707,[1]note_pop_types!$A$16:$E$16,4,FALSE),0),"")</f>
        <v/>
      </c>
      <c r="AC707" t="str">
        <f>IFERROR(ROUND(M707*VLOOKUP(L707,[1]note_pop_types!$A$16:$E$16,4,FALSE),0),"")</f>
        <v/>
      </c>
      <c r="AD707" t="str">
        <f>IFERROR(ROUND(O707*VLOOKUP(N707,[1]note_pop_types!$A$16:$E$16,4,FALSE),0),"")</f>
        <v/>
      </c>
      <c r="AE707" t="str">
        <f>IFERROR(ROUND(Q707*VLOOKUP(P707,商品!$A$4:$B$60,2,FALSE),0),"")</f>
        <v/>
      </c>
      <c r="AF707" t="str">
        <f>IFERROR(ROUND(S707*VLOOKUP(R707,商品!$A$4:$B$60,2,FALSE),0),"")</f>
        <v/>
      </c>
    </row>
    <row r="708" spans="1:32" ht="19.05" customHeight="1" x14ac:dyDescent="0.25">
      <c r="A708" s="15" t="s">
        <v>328</v>
      </c>
      <c r="C708" s="15">
        <v>7</v>
      </c>
      <c r="T708" s="2">
        <f t="shared" si="40"/>
        <v>0</v>
      </c>
      <c r="U708" s="2">
        <f t="shared" si="41"/>
        <v>0</v>
      </c>
      <c r="V708" s="2">
        <f t="shared" si="42"/>
        <v>0</v>
      </c>
      <c r="W708" s="2">
        <f t="shared" si="43"/>
        <v>0</v>
      </c>
      <c r="Y708" t="str">
        <f>IFERROR(ROUND(E708*VLOOKUP(D708,商品!$A$4:$B$60,2,FALSE),0),"")</f>
        <v/>
      </c>
      <c r="Z708" t="str">
        <f>IFERROR(ROUND(G708*VLOOKUP(F708,商品!$A$4:$B$60,2,FALSE),0),"")</f>
        <v/>
      </c>
      <c r="AA708" t="str">
        <f>IFERROR(ROUND(I708*VLOOKUP(H708,商品!$A$4:$B$60,2,FALSE),0),"")</f>
        <v/>
      </c>
      <c r="AB708" t="str">
        <f>IFERROR(ROUND(K708*VLOOKUP(J708,[1]note_pop_types!$A$16:$E$16,4,FALSE),0),"")</f>
        <v/>
      </c>
      <c r="AC708" t="str">
        <f>IFERROR(ROUND(M708*VLOOKUP(L708,[1]note_pop_types!$A$16:$E$16,4,FALSE),0),"")</f>
        <v/>
      </c>
      <c r="AD708" t="str">
        <f>IFERROR(ROUND(O708*VLOOKUP(N708,[1]note_pop_types!$A$16:$E$16,4,FALSE),0),"")</f>
        <v/>
      </c>
      <c r="AE708" t="str">
        <f>IFERROR(ROUND(Q708*VLOOKUP(P708,商品!$A$4:$B$60,2,FALSE),0),"")</f>
        <v/>
      </c>
      <c r="AF708" t="str">
        <f>IFERROR(ROUND(S708*VLOOKUP(R708,商品!$A$4:$B$60,2,FALSE),0),"")</f>
        <v/>
      </c>
    </row>
    <row r="709" spans="1:32" ht="19.05" customHeight="1" x14ac:dyDescent="0.25">
      <c r="A709" s="15" t="s">
        <v>328</v>
      </c>
      <c r="C709" s="15">
        <v>8</v>
      </c>
      <c r="T709" s="2">
        <f t="shared" si="40"/>
        <v>0</v>
      </c>
      <c r="U709" s="2">
        <f t="shared" si="41"/>
        <v>0</v>
      </c>
      <c r="V709" s="2">
        <f t="shared" si="42"/>
        <v>0</v>
      </c>
      <c r="W709" s="2">
        <f t="shared" si="43"/>
        <v>0</v>
      </c>
      <c r="Y709" t="str">
        <f>IFERROR(ROUND(E709*VLOOKUP(D709,商品!$A$4:$B$60,2,FALSE),0),"")</f>
        <v/>
      </c>
      <c r="Z709" t="str">
        <f>IFERROR(ROUND(G709*VLOOKUP(F709,商品!$A$4:$B$60,2,FALSE),0),"")</f>
        <v/>
      </c>
      <c r="AA709" t="str">
        <f>IFERROR(ROUND(I709*VLOOKUP(H709,商品!$A$4:$B$60,2,FALSE),0),"")</f>
        <v/>
      </c>
      <c r="AB709" t="str">
        <f>IFERROR(ROUND(K709*VLOOKUP(J709,[1]note_pop_types!$A$16:$E$16,4,FALSE),0),"")</f>
        <v/>
      </c>
      <c r="AC709" t="str">
        <f>IFERROR(ROUND(M709*VLOOKUP(L709,[1]note_pop_types!$A$16:$E$16,4,FALSE),0),"")</f>
        <v/>
      </c>
      <c r="AD709" t="str">
        <f>IFERROR(ROUND(O709*VLOOKUP(N709,[1]note_pop_types!$A$16:$E$16,4,FALSE),0),"")</f>
        <v/>
      </c>
      <c r="AE709" t="str">
        <f>IFERROR(ROUND(Q709*VLOOKUP(P709,商品!$A$4:$B$60,2,FALSE),0),"")</f>
        <v/>
      </c>
      <c r="AF709" t="str">
        <f>IFERROR(ROUND(S709*VLOOKUP(R709,商品!$A$4:$B$60,2,FALSE),0),"")</f>
        <v/>
      </c>
    </row>
    <row r="710" spans="1:32" ht="19.05" customHeight="1" x14ac:dyDescent="0.25">
      <c r="A710" s="16" t="s">
        <v>330</v>
      </c>
      <c r="C710" s="16">
        <v>1</v>
      </c>
      <c r="T710" s="2">
        <f t="shared" ref="T710:T773" si="44">SUM(Y710:AA710)</f>
        <v>0</v>
      </c>
      <c r="U710" s="2">
        <f t="shared" ref="U710:U773" si="45">SUM(AB710:AC710)</f>
        <v>0</v>
      </c>
      <c r="V710" s="2">
        <f t="shared" ref="V710:V773" si="46">SUM(AE710:AF710)</f>
        <v>0</v>
      </c>
      <c r="W710" s="2">
        <f t="shared" ref="W710:W773" si="47">V710-T710-U710</f>
        <v>0</v>
      </c>
      <c r="Y710" t="str">
        <f>IFERROR(ROUND(E710*VLOOKUP(D710,商品!$A$4:$B$60,2,FALSE),0),"")</f>
        <v/>
      </c>
      <c r="Z710" t="str">
        <f>IFERROR(ROUND(G710*VLOOKUP(F710,商品!$A$4:$B$60,2,FALSE),0),"")</f>
        <v/>
      </c>
      <c r="AA710" t="str">
        <f>IFERROR(ROUND(I710*VLOOKUP(H710,商品!$A$4:$B$60,2,FALSE),0),"")</f>
        <v/>
      </c>
      <c r="AB710" t="str">
        <f>IFERROR(ROUND(K710*VLOOKUP(J710,[1]note_pop_types!$A$16:$E$16,4,FALSE),0),"")</f>
        <v/>
      </c>
      <c r="AC710" t="str">
        <f>IFERROR(ROUND(M710*VLOOKUP(L710,[1]note_pop_types!$A$16:$E$16,4,FALSE),0),"")</f>
        <v/>
      </c>
      <c r="AD710" t="str">
        <f>IFERROR(ROUND(O710*VLOOKUP(N710,[1]note_pop_types!$A$16:$E$16,4,FALSE),0),"")</f>
        <v/>
      </c>
      <c r="AE710" t="str">
        <f>IFERROR(ROUND(Q710*VLOOKUP(P710,商品!$A$4:$B$60,2,FALSE),0),"")</f>
        <v/>
      </c>
      <c r="AF710" t="str">
        <f>IFERROR(ROUND(S710*VLOOKUP(R710,商品!$A$4:$B$60,2,FALSE),0),"")</f>
        <v/>
      </c>
    </row>
    <row r="711" spans="1:32" ht="19.05" customHeight="1" x14ac:dyDescent="0.25">
      <c r="A711" s="16" t="s">
        <v>330</v>
      </c>
      <c r="C711" s="16">
        <v>2</v>
      </c>
      <c r="T711" s="2">
        <f t="shared" si="44"/>
        <v>0</v>
      </c>
      <c r="U711" s="2">
        <f t="shared" si="45"/>
        <v>0</v>
      </c>
      <c r="V711" s="2">
        <f t="shared" si="46"/>
        <v>0</v>
      </c>
      <c r="W711" s="2">
        <f t="shared" si="47"/>
        <v>0</v>
      </c>
      <c r="Y711" t="str">
        <f>IFERROR(ROUND(E711*VLOOKUP(D711,商品!$A$4:$B$60,2,FALSE),0),"")</f>
        <v/>
      </c>
      <c r="Z711" t="str">
        <f>IFERROR(ROUND(G711*VLOOKUP(F711,商品!$A$4:$B$60,2,FALSE),0),"")</f>
        <v/>
      </c>
      <c r="AA711" t="str">
        <f>IFERROR(ROUND(I711*VLOOKUP(H711,商品!$A$4:$B$60,2,FALSE),0),"")</f>
        <v/>
      </c>
      <c r="AB711" t="str">
        <f>IFERROR(ROUND(K711*VLOOKUP(J711,[1]note_pop_types!$A$16:$E$16,4,FALSE),0),"")</f>
        <v/>
      </c>
      <c r="AC711" t="str">
        <f>IFERROR(ROUND(M711*VLOOKUP(L711,[1]note_pop_types!$A$16:$E$16,4,FALSE),0),"")</f>
        <v/>
      </c>
      <c r="AD711" t="str">
        <f>IFERROR(ROUND(O711*VLOOKUP(N711,[1]note_pop_types!$A$16:$E$16,4,FALSE),0),"")</f>
        <v/>
      </c>
      <c r="AE711" t="str">
        <f>IFERROR(ROUND(Q711*VLOOKUP(P711,商品!$A$4:$B$60,2,FALSE),0),"")</f>
        <v/>
      </c>
      <c r="AF711" t="str">
        <f>IFERROR(ROUND(S711*VLOOKUP(R711,商品!$A$4:$B$60,2,FALSE),0),"")</f>
        <v/>
      </c>
    </row>
    <row r="712" spans="1:32" ht="19.05" customHeight="1" x14ac:dyDescent="0.25">
      <c r="A712" s="16" t="s">
        <v>330</v>
      </c>
      <c r="C712" s="16">
        <v>3</v>
      </c>
      <c r="T712" s="2">
        <f t="shared" si="44"/>
        <v>0</v>
      </c>
      <c r="U712" s="2">
        <f t="shared" si="45"/>
        <v>0</v>
      </c>
      <c r="V712" s="2">
        <f t="shared" si="46"/>
        <v>0</v>
      </c>
      <c r="W712" s="2">
        <f t="shared" si="47"/>
        <v>0</v>
      </c>
      <c r="Y712" t="str">
        <f>IFERROR(ROUND(E712*VLOOKUP(D712,商品!$A$4:$B$60,2,FALSE),0),"")</f>
        <v/>
      </c>
      <c r="Z712" t="str">
        <f>IFERROR(ROUND(G712*VLOOKUP(F712,商品!$A$4:$B$60,2,FALSE),0),"")</f>
        <v/>
      </c>
      <c r="AA712" t="str">
        <f>IFERROR(ROUND(I712*VLOOKUP(H712,商品!$A$4:$B$60,2,FALSE),0),"")</f>
        <v/>
      </c>
      <c r="AB712" t="str">
        <f>IFERROR(ROUND(K712*VLOOKUP(J712,[1]note_pop_types!$A$16:$E$16,4,FALSE),0),"")</f>
        <v/>
      </c>
      <c r="AC712" t="str">
        <f>IFERROR(ROUND(M712*VLOOKUP(L712,[1]note_pop_types!$A$16:$E$16,4,FALSE),0),"")</f>
        <v/>
      </c>
      <c r="AD712" t="str">
        <f>IFERROR(ROUND(O712*VLOOKUP(N712,[1]note_pop_types!$A$16:$E$16,4,FALSE),0),"")</f>
        <v/>
      </c>
      <c r="AE712" t="str">
        <f>IFERROR(ROUND(Q712*VLOOKUP(P712,商品!$A$4:$B$60,2,FALSE),0),"")</f>
        <v/>
      </c>
      <c r="AF712" t="str">
        <f>IFERROR(ROUND(S712*VLOOKUP(R712,商品!$A$4:$B$60,2,FALSE),0),"")</f>
        <v/>
      </c>
    </row>
    <row r="713" spans="1:32" ht="19.05" customHeight="1" x14ac:dyDescent="0.25">
      <c r="A713" s="16" t="s">
        <v>330</v>
      </c>
      <c r="C713" s="16">
        <v>4</v>
      </c>
      <c r="T713" s="2">
        <f t="shared" si="44"/>
        <v>0</v>
      </c>
      <c r="U713" s="2">
        <f t="shared" si="45"/>
        <v>0</v>
      </c>
      <c r="V713" s="2">
        <f t="shared" si="46"/>
        <v>0</v>
      </c>
      <c r="W713" s="2">
        <f t="shared" si="47"/>
        <v>0</v>
      </c>
      <c r="Y713" t="str">
        <f>IFERROR(ROUND(E713*VLOOKUP(D713,商品!$A$4:$B$60,2,FALSE),0),"")</f>
        <v/>
      </c>
      <c r="Z713" t="str">
        <f>IFERROR(ROUND(G713*VLOOKUP(F713,商品!$A$4:$B$60,2,FALSE),0),"")</f>
        <v/>
      </c>
      <c r="AA713" t="str">
        <f>IFERROR(ROUND(I713*VLOOKUP(H713,商品!$A$4:$B$60,2,FALSE),0),"")</f>
        <v/>
      </c>
      <c r="AB713" t="str">
        <f>IFERROR(ROUND(K713*VLOOKUP(J713,[1]note_pop_types!$A$16:$E$16,4,FALSE),0),"")</f>
        <v/>
      </c>
      <c r="AC713" t="str">
        <f>IFERROR(ROUND(M713*VLOOKUP(L713,[1]note_pop_types!$A$16:$E$16,4,FALSE),0),"")</f>
        <v/>
      </c>
      <c r="AD713" t="str">
        <f>IFERROR(ROUND(O713*VLOOKUP(N713,[1]note_pop_types!$A$16:$E$16,4,FALSE),0),"")</f>
        <v/>
      </c>
      <c r="AE713" t="str">
        <f>IFERROR(ROUND(Q713*VLOOKUP(P713,商品!$A$4:$B$60,2,FALSE),0),"")</f>
        <v/>
      </c>
      <c r="AF713" t="str">
        <f>IFERROR(ROUND(S713*VLOOKUP(R713,商品!$A$4:$B$60,2,FALSE),0),"")</f>
        <v/>
      </c>
    </row>
    <row r="714" spans="1:32" ht="19.05" customHeight="1" x14ac:dyDescent="0.25">
      <c r="A714" s="16" t="s">
        <v>330</v>
      </c>
      <c r="C714" s="16">
        <v>5</v>
      </c>
      <c r="T714" s="2">
        <f t="shared" si="44"/>
        <v>0</v>
      </c>
      <c r="U714" s="2">
        <f t="shared" si="45"/>
        <v>0</v>
      </c>
      <c r="V714" s="2">
        <f t="shared" si="46"/>
        <v>0</v>
      </c>
      <c r="W714" s="2">
        <f t="shared" si="47"/>
        <v>0</v>
      </c>
      <c r="Y714" t="str">
        <f>IFERROR(ROUND(E714*VLOOKUP(D714,商品!$A$4:$B$60,2,FALSE),0),"")</f>
        <v/>
      </c>
      <c r="Z714" t="str">
        <f>IFERROR(ROUND(G714*VLOOKUP(F714,商品!$A$4:$B$60,2,FALSE),0),"")</f>
        <v/>
      </c>
      <c r="AA714" t="str">
        <f>IFERROR(ROUND(I714*VLOOKUP(H714,商品!$A$4:$B$60,2,FALSE),0),"")</f>
        <v/>
      </c>
      <c r="AB714" t="str">
        <f>IFERROR(ROUND(K714*VLOOKUP(J714,[1]note_pop_types!$A$16:$E$16,4,FALSE),0),"")</f>
        <v/>
      </c>
      <c r="AC714" t="str">
        <f>IFERROR(ROUND(M714*VLOOKUP(L714,[1]note_pop_types!$A$16:$E$16,4,FALSE),0),"")</f>
        <v/>
      </c>
      <c r="AD714" t="str">
        <f>IFERROR(ROUND(O714*VLOOKUP(N714,[1]note_pop_types!$A$16:$E$16,4,FALSE),0),"")</f>
        <v/>
      </c>
      <c r="AE714" t="str">
        <f>IFERROR(ROUND(Q714*VLOOKUP(P714,商品!$A$4:$B$60,2,FALSE),0),"")</f>
        <v/>
      </c>
      <c r="AF714" t="str">
        <f>IFERROR(ROUND(S714*VLOOKUP(R714,商品!$A$4:$B$60,2,FALSE),0),"")</f>
        <v/>
      </c>
    </row>
    <row r="715" spans="1:32" ht="19.05" customHeight="1" x14ac:dyDescent="0.25">
      <c r="A715" s="15" t="s">
        <v>331</v>
      </c>
      <c r="C715" s="15">
        <v>1</v>
      </c>
      <c r="T715" s="2">
        <f t="shared" si="44"/>
        <v>0</v>
      </c>
      <c r="U715" s="2">
        <f t="shared" si="45"/>
        <v>0</v>
      </c>
      <c r="V715" s="2">
        <f t="shared" si="46"/>
        <v>0</v>
      </c>
      <c r="W715" s="2">
        <f t="shared" si="47"/>
        <v>0</v>
      </c>
      <c r="Y715" t="str">
        <f>IFERROR(ROUND(E715*VLOOKUP(D715,商品!$A$4:$B$60,2,FALSE),0),"")</f>
        <v/>
      </c>
      <c r="Z715" t="str">
        <f>IFERROR(ROUND(G715*VLOOKUP(F715,商品!$A$4:$B$60,2,FALSE),0),"")</f>
        <v/>
      </c>
      <c r="AA715" t="str">
        <f>IFERROR(ROUND(I715*VLOOKUP(H715,商品!$A$4:$B$60,2,FALSE),0),"")</f>
        <v/>
      </c>
      <c r="AB715" t="str">
        <f>IFERROR(ROUND(K715*VLOOKUP(J715,[1]note_pop_types!$A$16:$E$16,4,FALSE),0),"")</f>
        <v/>
      </c>
      <c r="AC715" t="str">
        <f>IFERROR(ROUND(M715*VLOOKUP(L715,[1]note_pop_types!$A$16:$E$16,4,FALSE),0),"")</f>
        <v/>
      </c>
      <c r="AD715" t="str">
        <f>IFERROR(ROUND(O715*VLOOKUP(N715,[1]note_pop_types!$A$16:$E$16,4,FALSE),0),"")</f>
        <v/>
      </c>
      <c r="AE715" t="str">
        <f>IFERROR(ROUND(Q715*VLOOKUP(P715,商品!$A$4:$B$60,2,FALSE),0),"")</f>
        <v/>
      </c>
      <c r="AF715" t="str">
        <f>IFERROR(ROUND(S715*VLOOKUP(R715,商品!$A$4:$B$60,2,FALSE),0),"")</f>
        <v/>
      </c>
    </row>
    <row r="716" spans="1:32" ht="19.05" customHeight="1" x14ac:dyDescent="0.25">
      <c r="A716" s="15" t="s">
        <v>331</v>
      </c>
      <c r="C716" s="15">
        <v>2</v>
      </c>
      <c r="T716" s="2">
        <f t="shared" si="44"/>
        <v>0</v>
      </c>
      <c r="U716" s="2">
        <f t="shared" si="45"/>
        <v>0</v>
      </c>
      <c r="V716" s="2">
        <f t="shared" si="46"/>
        <v>0</v>
      </c>
      <c r="W716" s="2">
        <f t="shared" si="47"/>
        <v>0</v>
      </c>
      <c r="Y716" t="str">
        <f>IFERROR(ROUND(E716*VLOOKUP(D716,商品!$A$4:$B$60,2,FALSE),0),"")</f>
        <v/>
      </c>
      <c r="Z716" t="str">
        <f>IFERROR(ROUND(G716*VLOOKUP(F716,商品!$A$4:$B$60,2,FALSE),0),"")</f>
        <v/>
      </c>
      <c r="AA716" t="str">
        <f>IFERROR(ROUND(I716*VLOOKUP(H716,商品!$A$4:$B$60,2,FALSE),0),"")</f>
        <v/>
      </c>
      <c r="AB716" t="str">
        <f>IFERROR(ROUND(K716*VLOOKUP(J716,[1]note_pop_types!$A$16:$E$16,4,FALSE),0),"")</f>
        <v/>
      </c>
      <c r="AC716" t="str">
        <f>IFERROR(ROUND(M716*VLOOKUP(L716,[1]note_pop_types!$A$16:$E$16,4,FALSE),0),"")</f>
        <v/>
      </c>
      <c r="AD716" t="str">
        <f>IFERROR(ROUND(O716*VLOOKUP(N716,[1]note_pop_types!$A$16:$E$16,4,FALSE),0),"")</f>
        <v/>
      </c>
      <c r="AE716" t="str">
        <f>IFERROR(ROUND(Q716*VLOOKUP(P716,商品!$A$4:$B$60,2,FALSE),0),"")</f>
        <v/>
      </c>
      <c r="AF716" t="str">
        <f>IFERROR(ROUND(S716*VLOOKUP(R716,商品!$A$4:$B$60,2,FALSE),0),"")</f>
        <v/>
      </c>
    </row>
    <row r="717" spans="1:32" ht="19.05" customHeight="1" x14ac:dyDescent="0.25">
      <c r="A717" s="15" t="s">
        <v>331</v>
      </c>
      <c r="C717" s="15">
        <v>3</v>
      </c>
      <c r="T717" s="2">
        <f t="shared" si="44"/>
        <v>0</v>
      </c>
      <c r="U717" s="2">
        <f t="shared" si="45"/>
        <v>0</v>
      </c>
      <c r="V717" s="2">
        <f t="shared" si="46"/>
        <v>0</v>
      </c>
      <c r="W717" s="2">
        <f t="shared" si="47"/>
        <v>0</v>
      </c>
      <c r="Y717" t="str">
        <f>IFERROR(ROUND(E717*VLOOKUP(D717,商品!$A$4:$B$60,2,FALSE),0),"")</f>
        <v/>
      </c>
      <c r="Z717" t="str">
        <f>IFERROR(ROUND(G717*VLOOKUP(F717,商品!$A$4:$B$60,2,FALSE),0),"")</f>
        <v/>
      </c>
      <c r="AA717" t="str">
        <f>IFERROR(ROUND(I717*VLOOKUP(H717,商品!$A$4:$B$60,2,FALSE),0),"")</f>
        <v/>
      </c>
      <c r="AB717" t="str">
        <f>IFERROR(ROUND(K717*VLOOKUP(J717,[1]note_pop_types!$A$16:$E$16,4,FALSE),0),"")</f>
        <v/>
      </c>
      <c r="AC717" t="str">
        <f>IFERROR(ROUND(M717*VLOOKUP(L717,[1]note_pop_types!$A$16:$E$16,4,FALSE),0),"")</f>
        <v/>
      </c>
      <c r="AD717" t="str">
        <f>IFERROR(ROUND(O717*VLOOKUP(N717,[1]note_pop_types!$A$16:$E$16,4,FALSE),0),"")</f>
        <v/>
      </c>
      <c r="AE717" t="str">
        <f>IFERROR(ROUND(Q717*VLOOKUP(P717,商品!$A$4:$B$60,2,FALSE),0),"")</f>
        <v/>
      </c>
      <c r="AF717" t="str">
        <f>IFERROR(ROUND(S717*VLOOKUP(R717,商品!$A$4:$B$60,2,FALSE),0),"")</f>
        <v/>
      </c>
    </row>
    <row r="718" spans="1:32" ht="19.05" customHeight="1" x14ac:dyDescent="0.25">
      <c r="A718" s="15" t="s">
        <v>331</v>
      </c>
      <c r="C718" s="15">
        <v>4</v>
      </c>
      <c r="T718" s="2">
        <f t="shared" si="44"/>
        <v>0</v>
      </c>
      <c r="U718" s="2">
        <f t="shared" si="45"/>
        <v>0</v>
      </c>
      <c r="V718" s="2">
        <f t="shared" si="46"/>
        <v>0</v>
      </c>
      <c r="W718" s="2">
        <f t="shared" si="47"/>
        <v>0</v>
      </c>
      <c r="Y718" t="str">
        <f>IFERROR(ROUND(E718*VLOOKUP(D718,商品!$A$4:$B$60,2,FALSE),0),"")</f>
        <v/>
      </c>
      <c r="Z718" t="str">
        <f>IFERROR(ROUND(G718*VLOOKUP(F718,商品!$A$4:$B$60,2,FALSE),0),"")</f>
        <v/>
      </c>
      <c r="AA718" t="str">
        <f>IFERROR(ROUND(I718*VLOOKUP(H718,商品!$A$4:$B$60,2,FALSE),0),"")</f>
        <v/>
      </c>
      <c r="AB718" t="str">
        <f>IFERROR(ROUND(K718*VLOOKUP(J718,[1]note_pop_types!$A$16:$E$16,4,FALSE),0),"")</f>
        <v/>
      </c>
      <c r="AC718" t="str">
        <f>IFERROR(ROUND(M718*VLOOKUP(L718,[1]note_pop_types!$A$16:$E$16,4,FALSE),0),"")</f>
        <v/>
      </c>
      <c r="AD718" t="str">
        <f>IFERROR(ROUND(O718*VLOOKUP(N718,[1]note_pop_types!$A$16:$E$16,4,FALSE),0),"")</f>
        <v/>
      </c>
      <c r="AE718" t="str">
        <f>IFERROR(ROUND(Q718*VLOOKUP(P718,商品!$A$4:$B$60,2,FALSE),0),"")</f>
        <v/>
      </c>
      <c r="AF718" t="str">
        <f>IFERROR(ROUND(S718*VLOOKUP(R718,商品!$A$4:$B$60,2,FALSE),0),"")</f>
        <v/>
      </c>
    </row>
    <row r="719" spans="1:32" ht="19.05" customHeight="1" x14ac:dyDescent="0.25">
      <c r="A719" s="15" t="s">
        <v>331</v>
      </c>
      <c r="C719" s="15">
        <v>5</v>
      </c>
      <c r="T719" s="2">
        <f t="shared" si="44"/>
        <v>0</v>
      </c>
      <c r="U719" s="2">
        <f t="shared" si="45"/>
        <v>0</v>
      </c>
      <c r="V719" s="2">
        <f t="shared" si="46"/>
        <v>0</v>
      </c>
      <c r="W719" s="2">
        <f t="shared" si="47"/>
        <v>0</v>
      </c>
      <c r="Y719" t="str">
        <f>IFERROR(ROUND(E719*VLOOKUP(D719,商品!$A$4:$B$60,2,FALSE),0),"")</f>
        <v/>
      </c>
      <c r="Z719" t="str">
        <f>IFERROR(ROUND(G719*VLOOKUP(F719,商品!$A$4:$B$60,2,FALSE),0),"")</f>
        <v/>
      </c>
      <c r="AA719" t="str">
        <f>IFERROR(ROUND(I719*VLOOKUP(H719,商品!$A$4:$B$60,2,FALSE),0),"")</f>
        <v/>
      </c>
      <c r="AB719" t="str">
        <f>IFERROR(ROUND(K719*VLOOKUP(J719,[1]note_pop_types!$A$16:$E$16,4,FALSE),0),"")</f>
        <v/>
      </c>
      <c r="AC719" t="str">
        <f>IFERROR(ROUND(M719*VLOOKUP(L719,[1]note_pop_types!$A$16:$E$16,4,FALSE),0),"")</f>
        <v/>
      </c>
      <c r="AD719" t="str">
        <f>IFERROR(ROUND(O719*VLOOKUP(N719,[1]note_pop_types!$A$16:$E$16,4,FALSE),0),"")</f>
        <v/>
      </c>
      <c r="AE719" t="str">
        <f>IFERROR(ROUND(Q719*VLOOKUP(P719,商品!$A$4:$B$60,2,FALSE),0),"")</f>
        <v/>
      </c>
      <c r="AF719" t="str">
        <f>IFERROR(ROUND(S719*VLOOKUP(R719,商品!$A$4:$B$60,2,FALSE),0),"")</f>
        <v/>
      </c>
    </row>
    <row r="720" spans="1:32" ht="19.05" customHeight="1" x14ac:dyDescent="0.25">
      <c r="A720" s="16" t="s">
        <v>536</v>
      </c>
      <c r="C720" s="16">
        <v>1</v>
      </c>
      <c r="T720" s="2">
        <f t="shared" si="44"/>
        <v>0</v>
      </c>
      <c r="U720" s="2">
        <f t="shared" si="45"/>
        <v>0</v>
      </c>
      <c r="V720" s="2">
        <f t="shared" si="46"/>
        <v>0</v>
      </c>
      <c r="W720" s="2">
        <f t="shared" si="47"/>
        <v>0</v>
      </c>
      <c r="Y720" t="str">
        <f>IFERROR(ROUND(E720*VLOOKUP(D720,商品!$A$4:$B$60,2,FALSE),0),"")</f>
        <v/>
      </c>
      <c r="Z720" t="str">
        <f>IFERROR(ROUND(G720*VLOOKUP(F720,商品!$A$4:$B$60,2,FALSE),0),"")</f>
        <v/>
      </c>
      <c r="AA720" t="str">
        <f>IFERROR(ROUND(I720*VLOOKUP(H720,商品!$A$4:$B$60,2,FALSE),0),"")</f>
        <v/>
      </c>
      <c r="AB720" t="str">
        <f>IFERROR(ROUND(K720*VLOOKUP(J720,[1]note_pop_types!$A$16:$E$16,4,FALSE),0),"")</f>
        <v/>
      </c>
      <c r="AC720" t="str">
        <f>IFERROR(ROUND(M720*VLOOKUP(L720,[1]note_pop_types!$A$16:$E$16,4,FALSE),0),"")</f>
        <v/>
      </c>
      <c r="AD720" t="str">
        <f>IFERROR(ROUND(O720*VLOOKUP(N720,[1]note_pop_types!$A$16:$E$16,4,FALSE),0),"")</f>
        <v/>
      </c>
      <c r="AE720" t="str">
        <f>IFERROR(ROUND(Q720*VLOOKUP(P720,商品!$A$4:$B$60,2,FALSE),0),"")</f>
        <v/>
      </c>
      <c r="AF720" t="str">
        <f>IFERROR(ROUND(S720*VLOOKUP(R720,商品!$A$4:$B$60,2,FALSE),0),"")</f>
        <v/>
      </c>
    </row>
    <row r="721" spans="1:32" ht="19.05" customHeight="1" x14ac:dyDescent="0.25">
      <c r="A721" s="16" t="s">
        <v>536</v>
      </c>
      <c r="C721" s="16">
        <v>2</v>
      </c>
      <c r="T721" s="2">
        <f t="shared" si="44"/>
        <v>0</v>
      </c>
      <c r="U721" s="2">
        <f t="shared" si="45"/>
        <v>0</v>
      </c>
      <c r="V721" s="2">
        <f t="shared" si="46"/>
        <v>0</v>
      </c>
      <c r="W721" s="2">
        <f t="shared" si="47"/>
        <v>0</v>
      </c>
      <c r="Y721" t="str">
        <f>IFERROR(ROUND(E721*VLOOKUP(D721,商品!$A$4:$B$60,2,FALSE),0),"")</f>
        <v/>
      </c>
      <c r="Z721" t="str">
        <f>IFERROR(ROUND(G721*VLOOKUP(F721,商品!$A$4:$B$60,2,FALSE),0),"")</f>
        <v/>
      </c>
      <c r="AA721" t="str">
        <f>IFERROR(ROUND(I721*VLOOKUP(H721,商品!$A$4:$B$60,2,FALSE),0),"")</f>
        <v/>
      </c>
      <c r="AB721" t="str">
        <f>IFERROR(ROUND(K721*VLOOKUP(J721,[1]note_pop_types!$A$16:$E$16,4,FALSE),0),"")</f>
        <v/>
      </c>
      <c r="AC721" t="str">
        <f>IFERROR(ROUND(M721*VLOOKUP(L721,[1]note_pop_types!$A$16:$E$16,4,FALSE),0),"")</f>
        <v/>
      </c>
      <c r="AD721" t="str">
        <f>IFERROR(ROUND(O721*VLOOKUP(N721,[1]note_pop_types!$A$16:$E$16,4,FALSE),0),"")</f>
        <v/>
      </c>
      <c r="AE721" t="str">
        <f>IFERROR(ROUND(Q721*VLOOKUP(P721,商品!$A$4:$B$60,2,FALSE),0),"")</f>
        <v/>
      </c>
      <c r="AF721" t="str">
        <f>IFERROR(ROUND(S721*VLOOKUP(R721,商品!$A$4:$B$60,2,FALSE),0),"")</f>
        <v/>
      </c>
    </row>
    <row r="722" spans="1:32" ht="19.05" customHeight="1" x14ac:dyDescent="0.25">
      <c r="A722" s="16" t="s">
        <v>536</v>
      </c>
      <c r="C722" s="16">
        <v>3</v>
      </c>
      <c r="T722" s="2">
        <f t="shared" si="44"/>
        <v>0</v>
      </c>
      <c r="U722" s="2">
        <f t="shared" si="45"/>
        <v>0</v>
      </c>
      <c r="V722" s="2">
        <f t="shared" si="46"/>
        <v>0</v>
      </c>
      <c r="W722" s="2">
        <f t="shared" si="47"/>
        <v>0</v>
      </c>
      <c r="Y722" t="str">
        <f>IFERROR(ROUND(E722*VLOOKUP(D722,商品!$A$4:$B$60,2,FALSE),0),"")</f>
        <v/>
      </c>
      <c r="Z722" t="str">
        <f>IFERROR(ROUND(G722*VLOOKUP(F722,商品!$A$4:$B$60,2,FALSE),0),"")</f>
        <v/>
      </c>
      <c r="AA722" t="str">
        <f>IFERROR(ROUND(I722*VLOOKUP(H722,商品!$A$4:$B$60,2,FALSE),0),"")</f>
        <v/>
      </c>
      <c r="AB722" t="str">
        <f>IFERROR(ROUND(K722*VLOOKUP(J722,[1]note_pop_types!$A$16:$E$16,4,FALSE),0),"")</f>
        <v/>
      </c>
      <c r="AC722" t="str">
        <f>IFERROR(ROUND(M722*VLOOKUP(L722,[1]note_pop_types!$A$16:$E$16,4,FALSE),0),"")</f>
        <v/>
      </c>
      <c r="AD722" t="str">
        <f>IFERROR(ROUND(O722*VLOOKUP(N722,[1]note_pop_types!$A$16:$E$16,4,FALSE),0),"")</f>
        <v/>
      </c>
      <c r="AE722" t="str">
        <f>IFERROR(ROUND(Q722*VLOOKUP(P722,商品!$A$4:$B$60,2,FALSE),0),"")</f>
        <v/>
      </c>
      <c r="AF722" t="str">
        <f>IFERROR(ROUND(S722*VLOOKUP(R722,商品!$A$4:$B$60,2,FALSE),0),"")</f>
        <v/>
      </c>
    </row>
    <row r="723" spans="1:32" ht="19.05" customHeight="1" x14ac:dyDescent="0.25">
      <c r="A723" s="16" t="s">
        <v>536</v>
      </c>
      <c r="C723" s="16">
        <v>4</v>
      </c>
      <c r="T723" s="2">
        <f t="shared" si="44"/>
        <v>0</v>
      </c>
      <c r="U723" s="2">
        <f t="shared" si="45"/>
        <v>0</v>
      </c>
      <c r="V723" s="2">
        <f t="shared" si="46"/>
        <v>0</v>
      </c>
      <c r="W723" s="2">
        <f t="shared" si="47"/>
        <v>0</v>
      </c>
      <c r="Y723" t="str">
        <f>IFERROR(ROUND(E723*VLOOKUP(D723,商品!$A$4:$B$60,2,FALSE),0),"")</f>
        <v/>
      </c>
      <c r="Z723" t="str">
        <f>IFERROR(ROUND(G723*VLOOKUP(F723,商品!$A$4:$B$60,2,FALSE),0),"")</f>
        <v/>
      </c>
      <c r="AA723" t="str">
        <f>IFERROR(ROUND(I723*VLOOKUP(H723,商品!$A$4:$B$60,2,FALSE),0),"")</f>
        <v/>
      </c>
      <c r="AB723" t="str">
        <f>IFERROR(ROUND(K723*VLOOKUP(J723,[1]note_pop_types!$A$16:$E$16,4,FALSE),0),"")</f>
        <v/>
      </c>
      <c r="AC723" t="str">
        <f>IFERROR(ROUND(M723*VLOOKUP(L723,[1]note_pop_types!$A$16:$E$16,4,FALSE),0),"")</f>
        <v/>
      </c>
      <c r="AD723" t="str">
        <f>IFERROR(ROUND(O723*VLOOKUP(N723,[1]note_pop_types!$A$16:$E$16,4,FALSE),0),"")</f>
        <v/>
      </c>
      <c r="AE723" t="str">
        <f>IFERROR(ROUND(Q723*VLOOKUP(P723,商品!$A$4:$B$60,2,FALSE),0),"")</f>
        <v/>
      </c>
      <c r="AF723" t="str">
        <f>IFERROR(ROUND(S723*VLOOKUP(R723,商品!$A$4:$B$60,2,FALSE),0),"")</f>
        <v/>
      </c>
    </row>
    <row r="724" spans="1:32" ht="19.05" customHeight="1" x14ac:dyDescent="0.25">
      <c r="A724" s="16" t="s">
        <v>536</v>
      </c>
      <c r="C724" s="16">
        <v>5</v>
      </c>
      <c r="T724" s="2">
        <f t="shared" si="44"/>
        <v>0</v>
      </c>
      <c r="U724" s="2">
        <f t="shared" si="45"/>
        <v>0</v>
      </c>
      <c r="V724" s="2">
        <f t="shared" si="46"/>
        <v>0</v>
      </c>
      <c r="W724" s="2">
        <f t="shared" si="47"/>
        <v>0</v>
      </c>
      <c r="Y724" t="str">
        <f>IFERROR(ROUND(E724*VLOOKUP(D724,商品!$A$4:$B$60,2,FALSE),0),"")</f>
        <v/>
      </c>
      <c r="Z724" t="str">
        <f>IFERROR(ROUND(G724*VLOOKUP(F724,商品!$A$4:$B$60,2,FALSE),0),"")</f>
        <v/>
      </c>
      <c r="AA724" t="str">
        <f>IFERROR(ROUND(I724*VLOOKUP(H724,商品!$A$4:$B$60,2,FALSE),0),"")</f>
        <v/>
      </c>
      <c r="AB724" t="str">
        <f>IFERROR(ROUND(K724*VLOOKUP(J724,[1]note_pop_types!$A$16:$E$16,4,FALSE),0),"")</f>
        <v/>
      </c>
      <c r="AC724" t="str">
        <f>IFERROR(ROUND(M724*VLOOKUP(L724,[1]note_pop_types!$A$16:$E$16,4,FALSE),0),"")</f>
        <v/>
      </c>
      <c r="AD724" t="str">
        <f>IFERROR(ROUND(O724*VLOOKUP(N724,[1]note_pop_types!$A$16:$E$16,4,FALSE),0),"")</f>
        <v/>
      </c>
      <c r="AE724" t="str">
        <f>IFERROR(ROUND(Q724*VLOOKUP(P724,商品!$A$4:$B$60,2,FALSE),0),"")</f>
        <v/>
      </c>
      <c r="AF724" t="str">
        <f>IFERROR(ROUND(S724*VLOOKUP(R724,商品!$A$4:$B$60,2,FALSE),0),"")</f>
        <v/>
      </c>
    </row>
    <row r="725" spans="1:32" ht="19.05" customHeight="1" x14ac:dyDescent="0.25">
      <c r="A725" s="15" t="s">
        <v>536</v>
      </c>
      <c r="C725" s="15">
        <v>1</v>
      </c>
      <c r="T725" s="2">
        <f t="shared" si="44"/>
        <v>0</v>
      </c>
      <c r="U725" s="2">
        <f t="shared" si="45"/>
        <v>0</v>
      </c>
      <c r="V725" s="2">
        <f t="shared" si="46"/>
        <v>0</v>
      </c>
      <c r="W725" s="2">
        <f t="shared" si="47"/>
        <v>0</v>
      </c>
      <c r="Y725" t="str">
        <f>IFERROR(ROUND(E725*VLOOKUP(D725,商品!$A$4:$B$60,2,FALSE),0),"")</f>
        <v/>
      </c>
      <c r="Z725" t="str">
        <f>IFERROR(ROUND(G725*VLOOKUP(F725,商品!$A$4:$B$60,2,FALSE),0),"")</f>
        <v/>
      </c>
      <c r="AA725" t="str">
        <f>IFERROR(ROUND(I725*VLOOKUP(H725,商品!$A$4:$B$60,2,FALSE),0),"")</f>
        <v/>
      </c>
      <c r="AB725" t="str">
        <f>IFERROR(ROUND(K725*VLOOKUP(J725,[1]note_pop_types!$A$16:$E$16,4,FALSE),0),"")</f>
        <v/>
      </c>
      <c r="AC725" t="str">
        <f>IFERROR(ROUND(M725*VLOOKUP(L725,[1]note_pop_types!$A$16:$E$16,4,FALSE),0),"")</f>
        <v/>
      </c>
      <c r="AD725" t="str">
        <f>IFERROR(ROUND(O725*VLOOKUP(N725,[1]note_pop_types!$A$16:$E$16,4,FALSE),0),"")</f>
        <v/>
      </c>
      <c r="AE725" t="str">
        <f>IFERROR(ROUND(Q725*VLOOKUP(P725,商品!$A$4:$B$60,2,FALSE),0),"")</f>
        <v/>
      </c>
      <c r="AF725" t="str">
        <f>IFERROR(ROUND(S725*VLOOKUP(R725,商品!$A$4:$B$60,2,FALSE),0),"")</f>
        <v/>
      </c>
    </row>
    <row r="726" spans="1:32" ht="19.05" customHeight="1" x14ac:dyDescent="0.25">
      <c r="A726" s="15" t="s">
        <v>536</v>
      </c>
      <c r="C726" s="15">
        <v>2</v>
      </c>
      <c r="T726" s="2">
        <f t="shared" si="44"/>
        <v>0</v>
      </c>
      <c r="U726" s="2">
        <f t="shared" si="45"/>
        <v>0</v>
      </c>
      <c r="V726" s="2">
        <f t="shared" si="46"/>
        <v>0</v>
      </c>
      <c r="W726" s="2">
        <f t="shared" si="47"/>
        <v>0</v>
      </c>
      <c r="Y726" t="str">
        <f>IFERROR(ROUND(E726*VLOOKUP(D726,商品!$A$4:$B$60,2,FALSE),0),"")</f>
        <v/>
      </c>
      <c r="Z726" t="str">
        <f>IFERROR(ROUND(G726*VLOOKUP(F726,商品!$A$4:$B$60,2,FALSE),0),"")</f>
        <v/>
      </c>
      <c r="AA726" t="str">
        <f>IFERROR(ROUND(I726*VLOOKUP(H726,商品!$A$4:$B$60,2,FALSE),0),"")</f>
        <v/>
      </c>
      <c r="AB726" t="str">
        <f>IFERROR(ROUND(K726*VLOOKUP(J726,[1]note_pop_types!$A$16:$E$16,4,FALSE),0),"")</f>
        <v/>
      </c>
      <c r="AC726" t="str">
        <f>IFERROR(ROUND(M726*VLOOKUP(L726,[1]note_pop_types!$A$16:$E$16,4,FALSE),0),"")</f>
        <v/>
      </c>
      <c r="AD726" t="str">
        <f>IFERROR(ROUND(O726*VLOOKUP(N726,[1]note_pop_types!$A$16:$E$16,4,FALSE),0),"")</f>
        <v/>
      </c>
      <c r="AE726" t="str">
        <f>IFERROR(ROUND(Q726*VLOOKUP(P726,商品!$A$4:$B$60,2,FALSE),0),"")</f>
        <v/>
      </c>
      <c r="AF726" t="str">
        <f>IFERROR(ROUND(S726*VLOOKUP(R726,商品!$A$4:$B$60,2,FALSE),0),"")</f>
        <v/>
      </c>
    </row>
    <row r="727" spans="1:32" ht="19.05" customHeight="1" x14ac:dyDescent="0.25">
      <c r="A727" s="15" t="s">
        <v>536</v>
      </c>
      <c r="C727" s="15">
        <v>3</v>
      </c>
      <c r="T727" s="2">
        <f t="shared" si="44"/>
        <v>0</v>
      </c>
      <c r="U727" s="2">
        <f t="shared" si="45"/>
        <v>0</v>
      </c>
      <c r="V727" s="2">
        <f t="shared" si="46"/>
        <v>0</v>
      </c>
      <c r="W727" s="2">
        <f t="shared" si="47"/>
        <v>0</v>
      </c>
      <c r="Y727" t="str">
        <f>IFERROR(ROUND(E727*VLOOKUP(D727,商品!$A$4:$B$60,2,FALSE),0),"")</f>
        <v/>
      </c>
      <c r="Z727" t="str">
        <f>IFERROR(ROUND(G727*VLOOKUP(F727,商品!$A$4:$B$60,2,FALSE),0),"")</f>
        <v/>
      </c>
      <c r="AA727" t="str">
        <f>IFERROR(ROUND(I727*VLOOKUP(H727,商品!$A$4:$B$60,2,FALSE),0),"")</f>
        <v/>
      </c>
      <c r="AB727" t="str">
        <f>IFERROR(ROUND(K727*VLOOKUP(J727,[1]note_pop_types!$A$16:$E$16,4,FALSE),0),"")</f>
        <v/>
      </c>
      <c r="AC727" t="str">
        <f>IFERROR(ROUND(M727*VLOOKUP(L727,[1]note_pop_types!$A$16:$E$16,4,FALSE),0),"")</f>
        <v/>
      </c>
      <c r="AD727" t="str">
        <f>IFERROR(ROUND(O727*VLOOKUP(N727,[1]note_pop_types!$A$16:$E$16,4,FALSE),0),"")</f>
        <v/>
      </c>
      <c r="AE727" t="str">
        <f>IFERROR(ROUND(Q727*VLOOKUP(P727,商品!$A$4:$B$60,2,FALSE),0),"")</f>
        <v/>
      </c>
      <c r="AF727" t="str">
        <f>IFERROR(ROUND(S727*VLOOKUP(R727,商品!$A$4:$B$60,2,FALSE),0),"")</f>
        <v/>
      </c>
    </row>
    <row r="728" spans="1:32" ht="19.05" customHeight="1" x14ac:dyDescent="0.25">
      <c r="A728" s="15" t="s">
        <v>536</v>
      </c>
      <c r="C728" s="15">
        <v>4</v>
      </c>
      <c r="T728" s="2">
        <f t="shared" si="44"/>
        <v>0</v>
      </c>
      <c r="U728" s="2">
        <f t="shared" si="45"/>
        <v>0</v>
      </c>
      <c r="V728" s="2">
        <f t="shared" si="46"/>
        <v>0</v>
      </c>
      <c r="W728" s="2">
        <f t="shared" si="47"/>
        <v>0</v>
      </c>
      <c r="Y728" t="str">
        <f>IFERROR(ROUND(E728*VLOOKUP(D728,商品!$A$4:$B$60,2,FALSE),0),"")</f>
        <v/>
      </c>
      <c r="Z728" t="str">
        <f>IFERROR(ROUND(G728*VLOOKUP(F728,商品!$A$4:$B$60,2,FALSE),0),"")</f>
        <v/>
      </c>
      <c r="AA728" t="str">
        <f>IFERROR(ROUND(I728*VLOOKUP(H728,商品!$A$4:$B$60,2,FALSE),0),"")</f>
        <v/>
      </c>
      <c r="AB728" t="str">
        <f>IFERROR(ROUND(K728*VLOOKUP(J728,[1]note_pop_types!$A$16:$E$16,4,FALSE),0),"")</f>
        <v/>
      </c>
      <c r="AC728" t="str">
        <f>IFERROR(ROUND(M728*VLOOKUP(L728,[1]note_pop_types!$A$16:$E$16,4,FALSE),0),"")</f>
        <v/>
      </c>
      <c r="AD728" t="str">
        <f>IFERROR(ROUND(O728*VLOOKUP(N728,[1]note_pop_types!$A$16:$E$16,4,FALSE),0),"")</f>
        <v/>
      </c>
      <c r="AE728" t="str">
        <f>IFERROR(ROUND(Q728*VLOOKUP(P728,商品!$A$4:$B$60,2,FALSE),0),"")</f>
        <v/>
      </c>
      <c r="AF728" t="str">
        <f>IFERROR(ROUND(S728*VLOOKUP(R728,商品!$A$4:$B$60,2,FALSE),0),"")</f>
        <v/>
      </c>
    </row>
    <row r="729" spans="1:32" ht="19.05" customHeight="1" x14ac:dyDescent="0.25">
      <c r="A729" s="15" t="s">
        <v>536</v>
      </c>
      <c r="C729" s="15">
        <v>5</v>
      </c>
      <c r="T729" s="2">
        <f t="shared" si="44"/>
        <v>0</v>
      </c>
      <c r="U729" s="2">
        <f t="shared" si="45"/>
        <v>0</v>
      </c>
      <c r="V729" s="2">
        <f t="shared" si="46"/>
        <v>0</v>
      </c>
      <c r="W729" s="2">
        <f t="shared" si="47"/>
        <v>0</v>
      </c>
      <c r="Y729" t="str">
        <f>IFERROR(ROUND(E729*VLOOKUP(D729,商品!$A$4:$B$60,2,FALSE),0),"")</f>
        <v/>
      </c>
      <c r="Z729" t="str">
        <f>IFERROR(ROUND(G729*VLOOKUP(F729,商品!$A$4:$B$60,2,FALSE),0),"")</f>
        <v/>
      </c>
      <c r="AA729" t="str">
        <f>IFERROR(ROUND(I729*VLOOKUP(H729,商品!$A$4:$B$60,2,FALSE),0),"")</f>
        <v/>
      </c>
      <c r="AB729" t="str">
        <f>IFERROR(ROUND(K729*VLOOKUP(J729,[1]note_pop_types!$A$16:$E$16,4,FALSE),0),"")</f>
        <v/>
      </c>
      <c r="AC729" t="str">
        <f>IFERROR(ROUND(M729*VLOOKUP(L729,[1]note_pop_types!$A$16:$E$16,4,FALSE),0),"")</f>
        <v/>
      </c>
      <c r="AD729" t="str">
        <f>IFERROR(ROUND(O729*VLOOKUP(N729,[1]note_pop_types!$A$16:$E$16,4,FALSE),0),"")</f>
        <v/>
      </c>
      <c r="AE729" t="str">
        <f>IFERROR(ROUND(Q729*VLOOKUP(P729,商品!$A$4:$B$60,2,FALSE),0),"")</f>
        <v/>
      </c>
      <c r="AF729" t="str">
        <f>IFERROR(ROUND(S729*VLOOKUP(R729,商品!$A$4:$B$60,2,FALSE),0),"")</f>
        <v/>
      </c>
    </row>
    <row r="730" spans="1:32" ht="19.05" customHeight="1" x14ac:dyDescent="0.25">
      <c r="A730" s="16" t="s">
        <v>334</v>
      </c>
      <c r="C730" s="16">
        <v>1</v>
      </c>
      <c r="T730" s="2">
        <f t="shared" si="44"/>
        <v>0</v>
      </c>
      <c r="U730" s="2">
        <f t="shared" si="45"/>
        <v>0</v>
      </c>
      <c r="V730" s="2">
        <f t="shared" si="46"/>
        <v>0</v>
      </c>
      <c r="W730" s="2">
        <f t="shared" si="47"/>
        <v>0</v>
      </c>
      <c r="Y730" t="str">
        <f>IFERROR(ROUND(E730*VLOOKUP(D730,商品!$A$4:$B$60,2,FALSE),0),"")</f>
        <v/>
      </c>
      <c r="Z730" t="str">
        <f>IFERROR(ROUND(G730*VLOOKUP(F730,商品!$A$4:$B$60,2,FALSE),0),"")</f>
        <v/>
      </c>
      <c r="AA730" t="str">
        <f>IFERROR(ROUND(I730*VLOOKUP(H730,商品!$A$4:$B$60,2,FALSE),0),"")</f>
        <v/>
      </c>
      <c r="AB730" t="str">
        <f>IFERROR(ROUND(K730*VLOOKUP(J730,[1]note_pop_types!$A$16:$E$16,4,FALSE),0),"")</f>
        <v/>
      </c>
      <c r="AC730" t="str">
        <f>IFERROR(ROUND(M730*VLOOKUP(L730,[1]note_pop_types!$A$16:$E$16,4,FALSE),0),"")</f>
        <v/>
      </c>
      <c r="AD730" t="str">
        <f>IFERROR(ROUND(O730*VLOOKUP(N730,[1]note_pop_types!$A$16:$E$16,4,FALSE),0),"")</f>
        <v/>
      </c>
      <c r="AE730" t="str">
        <f>IFERROR(ROUND(Q730*VLOOKUP(P730,商品!$A$4:$B$60,2,FALSE),0),"")</f>
        <v/>
      </c>
      <c r="AF730" t="str">
        <f>IFERROR(ROUND(S730*VLOOKUP(R730,商品!$A$4:$B$60,2,FALSE),0),"")</f>
        <v/>
      </c>
    </row>
    <row r="731" spans="1:32" ht="19.05" customHeight="1" x14ac:dyDescent="0.25">
      <c r="A731" s="16" t="s">
        <v>334</v>
      </c>
      <c r="C731" s="16">
        <v>2</v>
      </c>
      <c r="T731" s="2">
        <f t="shared" si="44"/>
        <v>0</v>
      </c>
      <c r="U731" s="2">
        <f t="shared" si="45"/>
        <v>0</v>
      </c>
      <c r="V731" s="2">
        <f t="shared" si="46"/>
        <v>0</v>
      </c>
      <c r="W731" s="2">
        <f t="shared" si="47"/>
        <v>0</v>
      </c>
      <c r="Y731" t="str">
        <f>IFERROR(ROUND(E731*VLOOKUP(D731,商品!$A$4:$B$60,2,FALSE),0),"")</f>
        <v/>
      </c>
      <c r="Z731" t="str">
        <f>IFERROR(ROUND(G731*VLOOKUP(F731,商品!$A$4:$B$60,2,FALSE),0),"")</f>
        <v/>
      </c>
      <c r="AA731" t="str">
        <f>IFERROR(ROUND(I731*VLOOKUP(H731,商品!$A$4:$B$60,2,FALSE),0),"")</f>
        <v/>
      </c>
      <c r="AB731" t="str">
        <f>IFERROR(ROUND(K731*VLOOKUP(J731,[1]note_pop_types!$A$16:$E$16,4,FALSE),0),"")</f>
        <v/>
      </c>
      <c r="AC731" t="str">
        <f>IFERROR(ROUND(M731*VLOOKUP(L731,[1]note_pop_types!$A$16:$E$16,4,FALSE),0),"")</f>
        <v/>
      </c>
      <c r="AD731" t="str">
        <f>IFERROR(ROUND(O731*VLOOKUP(N731,[1]note_pop_types!$A$16:$E$16,4,FALSE),0),"")</f>
        <v/>
      </c>
      <c r="AE731" t="str">
        <f>IFERROR(ROUND(Q731*VLOOKUP(P731,商品!$A$4:$B$60,2,FALSE),0),"")</f>
        <v/>
      </c>
      <c r="AF731" t="str">
        <f>IFERROR(ROUND(S731*VLOOKUP(R731,商品!$A$4:$B$60,2,FALSE),0),"")</f>
        <v/>
      </c>
    </row>
    <row r="732" spans="1:32" ht="19.05" customHeight="1" x14ac:dyDescent="0.25">
      <c r="A732" s="16" t="s">
        <v>334</v>
      </c>
      <c r="C732" s="16">
        <v>3</v>
      </c>
      <c r="T732" s="2">
        <f t="shared" si="44"/>
        <v>0</v>
      </c>
      <c r="U732" s="2">
        <f t="shared" si="45"/>
        <v>0</v>
      </c>
      <c r="V732" s="2">
        <f t="shared" si="46"/>
        <v>0</v>
      </c>
      <c r="W732" s="2">
        <f t="shared" si="47"/>
        <v>0</v>
      </c>
      <c r="Y732" t="str">
        <f>IFERROR(ROUND(E732*VLOOKUP(D732,商品!$A$4:$B$60,2,FALSE),0),"")</f>
        <v/>
      </c>
      <c r="Z732" t="str">
        <f>IFERROR(ROUND(G732*VLOOKUP(F732,商品!$A$4:$B$60,2,FALSE),0),"")</f>
        <v/>
      </c>
      <c r="AA732" t="str">
        <f>IFERROR(ROUND(I732*VLOOKUP(H732,商品!$A$4:$B$60,2,FALSE),0),"")</f>
        <v/>
      </c>
      <c r="AB732" t="str">
        <f>IFERROR(ROUND(K732*VLOOKUP(J732,[1]note_pop_types!$A$16:$E$16,4,FALSE),0),"")</f>
        <v/>
      </c>
      <c r="AC732" t="str">
        <f>IFERROR(ROUND(M732*VLOOKUP(L732,[1]note_pop_types!$A$16:$E$16,4,FALSE),0),"")</f>
        <v/>
      </c>
      <c r="AD732" t="str">
        <f>IFERROR(ROUND(O732*VLOOKUP(N732,[1]note_pop_types!$A$16:$E$16,4,FALSE),0),"")</f>
        <v/>
      </c>
      <c r="AE732" t="str">
        <f>IFERROR(ROUND(Q732*VLOOKUP(P732,商品!$A$4:$B$60,2,FALSE),0),"")</f>
        <v/>
      </c>
      <c r="AF732" t="str">
        <f>IFERROR(ROUND(S732*VLOOKUP(R732,商品!$A$4:$B$60,2,FALSE),0),"")</f>
        <v/>
      </c>
    </row>
    <row r="733" spans="1:32" ht="19.05" customHeight="1" x14ac:dyDescent="0.25">
      <c r="A733" s="16" t="s">
        <v>334</v>
      </c>
      <c r="C733" s="16">
        <v>4</v>
      </c>
      <c r="T733" s="2">
        <f t="shared" si="44"/>
        <v>0</v>
      </c>
      <c r="U733" s="2">
        <f t="shared" si="45"/>
        <v>0</v>
      </c>
      <c r="V733" s="2">
        <f t="shared" si="46"/>
        <v>0</v>
      </c>
      <c r="W733" s="2">
        <f t="shared" si="47"/>
        <v>0</v>
      </c>
      <c r="Y733" t="str">
        <f>IFERROR(ROUND(E733*VLOOKUP(D733,商品!$A$4:$B$60,2,FALSE),0),"")</f>
        <v/>
      </c>
      <c r="Z733" t="str">
        <f>IFERROR(ROUND(G733*VLOOKUP(F733,商品!$A$4:$B$60,2,FALSE),0),"")</f>
        <v/>
      </c>
      <c r="AA733" t="str">
        <f>IFERROR(ROUND(I733*VLOOKUP(H733,商品!$A$4:$B$60,2,FALSE),0),"")</f>
        <v/>
      </c>
      <c r="AB733" t="str">
        <f>IFERROR(ROUND(K733*VLOOKUP(J733,[1]note_pop_types!$A$16:$E$16,4,FALSE),0),"")</f>
        <v/>
      </c>
      <c r="AC733" t="str">
        <f>IFERROR(ROUND(M733*VLOOKUP(L733,[1]note_pop_types!$A$16:$E$16,4,FALSE),0),"")</f>
        <v/>
      </c>
      <c r="AD733" t="str">
        <f>IFERROR(ROUND(O733*VLOOKUP(N733,[1]note_pop_types!$A$16:$E$16,4,FALSE),0),"")</f>
        <v/>
      </c>
      <c r="AE733" t="str">
        <f>IFERROR(ROUND(Q733*VLOOKUP(P733,商品!$A$4:$B$60,2,FALSE),0),"")</f>
        <v/>
      </c>
      <c r="AF733" t="str">
        <f>IFERROR(ROUND(S733*VLOOKUP(R733,商品!$A$4:$B$60,2,FALSE),0),"")</f>
        <v/>
      </c>
    </row>
    <row r="734" spans="1:32" ht="19.05" customHeight="1" x14ac:dyDescent="0.25">
      <c r="A734" s="16" t="s">
        <v>334</v>
      </c>
      <c r="C734" s="16">
        <v>5</v>
      </c>
      <c r="T734" s="2">
        <f t="shared" si="44"/>
        <v>0</v>
      </c>
      <c r="U734" s="2">
        <f t="shared" si="45"/>
        <v>0</v>
      </c>
      <c r="V734" s="2">
        <f t="shared" si="46"/>
        <v>0</v>
      </c>
      <c r="W734" s="2">
        <f t="shared" si="47"/>
        <v>0</v>
      </c>
      <c r="Y734" t="str">
        <f>IFERROR(ROUND(E734*VLOOKUP(D734,商品!$A$4:$B$60,2,FALSE),0),"")</f>
        <v/>
      </c>
      <c r="Z734" t="str">
        <f>IFERROR(ROUND(G734*VLOOKUP(F734,商品!$A$4:$B$60,2,FALSE),0),"")</f>
        <v/>
      </c>
      <c r="AA734" t="str">
        <f>IFERROR(ROUND(I734*VLOOKUP(H734,商品!$A$4:$B$60,2,FALSE),0),"")</f>
        <v/>
      </c>
      <c r="AB734" t="str">
        <f>IFERROR(ROUND(K734*VLOOKUP(J734,[1]note_pop_types!$A$16:$E$16,4,FALSE),0),"")</f>
        <v/>
      </c>
      <c r="AC734" t="str">
        <f>IFERROR(ROUND(M734*VLOOKUP(L734,[1]note_pop_types!$A$16:$E$16,4,FALSE),0),"")</f>
        <v/>
      </c>
      <c r="AD734" t="str">
        <f>IFERROR(ROUND(O734*VLOOKUP(N734,[1]note_pop_types!$A$16:$E$16,4,FALSE),0),"")</f>
        <v/>
      </c>
      <c r="AE734" t="str">
        <f>IFERROR(ROUND(Q734*VLOOKUP(P734,商品!$A$4:$B$60,2,FALSE),0),"")</f>
        <v/>
      </c>
      <c r="AF734" t="str">
        <f>IFERROR(ROUND(S734*VLOOKUP(R734,商品!$A$4:$B$60,2,FALSE),0),"")</f>
        <v/>
      </c>
    </row>
    <row r="735" spans="1:32" ht="19.05" customHeight="1" x14ac:dyDescent="0.25">
      <c r="A735" s="16" t="s">
        <v>334</v>
      </c>
      <c r="C735" s="16">
        <v>6</v>
      </c>
      <c r="T735" s="2">
        <f t="shared" si="44"/>
        <v>0</v>
      </c>
      <c r="U735" s="2">
        <f t="shared" si="45"/>
        <v>0</v>
      </c>
      <c r="V735" s="2">
        <f t="shared" si="46"/>
        <v>0</v>
      </c>
      <c r="W735" s="2">
        <f t="shared" si="47"/>
        <v>0</v>
      </c>
      <c r="Y735" t="str">
        <f>IFERROR(ROUND(E735*VLOOKUP(D735,商品!$A$4:$B$60,2,FALSE),0),"")</f>
        <v/>
      </c>
      <c r="Z735" t="str">
        <f>IFERROR(ROUND(G735*VLOOKUP(F735,商品!$A$4:$B$60,2,FALSE),0),"")</f>
        <v/>
      </c>
      <c r="AA735" t="str">
        <f>IFERROR(ROUND(I735*VLOOKUP(H735,商品!$A$4:$B$60,2,FALSE),0),"")</f>
        <v/>
      </c>
      <c r="AB735" t="str">
        <f>IFERROR(ROUND(K735*VLOOKUP(J735,[1]note_pop_types!$A$16:$E$16,4,FALSE),0),"")</f>
        <v/>
      </c>
      <c r="AC735" t="str">
        <f>IFERROR(ROUND(M735*VLOOKUP(L735,[1]note_pop_types!$A$16:$E$16,4,FALSE),0),"")</f>
        <v/>
      </c>
      <c r="AD735" t="str">
        <f>IFERROR(ROUND(O735*VLOOKUP(N735,[1]note_pop_types!$A$16:$E$16,4,FALSE),0),"")</f>
        <v/>
      </c>
      <c r="AE735" t="str">
        <f>IFERROR(ROUND(Q735*VLOOKUP(P735,商品!$A$4:$B$60,2,FALSE),0),"")</f>
        <v/>
      </c>
      <c r="AF735" t="str">
        <f>IFERROR(ROUND(S735*VLOOKUP(R735,商品!$A$4:$B$60,2,FALSE),0),"")</f>
        <v/>
      </c>
    </row>
    <row r="736" spans="1:32" ht="19.05" customHeight="1" x14ac:dyDescent="0.25">
      <c r="A736" s="16" t="s">
        <v>334</v>
      </c>
      <c r="C736" s="16">
        <v>7</v>
      </c>
      <c r="T736" s="2">
        <f t="shared" si="44"/>
        <v>0</v>
      </c>
      <c r="U736" s="2">
        <f t="shared" si="45"/>
        <v>0</v>
      </c>
      <c r="V736" s="2">
        <f t="shared" si="46"/>
        <v>0</v>
      </c>
      <c r="W736" s="2">
        <f t="shared" si="47"/>
        <v>0</v>
      </c>
      <c r="Y736" t="str">
        <f>IFERROR(ROUND(E736*VLOOKUP(D736,商品!$A$4:$B$60,2,FALSE),0),"")</f>
        <v/>
      </c>
      <c r="Z736" t="str">
        <f>IFERROR(ROUND(G736*VLOOKUP(F736,商品!$A$4:$B$60,2,FALSE),0),"")</f>
        <v/>
      </c>
      <c r="AA736" t="str">
        <f>IFERROR(ROUND(I736*VLOOKUP(H736,商品!$A$4:$B$60,2,FALSE),0),"")</f>
        <v/>
      </c>
      <c r="AB736" t="str">
        <f>IFERROR(ROUND(K736*VLOOKUP(J736,[1]note_pop_types!$A$16:$E$16,4,FALSE),0),"")</f>
        <v/>
      </c>
      <c r="AC736" t="str">
        <f>IFERROR(ROUND(M736*VLOOKUP(L736,[1]note_pop_types!$A$16:$E$16,4,FALSE),0),"")</f>
        <v/>
      </c>
      <c r="AD736" t="str">
        <f>IFERROR(ROUND(O736*VLOOKUP(N736,[1]note_pop_types!$A$16:$E$16,4,FALSE),0),"")</f>
        <v/>
      </c>
      <c r="AE736" t="str">
        <f>IFERROR(ROUND(Q736*VLOOKUP(P736,商品!$A$4:$B$60,2,FALSE),0),"")</f>
        <v/>
      </c>
      <c r="AF736" t="str">
        <f>IFERROR(ROUND(S736*VLOOKUP(R736,商品!$A$4:$B$60,2,FALSE),0),"")</f>
        <v/>
      </c>
    </row>
    <row r="737" spans="1:32" ht="19.05" customHeight="1" x14ac:dyDescent="0.25">
      <c r="A737" s="16" t="s">
        <v>334</v>
      </c>
      <c r="C737" s="16">
        <v>8</v>
      </c>
      <c r="T737" s="2">
        <f t="shared" si="44"/>
        <v>0</v>
      </c>
      <c r="U737" s="2">
        <f t="shared" si="45"/>
        <v>0</v>
      </c>
      <c r="V737" s="2">
        <f t="shared" si="46"/>
        <v>0</v>
      </c>
      <c r="W737" s="2">
        <f t="shared" si="47"/>
        <v>0</v>
      </c>
      <c r="Y737" t="str">
        <f>IFERROR(ROUND(E737*VLOOKUP(D737,商品!$A$4:$B$60,2,FALSE),0),"")</f>
        <v/>
      </c>
      <c r="Z737" t="str">
        <f>IFERROR(ROUND(G737*VLOOKUP(F737,商品!$A$4:$B$60,2,FALSE),0),"")</f>
        <v/>
      </c>
      <c r="AA737" t="str">
        <f>IFERROR(ROUND(I737*VLOOKUP(H737,商品!$A$4:$B$60,2,FALSE),0),"")</f>
        <v/>
      </c>
      <c r="AB737" t="str">
        <f>IFERROR(ROUND(K737*VLOOKUP(J737,[1]note_pop_types!$A$16:$E$16,4,FALSE),0),"")</f>
        <v/>
      </c>
      <c r="AC737" t="str">
        <f>IFERROR(ROUND(M737*VLOOKUP(L737,[1]note_pop_types!$A$16:$E$16,4,FALSE),0),"")</f>
        <v/>
      </c>
      <c r="AD737" t="str">
        <f>IFERROR(ROUND(O737*VLOOKUP(N737,[1]note_pop_types!$A$16:$E$16,4,FALSE),0),"")</f>
        <v/>
      </c>
      <c r="AE737" t="str">
        <f>IFERROR(ROUND(Q737*VLOOKUP(P737,商品!$A$4:$B$60,2,FALSE),0),"")</f>
        <v/>
      </c>
      <c r="AF737" t="str">
        <f>IFERROR(ROUND(S737*VLOOKUP(R737,商品!$A$4:$B$60,2,FALSE),0),"")</f>
        <v/>
      </c>
    </row>
    <row r="738" spans="1:32" ht="19.05" customHeight="1" x14ac:dyDescent="0.25">
      <c r="A738" s="15" t="s">
        <v>336</v>
      </c>
      <c r="C738" s="15">
        <v>1</v>
      </c>
      <c r="T738" s="2">
        <f t="shared" si="44"/>
        <v>0</v>
      </c>
      <c r="U738" s="2">
        <f t="shared" si="45"/>
        <v>0</v>
      </c>
      <c r="V738" s="2">
        <f t="shared" si="46"/>
        <v>0</v>
      </c>
      <c r="W738" s="2">
        <f t="shared" si="47"/>
        <v>0</v>
      </c>
      <c r="Y738" t="str">
        <f>IFERROR(ROUND(E738*VLOOKUP(D738,商品!$A$4:$B$60,2,FALSE),0),"")</f>
        <v/>
      </c>
      <c r="Z738" t="str">
        <f>IFERROR(ROUND(G738*VLOOKUP(F738,商品!$A$4:$B$60,2,FALSE),0),"")</f>
        <v/>
      </c>
      <c r="AA738" t="str">
        <f>IFERROR(ROUND(I738*VLOOKUP(H738,商品!$A$4:$B$60,2,FALSE),0),"")</f>
        <v/>
      </c>
      <c r="AB738" t="str">
        <f>IFERROR(ROUND(K738*VLOOKUP(J738,[1]note_pop_types!$A$16:$E$16,4,FALSE),0),"")</f>
        <v/>
      </c>
      <c r="AC738" t="str">
        <f>IFERROR(ROUND(M738*VLOOKUP(L738,[1]note_pop_types!$A$16:$E$16,4,FALSE),0),"")</f>
        <v/>
      </c>
      <c r="AD738" t="str">
        <f>IFERROR(ROUND(O738*VLOOKUP(N738,[1]note_pop_types!$A$16:$E$16,4,FALSE),0),"")</f>
        <v/>
      </c>
      <c r="AE738" t="str">
        <f>IFERROR(ROUND(Q738*VLOOKUP(P738,商品!$A$4:$B$60,2,FALSE),0),"")</f>
        <v/>
      </c>
      <c r="AF738" t="str">
        <f>IFERROR(ROUND(S738*VLOOKUP(R738,商品!$A$4:$B$60,2,FALSE),0),"")</f>
        <v/>
      </c>
    </row>
    <row r="739" spans="1:32" ht="19.05" customHeight="1" x14ac:dyDescent="0.25">
      <c r="A739" s="15" t="s">
        <v>336</v>
      </c>
      <c r="C739" s="15">
        <v>2</v>
      </c>
      <c r="T739" s="2">
        <f t="shared" si="44"/>
        <v>0</v>
      </c>
      <c r="U739" s="2">
        <f t="shared" si="45"/>
        <v>0</v>
      </c>
      <c r="V739" s="2">
        <f t="shared" si="46"/>
        <v>0</v>
      </c>
      <c r="W739" s="2">
        <f t="shared" si="47"/>
        <v>0</v>
      </c>
      <c r="Y739" t="str">
        <f>IFERROR(ROUND(E739*VLOOKUP(D739,商品!$A$4:$B$60,2,FALSE),0),"")</f>
        <v/>
      </c>
      <c r="Z739" t="str">
        <f>IFERROR(ROUND(G739*VLOOKUP(F739,商品!$A$4:$B$60,2,FALSE),0),"")</f>
        <v/>
      </c>
      <c r="AA739" t="str">
        <f>IFERROR(ROUND(I739*VLOOKUP(H739,商品!$A$4:$B$60,2,FALSE),0),"")</f>
        <v/>
      </c>
      <c r="AB739" t="str">
        <f>IFERROR(ROUND(K739*VLOOKUP(J739,[1]note_pop_types!$A$16:$E$16,4,FALSE),0),"")</f>
        <v/>
      </c>
      <c r="AC739" t="str">
        <f>IFERROR(ROUND(M739*VLOOKUP(L739,[1]note_pop_types!$A$16:$E$16,4,FALSE),0),"")</f>
        <v/>
      </c>
      <c r="AD739" t="str">
        <f>IFERROR(ROUND(O739*VLOOKUP(N739,[1]note_pop_types!$A$16:$E$16,4,FALSE),0),"")</f>
        <v/>
      </c>
      <c r="AE739" t="str">
        <f>IFERROR(ROUND(Q739*VLOOKUP(P739,商品!$A$4:$B$60,2,FALSE),0),"")</f>
        <v/>
      </c>
      <c r="AF739" t="str">
        <f>IFERROR(ROUND(S739*VLOOKUP(R739,商品!$A$4:$B$60,2,FALSE),0),"")</f>
        <v/>
      </c>
    </row>
    <row r="740" spans="1:32" ht="19.05" customHeight="1" x14ac:dyDescent="0.25">
      <c r="A740" s="15" t="s">
        <v>336</v>
      </c>
      <c r="C740" s="15">
        <v>3</v>
      </c>
      <c r="T740" s="2">
        <f t="shared" si="44"/>
        <v>0</v>
      </c>
      <c r="U740" s="2">
        <f t="shared" si="45"/>
        <v>0</v>
      </c>
      <c r="V740" s="2">
        <f t="shared" si="46"/>
        <v>0</v>
      </c>
      <c r="W740" s="2">
        <f t="shared" si="47"/>
        <v>0</v>
      </c>
      <c r="Y740" t="str">
        <f>IFERROR(ROUND(E740*VLOOKUP(D740,商品!$A$4:$B$60,2,FALSE),0),"")</f>
        <v/>
      </c>
      <c r="Z740" t="str">
        <f>IFERROR(ROUND(G740*VLOOKUP(F740,商品!$A$4:$B$60,2,FALSE),0),"")</f>
        <v/>
      </c>
      <c r="AA740" t="str">
        <f>IFERROR(ROUND(I740*VLOOKUP(H740,商品!$A$4:$B$60,2,FALSE),0),"")</f>
        <v/>
      </c>
      <c r="AB740" t="str">
        <f>IFERROR(ROUND(K740*VLOOKUP(J740,[1]note_pop_types!$A$16:$E$16,4,FALSE),0),"")</f>
        <v/>
      </c>
      <c r="AC740" t="str">
        <f>IFERROR(ROUND(M740*VLOOKUP(L740,[1]note_pop_types!$A$16:$E$16,4,FALSE),0),"")</f>
        <v/>
      </c>
      <c r="AD740" t="str">
        <f>IFERROR(ROUND(O740*VLOOKUP(N740,[1]note_pop_types!$A$16:$E$16,4,FALSE),0),"")</f>
        <v/>
      </c>
      <c r="AE740" t="str">
        <f>IFERROR(ROUND(Q740*VLOOKUP(P740,商品!$A$4:$B$60,2,FALSE),0),"")</f>
        <v/>
      </c>
      <c r="AF740" t="str">
        <f>IFERROR(ROUND(S740*VLOOKUP(R740,商品!$A$4:$B$60,2,FALSE),0),"")</f>
        <v/>
      </c>
    </row>
    <row r="741" spans="1:32" ht="19.05" customHeight="1" x14ac:dyDescent="0.25">
      <c r="A741" s="15" t="s">
        <v>336</v>
      </c>
      <c r="C741" s="15">
        <v>4</v>
      </c>
      <c r="T741" s="2">
        <f t="shared" si="44"/>
        <v>0</v>
      </c>
      <c r="U741" s="2">
        <f t="shared" si="45"/>
        <v>0</v>
      </c>
      <c r="V741" s="2">
        <f t="shared" si="46"/>
        <v>0</v>
      </c>
      <c r="W741" s="2">
        <f t="shared" si="47"/>
        <v>0</v>
      </c>
      <c r="Y741" t="str">
        <f>IFERROR(ROUND(E741*VLOOKUP(D741,商品!$A$4:$B$60,2,FALSE),0),"")</f>
        <v/>
      </c>
      <c r="Z741" t="str">
        <f>IFERROR(ROUND(G741*VLOOKUP(F741,商品!$A$4:$B$60,2,FALSE),0),"")</f>
        <v/>
      </c>
      <c r="AA741" t="str">
        <f>IFERROR(ROUND(I741*VLOOKUP(H741,商品!$A$4:$B$60,2,FALSE),0),"")</f>
        <v/>
      </c>
      <c r="AB741" t="str">
        <f>IFERROR(ROUND(K741*VLOOKUP(J741,[1]note_pop_types!$A$16:$E$16,4,FALSE),0),"")</f>
        <v/>
      </c>
      <c r="AC741" t="str">
        <f>IFERROR(ROUND(M741*VLOOKUP(L741,[1]note_pop_types!$A$16:$E$16,4,FALSE),0),"")</f>
        <v/>
      </c>
      <c r="AD741" t="str">
        <f>IFERROR(ROUND(O741*VLOOKUP(N741,[1]note_pop_types!$A$16:$E$16,4,FALSE),0),"")</f>
        <v/>
      </c>
      <c r="AE741" t="str">
        <f>IFERROR(ROUND(Q741*VLOOKUP(P741,商品!$A$4:$B$60,2,FALSE),0),"")</f>
        <v/>
      </c>
      <c r="AF741" t="str">
        <f>IFERROR(ROUND(S741*VLOOKUP(R741,商品!$A$4:$B$60,2,FALSE),0),"")</f>
        <v/>
      </c>
    </row>
    <row r="742" spans="1:32" ht="19.05" customHeight="1" x14ac:dyDescent="0.25">
      <c r="A742" s="15" t="s">
        <v>336</v>
      </c>
      <c r="C742" s="15">
        <v>5</v>
      </c>
      <c r="T742" s="2">
        <f t="shared" si="44"/>
        <v>0</v>
      </c>
      <c r="U742" s="2">
        <f t="shared" si="45"/>
        <v>0</v>
      </c>
      <c r="V742" s="2">
        <f t="shared" si="46"/>
        <v>0</v>
      </c>
      <c r="W742" s="2">
        <f t="shared" si="47"/>
        <v>0</v>
      </c>
      <c r="Y742" t="str">
        <f>IFERROR(ROUND(E742*VLOOKUP(D742,商品!$A$4:$B$60,2,FALSE),0),"")</f>
        <v/>
      </c>
      <c r="Z742" t="str">
        <f>IFERROR(ROUND(G742*VLOOKUP(F742,商品!$A$4:$B$60,2,FALSE),0),"")</f>
        <v/>
      </c>
      <c r="AA742" t="str">
        <f>IFERROR(ROUND(I742*VLOOKUP(H742,商品!$A$4:$B$60,2,FALSE),0),"")</f>
        <v/>
      </c>
      <c r="AB742" t="str">
        <f>IFERROR(ROUND(K742*VLOOKUP(J742,[1]note_pop_types!$A$16:$E$16,4,FALSE),0),"")</f>
        <v/>
      </c>
      <c r="AC742" t="str">
        <f>IFERROR(ROUND(M742*VLOOKUP(L742,[1]note_pop_types!$A$16:$E$16,4,FALSE),0),"")</f>
        <v/>
      </c>
      <c r="AD742" t="str">
        <f>IFERROR(ROUND(O742*VLOOKUP(N742,[1]note_pop_types!$A$16:$E$16,4,FALSE),0),"")</f>
        <v/>
      </c>
      <c r="AE742" t="str">
        <f>IFERROR(ROUND(Q742*VLOOKUP(P742,商品!$A$4:$B$60,2,FALSE),0),"")</f>
        <v/>
      </c>
      <c r="AF742" t="str">
        <f>IFERROR(ROUND(S742*VLOOKUP(R742,商品!$A$4:$B$60,2,FALSE),0),"")</f>
        <v/>
      </c>
    </row>
    <row r="743" spans="1:32" ht="19.05" customHeight="1" x14ac:dyDescent="0.25">
      <c r="A743" s="16" t="s">
        <v>337</v>
      </c>
      <c r="C743" s="16">
        <v>1</v>
      </c>
      <c r="T743" s="2">
        <f t="shared" si="44"/>
        <v>0</v>
      </c>
      <c r="U743" s="2">
        <f t="shared" si="45"/>
        <v>0</v>
      </c>
      <c r="V743" s="2">
        <f t="shared" si="46"/>
        <v>0</v>
      </c>
      <c r="W743" s="2">
        <f t="shared" si="47"/>
        <v>0</v>
      </c>
      <c r="Y743" t="str">
        <f>IFERROR(ROUND(E743*VLOOKUP(D743,商品!$A$4:$B$60,2,FALSE),0),"")</f>
        <v/>
      </c>
      <c r="Z743" t="str">
        <f>IFERROR(ROUND(G743*VLOOKUP(F743,商品!$A$4:$B$60,2,FALSE),0),"")</f>
        <v/>
      </c>
      <c r="AA743" t="str">
        <f>IFERROR(ROUND(I743*VLOOKUP(H743,商品!$A$4:$B$60,2,FALSE),0),"")</f>
        <v/>
      </c>
      <c r="AB743" t="str">
        <f>IFERROR(ROUND(K743*VLOOKUP(J743,[1]note_pop_types!$A$16:$E$16,4,FALSE),0),"")</f>
        <v/>
      </c>
      <c r="AC743" t="str">
        <f>IFERROR(ROUND(M743*VLOOKUP(L743,[1]note_pop_types!$A$16:$E$16,4,FALSE),0),"")</f>
        <v/>
      </c>
      <c r="AD743" t="str">
        <f>IFERROR(ROUND(O743*VLOOKUP(N743,[1]note_pop_types!$A$16:$E$16,4,FALSE),0),"")</f>
        <v/>
      </c>
      <c r="AE743" t="str">
        <f>IFERROR(ROUND(Q743*VLOOKUP(P743,商品!$A$4:$B$60,2,FALSE),0),"")</f>
        <v/>
      </c>
      <c r="AF743" t="str">
        <f>IFERROR(ROUND(S743*VLOOKUP(R743,商品!$A$4:$B$60,2,FALSE),0),"")</f>
        <v/>
      </c>
    </row>
    <row r="744" spans="1:32" ht="19.05" customHeight="1" x14ac:dyDescent="0.25">
      <c r="A744" s="16" t="s">
        <v>337</v>
      </c>
      <c r="C744" s="16">
        <v>2</v>
      </c>
      <c r="T744" s="2">
        <f t="shared" si="44"/>
        <v>0</v>
      </c>
      <c r="U744" s="2">
        <f t="shared" si="45"/>
        <v>0</v>
      </c>
      <c r="V744" s="2">
        <f t="shared" si="46"/>
        <v>0</v>
      </c>
      <c r="W744" s="2">
        <f t="shared" si="47"/>
        <v>0</v>
      </c>
      <c r="Y744" t="str">
        <f>IFERROR(ROUND(E744*VLOOKUP(D744,商品!$A$4:$B$60,2,FALSE),0),"")</f>
        <v/>
      </c>
      <c r="Z744" t="str">
        <f>IFERROR(ROUND(G744*VLOOKUP(F744,商品!$A$4:$B$60,2,FALSE),0),"")</f>
        <v/>
      </c>
      <c r="AA744" t="str">
        <f>IFERROR(ROUND(I744*VLOOKUP(H744,商品!$A$4:$B$60,2,FALSE),0),"")</f>
        <v/>
      </c>
      <c r="AB744" t="str">
        <f>IFERROR(ROUND(K744*VLOOKUP(J744,[1]note_pop_types!$A$16:$E$16,4,FALSE),0),"")</f>
        <v/>
      </c>
      <c r="AC744" t="str">
        <f>IFERROR(ROUND(M744*VLOOKUP(L744,[1]note_pop_types!$A$16:$E$16,4,FALSE),0),"")</f>
        <v/>
      </c>
      <c r="AD744" t="str">
        <f>IFERROR(ROUND(O744*VLOOKUP(N744,[1]note_pop_types!$A$16:$E$16,4,FALSE),0),"")</f>
        <v/>
      </c>
      <c r="AE744" t="str">
        <f>IFERROR(ROUND(Q744*VLOOKUP(P744,商品!$A$4:$B$60,2,FALSE),0),"")</f>
        <v/>
      </c>
      <c r="AF744" t="str">
        <f>IFERROR(ROUND(S744*VLOOKUP(R744,商品!$A$4:$B$60,2,FALSE),0),"")</f>
        <v/>
      </c>
    </row>
    <row r="745" spans="1:32" ht="19.05" customHeight="1" x14ac:dyDescent="0.25">
      <c r="A745" s="16" t="s">
        <v>337</v>
      </c>
      <c r="C745" s="16">
        <v>3</v>
      </c>
      <c r="T745" s="2">
        <f t="shared" si="44"/>
        <v>0</v>
      </c>
      <c r="U745" s="2">
        <f t="shared" si="45"/>
        <v>0</v>
      </c>
      <c r="V745" s="2">
        <f t="shared" si="46"/>
        <v>0</v>
      </c>
      <c r="W745" s="2">
        <f t="shared" si="47"/>
        <v>0</v>
      </c>
      <c r="Y745" t="str">
        <f>IFERROR(ROUND(E745*VLOOKUP(D745,商品!$A$4:$B$60,2,FALSE),0),"")</f>
        <v/>
      </c>
      <c r="Z745" t="str">
        <f>IFERROR(ROUND(G745*VLOOKUP(F745,商品!$A$4:$B$60,2,FALSE),0),"")</f>
        <v/>
      </c>
      <c r="AA745" t="str">
        <f>IFERROR(ROUND(I745*VLOOKUP(H745,商品!$A$4:$B$60,2,FALSE),0),"")</f>
        <v/>
      </c>
      <c r="AB745" t="str">
        <f>IFERROR(ROUND(K745*VLOOKUP(J745,[1]note_pop_types!$A$16:$E$16,4,FALSE),0),"")</f>
        <v/>
      </c>
      <c r="AC745" t="str">
        <f>IFERROR(ROUND(M745*VLOOKUP(L745,[1]note_pop_types!$A$16:$E$16,4,FALSE),0),"")</f>
        <v/>
      </c>
      <c r="AD745" t="str">
        <f>IFERROR(ROUND(O745*VLOOKUP(N745,[1]note_pop_types!$A$16:$E$16,4,FALSE),0),"")</f>
        <v/>
      </c>
      <c r="AE745" t="str">
        <f>IFERROR(ROUND(Q745*VLOOKUP(P745,商品!$A$4:$B$60,2,FALSE),0),"")</f>
        <v/>
      </c>
      <c r="AF745" t="str">
        <f>IFERROR(ROUND(S745*VLOOKUP(R745,商品!$A$4:$B$60,2,FALSE),0),"")</f>
        <v/>
      </c>
    </row>
    <row r="746" spans="1:32" ht="19.05" customHeight="1" x14ac:dyDescent="0.25">
      <c r="A746" s="16" t="s">
        <v>337</v>
      </c>
      <c r="C746" s="16">
        <v>4</v>
      </c>
      <c r="T746" s="2">
        <f t="shared" si="44"/>
        <v>0</v>
      </c>
      <c r="U746" s="2">
        <f t="shared" si="45"/>
        <v>0</v>
      </c>
      <c r="V746" s="2">
        <f t="shared" si="46"/>
        <v>0</v>
      </c>
      <c r="W746" s="2">
        <f t="shared" si="47"/>
        <v>0</v>
      </c>
      <c r="Y746" t="str">
        <f>IFERROR(ROUND(E746*VLOOKUP(D746,商品!$A$4:$B$60,2,FALSE),0),"")</f>
        <v/>
      </c>
      <c r="Z746" t="str">
        <f>IFERROR(ROUND(G746*VLOOKUP(F746,商品!$A$4:$B$60,2,FALSE),0),"")</f>
        <v/>
      </c>
      <c r="AA746" t="str">
        <f>IFERROR(ROUND(I746*VLOOKUP(H746,商品!$A$4:$B$60,2,FALSE),0),"")</f>
        <v/>
      </c>
      <c r="AB746" t="str">
        <f>IFERROR(ROUND(K746*VLOOKUP(J746,[1]note_pop_types!$A$16:$E$16,4,FALSE),0),"")</f>
        <v/>
      </c>
      <c r="AC746" t="str">
        <f>IFERROR(ROUND(M746*VLOOKUP(L746,[1]note_pop_types!$A$16:$E$16,4,FALSE),0),"")</f>
        <v/>
      </c>
      <c r="AD746" t="str">
        <f>IFERROR(ROUND(O746*VLOOKUP(N746,[1]note_pop_types!$A$16:$E$16,4,FALSE),0),"")</f>
        <v/>
      </c>
      <c r="AE746" t="str">
        <f>IFERROR(ROUND(Q746*VLOOKUP(P746,商品!$A$4:$B$60,2,FALSE),0),"")</f>
        <v/>
      </c>
      <c r="AF746" t="str">
        <f>IFERROR(ROUND(S746*VLOOKUP(R746,商品!$A$4:$B$60,2,FALSE),0),"")</f>
        <v/>
      </c>
    </row>
    <row r="747" spans="1:32" ht="19.05" customHeight="1" x14ac:dyDescent="0.25">
      <c r="A747" s="16" t="s">
        <v>337</v>
      </c>
      <c r="C747" s="16">
        <v>5</v>
      </c>
      <c r="T747" s="2">
        <f t="shared" si="44"/>
        <v>0</v>
      </c>
      <c r="U747" s="2">
        <f t="shared" si="45"/>
        <v>0</v>
      </c>
      <c r="V747" s="2">
        <f t="shared" si="46"/>
        <v>0</v>
      </c>
      <c r="W747" s="2">
        <f t="shared" si="47"/>
        <v>0</v>
      </c>
      <c r="Y747" t="str">
        <f>IFERROR(ROUND(E747*VLOOKUP(D747,商品!$A$4:$B$60,2,FALSE),0),"")</f>
        <v/>
      </c>
      <c r="Z747" t="str">
        <f>IFERROR(ROUND(G747*VLOOKUP(F747,商品!$A$4:$B$60,2,FALSE),0),"")</f>
        <v/>
      </c>
      <c r="AA747" t="str">
        <f>IFERROR(ROUND(I747*VLOOKUP(H747,商品!$A$4:$B$60,2,FALSE),0),"")</f>
        <v/>
      </c>
      <c r="AB747" t="str">
        <f>IFERROR(ROUND(K747*VLOOKUP(J747,[1]note_pop_types!$A$16:$E$16,4,FALSE),0),"")</f>
        <v/>
      </c>
      <c r="AC747" t="str">
        <f>IFERROR(ROUND(M747*VLOOKUP(L747,[1]note_pop_types!$A$16:$E$16,4,FALSE),0),"")</f>
        <v/>
      </c>
      <c r="AD747" t="str">
        <f>IFERROR(ROUND(O747*VLOOKUP(N747,[1]note_pop_types!$A$16:$E$16,4,FALSE),0),"")</f>
        <v/>
      </c>
      <c r="AE747" t="str">
        <f>IFERROR(ROUND(Q747*VLOOKUP(P747,商品!$A$4:$B$60,2,FALSE),0),"")</f>
        <v/>
      </c>
      <c r="AF747" t="str">
        <f>IFERROR(ROUND(S747*VLOOKUP(R747,商品!$A$4:$B$60,2,FALSE),0),"")</f>
        <v/>
      </c>
    </row>
    <row r="748" spans="1:32" ht="19.05" customHeight="1" x14ac:dyDescent="0.25">
      <c r="A748" s="15" t="s">
        <v>537</v>
      </c>
      <c r="C748" s="15">
        <v>1</v>
      </c>
      <c r="T748" s="2">
        <f t="shared" si="44"/>
        <v>0</v>
      </c>
      <c r="U748" s="2">
        <f t="shared" si="45"/>
        <v>0</v>
      </c>
      <c r="V748" s="2">
        <f t="shared" si="46"/>
        <v>0</v>
      </c>
      <c r="W748" s="2">
        <f t="shared" si="47"/>
        <v>0</v>
      </c>
      <c r="Y748" t="str">
        <f>IFERROR(ROUND(E748*VLOOKUP(D748,商品!$A$4:$B$60,2,FALSE),0),"")</f>
        <v/>
      </c>
      <c r="Z748" t="str">
        <f>IFERROR(ROUND(G748*VLOOKUP(F748,商品!$A$4:$B$60,2,FALSE),0),"")</f>
        <v/>
      </c>
      <c r="AA748" t="str">
        <f>IFERROR(ROUND(I748*VLOOKUP(H748,商品!$A$4:$B$60,2,FALSE),0),"")</f>
        <v/>
      </c>
      <c r="AB748" t="str">
        <f>IFERROR(ROUND(K748*VLOOKUP(J748,[1]note_pop_types!$A$16:$E$16,4,FALSE),0),"")</f>
        <v/>
      </c>
      <c r="AC748" t="str">
        <f>IFERROR(ROUND(M748*VLOOKUP(L748,[1]note_pop_types!$A$16:$E$16,4,FALSE),0),"")</f>
        <v/>
      </c>
      <c r="AD748" t="str">
        <f>IFERROR(ROUND(O748*VLOOKUP(N748,[1]note_pop_types!$A$16:$E$16,4,FALSE),0),"")</f>
        <v/>
      </c>
      <c r="AE748" t="str">
        <f>IFERROR(ROUND(Q748*VLOOKUP(P748,商品!$A$4:$B$60,2,FALSE),0),"")</f>
        <v/>
      </c>
      <c r="AF748" t="str">
        <f>IFERROR(ROUND(S748*VLOOKUP(R748,商品!$A$4:$B$60,2,FALSE),0),"")</f>
        <v/>
      </c>
    </row>
    <row r="749" spans="1:32" ht="19.05" customHeight="1" x14ac:dyDescent="0.25">
      <c r="A749" s="15" t="s">
        <v>537</v>
      </c>
      <c r="C749" s="15">
        <v>2</v>
      </c>
      <c r="T749" s="2">
        <f t="shared" si="44"/>
        <v>0</v>
      </c>
      <c r="U749" s="2">
        <f t="shared" si="45"/>
        <v>0</v>
      </c>
      <c r="V749" s="2">
        <f t="shared" si="46"/>
        <v>0</v>
      </c>
      <c r="W749" s="2">
        <f t="shared" si="47"/>
        <v>0</v>
      </c>
      <c r="Y749" t="str">
        <f>IFERROR(ROUND(E749*VLOOKUP(D749,商品!$A$4:$B$60,2,FALSE),0),"")</f>
        <v/>
      </c>
      <c r="Z749" t="str">
        <f>IFERROR(ROUND(G749*VLOOKUP(F749,商品!$A$4:$B$60,2,FALSE),0),"")</f>
        <v/>
      </c>
      <c r="AA749" t="str">
        <f>IFERROR(ROUND(I749*VLOOKUP(H749,商品!$A$4:$B$60,2,FALSE),0),"")</f>
        <v/>
      </c>
      <c r="AB749" t="str">
        <f>IFERROR(ROUND(K749*VLOOKUP(J749,[1]note_pop_types!$A$16:$E$16,4,FALSE),0),"")</f>
        <v/>
      </c>
      <c r="AC749" t="str">
        <f>IFERROR(ROUND(M749*VLOOKUP(L749,[1]note_pop_types!$A$16:$E$16,4,FALSE),0),"")</f>
        <v/>
      </c>
      <c r="AD749" t="str">
        <f>IFERROR(ROUND(O749*VLOOKUP(N749,[1]note_pop_types!$A$16:$E$16,4,FALSE),0),"")</f>
        <v/>
      </c>
      <c r="AE749" t="str">
        <f>IFERROR(ROUND(Q749*VLOOKUP(P749,商品!$A$4:$B$60,2,FALSE),0),"")</f>
        <v/>
      </c>
      <c r="AF749" t="str">
        <f>IFERROR(ROUND(S749*VLOOKUP(R749,商品!$A$4:$B$60,2,FALSE),0),"")</f>
        <v/>
      </c>
    </row>
    <row r="750" spans="1:32" ht="19.05" customHeight="1" x14ac:dyDescent="0.25">
      <c r="A750" s="15" t="s">
        <v>537</v>
      </c>
      <c r="C750" s="15">
        <v>3</v>
      </c>
      <c r="T750" s="2">
        <f t="shared" si="44"/>
        <v>0</v>
      </c>
      <c r="U750" s="2">
        <f t="shared" si="45"/>
        <v>0</v>
      </c>
      <c r="V750" s="2">
        <f t="shared" si="46"/>
        <v>0</v>
      </c>
      <c r="W750" s="2">
        <f t="shared" si="47"/>
        <v>0</v>
      </c>
      <c r="Y750" t="str">
        <f>IFERROR(ROUND(E750*VLOOKUP(D750,商品!$A$4:$B$60,2,FALSE),0),"")</f>
        <v/>
      </c>
      <c r="Z750" t="str">
        <f>IFERROR(ROUND(G750*VLOOKUP(F750,商品!$A$4:$B$60,2,FALSE),0),"")</f>
        <v/>
      </c>
      <c r="AA750" t="str">
        <f>IFERROR(ROUND(I750*VLOOKUP(H750,商品!$A$4:$B$60,2,FALSE),0),"")</f>
        <v/>
      </c>
      <c r="AB750" t="str">
        <f>IFERROR(ROUND(K750*VLOOKUP(J750,[1]note_pop_types!$A$16:$E$16,4,FALSE),0),"")</f>
        <v/>
      </c>
      <c r="AC750" t="str">
        <f>IFERROR(ROUND(M750*VLOOKUP(L750,[1]note_pop_types!$A$16:$E$16,4,FALSE),0),"")</f>
        <v/>
      </c>
      <c r="AD750" t="str">
        <f>IFERROR(ROUND(O750*VLOOKUP(N750,[1]note_pop_types!$A$16:$E$16,4,FALSE),0),"")</f>
        <v/>
      </c>
      <c r="AE750" t="str">
        <f>IFERROR(ROUND(Q750*VLOOKUP(P750,商品!$A$4:$B$60,2,FALSE),0),"")</f>
        <v/>
      </c>
      <c r="AF750" t="str">
        <f>IFERROR(ROUND(S750*VLOOKUP(R750,商品!$A$4:$B$60,2,FALSE),0),"")</f>
        <v/>
      </c>
    </row>
    <row r="751" spans="1:32" ht="19.05" customHeight="1" x14ac:dyDescent="0.25">
      <c r="A751" s="15" t="s">
        <v>537</v>
      </c>
      <c r="C751" s="15">
        <v>4</v>
      </c>
      <c r="T751" s="2">
        <f t="shared" si="44"/>
        <v>0</v>
      </c>
      <c r="U751" s="2">
        <f t="shared" si="45"/>
        <v>0</v>
      </c>
      <c r="V751" s="2">
        <f t="shared" si="46"/>
        <v>0</v>
      </c>
      <c r="W751" s="2">
        <f t="shared" si="47"/>
        <v>0</v>
      </c>
      <c r="Y751" t="str">
        <f>IFERROR(ROUND(E751*VLOOKUP(D751,商品!$A$4:$B$60,2,FALSE),0),"")</f>
        <v/>
      </c>
      <c r="Z751" t="str">
        <f>IFERROR(ROUND(G751*VLOOKUP(F751,商品!$A$4:$B$60,2,FALSE),0),"")</f>
        <v/>
      </c>
      <c r="AA751" t="str">
        <f>IFERROR(ROUND(I751*VLOOKUP(H751,商品!$A$4:$B$60,2,FALSE),0),"")</f>
        <v/>
      </c>
      <c r="AB751" t="str">
        <f>IFERROR(ROUND(K751*VLOOKUP(J751,[1]note_pop_types!$A$16:$E$16,4,FALSE),0),"")</f>
        <v/>
      </c>
      <c r="AC751" t="str">
        <f>IFERROR(ROUND(M751*VLOOKUP(L751,[1]note_pop_types!$A$16:$E$16,4,FALSE),0),"")</f>
        <v/>
      </c>
      <c r="AD751" t="str">
        <f>IFERROR(ROUND(O751*VLOOKUP(N751,[1]note_pop_types!$A$16:$E$16,4,FALSE),0),"")</f>
        <v/>
      </c>
      <c r="AE751" t="str">
        <f>IFERROR(ROUND(Q751*VLOOKUP(P751,商品!$A$4:$B$60,2,FALSE),0),"")</f>
        <v/>
      </c>
      <c r="AF751" t="str">
        <f>IFERROR(ROUND(S751*VLOOKUP(R751,商品!$A$4:$B$60,2,FALSE),0),"")</f>
        <v/>
      </c>
    </row>
    <row r="752" spans="1:32" ht="19.05" customHeight="1" x14ac:dyDescent="0.25">
      <c r="A752" s="15" t="s">
        <v>537</v>
      </c>
      <c r="C752" s="15">
        <v>5</v>
      </c>
      <c r="T752" s="2">
        <f t="shared" si="44"/>
        <v>0</v>
      </c>
      <c r="U752" s="2">
        <f t="shared" si="45"/>
        <v>0</v>
      </c>
      <c r="V752" s="2">
        <f t="shared" si="46"/>
        <v>0</v>
      </c>
      <c r="W752" s="2">
        <f t="shared" si="47"/>
        <v>0</v>
      </c>
      <c r="Y752" t="str">
        <f>IFERROR(ROUND(E752*VLOOKUP(D752,商品!$A$4:$B$60,2,FALSE),0),"")</f>
        <v/>
      </c>
      <c r="Z752" t="str">
        <f>IFERROR(ROUND(G752*VLOOKUP(F752,商品!$A$4:$B$60,2,FALSE),0),"")</f>
        <v/>
      </c>
      <c r="AA752" t="str">
        <f>IFERROR(ROUND(I752*VLOOKUP(H752,商品!$A$4:$B$60,2,FALSE),0),"")</f>
        <v/>
      </c>
      <c r="AB752" t="str">
        <f>IFERROR(ROUND(K752*VLOOKUP(J752,[1]note_pop_types!$A$16:$E$16,4,FALSE),0),"")</f>
        <v/>
      </c>
      <c r="AC752" t="str">
        <f>IFERROR(ROUND(M752*VLOOKUP(L752,[1]note_pop_types!$A$16:$E$16,4,FALSE),0),"")</f>
        <v/>
      </c>
      <c r="AD752" t="str">
        <f>IFERROR(ROUND(O752*VLOOKUP(N752,[1]note_pop_types!$A$16:$E$16,4,FALSE),0),"")</f>
        <v/>
      </c>
      <c r="AE752" t="str">
        <f>IFERROR(ROUND(Q752*VLOOKUP(P752,商品!$A$4:$B$60,2,FALSE),0),"")</f>
        <v/>
      </c>
      <c r="AF752" t="str">
        <f>IFERROR(ROUND(S752*VLOOKUP(R752,商品!$A$4:$B$60,2,FALSE),0),"")</f>
        <v/>
      </c>
    </row>
    <row r="753" spans="1:32" ht="19.05" customHeight="1" x14ac:dyDescent="0.25">
      <c r="A753" s="16" t="s">
        <v>537</v>
      </c>
      <c r="C753" s="16">
        <v>1</v>
      </c>
      <c r="T753" s="2">
        <f t="shared" si="44"/>
        <v>0</v>
      </c>
      <c r="U753" s="2">
        <f t="shared" si="45"/>
        <v>0</v>
      </c>
      <c r="V753" s="2">
        <f t="shared" si="46"/>
        <v>0</v>
      </c>
      <c r="W753" s="2">
        <f t="shared" si="47"/>
        <v>0</v>
      </c>
      <c r="Y753" t="str">
        <f>IFERROR(ROUND(E753*VLOOKUP(D753,商品!$A$4:$B$60,2,FALSE),0),"")</f>
        <v/>
      </c>
      <c r="Z753" t="str">
        <f>IFERROR(ROUND(G753*VLOOKUP(F753,商品!$A$4:$B$60,2,FALSE),0),"")</f>
        <v/>
      </c>
      <c r="AA753" t="str">
        <f>IFERROR(ROUND(I753*VLOOKUP(H753,商品!$A$4:$B$60,2,FALSE),0),"")</f>
        <v/>
      </c>
      <c r="AB753" t="str">
        <f>IFERROR(ROUND(K753*VLOOKUP(J753,[1]note_pop_types!$A$16:$E$16,4,FALSE),0),"")</f>
        <v/>
      </c>
      <c r="AC753" t="str">
        <f>IFERROR(ROUND(M753*VLOOKUP(L753,[1]note_pop_types!$A$16:$E$16,4,FALSE),0),"")</f>
        <v/>
      </c>
      <c r="AD753" t="str">
        <f>IFERROR(ROUND(O753*VLOOKUP(N753,[1]note_pop_types!$A$16:$E$16,4,FALSE),0),"")</f>
        <v/>
      </c>
      <c r="AE753" t="str">
        <f>IFERROR(ROUND(Q753*VLOOKUP(P753,商品!$A$4:$B$60,2,FALSE),0),"")</f>
        <v/>
      </c>
      <c r="AF753" t="str">
        <f>IFERROR(ROUND(S753*VLOOKUP(R753,商品!$A$4:$B$60,2,FALSE),0),"")</f>
        <v/>
      </c>
    </row>
    <row r="754" spans="1:32" ht="19.05" customHeight="1" x14ac:dyDescent="0.25">
      <c r="A754" s="16" t="s">
        <v>537</v>
      </c>
      <c r="C754" s="16">
        <v>2</v>
      </c>
      <c r="T754" s="2">
        <f t="shared" si="44"/>
        <v>0</v>
      </c>
      <c r="U754" s="2">
        <f t="shared" si="45"/>
        <v>0</v>
      </c>
      <c r="V754" s="2">
        <f t="shared" si="46"/>
        <v>0</v>
      </c>
      <c r="W754" s="2">
        <f t="shared" si="47"/>
        <v>0</v>
      </c>
      <c r="Y754" t="str">
        <f>IFERROR(ROUND(E754*VLOOKUP(D754,商品!$A$4:$B$60,2,FALSE),0),"")</f>
        <v/>
      </c>
      <c r="Z754" t="str">
        <f>IFERROR(ROUND(G754*VLOOKUP(F754,商品!$A$4:$B$60,2,FALSE),0),"")</f>
        <v/>
      </c>
      <c r="AA754" t="str">
        <f>IFERROR(ROUND(I754*VLOOKUP(H754,商品!$A$4:$B$60,2,FALSE),0),"")</f>
        <v/>
      </c>
      <c r="AB754" t="str">
        <f>IFERROR(ROUND(K754*VLOOKUP(J754,[1]note_pop_types!$A$16:$E$16,4,FALSE),0),"")</f>
        <v/>
      </c>
      <c r="AC754" t="str">
        <f>IFERROR(ROUND(M754*VLOOKUP(L754,[1]note_pop_types!$A$16:$E$16,4,FALSE),0),"")</f>
        <v/>
      </c>
      <c r="AD754" t="str">
        <f>IFERROR(ROUND(O754*VLOOKUP(N754,[1]note_pop_types!$A$16:$E$16,4,FALSE),0),"")</f>
        <v/>
      </c>
      <c r="AE754" t="str">
        <f>IFERROR(ROUND(Q754*VLOOKUP(P754,商品!$A$4:$B$60,2,FALSE),0),"")</f>
        <v/>
      </c>
      <c r="AF754" t="str">
        <f>IFERROR(ROUND(S754*VLOOKUP(R754,商品!$A$4:$B$60,2,FALSE),0),"")</f>
        <v/>
      </c>
    </row>
    <row r="755" spans="1:32" ht="19.05" customHeight="1" x14ac:dyDescent="0.25">
      <c r="A755" s="16" t="s">
        <v>537</v>
      </c>
      <c r="C755" s="16">
        <v>3</v>
      </c>
      <c r="T755" s="2">
        <f t="shared" si="44"/>
        <v>0</v>
      </c>
      <c r="U755" s="2">
        <f t="shared" si="45"/>
        <v>0</v>
      </c>
      <c r="V755" s="2">
        <f t="shared" si="46"/>
        <v>0</v>
      </c>
      <c r="W755" s="2">
        <f t="shared" si="47"/>
        <v>0</v>
      </c>
      <c r="Y755" t="str">
        <f>IFERROR(ROUND(E755*VLOOKUP(D755,商品!$A$4:$B$60,2,FALSE),0),"")</f>
        <v/>
      </c>
      <c r="Z755" t="str">
        <f>IFERROR(ROUND(G755*VLOOKUP(F755,商品!$A$4:$B$60,2,FALSE),0),"")</f>
        <v/>
      </c>
      <c r="AA755" t="str">
        <f>IFERROR(ROUND(I755*VLOOKUP(H755,商品!$A$4:$B$60,2,FALSE),0),"")</f>
        <v/>
      </c>
      <c r="AB755" t="str">
        <f>IFERROR(ROUND(K755*VLOOKUP(J755,[1]note_pop_types!$A$16:$E$16,4,FALSE),0),"")</f>
        <v/>
      </c>
      <c r="AC755" t="str">
        <f>IFERROR(ROUND(M755*VLOOKUP(L755,[1]note_pop_types!$A$16:$E$16,4,FALSE),0),"")</f>
        <v/>
      </c>
      <c r="AD755" t="str">
        <f>IFERROR(ROUND(O755*VLOOKUP(N755,[1]note_pop_types!$A$16:$E$16,4,FALSE),0),"")</f>
        <v/>
      </c>
      <c r="AE755" t="str">
        <f>IFERROR(ROUND(Q755*VLOOKUP(P755,商品!$A$4:$B$60,2,FALSE),0),"")</f>
        <v/>
      </c>
      <c r="AF755" t="str">
        <f>IFERROR(ROUND(S755*VLOOKUP(R755,商品!$A$4:$B$60,2,FALSE),0),"")</f>
        <v/>
      </c>
    </row>
    <row r="756" spans="1:32" ht="19.05" customHeight="1" x14ac:dyDescent="0.25">
      <c r="A756" s="16" t="s">
        <v>537</v>
      </c>
      <c r="C756" s="16">
        <v>4</v>
      </c>
      <c r="T756" s="2">
        <f t="shared" si="44"/>
        <v>0</v>
      </c>
      <c r="U756" s="2">
        <f t="shared" si="45"/>
        <v>0</v>
      </c>
      <c r="V756" s="2">
        <f t="shared" si="46"/>
        <v>0</v>
      </c>
      <c r="W756" s="2">
        <f t="shared" si="47"/>
        <v>0</v>
      </c>
      <c r="Y756" t="str">
        <f>IFERROR(ROUND(E756*VLOOKUP(D756,商品!$A$4:$B$60,2,FALSE),0),"")</f>
        <v/>
      </c>
      <c r="Z756" t="str">
        <f>IFERROR(ROUND(G756*VLOOKUP(F756,商品!$A$4:$B$60,2,FALSE),0),"")</f>
        <v/>
      </c>
      <c r="AA756" t="str">
        <f>IFERROR(ROUND(I756*VLOOKUP(H756,商品!$A$4:$B$60,2,FALSE),0),"")</f>
        <v/>
      </c>
      <c r="AB756" t="str">
        <f>IFERROR(ROUND(K756*VLOOKUP(J756,[1]note_pop_types!$A$16:$E$16,4,FALSE),0),"")</f>
        <v/>
      </c>
      <c r="AC756" t="str">
        <f>IFERROR(ROUND(M756*VLOOKUP(L756,[1]note_pop_types!$A$16:$E$16,4,FALSE),0),"")</f>
        <v/>
      </c>
      <c r="AD756" t="str">
        <f>IFERROR(ROUND(O756*VLOOKUP(N756,[1]note_pop_types!$A$16:$E$16,4,FALSE),0),"")</f>
        <v/>
      </c>
      <c r="AE756" t="str">
        <f>IFERROR(ROUND(Q756*VLOOKUP(P756,商品!$A$4:$B$60,2,FALSE),0),"")</f>
        <v/>
      </c>
      <c r="AF756" t="str">
        <f>IFERROR(ROUND(S756*VLOOKUP(R756,商品!$A$4:$B$60,2,FALSE),0),"")</f>
        <v/>
      </c>
    </row>
    <row r="757" spans="1:32" ht="19.05" customHeight="1" x14ac:dyDescent="0.25">
      <c r="A757" s="16" t="s">
        <v>537</v>
      </c>
      <c r="C757" s="16">
        <v>5</v>
      </c>
      <c r="T757" s="2">
        <f t="shared" si="44"/>
        <v>0</v>
      </c>
      <c r="U757" s="2">
        <f t="shared" si="45"/>
        <v>0</v>
      </c>
      <c r="V757" s="2">
        <f t="shared" si="46"/>
        <v>0</v>
      </c>
      <c r="W757" s="2">
        <f t="shared" si="47"/>
        <v>0</v>
      </c>
      <c r="Y757" t="str">
        <f>IFERROR(ROUND(E757*VLOOKUP(D757,商品!$A$4:$B$60,2,FALSE),0),"")</f>
        <v/>
      </c>
      <c r="Z757" t="str">
        <f>IFERROR(ROUND(G757*VLOOKUP(F757,商品!$A$4:$B$60,2,FALSE),0),"")</f>
        <v/>
      </c>
      <c r="AA757" t="str">
        <f>IFERROR(ROUND(I757*VLOOKUP(H757,商品!$A$4:$B$60,2,FALSE),0),"")</f>
        <v/>
      </c>
      <c r="AB757" t="str">
        <f>IFERROR(ROUND(K757*VLOOKUP(J757,[1]note_pop_types!$A$16:$E$16,4,FALSE),0),"")</f>
        <v/>
      </c>
      <c r="AC757" t="str">
        <f>IFERROR(ROUND(M757*VLOOKUP(L757,[1]note_pop_types!$A$16:$E$16,4,FALSE),0),"")</f>
        <v/>
      </c>
      <c r="AD757" t="str">
        <f>IFERROR(ROUND(O757*VLOOKUP(N757,[1]note_pop_types!$A$16:$E$16,4,FALSE),0),"")</f>
        <v/>
      </c>
      <c r="AE757" t="str">
        <f>IFERROR(ROUND(Q757*VLOOKUP(P757,商品!$A$4:$B$60,2,FALSE),0),"")</f>
        <v/>
      </c>
      <c r="AF757" t="str">
        <f>IFERROR(ROUND(S757*VLOOKUP(R757,商品!$A$4:$B$60,2,FALSE),0),"")</f>
        <v/>
      </c>
    </row>
    <row r="758" spans="1:32" ht="19.05" customHeight="1" x14ac:dyDescent="0.25">
      <c r="A758" s="15" t="s">
        <v>340</v>
      </c>
      <c r="C758" s="15">
        <v>1</v>
      </c>
      <c r="T758" s="2">
        <f t="shared" si="44"/>
        <v>0</v>
      </c>
      <c r="U758" s="2">
        <f t="shared" si="45"/>
        <v>0</v>
      </c>
      <c r="V758" s="2">
        <f t="shared" si="46"/>
        <v>0</v>
      </c>
      <c r="W758" s="2">
        <f t="shared" si="47"/>
        <v>0</v>
      </c>
      <c r="Y758" t="str">
        <f>IFERROR(ROUND(E758*VLOOKUP(D758,商品!$A$4:$B$60,2,FALSE),0),"")</f>
        <v/>
      </c>
      <c r="Z758" t="str">
        <f>IFERROR(ROUND(G758*VLOOKUP(F758,商品!$A$4:$B$60,2,FALSE),0),"")</f>
        <v/>
      </c>
      <c r="AA758" t="str">
        <f>IFERROR(ROUND(I758*VLOOKUP(H758,商品!$A$4:$B$60,2,FALSE),0),"")</f>
        <v/>
      </c>
      <c r="AB758" t="str">
        <f>IFERROR(ROUND(K758*VLOOKUP(J758,[1]note_pop_types!$A$16:$E$16,4,FALSE),0),"")</f>
        <v/>
      </c>
      <c r="AC758" t="str">
        <f>IFERROR(ROUND(M758*VLOOKUP(L758,[1]note_pop_types!$A$16:$E$16,4,FALSE),0),"")</f>
        <v/>
      </c>
      <c r="AD758" t="str">
        <f>IFERROR(ROUND(O758*VLOOKUP(N758,[1]note_pop_types!$A$16:$E$16,4,FALSE),0),"")</f>
        <v/>
      </c>
      <c r="AE758" t="str">
        <f>IFERROR(ROUND(Q758*VLOOKUP(P758,商品!$A$4:$B$60,2,FALSE),0),"")</f>
        <v/>
      </c>
      <c r="AF758" t="str">
        <f>IFERROR(ROUND(S758*VLOOKUP(R758,商品!$A$4:$B$60,2,FALSE),0),"")</f>
        <v/>
      </c>
    </row>
    <row r="759" spans="1:32" ht="19.05" customHeight="1" x14ac:dyDescent="0.25">
      <c r="A759" s="15" t="s">
        <v>340</v>
      </c>
      <c r="C759" s="15">
        <v>2</v>
      </c>
      <c r="T759" s="2">
        <f t="shared" si="44"/>
        <v>0</v>
      </c>
      <c r="U759" s="2">
        <f t="shared" si="45"/>
        <v>0</v>
      </c>
      <c r="V759" s="2">
        <f t="shared" si="46"/>
        <v>0</v>
      </c>
      <c r="W759" s="2">
        <f t="shared" si="47"/>
        <v>0</v>
      </c>
      <c r="Y759" t="str">
        <f>IFERROR(ROUND(E759*VLOOKUP(D759,商品!$A$4:$B$60,2,FALSE),0),"")</f>
        <v/>
      </c>
      <c r="Z759" t="str">
        <f>IFERROR(ROUND(G759*VLOOKUP(F759,商品!$A$4:$B$60,2,FALSE),0),"")</f>
        <v/>
      </c>
      <c r="AA759" t="str">
        <f>IFERROR(ROUND(I759*VLOOKUP(H759,商品!$A$4:$B$60,2,FALSE),0),"")</f>
        <v/>
      </c>
      <c r="AB759" t="str">
        <f>IFERROR(ROUND(K759*VLOOKUP(J759,[1]note_pop_types!$A$16:$E$16,4,FALSE),0),"")</f>
        <v/>
      </c>
      <c r="AC759" t="str">
        <f>IFERROR(ROUND(M759*VLOOKUP(L759,[1]note_pop_types!$A$16:$E$16,4,FALSE),0),"")</f>
        <v/>
      </c>
      <c r="AD759" t="str">
        <f>IFERROR(ROUND(O759*VLOOKUP(N759,[1]note_pop_types!$A$16:$E$16,4,FALSE),0),"")</f>
        <v/>
      </c>
      <c r="AE759" t="str">
        <f>IFERROR(ROUND(Q759*VLOOKUP(P759,商品!$A$4:$B$60,2,FALSE),0),"")</f>
        <v/>
      </c>
      <c r="AF759" t="str">
        <f>IFERROR(ROUND(S759*VLOOKUP(R759,商品!$A$4:$B$60,2,FALSE),0),"")</f>
        <v/>
      </c>
    </row>
    <row r="760" spans="1:32" ht="19.05" customHeight="1" x14ac:dyDescent="0.25">
      <c r="A760" s="15" t="s">
        <v>340</v>
      </c>
      <c r="C760" s="15">
        <v>3</v>
      </c>
      <c r="T760" s="2">
        <f t="shared" si="44"/>
        <v>0</v>
      </c>
      <c r="U760" s="2">
        <f t="shared" si="45"/>
        <v>0</v>
      </c>
      <c r="V760" s="2">
        <f t="shared" si="46"/>
        <v>0</v>
      </c>
      <c r="W760" s="2">
        <f t="shared" si="47"/>
        <v>0</v>
      </c>
      <c r="Y760" t="str">
        <f>IFERROR(ROUND(E760*VLOOKUP(D760,商品!$A$4:$B$60,2,FALSE),0),"")</f>
        <v/>
      </c>
      <c r="Z760" t="str">
        <f>IFERROR(ROUND(G760*VLOOKUP(F760,商品!$A$4:$B$60,2,FALSE),0),"")</f>
        <v/>
      </c>
      <c r="AA760" t="str">
        <f>IFERROR(ROUND(I760*VLOOKUP(H760,商品!$A$4:$B$60,2,FALSE),0),"")</f>
        <v/>
      </c>
      <c r="AB760" t="str">
        <f>IFERROR(ROUND(K760*VLOOKUP(J760,[1]note_pop_types!$A$16:$E$16,4,FALSE),0),"")</f>
        <v/>
      </c>
      <c r="AC760" t="str">
        <f>IFERROR(ROUND(M760*VLOOKUP(L760,[1]note_pop_types!$A$16:$E$16,4,FALSE),0),"")</f>
        <v/>
      </c>
      <c r="AD760" t="str">
        <f>IFERROR(ROUND(O760*VLOOKUP(N760,[1]note_pop_types!$A$16:$E$16,4,FALSE),0),"")</f>
        <v/>
      </c>
      <c r="AE760" t="str">
        <f>IFERROR(ROUND(Q760*VLOOKUP(P760,商品!$A$4:$B$60,2,FALSE),0),"")</f>
        <v/>
      </c>
      <c r="AF760" t="str">
        <f>IFERROR(ROUND(S760*VLOOKUP(R760,商品!$A$4:$B$60,2,FALSE),0),"")</f>
        <v/>
      </c>
    </row>
    <row r="761" spans="1:32" ht="19.05" customHeight="1" x14ac:dyDescent="0.25">
      <c r="A761" s="15" t="s">
        <v>340</v>
      </c>
      <c r="C761" s="15">
        <v>4</v>
      </c>
      <c r="T761" s="2">
        <f t="shared" si="44"/>
        <v>0</v>
      </c>
      <c r="U761" s="2">
        <f t="shared" si="45"/>
        <v>0</v>
      </c>
      <c r="V761" s="2">
        <f t="shared" si="46"/>
        <v>0</v>
      </c>
      <c r="W761" s="2">
        <f t="shared" si="47"/>
        <v>0</v>
      </c>
      <c r="Y761" t="str">
        <f>IFERROR(ROUND(E761*VLOOKUP(D761,商品!$A$4:$B$60,2,FALSE),0),"")</f>
        <v/>
      </c>
      <c r="Z761" t="str">
        <f>IFERROR(ROUND(G761*VLOOKUP(F761,商品!$A$4:$B$60,2,FALSE),0),"")</f>
        <v/>
      </c>
      <c r="AA761" t="str">
        <f>IFERROR(ROUND(I761*VLOOKUP(H761,商品!$A$4:$B$60,2,FALSE),0),"")</f>
        <v/>
      </c>
      <c r="AB761" t="str">
        <f>IFERROR(ROUND(K761*VLOOKUP(J761,[1]note_pop_types!$A$16:$E$16,4,FALSE),0),"")</f>
        <v/>
      </c>
      <c r="AC761" t="str">
        <f>IFERROR(ROUND(M761*VLOOKUP(L761,[1]note_pop_types!$A$16:$E$16,4,FALSE),0),"")</f>
        <v/>
      </c>
      <c r="AD761" t="str">
        <f>IFERROR(ROUND(O761*VLOOKUP(N761,[1]note_pop_types!$A$16:$E$16,4,FALSE),0),"")</f>
        <v/>
      </c>
      <c r="AE761" t="str">
        <f>IFERROR(ROUND(Q761*VLOOKUP(P761,商品!$A$4:$B$60,2,FALSE),0),"")</f>
        <v/>
      </c>
      <c r="AF761" t="str">
        <f>IFERROR(ROUND(S761*VLOOKUP(R761,商品!$A$4:$B$60,2,FALSE),0),"")</f>
        <v/>
      </c>
    </row>
    <row r="762" spans="1:32" ht="19.05" customHeight="1" x14ac:dyDescent="0.25">
      <c r="A762" s="15" t="s">
        <v>340</v>
      </c>
      <c r="C762" s="15">
        <v>5</v>
      </c>
      <c r="T762" s="2">
        <f t="shared" si="44"/>
        <v>0</v>
      </c>
      <c r="U762" s="2">
        <f t="shared" si="45"/>
        <v>0</v>
      </c>
      <c r="V762" s="2">
        <f t="shared" si="46"/>
        <v>0</v>
      </c>
      <c r="W762" s="2">
        <f t="shared" si="47"/>
        <v>0</v>
      </c>
      <c r="Y762" t="str">
        <f>IFERROR(ROUND(E762*VLOOKUP(D762,商品!$A$4:$B$60,2,FALSE),0),"")</f>
        <v/>
      </c>
      <c r="Z762" t="str">
        <f>IFERROR(ROUND(G762*VLOOKUP(F762,商品!$A$4:$B$60,2,FALSE),0),"")</f>
        <v/>
      </c>
      <c r="AA762" t="str">
        <f>IFERROR(ROUND(I762*VLOOKUP(H762,商品!$A$4:$B$60,2,FALSE),0),"")</f>
        <v/>
      </c>
      <c r="AB762" t="str">
        <f>IFERROR(ROUND(K762*VLOOKUP(J762,[1]note_pop_types!$A$16:$E$16,4,FALSE),0),"")</f>
        <v/>
      </c>
      <c r="AC762" t="str">
        <f>IFERROR(ROUND(M762*VLOOKUP(L762,[1]note_pop_types!$A$16:$E$16,4,FALSE),0),"")</f>
        <v/>
      </c>
      <c r="AD762" t="str">
        <f>IFERROR(ROUND(O762*VLOOKUP(N762,[1]note_pop_types!$A$16:$E$16,4,FALSE),0),"")</f>
        <v/>
      </c>
      <c r="AE762" t="str">
        <f>IFERROR(ROUND(Q762*VLOOKUP(P762,商品!$A$4:$B$60,2,FALSE),0),"")</f>
        <v/>
      </c>
      <c r="AF762" t="str">
        <f>IFERROR(ROUND(S762*VLOOKUP(R762,商品!$A$4:$B$60,2,FALSE),0),"")</f>
        <v/>
      </c>
    </row>
    <row r="763" spans="1:32" ht="19.05" customHeight="1" x14ac:dyDescent="0.25">
      <c r="A763" s="15" t="s">
        <v>340</v>
      </c>
      <c r="C763" s="15">
        <v>6</v>
      </c>
      <c r="T763" s="2">
        <f t="shared" si="44"/>
        <v>0</v>
      </c>
      <c r="U763" s="2">
        <f t="shared" si="45"/>
        <v>0</v>
      </c>
      <c r="V763" s="2">
        <f t="shared" si="46"/>
        <v>0</v>
      </c>
      <c r="W763" s="2">
        <f t="shared" si="47"/>
        <v>0</v>
      </c>
      <c r="Y763" t="str">
        <f>IFERROR(ROUND(E763*VLOOKUP(D763,商品!$A$4:$B$60,2,FALSE),0),"")</f>
        <v/>
      </c>
      <c r="Z763" t="str">
        <f>IFERROR(ROUND(G763*VLOOKUP(F763,商品!$A$4:$B$60,2,FALSE),0),"")</f>
        <v/>
      </c>
      <c r="AA763" t="str">
        <f>IFERROR(ROUND(I763*VLOOKUP(H763,商品!$A$4:$B$60,2,FALSE),0),"")</f>
        <v/>
      </c>
      <c r="AB763" t="str">
        <f>IFERROR(ROUND(K763*VLOOKUP(J763,[1]note_pop_types!$A$16:$E$16,4,FALSE),0),"")</f>
        <v/>
      </c>
      <c r="AC763" t="str">
        <f>IFERROR(ROUND(M763*VLOOKUP(L763,[1]note_pop_types!$A$16:$E$16,4,FALSE),0),"")</f>
        <v/>
      </c>
      <c r="AD763" t="str">
        <f>IFERROR(ROUND(O763*VLOOKUP(N763,[1]note_pop_types!$A$16:$E$16,4,FALSE),0),"")</f>
        <v/>
      </c>
      <c r="AE763" t="str">
        <f>IFERROR(ROUND(Q763*VLOOKUP(P763,商品!$A$4:$B$60,2,FALSE),0),"")</f>
        <v/>
      </c>
      <c r="AF763" t="str">
        <f>IFERROR(ROUND(S763*VLOOKUP(R763,商品!$A$4:$B$60,2,FALSE),0),"")</f>
        <v/>
      </c>
    </row>
    <row r="764" spans="1:32" ht="19.05" customHeight="1" x14ac:dyDescent="0.25">
      <c r="A764" s="15" t="s">
        <v>340</v>
      </c>
      <c r="C764" s="15">
        <v>7</v>
      </c>
      <c r="T764" s="2">
        <f t="shared" si="44"/>
        <v>0</v>
      </c>
      <c r="U764" s="2">
        <f t="shared" si="45"/>
        <v>0</v>
      </c>
      <c r="V764" s="2">
        <f t="shared" si="46"/>
        <v>0</v>
      </c>
      <c r="W764" s="2">
        <f t="shared" si="47"/>
        <v>0</v>
      </c>
      <c r="Y764" t="str">
        <f>IFERROR(ROUND(E764*VLOOKUP(D764,商品!$A$4:$B$60,2,FALSE),0),"")</f>
        <v/>
      </c>
      <c r="Z764" t="str">
        <f>IFERROR(ROUND(G764*VLOOKUP(F764,商品!$A$4:$B$60,2,FALSE),0),"")</f>
        <v/>
      </c>
      <c r="AA764" t="str">
        <f>IFERROR(ROUND(I764*VLOOKUP(H764,商品!$A$4:$B$60,2,FALSE),0),"")</f>
        <v/>
      </c>
      <c r="AB764" t="str">
        <f>IFERROR(ROUND(K764*VLOOKUP(J764,[1]note_pop_types!$A$16:$E$16,4,FALSE),0),"")</f>
        <v/>
      </c>
      <c r="AC764" t="str">
        <f>IFERROR(ROUND(M764*VLOOKUP(L764,[1]note_pop_types!$A$16:$E$16,4,FALSE),0),"")</f>
        <v/>
      </c>
      <c r="AD764" t="str">
        <f>IFERROR(ROUND(O764*VLOOKUP(N764,[1]note_pop_types!$A$16:$E$16,4,FALSE),0),"")</f>
        <v/>
      </c>
      <c r="AE764" t="str">
        <f>IFERROR(ROUND(Q764*VLOOKUP(P764,商品!$A$4:$B$60,2,FALSE),0),"")</f>
        <v/>
      </c>
      <c r="AF764" t="str">
        <f>IFERROR(ROUND(S764*VLOOKUP(R764,商品!$A$4:$B$60,2,FALSE),0),"")</f>
        <v/>
      </c>
    </row>
    <row r="765" spans="1:32" ht="19.05" customHeight="1" x14ac:dyDescent="0.25">
      <c r="A765" s="15" t="s">
        <v>340</v>
      </c>
      <c r="C765" s="15">
        <v>8</v>
      </c>
      <c r="T765" s="2">
        <f t="shared" si="44"/>
        <v>0</v>
      </c>
      <c r="U765" s="2">
        <f t="shared" si="45"/>
        <v>0</v>
      </c>
      <c r="V765" s="2">
        <f t="shared" si="46"/>
        <v>0</v>
      </c>
      <c r="W765" s="2">
        <f t="shared" si="47"/>
        <v>0</v>
      </c>
      <c r="Y765" t="str">
        <f>IFERROR(ROUND(E765*VLOOKUP(D765,商品!$A$4:$B$60,2,FALSE),0),"")</f>
        <v/>
      </c>
      <c r="Z765" t="str">
        <f>IFERROR(ROUND(G765*VLOOKUP(F765,商品!$A$4:$B$60,2,FALSE),0),"")</f>
        <v/>
      </c>
      <c r="AA765" t="str">
        <f>IFERROR(ROUND(I765*VLOOKUP(H765,商品!$A$4:$B$60,2,FALSE),0),"")</f>
        <v/>
      </c>
      <c r="AB765" t="str">
        <f>IFERROR(ROUND(K765*VLOOKUP(J765,[1]note_pop_types!$A$16:$E$16,4,FALSE),0),"")</f>
        <v/>
      </c>
      <c r="AC765" t="str">
        <f>IFERROR(ROUND(M765*VLOOKUP(L765,[1]note_pop_types!$A$16:$E$16,4,FALSE),0),"")</f>
        <v/>
      </c>
      <c r="AD765" t="str">
        <f>IFERROR(ROUND(O765*VLOOKUP(N765,[1]note_pop_types!$A$16:$E$16,4,FALSE),0),"")</f>
        <v/>
      </c>
      <c r="AE765" t="str">
        <f>IFERROR(ROUND(Q765*VLOOKUP(P765,商品!$A$4:$B$60,2,FALSE),0),"")</f>
        <v/>
      </c>
      <c r="AF765" t="str">
        <f>IFERROR(ROUND(S765*VLOOKUP(R765,商品!$A$4:$B$60,2,FALSE),0),"")</f>
        <v/>
      </c>
    </row>
    <row r="766" spans="1:32" ht="19.05" customHeight="1" x14ac:dyDescent="0.25">
      <c r="A766" s="16" t="s">
        <v>342</v>
      </c>
      <c r="C766" s="16">
        <v>1</v>
      </c>
      <c r="T766" s="2">
        <f t="shared" si="44"/>
        <v>0</v>
      </c>
      <c r="U766" s="2">
        <f t="shared" si="45"/>
        <v>0</v>
      </c>
      <c r="V766" s="2">
        <f t="shared" si="46"/>
        <v>0</v>
      </c>
      <c r="W766" s="2">
        <f t="shared" si="47"/>
        <v>0</v>
      </c>
      <c r="Y766" t="str">
        <f>IFERROR(ROUND(E766*VLOOKUP(D766,商品!$A$4:$B$60,2,FALSE),0),"")</f>
        <v/>
      </c>
      <c r="Z766" t="str">
        <f>IFERROR(ROUND(G766*VLOOKUP(F766,商品!$A$4:$B$60,2,FALSE),0),"")</f>
        <v/>
      </c>
      <c r="AA766" t="str">
        <f>IFERROR(ROUND(I766*VLOOKUP(H766,商品!$A$4:$B$60,2,FALSE),0),"")</f>
        <v/>
      </c>
      <c r="AB766" t="str">
        <f>IFERROR(ROUND(K766*VLOOKUP(J766,[1]note_pop_types!$A$16:$E$16,4,FALSE),0),"")</f>
        <v/>
      </c>
      <c r="AC766" t="str">
        <f>IFERROR(ROUND(M766*VLOOKUP(L766,[1]note_pop_types!$A$16:$E$16,4,FALSE),0),"")</f>
        <v/>
      </c>
      <c r="AD766" t="str">
        <f>IFERROR(ROUND(O766*VLOOKUP(N766,[1]note_pop_types!$A$16:$E$16,4,FALSE),0),"")</f>
        <v/>
      </c>
      <c r="AE766" t="str">
        <f>IFERROR(ROUND(Q766*VLOOKUP(P766,商品!$A$4:$B$60,2,FALSE),0),"")</f>
        <v/>
      </c>
      <c r="AF766" t="str">
        <f>IFERROR(ROUND(S766*VLOOKUP(R766,商品!$A$4:$B$60,2,FALSE),0),"")</f>
        <v/>
      </c>
    </row>
    <row r="767" spans="1:32" ht="19.05" customHeight="1" x14ac:dyDescent="0.25">
      <c r="A767" s="16" t="s">
        <v>342</v>
      </c>
      <c r="C767" s="16">
        <v>2</v>
      </c>
      <c r="T767" s="2">
        <f t="shared" si="44"/>
        <v>0</v>
      </c>
      <c r="U767" s="2">
        <f t="shared" si="45"/>
        <v>0</v>
      </c>
      <c r="V767" s="2">
        <f t="shared" si="46"/>
        <v>0</v>
      </c>
      <c r="W767" s="2">
        <f t="shared" si="47"/>
        <v>0</v>
      </c>
      <c r="Y767" t="str">
        <f>IFERROR(ROUND(E767*VLOOKUP(D767,商品!$A$4:$B$60,2,FALSE),0),"")</f>
        <v/>
      </c>
      <c r="Z767" t="str">
        <f>IFERROR(ROUND(G767*VLOOKUP(F767,商品!$A$4:$B$60,2,FALSE),0),"")</f>
        <v/>
      </c>
      <c r="AA767" t="str">
        <f>IFERROR(ROUND(I767*VLOOKUP(H767,商品!$A$4:$B$60,2,FALSE),0),"")</f>
        <v/>
      </c>
      <c r="AB767" t="str">
        <f>IFERROR(ROUND(K767*VLOOKUP(J767,[1]note_pop_types!$A$16:$E$16,4,FALSE),0),"")</f>
        <v/>
      </c>
      <c r="AC767" t="str">
        <f>IFERROR(ROUND(M767*VLOOKUP(L767,[1]note_pop_types!$A$16:$E$16,4,FALSE),0),"")</f>
        <v/>
      </c>
      <c r="AD767" t="str">
        <f>IFERROR(ROUND(O767*VLOOKUP(N767,[1]note_pop_types!$A$16:$E$16,4,FALSE),0),"")</f>
        <v/>
      </c>
      <c r="AE767" t="str">
        <f>IFERROR(ROUND(Q767*VLOOKUP(P767,商品!$A$4:$B$60,2,FALSE),0),"")</f>
        <v/>
      </c>
      <c r="AF767" t="str">
        <f>IFERROR(ROUND(S767*VLOOKUP(R767,商品!$A$4:$B$60,2,FALSE),0),"")</f>
        <v/>
      </c>
    </row>
    <row r="768" spans="1:32" ht="19.05" customHeight="1" x14ac:dyDescent="0.25">
      <c r="A768" s="16" t="s">
        <v>342</v>
      </c>
      <c r="C768" s="16">
        <v>3</v>
      </c>
      <c r="T768" s="2">
        <f t="shared" si="44"/>
        <v>0</v>
      </c>
      <c r="U768" s="2">
        <f t="shared" si="45"/>
        <v>0</v>
      </c>
      <c r="V768" s="2">
        <f t="shared" si="46"/>
        <v>0</v>
      </c>
      <c r="W768" s="2">
        <f t="shared" si="47"/>
        <v>0</v>
      </c>
      <c r="Y768" t="str">
        <f>IFERROR(ROUND(E768*VLOOKUP(D768,商品!$A$4:$B$60,2,FALSE),0),"")</f>
        <v/>
      </c>
      <c r="Z768" t="str">
        <f>IFERROR(ROUND(G768*VLOOKUP(F768,商品!$A$4:$B$60,2,FALSE),0),"")</f>
        <v/>
      </c>
      <c r="AA768" t="str">
        <f>IFERROR(ROUND(I768*VLOOKUP(H768,商品!$A$4:$B$60,2,FALSE),0),"")</f>
        <v/>
      </c>
      <c r="AB768" t="str">
        <f>IFERROR(ROUND(K768*VLOOKUP(J768,[1]note_pop_types!$A$16:$E$16,4,FALSE),0),"")</f>
        <v/>
      </c>
      <c r="AC768" t="str">
        <f>IFERROR(ROUND(M768*VLOOKUP(L768,[1]note_pop_types!$A$16:$E$16,4,FALSE),0),"")</f>
        <v/>
      </c>
      <c r="AD768" t="str">
        <f>IFERROR(ROUND(O768*VLOOKUP(N768,[1]note_pop_types!$A$16:$E$16,4,FALSE),0),"")</f>
        <v/>
      </c>
      <c r="AE768" t="str">
        <f>IFERROR(ROUND(Q768*VLOOKUP(P768,商品!$A$4:$B$60,2,FALSE),0),"")</f>
        <v/>
      </c>
      <c r="AF768" t="str">
        <f>IFERROR(ROUND(S768*VLOOKUP(R768,商品!$A$4:$B$60,2,FALSE),0),"")</f>
        <v/>
      </c>
    </row>
    <row r="769" spans="1:32" ht="19.05" customHeight="1" x14ac:dyDescent="0.25">
      <c r="A769" s="16" t="s">
        <v>342</v>
      </c>
      <c r="C769" s="16">
        <v>4</v>
      </c>
      <c r="T769" s="2">
        <f t="shared" si="44"/>
        <v>0</v>
      </c>
      <c r="U769" s="2">
        <f t="shared" si="45"/>
        <v>0</v>
      </c>
      <c r="V769" s="2">
        <f t="shared" si="46"/>
        <v>0</v>
      </c>
      <c r="W769" s="2">
        <f t="shared" si="47"/>
        <v>0</v>
      </c>
      <c r="Y769" t="str">
        <f>IFERROR(ROUND(E769*VLOOKUP(D769,商品!$A$4:$B$60,2,FALSE),0),"")</f>
        <v/>
      </c>
      <c r="Z769" t="str">
        <f>IFERROR(ROUND(G769*VLOOKUP(F769,商品!$A$4:$B$60,2,FALSE),0),"")</f>
        <v/>
      </c>
      <c r="AA769" t="str">
        <f>IFERROR(ROUND(I769*VLOOKUP(H769,商品!$A$4:$B$60,2,FALSE),0),"")</f>
        <v/>
      </c>
      <c r="AB769" t="str">
        <f>IFERROR(ROUND(K769*VLOOKUP(J769,[1]note_pop_types!$A$16:$E$16,4,FALSE),0),"")</f>
        <v/>
      </c>
      <c r="AC769" t="str">
        <f>IFERROR(ROUND(M769*VLOOKUP(L769,[1]note_pop_types!$A$16:$E$16,4,FALSE),0),"")</f>
        <v/>
      </c>
      <c r="AD769" t="str">
        <f>IFERROR(ROUND(O769*VLOOKUP(N769,[1]note_pop_types!$A$16:$E$16,4,FALSE),0),"")</f>
        <v/>
      </c>
      <c r="AE769" t="str">
        <f>IFERROR(ROUND(Q769*VLOOKUP(P769,商品!$A$4:$B$60,2,FALSE),0),"")</f>
        <v/>
      </c>
      <c r="AF769" t="str">
        <f>IFERROR(ROUND(S769*VLOOKUP(R769,商品!$A$4:$B$60,2,FALSE),0),"")</f>
        <v/>
      </c>
    </row>
    <row r="770" spans="1:32" ht="19.05" customHeight="1" x14ac:dyDescent="0.25">
      <c r="A770" s="16" t="s">
        <v>342</v>
      </c>
      <c r="C770" s="16">
        <v>5</v>
      </c>
      <c r="T770" s="2">
        <f t="shared" si="44"/>
        <v>0</v>
      </c>
      <c r="U770" s="2">
        <f t="shared" si="45"/>
        <v>0</v>
      </c>
      <c r="V770" s="2">
        <f t="shared" si="46"/>
        <v>0</v>
      </c>
      <c r="W770" s="2">
        <f t="shared" si="47"/>
        <v>0</v>
      </c>
      <c r="Y770" t="str">
        <f>IFERROR(ROUND(E770*VLOOKUP(D770,商品!$A$4:$B$60,2,FALSE),0),"")</f>
        <v/>
      </c>
      <c r="Z770" t="str">
        <f>IFERROR(ROUND(G770*VLOOKUP(F770,商品!$A$4:$B$60,2,FALSE),0),"")</f>
        <v/>
      </c>
      <c r="AA770" t="str">
        <f>IFERROR(ROUND(I770*VLOOKUP(H770,商品!$A$4:$B$60,2,FALSE),0),"")</f>
        <v/>
      </c>
      <c r="AB770" t="str">
        <f>IFERROR(ROUND(K770*VLOOKUP(J770,[1]note_pop_types!$A$16:$E$16,4,FALSE),0),"")</f>
        <v/>
      </c>
      <c r="AC770" t="str">
        <f>IFERROR(ROUND(M770*VLOOKUP(L770,[1]note_pop_types!$A$16:$E$16,4,FALSE),0),"")</f>
        <v/>
      </c>
      <c r="AD770" t="str">
        <f>IFERROR(ROUND(O770*VLOOKUP(N770,[1]note_pop_types!$A$16:$E$16,4,FALSE),0),"")</f>
        <v/>
      </c>
      <c r="AE770" t="str">
        <f>IFERROR(ROUND(Q770*VLOOKUP(P770,商品!$A$4:$B$60,2,FALSE),0),"")</f>
        <v/>
      </c>
      <c r="AF770" t="str">
        <f>IFERROR(ROUND(S770*VLOOKUP(R770,商品!$A$4:$B$60,2,FALSE),0),"")</f>
        <v/>
      </c>
    </row>
    <row r="771" spans="1:32" ht="19.05" customHeight="1" x14ac:dyDescent="0.25">
      <c r="A771" s="15" t="s">
        <v>343</v>
      </c>
      <c r="C771" s="15">
        <v>1</v>
      </c>
      <c r="T771" s="2">
        <f t="shared" si="44"/>
        <v>0</v>
      </c>
      <c r="U771" s="2">
        <f t="shared" si="45"/>
        <v>0</v>
      </c>
      <c r="V771" s="2">
        <f t="shared" si="46"/>
        <v>0</v>
      </c>
      <c r="W771" s="2">
        <f t="shared" si="47"/>
        <v>0</v>
      </c>
      <c r="Y771" t="str">
        <f>IFERROR(ROUND(E771*VLOOKUP(D771,商品!$A$4:$B$60,2,FALSE),0),"")</f>
        <v/>
      </c>
      <c r="Z771" t="str">
        <f>IFERROR(ROUND(G771*VLOOKUP(F771,商品!$A$4:$B$60,2,FALSE),0),"")</f>
        <v/>
      </c>
      <c r="AA771" t="str">
        <f>IFERROR(ROUND(I771*VLOOKUP(H771,商品!$A$4:$B$60,2,FALSE),0),"")</f>
        <v/>
      </c>
      <c r="AB771" t="str">
        <f>IFERROR(ROUND(K771*VLOOKUP(J771,[1]note_pop_types!$A$16:$E$16,4,FALSE),0),"")</f>
        <v/>
      </c>
      <c r="AC771" t="str">
        <f>IFERROR(ROUND(M771*VLOOKUP(L771,[1]note_pop_types!$A$16:$E$16,4,FALSE),0),"")</f>
        <v/>
      </c>
      <c r="AD771" t="str">
        <f>IFERROR(ROUND(O771*VLOOKUP(N771,[1]note_pop_types!$A$16:$E$16,4,FALSE),0),"")</f>
        <v/>
      </c>
      <c r="AE771" t="str">
        <f>IFERROR(ROUND(Q771*VLOOKUP(P771,商品!$A$4:$B$60,2,FALSE),0),"")</f>
        <v/>
      </c>
      <c r="AF771" t="str">
        <f>IFERROR(ROUND(S771*VLOOKUP(R771,商品!$A$4:$B$60,2,FALSE),0),"")</f>
        <v/>
      </c>
    </row>
    <row r="772" spans="1:32" ht="19.05" customHeight="1" x14ac:dyDescent="0.25">
      <c r="A772" s="15" t="s">
        <v>343</v>
      </c>
      <c r="C772" s="15">
        <v>2</v>
      </c>
      <c r="T772" s="2">
        <f t="shared" si="44"/>
        <v>0</v>
      </c>
      <c r="U772" s="2">
        <f t="shared" si="45"/>
        <v>0</v>
      </c>
      <c r="V772" s="2">
        <f t="shared" si="46"/>
        <v>0</v>
      </c>
      <c r="W772" s="2">
        <f t="shared" si="47"/>
        <v>0</v>
      </c>
      <c r="Y772" t="str">
        <f>IFERROR(ROUND(E772*VLOOKUP(D772,商品!$A$4:$B$60,2,FALSE),0),"")</f>
        <v/>
      </c>
      <c r="Z772" t="str">
        <f>IFERROR(ROUND(G772*VLOOKUP(F772,商品!$A$4:$B$60,2,FALSE),0),"")</f>
        <v/>
      </c>
      <c r="AA772" t="str">
        <f>IFERROR(ROUND(I772*VLOOKUP(H772,商品!$A$4:$B$60,2,FALSE),0),"")</f>
        <v/>
      </c>
      <c r="AB772" t="str">
        <f>IFERROR(ROUND(K772*VLOOKUP(J772,[1]note_pop_types!$A$16:$E$16,4,FALSE),0),"")</f>
        <v/>
      </c>
      <c r="AC772" t="str">
        <f>IFERROR(ROUND(M772*VLOOKUP(L772,[1]note_pop_types!$A$16:$E$16,4,FALSE),0),"")</f>
        <v/>
      </c>
      <c r="AD772" t="str">
        <f>IFERROR(ROUND(O772*VLOOKUP(N772,[1]note_pop_types!$A$16:$E$16,4,FALSE),0),"")</f>
        <v/>
      </c>
      <c r="AE772" t="str">
        <f>IFERROR(ROUND(Q772*VLOOKUP(P772,商品!$A$4:$B$60,2,FALSE),0),"")</f>
        <v/>
      </c>
      <c r="AF772" t="str">
        <f>IFERROR(ROUND(S772*VLOOKUP(R772,商品!$A$4:$B$60,2,FALSE),0),"")</f>
        <v/>
      </c>
    </row>
    <row r="773" spans="1:32" ht="19.05" customHeight="1" x14ac:dyDescent="0.25">
      <c r="A773" s="15" t="s">
        <v>343</v>
      </c>
      <c r="C773" s="15">
        <v>3</v>
      </c>
      <c r="T773" s="2">
        <f t="shared" si="44"/>
        <v>0</v>
      </c>
      <c r="U773" s="2">
        <f t="shared" si="45"/>
        <v>0</v>
      </c>
      <c r="V773" s="2">
        <f t="shared" si="46"/>
        <v>0</v>
      </c>
      <c r="W773" s="2">
        <f t="shared" si="47"/>
        <v>0</v>
      </c>
      <c r="Y773" t="str">
        <f>IFERROR(ROUND(E773*VLOOKUP(D773,商品!$A$4:$B$60,2,FALSE),0),"")</f>
        <v/>
      </c>
      <c r="Z773" t="str">
        <f>IFERROR(ROUND(G773*VLOOKUP(F773,商品!$A$4:$B$60,2,FALSE),0),"")</f>
        <v/>
      </c>
      <c r="AA773" t="str">
        <f>IFERROR(ROUND(I773*VLOOKUP(H773,商品!$A$4:$B$60,2,FALSE),0),"")</f>
        <v/>
      </c>
      <c r="AB773" t="str">
        <f>IFERROR(ROUND(K773*VLOOKUP(J773,[1]note_pop_types!$A$16:$E$16,4,FALSE),0),"")</f>
        <v/>
      </c>
      <c r="AC773" t="str">
        <f>IFERROR(ROUND(M773*VLOOKUP(L773,[1]note_pop_types!$A$16:$E$16,4,FALSE),0),"")</f>
        <v/>
      </c>
      <c r="AD773" t="str">
        <f>IFERROR(ROUND(O773*VLOOKUP(N773,[1]note_pop_types!$A$16:$E$16,4,FALSE),0),"")</f>
        <v/>
      </c>
      <c r="AE773" t="str">
        <f>IFERROR(ROUND(Q773*VLOOKUP(P773,商品!$A$4:$B$60,2,FALSE),0),"")</f>
        <v/>
      </c>
      <c r="AF773" t="str">
        <f>IFERROR(ROUND(S773*VLOOKUP(R773,商品!$A$4:$B$60,2,FALSE),0),"")</f>
        <v/>
      </c>
    </row>
    <row r="774" spans="1:32" ht="19.05" customHeight="1" x14ac:dyDescent="0.25">
      <c r="A774" s="15" t="s">
        <v>343</v>
      </c>
      <c r="C774" s="15">
        <v>4</v>
      </c>
      <c r="T774" s="2">
        <f t="shared" ref="T774:T837" si="48">SUM(Y774:AA774)</f>
        <v>0</v>
      </c>
      <c r="U774" s="2">
        <f t="shared" ref="U774:U837" si="49">SUM(AB774:AC774)</f>
        <v>0</v>
      </c>
      <c r="V774" s="2">
        <f t="shared" ref="V774:V837" si="50">SUM(AE774:AF774)</f>
        <v>0</v>
      </c>
      <c r="W774" s="2">
        <f t="shared" ref="W774:W837" si="51">V774-T774-U774</f>
        <v>0</v>
      </c>
      <c r="Y774" t="str">
        <f>IFERROR(ROUND(E774*VLOOKUP(D774,商品!$A$4:$B$60,2,FALSE),0),"")</f>
        <v/>
      </c>
      <c r="Z774" t="str">
        <f>IFERROR(ROUND(G774*VLOOKUP(F774,商品!$A$4:$B$60,2,FALSE),0),"")</f>
        <v/>
      </c>
      <c r="AA774" t="str">
        <f>IFERROR(ROUND(I774*VLOOKUP(H774,商品!$A$4:$B$60,2,FALSE),0),"")</f>
        <v/>
      </c>
      <c r="AB774" t="str">
        <f>IFERROR(ROUND(K774*VLOOKUP(J774,[1]note_pop_types!$A$16:$E$16,4,FALSE),0),"")</f>
        <v/>
      </c>
      <c r="AC774" t="str">
        <f>IFERROR(ROUND(M774*VLOOKUP(L774,[1]note_pop_types!$A$16:$E$16,4,FALSE),0),"")</f>
        <v/>
      </c>
      <c r="AD774" t="str">
        <f>IFERROR(ROUND(O774*VLOOKUP(N774,[1]note_pop_types!$A$16:$E$16,4,FALSE),0),"")</f>
        <v/>
      </c>
      <c r="AE774" t="str">
        <f>IFERROR(ROUND(Q774*VLOOKUP(P774,商品!$A$4:$B$60,2,FALSE),0),"")</f>
        <v/>
      </c>
      <c r="AF774" t="str">
        <f>IFERROR(ROUND(S774*VLOOKUP(R774,商品!$A$4:$B$60,2,FALSE),0),"")</f>
        <v/>
      </c>
    </row>
    <row r="775" spans="1:32" ht="19.05" customHeight="1" x14ac:dyDescent="0.25">
      <c r="A775" s="15" t="s">
        <v>343</v>
      </c>
      <c r="C775" s="15">
        <v>5</v>
      </c>
      <c r="T775" s="2">
        <f t="shared" si="48"/>
        <v>0</v>
      </c>
      <c r="U775" s="2">
        <f t="shared" si="49"/>
        <v>0</v>
      </c>
      <c r="V775" s="2">
        <f t="shared" si="50"/>
        <v>0</v>
      </c>
      <c r="W775" s="2">
        <f t="shared" si="51"/>
        <v>0</v>
      </c>
      <c r="Y775" t="str">
        <f>IFERROR(ROUND(E775*VLOOKUP(D775,商品!$A$4:$B$60,2,FALSE),0),"")</f>
        <v/>
      </c>
      <c r="Z775" t="str">
        <f>IFERROR(ROUND(G775*VLOOKUP(F775,商品!$A$4:$B$60,2,FALSE),0),"")</f>
        <v/>
      </c>
      <c r="AA775" t="str">
        <f>IFERROR(ROUND(I775*VLOOKUP(H775,商品!$A$4:$B$60,2,FALSE),0),"")</f>
        <v/>
      </c>
      <c r="AB775" t="str">
        <f>IFERROR(ROUND(K775*VLOOKUP(J775,[1]note_pop_types!$A$16:$E$16,4,FALSE),0),"")</f>
        <v/>
      </c>
      <c r="AC775" t="str">
        <f>IFERROR(ROUND(M775*VLOOKUP(L775,[1]note_pop_types!$A$16:$E$16,4,FALSE),0),"")</f>
        <v/>
      </c>
      <c r="AD775" t="str">
        <f>IFERROR(ROUND(O775*VLOOKUP(N775,[1]note_pop_types!$A$16:$E$16,4,FALSE),0),"")</f>
        <v/>
      </c>
      <c r="AE775" t="str">
        <f>IFERROR(ROUND(Q775*VLOOKUP(P775,商品!$A$4:$B$60,2,FALSE),0),"")</f>
        <v/>
      </c>
      <c r="AF775" t="str">
        <f>IFERROR(ROUND(S775*VLOOKUP(R775,商品!$A$4:$B$60,2,FALSE),0),"")</f>
        <v/>
      </c>
    </row>
    <row r="776" spans="1:32" ht="19.05" customHeight="1" x14ac:dyDescent="0.25">
      <c r="A776" s="16" t="s">
        <v>538</v>
      </c>
      <c r="C776" s="16">
        <v>1</v>
      </c>
      <c r="T776" s="2">
        <f t="shared" si="48"/>
        <v>0</v>
      </c>
      <c r="U776" s="2">
        <f t="shared" si="49"/>
        <v>0</v>
      </c>
      <c r="V776" s="2">
        <f t="shared" si="50"/>
        <v>0</v>
      </c>
      <c r="W776" s="2">
        <f t="shared" si="51"/>
        <v>0</v>
      </c>
      <c r="Y776" t="str">
        <f>IFERROR(ROUND(E776*VLOOKUP(D776,商品!$A$4:$B$60,2,FALSE),0),"")</f>
        <v/>
      </c>
      <c r="Z776" t="str">
        <f>IFERROR(ROUND(G776*VLOOKUP(F776,商品!$A$4:$B$60,2,FALSE),0),"")</f>
        <v/>
      </c>
      <c r="AA776" t="str">
        <f>IFERROR(ROUND(I776*VLOOKUP(H776,商品!$A$4:$B$60,2,FALSE),0),"")</f>
        <v/>
      </c>
      <c r="AB776" t="str">
        <f>IFERROR(ROUND(K776*VLOOKUP(J776,[1]note_pop_types!$A$16:$E$16,4,FALSE),0),"")</f>
        <v/>
      </c>
      <c r="AC776" t="str">
        <f>IFERROR(ROUND(M776*VLOOKUP(L776,[1]note_pop_types!$A$16:$E$16,4,FALSE),0),"")</f>
        <v/>
      </c>
      <c r="AD776" t="str">
        <f>IFERROR(ROUND(O776*VLOOKUP(N776,[1]note_pop_types!$A$16:$E$16,4,FALSE),0),"")</f>
        <v/>
      </c>
      <c r="AE776" t="str">
        <f>IFERROR(ROUND(Q776*VLOOKUP(P776,商品!$A$4:$B$60,2,FALSE),0),"")</f>
        <v/>
      </c>
      <c r="AF776" t="str">
        <f>IFERROR(ROUND(S776*VLOOKUP(R776,商品!$A$4:$B$60,2,FALSE),0),"")</f>
        <v/>
      </c>
    </row>
    <row r="777" spans="1:32" ht="19.05" customHeight="1" x14ac:dyDescent="0.25">
      <c r="A777" s="16" t="s">
        <v>538</v>
      </c>
      <c r="C777" s="16">
        <v>2</v>
      </c>
      <c r="T777" s="2">
        <f t="shared" si="48"/>
        <v>0</v>
      </c>
      <c r="U777" s="2">
        <f t="shared" si="49"/>
        <v>0</v>
      </c>
      <c r="V777" s="2">
        <f t="shared" si="50"/>
        <v>0</v>
      </c>
      <c r="W777" s="2">
        <f t="shared" si="51"/>
        <v>0</v>
      </c>
      <c r="Y777" t="str">
        <f>IFERROR(ROUND(E777*VLOOKUP(D777,商品!$A$4:$B$60,2,FALSE),0),"")</f>
        <v/>
      </c>
      <c r="Z777" t="str">
        <f>IFERROR(ROUND(G777*VLOOKUP(F777,商品!$A$4:$B$60,2,FALSE),0),"")</f>
        <v/>
      </c>
      <c r="AA777" t="str">
        <f>IFERROR(ROUND(I777*VLOOKUP(H777,商品!$A$4:$B$60,2,FALSE),0),"")</f>
        <v/>
      </c>
      <c r="AB777" t="str">
        <f>IFERROR(ROUND(K777*VLOOKUP(J777,[1]note_pop_types!$A$16:$E$16,4,FALSE),0),"")</f>
        <v/>
      </c>
      <c r="AC777" t="str">
        <f>IFERROR(ROUND(M777*VLOOKUP(L777,[1]note_pop_types!$A$16:$E$16,4,FALSE),0),"")</f>
        <v/>
      </c>
      <c r="AD777" t="str">
        <f>IFERROR(ROUND(O777*VLOOKUP(N777,[1]note_pop_types!$A$16:$E$16,4,FALSE),0),"")</f>
        <v/>
      </c>
      <c r="AE777" t="str">
        <f>IFERROR(ROUND(Q777*VLOOKUP(P777,商品!$A$4:$B$60,2,FALSE),0),"")</f>
        <v/>
      </c>
      <c r="AF777" t="str">
        <f>IFERROR(ROUND(S777*VLOOKUP(R777,商品!$A$4:$B$60,2,FALSE),0),"")</f>
        <v/>
      </c>
    </row>
    <row r="778" spans="1:32" ht="19.05" customHeight="1" x14ac:dyDescent="0.25">
      <c r="A778" s="16" t="s">
        <v>538</v>
      </c>
      <c r="C778" s="16">
        <v>3</v>
      </c>
      <c r="T778" s="2">
        <f t="shared" si="48"/>
        <v>0</v>
      </c>
      <c r="U778" s="2">
        <f t="shared" si="49"/>
        <v>0</v>
      </c>
      <c r="V778" s="2">
        <f t="shared" si="50"/>
        <v>0</v>
      </c>
      <c r="W778" s="2">
        <f t="shared" si="51"/>
        <v>0</v>
      </c>
      <c r="Y778" t="str">
        <f>IFERROR(ROUND(E778*VLOOKUP(D778,商品!$A$4:$B$60,2,FALSE),0),"")</f>
        <v/>
      </c>
      <c r="Z778" t="str">
        <f>IFERROR(ROUND(G778*VLOOKUP(F778,商品!$A$4:$B$60,2,FALSE),0),"")</f>
        <v/>
      </c>
      <c r="AA778" t="str">
        <f>IFERROR(ROUND(I778*VLOOKUP(H778,商品!$A$4:$B$60,2,FALSE),0),"")</f>
        <v/>
      </c>
      <c r="AB778" t="str">
        <f>IFERROR(ROUND(K778*VLOOKUP(J778,[1]note_pop_types!$A$16:$E$16,4,FALSE),0),"")</f>
        <v/>
      </c>
      <c r="AC778" t="str">
        <f>IFERROR(ROUND(M778*VLOOKUP(L778,[1]note_pop_types!$A$16:$E$16,4,FALSE),0),"")</f>
        <v/>
      </c>
      <c r="AD778" t="str">
        <f>IFERROR(ROUND(O778*VLOOKUP(N778,[1]note_pop_types!$A$16:$E$16,4,FALSE),0),"")</f>
        <v/>
      </c>
      <c r="AE778" t="str">
        <f>IFERROR(ROUND(Q778*VLOOKUP(P778,商品!$A$4:$B$60,2,FALSE),0),"")</f>
        <v/>
      </c>
      <c r="AF778" t="str">
        <f>IFERROR(ROUND(S778*VLOOKUP(R778,商品!$A$4:$B$60,2,FALSE),0),"")</f>
        <v/>
      </c>
    </row>
    <row r="779" spans="1:32" ht="19.05" customHeight="1" x14ac:dyDescent="0.25">
      <c r="A779" s="16" t="s">
        <v>538</v>
      </c>
      <c r="C779" s="16">
        <v>4</v>
      </c>
      <c r="T779" s="2">
        <f t="shared" si="48"/>
        <v>0</v>
      </c>
      <c r="U779" s="2">
        <f t="shared" si="49"/>
        <v>0</v>
      </c>
      <c r="V779" s="2">
        <f t="shared" si="50"/>
        <v>0</v>
      </c>
      <c r="W779" s="2">
        <f t="shared" si="51"/>
        <v>0</v>
      </c>
      <c r="Y779" t="str">
        <f>IFERROR(ROUND(E779*VLOOKUP(D779,商品!$A$4:$B$60,2,FALSE),0),"")</f>
        <v/>
      </c>
      <c r="Z779" t="str">
        <f>IFERROR(ROUND(G779*VLOOKUP(F779,商品!$A$4:$B$60,2,FALSE),0),"")</f>
        <v/>
      </c>
      <c r="AA779" t="str">
        <f>IFERROR(ROUND(I779*VLOOKUP(H779,商品!$A$4:$B$60,2,FALSE),0),"")</f>
        <v/>
      </c>
      <c r="AB779" t="str">
        <f>IFERROR(ROUND(K779*VLOOKUP(J779,[1]note_pop_types!$A$16:$E$16,4,FALSE),0),"")</f>
        <v/>
      </c>
      <c r="AC779" t="str">
        <f>IFERROR(ROUND(M779*VLOOKUP(L779,[1]note_pop_types!$A$16:$E$16,4,FALSE),0),"")</f>
        <v/>
      </c>
      <c r="AD779" t="str">
        <f>IFERROR(ROUND(O779*VLOOKUP(N779,[1]note_pop_types!$A$16:$E$16,4,FALSE),0),"")</f>
        <v/>
      </c>
      <c r="AE779" t="str">
        <f>IFERROR(ROUND(Q779*VLOOKUP(P779,商品!$A$4:$B$60,2,FALSE),0),"")</f>
        <v/>
      </c>
      <c r="AF779" t="str">
        <f>IFERROR(ROUND(S779*VLOOKUP(R779,商品!$A$4:$B$60,2,FALSE),0),"")</f>
        <v/>
      </c>
    </row>
    <row r="780" spans="1:32" ht="19.05" customHeight="1" x14ac:dyDescent="0.25">
      <c r="A780" s="16" t="s">
        <v>538</v>
      </c>
      <c r="C780" s="16">
        <v>5</v>
      </c>
      <c r="T780" s="2">
        <f t="shared" si="48"/>
        <v>0</v>
      </c>
      <c r="U780" s="2">
        <f t="shared" si="49"/>
        <v>0</v>
      </c>
      <c r="V780" s="2">
        <f t="shared" si="50"/>
        <v>0</v>
      </c>
      <c r="W780" s="2">
        <f t="shared" si="51"/>
        <v>0</v>
      </c>
      <c r="Y780" t="str">
        <f>IFERROR(ROUND(E780*VLOOKUP(D780,商品!$A$4:$B$60,2,FALSE),0),"")</f>
        <v/>
      </c>
      <c r="Z780" t="str">
        <f>IFERROR(ROUND(G780*VLOOKUP(F780,商品!$A$4:$B$60,2,FALSE),0),"")</f>
        <v/>
      </c>
      <c r="AA780" t="str">
        <f>IFERROR(ROUND(I780*VLOOKUP(H780,商品!$A$4:$B$60,2,FALSE),0),"")</f>
        <v/>
      </c>
      <c r="AB780" t="str">
        <f>IFERROR(ROUND(K780*VLOOKUP(J780,[1]note_pop_types!$A$16:$E$16,4,FALSE),0),"")</f>
        <v/>
      </c>
      <c r="AC780" t="str">
        <f>IFERROR(ROUND(M780*VLOOKUP(L780,[1]note_pop_types!$A$16:$E$16,4,FALSE),0),"")</f>
        <v/>
      </c>
      <c r="AD780" t="str">
        <f>IFERROR(ROUND(O780*VLOOKUP(N780,[1]note_pop_types!$A$16:$E$16,4,FALSE),0),"")</f>
        <v/>
      </c>
      <c r="AE780" t="str">
        <f>IFERROR(ROUND(Q780*VLOOKUP(P780,商品!$A$4:$B$60,2,FALSE),0),"")</f>
        <v/>
      </c>
      <c r="AF780" t="str">
        <f>IFERROR(ROUND(S780*VLOOKUP(R780,商品!$A$4:$B$60,2,FALSE),0),"")</f>
        <v/>
      </c>
    </row>
    <row r="781" spans="1:32" ht="19.05" customHeight="1" x14ac:dyDescent="0.25">
      <c r="A781" s="15" t="s">
        <v>538</v>
      </c>
      <c r="C781" s="15">
        <v>1</v>
      </c>
      <c r="T781" s="2">
        <f t="shared" si="48"/>
        <v>0</v>
      </c>
      <c r="U781" s="2">
        <f t="shared" si="49"/>
        <v>0</v>
      </c>
      <c r="V781" s="2">
        <f t="shared" si="50"/>
        <v>0</v>
      </c>
      <c r="W781" s="2">
        <f t="shared" si="51"/>
        <v>0</v>
      </c>
      <c r="Y781" t="str">
        <f>IFERROR(ROUND(E781*VLOOKUP(D781,商品!$A$4:$B$60,2,FALSE),0),"")</f>
        <v/>
      </c>
      <c r="Z781" t="str">
        <f>IFERROR(ROUND(G781*VLOOKUP(F781,商品!$A$4:$B$60,2,FALSE),0),"")</f>
        <v/>
      </c>
      <c r="AA781" t="str">
        <f>IFERROR(ROUND(I781*VLOOKUP(H781,商品!$A$4:$B$60,2,FALSE),0),"")</f>
        <v/>
      </c>
      <c r="AB781" t="str">
        <f>IFERROR(ROUND(K781*VLOOKUP(J781,[1]note_pop_types!$A$16:$E$16,4,FALSE),0),"")</f>
        <v/>
      </c>
      <c r="AC781" t="str">
        <f>IFERROR(ROUND(M781*VLOOKUP(L781,[1]note_pop_types!$A$16:$E$16,4,FALSE),0),"")</f>
        <v/>
      </c>
      <c r="AD781" t="str">
        <f>IFERROR(ROUND(O781*VLOOKUP(N781,[1]note_pop_types!$A$16:$E$16,4,FALSE),0),"")</f>
        <v/>
      </c>
      <c r="AE781" t="str">
        <f>IFERROR(ROUND(Q781*VLOOKUP(P781,商品!$A$4:$B$60,2,FALSE),0),"")</f>
        <v/>
      </c>
      <c r="AF781" t="str">
        <f>IFERROR(ROUND(S781*VLOOKUP(R781,商品!$A$4:$B$60,2,FALSE),0),"")</f>
        <v/>
      </c>
    </row>
    <row r="782" spans="1:32" ht="19.05" customHeight="1" x14ac:dyDescent="0.25">
      <c r="A782" s="15" t="s">
        <v>538</v>
      </c>
      <c r="C782" s="15">
        <v>2</v>
      </c>
      <c r="T782" s="2">
        <f t="shared" si="48"/>
        <v>0</v>
      </c>
      <c r="U782" s="2">
        <f t="shared" si="49"/>
        <v>0</v>
      </c>
      <c r="V782" s="2">
        <f t="shared" si="50"/>
        <v>0</v>
      </c>
      <c r="W782" s="2">
        <f t="shared" si="51"/>
        <v>0</v>
      </c>
      <c r="Y782" t="str">
        <f>IFERROR(ROUND(E782*VLOOKUP(D782,商品!$A$4:$B$60,2,FALSE),0),"")</f>
        <v/>
      </c>
      <c r="Z782" t="str">
        <f>IFERROR(ROUND(G782*VLOOKUP(F782,商品!$A$4:$B$60,2,FALSE),0),"")</f>
        <v/>
      </c>
      <c r="AA782" t="str">
        <f>IFERROR(ROUND(I782*VLOOKUP(H782,商品!$A$4:$B$60,2,FALSE),0),"")</f>
        <v/>
      </c>
      <c r="AB782" t="str">
        <f>IFERROR(ROUND(K782*VLOOKUP(J782,[1]note_pop_types!$A$16:$E$16,4,FALSE),0),"")</f>
        <v/>
      </c>
      <c r="AC782" t="str">
        <f>IFERROR(ROUND(M782*VLOOKUP(L782,[1]note_pop_types!$A$16:$E$16,4,FALSE),0),"")</f>
        <v/>
      </c>
      <c r="AD782" t="str">
        <f>IFERROR(ROUND(O782*VLOOKUP(N782,[1]note_pop_types!$A$16:$E$16,4,FALSE),0),"")</f>
        <v/>
      </c>
      <c r="AE782" t="str">
        <f>IFERROR(ROUND(Q782*VLOOKUP(P782,商品!$A$4:$B$60,2,FALSE),0),"")</f>
        <v/>
      </c>
      <c r="AF782" t="str">
        <f>IFERROR(ROUND(S782*VLOOKUP(R782,商品!$A$4:$B$60,2,FALSE),0),"")</f>
        <v/>
      </c>
    </row>
    <row r="783" spans="1:32" ht="19.05" customHeight="1" x14ac:dyDescent="0.25">
      <c r="A783" s="15" t="s">
        <v>538</v>
      </c>
      <c r="C783" s="15">
        <v>3</v>
      </c>
      <c r="T783" s="2">
        <f t="shared" si="48"/>
        <v>0</v>
      </c>
      <c r="U783" s="2">
        <f t="shared" si="49"/>
        <v>0</v>
      </c>
      <c r="V783" s="2">
        <f t="shared" si="50"/>
        <v>0</v>
      </c>
      <c r="W783" s="2">
        <f t="shared" si="51"/>
        <v>0</v>
      </c>
      <c r="Y783" t="str">
        <f>IFERROR(ROUND(E783*VLOOKUP(D783,商品!$A$4:$B$60,2,FALSE),0),"")</f>
        <v/>
      </c>
      <c r="Z783" t="str">
        <f>IFERROR(ROUND(G783*VLOOKUP(F783,商品!$A$4:$B$60,2,FALSE),0),"")</f>
        <v/>
      </c>
      <c r="AA783" t="str">
        <f>IFERROR(ROUND(I783*VLOOKUP(H783,商品!$A$4:$B$60,2,FALSE),0),"")</f>
        <v/>
      </c>
      <c r="AB783" t="str">
        <f>IFERROR(ROUND(K783*VLOOKUP(J783,[1]note_pop_types!$A$16:$E$16,4,FALSE),0),"")</f>
        <v/>
      </c>
      <c r="AC783" t="str">
        <f>IFERROR(ROUND(M783*VLOOKUP(L783,[1]note_pop_types!$A$16:$E$16,4,FALSE),0),"")</f>
        <v/>
      </c>
      <c r="AD783" t="str">
        <f>IFERROR(ROUND(O783*VLOOKUP(N783,[1]note_pop_types!$A$16:$E$16,4,FALSE),0),"")</f>
        <v/>
      </c>
      <c r="AE783" t="str">
        <f>IFERROR(ROUND(Q783*VLOOKUP(P783,商品!$A$4:$B$60,2,FALSE),0),"")</f>
        <v/>
      </c>
      <c r="AF783" t="str">
        <f>IFERROR(ROUND(S783*VLOOKUP(R783,商品!$A$4:$B$60,2,FALSE),0),"")</f>
        <v/>
      </c>
    </row>
    <row r="784" spans="1:32" ht="19.05" customHeight="1" x14ac:dyDescent="0.25">
      <c r="A784" s="15" t="s">
        <v>538</v>
      </c>
      <c r="C784" s="15">
        <v>4</v>
      </c>
      <c r="T784" s="2">
        <f t="shared" si="48"/>
        <v>0</v>
      </c>
      <c r="U784" s="2">
        <f t="shared" si="49"/>
        <v>0</v>
      </c>
      <c r="V784" s="2">
        <f t="shared" si="50"/>
        <v>0</v>
      </c>
      <c r="W784" s="2">
        <f t="shared" si="51"/>
        <v>0</v>
      </c>
      <c r="Y784" t="str">
        <f>IFERROR(ROUND(E784*VLOOKUP(D784,商品!$A$4:$B$60,2,FALSE),0),"")</f>
        <v/>
      </c>
      <c r="Z784" t="str">
        <f>IFERROR(ROUND(G784*VLOOKUP(F784,商品!$A$4:$B$60,2,FALSE),0),"")</f>
        <v/>
      </c>
      <c r="AA784" t="str">
        <f>IFERROR(ROUND(I784*VLOOKUP(H784,商品!$A$4:$B$60,2,FALSE),0),"")</f>
        <v/>
      </c>
      <c r="AB784" t="str">
        <f>IFERROR(ROUND(K784*VLOOKUP(J784,[1]note_pop_types!$A$16:$E$16,4,FALSE),0),"")</f>
        <v/>
      </c>
      <c r="AC784" t="str">
        <f>IFERROR(ROUND(M784*VLOOKUP(L784,[1]note_pop_types!$A$16:$E$16,4,FALSE),0),"")</f>
        <v/>
      </c>
      <c r="AD784" t="str">
        <f>IFERROR(ROUND(O784*VLOOKUP(N784,[1]note_pop_types!$A$16:$E$16,4,FALSE),0),"")</f>
        <v/>
      </c>
      <c r="AE784" t="str">
        <f>IFERROR(ROUND(Q784*VLOOKUP(P784,商品!$A$4:$B$60,2,FALSE),0),"")</f>
        <v/>
      </c>
      <c r="AF784" t="str">
        <f>IFERROR(ROUND(S784*VLOOKUP(R784,商品!$A$4:$B$60,2,FALSE),0),"")</f>
        <v/>
      </c>
    </row>
    <row r="785" spans="1:32" ht="19.05" customHeight="1" x14ac:dyDescent="0.25">
      <c r="A785" s="15" t="s">
        <v>538</v>
      </c>
      <c r="C785" s="15">
        <v>5</v>
      </c>
      <c r="T785" s="2">
        <f t="shared" si="48"/>
        <v>0</v>
      </c>
      <c r="U785" s="2">
        <f t="shared" si="49"/>
        <v>0</v>
      </c>
      <c r="V785" s="2">
        <f t="shared" si="50"/>
        <v>0</v>
      </c>
      <c r="W785" s="2">
        <f t="shared" si="51"/>
        <v>0</v>
      </c>
      <c r="Y785" t="str">
        <f>IFERROR(ROUND(E785*VLOOKUP(D785,商品!$A$4:$B$60,2,FALSE),0),"")</f>
        <v/>
      </c>
      <c r="Z785" t="str">
        <f>IFERROR(ROUND(G785*VLOOKUP(F785,商品!$A$4:$B$60,2,FALSE),0),"")</f>
        <v/>
      </c>
      <c r="AA785" t="str">
        <f>IFERROR(ROUND(I785*VLOOKUP(H785,商品!$A$4:$B$60,2,FALSE),0),"")</f>
        <v/>
      </c>
      <c r="AB785" t="str">
        <f>IFERROR(ROUND(K785*VLOOKUP(J785,[1]note_pop_types!$A$16:$E$16,4,FALSE),0),"")</f>
        <v/>
      </c>
      <c r="AC785" t="str">
        <f>IFERROR(ROUND(M785*VLOOKUP(L785,[1]note_pop_types!$A$16:$E$16,4,FALSE),0),"")</f>
        <v/>
      </c>
      <c r="AD785" t="str">
        <f>IFERROR(ROUND(O785*VLOOKUP(N785,[1]note_pop_types!$A$16:$E$16,4,FALSE),0),"")</f>
        <v/>
      </c>
      <c r="AE785" t="str">
        <f>IFERROR(ROUND(Q785*VLOOKUP(P785,商品!$A$4:$B$60,2,FALSE),0),"")</f>
        <v/>
      </c>
      <c r="AF785" t="str">
        <f>IFERROR(ROUND(S785*VLOOKUP(R785,商品!$A$4:$B$60,2,FALSE),0),"")</f>
        <v/>
      </c>
    </row>
    <row r="786" spans="1:32" ht="19.05" customHeight="1" x14ac:dyDescent="0.25">
      <c r="A786" s="16" t="s">
        <v>346</v>
      </c>
      <c r="C786" s="16">
        <v>1</v>
      </c>
      <c r="T786" s="2">
        <f t="shared" si="48"/>
        <v>0</v>
      </c>
      <c r="U786" s="2">
        <f t="shared" si="49"/>
        <v>0</v>
      </c>
      <c r="V786" s="2">
        <f t="shared" si="50"/>
        <v>0</v>
      </c>
      <c r="W786" s="2">
        <f t="shared" si="51"/>
        <v>0</v>
      </c>
      <c r="Y786" t="str">
        <f>IFERROR(ROUND(E786*VLOOKUP(D786,商品!$A$4:$B$60,2,FALSE),0),"")</f>
        <v/>
      </c>
      <c r="Z786" t="str">
        <f>IFERROR(ROUND(G786*VLOOKUP(F786,商品!$A$4:$B$60,2,FALSE),0),"")</f>
        <v/>
      </c>
      <c r="AA786" t="str">
        <f>IFERROR(ROUND(I786*VLOOKUP(H786,商品!$A$4:$B$60,2,FALSE),0),"")</f>
        <v/>
      </c>
      <c r="AB786" t="str">
        <f>IFERROR(ROUND(K786*VLOOKUP(J786,[1]note_pop_types!$A$16:$E$16,4,FALSE),0),"")</f>
        <v/>
      </c>
      <c r="AC786" t="str">
        <f>IFERROR(ROUND(M786*VLOOKUP(L786,[1]note_pop_types!$A$16:$E$16,4,FALSE),0),"")</f>
        <v/>
      </c>
      <c r="AD786" t="str">
        <f>IFERROR(ROUND(O786*VLOOKUP(N786,[1]note_pop_types!$A$16:$E$16,4,FALSE),0),"")</f>
        <v/>
      </c>
      <c r="AE786" t="str">
        <f>IFERROR(ROUND(Q786*VLOOKUP(P786,商品!$A$4:$B$60,2,FALSE),0),"")</f>
        <v/>
      </c>
      <c r="AF786" t="str">
        <f>IFERROR(ROUND(S786*VLOOKUP(R786,商品!$A$4:$B$60,2,FALSE),0),"")</f>
        <v/>
      </c>
    </row>
    <row r="787" spans="1:32" ht="19.05" customHeight="1" x14ac:dyDescent="0.25">
      <c r="A787" s="16" t="s">
        <v>346</v>
      </c>
      <c r="C787" s="16">
        <v>2</v>
      </c>
      <c r="T787" s="2">
        <f t="shared" si="48"/>
        <v>0</v>
      </c>
      <c r="U787" s="2">
        <f t="shared" si="49"/>
        <v>0</v>
      </c>
      <c r="V787" s="2">
        <f t="shared" si="50"/>
        <v>0</v>
      </c>
      <c r="W787" s="2">
        <f t="shared" si="51"/>
        <v>0</v>
      </c>
      <c r="Y787" t="str">
        <f>IFERROR(ROUND(E787*VLOOKUP(D787,商品!$A$4:$B$60,2,FALSE),0),"")</f>
        <v/>
      </c>
      <c r="Z787" t="str">
        <f>IFERROR(ROUND(G787*VLOOKUP(F787,商品!$A$4:$B$60,2,FALSE),0),"")</f>
        <v/>
      </c>
      <c r="AA787" t="str">
        <f>IFERROR(ROUND(I787*VLOOKUP(H787,商品!$A$4:$B$60,2,FALSE),0),"")</f>
        <v/>
      </c>
      <c r="AB787" t="str">
        <f>IFERROR(ROUND(K787*VLOOKUP(J787,[1]note_pop_types!$A$16:$E$16,4,FALSE),0),"")</f>
        <v/>
      </c>
      <c r="AC787" t="str">
        <f>IFERROR(ROUND(M787*VLOOKUP(L787,[1]note_pop_types!$A$16:$E$16,4,FALSE),0),"")</f>
        <v/>
      </c>
      <c r="AD787" t="str">
        <f>IFERROR(ROUND(O787*VLOOKUP(N787,[1]note_pop_types!$A$16:$E$16,4,FALSE),0),"")</f>
        <v/>
      </c>
      <c r="AE787" t="str">
        <f>IFERROR(ROUND(Q787*VLOOKUP(P787,商品!$A$4:$B$60,2,FALSE),0),"")</f>
        <v/>
      </c>
      <c r="AF787" t="str">
        <f>IFERROR(ROUND(S787*VLOOKUP(R787,商品!$A$4:$B$60,2,FALSE),0),"")</f>
        <v/>
      </c>
    </row>
    <row r="788" spans="1:32" ht="19.05" customHeight="1" x14ac:dyDescent="0.25">
      <c r="A788" s="16" t="s">
        <v>346</v>
      </c>
      <c r="C788" s="16">
        <v>3</v>
      </c>
      <c r="T788" s="2">
        <f t="shared" si="48"/>
        <v>0</v>
      </c>
      <c r="U788" s="2">
        <f t="shared" si="49"/>
        <v>0</v>
      </c>
      <c r="V788" s="2">
        <f t="shared" si="50"/>
        <v>0</v>
      </c>
      <c r="W788" s="2">
        <f t="shared" si="51"/>
        <v>0</v>
      </c>
      <c r="Y788" t="str">
        <f>IFERROR(ROUND(E788*VLOOKUP(D788,商品!$A$4:$B$60,2,FALSE),0),"")</f>
        <v/>
      </c>
      <c r="Z788" t="str">
        <f>IFERROR(ROUND(G788*VLOOKUP(F788,商品!$A$4:$B$60,2,FALSE),0),"")</f>
        <v/>
      </c>
      <c r="AA788" t="str">
        <f>IFERROR(ROUND(I788*VLOOKUP(H788,商品!$A$4:$B$60,2,FALSE),0),"")</f>
        <v/>
      </c>
      <c r="AB788" t="str">
        <f>IFERROR(ROUND(K788*VLOOKUP(J788,[1]note_pop_types!$A$16:$E$16,4,FALSE),0),"")</f>
        <v/>
      </c>
      <c r="AC788" t="str">
        <f>IFERROR(ROUND(M788*VLOOKUP(L788,[1]note_pop_types!$A$16:$E$16,4,FALSE),0),"")</f>
        <v/>
      </c>
      <c r="AD788" t="str">
        <f>IFERROR(ROUND(O788*VLOOKUP(N788,[1]note_pop_types!$A$16:$E$16,4,FALSE),0),"")</f>
        <v/>
      </c>
      <c r="AE788" t="str">
        <f>IFERROR(ROUND(Q788*VLOOKUP(P788,商品!$A$4:$B$60,2,FALSE),0),"")</f>
        <v/>
      </c>
      <c r="AF788" t="str">
        <f>IFERROR(ROUND(S788*VLOOKUP(R788,商品!$A$4:$B$60,2,FALSE),0),"")</f>
        <v/>
      </c>
    </row>
    <row r="789" spans="1:32" ht="19.05" customHeight="1" x14ac:dyDescent="0.25">
      <c r="A789" s="16" t="s">
        <v>346</v>
      </c>
      <c r="C789" s="16">
        <v>4</v>
      </c>
      <c r="T789" s="2">
        <f t="shared" si="48"/>
        <v>0</v>
      </c>
      <c r="U789" s="2">
        <f t="shared" si="49"/>
        <v>0</v>
      </c>
      <c r="V789" s="2">
        <f t="shared" si="50"/>
        <v>0</v>
      </c>
      <c r="W789" s="2">
        <f t="shared" si="51"/>
        <v>0</v>
      </c>
      <c r="Y789" t="str">
        <f>IFERROR(ROUND(E789*VLOOKUP(D789,商品!$A$4:$B$60,2,FALSE),0),"")</f>
        <v/>
      </c>
      <c r="Z789" t="str">
        <f>IFERROR(ROUND(G789*VLOOKUP(F789,商品!$A$4:$B$60,2,FALSE),0),"")</f>
        <v/>
      </c>
      <c r="AA789" t="str">
        <f>IFERROR(ROUND(I789*VLOOKUP(H789,商品!$A$4:$B$60,2,FALSE),0),"")</f>
        <v/>
      </c>
      <c r="AB789" t="str">
        <f>IFERROR(ROUND(K789*VLOOKUP(J789,[1]note_pop_types!$A$16:$E$16,4,FALSE),0),"")</f>
        <v/>
      </c>
      <c r="AC789" t="str">
        <f>IFERROR(ROUND(M789*VLOOKUP(L789,[1]note_pop_types!$A$16:$E$16,4,FALSE),0),"")</f>
        <v/>
      </c>
      <c r="AD789" t="str">
        <f>IFERROR(ROUND(O789*VLOOKUP(N789,[1]note_pop_types!$A$16:$E$16,4,FALSE),0),"")</f>
        <v/>
      </c>
      <c r="AE789" t="str">
        <f>IFERROR(ROUND(Q789*VLOOKUP(P789,商品!$A$4:$B$60,2,FALSE),0),"")</f>
        <v/>
      </c>
      <c r="AF789" t="str">
        <f>IFERROR(ROUND(S789*VLOOKUP(R789,商品!$A$4:$B$60,2,FALSE),0),"")</f>
        <v/>
      </c>
    </row>
    <row r="790" spans="1:32" ht="19.05" customHeight="1" x14ac:dyDescent="0.25">
      <c r="A790" s="16" t="s">
        <v>346</v>
      </c>
      <c r="C790" s="16">
        <v>5</v>
      </c>
      <c r="T790" s="2">
        <f t="shared" si="48"/>
        <v>0</v>
      </c>
      <c r="U790" s="2">
        <f t="shared" si="49"/>
        <v>0</v>
      </c>
      <c r="V790" s="2">
        <f t="shared" si="50"/>
        <v>0</v>
      </c>
      <c r="W790" s="2">
        <f t="shared" si="51"/>
        <v>0</v>
      </c>
      <c r="Y790" t="str">
        <f>IFERROR(ROUND(E790*VLOOKUP(D790,商品!$A$4:$B$60,2,FALSE),0),"")</f>
        <v/>
      </c>
      <c r="Z790" t="str">
        <f>IFERROR(ROUND(G790*VLOOKUP(F790,商品!$A$4:$B$60,2,FALSE),0),"")</f>
        <v/>
      </c>
      <c r="AA790" t="str">
        <f>IFERROR(ROUND(I790*VLOOKUP(H790,商品!$A$4:$B$60,2,FALSE),0),"")</f>
        <v/>
      </c>
      <c r="AB790" t="str">
        <f>IFERROR(ROUND(K790*VLOOKUP(J790,[1]note_pop_types!$A$16:$E$16,4,FALSE),0),"")</f>
        <v/>
      </c>
      <c r="AC790" t="str">
        <f>IFERROR(ROUND(M790*VLOOKUP(L790,[1]note_pop_types!$A$16:$E$16,4,FALSE),0),"")</f>
        <v/>
      </c>
      <c r="AD790" t="str">
        <f>IFERROR(ROUND(O790*VLOOKUP(N790,[1]note_pop_types!$A$16:$E$16,4,FALSE),0),"")</f>
        <v/>
      </c>
      <c r="AE790" t="str">
        <f>IFERROR(ROUND(Q790*VLOOKUP(P790,商品!$A$4:$B$60,2,FALSE),0),"")</f>
        <v/>
      </c>
      <c r="AF790" t="str">
        <f>IFERROR(ROUND(S790*VLOOKUP(R790,商品!$A$4:$B$60,2,FALSE),0),"")</f>
        <v/>
      </c>
    </row>
    <row r="791" spans="1:32" ht="19.05" customHeight="1" x14ac:dyDescent="0.25">
      <c r="A791" s="16" t="s">
        <v>346</v>
      </c>
      <c r="C791" s="16">
        <v>6</v>
      </c>
      <c r="T791" s="2">
        <f t="shared" si="48"/>
        <v>0</v>
      </c>
      <c r="U791" s="2">
        <f t="shared" si="49"/>
        <v>0</v>
      </c>
      <c r="V791" s="2">
        <f t="shared" si="50"/>
        <v>0</v>
      </c>
      <c r="W791" s="2">
        <f t="shared" si="51"/>
        <v>0</v>
      </c>
      <c r="Y791" t="str">
        <f>IFERROR(ROUND(E791*VLOOKUP(D791,商品!$A$4:$B$60,2,FALSE),0),"")</f>
        <v/>
      </c>
      <c r="Z791" t="str">
        <f>IFERROR(ROUND(G791*VLOOKUP(F791,商品!$A$4:$B$60,2,FALSE),0),"")</f>
        <v/>
      </c>
      <c r="AA791" t="str">
        <f>IFERROR(ROUND(I791*VLOOKUP(H791,商品!$A$4:$B$60,2,FALSE),0),"")</f>
        <v/>
      </c>
      <c r="AB791" t="str">
        <f>IFERROR(ROUND(K791*VLOOKUP(J791,[1]note_pop_types!$A$16:$E$16,4,FALSE),0),"")</f>
        <v/>
      </c>
      <c r="AC791" t="str">
        <f>IFERROR(ROUND(M791*VLOOKUP(L791,[1]note_pop_types!$A$16:$E$16,4,FALSE),0),"")</f>
        <v/>
      </c>
      <c r="AD791" t="str">
        <f>IFERROR(ROUND(O791*VLOOKUP(N791,[1]note_pop_types!$A$16:$E$16,4,FALSE),0),"")</f>
        <v/>
      </c>
      <c r="AE791" t="str">
        <f>IFERROR(ROUND(Q791*VLOOKUP(P791,商品!$A$4:$B$60,2,FALSE),0),"")</f>
        <v/>
      </c>
      <c r="AF791" t="str">
        <f>IFERROR(ROUND(S791*VLOOKUP(R791,商品!$A$4:$B$60,2,FALSE),0),"")</f>
        <v/>
      </c>
    </row>
    <row r="792" spans="1:32" ht="19.05" customHeight="1" x14ac:dyDescent="0.25">
      <c r="A792" s="16" t="s">
        <v>346</v>
      </c>
      <c r="C792" s="16">
        <v>7</v>
      </c>
      <c r="T792" s="2">
        <f t="shared" si="48"/>
        <v>0</v>
      </c>
      <c r="U792" s="2">
        <f t="shared" si="49"/>
        <v>0</v>
      </c>
      <c r="V792" s="2">
        <f t="shared" si="50"/>
        <v>0</v>
      </c>
      <c r="W792" s="2">
        <f t="shared" si="51"/>
        <v>0</v>
      </c>
      <c r="Y792" t="str">
        <f>IFERROR(ROUND(E792*VLOOKUP(D792,商品!$A$4:$B$60,2,FALSE),0),"")</f>
        <v/>
      </c>
      <c r="Z792" t="str">
        <f>IFERROR(ROUND(G792*VLOOKUP(F792,商品!$A$4:$B$60,2,FALSE),0),"")</f>
        <v/>
      </c>
      <c r="AA792" t="str">
        <f>IFERROR(ROUND(I792*VLOOKUP(H792,商品!$A$4:$B$60,2,FALSE),0),"")</f>
        <v/>
      </c>
      <c r="AB792" t="str">
        <f>IFERROR(ROUND(K792*VLOOKUP(J792,[1]note_pop_types!$A$16:$E$16,4,FALSE),0),"")</f>
        <v/>
      </c>
      <c r="AC792" t="str">
        <f>IFERROR(ROUND(M792*VLOOKUP(L792,[1]note_pop_types!$A$16:$E$16,4,FALSE),0),"")</f>
        <v/>
      </c>
      <c r="AD792" t="str">
        <f>IFERROR(ROUND(O792*VLOOKUP(N792,[1]note_pop_types!$A$16:$E$16,4,FALSE),0),"")</f>
        <v/>
      </c>
      <c r="AE792" t="str">
        <f>IFERROR(ROUND(Q792*VLOOKUP(P792,商品!$A$4:$B$60,2,FALSE),0),"")</f>
        <v/>
      </c>
      <c r="AF792" t="str">
        <f>IFERROR(ROUND(S792*VLOOKUP(R792,商品!$A$4:$B$60,2,FALSE),0),"")</f>
        <v/>
      </c>
    </row>
    <row r="793" spans="1:32" ht="19.05" customHeight="1" x14ac:dyDescent="0.25">
      <c r="A793" s="16" t="s">
        <v>346</v>
      </c>
      <c r="C793" s="16">
        <v>8</v>
      </c>
      <c r="T793" s="2">
        <f t="shared" si="48"/>
        <v>0</v>
      </c>
      <c r="U793" s="2">
        <f t="shared" si="49"/>
        <v>0</v>
      </c>
      <c r="V793" s="2">
        <f t="shared" si="50"/>
        <v>0</v>
      </c>
      <c r="W793" s="2">
        <f t="shared" si="51"/>
        <v>0</v>
      </c>
      <c r="Y793" t="str">
        <f>IFERROR(ROUND(E793*VLOOKUP(D793,商品!$A$4:$B$60,2,FALSE),0),"")</f>
        <v/>
      </c>
      <c r="Z793" t="str">
        <f>IFERROR(ROUND(G793*VLOOKUP(F793,商品!$A$4:$B$60,2,FALSE),0),"")</f>
        <v/>
      </c>
      <c r="AA793" t="str">
        <f>IFERROR(ROUND(I793*VLOOKUP(H793,商品!$A$4:$B$60,2,FALSE),0),"")</f>
        <v/>
      </c>
      <c r="AB793" t="str">
        <f>IFERROR(ROUND(K793*VLOOKUP(J793,[1]note_pop_types!$A$16:$E$16,4,FALSE),0),"")</f>
        <v/>
      </c>
      <c r="AC793" t="str">
        <f>IFERROR(ROUND(M793*VLOOKUP(L793,[1]note_pop_types!$A$16:$E$16,4,FALSE),0),"")</f>
        <v/>
      </c>
      <c r="AD793" t="str">
        <f>IFERROR(ROUND(O793*VLOOKUP(N793,[1]note_pop_types!$A$16:$E$16,4,FALSE),0),"")</f>
        <v/>
      </c>
      <c r="AE793" t="str">
        <f>IFERROR(ROUND(Q793*VLOOKUP(P793,商品!$A$4:$B$60,2,FALSE),0),"")</f>
        <v/>
      </c>
      <c r="AF793" t="str">
        <f>IFERROR(ROUND(S793*VLOOKUP(R793,商品!$A$4:$B$60,2,FALSE),0),"")</f>
        <v/>
      </c>
    </row>
    <row r="794" spans="1:32" ht="19.05" customHeight="1" x14ac:dyDescent="0.25">
      <c r="A794" s="15" t="s">
        <v>348</v>
      </c>
      <c r="C794" s="15">
        <v>1</v>
      </c>
      <c r="T794" s="2">
        <f t="shared" si="48"/>
        <v>0</v>
      </c>
      <c r="U794" s="2">
        <f t="shared" si="49"/>
        <v>0</v>
      </c>
      <c r="V794" s="2">
        <f t="shared" si="50"/>
        <v>0</v>
      </c>
      <c r="W794" s="2">
        <f t="shared" si="51"/>
        <v>0</v>
      </c>
      <c r="Y794" t="str">
        <f>IFERROR(ROUND(E794*VLOOKUP(D794,商品!$A$4:$B$60,2,FALSE),0),"")</f>
        <v/>
      </c>
      <c r="Z794" t="str">
        <f>IFERROR(ROUND(G794*VLOOKUP(F794,商品!$A$4:$B$60,2,FALSE),0),"")</f>
        <v/>
      </c>
      <c r="AA794" t="str">
        <f>IFERROR(ROUND(I794*VLOOKUP(H794,商品!$A$4:$B$60,2,FALSE),0),"")</f>
        <v/>
      </c>
      <c r="AB794" t="str">
        <f>IFERROR(ROUND(K794*VLOOKUP(J794,[1]note_pop_types!$A$16:$E$16,4,FALSE),0),"")</f>
        <v/>
      </c>
      <c r="AC794" t="str">
        <f>IFERROR(ROUND(M794*VLOOKUP(L794,[1]note_pop_types!$A$16:$E$16,4,FALSE),0),"")</f>
        <v/>
      </c>
      <c r="AD794" t="str">
        <f>IFERROR(ROUND(O794*VLOOKUP(N794,[1]note_pop_types!$A$16:$E$16,4,FALSE),0),"")</f>
        <v/>
      </c>
      <c r="AE794" t="str">
        <f>IFERROR(ROUND(Q794*VLOOKUP(P794,商品!$A$4:$B$60,2,FALSE),0),"")</f>
        <v/>
      </c>
      <c r="AF794" t="str">
        <f>IFERROR(ROUND(S794*VLOOKUP(R794,商品!$A$4:$B$60,2,FALSE),0),"")</f>
        <v/>
      </c>
    </row>
    <row r="795" spans="1:32" ht="19.05" customHeight="1" x14ac:dyDescent="0.25">
      <c r="A795" s="15" t="s">
        <v>348</v>
      </c>
      <c r="C795" s="15">
        <v>2</v>
      </c>
      <c r="T795" s="2">
        <f t="shared" si="48"/>
        <v>0</v>
      </c>
      <c r="U795" s="2">
        <f t="shared" si="49"/>
        <v>0</v>
      </c>
      <c r="V795" s="2">
        <f t="shared" si="50"/>
        <v>0</v>
      </c>
      <c r="W795" s="2">
        <f t="shared" si="51"/>
        <v>0</v>
      </c>
      <c r="Y795" t="str">
        <f>IFERROR(ROUND(E795*VLOOKUP(D795,商品!$A$4:$B$60,2,FALSE),0),"")</f>
        <v/>
      </c>
      <c r="Z795" t="str">
        <f>IFERROR(ROUND(G795*VLOOKUP(F795,商品!$A$4:$B$60,2,FALSE),0),"")</f>
        <v/>
      </c>
      <c r="AA795" t="str">
        <f>IFERROR(ROUND(I795*VLOOKUP(H795,商品!$A$4:$B$60,2,FALSE),0),"")</f>
        <v/>
      </c>
      <c r="AB795" t="str">
        <f>IFERROR(ROUND(K795*VLOOKUP(J795,[1]note_pop_types!$A$16:$E$16,4,FALSE),0),"")</f>
        <v/>
      </c>
      <c r="AC795" t="str">
        <f>IFERROR(ROUND(M795*VLOOKUP(L795,[1]note_pop_types!$A$16:$E$16,4,FALSE),0),"")</f>
        <v/>
      </c>
      <c r="AD795" t="str">
        <f>IFERROR(ROUND(O795*VLOOKUP(N795,[1]note_pop_types!$A$16:$E$16,4,FALSE),0),"")</f>
        <v/>
      </c>
      <c r="AE795" t="str">
        <f>IFERROR(ROUND(Q795*VLOOKUP(P795,商品!$A$4:$B$60,2,FALSE),0),"")</f>
        <v/>
      </c>
      <c r="AF795" t="str">
        <f>IFERROR(ROUND(S795*VLOOKUP(R795,商品!$A$4:$B$60,2,FALSE),0),"")</f>
        <v/>
      </c>
    </row>
    <row r="796" spans="1:32" ht="19.05" customHeight="1" x14ac:dyDescent="0.25">
      <c r="A796" s="15" t="s">
        <v>348</v>
      </c>
      <c r="C796" s="15">
        <v>3</v>
      </c>
      <c r="T796" s="2">
        <f t="shared" si="48"/>
        <v>0</v>
      </c>
      <c r="U796" s="2">
        <f t="shared" si="49"/>
        <v>0</v>
      </c>
      <c r="V796" s="2">
        <f t="shared" si="50"/>
        <v>0</v>
      </c>
      <c r="W796" s="2">
        <f t="shared" si="51"/>
        <v>0</v>
      </c>
      <c r="Y796" t="str">
        <f>IFERROR(ROUND(E796*VLOOKUP(D796,商品!$A$4:$B$60,2,FALSE),0),"")</f>
        <v/>
      </c>
      <c r="Z796" t="str">
        <f>IFERROR(ROUND(G796*VLOOKUP(F796,商品!$A$4:$B$60,2,FALSE),0),"")</f>
        <v/>
      </c>
      <c r="AA796" t="str">
        <f>IFERROR(ROUND(I796*VLOOKUP(H796,商品!$A$4:$B$60,2,FALSE),0),"")</f>
        <v/>
      </c>
      <c r="AB796" t="str">
        <f>IFERROR(ROUND(K796*VLOOKUP(J796,[1]note_pop_types!$A$16:$E$16,4,FALSE),0),"")</f>
        <v/>
      </c>
      <c r="AC796" t="str">
        <f>IFERROR(ROUND(M796*VLOOKUP(L796,[1]note_pop_types!$A$16:$E$16,4,FALSE),0),"")</f>
        <v/>
      </c>
      <c r="AD796" t="str">
        <f>IFERROR(ROUND(O796*VLOOKUP(N796,[1]note_pop_types!$A$16:$E$16,4,FALSE),0),"")</f>
        <v/>
      </c>
      <c r="AE796" t="str">
        <f>IFERROR(ROUND(Q796*VLOOKUP(P796,商品!$A$4:$B$60,2,FALSE),0),"")</f>
        <v/>
      </c>
      <c r="AF796" t="str">
        <f>IFERROR(ROUND(S796*VLOOKUP(R796,商品!$A$4:$B$60,2,FALSE),0),"")</f>
        <v/>
      </c>
    </row>
    <row r="797" spans="1:32" ht="19.05" customHeight="1" x14ac:dyDescent="0.25">
      <c r="A797" s="15" t="s">
        <v>348</v>
      </c>
      <c r="C797" s="15">
        <v>4</v>
      </c>
      <c r="T797" s="2">
        <f t="shared" si="48"/>
        <v>0</v>
      </c>
      <c r="U797" s="2">
        <f t="shared" si="49"/>
        <v>0</v>
      </c>
      <c r="V797" s="2">
        <f t="shared" si="50"/>
        <v>0</v>
      </c>
      <c r="W797" s="2">
        <f t="shared" si="51"/>
        <v>0</v>
      </c>
      <c r="Y797" t="str">
        <f>IFERROR(ROUND(E797*VLOOKUP(D797,商品!$A$4:$B$60,2,FALSE),0),"")</f>
        <v/>
      </c>
      <c r="Z797" t="str">
        <f>IFERROR(ROUND(G797*VLOOKUP(F797,商品!$A$4:$B$60,2,FALSE),0),"")</f>
        <v/>
      </c>
      <c r="AA797" t="str">
        <f>IFERROR(ROUND(I797*VLOOKUP(H797,商品!$A$4:$B$60,2,FALSE),0),"")</f>
        <v/>
      </c>
      <c r="AB797" t="str">
        <f>IFERROR(ROUND(K797*VLOOKUP(J797,[1]note_pop_types!$A$16:$E$16,4,FALSE),0),"")</f>
        <v/>
      </c>
      <c r="AC797" t="str">
        <f>IFERROR(ROUND(M797*VLOOKUP(L797,[1]note_pop_types!$A$16:$E$16,4,FALSE),0),"")</f>
        <v/>
      </c>
      <c r="AD797" t="str">
        <f>IFERROR(ROUND(O797*VLOOKUP(N797,[1]note_pop_types!$A$16:$E$16,4,FALSE),0),"")</f>
        <v/>
      </c>
      <c r="AE797" t="str">
        <f>IFERROR(ROUND(Q797*VLOOKUP(P797,商品!$A$4:$B$60,2,FALSE),0),"")</f>
        <v/>
      </c>
      <c r="AF797" t="str">
        <f>IFERROR(ROUND(S797*VLOOKUP(R797,商品!$A$4:$B$60,2,FALSE),0),"")</f>
        <v/>
      </c>
    </row>
    <row r="798" spans="1:32" ht="19.05" customHeight="1" x14ac:dyDescent="0.25">
      <c r="A798" s="15" t="s">
        <v>348</v>
      </c>
      <c r="C798" s="15">
        <v>5</v>
      </c>
      <c r="T798" s="2">
        <f t="shared" si="48"/>
        <v>0</v>
      </c>
      <c r="U798" s="2">
        <f t="shared" si="49"/>
        <v>0</v>
      </c>
      <c r="V798" s="2">
        <f t="shared" si="50"/>
        <v>0</v>
      </c>
      <c r="W798" s="2">
        <f t="shared" si="51"/>
        <v>0</v>
      </c>
      <c r="Y798" t="str">
        <f>IFERROR(ROUND(E798*VLOOKUP(D798,商品!$A$4:$B$60,2,FALSE),0),"")</f>
        <v/>
      </c>
      <c r="Z798" t="str">
        <f>IFERROR(ROUND(G798*VLOOKUP(F798,商品!$A$4:$B$60,2,FALSE),0),"")</f>
        <v/>
      </c>
      <c r="AA798" t="str">
        <f>IFERROR(ROUND(I798*VLOOKUP(H798,商品!$A$4:$B$60,2,FALSE),0),"")</f>
        <v/>
      </c>
      <c r="AB798" t="str">
        <f>IFERROR(ROUND(K798*VLOOKUP(J798,[1]note_pop_types!$A$16:$E$16,4,FALSE),0),"")</f>
        <v/>
      </c>
      <c r="AC798" t="str">
        <f>IFERROR(ROUND(M798*VLOOKUP(L798,[1]note_pop_types!$A$16:$E$16,4,FALSE),0),"")</f>
        <v/>
      </c>
      <c r="AD798" t="str">
        <f>IFERROR(ROUND(O798*VLOOKUP(N798,[1]note_pop_types!$A$16:$E$16,4,FALSE),0),"")</f>
        <v/>
      </c>
      <c r="AE798" t="str">
        <f>IFERROR(ROUND(Q798*VLOOKUP(P798,商品!$A$4:$B$60,2,FALSE),0),"")</f>
        <v/>
      </c>
      <c r="AF798" t="str">
        <f>IFERROR(ROUND(S798*VLOOKUP(R798,商品!$A$4:$B$60,2,FALSE),0),"")</f>
        <v/>
      </c>
    </row>
    <row r="799" spans="1:32" ht="19.05" customHeight="1" x14ac:dyDescent="0.25">
      <c r="A799" s="16" t="s">
        <v>539</v>
      </c>
      <c r="C799" s="16">
        <v>1</v>
      </c>
      <c r="T799" s="2">
        <f t="shared" si="48"/>
        <v>0</v>
      </c>
      <c r="U799" s="2">
        <f t="shared" si="49"/>
        <v>0</v>
      </c>
      <c r="V799" s="2">
        <f t="shared" si="50"/>
        <v>0</v>
      </c>
      <c r="W799" s="2">
        <f t="shared" si="51"/>
        <v>0</v>
      </c>
      <c r="Y799" t="str">
        <f>IFERROR(ROUND(E799*VLOOKUP(D799,商品!$A$4:$B$60,2,FALSE),0),"")</f>
        <v/>
      </c>
      <c r="Z799" t="str">
        <f>IFERROR(ROUND(G799*VLOOKUP(F799,商品!$A$4:$B$60,2,FALSE),0),"")</f>
        <v/>
      </c>
      <c r="AA799" t="str">
        <f>IFERROR(ROUND(I799*VLOOKUP(H799,商品!$A$4:$B$60,2,FALSE),0),"")</f>
        <v/>
      </c>
      <c r="AB799" t="str">
        <f>IFERROR(ROUND(K799*VLOOKUP(J799,[1]note_pop_types!$A$16:$E$16,4,FALSE),0),"")</f>
        <v/>
      </c>
      <c r="AC799" t="str">
        <f>IFERROR(ROUND(M799*VLOOKUP(L799,[1]note_pop_types!$A$16:$E$16,4,FALSE),0),"")</f>
        <v/>
      </c>
      <c r="AD799" t="str">
        <f>IFERROR(ROUND(O799*VLOOKUP(N799,[1]note_pop_types!$A$16:$E$16,4,FALSE),0),"")</f>
        <v/>
      </c>
      <c r="AE799" t="str">
        <f>IFERROR(ROUND(Q799*VLOOKUP(P799,商品!$A$4:$B$60,2,FALSE),0),"")</f>
        <v/>
      </c>
      <c r="AF799" t="str">
        <f>IFERROR(ROUND(S799*VLOOKUP(R799,商品!$A$4:$B$60,2,FALSE),0),"")</f>
        <v/>
      </c>
    </row>
    <row r="800" spans="1:32" ht="19.05" customHeight="1" x14ac:dyDescent="0.25">
      <c r="A800" s="16" t="s">
        <v>539</v>
      </c>
      <c r="C800" s="16">
        <v>2</v>
      </c>
      <c r="T800" s="2">
        <f t="shared" si="48"/>
        <v>0</v>
      </c>
      <c r="U800" s="2">
        <f t="shared" si="49"/>
        <v>0</v>
      </c>
      <c r="V800" s="2">
        <f t="shared" si="50"/>
        <v>0</v>
      </c>
      <c r="W800" s="2">
        <f t="shared" si="51"/>
        <v>0</v>
      </c>
      <c r="Y800" t="str">
        <f>IFERROR(ROUND(E800*VLOOKUP(D800,商品!$A$4:$B$60,2,FALSE),0),"")</f>
        <v/>
      </c>
      <c r="Z800" t="str">
        <f>IFERROR(ROUND(G800*VLOOKUP(F800,商品!$A$4:$B$60,2,FALSE),0),"")</f>
        <v/>
      </c>
      <c r="AA800" t="str">
        <f>IFERROR(ROUND(I800*VLOOKUP(H800,商品!$A$4:$B$60,2,FALSE),0),"")</f>
        <v/>
      </c>
      <c r="AB800" t="str">
        <f>IFERROR(ROUND(K800*VLOOKUP(J800,[1]note_pop_types!$A$16:$E$16,4,FALSE),0),"")</f>
        <v/>
      </c>
      <c r="AC800" t="str">
        <f>IFERROR(ROUND(M800*VLOOKUP(L800,[1]note_pop_types!$A$16:$E$16,4,FALSE),0),"")</f>
        <v/>
      </c>
      <c r="AD800" t="str">
        <f>IFERROR(ROUND(O800*VLOOKUP(N800,[1]note_pop_types!$A$16:$E$16,4,FALSE),0),"")</f>
        <v/>
      </c>
      <c r="AE800" t="str">
        <f>IFERROR(ROUND(Q800*VLOOKUP(P800,商品!$A$4:$B$60,2,FALSE),0),"")</f>
        <v/>
      </c>
      <c r="AF800" t="str">
        <f>IFERROR(ROUND(S800*VLOOKUP(R800,商品!$A$4:$B$60,2,FALSE),0),"")</f>
        <v/>
      </c>
    </row>
    <row r="801" spans="1:32" ht="19.05" customHeight="1" x14ac:dyDescent="0.25">
      <c r="A801" s="16" t="s">
        <v>539</v>
      </c>
      <c r="C801" s="16">
        <v>3</v>
      </c>
      <c r="T801" s="2">
        <f t="shared" si="48"/>
        <v>0</v>
      </c>
      <c r="U801" s="2">
        <f t="shared" si="49"/>
        <v>0</v>
      </c>
      <c r="V801" s="2">
        <f t="shared" si="50"/>
        <v>0</v>
      </c>
      <c r="W801" s="2">
        <f t="shared" si="51"/>
        <v>0</v>
      </c>
      <c r="Y801" t="str">
        <f>IFERROR(ROUND(E801*VLOOKUP(D801,商品!$A$4:$B$60,2,FALSE),0),"")</f>
        <v/>
      </c>
      <c r="Z801" t="str">
        <f>IFERROR(ROUND(G801*VLOOKUP(F801,商品!$A$4:$B$60,2,FALSE),0),"")</f>
        <v/>
      </c>
      <c r="AA801" t="str">
        <f>IFERROR(ROUND(I801*VLOOKUP(H801,商品!$A$4:$B$60,2,FALSE),0),"")</f>
        <v/>
      </c>
      <c r="AB801" t="str">
        <f>IFERROR(ROUND(K801*VLOOKUP(J801,[1]note_pop_types!$A$16:$E$16,4,FALSE),0),"")</f>
        <v/>
      </c>
      <c r="AC801" t="str">
        <f>IFERROR(ROUND(M801*VLOOKUP(L801,[1]note_pop_types!$A$16:$E$16,4,FALSE),0),"")</f>
        <v/>
      </c>
      <c r="AD801" t="str">
        <f>IFERROR(ROUND(O801*VLOOKUP(N801,[1]note_pop_types!$A$16:$E$16,4,FALSE),0),"")</f>
        <v/>
      </c>
      <c r="AE801" t="str">
        <f>IFERROR(ROUND(Q801*VLOOKUP(P801,商品!$A$4:$B$60,2,FALSE),0),"")</f>
        <v/>
      </c>
      <c r="AF801" t="str">
        <f>IFERROR(ROUND(S801*VLOOKUP(R801,商品!$A$4:$B$60,2,FALSE),0),"")</f>
        <v/>
      </c>
    </row>
    <row r="802" spans="1:32" ht="19.05" customHeight="1" x14ac:dyDescent="0.25">
      <c r="A802" s="16" t="s">
        <v>539</v>
      </c>
      <c r="C802" s="16">
        <v>4</v>
      </c>
      <c r="T802" s="2">
        <f t="shared" si="48"/>
        <v>0</v>
      </c>
      <c r="U802" s="2">
        <f t="shared" si="49"/>
        <v>0</v>
      </c>
      <c r="V802" s="2">
        <f t="shared" si="50"/>
        <v>0</v>
      </c>
      <c r="W802" s="2">
        <f t="shared" si="51"/>
        <v>0</v>
      </c>
      <c r="Y802" t="str">
        <f>IFERROR(ROUND(E802*VLOOKUP(D802,商品!$A$4:$B$60,2,FALSE),0),"")</f>
        <v/>
      </c>
      <c r="Z802" t="str">
        <f>IFERROR(ROUND(G802*VLOOKUP(F802,商品!$A$4:$B$60,2,FALSE),0),"")</f>
        <v/>
      </c>
      <c r="AA802" t="str">
        <f>IFERROR(ROUND(I802*VLOOKUP(H802,商品!$A$4:$B$60,2,FALSE),0),"")</f>
        <v/>
      </c>
      <c r="AB802" t="str">
        <f>IFERROR(ROUND(K802*VLOOKUP(J802,[1]note_pop_types!$A$16:$E$16,4,FALSE),0),"")</f>
        <v/>
      </c>
      <c r="AC802" t="str">
        <f>IFERROR(ROUND(M802*VLOOKUP(L802,[1]note_pop_types!$A$16:$E$16,4,FALSE),0),"")</f>
        <v/>
      </c>
      <c r="AD802" t="str">
        <f>IFERROR(ROUND(O802*VLOOKUP(N802,[1]note_pop_types!$A$16:$E$16,4,FALSE),0),"")</f>
        <v/>
      </c>
      <c r="AE802" t="str">
        <f>IFERROR(ROUND(Q802*VLOOKUP(P802,商品!$A$4:$B$60,2,FALSE),0),"")</f>
        <v/>
      </c>
      <c r="AF802" t="str">
        <f>IFERROR(ROUND(S802*VLOOKUP(R802,商品!$A$4:$B$60,2,FALSE),0),"")</f>
        <v/>
      </c>
    </row>
    <row r="803" spans="1:32" ht="19.05" customHeight="1" x14ac:dyDescent="0.25">
      <c r="A803" s="16" t="s">
        <v>539</v>
      </c>
      <c r="C803" s="16">
        <v>5</v>
      </c>
      <c r="T803" s="2">
        <f t="shared" si="48"/>
        <v>0</v>
      </c>
      <c r="U803" s="2">
        <f t="shared" si="49"/>
        <v>0</v>
      </c>
      <c r="V803" s="2">
        <f t="shared" si="50"/>
        <v>0</v>
      </c>
      <c r="W803" s="2">
        <f t="shared" si="51"/>
        <v>0</v>
      </c>
      <c r="Y803" t="str">
        <f>IFERROR(ROUND(E803*VLOOKUP(D803,商品!$A$4:$B$60,2,FALSE),0),"")</f>
        <v/>
      </c>
      <c r="Z803" t="str">
        <f>IFERROR(ROUND(G803*VLOOKUP(F803,商品!$A$4:$B$60,2,FALSE),0),"")</f>
        <v/>
      </c>
      <c r="AA803" t="str">
        <f>IFERROR(ROUND(I803*VLOOKUP(H803,商品!$A$4:$B$60,2,FALSE),0),"")</f>
        <v/>
      </c>
      <c r="AB803" t="str">
        <f>IFERROR(ROUND(K803*VLOOKUP(J803,[1]note_pop_types!$A$16:$E$16,4,FALSE),0),"")</f>
        <v/>
      </c>
      <c r="AC803" t="str">
        <f>IFERROR(ROUND(M803*VLOOKUP(L803,[1]note_pop_types!$A$16:$E$16,4,FALSE),0),"")</f>
        <v/>
      </c>
      <c r="AD803" t="str">
        <f>IFERROR(ROUND(O803*VLOOKUP(N803,[1]note_pop_types!$A$16:$E$16,4,FALSE),0),"")</f>
        <v/>
      </c>
      <c r="AE803" t="str">
        <f>IFERROR(ROUND(Q803*VLOOKUP(P803,商品!$A$4:$B$60,2,FALSE),0),"")</f>
        <v/>
      </c>
      <c r="AF803" t="str">
        <f>IFERROR(ROUND(S803*VLOOKUP(R803,商品!$A$4:$B$60,2,FALSE),0),"")</f>
        <v/>
      </c>
    </row>
    <row r="804" spans="1:32" ht="19.05" customHeight="1" x14ac:dyDescent="0.25">
      <c r="A804" s="15" t="s">
        <v>539</v>
      </c>
      <c r="C804" s="15">
        <v>1</v>
      </c>
      <c r="T804" s="2">
        <f t="shared" si="48"/>
        <v>0</v>
      </c>
      <c r="U804" s="2">
        <f t="shared" si="49"/>
        <v>0</v>
      </c>
      <c r="V804" s="2">
        <f t="shared" si="50"/>
        <v>0</v>
      </c>
      <c r="W804" s="2">
        <f t="shared" si="51"/>
        <v>0</v>
      </c>
      <c r="Y804" t="str">
        <f>IFERROR(ROUND(E804*VLOOKUP(D804,商品!$A$4:$B$60,2,FALSE),0),"")</f>
        <v/>
      </c>
      <c r="Z804" t="str">
        <f>IFERROR(ROUND(G804*VLOOKUP(F804,商品!$A$4:$B$60,2,FALSE),0),"")</f>
        <v/>
      </c>
      <c r="AA804" t="str">
        <f>IFERROR(ROUND(I804*VLOOKUP(H804,商品!$A$4:$B$60,2,FALSE),0),"")</f>
        <v/>
      </c>
      <c r="AB804" t="str">
        <f>IFERROR(ROUND(K804*VLOOKUP(J804,[1]note_pop_types!$A$16:$E$16,4,FALSE),0),"")</f>
        <v/>
      </c>
      <c r="AC804" t="str">
        <f>IFERROR(ROUND(M804*VLOOKUP(L804,[1]note_pop_types!$A$16:$E$16,4,FALSE),0),"")</f>
        <v/>
      </c>
      <c r="AD804" t="str">
        <f>IFERROR(ROUND(O804*VLOOKUP(N804,[1]note_pop_types!$A$16:$E$16,4,FALSE),0),"")</f>
        <v/>
      </c>
      <c r="AE804" t="str">
        <f>IFERROR(ROUND(Q804*VLOOKUP(P804,商品!$A$4:$B$60,2,FALSE),0),"")</f>
        <v/>
      </c>
      <c r="AF804" t="str">
        <f>IFERROR(ROUND(S804*VLOOKUP(R804,商品!$A$4:$B$60,2,FALSE),0),"")</f>
        <v/>
      </c>
    </row>
    <row r="805" spans="1:32" ht="19.05" customHeight="1" x14ac:dyDescent="0.25">
      <c r="A805" s="15" t="s">
        <v>539</v>
      </c>
      <c r="C805" s="15">
        <v>2</v>
      </c>
      <c r="T805" s="2">
        <f t="shared" si="48"/>
        <v>0</v>
      </c>
      <c r="U805" s="2">
        <f t="shared" si="49"/>
        <v>0</v>
      </c>
      <c r="V805" s="2">
        <f t="shared" si="50"/>
        <v>0</v>
      </c>
      <c r="W805" s="2">
        <f t="shared" si="51"/>
        <v>0</v>
      </c>
      <c r="Y805" t="str">
        <f>IFERROR(ROUND(E805*VLOOKUP(D805,商品!$A$4:$B$60,2,FALSE),0),"")</f>
        <v/>
      </c>
      <c r="Z805" t="str">
        <f>IFERROR(ROUND(G805*VLOOKUP(F805,商品!$A$4:$B$60,2,FALSE),0),"")</f>
        <v/>
      </c>
      <c r="AA805" t="str">
        <f>IFERROR(ROUND(I805*VLOOKUP(H805,商品!$A$4:$B$60,2,FALSE),0),"")</f>
        <v/>
      </c>
      <c r="AB805" t="str">
        <f>IFERROR(ROUND(K805*VLOOKUP(J805,[1]note_pop_types!$A$16:$E$16,4,FALSE),0),"")</f>
        <v/>
      </c>
      <c r="AC805" t="str">
        <f>IFERROR(ROUND(M805*VLOOKUP(L805,[1]note_pop_types!$A$16:$E$16,4,FALSE),0),"")</f>
        <v/>
      </c>
      <c r="AD805" t="str">
        <f>IFERROR(ROUND(O805*VLOOKUP(N805,[1]note_pop_types!$A$16:$E$16,4,FALSE),0),"")</f>
        <v/>
      </c>
      <c r="AE805" t="str">
        <f>IFERROR(ROUND(Q805*VLOOKUP(P805,商品!$A$4:$B$60,2,FALSE),0),"")</f>
        <v/>
      </c>
      <c r="AF805" t="str">
        <f>IFERROR(ROUND(S805*VLOOKUP(R805,商品!$A$4:$B$60,2,FALSE),0),"")</f>
        <v/>
      </c>
    </row>
    <row r="806" spans="1:32" ht="19.05" customHeight="1" x14ac:dyDescent="0.25">
      <c r="A806" s="15" t="s">
        <v>539</v>
      </c>
      <c r="C806" s="15">
        <v>3</v>
      </c>
      <c r="T806" s="2">
        <f t="shared" si="48"/>
        <v>0</v>
      </c>
      <c r="U806" s="2">
        <f t="shared" si="49"/>
        <v>0</v>
      </c>
      <c r="V806" s="2">
        <f t="shared" si="50"/>
        <v>0</v>
      </c>
      <c r="W806" s="2">
        <f t="shared" si="51"/>
        <v>0</v>
      </c>
      <c r="Y806" t="str">
        <f>IFERROR(ROUND(E806*VLOOKUP(D806,商品!$A$4:$B$60,2,FALSE),0),"")</f>
        <v/>
      </c>
      <c r="Z806" t="str">
        <f>IFERROR(ROUND(G806*VLOOKUP(F806,商品!$A$4:$B$60,2,FALSE),0),"")</f>
        <v/>
      </c>
      <c r="AA806" t="str">
        <f>IFERROR(ROUND(I806*VLOOKUP(H806,商品!$A$4:$B$60,2,FALSE),0),"")</f>
        <v/>
      </c>
      <c r="AB806" t="str">
        <f>IFERROR(ROUND(K806*VLOOKUP(J806,[1]note_pop_types!$A$16:$E$16,4,FALSE),0),"")</f>
        <v/>
      </c>
      <c r="AC806" t="str">
        <f>IFERROR(ROUND(M806*VLOOKUP(L806,[1]note_pop_types!$A$16:$E$16,4,FALSE),0),"")</f>
        <v/>
      </c>
      <c r="AD806" t="str">
        <f>IFERROR(ROUND(O806*VLOOKUP(N806,[1]note_pop_types!$A$16:$E$16,4,FALSE),0),"")</f>
        <v/>
      </c>
      <c r="AE806" t="str">
        <f>IFERROR(ROUND(Q806*VLOOKUP(P806,商品!$A$4:$B$60,2,FALSE),0),"")</f>
        <v/>
      </c>
      <c r="AF806" t="str">
        <f>IFERROR(ROUND(S806*VLOOKUP(R806,商品!$A$4:$B$60,2,FALSE),0),"")</f>
        <v/>
      </c>
    </row>
    <row r="807" spans="1:32" ht="19.05" customHeight="1" x14ac:dyDescent="0.25">
      <c r="A807" s="15" t="s">
        <v>539</v>
      </c>
      <c r="C807" s="15">
        <v>4</v>
      </c>
      <c r="T807" s="2">
        <f t="shared" si="48"/>
        <v>0</v>
      </c>
      <c r="U807" s="2">
        <f t="shared" si="49"/>
        <v>0</v>
      </c>
      <c r="V807" s="2">
        <f t="shared" si="50"/>
        <v>0</v>
      </c>
      <c r="W807" s="2">
        <f t="shared" si="51"/>
        <v>0</v>
      </c>
      <c r="Y807" t="str">
        <f>IFERROR(ROUND(E807*VLOOKUP(D807,商品!$A$4:$B$60,2,FALSE),0),"")</f>
        <v/>
      </c>
      <c r="Z807" t="str">
        <f>IFERROR(ROUND(G807*VLOOKUP(F807,商品!$A$4:$B$60,2,FALSE),0),"")</f>
        <v/>
      </c>
      <c r="AA807" t="str">
        <f>IFERROR(ROUND(I807*VLOOKUP(H807,商品!$A$4:$B$60,2,FALSE),0),"")</f>
        <v/>
      </c>
      <c r="AB807" t="str">
        <f>IFERROR(ROUND(K807*VLOOKUP(J807,[1]note_pop_types!$A$16:$E$16,4,FALSE),0),"")</f>
        <v/>
      </c>
      <c r="AC807" t="str">
        <f>IFERROR(ROUND(M807*VLOOKUP(L807,[1]note_pop_types!$A$16:$E$16,4,FALSE),0),"")</f>
        <v/>
      </c>
      <c r="AD807" t="str">
        <f>IFERROR(ROUND(O807*VLOOKUP(N807,[1]note_pop_types!$A$16:$E$16,4,FALSE),0),"")</f>
        <v/>
      </c>
      <c r="AE807" t="str">
        <f>IFERROR(ROUND(Q807*VLOOKUP(P807,商品!$A$4:$B$60,2,FALSE),0),"")</f>
        <v/>
      </c>
      <c r="AF807" t="str">
        <f>IFERROR(ROUND(S807*VLOOKUP(R807,商品!$A$4:$B$60,2,FALSE),0),"")</f>
        <v/>
      </c>
    </row>
    <row r="808" spans="1:32" ht="19.05" customHeight="1" x14ac:dyDescent="0.25">
      <c r="A808" s="15" t="s">
        <v>539</v>
      </c>
      <c r="C808" s="15">
        <v>5</v>
      </c>
      <c r="T808" s="2">
        <f t="shared" si="48"/>
        <v>0</v>
      </c>
      <c r="U808" s="2">
        <f t="shared" si="49"/>
        <v>0</v>
      </c>
      <c r="V808" s="2">
        <f t="shared" si="50"/>
        <v>0</v>
      </c>
      <c r="W808" s="2">
        <f t="shared" si="51"/>
        <v>0</v>
      </c>
      <c r="Y808" t="str">
        <f>IFERROR(ROUND(E808*VLOOKUP(D808,商品!$A$4:$B$60,2,FALSE),0),"")</f>
        <v/>
      </c>
      <c r="Z808" t="str">
        <f>IFERROR(ROUND(G808*VLOOKUP(F808,商品!$A$4:$B$60,2,FALSE),0),"")</f>
        <v/>
      </c>
      <c r="AA808" t="str">
        <f>IFERROR(ROUND(I808*VLOOKUP(H808,商品!$A$4:$B$60,2,FALSE),0),"")</f>
        <v/>
      </c>
      <c r="AB808" t="str">
        <f>IFERROR(ROUND(K808*VLOOKUP(J808,[1]note_pop_types!$A$16:$E$16,4,FALSE),0),"")</f>
        <v/>
      </c>
      <c r="AC808" t="str">
        <f>IFERROR(ROUND(M808*VLOOKUP(L808,[1]note_pop_types!$A$16:$E$16,4,FALSE),0),"")</f>
        <v/>
      </c>
      <c r="AD808" t="str">
        <f>IFERROR(ROUND(O808*VLOOKUP(N808,[1]note_pop_types!$A$16:$E$16,4,FALSE),0),"")</f>
        <v/>
      </c>
      <c r="AE808" t="str">
        <f>IFERROR(ROUND(Q808*VLOOKUP(P808,商品!$A$4:$B$60,2,FALSE),0),"")</f>
        <v/>
      </c>
      <c r="AF808" t="str">
        <f>IFERROR(ROUND(S808*VLOOKUP(R808,商品!$A$4:$B$60,2,FALSE),0),"")</f>
        <v/>
      </c>
    </row>
    <row r="809" spans="1:32" ht="19.05" customHeight="1" x14ac:dyDescent="0.25">
      <c r="A809" s="16" t="s">
        <v>351</v>
      </c>
      <c r="C809" s="16">
        <v>1</v>
      </c>
      <c r="T809" s="2">
        <f t="shared" si="48"/>
        <v>0</v>
      </c>
      <c r="U809" s="2">
        <f t="shared" si="49"/>
        <v>0</v>
      </c>
      <c r="V809" s="2">
        <f t="shared" si="50"/>
        <v>0</v>
      </c>
      <c r="W809" s="2">
        <f t="shared" si="51"/>
        <v>0</v>
      </c>
      <c r="Y809" t="str">
        <f>IFERROR(ROUND(E809*VLOOKUP(D809,商品!$A$4:$B$60,2,FALSE),0),"")</f>
        <v/>
      </c>
      <c r="Z809" t="str">
        <f>IFERROR(ROUND(G809*VLOOKUP(F809,商品!$A$4:$B$60,2,FALSE),0),"")</f>
        <v/>
      </c>
      <c r="AA809" t="str">
        <f>IFERROR(ROUND(I809*VLOOKUP(H809,商品!$A$4:$B$60,2,FALSE),0),"")</f>
        <v/>
      </c>
      <c r="AB809" t="str">
        <f>IFERROR(ROUND(K809*VLOOKUP(J809,[1]note_pop_types!$A$16:$E$16,4,FALSE),0),"")</f>
        <v/>
      </c>
      <c r="AC809" t="str">
        <f>IFERROR(ROUND(M809*VLOOKUP(L809,[1]note_pop_types!$A$16:$E$16,4,FALSE),0),"")</f>
        <v/>
      </c>
      <c r="AD809" t="str">
        <f>IFERROR(ROUND(O809*VLOOKUP(N809,[1]note_pop_types!$A$16:$E$16,4,FALSE),0),"")</f>
        <v/>
      </c>
      <c r="AE809" t="str">
        <f>IFERROR(ROUND(Q809*VLOOKUP(P809,商品!$A$4:$B$60,2,FALSE),0),"")</f>
        <v/>
      </c>
      <c r="AF809" t="str">
        <f>IFERROR(ROUND(S809*VLOOKUP(R809,商品!$A$4:$B$60,2,FALSE),0),"")</f>
        <v/>
      </c>
    </row>
    <row r="810" spans="1:32" ht="19.05" customHeight="1" x14ac:dyDescent="0.25">
      <c r="A810" s="16" t="s">
        <v>351</v>
      </c>
      <c r="C810" s="16">
        <v>2</v>
      </c>
      <c r="T810" s="2">
        <f t="shared" si="48"/>
        <v>0</v>
      </c>
      <c r="U810" s="2">
        <f t="shared" si="49"/>
        <v>0</v>
      </c>
      <c r="V810" s="2">
        <f t="shared" si="50"/>
        <v>0</v>
      </c>
      <c r="W810" s="2">
        <f t="shared" si="51"/>
        <v>0</v>
      </c>
      <c r="Y810" t="str">
        <f>IFERROR(ROUND(E810*VLOOKUP(D810,商品!$A$4:$B$60,2,FALSE),0),"")</f>
        <v/>
      </c>
      <c r="Z810" t="str">
        <f>IFERROR(ROUND(G810*VLOOKUP(F810,商品!$A$4:$B$60,2,FALSE),0),"")</f>
        <v/>
      </c>
      <c r="AA810" t="str">
        <f>IFERROR(ROUND(I810*VLOOKUP(H810,商品!$A$4:$B$60,2,FALSE),0),"")</f>
        <v/>
      </c>
      <c r="AB810" t="str">
        <f>IFERROR(ROUND(K810*VLOOKUP(J810,[1]note_pop_types!$A$16:$E$16,4,FALSE),0),"")</f>
        <v/>
      </c>
      <c r="AC810" t="str">
        <f>IFERROR(ROUND(M810*VLOOKUP(L810,[1]note_pop_types!$A$16:$E$16,4,FALSE),0),"")</f>
        <v/>
      </c>
      <c r="AD810" t="str">
        <f>IFERROR(ROUND(O810*VLOOKUP(N810,[1]note_pop_types!$A$16:$E$16,4,FALSE),0),"")</f>
        <v/>
      </c>
      <c r="AE810" t="str">
        <f>IFERROR(ROUND(Q810*VLOOKUP(P810,商品!$A$4:$B$60,2,FALSE),0),"")</f>
        <v/>
      </c>
      <c r="AF810" t="str">
        <f>IFERROR(ROUND(S810*VLOOKUP(R810,商品!$A$4:$B$60,2,FALSE),0),"")</f>
        <v/>
      </c>
    </row>
    <row r="811" spans="1:32" ht="19.05" customHeight="1" x14ac:dyDescent="0.25">
      <c r="A811" s="16" t="s">
        <v>351</v>
      </c>
      <c r="C811" s="16">
        <v>3</v>
      </c>
      <c r="T811" s="2">
        <f t="shared" si="48"/>
        <v>0</v>
      </c>
      <c r="U811" s="2">
        <f t="shared" si="49"/>
        <v>0</v>
      </c>
      <c r="V811" s="2">
        <f t="shared" si="50"/>
        <v>0</v>
      </c>
      <c r="W811" s="2">
        <f t="shared" si="51"/>
        <v>0</v>
      </c>
      <c r="Y811" t="str">
        <f>IFERROR(ROUND(E811*VLOOKUP(D811,商品!$A$4:$B$60,2,FALSE),0),"")</f>
        <v/>
      </c>
      <c r="Z811" t="str">
        <f>IFERROR(ROUND(G811*VLOOKUP(F811,商品!$A$4:$B$60,2,FALSE),0),"")</f>
        <v/>
      </c>
      <c r="AA811" t="str">
        <f>IFERROR(ROUND(I811*VLOOKUP(H811,商品!$A$4:$B$60,2,FALSE),0),"")</f>
        <v/>
      </c>
      <c r="AB811" t="str">
        <f>IFERROR(ROUND(K811*VLOOKUP(J811,[1]note_pop_types!$A$16:$E$16,4,FALSE),0),"")</f>
        <v/>
      </c>
      <c r="AC811" t="str">
        <f>IFERROR(ROUND(M811*VLOOKUP(L811,[1]note_pop_types!$A$16:$E$16,4,FALSE),0),"")</f>
        <v/>
      </c>
      <c r="AD811" t="str">
        <f>IFERROR(ROUND(O811*VLOOKUP(N811,[1]note_pop_types!$A$16:$E$16,4,FALSE),0),"")</f>
        <v/>
      </c>
      <c r="AE811" t="str">
        <f>IFERROR(ROUND(Q811*VLOOKUP(P811,商品!$A$4:$B$60,2,FALSE),0),"")</f>
        <v/>
      </c>
      <c r="AF811" t="str">
        <f>IFERROR(ROUND(S811*VLOOKUP(R811,商品!$A$4:$B$60,2,FALSE),0),"")</f>
        <v/>
      </c>
    </row>
    <row r="812" spans="1:32" ht="19.05" customHeight="1" x14ac:dyDescent="0.25">
      <c r="A812" s="16" t="s">
        <v>351</v>
      </c>
      <c r="C812" s="16">
        <v>4</v>
      </c>
      <c r="T812" s="2">
        <f t="shared" si="48"/>
        <v>0</v>
      </c>
      <c r="U812" s="2">
        <f t="shared" si="49"/>
        <v>0</v>
      </c>
      <c r="V812" s="2">
        <f t="shared" si="50"/>
        <v>0</v>
      </c>
      <c r="W812" s="2">
        <f t="shared" si="51"/>
        <v>0</v>
      </c>
      <c r="Y812" t="str">
        <f>IFERROR(ROUND(E812*VLOOKUP(D812,商品!$A$4:$B$60,2,FALSE),0),"")</f>
        <v/>
      </c>
      <c r="Z812" t="str">
        <f>IFERROR(ROUND(G812*VLOOKUP(F812,商品!$A$4:$B$60,2,FALSE),0),"")</f>
        <v/>
      </c>
      <c r="AA812" t="str">
        <f>IFERROR(ROUND(I812*VLOOKUP(H812,商品!$A$4:$B$60,2,FALSE),0),"")</f>
        <v/>
      </c>
      <c r="AB812" t="str">
        <f>IFERROR(ROUND(K812*VLOOKUP(J812,[1]note_pop_types!$A$16:$E$16,4,FALSE),0),"")</f>
        <v/>
      </c>
      <c r="AC812" t="str">
        <f>IFERROR(ROUND(M812*VLOOKUP(L812,[1]note_pop_types!$A$16:$E$16,4,FALSE),0),"")</f>
        <v/>
      </c>
      <c r="AD812" t="str">
        <f>IFERROR(ROUND(O812*VLOOKUP(N812,[1]note_pop_types!$A$16:$E$16,4,FALSE),0),"")</f>
        <v/>
      </c>
      <c r="AE812" t="str">
        <f>IFERROR(ROUND(Q812*VLOOKUP(P812,商品!$A$4:$B$60,2,FALSE),0),"")</f>
        <v/>
      </c>
      <c r="AF812" t="str">
        <f>IFERROR(ROUND(S812*VLOOKUP(R812,商品!$A$4:$B$60,2,FALSE),0),"")</f>
        <v/>
      </c>
    </row>
    <row r="813" spans="1:32" ht="19.05" customHeight="1" x14ac:dyDescent="0.25">
      <c r="A813" s="16" t="s">
        <v>351</v>
      </c>
      <c r="C813" s="16">
        <v>5</v>
      </c>
      <c r="T813" s="2">
        <f t="shared" si="48"/>
        <v>0</v>
      </c>
      <c r="U813" s="2">
        <f t="shared" si="49"/>
        <v>0</v>
      </c>
      <c r="V813" s="2">
        <f t="shared" si="50"/>
        <v>0</v>
      </c>
      <c r="W813" s="2">
        <f t="shared" si="51"/>
        <v>0</v>
      </c>
      <c r="Y813" t="str">
        <f>IFERROR(ROUND(E813*VLOOKUP(D813,商品!$A$4:$B$60,2,FALSE),0),"")</f>
        <v/>
      </c>
      <c r="Z813" t="str">
        <f>IFERROR(ROUND(G813*VLOOKUP(F813,商品!$A$4:$B$60,2,FALSE),0),"")</f>
        <v/>
      </c>
      <c r="AA813" t="str">
        <f>IFERROR(ROUND(I813*VLOOKUP(H813,商品!$A$4:$B$60,2,FALSE),0),"")</f>
        <v/>
      </c>
      <c r="AB813" t="str">
        <f>IFERROR(ROUND(K813*VLOOKUP(J813,[1]note_pop_types!$A$16:$E$16,4,FALSE),0),"")</f>
        <v/>
      </c>
      <c r="AC813" t="str">
        <f>IFERROR(ROUND(M813*VLOOKUP(L813,[1]note_pop_types!$A$16:$E$16,4,FALSE),0),"")</f>
        <v/>
      </c>
      <c r="AD813" t="str">
        <f>IFERROR(ROUND(O813*VLOOKUP(N813,[1]note_pop_types!$A$16:$E$16,4,FALSE),0),"")</f>
        <v/>
      </c>
      <c r="AE813" t="str">
        <f>IFERROR(ROUND(Q813*VLOOKUP(P813,商品!$A$4:$B$60,2,FALSE),0),"")</f>
        <v/>
      </c>
      <c r="AF813" t="str">
        <f>IFERROR(ROUND(S813*VLOOKUP(R813,商品!$A$4:$B$60,2,FALSE),0),"")</f>
        <v/>
      </c>
    </row>
    <row r="814" spans="1:32" ht="19.05" customHeight="1" x14ac:dyDescent="0.25">
      <c r="A814" s="16" t="s">
        <v>351</v>
      </c>
      <c r="C814" s="16">
        <v>6</v>
      </c>
      <c r="T814" s="2">
        <f t="shared" si="48"/>
        <v>0</v>
      </c>
      <c r="U814" s="2">
        <f t="shared" si="49"/>
        <v>0</v>
      </c>
      <c r="V814" s="2">
        <f t="shared" si="50"/>
        <v>0</v>
      </c>
      <c r="W814" s="2">
        <f t="shared" si="51"/>
        <v>0</v>
      </c>
      <c r="Y814" t="str">
        <f>IFERROR(ROUND(E814*VLOOKUP(D814,商品!$A$4:$B$60,2,FALSE),0),"")</f>
        <v/>
      </c>
      <c r="Z814" t="str">
        <f>IFERROR(ROUND(G814*VLOOKUP(F814,商品!$A$4:$B$60,2,FALSE),0),"")</f>
        <v/>
      </c>
      <c r="AA814" t="str">
        <f>IFERROR(ROUND(I814*VLOOKUP(H814,商品!$A$4:$B$60,2,FALSE),0),"")</f>
        <v/>
      </c>
      <c r="AB814" t="str">
        <f>IFERROR(ROUND(K814*VLOOKUP(J814,[1]note_pop_types!$A$16:$E$16,4,FALSE),0),"")</f>
        <v/>
      </c>
      <c r="AC814" t="str">
        <f>IFERROR(ROUND(M814*VLOOKUP(L814,[1]note_pop_types!$A$16:$E$16,4,FALSE),0),"")</f>
        <v/>
      </c>
      <c r="AD814" t="str">
        <f>IFERROR(ROUND(O814*VLOOKUP(N814,[1]note_pop_types!$A$16:$E$16,4,FALSE),0),"")</f>
        <v/>
      </c>
      <c r="AE814" t="str">
        <f>IFERROR(ROUND(Q814*VLOOKUP(P814,商品!$A$4:$B$60,2,FALSE),0),"")</f>
        <v/>
      </c>
      <c r="AF814" t="str">
        <f>IFERROR(ROUND(S814*VLOOKUP(R814,商品!$A$4:$B$60,2,FALSE),0),"")</f>
        <v/>
      </c>
    </row>
    <row r="815" spans="1:32" ht="19.05" customHeight="1" x14ac:dyDescent="0.25">
      <c r="A815" s="16" t="s">
        <v>351</v>
      </c>
      <c r="C815" s="16">
        <v>7</v>
      </c>
      <c r="T815" s="2">
        <f t="shared" si="48"/>
        <v>0</v>
      </c>
      <c r="U815" s="2">
        <f t="shared" si="49"/>
        <v>0</v>
      </c>
      <c r="V815" s="2">
        <f t="shared" si="50"/>
        <v>0</v>
      </c>
      <c r="W815" s="2">
        <f t="shared" si="51"/>
        <v>0</v>
      </c>
      <c r="Y815" t="str">
        <f>IFERROR(ROUND(E815*VLOOKUP(D815,商品!$A$4:$B$60,2,FALSE),0),"")</f>
        <v/>
      </c>
      <c r="Z815" t="str">
        <f>IFERROR(ROUND(G815*VLOOKUP(F815,商品!$A$4:$B$60,2,FALSE),0),"")</f>
        <v/>
      </c>
      <c r="AA815" t="str">
        <f>IFERROR(ROUND(I815*VLOOKUP(H815,商品!$A$4:$B$60,2,FALSE),0),"")</f>
        <v/>
      </c>
      <c r="AB815" t="str">
        <f>IFERROR(ROUND(K815*VLOOKUP(J815,[1]note_pop_types!$A$16:$E$16,4,FALSE),0),"")</f>
        <v/>
      </c>
      <c r="AC815" t="str">
        <f>IFERROR(ROUND(M815*VLOOKUP(L815,[1]note_pop_types!$A$16:$E$16,4,FALSE),0),"")</f>
        <v/>
      </c>
      <c r="AD815" t="str">
        <f>IFERROR(ROUND(O815*VLOOKUP(N815,[1]note_pop_types!$A$16:$E$16,4,FALSE),0),"")</f>
        <v/>
      </c>
      <c r="AE815" t="str">
        <f>IFERROR(ROUND(Q815*VLOOKUP(P815,商品!$A$4:$B$60,2,FALSE),0),"")</f>
        <v/>
      </c>
      <c r="AF815" t="str">
        <f>IFERROR(ROUND(S815*VLOOKUP(R815,商品!$A$4:$B$60,2,FALSE),0),"")</f>
        <v/>
      </c>
    </row>
    <row r="816" spans="1:32" ht="19.05" customHeight="1" x14ac:dyDescent="0.25">
      <c r="A816" s="16" t="s">
        <v>351</v>
      </c>
      <c r="C816" s="16">
        <v>8</v>
      </c>
      <c r="T816" s="2">
        <f t="shared" si="48"/>
        <v>0</v>
      </c>
      <c r="U816" s="2">
        <f t="shared" si="49"/>
        <v>0</v>
      </c>
      <c r="V816" s="2">
        <f t="shared" si="50"/>
        <v>0</v>
      </c>
      <c r="W816" s="2">
        <f t="shared" si="51"/>
        <v>0</v>
      </c>
      <c r="Y816" t="str">
        <f>IFERROR(ROUND(E816*VLOOKUP(D816,商品!$A$4:$B$60,2,FALSE),0),"")</f>
        <v/>
      </c>
      <c r="Z816" t="str">
        <f>IFERROR(ROUND(G816*VLOOKUP(F816,商品!$A$4:$B$60,2,FALSE),0),"")</f>
        <v/>
      </c>
      <c r="AA816" t="str">
        <f>IFERROR(ROUND(I816*VLOOKUP(H816,商品!$A$4:$B$60,2,FALSE),0),"")</f>
        <v/>
      </c>
      <c r="AB816" t="str">
        <f>IFERROR(ROUND(K816*VLOOKUP(J816,[1]note_pop_types!$A$16:$E$16,4,FALSE),0),"")</f>
        <v/>
      </c>
      <c r="AC816" t="str">
        <f>IFERROR(ROUND(M816*VLOOKUP(L816,[1]note_pop_types!$A$16:$E$16,4,FALSE),0),"")</f>
        <v/>
      </c>
      <c r="AD816" t="str">
        <f>IFERROR(ROUND(O816*VLOOKUP(N816,[1]note_pop_types!$A$16:$E$16,4,FALSE),0),"")</f>
        <v/>
      </c>
      <c r="AE816" t="str">
        <f>IFERROR(ROUND(Q816*VLOOKUP(P816,商品!$A$4:$B$60,2,FALSE),0),"")</f>
        <v/>
      </c>
      <c r="AF816" t="str">
        <f>IFERROR(ROUND(S816*VLOOKUP(R816,商品!$A$4:$B$60,2,FALSE),0),"")</f>
        <v/>
      </c>
    </row>
    <row r="817" spans="1:32" ht="19.05" customHeight="1" x14ac:dyDescent="0.25">
      <c r="A817" s="15" t="s">
        <v>353</v>
      </c>
      <c r="C817" s="15">
        <v>1</v>
      </c>
      <c r="T817" s="2">
        <f t="shared" si="48"/>
        <v>0</v>
      </c>
      <c r="U817" s="2">
        <f t="shared" si="49"/>
        <v>0</v>
      </c>
      <c r="V817" s="2">
        <f t="shared" si="50"/>
        <v>0</v>
      </c>
      <c r="W817" s="2">
        <f t="shared" si="51"/>
        <v>0</v>
      </c>
      <c r="Y817" t="str">
        <f>IFERROR(ROUND(E817*VLOOKUP(D817,商品!$A$4:$B$60,2,FALSE),0),"")</f>
        <v/>
      </c>
      <c r="Z817" t="str">
        <f>IFERROR(ROUND(G817*VLOOKUP(F817,商品!$A$4:$B$60,2,FALSE),0),"")</f>
        <v/>
      </c>
      <c r="AA817" t="str">
        <f>IFERROR(ROUND(I817*VLOOKUP(H817,商品!$A$4:$B$60,2,FALSE),0),"")</f>
        <v/>
      </c>
      <c r="AB817" t="str">
        <f>IFERROR(ROUND(K817*VLOOKUP(J817,[1]note_pop_types!$A$16:$E$16,4,FALSE),0),"")</f>
        <v/>
      </c>
      <c r="AC817" t="str">
        <f>IFERROR(ROUND(M817*VLOOKUP(L817,[1]note_pop_types!$A$16:$E$16,4,FALSE),0),"")</f>
        <v/>
      </c>
      <c r="AD817" t="str">
        <f>IFERROR(ROUND(O817*VLOOKUP(N817,[1]note_pop_types!$A$16:$E$16,4,FALSE),0),"")</f>
        <v/>
      </c>
      <c r="AE817" t="str">
        <f>IFERROR(ROUND(Q817*VLOOKUP(P817,商品!$A$4:$B$60,2,FALSE),0),"")</f>
        <v/>
      </c>
      <c r="AF817" t="str">
        <f>IFERROR(ROUND(S817*VLOOKUP(R817,商品!$A$4:$B$60,2,FALSE),0),"")</f>
        <v/>
      </c>
    </row>
    <row r="818" spans="1:32" ht="19.05" customHeight="1" x14ac:dyDescent="0.25">
      <c r="A818" s="15" t="s">
        <v>353</v>
      </c>
      <c r="C818" s="15">
        <v>2</v>
      </c>
      <c r="T818" s="2">
        <f t="shared" si="48"/>
        <v>0</v>
      </c>
      <c r="U818" s="2">
        <f t="shared" si="49"/>
        <v>0</v>
      </c>
      <c r="V818" s="2">
        <f t="shared" si="50"/>
        <v>0</v>
      </c>
      <c r="W818" s="2">
        <f t="shared" si="51"/>
        <v>0</v>
      </c>
      <c r="Y818" t="str">
        <f>IFERROR(ROUND(E818*VLOOKUP(D818,商品!$A$4:$B$60,2,FALSE),0),"")</f>
        <v/>
      </c>
      <c r="Z818" t="str">
        <f>IFERROR(ROUND(G818*VLOOKUP(F818,商品!$A$4:$B$60,2,FALSE),0),"")</f>
        <v/>
      </c>
      <c r="AA818" t="str">
        <f>IFERROR(ROUND(I818*VLOOKUP(H818,商品!$A$4:$B$60,2,FALSE),0),"")</f>
        <v/>
      </c>
      <c r="AB818" t="str">
        <f>IFERROR(ROUND(K818*VLOOKUP(J818,[1]note_pop_types!$A$16:$E$16,4,FALSE),0),"")</f>
        <v/>
      </c>
      <c r="AC818" t="str">
        <f>IFERROR(ROUND(M818*VLOOKUP(L818,[1]note_pop_types!$A$16:$E$16,4,FALSE),0),"")</f>
        <v/>
      </c>
      <c r="AD818" t="str">
        <f>IFERROR(ROUND(O818*VLOOKUP(N818,[1]note_pop_types!$A$16:$E$16,4,FALSE),0),"")</f>
        <v/>
      </c>
      <c r="AE818" t="str">
        <f>IFERROR(ROUND(Q818*VLOOKUP(P818,商品!$A$4:$B$60,2,FALSE),0),"")</f>
        <v/>
      </c>
      <c r="AF818" t="str">
        <f>IFERROR(ROUND(S818*VLOOKUP(R818,商品!$A$4:$B$60,2,FALSE),0),"")</f>
        <v/>
      </c>
    </row>
    <row r="819" spans="1:32" ht="19.05" customHeight="1" x14ac:dyDescent="0.25">
      <c r="A819" s="15" t="s">
        <v>353</v>
      </c>
      <c r="C819" s="15">
        <v>3</v>
      </c>
      <c r="T819" s="2">
        <f t="shared" si="48"/>
        <v>0</v>
      </c>
      <c r="U819" s="2">
        <f t="shared" si="49"/>
        <v>0</v>
      </c>
      <c r="V819" s="2">
        <f t="shared" si="50"/>
        <v>0</v>
      </c>
      <c r="W819" s="2">
        <f t="shared" si="51"/>
        <v>0</v>
      </c>
      <c r="Y819" t="str">
        <f>IFERROR(ROUND(E819*VLOOKUP(D819,商品!$A$4:$B$60,2,FALSE),0),"")</f>
        <v/>
      </c>
      <c r="Z819" t="str">
        <f>IFERROR(ROUND(G819*VLOOKUP(F819,商品!$A$4:$B$60,2,FALSE),0),"")</f>
        <v/>
      </c>
      <c r="AA819" t="str">
        <f>IFERROR(ROUND(I819*VLOOKUP(H819,商品!$A$4:$B$60,2,FALSE),0),"")</f>
        <v/>
      </c>
      <c r="AB819" t="str">
        <f>IFERROR(ROUND(K819*VLOOKUP(J819,[1]note_pop_types!$A$16:$E$16,4,FALSE),0),"")</f>
        <v/>
      </c>
      <c r="AC819" t="str">
        <f>IFERROR(ROUND(M819*VLOOKUP(L819,[1]note_pop_types!$A$16:$E$16,4,FALSE),0),"")</f>
        <v/>
      </c>
      <c r="AD819" t="str">
        <f>IFERROR(ROUND(O819*VLOOKUP(N819,[1]note_pop_types!$A$16:$E$16,4,FALSE),0),"")</f>
        <v/>
      </c>
      <c r="AE819" t="str">
        <f>IFERROR(ROUND(Q819*VLOOKUP(P819,商品!$A$4:$B$60,2,FALSE),0),"")</f>
        <v/>
      </c>
      <c r="AF819" t="str">
        <f>IFERROR(ROUND(S819*VLOOKUP(R819,商品!$A$4:$B$60,2,FALSE),0),"")</f>
        <v/>
      </c>
    </row>
    <row r="820" spans="1:32" ht="19.05" customHeight="1" x14ac:dyDescent="0.25">
      <c r="A820" s="15" t="s">
        <v>353</v>
      </c>
      <c r="C820" s="15">
        <v>4</v>
      </c>
      <c r="T820" s="2">
        <f t="shared" si="48"/>
        <v>0</v>
      </c>
      <c r="U820" s="2">
        <f t="shared" si="49"/>
        <v>0</v>
      </c>
      <c r="V820" s="2">
        <f t="shared" si="50"/>
        <v>0</v>
      </c>
      <c r="W820" s="2">
        <f t="shared" si="51"/>
        <v>0</v>
      </c>
      <c r="Y820" t="str">
        <f>IFERROR(ROUND(E820*VLOOKUP(D820,商品!$A$4:$B$60,2,FALSE),0),"")</f>
        <v/>
      </c>
      <c r="Z820" t="str">
        <f>IFERROR(ROUND(G820*VLOOKUP(F820,商品!$A$4:$B$60,2,FALSE),0),"")</f>
        <v/>
      </c>
      <c r="AA820" t="str">
        <f>IFERROR(ROUND(I820*VLOOKUP(H820,商品!$A$4:$B$60,2,FALSE),0),"")</f>
        <v/>
      </c>
      <c r="AB820" t="str">
        <f>IFERROR(ROUND(K820*VLOOKUP(J820,[1]note_pop_types!$A$16:$E$16,4,FALSE),0),"")</f>
        <v/>
      </c>
      <c r="AC820" t="str">
        <f>IFERROR(ROUND(M820*VLOOKUP(L820,[1]note_pop_types!$A$16:$E$16,4,FALSE),0),"")</f>
        <v/>
      </c>
      <c r="AD820" t="str">
        <f>IFERROR(ROUND(O820*VLOOKUP(N820,[1]note_pop_types!$A$16:$E$16,4,FALSE),0),"")</f>
        <v/>
      </c>
      <c r="AE820" t="str">
        <f>IFERROR(ROUND(Q820*VLOOKUP(P820,商品!$A$4:$B$60,2,FALSE),0),"")</f>
        <v/>
      </c>
      <c r="AF820" t="str">
        <f>IFERROR(ROUND(S820*VLOOKUP(R820,商品!$A$4:$B$60,2,FALSE),0),"")</f>
        <v/>
      </c>
    </row>
    <row r="821" spans="1:32" ht="19.05" customHeight="1" x14ac:dyDescent="0.25">
      <c r="A821" s="15" t="s">
        <v>353</v>
      </c>
      <c r="C821" s="15">
        <v>5</v>
      </c>
      <c r="T821" s="2">
        <f t="shared" si="48"/>
        <v>0</v>
      </c>
      <c r="U821" s="2">
        <f t="shared" si="49"/>
        <v>0</v>
      </c>
      <c r="V821" s="2">
        <f t="shared" si="50"/>
        <v>0</v>
      </c>
      <c r="W821" s="2">
        <f t="shared" si="51"/>
        <v>0</v>
      </c>
      <c r="Y821" t="str">
        <f>IFERROR(ROUND(E821*VLOOKUP(D821,商品!$A$4:$B$60,2,FALSE),0),"")</f>
        <v/>
      </c>
      <c r="Z821" t="str">
        <f>IFERROR(ROUND(G821*VLOOKUP(F821,商品!$A$4:$B$60,2,FALSE),0),"")</f>
        <v/>
      </c>
      <c r="AA821" t="str">
        <f>IFERROR(ROUND(I821*VLOOKUP(H821,商品!$A$4:$B$60,2,FALSE),0),"")</f>
        <v/>
      </c>
      <c r="AB821" t="str">
        <f>IFERROR(ROUND(K821*VLOOKUP(J821,[1]note_pop_types!$A$16:$E$16,4,FALSE),0),"")</f>
        <v/>
      </c>
      <c r="AC821" t="str">
        <f>IFERROR(ROUND(M821*VLOOKUP(L821,[1]note_pop_types!$A$16:$E$16,4,FALSE),0),"")</f>
        <v/>
      </c>
      <c r="AD821" t="str">
        <f>IFERROR(ROUND(O821*VLOOKUP(N821,[1]note_pop_types!$A$16:$E$16,4,FALSE),0),"")</f>
        <v/>
      </c>
      <c r="AE821" t="str">
        <f>IFERROR(ROUND(Q821*VLOOKUP(P821,商品!$A$4:$B$60,2,FALSE),0),"")</f>
        <v/>
      </c>
      <c r="AF821" t="str">
        <f>IFERROR(ROUND(S821*VLOOKUP(R821,商品!$A$4:$B$60,2,FALSE),0),"")</f>
        <v/>
      </c>
    </row>
    <row r="822" spans="1:32" ht="19.05" customHeight="1" x14ac:dyDescent="0.25">
      <c r="A822" s="16" t="s">
        <v>540</v>
      </c>
      <c r="C822" s="16">
        <v>1</v>
      </c>
      <c r="T822" s="2">
        <f t="shared" si="48"/>
        <v>0</v>
      </c>
      <c r="U822" s="2">
        <f t="shared" si="49"/>
        <v>0</v>
      </c>
      <c r="V822" s="2">
        <f t="shared" si="50"/>
        <v>0</v>
      </c>
      <c r="W822" s="2">
        <f t="shared" si="51"/>
        <v>0</v>
      </c>
      <c r="Y822" t="str">
        <f>IFERROR(ROUND(E822*VLOOKUP(D822,商品!$A$4:$B$60,2,FALSE),0),"")</f>
        <v/>
      </c>
      <c r="Z822" t="str">
        <f>IFERROR(ROUND(G822*VLOOKUP(F822,商品!$A$4:$B$60,2,FALSE),0),"")</f>
        <v/>
      </c>
      <c r="AA822" t="str">
        <f>IFERROR(ROUND(I822*VLOOKUP(H822,商品!$A$4:$B$60,2,FALSE),0),"")</f>
        <v/>
      </c>
      <c r="AB822" t="str">
        <f>IFERROR(ROUND(K822*VLOOKUP(J822,[1]note_pop_types!$A$16:$E$16,4,FALSE),0),"")</f>
        <v/>
      </c>
      <c r="AC822" t="str">
        <f>IFERROR(ROUND(M822*VLOOKUP(L822,[1]note_pop_types!$A$16:$E$16,4,FALSE),0),"")</f>
        <v/>
      </c>
      <c r="AD822" t="str">
        <f>IFERROR(ROUND(O822*VLOOKUP(N822,[1]note_pop_types!$A$16:$E$16,4,FALSE),0),"")</f>
        <v/>
      </c>
      <c r="AE822" t="str">
        <f>IFERROR(ROUND(Q822*VLOOKUP(P822,商品!$A$4:$B$60,2,FALSE),0),"")</f>
        <v/>
      </c>
      <c r="AF822" t="str">
        <f>IFERROR(ROUND(S822*VLOOKUP(R822,商品!$A$4:$B$60,2,FALSE),0),"")</f>
        <v/>
      </c>
    </row>
    <row r="823" spans="1:32" ht="19.05" customHeight="1" x14ac:dyDescent="0.25">
      <c r="A823" s="16" t="s">
        <v>540</v>
      </c>
      <c r="C823" s="16">
        <v>2</v>
      </c>
      <c r="T823" s="2">
        <f t="shared" si="48"/>
        <v>0</v>
      </c>
      <c r="U823" s="2">
        <f t="shared" si="49"/>
        <v>0</v>
      </c>
      <c r="V823" s="2">
        <f t="shared" si="50"/>
        <v>0</v>
      </c>
      <c r="W823" s="2">
        <f t="shared" si="51"/>
        <v>0</v>
      </c>
      <c r="Y823" t="str">
        <f>IFERROR(ROUND(E823*VLOOKUP(D823,商品!$A$4:$B$60,2,FALSE),0),"")</f>
        <v/>
      </c>
      <c r="Z823" t="str">
        <f>IFERROR(ROUND(G823*VLOOKUP(F823,商品!$A$4:$B$60,2,FALSE),0),"")</f>
        <v/>
      </c>
      <c r="AA823" t="str">
        <f>IFERROR(ROUND(I823*VLOOKUP(H823,商品!$A$4:$B$60,2,FALSE),0),"")</f>
        <v/>
      </c>
      <c r="AB823" t="str">
        <f>IFERROR(ROUND(K823*VLOOKUP(J823,[1]note_pop_types!$A$16:$E$16,4,FALSE),0),"")</f>
        <v/>
      </c>
      <c r="AC823" t="str">
        <f>IFERROR(ROUND(M823*VLOOKUP(L823,[1]note_pop_types!$A$16:$E$16,4,FALSE),0),"")</f>
        <v/>
      </c>
      <c r="AD823" t="str">
        <f>IFERROR(ROUND(O823*VLOOKUP(N823,[1]note_pop_types!$A$16:$E$16,4,FALSE),0),"")</f>
        <v/>
      </c>
      <c r="AE823" t="str">
        <f>IFERROR(ROUND(Q823*VLOOKUP(P823,商品!$A$4:$B$60,2,FALSE),0),"")</f>
        <v/>
      </c>
      <c r="AF823" t="str">
        <f>IFERROR(ROUND(S823*VLOOKUP(R823,商品!$A$4:$B$60,2,FALSE),0),"")</f>
        <v/>
      </c>
    </row>
    <row r="824" spans="1:32" ht="19.05" customHeight="1" x14ac:dyDescent="0.25">
      <c r="A824" s="16" t="s">
        <v>540</v>
      </c>
      <c r="C824" s="16">
        <v>3</v>
      </c>
      <c r="T824" s="2">
        <f t="shared" si="48"/>
        <v>0</v>
      </c>
      <c r="U824" s="2">
        <f t="shared" si="49"/>
        <v>0</v>
      </c>
      <c r="V824" s="2">
        <f t="shared" si="50"/>
        <v>0</v>
      </c>
      <c r="W824" s="2">
        <f t="shared" si="51"/>
        <v>0</v>
      </c>
      <c r="Y824" t="str">
        <f>IFERROR(ROUND(E824*VLOOKUP(D824,商品!$A$4:$B$60,2,FALSE),0),"")</f>
        <v/>
      </c>
      <c r="Z824" t="str">
        <f>IFERROR(ROUND(G824*VLOOKUP(F824,商品!$A$4:$B$60,2,FALSE),0),"")</f>
        <v/>
      </c>
      <c r="AA824" t="str">
        <f>IFERROR(ROUND(I824*VLOOKUP(H824,商品!$A$4:$B$60,2,FALSE),0),"")</f>
        <v/>
      </c>
      <c r="AB824" t="str">
        <f>IFERROR(ROUND(K824*VLOOKUP(J824,[1]note_pop_types!$A$16:$E$16,4,FALSE),0),"")</f>
        <v/>
      </c>
      <c r="AC824" t="str">
        <f>IFERROR(ROUND(M824*VLOOKUP(L824,[1]note_pop_types!$A$16:$E$16,4,FALSE),0),"")</f>
        <v/>
      </c>
      <c r="AD824" t="str">
        <f>IFERROR(ROUND(O824*VLOOKUP(N824,[1]note_pop_types!$A$16:$E$16,4,FALSE),0),"")</f>
        <v/>
      </c>
      <c r="AE824" t="str">
        <f>IFERROR(ROUND(Q824*VLOOKUP(P824,商品!$A$4:$B$60,2,FALSE),0),"")</f>
        <v/>
      </c>
      <c r="AF824" t="str">
        <f>IFERROR(ROUND(S824*VLOOKUP(R824,商品!$A$4:$B$60,2,FALSE),0),"")</f>
        <v/>
      </c>
    </row>
    <row r="825" spans="1:32" ht="19.05" customHeight="1" x14ac:dyDescent="0.25">
      <c r="A825" s="16" t="s">
        <v>540</v>
      </c>
      <c r="C825" s="16">
        <v>4</v>
      </c>
      <c r="T825" s="2">
        <f t="shared" si="48"/>
        <v>0</v>
      </c>
      <c r="U825" s="2">
        <f t="shared" si="49"/>
        <v>0</v>
      </c>
      <c r="V825" s="2">
        <f t="shared" si="50"/>
        <v>0</v>
      </c>
      <c r="W825" s="2">
        <f t="shared" si="51"/>
        <v>0</v>
      </c>
      <c r="Y825" t="str">
        <f>IFERROR(ROUND(E825*VLOOKUP(D825,商品!$A$4:$B$60,2,FALSE),0),"")</f>
        <v/>
      </c>
      <c r="Z825" t="str">
        <f>IFERROR(ROUND(G825*VLOOKUP(F825,商品!$A$4:$B$60,2,FALSE),0),"")</f>
        <v/>
      </c>
      <c r="AA825" t="str">
        <f>IFERROR(ROUND(I825*VLOOKUP(H825,商品!$A$4:$B$60,2,FALSE),0),"")</f>
        <v/>
      </c>
      <c r="AB825" t="str">
        <f>IFERROR(ROUND(K825*VLOOKUP(J825,[1]note_pop_types!$A$16:$E$16,4,FALSE),0),"")</f>
        <v/>
      </c>
      <c r="AC825" t="str">
        <f>IFERROR(ROUND(M825*VLOOKUP(L825,[1]note_pop_types!$A$16:$E$16,4,FALSE),0),"")</f>
        <v/>
      </c>
      <c r="AD825" t="str">
        <f>IFERROR(ROUND(O825*VLOOKUP(N825,[1]note_pop_types!$A$16:$E$16,4,FALSE),0),"")</f>
        <v/>
      </c>
      <c r="AE825" t="str">
        <f>IFERROR(ROUND(Q825*VLOOKUP(P825,商品!$A$4:$B$60,2,FALSE),0),"")</f>
        <v/>
      </c>
      <c r="AF825" t="str">
        <f>IFERROR(ROUND(S825*VLOOKUP(R825,商品!$A$4:$B$60,2,FALSE),0),"")</f>
        <v/>
      </c>
    </row>
    <row r="826" spans="1:32" ht="19.05" customHeight="1" x14ac:dyDescent="0.25">
      <c r="A826" s="16" t="s">
        <v>540</v>
      </c>
      <c r="C826" s="16">
        <v>5</v>
      </c>
      <c r="T826" s="2">
        <f t="shared" si="48"/>
        <v>0</v>
      </c>
      <c r="U826" s="2">
        <f t="shared" si="49"/>
        <v>0</v>
      </c>
      <c r="V826" s="2">
        <f t="shared" si="50"/>
        <v>0</v>
      </c>
      <c r="W826" s="2">
        <f t="shared" si="51"/>
        <v>0</v>
      </c>
      <c r="Y826" t="str">
        <f>IFERROR(ROUND(E826*VLOOKUP(D826,商品!$A$4:$B$60,2,FALSE),0),"")</f>
        <v/>
      </c>
      <c r="Z826" t="str">
        <f>IFERROR(ROUND(G826*VLOOKUP(F826,商品!$A$4:$B$60,2,FALSE),0),"")</f>
        <v/>
      </c>
      <c r="AA826" t="str">
        <f>IFERROR(ROUND(I826*VLOOKUP(H826,商品!$A$4:$B$60,2,FALSE),0),"")</f>
        <v/>
      </c>
      <c r="AB826" t="str">
        <f>IFERROR(ROUND(K826*VLOOKUP(J826,[1]note_pop_types!$A$16:$E$16,4,FALSE),0),"")</f>
        <v/>
      </c>
      <c r="AC826" t="str">
        <f>IFERROR(ROUND(M826*VLOOKUP(L826,[1]note_pop_types!$A$16:$E$16,4,FALSE),0),"")</f>
        <v/>
      </c>
      <c r="AD826" t="str">
        <f>IFERROR(ROUND(O826*VLOOKUP(N826,[1]note_pop_types!$A$16:$E$16,4,FALSE),0),"")</f>
        <v/>
      </c>
      <c r="AE826" t="str">
        <f>IFERROR(ROUND(Q826*VLOOKUP(P826,商品!$A$4:$B$60,2,FALSE),0),"")</f>
        <v/>
      </c>
      <c r="AF826" t="str">
        <f>IFERROR(ROUND(S826*VLOOKUP(R826,商品!$A$4:$B$60,2,FALSE),0),"")</f>
        <v/>
      </c>
    </row>
    <row r="827" spans="1:32" ht="19.05" customHeight="1" x14ac:dyDescent="0.25">
      <c r="A827" s="15" t="s">
        <v>540</v>
      </c>
      <c r="C827" s="15">
        <v>1</v>
      </c>
      <c r="T827" s="2">
        <f t="shared" si="48"/>
        <v>0</v>
      </c>
      <c r="U827" s="2">
        <f t="shared" si="49"/>
        <v>0</v>
      </c>
      <c r="V827" s="2">
        <f t="shared" si="50"/>
        <v>0</v>
      </c>
      <c r="W827" s="2">
        <f t="shared" si="51"/>
        <v>0</v>
      </c>
      <c r="Y827" t="str">
        <f>IFERROR(ROUND(E827*VLOOKUP(D827,商品!$A$4:$B$60,2,FALSE),0),"")</f>
        <v/>
      </c>
      <c r="Z827" t="str">
        <f>IFERROR(ROUND(G827*VLOOKUP(F827,商品!$A$4:$B$60,2,FALSE),0),"")</f>
        <v/>
      </c>
      <c r="AA827" t="str">
        <f>IFERROR(ROUND(I827*VLOOKUP(H827,商品!$A$4:$B$60,2,FALSE),0),"")</f>
        <v/>
      </c>
      <c r="AB827" t="str">
        <f>IFERROR(ROUND(K827*VLOOKUP(J827,[1]note_pop_types!$A$16:$E$16,4,FALSE),0),"")</f>
        <v/>
      </c>
      <c r="AC827" t="str">
        <f>IFERROR(ROUND(M827*VLOOKUP(L827,[1]note_pop_types!$A$16:$E$16,4,FALSE),0),"")</f>
        <v/>
      </c>
      <c r="AD827" t="str">
        <f>IFERROR(ROUND(O827*VLOOKUP(N827,[1]note_pop_types!$A$16:$E$16,4,FALSE),0),"")</f>
        <v/>
      </c>
      <c r="AE827" t="str">
        <f>IFERROR(ROUND(Q827*VLOOKUP(P827,商品!$A$4:$B$60,2,FALSE),0),"")</f>
        <v/>
      </c>
      <c r="AF827" t="str">
        <f>IFERROR(ROUND(S827*VLOOKUP(R827,商品!$A$4:$B$60,2,FALSE),0),"")</f>
        <v/>
      </c>
    </row>
    <row r="828" spans="1:32" ht="19.05" customHeight="1" x14ac:dyDescent="0.25">
      <c r="A828" s="15" t="s">
        <v>540</v>
      </c>
      <c r="C828" s="15">
        <v>2</v>
      </c>
      <c r="T828" s="2">
        <f t="shared" si="48"/>
        <v>0</v>
      </c>
      <c r="U828" s="2">
        <f t="shared" si="49"/>
        <v>0</v>
      </c>
      <c r="V828" s="2">
        <f t="shared" si="50"/>
        <v>0</v>
      </c>
      <c r="W828" s="2">
        <f t="shared" si="51"/>
        <v>0</v>
      </c>
      <c r="Y828" t="str">
        <f>IFERROR(ROUND(E828*VLOOKUP(D828,商品!$A$4:$B$60,2,FALSE),0),"")</f>
        <v/>
      </c>
      <c r="Z828" t="str">
        <f>IFERROR(ROUND(G828*VLOOKUP(F828,商品!$A$4:$B$60,2,FALSE),0),"")</f>
        <v/>
      </c>
      <c r="AA828" t="str">
        <f>IFERROR(ROUND(I828*VLOOKUP(H828,商品!$A$4:$B$60,2,FALSE),0),"")</f>
        <v/>
      </c>
      <c r="AB828" t="str">
        <f>IFERROR(ROUND(K828*VLOOKUP(J828,[1]note_pop_types!$A$16:$E$16,4,FALSE),0),"")</f>
        <v/>
      </c>
      <c r="AC828" t="str">
        <f>IFERROR(ROUND(M828*VLOOKUP(L828,[1]note_pop_types!$A$16:$E$16,4,FALSE),0),"")</f>
        <v/>
      </c>
      <c r="AD828" t="str">
        <f>IFERROR(ROUND(O828*VLOOKUP(N828,[1]note_pop_types!$A$16:$E$16,4,FALSE),0),"")</f>
        <v/>
      </c>
      <c r="AE828" t="str">
        <f>IFERROR(ROUND(Q828*VLOOKUP(P828,商品!$A$4:$B$60,2,FALSE),0),"")</f>
        <v/>
      </c>
      <c r="AF828" t="str">
        <f>IFERROR(ROUND(S828*VLOOKUP(R828,商品!$A$4:$B$60,2,FALSE),0),"")</f>
        <v/>
      </c>
    </row>
    <row r="829" spans="1:32" ht="19.05" customHeight="1" x14ac:dyDescent="0.25">
      <c r="A829" s="15" t="s">
        <v>540</v>
      </c>
      <c r="C829" s="15">
        <v>3</v>
      </c>
      <c r="T829" s="2">
        <f t="shared" si="48"/>
        <v>0</v>
      </c>
      <c r="U829" s="2">
        <f t="shared" si="49"/>
        <v>0</v>
      </c>
      <c r="V829" s="2">
        <f t="shared" si="50"/>
        <v>0</v>
      </c>
      <c r="W829" s="2">
        <f t="shared" si="51"/>
        <v>0</v>
      </c>
      <c r="Y829" t="str">
        <f>IFERROR(ROUND(E829*VLOOKUP(D829,商品!$A$4:$B$60,2,FALSE),0),"")</f>
        <v/>
      </c>
      <c r="Z829" t="str">
        <f>IFERROR(ROUND(G829*VLOOKUP(F829,商品!$A$4:$B$60,2,FALSE),0),"")</f>
        <v/>
      </c>
      <c r="AA829" t="str">
        <f>IFERROR(ROUND(I829*VLOOKUP(H829,商品!$A$4:$B$60,2,FALSE),0),"")</f>
        <v/>
      </c>
      <c r="AB829" t="str">
        <f>IFERROR(ROUND(K829*VLOOKUP(J829,[1]note_pop_types!$A$16:$E$16,4,FALSE),0),"")</f>
        <v/>
      </c>
      <c r="AC829" t="str">
        <f>IFERROR(ROUND(M829*VLOOKUP(L829,[1]note_pop_types!$A$16:$E$16,4,FALSE),0),"")</f>
        <v/>
      </c>
      <c r="AD829" t="str">
        <f>IFERROR(ROUND(O829*VLOOKUP(N829,[1]note_pop_types!$A$16:$E$16,4,FALSE),0),"")</f>
        <v/>
      </c>
      <c r="AE829" t="str">
        <f>IFERROR(ROUND(Q829*VLOOKUP(P829,商品!$A$4:$B$60,2,FALSE),0),"")</f>
        <v/>
      </c>
      <c r="AF829" t="str">
        <f>IFERROR(ROUND(S829*VLOOKUP(R829,商品!$A$4:$B$60,2,FALSE),0),"")</f>
        <v/>
      </c>
    </row>
    <row r="830" spans="1:32" ht="19.05" customHeight="1" x14ac:dyDescent="0.25">
      <c r="A830" s="15" t="s">
        <v>540</v>
      </c>
      <c r="C830" s="15">
        <v>4</v>
      </c>
      <c r="T830" s="2">
        <f t="shared" si="48"/>
        <v>0</v>
      </c>
      <c r="U830" s="2">
        <f t="shared" si="49"/>
        <v>0</v>
      </c>
      <c r="V830" s="2">
        <f t="shared" si="50"/>
        <v>0</v>
      </c>
      <c r="W830" s="2">
        <f t="shared" si="51"/>
        <v>0</v>
      </c>
      <c r="Y830" t="str">
        <f>IFERROR(ROUND(E830*VLOOKUP(D830,商品!$A$4:$B$60,2,FALSE),0),"")</f>
        <v/>
      </c>
      <c r="Z830" t="str">
        <f>IFERROR(ROUND(G830*VLOOKUP(F830,商品!$A$4:$B$60,2,FALSE),0),"")</f>
        <v/>
      </c>
      <c r="AA830" t="str">
        <f>IFERROR(ROUND(I830*VLOOKUP(H830,商品!$A$4:$B$60,2,FALSE),0),"")</f>
        <v/>
      </c>
      <c r="AB830" t="str">
        <f>IFERROR(ROUND(K830*VLOOKUP(J830,[1]note_pop_types!$A$16:$E$16,4,FALSE),0),"")</f>
        <v/>
      </c>
      <c r="AC830" t="str">
        <f>IFERROR(ROUND(M830*VLOOKUP(L830,[1]note_pop_types!$A$16:$E$16,4,FALSE),0),"")</f>
        <v/>
      </c>
      <c r="AD830" t="str">
        <f>IFERROR(ROUND(O830*VLOOKUP(N830,[1]note_pop_types!$A$16:$E$16,4,FALSE),0),"")</f>
        <v/>
      </c>
      <c r="AE830" t="str">
        <f>IFERROR(ROUND(Q830*VLOOKUP(P830,商品!$A$4:$B$60,2,FALSE),0),"")</f>
        <v/>
      </c>
      <c r="AF830" t="str">
        <f>IFERROR(ROUND(S830*VLOOKUP(R830,商品!$A$4:$B$60,2,FALSE),0),"")</f>
        <v/>
      </c>
    </row>
    <row r="831" spans="1:32" ht="19.05" customHeight="1" x14ac:dyDescent="0.25">
      <c r="A831" s="15" t="s">
        <v>540</v>
      </c>
      <c r="C831" s="15">
        <v>5</v>
      </c>
      <c r="T831" s="2">
        <f t="shared" si="48"/>
        <v>0</v>
      </c>
      <c r="U831" s="2">
        <f t="shared" si="49"/>
        <v>0</v>
      </c>
      <c r="V831" s="2">
        <f t="shared" si="50"/>
        <v>0</v>
      </c>
      <c r="W831" s="2">
        <f t="shared" si="51"/>
        <v>0</v>
      </c>
      <c r="Y831" t="str">
        <f>IFERROR(ROUND(E831*VLOOKUP(D831,商品!$A$4:$B$60,2,FALSE),0),"")</f>
        <v/>
      </c>
      <c r="Z831" t="str">
        <f>IFERROR(ROUND(G831*VLOOKUP(F831,商品!$A$4:$B$60,2,FALSE),0),"")</f>
        <v/>
      </c>
      <c r="AA831" t="str">
        <f>IFERROR(ROUND(I831*VLOOKUP(H831,商品!$A$4:$B$60,2,FALSE),0),"")</f>
        <v/>
      </c>
      <c r="AB831" t="str">
        <f>IFERROR(ROUND(K831*VLOOKUP(J831,[1]note_pop_types!$A$16:$E$16,4,FALSE),0),"")</f>
        <v/>
      </c>
      <c r="AC831" t="str">
        <f>IFERROR(ROUND(M831*VLOOKUP(L831,[1]note_pop_types!$A$16:$E$16,4,FALSE),0),"")</f>
        <v/>
      </c>
      <c r="AD831" t="str">
        <f>IFERROR(ROUND(O831*VLOOKUP(N831,[1]note_pop_types!$A$16:$E$16,4,FALSE),0),"")</f>
        <v/>
      </c>
      <c r="AE831" t="str">
        <f>IFERROR(ROUND(Q831*VLOOKUP(P831,商品!$A$4:$B$60,2,FALSE),0),"")</f>
        <v/>
      </c>
      <c r="AF831" t="str">
        <f>IFERROR(ROUND(S831*VLOOKUP(R831,商品!$A$4:$B$60,2,FALSE),0),"")</f>
        <v/>
      </c>
    </row>
    <row r="832" spans="1:32" ht="19.05" customHeight="1" x14ac:dyDescent="0.25">
      <c r="A832" s="16" t="s">
        <v>356</v>
      </c>
      <c r="C832" s="16">
        <v>1</v>
      </c>
      <c r="T832" s="2">
        <f t="shared" si="48"/>
        <v>0</v>
      </c>
      <c r="U832" s="2">
        <f t="shared" si="49"/>
        <v>0</v>
      </c>
      <c r="V832" s="2">
        <f t="shared" si="50"/>
        <v>0</v>
      </c>
      <c r="W832" s="2">
        <f t="shared" si="51"/>
        <v>0</v>
      </c>
      <c r="Y832" t="str">
        <f>IFERROR(ROUND(E832*VLOOKUP(D832,商品!$A$4:$B$60,2,FALSE),0),"")</f>
        <v/>
      </c>
      <c r="Z832" t="str">
        <f>IFERROR(ROUND(G832*VLOOKUP(F832,商品!$A$4:$B$60,2,FALSE),0),"")</f>
        <v/>
      </c>
      <c r="AA832" t="str">
        <f>IFERROR(ROUND(I832*VLOOKUP(H832,商品!$A$4:$B$60,2,FALSE),0),"")</f>
        <v/>
      </c>
      <c r="AB832" t="str">
        <f>IFERROR(ROUND(K832*VLOOKUP(J832,[1]note_pop_types!$A$16:$E$16,4,FALSE),0),"")</f>
        <v/>
      </c>
      <c r="AC832" t="str">
        <f>IFERROR(ROUND(M832*VLOOKUP(L832,[1]note_pop_types!$A$16:$E$16,4,FALSE),0),"")</f>
        <v/>
      </c>
      <c r="AD832" t="str">
        <f>IFERROR(ROUND(O832*VLOOKUP(N832,[1]note_pop_types!$A$16:$E$16,4,FALSE),0),"")</f>
        <v/>
      </c>
      <c r="AE832" t="str">
        <f>IFERROR(ROUND(Q832*VLOOKUP(P832,商品!$A$4:$B$60,2,FALSE),0),"")</f>
        <v/>
      </c>
      <c r="AF832" t="str">
        <f>IFERROR(ROUND(S832*VLOOKUP(R832,商品!$A$4:$B$60,2,FALSE),0),"")</f>
        <v/>
      </c>
    </row>
    <row r="833" spans="1:32" ht="19.05" customHeight="1" x14ac:dyDescent="0.25">
      <c r="A833" s="16" t="s">
        <v>356</v>
      </c>
      <c r="C833" s="16">
        <v>2</v>
      </c>
      <c r="T833" s="2">
        <f t="shared" si="48"/>
        <v>0</v>
      </c>
      <c r="U833" s="2">
        <f t="shared" si="49"/>
        <v>0</v>
      </c>
      <c r="V833" s="2">
        <f t="shared" si="50"/>
        <v>0</v>
      </c>
      <c r="W833" s="2">
        <f t="shared" si="51"/>
        <v>0</v>
      </c>
      <c r="Y833" t="str">
        <f>IFERROR(ROUND(E833*VLOOKUP(D833,商品!$A$4:$B$60,2,FALSE),0),"")</f>
        <v/>
      </c>
      <c r="Z833" t="str">
        <f>IFERROR(ROUND(G833*VLOOKUP(F833,商品!$A$4:$B$60,2,FALSE),0),"")</f>
        <v/>
      </c>
      <c r="AA833" t="str">
        <f>IFERROR(ROUND(I833*VLOOKUP(H833,商品!$A$4:$B$60,2,FALSE),0),"")</f>
        <v/>
      </c>
      <c r="AB833" t="str">
        <f>IFERROR(ROUND(K833*VLOOKUP(J833,[1]note_pop_types!$A$16:$E$16,4,FALSE),0),"")</f>
        <v/>
      </c>
      <c r="AC833" t="str">
        <f>IFERROR(ROUND(M833*VLOOKUP(L833,[1]note_pop_types!$A$16:$E$16,4,FALSE),0),"")</f>
        <v/>
      </c>
      <c r="AD833" t="str">
        <f>IFERROR(ROUND(O833*VLOOKUP(N833,[1]note_pop_types!$A$16:$E$16,4,FALSE),0),"")</f>
        <v/>
      </c>
      <c r="AE833" t="str">
        <f>IFERROR(ROUND(Q833*VLOOKUP(P833,商品!$A$4:$B$60,2,FALSE),0),"")</f>
        <v/>
      </c>
      <c r="AF833" t="str">
        <f>IFERROR(ROUND(S833*VLOOKUP(R833,商品!$A$4:$B$60,2,FALSE),0),"")</f>
        <v/>
      </c>
    </row>
    <row r="834" spans="1:32" ht="19.05" customHeight="1" x14ac:dyDescent="0.25">
      <c r="A834" s="16" t="s">
        <v>356</v>
      </c>
      <c r="C834" s="16">
        <v>3</v>
      </c>
      <c r="T834" s="2">
        <f t="shared" si="48"/>
        <v>0</v>
      </c>
      <c r="U834" s="2">
        <f t="shared" si="49"/>
        <v>0</v>
      </c>
      <c r="V834" s="2">
        <f t="shared" si="50"/>
        <v>0</v>
      </c>
      <c r="W834" s="2">
        <f t="shared" si="51"/>
        <v>0</v>
      </c>
      <c r="Y834" t="str">
        <f>IFERROR(ROUND(E834*VLOOKUP(D834,商品!$A$4:$B$60,2,FALSE),0),"")</f>
        <v/>
      </c>
      <c r="Z834" t="str">
        <f>IFERROR(ROUND(G834*VLOOKUP(F834,商品!$A$4:$B$60,2,FALSE),0),"")</f>
        <v/>
      </c>
      <c r="AA834" t="str">
        <f>IFERROR(ROUND(I834*VLOOKUP(H834,商品!$A$4:$B$60,2,FALSE),0),"")</f>
        <v/>
      </c>
      <c r="AB834" t="str">
        <f>IFERROR(ROUND(K834*VLOOKUP(J834,[1]note_pop_types!$A$16:$E$16,4,FALSE),0),"")</f>
        <v/>
      </c>
      <c r="AC834" t="str">
        <f>IFERROR(ROUND(M834*VLOOKUP(L834,[1]note_pop_types!$A$16:$E$16,4,FALSE),0),"")</f>
        <v/>
      </c>
      <c r="AD834" t="str">
        <f>IFERROR(ROUND(O834*VLOOKUP(N834,[1]note_pop_types!$A$16:$E$16,4,FALSE),0),"")</f>
        <v/>
      </c>
      <c r="AE834" t="str">
        <f>IFERROR(ROUND(Q834*VLOOKUP(P834,商品!$A$4:$B$60,2,FALSE),0),"")</f>
        <v/>
      </c>
      <c r="AF834" t="str">
        <f>IFERROR(ROUND(S834*VLOOKUP(R834,商品!$A$4:$B$60,2,FALSE),0),"")</f>
        <v/>
      </c>
    </row>
    <row r="835" spans="1:32" ht="19.05" customHeight="1" x14ac:dyDescent="0.25">
      <c r="A835" s="16" t="s">
        <v>356</v>
      </c>
      <c r="C835" s="16">
        <v>4</v>
      </c>
      <c r="T835" s="2">
        <f t="shared" si="48"/>
        <v>0</v>
      </c>
      <c r="U835" s="2">
        <f t="shared" si="49"/>
        <v>0</v>
      </c>
      <c r="V835" s="2">
        <f t="shared" si="50"/>
        <v>0</v>
      </c>
      <c r="W835" s="2">
        <f t="shared" si="51"/>
        <v>0</v>
      </c>
      <c r="Y835" t="str">
        <f>IFERROR(ROUND(E835*VLOOKUP(D835,商品!$A$4:$B$60,2,FALSE),0),"")</f>
        <v/>
      </c>
      <c r="Z835" t="str">
        <f>IFERROR(ROUND(G835*VLOOKUP(F835,商品!$A$4:$B$60,2,FALSE),0),"")</f>
        <v/>
      </c>
      <c r="AA835" t="str">
        <f>IFERROR(ROUND(I835*VLOOKUP(H835,商品!$A$4:$B$60,2,FALSE),0),"")</f>
        <v/>
      </c>
      <c r="AB835" t="str">
        <f>IFERROR(ROUND(K835*VLOOKUP(J835,[1]note_pop_types!$A$16:$E$16,4,FALSE),0),"")</f>
        <v/>
      </c>
      <c r="AC835" t="str">
        <f>IFERROR(ROUND(M835*VLOOKUP(L835,[1]note_pop_types!$A$16:$E$16,4,FALSE),0),"")</f>
        <v/>
      </c>
      <c r="AD835" t="str">
        <f>IFERROR(ROUND(O835*VLOOKUP(N835,[1]note_pop_types!$A$16:$E$16,4,FALSE),0),"")</f>
        <v/>
      </c>
      <c r="AE835" t="str">
        <f>IFERROR(ROUND(Q835*VLOOKUP(P835,商品!$A$4:$B$60,2,FALSE),0),"")</f>
        <v/>
      </c>
      <c r="AF835" t="str">
        <f>IFERROR(ROUND(S835*VLOOKUP(R835,商品!$A$4:$B$60,2,FALSE),0),"")</f>
        <v/>
      </c>
    </row>
    <row r="836" spans="1:32" ht="19.05" customHeight="1" x14ac:dyDescent="0.25">
      <c r="A836" s="16" t="s">
        <v>356</v>
      </c>
      <c r="C836" s="16">
        <v>5</v>
      </c>
      <c r="T836" s="2">
        <f t="shared" si="48"/>
        <v>0</v>
      </c>
      <c r="U836" s="2">
        <f t="shared" si="49"/>
        <v>0</v>
      </c>
      <c r="V836" s="2">
        <f t="shared" si="50"/>
        <v>0</v>
      </c>
      <c r="W836" s="2">
        <f t="shared" si="51"/>
        <v>0</v>
      </c>
      <c r="Y836" t="str">
        <f>IFERROR(ROUND(E836*VLOOKUP(D836,商品!$A$4:$B$60,2,FALSE),0),"")</f>
        <v/>
      </c>
      <c r="Z836" t="str">
        <f>IFERROR(ROUND(G836*VLOOKUP(F836,商品!$A$4:$B$60,2,FALSE),0),"")</f>
        <v/>
      </c>
      <c r="AA836" t="str">
        <f>IFERROR(ROUND(I836*VLOOKUP(H836,商品!$A$4:$B$60,2,FALSE),0),"")</f>
        <v/>
      </c>
      <c r="AB836" t="str">
        <f>IFERROR(ROUND(K836*VLOOKUP(J836,[1]note_pop_types!$A$16:$E$16,4,FALSE),0),"")</f>
        <v/>
      </c>
      <c r="AC836" t="str">
        <f>IFERROR(ROUND(M836*VLOOKUP(L836,[1]note_pop_types!$A$16:$E$16,4,FALSE),0),"")</f>
        <v/>
      </c>
      <c r="AD836" t="str">
        <f>IFERROR(ROUND(O836*VLOOKUP(N836,[1]note_pop_types!$A$16:$E$16,4,FALSE),0),"")</f>
        <v/>
      </c>
      <c r="AE836" t="str">
        <f>IFERROR(ROUND(Q836*VLOOKUP(P836,商品!$A$4:$B$60,2,FALSE),0),"")</f>
        <v/>
      </c>
      <c r="AF836" t="str">
        <f>IFERROR(ROUND(S836*VLOOKUP(R836,商品!$A$4:$B$60,2,FALSE),0),"")</f>
        <v/>
      </c>
    </row>
    <row r="837" spans="1:32" ht="19.05" customHeight="1" x14ac:dyDescent="0.25">
      <c r="A837" s="16" t="s">
        <v>356</v>
      </c>
      <c r="C837" s="16">
        <v>6</v>
      </c>
      <c r="T837" s="2">
        <f t="shared" si="48"/>
        <v>0</v>
      </c>
      <c r="U837" s="2">
        <f t="shared" si="49"/>
        <v>0</v>
      </c>
      <c r="V837" s="2">
        <f t="shared" si="50"/>
        <v>0</v>
      </c>
      <c r="W837" s="2">
        <f t="shared" si="51"/>
        <v>0</v>
      </c>
      <c r="Y837" t="str">
        <f>IFERROR(ROUND(E837*VLOOKUP(D837,商品!$A$4:$B$60,2,FALSE),0),"")</f>
        <v/>
      </c>
      <c r="Z837" t="str">
        <f>IFERROR(ROUND(G837*VLOOKUP(F837,商品!$A$4:$B$60,2,FALSE),0),"")</f>
        <v/>
      </c>
      <c r="AA837" t="str">
        <f>IFERROR(ROUND(I837*VLOOKUP(H837,商品!$A$4:$B$60,2,FALSE),0),"")</f>
        <v/>
      </c>
      <c r="AB837" t="str">
        <f>IFERROR(ROUND(K837*VLOOKUP(J837,[1]note_pop_types!$A$16:$E$16,4,FALSE),0),"")</f>
        <v/>
      </c>
      <c r="AC837" t="str">
        <f>IFERROR(ROUND(M837*VLOOKUP(L837,[1]note_pop_types!$A$16:$E$16,4,FALSE),0),"")</f>
        <v/>
      </c>
      <c r="AD837" t="str">
        <f>IFERROR(ROUND(O837*VLOOKUP(N837,[1]note_pop_types!$A$16:$E$16,4,FALSE),0),"")</f>
        <v/>
      </c>
      <c r="AE837" t="str">
        <f>IFERROR(ROUND(Q837*VLOOKUP(P837,商品!$A$4:$B$60,2,FALSE),0),"")</f>
        <v/>
      </c>
      <c r="AF837" t="str">
        <f>IFERROR(ROUND(S837*VLOOKUP(R837,商品!$A$4:$B$60,2,FALSE),0),"")</f>
        <v/>
      </c>
    </row>
    <row r="838" spans="1:32" ht="19.05" customHeight="1" x14ac:dyDescent="0.25">
      <c r="A838" s="16" t="s">
        <v>356</v>
      </c>
      <c r="C838" s="16">
        <v>7</v>
      </c>
      <c r="T838" s="2">
        <f t="shared" ref="T838:T901" si="52">SUM(Y838:AA838)</f>
        <v>0</v>
      </c>
      <c r="U838" s="2">
        <f t="shared" ref="U838:U901" si="53">SUM(AB838:AC838)</f>
        <v>0</v>
      </c>
      <c r="V838" s="2">
        <f t="shared" ref="V838:V901" si="54">SUM(AE838:AF838)</f>
        <v>0</v>
      </c>
      <c r="W838" s="2">
        <f t="shared" ref="W838:W901" si="55">V838-T838-U838</f>
        <v>0</v>
      </c>
      <c r="Y838" t="str">
        <f>IFERROR(ROUND(E838*VLOOKUP(D838,商品!$A$4:$B$60,2,FALSE),0),"")</f>
        <v/>
      </c>
      <c r="Z838" t="str">
        <f>IFERROR(ROUND(G838*VLOOKUP(F838,商品!$A$4:$B$60,2,FALSE),0),"")</f>
        <v/>
      </c>
      <c r="AA838" t="str">
        <f>IFERROR(ROUND(I838*VLOOKUP(H838,商品!$A$4:$B$60,2,FALSE),0),"")</f>
        <v/>
      </c>
      <c r="AB838" t="str">
        <f>IFERROR(ROUND(K838*VLOOKUP(J838,[1]note_pop_types!$A$16:$E$16,4,FALSE),0),"")</f>
        <v/>
      </c>
      <c r="AC838" t="str">
        <f>IFERROR(ROUND(M838*VLOOKUP(L838,[1]note_pop_types!$A$16:$E$16,4,FALSE),0),"")</f>
        <v/>
      </c>
      <c r="AD838" t="str">
        <f>IFERROR(ROUND(O838*VLOOKUP(N838,[1]note_pop_types!$A$16:$E$16,4,FALSE),0),"")</f>
        <v/>
      </c>
      <c r="AE838" t="str">
        <f>IFERROR(ROUND(Q838*VLOOKUP(P838,商品!$A$4:$B$60,2,FALSE),0),"")</f>
        <v/>
      </c>
      <c r="AF838" t="str">
        <f>IFERROR(ROUND(S838*VLOOKUP(R838,商品!$A$4:$B$60,2,FALSE),0),"")</f>
        <v/>
      </c>
    </row>
    <row r="839" spans="1:32" ht="19.05" customHeight="1" x14ac:dyDescent="0.25">
      <c r="A839" s="16" t="s">
        <v>356</v>
      </c>
      <c r="C839" s="16">
        <v>8</v>
      </c>
      <c r="T839" s="2">
        <f t="shared" si="52"/>
        <v>0</v>
      </c>
      <c r="U839" s="2">
        <f t="shared" si="53"/>
        <v>0</v>
      </c>
      <c r="V839" s="2">
        <f t="shared" si="54"/>
        <v>0</v>
      </c>
      <c r="W839" s="2">
        <f t="shared" si="55"/>
        <v>0</v>
      </c>
      <c r="Y839" t="str">
        <f>IFERROR(ROUND(E839*VLOOKUP(D839,商品!$A$4:$B$60,2,FALSE),0),"")</f>
        <v/>
      </c>
      <c r="Z839" t="str">
        <f>IFERROR(ROUND(G839*VLOOKUP(F839,商品!$A$4:$B$60,2,FALSE),0),"")</f>
        <v/>
      </c>
      <c r="AA839" t="str">
        <f>IFERROR(ROUND(I839*VLOOKUP(H839,商品!$A$4:$B$60,2,FALSE),0),"")</f>
        <v/>
      </c>
      <c r="AB839" t="str">
        <f>IFERROR(ROUND(K839*VLOOKUP(J839,[1]note_pop_types!$A$16:$E$16,4,FALSE),0),"")</f>
        <v/>
      </c>
      <c r="AC839" t="str">
        <f>IFERROR(ROUND(M839*VLOOKUP(L839,[1]note_pop_types!$A$16:$E$16,4,FALSE),0),"")</f>
        <v/>
      </c>
      <c r="AD839" t="str">
        <f>IFERROR(ROUND(O839*VLOOKUP(N839,[1]note_pop_types!$A$16:$E$16,4,FALSE),0),"")</f>
        <v/>
      </c>
      <c r="AE839" t="str">
        <f>IFERROR(ROUND(Q839*VLOOKUP(P839,商品!$A$4:$B$60,2,FALSE),0),"")</f>
        <v/>
      </c>
      <c r="AF839" t="str">
        <f>IFERROR(ROUND(S839*VLOOKUP(R839,商品!$A$4:$B$60,2,FALSE),0),"")</f>
        <v/>
      </c>
    </row>
    <row r="840" spans="1:32" ht="19.05" customHeight="1" x14ac:dyDescent="0.25">
      <c r="A840" s="15" t="s">
        <v>358</v>
      </c>
      <c r="C840" s="15">
        <v>1</v>
      </c>
      <c r="T840" s="2">
        <f t="shared" si="52"/>
        <v>0</v>
      </c>
      <c r="U840" s="2">
        <f t="shared" si="53"/>
        <v>0</v>
      </c>
      <c r="V840" s="2">
        <f t="shared" si="54"/>
        <v>0</v>
      </c>
      <c r="W840" s="2">
        <f t="shared" si="55"/>
        <v>0</v>
      </c>
      <c r="Y840" t="str">
        <f>IFERROR(ROUND(E840*VLOOKUP(D840,商品!$A$4:$B$60,2,FALSE),0),"")</f>
        <v/>
      </c>
      <c r="Z840" t="str">
        <f>IFERROR(ROUND(G840*VLOOKUP(F840,商品!$A$4:$B$60,2,FALSE),0),"")</f>
        <v/>
      </c>
      <c r="AA840" t="str">
        <f>IFERROR(ROUND(I840*VLOOKUP(H840,商品!$A$4:$B$60,2,FALSE),0),"")</f>
        <v/>
      </c>
      <c r="AB840" t="str">
        <f>IFERROR(ROUND(K840*VLOOKUP(J840,[1]note_pop_types!$A$16:$E$16,4,FALSE),0),"")</f>
        <v/>
      </c>
      <c r="AC840" t="str">
        <f>IFERROR(ROUND(M840*VLOOKUP(L840,[1]note_pop_types!$A$16:$E$16,4,FALSE),0),"")</f>
        <v/>
      </c>
      <c r="AD840" t="str">
        <f>IFERROR(ROUND(O840*VLOOKUP(N840,[1]note_pop_types!$A$16:$E$16,4,FALSE),0),"")</f>
        <v/>
      </c>
      <c r="AE840" t="str">
        <f>IFERROR(ROUND(Q840*VLOOKUP(P840,商品!$A$4:$B$60,2,FALSE),0),"")</f>
        <v/>
      </c>
      <c r="AF840" t="str">
        <f>IFERROR(ROUND(S840*VLOOKUP(R840,商品!$A$4:$B$60,2,FALSE),0),"")</f>
        <v/>
      </c>
    </row>
    <row r="841" spans="1:32" ht="19.05" customHeight="1" x14ac:dyDescent="0.25">
      <c r="A841" s="15" t="s">
        <v>358</v>
      </c>
      <c r="C841" s="15">
        <v>2</v>
      </c>
      <c r="T841" s="2">
        <f t="shared" si="52"/>
        <v>0</v>
      </c>
      <c r="U841" s="2">
        <f t="shared" si="53"/>
        <v>0</v>
      </c>
      <c r="V841" s="2">
        <f t="shared" si="54"/>
        <v>0</v>
      </c>
      <c r="W841" s="2">
        <f t="shared" si="55"/>
        <v>0</v>
      </c>
      <c r="Y841" t="str">
        <f>IFERROR(ROUND(E841*VLOOKUP(D841,商品!$A$4:$B$60,2,FALSE),0),"")</f>
        <v/>
      </c>
      <c r="Z841" t="str">
        <f>IFERROR(ROUND(G841*VLOOKUP(F841,商品!$A$4:$B$60,2,FALSE),0),"")</f>
        <v/>
      </c>
      <c r="AA841" t="str">
        <f>IFERROR(ROUND(I841*VLOOKUP(H841,商品!$A$4:$B$60,2,FALSE),0),"")</f>
        <v/>
      </c>
      <c r="AB841" t="str">
        <f>IFERROR(ROUND(K841*VLOOKUP(J841,[1]note_pop_types!$A$16:$E$16,4,FALSE),0),"")</f>
        <v/>
      </c>
      <c r="AC841" t="str">
        <f>IFERROR(ROUND(M841*VLOOKUP(L841,[1]note_pop_types!$A$16:$E$16,4,FALSE),0),"")</f>
        <v/>
      </c>
      <c r="AD841" t="str">
        <f>IFERROR(ROUND(O841*VLOOKUP(N841,[1]note_pop_types!$A$16:$E$16,4,FALSE),0),"")</f>
        <v/>
      </c>
      <c r="AE841" t="str">
        <f>IFERROR(ROUND(Q841*VLOOKUP(P841,商品!$A$4:$B$60,2,FALSE),0),"")</f>
        <v/>
      </c>
      <c r="AF841" t="str">
        <f>IFERROR(ROUND(S841*VLOOKUP(R841,商品!$A$4:$B$60,2,FALSE),0),"")</f>
        <v/>
      </c>
    </row>
    <row r="842" spans="1:32" ht="19.05" customHeight="1" x14ac:dyDescent="0.25">
      <c r="A842" s="15" t="s">
        <v>358</v>
      </c>
      <c r="C842" s="15">
        <v>3</v>
      </c>
      <c r="T842" s="2">
        <f t="shared" si="52"/>
        <v>0</v>
      </c>
      <c r="U842" s="2">
        <f t="shared" si="53"/>
        <v>0</v>
      </c>
      <c r="V842" s="2">
        <f t="shared" si="54"/>
        <v>0</v>
      </c>
      <c r="W842" s="2">
        <f t="shared" si="55"/>
        <v>0</v>
      </c>
      <c r="Y842" t="str">
        <f>IFERROR(ROUND(E842*VLOOKUP(D842,商品!$A$4:$B$60,2,FALSE),0),"")</f>
        <v/>
      </c>
      <c r="Z842" t="str">
        <f>IFERROR(ROUND(G842*VLOOKUP(F842,商品!$A$4:$B$60,2,FALSE),0),"")</f>
        <v/>
      </c>
      <c r="AA842" t="str">
        <f>IFERROR(ROUND(I842*VLOOKUP(H842,商品!$A$4:$B$60,2,FALSE),0),"")</f>
        <v/>
      </c>
      <c r="AB842" t="str">
        <f>IFERROR(ROUND(K842*VLOOKUP(J842,[1]note_pop_types!$A$16:$E$16,4,FALSE),0),"")</f>
        <v/>
      </c>
      <c r="AC842" t="str">
        <f>IFERROR(ROUND(M842*VLOOKUP(L842,[1]note_pop_types!$A$16:$E$16,4,FALSE),0),"")</f>
        <v/>
      </c>
      <c r="AD842" t="str">
        <f>IFERROR(ROUND(O842*VLOOKUP(N842,[1]note_pop_types!$A$16:$E$16,4,FALSE),0),"")</f>
        <v/>
      </c>
      <c r="AE842" t="str">
        <f>IFERROR(ROUND(Q842*VLOOKUP(P842,商品!$A$4:$B$60,2,FALSE),0),"")</f>
        <v/>
      </c>
      <c r="AF842" t="str">
        <f>IFERROR(ROUND(S842*VLOOKUP(R842,商品!$A$4:$B$60,2,FALSE),0),"")</f>
        <v/>
      </c>
    </row>
    <row r="843" spans="1:32" ht="19.05" customHeight="1" x14ac:dyDescent="0.25">
      <c r="A843" s="15" t="s">
        <v>358</v>
      </c>
      <c r="C843" s="15">
        <v>4</v>
      </c>
      <c r="T843" s="2">
        <f t="shared" si="52"/>
        <v>0</v>
      </c>
      <c r="U843" s="2">
        <f t="shared" si="53"/>
        <v>0</v>
      </c>
      <c r="V843" s="2">
        <f t="shared" si="54"/>
        <v>0</v>
      </c>
      <c r="W843" s="2">
        <f t="shared" si="55"/>
        <v>0</v>
      </c>
      <c r="Y843" t="str">
        <f>IFERROR(ROUND(E843*VLOOKUP(D843,商品!$A$4:$B$60,2,FALSE),0),"")</f>
        <v/>
      </c>
      <c r="Z843" t="str">
        <f>IFERROR(ROUND(G843*VLOOKUP(F843,商品!$A$4:$B$60,2,FALSE),0),"")</f>
        <v/>
      </c>
      <c r="AA843" t="str">
        <f>IFERROR(ROUND(I843*VLOOKUP(H843,商品!$A$4:$B$60,2,FALSE),0),"")</f>
        <v/>
      </c>
      <c r="AB843" t="str">
        <f>IFERROR(ROUND(K843*VLOOKUP(J843,[1]note_pop_types!$A$16:$E$16,4,FALSE),0),"")</f>
        <v/>
      </c>
      <c r="AC843" t="str">
        <f>IFERROR(ROUND(M843*VLOOKUP(L843,[1]note_pop_types!$A$16:$E$16,4,FALSE),0),"")</f>
        <v/>
      </c>
      <c r="AD843" t="str">
        <f>IFERROR(ROUND(O843*VLOOKUP(N843,[1]note_pop_types!$A$16:$E$16,4,FALSE),0),"")</f>
        <v/>
      </c>
      <c r="AE843" t="str">
        <f>IFERROR(ROUND(Q843*VLOOKUP(P843,商品!$A$4:$B$60,2,FALSE),0),"")</f>
        <v/>
      </c>
      <c r="AF843" t="str">
        <f>IFERROR(ROUND(S843*VLOOKUP(R843,商品!$A$4:$B$60,2,FALSE),0),"")</f>
        <v/>
      </c>
    </row>
    <row r="844" spans="1:32" ht="19.05" customHeight="1" x14ac:dyDescent="0.25">
      <c r="A844" s="15" t="s">
        <v>358</v>
      </c>
      <c r="C844" s="15">
        <v>5</v>
      </c>
      <c r="T844" s="2">
        <f t="shared" si="52"/>
        <v>0</v>
      </c>
      <c r="U844" s="2">
        <f t="shared" si="53"/>
        <v>0</v>
      </c>
      <c r="V844" s="2">
        <f t="shared" si="54"/>
        <v>0</v>
      </c>
      <c r="W844" s="2">
        <f t="shared" si="55"/>
        <v>0</v>
      </c>
      <c r="Y844" t="str">
        <f>IFERROR(ROUND(E844*VLOOKUP(D844,商品!$A$4:$B$60,2,FALSE),0),"")</f>
        <v/>
      </c>
      <c r="Z844" t="str">
        <f>IFERROR(ROUND(G844*VLOOKUP(F844,商品!$A$4:$B$60,2,FALSE),0),"")</f>
        <v/>
      </c>
      <c r="AA844" t="str">
        <f>IFERROR(ROUND(I844*VLOOKUP(H844,商品!$A$4:$B$60,2,FALSE),0),"")</f>
        <v/>
      </c>
      <c r="AB844" t="str">
        <f>IFERROR(ROUND(K844*VLOOKUP(J844,[1]note_pop_types!$A$16:$E$16,4,FALSE),0),"")</f>
        <v/>
      </c>
      <c r="AC844" t="str">
        <f>IFERROR(ROUND(M844*VLOOKUP(L844,[1]note_pop_types!$A$16:$E$16,4,FALSE),0),"")</f>
        <v/>
      </c>
      <c r="AD844" t="str">
        <f>IFERROR(ROUND(O844*VLOOKUP(N844,[1]note_pop_types!$A$16:$E$16,4,FALSE),0),"")</f>
        <v/>
      </c>
      <c r="AE844" t="str">
        <f>IFERROR(ROUND(Q844*VLOOKUP(P844,商品!$A$4:$B$60,2,FALSE),0),"")</f>
        <v/>
      </c>
      <c r="AF844" t="str">
        <f>IFERROR(ROUND(S844*VLOOKUP(R844,商品!$A$4:$B$60,2,FALSE),0),"")</f>
        <v/>
      </c>
    </row>
    <row r="845" spans="1:32" ht="19.05" customHeight="1" x14ac:dyDescent="0.25">
      <c r="A845" s="16" t="s">
        <v>541</v>
      </c>
      <c r="C845" s="16">
        <v>1</v>
      </c>
      <c r="T845" s="2">
        <f t="shared" si="52"/>
        <v>0</v>
      </c>
      <c r="U845" s="2">
        <f t="shared" si="53"/>
        <v>0</v>
      </c>
      <c r="V845" s="2">
        <f t="shared" si="54"/>
        <v>0</v>
      </c>
      <c r="W845" s="2">
        <f t="shared" si="55"/>
        <v>0</v>
      </c>
      <c r="Y845" t="str">
        <f>IFERROR(ROUND(E845*VLOOKUP(D845,商品!$A$4:$B$60,2,FALSE),0),"")</f>
        <v/>
      </c>
      <c r="Z845" t="str">
        <f>IFERROR(ROUND(G845*VLOOKUP(F845,商品!$A$4:$B$60,2,FALSE),0),"")</f>
        <v/>
      </c>
      <c r="AA845" t="str">
        <f>IFERROR(ROUND(I845*VLOOKUP(H845,商品!$A$4:$B$60,2,FALSE),0),"")</f>
        <v/>
      </c>
      <c r="AB845" t="str">
        <f>IFERROR(ROUND(K845*VLOOKUP(J845,[1]note_pop_types!$A$16:$E$16,4,FALSE),0),"")</f>
        <v/>
      </c>
      <c r="AC845" t="str">
        <f>IFERROR(ROUND(M845*VLOOKUP(L845,[1]note_pop_types!$A$16:$E$16,4,FALSE),0),"")</f>
        <v/>
      </c>
      <c r="AD845" t="str">
        <f>IFERROR(ROUND(O845*VLOOKUP(N845,[1]note_pop_types!$A$16:$E$16,4,FALSE),0),"")</f>
        <v/>
      </c>
      <c r="AE845" t="str">
        <f>IFERROR(ROUND(Q845*VLOOKUP(P845,商品!$A$4:$B$60,2,FALSE),0),"")</f>
        <v/>
      </c>
      <c r="AF845" t="str">
        <f>IFERROR(ROUND(S845*VLOOKUP(R845,商品!$A$4:$B$60,2,FALSE),0),"")</f>
        <v/>
      </c>
    </row>
    <row r="846" spans="1:32" ht="19.05" customHeight="1" x14ac:dyDescent="0.25">
      <c r="A846" s="16" t="s">
        <v>541</v>
      </c>
      <c r="C846" s="16">
        <v>2</v>
      </c>
      <c r="T846" s="2">
        <f t="shared" si="52"/>
        <v>0</v>
      </c>
      <c r="U846" s="2">
        <f t="shared" si="53"/>
        <v>0</v>
      </c>
      <c r="V846" s="2">
        <f t="shared" si="54"/>
        <v>0</v>
      </c>
      <c r="W846" s="2">
        <f t="shared" si="55"/>
        <v>0</v>
      </c>
      <c r="Y846" t="str">
        <f>IFERROR(ROUND(E846*VLOOKUP(D846,商品!$A$4:$B$60,2,FALSE),0),"")</f>
        <v/>
      </c>
      <c r="Z846" t="str">
        <f>IFERROR(ROUND(G846*VLOOKUP(F846,商品!$A$4:$B$60,2,FALSE),0),"")</f>
        <v/>
      </c>
      <c r="AA846" t="str">
        <f>IFERROR(ROUND(I846*VLOOKUP(H846,商品!$A$4:$B$60,2,FALSE),0),"")</f>
        <v/>
      </c>
      <c r="AB846" t="str">
        <f>IFERROR(ROUND(K846*VLOOKUP(J846,[1]note_pop_types!$A$16:$E$16,4,FALSE),0),"")</f>
        <v/>
      </c>
      <c r="AC846" t="str">
        <f>IFERROR(ROUND(M846*VLOOKUP(L846,[1]note_pop_types!$A$16:$E$16,4,FALSE),0),"")</f>
        <v/>
      </c>
      <c r="AD846" t="str">
        <f>IFERROR(ROUND(O846*VLOOKUP(N846,[1]note_pop_types!$A$16:$E$16,4,FALSE),0),"")</f>
        <v/>
      </c>
      <c r="AE846" t="str">
        <f>IFERROR(ROUND(Q846*VLOOKUP(P846,商品!$A$4:$B$60,2,FALSE),0),"")</f>
        <v/>
      </c>
      <c r="AF846" t="str">
        <f>IFERROR(ROUND(S846*VLOOKUP(R846,商品!$A$4:$B$60,2,FALSE),0),"")</f>
        <v/>
      </c>
    </row>
    <row r="847" spans="1:32" ht="19.05" customHeight="1" x14ac:dyDescent="0.25">
      <c r="A847" s="16" t="s">
        <v>541</v>
      </c>
      <c r="C847" s="16">
        <v>3</v>
      </c>
      <c r="T847" s="2">
        <f t="shared" si="52"/>
        <v>0</v>
      </c>
      <c r="U847" s="2">
        <f t="shared" si="53"/>
        <v>0</v>
      </c>
      <c r="V847" s="2">
        <f t="shared" si="54"/>
        <v>0</v>
      </c>
      <c r="W847" s="2">
        <f t="shared" si="55"/>
        <v>0</v>
      </c>
      <c r="Y847" t="str">
        <f>IFERROR(ROUND(E847*VLOOKUP(D847,商品!$A$4:$B$60,2,FALSE),0),"")</f>
        <v/>
      </c>
      <c r="Z847" t="str">
        <f>IFERROR(ROUND(G847*VLOOKUP(F847,商品!$A$4:$B$60,2,FALSE),0),"")</f>
        <v/>
      </c>
      <c r="AA847" t="str">
        <f>IFERROR(ROUND(I847*VLOOKUP(H847,商品!$A$4:$B$60,2,FALSE),0),"")</f>
        <v/>
      </c>
      <c r="AB847" t="str">
        <f>IFERROR(ROUND(K847*VLOOKUP(J847,[1]note_pop_types!$A$16:$E$16,4,FALSE),0),"")</f>
        <v/>
      </c>
      <c r="AC847" t="str">
        <f>IFERROR(ROUND(M847*VLOOKUP(L847,[1]note_pop_types!$A$16:$E$16,4,FALSE),0),"")</f>
        <v/>
      </c>
      <c r="AD847" t="str">
        <f>IFERROR(ROUND(O847*VLOOKUP(N847,[1]note_pop_types!$A$16:$E$16,4,FALSE),0),"")</f>
        <v/>
      </c>
      <c r="AE847" t="str">
        <f>IFERROR(ROUND(Q847*VLOOKUP(P847,商品!$A$4:$B$60,2,FALSE),0),"")</f>
        <v/>
      </c>
      <c r="AF847" t="str">
        <f>IFERROR(ROUND(S847*VLOOKUP(R847,商品!$A$4:$B$60,2,FALSE),0),"")</f>
        <v/>
      </c>
    </row>
    <row r="848" spans="1:32" ht="19.05" customHeight="1" x14ac:dyDescent="0.25">
      <c r="A848" s="16" t="s">
        <v>541</v>
      </c>
      <c r="C848" s="16">
        <v>4</v>
      </c>
      <c r="T848" s="2">
        <f t="shared" si="52"/>
        <v>0</v>
      </c>
      <c r="U848" s="2">
        <f t="shared" si="53"/>
        <v>0</v>
      </c>
      <c r="V848" s="2">
        <f t="shared" si="54"/>
        <v>0</v>
      </c>
      <c r="W848" s="2">
        <f t="shared" si="55"/>
        <v>0</v>
      </c>
      <c r="Y848" t="str">
        <f>IFERROR(ROUND(E848*VLOOKUP(D848,商品!$A$4:$B$60,2,FALSE),0),"")</f>
        <v/>
      </c>
      <c r="Z848" t="str">
        <f>IFERROR(ROUND(G848*VLOOKUP(F848,商品!$A$4:$B$60,2,FALSE),0),"")</f>
        <v/>
      </c>
      <c r="AA848" t="str">
        <f>IFERROR(ROUND(I848*VLOOKUP(H848,商品!$A$4:$B$60,2,FALSE),0),"")</f>
        <v/>
      </c>
      <c r="AB848" t="str">
        <f>IFERROR(ROUND(K848*VLOOKUP(J848,[1]note_pop_types!$A$16:$E$16,4,FALSE),0),"")</f>
        <v/>
      </c>
      <c r="AC848" t="str">
        <f>IFERROR(ROUND(M848*VLOOKUP(L848,[1]note_pop_types!$A$16:$E$16,4,FALSE),0),"")</f>
        <v/>
      </c>
      <c r="AD848" t="str">
        <f>IFERROR(ROUND(O848*VLOOKUP(N848,[1]note_pop_types!$A$16:$E$16,4,FALSE),0),"")</f>
        <v/>
      </c>
      <c r="AE848" t="str">
        <f>IFERROR(ROUND(Q848*VLOOKUP(P848,商品!$A$4:$B$60,2,FALSE),0),"")</f>
        <v/>
      </c>
      <c r="AF848" t="str">
        <f>IFERROR(ROUND(S848*VLOOKUP(R848,商品!$A$4:$B$60,2,FALSE),0),"")</f>
        <v/>
      </c>
    </row>
    <row r="849" spans="1:32" ht="19.05" customHeight="1" x14ac:dyDescent="0.25">
      <c r="A849" s="16" t="s">
        <v>541</v>
      </c>
      <c r="C849" s="16">
        <v>5</v>
      </c>
      <c r="T849" s="2">
        <f t="shared" si="52"/>
        <v>0</v>
      </c>
      <c r="U849" s="2">
        <f t="shared" si="53"/>
        <v>0</v>
      </c>
      <c r="V849" s="2">
        <f t="shared" si="54"/>
        <v>0</v>
      </c>
      <c r="W849" s="2">
        <f t="shared" si="55"/>
        <v>0</v>
      </c>
      <c r="Y849" t="str">
        <f>IFERROR(ROUND(E849*VLOOKUP(D849,商品!$A$4:$B$60,2,FALSE),0),"")</f>
        <v/>
      </c>
      <c r="Z849" t="str">
        <f>IFERROR(ROUND(G849*VLOOKUP(F849,商品!$A$4:$B$60,2,FALSE),0),"")</f>
        <v/>
      </c>
      <c r="AA849" t="str">
        <f>IFERROR(ROUND(I849*VLOOKUP(H849,商品!$A$4:$B$60,2,FALSE),0),"")</f>
        <v/>
      </c>
      <c r="AB849" t="str">
        <f>IFERROR(ROUND(K849*VLOOKUP(J849,[1]note_pop_types!$A$16:$E$16,4,FALSE),0),"")</f>
        <v/>
      </c>
      <c r="AC849" t="str">
        <f>IFERROR(ROUND(M849*VLOOKUP(L849,[1]note_pop_types!$A$16:$E$16,4,FALSE),0),"")</f>
        <v/>
      </c>
      <c r="AD849" t="str">
        <f>IFERROR(ROUND(O849*VLOOKUP(N849,[1]note_pop_types!$A$16:$E$16,4,FALSE),0),"")</f>
        <v/>
      </c>
      <c r="AE849" t="str">
        <f>IFERROR(ROUND(Q849*VLOOKUP(P849,商品!$A$4:$B$60,2,FALSE),0),"")</f>
        <v/>
      </c>
      <c r="AF849" t="str">
        <f>IFERROR(ROUND(S849*VLOOKUP(R849,商品!$A$4:$B$60,2,FALSE),0),"")</f>
        <v/>
      </c>
    </row>
    <row r="850" spans="1:32" ht="19.05" customHeight="1" x14ac:dyDescent="0.25">
      <c r="A850" s="15" t="s">
        <v>541</v>
      </c>
      <c r="C850" s="15">
        <v>1</v>
      </c>
      <c r="T850" s="2">
        <f t="shared" si="52"/>
        <v>0</v>
      </c>
      <c r="U850" s="2">
        <f t="shared" si="53"/>
        <v>0</v>
      </c>
      <c r="V850" s="2">
        <f t="shared" si="54"/>
        <v>0</v>
      </c>
      <c r="W850" s="2">
        <f t="shared" si="55"/>
        <v>0</v>
      </c>
      <c r="Y850" t="str">
        <f>IFERROR(ROUND(E850*VLOOKUP(D850,商品!$A$4:$B$60,2,FALSE),0),"")</f>
        <v/>
      </c>
      <c r="Z850" t="str">
        <f>IFERROR(ROUND(G850*VLOOKUP(F850,商品!$A$4:$B$60,2,FALSE),0),"")</f>
        <v/>
      </c>
      <c r="AA850" t="str">
        <f>IFERROR(ROUND(I850*VLOOKUP(H850,商品!$A$4:$B$60,2,FALSE),0),"")</f>
        <v/>
      </c>
      <c r="AB850" t="str">
        <f>IFERROR(ROUND(K850*VLOOKUP(J850,[1]note_pop_types!$A$16:$E$16,4,FALSE),0),"")</f>
        <v/>
      </c>
      <c r="AC850" t="str">
        <f>IFERROR(ROUND(M850*VLOOKUP(L850,[1]note_pop_types!$A$16:$E$16,4,FALSE),0),"")</f>
        <v/>
      </c>
      <c r="AD850" t="str">
        <f>IFERROR(ROUND(O850*VLOOKUP(N850,[1]note_pop_types!$A$16:$E$16,4,FALSE),0),"")</f>
        <v/>
      </c>
      <c r="AE850" t="str">
        <f>IFERROR(ROUND(Q850*VLOOKUP(P850,商品!$A$4:$B$60,2,FALSE),0),"")</f>
        <v/>
      </c>
      <c r="AF850" t="str">
        <f>IFERROR(ROUND(S850*VLOOKUP(R850,商品!$A$4:$B$60,2,FALSE),0),"")</f>
        <v/>
      </c>
    </row>
    <row r="851" spans="1:32" ht="19.05" customHeight="1" x14ac:dyDescent="0.25">
      <c r="A851" s="15" t="s">
        <v>541</v>
      </c>
      <c r="C851" s="15">
        <v>2</v>
      </c>
      <c r="T851" s="2">
        <f t="shared" si="52"/>
        <v>0</v>
      </c>
      <c r="U851" s="2">
        <f t="shared" si="53"/>
        <v>0</v>
      </c>
      <c r="V851" s="2">
        <f t="shared" si="54"/>
        <v>0</v>
      </c>
      <c r="W851" s="2">
        <f t="shared" si="55"/>
        <v>0</v>
      </c>
      <c r="Y851" t="str">
        <f>IFERROR(ROUND(E851*VLOOKUP(D851,商品!$A$4:$B$60,2,FALSE),0),"")</f>
        <v/>
      </c>
      <c r="Z851" t="str">
        <f>IFERROR(ROUND(G851*VLOOKUP(F851,商品!$A$4:$B$60,2,FALSE),0),"")</f>
        <v/>
      </c>
      <c r="AA851" t="str">
        <f>IFERROR(ROUND(I851*VLOOKUP(H851,商品!$A$4:$B$60,2,FALSE),0),"")</f>
        <v/>
      </c>
      <c r="AB851" t="str">
        <f>IFERROR(ROUND(K851*VLOOKUP(J851,[1]note_pop_types!$A$16:$E$16,4,FALSE),0),"")</f>
        <v/>
      </c>
      <c r="AC851" t="str">
        <f>IFERROR(ROUND(M851*VLOOKUP(L851,[1]note_pop_types!$A$16:$E$16,4,FALSE),0),"")</f>
        <v/>
      </c>
      <c r="AD851" t="str">
        <f>IFERROR(ROUND(O851*VLOOKUP(N851,[1]note_pop_types!$A$16:$E$16,4,FALSE),0),"")</f>
        <v/>
      </c>
      <c r="AE851" t="str">
        <f>IFERROR(ROUND(Q851*VLOOKUP(P851,商品!$A$4:$B$60,2,FALSE),0),"")</f>
        <v/>
      </c>
      <c r="AF851" t="str">
        <f>IFERROR(ROUND(S851*VLOOKUP(R851,商品!$A$4:$B$60,2,FALSE),0),"")</f>
        <v/>
      </c>
    </row>
    <row r="852" spans="1:32" ht="19.05" customHeight="1" x14ac:dyDescent="0.25">
      <c r="A852" s="15" t="s">
        <v>541</v>
      </c>
      <c r="C852" s="15">
        <v>3</v>
      </c>
      <c r="T852" s="2">
        <f t="shared" si="52"/>
        <v>0</v>
      </c>
      <c r="U852" s="2">
        <f t="shared" si="53"/>
        <v>0</v>
      </c>
      <c r="V852" s="2">
        <f t="shared" si="54"/>
        <v>0</v>
      </c>
      <c r="W852" s="2">
        <f t="shared" si="55"/>
        <v>0</v>
      </c>
      <c r="Y852" t="str">
        <f>IFERROR(ROUND(E852*VLOOKUP(D852,商品!$A$4:$B$60,2,FALSE),0),"")</f>
        <v/>
      </c>
      <c r="Z852" t="str">
        <f>IFERROR(ROUND(G852*VLOOKUP(F852,商品!$A$4:$B$60,2,FALSE),0),"")</f>
        <v/>
      </c>
      <c r="AA852" t="str">
        <f>IFERROR(ROUND(I852*VLOOKUP(H852,商品!$A$4:$B$60,2,FALSE),0),"")</f>
        <v/>
      </c>
      <c r="AB852" t="str">
        <f>IFERROR(ROUND(K852*VLOOKUP(J852,[1]note_pop_types!$A$16:$E$16,4,FALSE),0),"")</f>
        <v/>
      </c>
      <c r="AC852" t="str">
        <f>IFERROR(ROUND(M852*VLOOKUP(L852,[1]note_pop_types!$A$16:$E$16,4,FALSE),0),"")</f>
        <v/>
      </c>
      <c r="AD852" t="str">
        <f>IFERROR(ROUND(O852*VLOOKUP(N852,[1]note_pop_types!$A$16:$E$16,4,FALSE),0),"")</f>
        <v/>
      </c>
      <c r="AE852" t="str">
        <f>IFERROR(ROUND(Q852*VLOOKUP(P852,商品!$A$4:$B$60,2,FALSE),0),"")</f>
        <v/>
      </c>
      <c r="AF852" t="str">
        <f>IFERROR(ROUND(S852*VLOOKUP(R852,商品!$A$4:$B$60,2,FALSE),0),"")</f>
        <v/>
      </c>
    </row>
    <row r="853" spans="1:32" ht="19.05" customHeight="1" x14ac:dyDescent="0.25">
      <c r="A853" s="15" t="s">
        <v>541</v>
      </c>
      <c r="C853" s="15">
        <v>4</v>
      </c>
      <c r="T853" s="2">
        <f t="shared" si="52"/>
        <v>0</v>
      </c>
      <c r="U853" s="2">
        <f t="shared" si="53"/>
        <v>0</v>
      </c>
      <c r="V853" s="2">
        <f t="shared" si="54"/>
        <v>0</v>
      </c>
      <c r="W853" s="2">
        <f t="shared" si="55"/>
        <v>0</v>
      </c>
      <c r="Y853" t="str">
        <f>IFERROR(ROUND(E853*VLOOKUP(D853,商品!$A$4:$B$60,2,FALSE),0),"")</f>
        <v/>
      </c>
      <c r="Z853" t="str">
        <f>IFERROR(ROUND(G853*VLOOKUP(F853,商品!$A$4:$B$60,2,FALSE),0),"")</f>
        <v/>
      </c>
      <c r="AA853" t="str">
        <f>IFERROR(ROUND(I853*VLOOKUP(H853,商品!$A$4:$B$60,2,FALSE),0),"")</f>
        <v/>
      </c>
      <c r="AB853" t="str">
        <f>IFERROR(ROUND(K853*VLOOKUP(J853,[1]note_pop_types!$A$16:$E$16,4,FALSE),0),"")</f>
        <v/>
      </c>
      <c r="AC853" t="str">
        <f>IFERROR(ROUND(M853*VLOOKUP(L853,[1]note_pop_types!$A$16:$E$16,4,FALSE),0),"")</f>
        <v/>
      </c>
      <c r="AD853" t="str">
        <f>IFERROR(ROUND(O853*VLOOKUP(N853,[1]note_pop_types!$A$16:$E$16,4,FALSE),0),"")</f>
        <v/>
      </c>
      <c r="AE853" t="str">
        <f>IFERROR(ROUND(Q853*VLOOKUP(P853,商品!$A$4:$B$60,2,FALSE),0),"")</f>
        <v/>
      </c>
      <c r="AF853" t="str">
        <f>IFERROR(ROUND(S853*VLOOKUP(R853,商品!$A$4:$B$60,2,FALSE),0),"")</f>
        <v/>
      </c>
    </row>
    <row r="854" spans="1:32" ht="19.05" customHeight="1" x14ac:dyDescent="0.25">
      <c r="A854" s="15" t="s">
        <v>541</v>
      </c>
      <c r="C854" s="15">
        <v>5</v>
      </c>
      <c r="T854" s="2">
        <f t="shared" si="52"/>
        <v>0</v>
      </c>
      <c r="U854" s="2">
        <f t="shared" si="53"/>
        <v>0</v>
      </c>
      <c r="V854" s="2">
        <f t="shared" si="54"/>
        <v>0</v>
      </c>
      <c r="W854" s="2">
        <f t="shared" si="55"/>
        <v>0</v>
      </c>
      <c r="Y854" t="str">
        <f>IFERROR(ROUND(E854*VLOOKUP(D854,商品!$A$4:$B$60,2,FALSE),0),"")</f>
        <v/>
      </c>
      <c r="Z854" t="str">
        <f>IFERROR(ROUND(G854*VLOOKUP(F854,商品!$A$4:$B$60,2,FALSE),0),"")</f>
        <v/>
      </c>
      <c r="AA854" t="str">
        <f>IFERROR(ROUND(I854*VLOOKUP(H854,商品!$A$4:$B$60,2,FALSE),0),"")</f>
        <v/>
      </c>
      <c r="AB854" t="str">
        <f>IFERROR(ROUND(K854*VLOOKUP(J854,[1]note_pop_types!$A$16:$E$16,4,FALSE),0),"")</f>
        <v/>
      </c>
      <c r="AC854" t="str">
        <f>IFERROR(ROUND(M854*VLOOKUP(L854,[1]note_pop_types!$A$16:$E$16,4,FALSE),0),"")</f>
        <v/>
      </c>
      <c r="AD854" t="str">
        <f>IFERROR(ROUND(O854*VLOOKUP(N854,[1]note_pop_types!$A$16:$E$16,4,FALSE),0),"")</f>
        <v/>
      </c>
      <c r="AE854" t="str">
        <f>IFERROR(ROUND(Q854*VLOOKUP(P854,商品!$A$4:$B$60,2,FALSE),0),"")</f>
        <v/>
      </c>
      <c r="AF854" t="str">
        <f>IFERROR(ROUND(S854*VLOOKUP(R854,商品!$A$4:$B$60,2,FALSE),0),"")</f>
        <v/>
      </c>
    </row>
    <row r="855" spans="1:32" ht="19.05" customHeight="1" x14ac:dyDescent="0.25">
      <c r="A855" s="16" t="s">
        <v>361</v>
      </c>
      <c r="C855" s="16">
        <v>1</v>
      </c>
      <c r="T855" s="2">
        <f t="shared" si="52"/>
        <v>0</v>
      </c>
      <c r="U855" s="2">
        <f t="shared" si="53"/>
        <v>0</v>
      </c>
      <c r="V855" s="2">
        <f t="shared" si="54"/>
        <v>0</v>
      </c>
      <c r="W855" s="2">
        <f t="shared" si="55"/>
        <v>0</v>
      </c>
      <c r="Y855" t="str">
        <f>IFERROR(ROUND(E855*VLOOKUP(D855,商品!$A$4:$B$60,2,FALSE),0),"")</f>
        <v/>
      </c>
      <c r="Z855" t="str">
        <f>IFERROR(ROUND(G855*VLOOKUP(F855,商品!$A$4:$B$60,2,FALSE),0),"")</f>
        <v/>
      </c>
      <c r="AA855" t="str">
        <f>IFERROR(ROUND(I855*VLOOKUP(H855,商品!$A$4:$B$60,2,FALSE),0),"")</f>
        <v/>
      </c>
      <c r="AB855" t="str">
        <f>IFERROR(ROUND(K855*VLOOKUP(J855,[1]note_pop_types!$A$16:$E$16,4,FALSE),0),"")</f>
        <v/>
      </c>
      <c r="AC855" t="str">
        <f>IFERROR(ROUND(M855*VLOOKUP(L855,[1]note_pop_types!$A$16:$E$16,4,FALSE),0),"")</f>
        <v/>
      </c>
      <c r="AD855" t="str">
        <f>IFERROR(ROUND(O855*VLOOKUP(N855,[1]note_pop_types!$A$16:$E$16,4,FALSE),0),"")</f>
        <v/>
      </c>
      <c r="AE855" t="str">
        <f>IFERROR(ROUND(Q855*VLOOKUP(P855,商品!$A$4:$B$60,2,FALSE),0),"")</f>
        <v/>
      </c>
      <c r="AF855" t="str">
        <f>IFERROR(ROUND(S855*VLOOKUP(R855,商品!$A$4:$B$60,2,FALSE),0),"")</f>
        <v/>
      </c>
    </row>
    <row r="856" spans="1:32" ht="19.05" customHeight="1" x14ac:dyDescent="0.25">
      <c r="A856" s="16" t="s">
        <v>361</v>
      </c>
      <c r="C856" s="16">
        <v>2</v>
      </c>
      <c r="T856" s="2">
        <f t="shared" si="52"/>
        <v>0</v>
      </c>
      <c r="U856" s="2">
        <f t="shared" si="53"/>
        <v>0</v>
      </c>
      <c r="V856" s="2">
        <f t="shared" si="54"/>
        <v>0</v>
      </c>
      <c r="W856" s="2">
        <f t="shared" si="55"/>
        <v>0</v>
      </c>
      <c r="Y856" t="str">
        <f>IFERROR(ROUND(E856*VLOOKUP(D856,商品!$A$4:$B$60,2,FALSE),0),"")</f>
        <v/>
      </c>
      <c r="Z856" t="str">
        <f>IFERROR(ROUND(G856*VLOOKUP(F856,商品!$A$4:$B$60,2,FALSE),0),"")</f>
        <v/>
      </c>
      <c r="AA856" t="str">
        <f>IFERROR(ROUND(I856*VLOOKUP(H856,商品!$A$4:$B$60,2,FALSE),0),"")</f>
        <v/>
      </c>
      <c r="AB856" t="str">
        <f>IFERROR(ROUND(K856*VLOOKUP(J856,[1]note_pop_types!$A$16:$E$16,4,FALSE),0),"")</f>
        <v/>
      </c>
      <c r="AC856" t="str">
        <f>IFERROR(ROUND(M856*VLOOKUP(L856,[1]note_pop_types!$A$16:$E$16,4,FALSE),0),"")</f>
        <v/>
      </c>
      <c r="AD856" t="str">
        <f>IFERROR(ROUND(O856*VLOOKUP(N856,[1]note_pop_types!$A$16:$E$16,4,FALSE),0),"")</f>
        <v/>
      </c>
      <c r="AE856" t="str">
        <f>IFERROR(ROUND(Q856*VLOOKUP(P856,商品!$A$4:$B$60,2,FALSE),0),"")</f>
        <v/>
      </c>
      <c r="AF856" t="str">
        <f>IFERROR(ROUND(S856*VLOOKUP(R856,商品!$A$4:$B$60,2,FALSE),0),"")</f>
        <v/>
      </c>
    </row>
    <row r="857" spans="1:32" ht="19.05" customHeight="1" x14ac:dyDescent="0.25">
      <c r="A857" s="16" t="s">
        <v>361</v>
      </c>
      <c r="C857" s="16">
        <v>3</v>
      </c>
      <c r="T857" s="2">
        <f t="shared" si="52"/>
        <v>0</v>
      </c>
      <c r="U857" s="2">
        <f t="shared" si="53"/>
        <v>0</v>
      </c>
      <c r="V857" s="2">
        <f t="shared" si="54"/>
        <v>0</v>
      </c>
      <c r="W857" s="2">
        <f t="shared" si="55"/>
        <v>0</v>
      </c>
      <c r="Y857" t="str">
        <f>IFERROR(ROUND(E857*VLOOKUP(D857,商品!$A$4:$B$60,2,FALSE),0),"")</f>
        <v/>
      </c>
      <c r="Z857" t="str">
        <f>IFERROR(ROUND(G857*VLOOKUP(F857,商品!$A$4:$B$60,2,FALSE),0),"")</f>
        <v/>
      </c>
      <c r="AA857" t="str">
        <f>IFERROR(ROUND(I857*VLOOKUP(H857,商品!$A$4:$B$60,2,FALSE),0),"")</f>
        <v/>
      </c>
      <c r="AB857" t="str">
        <f>IFERROR(ROUND(K857*VLOOKUP(J857,[1]note_pop_types!$A$16:$E$16,4,FALSE),0),"")</f>
        <v/>
      </c>
      <c r="AC857" t="str">
        <f>IFERROR(ROUND(M857*VLOOKUP(L857,[1]note_pop_types!$A$16:$E$16,4,FALSE),0),"")</f>
        <v/>
      </c>
      <c r="AD857" t="str">
        <f>IFERROR(ROUND(O857*VLOOKUP(N857,[1]note_pop_types!$A$16:$E$16,4,FALSE),0),"")</f>
        <v/>
      </c>
      <c r="AE857" t="str">
        <f>IFERROR(ROUND(Q857*VLOOKUP(P857,商品!$A$4:$B$60,2,FALSE),0),"")</f>
        <v/>
      </c>
      <c r="AF857" t="str">
        <f>IFERROR(ROUND(S857*VLOOKUP(R857,商品!$A$4:$B$60,2,FALSE),0),"")</f>
        <v/>
      </c>
    </row>
    <row r="858" spans="1:32" ht="19.05" customHeight="1" x14ac:dyDescent="0.25">
      <c r="A858" s="16" t="s">
        <v>361</v>
      </c>
      <c r="C858" s="16">
        <v>4</v>
      </c>
      <c r="T858" s="2">
        <f t="shared" si="52"/>
        <v>0</v>
      </c>
      <c r="U858" s="2">
        <f t="shared" si="53"/>
        <v>0</v>
      </c>
      <c r="V858" s="2">
        <f t="shared" si="54"/>
        <v>0</v>
      </c>
      <c r="W858" s="2">
        <f t="shared" si="55"/>
        <v>0</v>
      </c>
      <c r="Y858" t="str">
        <f>IFERROR(ROUND(E858*VLOOKUP(D858,商品!$A$4:$B$60,2,FALSE),0),"")</f>
        <v/>
      </c>
      <c r="Z858" t="str">
        <f>IFERROR(ROUND(G858*VLOOKUP(F858,商品!$A$4:$B$60,2,FALSE),0),"")</f>
        <v/>
      </c>
      <c r="AA858" t="str">
        <f>IFERROR(ROUND(I858*VLOOKUP(H858,商品!$A$4:$B$60,2,FALSE),0),"")</f>
        <v/>
      </c>
      <c r="AB858" t="str">
        <f>IFERROR(ROUND(K858*VLOOKUP(J858,[1]note_pop_types!$A$16:$E$16,4,FALSE),0),"")</f>
        <v/>
      </c>
      <c r="AC858" t="str">
        <f>IFERROR(ROUND(M858*VLOOKUP(L858,[1]note_pop_types!$A$16:$E$16,4,FALSE),0),"")</f>
        <v/>
      </c>
      <c r="AD858" t="str">
        <f>IFERROR(ROUND(O858*VLOOKUP(N858,[1]note_pop_types!$A$16:$E$16,4,FALSE),0),"")</f>
        <v/>
      </c>
      <c r="AE858" t="str">
        <f>IFERROR(ROUND(Q858*VLOOKUP(P858,商品!$A$4:$B$60,2,FALSE),0),"")</f>
        <v/>
      </c>
      <c r="AF858" t="str">
        <f>IFERROR(ROUND(S858*VLOOKUP(R858,商品!$A$4:$B$60,2,FALSE),0),"")</f>
        <v/>
      </c>
    </row>
    <row r="859" spans="1:32" ht="19.05" customHeight="1" x14ac:dyDescent="0.25">
      <c r="A859" s="16" t="s">
        <v>361</v>
      </c>
      <c r="C859" s="16">
        <v>5</v>
      </c>
      <c r="T859" s="2">
        <f t="shared" si="52"/>
        <v>0</v>
      </c>
      <c r="U859" s="2">
        <f t="shared" si="53"/>
        <v>0</v>
      </c>
      <c r="V859" s="2">
        <f t="shared" si="54"/>
        <v>0</v>
      </c>
      <c r="W859" s="2">
        <f t="shared" si="55"/>
        <v>0</v>
      </c>
      <c r="Y859" t="str">
        <f>IFERROR(ROUND(E859*VLOOKUP(D859,商品!$A$4:$B$60,2,FALSE),0),"")</f>
        <v/>
      </c>
      <c r="Z859" t="str">
        <f>IFERROR(ROUND(G859*VLOOKUP(F859,商品!$A$4:$B$60,2,FALSE),0),"")</f>
        <v/>
      </c>
      <c r="AA859" t="str">
        <f>IFERROR(ROUND(I859*VLOOKUP(H859,商品!$A$4:$B$60,2,FALSE),0),"")</f>
        <v/>
      </c>
      <c r="AB859" t="str">
        <f>IFERROR(ROUND(K859*VLOOKUP(J859,[1]note_pop_types!$A$16:$E$16,4,FALSE),0),"")</f>
        <v/>
      </c>
      <c r="AC859" t="str">
        <f>IFERROR(ROUND(M859*VLOOKUP(L859,[1]note_pop_types!$A$16:$E$16,4,FALSE),0),"")</f>
        <v/>
      </c>
      <c r="AD859" t="str">
        <f>IFERROR(ROUND(O859*VLOOKUP(N859,[1]note_pop_types!$A$16:$E$16,4,FALSE),0),"")</f>
        <v/>
      </c>
      <c r="AE859" t="str">
        <f>IFERROR(ROUND(Q859*VLOOKUP(P859,商品!$A$4:$B$60,2,FALSE),0),"")</f>
        <v/>
      </c>
      <c r="AF859" t="str">
        <f>IFERROR(ROUND(S859*VLOOKUP(R859,商品!$A$4:$B$60,2,FALSE),0),"")</f>
        <v/>
      </c>
    </row>
    <row r="860" spans="1:32" ht="19.05" customHeight="1" x14ac:dyDescent="0.25">
      <c r="A860" s="16" t="s">
        <v>361</v>
      </c>
      <c r="C860" s="16">
        <v>6</v>
      </c>
      <c r="T860" s="2">
        <f t="shared" si="52"/>
        <v>0</v>
      </c>
      <c r="U860" s="2">
        <f t="shared" si="53"/>
        <v>0</v>
      </c>
      <c r="V860" s="2">
        <f t="shared" si="54"/>
        <v>0</v>
      </c>
      <c r="W860" s="2">
        <f t="shared" si="55"/>
        <v>0</v>
      </c>
      <c r="Y860" t="str">
        <f>IFERROR(ROUND(E860*VLOOKUP(D860,商品!$A$4:$B$60,2,FALSE),0),"")</f>
        <v/>
      </c>
      <c r="Z860" t="str">
        <f>IFERROR(ROUND(G860*VLOOKUP(F860,商品!$A$4:$B$60,2,FALSE),0),"")</f>
        <v/>
      </c>
      <c r="AA860" t="str">
        <f>IFERROR(ROUND(I860*VLOOKUP(H860,商品!$A$4:$B$60,2,FALSE),0),"")</f>
        <v/>
      </c>
      <c r="AB860" t="str">
        <f>IFERROR(ROUND(K860*VLOOKUP(J860,[1]note_pop_types!$A$16:$E$16,4,FALSE),0),"")</f>
        <v/>
      </c>
      <c r="AC860" t="str">
        <f>IFERROR(ROUND(M860*VLOOKUP(L860,[1]note_pop_types!$A$16:$E$16,4,FALSE),0),"")</f>
        <v/>
      </c>
      <c r="AD860" t="str">
        <f>IFERROR(ROUND(O860*VLOOKUP(N860,[1]note_pop_types!$A$16:$E$16,4,FALSE),0),"")</f>
        <v/>
      </c>
      <c r="AE860" t="str">
        <f>IFERROR(ROUND(Q860*VLOOKUP(P860,商品!$A$4:$B$60,2,FALSE),0),"")</f>
        <v/>
      </c>
      <c r="AF860" t="str">
        <f>IFERROR(ROUND(S860*VLOOKUP(R860,商品!$A$4:$B$60,2,FALSE),0),"")</f>
        <v/>
      </c>
    </row>
    <row r="861" spans="1:32" ht="19.05" customHeight="1" x14ac:dyDescent="0.25">
      <c r="A861" s="16" t="s">
        <v>361</v>
      </c>
      <c r="C861" s="16">
        <v>7</v>
      </c>
      <c r="T861" s="2">
        <f t="shared" si="52"/>
        <v>0</v>
      </c>
      <c r="U861" s="2">
        <f t="shared" si="53"/>
        <v>0</v>
      </c>
      <c r="V861" s="2">
        <f t="shared" si="54"/>
        <v>0</v>
      </c>
      <c r="W861" s="2">
        <f t="shared" si="55"/>
        <v>0</v>
      </c>
      <c r="Y861" t="str">
        <f>IFERROR(ROUND(E861*VLOOKUP(D861,商品!$A$4:$B$60,2,FALSE),0),"")</f>
        <v/>
      </c>
      <c r="Z861" t="str">
        <f>IFERROR(ROUND(G861*VLOOKUP(F861,商品!$A$4:$B$60,2,FALSE),0),"")</f>
        <v/>
      </c>
      <c r="AA861" t="str">
        <f>IFERROR(ROUND(I861*VLOOKUP(H861,商品!$A$4:$B$60,2,FALSE),0),"")</f>
        <v/>
      </c>
      <c r="AB861" t="str">
        <f>IFERROR(ROUND(K861*VLOOKUP(J861,[1]note_pop_types!$A$16:$E$16,4,FALSE),0),"")</f>
        <v/>
      </c>
      <c r="AC861" t="str">
        <f>IFERROR(ROUND(M861*VLOOKUP(L861,[1]note_pop_types!$A$16:$E$16,4,FALSE),0),"")</f>
        <v/>
      </c>
      <c r="AD861" t="str">
        <f>IFERROR(ROUND(O861*VLOOKUP(N861,[1]note_pop_types!$A$16:$E$16,4,FALSE),0),"")</f>
        <v/>
      </c>
      <c r="AE861" t="str">
        <f>IFERROR(ROUND(Q861*VLOOKUP(P861,商品!$A$4:$B$60,2,FALSE),0),"")</f>
        <v/>
      </c>
      <c r="AF861" t="str">
        <f>IFERROR(ROUND(S861*VLOOKUP(R861,商品!$A$4:$B$60,2,FALSE),0),"")</f>
        <v/>
      </c>
    </row>
    <row r="862" spans="1:32" ht="19.05" customHeight="1" x14ac:dyDescent="0.25">
      <c r="A862" s="16" t="s">
        <v>361</v>
      </c>
      <c r="C862" s="16">
        <v>8</v>
      </c>
      <c r="T862" s="2">
        <f t="shared" si="52"/>
        <v>0</v>
      </c>
      <c r="U862" s="2">
        <f t="shared" si="53"/>
        <v>0</v>
      </c>
      <c r="V862" s="2">
        <f t="shared" si="54"/>
        <v>0</v>
      </c>
      <c r="W862" s="2">
        <f t="shared" si="55"/>
        <v>0</v>
      </c>
      <c r="Y862" t="str">
        <f>IFERROR(ROUND(E862*VLOOKUP(D862,商品!$A$4:$B$60,2,FALSE),0),"")</f>
        <v/>
      </c>
      <c r="Z862" t="str">
        <f>IFERROR(ROUND(G862*VLOOKUP(F862,商品!$A$4:$B$60,2,FALSE),0),"")</f>
        <v/>
      </c>
      <c r="AA862" t="str">
        <f>IFERROR(ROUND(I862*VLOOKUP(H862,商品!$A$4:$B$60,2,FALSE),0),"")</f>
        <v/>
      </c>
      <c r="AB862" t="str">
        <f>IFERROR(ROUND(K862*VLOOKUP(J862,[1]note_pop_types!$A$16:$E$16,4,FALSE),0),"")</f>
        <v/>
      </c>
      <c r="AC862" t="str">
        <f>IFERROR(ROUND(M862*VLOOKUP(L862,[1]note_pop_types!$A$16:$E$16,4,FALSE),0),"")</f>
        <v/>
      </c>
      <c r="AD862" t="str">
        <f>IFERROR(ROUND(O862*VLOOKUP(N862,[1]note_pop_types!$A$16:$E$16,4,FALSE),0),"")</f>
        <v/>
      </c>
      <c r="AE862" t="str">
        <f>IFERROR(ROUND(Q862*VLOOKUP(P862,商品!$A$4:$B$60,2,FALSE),0),"")</f>
        <v/>
      </c>
      <c r="AF862" t="str">
        <f>IFERROR(ROUND(S862*VLOOKUP(R862,商品!$A$4:$B$60,2,FALSE),0),"")</f>
        <v/>
      </c>
    </row>
    <row r="863" spans="1:32" ht="19.05" customHeight="1" x14ac:dyDescent="0.25">
      <c r="A863" s="15" t="s">
        <v>363</v>
      </c>
      <c r="C863" s="15">
        <v>1</v>
      </c>
      <c r="T863" s="2">
        <f t="shared" si="52"/>
        <v>0</v>
      </c>
      <c r="U863" s="2">
        <f t="shared" si="53"/>
        <v>0</v>
      </c>
      <c r="V863" s="2">
        <f t="shared" si="54"/>
        <v>0</v>
      </c>
      <c r="W863" s="2">
        <f t="shared" si="55"/>
        <v>0</v>
      </c>
      <c r="Y863" t="str">
        <f>IFERROR(ROUND(E863*VLOOKUP(D863,商品!$A$4:$B$60,2,FALSE),0),"")</f>
        <v/>
      </c>
      <c r="Z863" t="str">
        <f>IFERROR(ROUND(G863*VLOOKUP(F863,商品!$A$4:$B$60,2,FALSE),0),"")</f>
        <v/>
      </c>
      <c r="AA863" t="str">
        <f>IFERROR(ROUND(I863*VLOOKUP(H863,商品!$A$4:$B$60,2,FALSE),0),"")</f>
        <v/>
      </c>
      <c r="AB863" t="str">
        <f>IFERROR(ROUND(K863*VLOOKUP(J863,[1]note_pop_types!$A$16:$E$16,4,FALSE),0),"")</f>
        <v/>
      </c>
      <c r="AC863" t="str">
        <f>IFERROR(ROUND(M863*VLOOKUP(L863,[1]note_pop_types!$A$16:$E$16,4,FALSE),0),"")</f>
        <v/>
      </c>
      <c r="AD863" t="str">
        <f>IFERROR(ROUND(O863*VLOOKUP(N863,[1]note_pop_types!$A$16:$E$16,4,FALSE),0),"")</f>
        <v/>
      </c>
      <c r="AE863" t="str">
        <f>IFERROR(ROUND(Q863*VLOOKUP(P863,商品!$A$4:$B$60,2,FALSE),0),"")</f>
        <v/>
      </c>
      <c r="AF863" t="str">
        <f>IFERROR(ROUND(S863*VLOOKUP(R863,商品!$A$4:$B$60,2,FALSE),0),"")</f>
        <v/>
      </c>
    </row>
    <row r="864" spans="1:32" ht="19.05" customHeight="1" x14ac:dyDescent="0.25">
      <c r="A864" s="15" t="s">
        <v>363</v>
      </c>
      <c r="C864" s="15">
        <v>2</v>
      </c>
      <c r="T864" s="2">
        <f t="shared" si="52"/>
        <v>0</v>
      </c>
      <c r="U864" s="2">
        <f t="shared" si="53"/>
        <v>0</v>
      </c>
      <c r="V864" s="2">
        <f t="shared" si="54"/>
        <v>0</v>
      </c>
      <c r="W864" s="2">
        <f t="shared" si="55"/>
        <v>0</v>
      </c>
      <c r="Y864" t="str">
        <f>IFERROR(ROUND(E864*VLOOKUP(D864,商品!$A$4:$B$60,2,FALSE),0),"")</f>
        <v/>
      </c>
      <c r="Z864" t="str">
        <f>IFERROR(ROUND(G864*VLOOKUP(F864,商品!$A$4:$B$60,2,FALSE),0),"")</f>
        <v/>
      </c>
      <c r="AA864" t="str">
        <f>IFERROR(ROUND(I864*VLOOKUP(H864,商品!$A$4:$B$60,2,FALSE),0),"")</f>
        <v/>
      </c>
      <c r="AB864" t="str">
        <f>IFERROR(ROUND(K864*VLOOKUP(J864,[1]note_pop_types!$A$16:$E$16,4,FALSE),0),"")</f>
        <v/>
      </c>
      <c r="AC864" t="str">
        <f>IFERROR(ROUND(M864*VLOOKUP(L864,[1]note_pop_types!$A$16:$E$16,4,FALSE),0),"")</f>
        <v/>
      </c>
      <c r="AD864" t="str">
        <f>IFERROR(ROUND(O864*VLOOKUP(N864,[1]note_pop_types!$A$16:$E$16,4,FALSE),0),"")</f>
        <v/>
      </c>
      <c r="AE864" t="str">
        <f>IFERROR(ROUND(Q864*VLOOKUP(P864,商品!$A$4:$B$60,2,FALSE),0),"")</f>
        <v/>
      </c>
      <c r="AF864" t="str">
        <f>IFERROR(ROUND(S864*VLOOKUP(R864,商品!$A$4:$B$60,2,FALSE),0),"")</f>
        <v/>
      </c>
    </row>
    <row r="865" spans="1:32" ht="19.05" customHeight="1" x14ac:dyDescent="0.25">
      <c r="A865" s="15" t="s">
        <v>363</v>
      </c>
      <c r="C865" s="15">
        <v>3</v>
      </c>
      <c r="T865" s="2">
        <f t="shared" si="52"/>
        <v>0</v>
      </c>
      <c r="U865" s="2">
        <f t="shared" si="53"/>
        <v>0</v>
      </c>
      <c r="V865" s="2">
        <f t="shared" si="54"/>
        <v>0</v>
      </c>
      <c r="W865" s="2">
        <f t="shared" si="55"/>
        <v>0</v>
      </c>
      <c r="Y865" t="str">
        <f>IFERROR(ROUND(E865*VLOOKUP(D865,商品!$A$4:$B$60,2,FALSE),0),"")</f>
        <v/>
      </c>
      <c r="Z865" t="str">
        <f>IFERROR(ROUND(G865*VLOOKUP(F865,商品!$A$4:$B$60,2,FALSE),0),"")</f>
        <v/>
      </c>
      <c r="AA865" t="str">
        <f>IFERROR(ROUND(I865*VLOOKUP(H865,商品!$A$4:$B$60,2,FALSE),0),"")</f>
        <v/>
      </c>
      <c r="AB865" t="str">
        <f>IFERROR(ROUND(K865*VLOOKUP(J865,[1]note_pop_types!$A$16:$E$16,4,FALSE),0),"")</f>
        <v/>
      </c>
      <c r="AC865" t="str">
        <f>IFERROR(ROUND(M865*VLOOKUP(L865,[1]note_pop_types!$A$16:$E$16,4,FALSE),0),"")</f>
        <v/>
      </c>
      <c r="AD865" t="str">
        <f>IFERROR(ROUND(O865*VLOOKUP(N865,[1]note_pop_types!$A$16:$E$16,4,FALSE),0),"")</f>
        <v/>
      </c>
      <c r="AE865" t="str">
        <f>IFERROR(ROUND(Q865*VLOOKUP(P865,商品!$A$4:$B$60,2,FALSE),0),"")</f>
        <v/>
      </c>
      <c r="AF865" t="str">
        <f>IFERROR(ROUND(S865*VLOOKUP(R865,商品!$A$4:$B$60,2,FALSE),0),"")</f>
        <v/>
      </c>
    </row>
    <row r="866" spans="1:32" ht="19.05" customHeight="1" x14ac:dyDescent="0.25">
      <c r="A866" s="15" t="s">
        <v>363</v>
      </c>
      <c r="C866" s="15">
        <v>4</v>
      </c>
      <c r="T866" s="2">
        <f t="shared" si="52"/>
        <v>0</v>
      </c>
      <c r="U866" s="2">
        <f t="shared" si="53"/>
        <v>0</v>
      </c>
      <c r="V866" s="2">
        <f t="shared" si="54"/>
        <v>0</v>
      </c>
      <c r="W866" s="2">
        <f t="shared" si="55"/>
        <v>0</v>
      </c>
      <c r="Y866" t="str">
        <f>IFERROR(ROUND(E866*VLOOKUP(D866,商品!$A$4:$B$60,2,FALSE),0),"")</f>
        <v/>
      </c>
      <c r="Z866" t="str">
        <f>IFERROR(ROUND(G866*VLOOKUP(F866,商品!$A$4:$B$60,2,FALSE),0),"")</f>
        <v/>
      </c>
      <c r="AA866" t="str">
        <f>IFERROR(ROUND(I866*VLOOKUP(H866,商品!$A$4:$B$60,2,FALSE),0),"")</f>
        <v/>
      </c>
      <c r="AB866" t="str">
        <f>IFERROR(ROUND(K866*VLOOKUP(J866,[1]note_pop_types!$A$16:$E$16,4,FALSE),0),"")</f>
        <v/>
      </c>
      <c r="AC866" t="str">
        <f>IFERROR(ROUND(M866*VLOOKUP(L866,[1]note_pop_types!$A$16:$E$16,4,FALSE),0),"")</f>
        <v/>
      </c>
      <c r="AD866" t="str">
        <f>IFERROR(ROUND(O866*VLOOKUP(N866,[1]note_pop_types!$A$16:$E$16,4,FALSE),0),"")</f>
        <v/>
      </c>
      <c r="AE866" t="str">
        <f>IFERROR(ROUND(Q866*VLOOKUP(P866,商品!$A$4:$B$60,2,FALSE),0),"")</f>
        <v/>
      </c>
      <c r="AF866" t="str">
        <f>IFERROR(ROUND(S866*VLOOKUP(R866,商品!$A$4:$B$60,2,FALSE),0),"")</f>
        <v/>
      </c>
    </row>
    <row r="867" spans="1:32" ht="19.05" customHeight="1" x14ac:dyDescent="0.25">
      <c r="A867" s="15" t="s">
        <v>363</v>
      </c>
      <c r="C867" s="15">
        <v>5</v>
      </c>
      <c r="T867" s="2">
        <f t="shared" si="52"/>
        <v>0</v>
      </c>
      <c r="U867" s="2">
        <f t="shared" si="53"/>
        <v>0</v>
      </c>
      <c r="V867" s="2">
        <f t="shared" si="54"/>
        <v>0</v>
      </c>
      <c r="W867" s="2">
        <f t="shared" si="55"/>
        <v>0</v>
      </c>
      <c r="Y867" t="str">
        <f>IFERROR(ROUND(E867*VLOOKUP(D867,商品!$A$4:$B$60,2,FALSE),0),"")</f>
        <v/>
      </c>
      <c r="Z867" t="str">
        <f>IFERROR(ROUND(G867*VLOOKUP(F867,商品!$A$4:$B$60,2,FALSE),0),"")</f>
        <v/>
      </c>
      <c r="AA867" t="str">
        <f>IFERROR(ROUND(I867*VLOOKUP(H867,商品!$A$4:$B$60,2,FALSE),0),"")</f>
        <v/>
      </c>
      <c r="AB867" t="str">
        <f>IFERROR(ROUND(K867*VLOOKUP(J867,[1]note_pop_types!$A$16:$E$16,4,FALSE),0),"")</f>
        <v/>
      </c>
      <c r="AC867" t="str">
        <f>IFERROR(ROUND(M867*VLOOKUP(L867,[1]note_pop_types!$A$16:$E$16,4,FALSE),0),"")</f>
        <v/>
      </c>
      <c r="AD867" t="str">
        <f>IFERROR(ROUND(O867*VLOOKUP(N867,[1]note_pop_types!$A$16:$E$16,4,FALSE),0),"")</f>
        <v/>
      </c>
      <c r="AE867" t="str">
        <f>IFERROR(ROUND(Q867*VLOOKUP(P867,商品!$A$4:$B$60,2,FALSE),0),"")</f>
        <v/>
      </c>
      <c r="AF867" t="str">
        <f>IFERROR(ROUND(S867*VLOOKUP(R867,商品!$A$4:$B$60,2,FALSE),0),"")</f>
        <v/>
      </c>
    </row>
    <row r="868" spans="1:32" ht="19.05" customHeight="1" x14ac:dyDescent="0.25">
      <c r="A868" s="16" t="s">
        <v>542</v>
      </c>
      <c r="C868" s="16">
        <v>1</v>
      </c>
      <c r="T868" s="2">
        <f t="shared" si="52"/>
        <v>0</v>
      </c>
      <c r="U868" s="2">
        <f t="shared" si="53"/>
        <v>0</v>
      </c>
      <c r="V868" s="2">
        <f t="shared" si="54"/>
        <v>0</v>
      </c>
      <c r="W868" s="2">
        <f t="shared" si="55"/>
        <v>0</v>
      </c>
      <c r="Y868" t="str">
        <f>IFERROR(ROUND(E868*VLOOKUP(D868,商品!$A$4:$B$60,2,FALSE),0),"")</f>
        <v/>
      </c>
      <c r="Z868" t="str">
        <f>IFERROR(ROUND(G868*VLOOKUP(F868,商品!$A$4:$B$60,2,FALSE),0),"")</f>
        <v/>
      </c>
      <c r="AA868" t="str">
        <f>IFERROR(ROUND(I868*VLOOKUP(H868,商品!$A$4:$B$60,2,FALSE),0),"")</f>
        <v/>
      </c>
      <c r="AB868" t="str">
        <f>IFERROR(ROUND(K868*VLOOKUP(J868,[1]note_pop_types!$A$16:$E$16,4,FALSE),0),"")</f>
        <v/>
      </c>
      <c r="AC868" t="str">
        <f>IFERROR(ROUND(M868*VLOOKUP(L868,[1]note_pop_types!$A$16:$E$16,4,FALSE),0),"")</f>
        <v/>
      </c>
      <c r="AD868" t="str">
        <f>IFERROR(ROUND(O868*VLOOKUP(N868,[1]note_pop_types!$A$16:$E$16,4,FALSE),0),"")</f>
        <v/>
      </c>
      <c r="AE868" t="str">
        <f>IFERROR(ROUND(Q868*VLOOKUP(P868,商品!$A$4:$B$60,2,FALSE),0),"")</f>
        <v/>
      </c>
      <c r="AF868" t="str">
        <f>IFERROR(ROUND(S868*VLOOKUP(R868,商品!$A$4:$B$60,2,FALSE),0),"")</f>
        <v/>
      </c>
    </row>
    <row r="869" spans="1:32" ht="19.05" customHeight="1" x14ac:dyDescent="0.25">
      <c r="A869" s="16" t="s">
        <v>542</v>
      </c>
      <c r="C869" s="16">
        <v>2</v>
      </c>
      <c r="T869" s="2">
        <f t="shared" si="52"/>
        <v>0</v>
      </c>
      <c r="U869" s="2">
        <f t="shared" si="53"/>
        <v>0</v>
      </c>
      <c r="V869" s="2">
        <f t="shared" si="54"/>
        <v>0</v>
      </c>
      <c r="W869" s="2">
        <f t="shared" si="55"/>
        <v>0</v>
      </c>
      <c r="Y869" t="str">
        <f>IFERROR(ROUND(E869*VLOOKUP(D869,商品!$A$4:$B$60,2,FALSE),0),"")</f>
        <v/>
      </c>
      <c r="Z869" t="str">
        <f>IFERROR(ROUND(G869*VLOOKUP(F869,商品!$A$4:$B$60,2,FALSE),0),"")</f>
        <v/>
      </c>
      <c r="AA869" t="str">
        <f>IFERROR(ROUND(I869*VLOOKUP(H869,商品!$A$4:$B$60,2,FALSE),0),"")</f>
        <v/>
      </c>
      <c r="AB869" t="str">
        <f>IFERROR(ROUND(K869*VLOOKUP(J869,[1]note_pop_types!$A$16:$E$16,4,FALSE),0),"")</f>
        <v/>
      </c>
      <c r="AC869" t="str">
        <f>IFERROR(ROUND(M869*VLOOKUP(L869,[1]note_pop_types!$A$16:$E$16,4,FALSE),0),"")</f>
        <v/>
      </c>
      <c r="AD869" t="str">
        <f>IFERROR(ROUND(O869*VLOOKUP(N869,[1]note_pop_types!$A$16:$E$16,4,FALSE),0),"")</f>
        <v/>
      </c>
      <c r="AE869" t="str">
        <f>IFERROR(ROUND(Q869*VLOOKUP(P869,商品!$A$4:$B$60,2,FALSE),0),"")</f>
        <v/>
      </c>
      <c r="AF869" t="str">
        <f>IFERROR(ROUND(S869*VLOOKUP(R869,商品!$A$4:$B$60,2,FALSE),0),"")</f>
        <v/>
      </c>
    </row>
    <row r="870" spans="1:32" ht="19.05" customHeight="1" x14ac:dyDescent="0.25">
      <c r="A870" s="16" t="s">
        <v>542</v>
      </c>
      <c r="C870" s="16">
        <v>3</v>
      </c>
      <c r="T870" s="2">
        <f t="shared" si="52"/>
        <v>0</v>
      </c>
      <c r="U870" s="2">
        <f t="shared" si="53"/>
        <v>0</v>
      </c>
      <c r="V870" s="2">
        <f t="shared" si="54"/>
        <v>0</v>
      </c>
      <c r="W870" s="2">
        <f t="shared" si="55"/>
        <v>0</v>
      </c>
      <c r="Y870" t="str">
        <f>IFERROR(ROUND(E870*VLOOKUP(D870,商品!$A$4:$B$60,2,FALSE),0),"")</f>
        <v/>
      </c>
      <c r="Z870" t="str">
        <f>IFERROR(ROUND(G870*VLOOKUP(F870,商品!$A$4:$B$60,2,FALSE),0),"")</f>
        <v/>
      </c>
      <c r="AA870" t="str">
        <f>IFERROR(ROUND(I870*VLOOKUP(H870,商品!$A$4:$B$60,2,FALSE),0),"")</f>
        <v/>
      </c>
      <c r="AB870" t="str">
        <f>IFERROR(ROUND(K870*VLOOKUP(J870,[1]note_pop_types!$A$16:$E$16,4,FALSE),0),"")</f>
        <v/>
      </c>
      <c r="AC870" t="str">
        <f>IFERROR(ROUND(M870*VLOOKUP(L870,[1]note_pop_types!$A$16:$E$16,4,FALSE),0),"")</f>
        <v/>
      </c>
      <c r="AD870" t="str">
        <f>IFERROR(ROUND(O870*VLOOKUP(N870,[1]note_pop_types!$A$16:$E$16,4,FALSE),0),"")</f>
        <v/>
      </c>
      <c r="AE870" t="str">
        <f>IFERROR(ROUND(Q870*VLOOKUP(P870,商品!$A$4:$B$60,2,FALSE),0),"")</f>
        <v/>
      </c>
      <c r="AF870" t="str">
        <f>IFERROR(ROUND(S870*VLOOKUP(R870,商品!$A$4:$B$60,2,FALSE),0),"")</f>
        <v/>
      </c>
    </row>
    <row r="871" spans="1:32" ht="19.05" customHeight="1" x14ac:dyDescent="0.25">
      <c r="A871" s="16" t="s">
        <v>542</v>
      </c>
      <c r="C871" s="16">
        <v>4</v>
      </c>
      <c r="T871" s="2">
        <f t="shared" si="52"/>
        <v>0</v>
      </c>
      <c r="U871" s="2">
        <f t="shared" si="53"/>
        <v>0</v>
      </c>
      <c r="V871" s="2">
        <f t="shared" si="54"/>
        <v>0</v>
      </c>
      <c r="W871" s="2">
        <f t="shared" si="55"/>
        <v>0</v>
      </c>
      <c r="Y871" t="str">
        <f>IFERROR(ROUND(E871*VLOOKUP(D871,商品!$A$4:$B$60,2,FALSE),0),"")</f>
        <v/>
      </c>
      <c r="Z871" t="str">
        <f>IFERROR(ROUND(G871*VLOOKUP(F871,商品!$A$4:$B$60,2,FALSE),0),"")</f>
        <v/>
      </c>
      <c r="AA871" t="str">
        <f>IFERROR(ROUND(I871*VLOOKUP(H871,商品!$A$4:$B$60,2,FALSE),0),"")</f>
        <v/>
      </c>
      <c r="AB871" t="str">
        <f>IFERROR(ROUND(K871*VLOOKUP(J871,[1]note_pop_types!$A$16:$E$16,4,FALSE),0),"")</f>
        <v/>
      </c>
      <c r="AC871" t="str">
        <f>IFERROR(ROUND(M871*VLOOKUP(L871,[1]note_pop_types!$A$16:$E$16,4,FALSE),0),"")</f>
        <v/>
      </c>
      <c r="AD871" t="str">
        <f>IFERROR(ROUND(O871*VLOOKUP(N871,[1]note_pop_types!$A$16:$E$16,4,FALSE),0),"")</f>
        <v/>
      </c>
      <c r="AE871" t="str">
        <f>IFERROR(ROUND(Q871*VLOOKUP(P871,商品!$A$4:$B$60,2,FALSE),0),"")</f>
        <v/>
      </c>
      <c r="AF871" t="str">
        <f>IFERROR(ROUND(S871*VLOOKUP(R871,商品!$A$4:$B$60,2,FALSE),0),"")</f>
        <v/>
      </c>
    </row>
    <row r="872" spans="1:32" ht="19.05" customHeight="1" x14ac:dyDescent="0.25">
      <c r="A872" s="16" t="s">
        <v>542</v>
      </c>
      <c r="C872" s="16">
        <v>5</v>
      </c>
      <c r="T872" s="2">
        <f t="shared" si="52"/>
        <v>0</v>
      </c>
      <c r="U872" s="2">
        <f t="shared" si="53"/>
        <v>0</v>
      </c>
      <c r="V872" s="2">
        <f t="shared" si="54"/>
        <v>0</v>
      </c>
      <c r="W872" s="2">
        <f t="shared" si="55"/>
        <v>0</v>
      </c>
      <c r="Y872" t="str">
        <f>IFERROR(ROUND(E872*VLOOKUP(D872,商品!$A$4:$B$60,2,FALSE),0),"")</f>
        <v/>
      </c>
      <c r="Z872" t="str">
        <f>IFERROR(ROUND(G872*VLOOKUP(F872,商品!$A$4:$B$60,2,FALSE),0),"")</f>
        <v/>
      </c>
      <c r="AA872" t="str">
        <f>IFERROR(ROUND(I872*VLOOKUP(H872,商品!$A$4:$B$60,2,FALSE),0),"")</f>
        <v/>
      </c>
      <c r="AB872" t="str">
        <f>IFERROR(ROUND(K872*VLOOKUP(J872,[1]note_pop_types!$A$16:$E$16,4,FALSE),0),"")</f>
        <v/>
      </c>
      <c r="AC872" t="str">
        <f>IFERROR(ROUND(M872*VLOOKUP(L872,[1]note_pop_types!$A$16:$E$16,4,FALSE),0),"")</f>
        <v/>
      </c>
      <c r="AD872" t="str">
        <f>IFERROR(ROUND(O872*VLOOKUP(N872,[1]note_pop_types!$A$16:$E$16,4,FALSE),0),"")</f>
        <v/>
      </c>
      <c r="AE872" t="str">
        <f>IFERROR(ROUND(Q872*VLOOKUP(P872,商品!$A$4:$B$60,2,FALSE),0),"")</f>
        <v/>
      </c>
      <c r="AF872" t="str">
        <f>IFERROR(ROUND(S872*VLOOKUP(R872,商品!$A$4:$B$60,2,FALSE),0),"")</f>
        <v/>
      </c>
    </row>
    <row r="873" spans="1:32" ht="19.05" customHeight="1" x14ac:dyDescent="0.25">
      <c r="A873" s="15" t="s">
        <v>542</v>
      </c>
      <c r="C873" s="15">
        <v>1</v>
      </c>
      <c r="T873" s="2">
        <f t="shared" si="52"/>
        <v>0</v>
      </c>
      <c r="U873" s="2">
        <f t="shared" si="53"/>
        <v>0</v>
      </c>
      <c r="V873" s="2">
        <f t="shared" si="54"/>
        <v>0</v>
      </c>
      <c r="W873" s="2">
        <f t="shared" si="55"/>
        <v>0</v>
      </c>
      <c r="Y873" t="str">
        <f>IFERROR(ROUND(E873*VLOOKUP(D873,商品!$A$4:$B$60,2,FALSE),0),"")</f>
        <v/>
      </c>
      <c r="Z873" t="str">
        <f>IFERROR(ROUND(G873*VLOOKUP(F873,商品!$A$4:$B$60,2,FALSE),0),"")</f>
        <v/>
      </c>
      <c r="AA873" t="str">
        <f>IFERROR(ROUND(I873*VLOOKUP(H873,商品!$A$4:$B$60,2,FALSE),0),"")</f>
        <v/>
      </c>
      <c r="AB873" t="str">
        <f>IFERROR(ROUND(K873*VLOOKUP(J873,[1]note_pop_types!$A$16:$E$16,4,FALSE),0),"")</f>
        <v/>
      </c>
      <c r="AC873" t="str">
        <f>IFERROR(ROUND(M873*VLOOKUP(L873,[1]note_pop_types!$A$16:$E$16,4,FALSE),0),"")</f>
        <v/>
      </c>
      <c r="AD873" t="str">
        <f>IFERROR(ROUND(O873*VLOOKUP(N873,[1]note_pop_types!$A$16:$E$16,4,FALSE),0),"")</f>
        <v/>
      </c>
      <c r="AE873" t="str">
        <f>IFERROR(ROUND(Q873*VLOOKUP(P873,商品!$A$4:$B$60,2,FALSE),0),"")</f>
        <v/>
      </c>
      <c r="AF873" t="str">
        <f>IFERROR(ROUND(S873*VLOOKUP(R873,商品!$A$4:$B$60,2,FALSE),0),"")</f>
        <v/>
      </c>
    </row>
    <row r="874" spans="1:32" ht="19.05" customHeight="1" x14ac:dyDescent="0.25">
      <c r="A874" s="15" t="s">
        <v>542</v>
      </c>
      <c r="C874" s="15">
        <v>2</v>
      </c>
      <c r="T874" s="2">
        <f t="shared" si="52"/>
        <v>0</v>
      </c>
      <c r="U874" s="2">
        <f t="shared" si="53"/>
        <v>0</v>
      </c>
      <c r="V874" s="2">
        <f t="shared" si="54"/>
        <v>0</v>
      </c>
      <c r="W874" s="2">
        <f t="shared" si="55"/>
        <v>0</v>
      </c>
      <c r="Y874" t="str">
        <f>IFERROR(ROUND(E874*VLOOKUP(D874,商品!$A$4:$B$60,2,FALSE),0),"")</f>
        <v/>
      </c>
      <c r="Z874" t="str">
        <f>IFERROR(ROUND(G874*VLOOKUP(F874,商品!$A$4:$B$60,2,FALSE),0),"")</f>
        <v/>
      </c>
      <c r="AA874" t="str">
        <f>IFERROR(ROUND(I874*VLOOKUP(H874,商品!$A$4:$B$60,2,FALSE),0),"")</f>
        <v/>
      </c>
      <c r="AB874" t="str">
        <f>IFERROR(ROUND(K874*VLOOKUP(J874,[1]note_pop_types!$A$16:$E$16,4,FALSE),0),"")</f>
        <v/>
      </c>
      <c r="AC874" t="str">
        <f>IFERROR(ROUND(M874*VLOOKUP(L874,[1]note_pop_types!$A$16:$E$16,4,FALSE),0),"")</f>
        <v/>
      </c>
      <c r="AD874" t="str">
        <f>IFERROR(ROUND(O874*VLOOKUP(N874,[1]note_pop_types!$A$16:$E$16,4,FALSE),0),"")</f>
        <v/>
      </c>
      <c r="AE874" t="str">
        <f>IFERROR(ROUND(Q874*VLOOKUP(P874,商品!$A$4:$B$60,2,FALSE),0),"")</f>
        <v/>
      </c>
      <c r="AF874" t="str">
        <f>IFERROR(ROUND(S874*VLOOKUP(R874,商品!$A$4:$B$60,2,FALSE),0),"")</f>
        <v/>
      </c>
    </row>
    <row r="875" spans="1:32" ht="19.05" customHeight="1" x14ac:dyDescent="0.25">
      <c r="A875" s="15" t="s">
        <v>542</v>
      </c>
      <c r="C875" s="15">
        <v>3</v>
      </c>
      <c r="T875" s="2">
        <f t="shared" si="52"/>
        <v>0</v>
      </c>
      <c r="U875" s="2">
        <f t="shared" si="53"/>
        <v>0</v>
      </c>
      <c r="V875" s="2">
        <f t="shared" si="54"/>
        <v>0</v>
      </c>
      <c r="W875" s="2">
        <f t="shared" si="55"/>
        <v>0</v>
      </c>
      <c r="Y875" t="str">
        <f>IFERROR(ROUND(E875*VLOOKUP(D875,商品!$A$4:$B$60,2,FALSE),0),"")</f>
        <v/>
      </c>
      <c r="Z875" t="str">
        <f>IFERROR(ROUND(G875*VLOOKUP(F875,商品!$A$4:$B$60,2,FALSE),0),"")</f>
        <v/>
      </c>
      <c r="AA875" t="str">
        <f>IFERROR(ROUND(I875*VLOOKUP(H875,商品!$A$4:$B$60,2,FALSE),0),"")</f>
        <v/>
      </c>
      <c r="AB875" t="str">
        <f>IFERROR(ROUND(K875*VLOOKUP(J875,[1]note_pop_types!$A$16:$E$16,4,FALSE),0),"")</f>
        <v/>
      </c>
      <c r="AC875" t="str">
        <f>IFERROR(ROUND(M875*VLOOKUP(L875,[1]note_pop_types!$A$16:$E$16,4,FALSE),0),"")</f>
        <v/>
      </c>
      <c r="AD875" t="str">
        <f>IFERROR(ROUND(O875*VLOOKUP(N875,[1]note_pop_types!$A$16:$E$16,4,FALSE),0),"")</f>
        <v/>
      </c>
      <c r="AE875" t="str">
        <f>IFERROR(ROUND(Q875*VLOOKUP(P875,商品!$A$4:$B$60,2,FALSE),0),"")</f>
        <v/>
      </c>
      <c r="AF875" t="str">
        <f>IFERROR(ROUND(S875*VLOOKUP(R875,商品!$A$4:$B$60,2,FALSE),0),"")</f>
        <v/>
      </c>
    </row>
    <row r="876" spans="1:32" ht="19.05" customHeight="1" x14ac:dyDescent="0.25">
      <c r="A876" s="15" t="s">
        <v>542</v>
      </c>
      <c r="C876" s="15">
        <v>4</v>
      </c>
      <c r="T876" s="2">
        <f t="shared" si="52"/>
        <v>0</v>
      </c>
      <c r="U876" s="2">
        <f t="shared" si="53"/>
        <v>0</v>
      </c>
      <c r="V876" s="2">
        <f t="shared" si="54"/>
        <v>0</v>
      </c>
      <c r="W876" s="2">
        <f t="shared" si="55"/>
        <v>0</v>
      </c>
      <c r="Y876" t="str">
        <f>IFERROR(ROUND(E876*VLOOKUP(D876,商品!$A$4:$B$60,2,FALSE),0),"")</f>
        <v/>
      </c>
      <c r="Z876" t="str">
        <f>IFERROR(ROUND(G876*VLOOKUP(F876,商品!$A$4:$B$60,2,FALSE),0),"")</f>
        <v/>
      </c>
      <c r="AA876" t="str">
        <f>IFERROR(ROUND(I876*VLOOKUP(H876,商品!$A$4:$B$60,2,FALSE),0),"")</f>
        <v/>
      </c>
      <c r="AB876" t="str">
        <f>IFERROR(ROUND(K876*VLOOKUP(J876,[1]note_pop_types!$A$16:$E$16,4,FALSE),0),"")</f>
        <v/>
      </c>
      <c r="AC876" t="str">
        <f>IFERROR(ROUND(M876*VLOOKUP(L876,[1]note_pop_types!$A$16:$E$16,4,FALSE),0),"")</f>
        <v/>
      </c>
      <c r="AD876" t="str">
        <f>IFERROR(ROUND(O876*VLOOKUP(N876,[1]note_pop_types!$A$16:$E$16,4,FALSE),0),"")</f>
        <v/>
      </c>
      <c r="AE876" t="str">
        <f>IFERROR(ROUND(Q876*VLOOKUP(P876,商品!$A$4:$B$60,2,FALSE),0),"")</f>
        <v/>
      </c>
      <c r="AF876" t="str">
        <f>IFERROR(ROUND(S876*VLOOKUP(R876,商品!$A$4:$B$60,2,FALSE),0),"")</f>
        <v/>
      </c>
    </row>
    <row r="877" spans="1:32" ht="19.05" customHeight="1" x14ac:dyDescent="0.25">
      <c r="A877" s="15" t="s">
        <v>542</v>
      </c>
      <c r="C877" s="15">
        <v>5</v>
      </c>
      <c r="T877" s="2">
        <f t="shared" si="52"/>
        <v>0</v>
      </c>
      <c r="U877" s="2">
        <f t="shared" si="53"/>
        <v>0</v>
      </c>
      <c r="V877" s="2">
        <f t="shared" si="54"/>
        <v>0</v>
      </c>
      <c r="W877" s="2">
        <f t="shared" si="55"/>
        <v>0</v>
      </c>
      <c r="Y877" t="str">
        <f>IFERROR(ROUND(E877*VLOOKUP(D877,商品!$A$4:$B$60,2,FALSE),0),"")</f>
        <v/>
      </c>
      <c r="Z877" t="str">
        <f>IFERROR(ROUND(G877*VLOOKUP(F877,商品!$A$4:$B$60,2,FALSE),0),"")</f>
        <v/>
      </c>
      <c r="AA877" t="str">
        <f>IFERROR(ROUND(I877*VLOOKUP(H877,商品!$A$4:$B$60,2,FALSE),0),"")</f>
        <v/>
      </c>
      <c r="AB877" t="str">
        <f>IFERROR(ROUND(K877*VLOOKUP(J877,[1]note_pop_types!$A$16:$E$16,4,FALSE),0),"")</f>
        <v/>
      </c>
      <c r="AC877" t="str">
        <f>IFERROR(ROUND(M877*VLOOKUP(L877,[1]note_pop_types!$A$16:$E$16,4,FALSE),0),"")</f>
        <v/>
      </c>
      <c r="AD877" t="str">
        <f>IFERROR(ROUND(O877*VLOOKUP(N877,[1]note_pop_types!$A$16:$E$16,4,FALSE),0),"")</f>
        <v/>
      </c>
      <c r="AE877" t="str">
        <f>IFERROR(ROUND(Q877*VLOOKUP(P877,商品!$A$4:$B$60,2,FALSE),0),"")</f>
        <v/>
      </c>
      <c r="AF877" t="str">
        <f>IFERROR(ROUND(S877*VLOOKUP(R877,商品!$A$4:$B$60,2,FALSE),0),"")</f>
        <v/>
      </c>
    </row>
    <row r="878" spans="1:32" ht="19.05" customHeight="1" x14ac:dyDescent="0.25">
      <c r="A878" s="16" t="s">
        <v>366</v>
      </c>
      <c r="C878" s="16">
        <v>1</v>
      </c>
      <c r="T878" s="2">
        <f t="shared" si="52"/>
        <v>0</v>
      </c>
      <c r="U878" s="2">
        <f t="shared" si="53"/>
        <v>0</v>
      </c>
      <c r="V878" s="2">
        <f t="shared" si="54"/>
        <v>0</v>
      </c>
      <c r="W878" s="2">
        <f t="shared" si="55"/>
        <v>0</v>
      </c>
      <c r="Y878" t="str">
        <f>IFERROR(ROUND(E878*VLOOKUP(D878,商品!$A$4:$B$60,2,FALSE),0),"")</f>
        <v/>
      </c>
      <c r="Z878" t="str">
        <f>IFERROR(ROUND(G878*VLOOKUP(F878,商品!$A$4:$B$60,2,FALSE),0),"")</f>
        <v/>
      </c>
      <c r="AA878" t="str">
        <f>IFERROR(ROUND(I878*VLOOKUP(H878,商品!$A$4:$B$60,2,FALSE),0),"")</f>
        <v/>
      </c>
      <c r="AB878" t="str">
        <f>IFERROR(ROUND(K878*VLOOKUP(J878,[1]note_pop_types!$A$16:$E$16,4,FALSE),0),"")</f>
        <v/>
      </c>
      <c r="AC878" t="str">
        <f>IFERROR(ROUND(M878*VLOOKUP(L878,[1]note_pop_types!$A$16:$E$16,4,FALSE),0),"")</f>
        <v/>
      </c>
      <c r="AD878" t="str">
        <f>IFERROR(ROUND(O878*VLOOKUP(N878,[1]note_pop_types!$A$16:$E$16,4,FALSE),0),"")</f>
        <v/>
      </c>
      <c r="AE878" t="str">
        <f>IFERROR(ROUND(Q878*VLOOKUP(P878,商品!$A$4:$B$60,2,FALSE),0),"")</f>
        <v/>
      </c>
      <c r="AF878" t="str">
        <f>IFERROR(ROUND(S878*VLOOKUP(R878,商品!$A$4:$B$60,2,FALSE),0),"")</f>
        <v/>
      </c>
    </row>
    <row r="879" spans="1:32" ht="19.05" customHeight="1" x14ac:dyDescent="0.25">
      <c r="A879" s="16" t="s">
        <v>366</v>
      </c>
      <c r="C879" s="16">
        <v>2</v>
      </c>
      <c r="T879" s="2">
        <f t="shared" si="52"/>
        <v>0</v>
      </c>
      <c r="U879" s="2">
        <f t="shared" si="53"/>
        <v>0</v>
      </c>
      <c r="V879" s="2">
        <f t="shared" si="54"/>
        <v>0</v>
      </c>
      <c r="W879" s="2">
        <f t="shared" si="55"/>
        <v>0</v>
      </c>
      <c r="Y879" t="str">
        <f>IFERROR(ROUND(E879*VLOOKUP(D879,商品!$A$4:$B$60,2,FALSE),0),"")</f>
        <v/>
      </c>
      <c r="Z879" t="str">
        <f>IFERROR(ROUND(G879*VLOOKUP(F879,商品!$A$4:$B$60,2,FALSE),0),"")</f>
        <v/>
      </c>
      <c r="AA879" t="str">
        <f>IFERROR(ROUND(I879*VLOOKUP(H879,商品!$A$4:$B$60,2,FALSE),0),"")</f>
        <v/>
      </c>
      <c r="AB879" t="str">
        <f>IFERROR(ROUND(K879*VLOOKUP(J879,[1]note_pop_types!$A$16:$E$16,4,FALSE),0),"")</f>
        <v/>
      </c>
      <c r="AC879" t="str">
        <f>IFERROR(ROUND(M879*VLOOKUP(L879,[1]note_pop_types!$A$16:$E$16,4,FALSE),0),"")</f>
        <v/>
      </c>
      <c r="AD879" t="str">
        <f>IFERROR(ROUND(O879*VLOOKUP(N879,[1]note_pop_types!$A$16:$E$16,4,FALSE),0),"")</f>
        <v/>
      </c>
      <c r="AE879" t="str">
        <f>IFERROR(ROUND(Q879*VLOOKUP(P879,商品!$A$4:$B$60,2,FALSE),0),"")</f>
        <v/>
      </c>
      <c r="AF879" t="str">
        <f>IFERROR(ROUND(S879*VLOOKUP(R879,商品!$A$4:$B$60,2,FALSE),0),"")</f>
        <v/>
      </c>
    </row>
    <row r="880" spans="1:32" ht="19.05" customHeight="1" x14ac:dyDescent="0.25">
      <c r="A880" s="16" t="s">
        <v>366</v>
      </c>
      <c r="C880" s="16">
        <v>3</v>
      </c>
      <c r="T880" s="2">
        <f t="shared" si="52"/>
        <v>0</v>
      </c>
      <c r="U880" s="2">
        <f t="shared" si="53"/>
        <v>0</v>
      </c>
      <c r="V880" s="2">
        <f t="shared" si="54"/>
        <v>0</v>
      </c>
      <c r="W880" s="2">
        <f t="shared" si="55"/>
        <v>0</v>
      </c>
      <c r="Y880" t="str">
        <f>IFERROR(ROUND(E880*VLOOKUP(D880,商品!$A$4:$B$60,2,FALSE),0),"")</f>
        <v/>
      </c>
      <c r="Z880" t="str">
        <f>IFERROR(ROUND(G880*VLOOKUP(F880,商品!$A$4:$B$60,2,FALSE),0),"")</f>
        <v/>
      </c>
      <c r="AA880" t="str">
        <f>IFERROR(ROUND(I880*VLOOKUP(H880,商品!$A$4:$B$60,2,FALSE),0),"")</f>
        <v/>
      </c>
      <c r="AB880" t="str">
        <f>IFERROR(ROUND(K880*VLOOKUP(J880,[1]note_pop_types!$A$16:$E$16,4,FALSE),0),"")</f>
        <v/>
      </c>
      <c r="AC880" t="str">
        <f>IFERROR(ROUND(M880*VLOOKUP(L880,[1]note_pop_types!$A$16:$E$16,4,FALSE),0),"")</f>
        <v/>
      </c>
      <c r="AD880" t="str">
        <f>IFERROR(ROUND(O880*VLOOKUP(N880,[1]note_pop_types!$A$16:$E$16,4,FALSE),0),"")</f>
        <v/>
      </c>
      <c r="AE880" t="str">
        <f>IFERROR(ROUND(Q880*VLOOKUP(P880,商品!$A$4:$B$60,2,FALSE),0),"")</f>
        <v/>
      </c>
      <c r="AF880" t="str">
        <f>IFERROR(ROUND(S880*VLOOKUP(R880,商品!$A$4:$B$60,2,FALSE),0),"")</f>
        <v/>
      </c>
    </row>
    <row r="881" spans="1:32" ht="19.05" customHeight="1" x14ac:dyDescent="0.25">
      <c r="A881" s="16" t="s">
        <v>366</v>
      </c>
      <c r="C881" s="16">
        <v>4</v>
      </c>
      <c r="T881" s="2">
        <f t="shared" si="52"/>
        <v>0</v>
      </c>
      <c r="U881" s="2">
        <f t="shared" si="53"/>
        <v>0</v>
      </c>
      <c r="V881" s="2">
        <f t="shared" si="54"/>
        <v>0</v>
      </c>
      <c r="W881" s="2">
        <f t="shared" si="55"/>
        <v>0</v>
      </c>
      <c r="Y881" t="str">
        <f>IFERROR(ROUND(E881*VLOOKUP(D881,商品!$A$4:$B$60,2,FALSE),0),"")</f>
        <v/>
      </c>
      <c r="Z881" t="str">
        <f>IFERROR(ROUND(G881*VLOOKUP(F881,商品!$A$4:$B$60,2,FALSE),0),"")</f>
        <v/>
      </c>
      <c r="AA881" t="str">
        <f>IFERROR(ROUND(I881*VLOOKUP(H881,商品!$A$4:$B$60,2,FALSE),0),"")</f>
        <v/>
      </c>
      <c r="AB881" t="str">
        <f>IFERROR(ROUND(K881*VLOOKUP(J881,[1]note_pop_types!$A$16:$E$16,4,FALSE),0),"")</f>
        <v/>
      </c>
      <c r="AC881" t="str">
        <f>IFERROR(ROUND(M881*VLOOKUP(L881,[1]note_pop_types!$A$16:$E$16,4,FALSE),0),"")</f>
        <v/>
      </c>
      <c r="AD881" t="str">
        <f>IFERROR(ROUND(O881*VLOOKUP(N881,[1]note_pop_types!$A$16:$E$16,4,FALSE),0),"")</f>
        <v/>
      </c>
      <c r="AE881" t="str">
        <f>IFERROR(ROUND(Q881*VLOOKUP(P881,商品!$A$4:$B$60,2,FALSE),0),"")</f>
        <v/>
      </c>
      <c r="AF881" t="str">
        <f>IFERROR(ROUND(S881*VLOOKUP(R881,商品!$A$4:$B$60,2,FALSE),0),"")</f>
        <v/>
      </c>
    </row>
    <row r="882" spans="1:32" ht="19.05" customHeight="1" x14ac:dyDescent="0.25">
      <c r="A882" s="16" t="s">
        <v>366</v>
      </c>
      <c r="C882" s="16">
        <v>5</v>
      </c>
      <c r="T882" s="2">
        <f t="shared" si="52"/>
        <v>0</v>
      </c>
      <c r="U882" s="2">
        <f t="shared" si="53"/>
        <v>0</v>
      </c>
      <c r="V882" s="2">
        <f t="shared" si="54"/>
        <v>0</v>
      </c>
      <c r="W882" s="2">
        <f t="shared" si="55"/>
        <v>0</v>
      </c>
      <c r="Y882" t="str">
        <f>IFERROR(ROUND(E882*VLOOKUP(D882,商品!$A$4:$B$60,2,FALSE),0),"")</f>
        <v/>
      </c>
      <c r="Z882" t="str">
        <f>IFERROR(ROUND(G882*VLOOKUP(F882,商品!$A$4:$B$60,2,FALSE),0),"")</f>
        <v/>
      </c>
      <c r="AA882" t="str">
        <f>IFERROR(ROUND(I882*VLOOKUP(H882,商品!$A$4:$B$60,2,FALSE),0),"")</f>
        <v/>
      </c>
      <c r="AB882" t="str">
        <f>IFERROR(ROUND(K882*VLOOKUP(J882,[1]note_pop_types!$A$16:$E$16,4,FALSE),0),"")</f>
        <v/>
      </c>
      <c r="AC882" t="str">
        <f>IFERROR(ROUND(M882*VLOOKUP(L882,[1]note_pop_types!$A$16:$E$16,4,FALSE),0),"")</f>
        <v/>
      </c>
      <c r="AD882" t="str">
        <f>IFERROR(ROUND(O882*VLOOKUP(N882,[1]note_pop_types!$A$16:$E$16,4,FALSE),0),"")</f>
        <v/>
      </c>
      <c r="AE882" t="str">
        <f>IFERROR(ROUND(Q882*VLOOKUP(P882,商品!$A$4:$B$60,2,FALSE),0),"")</f>
        <v/>
      </c>
      <c r="AF882" t="str">
        <f>IFERROR(ROUND(S882*VLOOKUP(R882,商品!$A$4:$B$60,2,FALSE),0),"")</f>
        <v/>
      </c>
    </row>
    <row r="883" spans="1:32" ht="19.05" customHeight="1" x14ac:dyDescent="0.25">
      <c r="A883" s="16" t="s">
        <v>366</v>
      </c>
      <c r="C883" s="16">
        <v>6</v>
      </c>
      <c r="T883" s="2">
        <f t="shared" si="52"/>
        <v>0</v>
      </c>
      <c r="U883" s="2">
        <f t="shared" si="53"/>
        <v>0</v>
      </c>
      <c r="V883" s="2">
        <f t="shared" si="54"/>
        <v>0</v>
      </c>
      <c r="W883" s="2">
        <f t="shared" si="55"/>
        <v>0</v>
      </c>
      <c r="Y883" t="str">
        <f>IFERROR(ROUND(E883*VLOOKUP(D883,商品!$A$4:$B$60,2,FALSE),0),"")</f>
        <v/>
      </c>
      <c r="Z883" t="str">
        <f>IFERROR(ROUND(G883*VLOOKUP(F883,商品!$A$4:$B$60,2,FALSE),0),"")</f>
        <v/>
      </c>
      <c r="AA883" t="str">
        <f>IFERROR(ROUND(I883*VLOOKUP(H883,商品!$A$4:$B$60,2,FALSE),0),"")</f>
        <v/>
      </c>
      <c r="AB883" t="str">
        <f>IFERROR(ROUND(K883*VLOOKUP(J883,[1]note_pop_types!$A$16:$E$16,4,FALSE),0),"")</f>
        <v/>
      </c>
      <c r="AC883" t="str">
        <f>IFERROR(ROUND(M883*VLOOKUP(L883,[1]note_pop_types!$A$16:$E$16,4,FALSE),0),"")</f>
        <v/>
      </c>
      <c r="AD883" t="str">
        <f>IFERROR(ROUND(O883*VLOOKUP(N883,[1]note_pop_types!$A$16:$E$16,4,FALSE),0),"")</f>
        <v/>
      </c>
      <c r="AE883" t="str">
        <f>IFERROR(ROUND(Q883*VLOOKUP(P883,商品!$A$4:$B$60,2,FALSE),0),"")</f>
        <v/>
      </c>
      <c r="AF883" t="str">
        <f>IFERROR(ROUND(S883*VLOOKUP(R883,商品!$A$4:$B$60,2,FALSE),0),"")</f>
        <v/>
      </c>
    </row>
    <row r="884" spans="1:32" ht="19.05" customHeight="1" x14ac:dyDescent="0.25">
      <c r="A884" s="16" t="s">
        <v>366</v>
      </c>
      <c r="C884" s="16">
        <v>7</v>
      </c>
      <c r="T884" s="2">
        <f t="shared" si="52"/>
        <v>0</v>
      </c>
      <c r="U884" s="2">
        <f t="shared" si="53"/>
        <v>0</v>
      </c>
      <c r="V884" s="2">
        <f t="shared" si="54"/>
        <v>0</v>
      </c>
      <c r="W884" s="2">
        <f t="shared" si="55"/>
        <v>0</v>
      </c>
      <c r="Y884" t="str">
        <f>IFERROR(ROUND(E884*VLOOKUP(D884,商品!$A$4:$B$60,2,FALSE),0),"")</f>
        <v/>
      </c>
      <c r="Z884" t="str">
        <f>IFERROR(ROUND(G884*VLOOKUP(F884,商品!$A$4:$B$60,2,FALSE),0),"")</f>
        <v/>
      </c>
      <c r="AA884" t="str">
        <f>IFERROR(ROUND(I884*VLOOKUP(H884,商品!$A$4:$B$60,2,FALSE),0),"")</f>
        <v/>
      </c>
      <c r="AB884" t="str">
        <f>IFERROR(ROUND(K884*VLOOKUP(J884,[1]note_pop_types!$A$16:$E$16,4,FALSE),0),"")</f>
        <v/>
      </c>
      <c r="AC884" t="str">
        <f>IFERROR(ROUND(M884*VLOOKUP(L884,[1]note_pop_types!$A$16:$E$16,4,FALSE),0),"")</f>
        <v/>
      </c>
      <c r="AD884" t="str">
        <f>IFERROR(ROUND(O884*VLOOKUP(N884,[1]note_pop_types!$A$16:$E$16,4,FALSE),0),"")</f>
        <v/>
      </c>
      <c r="AE884" t="str">
        <f>IFERROR(ROUND(Q884*VLOOKUP(P884,商品!$A$4:$B$60,2,FALSE),0),"")</f>
        <v/>
      </c>
      <c r="AF884" t="str">
        <f>IFERROR(ROUND(S884*VLOOKUP(R884,商品!$A$4:$B$60,2,FALSE),0),"")</f>
        <v/>
      </c>
    </row>
    <row r="885" spans="1:32" ht="19.05" customHeight="1" x14ac:dyDescent="0.25">
      <c r="A885" s="16" t="s">
        <v>366</v>
      </c>
      <c r="C885" s="16">
        <v>8</v>
      </c>
      <c r="T885" s="2">
        <f t="shared" si="52"/>
        <v>0</v>
      </c>
      <c r="U885" s="2">
        <f t="shared" si="53"/>
        <v>0</v>
      </c>
      <c r="V885" s="2">
        <f t="shared" si="54"/>
        <v>0</v>
      </c>
      <c r="W885" s="2">
        <f t="shared" si="55"/>
        <v>0</v>
      </c>
      <c r="Y885" t="str">
        <f>IFERROR(ROUND(E885*VLOOKUP(D885,商品!$A$4:$B$60,2,FALSE),0),"")</f>
        <v/>
      </c>
      <c r="Z885" t="str">
        <f>IFERROR(ROUND(G885*VLOOKUP(F885,商品!$A$4:$B$60,2,FALSE),0),"")</f>
        <v/>
      </c>
      <c r="AA885" t="str">
        <f>IFERROR(ROUND(I885*VLOOKUP(H885,商品!$A$4:$B$60,2,FALSE),0),"")</f>
        <v/>
      </c>
      <c r="AB885" t="str">
        <f>IFERROR(ROUND(K885*VLOOKUP(J885,[1]note_pop_types!$A$16:$E$16,4,FALSE),0),"")</f>
        <v/>
      </c>
      <c r="AC885" t="str">
        <f>IFERROR(ROUND(M885*VLOOKUP(L885,[1]note_pop_types!$A$16:$E$16,4,FALSE),0),"")</f>
        <v/>
      </c>
      <c r="AD885" t="str">
        <f>IFERROR(ROUND(O885*VLOOKUP(N885,[1]note_pop_types!$A$16:$E$16,4,FALSE),0),"")</f>
        <v/>
      </c>
      <c r="AE885" t="str">
        <f>IFERROR(ROUND(Q885*VLOOKUP(P885,商品!$A$4:$B$60,2,FALSE),0),"")</f>
        <v/>
      </c>
      <c r="AF885" t="str">
        <f>IFERROR(ROUND(S885*VLOOKUP(R885,商品!$A$4:$B$60,2,FALSE),0),"")</f>
        <v/>
      </c>
    </row>
    <row r="886" spans="1:32" ht="19.05" customHeight="1" x14ac:dyDescent="0.25">
      <c r="A886" s="15" t="s">
        <v>368</v>
      </c>
      <c r="C886" s="15">
        <v>1</v>
      </c>
      <c r="T886" s="2">
        <f t="shared" si="52"/>
        <v>0</v>
      </c>
      <c r="U886" s="2">
        <f t="shared" si="53"/>
        <v>0</v>
      </c>
      <c r="V886" s="2">
        <f t="shared" si="54"/>
        <v>0</v>
      </c>
      <c r="W886" s="2">
        <f t="shared" si="55"/>
        <v>0</v>
      </c>
      <c r="Y886" t="str">
        <f>IFERROR(ROUND(E886*VLOOKUP(D886,商品!$A$4:$B$60,2,FALSE),0),"")</f>
        <v/>
      </c>
      <c r="Z886" t="str">
        <f>IFERROR(ROUND(G886*VLOOKUP(F886,商品!$A$4:$B$60,2,FALSE),0),"")</f>
        <v/>
      </c>
      <c r="AA886" t="str">
        <f>IFERROR(ROUND(I886*VLOOKUP(H886,商品!$A$4:$B$60,2,FALSE),0),"")</f>
        <v/>
      </c>
      <c r="AB886" t="str">
        <f>IFERROR(ROUND(K886*VLOOKUP(J886,[1]note_pop_types!$A$16:$E$16,4,FALSE),0),"")</f>
        <v/>
      </c>
      <c r="AC886" t="str">
        <f>IFERROR(ROUND(M886*VLOOKUP(L886,[1]note_pop_types!$A$16:$E$16,4,FALSE),0),"")</f>
        <v/>
      </c>
      <c r="AD886" t="str">
        <f>IFERROR(ROUND(O886*VLOOKUP(N886,[1]note_pop_types!$A$16:$E$16,4,FALSE),0),"")</f>
        <v/>
      </c>
      <c r="AE886" t="str">
        <f>IFERROR(ROUND(Q886*VLOOKUP(P886,商品!$A$4:$B$60,2,FALSE),0),"")</f>
        <v/>
      </c>
      <c r="AF886" t="str">
        <f>IFERROR(ROUND(S886*VLOOKUP(R886,商品!$A$4:$B$60,2,FALSE),0),"")</f>
        <v/>
      </c>
    </row>
    <row r="887" spans="1:32" ht="19.05" customHeight="1" x14ac:dyDescent="0.25">
      <c r="A887" s="15" t="s">
        <v>368</v>
      </c>
      <c r="C887" s="15">
        <v>2</v>
      </c>
      <c r="T887" s="2">
        <f t="shared" si="52"/>
        <v>0</v>
      </c>
      <c r="U887" s="2">
        <f t="shared" si="53"/>
        <v>0</v>
      </c>
      <c r="V887" s="2">
        <f t="shared" si="54"/>
        <v>0</v>
      </c>
      <c r="W887" s="2">
        <f t="shared" si="55"/>
        <v>0</v>
      </c>
      <c r="Y887" t="str">
        <f>IFERROR(ROUND(E887*VLOOKUP(D887,商品!$A$4:$B$60,2,FALSE),0),"")</f>
        <v/>
      </c>
      <c r="Z887" t="str">
        <f>IFERROR(ROUND(G887*VLOOKUP(F887,商品!$A$4:$B$60,2,FALSE),0),"")</f>
        <v/>
      </c>
      <c r="AA887" t="str">
        <f>IFERROR(ROUND(I887*VLOOKUP(H887,商品!$A$4:$B$60,2,FALSE),0),"")</f>
        <v/>
      </c>
      <c r="AB887" t="str">
        <f>IFERROR(ROUND(K887*VLOOKUP(J887,[1]note_pop_types!$A$16:$E$16,4,FALSE),0),"")</f>
        <v/>
      </c>
      <c r="AC887" t="str">
        <f>IFERROR(ROUND(M887*VLOOKUP(L887,[1]note_pop_types!$A$16:$E$16,4,FALSE),0),"")</f>
        <v/>
      </c>
      <c r="AD887" t="str">
        <f>IFERROR(ROUND(O887*VLOOKUP(N887,[1]note_pop_types!$A$16:$E$16,4,FALSE),0),"")</f>
        <v/>
      </c>
      <c r="AE887" t="str">
        <f>IFERROR(ROUND(Q887*VLOOKUP(P887,商品!$A$4:$B$60,2,FALSE),0),"")</f>
        <v/>
      </c>
      <c r="AF887" t="str">
        <f>IFERROR(ROUND(S887*VLOOKUP(R887,商品!$A$4:$B$60,2,FALSE),0),"")</f>
        <v/>
      </c>
    </row>
    <row r="888" spans="1:32" ht="19.05" customHeight="1" x14ac:dyDescent="0.25">
      <c r="A888" s="15" t="s">
        <v>368</v>
      </c>
      <c r="C888" s="15">
        <v>3</v>
      </c>
      <c r="T888" s="2">
        <f t="shared" si="52"/>
        <v>0</v>
      </c>
      <c r="U888" s="2">
        <f t="shared" si="53"/>
        <v>0</v>
      </c>
      <c r="V888" s="2">
        <f t="shared" si="54"/>
        <v>0</v>
      </c>
      <c r="W888" s="2">
        <f t="shared" si="55"/>
        <v>0</v>
      </c>
      <c r="Y888" t="str">
        <f>IFERROR(ROUND(E888*VLOOKUP(D888,商品!$A$4:$B$60,2,FALSE),0),"")</f>
        <v/>
      </c>
      <c r="Z888" t="str">
        <f>IFERROR(ROUND(G888*VLOOKUP(F888,商品!$A$4:$B$60,2,FALSE),0),"")</f>
        <v/>
      </c>
      <c r="AA888" t="str">
        <f>IFERROR(ROUND(I888*VLOOKUP(H888,商品!$A$4:$B$60,2,FALSE),0),"")</f>
        <v/>
      </c>
      <c r="AB888" t="str">
        <f>IFERROR(ROUND(K888*VLOOKUP(J888,[1]note_pop_types!$A$16:$E$16,4,FALSE),0),"")</f>
        <v/>
      </c>
      <c r="AC888" t="str">
        <f>IFERROR(ROUND(M888*VLOOKUP(L888,[1]note_pop_types!$A$16:$E$16,4,FALSE),0),"")</f>
        <v/>
      </c>
      <c r="AD888" t="str">
        <f>IFERROR(ROUND(O888*VLOOKUP(N888,[1]note_pop_types!$A$16:$E$16,4,FALSE),0),"")</f>
        <v/>
      </c>
      <c r="AE888" t="str">
        <f>IFERROR(ROUND(Q888*VLOOKUP(P888,商品!$A$4:$B$60,2,FALSE),0),"")</f>
        <v/>
      </c>
      <c r="AF888" t="str">
        <f>IFERROR(ROUND(S888*VLOOKUP(R888,商品!$A$4:$B$60,2,FALSE),0),"")</f>
        <v/>
      </c>
    </row>
    <row r="889" spans="1:32" ht="19.05" customHeight="1" x14ac:dyDescent="0.25">
      <c r="A889" s="15" t="s">
        <v>368</v>
      </c>
      <c r="C889" s="15">
        <v>4</v>
      </c>
      <c r="T889" s="2">
        <f t="shared" si="52"/>
        <v>0</v>
      </c>
      <c r="U889" s="2">
        <f t="shared" si="53"/>
        <v>0</v>
      </c>
      <c r="V889" s="2">
        <f t="shared" si="54"/>
        <v>0</v>
      </c>
      <c r="W889" s="2">
        <f t="shared" si="55"/>
        <v>0</v>
      </c>
      <c r="Y889" t="str">
        <f>IFERROR(ROUND(E889*VLOOKUP(D889,商品!$A$4:$B$60,2,FALSE),0),"")</f>
        <v/>
      </c>
      <c r="Z889" t="str">
        <f>IFERROR(ROUND(G889*VLOOKUP(F889,商品!$A$4:$B$60,2,FALSE),0),"")</f>
        <v/>
      </c>
      <c r="AA889" t="str">
        <f>IFERROR(ROUND(I889*VLOOKUP(H889,商品!$A$4:$B$60,2,FALSE),0),"")</f>
        <v/>
      </c>
      <c r="AB889" t="str">
        <f>IFERROR(ROUND(K889*VLOOKUP(J889,[1]note_pop_types!$A$16:$E$16,4,FALSE),0),"")</f>
        <v/>
      </c>
      <c r="AC889" t="str">
        <f>IFERROR(ROUND(M889*VLOOKUP(L889,[1]note_pop_types!$A$16:$E$16,4,FALSE),0),"")</f>
        <v/>
      </c>
      <c r="AD889" t="str">
        <f>IFERROR(ROUND(O889*VLOOKUP(N889,[1]note_pop_types!$A$16:$E$16,4,FALSE),0),"")</f>
        <v/>
      </c>
      <c r="AE889" t="str">
        <f>IFERROR(ROUND(Q889*VLOOKUP(P889,商品!$A$4:$B$60,2,FALSE),0),"")</f>
        <v/>
      </c>
      <c r="AF889" t="str">
        <f>IFERROR(ROUND(S889*VLOOKUP(R889,商品!$A$4:$B$60,2,FALSE),0),"")</f>
        <v/>
      </c>
    </row>
    <row r="890" spans="1:32" ht="19.05" customHeight="1" x14ac:dyDescent="0.25">
      <c r="A890" s="15" t="s">
        <v>368</v>
      </c>
      <c r="C890" s="15">
        <v>5</v>
      </c>
      <c r="T890" s="2">
        <f t="shared" si="52"/>
        <v>0</v>
      </c>
      <c r="U890" s="2">
        <f t="shared" si="53"/>
        <v>0</v>
      </c>
      <c r="V890" s="2">
        <f t="shared" si="54"/>
        <v>0</v>
      </c>
      <c r="W890" s="2">
        <f t="shared" si="55"/>
        <v>0</v>
      </c>
      <c r="Y890" t="str">
        <f>IFERROR(ROUND(E890*VLOOKUP(D890,商品!$A$4:$B$60,2,FALSE),0),"")</f>
        <v/>
      </c>
      <c r="Z890" t="str">
        <f>IFERROR(ROUND(G890*VLOOKUP(F890,商品!$A$4:$B$60,2,FALSE),0),"")</f>
        <v/>
      </c>
      <c r="AA890" t="str">
        <f>IFERROR(ROUND(I890*VLOOKUP(H890,商品!$A$4:$B$60,2,FALSE),0),"")</f>
        <v/>
      </c>
      <c r="AB890" t="str">
        <f>IFERROR(ROUND(K890*VLOOKUP(J890,[1]note_pop_types!$A$16:$E$16,4,FALSE),0),"")</f>
        <v/>
      </c>
      <c r="AC890" t="str">
        <f>IFERROR(ROUND(M890*VLOOKUP(L890,[1]note_pop_types!$A$16:$E$16,4,FALSE),0),"")</f>
        <v/>
      </c>
      <c r="AD890" t="str">
        <f>IFERROR(ROUND(O890*VLOOKUP(N890,[1]note_pop_types!$A$16:$E$16,4,FALSE),0),"")</f>
        <v/>
      </c>
      <c r="AE890" t="str">
        <f>IFERROR(ROUND(Q890*VLOOKUP(P890,商品!$A$4:$B$60,2,FALSE),0),"")</f>
        <v/>
      </c>
      <c r="AF890" t="str">
        <f>IFERROR(ROUND(S890*VLOOKUP(R890,商品!$A$4:$B$60,2,FALSE),0),"")</f>
        <v/>
      </c>
    </row>
    <row r="891" spans="1:32" ht="19.05" customHeight="1" x14ac:dyDescent="0.25">
      <c r="A891" s="16" t="s">
        <v>543</v>
      </c>
      <c r="C891" s="16">
        <v>1</v>
      </c>
      <c r="T891" s="2">
        <f t="shared" si="52"/>
        <v>0</v>
      </c>
      <c r="U891" s="2">
        <f t="shared" si="53"/>
        <v>0</v>
      </c>
      <c r="V891" s="2">
        <f t="shared" si="54"/>
        <v>0</v>
      </c>
      <c r="W891" s="2">
        <f t="shared" si="55"/>
        <v>0</v>
      </c>
      <c r="Y891" t="str">
        <f>IFERROR(ROUND(E891*VLOOKUP(D891,商品!$A$4:$B$60,2,FALSE),0),"")</f>
        <v/>
      </c>
      <c r="Z891" t="str">
        <f>IFERROR(ROUND(G891*VLOOKUP(F891,商品!$A$4:$B$60,2,FALSE),0),"")</f>
        <v/>
      </c>
      <c r="AA891" t="str">
        <f>IFERROR(ROUND(I891*VLOOKUP(H891,商品!$A$4:$B$60,2,FALSE),0),"")</f>
        <v/>
      </c>
      <c r="AB891" t="str">
        <f>IFERROR(ROUND(K891*VLOOKUP(J891,[1]note_pop_types!$A$16:$E$16,4,FALSE),0),"")</f>
        <v/>
      </c>
      <c r="AC891" t="str">
        <f>IFERROR(ROUND(M891*VLOOKUP(L891,[1]note_pop_types!$A$16:$E$16,4,FALSE),0),"")</f>
        <v/>
      </c>
      <c r="AD891" t="str">
        <f>IFERROR(ROUND(O891*VLOOKUP(N891,[1]note_pop_types!$A$16:$E$16,4,FALSE),0),"")</f>
        <v/>
      </c>
      <c r="AE891" t="str">
        <f>IFERROR(ROUND(Q891*VLOOKUP(P891,商品!$A$4:$B$60,2,FALSE),0),"")</f>
        <v/>
      </c>
      <c r="AF891" t="str">
        <f>IFERROR(ROUND(S891*VLOOKUP(R891,商品!$A$4:$B$60,2,FALSE),0),"")</f>
        <v/>
      </c>
    </row>
    <row r="892" spans="1:32" ht="19.05" customHeight="1" x14ac:dyDescent="0.25">
      <c r="A892" s="16" t="s">
        <v>543</v>
      </c>
      <c r="C892" s="16">
        <v>2</v>
      </c>
      <c r="T892" s="2">
        <f t="shared" si="52"/>
        <v>0</v>
      </c>
      <c r="U892" s="2">
        <f t="shared" si="53"/>
        <v>0</v>
      </c>
      <c r="V892" s="2">
        <f t="shared" si="54"/>
        <v>0</v>
      </c>
      <c r="W892" s="2">
        <f t="shared" si="55"/>
        <v>0</v>
      </c>
      <c r="Y892" t="str">
        <f>IFERROR(ROUND(E892*VLOOKUP(D892,商品!$A$4:$B$60,2,FALSE),0),"")</f>
        <v/>
      </c>
      <c r="Z892" t="str">
        <f>IFERROR(ROUND(G892*VLOOKUP(F892,商品!$A$4:$B$60,2,FALSE),0),"")</f>
        <v/>
      </c>
      <c r="AA892" t="str">
        <f>IFERROR(ROUND(I892*VLOOKUP(H892,商品!$A$4:$B$60,2,FALSE),0),"")</f>
        <v/>
      </c>
      <c r="AB892" t="str">
        <f>IFERROR(ROUND(K892*VLOOKUP(J892,[1]note_pop_types!$A$16:$E$16,4,FALSE),0),"")</f>
        <v/>
      </c>
      <c r="AC892" t="str">
        <f>IFERROR(ROUND(M892*VLOOKUP(L892,[1]note_pop_types!$A$16:$E$16,4,FALSE),0),"")</f>
        <v/>
      </c>
      <c r="AD892" t="str">
        <f>IFERROR(ROUND(O892*VLOOKUP(N892,[1]note_pop_types!$A$16:$E$16,4,FALSE),0),"")</f>
        <v/>
      </c>
      <c r="AE892" t="str">
        <f>IFERROR(ROUND(Q892*VLOOKUP(P892,商品!$A$4:$B$60,2,FALSE),0),"")</f>
        <v/>
      </c>
      <c r="AF892" t="str">
        <f>IFERROR(ROUND(S892*VLOOKUP(R892,商品!$A$4:$B$60,2,FALSE),0),"")</f>
        <v/>
      </c>
    </row>
    <row r="893" spans="1:32" ht="19.05" customHeight="1" x14ac:dyDescent="0.25">
      <c r="A893" s="16" t="s">
        <v>543</v>
      </c>
      <c r="C893" s="16">
        <v>3</v>
      </c>
      <c r="T893" s="2">
        <f t="shared" si="52"/>
        <v>0</v>
      </c>
      <c r="U893" s="2">
        <f t="shared" si="53"/>
        <v>0</v>
      </c>
      <c r="V893" s="2">
        <f t="shared" si="54"/>
        <v>0</v>
      </c>
      <c r="W893" s="2">
        <f t="shared" si="55"/>
        <v>0</v>
      </c>
      <c r="Y893" t="str">
        <f>IFERROR(ROUND(E893*VLOOKUP(D893,商品!$A$4:$B$60,2,FALSE),0),"")</f>
        <v/>
      </c>
      <c r="Z893" t="str">
        <f>IFERROR(ROUND(G893*VLOOKUP(F893,商品!$A$4:$B$60,2,FALSE),0),"")</f>
        <v/>
      </c>
      <c r="AA893" t="str">
        <f>IFERROR(ROUND(I893*VLOOKUP(H893,商品!$A$4:$B$60,2,FALSE),0),"")</f>
        <v/>
      </c>
      <c r="AB893" t="str">
        <f>IFERROR(ROUND(K893*VLOOKUP(J893,[1]note_pop_types!$A$16:$E$16,4,FALSE),0),"")</f>
        <v/>
      </c>
      <c r="AC893" t="str">
        <f>IFERROR(ROUND(M893*VLOOKUP(L893,[1]note_pop_types!$A$16:$E$16,4,FALSE),0),"")</f>
        <v/>
      </c>
      <c r="AD893" t="str">
        <f>IFERROR(ROUND(O893*VLOOKUP(N893,[1]note_pop_types!$A$16:$E$16,4,FALSE),0),"")</f>
        <v/>
      </c>
      <c r="AE893" t="str">
        <f>IFERROR(ROUND(Q893*VLOOKUP(P893,商品!$A$4:$B$60,2,FALSE),0),"")</f>
        <v/>
      </c>
      <c r="AF893" t="str">
        <f>IFERROR(ROUND(S893*VLOOKUP(R893,商品!$A$4:$B$60,2,FALSE),0),"")</f>
        <v/>
      </c>
    </row>
    <row r="894" spans="1:32" ht="19.05" customHeight="1" x14ac:dyDescent="0.25">
      <c r="A894" s="16" t="s">
        <v>543</v>
      </c>
      <c r="C894" s="16">
        <v>4</v>
      </c>
      <c r="T894" s="2">
        <f t="shared" si="52"/>
        <v>0</v>
      </c>
      <c r="U894" s="2">
        <f t="shared" si="53"/>
        <v>0</v>
      </c>
      <c r="V894" s="2">
        <f t="shared" si="54"/>
        <v>0</v>
      </c>
      <c r="W894" s="2">
        <f t="shared" si="55"/>
        <v>0</v>
      </c>
      <c r="Y894" t="str">
        <f>IFERROR(ROUND(E894*VLOOKUP(D894,商品!$A$4:$B$60,2,FALSE),0),"")</f>
        <v/>
      </c>
      <c r="Z894" t="str">
        <f>IFERROR(ROUND(G894*VLOOKUP(F894,商品!$A$4:$B$60,2,FALSE),0),"")</f>
        <v/>
      </c>
      <c r="AA894" t="str">
        <f>IFERROR(ROUND(I894*VLOOKUP(H894,商品!$A$4:$B$60,2,FALSE),0),"")</f>
        <v/>
      </c>
      <c r="AB894" t="str">
        <f>IFERROR(ROUND(K894*VLOOKUP(J894,[1]note_pop_types!$A$16:$E$16,4,FALSE),0),"")</f>
        <v/>
      </c>
      <c r="AC894" t="str">
        <f>IFERROR(ROUND(M894*VLOOKUP(L894,[1]note_pop_types!$A$16:$E$16,4,FALSE),0),"")</f>
        <v/>
      </c>
      <c r="AD894" t="str">
        <f>IFERROR(ROUND(O894*VLOOKUP(N894,[1]note_pop_types!$A$16:$E$16,4,FALSE),0),"")</f>
        <v/>
      </c>
      <c r="AE894" t="str">
        <f>IFERROR(ROUND(Q894*VLOOKUP(P894,商品!$A$4:$B$60,2,FALSE),0),"")</f>
        <v/>
      </c>
      <c r="AF894" t="str">
        <f>IFERROR(ROUND(S894*VLOOKUP(R894,商品!$A$4:$B$60,2,FALSE),0),"")</f>
        <v/>
      </c>
    </row>
    <row r="895" spans="1:32" ht="19.05" customHeight="1" x14ac:dyDescent="0.25">
      <c r="A895" s="16" t="s">
        <v>543</v>
      </c>
      <c r="C895" s="16">
        <v>5</v>
      </c>
      <c r="T895" s="2">
        <f t="shared" si="52"/>
        <v>0</v>
      </c>
      <c r="U895" s="2">
        <f t="shared" si="53"/>
        <v>0</v>
      </c>
      <c r="V895" s="2">
        <f t="shared" si="54"/>
        <v>0</v>
      </c>
      <c r="W895" s="2">
        <f t="shared" si="55"/>
        <v>0</v>
      </c>
      <c r="Y895" t="str">
        <f>IFERROR(ROUND(E895*VLOOKUP(D895,商品!$A$4:$B$60,2,FALSE),0),"")</f>
        <v/>
      </c>
      <c r="Z895" t="str">
        <f>IFERROR(ROUND(G895*VLOOKUP(F895,商品!$A$4:$B$60,2,FALSE),0),"")</f>
        <v/>
      </c>
      <c r="AA895" t="str">
        <f>IFERROR(ROUND(I895*VLOOKUP(H895,商品!$A$4:$B$60,2,FALSE),0),"")</f>
        <v/>
      </c>
      <c r="AB895" t="str">
        <f>IFERROR(ROUND(K895*VLOOKUP(J895,[1]note_pop_types!$A$16:$E$16,4,FALSE),0),"")</f>
        <v/>
      </c>
      <c r="AC895" t="str">
        <f>IFERROR(ROUND(M895*VLOOKUP(L895,[1]note_pop_types!$A$16:$E$16,4,FALSE),0),"")</f>
        <v/>
      </c>
      <c r="AD895" t="str">
        <f>IFERROR(ROUND(O895*VLOOKUP(N895,[1]note_pop_types!$A$16:$E$16,4,FALSE),0),"")</f>
        <v/>
      </c>
      <c r="AE895" t="str">
        <f>IFERROR(ROUND(Q895*VLOOKUP(P895,商品!$A$4:$B$60,2,FALSE),0),"")</f>
        <v/>
      </c>
      <c r="AF895" t="str">
        <f>IFERROR(ROUND(S895*VLOOKUP(R895,商品!$A$4:$B$60,2,FALSE),0),"")</f>
        <v/>
      </c>
    </row>
    <row r="896" spans="1:32" ht="19.05" customHeight="1" x14ac:dyDescent="0.25">
      <c r="A896" s="15" t="s">
        <v>543</v>
      </c>
      <c r="C896" s="15">
        <v>1</v>
      </c>
      <c r="T896" s="2">
        <f t="shared" si="52"/>
        <v>0</v>
      </c>
      <c r="U896" s="2">
        <f t="shared" si="53"/>
        <v>0</v>
      </c>
      <c r="V896" s="2">
        <f t="shared" si="54"/>
        <v>0</v>
      </c>
      <c r="W896" s="2">
        <f t="shared" si="55"/>
        <v>0</v>
      </c>
      <c r="Y896" t="str">
        <f>IFERROR(ROUND(E896*VLOOKUP(D896,商品!$A$4:$B$60,2,FALSE),0),"")</f>
        <v/>
      </c>
      <c r="Z896" t="str">
        <f>IFERROR(ROUND(G896*VLOOKUP(F896,商品!$A$4:$B$60,2,FALSE),0),"")</f>
        <v/>
      </c>
      <c r="AA896" t="str">
        <f>IFERROR(ROUND(I896*VLOOKUP(H896,商品!$A$4:$B$60,2,FALSE),0),"")</f>
        <v/>
      </c>
      <c r="AB896" t="str">
        <f>IFERROR(ROUND(K896*VLOOKUP(J896,[1]note_pop_types!$A$16:$E$16,4,FALSE),0),"")</f>
        <v/>
      </c>
      <c r="AC896" t="str">
        <f>IFERROR(ROUND(M896*VLOOKUP(L896,[1]note_pop_types!$A$16:$E$16,4,FALSE),0),"")</f>
        <v/>
      </c>
      <c r="AD896" t="str">
        <f>IFERROR(ROUND(O896*VLOOKUP(N896,[1]note_pop_types!$A$16:$E$16,4,FALSE),0),"")</f>
        <v/>
      </c>
      <c r="AE896" t="str">
        <f>IFERROR(ROUND(Q896*VLOOKUP(P896,商品!$A$4:$B$60,2,FALSE),0),"")</f>
        <v/>
      </c>
      <c r="AF896" t="str">
        <f>IFERROR(ROUND(S896*VLOOKUP(R896,商品!$A$4:$B$60,2,FALSE),0),"")</f>
        <v/>
      </c>
    </row>
    <row r="897" spans="1:32" ht="19.05" customHeight="1" x14ac:dyDescent="0.25">
      <c r="A897" s="15" t="s">
        <v>543</v>
      </c>
      <c r="C897" s="15">
        <v>2</v>
      </c>
      <c r="T897" s="2">
        <f t="shared" si="52"/>
        <v>0</v>
      </c>
      <c r="U897" s="2">
        <f t="shared" si="53"/>
        <v>0</v>
      </c>
      <c r="V897" s="2">
        <f t="shared" si="54"/>
        <v>0</v>
      </c>
      <c r="W897" s="2">
        <f t="shared" si="55"/>
        <v>0</v>
      </c>
      <c r="Y897" t="str">
        <f>IFERROR(ROUND(E897*VLOOKUP(D897,商品!$A$4:$B$60,2,FALSE),0),"")</f>
        <v/>
      </c>
      <c r="Z897" t="str">
        <f>IFERROR(ROUND(G897*VLOOKUP(F897,商品!$A$4:$B$60,2,FALSE),0),"")</f>
        <v/>
      </c>
      <c r="AA897" t="str">
        <f>IFERROR(ROUND(I897*VLOOKUP(H897,商品!$A$4:$B$60,2,FALSE),0),"")</f>
        <v/>
      </c>
      <c r="AB897" t="str">
        <f>IFERROR(ROUND(K897*VLOOKUP(J897,[1]note_pop_types!$A$16:$E$16,4,FALSE),0),"")</f>
        <v/>
      </c>
      <c r="AC897" t="str">
        <f>IFERROR(ROUND(M897*VLOOKUP(L897,[1]note_pop_types!$A$16:$E$16,4,FALSE),0),"")</f>
        <v/>
      </c>
      <c r="AD897" t="str">
        <f>IFERROR(ROUND(O897*VLOOKUP(N897,[1]note_pop_types!$A$16:$E$16,4,FALSE),0),"")</f>
        <v/>
      </c>
      <c r="AE897" t="str">
        <f>IFERROR(ROUND(Q897*VLOOKUP(P897,商品!$A$4:$B$60,2,FALSE),0),"")</f>
        <v/>
      </c>
      <c r="AF897" t="str">
        <f>IFERROR(ROUND(S897*VLOOKUP(R897,商品!$A$4:$B$60,2,FALSE),0),"")</f>
        <v/>
      </c>
    </row>
    <row r="898" spans="1:32" ht="19.05" customHeight="1" x14ac:dyDescent="0.25">
      <c r="A898" s="15" t="s">
        <v>543</v>
      </c>
      <c r="C898" s="15">
        <v>3</v>
      </c>
      <c r="T898" s="2">
        <f t="shared" si="52"/>
        <v>0</v>
      </c>
      <c r="U898" s="2">
        <f t="shared" si="53"/>
        <v>0</v>
      </c>
      <c r="V898" s="2">
        <f t="shared" si="54"/>
        <v>0</v>
      </c>
      <c r="W898" s="2">
        <f t="shared" si="55"/>
        <v>0</v>
      </c>
      <c r="Y898" t="str">
        <f>IFERROR(ROUND(E898*VLOOKUP(D898,商品!$A$4:$B$60,2,FALSE),0),"")</f>
        <v/>
      </c>
      <c r="Z898" t="str">
        <f>IFERROR(ROUND(G898*VLOOKUP(F898,商品!$A$4:$B$60,2,FALSE),0),"")</f>
        <v/>
      </c>
      <c r="AA898" t="str">
        <f>IFERROR(ROUND(I898*VLOOKUP(H898,商品!$A$4:$B$60,2,FALSE),0),"")</f>
        <v/>
      </c>
      <c r="AB898" t="str">
        <f>IFERROR(ROUND(K898*VLOOKUP(J898,[1]note_pop_types!$A$16:$E$16,4,FALSE),0),"")</f>
        <v/>
      </c>
      <c r="AC898" t="str">
        <f>IFERROR(ROUND(M898*VLOOKUP(L898,[1]note_pop_types!$A$16:$E$16,4,FALSE),0),"")</f>
        <v/>
      </c>
      <c r="AD898" t="str">
        <f>IFERROR(ROUND(O898*VLOOKUP(N898,[1]note_pop_types!$A$16:$E$16,4,FALSE),0),"")</f>
        <v/>
      </c>
      <c r="AE898" t="str">
        <f>IFERROR(ROUND(Q898*VLOOKUP(P898,商品!$A$4:$B$60,2,FALSE),0),"")</f>
        <v/>
      </c>
      <c r="AF898" t="str">
        <f>IFERROR(ROUND(S898*VLOOKUP(R898,商品!$A$4:$B$60,2,FALSE),0),"")</f>
        <v/>
      </c>
    </row>
    <row r="899" spans="1:32" ht="19.05" customHeight="1" x14ac:dyDescent="0.25">
      <c r="A899" s="15" t="s">
        <v>543</v>
      </c>
      <c r="C899" s="15">
        <v>4</v>
      </c>
      <c r="T899" s="2">
        <f t="shared" si="52"/>
        <v>0</v>
      </c>
      <c r="U899" s="2">
        <f t="shared" si="53"/>
        <v>0</v>
      </c>
      <c r="V899" s="2">
        <f t="shared" si="54"/>
        <v>0</v>
      </c>
      <c r="W899" s="2">
        <f t="shared" si="55"/>
        <v>0</v>
      </c>
      <c r="Y899" t="str">
        <f>IFERROR(ROUND(E899*VLOOKUP(D899,商品!$A$4:$B$60,2,FALSE),0),"")</f>
        <v/>
      </c>
      <c r="Z899" t="str">
        <f>IFERROR(ROUND(G899*VLOOKUP(F899,商品!$A$4:$B$60,2,FALSE),0),"")</f>
        <v/>
      </c>
      <c r="AA899" t="str">
        <f>IFERROR(ROUND(I899*VLOOKUP(H899,商品!$A$4:$B$60,2,FALSE),0),"")</f>
        <v/>
      </c>
      <c r="AB899" t="str">
        <f>IFERROR(ROUND(K899*VLOOKUP(J899,[1]note_pop_types!$A$16:$E$16,4,FALSE),0),"")</f>
        <v/>
      </c>
      <c r="AC899" t="str">
        <f>IFERROR(ROUND(M899*VLOOKUP(L899,[1]note_pop_types!$A$16:$E$16,4,FALSE),0),"")</f>
        <v/>
      </c>
      <c r="AD899" t="str">
        <f>IFERROR(ROUND(O899*VLOOKUP(N899,[1]note_pop_types!$A$16:$E$16,4,FALSE),0),"")</f>
        <v/>
      </c>
      <c r="AE899" t="str">
        <f>IFERROR(ROUND(Q899*VLOOKUP(P899,商品!$A$4:$B$60,2,FALSE),0),"")</f>
        <v/>
      </c>
      <c r="AF899" t="str">
        <f>IFERROR(ROUND(S899*VLOOKUP(R899,商品!$A$4:$B$60,2,FALSE),0),"")</f>
        <v/>
      </c>
    </row>
    <row r="900" spans="1:32" ht="19.05" customHeight="1" x14ac:dyDescent="0.25">
      <c r="A900" s="15" t="s">
        <v>543</v>
      </c>
      <c r="C900" s="15">
        <v>5</v>
      </c>
      <c r="T900" s="2">
        <f t="shared" si="52"/>
        <v>0</v>
      </c>
      <c r="U900" s="2">
        <f t="shared" si="53"/>
        <v>0</v>
      </c>
      <c r="V900" s="2">
        <f t="shared" si="54"/>
        <v>0</v>
      </c>
      <c r="W900" s="2">
        <f t="shared" si="55"/>
        <v>0</v>
      </c>
      <c r="Y900" t="str">
        <f>IFERROR(ROUND(E900*VLOOKUP(D900,商品!$A$4:$B$60,2,FALSE),0),"")</f>
        <v/>
      </c>
      <c r="Z900" t="str">
        <f>IFERROR(ROUND(G900*VLOOKUP(F900,商品!$A$4:$B$60,2,FALSE),0),"")</f>
        <v/>
      </c>
      <c r="AA900" t="str">
        <f>IFERROR(ROUND(I900*VLOOKUP(H900,商品!$A$4:$B$60,2,FALSE),0),"")</f>
        <v/>
      </c>
      <c r="AB900" t="str">
        <f>IFERROR(ROUND(K900*VLOOKUP(J900,[1]note_pop_types!$A$16:$E$16,4,FALSE),0),"")</f>
        <v/>
      </c>
      <c r="AC900" t="str">
        <f>IFERROR(ROUND(M900*VLOOKUP(L900,[1]note_pop_types!$A$16:$E$16,4,FALSE),0),"")</f>
        <v/>
      </c>
      <c r="AD900" t="str">
        <f>IFERROR(ROUND(O900*VLOOKUP(N900,[1]note_pop_types!$A$16:$E$16,4,FALSE),0),"")</f>
        <v/>
      </c>
      <c r="AE900" t="str">
        <f>IFERROR(ROUND(Q900*VLOOKUP(P900,商品!$A$4:$B$60,2,FALSE),0),"")</f>
        <v/>
      </c>
      <c r="AF900" t="str">
        <f>IFERROR(ROUND(S900*VLOOKUP(R900,商品!$A$4:$B$60,2,FALSE),0),"")</f>
        <v/>
      </c>
    </row>
    <row r="901" spans="1:32" ht="19.05" customHeight="1" x14ac:dyDescent="0.25">
      <c r="A901" s="16" t="s">
        <v>371</v>
      </c>
      <c r="C901" s="16">
        <v>1</v>
      </c>
      <c r="T901" s="2">
        <f t="shared" si="52"/>
        <v>0</v>
      </c>
      <c r="U901" s="2">
        <f t="shared" si="53"/>
        <v>0</v>
      </c>
      <c r="V901" s="2">
        <f t="shared" si="54"/>
        <v>0</v>
      </c>
      <c r="W901" s="2">
        <f t="shared" si="55"/>
        <v>0</v>
      </c>
      <c r="Y901" t="str">
        <f>IFERROR(ROUND(E901*VLOOKUP(D901,商品!$A$4:$B$60,2,FALSE),0),"")</f>
        <v/>
      </c>
      <c r="Z901" t="str">
        <f>IFERROR(ROUND(G901*VLOOKUP(F901,商品!$A$4:$B$60,2,FALSE),0),"")</f>
        <v/>
      </c>
      <c r="AA901" t="str">
        <f>IFERROR(ROUND(I901*VLOOKUP(H901,商品!$A$4:$B$60,2,FALSE),0),"")</f>
        <v/>
      </c>
      <c r="AB901" t="str">
        <f>IFERROR(ROUND(K901*VLOOKUP(J901,[1]note_pop_types!$A$16:$E$16,4,FALSE),0),"")</f>
        <v/>
      </c>
      <c r="AC901" t="str">
        <f>IFERROR(ROUND(M901*VLOOKUP(L901,[1]note_pop_types!$A$16:$E$16,4,FALSE),0),"")</f>
        <v/>
      </c>
      <c r="AD901" t="str">
        <f>IFERROR(ROUND(O901*VLOOKUP(N901,[1]note_pop_types!$A$16:$E$16,4,FALSE),0),"")</f>
        <v/>
      </c>
      <c r="AE901" t="str">
        <f>IFERROR(ROUND(Q901*VLOOKUP(P901,商品!$A$4:$B$60,2,FALSE),0),"")</f>
        <v/>
      </c>
      <c r="AF901" t="str">
        <f>IFERROR(ROUND(S901*VLOOKUP(R901,商品!$A$4:$B$60,2,FALSE),0),"")</f>
        <v/>
      </c>
    </row>
    <row r="902" spans="1:32" ht="19.05" customHeight="1" x14ac:dyDescent="0.25">
      <c r="A902" s="16" t="s">
        <v>371</v>
      </c>
      <c r="C902" s="16">
        <v>2</v>
      </c>
      <c r="T902" s="2">
        <f t="shared" ref="T902:T965" si="56">SUM(Y902:AA902)</f>
        <v>0</v>
      </c>
      <c r="U902" s="2">
        <f t="shared" ref="U902:U965" si="57">SUM(AB902:AC902)</f>
        <v>0</v>
      </c>
      <c r="V902" s="2">
        <f t="shared" ref="V902:V965" si="58">SUM(AE902:AF902)</f>
        <v>0</v>
      </c>
      <c r="W902" s="2">
        <f t="shared" ref="W902:W965" si="59">V902-T902-U902</f>
        <v>0</v>
      </c>
      <c r="Y902" t="str">
        <f>IFERROR(ROUND(E902*VLOOKUP(D902,商品!$A$4:$B$60,2,FALSE),0),"")</f>
        <v/>
      </c>
      <c r="Z902" t="str">
        <f>IFERROR(ROUND(G902*VLOOKUP(F902,商品!$A$4:$B$60,2,FALSE),0),"")</f>
        <v/>
      </c>
      <c r="AA902" t="str">
        <f>IFERROR(ROUND(I902*VLOOKUP(H902,商品!$A$4:$B$60,2,FALSE),0),"")</f>
        <v/>
      </c>
      <c r="AB902" t="str">
        <f>IFERROR(ROUND(K902*VLOOKUP(J902,[1]note_pop_types!$A$16:$E$16,4,FALSE),0),"")</f>
        <v/>
      </c>
      <c r="AC902" t="str">
        <f>IFERROR(ROUND(M902*VLOOKUP(L902,[1]note_pop_types!$A$16:$E$16,4,FALSE),0),"")</f>
        <v/>
      </c>
      <c r="AD902" t="str">
        <f>IFERROR(ROUND(O902*VLOOKUP(N902,[1]note_pop_types!$A$16:$E$16,4,FALSE),0),"")</f>
        <v/>
      </c>
      <c r="AE902" t="str">
        <f>IFERROR(ROUND(Q902*VLOOKUP(P902,商品!$A$4:$B$60,2,FALSE),0),"")</f>
        <v/>
      </c>
      <c r="AF902" t="str">
        <f>IFERROR(ROUND(S902*VLOOKUP(R902,商品!$A$4:$B$60,2,FALSE),0),"")</f>
        <v/>
      </c>
    </row>
    <row r="903" spans="1:32" ht="19.05" customHeight="1" x14ac:dyDescent="0.25">
      <c r="A903" s="16" t="s">
        <v>371</v>
      </c>
      <c r="C903" s="16">
        <v>3</v>
      </c>
      <c r="T903" s="2">
        <f t="shared" si="56"/>
        <v>0</v>
      </c>
      <c r="U903" s="2">
        <f t="shared" si="57"/>
        <v>0</v>
      </c>
      <c r="V903" s="2">
        <f t="shared" si="58"/>
        <v>0</v>
      </c>
      <c r="W903" s="2">
        <f t="shared" si="59"/>
        <v>0</v>
      </c>
      <c r="Y903" t="str">
        <f>IFERROR(ROUND(E903*VLOOKUP(D903,商品!$A$4:$B$60,2,FALSE),0),"")</f>
        <v/>
      </c>
      <c r="Z903" t="str">
        <f>IFERROR(ROUND(G903*VLOOKUP(F903,商品!$A$4:$B$60,2,FALSE),0),"")</f>
        <v/>
      </c>
      <c r="AA903" t="str">
        <f>IFERROR(ROUND(I903*VLOOKUP(H903,商品!$A$4:$B$60,2,FALSE),0),"")</f>
        <v/>
      </c>
      <c r="AB903" t="str">
        <f>IFERROR(ROUND(K903*VLOOKUP(J903,[1]note_pop_types!$A$16:$E$16,4,FALSE),0),"")</f>
        <v/>
      </c>
      <c r="AC903" t="str">
        <f>IFERROR(ROUND(M903*VLOOKUP(L903,[1]note_pop_types!$A$16:$E$16,4,FALSE),0),"")</f>
        <v/>
      </c>
      <c r="AD903" t="str">
        <f>IFERROR(ROUND(O903*VLOOKUP(N903,[1]note_pop_types!$A$16:$E$16,4,FALSE),0),"")</f>
        <v/>
      </c>
      <c r="AE903" t="str">
        <f>IFERROR(ROUND(Q903*VLOOKUP(P903,商品!$A$4:$B$60,2,FALSE),0),"")</f>
        <v/>
      </c>
      <c r="AF903" t="str">
        <f>IFERROR(ROUND(S903*VLOOKUP(R903,商品!$A$4:$B$60,2,FALSE),0),"")</f>
        <v/>
      </c>
    </row>
    <row r="904" spans="1:32" ht="19.05" customHeight="1" x14ac:dyDescent="0.25">
      <c r="A904" s="16" t="s">
        <v>371</v>
      </c>
      <c r="C904" s="16">
        <v>4</v>
      </c>
      <c r="T904" s="2">
        <f t="shared" si="56"/>
        <v>0</v>
      </c>
      <c r="U904" s="2">
        <f t="shared" si="57"/>
        <v>0</v>
      </c>
      <c r="V904" s="2">
        <f t="shared" si="58"/>
        <v>0</v>
      </c>
      <c r="W904" s="2">
        <f t="shared" si="59"/>
        <v>0</v>
      </c>
      <c r="Y904" t="str">
        <f>IFERROR(ROUND(E904*VLOOKUP(D904,商品!$A$4:$B$60,2,FALSE),0),"")</f>
        <v/>
      </c>
      <c r="Z904" t="str">
        <f>IFERROR(ROUND(G904*VLOOKUP(F904,商品!$A$4:$B$60,2,FALSE),0),"")</f>
        <v/>
      </c>
      <c r="AA904" t="str">
        <f>IFERROR(ROUND(I904*VLOOKUP(H904,商品!$A$4:$B$60,2,FALSE),0),"")</f>
        <v/>
      </c>
      <c r="AB904" t="str">
        <f>IFERROR(ROUND(K904*VLOOKUP(J904,[1]note_pop_types!$A$16:$E$16,4,FALSE),0),"")</f>
        <v/>
      </c>
      <c r="AC904" t="str">
        <f>IFERROR(ROUND(M904*VLOOKUP(L904,[1]note_pop_types!$A$16:$E$16,4,FALSE),0),"")</f>
        <v/>
      </c>
      <c r="AD904" t="str">
        <f>IFERROR(ROUND(O904*VLOOKUP(N904,[1]note_pop_types!$A$16:$E$16,4,FALSE),0),"")</f>
        <v/>
      </c>
      <c r="AE904" t="str">
        <f>IFERROR(ROUND(Q904*VLOOKUP(P904,商品!$A$4:$B$60,2,FALSE),0),"")</f>
        <v/>
      </c>
      <c r="AF904" t="str">
        <f>IFERROR(ROUND(S904*VLOOKUP(R904,商品!$A$4:$B$60,2,FALSE),0),"")</f>
        <v/>
      </c>
    </row>
    <row r="905" spans="1:32" ht="19.05" customHeight="1" x14ac:dyDescent="0.25">
      <c r="A905" s="16" t="s">
        <v>371</v>
      </c>
      <c r="C905" s="16">
        <v>5</v>
      </c>
      <c r="T905" s="2">
        <f t="shared" si="56"/>
        <v>0</v>
      </c>
      <c r="U905" s="2">
        <f t="shared" si="57"/>
        <v>0</v>
      </c>
      <c r="V905" s="2">
        <f t="shared" si="58"/>
        <v>0</v>
      </c>
      <c r="W905" s="2">
        <f t="shared" si="59"/>
        <v>0</v>
      </c>
      <c r="Y905" t="str">
        <f>IFERROR(ROUND(E905*VLOOKUP(D905,商品!$A$4:$B$60,2,FALSE),0),"")</f>
        <v/>
      </c>
      <c r="Z905" t="str">
        <f>IFERROR(ROUND(G905*VLOOKUP(F905,商品!$A$4:$B$60,2,FALSE),0),"")</f>
        <v/>
      </c>
      <c r="AA905" t="str">
        <f>IFERROR(ROUND(I905*VLOOKUP(H905,商品!$A$4:$B$60,2,FALSE),0),"")</f>
        <v/>
      </c>
      <c r="AB905" t="str">
        <f>IFERROR(ROUND(K905*VLOOKUP(J905,[1]note_pop_types!$A$16:$E$16,4,FALSE),0),"")</f>
        <v/>
      </c>
      <c r="AC905" t="str">
        <f>IFERROR(ROUND(M905*VLOOKUP(L905,[1]note_pop_types!$A$16:$E$16,4,FALSE),0),"")</f>
        <v/>
      </c>
      <c r="AD905" t="str">
        <f>IFERROR(ROUND(O905*VLOOKUP(N905,[1]note_pop_types!$A$16:$E$16,4,FALSE),0),"")</f>
        <v/>
      </c>
      <c r="AE905" t="str">
        <f>IFERROR(ROUND(Q905*VLOOKUP(P905,商品!$A$4:$B$60,2,FALSE),0),"")</f>
        <v/>
      </c>
      <c r="AF905" t="str">
        <f>IFERROR(ROUND(S905*VLOOKUP(R905,商品!$A$4:$B$60,2,FALSE),0),"")</f>
        <v/>
      </c>
    </row>
    <row r="906" spans="1:32" ht="19.05" customHeight="1" x14ac:dyDescent="0.25">
      <c r="A906" s="16" t="s">
        <v>371</v>
      </c>
      <c r="C906" s="16">
        <v>6</v>
      </c>
      <c r="T906" s="2">
        <f t="shared" si="56"/>
        <v>0</v>
      </c>
      <c r="U906" s="2">
        <f t="shared" si="57"/>
        <v>0</v>
      </c>
      <c r="V906" s="2">
        <f t="shared" si="58"/>
        <v>0</v>
      </c>
      <c r="W906" s="2">
        <f t="shared" si="59"/>
        <v>0</v>
      </c>
      <c r="Y906" t="str">
        <f>IFERROR(ROUND(E906*VLOOKUP(D906,商品!$A$4:$B$60,2,FALSE),0),"")</f>
        <v/>
      </c>
      <c r="Z906" t="str">
        <f>IFERROR(ROUND(G906*VLOOKUP(F906,商品!$A$4:$B$60,2,FALSE),0),"")</f>
        <v/>
      </c>
      <c r="AA906" t="str">
        <f>IFERROR(ROUND(I906*VLOOKUP(H906,商品!$A$4:$B$60,2,FALSE),0),"")</f>
        <v/>
      </c>
      <c r="AB906" t="str">
        <f>IFERROR(ROUND(K906*VLOOKUP(J906,[1]note_pop_types!$A$16:$E$16,4,FALSE),0),"")</f>
        <v/>
      </c>
      <c r="AC906" t="str">
        <f>IFERROR(ROUND(M906*VLOOKUP(L906,[1]note_pop_types!$A$16:$E$16,4,FALSE),0),"")</f>
        <v/>
      </c>
      <c r="AD906" t="str">
        <f>IFERROR(ROUND(O906*VLOOKUP(N906,[1]note_pop_types!$A$16:$E$16,4,FALSE),0),"")</f>
        <v/>
      </c>
      <c r="AE906" t="str">
        <f>IFERROR(ROUND(Q906*VLOOKUP(P906,商品!$A$4:$B$60,2,FALSE),0),"")</f>
        <v/>
      </c>
      <c r="AF906" t="str">
        <f>IFERROR(ROUND(S906*VLOOKUP(R906,商品!$A$4:$B$60,2,FALSE),0),"")</f>
        <v/>
      </c>
    </row>
    <row r="907" spans="1:32" ht="19.05" customHeight="1" x14ac:dyDescent="0.25">
      <c r="A907" s="16" t="s">
        <v>371</v>
      </c>
      <c r="C907" s="16">
        <v>7</v>
      </c>
      <c r="T907" s="2">
        <f t="shared" si="56"/>
        <v>0</v>
      </c>
      <c r="U907" s="2">
        <f t="shared" si="57"/>
        <v>0</v>
      </c>
      <c r="V907" s="2">
        <f t="shared" si="58"/>
        <v>0</v>
      </c>
      <c r="W907" s="2">
        <f t="shared" si="59"/>
        <v>0</v>
      </c>
      <c r="Y907" t="str">
        <f>IFERROR(ROUND(E907*VLOOKUP(D907,商品!$A$4:$B$60,2,FALSE),0),"")</f>
        <v/>
      </c>
      <c r="Z907" t="str">
        <f>IFERROR(ROUND(G907*VLOOKUP(F907,商品!$A$4:$B$60,2,FALSE),0),"")</f>
        <v/>
      </c>
      <c r="AA907" t="str">
        <f>IFERROR(ROUND(I907*VLOOKUP(H907,商品!$A$4:$B$60,2,FALSE),0),"")</f>
        <v/>
      </c>
      <c r="AB907" t="str">
        <f>IFERROR(ROUND(K907*VLOOKUP(J907,[1]note_pop_types!$A$16:$E$16,4,FALSE),0),"")</f>
        <v/>
      </c>
      <c r="AC907" t="str">
        <f>IFERROR(ROUND(M907*VLOOKUP(L907,[1]note_pop_types!$A$16:$E$16,4,FALSE),0),"")</f>
        <v/>
      </c>
      <c r="AD907" t="str">
        <f>IFERROR(ROUND(O907*VLOOKUP(N907,[1]note_pop_types!$A$16:$E$16,4,FALSE),0),"")</f>
        <v/>
      </c>
      <c r="AE907" t="str">
        <f>IFERROR(ROUND(Q907*VLOOKUP(P907,商品!$A$4:$B$60,2,FALSE),0),"")</f>
        <v/>
      </c>
      <c r="AF907" t="str">
        <f>IFERROR(ROUND(S907*VLOOKUP(R907,商品!$A$4:$B$60,2,FALSE),0),"")</f>
        <v/>
      </c>
    </row>
    <row r="908" spans="1:32" ht="19.05" customHeight="1" x14ac:dyDescent="0.25">
      <c r="A908" s="16" t="s">
        <v>371</v>
      </c>
      <c r="C908" s="16">
        <v>8</v>
      </c>
      <c r="T908" s="2">
        <f t="shared" si="56"/>
        <v>0</v>
      </c>
      <c r="U908" s="2">
        <f t="shared" si="57"/>
        <v>0</v>
      </c>
      <c r="V908" s="2">
        <f t="shared" si="58"/>
        <v>0</v>
      </c>
      <c r="W908" s="2">
        <f t="shared" si="59"/>
        <v>0</v>
      </c>
      <c r="Y908" t="str">
        <f>IFERROR(ROUND(E908*VLOOKUP(D908,商品!$A$4:$B$60,2,FALSE),0),"")</f>
        <v/>
      </c>
      <c r="Z908" t="str">
        <f>IFERROR(ROUND(G908*VLOOKUP(F908,商品!$A$4:$B$60,2,FALSE),0),"")</f>
        <v/>
      </c>
      <c r="AA908" t="str">
        <f>IFERROR(ROUND(I908*VLOOKUP(H908,商品!$A$4:$B$60,2,FALSE),0),"")</f>
        <v/>
      </c>
      <c r="AB908" t="str">
        <f>IFERROR(ROUND(K908*VLOOKUP(J908,[1]note_pop_types!$A$16:$E$16,4,FALSE),0),"")</f>
        <v/>
      </c>
      <c r="AC908" t="str">
        <f>IFERROR(ROUND(M908*VLOOKUP(L908,[1]note_pop_types!$A$16:$E$16,4,FALSE),0),"")</f>
        <v/>
      </c>
      <c r="AD908" t="str">
        <f>IFERROR(ROUND(O908*VLOOKUP(N908,[1]note_pop_types!$A$16:$E$16,4,FALSE),0),"")</f>
        <v/>
      </c>
      <c r="AE908" t="str">
        <f>IFERROR(ROUND(Q908*VLOOKUP(P908,商品!$A$4:$B$60,2,FALSE),0),"")</f>
        <v/>
      </c>
      <c r="AF908" t="str">
        <f>IFERROR(ROUND(S908*VLOOKUP(R908,商品!$A$4:$B$60,2,FALSE),0),"")</f>
        <v/>
      </c>
    </row>
    <row r="909" spans="1:32" ht="19.05" customHeight="1" x14ac:dyDescent="0.25">
      <c r="A909" s="15" t="s">
        <v>373</v>
      </c>
      <c r="C909" s="15">
        <v>1</v>
      </c>
      <c r="T909" s="2">
        <f t="shared" si="56"/>
        <v>0</v>
      </c>
      <c r="U909" s="2">
        <f t="shared" si="57"/>
        <v>0</v>
      </c>
      <c r="V909" s="2">
        <f t="shared" si="58"/>
        <v>0</v>
      </c>
      <c r="W909" s="2">
        <f t="shared" si="59"/>
        <v>0</v>
      </c>
      <c r="Y909" t="str">
        <f>IFERROR(ROUND(E909*VLOOKUP(D909,商品!$A$4:$B$60,2,FALSE),0),"")</f>
        <v/>
      </c>
      <c r="Z909" t="str">
        <f>IFERROR(ROUND(G909*VLOOKUP(F909,商品!$A$4:$B$60,2,FALSE),0),"")</f>
        <v/>
      </c>
      <c r="AA909" t="str">
        <f>IFERROR(ROUND(I909*VLOOKUP(H909,商品!$A$4:$B$60,2,FALSE),0),"")</f>
        <v/>
      </c>
      <c r="AB909" t="str">
        <f>IFERROR(ROUND(K909*VLOOKUP(J909,[1]note_pop_types!$A$16:$E$16,4,FALSE),0),"")</f>
        <v/>
      </c>
      <c r="AC909" t="str">
        <f>IFERROR(ROUND(M909*VLOOKUP(L909,[1]note_pop_types!$A$16:$E$16,4,FALSE),0),"")</f>
        <v/>
      </c>
      <c r="AD909" t="str">
        <f>IFERROR(ROUND(O909*VLOOKUP(N909,[1]note_pop_types!$A$16:$E$16,4,FALSE),0),"")</f>
        <v/>
      </c>
      <c r="AE909" t="str">
        <f>IFERROR(ROUND(Q909*VLOOKUP(P909,商品!$A$4:$B$60,2,FALSE),0),"")</f>
        <v/>
      </c>
      <c r="AF909" t="str">
        <f>IFERROR(ROUND(S909*VLOOKUP(R909,商品!$A$4:$B$60,2,FALSE),0),"")</f>
        <v/>
      </c>
    </row>
    <row r="910" spans="1:32" ht="19.05" customHeight="1" x14ac:dyDescent="0.25">
      <c r="A910" s="15" t="s">
        <v>373</v>
      </c>
      <c r="C910" s="15">
        <v>2</v>
      </c>
      <c r="T910" s="2">
        <f t="shared" si="56"/>
        <v>0</v>
      </c>
      <c r="U910" s="2">
        <f t="shared" si="57"/>
        <v>0</v>
      </c>
      <c r="V910" s="2">
        <f t="shared" si="58"/>
        <v>0</v>
      </c>
      <c r="W910" s="2">
        <f t="shared" si="59"/>
        <v>0</v>
      </c>
      <c r="Y910" t="str">
        <f>IFERROR(ROUND(E910*VLOOKUP(D910,商品!$A$4:$B$60,2,FALSE),0),"")</f>
        <v/>
      </c>
      <c r="Z910" t="str">
        <f>IFERROR(ROUND(G910*VLOOKUP(F910,商品!$A$4:$B$60,2,FALSE),0),"")</f>
        <v/>
      </c>
      <c r="AA910" t="str">
        <f>IFERROR(ROUND(I910*VLOOKUP(H910,商品!$A$4:$B$60,2,FALSE),0),"")</f>
        <v/>
      </c>
      <c r="AB910" t="str">
        <f>IFERROR(ROUND(K910*VLOOKUP(J910,[1]note_pop_types!$A$16:$E$16,4,FALSE),0),"")</f>
        <v/>
      </c>
      <c r="AC910" t="str">
        <f>IFERROR(ROUND(M910*VLOOKUP(L910,[1]note_pop_types!$A$16:$E$16,4,FALSE),0),"")</f>
        <v/>
      </c>
      <c r="AD910" t="str">
        <f>IFERROR(ROUND(O910*VLOOKUP(N910,[1]note_pop_types!$A$16:$E$16,4,FALSE),0),"")</f>
        <v/>
      </c>
      <c r="AE910" t="str">
        <f>IFERROR(ROUND(Q910*VLOOKUP(P910,商品!$A$4:$B$60,2,FALSE),0),"")</f>
        <v/>
      </c>
      <c r="AF910" t="str">
        <f>IFERROR(ROUND(S910*VLOOKUP(R910,商品!$A$4:$B$60,2,FALSE),0),"")</f>
        <v/>
      </c>
    </row>
    <row r="911" spans="1:32" ht="19.05" customHeight="1" x14ac:dyDescent="0.25">
      <c r="A911" s="15" t="s">
        <v>373</v>
      </c>
      <c r="C911" s="15">
        <v>3</v>
      </c>
      <c r="T911" s="2">
        <f t="shared" si="56"/>
        <v>0</v>
      </c>
      <c r="U911" s="2">
        <f t="shared" si="57"/>
        <v>0</v>
      </c>
      <c r="V911" s="2">
        <f t="shared" si="58"/>
        <v>0</v>
      </c>
      <c r="W911" s="2">
        <f t="shared" si="59"/>
        <v>0</v>
      </c>
      <c r="Y911" t="str">
        <f>IFERROR(ROUND(E911*VLOOKUP(D911,商品!$A$4:$B$60,2,FALSE),0),"")</f>
        <v/>
      </c>
      <c r="Z911" t="str">
        <f>IFERROR(ROUND(G911*VLOOKUP(F911,商品!$A$4:$B$60,2,FALSE),0),"")</f>
        <v/>
      </c>
      <c r="AA911" t="str">
        <f>IFERROR(ROUND(I911*VLOOKUP(H911,商品!$A$4:$B$60,2,FALSE),0),"")</f>
        <v/>
      </c>
      <c r="AB911" t="str">
        <f>IFERROR(ROUND(K911*VLOOKUP(J911,[1]note_pop_types!$A$16:$E$16,4,FALSE),0),"")</f>
        <v/>
      </c>
      <c r="AC911" t="str">
        <f>IFERROR(ROUND(M911*VLOOKUP(L911,[1]note_pop_types!$A$16:$E$16,4,FALSE),0),"")</f>
        <v/>
      </c>
      <c r="AD911" t="str">
        <f>IFERROR(ROUND(O911*VLOOKUP(N911,[1]note_pop_types!$A$16:$E$16,4,FALSE),0),"")</f>
        <v/>
      </c>
      <c r="AE911" t="str">
        <f>IFERROR(ROUND(Q911*VLOOKUP(P911,商品!$A$4:$B$60,2,FALSE),0),"")</f>
        <v/>
      </c>
      <c r="AF911" t="str">
        <f>IFERROR(ROUND(S911*VLOOKUP(R911,商品!$A$4:$B$60,2,FALSE),0),"")</f>
        <v/>
      </c>
    </row>
    <row r="912" spans="1:32" ht="19.05" customHeight="1" x14ac:dyDescent="0.25">
      <c r="A912" s="15" t="s">
        <v>373</v>
      </c>
      <c r="C912" s="15">
        <v>4</v>
      </c>
      <c r="T912" s="2">
        <f t="shared" si="56"/>
        <v>0</v>
      </c>
      <c r="U912" s="2">
        <f t="shared" si="57"/>
        <v>0</v>
      </c>
      <c r="V912" s="2">
        <f t="shared" si="58"/>
        <v>0</v>
      </c>
      <c r="W912" s="2">
        <f t="shared" si="59"/>
        <v>0</v>
      </c>
      <c r="Y912" t="str">
        <f>IFERROR(ROUND(E912*VLOOKUP(D912,商品!$A$4:$B$60,2,FALSE),0),"")</f>
        <v/>
      </c>
      <c r="Z912" t="str">
        <f>IFERROR(ROUND(G912*VLOOKUP(F912,商品!$A$4:$B$60,2,FALSE),0),"")</f>
        <v/>
      </c>
      <c r="AA912" t="str">
        <f>IFERROR(ROUND(I912*VLOOKUP(H912,商品!$A$4:$B$60,2,FALSE),0),"")</f>
        <v/>
      </c>
      <c r="AB912" t="str">
        <f>IFERROR(ROUND(K912*VLOOKUP(J912,[1]note_pop_types!$A$16:$E$16,4,FALSE),0),"")</f>
        <v/>
      </c>
      <c r="AC912" t="str">
        <f>IFERROR(ROUND(M912*VLOOKUP(L912,[1]note_pop_types!$A$16:$E$16,4,FALSE),0),"")</f>
        <v/>
      </c>
      <c r="AD912" t="str">
        <f>IFERROR(ROUND(O912*VLOOKUP(N912,[1]note_pop_types!$A$16:$E$16,4,FALSE),0),"")</f>
        <v/>
      </c>
      <c r="AE912" t="str">
        <f>IFERROR(ROUND(Q912*VLOOKUP(P912,商品!$A$4:$B$60,2,FALSE),0),"")</f>
        <v/>
      </c>
      <c r="AF912" t="str">
        <f>IFERROR(ROUND(S912*VLOOKUP(R912,商品!$A$4:$B$60,2,FALSE),0),"")</f>
        <v/>
      </c>
    </row>
    <row r="913" spans="1:32" ht="19.05" customHeight="1" x14ac:dyDescent="0.25">
      <c r="A913" s="15" t="s">
        <v>373</v>
      </c>
      <c r="C913" s="15">
        <v>5</v>
      </c>
      <c r="T913" s="2">
        <f t="shared" si="56"/>
        <v>0</v>
      </c>
      <c r="U913" s="2">
        <f t="shared" si="57"/>
        <v>0</v>
      </c>
      <c r="V913" s="2">
        <f t="shared" si="58"/>
        <v>0</v>
      </c>
      <c r="W913" s="2">
        <f t="shared" si="59"/>
        <v>0</v>
      </c>
      <c r="Y913" t="str">
        <f>IFERROR(ROUND(E913*VLOOKUP(D913,商品!$A$4:$B$60,2,FALSE),0),"")</f>
        <v/>
      </c>
      <c r="Z913" t="str">
        <f>IFERROR(ROUND(G913*VLOOKUP(F913,商品!$A$4:$B$60,2,FALSE),0),"")</f>
        <v/>
      </c>
      <c r="AA913" t="str">
        <f>IFERROR(ROUND(I913*VLOOKUP(H913,商品!$A$4:$B$60,2,FALSE),0),"")</f>
        <v/>
      </c>
      <c r="AB913" t="str">
        <f>IFERROR(ROUND(K913*VLOOKUP(J913,[1]note_pop_types!$A$16:$E$16,4,FALSE),0),"")</f>
        <v/>
      </c>
      <c r="AC913" t="str">
        <f>IFERROR(ROUND(M913*VLOOKUP(L913,[1]note_pop_types!$A$16:$E$16,4,FALSE),0),"")</f>
        <v/>
      </c>
      <c r="AD913" t="str">
        <f>IFERROR(ROUND(O913*VLOOKUP(N913,[1]note_pop_types!$A$16:$E$16,4,FALSE),0),"")</f>
        <v/>
      </c>
      <c r="AE913" t="str">
        <f>IFERROR(ROUND(Q913*VLOOKUP(P913,商品!$A$4:$B$60,2,FALSE),0),"")</f>
        <v/>
      </c>
      <c r="AF913" t="str">
        <f>IFERROR(ROUND(S913*VLOOKUP(R913,商品!$A$4:$B$60,2,FALSE),0),"")</f>
        <v/>
      </c>
    </row>
    <row r="914" spans="1:32" ht="19.05" customHeight="1" x14ac:dyDescent="0.25">
      <c r="A914" s="16" t="s">
        <v>544</v>
      </c>
      <c r="C914" s="16">
        <v>1</v>
      </c>
      <c r="T914" s="2">
        <f t="shared" si="56"/>
        <v>0</v>
      </c>
      <c r="U914" s="2">
        <f t="shared" si="57"/>
        <v>0</v>
      </c>
      <c r="V914" s="2">
        <f t="shared" si="58"/>
        <v>0</v>
      </c>
      <c r="W914" s="2">
        <f t="shared" si="59"/>
        <v>0</v>
      </c>
      <c r="Y914" t="str">
        <f>IFERROR(ROUND(E914*VLOOKUP(D914,商品!$A$4:$B$60,2,FALSE),0),"")</f>
        <v/>
      </c>
      <c r="Z914" t="str">
        <f>IFERROR(ROUND(G914*VLOOKUP(F914,商品!$A$4:$B$60,2,FALSE),0),"")</f>
        <v/>
      </c>
      <c r="AA914" t="str">
        <f>IFERROR(ROUND(I914*VLOOKUP(H914,商品!$A$4:$B$60,2,FALSE),0),"")</f>
        <v/>
      </c>
      <c r="AB914" t="str">
        <f>IFERROR(ROUND(K914*VLOOKUP(J914,[1]note_pop_types!$A$16:$E$16,4,FALSE),0),"")</f>
        <v/>
      </c>
      <c r="AC914" t="str">
        <f>IFERROR(ROUND(M914*VLOOKUP(L914,[1]note_pop_types!$A$16:$E$16,4,FALSE),0),"")</f>
        <v/>
      </c>
      <c r="AD914" t="str">
        <f>IFERROR(ROUND(O914*VLOOKUP(N914,[1]note_pop_types!$A$16:$E$16,4,FALSE),0),"")</f>
        <v/>
      </c>
      <c r="AE914" t="str">
        <f>IFERROR(ROUND(Q914*VLOOKUP(P914,商品!$A$4:$B$60,2,FALSE),0),"")</f>
        <v/>
      </c>
      <c r="AF914" t="str">
        <f>IFERROR(ROUND(S914*VLOOKUP(R914,商品!$A$4:$B$60,2,FALSE),0),"")</f>
        <v/>
      </c>
    </row>
    <row r="915" spans="1:32" ht="19.05" customHeight="1" x14ac:dyDescent="0.25">
      <c r="A915" s="16" t="s">
        <v>544</v>
      </c>
      <c r="C915" s="16">
        <v>2</v>
      </c>
      <c r="T915" s="2">
        <f t="shared" si="56"/>
        <v>0</v>
      </c>
      <c r="U915" s="2">
        <f t="shared" si="57"/>
        <v>0</v>
      </c>
      <c r="V915" s="2">
        <f t="shared" si="58"/>
        <v>0</v>
      </c>
      <c r="W915" s="2">
        <f t="shared" si="59"/>
        <v>0</v>
      </c>
      <c r="Y915" t="str">
        <f>IFERROR(ROUND(E915*VLOOKUP(D915,商品!$A$4:$B$60,2,FALSE),0),"")</f>
        <v/>
      </c>
      <c r="Z915" t="str">
        <f>IFERROR(ROUND(G915*VLOOKUP(F915,商品!$A$4:$B$60,2,FALSE),0),"")</f>
        <v/>
      </c>
      <c r="AA915" t="str">
        <f>IFERROR(ROUND(I915*VLOOKUP(H915,商品!$A$4:$B$60,2,FALSE),0),"")</f>
        <v/>
      </c>
      <c r="AB915" t="str">
        <f>IFERROR(ROUND(K915*VLOOKUP(J915,[1]note_pop_types!$A$16:$E$16,4,FALSE),0),"")</f>
        <v/>
      </c>
      <c r="AC915" t="str">
        <f>IFERROR(ROUND(M915*VLOOKUP(L915,[1]note_pop_types!$A$16:$E$16,4,FALSE),0),"")</f>
        <v/>
      </c>
      <c r="AD915" t="str">
        <f>IFERROR(ROUND(O915*VLOOKUP(N915,[1]note_pop_types!$A$16:$E$16,4,FALSE),0),"")</f>
        <v/>
      </c>
      <c r="AE915" t="str">
        <f>IFERROR(ROUND(Q915*VLOOKUP(P915,商品!$A$4:$B$60,2,FALSE),0),"")</f>
        <v/>
      </c>
      <c r="AF915" t="str">
        <f>IFERROR(ROUND(S915*VLOOKUP(R915,商品!$A$4:$B$60,2,FALSE),0),"")</f>
        <v/>
      </c>
    </row>
    <row r="916" spans="1:32" ht="19.05" customHeight="1" x14ac:dyDescent="0.25">
      <c r="A916" s="16" t="s">
        <v>544</v>
      </c>
      <c r="C916" s="16">
        <v>3</v>
      </c>
      <c r="T916" s="2">
        <f t="shared" si="56"/>
        <v>0</v>
      </c>
      <c r="U916" s="2">
        <f t="shared" si="57"/>
        <v>0</v>
      </c>
      <c r="V916" s="2">
        <f t="shared" si="58"/>
        <v>0</v>
      </c>
      <c r="W916" s="2">
        <f t="shared" si="59"/>
        <v>0</v>
      </c>
      <c r="Y916" t="str">
        <f>IFERROR(ROUND(E916*VLOOKUP(D916,商品!$A$4:$B$60,2,FALSE),0),"")</f>
        <v/>
      </c>
      <c r="Z916" t="str">
        <f>IFERROR(ROUND(G916*VLOOKUP(F916,商品!$A$4:$B$60,2,FALSE),0),"")</f>
        <v/>
      </c>
      <c r="AA916" t="str">
        <f>IFERROR(ROUND(I916*VLOOKUP(H916,商品!$A$4:$B$60,2,FALSE),0),"")</f>
        <v/>
      </c>
      <c r="AB916" t="str">
        <f>IFERROR(ROUND(K916*VLOOKUP(J916,[1]note_pop_types!$A$16:$E$16,4,FALSE),0),"")</f>
        <v/>
      </c>
      <c r="AC916" t="str">
        <f>IFERROR(ROUND(M916*VLOOKUP(L916,[1]note_pop_types!$A$16:$E$16,4,FALSE),0),"")</f>
        <v/>
      </c>
      <c r="AD916" t="str">
        <f>IFERROR(ROUND(O916*VLOOKUP(N916,[1]note_pop_types!$A$16:$E$16,4,FALSE),0),"")</f>
        <v/>
      </c>
      <c r="AE916" t="str">
        <f>IFERROR(ROUND(Q916*VLOOKUP(P916,商品!$A$4:$B$60,2,FALSE),0),"")</f>
        <v/>
      </c>
      <c r="AF916" t="str">
        <f>IFERROR(ROUND(S916*VLOOKUP(R916,商品!$A$4:$B$60,2,FALSE),0),"")</f>
        <v/>
      </c>
    </row>
    <row r="917" spans="1:32" ht="19.05" customHeight="1" x14ac:dyDescent="0.25">
      <c r="A917" s="16" t="s">
        <v>544</v>
      </c>
      <c r="C917" s="16">
        <v>4</v>
      </c>
      <c r="T917" s="2">
        <f t="shared" si="56"/>
        <v>0</v>
      </c>
      <c r="U917" s="2">
        <f t="shared" si="57"/>
        <v>0</v>
      </c>
      <c r="V917" s="2">
        <f t="shared" si="58"/>
        <v>0</v>
      </c>
      <c r="W917" s="2">
        <f t="shared" si="59"/>
        <v>0</v>
      </c>
      <c r="Y917" t="str">
        <f>IFERROR(ROUND(E917*VLOOKUP(D917,商品!$A$4:$B$60,2,FALSE),0),"")</f>
        <v/>
      </c>
      <c r="Z917" t="str">
        <f>IFERROR(ROUND(G917*VLOOKUP(F917,商品!$A$4:$B$60,2,FALSE),0),"")</f>
        <v/>
      </c>
      <c r="AA917" t="str">
        <f>IFERROR(ROUND(I917*VLOOKUP(H917,商品!$A$4:$B$60,2,FALSE),0),"")</f>
        <v/>
      </c>
      <c r="AB917" t="str">
        <f>IFERROR(ROUND(K917*VLOOKUP(J917,[1]note_pop_types!$A$16:$E$16,4,FALSE),0),"")</f>
        <v/>
      </c>
      <c r="AC917" t="str">
        <f>IFERROR(ROUND(M917*VLOOKUP(L917,[1]note_pop_types!$A$16:$E$16,4,FALSE),0),"")</f>
        <v/>
      </c>
      <c r="AD917" t="str">
        <f>IFERROR(ROUND(O917*VLOOKUP(N917,[1]note_pop_types!$A$16:$E$16,4,FALSE),0),"")</f>
        <v/>
      </c>
      <c r="AE917" t="str">
        <f>IFERROR(ROUND(Q917*VLOOKUP(P917,商品!$A$4:$B$60,2,FALSE),0),"")</f>
        <v/>
      </c>
      <c r="AF917" t="str">
        <f>IFERROR(ROUND(S917*VLOOKUP(R917,商品!$A$4:$B$60,2,FALSE),0),"")</f>
        <v/>
      </c>
    </row>
    <row r="918" spans="1:32" ht="19.05" customHeight="1" x14ac:dyDescent="0.25">
      <c r="A918" s="16" t="s">
        <v>544</v>
      </c>
      <c r="C918" s="16">
        <v>5</v>
      </c>
      <c r="T918" s="2">
        <f t="shared" si="56"/>
        <v>0</v>
      </c>
      <c r="U918" s="2">
        <f t="shared" si="57"/>
        <v>0</v>
      </c>
      <c r="V918" s="2">
        <f t="shared" si="58"/>
        <v>0</v>
      </c>
      <c r="W918" s="2">
        <f t="shared" si="59"/>
        <v>0</v>
      </c>
      <c r="Y918" t="str">
        <f>IFERROR(ROUND(E918*VLOOKUP(D918,商品!$A$4:$B$60,2,FALSE),0),"")</f>
        <v/>
      </c>
      <c r="Z918" t="str">
        <f>IFERROR(ROUND(G918*VLOOKUP(F918,商品!$A$4:$B$60,2,FALSE),0),"")</f>
        <v/>
      </c>
      <c r="AA918" t="str">
        <f>IFERROR(ROUND(I918*VLOOKUP(H918,商品!$A$4:$B$60,2,FALSE),0),"")</f>
        <v/>
      </c>
      <c r="AB918" t="str">
        <f>IFERROR(ROUND(K918*VLOOKUP(J918,[1]note_pop_types!$A$16:$E$16,4,FALSE),0),"")</f>
        <v/>
      </c>
      <c r="AC918" t="str">
        <f>IFERROR(ROUND(M918*VLOOKUP(L918,[1]note_pop_types!$A$16:$E$16,4,FALSE),0),"")</f>
        <v/>
      </c>
      <c r="AD918" t="str">
        <f>IFERROR(ROUND(O918*VLOOKUP(N918,[1]note_pop_types!$A$16:$E$16,4,FALSE),0),"")</f>
        <v/>
      </c>
      <c r="AE918" t="str">
        <f>IFERROR(ROUND(Q918*VLOOKUP(P918,商品!$A$4:$B$60,2,FALSE),0),"")</f>
        <v/>
      </c>
      <c r="AF918" t="str">
        <f>IFERROR(ROUND(S918*VLOOKUP(R918,商品!$A$4:$B$60,2,FALSE),0),"")</f>
        <v/>
      </c>
    </row>
    <row r="919" spans="1:32" ht="19.05" customHeight="1" x14ac:dyDescent="0.25">
      <c r="A919" s="15" t="s">
        <v>544</v>
      </c>
      <c r="C919" s="15">
        <v>1</v>
      </c>
      <c r="T919" s="2">
        <f t="shared" si="56"/>
        <v>0</v>
      </c>
      <c r="U919" s="2">
        <f t="shared" si="57"/>
        <v>0</v>
      </c>
      <c r="V919" s="2">
        <f t="shared" si="58"/>
        <v>0</v>
      </c>
      <c r="W919" s="2">
        <f t="shared" si="59"/>
        <v>0</v>
      </c>
      <c r="Y919" t="str">
        <f>IFERROR(ROUND(E919*VLOOKUP(D919,商品!$A$4:$B$60,2,FALSE),0),"")</f>
        <v/>
      </c>
      <c r="Z919" t="str">
        <f>IFERROR(ROUND(G919*VLOOKUP(F919,商品!$A$4:$B$60,2,FALSE),0),"")</f>
        <v/>
      </c>
      <c r="AA919" t="str">
        <f>IFERROR(ROUND(I919*VLOOKUP(H919,商品!$A$4:$B$60,2,FALSE),0),"")</f>
        <v/>
      </c>
      <c r="AB919" t="str">
        <f>IFERROR(ROUND(K919*VLOOKUP(J919,[1]note_pop_types!$A$16:$E$16,4,FALSE),0),"")</f>
        <v/>
      </c>
      <c r="AC919" t="str">
        <f>IFERROR(ROUND(M919*VLOOKUP(L919,[1]note_pop_types!$A$16:$E$16,4,FALSE),0),"")</f>
        <v/>
      </c>
      <c r="AD919" t="str">
        <f>IFERROR(ROUND(O919*VLOOKUP(N919,[1]note_pop_types!$A$16:$E$16,4,FALSE),0),"")</f>
        <v/>
      </c>
      <c r="AE919" t="str">
        <f>IFERROR(ROUND(Q919*VLOOKUP(P919,商品!$A$4:$B$60,2,FALSE),0),"")</f>
        <v/>
      </c>
      <c r="AF919" t="str">
        <f>IFERROR(ROUND(S919*VLOOKUP(R919,商品!$A$4:$B$60,2,FALSE),0),"")</f>
        <v/>
      </c>
    </row>
    <row r="920" spans="1:32" ht="19.05" customHeight="1" x14ac:dyDescent="0.25">
      <c r="A920" s="15" t="s">
        <v>544</v>
      </c>
      <c r="C920" s="15">
        <v>2</v>
      </c>
      <c r="T920" s="2">
        <f t="shared" si="56"/>
        <v>0</v>
      </c>
      <c r="U920" s="2">
        <f t="shared" si="57"/>
        <v>0</v>
      </c>
      <c r="V920" s="2">
        <f t="shared" si="58"/>
        <v>0</v>
      </c>
      <c r="W920" s="2">
        <f t="shared" si="59"/>
        <v>0</v>
      </c>
      <c r="Y920" t="str">
        <f>IFERROR(ROUND(E920*VLOOKUP(D920,商品!$A$4:$B$60,2,FALSE),0),"")</f>
        <v/>
      </c>
      <c r="Z920" t="str">
        <f>IFERROR(ROUND(G920*VLOOKUP(F920,商品!$A$4:$B$60,2,FALSE),0),"")</f>
        <v/>
      </c>
      <c r="AA920" t="str">
        <f>IFERROR(ROUND(I920*VLOOKUP(H920,商品!$A$4:$B$60,2,FALSE),0),"")</f>
        <v/>
      </c>
      <c r="AB920" t="str">
        <f>IFERROR(ROUND(K920*VLOOKUP(J920,[1]note_pop_types!$A$16:$E$16,4,FALSE),0),"")</f>
        <v/>
      </c>
      <c r="AC920" t="str">
        <f>IFERROR(ROUND(M920*VLOOKUP(L920,[1]note_pop_types!$A$16:$E$16,4,FALSE),0),"")</f>
        <v/>
      </c>
      <c r="AD920" t="str">
        <f>IFERROR(ROUND(O920*VLOOKUP(N920,[1]note_pop_types!$A$16:$E$16,4,FALSE),0),"")</f>
        <v/>
      </c>
      <c r="AE920" t="str">
        <f>IFERROR(ROUND(Q920*VLOOKUP(P920,商品!$A$4:$B$60,2,FALSE),0),"")</f>
        <v/>
      </c>
      <c r="AF920" t="str">
        <f>IFERROR(ROUND(S920*VLOOKUP(R920,商品!$A$4:$B$60,2,FALSE),0),"")</f>
        <v/>
      </c>
    </row>
    <row r="921" spans="1:32" ht="19.05" customHeight="1" x14ac:dyDescent="0.25">
      <c r="A921" s="15" t="s">
        <v>544</v>
      </c>
      <c r="C921" s="15">
        <v>3</v>
      </c>
      <c r="T921" s="2">
        <f t="shared" si="56"/>
        <v>0</v>
      </c>
      <c r="U921" s="2">
        <f t="shared" si="57"/>
        <v>0</v>
      </c>
      <c r="V921" s="2">
        <f t="shared" si="58"/>
        <v>0</v>
      </c>
      <c r="W921" s="2">
        <f t="shared" si="59"/>
        <v>0</v>
      </c>
      <c r="Y921" t="str">
        <f>IFERROR(ROUND(E921*VLOOKUP(D921,商品!$A$4:$B$60,2,FALSE),0),"")</f>
        <v/>
      </c>
      <c r="Z921" t="str">
        <f>IFERROR(ROUND(G921*VLOOKUP(F921,商品!$A$4:$B$60,2,FALSE),0),"")</f>
        <v/>
      </c>
      <c r="AA921" t="str">
        <f>IFERROR(ROUND(I921*VLOOKUP(H921,商品!$A$4:$B$60,2,FALSE),0),"")</f>
        <v/>
      </c>
      <c r="AB921" t="str">
        <f>IFERROR(ROUND(K921*VLOOKUP(J921,[1]note_pop_types!$A$16:$E$16,4,FALSE),0),"")</f>
        <v/>
      </c>
      <c r="AC921" t="str">
        <f>IFERROR(ROUND(M921*VLOOKUP(L921,[1]note_pop_types!$A$16:$E$16,4,FALSE),0),"")</f>
        <v/>
      </c>
      <c r="AD921" t="str">
        <f>IFERROR(ROUND(O921*VLOOKUP(N921,[1]note_pop_types!$A$16:$E$16,4,FALSE),0),"")</f>
        <v/>
      </c>
      <c r="AE921" t="str">
        <f>IFERROR(ROUND(Q921*VLOOKUP(P921,商品!$A$4:$B$60,2,FALSE),0),"")</f>
        <v/>
      </c>
      <c r="AF921" t="str">
        <f>IFERROR(ROUND(S921*VLOOKUP(R921,商品!$A$4:$B$60,2,FALSE),0),"")</f>
        <v/>
      </c>
    </row>
    <row r="922" spans="1:32" ht="19.05" customHeight="1" x14ac:dyDescent="0.25">
      <c r="A922" s="15" t="s">
        <v>544</v>
      </c>
      <c r="C922" s="15">
        <v>4</v>
      </c>
      <c r="T922" s="2">
        <f t="shared" si="56"/>
        <v>0</v>
      </c>
      <c r="U922" s="2">
        <f t="shared" si="57"/>
        <v>0</v>
      </c>
      <c r="V922" s="2">
        <f t="shared" si="58"/>
        <v>0</v>
      </c>
      <c r="W922" s="2">
        <f t="shared" si="59"/>
        <v>0</v>
      </c>
      <c r="Y922" t="str">
        <f>IFERROR(ROUND(E922*VLOOKUP(D922,商品!$A$4:$B$60,2,FALSE),0),"")</f>
        <v/>
      </c>
      <c r="Z922" t="str">
        <f>IFERROR(ROUND(G922*VLOOKUP(F922,商品!$A$4:$B$60,2,FALSE),0),"")</f>
        <v/>
      </c>
      <c r="AA922" t="str">
        <f>IFERROR(ROUND(I922*VLOOKUP(H922,商品!$A$4:$B$60,2,FALSE),0),"")</f>
        <v/>
      </c>
      <c r="AB922" t="str">
        <f>IFERROR(ROUND(K922*VLOOKUP(J922,[1]note_pop_types!$A$16:$E$16,4,FALSE),0),"")</f>
        <v/>
      </c>
      <c r="AC922" t="str">
        <f>IFERROR(ROUND(M922*VLOOKUP(L922,[1]note_pop_types!$A$16:$E$16,4,FALSE),0),"")</f>
        <v/>
      </c>
      <c r="AD922" t="str">
        <f>IFERROR(ROUND(O922*VLOOKUP(N922,[1]note_pop_types!$A$16:$E$16,4,FALSE),0),"")</f>
        <v/>
      </c>
      <c r="AE922" t="str">
        <f>IFERROR(ROUND(Q922*VLOOKUP(P922,商品!$A$4:$B$60,2,FALSE),0),"")</f>
        <v/>
      </c>
      <c r="AF922" t="str">
        <f>IFERROR(ROUND(S922*VLOOKUP(R922,商品!$A$4:$B$60,2,FALSE),0),"")</f>
        <v/>
      </c>
    </row>
    <row r="923" spans="1:32" ht="19.05" customHeight="1" x14ac:dyDescent="0.25">
      <c r="A923" s="15" t="s">
        <v>544</v>
      </c>
      <c r="C923" s="15">
        <v>5</v>
      </c>
      <c r="T923" s="2">
        <f t="shared" si="56"/>
        <v>0</v>
      </c>
      <c r="U923" s="2">
        <f t="shared" si="57"/>
        <v>0</v>
      </c>
      <c r="V923" s="2">
        <f t="shared" si="58"/>
        <v>0</v>
      </c>
      <c r="W923" s="2">
        <f t="shared" si="59"/>
        <v>0</v>
      </c>
      <c r="Y923" t="str">
        <f>IFERROR(ROUND(E923*VLOOKUP(D923,商品!$A$4:$B$60,2,FALSE),0),"")</f>
        <v/>
      </c>
      <c r="Z923" t="str">
        <f>IFERROR(ROUND(G923*VLOOKUP(F923,商品!$A$4:$B$60,2,FALSE),0),"")</f>
        <v/>
      </c>
      <c r="AA923" t="str">
        <f>IFERROR(ROUND(I923*VLOOKUP(H923,商品!$A$4:$B$60,2,FALSE),0),"")</f>
        <v/>
      </c>
      <c r="AB923" t="str">
        <f>IFERROR(ROUND(K923*VLOOKUP(J923,[1]note_pop_types!$A$16:$E$16,4,FALSE),0),"")</f>
        <v/>
      </c>
      <c r="AC923" t="str">
        <f>IFERROR(ROUND(M923*VLOOKUP(L923,[1]note_pop_types!$A$16:$E$16,4,FALSE),0),"")</f>
        <v/>
      </c>
      <c r="AD923" t="str">
        <f>IFERROR(ROUND(O923*VLOOKUP(N923,[1]note_pop_types!$A$16:$E$16,4,FALSE),0),"")</f>
        <v/>
      </c>
      <c r="AE923" t="str">
        <f>IFERROR(ROUND(Q923*VLOOKUP(P923,商品!$A$4:$B$60,2,FALSE),0),"")</f>
        <v/>
      </c>
      <c r="AF923" t="str">
        <f>IFERROR(ROUND(S923*VLOOKUP(R923,商品!$A$4:$B$60,2,FALSE),0),"")</f>
        <v/>
      </c>
    </row>
    <row r="924" spans="1:32" ht="19.05" customHeight="1" x14ac:dyDescent="0.25">
      <c r="A924" s="16" t="s">
        <v>376</v>
      </c>
      <c r="C924" s="16">
        <v>1</v>
      </c>
      <c r="T924" s="2">
        <f t="shared" si="56"/>
        <v>0</v>
      </c>
      <c r="U924" s="2">
        <f t="shared" si="57"/>
        <v>0</v>
      </c>
      <c r="V924" s="2">
        <f t="shared" si="58"/>
        <v>0</v>
      </c>
      <c r="W924" s="2">
        <f t="shared" si="59"/>
        <v>0</v>
      </c>
      <c r="Y924" t="str">
        <f>IFERROR(ROUND(E924*VLOOKUP(D924,商品!$A$4:$B$60,2,FALSE),0),"")</f>
        <v/>
      </c>
      <c r="Z924" t="str">
        <f>IFERROR(ROUND(G924*VLOOKUP(F924,商品!$A$4:$B$60,2,FALSE),0),"")</f>
        <v/>
      </c>
      <c r="AA924" t="str">
        <f>IFERROR(ROUND(I924*VLOOKUP(H924,商品!$A$4:$B$60,2,FALSE),0),"")</f>
        <v/>
      </c>
      <c r="AB924" t="str">
        <f>IFERROR(ROUND(K924*VLOOKUP(J924,[1]note_pop_types!$A$16:$E$16,4,FALSE),0),"")</f>
        <v/>
      </c>
      <c r="AC924" t="str">
        <f>IFERROR(ROUND(M924*VLOOKUP(L924,[1]note_pop_types!$A$16:$E$16,4,FALSE),0),"")</f>
        <v/>
      </c>
      <c r="AD924" t="str">
        <f>IFERROR(ROUND(O924*VLOOKUP(N924,[1]note_pop_types!$A$16:$E$16,4,FALSE),0),"")</f>
        <v/>
      </c>
      <c r="AE924" t="str">
        <f>IFERROR(ROUND(Q924*VLOOKUP(P924,商品!$A$4:$B$60,2,FALSE),0),"")</f>
        <v/>
      </c>
      <c r="AF924" t="str">
        <f>IFERROR(ROUND(S924*VLOOKUP(R924,商品!$A$4:$B$60,2,FALSE),0),"")</f>
        <v/>
      </c>
    </row>
    <row r="925" spans="1:32" ht="19.05" customHeight="1" x14ac:dyDescent="0.25">
      <c r="A925" s="16" t="s">
        <v>376</v>
      </c>
      <c r="C925" s="16">
        <v>2</v>
      </c>
      <c r="T925" s="2">
        <f t="shared" si="56"/>
        <v>0</v>
      </c>
      <c r="U925" s="2">
        <f t="shared" si="57"/>
        <v>0</v>
      </c>
      <c r="V925" s="2">
        <f t="shared" si="58"/>
        <v>0</v>
      </c>
      <c r="W925" s="2">
        <f t="shared" si="59"/>
        <v>0</v>
      </c>
      <c r="Y925" t="str">
        <f>IFERROR(ROUND(E925*VLOOKUP(D925,商品!$A$4:$B$60,2,FALSE),0),"")</f>
        <v/>
      </c>
      <c r="Z925" t="str">
        <f>IFERROR(ROUND(G925*VLOOKUP(F925,商品!$A$4:$B$60,2,FALSE),0),"")</f>
        <v/>
      </c>
      <c r="AA925" t="str">
        <f>IFERROR(ROUND(I925*VLOOKUP(H925,商品!$A$4:$B$60,2,FALSE),0),"")</f>
        <v/>
      </c>
      <c r="AB925" t="str">
        <f>IFERROR(ROUND(K925*VLOOKUP(J925,[1]note_pop_types!$A$16:$E$16,4,FALSE),0),"")</f>
        <v/>
      </c>
      <c r="AC925" t="str">
        <f>IFERROR(ROUND(M925*VLOOKUP(L925,[1]note_pop_types!$A$16:$E$16,4,FALSE),0),"")</f>
        <v/>
      </c>
      <c r="AD925" t="str">
        <f>IFERROR(ROUND(O925*VLOOKUP(N925,[1]note_pop_types!$A$16:$E$16,4,FALSE),0),"")</f>
        <v/>
      </c>
      <c r="AE925" t="str">
        <f>IFERROR(ROUND(Q925*VLOOKUP(P925,商品!$A$4:$B$60,2,FALSE),0),"")</f>
        <v/>
      </c>
      <c r="AF925" t="str">
        <f>IFERROR(ROUND(S925*VLOOKUP(R925,商品!$A$4:$B$60,2,FALSE),0),"")</f>
        <v/>
      </c>
    </row>
    <row r="926" spans="1:32" ht="19.05" customHeight="1" x14ac:dyDescent="0.25">
      <c r="A926" s="16" t="s">
        <v>376</v>
      </c>
      <c r="C926" s="16">
        <v>3</v>
      </c>
      <c r="T926" s="2">
        <f t="shared" si="56"/>
        <v>0</v>
      </c>
      <c r="U926" s="2">
        <f t="shared" si="57"/>
        <v>0</v>
      </c>
      <c r="V926" s="2">
        <f t="shared" si="58"/>
        <v>0</v>
      </c>
      <c r="W926" s="2">
        <f t="shared" si="59"/>
        <v>0</v>
      </c>
      <c r="Y926" t="str">
        <f>IFERROR(ROUND(E926*VLOOKUP(D926,商品!$A$4:$B$60,2,FALSE),0),"")</f>
        <v/>
      </c>
      <c r="Z926" t="str">
        <f>IFERROR(ROUND(G926*VLOOKUP(F926,商品!$A$4:$B$60,2,FALSE),0),"")</f>
        <v/>
      </c>
      <c r="AA926" t="str">
        <f>IFERROR(ROUND(I926*VLOOKUP(H926,商品!$A$4:$B$60,2,FALSE),0),"")</f>
        <v/>
      </c>
      <c r="AB926" t="str">
        <f>IFERROR(ROUND(K926*VLOOKUP(J926,[1]note_pop_types!$A$16:$E$16,4,FALSE),0),"")</f>
        <v/>
      </c>
      <c r="AC926" t="str">
        <f>IFERROR(ROUND(M926*VLOOKUP(L926,[1]note_pop_types!$A$16:$E$16,4,FALSE),0),"")</f>
        <v/>
      </c>
      <c r="AD926" t="str">
        <f>IFERROR(ROUND(O926*VLOOKUP(N926,[1]note_pop_types!$A$16:$E$16,4,FALSE),0),"")</f>
        <v/>
      </c>
      <c r="AE926" t="str">
        <f>IFERROR(ROUND(Q926*VLOOKUP(P926,商品!$A$4:$B$60,2,FALSE),0),"")</f>
        <v/>
      </c>
      <c r="AF926" t="str">
        <f>IFERROR(ROUND(S926*VLOOKUP(R926,商品!$A$4:$B$60,2,FALSE),0),"")</f>
        <v/>
      </c>
    </row>
    <row r="927" spans="1:32" ht="19.05" customHeight="1" x14ac:dyDescent="0.25">
      <c r="A927" s="16" t="s">
        <v>376</v>
      </c>
      <c r="C927" s="16">
        <v>4</v>
      </c>
      <c r="T927" s="2">
        <f t="shared" si="56"/>
        <v>0</v>
      </c>
      <c r="U927" s="2">
        <f t="shared" si="57"/>
        <v>0</v>
      </c>
      <c r="V927" s="2">
        <f t="shared" si="58"/>
        <v>0</v>
      </c>
      <c r="W927" s="2">
        <f t="shared" si="59"/>
        <v>0</v>
      </c>
      <c r="Y927" t="str">
        <f>IFERROR(ROUND(E927*VLOOKUP(D927,商品!$A$4:$B$60,2,FALSE),0),"")</f>
        <v/>
      </c>
      <c r="Z927" t="str">
        <f>IFERROR(ROUND(G927*VLOOKUP(F927,商品!$A$4:$B$60,2,FALSE),0),"")</f>
        <v/>
      </c>
      <c r="AA927" t="str">
        <f>IFERROR(ROUND(I927*VLOOKUP(H927,商品!$A$4:$B$60,2,FALSE),0),"")</f>
        <v/>
      </c>
      <c r="AB927" t="str">
        <f>IFERROR(ROUND(K927*VLOOKUP(J927,[1]note_pop_types!$A$16:$E$16,4,FALSE),0),"")</f>
        <v/>
      </c>
      <c r="AC927" t="str">
        <f>IFERROR(ROUND(M927*VLOOKUP(L927,[1]note_pop_types!$A$16:$E$16,4,FALSE),0),"")</f>
        <v/>
      </c>
      <c r="AD927" t="str">
        <f>IFERROR(ROUND(O927*VLOOKUP(N927,[1]note_pop_types!$A$16:$E$16,4,FALSE),0),"")</f>
        <v/>
      </c>
      <c r="AE927" t="str">
        <f>IFERROR(ROUND(Q927*VLOOKUP(P927,商品!$A$4:$B$60,2,FALSE),0),"")</f>
        <v/>
      </c>
      <c r="AF927" t="str">
        <f>IFERROR(ROUND(S927*VLOOKUP(R927,商品!$A$4:$B$60,2,FALSE),0),"")</f>
        <v/>
      </c>
    </row>
    <row r="928" spans="1:32" ht="19.05" customHeight="1" x14ac:dyDescent="0.25">
      <c r="A928" s="16" t="s">
        <v>376</v>
      </c>
      <c r="C928" s="16">
        <v>5</v>
      </c>
      <c r="T928" s="2">
        <f t="shared" si="56"/>
        <v>0</v>
      </c>
      <c r="U928" s="2">
        <f t="shared" si="57"/>
        <v>0</v>
      </c>
      <c r="V928" s="2">
        <f t="shared" si="58"/>
        <v>0</v>
      </c>
      <c r="W928" s="2">
        <f t="shared" si="59"/>
        <v>0</v>
      </c>
      <c r="Y928" t="str">
        <f>IFERROR(ROUND(E928*VLOOKUP(D928,商品!$A$4:$B$60,2,FALSE),0),"")</f>
        <v/>
      </c>
      <c r="Z928" t="str">
        <f>IFERROR(ROUND(G928*VLOOKUP(F928,商品!$A$4:$B$60,2,FALSE),0),"")</f>
        <v/>
      </c>
      <c r="AA928" t="str">
        <f>IFERROR(ROUND(I928*VLOOKUP(H928,商品!$A$4:$B$60,2,FALSE),0),"")</f>
        <v/>
      </c>
      <c r="AB928" t="str">
        <f>IFERROR(ROUND(K928*VLOOKUP(J928,[1]note_pop_types!$A$16:$E$16,4,FALSE),0),"")</f>
        <v/>
      </c>
      <c r="AC928" t="str">
        <f>IFERROR(ROUND(M928*VLOOKUP(L928,[1]note_pop_types!$A$16:$E$16,4,FALSE),0),"")</f>
        <v/>
      </c>
      <c r="AD928" t="str">
        <f>IFERROR(ROUND(O928*VLOOKUP(N928,[1]note_pop_types!$A$16:$E$16,4,FALSE),0),"")</f>
        <v/>
      </c>
      <c r="AE928" t="str">
        <f>IFERROR(ROUND(Q928*VLOOKUP(P928,商品!$A$4:$B$60,2,FALSE),0),"")</f>
        <v/>
      </c>
      <c r="AF928" t="str">
        <f>IFERROR(ROUND(S928*VLOOKUP(R928,商品!$A$4:$B$60,2,FALSE),0),"")</f>
        <v/>
      </c>
    </row>
    <row r="929" spans="1:32" ht="19.05" customHeight="1" x14ac:dyDescent="0.25">
      <c r="A929" s="16" t="s">
        <v>376</v>
      </c>
      <c r="C929" s="16">
        <v>6</v>
      </c>
      <c r="T929" s="2">
        <f t="shared" si="56"/>
        <v>0</v>
      </c>
      <c r="U929" s="2">
        <f t="shared" si="57"/>
        <v>0</v>
      </c>
      <c r="V929" s="2">
        <f t="shared" si="58"/>
        <v>0</v>
      </c>
      <c r="W929" s="2">
        <f t="shared" si="59"/>
        <v>0</v>
      </c>
      <c r="Y929" t="str">
        <f>IFERROR(ROUND(E929*VLOOKUP(D929,商品!$A$4:$B$60,2,FALSE),0),"")</f>
        <v/>
      </c>
      <c r="Z929" t="str">
        <f>IFERROR(ROUND(G929*VLOOKUP(F929,商品!$A$4:$B$60,2,FALSE),0),"")</f>
        <v/>
      </c>
      <c r="AA929" t="str">
        <f>IFERROR(ROUND(I929*VLOOKUP(H929,商品!$A$4:$B$60,2,FALSE),0),"")</f>
        <v/>
      </c>
      <c r="AB929" t="str">
        <f>IFERROR(ROUND(K929*VLOOKUP(J929,[1]note_pop_types!$A$16:$E$16,4,FALSE),0),"")</f>
        <v/>
      </c>
      <c r="AC929" t="str">
        <f>IFERROR(ROUND(M929*VLOOKUP(L929,[1]note_pop_types!$A$16:$E$16,4,FALSE),0),"")</f>
        <v/>
      </c>
      <c r="AD929" t="str">
        <f>IFERROR(ROUND(O929*VLOOKUP(N929,[1]note_pop_types!$A$16:$E$16,4,FALSE),0),"")</f>
        <v/>
      </c>
      <c r="AE929" t="str">
        <f>IFERROR(ROUND(Q929*VLOOKUP(P929,商品!$A$4:$B$60,2,FALSE),0),"")</f>
        <v/>
      </c>
      <c r="AF929" t="str">
        <f>IFERROR(ROUND(S929*VLOOKUP(R929,商品!$A$4:$B$60,2,FALSE),0),"")</f>
        <v/>
      </c>
    </row>
    <row r="930" spans="1:32" ht="19.05" customHeight="1" x14ac:dyDescent="0.25">
      <c r="A930" s="16" t="s">
        <v>376</v>
      </c>
      <c r="C930" s="16">
        <v>7</v>
      </c>
      <c r="T930" s="2">
        <f t="shared" si="56"/>
        <v>0</v>
      </c>
      <c r="U930" s="2">
        <f t="shared" si="57"/>
        <v>0</v>
      </c>
      <c r="V930" s="2">
        <f t="shared" si="58"/>
        <v>0</v>
      </c>
      <c r="W930" s="2">
        <f t="shared" si="59"/>
        <v>0</v>
      </c>
      <c r="Y930" t="str">
        <f>IFERROR(ROUND(E930*VLOOKUP(D930,商品!$A$4:$B$60,2,FALSE),0),"")</f>
        <v/>
      </c>
      <c r="Z930" t="str">
        <f>IFERROR(ROUND(G930*VLOOKUP(F930,商品!$A$4:$B$60,2,FALSE),0),"")</f>
        <v/>
      </c>
      <c r="AA930" t="str">
        <f>IFERROR(ROUND(I930*VLOOKUP(H930,商品!$A$4:$B$60,2,FALSE),0),"")</f>
        <v/>
      </c>
      <c r="AB930" t="str">
        <f>IFERROR(ROUND(K930*VLOOKUP(J930,[1]note_pop_types!$A$16:$E$16,4,FALSE),0),"")</f>
        <v/>
      </c>
      <c r="AC930" t="str">
        <f>IFERROR(ROUND(M930*VLOOKUP(L930,[1]note_pop_types!$A$16:$E$16,4,FALSE),0),"")</f>
        <v/>
      </c>
      <c r="AD930" t="str">
        <f>IFERROR(ROUND(O930*VLOOKUP(N930,[1]note_pop_types!$A$16:$E$16,4,FALSE),0),"")</f>
        <v/>
      </c>
      <c r="AE930" t="str">
        <f>IFERROR(ROUND(Q930*VLOOKUP(P930,商品!$A$4:$B$60,2,FALSE),0),"")</f>
        <v/>
      </c>
      <c r="AF930" t="str">
        <f>IFERROR(ROUND(S930*VLOOKUP(R930,商品!$A$4:$B$60,2,FALSE),0),"")</f>
        <v/>
      </c>
    </row>
    <row r="931" spans="1:32" ht="19.05" customHeight="1" x14ac:dyDescent="0.25">
      <c r="A931" s="16" t="s">
        <v>376</v>
      </c>
      <c r="C931" s="16">
        <v>8</v>
      </c>
      <c r="T931" s="2">
        <f t="shared" si="56"/>
        <v>0</v>
      </c>
      <c r="U931" s="2">
        <f t="shared" si="57"/>
        <v>0</v>
      </c>
      <c r="V931" s="2">
        <f t="shared" si="58"/>
        <v>0</v>
      </c>
      <c r="W931" s="2">
        <f t="shared" si="59"/>
        <v>0</v>
      </c>
      <c r="Y931" t="str">
        <f>IFERROR(ROUND(E931*VLOOKUP(D931,商品!$A$4:$B$60,2,FALSE),0),"")</f>
        <v/>
      </c>
      <c r="Z931" t="str">
        <f>IFERROR(ROUND(G931*VLOOKUP(F931,商品!$A$4:$B$60,2,FALSE),0),"")</f>
        <v/>
      </c>
      <c r="AA931" t="str">
        <f>IFERROR(ROUND(I931*VLOOKUP(H931,商品!$A$4:$B$60,2,FALSE),0),"")</f>
        <v/>
      </c>
      <c r="AB931" t="str">
        <f>IFERROR(ROUND(K931*VLOOKUP(J931,[1]note_pop_types!$A$16:$E$16,4,FALSE),0),"")</f>
        <v/>
      </c>
      <c r="AC931" t="str">
        <f>IFERROR(ROUND(M931*VLOOKUP(L931,[1]note_pop_types!$A$16:$E$16,4,FALSE),0),"")</f>
        <v/>
      </c>
      <c r="AD931" t="str">
        <f>IFERROR(ROUND(O931*VLOOKUP(N931,[1]note_pop_types!$A$16:$E$16,4,FALSE),0),"")</f>
        <v/>
      </c>
      <c r="AE931" t="str">
        <f>IFERROR(ROUND(Q931*VLOOKUP(P931,商品!$A$4:$B$60,2,FALSE),0),"")</f>
        <v/>
      </c>
      <c r="AF931" t="str">
        <f>IFERROR(ROUND(S931*VLOOKUP(R931,商品!$A$4:$B$60,2,FALSE),0),"")</f>
        <v/>
      </c>
    </row>
    <row r="932" spans="1:32" ht="19.05" customHeight="1" x14ac:dyDescent="0.25">
      <c r="A932" s="15" t="s">
        <v>378</v>
      </c>
      <c r="C932" s="15">
        <v>1</v>
      </c>
      <c r="T932" s="2">
        <f t="shared" si="56"/>
        <v>0</v>
      </c>
      <c r="U932" s="2">
        <f t="shared" si="57"/>
        <v>0</v>
      </c>
      <c r="V932" s="2">
        <f t="shared" si="58"/>
        <v>0</v>
      </c>
      <c r="W932" s="2">
        <f t="shared" si="59"/>
        <v>0</v>
      </c>
      <c r="Y932" t="str">
        <f>IFERROR(ROUND(E932*VLOOKUP(D932,商品!$A$4:$B$60,2,FALSE),0),"")</f>
        <v/>
      </c>
      <c r="Z932" t="str">
        <f>IFERROR(ROUND(G932*VLOOKUP(F932,商品!$A$4:$B$60,2,FALSE),0),"")</f>
        <v/>
      </c>
      <c r="AA932" t="str">
        <f>IFERROR(ROUND(I932*VLOOKUP(H932,商品!$A$4:$B$60,2,FALSE),0),"")</f>
        <v/>
      </c>
      <c r="AB932" t="str">
        <f>IFERROR(ROUND(K932*VLOOKUP(J932,[1]note_pop_types!$A$16:$E$16,4,FALSE),0),"")</f>
        <v/>
      </c>
      <c r="AC932" t="str">
        <f>IFERROR(ROUND(M932*VLOOKUP(L932,[1]note_pop_types!$A$16:$E$16,4,FALSE),0),"")</f>
        <v/>
      </c>
      <c r="AD932" t="str">
        <f>IFERROR(ROUND(O932*VLOOKUP(N932,[1]note_pop_types!$A$16:$E$16,4,FALSE),0),"")</f>
        <v/>
      </c>
      <c r="AE932" t="str">
        <f>IFERROR(ROUND(Q932*VLOOKUP(P932,商品!$A$4:$B$60,2,FALSE),0),"")</f>
        <v/>
      </c>
      <c r="AF932" t="str">
        <f>IFERROR(ROUND(S932*VLOOKUP(R932,商品!$A$4:$B$60,2,FALSE),0),"")</f>
        <v/>
      </c>
    </row>
    <row r="933" spans="1:32" ht="19.05" customHeight="1" x14ac:dyDescent="0.25">
      <c r="A933" s="15" t="s">
        <v>378</v>
      </c>
      <c r="C933" s="15">
        <v>2</v>
      </c>
      <c r="T933" s="2">
        <f t="shared" si="56"/>
        <v>0</v>
      </c>
      <c r="U933" s="2">
        <f t="shared" si="57"/>
        <v>0</v>
      </c>
      <c r="V933" s="2">
        <f t="shared" si="58"/>
        <v>0</v>
      </c>
      <c r="W933" s="2">
        <f t="shared" si="59"/>
        <v>0</v>
      </c>
      <c r="Y933" t="str">
        <f>IFERROR(ROUND(E933*VLOOKUP(D933,商品!$A$4:$B$60,2,FALSE),0),"")</f>
        <v/>
      </c>
      <c r="Z933" t="str">
        <f>IFERROR(ROUND(G933*VLOOKUP(F933,商品!$A$4:$B$60,2,FALSE),0),"")</f>
        <v/>
      </c>
      <c r="AA933" t="str">
        <f>IFERROR(ROUND(I933*VLOOKUP(H933,商品!$A$4:$B$60,2,FALSE),0),"")</f>
        <v/>
      </c>
      <c r="AB933" t="str">
        <f>IFERROR(ROUND(K933*VLOOKUP(J933,[1]note_pop_types!$A$16:$E$16,4,FALSE),0),"")</f>
        <v/>
      </c>
      <c r="AC933" t="str">
        <f>IFERROR(ROUND(M933*VLOOKUP(L933,[1]note_pop_types!$A$16:$E$16,4,FALSE),0),"")</f>
        <v/>
      </c>
      <c r="AD933" t="str">
        <f>IFERROR(ROUND(O933*VLOOKUP(N933,[1]note_pop_types!$A$16:$E$16,4,FALSE),0),"")</f>
        <v/>
      </c>
      <c r="AE933" t="str">
        <f>IFERROR(ROUND(Q933*VLOOKUP(P933,商品!$A$4:$B$60,2,FALSE),0),"")</f>
        <v/>
      </c>
      <c r="AF933" t="str">
        <f>IFERROR(ROUND(S933*VLOOKUP(R933,商品!$A$4:$B$60,2,FALSE),0),"")</f>
        <v/>
      </c>
    </row>
    <row r="934" spans="1:32" ht="19.05" customHeight="1" x14ac:dyDescent="0.25">
      <c r="A934" s="15" t="s">
        <v>378</v>
      </c>
      <c r="C934" s="15">
        <v>3</v>
      </c>
      <c r="T934" s="2">
        <f t="shared" si="56"/>
        <v>0</v>
      </c>
      <c r="U934" s="2">
        <f t="shared" si="57"/>
        <v>0</v>
      </c>
      <c r="V934" s="2">
        <f t="shared" si="58"/>
        <v>0</v>
      </c>
      <c r="W934" s="2">
        <f t="shared" si="59"/>
        <v>0</v>
      </c>
      <c r="Y934" t="str">
        <f>IFERROR(ROUND(E934*VLOOKUP(D934,商品!$A$4:$B$60,2,FALSE),0),"")</f>
        <v/>
      </c>
      <c r="Z934" t="str">
        <f>IFERROR(ROUND(G934*VLOOKUP(F934,商品!$A$4:$B$60,2,FALSE),0),"")</f>
        <v/>
      </c>
      <c r="AA934" t="str">
        <f>IFERROR(ROUND(I934*VLOOKUP(H934,商品!$A$4:$B$60,2,FALSE),0),"")</f>
        <v/>
      </c>
      <c r="AB934" t="str">
        <f>IFERROR(ROUND(K934*VLOOKUP(J934,[1]note_pop_types!$A$16:$E$16,4,FALSE),0),"")</f>
        <v/>
      </c>
      <c r="AC934" t="str">
        <f>IFERROR(ROUND(M934*VLOOKUP(L934,[1]note_pop_types!$A$16:$E$16,4,FALSE),0),"")</f>
        <v/>
      </c>
      <c r="AD934" t="str">
        <f>IFERROR(ROUND(O934*VLOOKUP(N934,[1]note_pop_types!$A$16:$E$16,4,FALSE),0),"")</f>
        <v/>
      </c>
      <c r="AE934" t="str">
        <f>IFERROR(ROUND(Q934*VLOOKUP(P934,商品!$A$4:$B$60,2,FALSE),0),"")</f>
        <v/>
      </c>
      <c r="AF934" t="str">
        <f>IFERROR(ROUND(S934*VLOOKUP(R934,商品!$A$4:$B$60,2,FALSE),0),"")</f>
        <v/>
      </c>
    </row>
    <row r="935" spans="1:32" ht="19.05" customHeight="1" x14ac:dyDescent="0.25">
      <c r="A935" s="15" t="s">
        <v>378</v>
      </c>
      <c r="C935" s="15">
        <v>4</v>
      </c>
      <c r="T935" s="2">
        <f t="shared" si="56"/>
        <v>0</v>
      </c>
      <c r="U935" s="2">
        <f t="shared" si="57"/>
        <v>0</v>
      </c>
      <c r="V935" s="2">
        <f t="shared" si="58"/>
        <v>0</v>
      </c>
      <c r="W935" s="2">
        <f t="shared" si="59"/>
        <v>0</v>
      </c>
      <c r="Y935" t="str">
        <f>IFERROR(ROUND(E935*VLOOKUP(D935,商品!$A$4:$B$60,2,FALSE),0),"")</f>
        <v/>
      </c>
      <c r="Z935" t="str">
        <f>IFERROR(ROUND(G935*VLOOKUP(F935,商品!$A$4:$B$60,2,FALSE),0),"")</f>
        <v/>
      </c>
      <c r="AA935" t="str">
        <f>IFERROR(ROUND(I935*VLOOKUP(H935,商品!$A$4:$B$60,2,FALSE),0),"")</f>
        <v/>
      </c>
      <c r="AB935" t="str">
        <f>IFERROR(ROUND(K935*VLOOKUP(J935,[1]note_pop_types!$A$16:$E$16,4,FALSE),0),"")</f>
        <v/>
      </c>
      <c r="AC935" t="str">
        <f>IFERROR(ROUND(M935*VLOOKUP(L935,[1]note_pop_types!$A$16:$E$16,4,FALSE),0),"")</f>
        <v/>
      </c>
      <c r="AD935" t="str">
        <f>IFERROR(ROUND(O935*VLOOKUP(N935,[1]note_pop_types!$A$16:$E$16,4,FALSE),0),"")</f>
        <v/>
      </c>
      <c r="AE935" t="str">
        <f>IFERROR(ROUND(Q935*VLOOKUP(P935,商品!$A$4:$B$60,2,FALSE),0),"")</f>
        <v/>
      </c>
      <c r="AF935" t="str">
        <f>IFERROR(ROUND(S935*VLOOKUP(R935,商品!$A$4:$B$60,2,FALSE),0),"")</f>
        <v/>
      </c>
    </row>
    <row r="936" spans="1:32" ht="19.05" customHeight="1" x14ac:dyDescent="0.25">
      <c r="A936" s="15" t="s">
        <v>378</v>
      </c>
      <c r="C936" s="15">
        <v>5</v>
      </c>
      <c r="T936" s="2">
        <f t="shared" si="56"/>
        <v>0</v>
      </c>
      <c r="U936" s="2">
        <f t="shared" si="57"/>
        <v>0</v>
      </c>
      <c r="V936" s="2">
        <f t="shared" si="58"/>
        <v>0</v>
      </c>
      <c r="W936" s="2">
        <f t="shared" si="59"/>
        <v>0</v>
      </c>
      <c r="Y936" t="str">
        <f>IFERROR(ROUND(E936*VLOOKUP(D936,商品!$A$4:$B$60,2,FALSE),0),"")</f>
        <v/>
      </c>
      <c r="Z936" t="str">
        <f>IFERROR(ROUND(G936*VLOOKUP(F936,商品!$A$4:$B$60,2,FALSE),0),"")</f>
        <v/>
      </c>
      <c r="AA936" t="str">
        <f>IFERROR(ROUND(I936*VLOOKUP(H936,商品!$A$4:$B$60,2,FALSE),0),"")</f>
        <v/>
      </c>
      <c r="AB936" t="str">
        <f>IFERROR(ROUND(K936*VLOOKUP(J936,[1]note_pop_types!$A$16:$E$16,4,FALSE),0),"")</f>
        <v/>
      </c>
      <c r="AC936" t="str">
        <f>IFERROR(ROUND(M936*VLOOKUP(L936,[1]note_pop_types!$A$16:$E$16,4,FALSE),0),"")</f>
        <v/>
      </c>
      <c r="AD936" t="str">
        <f>IFERROR(ROUND(O936*VLOOKUP(N936,[1]note_pop_types!$A$16:$E$16,4,FALSE),0),"")</f>
        <v/>
      </c>
      <c r="AE936" t="str">
        <f>IFERROR(ROUND(Q936*VLOOKUP(P936,商品!$A$4:$B$60,2,FALSE),0),"")</f>
        <v/>
      </c>
      <c r="AF936" t="str">
        <f>IFERROR(ROUND(S936*VLOOKUP(R936,商品!$A$4:$B$60,2,FALSE),0),"")</f>
        <v/>
      </c>
    </row>
    <row r="937" spans="1:32" ht="19.05" customHeight="1" x14ac:dyDescent="0.25">
      <c r="A937" s="16" t="s">
        <v>545</v>
      </c>
      <c r="C937" s="16">
        <v>1</v>
      </c>
      <c r="T937" s="2">
        <f t="shared" si="56"/>
        <v>0</v>
      </c>
      <c r="U937" s="2">
        <f t="shared" si="57"/>
        <v>0</v>
      </c>
      <c r="V937" s="2">
        <f t="shared" si="58"/>
        <v>0</v>
      </c>
      <c r="W937" s="2">
        <f t="shared" si="59"/>
        <v>0</v>
      </c>
      <c r="Y937" t="str">
        <f>IFERROR(ROUND(E937*VLOOKUP(D937,商品!$A$4:$B$60,2,FALSE),0),"")</f>
        <v/>
      </c>
      <c r="Z937" t="str">
        <f>IFERROR(ROUND(G937*VLOOKUP(F937,商品!$A$4:$B$60,2,FALSE),0),"")</f>
        <v/>
      </c>
      <c r="AA937" t="str">
        <f>IFERROR(ROUND(I937*VLOOKUP(H937,商品!$A$4:$B$60,2,FALSE),0),"")</f>
        <v/>
      </c>
      <c r="AB937" t="str">
        <f>IFERROR(ROUND(K937*VLOOKUP(J937,[1]note_pop_types!$A$16:$E$16,4,FALSE),0),"")</f>
        <v/>
      </c>
      <c r="AC937" t="str">
        <f>IFERROR(ROUND(M937*VLOOKUP(L937,[1]note_pop_types!$A$16:$E$16,4,FALSE),0),"")</f>
        <v/>
      </c>
      <c r="AD937" t="str">
        <f>IFERROR(ROUND(O937*VLOOKUP(N937,[1]note_pop_types!$A$16:$E$16,4,FALSE),0),"")</f>
        <v/>
      </c>
      <c r="AE937" t="str">
        <f>IFERROR(ROUND(Q937*VLOOKUP(P937,商品!$A$4:$B$60,2,FALSE),0),"")</f>
        <v/>
      </c>
      <c r="AF937" t="str">
        <f>IFERROR(ROUND(S937*VLOOKUP(R937,商品!$A$4:$B$60,2,FALSE),0),"")</f>
        <v/>
      </c>
    </row>
    <row r="938" spans="1:32" ht="19.05" customHeight="1" x14ac:dyDescent="0.25">
      <c r="A938" s="16" t="s">
        <v>545</v>
      </c>
      <c r="C938" s="16">
        <v>2</v>
      </c>
      <c r="T938" s="2">
        <f t="shared" si="56"/>
        <v>0</v>
      </c>
      <c r="U938" s="2">
        <f t="shared" si="57"/>
        <v>0</v>
      </c>
      <c r="V938" s="2">
        <f t="shared" si="58"/>
        <v>0</v>
      </c>
      <c r="W938" s="2">
        <f t="shared" si="59"/>
        <v>0</v>
      </c>
      <c r="Y938" t="str">
        <f>IFERROR(ROUND(E938*VLOOKUP(D938,商品!$A$4:$B$60,2,FALSE),0),"")</f>
        <v/>
      </c>
      <c r="Z938" t="str">
        <f>IFERROR(ROUND(G938*VLOOKUP(F938,商品!$A$4:$B$60,2,FALSE),0),"")</f>
        <v/>
      </c>
      <c r="AA938" t="str">
        <f>IFERROR(ROUND(I938*VLOOKUP(H938,商品!$A$4:$B$60,2,FALSE),0),"")</f>
        <v/>
      </c>
      <c r="AB938" t="str">
        <f>IFERROR(ROUND(K938*VLOOKUP(J938,[1]note_pop_types!$A$16:$E$16,4,FALSE),0),"")</f>
        <v/>
      </c>
      <c r="AC938" t="str">
        <f>IFERROR(ROUND(M938*VLOOKUP(L938,[1]note_pop_types!$A$16:$E$16,4,FALSE),0),"")</f>
        <v/>
      </c>
      <c r="AD938" t="str">
        <f>IFERROR(ROUND(O938*VLOOKUP(N938,[1]note_pop_types!$A$16:$E$16,4,FALSE),0),"")</f>
        <v/>
      </c>
      <c r="AE938" t="str">
        <f>IFERROR(ROUND(Q938*VLOOKUP(P938,商品!$A$4:$B$60,2,FALSE),0),"")</f>
        <v/>
      </c>
      <c r="AF938" t="str">
        <f>IFERROR(ROUND(S938*VLOOKUP(R938,商品!$A$4:$B$60,2,FALSE),0),"")</f>
        <v/>
      </c>
    </row>
    <row r="939" spans="1:32" ht="19.05" customHeight="1" x14ac:dyDescent="0.25">
      <c r="A939" s="16" t="s">
        <v>545</v>
      </c>
      <c r="C939" s="16">
        <v>3</v>
      </c>
      <c r="T939" s="2">
        <f t="shared" si="56"/>
        <v>0</v>
      </c>
      <c r="U939" s="2">
        <f t="shared" si="57"/>
        <v>0</v>
      </c>
      <c r="V939" s="2">
        <f t="shared" si="58"/>
        <v>0</v>
      </c>
      <c r="W939" s="2">
        <f t="shared" si="59"/>
        <v>0</v>
      </c>
      <c r="Y939" t="str">
        <f>IFERROR(ROUND(E939*VLOOKUP(D939,商品!$A$4:$B$60,2,FALSE),0),"")</f>
        <v/>
      </c>
      <c r="Z939" t="str">
        <f>IFERROR(ROUND(G939*VLOOKUP(F939,商品!$A$4:$B$60,2,FALSE),0),"")</f>
        <v/>
      </c>
      <c r="AA939" t="str">
        <f>IFERROR(ROUND(I939*VLOOKUP(H939,商品!$A$4:$B$60,2,FALSE),0),"")</f>
        <v/>
      </c>
      <c r="AB939" t="str">
        <f>IFERROR(ROUND(K939*VLOOKUP(J939,[1]note_pop_types!$A$16:$E$16,4,FALSE),0),"")</f>
        <v/>
      </c>
      <c r="AC939" t="str">
        <f>IFERROR(ROUND(M939*VLOOKUP(L939,[1]note_pop_types!$A$16:$E$16,4,FALSE),0),"")</f>
        <v/>
      </c>
      <c r="AD939" t="str">
        <f>IFERROR(ROUND(O939*VLOOKUP(N939,[1]note_pop_types!$A$16:$E$16,4,FALSE),0),"")</f>
        <v/>
      </c>
      <c r="AE939" t="str">
        <f>IFERROR(ROUND(Q939*VLOOKUP(P939,商品!$A$4:$B$60,2,FALSE),0),"")</f>
        <v/>
      </c>
      <c r="AF939" t="str">
        <f>IFERROR(ROUND(S939*VLOOKUP(R939,商品!$A$4:$B$60,2,FALSE),0),"")</f>
        <v/>
      </c>
    </row>
    <row r="940" spans="1:32" ht="19.05" customHeight="1" x14ac:dyDescent="0.25">
      <c r="A940" s="16" t="s">
        <v>545</v>
      </c>
      <c r="C940" s="16">
        <v>4</v>
      </c>
      <c r="T940" s="2">
        <f t="shared" si="56"/>
        <v>0</v>
      </c>
      <c r="U940" s="2">
        <f t="shared" si="57"/>
        <v>0</v>
      </c>
      <c r="V940" s="2">
        <f t="shared" si="58"/>
        <v>0</v>
      </c>
      <c r="W940" s="2">
        <f t="shared" si="59"/>
        <v>0</v>
      </c>
      <c r="Y940" t="str">
        <f>IFERROR(ROUND(E940*VLOOKUP(D940,商品!$A$4:$B$60,2,FALSE),0),"")</f>
        <v/>
      </c>
      <c r="Z940" t="str">
        <f>IFERROR(ROUND(G940*VLOOKUP(F940,商品!$A$4:$B$60,2,FALSE),0),"")</f>
        <v/>
      </c>
      <c r="AA940" t="str">
        <f>IFERROR(ROUND(I940*VLOOKUP(H940,商品!$A$4:$B$60,2,FALSE),0),"")</f>
        <v/>
      </c>
      <c r="AB940" t="str">
        <f>IFERROR(ROUND(K940*VLOOKUP(J940,[1]note_pop_types!$A$16:$E$16,4,FALSE),0),"")</f>
        <v/>
      </c>
      <c r="AC940" t="str">
        <f>IFERROR(ROUND(M940*VLOOKUP(L940,[1]note_pop_types!$A$16:$E$16,4,FALSE),0),"")</f>
        <v/>
      </c>
      <c r="AD940" t="str">
        <f>IFERROR(ROUND(O940*VLOOKUP(N940,[1]note_pop_types!$A$16:$E$16,4,FALSE),0),"")</f>
        <v/>
      </c>
      <c r="AE940" t="str">
        <f>IFERROR(ROUND(Q940*VLOOKUP(P940,商品!$A$4:$B$60,2,FALSE),0),"")</f>
        <v/>
      </c>
      <c r="AF940" t="str">
        <f>IFERROR(ROUND(S940*VLOOKUP(R940,商品!$A$4:$B$60,2,FALSE),0),"")</f>
        <v/>
      </c>
    </row>
    <row r="941" spans="1:32" ht="19.05" customHeight="1" x14ac:dyDescent="0.25">
      <c r="A941" s="16" t="s">
        <v>545</v>
      </c>
      <c r="C941" s="16">
        <v>5</v>
      </c>
      <c r="T941" s="2">
        <f t="shared" si="56"/>
        <v>0</v>
      </c>
      <c r="U941" s="2">
        <f t="shared" si="57"/>
        <v>0</v>
      </c>
      <c r="V941" s="2">
        <f t="shared" si="58"/>
        <v>0</v>
      </c>
      <c r="W941" s="2">
        <f t="shared" si="59"/>
        <v>0</v>
      </c>
      <c r="Y941" t="str">
        <f>IFERROR(ROUND(E941*VLOOKUP(D941,商品!$A$4:$B$60,2,FALSE),0),"")</f>
        <v/>
      </c>
      <c r="Z941" t="str">
        <f>IFERROR(ROUND(G941*VLOOKUP(F941,商品!$A$4:$B$60,2,FALSE),0),"")</f>
        <v/>
      </c>
      <c r="AA941" t="str">
        <f>IFERROR(ROUND(I941*VLOOKUP(H941,商品!$A$4:$B$60,2,FALSE),0),"")</f>
        <v/>
      </c>
      <c r="AB941" t="str">
        <f>IFERROR(ROUND(K941*VLOOKUP(J941,[1]note_pop_types!$A$16:$E$16,4,FALSE),0),"")</f>
        <v/>
      </c>
      <c r="AC941" t="str">
        <f>IFERROR(ROUND(M941*VLOOKUP(L941,[1]note_pop_types!$A$16:$E$16,4,FALSE),0),"")</f>
        <v/>
      </c>
      <c r="AD941" t="str">
        <f>IFERROR(ROUND(O941*VLOOKUP(N941,[1]note_pop_types!$A$16:$E$16,4,FALSE),0),"")</f>
        <v/>
      </c>
      <c r="AE941" t="str">
        <f>IFERROR(ROUND(Q941*VLOOKUP(P941,商品!$A$4:$B$60,2,FALSE),0),"")</f>
        <v/>
      </c>
      <c r="AF941" t="str">
        <f>IFERROR(ROUND(S941*VLOOKUP(R941,商品!$A$4:$B$60,2,FALSE),0),"")</f>
        <v/>
      </c>
    </row>
    <row r="942" spans="1:32" ht="19.05" customHeight="1" x14ac:dyDescent="0.25">
      <c r="A942" s="15" t="s">
        <v>545</v>
      </c>
      <c r="C942" s="15">
        <v>1</v>
      </c>
      <c r="T942" s="2">
        <f t="shared" si="56"/>
        <v>0</v>
      </c>
      <c r="U942" s="2">
        <f t="shared" si="57"/>
        <v>0</v>
      </c>
      <c r="V942" s="2">
        <f t="shared" si="58"/>
        <v>0</v>
      </c>
      <c r="W942" s="2">
        <f t="shared" si="59"/>
        <v>0</v>
      </c>
      <c r="Y942" t="str">
        <f>IFERROR(ROUND(E942*VLOOKUP(D942,商品!$A$4:$B$60,2,FALSE),0),"")</f>
        <v/>
      </c>
      <c r="Z942" t="str">
        <f>IFERROR(ROUND(G942*VLOOKUP(F942,商品!$A$4:$B$60,2,FALSE),0),"")</f>
        <v/>
      </c>
      <c r="AA942" t="str">
        <f>IFERROR(ROUND(I942*VLOOKUP(H942,商品!$A$4:$B$60,2,FALSE),0),"")</f>
        <v/>
      </c>
      <c r="AB942" t="str">
        <f>IFERROR(ROUND(K942*VLOOKUP(J942,[1]note_pop_types!$A$16:$E$16,4,FALSE),0),"")</f>
        <v/>
      </c>
      <c r="AC942" t="str">
        <f>IFERROR(ROUND(M942*VLOOKUP(L942,[1]note_pop_types!$A$16:$E$16,4,FALSE),0),"")</f>
        <v/>
      </c>
      <c r="AD942" t="str">
        <f>IFERROR(ROUND(O942*VLOOKUP(N942,[1]note_pop_types!$A$16:$E$16,4,FALSE),0),"")</f>
        <v/>
      </c>
      <c r="AE942" t="str">
        <f>IFERROR(ROUND(Q942*VLOOKUP(P942,商品!$A$4:$B$60,2,FALSE),0),"")</f>
        <v/>
      </c>
      <c r="AF942" t="str">
        <f>IFERROR(ROUND(S942*VLOOKUP(R942,商品!$A$4:$B$60,2,FALSE),0),"")</f>
        <v/>
      </c>
    </row>
    <row r="943" spans="1:32" ht="19.05" customHeight="1" x14ac:dyDescent="0.25">
      <c r="A943" s="15" t="s">
        <v>545</v>
      </c>
      <c r="C943" s="15">
        <v>2</v>
      </c>
      <c r="T943" s="2">
        <f t="shared" si="56"/>
        <v>0</v>
      </c>
      <c r="U943" s="2">
        <f t="shared" si="57"/>
        <v>0</v>
      </c>
      <c r="V943" s="2">
        <f t="shared" si="58"/>
        <v>0</v>
      </c>
      <c r="W943" s="2">
        <f t="shared" si="59"/>
        <v>0</v>
      </c>
      <c r="Y943" t="str">
        <f>IFERROR(ROUND(E943*VLOOKUP(D943,商品!$A$4:$B$60,2,FALSE),0),"")</f>
        <v/>
      </c>
      <c r="Z943" t="str">
        <f>IFERROR(ROUND(G943*VLOOKUP(F943,商品!$A$4:$B$60,2,FALSE),0),"")</f>
        <v/>
      </c>
      <c r="AA943" t="str">
        <f>IFERROR(ROUND(I943*VLOOKUP(H943,商品!$A$4:$B$60,2,FALSE),0),"")</f>
        <v/>
      </c>
      <c r="AB943" t="str">
        <f>IFERROR(ROUND(K943*VLOOKUP(J943,[1]note_pop_types!$A$16:$E$16,4,FALSE),0),"")</f>
        <v/>
      </c>
      <c r="AC943" t="str">
        <f>IFERROR(ROUND(M943*VLOOKUP(L943,[1]note_pop_types!$A$16:$E$16,4,FALSE),0),"")</f>
        <v/>
      </c>
      <c r="AD943" t="str">
        <f>IFERROR(ROUND(O943*VLOOKUP(N943,[1]note_pop_types!$A$16:$E$16,4,FALSE),0),"")</f>
        <v/>
      </c>
      <c r="AE943" t="str">
        <f>IFERROR(ROUND(Q943*VLOOKUP(P943,商品!$A$4:$B$60,2,FALSE),0),"")</f>
        <v/>
      </c>
      <c r="AF943" t="str">
        <f>IFERROR(ROUND(S943*VLOOKUP(R943,商品!$A$4:$B$60,2,FALSE),0),"")</f>
        <v/>
      </c>
    </row>
    <row r="944" spans="1:32" ht="19.05" customHeight="1" x14ac:dyDescent="0.25">
      <c r="A944" s="15" t="s">
        <v>545</v>
      </c>
      <c r="C944" s="15">
        <v>3</v>
      </c>
      <c r="T944" s="2">
        <f t="shared" si="56"/>
        <v>0</v>
      </c>
      <c r="U944" s="2">
        <f t="shared" si="57"/>
        <v>0</v>
      </c>
      <c r="V944" s="2">
        <f t="shared" si="58"/>
        <v>0</v>
      </c>
      <c r="W944" s="2">
        <f t="shared" si="59"/>
        <v>0</v>
      </c>
      <c r="Y944" t="str">
        <f>IFERROR(ROUND(E944*VLOOKUP(D944,商品!$A$4:$B$60,2,FALSE),0),"")</f>
        <v/>
      </c>
      <c r="Z944" t="str">
        <f>IFERROR(ROUND(G944*VLOOKUP(F944,商品!$A$4:$B$60,2,FALSE),0),"")</f>
        <v/>
      </c>
      <c r="AA944" t="str">
        <f>IFERROR(ROUND(I944*VLOOKUP(H944,商品!$A$4:$B$60,2,FALSE),0),"")</f>
        <v/>
      </c>
      <c r="AB944" t="str">
        <f>IFERROR(ROUND(K944*VLOOKUP(J944,[1]note_pop_types!$A$16:$E$16,4,FALSE),0),"")</f>
        <v/>
      </c>
      <c r="AC944" t="str">
        <f>IFERROR(ROUND(M944*VLOOKUP(L944,[1]note_pop_types!$A$16:$E$16,4,FALSE),0),"")</f>
        <v/>
      </c>
      <c r="AD944" t="str">
        <f>IFERROR(ROUND(O944*VLOOKUP(N944,[1]note_pop_types!$A$16:$E$16,4,FALSE),0),"")</f>
        <v/>
      </c>
      <c r="AE944" t="str">
        <f>IFERROR(ROUND(Q944*VLOOKUP(P944,商品!$A$4:$B$60,2,FALSE),0),"")</f>
        <v/>
      </c>
      <c r="AF944" t="str">
        <f>IFERROR(ROUND(S944*VLOOKUP(R944,商品!$A$4:$B$60,2,FALSE),0),"")</f>
        <v/>
      </c>
    </row>
    <row r="945" spans="1:32" ht="19.05" customHeight="1" x14ac:dyDescent="0.25">
      <c r="A945" s="15" t="s">
        <v>545</v>
      </c>
      <c r="C945" s="15">
        <v>4</v>
      </c>
      <c r="T945" s="2">
        <f t="shared" si="56"/>
        <v>0</v>
      </c>
      <c r="U945" s="2">
        <f t="shared" si="57"/>
        <v>0</v>
      </c>
      <c r="V945" s="2">
        <f t="shared" si="58"/>
        <v>0</v>
      </c>
      <c r="W945" s="2">
        <f t="shared" si="59"/>
        <v>0</v>
      </c>
      <c r="Y945" t="str">
        <f>IFERROR(ROUND(E945*VLOOKUP(D945,商品!$A$4:$B$60,2,FALSE),0),"")</f>
        <v/>
      </c>
      <c r="Z945" t="str">
        <f>IFERROR(ROUND(G945*VLOOKUP(F945,商品!$A$4:$B$60,2,FALSE),0),"")</f>
        <v/>
      </c>
      <c r="AA945" t="str">
        <f>IFERROR(ROUND(I945*VLOOKUP(H945,商品!$A$4:$B$60,2,FALSE),0),"")</f>
        <v/>
      </c>
      <c r="AB945" t="str">
        <f>IFERROR(ROUND(K945*VLOOKUP(J945,[1]note_pop_types!$A$16:$E$16,4,FALSE),0),"")</f>
        <v/>
      </c>
      <c r="AC945" t="str">
        <f>IFERROR(ROUND(M945*VLOOKUP(L945,[1]note_pop_types!$A$16:$E$16,4,FALSE),0),"")</f>
        <v/>
      </c>
      <c r="AD945" t="str">
        <f>IFERROR(ROUND(O945*VLOOKUP(N945,[1]note_pop_types!$A$16:$E$16,4,FALSE),0),"")</f>
        <v/>
      </c>
      <c r="AE945" t="str">
        <f>IFERROR(ROUND(Q945*VLOOKUP(P945,商品!$A$4:$B$60,2,FALSE),0),"")</f>
        <v/>
      </c>
      <c r="AF945" t="str">
        <f>IFERROR(ROUND(S945*VLOOKUP(R945,商品!$A$4:$B$60,2,FALSE),0),"")</f>
        <v/>
      </c>
    </row>
    <row r="946" spans="1:32" ht="19.05" customHeight="1" x14ac:dyDescent="0.25">
      <c r="A946" s="15" t="s">
        <v>545</v>
      </c>
      <c r="C946" s="15">
        <v>5</v>
      </c>
      <c r="T946" s="2">
        <f t="shared" si="56"/>
        <v>0</v>
      </c>
      <c r="U946" s="2">
        <f t="shared" si="57"/>
        <v>0</v>
      </c>
      <c r="V946" s="2">
        <f t="shared" si="58"/>
        <v>0</v>
      </c>
      <c r="W946" s="2">
        <f t="shared" si="59"/>
        <v>0</v>
      </c>
      <c r="Y946" t="str">
        <f>IFERROR(ROUND(E946*VLOOKUP(D946,商品!$A$4:$B$60,2,FALSE),0),"")</f>
        <v/>
      </c>
      <c r="Z946" t="str">
        <f>IFERROR(ROUND(G946*VLOOKUP(F946,商品!$A$4:$B$60,2,FALSE),0),"")</f>
        <v/>
      </c>
      <c r="AA946" t="str">
        <f>IFERROR(ROUND(I946*VLOOKUP(H946,商品!$A$4:$B$60,2,FALSE),0),"")</f>
        <v/>
      </c>
      <c r="AB946" t="str">
        <f>IFERROR(ROUND(K946*VLOOKUP(J946,[1]note_pop_types!$A$16:$E$16,4,FALSE),0),"")</f>
        <v/>
      </c>
      <c r="AC946" t="str">
        <f>IFERROR(ROUND(M946*VLOOKUP(L946,[1]note_pop_types!$A$16:$E$16,4,FALSE),0),"")</f>
        <v/>
      </c>
      <c r="AD946" t="str">
        <f>IFERROR(ROUND(O946*VLOOKUP(N946,[1]note_pop_types!$A$16:$E$16,4,FALSE),0),"")</f>
        <v/>
      </c>
      <c r="AE946" t="str">
        <f>IFERROR(ROUND(Q946*VLOOKUP(P946,商品!$A$4:$B$60,2,FALSE),0),"")</f>
        <v/>
      </c>
      <c r="AF946" t="str">
        <f>IFERROR(ROUND(S946*VLOOKUP(R946,商品!$A$4:$B$60,2,FALSE),0),"")</f>
        <v/>
      </c>
    </row>
    <row r="947" spans="1:32" ht="19.05" customHeight="1" x14ac:dyDescent="0.25">
      <c r="A947" s="16" t="s">
        <v>381</v>
      </c>
      <c r="C947" s="16">
        <v>1</v>
      </c>
      <c r="T947" s="2">
        <f t="shared" si="56"/>
        <v>0</v>
      </c>
      <c r="U947" s="2">
        <f t="shared" si="57"/>
        <v>0</v>
      </c>
      <c r="V947" s="2">
        <f t="shared" si="58"/>
        <v>0</v>
      </c>
      <c r="W947" s="2">
        <f t="shared" si="59"/>
        <v>0</v>
      </c>
      <c r="Y947" t="str">
        <f>IFERROR(ROUND(E947*VLOOKUP(D947,商品!$A$4:$B$60,2,FALSE),0),"")</f>
        <v/>
      </c>
      <c r="Z947" t="str">
        <f>IFERROR(ROUND(G947*VLOOKUP(F947,商品!$A$4:$B$60,2,FALSE),0),"")</f>
        <v/>
      </c>
      <c r="AA947" t="str">
        <f>IFERROR(ROUND(I947*VLOOKUP(H947,商品!$A$4:$B$60,2,FALSE),0),"")</f>
        <v/>
      </c>
      <c r="AB947" t="str">
        <f>IFERROR(ROUND(K947*VLOOKUP(J947,[1]note_pop_types!$A$16:$E$16,4,FALSE),0),"")</f>
        <v/>
      </c>
      <c r="AC947" t="str">
        <f>IFERROR(ROUND(M947*VLOOKUP(L947,[1]note_pop_types!$A$16:$E$16,4,FALSE),0),"")</f>
        <v/>
      </c>
      <c r="AD947" t="str">
        <f>IFERROR(ROUND(O947*VLOOKUP(N947,[1]note_pop_types!$A$16:$E$16,4,FALSE),0),"")</f>
        <v/>
      </c>
      <c r="AE947" t="str">
        <f>IFERROR(ROUND(Q947*VLOOKUP(P947,商品!$A$4:$B$60,2,FALSE),0),"")</f>
        <v/>
      </c>
      <c r="AF947" t="str">
        <f>IFERROR(ROUND(S947*VLOOKUP(R947,商品!$A$4:$B$60,2,FALSE),0),"")</f>
        <v/>
      </c>
    </row>
    <row r="948" spans="1:32" ht="19.05" customHeight="1" x14ac:dyDescent="0.25">
      <c r="A948" s="16" t="s">
        <v>381</v>
      </c>
      <c r="C948" s="16">
        <v>2</v>
      </c>
      <c r="T948" s="2">
        <f t="shared" si="56"/>
        <v>0</v>
      </c>
      <c r="U948" s="2">
        <f t="shared" si="57"/>
        <v>0</v>
      </c>
      <c r="V948" s="2">
        <f t="shared" si="58"/>
        <v>0</v>
      </c>
      <c r="W948" s="2">
        <f t="shared" si="59"/>
        <v>0</v>
      </c>
      <c r="Y948" t="str">
        <f>IFERROR(ROUND(E948*VLOOKUP(D948,商品!$A$4:$B$60,2,FALSE),0),"")</f>
        <v/>
      </c>
      <c r="Z948" t="str">
        <f>IFERROR(ROUND(G948*VLOOKUP(F948,商品!$A$4:$B$60,2,FALSE),0),"")</f>
        <v/>
      </c>
      <c r="AA948" t="str">
        <f>IFERROR(ROUND(I948*VLOOKUP(H948,商品!$A$4:$B$60,2,FALSE),0),"")</f>
        <v/>
      </c>
      <c r="AB948" t="str">
        <f>IFERROR(ROUND(K948*VLOOKUP(J948,[1]note_pop_types!$A$16:$E$16,4,FALSE),0),"")</f>
        <v/>
      </c>
      <c r="AC948" t="str">
        <f>IFERROR(ROUND(M948*VLOOKUP(L948,[1]note_pop_types!$A$16:$E$16,4,FALSE),0),"")</f>
        <v/>
      </c>
      <c r="AD948" t="str">
        <f>IFERROR(ROUND(O948*VLOOKUP(N948,[1]note_pop_types!$A$16:$E$16,4,FALSE),0),"")</f>
        <v/>
      </c>
      <c r="AE948" t="str">
        <f>IFERROR(ROUND(Q948*VLOOKUP(P948,商品!$A$4:$B$60,2,FALSE),0),"")</f>
        <v/>
      </c>
      <c r="AF948" t="str">
        <f>IFERROR(ROUND(S948*VLOOKUP(R948,商品!$A$4:$B$60,2,FALSE),0),"")</f>
        <v/>
      </c>
    </row>
    <row r="949" spans="1:32" ht="19.05" customHeight="1" x14ac:dyDescent="0.25">
      <c r="A949" s="16" t="s">
        <v>381</v>
      </c>
      <c r="C949" s="16">
        <v>3</v>
      </c>
      <c r="T949" s="2">
        <f t="shared" si="56"/>
        <v>0</v>
      </c>
      <c r="U949" s="2">
        <f t="shared" si="57"/>
        <v>0</v>
      </c>
      <c r="V949" s="2">
        <f t="shared" si="58"/>
        <v>0</v>
      </c>
      <c r="W949" s="2">
        <f t="shared" si="59"/>
        <v>0</v>
      </c>
      <c r="Y949" t="str">
        <f>IFERROR(ROUND(E949*VLOOKUP(D949,商品!$A$4:$B$60,2,FALSE),0),"")</f>
        <v/>
      </c>
      <c r="Z949" t="str">
        <f>IFERROR(ROUND(G949*VLOOKUP(F949,商品!$A$4:$B$60,2,FALSE),0),"")</f>
        <v/>
      </c>
      <c r="AA949" t="str">
        <f>IFERROR(ROUND(I949*VLOOKUP(H949,商品!$A$4:$B$60,2,FALSE),0),"")</f>
        <v/>
      </c>
      <c r="AB949" t="str">
        <f>IFERROR(ROUND(K949*VLOOKUP(J949,[1]note_pop_types!$A$16:$E$16,4,FALSE),0),"")</f>
        <v/>
      </c>
      <c r="AC949" t="str">
        <f>IFERROR(ROUND(M949*VLOOKUP(L949,[1]note_pop_types!$A$16:$E$16,4,FALSE),0),"")</f>
        <v/>
      </c>
      <c r="AD949" t="str">
        <f>IFERROR(ROUND(O949*VLOOKUP(N949,[1]note_pop_types!$A$16:$E$16,4,FALSE),0),"")</f>
        <v/>
      </c>
      <c r="AE949" t="str">
        <f>IFERROR(ROUND(Q949*VLOOKUP(P949,商品!$A$4:$B$60,2,FALSE),0),"")</f>
        <v/>
      </c>
      <c r="AF949" t="str">
        <f>IFERROR(ROUND(S949*VLOOKUP(R949,商品!$A$4:$B$60,2,FALSE),0),"")</f>
        <v/>
      </c>
    </row>
    <row r="950" spans="1:32" ht="19.05" customHeight="1" x14ac:dyDescent="0.25">
      <c r="A950" s="16" t="s">
        <v>381</v>
      </c>
      <c r="C950" s="16">
        <v>4</v>
      </c>
      <c r="T950" s="2">
        <f t="shared" si="56"/>
        <v>0</v>
      </c>
      <c r="U950" s="2">
        <f t="shared" si="57"/>
        <v>0</v>
      </c>
      <c r="V950" s="2">
        <f t="shared" si="58"/>
        <v>0</v>
      </c>
      <c r="W950" s="2">
        <f t="shared" si="59"/>
        <v>0</v>
      </c>
      <c r="Y950" t="str">
        <f>IFERROR(ROUND(E950*VLOOKUP(D950,商品!$A$4:$B$60,2,FALSE),0),"")</f>
        <v/>
      </c>
      <c r="Z950" t="str">
        <f>IFERROR(ROUND(G950*VLOOKUP(F950,商品!$A$4:$B$60,2,FALSE),0),"")</f>
        <v/>
      </c>
      <c r="AA950" t="str">
        <f>IFERROR(ROUND(I950*VLOOKUP(H950,商品!$A$4:$B$60,2,FALSE),0),"")</f>
        <v/>
      </c>
      <c r="AB950" t="str">
        <f>IFERROR(ROUND(K950*VLOOKUP(J950,[1]note_pop_types!$A$16:$E$16,4,FALSE),0),"")</f>
        <v/>
      </c>
      <c r="AC950" t="str">
        <f>IFERROR(ROUND(M950*VLOOKUP(L950,[1]note_pop_types!$A$16:$E$16,4,FALSE),0),"")</f>
        <v/>
      </c>
      <c r="AD950" t="str">
        <f>IFERROR(ROUND(O950*VLOOKUP(N950,[1]note_pop_types!$A$16:$E$16,4,FALSE),0),"")</f>
        <v/>
      </c>
      <c r="AE950" t="str">
        <f>IFERROR(ROUND(Q950*VLOOKUP(P950,商品!$A$4:$B$60,2,FALSE),0),"")</f>
        <v/>
      </c>
      <c r="AF950" t="str">
        <f>IFERROR(ROUND(S950*VLOOKUP(R950,商品!$A$4:$B$60,2,FALSE),0),"")</f>
        <v/>
      </c>
    </row>
    <row r="951" spans="1:32" ht="19.05" customHeight="1" x14ac:dyDescent="0.25">
      <c r="A951" s="16" t="s">
        <v>381</v>
      </c>
      <c r="C951" s="16">
        <v>5</v>
      </c>
      <c r="T951" s="2">
        <f t="shared" si="56"/>
        <v>0</v>
      </c>
      <c r="U951" s="2">
        <f t="shared" si="57"/>
        <v>0</v>
      </c>
      <c r="V951" s="2">
        <f t="shared" si="58"/>
        <v>0</v>
      </c>
      <c r="W951" s="2">
        <f t="shared" si="59"/>
        <v>0</v>
      </c>
      <c r="Y951" t="str">
        <f>IFERROR(ROUND(E951*VLOOKUP(D951,商品!$A$4:$B$60,2,FALSE),0),"")</f>
        <v/>
      </c>
      <c r="Z951" t="str">
        <f>IFERROR(ROUND(G951*VLOOKUP(F951,商品!$A$4:$B$60,2,FALSE),0),"")</f>
        <v/>
      </c>
      <c r="AA951" t="str">
        <f>IFERROR(ROUND(I951*VLOOKUP(H951,商品!$A$4:$B$60,2,FALSE),0),"")</f>
        <v/>
      </c>
      <c r="AB951" t="str">
        <f>IFERROR(ROUND(K951*VLOOKUP(J951,[1]note_pop_types!$A$16:$E$16,4,FALSE),0),"")</f>
        <v/>
      </c>
      <c r="AC951" t="str">
        <f>IFERROR(ROUND(M951*VLOOKUP(L951,[1]note_pop_types!$A$16:$E$16,4,FALSE),0),"")</f>
        <v/>
      </c>
      <c r="AD951" t="str">
        <f>IFERROR(ROUND(O951*VLOOKUP(N951,[1]note_pop_types!$A$16:$E$16,4,FALSE),0),"")</f>
        <v/>
      </c>
      <c r="AE951" t="str">
        <f>IFERROR(ROUND(Q951*VLOOKUP(P951,商品!$A$4:$B$60,2,FALSE),0),"")</f>
        <v/>
      </c>
      <c r="AF951" t="str">
        <f>IFERROR(ROUND(S951*VLOOKUP(R951,商品!$A$4:$B$60,2,FALSE),0),"")</f>
        <v/>
      </c>
    </row>
    <row r="952" spans="1:32" ht="19.05" customHeight="1" x14ac:dyDescent="0.25">
      <c r="A952" s="16" t="s">
        <v>381</v>
      </c>
      <c r="C952" s="16">
        <v>6</v>
      </c>
      <c r="T952" s="2">
        <f t="shared" si="56"/>
        <v>0</v>
      </c>
      <c r="U952" s="2">
        <f t="shared" si="57"/>
        <v>0</v>
      </c>
      <c r="V952" s="2">
        <f t="shared" si="58"/>
        <v>0</v>
      </c>
      <c r="W952" s="2">
        <f t="shared" si="59"/>
        <v>0</v>
      </c>
      <c r="Y952" t="str">
        <f>IFERROR(ROUND(E952*VLOOKUP(D952,商品!$A$4:$B$60,2,FALSE),0),"")</f>
        <v/>
      </c>
      <c r="Z952" t="str">
        <f>IFERROR(ROUND(G952*VLOOKUP(F952,商品!$A$4:$B$60,2,FALSE),0),"")</f>
        <v/>
      </c>
      <c r="AA952" t="str">
        <f>IFERROR(ROUND(I952*VLOOKUP(H952,商品!$A$4:$B$60,2,FALSE),0),"")</f>
        <v/>
      </c>
      <c r="AB952" t="str">
        <f>IFERROR(ROUND(K952*VLOOKUP(J952,[1]note_pop_types!$A$16:$E$16,4,FALSE),0),"")</f>
        <v/>
      </c>
      <c r="AC952" t="str">
        <f>IFERROR(ROUND(M952*VLOOKUP(L952,[1]note_pop_types!$A$16:$E$16,4,FALSE),0),"")</f>
        <v/>
      </c>
      <c r="AD952" t="str">
        <f>IFERROR(ROUND(O952*VLOOKUP(N952,[1]note_pop_types!$A$16:$E$16,4,FALSE),0),"")</f>
        <v/>
      </c>
      <c r="AE952" t="str">
        <f>IFERROR(ROUND(Q952*VLOOKUP(P952,商品!$A$4:$B$60,2,FALSE),0),"")</f>
        <v/>
      </c>
      <c r="AF952" t="str">
        <f>IFERROR(ROUND(S952*VLOOKUP(R952,商品!$A$4:$B$60,2,FALSE),0),"")</f>
        <v/>
      </c>
    </row>
    <row r="953" spans="1:32" ht="19.05" customHeight="1" x14ac:dyDescent="0.25">
      <c r="A953" s="16" t="s">
        <v>381</v>
      </c>
      <c r="C953" s="16">
        <v>7</v>
      </c>
      <c r="T953" s="2">
        <f t="shared" si="56"/>
        <v>0</v>
      </c>
      <c r="U953" s="2">
        <f t="shared" si="57"/>
        <v>0</v>
      </c>
      <c r="V953" s="2">
        <f t="shared" si="58"/>
        <v>0</v>
      </c>
      <c r="W953" s="2">
        <f t="shared" si="59"/>
        <v>0</v>
      </c>
      <c r="Y953" t="str">
        <f>IFERROR(ROUND(E953*VLOOKUP(D953,商品!$A$4:$B$60,2,FALSE),0),"")</f>
        <v/>
      </c>
      <c r="Z953" t="str">
        <f>IFERROR(ROUND(G953*VLOOKUP(F953,商品!$A$4:$B$60,2,FALSE),0),"")</f>
        <v/>
      </c>
      <c r="AA953" t="str">
        <f>IFERROR(ROUND(I953*VLOOKUP(H953,商品!$A$4:$B$60,2,FALSE),0),"")</f>
        <v/>
      </c>
      <c r="AB953" t="str">
        <f>IFERROR(ROUND(K953*VLOOKUP(J953,[1]note_pop_types!$A$16:$E$16,4,FALSE),0),"")</f>
        <v/>
      </c>
      <c r="AC953" t="str">
        <f>IFERROR(ROUND(M953*VLOOKUP(L953,[1]note_pop_types!$A$16:$E$16,4,FALSE),0),"")</f>
        <v/>
      </c>
      <c r="AD953" t="str">
        <f>IFERROR(ROUND(O953*VLOOKUP(N953,[1]note_pop_types!$A$16:$E$16,4,FALSE),0),"")</f>
        <v/>
      </c>
      <c r="AE953" t="str">
        <f>IFERROR(ROUND(Q953*VLOOKUP(P953,商品!$A$4:$B$60,2,FALSE),0),"")</f>
        <v/>
      </c>
      <c r="AF953" t="str">
        <f>IFERROR(ROUND(S953*VLOOKUP(R953,商品!$A$4:$B$60,2,FALSE),0),"")</f>
        <v/>
      </c>
    </row>
    <row r="954" spans="1:32" ht="19.05" customHeight="1" x14ac:dyDescent="0.25">
      <c r="A954" s="16" t="s">
        <v>381</v>
      </c>
      <c r="C954" s="16">
        <v>8</v>
      </c>
      <c r="T954" s="2">
        <f t="shared" si="56"/>
        <v>0</v>
      </c>
      <c r="U954" s="2">
        <f t="shared" si="57"/>
        <v>0</v>
      </c>
      <c r="V954" s="2">
        <f t="shared" si="58"/>
        <v>0</v>
      </c>
      <c r="W954" s="2">
        <f t="shared" si="59"/>
        <v>0</v>
      </c>
      <c r="Y954" t="str">
        <f>IFERROR(ROUND(E954*VLOOKUP(D954,商品!$A$4:$B$60,2,FALSE),0),"")</f>
        <v/>
      </c>
      <c r="Z954" t="str">
        <f>IFERROR(ROUND(G954*VLOOKUP(F954,商品!$A$4:$B$60,2,FALSE),0),"")</f>
        <v/>
      </c>
      <c r="AA954" t="str">
        <f>IFERROR(ROUND(I954*VLOOKUP(H954,商品!$A$4:$B$60,2,FALSE),0),"")</f>
        <v/>
      </c>
      <c r="AB954" t="str">
        <f>IFERROR(ROUND(K954*VLOOKUP(J954,[1]note_pop_types!$A$16:$E$16,4,FALSE),0),"")</f>
        <v/>
      </c>
      <c r="AC954" t="str">
        <f>IFERROR(ROUND(M954*VLOOKUP(L954,[1]note_pop_types!$A$16:$E$16,4,FALSE),0),"")</f>
        <v/>
      </c>
      <c r="AD954" t="str">
        <f>IFERROR(ROUND(O954*VLOOKUP(N954,[1]note_pop_types!$A$16:$E$16,4,FALSE),0),"")</f>
        <v/>
      </c>
      <c r="AE954" t="str">
        <f>IFERROR(ROUND(Q954*VLOOKUP(P954,商品!$A$4:$B$60,2,FALSE),0),"")</f>
        <v/>
      </c>
      <c r="AF954" t="str">
        <f>IFERROR(ROUND(S954*VLOOKUP(R954,商品!$A$4:$B$60,2,FALSE),0),"")</f>
        <v/>
      </c>
    </row>
    <row r="955" spans="1:32" ht="19.05" customHeight="1" x14ac:dyDescent="0.25">
      <c r="A955" s="15" t="s">
        <v>383</v>
      </c>
      <c r="C955" s="15">
        <v>1</v>
      </c>
      <c r="T955" s="2">
        <f t="shared" si="56"/>
        <v>0</v>
      </c>
      <c r="U955" s="2">
        <f t="shared" si="57"/>
        <v>0</v>
      </c>
      <c r="V955" s="2">
        <f t="shared" si="58"/>
        <v>0</v>
      </c>
      <c r="W955" s="2">
        <f t="shared" si="59"/>
        <v>0</v>
      </c>
      <c r="Y955" t="str">
        <f>IFERROR(ROUND(E955*VLOOKUP(D955,商品!$A$4:$B$60,2,FALSE),0),"")</f>
        <v/>
      </c>
      <c r="Z955" t="str">
        <f>IFERROR(ROUND(G955*VLOOKUP(F955,商品!$A$4:$B$60,2,FALSE),0),"")</f>
        <v/>
      </c>
      <c r="AA955" t="str">
        <f>IFERROR(ROUND(I955*VLOOKUP(H955,商品!$A$4:$B$60,2,FALSE),0),"")</f>
        <v/>
      </c>
      <c r="AB955" t="str">
        <f>IFERROR(ROUND(K955*VLOOKUP(J955,[1]note_pop_types!$A$16:$E$16,4,FALSE),0),"")</f>
        <v/>
      </c>
      <c r="AC955" t="str">
        <f>IFERROR(ROUND(M955*VLOOKUP(L955,[1]note_pop_types!$A$16:$E$16,4,FALSE),0),"")</f>
        <v/>
      </c>
      <c r="AD955" t="str">
        <f>IFERROR(ROUND(O955*VLOOKUP(N955,[1]note_pop_types!$A$16:$E$16,4,FALSE),0),"")</f>
        <v/>
      </c>
      <c r="AE955" t="str">
        <f>IFERROR(ROUND(Q955*VLOOKUP(P955,商品!$A$4:$B$60,2,FALSE),0),"")</f>
        <v/>
      </c>
      <c r="AF955" t="str">
        <f>IFERROR(ROUND(S955*VLOOKUP(R955,商品!$A$4:$B$60,2,FALSE),0),"")</f>
        <v/>
      </c>
    </row>
    <row r="956" spans="1:32" ht="19.05" customHeight="1" x14ac:dyDescent="0.25">
      <c r="A956" s="15" t="s">
        <v>383</v>
      </c>
      <c r="C956" s="15">
        <v>2</v>
      </c>
      <c r="T956" s="2">
        <f t="shared" si="56"/>
        <v>0</v>
      </c>
      <c r="U956" s="2">
        <f t="shared" si="57"/>
        <v>0</v>
      </c>
      <c r="V956" s="2">
        <f t="shared" si="58"/>
        <v>0</v>
      </c>
      <c r="W956" s="2">
        <f t="shared" si="59"/>
        <v>0</v>
      </c>
      <c r="Y956" t="str">
        <f>IFERROR(ROUND(E956*VLOOKUP(D956,商品!$A$4:$B$60,2,FALSE),0),"")</f>
        <v/>
      </c>
      <c r="Z956" t="str">
        <f>IFERROR(ROUND(G956*VLOOKUP(F956,商品!$A$4:$B$60,2,FALSE),0),"")</f>
        <v/>
      </c>
      <c r="AA956" t="str">
        <f>IFERROR(ROUND(I956*VLOOKUP(H956,商品!$A$4:$B$60,2,FALSE),0),"")</f>
        <v/>
      </c>
      <c r="AB956" t="str">
        <f>IFERROR(ROUND(K956*VLOOKUP(J956,[1]note_pop_types!$A$16:$E$16,4,FALSE),0),"")</f>
        <v/>
      </c>
      <c r="AC956" t="str">
        <f>IFERROR(ROUND(M956*VLOOKUP(L956,[1]note_pop_types!$A$16:$E$16,4,FALSE),0),"")</f>
        <v/>
      </c>
      <c r="AD956" t="str">
        <f>IFERROR(ROUND(O956*VLOOKUP(N956,[1]note_pop_types!$A$16:$E$16,4,FALSE),0),"")</f>
        <v/>
      </c>
      <c r="AE956" t="str">
        <f>IFERROR(ROUND(Q956*VLOOKUP(P956,商品!$A$4:$B$60,2,FALSE),0),"")</f>
        <v/>
      </c>
      <c r="AF956" t="str">
        <f>IFERROR(ROUND(S956*VLOOKUP(R956,商品!$A$4:$B$60,2,FALSE),0),"")</f>
        <v/>
      </c>
    </row>
    <row r="957" spans="1:32" ht="19.05" customHeight="1" x14ac:dyDescent="0.25">
      <c r="A957" s="15" t="s">
        <v>383</v>
      </c>
      <c r="C957" s="15">
        <v>3</v>
      </c>
      <c r="T957" s="2">
        <f t="shared" si="56"/>
        <v>0</v>
      </c>
      <c r="U957" s="2">
        <f t="shared" si="57"/>
        <v>0</v>
      </c>
      <c r="V957" s="2">
        <f t="shared" si="58"/>
        <v>0</v>
      </c>
      <c r="W957" s="2">
        <f t="shared" si="59"/>
        <v>0</v>
      </c>
      <c r="Y957" t="str">
        <f>IFERROR(ROUND(E957*VLOOKUP(D957,商品!$A$4:$B$60,2,FALSE),0),"")</f>
        <v/>
      </c>
      <c r="Z957" t="str">
        <f>IFERROR(ROUND(G957*VLOOKUP(F957,商品!$A$4:$B$60,2,FALSE),0),"")</f>
        <v/>
      </c>
      <c r="AA957" t="str">
        <f>IFERROR(ROUND(I957*VLOOKUP(H957,商品!$A$4:$B$60,2,FALSE),0),"")</f>
        <v/>
      </c>
      <c r="AB957" t="str">
        <f>IFERROR(ROUND(K957*VLOOKUP(J957,[1]note_pop_types!$A$16:$E$16,4,FALSE),0),"")</f>
        <v/>
      </c>
      <c r="AC957" t="str">
        <f>IFERROR(ROUND(M957*VLOOKUP(L957,[1]note_pop_types!$A$16:$E$16,4,FALSE),0),"")</f>
        <v/>
      </c>
      <c r="AD957" t="str">
        <f>IFERROR(ROUND(O957*VLOOKUP(N957,[1]note_pop_types!$A$16:$E$16,4,FALSE),0),"")</f>
        <v/>
      </c>
      <c r="AE957" t="str">
        <f>IFERROR(ROUND(Q957*VLOOKUP(P957,商品!$A$4:$B$60,2,FALSE),0),"")</f>
        <v/>
      </c>
      <c r="AF957" t="str">
        <f>IFERROR(ROUND(S957*VLOOKUP(R957,商品!$A$4:$B$60,2,FALSE),0),"")</f>
        <v/>
      </c>
    </row>
    <row r="958" spans="1:32" ht="19.05" customHeight="1" x14ac:dyDescent="0.25">
      <c r="A958" s="15" t="s">
        <v>383</v>
      </c>
      <c r="C958" s="15">
        <v>4</v>
      </c>
      <c r="T958" s="2">
        <f t="shared" si="56"/>
        <v>0</v>
      </c>
      <c r="U958" s="2">
        <f t="shared" si="57"/>
        <v>0</v>
      </c>
      <c r="V958" s="2">
        <f t="shared" si="58"/>
        <v>0</v>
      </c>
      <c r="W958" s="2">
        <f t="shared" si="59"/>
        <v>0</v>
      </c>
      <c r="Y958" t="str">
        <f>IFERROR(ROUND(E958*VLOOKUP(D958,商品!$A$4:$B$60,2,FALSE),0),"")</f>
        <v/>
      </c>
      <c r="Z958" t="str">
        <f>IFERROR(ROUND(G958*VLOOKUP(F958,商品!$A$4:$B$60,2,FALSE),0),"")</f>
        <v/>
      </c>
      <c r="AA958" t="str">
        <f>IFERROR(ROUND(I958*VLOOKUP(H958,商品!$A$4:$B$60,2,FALSE),0),"")</f>
        <v/>
      </c>
      <c r="AB958" t="str">
        <f>IFERROR(ROUND(K958*VLOOKUP(J958,[1]note_pop_types!$A$16:$E$16,4,FALSE),0),"")</f>
        <v/>
      </c>
      <c r="AC958" t="str">
        <f>IFERROR(ROUND(M958*VLOOKUP(L958,[1]note_pop_types!$A$16:$E$16,4,FALSE),0),"")</f>
        <v/>
      </c>
      <c r="AD958" t="str">
        <f>IFERROR(ROUND(O958*VLOOKUP(N958,[1]note_pop_types!$A$16:$E$16,4,FALSE),0),"")</f>
        <v/>
      </c>
      <c r="AE958" t="str">
        <f>IFERROR(ROUND(Q958*VLOOKUP(P958,商品!$A$4:$B$60,2,FALSE),0),"")</f>
        <v/>
      </c>
      <c r="AF958" t="str">
        <f>IFERROR(ROUND(S958*VLOOKUP(R958,商品!$A$4:$B$60,2,FALSE),0),"")</f>
        <v/>
      </c>
    </row>
    <row r="959" spans="1:32" ht="19.05" customHeight="1" x14ac:dyDescent="0.25">
      <c r="A959" s="15" t="s">
        <v>383</v>
      </c>
      <c r="C959" s="15">
        <v>5</v>
      </c>
      <c r="T959" s="2">
        <f t="shared" si="56"/>
        <v>0</v>
      </c>
      <c r="U959" s="2">
        <f t="shared" si="57"/>
        <v>0</v>
      </c>
      <c r="V959" s="2">
        <f t="shared" si="58"/>
        <v>0</v>
      </c>
      <c r="W959" s="2">
        <f t="shared" si="59"/>
        <v>0</v>
      </c>
      <c r="Y959" t="str">
        <f>IFERROR(ROUND(E959*VLOOKUP(D959,商品!$A$4:$B$60,2,FALSE),0),"")</f>
        <v/>
      </c>
      <c r="Z959" t="str">
        <f>IFERROR(ROUND(G959*VLOOKUP(F959,商品!$A$4:$B$60,2,FALSE),0),"")</f>
        <v/>
      </c>
      <c r="AA959" t="str">
        <f>IFERROR(ROUND(I959*VLOOKUP(H959,商品!$A$4:$B$60,2,FALSE),0),"")</f>
        <v/>
      </c>
      <c r="AB959" t="str">
        <f>IFERROR(ROUND(K959*VLOOKUP(J959,[1]note_pop_types!$A$16:$E$16,4,FALSE),0),"")</f>
        <v/>
      </c>
      <c r="AC959" t="str">
        <f>IFERROR(ROUND(M959*VLOOKUP(L959,[1]note_pop_types!$A$16:$E$16,4,FALSE),0),"")</f>
        <v/>
      </c>
      <c r="AD959" t="str">
        <f>IFERROR(ROUND(O959*VLOOKUP(N959,[1]note_pop_types!$A$16:$E$16,4,FALSE),0),"")</f>
        <v/>
      </c>
      <c r="AE959" t="str">
        <f>IFERROR(ROUND(Q959*VLOOKUP(P959,商品!$A$4:$B$60,2,FALSE),0),"")</f>
        <v/>
      </c>
      <c r="AF959" t="str">
        <f>IFERROR(ROUND(S959*VLOOKUP(R959,商品!$A$4:$B$60,2,FALSE),0),"")</f>
        <v/>
      </c>
    </row>
    <row r="960" spans="1:32" ht="19.05" customHeight="1" x14ac:dyDescent="0.25">
      <c r="A960" s="16" t="s">
        <v>546</v>
      </c>
      <c r="C960" s="16">
        <v>1</v>
      </c>
      <c r="T960" s="2">
        <f t="shared" si="56"/>
        <v>0</v>
      </c>
      <c r="U960" s="2">
        <f t="shared" si="57"/>
        <v>0</v>
      </c>
      <c r="V960" s="2">
        <f t="shared" si="58"/>
        <v>0</v>
      </c>
      <c r="W960" s="2">
        <f t="shared" si="59"/>
        <v>0</v>
      </c>
      <c r="Y960" t="str">
        <f>IFERROR(ROUND(E960*VLOOKUP(D960,商品!$A$4:$B$60,2,FALSE),0),"")</f>
        <v/>
      </c>
      <c r="Z960" t="str">
        <f>IFERROR(ROUND(G960*VLOOKUP(F960,商品!$A$4:$B$60,2,FALSE),0),"")</f>
        <v/>
      </c>
      <c r="AA960" t="str">
        <f>IFERROR(ROUND(I960*VLOOKUP(H960,商品!$A$4:$B$60,2,FALSE),0),"")</f>
        <v/>
      </c>
      <c r="AB960" t="str">
        <f>IFERROR(ROUND(K960*VLOOKUP(J960,[1]note_pop_types!$A$16:$E$16,4,FALSE),0),"")</f>
        <v/>
      </c>
      <c r="AC960" t="str">
        <f>IFERROR(ROUND(M960*VLOOKUP(L960,[1]note_pop_types!$A$16:$E$16,4,FALSE),0),"")</f>
        <v/>
      </c>
      <c r="AD960" t="str">
        <f>IFERROR(ROUND(O960*VLOOKUP(N960,[1]note_pop_types!$A$16:$E$16,4,FALSE),0),"")</f>
        <v/>
      </c>
      <c r="AE960" t="str">
        <f>IFERROR(ROUND(Q960*VLOOKUP(P960,商品!$A$4:$B$60,2,FALSE),0),"")</f>
        <v/>
      </c>
      <c r="AF960" t="str">
        <f>IFERROR(ROUND(S960*VLOOKUP(R960,商品!$A$4:$B$60,2,FALSE),0),"")</f>
        <v/>
      </c>
    </row>
    <row r="961" spans="1:32" ht="19.05" customHeight="1" x14ac:dyDescent="0.25">
      <c r="A961" s="16" t="s">
        <v>546</v>
      </c>
      <c r="C961" s="16">
        <v>2</v>
      </c>
      <c r="T961" s="2">
        <f t="shared" si="56"/>
        <v>0</v>
      </c>
      <c r="U961" s="2">
        <f t="shared" si="57"/>
        <v>0</v>
      </c>
      <c r="V961" s="2">
        <f t="shared" si="58"/>
        <v>0</v>
      </c>
      <c r="W961" s="2">
        <f t="shared" si="59"/>
        <v>0</v>
      </c>
      <c r="Y961" t="str">
        <f>IFERROR(ROUND(E961*VLOOKUP(D961,商品!$A$4:$B$60,2,FALSE),0),"")</f>
        <v/>
      </c>
      <c r="Z961" t="str">
        <f>IFERROR(ROUND(G961*VLOOKUP(F961,商品!$A$4:$B$60,2,FALSE),0),"")</f>
        <v/>
      </c>
      <c r="AA961" t="str">
        <f>IFERROR(ROUND(I961*VLOOKUP(H961,商品!$A$4:$B$60,2,FALSE),0),"")</f>
        <v/>
      </c>
      <c r="AB961" t="str">
        <f>IFERROR(ROUND(K961*VLOOKUP(J961,[1]note_pop_types!$A$16:$E$16,4,FALSE),0),"")</f>
        <v/>
      </c>
      <c r="AC961" t="str">
        <f>IFERROR(ROUND(M961*VLOOKUP(L961,[1]note_pop_types!$A$16:$E$16,4,FALSE),0),"")</f>
        <v/>
      </c>
      <c r="AD961" t="str">
        <f>IFERROR(ROUND(O961*VLOOKUP(N961,[1]note_pop_types!$A$16:$E$16,4,FALSE),0),"")</f>
        <v/>
      </c>
      <c r="AE961" t="str">
        <f>IFERROR(ROUND(Q961*VLOOKUP(P961,商品!$A$4:$B$60,2,FALSE),0),"")</f>
        <v/>
      </c>
      <c r="AF961" t="str">
        <f>IFERROR(ROUND(S961*VLOOKUP(R961,商品!$A$4:$B$60,2,FALSE),0),"")</f>
        <v/>
      </c>
    </row>
    <row r="962" spans="1:32" ht="19.05" customHeight="1" x14ac:dyDescent="0.25">
      <c r="A962" s="16" t="s">
        <v>546</v>
      </c>
      <c r="C962" s="16">
        <v>3</v>
      </c>
      <c r="T962" s="2">
        <f t="shared" si="56"/>
        <v>0</v>
      </c>
      <c r="U962" s="2">
        <f t="shared" si="57"/>
        <v>0</v>
      </c>
      <c r="V962" s="2">
        <f t="shared" si="58"/>
        <v>0</v>
      </c>
      <c r="W962" s="2">
        <f t="shared" si="59"/>
        <v>0</v>
      </c>
      <c r="Y962" t="str">
        <f>IFERROR(ROUND(E962*VLOOKUP(D962,商品!$A$4:$B$60,2,FALSE),0),"")</f>
        <v/>
      </c>
      <c r="Z962" t="str">
        <f>IFERROR(ROUND(G962*VLOOKUP(F962,商品!$A$4:$B$60,2,FALSE),0),"")</f>
        <v/>
      </c>
      <c r="AA962" t="str">
        <f>IFERROR(ROUND(I962*VLOOKUP(H962,商品!$A$4:$B$60,2,FALSE),0),"")</f>
        <v/>
      </c>
      <c r="AB962" t="str">
        <f>IFERROR(ROUND(K962*VLOOKUP(J962,[1]note_pop_types!$A$16:$E$16,4,FALSE),0),"")</f>
        <v/>
      </c>
      <c r="AC962" t="str">
        <f>IFERROR(ROUND(M962*VLOOKUP(L962,[1]note_pop_types!$A$16:$E$16,4,FALSE),0),"")</f>
        <v/>
      </c>
      <c r="AD962" t="str">
        <f>IFERROR(ROUND(O962*VLOOKUP(N962,[1]note_pop_types!$A$16:$E$16,4,FALSE),0),"")</f>
        <v/>
      </c>
      <c r="AE962" t="str">
        <f>IFERROR(ROUND(Q962*VLOOKUP(P962,商品!$A$4:$B$60,2,FALSE),0),"")</f>
        <v/>
      </c>
      <c r="AF962" t="str">
        <f>IFERROR(ROUND(S962*VLOOKUP(R962,商品!$A$4:$B$60,2,FALSE),0),"")</f>
        <v/>
      </c>
    </row>
    <row r="963" spans="1:32" ht="19.05" customHeight="1" x14ac:dyDescent="0.25">
      <c r="A963" s="16" t="s">
        <v>546</v>
      </c>
      <c r="C963" s="16">
        <v>4</v>
      </c>
      <c r="T963" s="2">
        <f t="shared" si="56"/>
        <v>0</v>
      </c>
      <c r="U963" s="2">
        <f t="shared" si="57"/>
        <v>0</v>
      </c>
      <c r="V963" s="2">
        <f t="shared" si="58"/>
        <v>0</v>
      </c>
      <c r="W963" s="2">
        <f t="shared" si="59"/>
        <v>0</v>
      </c>
      <c r="Y963" t="str">
        <f>IFERROR(ROUND(E963*VLOOKUP(D963,商品!$A$4:$B$60,2,FALSE),0),"")</f>
        <v/>
      </c>
      <c r="Z963" t="str">
        <f>IFERROR(ROUND(G963*VLOOKUP(F963,商品!$A$4:$B$60,2,FALSE),0),"")</f>
        <v/>
      </c>
      <c r="AA963" t="str">
        <f>IFERROR(ROUND(I963*VLOOKUP(H963,商品!$A$4:$B$60,2,FALSE),0),"")</f>
        <v/>
      </c>
      <c r="AB963" t="str">
        <f>IFERROR(ROUND(K963*VLOOKUP(J963,[1]note_pop_types!$A$16:$E$16,4,FALSE),0),"")</f>
        <v/>
      </c>
      <c r="AC963" t="str">
        <f>IFERROR(ROUND(M963*VLOOKUP(L963,[1]note_pop_types!$A$16:$E$16,4,FALSE),0),"")</f>
        <v/>
      </c>
      <c r="AD963" t="str">
        <f>IFERROR(ROUND(O963*VLOOKUP(N963,[1]note_pop_types!$A$16:$E$16,4,FALSE),0),"")</f>
        <v/>
      </c>
      <c r="AE963" t="str">
        <f>IFERROR(ROUND(Q963*VLOOKUP(P963,商品!$A$4:$B$60,2,FALSE),0),"")</f>
        <v/>
      </c>
      <c r="AF963" t="str">
        <f>IFERROR(ROUND(S963*VLOOKUP(R963,商品!$A$4:$B$60,2,FALSE),0),"")</f>
        <v/>
      </c>
    </row>
    <row r="964" spans="1:32" ht="19.05" customHeight="1" x14ac:dyDescent="0.25">
      <c r="A964" s="16" t="s">
        <v>546</v>
      </c>
      <c r="C964" s="16">
        <v>5</v>
      </c>
      <c r="T964" s="2">
        <f t="shared" si="56"/>
        <v>0</v>
      </c>
      <c r="U964" s="2">
        <f t="shared" si="57"/>
        <v>0</v>
      </c>
      <c r="V964" s="2">
        <f t="shared" si="58"/>
        <v>0</v>
      </c>
      <c r="W964" s="2">
        <f t="shared" si="59"/>
        <v>0</v>
      </c>
      <c r="Y964" t="str">
        <f>IFERROR(ROUND(E964*VLOOKUP(D964,商品!$A$4:$B$60,2,FALSE),0),"")</f>
        <v/>
      </c>
      <c r="Z964" t="str">
        <f>IFERROR(ROUND(G964*VLOOKUP(F964,商品!$A$4:$B$60,2,FALSE),0),"")</f>
        <v/>
      </c>
      <c r="AA964" t="str">
        <f>IFERROR(ROUND(I964*VLOOKUP(H964,商品!$A$4:$B$60,2,FALSE),0),"")</f>
        <v/>
      </c>
      <c r="AB964" t="str">
        <f>IFERROR(ROUND(K964*VLOOKUP(J964,[1]note_pop_types!$A$16:$E$16,4,FALSE),0),"")</f>
        <v/>
      </c>
      <c r="AC964" t="str">
        <f>IFERROR(ROUND(M964*VLOOKUP(L964,[1]note_pop_types!$A$16:$E$16,4,FALSE),0),"")</f>
        <v/>
      </c>
      <c r="AD964" t="str">
        <f>IFERROR(ROUND(O964*VLOOKUP(N964,[1]note_pop_types!$A$16:$E$16,4,FALSE),0),"")</f>
        <v/>
      </c>
      <c r="AE964" t="str">
        <f>IFERROR(ROUND(Q964*VLOOKUP(P964,商品!$A$4:$B$60,2,FALSE),0),"")</f>
        <v/>
      </c>
      <c r="AF964" t="str">
        <f>IFERROR(ROUND(S964*VLOOKUP(R964,商品!$A$4:$B$60,2,FALSE),0),"")</f>
        <v/>
      </c>
    </row>
    <row r="965" spans="1:32" ht="19.05" customHeight="1" x14ac:dyDescent="0.25">
      <c r="A965" s="15" t="s">
        <v>546</v>
      </c>
      <c r="C965" s="15">
        <v>1</v>
      </c>
      <c r="T965" s="2">
        <f t="shared" si="56"/>
        <v>0</v>
      </c>
      <c r="U965" s="2">
        <f t="shared" si="57"/>
        <v>0</v>
      </c>
      <c r="V965" s="2">
        <f t="shared" si="58"/>
        <v>0</v>
      </c>
      <c r="W965" s="2">
        <f t="shared" si="59"/>
        <v>0</v>
      </c>
      <c r="Y965" t="str">
        <f>IFERROR(ROUND(E965*VLOOKUP(D965,商品!$A$4:$B$60,2,FALSE),0),"")</f>
        <v/>
      </c>
      <c r="Z965" t="str">
        <f>IFERROR(ROUND(G965*VLOOKUP(F965,商品!$A$4:$B$60,2,FALSE),0),"")</f>
        <v/>
      </c>
      <c r="AA965" t="str">
        <f>IFERROR(ROUND(I965*VLOOKUP(H965,商品!$A$4:$B$60,2,FALSE),0),"")</f>
        <v/>
      </c>
      <c r="AB965" t="str">
        <f>IFERROR(ROUND(K965*VLOOKUP(J965,[1]note_pop_types!$A$16:$E$16,4,FALSE),0),"")</f>
        <v/>
      </c>
      <c r="AC965" t="str">
        <f>IFERROR(ROUND(M965*VLOOKUP(L965,[1]note_pop_types!$A$16:$E$16,4,FALSE),0),"")</f>
        <v/>
      </c>
      <c r="AD965" t="str">
        <f>IFERROR(ROUND(O965*VLOOKUP(N965,[1]note_pop_types!$A$16:$E$16,4,FALSE),0),"")</f>
        <v/>
      </c>
      <c r="AE965" t="str">
        <f>IFERROR(ROUND(Q965*VLOOKUP(P965,商品!$A$4:$B$60,2,FALSE),0),"")</f>
        <v/>
      </c>
      <c r="AF965" t="str">
        <f>IFERROR(ROUND(S965*VLOOKUP(R965,商品!$A$4:$B$60,2,FALSE),0),"")</f>
        <v/>
      </c>
    </row>
    <row r="966" spans="1:32" ht="19.05" customHeight="1" x14ac:dyDescent="0.25">
      <c r="A966" s="15" t="s">
        <v>546</v>
      </c>
      <c r="C966" s="15">
        <v>2</v>
      </c>
      <c r="T966" s="2">
        <f t="shared" ref="T966:T1029" si="60">SUM(Y966:AA966)</f>
        <v>0</v>
      </c>
      <c r="U966" s="2">
        <f t="shared" ref="U966:U1029" si="61">SUM(AB966:AC966)</f>
        <v>0</v>
      </c>
      <c r="V966" s="2">
        <f t="shared" ref="V966:V1029" si="62">SUM(AE966:AF966)</f>
        <v>0</v>
      </c>
      <c r="W966" s="2">
        <f t="shared" ref="W966:W1029" si="63">V966-T966-U966</f>
        <v>0</v>
      </c>
      <c r="Y966" t="str">
        <f>IFERROR(ROUND(E966*VLOOKUP(D966,商品!$A$4:$B$60,2,FALSE),0),"")</f>
        <v/>
      </c>
      <c r="Z966" t="str">
        <f>IFERROR(ROUND(G966*VLOOKUP(F966,商品!$A$4:$B$60,2,FALSE),0),"")</f>
        <v/>
      </c>
      <c r="AA966" t="str">
        <f>IFERROR(ROUND(I966*VLOOKUP(H966,商品!$A$4:$B$60,2,FALSE),0),"")</f>
        <v/>
      </c>
      <c r="AB966" t="str">
        <f>IFERROR(ROUND(K966*VLOOKUP(J966,[1]note_pop_types!$A$16:$E$16,4,FALSE),0),"")</f>
        <v/>
      </c>
      <c r="AC966" t="str">
        <f>IFERROR(ROUND(M966*VLOOKUP(L966,[1]note_pop_types!$A$16:$E$16,4,FALSE),0),"")</f>
        <v/>
      </c>
      <c r="AD966" t="str">
        <f>IFERROR(ROUND(O966*VLOOKUP(N966,[1]note_pop_types!$A$16:$E$16,4,FALSE),0),"")</f>
        <v/>
      </c>
      <c r="AE966" t="str">
        <f>IFERROR(ROUND(Q966*VLOOKUP(P966,商品!$A$4:$B$60,2,FALSE),0),"")</f>
        <v/>
      </c>
      <c r="AF966" t="str">
        <f>IFERROR(ROUND(S966*VLOOKUP(R966,商品!$A$4:$B$60,2,FALSE),0),"")</f>
        <v/>
      </c>
    </row>
    <row r="967" spans="1:32" ht="19.05" customHeight="1" x14ac:dyDescent="0.25">
      <c r="A967" s="15" t="s">
        <v>546</v>
      </c>
      <c r="C967" s="15">
        <v>3</v>
      </c>
      <c r="T967" s="2">
        <f t="shared" si="60"/>
        <v>0</v>
      </c>
      <c r="U967" s="2">
        <f t="shared" si="61"/>
        <v>0</v>
      </c>
      <c r="V967" s="2">
        <f t="shared" si="62"/>
        <v>0</v>
      </c>
      <c r="W967" s="2">
        <f t="shared" si="63"/>
        <v>0</v>
      </c>
      <c r="Y967" t="str">
        <f>IFERROR(ROUND(E967*VLOOKUP(D967,商品!$A$4:$B$60,2,FALSE),0),"")</f>
        <v/>
      </c>
      <c r="Z967" t="str">
        <f>IFERROR(ROUND(G967*VLOOKUP(F967,商品!$A$4:$B$60,2,FALSE),0),"")</f>
        <v/>
      </c>
      <c r="AA967" t="str">
        <f>IFERROR(ROUND(I967*VLOOKUP(H967,商品!$A$4:$B$60,2,FALSE),0),"")</f>
        <v/>
      </c>
      <c r="AB967" t="str">
        <f>IFERROR(ROUND(K967*VLOOKUP(J967,[1]note_pop_types!$A$16:$E$16,4,FALSE),0),"")</f>
        <v/>
      </c>
      <c r="AC967" t="str">
        <f>IFERROR(ROUND(M967*VLOOKUP(L967,[1]note_pop_types!$A$16:$E$16,4,FALSE),0),"")</f>
        <v/>
      </c>
      <c r="AD967" t="str">
        <f>IFERROR(ROUND(O967*VLOOKUP(N967,[1]note_pop_types!$A$16:$E$16,4,FALSE),0),"")</f>
        <v/>
      </c>
      <c r="AE967" t="str">
        <f>IFERROR(ROUND(Q967*VLOOKUP(P967,商品!$A$4:$B$60,2,FALSE),0),"")</f>
        <v/>
      </c>
      <c r="AF967" t="str">
        <f>IFERROR(ROUND(S967*VLOOKUP(R967,商品!$A$4:$B$60,2,FALSE),0),"")</f>
        <v/>
      </c>
    </row>
    <row r="968" spans="1:32" ht="19.05" customHeight="1" x14ac:dyDescent="0.25">
      <c r="A968" s="15" t="s">
        <v>546</v>
      </c>
      <c r="C968" s="15">
        <v>4</v>
      </c>
      <c r="T968" s="2">
        <f t="shared" si="60"/>
        <v>0</v>
      </c>
      <c r="U968" s="2">
        <f t="shared" si="61"/>
        <v>0</v>
      </c>
      <c r="V968" s="2">
        <f t="shared" si="62"/>
        <v>0</v>
      </c>
      <c r="W968" s="2">
        <f t="shared" si="63"/>
        <v>0</v>
      </c>
      <c r="Y968" t="str">
        <f>IFERROR(ROUND(E968*VLOOKUP(D968,商品!$A$4:$B$60,2,FALSE),0),"")</f>
        <v/>
      </c>
      <c r="Z968" t="str">
        <f>IFERROR(ROUND(G968*VLOOKUP(F968,商品!$A$4:$B$60,2,FALSE),0),"")</f>
        <v/>
      </c>
      <c r="AA968" t="str">
        <f>IFERROR(ROUND(I968*VLOOKUP(H968,商品!$A$4:$B$60,2,FALSE),0),"")</f>
        <v/>
      </c>
      <c r="AB968" t="str">
        <f>IFERROR(ROUND(K968*VLOOKUP(J968,[1]note_pop_types!$A$16:$E$16,4,FALSE),0),"")</f>
        <v/>
      </c>
      <c r="AC968" t="str">
        <f>IFERROR(ROUND(M968*VLOOKUP(L968,[1]note_pop_types!$A$16:$E$16,4,FALSE),0),"")</f>
        <v/>
      </c>
      <c r="AD968" t="str">
        <f>IFERROR(ROUND(O968*VLOOKUP(N968,[1]note_pop_types!$A$16:$E$16,4,FALSE),0),"")</f>
        <v/>
      </c>
      <c r="AE968" t="str">
        <f>IFERROR(ROUND(Q968*VLOOKUP(P968,商品!$A$4:$B$60,2,FALSE),0),"")</f>
        <v/>
      </c>
      <c r="AF968" t="str">
        <f>IFERROR(ROUND(S968*VLOOKUP(R968,商品!$A$4:$B$60,2,FALSE),0),"")</f>
        <v/>
      </c>
    </row>
    <row r="969" spans="1:32" ht="19.05" customHeight="1" x14ac:dyDescent="0.25">
      <c r="A969" s="15" t="s">
        <v>546</v>
      </c>
      <c r="C969" s="15">
        <v>5</v>
      </c>
      <c r="T969" s="2">
        <f t="shared" si="60"/>
        <v>0</v>
      </c>
      <c r="U969" s="2">
        <f t="shared" si="61"/>
        <v>0</v>
      </c>
      <c r="V969" s="2">
        <f t="shared" si="62"/>
        <v>0</v>
      </c>
      <c r="W969" s="2">
        <f t="shared" si="63"/>
        <v>0</v>
      </c>
      <c r="Y969" t="str">
        <f>IFERROR(ROUND(E969*VLOOKUP(D969,商品!$A$4:$B$60,2,FALSE),0),"")</f>
        <v/>
      </c>
      <c r="Z969" t="str">
        <f>IFERROR(ROUND(G969*VLOOKUP(F969,商品!$A$4:$B$60,2,FALSE),0),"")</f>
        <v/>
      </c>
      <c r="AA969" t="str">
        <f>IFERROR(ROUND(I969*VLOOKUP(H969,商品!$A$4:$B$60,2,FALSE),0),"")</f>
        <v/>
      </c>
      <c r="AB969" t="str">
        <f>IFERROR(ROUND(K969*VLOOKUP(J969,[1]note_pop_types!$A$16:$E$16,4,FALSE),0),"")</f>
        <v/>
      </c>
      <c r="AC969" t="str">
        <f>IFERROR(ROUND(M969*VLOOKUP(L969,[1]note_pop_types!$A$16:$E$16,4,FALSE),0),"")</f>
        <v/>
      </c>
      <c r="AD969" t="str">
        <f>IFERROR(ROUND(O969*VLOOKUP(N969,[1]note_pop_types!$A$16:$E$16,4,FALSE),0),"")</f>
        <v/>
      </c>
      <c r="AE969" t="str">
        <f>IFERROR(ROUND(Q969*VLOOKUP(P969,商品!$A$4:$B$60,2,FALSE),0),"")</f>
        <v/>
      </c>
      <c r="AF969" t="str">
        <f>IFERROR(ROUND(S969*VLOOKUP(R969,商品!$A$4:$B$60,2,FALSE),0),"")</f>
        <v/>
      </c>
    </row>
    <row r="970" spans="1:32" ht="19.05" customHeight="1" x14ac:dyDescent="0.25">
      <c r="A970" s="16" t="s">
        <v>386</v>
      </c>
      <c r="C970" s="16">
        <v>1</v>
      </c>
      <c r="T970" s="2">
        <f t="shared" si="60"/>
        <v>0</v>
      </c>
      <c r="U970" s="2">
        <f t="shared" si="61"/>
        <v>0</v>
      </c>
      <c r="V970" s="2">
        <f t="shared" si="62"/>
        <v>0</v>
      </c>
      <c r="W970" s="2">
        <f t="shared" si="63"/>
        <v>0</v>
      </c>
      <c r="Y970" t="str">
        <f>IFERROR(ROUND(E970*VLOOKUP(D970,商品!$A$4:$B$60,2,FALSE),0),"")</f>
        <v/>
      </c>
      <c r="Z970" t="str">
        <f>IFERROR(ROUND(G970*VLOOKUP(F970,商品!$A$4:$B$60,2,FALSE),0),"")</f>
        <v/>
      </c>
      <c r="AA970" t="str">
        <f>IFERROR(ROUND(I970*VLOOKUP(H970,商品!$A$4:$B$60,2,FALSE),0),"")</f>
        <v/>
      </c>
      <c r="AB970" t="str">
        <f>IFERROR(ROUND(K970*VLOOKUP(J970,[1]note_pop_types!$A$16:$E$16,4,FALSE),0),"")</f>
        <v/>
      </c>
      <c r="AC970" t="str">
        <f>IFERROR(ROUND(M970*VLOOKUP(L970,[1]note_pop_types!$A$16:$E$16,4,FALSE),0),"")</f>
        <v/>
      </c>
      <c r="AD970" t="str">
        <f>IFERROR(ROUND(O970*VLOOKUP(N970,[1]note_pop_types!$A$16:$E$16,4,FALSE),0),"")</f>
        <v/>
      </c>
      <c r="AE970" t="str">
        <f>IFERROR(ROUND(Q970*VLOOKUP(P970,商品!$A$4:$B$60,2,FALSE),0),"")</f>
        <v/>
      </c>
      <c r="AF970" t="str">
        <f>IFERROR(ROUND(S970*VLOOKUP(R970,商品!$A$4:$B$60,2,FALSE),0),"")</f>
        <v/>
      </c>
    </row>
    <row r="971" spans="1:32" ht="19.05" customHeight="1" x14ac:dyDescent="0.25">
      <c r="A971" s="16" t="s">
        <v>386</v>
      </c>
      <c r="C971" s="16">
        <v>2</v>
      </c>
      <c r="T971" s="2">
        <f t="shared" si="60"/>
        <v>0</v>
      </c>
      <c r="U971" s="2">
        <f t="shared" si="61"/>
        <v>0</v>
      </c>
      <c r="V971" s="2">
        <f t="shared" si="62"/>
        <v>0</v>
      </c>
      <c r="W971" s="2">
        <f t="shared" si="63"/>
        <v>0</v>
      </c>
      <c r="Y971" t="str">
        <f>IFERROR(ROUND(E971*VLOOKUP(D971,商品!$A$4:$B$60,2,FALSE),0),"")</f>
        <v/>
      </c>
      <c r="Z971" t="str">
        <f>IFERROR(ROUND(G971*VLOOKUP(F971,商品!$A$4:$B$60,2,FALSE),0),"")</f>
        <v/>
      </c>
      <c r="AA971" t="str">
        <f>IFERROR(ROUND(I971*VLOOKUP(H971,商品!$A$4:$B$60,2,FALSE),0),"")</f>
        <v/>
      </c>
      <c r="AB971" t="str">
        <f>IFERROR(ROUND(K971*VLOOKUP(J971,[1]note_pop_types!$A$16:$E$16,4,FALSE),0),"")</f>
        <v/>
      </c>
      <c r="AC971" t="str">
        <f>IFERROR(ROUND(M971*VLOOKUP(L971,[1]note_pop_types!$A$16:$E$16,4,FALSE),0),"")</f>
        <v/>
      </c>
      <c r="AD971" t="str">
        <f>IFERROR(ROUND(O971*VLOOKUP(N971,[1]note_pop_types!$A$16:$E$16,4,FALSE),0),"")</f>
        <v/>
      </c>
      <c r="AE971" t="str">
        <f>IFERROR(ROUND(Q971*VLOOKUP(P971,商品!$A$4:$B$60,2,FALSE),0),"")</f>
        <v/>
      </c>
      <c r="AF971" t="str">
        <f>IFERROR(ROUND(S971*VLOOKUP(R971,商品!$A$4:$B$60,2,FALSE),0),"")</f>
        <v/>
      </c>
    </row>
    <row r="972" spans="1:32" ht="19.05" customHeight="1" x14ac:dyDescent="0.25">
      <c r="A972" s="16" t="s">
        <v>386</v>
      </c>
      <c r="C972" s="16">
        <v>3</v>
      </c>
      <c r="T972" s="2">
        <f t="shared" si="60"/>
        <v>0</v>
      </c>
      <c r="U972" s="2">
        <f t="shared" si="61"/>
        <v>0</v>
      </c>
      <c r="V972" s="2">
        <f t="shared" si="62"/>
        <v>0</v>
      </c>
      <c r="W972" s="2">
        <f t="shared" si="63"/>
        <v>0</v>
      </c>
      <c r="Y972" t="str">
        <f>IFERROR(ROUND(E972*VLOOKUP(D972,商品!$A$4:$B$60,2,FALSE),0),"")</f>
        <v/>
      </c>
      <c r="Z972" t="str">
        <f>IFERROR(ROUND(G972*VLOOKUP(F972,商品!$A$4:$B$60,2,FALSE),0),"")</f>
        <v/>
      </c>
      <c r="AA972" t="str">
        <f>IFERROR(ROUND(I972*VLOOKUP(H972,商品!$A$4:$B$60,2,FALSE),0),"")</f>
        <v/>
      </c>
      <c r="AB972" t="str">
        <f>IFERROR(ROUND(K972*VLOOKUP(J972,[1]note_pop_types!$A$16:$E$16,4,FALSE),0),"")</f>
        <v/>
      </c>
      <c r="AC972" t="str">
        <f>IFERROR(ROUND(M972*VLOOKUP(L972,[1]note_pop_types!$A$16:$E$16,4,FALSE),0),"")</f>
        <v/>
      </c>
      <c r="AD972" t="str">
        <f>IFERROR(ROUND(O972*VLOOKUP(N972,[1]note_pop_types!$A$16:$E$16,4,FALSE),0),"")</f>
        <v/>
      </c>
      <c r="AE972" t="str">
        <f>IFERROR(ROUND(Q972*VLOOKUP(P972,商品!$A$4:$B$60,2,FALSE),0),"")</f>
        <v/>
      </c>
      <c r="AF972" t="str">
        <f>IFERROR(ROUND(S972*VLOOKUP(R972,商品!$A$4:$B$60,2,FALSE),0),"")</f>
        <v/>
      </c>
    </row>
    <row r="973" spans="1:32" ht="19.05" customHeight="1" x14ac:dyDescent="0.25">
      <c r="A973" s="16" t="s">
        <v>386</v>
      </c>
      <c r="C973" s="16">
        <v>4</v>
      </c>
      <c r="T973" s="2">
        <f t="shared" si="60"/>
        <v>0</v>
      </c>
      <c r="U973" s="2">
        <f t="shared" si="61"/>
        <v>0</v>
      </c>
      <c r="V973" s="2">
        <f t="shared" si="62"/>
        <v>0</v>
      </c>
      <c r="W973" s="2">
        <f t="shared" si="63"/>
        <v>0</v>
      </c>
      <c r="Y973" t="str">
        <f>IFERROR(ROUND(E973*VLOOKUP(D973,商品!$A$4:$B$60,2,FALSE),0),"")</f>
        <v/>
      </c>
      <c r="Z973" t="str">
        <f>IFERROR(ROUND(G973*VLOOKUP(F973,商品!$A$4:$B$60,2,FALSE),0),"")</f>
        <v/>
      </c>
      <c r="AA973" t="str">
        <f>IFERROR(ROUND(I973*VLOOKUP(H973,商品!$A$4:$B$60,2,FALSE),0),"")</f>
        <v/>
      </c>
      <c r="AB973" t="str">
        <f>IFERROR(ROUND(K973*VLOOKUP(J973,[1]note_pop_types!$A$16:$E$16,4,FALSE),0),"")</f>
        <v/>
      </c>
      <c r="AC973" t="str">
        <f>IFERROR(ROUND(M973*VLOOKUP(L973,[1]note_pop_types!$A$16:$E$16,4,FALSE),0),"")</f>
        <v/>
      </c>
      <c r="AD973" t="str">
        <f>IFERROR(ROUND(O973*VLOOKUP(N973,[1]note_pop_types!$A$16:$E$16,4,FALSE),0),"")</f>
        <v/>
      </c>
      <c r="AE973" t="str">
        <f>IFERROR(ROUND(Q973*VLOOKUP(P973,商品!$A$4:$B$60,2,FALSE),0),"")</f>
        <v/>
      </c>
      <c r="AF973" t="str">
        <f>IFERROR(ROUND(S973*VLOOKUP(R973,商品!$A$4:$B$60,2,FALSE),0),"")</f>
        <v/>
      </c>
    </row>
    <row r="974" spans="1:32" ht="19.05" customHeight="1" x14ac:dyDescent="0.25">
      <c r="A974" s="16" t="s">
        <v>386</v>
      </c>
      <c r="C974" s="16">
        <v>5</v>
      </c>
      <c r="T974" s="2">
        <f t="shared" si="60"/>
        <v>0</v>
      </c>
      <c r="U974" s="2">
        <f t="shared" si="61"/>
        <v>0</v>
      </c>
      <c r="V974" s="2">
        <f t="shared" si="62"/>
        <v>0</v>
      </c>
      <c r="W974" s="2">
        <f t="shared" si="63"/>
        <v>0</v>
      </c>
      <c r="Y974" t="str">
        <f>IFERROR(ROUND(E974*VLOOKUP(D974,商品!$A$4:$B$60,2,FALSE),0),"")</f>
        <v/>
      </c>
      <c r="Z974" t="str">
        <f>IFERROR(ROUND(G974*VLOOKUP(F974,商品!$A$4:$B$60,2,FALSE),0),"")</f>
        <v/>
      </c>
      <c r="AA974" t="str">
        <f>IFERROR(ROUND(I974*VLOOKUP(H974,商品!$A$4:$B$60,2,FALSE),0),"")</f>
        <v/>
      </c>
      <c r="AB974" t="str">
        <f>IFERROR(ROUND(K974*VLOOKUP(J974,[1]note_pop_types!$A$16:$E$16,4,FALSE),0),"")</f>
        <v/>
      </c>
      <c r="AC974" t="str">
        <f>IFERROR(ROUND(M974*VLOOKUP(L974,[1]note_pop_types!$A$16:$E$16,4,FALSE),0),"")</f>
        <v/>
      </c>
      <c r="AD974" t="str">
        <f>IFERROR(ROUND(O974*VLOOKUP(N974,[1]note_pop_types!$A$16:$E$16,4,FALSE),0),"")</f>
        <v/>
      </c>
      <c r="AE974" t="str">
        <f>IFERROR(ROUND(Q974*VLOOKUP(P974,商品!$A$4:$B$60,2,FALSE),0),"")</f>
        <v/>
      </c>
      <c r="AF974" t="str">
        <f>IFERROR(ROUND(S974*VLOOKUP(R974,商品!$A$4:$B$60,2,FALSE),0),"")</f>
        <v/>
      </c>
    </row>
    <row r="975" spans="1:32" ht="19.05" customHeight="1" x14ac:dyDescent="0.25">
      <c r="A975" s="16" t="s">
        <v>386</v>
      </c>
      <c r="C975" s="16">
        <v>6</v>
      </c>
      <c r="T975" s="2">
        <f t="shared" si="60"/>
        <v>0</v>
      </c>
      <c r="U975" s="2">
        <f t="shared" si="61"/>
        <v>0</v>
      </c>
      <c r="V975" s="2">
        <f t="shared" si="62"/>
        <v>0</v>
      </c>
      <c r="W975" s="2">
        <f t="shared" si="63"/>
        <v>0</v>
      </c>
      <c r="Y975" t="str">
        <f>IFERROR(ROUND(E975*VLOOKUP(D975,商品!$A$4:$B$60,2,FALSE),0),"")</f>
        <v/>
      </c>
      <c r="Z975" t="str">
        <f>IFERROR(ROUND(G975*VLOOKUP(F975,商品!$A$4:$B$60,2,FALSE),0),"")</f>
        <v/>
      </c>
      <c r="AA975" t="str">
        <f>IFERROR(ROUND(I975*VLOOKUP(H975,商品!$A$4:$B$60,2,FALSE),0),"")</f>
        <v/>
      </c>
      <c r="AB975" t="str">
        <f>IFERROR(ROUND(K975*VLOOKUP(J975,[1]note_pop_types!$A$16:$E$16,4,FALSE),0),"")</f>
        <v/>
      </c>
      <c r="AC975" t="str">
        <f>IFERROR(ROUND(M975*VLOOKUP(L975,[1]note_pop_types!$A$16:$E$16,4,FALSE),0),"")</f>
        <v/>
      </c>
      <c r="AD975" t="str">
        <f>IFERROR(ROUND(O975*VLOOKUP(N975,[1]note_pop_types!$A$16:$E$16,4,FALSE),0),"")</f>
        <v/>
      </c>
      <c r="AE975" t="str">
        <f>IFERROR(ROUND(Q975*VLOOKUP(P975,商品!$A$4:$B$60,2,FALSE),0),"")</f>
        <v/>
      </c>
      <c r="AF975" t="str">
        <f>IFERROR(ROUND(S975*VLOOKUP(R975,商品!$A$4:$B$60,2,FALSE),0),"")</f>
        <v/>
      </c>
    </row>
    <row r="976" spans="1:32" ht="19.05" customHeight="1" x14ac:dyDescent="0.25">
      <c r="A976" s="16" t="s">
        <v>386</v>
      </c>
      <c r="C976" s="16">
        <v>7</v>
      </c>
      <c r="T976" s="2">
        <f t="shared" si="60"/>
        <v>0</v>
      </c>
      <c r="U976" s="2">
        <f t="shared" si="61"/>
        <v>0</v>
      </c>
      <c r="V976" s="2">
        <f t="shared" si="62"/>
        <v>0</v>
      </c>
      <c r="W976" s="2">
        <f t="shared" si="63"/>
        <v>0</v>
      </c>
      <c r="Y976" t="str">
        <f>IFERROR(ROUND(E976*VLOOKUP(D976,商品!$A$4:$B$60,2,FALSE),0),"")</f>
        <v/>
      </c>
      <c r="Z976" t="str">
        <f>IFERROR(ROUND(G976*VLOOKUP(F976,商品!$A$4:$B$60,2,FALSE),0),"")</f>
        <v/>
      </c>
      <c r="AA976" t="str">
        <f>IFERROR(ROUND(I976*VLOOKUP(H976,商品!$A$4:$B$60,2,FALSE),0),"")</f>
        <v/>
      </c>
      <c r="AB976" t="str">
        <f>IFERROR(ROUND(K976*VLOOKUP(J976,[1]note_pop_types!$A$16:$E$16,4,FALSE),0),"")</f>
        <v/>
      </c>
      <c r="AC976" t="str">
        <f>IFERROR(ROUND(M976*VLOOKUP(L976,[1]note_pop_types!$A$16:$E$16,4,FALSE),0),"")</f>
        <v/>
      </c>
      <c r="AD976" t="str">
        <f>IFERROR(ROUND(O976*VLOOKUP(N976,[1]note_pop_types!$A$16:$E$16,4,FALSE),0),"")</f>
        <v/>
      </c>
      <c r="AE976" t="str">
        <f>IFERROR(ROUND(Q976*VLOOKUP(P976,商品!$A$4:$B$60,2,FALSE),0),"")</f>
        <v/>
      </c>
      <c r="AF976" t="str">
        <f>IFERROR(ROUND(S976*VLOOKUP(R976,商品!$A$4:$B$60,2,FALSE),0),"")</f>
        <v/>
      </c>
    </row>
    <row r="977" spans="1:32" ht="19.05" customHeight="1" x14ac:dyDescent="0.25">
      <c r="A977" s="16" t="s">
        <v>386</v>
      </c>
      <c r="C977" s="16">
        <v>8</v>
      </c>
      <c r="T977" s="2">
        <f t="shared" si="60"/>
        <v>0</v>
      </c>
      <c r="U977" s="2">
        <f t="shared" si="61"/>
        <v>0</v>
      </c>
      <c r="V977" s="2">
        <f t="shared" si="62"/>
        <v>0</v>
      </c>
      <c r="W977" s="2">
        <f t="shared" si="63"/>
        <v>0</v>
      </c>
      <c r="Y977" t="str">
        <f>IFERROR(ROUND(E977*VLOOKUP(D977,商品!$A$4:$B$60,2,FALSE),0),"")</f>
        <v/>
      </c>
      <c r="Z977" t="str">
        <f>IFERROR(ROUND(G977*VLOOKUP(F977,商品!$A$4:$B$60,2,FALSE),0),"")</f>
        <v/>
      </c>
      <c r="AA977" t="str">
        <f>IFERROR(ROUND(I977*VLOOKUP(H977,商品!$A$4:$B$60,2,FALSE),0),"")</f>
        <v/>
      </c>
      <c r="AB977" t="str">
        <f>IFERROR(ROUND(K977*VLOOKUP(J977,[1]note_pop_types!$A$16:$E$16,4,FALSE),0),"")</f>
        <v/>
      </c>
      <c r="AC977" t="str">
        <f>IFERROR(ROUND(M977*VLOOKUP(L977,[1]note_pop_types!$A$16:$E$16,4,FALSE),0),"")</f>
        <v/>
      </c>
      <c r="AD977" t="str">
        <f>IFERROR(ROUND(O977*VLOOKUP(N977,[1]note_pop_types!$A$16:$E$16,4,FALSE),0),"")</f>
        <v/>
      </c>
      <c r="AE977" t="str">
        <f>IFERROR(ROUND(Q977*VLOOKUP(P977,商品!$A$4:$B$60,2,FALSE),0),"")</f>
        <v/>
      </c>
      <c r="AF977" t="str">
        <f>IFERROR(ROUND(S977*VLOOKUP(R977,商品!$A$4:$B$60,2,FALSE),0),"")</f>
        <v/>
      </c>
    </row>
    <row r="978" spans="1:32" ht="19.05" customHeight="1" x14ac:dyDescent="0.25">
      <c r="A978" s="15" t="s">
        <v>388</v>
      </c>
      <c r="C978" s="15">
        <v>1</v>
      </c>
      <c r="T978" s="2">
        <f t="shared" si="60"/>
        <v>0</v>
      </c>
      <c r="U978" s="2">
        <f t="shared" si="61"/>
        <v>0</v>
      </c>
      <c r="V978" s="2">
        <f t="shared" si="62"/>
        <v>0</v>
      </c>
      <c r="W978" s="2">
        <f t="shared" si="63"/>
        <v>0</v>
      </c>
      <c r="Y978" t="str">
        <f>IFERROR(ROUND(E978*VLOOKUP(D978,商品!$A$4:$B$60,2,FALSE),0),"")</f>
        <v/>
      </c>
      <c r="Z978" t="str">
        <f>IFERROR(ROUND(G978*VLOOKUP(F978,商品!$A$4:$B$60,2,FALSE),0),"")</f>
        <v/>
      </c>
      <c r="AA978" t="str">
        <f>IFERROR(ROUND(I978*VLOOKUP(H978,商品!$A$4:$B$60,2,FALSE),0),"")</f>
        <v/>
      </c>
      <c r="AB978" t="str">
        <f>IFERROR(ROUND(K978*VLOOKUP(J978,[1]note_pop_types!$A$16:$E$16,4,FALSE),0),"")</f>
        <v/>
      </c>
      <c r="AC978" t="str">
        <f>IFERROR(ROUND(M978*VLOOKUP(L978,[1]note_pop_types!$A$16:$E$16,4,FALSE),0),"")</f>
        <v/>
      </c>
      <c r="AD978" t="str">
        <f>IFERROR(ROUND(O978*VLOOKUP(N978,[1]note_pop_types!$A$16:$E$16,4,FALSE),0),"")</f>
        <v/>
      </c>
      <c r="AE978" t="str">
        <f>IFERROR(ROUND(Q978*VLOOKUP(P978,商品!$A$4:$B$60,2,FALSE),0),"")</f>
        <v/>
      </c>
      <c r="AF978" t="str">
        <f>IFERROR(ROUND(S978*VLOOKUP(R978,商品!$A$4:$B$60,2,FALSE),0),"")</f>
        <v/>
      </c>
    </row>
    <row r="979" spans="1:32" ht="19.05" customHeight="1" x14ac:dyDescent="0.25">
      <c r="A979" s="15" t="s">
        <v>388</v>
      </c>
      <c r="C979" s="15">
        <v>2</v>
      </c>
      <c r="T979" s="2">
        <f t="shared" si="60"/>
        <v>0</v>
      </c>
      <c r="U979" s="2">
        <f t="shared" si="61"/>
        <v>0</v>
      </c>
      <c r="V979" s="2">
        <f t="shared" si="62"/>
        <v>0</v>
      </c>
      <c r="W979" s="2">
        <f t="shared" si="63"/>
        <v>0</v>
      </c>
      <c r="Y979" t="str">
        <f>IFERROR(ROUND(E979*VLOOKUP(D979,商品!$A$4:$B$60,2,FALSE),0),"")</f>
        <v/>
      </c>
      <c r="Z979" t="str">
        <f>IFERROR(ROUND(G979*VLOOKUP(F979,商品!$A$4:$B$60,2,FALSE),0),"")</f>
        <v/>
      </c>
      <c r="AA979" t="str">
        <f>IFERROR(ROUND(I979*VLOOKUP(H979,商品!$A$4:$B$60,2,FALSE),0),"")</f>
        <v/>
      </c>
      <c r="AB979" t="str">
        <f>IFERROR(ROUND(K979*VLOOKUP(J979,[1]note_pop_types!$A$16:$E$16,4,FALSE),0),"")</f>
        <v/>
      </c>
      <c r="AC979" t="str">
        <f>IFERROR(ROUND(M979*VLOOKUP(L979,[1]note_pop_types!$A$16:$E$16,4,FALSE),0),"")</f>
        <v/>
      </c>
      <c r="AD979" t="str">
        <f>IFERROR(ROUND(O979*VLOOKUP(N979,[1]note_pop_types!$A$16:$E$16,4,FALSE),0),"")</f>
        <v/>
      </c>
      <c r="AE979" t="str">
        <f>IFERROR(ROUND(Q979*VLOOKUP(P979,商品!$A$4:$B$60,2,FALSE),0),"")</f>
        <v/>
      </c>
      <c r="AF979" t="str">
        <f>IFERROR(ROUND(S979*VLOOKUP(R979,商品!$A$4:$B$60,2,FALSE),0),"")</f>
        <v/>
      </c>
    </row>
    <row r="980" spans="1:32" ht="19.05" customHeight="1" x14ac:dyDescent="0.25">
      <c r="A980" s="15" t="s">
        <v>388</v>
      </c>
      <c r="C980" s="15">
        <v>3</v>
      </c>
      <c r="T980" s="2">
        <f t="shared" si="60"/>
        <v>0</v>
      </c>
      <c r="U980" s="2">
        <f t="shared" si="61"/>
        <v>0</v>
      </c>
      <c r="V980" s="2">
        <f t="shared" si="62"/>
        <v>0</v>
      </c>
      <c r="W980" s="2">
        <f t="shared" si="63"/>
        <v>0</v>
      </c>
      <c r="Y980" t="str">
        <f>IFERROR(ROUND(E980*VLOOKUP(D980,商品!$A$4:$B$60,2,FALSE),0),"")</f>
        <v/>
      </c>
      <c r="Z980" t="str">
        <f>IFERROR(ROUND(G980*VLOOKUP(F980,商品!$A$4:$B$60,2,FALSE),0),"")</f>
        <v/>
      </c>
      <c r="AA980" t="str">
        <f>IFERROR(ROUND(I980*VLOOKUP(H980,商品!$A$4:$B$60,2,FALSE),0),"")</f>
        <v/>
      </c>
      <c r="AB980" t="str">
        <f>IFERROR(ROUND(K980*VLOOKUP(J980,[1]note_pop_types!$A$16:$E$16,4,FALSE),0),"")</f>
        <v/>
      </c>
      <c r="AC980" t="str">
        <f>IFERROR(ROUND(M980*VLOOKUP(L980,[1]note_pop_types!$A$16:$E$16,4,FALSE),0),"")</f>
        <v/>
      </c>
      <c r="AD980" t="str">
        <f>IFERROR(ROUND(O980*VLOOKUP(N980,[1]note_pop_types!$A$16:$E$16,4,FALSE),0),"")</f>
        <v/>
      </c>
      <c r="AE980" t="str">
        <f>IFERROR(ROUND(Q980*VLOOKUP(P980,商品!$A$4:$B$60,2,FALSE),0),"")</f>
        <v/>
      </c>
      <c r="AF980" t="str">
        <f>IFERROR(ROUND(S980*VLOOKUP(R980,商品!$A$4:$B$60,2,FALSE),0),"")</f>
        <v/>
      </c>
    </row>
    <row r="981" spans="1:32" ht="19.05" customHeight="1" x14ac:dyDescent="0.25">
      <c r="A981" s="15" t="s">
        <v>388</v>
      </c>
      <c r="C981" s="15">
        <v>4</v>
      </c>
      <c r="T981" s="2">
        <f t="shared" si="60"/>
        <v>0</v>
      </c>
      <c r="U981" s="2">
        <f t="shared" si="61"/>
        <v>0</v>
      </c>
      <c r="V981" s="2">
        <f t="shared" si="62"/>
        <v>0</v>
      </c>
      <c r="W981" s="2">
        <f t="shared" si="63"/>
        <v>0</v>
      </c>
      <c r="Y981" t="str">
        <f>IFERROR(ROUND(E981*VLOOKUP(D981,商品!$A$4:$B$60,2,FALSE),0),"")</f>
        <v/>
      </c>
      <c r="Z981" t="str">
        <f>IFERROR(ROUND(G981*VLOOKUP(F981,商品!$A$4:$B$60,2,FALSE),0),"")</f>
        <v/>
      </c>
      <c r="AA981" t="str">
        <f>IFERROR(ROUND(I981*VLOOKUP(H981,商品!$A$4:$B$60,2,FALSE),0),"")</f>
        <v/>
      </c>
      <c r="AB981" t="str">
        <f>IFERROR(ROUND(K981*VLOOKUP(J981,[1]note_pop_types!$A$16:$E$16,4,FALSE),0),"")</f>
        <v/>
      </c>
      <c r="AC981" t="str">
        <f>IFERROR(ROUND(M981*VLOOKUP(L981,[1]note_pop_types!$A$16:$E$16,4,FALSE),0),"")</f>
        <v/>
      </c>
      <c r="AD981" t="str">
        <f>IFERROR(ROUND(O981*VLOOKUP(N981,[1]note_pop_types!$A$16:$E$16,4,FALSE),0),"")</f>
        <v/>
      </c>
      <c r="AE981" t="str">
        <f>IFERROR(ROUND(Q981*VLOOKUP(P981,商品!$A$4:$B$60,2,FALSE),0),"")</f>
        <v/>
      </c>
      <c r="AF981" t="str">
        <f>IFERROR(ROUND(S981*VLOOKUP(R981,商品!$A$4:$B$60,2,FALSE),0),"")</f>
        <v/>
      </c>
    </row>
    <row r="982" spans="1:32" ht="19.05" customHeight="1" x14ac:dyDescent="0.25">
      <c r="A982" s="15" t="s">
        <v>388</v>
      </c>
      <c r="C982" s="15">
        <v>5</v>
      </c>
      <c r="T982" s="2">
        <f t="shared" si="60"/>
        <v>0</v>
      </c>
      <c r="U982" s="2">
        <f t="shared" si="61"/>
        <v>0</v>
      </c>
      <c r="V982" s="2">
        <f t="shared" si="62"/>
        <v>0</v>
      </c>
      <c r="W982" s="2">
        <f t="shared" si="63"/>
        <v>0</v>
      </c>
      <c r="Y982" t="str">
        <f>IFERROR(ROUND(E982*VLOOKUP(D982,商品!$A$4:$B$60,2,FALSE),0),"")</f>
        <v/>
      </c>
      <c r="Z982" t="str">
        <f>IFERROR(ROUND(G982*VLOOKUP(F982,商品!$A$4:$B$60,2,FALSE),0),"")</f>
        <v/>
      </c>
      <c r="AA982" t="str">
        <f>IFERROR(ROUND(I982*VLOOKUP(H982,商品!$A$4:$B$60,2,FALSE),0),"")</f>
        <v/>
      </c>
      <c r="AB982" t="str">
        <f>IFERROR(ROUND(K982*VLOOKUP(J982,[1]note_pop_types!$A$16:$E$16,4,FALSE),0),"")</f>
        <v/>
      </c>
      <c r="AC982" t="str">
        <f>IFERROR(ROUND(M982*VLOOKUP(L982,[1]note_pop_types!$A$16:$E$16,4,FALSE),0),"")</f>
        <v/>
      </c>
      <c r="AD982" t="str">
        <f>IFERROR(ROUND(O982*VLOOKUP(N982,[1]note_pop_types!$A$16:$E$16,4,FALSE),0),"")</f>
        <v/>
      </c>
      <c r="AE982" t="str">
        <f>IFERROR(ROUND(Q982*VLOOKUP(P982,商品!$A$4:$B$60,2,FALSE),0),"")</f>
        <v/>
      </c>
      <c r="AF982" t="str">
        <f>IFERROR(ROUND(S982*VLOOKUP(R982,商品!$A$4:$B$60,2,FALSE),0),"")</f>
        <v/>
      </c>
    </row>
    <row r="983" spans="1:32" ht="19.05" customHeight="1" x14ac:dyDescent="0.25">
      <c r="A983" s="16" t="s">
        <v>547</v>
      </c>
      <c r="C983" s="16">
        <v>1</v>
      </c>
      <c r="T983" s="2">
        <f t="shared" si="60"/>
        <v>0</v>
      </c>
      <c r="U983" s="2">
        <f t="shared" si="61"/>
        <v>0</v>
      </c>
      <c r="V983" s="2">
        <f t="shared" si="62"/>
        <v>0</v>
      </c>
      <c r="W983" s="2">
        <f t="shared" si="63"/>
        <v>0</v>
      </c>
      <c r="Y983" t="str">
        <f>IFERROR(ROUND(E983*VLOOKUP(D983,商品!$A$4:$B$60,2,FALSE),0),"")</f>
        <v/>
      </c>
      <c r="Z983" t="str">
        <f>IFERROR(ROUND(G983*VLOOKUP(F983,商品!$A$4:$B$60,2,FALSE),0),"")</f>
        <v/>
      </c>
      <c r="AA983" t="str">
        <f>IFERROR(ROUND(I983*VLOOKUP(H983,商品!$A$4:$B$60,2,FALSE),0),"")</f>
        <v/>
      </c>
      <c r="AB983" t="str">
        <f>IFERROR(ROUND(K983*VLOOKUP(J983,[1]note_pop_types!$A$16:$E$16,4,FALSE),0),"")</f>
        <v/>
      </c>
      <c r="AC983" t="str">
        <f>IFERROR(ROUND(M983*VLOOKUP(L983,[1]note_pop_types!$A$16:$E$16,4,FALSE),0),"")</f>
        <v/>
      </c>
      <c r="AD983" t="str">
        <f>IFERROR(ROUND(O983*VLOOKUP(N983,[1]note_pop_types!$A$16:$E$16,4,FALSE),0),"")</f>
        <v/>
      </c>
      <c r="AE983" t="str">
        <f>IFERROR(ROUND(Q983*VLOOKUP(P983,商品!$A$4:$B$60,2,FALSE),0),"")</f>
        <v/>
      </c>
      <c r="AF983" t="str">
        <f>IFERROR(ROUND(S983*VLOOKUP(R983,商品!$A$4:$B$60,2,FALSE),0),"")</f>
        <v/>
      </c>
    </row>
    <row r="984" spans="1:32" ht="19.05" customHeight="1" x14ac:dyDescent="0.25">
      <c r="A984" s="16" t="s">
        <v>547</v>
      </c>
      <c r="C984" s="16">
        <v>2</v>
      </c>
      <c r="T984" s="2">
        <f t="shared" si="60"/>
        <v>0</v>
      </c>
      <c r="U984" s="2">
        <f t="shared" si="61"/>
        <v>0</v>
      </c>
      <c r="V984" s="2">
        <f t="shared" si="62"/>
        <v>0</v>
      </c>
      <c r="W984" s="2">
        <f t="shared" si="63"/>
        <v>0</v>
      </c>
      <c r="Y984" t="str">
        <f>IFERROR(ROUND(E984*VLOOKUP(D984,商品!$A$4:$B$60,2,FALSE),0),"")</f>
        <v/>
      </c>
      <c r="Z984" t="str">
        <f>IFERROR(ROUND(G984*VLOOKUP(F984,商品!$A$4:$B$60,2,FALSE),0),"")</f>
        <v/>
      </c>
      <c r="AA984" t="str">
        <f>IFERROR(ROUND(I984*VLOOKUP(H984,商品!$A$4:$B$60,2,FALSE),0),"")</f>
        <v/>
      </c>
      <c r="AB984" t="str">
        <f>IFERROR(ROUND(K984*VLOOKUP(J984,[1]note_pop_types!$A$16:$E$16,4,FALSE),0),"")</f>
        <v/>
      </c>
      <c r="AC984" t="str">
        <f>IFERROR(ROUND(M984*VLOOKUP(L984,[1]note_pop_types!$A$16:$E$16,4,FALSE),0),"")</f>
        <v/>
      </c>
      <c r="AD984" t="str">
        <f>IFERROR(ROUND(O984*VLOOKUP(N984,[1]note_pop_types!$A$16:$E$16,4,FALSE),0),"")</f>
        <v/>
      </c>
      <c r="AE984" t="str">
        <f>IFERROR(ROUND(Q984*VLOOKUP(P984,商品!$A$4:$B$60,2,FALSE),0),"")</f>
        <v/>
      </c>
      <c r="AF984" t="str">
        <f>IFERROR(ROUND(S984*VLOOKUP(R984,商品!$A$4:$B$60,2,FALSE),0),"")</f>
        <v/>
      </c>
    </row>
    <row r="985" spans="1:32" ht="19.05" customHeight="1" x14ac:dyDescent="0.25">
      <c r="A985" s="16" t="s">
        <v>547</v>
      </c>
      <c r="C985" s="16">
        <v>3</v>
      </c>
      <c r="T985" s="2">
        <f t="shared" si="60"/>
        <v>0</v>
      </c>
      <c r="U985" s="2">
        <f t="shared" si="61"/>
        <v>0</v>
      </c>
      <c r="V985" s="2">
        <f t="shared" si="62"/>
        <v>0</v>
      </c>
      <c r="W985" s="2">
        <f t="shared" si="63"/>
        <v>0</v>
      </c>
      <c r="Y985" t="str">
        <f>IFERROR(ROUND(E985*VLOOKUP(D985,商品!$A$4:$B$60,2,FALSE),0),"")</f>
        <v/>
      </c>
      <c r="Z985" t="str">
        <f>IFERROR(ROUND(G985*VLOOKUP(F985,商品!$A$4:$B$60,2,FALSE),0),"")</f>
        <v/>
      </c>
      <c r="AA985" t="str">
        <f>IFERROR(ROUND(I985*VLOOKUP(H985,商品!$A$4:$B$60,2,FALSE),0),"")</f>
        <v/>
      </c>
      <c r="AB985" t="str">
        <f>IFERROR(ROUND(K985*VLOOKUP(J985,[1]note_pop_types!$A$16:$E$16,4,FALSE),0),"")</f>
        <v/>
      </c>
      <c r="AC985" t="str">
        <f>IFERROR(ROUND(M985*VLOOKUP(L985,[1]note_pop_types!$A$16:$E$16,4,FALSE),0),"")</f>
        <v/>
      </c>
      <c r="AD985" t="str">
        <f>IFERROR(ROUND(O985*VLOOKUP(N985,[1]note_pop_types!$A$16:$E$16,4,FALSE),0),"")</f>
        <v/>
      </c>
      <c r="AE985" t="str">
        <f>IFERROR(ROUND(Q985*VLOOKUP(P985,商品!$A$4:$B$60,2,FALSE),0),"")</f>
        <v/>
      </c>
      <c r="AF985" t="str">
        <f>IFERROR(ROUND(S985*VLOOKUP(R985,商品!$A$4:$B$60,2,FALSE),0),"")</f>
        <v/>
      </c>
    </row>
    <row r="986" spans="1:32" ht="19.05" customHeight="1" x14ac:dyDescent="0.25">
      <c r="A986" s="16" t="s">
        <v>547</v>
      </c>
      <c r="C986" s="16">
        <v>4</v>
      </c>
      <c r="T986" s="2">
        <f t="shared" si="60"/>
        <v>0</v>
      </c>
      <c r="U986" s="2">
        <f t="shared" si="61"/>
        <v>0</v>
      </c>
      <c r="V986" s="2">
        <f t="shared" si="62"/>
        <v>0</v>
      </c>
      <c r="W986" s="2">
        <f t="shared" si="63"/>
        <v>0</v>
      </c>
      <c r="Y986" t="str">
        <f>IFERROR(ROUND(E986*VLOOKUP(D986,商品!$A$4:$B$60,2,FALSE),0),"")</f>
        <v/>
      </c>
      <c r="Z986" t="str">
        <f>IFERROR(ROUND(G986*VLOOKUP(F986,商品!$A$4:$B$60,2,FALSE),0),"")</f>
        <v/>
      </c>
      <c r="AA986" t="str">
        <f>IFERROR(ROUND(I986*VLOOKUP(H986,商品!$A$4:$B$60,2,FALSE),0),"")</f>
        <v/>
      </c>
      <c r="AB986" t="str">
        <f>IFERROR(ROUND(K986*VLOOKUP(J986,[1]note_pop_types!$A$16:$E$16,4,FALSE),0),"")</f>
        <v/>
      </c>
      <c r="AC986" t="str">
        <f>IFERROR(ROUND(M986*VLOOKUP(L986,[1]note_pop_types!$A$16:$E$16,4,FALSE),0),"")</f>
        <v/>
      </c>
      <c r="AD986" t="str">
        <f>IFERROR(ROUND(O986*VLOOKUP(N986,[1]note_pop_types!$A$16:$E$16,4,FALSE),0),"")</f>
        <v/>
      </c>
      <c r="AE986" t="str">
        <f>IFERROR(ROUND(Q986*VLOOKUP(P986,商品!$A$4:$B$60,2,FALSE),0),"")</f>
        <v/>
      </c>
      <c r="AF986" t="str">
        <f>IFERROR(ROUND(S986*VLOOKUP(R986,商品!$A$4:$B$60,2,FALSE),0),"")</f>
        <v/>
      </c>
    </row>
    <row r="987" spans="1:32" ht="19.05" customHeight="1" x14ac:dyDescent="0.25">
      <c r="A987" s="16" t="s">
        <v>547</v>
      </c>
      <c r="C987" s="16">
        <v>5</v>
      </c>
      <c r="T987" s="2">
        <f t="shared" si="60"/>
        <v>0</v>
      </c>
      <c r="U987" s="2">
        <f t="shared" si="61"/>
        <v>0</v>
      </c>
      <c r="V987" s="2">
        <f t="shared" si="62"/>
        <v>0</v>
      </c>
      <c r="W987" s="2">
        <f t="shared" si="63"/>
        <v>0</v>
      </c>
      <c r="Y987" t="str">
        <f>IFERROR(ROUND(E987*VLOOKUP(D987,商品!$A$4:$B$60,2,FALSE),0),"")</f>
        <v/>
      </c>
      <c r="Z987" t="str">
        <f>IFERROR(ROUND(G987*VLOOKUP(F987,商品!$A$4:$B$60,2,FALSE),0),"")</f>
        <v/>
      </c>
      <c r="AA987" t="str">
        <f>IFERROR(ROUND(I987*VLOOKUP(H987,商品!$A$4:$B$60,2,FALSE),0),"")</f>
        <v/>
      </c>
      <c r="AB987" t="str">
        <f>IFERROR(ROUND(K987*VLOOKUP(J987,[1]note_pop_types!$A$16:$E$16,4,FALSE),0),"")</f>
        <v/>
      </c>
      <c r="AC987" t="str">
        <f>IFERROR(ROUND(M987*VLOOKUP(L987,[1]note_pop_types!$A$16:$E$16,4,FALSE),0),"")</f>
        <v/>
      </c>
      <c r="AD987" t="str">
        <f>IFERROR(ROUND(O987*VLOOKUP(N987,[1]note_pop_types!$A$16:$E$16,4,FALSE),0),"")</f>
        <v/>
      </c>
      <c r="AE987" t="str">
        <f>IFERROR(ROUND(Q987*VLOOKUP(P987,商品!$A$4:$B$60,2,FALSE),0),"")</f>
        <v/>
      </c>
      <c r="AF987" t="str">
        <f>IFERROR(ROUND(S987*VLOOKUP(R987,商品!$A$4:$B$60,2,FALSE),0),"")</f>
        <v/>
      </c>
    </row>
    <row r="988" spans="1:32" ht="19.05" customHeight="1" x14ac:dyDescent="0.25">
      <c r="A988" s="15" t="s">
        <v>547</v>
      </c>
      <c r="C988" s="15">
        <v>1</v>
      </c>
      <c r="T988" s="2">
        <f t="shared" si="60"/>
        <v>0</v>
      </c>
      <c r="U988" s="2">
        <f t="shared" si="61"/>
        <v>0</v>
      </c>
      <c r="V988" s="2">
        <f t="shared" si="62"/>
        <v>0</v>
      </c>
      <c r="W988" s="2">
        <f t="shared" si="63"/>
        <v>0</v>
      </c>
      <c r="Y988" t="str">
        <f>IFERROR(ROUND(E988*VLOOKUP(D988,商品!$A$4:$B$60,2,FALSE),0),"")</f>
        <v/>
      </c>
      <c r="Z988" t="str">
        <f>IFERROR(ROUND(G988*VLOOKUP(F988,商品!$A$4:$B$60,2,FALSE),0),"")</f>
        <v/>
      </c>
      <c r="AA988" t="str">
        <f>IFERROR(ROUND(I988*VLOOKUP(H988,商品!$A$4:$B$60,2,FALSE),0),"")</f>
        <v/>
      </c>
      <c r="AB988" t="str">
        <f>IFERROR(ROUND(K988*VLOOKUP(J988,[1]note_pop_types!$A$16:$E$16,4,FALSE),0),"")</f>
        <v/>
      </c>
      <c r="AC988" t="str">
        <f>IFERROR(ROUND(M988*VLOOKUP(L988,[1]note_pop_types!$A$16:$E$16,4,FALSE),0),"")</f>
        <v/>
      </c>
      <c r="AD988" t="str">
        <f>IFERROR(ROUND(O988*VLOOKUP(N988,[1]note_pop_types!$A$16:$E$16,4,FALSE),0),"")</f>
        <v/>
      </c>
      <c r="AE988" t="str">
        <f>IFERROR(ROUND(Q988*VLOOKUP(P988,商品!$A$4:$B$60,2,FALSE),0),"")</f>
        <v/>
      </c>
      <c r="AF988" t="str">
        <f>IFERROR(ROUND(S988*VLOOKUP(R988,商品!$A$4:$B$60,2,FALSE),0),"")</f>
        <v/>
      </c>
    </row>
    <row r="989" spans="1:32" ht="19.05" customHeight="1" x14ac:dyDescent="0.25">
      <c r="A989" s="15" t="s">
        <v>547</v>
      </c>
      <c r="C989" s="15">
        <v>2</v>
      </c>
      <c r="T989" s="2">
        <f t="shared" si="60"/>
        <v>0</v>
      </c>
      <c r="U989" s="2">
        <f t="shared" si="61"/>
        <v>0</v>
      </c>
      <c r="V989" s="2">
        <f t="shared" si="62"/>
        <v>0</v>
      </c>
      <c r="W989" s="2">
        <f t="shared" si="63"/>
        <v>0</v>
      </c>
      <c r="Y989" t="str">
        <f>IFERROR(ROUND(E989*VLOOKUP(D989,商品!$A$4:$B$60,2,FALSE),0),"")</f>
        <v/>
      </c>
      <c r="Z989" t="str">
        <f>IFERROR(ROUND(G989*VLOOKUP(F989,商品!$A$4:$B$60,2,FALSE),0),"")</f>
        <v/>
      </c>
      <c r="AA989" t="str">
        <f>IFERROR(ROUND(I989*VLOOKUP(H989,商品!$A$4:$B$60,2,FALSE),0),"")</f>
        <v/>
      </c>
      <c r="AB989" t="str">
        <f>IFERROR(ROUND(K989*VLOOKUP(J989,[1]note_pop_types!$A$16:$E$16,4,FALSE),0),"")</f>
        <v/>
      </c>
      <c r="AC989" t="str">
        <f>IFERROR(ROUND(M989*VLOOKUP(L989,[1]note_pop_types!$A$16:$E$16,4,FALSE),0),"")</f>
        <v/>
      </c>
      <c r="AD989" t="str">
        <f>IFERROR(ROUND(O989*VLOOKUP(N989,[1]note_pop_types!$A$16:$E$16,4,FALSE),0),"")</f>
        <v/>
      </c>
      <c r="AE989" t="str">
        <f>IFERROR(ROUND(Q989*VLOOKUP(P989,商品!$A$4:$B$60,2,FALSE),0),"")</f>
        <v/>
      </c>
      <c r="AF989" t="str">
        <f>IFERROR(ROUND(S989*VLOOKUP(R989,商品!$A$4:$B$60,2,FALSE),0),"")</f>
        <v/>
      </c>
    </row>
    <row r="990" spans="1:32" ht="19.05" customHeight="1" x14ac:dyDescent="0.25">
      <c r="A990" s="15" t="s">
        <v>547</v>
      </c>
      <c r="C990" s="15">
        <v>3</v>
      </c>
      <c r="T990" s="2">
        <f t="shared" si="60"/>
        <v>0</v>
      </c>
      <c r="U990" s="2">
        <f t="shared" si="61"/>
        <v>0</v>
      </c>
      <c r="V990" s="2">
        <f t="shared" si="62"/>
        <v>0</v>
      </c>
      <c r="W990" s="2">
        <f t="shared" si="63"/>
        <v>0</v>
      </c>
      <c r="Y990" t="str">
        <f>IFERROR(ROUND(E990*VLOOKUP(D990,商品!$A$4:$B$60,2,FALSE),0),"")</f>
        <v/>
      </c>
      <c r="Z990" t="str">
        <f>IFERROR(ROUND(G990*VLOOKUP(F990,商品!$A$4:$B$60,2,FALSE),0),"")</f>
        <v/>
      </c>
      <c r="AA990" t="str">
        <f>IFERROR(ROUND(I990*VLOOKUP(H990,商品!$A$4:$B$60,2,FALSE),0),"")</f>
        <v/>
      </c>
      <c r="AB990" t="str">
        <f>IFERROR(ROUND(K990*VLOOKUP(J990,[1]note_pop_types!$A$16:$E$16,4,FALSE),0),"")</f>
        <v/>
      </c>
      <c r="AC990" t="str">
        <f>IFERROR(ROUND(M990*VLOOKUP(L990,[1]note_pop_types!$A$16:$E$16,4,FALSE),0),"")</f>
        <v/>
      </c>
      <c r="AD990" t="str">
        <f>IFERROR(ROUND(O990*VLOOKUP(N990,[1]note_pop_types!$A$16:$E$16,4,FALSE),0),"")</f>
        <v/>
      </c>
      <c r="AE990" t="str">
        <f>IFERROR(ROUND(Q990*VLOOKUP(P990,商品!$A$4:$B$60,2,FALSE),0),"")</f>
        <v/>
      </c>
      <c r="AF990" t="str">
        <f>IFERROR(ROUND(S990*VLOOKUP(R990,商品!$A$4:$B$60,2,FALSE),0),"")</f>
        <v/>
      </c>
    </row>
    <row r="991" spans="1:32" ht="19.05" customHeight="1" x14ac:dyDescent="0.25">
      <c r="A991" s="15" t="s">
        <v>547</v>
      </c>
      <c r="C991" s="15">
        <v>4</v>
      </c>
      <c r="T991" s="2">
        <f t="shared" si="60"/>
        <v>0</v>
      </c>
      <c r="U991" s="2">
        <f t="shared" si="61"/>
        <v>0</v>
      </c>
      <c r="V991" s="2">
        <f t="shared" si="62"/>
        <v>0</v>
      </c>
      <c r="W991" s="2">
        <f t="shared" si="63"/>
        <v>0</v>
      </c>
      <c r="Y991" t="str">
        <f>IFERROR(ROUND(E991*VLOOKUP(D991,商品!$A$4:$B$60,2,FALSE),0),"")</f>
        <v/>
      </c>
      <c r="Z991" t="str">
        <f>IFERROR(ROUND(G991*VLOOKUP(F991,商品!$A$4:$B$60,2,FALSE),0),"")</f>
        <v/>
      </c>
      <c r="AA991" t="str">
        <f>IFERROR(ROUND(I991*VLOOKUP(H991,商品!$A$4:$B$60,2,FALSE),0),"")</f>
        <v/>
      </c>
      <c r="AB991" t="str">
        <f>IFERROR(ROUND(K991*VLOOKUP(J991,[1]note_pop_types!$A$16:$E$16,4,FALSE),0),"")</f>
        <v/>
      </c>
      <c r="AC991" t="str">
        <f>IFERROR(ROUND(M991*VLOOKUP(L991,[1]note_pop_types!$A$16:$E$16,4,FALSE),0),"")</f>
        <v/>
      </c>
      <c r="AD991" t="str">
        <f>IFERROR(ROUND(O991*VLOOKUP(N991,[1]note_pop_types!$A$16:$E$16,4,FALSE),0),"")</f>
        <v/>
      </c>
      <c r="AE991" t="str">
        <f>IFERROR(ROUND(Q991*VLOOKUP(P991,商品!$A$4:$B$60,2,FALSE),0),"")</f>
        <v/>
      </c>
      <c r="AF991" t="str">
        <f>IFERROR(ROUND(S991*VLOOKUP(R991,商品!$A$4:$B$60,2,FALSE),0),"")</f>
        <v/>
      </c>
    </row>
    <row r="992" spans="1:32" ht="19.05" customHeight="1" x14ac:dyDescent="0.25">
      <c r="A992" s="15" t="s">
        <v>547</v>
      </c>
      <c r="C992" s="15">
        <v>5</v>
      </c>
      <c r="T992" s="2">
        <f t="shared" si="60"/>
        <v>0</v>
      </c>
      <c r="U992" s="2">
        <f t="shared" si="61"/>
        <v>0</v>
      </c>
      <c r="V992" s="2">
        <f t="shared" si="62"/>
        <v>0</v>
      </c>
      <c r="W992" s="2">
        <f t="shared" si="63"/>
        <v>0</v>
      </c>
      <c r="Y992" t="str">
        <f>IFERROR(ROUND(E992*VLOOKUP(D992,商品!$A$4:$B$60,2,FALSE),0),"")</f>
        <v/>
      </c>
      <c r="Z992" t="str">
        <f>IFERROR(ROUND(G992*VLOOKUP(F992,商品!$A$4:$B$60,2,FALSE),0),"")</f>
        <v/>
      </c>
      <c r="AA992" t="str">
        <f>IFERROR(ROUND(I992*VLOOKUP(H992,商品!$A$4:$B$60,2,FALSE),0),"")</f>
        <v/>
      </c>
      <c r="AB992" t="str">
        <f>IFERROR(ROUND(K992*VLOOKUP(J992,[1]note_pop_types!$A$16:$E$16,4,FALSE),0),"")</f>
        <v/>
      </c>
      <c r="AC992" t="str">
        <f>IFERROR(ROUND(M992*VLOOKUP(L992,[1]note_pop_types!$A$16:$E$16,4,FALSE),0),"")</f>
        <v/>
      </c>
      <c r="AD992" t="str">
        <f>IFERROR(ROUND(O992*VLOOKUP(N992,[1]note_pop_types!$A$16:$E$16,4,FALSE),0),"")</f>
        <v/>
      </c>
      <c r="AE992" t="str">
        <f>IFERROR(ROUND(Q992*VLOOKUP(P992,商品!$A$4:$B$60,2,FALSE),0),"")</f>
        <v/>
      </c>
      <c r="AF992" t="str">
        <f>IFERROR(ROUND(S992*VLOOKUP(R992,商品!$A$4:$B$60,2,FALSE),0),"")</f>
        <v/>
      </c>
    </row>
    <row r="993" spans="1:32" ht="19.05" customHeight="1" x14ac:dyDescent="0.25">
      <c r="A993" s="16" t="s">
        <v>391</v>
      </c>
      <c r="C993" s="16">
        <v>1</v>
      </c>
      <c r="T993" s="2">
        <f t="shared" si="60"/>
        <v>0</v>
      </c>
      <c r="U993" s="2">
        <f t="shared" si="61"/>
        <v>0</v>
      </c>
      <c r="V993" s="2">
        <f t="shared" si="62"/>
        <v>0</v>
      </c>
      <c r="W993" s="2">
        <f t="shared" si="63"/>
        <v>0</v>
      </c>
      <c r="Y993" t="str">
        <f>IFERROR(ROUND(E993*VLOOKUP(D993,商品!$A$4:$B$60,2,FALSE),0),"")</f>
        <v/>
      </c>
      <c r="Z993" t="str">
        <f>IFERROR(ROUND(G993*VLOOKUP(F993,商品!$A$4:$B$60,2,FALSE),0),"")</f>
        <v/>
      </c>
      <c r="AA993" t="str">
        <f>IFERROR(ROUND(I993*VLOOKUP(H993,商品!$A$4:$B$60,2,FALSE),0),"")</f>
        <v/>
      </c>
      <c r="AB993" t="str">
        <f>IFERROR(ROUND(K993*VLOOKUP(J993,[1]note_pop_types!$A$16:$E$16,4,FALSE),0),"")</f>
        <v/>
      </c>
      <c r="AC993" t="str">
        <f>IFERROR(ROUND(M993*VLOOKUP(L993,[1]note_pop_types!$A$16:$E$16,4,FALSE),0),"")</f>
        <v/>
      </c>
      <c r="AD993" t="str">
        <f>IFERROR(ROUND(O993*VLOOKUP(N993,[1]note_pop_types!$A$16:$E$16,4,FALSE),0),"")</f>
        <v/>
      </c>
      <c r="AE993" t="str">
        <f>IFERROR(ROUND(Q993*VLOOKUP(P993,商品!$A$4:$B$60,2,FALSE),0),"")</f>
        <v/>
      </c>
      <c r="AF993" t="str">
        <f>IFERROR(ROUND(S993*VLOOKUP(R993,商品!$A$4:$B$60,2,FALSE),0),"")</f>
        <v/>
      </c>
    </row>
    <row r="994" spans="1:32" ht="19.05" customHeight="1" x14ac:dyDescent="0.25">
      <c r="A994" s="16" t="s">
        <v>391</v>
      </c>
      <c r="C994" s="16">
        <v>2</v>
      </c>
      <c r="T994" s="2">
        <f t="shared" si="60"/>
        <v>0</v>
      </c>
      <c r="U994" s="2">
        <f t="shared" si="61"/>
        <v>0</v>
      </c>
      <c r="V994" s="2">
        <f t="shared" si="62"/>
        <v>0</v>
      </c>
      <c r="W994" s="2">
        <f t="shared" si="63"/>
        <v>0</v>
      </c>
      <c r="Y994" t="str">
        <f>IFERROR(ROUND(E994*VLOOKUP(D994,商品!$A$4:$B$60,2,FALSE),0),"")</f>
        <v/>
      </c>
      <c r="Z994" t="str">
        <f>IFERROR(ROUND(G994*VLOOKUP(F994,商品!$A$4:$B$60,2,FALSE),0),"")</f>
        <v/>
      </c>
      <c r="AA994" t="str">
        <f>IFERROR(ROUND(I994*VLOOKUP(H994,商品!$A$4:$B$60,2,FALSE),0),"")</f>
        <v/>
      </c>
      <c r="AB994" t="str">
        <f>IFERROR(ROUND(K994*VLOOKUP(J994,[1]note_pop_types!$A$16:$E$16,4,FALSE),0),"")</f>
        <v/>
      </c>
      <c r="AC994" t="str">
        <f>IFERROR(ROUND(M994*VLOOKUP(L994,[1]note_pop_types!$A$16:$E$16,4,FALSE),0),"")</f>
        <v/>
      </c>
      <c r="AD994" t="str">
        <f>IFERROR(ROUND(O994*VLOOKUP(N994,[1]note_pop_types!$A$16:$E$16,4,FALSE),0),"")</f>
        <v/>
      </c>
      <c r="AE994" t="str">
        <f>IFERROR(ROUND(Q994*VLOOKUP(P994,商品!$A$4:$B$60,2,FALSE),0),"")</f>
        <v/>
      </c>
      <c r="AF994" t="str">
        <f>IFERROR(ROUND(S994*VLOOKUP(R994,商品!$A$4:$B$60,2,FALSE),0),"")</f>
        <v/>
      </c>
    </row>
    <row r="995" spans="1:32" ht="19.05" customHeight="1" x14ac:dyDescent="0.25">
      <c r="A995" s="16" t="s">
        <v>391</v>
      </c>
      <c r="C995" s="16">
        <v>3</v>
      </c>
      <c r="T995" s="2">
        <f t="shared" si="60"/>
        <v>0</v>
      </c>
      <c r="U995" s="2">
        <f t="shared" si="61"/>
        <v>0</v>
      </c>
      <c r="V995" s="2">
        <f t="shared" si="62"/>
        <v>0</v>
      </c>
      <c r="W995" s="2">
        <f t="shared" si="63"/>
        <v>0</v>
      </c>
      <c r="Y995" t="str">
        <f>IFERROR(ROUND(E995*VLOOKUP(D995,商品!$A$4:$B$60,2,FALSE),0),"")</f>
        <v/>
      </c>
      <c r="Z995" t="str">
        <f>IFERROR(ROUND(G995*VLOOKUP(F995,商品!$A$4:$B$60,2,FALSE),0),"")</f>
        <v/>
      </c>
      <c r="AA995" t="str">
        <f>IFERROR(ROUND(I995*VLOOKUP(H995,商品!$A$4:$B$60,2,FALSE),0),"")</f>
        <v/>
      </c>
      <c r="AB995" t="str">
        <f>IFERROR(ROUND(K995*VLOOKUP(J995,[1]note_pop_types!$A$16:$E$16,4,FALSE),0),"")</f>
        <v/>
      </c>
      <c r="AC995" t="str">
        <f>IFERROR(ROUND(M995*VLOOKUP(L995,[1]note_pop_types!$A$16:$E$16,4,FALSE),0),"")</f>
        <v/>
      </c>
      <c r="AD995" t="str">
        <f>IFERROR(ROUND(O995*VLOOKUP(N995,[1]note_pop_types!$A$16:$E$16,4,FALSE),0),"")</f>
        <v/>
      </c>
      <c r="AE995" t="str">
        <f>IFERROR(ROUND(Q995*VLOOKUP(P995,商品!$A$4:$B$60,2,FALSE),0),"")</f>
        <v/>
      </c>
      <c r="AF995" t="str">
        <f>IFERROR(ROUND(S995*VLOOKUP(R995,商品!$A$4:$B$60,2,FALSE),0),"")</f>
        <v/>
      </c>
    </row>
    <row r="996" spans="1:32" ht="19.05" customHeight="1" x14ac:dyDescent="0.25">
      <c r="A996" s="16" t="s">
        <v>391</v>
      </c>
      <c r="C996" s="16">
        <v>4</v>
      </c>
      <c r="T996" s="2">
        <f t="shared" si="60"/>
        <v>0</v>
      </c>
      <c r="U996" s="2">
        <f t="shared" si="61"/>
        <v>0</v>
      </c>
      <c r="V996" s="2">
        <f t="shared" si="62"/>
        <v>0</v>
      </c>
      <c r="W996" s="2">
        <f t="shared" si="63"/>
        <v>0</v>
      </c>
      <c r="Y996" t="str">
        <f>IFERROR(ROUND(E996*VLOOKUP(D996,商品!$A$4:$B$60,2,FALSE),0),"")</f>
        <v/>
      </c>
      <c r="Z996" t="str">
        <f>IFERROR(ROUND(G996*VLOOKUP(F996,商品!$A$4:$B$60,2,FALSE),0),"")</f>
        <v/>
      </c>
      <c r="AA996" t="str">
        <f>IFERROR(ROUND(I996*VLOOKUP(H996,商品!$A$4:$B$60,2,FALSE),0),"")</f>
        <v/>
      </c>
      <c r="AB996" t="str">
        <f>IFERROR(ROUND(K996*VLOOKUP(J996,[1]note_pop_types!$A$16:$E$16,4,FALSE),0),"")</f>
        <v/>
      </c>
      <c r="AC996" t="str">
        <f>IFERROR(ROUND(M996*VLOOKUP(L996,[1]note_pop_types!$A$16:$E$16,4,FALSE),0),"")</f>
        <v/>
      </c>
      <c r="AD996" t="str">
        <f>IFERROR(ROUND(O996*VLOOKUP(N996,[1]note_pop_types!$A$16:$E$16,4,FALSE),0),"")</f>
        <v/>
      </c>
      <c r="AE996" t="str">
        <f>IFERROR(ROUND(Q996*VLOOKUP(P996,商品!$A$4:$B$60,2,FALSE),0),"")</f>
        <v/>
      </c>
      <c r="AF996" t="str">
        <f>IFERROR(ROUND(S996*VLOOKUP(R996,商品!$A$4:$B$60,2,FALSE),0),"")</f>
        <v/>
      </c>
    </row>
    <row r="997" spans="1:32" ht="19.05" customHeight="1" x14ac:dyDescent="0.25">
      <c r="A997" s="16" t="s">
        <v>391</v>
      </c>
      <c r="C997" s="16">
        <v>5</v>
      </c>
      <c r="T997" s="2">
        <f t="shared" si="60"/>
        <v>0</v>
      </c>
      <c r="U997" s="2">
        <f t="shared" si="61"/>
        <v>0</v>
      </c>
      <c r="V997" s="2">
        <f t="shared" si="62"/>
        <v>0</v>
      </c>
      <c r="W997" s="2">
        <f t="shared" si="63"/>
        <v>0</v>
      </c>
      <c r="Y997" t="str">
        <f>IFERROR(ROUND(E997*VLOOKUP(D997,商品!$A$4:$B$60,2,FALSE),0),"")</f>
        <v/>
      </c>
      <c r="Z997" t="str">
        <f>IFERROR(ROUND(G997*VLOOKUP(F997,商品!$A$4:$B$60,2,FALSE),0),"")</f>
        <v/>
      </c>
      <c r="AA997" t="str">
        <f>IFERROR(ROUND(I997*VLOOKUP(H997,商品!$A$4:$B$60,2,FALSE),0),"")</f>
        <v/>
      </c>
      <c r="AB997" t="str">
        <f>IFERROR(ROUND(K997*VLOOKUP(J997,[1]note_pop_types!$A$16:$E$16,4,FALSE),0),"")</f>
        <v/>
      </c>
      <c r="AC997" t="str">
        <f>IFERROR(ROUND(M997*VLOOKUP(L997,[1]note_pop_types!$A$16:$E$16,4,FALSE),0),"")</f>
        <v/>
      </c>
      <c r="AD997" t="str">
        <f>IFERROR(ROUND(O997*VLOOKUP(N997,[1]note_pop_types!$A$16:$E$16,4,FALSE),0),"")</f>
        <v/>
      </c>
      <c r="AE997" t="str">
        <f>IFERROR(ROUND(Q997*VLOOKUP(P997,商品!$A$4:$B$60,2,FALSE),0),"")</f>
        <v/>
      </c>
      <c r="AF997" t="str">
        <f>IFERROR(ROUND(S997*VLOOKUP(R997,商品!$A$4:$B$60,2,FALSE),0),"")</f>
        <v/>
      </c>
    </row>
    <row r="998" spans="1:32" ht="19.05" customHeight="1" x14ac:dyDescent="0.25">
      <c r="A998" s="16" t="s">
        <v>391</v>
      </c>
      <c r="C998" s="16">
        <v>6</v>
      </c>
      <c r="T998" s="2">
        <f t="shared" si="60"/>
        <v>0</v>
      </c>
      <c r="U998" s="2">
        <f t="shared" si="61"/>
        <v>0</v>
      </c>
      <c r="V998" s="2">
        <f t="shared" si="62"/>
        <v>0</v>
      </c>
      <c r="W998" s="2">
        <f t="shared" si="63"/>
        <v>0</v>
      </c>
      <c r="Y998" t="str">
        <f>IFERROR(ROUND(E998*VLOOKUP(D998,商品!$A$4:$B$60,2,FALSE),0),"")</f>
        <v/>
      </c>
      <c r="Z998" t="str">
        <f>IFERROR(ROUND(G998*VLOOKUP(F998,商品!$A$4:$B$60,2,FALSE),0),"")</f>
        <v/>
      </c>
      <c r="AA998" t="str">
        <f>IFERROR(ROUND(I998*VLOOKUP(H998,商品!$A$4:$B$60,2,FALSE),0),"")</f>
        <v/>
      </c>
      <c r="AB998" t="str">
        <f>IFERROR(ROUND(K998*VLOOKUP(J998,[1]note_pop_types!$A$16:$E$16,4,FALSE),0),"")</f>
        <v/>
      </c>
      <c r="AC998" t="str">
        <f>IFERROR(ROUND(M998*VLOOKUP(L998,[1]note_pop_types!$A$16:$E$16,4,FALSE),0),"")</f>
        <v/>
      </c>
      <c r="AD998" t="str">
        <f>IFERROR(ROUND(O998*VLOOKUP(N998,[1]note_pop_types!$A$16:$E$16,4,FALSE),0),"")</f>
        <v/>
      </c>
      <c r="AE998" t="str">
        <f>IFERROR(ROUND(Q998*VLOOKUP(P998,商品!$A$4:$B$60,2,FALSE),0),"")</f>
        <v/>
      </c>
      <c r="AF998" t="str">
        <f>IFERROR(ROUND(S998*VLOOKUP(R998,商品!$A$4:$B$60,2,FALSE),0),"")</f>
        <v/>
      </c>
    </row>
    <row r="999" spans="1:32" ht="19.05" customHeight="1" x14ac:dyDescent="0.25">
      <c r="A999" s="16" t="s">
        <v>391</v>
      </c>
      <c r="C999" s="16">
        <v>7</v>
      </c>
      <c r="T999" s="2">
        <f t="shared" si="60"/>
        <v>0</v>
      </c>
      <c r="U999" s="2">
        <f t="shared" si="61"/>
        <v>0</v>
      </c>
      <c r="V999" s="2">
        <f t="shared" si="62"/>
        <v>0</v>
      </c>
      <c r="W999" s="2">
        <f t="shared" si="63"/>
        <v>0</v>
      </c>
      <c r="Y999" t="str">
        <f>IFERROR(ROUND(E999*VLOOKUP(D999,商品!$A$4:$B$60,2,FALSE),0),"")</f>
        <v/>
      </c>
      <c r="Z999" t="str">
        <f>IFERROR(ROUND(G999*VLOOKUP(F999,商品!$A$4:$B$60,2,FALSE),0),"")</f>
        <v/>
      </c>
      <c r="AA999" t="str">
        <f>IFERROR(ROUND(I999*VLOOKUP(H999,商品!$A$4:$B$60,2,FALSE),0),"")</f>
        <v/>
      </c>
      <c r="AB999" t="str">
        <f>IFERROR(ROUND(K999*VLOOKUP(J999,[1]note_pop_types!$A$16:$E$16,4,FALSE),0),"")</f>
        <v/>
      </c>
      <c r="AC999" t="str">
        <f>IFERROR(ROUND(M999*VLOOKUP(L999,[1]note_pop_types!$A$16:$E$16,4,FALSE),0),"")</f>
        <v/>
      </c>
      <c r="AD999" t="str">
        <f>IFERROR(ROUND(O999*VLOOKUP(N999,[1]note_pop_types!$A$16:$E$16,4,FALSE),0),"")</f>
        <v/>
      </c>
      <c r="AE999" t="str">
        <f>IFERROR(ROUND(Q999*VLOOKUP(P999,商品!$A$4:$B$60,2,FALSE),0),"")</f>
        <v/>
      </c>
      <c r="AF999" t="str">
        <f>IFERROR(ROUND(S999*VLOOKUP(R999,商品!$A$4:$B$60,2,FALSE),0),"")</f>
        <v/>
      </c>
    </row>
    <row r="1000" spans="1:32" ht="19.05" customHeight="1" x14ac:dyDescent="0.25">
      <c r="A1000" s="16" t="s">
        <v>391</v>
      </c>
      <c r="C1000" s="16">
        <v>8</v>
      </c>
      <c r="T1000" s="2">
        <f t="shared" si="60"/>
        <v>0</v>
      </c>
      <c r="U1000" s="2">
        <f t="shared" si="61"/>
        <v>0</v>
      </c>
      <c r="V1000" s="2">
        <f t="shared" si="62"/>
        <v>0</v>
      </c>
      <c r="W1000" s="2">
        <f t="shared" si="63"/>
        <v>0</v>
      </c>
      <c r="Y1000" t="str">
        <f>IFERROR(ROUND(E1000*VLOOKUP(D1000,商品!$A$4:$B$60,2,FALSE),0),"")</f>
        <v/>
      </c>
      <c r="Z1000" t="str">
        <f>IFERROR(ROUND(G1000*VLOOKUP(F1000,商品!$A$4:$B$60,2,FALSE),0),"")</f>
        <v/>
      </c>
      <c r="AA1000" t="str">
        <f>IFERROR(ROUND(I1000*VLOOKUP(H1000,商品!$A$4:$B$60,2,FALSE),0),"")</f>
        <v/>
      </c>
      <c r="AB1000" t="str">
        <f>IFERROR(ROUND(K1000*VLOOKUP(J1000,[1]note_pop_types!$A$16:$E$16,4,FALSE),0),"")</f>
        <v/>
      </c>
      <c r="AC1000" t="str">
        <f>IFERROR(ROUND(M1000*VLOOKUP(L1000,[1]note_pop_types!$A$16:$E$16,4,FALSE),0),"")</f>
        <v/>
      </c>
      <c r="AD1000" t="str">
        <f>IFERROR(ROUND(O1000*VLOOKUP(N1000,[1]note_pop_types!$A$16:$E$16,4,FALSE),0),"")</f>
        <v/>
      </c>
      <c r="AE1000" t="str">
        <f>IFERROR(ROUND(Q1000*VLOOKUP(P1000,商品!$A$4:$B$60,2,FALSE),0),"")</f>
        <v/>
      </c>
      <c r="AF1000" t="str">
        <f>IFERROR(ROUND(S1000*VLOOKUP(R1000,商品!$A$4:$B$60,2,FALSE),0),"")</f>
        <v/>
      </c>
    </row>
    <row r="1001" spans="1:32" ht="19.05" customHeight="1" x14ac:dyDescent="0.25">
      <c r="A1001" s="15" t="s">
        <v>393</v>
      </c>
      <c r="C1001" s="15">
        <v>1</v>
      </c>
      <c r="T1001" s="2">
        <f t="shared" si="60"/>
        <v>0</v>
      </c>
      <c r="U1001" s="2">
        <f t="shared" si="61"/>
        <v>0</v>
      </c>
      <c r="V1001" s="2">
        <f t="shared" si="62"/>
        <v>0</v>
      </c>
      <c r="W1001" s="2">
        <f t="shared" si="63"/>
        <v>0</v>
      </c>
      <c r="Y1001" t="str">
        <f>IFERROR(ROUND(E1001*VLOOKUP(D1001,商品!$A$4:$B$60,2,FALSE),0),"")</f>
        <v/>
      </c>
      <c r="Z1001" t="str">
        <f>IFERROR(ROUND(G1001*VLOOKUP(F1001,商品!$A$4:$B$60,2,FALSE),0),"")</f>
        <v/>
      </c>
      <c r="AA1001" t="str">
        <f>IFERROR(ROUND(I1001*VLOOKUP(H1001,商品!$A$4:$B$60,2,FALSE),0),"")</f>
        <v/>
      </c>
      <c r="AB1001" t="str">
        <f>IFERROR(ROUND(K1001*VLOOKUP(J1001,[1]note_pop_types!$A$16:$E$16,4,FALSE),0),"")</f>
        <v/>
      </c>
      <c r="AC1001" t="str">
        <f>IFERROR(ROUND(M1001*VLOOKUP(L1001,[1]note_pop_types!$A$16:$E$16,4,FALSE),0),"")</f>
        <v/>
      </c>
      <c r="AD1001" t="str">
        <f>IFERROR(ROUND(O1001*VLOOKUP(N1001,[1]note_pop_types!$A$16:$E$16,4,FALSE),0),"")</f>
        <v/>
      </c>
      <c r="AE1001" t="str">
        <f>IFERROR(ROUND(Q1001*VLOOKUP(P1001,商品!$A$4:$B$60,2,FALSE),0),"")</f>
        <v/>
      </c>
      <c r="AF1001" t="str">
        <f>IFERROR(ROUND(S1001*VLOOKUP(R1001,商品!$A$4:$B$60,2,FALSE),0),"")</f>
        <v/>
      </c>
    </row>
    <row r="1002" spans="1:32" ht="19.05" customHeight="1" x14ac:dyDescent="0.25">
      <c r="A1002" s="15" t="s">
        <v>393</v>
      </c>
      <c r="C1002" s="15">
        <v>2</v>
      </c>
      <c r="T1002" s="2">
        <f t="shared" si="60"/>
        <v>0</v>
      </c>
      <c r="U1002" s="2">
        <f t="shared" si="61"/>
        <v>0</v>
      </c>
      <c r="V1002" s="2">
        <f t="shared" si="62"/>
        <v>0</v>
      </c>
      <c r="W1002" s="2">
        <f t="shared" si="63"/>
        <v>0</v>
      </c>
      <c r="Y1002" t="str">
        <f>IFERROR(ROUND(E1002*VLOOKUP(D1002,商品!$A$4:$B$60,2,FALSE),0),"")</f>
        <v/>
      </c>
      <c r="Z1002" t="str">
        <f>IFERROR(ROUND(G1002*VLOOKUP(F1002,商品!$A$4:$B$60,2,FALSE),0),"")</f>
        <v/>
      </c>
      <c r="AA1002" t="str">
        <f>IFERROR(ROUND(I1002*VLOOKUP(H1002,商品!$A$4:$B$60,2,FALSE),0),"")</f>
        <v/>
      </c>
      <c r="AB1002" t="str">
        <f>IFERROR(ROUND(K1002*VLOOKUP(J1002,[1]note_pop_types!$A$16:$E$16,4,FALSE),0),"")</f>
        <v/>
      </c>
      <c r="AC1002" t="str">
        <f>IFERROR(ROUND(M1002*VLOOKUP(L1002,[1]note_pop_types!$A$16:$E$16,4,FALSE),0),"")</f>
        <v/>
      </c>
      <c r="AD1002" t="str">
        <f>IFERROR(ROUND(O1002*VLOOKUP(N1002,[1]note_pop_types!$A$16:$E$16,4,FALSE),0),"")</f>
        <v/>
      </c>
      <c r="AE1002" t="str">
        <f>IFERROR(ROUND(Q1002*VLOOKUP(P1002,商品!$A$4:$B$60,2,FALSE),0),"")</f>
        <v/>
      </c>
      <c r="AF1002" t="str">
        <f>IFERROR(ROUND(S1002*VLOOKUP(R1002,商品!$A$4:$B$60,2,FALSE),0),"")</f>
        <v/>
      </c>
    </row>
    <row r="1003" spans="1:32" ht="19.05" customHeight="1" x14ac:dyDescent="0.25">
      <c r="A1003" s="15" t="s">
        <v>393</v>
      </c>
      <c r="C1003" s="15">
        <v>3</v>
      </c>
      <c r="T1003" s="2">
        <f t="shared" si="60"/>
        <v>0</v>
      </c>
      <c r="U1003" s="2">
        <f t="shared" si="61"/>
        <v>0</v>
      </c>
      <c r="V1003" s="2">
        <f t="shared" si="62"/>
        <v>0</v>
      </c>
      <c r="W1003" s="2">
        <f t="shared" si="63"/>
        <v>0</v>
      </c>
      <c r="Y1003" t="str">
        <f>IFERROR(ROUND(E1003*VLOOKUP(D1003,商品!$A$4:$B$60,2,FALSE),0),"")</f>
        <v/>
      </c>
      <c r="Z1003" t="str">
        <f>IFERROR(ROUND(G1003*VLOOKUP(F1003,商品!$A$4:$B$60,2,FALSE),0),"")</f>
        <v/>
      </c>
      <c r="AA1003" t="str">
        <f>IFERROR(ROUND(I1003*VLOOKUP(H1003,商品!$A$4:$B$60,2,FALSE),0),"")</f>
        <v/>
      </c>
      <c r="AB1003" t="str">
        <f>IFERROR(ROUND(K1003*VLOOKUP(J1003,[1]note_pop_types!$A$16:$E$16,4,FALSE),0),"")</f>
        <v/>
      </c>
      <c r="AC1003" t="str">
        <f>IFERROR(ROUND(M1003*VLOOKUP(L1003,[1]note_pop_types!$A$16:$E$16,4,FALSE),0),"")</f>
        <v/>
      </c>
      <c r="AD1003" t="str">
        <f>IFERROR(ROUND(O1003*VLOOKUP(N1003,[1]note_pop_types!$A$16:$E$16,4,FALSE),0),"")</f>
        <v/>
      </c>
      <c r="AE1003" t="str">
        <f>IFERROR(ROUND(Q1003*VLOOKUP(P1003,商品!$A$4:$B$60,2,FALSE),0),"")</f>
        <v/>
      </c>
      <c r="AF1003" t="str">
        <f>IFERROR(ROUND(S1003*VLOOKUP(R1003,商品!$A$4:$B$60,2,FALSE),0),"")</f>
        <v/>
      </c>
    </row>
    <row r="1004" spans="1:32" ht="19.05" customHeight="1" x14ac:dyDescent="0.25">
      <c r="A1004" s="15" t="s">
        <v>393</v>
      </c>
      <c r="C1004" s="15">
        <v>4</v>
      </c>
      <c r="T1004" s="2">
        <f t="shared" si="60"/>
        <v>0</v>
      </c>
      <c r="U1004" s="2">
        <f t="shared" si="61"/>
        <v>0</v>
      </c>
      <c r="V1004" s="2">
        <f t="shared" si="62"/>
        <v>0</v>
      </c>
      <c r="W1004" s="2">
        <f t="shared" si="63"/>
        <v>0</v>
      </c>
      <c r="Y1004" t="str">
        <f>IFERROR(ROUND(E1004*VLOOKUP(D1004,商品!$A$4:$B$60,2,FALSE),0),"")</f>
        <v/>
      </c>
      <c r="Z1004" t="str">
        <f>IFERROR(ROUND(G1004*VLOOKUP(F1004,商品!$A$4:$B$60,2,FALSE),0),"")</f>
        <v/>
      </c>
      <c r="AA1004" t="str">
        <f>IFERROR(ROUND(I1004*VLOOKUP(H1004,商品!$A$4:$B$60,2,FALSE),0),"")</f>
        <v/>
      </c>
      <c r="AB1004" t="str">
        <f>IFERROR(ROUND(K1004*VLOOKUP(J1004,[1]note_pop_types!$A$16:$E$16,4,FALSE),0),"")</f>
        <v/>
      </c>
      <c r="AC1004" t="str">
        <f>IFERROR(ROUND(M1004*VLOOKUP(L1004,[1]note_pop_types!$A$16:$E$16,4,FALSE),0),"")</f>
        <v/>
      </c>
      <c r="AD1004" t="str">
        <f>IFERROR(ROUND(O1004*VLOOKUP(N1004,[1]note_pop_types!$A$16:$E$16,4,FALSE),0),"")</f>
        <v/>
      </c>
      <c r="AE1004" t="str">
        <f>IFERROR(ROUND(Q1004*VLOOKUP(P1004,商品!$A$4:$B$60,2,FALSE),0),"")</f>
        <v/>
      </c>
      <c r="AF1004" t="str">
        <f>IFERROR(ROUND(S1004*VLOOKUP(R1004,商品!$A$4:$B$60,2,FALSE),0),"")</f>
        <v/>
      </c>
    </row>
    <row r="1005" spans="1:32" ht="19.05" customHeight="1" x14ac:dyDescent="0.25">
      <c r="A1005" s="15" t="s">
        <v>393</v>
      </c>
      <c r="C1005" s="15">
        <v>5</v>
      </c>
      <c r="T1005" s="2">
        <f t="shared" si="60"/>
        <v>0</v>
      </c>
      <c r="U1005" s="2">
        <f t="shared" si="61"/>
        <v>0</v>
      </c>
      <c r="V1005" s="2">
        <f t="shared" si="62"/>
        <v>0</v>
      </c>
      <c r="W1005" s="2">
        <f t="shared" si="63"/>
        <v>0</v>
      </c>
      <c r="Y1005" t="str">
        <f>IFERROR(ROUND(E1005*VLOOKUP(D1005,商品!$A$4:$B$60,2,FALSE),0),"")</f>
        <v/>
      </c>
      <c r="Z1005" t="str">
        <f>IFERROR(ROUND(G1005*VLOOKUP(F1005,商品!$A$4:$B$60,2,FALSE),0),"")</f>
        <v/>
      </c>
      <c r="AA1005" t="str">
        <f>IFERROR(ROUND(I1005*VLOOKUP(H1005,商品!$A$4:$B$60,2,FALSE),0),"")</f>
        <v/>
      </c>
      <c r="AB1005" t="str">
        <f>IFERROR(ROUND(K1005*VLOOKUP(J1005,[1]note_pop_types!$A$16:$E$16,4,FALSE),0),"")</f>
        <v/>
      </c>
      <c r="AC1005" t="str">
        <f>IFERROR(ROUND(M1005*VLOOKUP(L1005,[1]note_pop_types!$A$16:$E$16,4,FALSE),0),"")</f>
        <v/>
      </c>
      <c r="AD1005" t="str">
        <f>IFERROR(ROUND(O1005*VLOOKUP(N1005,[1]note_pop_types!$A$16:$E$16,4,FALSE),0),"")</f>
        <v/>
      </c>
      <c r="AE1005" t="str">
        <f>IFERROR(ROUND(Q1005*VLOOKUP(P1005,商品!$A$4:$B$60,2,FALSE),0),"")</f>
        <v/>
      </c>
      <c r="AF1005" t="str">
        <f>IFERROR(ROUND(S1005*VLOOKUP(R1005,商品!$A$4:$B$60,2,FALSE),0),"")</f>
        <v/>
      </c>
    </row>
    <row r="1006" spans="1:32" ht="19.05" customHeight="1" x14ac:dyDescent="0.25">
      <c r="A1006" s="16" t="s">
        <v>548</v>
      </c>
      <c r="C1006" s="16">
        <v>1</v>
      </c>
      <c r="T1006" s="2">
        <f t="shared" si="60"/>
        <v>0</v>
      </c>
      <c r="U1006" s="2">
        <f t="shared" si="61"/>
        <v>0</v>
      </c>
      <c r="V1006" s="2">
        <f t="shared" si="62"/>
        <v>0</v>
      </c>
      <c r="W1006" s="2">
        <f t="shared" si="63"/>
        <v>0</v>
      </c>
      <c r="Y1006" t="str">
        <f>IFERROR(ROUND(E1006*VLOOKUP(D1006,商品!$A$4:$B$60,2,FALSE),0),"")</f>
        <v/>
      </c>
      <c r="Z1006" t="str">
        <f>IFERROR(ROUND(G1006*VLOOKUP(F1006,商品!$A$4:$B$60,2,FALSE),0),"")</f>
        <v/>
      </c>
      <c r="AA1006" t="str">
        <f>IFERROR(ROUND(I1006*VLOOKUP(H1006,商品!$A$4:$B$60,2,FALSE),0),"")</f>
        <v/>
      </c>
      <c r="AB1006" t="str">
        <f>IFERROR(ROUND(K1006*VLOOKUP(J1006,[1]note_pop_types!$A$16:$E$16,4,FALSE),0),"")</f>
        <v/>
      </c>
      <c r="AC1006" t="str">
        <f>IFERROR(ROUND(M1006*VLOOKUP(L1006,[1]note_pop_types!$A$16:$E$16,4,FALSE),0),"")</f>
        <v/>
      </c>
      <c r="AD1006" t="str">
        <f>IFERROR(ROUND(O1006*VLOOKUP(N1006,[1]note_pop_types!$A$16:$E$16,4,FALSE),0),"")</f>
        <v/>
      </c>
      <c r="AE1006" t="str">
        <f>IFERROR(ROUND(Q1006*VLOOKUP(P1006,商品!$A$4:$B$60,2,FALSE),0),"")</f>
        <v/>
      </c>
      <c r="AF1006" t="str">
        <f>IFERROR(ROUND(S1006*VLOOKUP(R1006,商品!$A$4:$B$60,2,FALSE),0),"")</f>
        <v/>
      </c>
    </row>
    <row r="1007" spans="1:32" ht="19.05" customHeight="1" x14ac:dyDescent="0.25">
      <c r="A1007" s="16" t="s">
        <v>548</v>
      </c>
      <c r="C1007" s="16">
        <v>2</v>
      </c>
      <c r="T1007" s="2">
        <f t="shared" si="60"/>
        <v>0</v>
      </c>
      <c r="U1007" s="2">
        <f t="shared" si="61"/>
        <v>0</v>
      </c>
      <c r="V1007" s="2">
        <f t="shared" si="62"/>
        <v>0</v>
      </c>
      <c r="W1007" s="2">
        <f t="shared" si="63"/>
        <v>0</v>
      </c>
      <c r="Y1007" t="str">
        <f>IFERROR(ROUND(E1007*VLOOKUP(D1007,商品!$A$4:$B$60,2,FALSE),0),"")</f>
        <v/>
      </c>
      <c r="Z1007" t="str">
        <f>IFERROR(ROUND(G1007*VLOOKUP(F1007,商品!$A$4:$B$60,2,FALSE),0),"")</f>
        <v/>
      </c>
      <c r="AA1007" t="str">
        <f>IFERROR(ROUND(I1007*VLOOKUP(H1007,商品!$A$4:$B$60,2,FALSE),0),"")</f>
        <v/>
      </c>
      <c r="AB1007" t="str">
        <f>IFERROR(ROUND(K1007*VLOOKUP(J1007,[1]note_pop_types!$A$16:$E$16,4,FALSE),0),"")</f>
        <v/>
      </c>
      <c r="AC1007" t="str">
        <f>IFERROR(ROUND(M1007*VLOOKUP(L1007,[1]note_pop_types!$A$16:$E$16,4,FALSE),0),"")</f>
        <v/>
      </c>
      <c r="AD1007" t="str">
        <f>IFERROR(ROUND(O1007*VLOOKUP(N1007,[1]note_pop_types!$A$16:$E$16,4,FALSE),0),"")</f>
        <v/>
      </c>
      <c r="AE1007" t="str">
        <f>IFERROR(ROUND(Q1007*VLOOKUP(P1007,商品!$A$4:$B$60,2,FALSE),0),"")</f>
        <v/>
      </c>
      <c r="AF1007" t="str">
        <f>IFERROR(ROUND(S1007*VLOOKUP(R1007,商品!$A$4:$B$60,2,FALSE),0),"")</f>
        <v/>
      </c>
    </row>
    <row r="1008" spans="1:32" ht="19.05" customHeight="1" x14ac:dyDescent="0.25">
      <c r="A1008" s="16" t="s">
        <v>548</v>
      </c>
      <c r="C1008" s="16">
        <v>3</v>
      </c>
      <c r="T1008" s="2">
        <f t="shared" si="60"/>
        <v>0</v>
      </c>
      <c r="U1008" s="2">
        <f t="shared" si="61"/>
        <v>0</v>
      </c>
      <c r="V1008" s="2">
        <f t="shared" si="62"/>
        <v>0</v>
      </c>
      <c r="W1008" s="2">
        <f t="shared" si="63"/>
        <v>0</v>
      </c>
      <c r="Y1008" t="str">
        <f>IFERROR(ROUND(E1008*VLOOKUP(D1008,商品!$A$4:$B$60,2,FALSE),0),"")</f>
        <v/>
      </c>
      <c r="Z1008" t="str">
        <f>IFERROR(ROUND(G1008*VLOOKUP(F1008,商品!$A$4:$B$60,2,FALSE),0),"")</f>
        <v/>
      </c>
      <c r="AA1008" t="str">
        <f>IFERROR(ROUND(I1008*VLOOKUP(H1008,商品!$A$4:$B$60,2,FALSE),0),"")</f>
        <v/>
      </c>
      <c r="AB1008" t="str">
        <f>IFERROR(ROUND(K1008*VLOOKUP(J1008,[1]note_pop_types!$A$16:$E$16,4,FALSE),0),"")</f>
        <v/>
      </c>
      <c r="AC1008" t="str">
        <f>IFERROR(ROUND(M1008*VLOOKUP(L1008,[1]note_pop_types!$A$16:$E$16,4,FALSE),0),"")</f>
        <v/>
      </c>
      <c r="AD1008" t="str">
        <f>IFERROR(ROUND(O1008*VLOOKUP(N1008,[1]note_pop_types!$A$16:$E$16,4,FALSE),0),"")</f>
        <v/>
      </c>
      <c r="AE1008" t="str">
        <f>IFERROR(ROUND(Q1008*VLOOKUP(P1008,商品!$A$4:$B$60,2,FALSE),0),"")</f>
        <v/>
      </c>
      <c r="AF1008" t="str">
        <f>IFERROR(ROUND(S1008*VLOOKUP(R1008,商品!$A$4:$B$60,2,FALSE),0),"")</f>
        <v/>
      </c>
    </row>
    <row r="1009" spans="1:32" ht="19.05" customHeight="1" x14ac:dyDescent="0.25">
      <c r="A1009" s="16" t="s">
        <v>548</v>
      </c>
      <c r="C1009" s="16">
        <v>4</v>
      </c>
      <c r="T1009" s="2">
        <f t="shared" si="60"/>
        <v>0</v>
      </c>
      <c r="U1009" s="2">
        <f t="shared" si="61"/>
        <v>0</v>
      </c>
      <c r="V1009" s="2">
        <f t="shared" si="62"/>
        <v>0</v>
      </c>
      <c r="W1009" s="2">
        <f t="shared" si="63"/>
        <v>0</v>
      </c>
      <c r="Y1009" t="str">
        <f>IFERROR(ROUND(E1009*VLOOKUP(D1009,商品!$A$4:$B$60,2,FALSE),0),"")</f>
        <v/>
      </c>
      <c r="Z1009" t="str">
        <f>IFERROR(ROUND(G1009*VLOOKUP(F1009,商品!$A$4:$B$60,2,FALSE),0),"")</f>
        <v/>
      </c>
      <c r="AA1009" t="str">
        <f>IFERROR(ROUND(I1009*VLOOKUP(H1009,商品!$A$4:$B$60,2,FALSE),0),"")</f>
        <v/>
      </c>
      <c r="AB1009" t="str">
        <f>IFERROR(ROUND(K1009*VLOOKUP(J1009,[1]note_pop_types!$A$16:$E$16,4,FALSE),0),"")</f>
        <v/>
      </c>
      <c r="AC1009" t="str">
        <f>IFERROR(ROUND(M1009*VLOOKUP(L1009,[1]note_pop_types!$A$16:$E$16,4,FALSE),0),"")</f>
        <v/>
      </c>
      <c r="AD1009" t="str">
        <f>IFERROR(ROUND(O1009*VLOOKUP(N1009,[1]note_pop_types!$A$16:$E$16,4,FALSE),0),"")</f>
        <v/>
      </c>
      <c r="AE1009" t="str">
        <f>IFERROR(ROUND(Q1009*VLOOKUP(P1009,商品!$A$4:$B$60,2,FALSE),0),"")</f>
        <v/>
      </c>
      <c r="AF1009" t="str">
        <f>IFERROR(ROUND(S1009*VLOOKUP(R1009,商品!$A$4:$B$60,2,FALSE),0),"")</f>
        <v/>
      </c>
    </row>
    <row r="1010" spans="1:32" ht="19.05" customHeight="1" x14ac:dyDescent="0.25">
      <c r="A1010" s="16" t="s">
        <v>548</v>
      </c>
      <c r="C1010" s="16">
        <v>5</v>
      </c>
      <c r="T1010" s="2">
        <f t="shared" si="60"/>
        <v>0</v>
      </c>
      <c r="U1010" s="2">
        <f t="shared" si="61"/>
        <v>0</v>
      </c>
      <c r="V1010" s="2">
        <f t="shared" si="62"/>
        <v>0</v>
      </c>
      <c r="W1010" s="2">
        <f t="shared" si="63"/>
        <v>0</v>
      </c>
      <c r="Y1010" t="str">
        <f>IFERROR(ROUND(E1010*VLOOKUP(D1010,商品!$A$4:$B$60,2,FALSE),0),"")</f>
        <v/>
      </c>
      <c r="Z1010" t="str">
        <f>IFERROR(ROUND(G1010*VLOOKUP(F1010,商品!$A$4:$B$60,2,FALSE),0),"")</f>
        <v/>
      </c>
      <c r="AA1010" t="str">
        <f>IFERROR(ROUND(I1010*VLOOKUP(H1010,商品!$A$4:$B$60,2,FALSE),0),"")</f>
        <v/>
      </c>
      <c r="AB1010" t="str">
        <f>IFERROR(ROUND(K1010*VLOOKUP(J1010,[1]note_pop_types!$A$16:$E$16,4,FALSE),0),"")</f>
        <v/>
      </c>
      <c r="AC1010" t="str">
        <f>IFERROR(ROUND(M1010*VLOOKUP(L1010,[1]note_pop_types!$A$16:$E$16,4,FALSE),0),"")</f>
        <v/>
      </c>
      <c r="AD1010" t="str">
        <f>IFERROR(ROUND(O1010*VLOOKUP(N1010,[1]note_pop_types!$A$16:$E$16,4,FALSE),0),"")</f>
        <v/>
      </c>
      <c r="AE1010" t="str">
        <f>IFERROR(ROUND(Q1010*VLOOKUP(P1010,商品!$A$4:$B$60,2,FALSE),0),"")</f>
        <v/>
      </c>
      <c r="AF1010" t="str">
        <f>IFERROR(ROUND(S1010*VLOOKUP(R1010,商品!$A$4:$B$60,2,FALSE),0),"")</f>
        <v/>
      </c>
    </row>
    <row r="1011" spans="1:32" ht="19.05" customHeight="1" x14ac:dyDescent="0.25">
      <c r="A1011" s="15" t="s">
        <v>548</v>
      </c>
      <c r="C1011" s="15">
        <v>1</v>
      </c>
      <c r="T1011" s="2">
        <f t="shared" si="60"/>
        <v>0</v>
      </c>
      <c r="U1011" s="2">
        <f t="shared" si="61"/>
        <v>0</v>
      </c>
      <c r="V1011" s="2">
        <f t="shared" si="62"/>
        <v>0</v>
      </c>
      <c r="W1011" s="2">
        <f t="shared" si="63"/>
        <v>0</v>
      </c>
      <c r="Y1011" t="str">
        <f>IFERROR(ROUND(E1011*VLOOKUP(D1011,商品!$A$4:$B$60,2,FALSE),0),"")</f>
        <v/>
      </c>
      <c r="Z1011" t="str">
        <f>IFERROR(ROUND(G1011*VLOOKUP(F1011,商品!$A$4:$B$60,2,FALSE),0),"")</f>
        <v/>
      </c>
      <c r="AA1011" t="str">
        <f>IFERROR(ROUND(I1011*VLOOKUP(H1011,商品!$A$4:$B$60,2,FALSE),0),"")</f>
        <v/>
      </c>
      <c r="AB1011" t="str">
        <f>IFERROR(ROUND(K1011*VLOOKUP(J1011,[1]note_pop_types!$A$16:$E$16,4,FALSE),0),"")</f>
        <v/>
      </c>
      <c r="AC1011" t="str">
        <f>IFERROR(ROUND(M1011*VLOOKUP(L1011,[1]note_pop_types!$A$16:$E$16,4,FALSE),0),"")</f>
        <v/>
      </c>
      <c r="AD1011" t="str">
        <f>IFERROR(ROUND(O1011*VLOOKUP(N1011,[1]note_pop_types!$A$16:$E$16,4,FALSE),0),"")</f>
        <v/>
      </c>
      <c r="AE1011" t="str">
        <f>IFERROR(ROUND(Q1011*VLOOKUP(P1011,商品!$A$4:$B$60,2,FALSE),0),"")</f>
        <v/>
      </c>
      <c r="AF1011" t="str">
        <f>IFERROR(ROUND(S1011*VLOOKUP(R1011,商品!$A$4:$B$60,2,FALSE),0),"")</f>
        <v/>
      </c>
    </row>
    <row r="1012" spans="1:32" ht="19.05" customHeight="1" x14ac:dyDescent="0.25">
      <c r="A1012" s="15" t="s">
        <v>548</v>
      </c>
      <c r="C1012" s="15">
        <v>2</v>
      </c>
      <c r="T1012" s="2">
        <f t="shared" si="60"/>
        <v>0</v>
      </c>
      <c r="U1012" s="2">
        <f t="shared" si="61"/>
        <v>0</v>
      </c>
      <c r="V1012" s="2">
        <f t="shared" si="62"/>
        <v>0</v>
      </c>
      <c r="W1012" s="2">
        <f t="shared" si="63"/>
        <v>0</v>
      </c>
      <c r="Y1012" t="str">
        <f>IFERROR(ROUND(E1012*VLOOKUP(D1012,商品!$A$4:$B$60,2,FALSE),0),"")</f>
        <v/>
      </c>
      <c r="Z1012" t="str">
        <f>IFERROR(ROUND(G1012*VLOOKUP(F1012,商品!$A$4:$B$60,2,FALSE),0),"")</f>
        <v/>
      </c>
      <c r="AA1012" t="str">
        <f>IFERROR(ROUND(I1012*VLOOKUP(H1012,商品!$A$4:$B$60,2,FALSE),0),"")</f>
        <v/>
      </c>
      <c r="AB1012" t="str">
        <f>IFERROR(ROUND(K1012*VLOOKUP(J1012,[1]note_pop_types!$A$16:$E$16,4,FALSE),0),"")</f>
        <v/>
      </c>
      <c r="AC1012" t="str">
        <f>IFERROR(ROUND(M1012*VLOOKUP(L1012,[1]note_pop_types!$A$16:$E$16,4,FALSE),0),"")</f>
        <v/>
      </c>
      <c r="AD1012" t="str">
        <f>IFERROR(ROUND(O1012*VLOOKUP(N1012,[1]note_pop_types!$A$16:$E$16,4,FALSE),0),"")</f>
        <v/>
      </c>
      <c r="AE1012" t="str">
        <f>IFERROR(ROUND(Q1012*VLOOKUP(P1012,商品!$A$4:$B$60,2,FALSE),0),"")</f>
        <v/>
      </c>
      <c r="AF1012" t="str">
        <f>IFERROR(ROUND(S1012*VLOOKUP(R1012,商品!$A$4:$B$60,2,FALSE),0),"")</f>
        <v/>
      </c>
    </row>
    <row r="1013" spans="1:32" ht="19.05" customHeight="1" x14ac:dyDescent="0.25">
      <c r="A1013" s="15" t="s">
        <v>548</v>
      </c>
      <c r="C1013" s="15">
        <v>3</v>
      </c>
      <c r="T1013" s="2">
        <f t="shared" si="60"/>
        <v>0</v>
      </c>
      <c r="U1013" s="2">
        <f t="shared" si="61"/>
        <v>0</v>
      </c>
      <c r="V1013" s="2">
        <f t="shared" si="62"/>
        <v>0</v>
      </c>
      <c r="W1013" s="2">
        <f t="shared" si="63"/>
        <v>0</v>
      </c>
      <c r="Y1013" t="str">
        <f>IFERROR(ROUND(E1013*VLOOKUP(D1013,商品!$A$4:$B$60,2,FALSE),0),"")</f>
        <v/>
      </c>
      <c r="Z1013" t="str">
        <f>IFERROR(ROUND(G1013*VLOOKUP(F1013,商品!$A$4:$B$60,2,FALSE),0),"")</f>
        <v/>
      </c>
      <c r="AA1013" t="str">
        <f>IFERROR(ROUND(I1013*VLOOKUP(H1013,商品!$A$4:$B$60,2,FALSE),0),"")</f>
        <v/>
      </c>
      <c r="AB1013" t="str">
        <f>IFERROR(ROUND(K1013*VLOOKUP(J1013,[1]note_pop_types!$A$16:$E$16,4,FALSE),0),"")</f>
        <v/>
      </c>
      <c r="AC1013" t="str">
        <f>IFERROR(ROUND(M1013*VLOOKUP(L1013,[1]note_pop_types!$A$16:$E$16,4,FALSE),0),"")</f>
        <v/>
      </c>
      <c r="AD1013" t="str">
        <f>IFERROR(ROUND(O1013*VLOOKUP(N1013,[1]note_pop_types!$A$16:$E$16,4,FALSE),0),"")</f>
        <v/>
      </c>
      <c r="AE1013" t="str">
        <f>IFERROR(ROUND(Q1013*VLOOKUP(P1013,商品!$A$4:$B$60,2,FALSE),0),"")</f>
        <v/>
      </c>
      <c r="AF1013" t="str">
        <f>IFERROR(ROUND(S1013*VLOOKUP(R1013,商品!$A$4:$B$60,2,FALSE),0),"")</f>
        <v/>
      </c>
    </row>
    <row r="1014" spans="1:32" ht="19.05" customHeight="1" x14ac:dyDescent="0.25">
      <c r="A1014" s="15" t="s">
        <v>548</v>
      </c>
      <c r="C1014" s="15">
        <v>4</v>
      </c>
      <c r="T1014" s="2">
        <f t="shared" si="60"/>
        <v>0</v>
      </c>
      <c r="U1014" s="2">
        <f t="shared" si="61"/>
        <v>0</v>
      </c>
      <c r="V1014" s="2">
        <f t="shared" si="62"/>
        <v>0</v>
      </c>
      <c r="W1014" s="2">
        <f t="shared" si="63"/>
        <v>0</v>
      </c>
      <c r="Y1014" t="str">
        <f>IFERROR(ROUND(E1014*VLOOKUP(D1014,商品!$A$4:$B$60,2,FALSE),0),"")</f>
        <v/>
      </c>
      <c r="Z1014" t="str">
        <f>IFERROR(ROUND(G1014*VLOOKUP(F1014,商品!$A$4:$B$60,2,FALSE),0),"")</f>
        <v/>
      </c>
      <c r="AA1014" t="str">
        <f>IFERROR(ROUND(I1014*VLOOKUP(H1014,商品!$A$4:$B$60,2,FALSE),0),"")</f>
        <v/>
      </c>
      <c r="AB1014" t="str">
        <f>IFERROR(ROUND(K1014*VLOOKUP(J1014,[1]note_pop_types!$A$16:$E$16,4,FALSE),0),"")</f>
        <v/>
      </c>
      <c r="AC1014" t="str">
        <f>IFERROR(ROUND(M1014*VLOOKUP(L1014,[1]note_pop_types!$A$16:$E$16,4,FALSE),0),"")</f>
        <v/>
      </c>
      <c r="AD1014" t="str">
        <f>IFERROR(ROUND(O1014*VLOOKUP(N1014,[1]note_pop_types!$A$16:$E$16,4,FALSE),0),"")</f>
        <v/>
      </c>
      <c r="AE1014" t="str">
        <f>IFERROR(ROUND(Q1014*VLOOKUP(P1014,商品!$A$4:$B$60,2,FALSE),0),"")</f>
        <v/>
      </c>
      <c r="AF1014" t="str">
        <f>IFERROR(ROUND(S1014*VLOOKUP(R1014,商品!$A$4:$B$60,2,FALSE),0),"")</f>
        <v/>
      </c>
    </row>
    <row r="1015" spans="1:32" ht="19.05" customHeight="1" x14ac:dyDescent="0.25">
      <c r="A1015" s="15" t="s">
        <v>548</v>
      </c>
      <c r="C1015" s="15">
        <v>5</v>
      </c>
      <c r="T1015" s="2">
        <f t="shared" si="60"/>
        <v>0</v>
      </c>
      <c r="U1015" s="2">
        <f t="shared" si="61"/>
        <v>0</v>
      </c>
      <c r="V1015" s="2">
        <f t="shared" si="62"/>
        <v>0</v>
      </c>
      <c r="W1015" s="2">
        <f t="shared" si="63"/>
        <v>0</v>
      </c>
      <c r="Y1015" t="str">
        <f>IFERROR(ROUND(E1015*VLOOKUP(D1015,商品!$A$4:$B$60,2,FALSE),0),"")</f>
        <v/>
      </c>
      <c r="Z1015" t="str">
        <f>IFERROR(ROUND(G1015*VLOOKUP(F1015,商品!$A$4:$B$60,2,FALSE),0),"")</f>
        <v/>
      </c>
      <c r="AA1015" t="str">
        <f>IFERROR(ROUND(I1015*VLOOKUP(H1015,商品!$A$4:$B$60,2,FALSE),0),"")</f>
        <v/>
      </c>
      <c r="AB1015" t="str">
        <f>IFERROR(ROUND(K1015*VLOOKUP(J1015,[1]note_pop_types!$A$16:$E$16,4,FALSE),0),"")</f>
        <v/>
      </c>
      <c r="AC1015" t="str">
        <f>IFERROR(ROUND(M1015*VLOOKUP(L1015,[1]note_pop_types!$A$16:$E$16,4,FALSE),0),"")</f>
        <v/>
      </c>
      <c r="AD1015" t="str">
        <f>IFERROR(ROUND(O1015*VLOOKUP(N1015,[1]note_pop_types!$A$16:$E$16,4,FALSE),0),"")</f>
        <v/>
      </c>
      <c r="AE1015" t="str">
        <f>IFERROR(ROUND(Q1015*VLOOKUP(P1015,商品!$A$4:$B$60,2,FALSE),0),"")</f>
        <v/>
      </c>
      <c r="AF1015" t="str">
        <f>IFERROR(ROUND(S1015*VLOOKUP(R1015,商品!$A$4:$B$60,2,FALSE),0),"")</f>
        <v/>
      </c>
    </row>
    <row r="1016" spans="1:32" ht="19.05" customHeight="1" x14ac:dyDescent="0.25">
      <c r="A1016" s="16" t="s">
        <v>396</v>
      </c>
      <c r="C1016" s="16">
        <v>1</v>
      </c>
      <c r="T1016" s="2">
        <f t="shared" si="60"/>
        <v>0</v>
      </c>
      <c r="U1016" s="2">
        <f t="shared" si="61"/>
        <v>0</v>
      </c>
      <c r="V1016" s="2">
        <f t="shared" si="62"/>
        <v>0</v>
      </c>
      <c r="W1016" s="2">
        <f t="shared" si="63"/>
        <v>0</v>
      </c>
      <c r="Y1016" t="str">
        <f>IFERROR(ROUND(E1016*VLOOKUP(D1016,商品!$A$4:$B$60,2,FALSE),0),"")</f>
        <v/>
      </c>
      <c r="Z1016" t="str">
        <f>IFERROR(ROUND(G1016*VLOOKUP(F1016,商品!$A$4:$B$60,2,FALSE),0),"")</f>
        <v/>
      </c>
      <c r="AA1016" t="str">
        <f>IFERROR(ROUND(I1016*VLOOKUP(H1016,商品!$A$4:$B$60,2,FALSE),0),"")</f>
        <v/>
      </c>
      <c r="AB1016" t="str">
        <f>IFERROR(ROUND(K1016*VLOOKUP(J1016,[1]note_pop_types!$A$16:$E$16,4,FALSE),0),"")</f>
        <v/>
      </c>
      <c r="AC1016" t="str">
        <f>IFERROR(ROUND(M1016*VLOOKUP(L1016,[1]note_pop_types!$A$16:$E$16,4,FALSE),0),"")</f>
        <v/>
      </c>
      <c r="AD1016" t="str">
        <f>IFERROR(ROUND(O1016*VLOOKUP(N1016,[1]note_pop_types!$A$16:$E$16,4,FALSE),0),"")</f>
        <v/>
      </c>
      <c r="AE1016" t="str">
        <f>IFERROR(ROUND(Q1016*VLOOKUP(P1016,商品!$A$4:$B$60,2,FALSE),0),"")</f>
        <v/>
      </c>
      <c r="AF1016" t="str">
        <f>IFERROR(ROUND(S1016*VLOOKUP(R1016,商品!$A$4:$B$60,2,FALSE),0),"")</f>
        <v/>
      </c>
    </row>
    <row r="1017" spans="1:32" ht="19.05" customHeight="1" x14ac:dyDescent="0.25">
      <c r="A1017" s="16" t="s">
        <v>396</v>
      </c>
      <c r="C1017" s="16">
        <v>2</v>
      </c>
      <c r="T1017" s="2">
        <f t="shared" si="60"/>
        <v>0</v>
      </c>
      <c r="U1017" s="2">
        <f t="shared" si="61"/>
        <v>0</v>
      </c>
      <c r="V1017" s="2">
        <f t="shared" si="62"/>
        <v>0</v>
      </c>
      <c r="W1017" s="2">
        <f t="shared" si="63"/>
        <v>0</v>
      </c>
      <c r="Y1017" t="str">
        <f>IFERROR(ROUND(E1017*VLOOKUP(D1017,商品!$A$4:$B$60,2,FALSE),0),"")</f>
        <v/>
      </c>
      <c r="Z1017" t="str">
        <f>IFERROR(ROUND(G1017*VLOOKUP(F1017,商品!$A$4:$B$60,2,FALSE),0),"")</f>
        <v/>
      </c>
      <c r="AA1017" t="str">
        <f>IFERROR(ROUND(I1017*VLOOKUP(H1017,商品!$A$4:$B$60,2,FALSE),0),"")</f>
        <v/>
      </c>
      <c r="AB1017" t="str">
        <f>IFERROR(ROUND(K1017*VLOOKUP(J1017,[1]note_pop_types!$A$16:$E$16,4,FALSE),0),"")</f>
        <v/>
      </c>
      <c r="AC1017" t="str">
        <f>IFERROR(ROUND(M1017*VLOOKUP(L1017,[1]note_pop_types!$A$16:$E$16,4,FALSE),0),"")</f>
        <v/>
      </c>
      <c r="AD1017" t="str">
        <f>IFERROR(ROUND(O1017*VLOOKUP(N1017,[1]note_pop_types!$A$16:$E$16,4,FALSE),0),"")</f>
        <v/>
      </c>
      <c r="AE1017" t="str">
        <f>IFERROR(ROUND(Q1017*VLOOKUP(P1017,商品!$A$4:$B$60,2,FALSE),0),"")</f>
        <v/>
      </c>
      <c r="AF1017" t="str">
        <f>IFERROR(ROUND(S1017*VLOOKUP(R1017,商品!$A$4:$B$60,2,FALSE),0),"")</f>
        <v/>
      </c>
    </row>
    <row r="1018" spans="1:32" ht="19.05" customHeight="1" x14ac:dyDescent="0.25">
      <c r="A1018" s="16" t="s">
        <v>396</v>
      </c>
      <c r="C1018" s="16">
        <v>3</v>
      </c>
      <c r="T1018" s="2">
        <f t="shared" si="60"/>
        <v>0</v>
      </c>
      <c r="U1018" s="2">
        <f t="shared" si="61"/>
        <v>0</v>
      </c>
      <c r="V1018" s="2">
        <f t="shared" si="62"/>
        <v>0</v>
      </c>
      <c r="W1018" s="2">
        <f t="shared" si="63"/>
        <v>0</v>
      </c>
      <c r="Y1018" t="str">
        <f>IFERROR(ROUND(E1018*VLOOKUP(D1018,商品!$A$4:$B$60,2,FALSE),0),"")</f>
        <v/>
      </c>
      <c r="Z1018" t="str">
        <f>IFERROR(ROUND(G1018*VLOOKUP(F1018,商品!$A$4:$B$60,2,FALSE),0),"")</f>
        <v/>
      </c>
      <c r="AA1018" t="str">
        <f>IFERROR(ROUND(I1018*VLOOKUP(H1018,商品!$A$4:$B$60,2,FALSE),0),"")</f>
        <v/>
      </c>
      <c r="AB1018" t="str">
        <f>IFERROR(ROUND(K1018*VLOOKUP(J1018,[1]note_pop_types!$A$16:$E$16,4,FALSE),0),"")</f>
        <v/>
      </c>
      <c r="AC1018" t="str">
        <f>IFERROR(ROUND(M1018*VLOOKUP(L1018,[1]note_pop_types!$A$16:$E$16,4,FALSE),0),"")</f>
        <v/>
      </c>
      <c r="AD1018" t="str">
        <f>IFERROR(ROUND(O1018*VLOOKUP(N1018,[1]note_pop_types!$A$16:$E$16,4,FALSE),0),"")</f>
        <v/>
      </c>
      <c r="AE1018" t="str">
        <f>IFERROR(ROUND(Q1018*VLOOKUP(P1018,商品!$A$4:$B$60,2,FALSE),0),"")</f>
        <v/>
      </c>
      <c r="AF1018" t="str">
        <f>IFERROR(ROUND(S1018*VLOOKUP(R1018,商品!$A$4:$B$60,2,FALSE),0),"")</f>
        <v/>
      </c>
    </row>
    <row r="1019" spans="1:32" ht="19.05" customHeight="1" x14ac:dyDescent="0.25">
      <c r="A1019" s="16" t="s">
        <v>396</v>
      </c>
      <c r="C1019" s="16">
        <v>4</v>
      </c>
      <c r="T1019" s="2">
        <f t="shared" si="60"/>
        <v>0</v>
      </c>
      <c r="U1019" s="2">
        <f t="shared" si="61"/>
        <v>0</v>
      </c>
      <c r="V1019" s="2">
        <f t="shared" si="62"/>
        <v>0</v>
      </c>
      <c r="W1019" s="2">
        <f t="shared" si="63"/>
        <v>0</v>
      </c>
      <c r="Y1019" t="str">
        <f>IFERROR(ROUND(E1019*VLOOKUP(D1019,商品!$A$4:$B$60,2,FALSE),0),"")</f>
        <v/>
      </c>
      <c r="Z1019" t="str">
        <f>IFERROR(ROUND(G1019*VLOOKUP(F1019,商品!$A$4:$B$60,2,FALSE),0),"")</f>
        <v/>
      </c>
      <c r="AA1019" t="str">
        <f>IFERROR(ROUND(I1019*VLOOKUP(H1019,商品!$A$4:$B$60,2,FALSE),0),"")</f>
        <v/>
      </c>
      <c r="AB1019" t="str">
        <f>IFERROR(ROUND(K1019*VLOOKUP(J1019,[1]note_pop_types!$A$16:$E$16,4,FALSE),0),"")</f>
        <v/>
      </c>
      <c r="AC1019" t="str">
        <f>IFERROR(ROUND(M1019*VLOOKUP(L1019,[1]note_pop_types!$A$16:$E$16,4,FALSE),0),"")</f>
        <v/>
      </c>
      <c r="AD1019" t="str">
        <f>IFERROR(ROUND(O1019*VLOOKUP(N1019,[1]note_pop_types!$A$16:$E$16,4,FALSE),0),"")</f>
        <v/>
      </c>
      <c r="AE1019" t="str">
        <f>IFERROR(ROUND(Q1019*VLOOKUP(P1019,商品!$A$4:$B$60,2,FALSE),0),"")</f>
        <v/>
      </c>
      <c r="AF1019" t="str">
        <f>IFERROR(ROUND(S1019*VLOOKUP(R1019,商品!$A$4:$B$60,2,FALSE),0),"")</f>
        <v/>
      </c>
    </row>
    <row r="1020" spans="1:32" ht="19.05" customHeight="1" x14ac:dyDescent="0.25">
      <c r="A1020" s="16" t="s">
        <v>396</v>
      </c>
      <c r="C1020" s="16">
        <v>5</v>
      </c>
      <c r="T1020" s="2">
        <f t="shared" si="60"/>
        <v>0</v>
      </c>
      <c r="U1020" s="2">
        <f t="shared" si="61"/>
        <v>0</v>
      </c>
      <c r="V1020" s="2">
        <f t="shared" si="62"/>
        <v>0</v>
      </c>
      <c r="W1020" s="2">
        <f t="shared" si="63"/>
        <v>0</v>
      </c>
      <c r="Y1020" t="str">
        <f>IFERROR(ROUND(E1020*VLOOKUP(D1020,商品!$A$4:$B$60,2,FALSE),0),"")</f>
        <v/>
      </c>
      <c r="Z1020" t="str">
        <f>IFERROR(ROUND(G1020*VLOOKUP(F1020,商品!$A$4:$B$60,2,FALSE),0),"")</f>
        <v/>
      </c>
      <c r="AA1020" t="str">
        <f>IFERROR(ROUND(I1020*VLOOKUP(H1020,商品!$A$4:$B$60,2,FALSE),0),"")</f>
        <v/>
      </c>
      <c r="AB1020" t="str">
        <f>IFERROR(ROUND(K1020*VLOOKUP(J1020,[1]note_pop_types!$A$16:$E$16,4,FALSE),0),"")</f>
        <v/>
      </c>
      <c r="AC1020" t="str">
        <f>IFERROR(ROUND(M1020*VLOOKUP(L1020,[1]note_pop_types!$A$16:$E$16,4,FALSE),0),"")</f>
        <v/>
      </c>
      <c r="AD1020" t="str">
        <f>IFERROR(ROUND(O1020*VLOOKUP(N1020,[1]note_pop_types!$A$16:$E$16,4,FALSE),0),"")</f>
        <v/>
      </c>
      <c r="AE1020" t="str">
        <f>IFERROR(ROUND(Q1020*VLOOKUP(P1020,商品!$A$4:$B$60,2,FALSE),0),"")</f>
        <v/>
      </c>
      <c r="AF1020" t="str">
        <f>IFERROR(ROUND(S1020*VLOOKUP(R1020,商品!$A$4:$B$60,2,FALSE),0),"")</f>
        <v/>
      </c>
    </row>
    <row r="1021" spans="1:32" ht="19.05" customHeight="1" x14ac:dyDescent="0.25">
      <c r="A1021" s="16" t="s">
        <v>396</v>
      </c>
      <c r="C1021" s="16">
        <v>6</v>
      </c>
      <c r="T1021" s="2">
        <f t="shared" si="60"/>
        <v>0</v>
      </c>
      <c r="U1021" s="2">
        <f t="shared" si="61"/>
        <v>0</v>
      </c>
      <c r="V1021" s="2">
        <f t="shared" si="62"/>
        <v>0</v>
      </c>
      <c r="W1021" s="2">
        <f t="shared" si="63"/>
        <v>0</v>
      </c>
      <c r="Y1021" t="str">
        <f>IFERROR(ROUND(E1021*VLOOKUP(D1021,商品!$A$4:$B$60,2,FALSE),0),"")</f>
        <v/>
      </c>
      <c r="Z1021" t="str">
        <f>IFERROR(ROUND(G1021*VLOOKUP(F1021,商品!$A$4:$B$60,2,FALSE),0),"")</f>
        <v/>
      </c>
      <c r="AA1021" t="str">
        <f>IFERROR(ROUND(I1021*VLOOKUP(H1021,商品!$A$4:$B$60,2,FALSE),0),"")</f>
        <v/>
      </c>
      <c r="AB1021" t="str">
        <f>IFERROR(ROUND(K1021*VLOOKUP(J1021,[1]note_pop_types!$A$16:$E$16,4,FALSE),0),"")</f>
        <v/>
      </c>
      <c r="AC1021" t="str">
        <f>IFERROR(ROUND(M1021*VLOOKUP(L1021,[1]note_pop_types!$A$16:$E$16,4,FALSE),0),"")</f>
        <v/>
      </c>
      <c r="AD1021" t="str">
        <f>IFERROR(ROUND(O1021*VLOOKUP(N1021,[1]note_pop_types!$A$16:$E$16,4,FALSE),0),"")</f>
        <v/>
      </c>
      <c r="AE1021" t="str">
        <f>IFERROR(ROUND(Q1021*VLOOKUP(P1021,商品!$A$4:$B$60,2,FALSE),0),"")</f>
        <v/>
      </c>
      <c r="AF1021" t="str">
        <f>IFERROR(ROUND(S1021*VLOOKUP(R1021,商品!$A$4:$B$60,2,FALSE),0),"")</f>
        <v/>
      </c>
    </row>
    <row r="1022" spans="1:32" ht="19.05" customHeight="1" x14ac:dyDescent="0.25">
      <c r="A1022" s="16" t="s">
        <v>396</v>
      </c>
      <c r="C1022" s="16">
        <v>7</v>
      </c>
      <c r="T1022" s="2">
        <f t="shared" si="60"/>
        <v>0</v>
      </c>
      <c r="U1022" s="2">
        <f t="shared" si="61"/>
        <v>0</v>
      </c>
      <c r="V1022" s="2">
        <f t="shared" si="62"/>
        <v>0</v>
      </c>
      <c r="W1022" s="2">
        <f t="shared" si="63"/>
        <v>0</v>
      </c>
      <c r="Y1022" t="str">
        <f>IFERROR(ROUND(E1022*VLOOKUP(D1022,商品!$A$4:$B$60,2,FALSE),0),"")</f>
        <v/>
      </c>
      <c r="Z1022" t="str">
        <f>IFERROR(ROUND(G1022*VLOOKUP(F1022,商品!$A$4:$B$60,2,FALSE),0),"")</f>
        <v/>
      </c>
      <c r="AA1022" t="str">
        <f>IFERROR(ROUND(I1022*VLOOKUP(H1022,商品!$A$4:$B$60,2,FALSE),0),"")</f>
        <v/>
      </c>
      <c r="AB1022" t="str">
        <f>IFERROR(ROUND(K1022*VLOOKUP(J1022,[1]note_pop_types!$A$16:$E$16,4,FALSE),0),"")</f>
        <v/>
      </c>
      <c r="AC1022" t="str">
        <f>IFERROR(ROUND(M1022*VLOOKUP(L1022,[1]note_pop_types!$A$16:$E$16,4,FALSE),0),"")</f>
        <v/>
      </c>
      <c r="AD1022" t="str">
        <f>IFERROR(ROUND(O1022*VLOOKUP(N1022,[1]note_pop_types!$A$16:$E$16,4,FALSE),0),"")</f>
        <v/>
      </c>
      <c r="AE1022" t="str">
        <f>IFERROR(ROUND(Q1022*VLOOKUP(P1022,商品!$A$4:$B$60,2,FALSE),0),"")</f>
        <v/>
      </c>
      <c r="AF1022" t="str">
        <f>IFERROR(ROUND(S1022*VLOOKUP(R1022,商品!$A$4:$B$60,2,FALSE),0),"")</f>
        <v/>
      </c>
    </row>
    <row r="1023" spans="1:32" ht="19.05" customHeight="1" x14ac:dyDescent="0.25">
      <c r="A1023" s="16" t="s">
        <v>396</v>
      </c>
      <c r="C1023" s="16">
        <v>8</v>
      </c>
      <c r="T1023" s="2">
        <f t="shared" si="60"/>
        <v>0</v>
      </c>
      <c r="U1023" s="2">
        <f t="shared" si="61"/>
        <v>0</v>
      </c>
      <c r="V1023" s="2">
        <f t="shared" si="62"/>
        <v>0</v>
      </c>
      <c r="W1023" s="2">
        <f t="shared" si="63"/>
        <v>0</v>
      </c>
      <c r="Y1023" t="str">
        <f>IFERROR(ROUND(E1023*VLOOKUP(D1023,商品!$A$4:$B$60,2,FALSE),0),"")</f>
        <v/>
      </c>
      <c r="Z1023" t="str">
        <f>IFERROR(ROUND(G1023*VLOOKUP(F1023,商品!$A$4:$B$60,2,FALSE),0),"")</f>
        <v/>
      </c>
      <c r="AA1023" t="str">
        <f>IFERROR(ROUND(I1023*VLOOKUP(H1023,商品!$A$4:$B$60,2,FALSE),0),"")</f>
        <v/>
      </c>
      <c r="AB1023" t="str">
        <f>IFERROR(ROUND(K1023*VLOOKUP(J1023,[1]note_pop_types!$A$16:$E$16,4,FALSE),0),"")</f>
        <v/>
      </c>
      <c r="AC1023" t="str">
        <f>IFERROR(ROUND(M1023*VLOOKUP(L1023,[1]note_pop_types!$A$16:$E$16,4,FALSE),0),"")</f>
        <v/>
      </c>
      <c r="AD1023" t="str">
        <f>IFERROR(ROUND(O1023*VLOOKUP(N1023,[1]note_pop_types!$A$16:$E$16,4,FALSE),0),"")</f>
        <v/>
      </c>
      <c r="AE1023" t="str">
        <f>IFERROR(ROUND(Q1023*VLOOKUP(P1023,商品!$A$4:$B$60,2,FALSE),0),"")</f>
        <v/>
      </c>
      <c r="AF1023" t="str">
        <f>IFERROR(ROUND(S1023*VLOOKUP(R1023,商品!$A$4:$B$60,2,FALSE),0),"")</f>
        <v/>
      </c>
    </row>
    <row r="1024" spans="1:32" ht="19.05" customHeight="1" x14ac:dyDescent="0.25">
      <c r="A1024" s="15" t="s">
        <v>398</v>
      </c>
      <c r="C1024" s="15">
        <v>1</v>
      </c>
      <c r="T1024" s="2">
        <f t="shared" si="60"/>
        <v>0</v>
      </c>
      <c r="U1024" s="2">
        <f t="shared" si="61"/>
        <v>0</v>
      </c>
      <c r="V1024" s="2">
        <f t="shared" si="62"/>
        <v>0</v>
      </c>
      <c r="W1024" s="2">
        <f t="shared" si="63"/>
        <v>0</v>
      </c>
      <c r="Y1024" t="str">
        <f>IFERROR(ROUND(E1024*VLOOKUP(D1024,商品!$A$4:$B$60,2,FALSE),0),"")</f>
        <v/>
      </c>
      <c r="Z1024" t="str">
        <f>IFERROR(ROUND(G1024*VLOOKUP(F1024,商品!$A$4:$B$60,2,FALSE),0),"")</f>
        <v/>
      </c>
      <c r="AA1024" t="str">
        <f>IFERROR(ROUND(I1024*VLOOKUP(H1024,商品!$A$4:$B$60,2,FALSE),0),"")</f>
        <v/>
      </c>
      <c r="AB1024" t="str">
        <f>IFERROR(ROUND(K1024*VLOOKUP(J1024,[1]note_pop_types!$A$16:$E$16,4,FALSE),0),"")</f>
        <v/>
      </c>
      <c r="AC1024" t="str">
        <f>IFERROR(ROUND(M1024*VLOOKUP(L1024,[1]note_pop_types!$A$16:$E$16,4,FALSE),0),"")</f>
        <v/>
      </c>
      <c r="AD1024" t="str">
        <f>IFERROR(ROUND(O1024*VLOOKUP(N1024,[1]note_pop_types!$A$16:$E$16,4,FALSE),0),"")</f>
        <v/>
      </c>
      <c r="AE1024" t="str">
        <f>IFERROR(ROUND(Q1024*VLOOKUP(P1024,商品!$A$4:$B$60,2,FALSE),0),"")</f>
        <v/>
      </c>
      <c r="AF1024" t="str">
        <f>IFERROR(ROUND(S1024*VLOOKUP(R1024,商品!$A$4:$B$60,2,FALSE),0),"")</f>
        <v/>
      </c>
    </row>
    <row r="1025" spans="1:32" ht="19.05" customHeight="1" x14ac:dyDescent="0.25">
      <c r="A1025" s="15" t="s">
        <v>398</v>
      </c>
      <c r="C1025" s="15">
        <v>2</v>
      </c>
      <c r="T1025" s="2">
        <f t="shared" si="60"/>
        <v>0</v>
      </c>
      <c r="U1025" s="2">
        <f t="shared" si="61"/>
        <v>0</v>
      </c>
      <c r="V1025" s="2">
        <f t="shared" si="62"/>
        <v>0</v>
      </c>
      <c r="W1025" s="2">
        <f t="shared" si="63"/>
        <v>0</v>
      </c>
      <c r="Y1025" t="str">
        <f>IFERROR(ROUND(E1025*VLOOKUP(D1025,商品!$A$4:$B$60,2,FALSE),0),"")</f>
        <v/>
      </c>
      <c r="Z1025" t="str">
        <f>IFERROR(ROUND(G1025*VLOOKUP(F1025,商品!$A$4:$B$60,2,FALSE),0),"")</f>
        <v/>
      </c>
      <c r="AA1025" t="str">
        <f>IFERROR(ROUND(I1025*VLOOKUP(H1025,商品!$A$4:$B$60,2,FALSE),0),"")</f>
        <v/>
      </c>
      <c r="AB1025" t="str">
        <f>IFERROR(ROUND(K1025*VLOOKUP(J1025,[1]note_pop_types!$A$16:$E$16,4,FALSE),0),"")</f>
        <v/>
      </c>
      <c r="AC1025" t="str">
        <f>IFERROR(ROUND(M1025*VLOOKUP(L1025,[1]note_pop_types!$A$16:$E$16,4,FALSE),0),"")</f>
        <v/>
      </c>
      <c r="AD1025" t="str">
        <f>IFERROR(ROUND(O1025*VLOOKUP(N1025,[1]note_pop_types!$A$16:$E$16,4,FALSE),0),"")</f>
        <v/>
      </c>
      <c r="AE1025" t="str">
        <f>IFERROR(ROUND(Q1025*VLOOKUP(P1025,商品!$A$4:$B$60,2,FALSE),0),"")</f>
        <v/>
      </c>
      <c r="AF1025" t="str">
        <f>IFERROR(ROUND(S1025*VLOOKUP(R1025,商品!$A$4:$B$60,2,FALSE),0),"")</f>
        <v/>
      </c>
    </row>
    <row r="1026" spans="1:32" ht="19.05" customHeight="1" x14ac:dyDescent="0.25">
      <c r="A1026" s="15" t="s">
        <v>398</v>
      </c>
      <c r="C1026" s="15">
        <v>3</v>
      </c>
      <c r="T1026" s="2">
        <f t="shared" si="60"/>
        <v>0</v>
      </c>
      <c r="U1026" s="2">
        <f t="shared" si="61"/>
        <v>0</v>
      </c>
      <c r="V1026" s="2">
        <f t="shared" si="62"/>
        <v>0</v>
      </c>
      <c r="W1026" s="2">
        <f t="shared" si="63"/>
        <v>0</v>
      </c>
      <c r="Y1026" t="str">
        <f>IFERROR(ROUND(E1026*VLOOKUP(D1026,商品!$A$4:$B$60,2,FALSE),0),"")</f>
        <v/>
      </c>
      <c r="Z1026" t="str">
        <f>IFERROR(ROUND(G1026*VLOOKUP(F1026,商品!$A$4:$B$60,2,FALSE),0),"")</f>
        <v/>
      </c>
      <c r="AA1026" t="str">
        <f>IFERROR(ROUND(I1026*VLOOKUP(H1026,商品!$A$4:$B$60,2,FALSE),0),"")</f>
        <v/>
      </c>
      <c r="AB1026" t="str">
        <f>IFERROR(ROUND(K1026*VLOOKUP(J1026,[1]note_pop_types!$A$16:$E$16,4,FALSE),0),"")</f>
        <v/>
      </c>
      <c r="AC1026" t="str">
        <f>IFERROR(ROUND(M1026*VLOOKUP(L1026,[1]note_pop_types!$A$16:$E$16,4,FALSE),0),"")</f>
        <v/>
      </c>
      <c r="AD1026" t="str">
        <f>IFERROR(ROUND(O1026*VLOOKUP(N1026,[1]note_pop_types!$A$16:$E$16,4,FALSE),0),"")</f>
        <v/>
      </c>
      <c r="AE1026" t="str">
        <f>IFERROR(ROUND(Q1026*VLOOKUP(P1026,商品!$A$4:$B$60,2,FALSE),0),"")</f>
        <v/>
      </c>
      <c r="AF1026" t="str">
        <f>IFERROR(ROUND(S1026*VLOOKUP(R1026,商品!$A$4:$B$60,2,FALSE),0),"")</f>
        <v/>
      </c>
    </row>
    <row r="1027" spans="1:32" ht="19.05" customHeight="1" x14ac:dyDescent="0.25">
      <c r="A1027" s="15" t="s">
        <v>398</v>
      </c>
      <c r="C1027" s="15">
        <v>4</v>
      </c>
      <c r="T1027" s="2">
        <f t="shared" si="60"/>
        <v>0</v>
      </c>
      <c r="U1027" s="2">
        <f t="shared" si="61"/>
        <v>0</v>
      </c>
      <c r="V1027" s="2">
        <f t="shared" si="62"/>
        <v>0</v>
      </c>
      <c r="W1027" s="2">
        <f t="shared" si="63"/>
        <v>0</v>
      </c>
      <c r="Y1027" t="str">
        <f>IFERROR(ROUND(E1027*VLOOKUP(D1027,商品!$A$4:$B$60,2,FALSE),0),"")</f>
        <v/>
      </c>
      <c r="Z1027" t="str">
        <f>IFERROR(ROUND(G1027*VLOOKUP(F1027,商品!$A$4:$B$60,2,FALSE),0),"")</f>
        <v/>
      </c>
      <c r="AA1027" t="str">
        <f>IFERROR(ROUND(I1027*VLOOKUP(H1027,商品!$A$4:$B$60,2,FALSE),0),"")</f>
        <v/>
      </c>
      <c r="AB1027" t="str">
        <f>IFERROR(ROUND(K1027*VLOOKUP(J1027,[1]note_pop_types!$A$16:$E$16,4,FALSE),0),"")</f>
        <v/>
      </c>
      <c r="AC1027" t="str">
        <f>IFERROR(ROUND(M1027*VLOOKUP(L1027,[1]note_pop_types!$A$16:$E$16,4,FALSE),0),"")</f>
        <v/>
      </c>
      <c r="AD1027" t="str">
        <f>IFERROR(ROUND(O1027*VLOOKUP(N1027,[1]note_pop_types!$A$16:$E$16,4,FALSE),0),"")</f>
        <v/>
      </c>
      <c r="AE1027" t="str">
        <f>IFERROR(ROUND(Q1027*VLOOKUP(P1027,商品!$A$4:$B$60,2,FALSE),0),"")</f>
        <v/>
      </c>
      <c r="AF1027" t="str">
        <f>IFERROR(ROUND(S1027*VLOOKUP(R1027,商品!$A$4:$B$60,2,FALSE),0),"")</f>
        <v/>
      </c>
    </row>
    <row r="1028" spans="1:32" ht="19.05" customHeight="1" x14ac:dyDescent="0.25">
      <c r="A1028" s="15" t="s">
        <v>398</v>
      </c>
      <c r="C1028" s="15">
        <v>5</v>
      </c>
      <c r="T1028" s="2">
        <f t="shared" si="60"/>
        <v>0</v>
      </c>
      <c r="U1028" s="2">
        <f t="shared" si="61"/>
        <v>0</v>
      </c>
      <c r="V1028" s="2">
        <f t="shared" si="62"/>
        <v>0</v>
      </c>
      <c r="W1028" s="2">
        <f t="shared" si="63"/>
        <v>0</v>
      </c>
      <c r="Y1028" t="str">
        <f>IFERROR(ROUND(E1028*VLOOKUP(D1028,商品!$A$4:$B$60,2,FALSE),0),"")</f>
        <v/>
      </c>
      <c r="Z1028" t="str">
        <f>IFERROR(ROUND(G1028*VLOOKUP(F1028,商品!$A$4:$B$60,2,FALSE),0),"")</f>
        <v/>
      </c>
      <c r="AA1028" t="str">
        <f>IFERROR(ROUND(I1028*VLOOKUP(H1028,商品!$A$4:$B$60,2,FALSE),0),"")</f>
        <v/>
      </c>
      <c r="AB1028" t="str">
        <f>IFERROR(ROUND(K1028*VLOOKUP(J1028,[1]note_pop_types!$A$16:$E$16,4,FALSE),0),"")</f>
        <v/>
      </c>
      <c r="AC1028" t="str">
        <f>IFERROR(ROUND(M1028*VLOOKUP(L1028,[1]note_pop_types!$A$16:$E$16,4,FALSE),0),"")</f>
        <v/>
      </c>
      <c r="AD1028" t="str">
        <f>IFERROR(ROUND(O1028*VLOOKUP(N1028,[1]note_pop_types!$A$16:$E$16,4,FALSE),0),"")</f>
        <v/>
      </c>
      <c r="AE1028" t="str">
        <f>IFERROR(ROUND(Q1028*VLOOKUP(P1028,商品!$A$4:$B$60,2,FALSE),0),"")</f>
        <v/>
      </c>
      <c r="AF1028" t="str">
        <f>IFERROR(ROUND(S1028*VLOOKUP(R1028,商品!$A$4:$B$60,2,FALSE),0),"")</f>
        <v/>
      </c>
    </row>
    <row r="1029" spans="1:32" ht="19.05" customHeight="1" x14ac:dyDescent="0.25">
      <c r="A1029" s="16" t="s">
        <v>549</v>
      </c>
      <c r="C1029" s="16">
        <v>1</v>
      </c>
      <c r="T1029" s="2">
        <f t="shared" si="60"/>
        <v>0</v>
      </c>
      <c r="U1029" s="2">
        <f t="shared" si="61"/>
        <v>0</v>
      </c>
      <c r="V1029" s="2">
        <f t="shared" si="62"/>
        <v>0</v>
      </c>
      <c r="W1029" s="2">
        <f t="shared" si="63"/>
        <v>0</v>
      </c>
      <c r="Y1029" t="str">
        <f>IFERROR(ROUND(E1029*VLOOKUP(D1029,商品!$A$4:$B$60,2,FALSE),0),"")</f>
        <v/>
      </c>
      <c r="Z1029" t="str">
        <f>IFERROR(ROUND(G1029*VLOOKUP(F1029,商品!$A$4:$B$60,2,FALSE),0),"")</f>
        <v/>
      </c>
      <c r="AA1029" t="str">
        <f>IFERROR(ROUND(I1029*VLOOKUP(H1029,商品!$A$4:$B$60,2,FALSE),0),"")</f>
        <v/>
      </c>
      <c r="AB1029" t="str">
        <f>IFERROR(ROUND(K1029*VLOOKUP(J1029,[1]note_pop_types!$A$16:$E$16,4,FALSE),0),"")</f>
        <v/>
      </c>
      <c r="AC1029" t="str">
        <f>IFERROR(ROUND(M1029*VLOOKUP(L1029,[1]note_pop_types!$A$16:$E$16,4,FALSE),0),"")</f>
        <v/>
      </c>
      <c r="AD1029" t="str">
        <f>IFERROR(ROUND(O1029*VLOOKUP(N1029,[1]note_pop_types!$A$16:$E$16,4,FALSE),0),"")</f>
        <v/>
      </c>
      <c r="AE1029" t="str">
        <f>IFERROR(ROUND(Q1029*VLOOKUP(P1029,商品!$A$4:$B$60,2,FALSE),0),"")</f>
        <v/>
      </c>
      <c r="AF1029" t="str">
        <f>IFERROR(ROUND(S1029*VLOOKUP(R1029,商品!$A$4:$B$60,2,FALSE),0),"")</f>
        <v/>
      </c>
    </row>
    <row r="1030" spans="1:32" ht="19.05" customHeight="1" x14ac:dyDescent="0.25">
      <c r="A1030" s="16" t="s">
        <v>549</v>
      </c>
      <c r="C1030" s="16">
        <v>2</v>
      </c>
      <c r="T1030" s="2">
        <f t="shared" ref="T1030:T1093" si="64">SUM(Y1030:AA1030)</f>
        <v>0</v>
      </c>
      <c r="U1030" s="2">
        <f t="shared" ref="U1030:U1093" si="65">SUM(AB1030:AC1030)</f>
        <v>0</v>
      </c>
      <c r="V1030" s="2">
        <f t="shared" ref="V1030:V1093" si="66">SUM(AE1030:AF1030)</f>
        <v>0</v>
      </c>
      <c r="W1030" s="2">
        <f t="shared" ref="W1030:W1093" si="67">V1030-T1030-U1030</f>
        <v>0</v>
      </c>
      <c r="Y1030" t="str">
        <f>IFERROR(ROUND(E1030*VLOOKUP(D1030,商品!$A$4:$B$60,2,FALSE),0),"")</f>
        <v/>
      </c>
      <c r="Z1030" t="str">
        <f>IFERROR(ROUND(G1030*VLOOKUP(F1030,商品!$A$4:$B$60,2,FALSE),0),"")</f>
        <v/>
      </c>
      <c r="AA1030" t="str">
        <f>IFERROR(ROUND(I1030*VLOOKUP(H1030,商品!$A$4:$B$60,2,FALSE),0),"")</f>
        <v/>
      </c>
      <c r="AB1030" t="str">
        <f>IFERROR(ROUND(K1030*VLOOKUP(J1030,[1]note_pop_types!$A$16:$E$16,4,FALSE),0),"")</f>
        <v/>
      </c>
      <c r="AC1030" t="str">
        <f>IFERROR(ROUND(M1030*VLOOKUP(L1030,[1]note_pop_types!$A$16:$E$16,4,FALSE),0),"")</f>
        <v/>
      </c>
      <c r="AD1030" t="str">
        <f>IFERROR(ROUND(O1030*VLOOKUP(N1030,[1]note_pop_types!$A$16:$E$16,4,FALSE),0),"")</f>
        <v/>
      </c>
      <c r="AE1030" t="str">
        <f>IFERROR(ROUND(Q1030*VLOOKUP(P1030,商品!$A$4:$B$60,2,FALSE),0),"")</f>
        <v/>
      </c>
      <c r="AF1030" t="str">
        <f>IFERROR(ROUND(S1030*VLOOKUP(R1030,商品!$A$4:$B$60,2,FALSE),0),"")</f>
        <v/>
      </c>
    </row>
    <row r="1031" spans="1:32" ht="19.05" customHeight="1" x14ac:dyDescent="0.25">
      <c r="A1031" s="16" t="s">
        <v>549</v>
      </c>
      <c r="C1031" s="16">
        <v>3</v>
      </c>
      <c r="T1031" s="2">
        <f t="shared" si="64"/>
        <v>0</v>
      </c>
      <c r="U1031" s="2">
        <f t="shared" si="65"/>
        <v>0</v>
      </c>
      <c r="V1031" s="2">
        <f t="shared" si="66"/>
        <v>0</v>
      </c>
      <c r="W1031" s="2">
        <f t="shared" si="67"/>
        <v>0</v>
      </c>
      <c r="Y1031" t="str">
        <f>IFERROR(ROUND(E1031*VLOOKUP(D1031,商品!$A$4:$B$60,2,FALSE),0),"")</f>
        <v/>
      </c>
      <c r="Z1031" t="str">
        <f>IFERROR(ROUND(G1031*VLOOKUP(F1031,商品!$A$4:$B$60,2,FALSE),0),"")</f>
        <v/>
      </c>
      <c r="AA1031" t="str">
        <f>IFERROR(ROUND(I1031*VLOOKUP(H1031,商品!$A$4:$B$60,2,FALSE),0),"")</f>
        <v/>
      </c>
      <c r="AB1031" t="str">
        <f>IFERROR(ROUND(K1031*VLOOKUP(J1031,[1]note_pop_types!$A$16:$E$16,4,FALSE),0),"")</f>
        <v/>
      </c>
      <c r="AC1031" t="str">
        <f>IFERROR(ROUND(M1031*VLOOKUP(L1031,[1]note_pop_types!$A$16:$E$16,4,FALSE),0),"")</f>
        <v/>
      </c>
      <c r="AD1031" t="str">
        <f>IFERROR(ROUND(O1031*VLOOKUP(N1031,[1]note_pop_types!$A$16:$E$16,4,FALSE),0),"")</f>
        <v/>
      </c>
      <c r="AE1031" t="str">
        <f>IFERROR(ROUND(Q1031*VLOOKUP(P1031,商品!$A$4:$B$60,2,FALSE),0),"")</f>
        <v/>
      </c>
      <c r="AF1031" t="str">
        <f>IFERROR(ROUND(S1031*VLOOKUP(R1031,商品!$A$4:$B$60,2,FALSE),0),"")</f>
        <v/>
      </c>
    </row>
    <row r="1032" spans="1:32" ht="19.05" customHeight="1" x14ac:dyDescent="0.25">
      <c r="A1032" s="16" t="s">
        <v>549</v>
      </c>
      <c r="C1032" s="16">
        <v>4</v>
      </c>
      <c r="T1032" s="2">
        <f t="shared" si="64"/>
        <v>0</v>
      </c>
      <c r="U1032" s="2">
        <f t="shared" si="65"/>
        <v>0</v>
      </c>
      <c r="V1032" s="2">
        <f t="shared" si="66"/>
        <v>0</v>
      </c>
      <c r="W1032" s="2">
        <f t="shared" si="67"/>
        <v>0</v>
      </c>
      <c r="Y1032" t="str">
        <f>IFERROR(ROUND(E1032*VLOOKUP(D1032,商品!$A$4:$B$60,2,FALSE),0),"")</f>
        <v/>
      </c>
      <c r="Z1032" t="str">
        <f>IFERROR(ROUND(G1032*VLOOKUP(F1032,商品!$A$4:$B$60,2,FALSE),0),"")</f>
        <v/>
      </c>
      <c r="AA1032" t="str">
        <f>IFERROR(ROUND(I1032*VLOOKUP(H1032,商品!$A$4:$B$60,2,FALSE),0),"")</f>
        <v/>
      </c>
      <c r="AB1032" t="str">
        <f>IFERROR(ROUND(K1032*VLOOKUP(J1032,[1]note_pop_types!$A$16:$E$16,4,FALSE),0),"")</f>
        <v/>
      </c>
      <c r="AC1032" t="str">
        <f>IFERROR(ROUND(M1032*VLOOKUP(L1032,[1]note_pop_types!$A$16:$E$16,4,FALSE),0),"")</f>
        <v/>
      </c>
      <c r="AD1032" t="str">
        <f>IFERROR(ROUND(O1032*VLOOKUP(N1032,[1]note_pop_types!$A$16:$E$16,4,FALSE),0),"")</f>
        <v/>
      </c>
      <c r="AE1032" t="str">
        <f>IFERROR(ROUND(Q1032*VLOOKUP(P1032,商品!$A$4:$B$60,2,FALSE),0),"")</f>
        <v/>
      </c>
      <c r="AF1032" t="str">
        <f>IFERROR(ROUND(S1032*VLOOKUP(R1032,商品!$A$4:$B$60,2,FALSE),0),"")</f>
        <v/>
      </c>
    </row>
    <row r="1033" spans="1:32" ht="19.05" customHeight="1" x14ac:dyDescent="0.25">
      <c r="A1033" s="16" t="s">
        <v>549</v>
      </c>
      <c r="C1033" s="16">
        <v>5</v>
      </c>
      <c r="T1033" s="2">
        <f t="shared" si="64"/>
        <v>0</v>
      </c>
      <c r="U1033" s="2">
        <f t="shared" si="65"/>
        <v>0</v>
      </c>
      <c r="V1033" s="2">
        <f t="shared" si="66"/>
        <v>0</v>
      </c>
      <c r="W1033" s="2">
        <f t="shared" si="67"/>
        <v>0</v>
      </c>
      <c r="Y1033" t="str">
        <f>IFERROR(ROUND(E1033*VLOOKUP(D1033,商品!$A$4:$B$60,2,FALSE),0),"")</f>
        <v/>
      </c>
      <c r="Z1033" t="str">
        <f>IFERROR(ROUND(G1033*VLOOKUP(F1033,商品!$A$4:$B$60,2,FALSE),0),"")</f>
        <v/>
      </c>
      <c r="AA1033" t="str">
        <f>IFERROR(ROUND(I1033*VLOOKUP(H1033,商品!$A$4:$B$60,2,FALSE),0),"")</f>
        <v/>
      </c>
      <c r="AB1033" t="str">
        <f>IFERROR(ROUND(K1033*VLOOKUP(J1033,[1]note_pop_types!$A$16:$E$16,4,FALSE),0),"")</f>
        <v/>
      </c>
      <c r="AC1033" t="str">
        <f>IFERROR(ROUND(M1033*VLOOKUP(L1033,[1]note_pop_types!$A$16:$E$16,4,FALSE),0),"")</f>
        <v/>
      </c>
      <c r="AD1033" t="str">
        <f>IFERROR(ROUND(O1033*VLOOKUP(N1033,[1]note_pop_types!$A$16:$E$16,4,FALSE),0),"")</f>
        <v/>
      </c>
      <c r="AE1033" t="str">
        <f>IFERROR(ROUND(Q1033*VLOOKUP(P1033,商品!$A$4:$B$60,2,FALSE),0),"")</f>
        <v/>
      </c>
      <c r="AF1033" t="str">
        <f>IFERROR(ROUND(S1033*VLOOKUP(R1033,商品!$A$4:$B$60,2,FALSE),0),"")</f>
        <v/>
      </c>
    </row>
    <row r="1034" spans="1:32" ht="19.05" customHeight="1" x14ac:dyDescent="0.25">
      <c r="A1034" s="15" t="s">
        <v>549</v>
      </c>
      <c r="C1034" s="15">
        <v>1</v>
      </c>
      <c r="T1034" s="2">
        <f t="shared" si="64"/>
        <v>0</v>
      </c>
      <c r="U1034" s="2">
        <f t="shared" si="65"/>
        <v>0</v>
      </c>
      <c r="V1034" s="2">
        <f t="shared" si="66"/>
        <v>0</v>
      </c>
      <c r="W1034" s="2">
        <f t="shared" si="67"/>
        <v>0</v>
      </c>
      <c r="Y1034" t="str">
        <f>IFERROR(ROUND(E1034*VLOOKUP(D1034,商品!$A$4:$B$60,2,FALSE),0),"")</f>
        <v/>
      </c>
      <c r="Z1034" t="str">
        <f>IFERROR(ROUND(G1034*VLOOKUP(F1034,商品!$A$4:$B$60,2,FALSE),0),"")</f>
        <v/>
      </c>
      <c r="AA1034" t="str">
        <f>IFERROR(ROUND(I1034*VLOOKUP(H1034,商品!$A$4:$B$60,2,FALSE),0),"")</f>
        <v/>
      </c>
      <c r="AB1034" t="str">
        <f>IFERROR(ROUND(K1034*VLOOKUP(J1034,[1]note_pop_types!$A$16:$E$16,4,FALSE),0),"")</f>
        <v/>
      </c>
      <c r="AC1034" t="str">
        <f>IFERROR(ROUND(M1034*VLOOKUP(L1034,[1]note_pop_types!$A$16:$E$16,4,FALSE),0),"")</f>
        <v/>
      </c>
      <c r="AD1034" t="str">
        <f>IFERROR(ROUND(O1034*VLOOKUP(N1034,[1]note_pop_types!$A$16:$E$16,4,FALSE),0),"")</f>
        <v/>
      </c>
      <c r="AE1034" t="str">
        <f>IFERROR(ROUND(Q1034*VLOOKUP(P1034,商品!$A$4:$B$60,2,FALSE),0),"")</f>
        <v/>
      </c>
      <c r="AF1034" t="str">
        <f>IFERROR(ROUND(S1034*VLOOKUP(R1034,商品!$A$4:$B$60,2,FALSE),0),"")</f>
        <v/>
      </c>
    </row>
    <row r="1035" spans="1:32" ht="19.05" customHeight="1" x14ac:dyDescent="0.25">
      <c r="A1035" s="15" t="s">
        <v>549</v>
      </c>
      <c r="C1035" s="15">
        <v>2</v>
      </c>
      <c r="T1035" s="2">
        <f t="shared" si="64"/>
        <v>0</v>
      </c>
      <c r="U1035" s="2">
        <f t="shared" si="65"/>
        <v>0</v>
      </c>
      <c r="V1035" s="2">
        <f t="shared" si="66"/>
        <v>0</v>
      </c>
      <c r="W1035" s="2">
        <f t="shared" si="67"/>
        <v>0</v>
      </c>
      <c r="Y1035" t="str">
        <f>IFERROR(ROUND(E1035*VLOOKUP(D1035,商品!$A$4:$B$60,2,FALSE),0),"")</f>
        <v/>
      </c>
      <c r="Z1035" t="str">
        <f>IFERROR(ROUND(G1035*VLOOKUP(F1035,商品!$A$4:$B$60,2,FALSE),0),"")</f>
        <v/>
      </c>
      <c r="AA1035" t="str">
        <f>IFERROR(ROUND(I1035*VLOOKUP(H1035,商品!$A$4:$B$60,2,FALSE),0),"")</f>
        <v/>
      </c>
      <c r="AB1035" t="str">
        <f>IFERROR(ROUND(K1035*VLOOKUP(J1035,[1]note_pop_types!$A$16:$E$16,4,FALSE),0),"")</f>
        <v/>
      </c>
      <c r="AC1035" t="str">
        <f>IFERROR(ROUND(M1035*VLOOKUP(L1035,[1]note_pop_types!$A$16:$E$16,4,FALSE),0),"")</f>
        <v/>
      </c>
      <c r="AD1035" t="str">
        <f>IFERROR(ROUND(O1035*VLOOKUP(N1035,[1]note_pop_types!$A$16:$E$16,4,FALSE),0),"")</f>
        <v/>
      </c>
      <c r="AE1035" t="str">
        <f>IFERROR(ROUND(Q1035*VLOOKUP(P1035,商品!$A$4:$B$60,2,FALSE),0),"")</f>
        <v/>
      </c>
      <c r="AF1035" t="str">
        <f>IFERROR(ROUND(S1035*VLOOKUP(R1035,商品!$A$4:$B$60,2,FALSE),0),"")</f>
        <v/>
      </c>
    </row>
    <row r="1036" spans="1:32" ht="19.05" customHeight="1" x14ac:dyDescent="0.25">
      <c r="A1036" s="15" t="s">
        <v>549</v>
      </c>
      <c r="C1036" s="15">
        <v>3</v>
      </c>
      <c r="T1036" s="2">
        <f t="shared" si="64"/>
        <v>0</v>
      </c>
      <c r="U1036" s="2">
        <f t="shared" si="65"/>
        <v>0</v>
      </c>
      <c r="V1036" s="2">
        <f t="shared" si="66"/>
        <v>0</v>
      </c>
      <c r="W1036" s="2">
        <f t="shared" si="67"/>
        <v>0</v>
      </c>
      <c r="Y1036" t="str">
        <f>IFERROR(ROUND(E1036*VLOOKUP(D1036,商品!$A$4:$B$60,2,FALSE),0),"")</f>
        <v/>
      </c>
      <c r="Z1036" t="str">
        <f>IFERROR(ROUND(G1036*VLOOKUP(F1036,商品!$A$4:$B$60,2,FALSE),0),"")</f>
        <v/>
      </c>
      <c r="AA1036" t="str">
        <f>IFERROR(ROUND(I1036*VLOOKUP(H1036,商品!$A$4:$B$60,2,FALSE),0),"")</f>
        <v/>
      </c>
      <c r="AB1036" t="str">
        <f>IFERROR(ROUND(K1036*VLOOKUP(J1036,[1]note_pop_types!$A$16:$E$16,4,FALSE),0),"")</f>
        <v/>
      </c>
      <c r="AC1036" t="str">
        <f>IFERROR(ROUND(M1036*VLOOKUP(L1036,[1]note_pop_types!$A$16:$E$16,4,FALSE),0),"")</f>
        <v/>
      </c>
      <c r="AD1036" t="str">
        <f>IFERROR(ROUND(O1036*VLOOKUP(N1036,[1]note_pop_types!$A$16:$E$16,4,FALSE),0),"")</f>
        <v/>
      </c>
      <c r="AE1036" t="str">
        <f>IFERROR(ROUND(Q1036*VLOOKUP(P1036,商品!$A$4:$B$60,2,FALSE),0),"")</f>
        <v/>
      </c>
      <c r="AF1036" t="str">
        <f>IFERROR(ROUND(S1036*VLOOKUP(R1036,商品!$A$4:$B$60,2,FALSE),0),"")</f>
        <v/>
      </c>
    </row>
    <row r="1037" spans="1:32" ht="19.05" customHeight="1" x14ac:dyDescent="0.25">
      <c r="A1037" s="15" t="s">
        <v>549</v>
      </c>
      <c r="C1037" s="15">
        <v>4</v>
      </c>
      <c r="T1037" s="2">
        <f t="shared" si="64"/>
        <v>0</v>
      </c>
      <c r="U1037" s="2">
        <f t="shared" si="65"/>
        <v>0</v>
      </c>
      <c r="V1037" s="2">
        <f t="shared" si="66"/>
        <v>0</v>
      </c>
      <c r="W1037" s="2">
        <f t="shared" si="67"/>
        <v>0</v>
      </c>
      <c r="Y1037" t="str">
        <f>IFERROR(ROUND(E1037*VLOOKUP(D1037,商品!$A$4:$B$60,2,FALSE),0),"")</f>
        <v/>
      </c>
      <c r="Z1037" t="str">
        <f>IFERROR(ROUND(G1037*VLOOKUP(F1037,商品!$A$4:$B$60,2,FALSE),0),"")</f>
        <v/>
      </c>
      <c r="AA1037" t="str">
        <f>IFERROR(ROUND(I1037*VLOOKUP(H1037,商品!$A$4:$B$60,2,FALSE),0),"")</f>
        <v/>
      </c>
      <c r="AB1037" t="str">
        <f>IFERROR(ROUND(K1037*VLOOKUP(J1037,[1]note_pop_types!$A$16:$E$16,4,FALSE),0),"")</f>
        <v/>
      </c>
      <c r="AC1037" t="str">
        <f>IFERROR(ROUND(M1037*VLOOKUP(L1037,[1]note_pop_types!$A$16:$E$16,4,FALSE),0),"")</f>
        <v/>
      </c>
      <c r="AD1037" t="str">
        <f>IFERROR(ROUND(O1037*VLOOKUP(N1037,[1]note_pop_types!$A$16:$E$16,4,FALSE),0),"")</f>
        <v/>
      </c>
      <c r="AE1037" t="str">
        <f>IFERROR(ROUND(Q1037*VLOOKUP(P1037,商品!$A$4:$B$60,2,FALSE),0),"")</f>
        <v/>
      </c>
      <c r="AF1037" t="str">
        <f>IFERROR(ROUND(S1037*VLOOKUP(R1037,商品!$A$4:$B$60,2,FALSE),0),"")</f>
        <v/>
      </c>
    </row>
    <row r="1038" spans="1:32" ht="19.05" customHeight="1" x14ac:dyDescent="0.25">
      <c r="A1038" s="15" t="s">
        <v>549</v>
      </c>
      <c r="C1038" s="15">
        <v>5</v>
      </c>
      <c r="T1038" s="2">
        <f t="shared" si="64"/>
        <v>0</v>
      </c>
      <c r="U1038" s="2">
        <f t="shared" si="65"/>
        <v>0</v>
      </c>
      <c r="V1038" s="2">
        <f t="shared" si="66"/>
        <v>0</v>
      </c>
      <c r="W1038" s="2">
        <f t="shared" si="67"/>
        <v>0</v>
      </c>
      <c r="Y1038" t="str">
        <f>IFERROR(ROUND(E1038*VLOOKUP(D1038,商品!$A$4:$B$60,2,FALSE),0),"")</f>
        <v/>
      </c>
      <c r="Z1038" t="str">
        <f>IFERROR(ROUND(G1038*VLOOKUP(F1038,商品!$A$4:$B$60,2,FALSE),0),"")</f>
        <v/>
      </c>
      <c r="AA1038" t="str">
        <f>IFERROR(ROUND(I1038*VLOOKUP(H1038,商品!$A$4:$B$60,2,FALSE),0),"")</f>
        <v/>
      </c>
      <c r="AB1038" t="str">
        <f>IFERROR(ROUND(K1038*VLOOKUP(J1038,[1]note_pop_types!$A$16:$E$16,4,FALSE),0),"")</f>
        <v/>
      </c>
      <c r="AC1038" t="str">
        <f>IFERROR(ROUND(M1038*VLOOKUP(L1038,[1]note_pop_types!$A$16:$E$16,4,FALSE),0),"")</f>
        <v/>
      </c>
      <c r="AD1038" t="str">
        <f>IFERROR(ROUND(O1038*VLOOKUP(N1038,[1]note_pop_types!$A$16:$E$16,4,FALSE),0),"")</f>
        <v/>
      </c>
      <c r="AE1038" t="str">
        <f>IFERROR(ROUND(Q1038*VLOOKUP(P1038,商品!$A$4:$B$60,2,FALSE),0),"")</f>
        <v/>
      </c>
      <c r="AF1038" t="str">
        <f>IFERROR(ROUND(S1038*VLOOKUP(R1038,商品!$A$4:$B$60,2,FALSE),0),"")</f>
        <v/>
      </c>
    </row>
    <row r="1039" spans="1:32" ht="19.05" customHeight="1" x14ac:dyDescent="0.25">
      <c r="A1039" s="16" t="s">
        <v>401</v>
      </c>
      <c r="C1039" s="16">
        <v>1</v>
      </c>
      <c r="T1039" s="2">
        <f t="shared" si="64"/>
        <v>0</v>
      </c>
      <c r="U1039" s="2">
        <f t="shared" si="65"/>
        <v>0</v>
      </c>
      <c r="V1039" s="2">
        <f t="shared" si="66"/>
        <v>0</v>
      </c>
      <c r="W1039" s="2">
        <f t="shared" si="67"/>
        <v>0</v>
      </c>
      <c r="Y1039" t="str">
        <f>IFERROR(ROUND(E1039*VLOOKUP(D1039,商品!$A$4:$B$60,2,FALSE),0),"")</f>
        <v/>
      </c>
      <c r="Z1039" t="str">
        <f>IFERROR(ROUND(G1039*VLOOKUP(F1039,商品!$A$4:$B$60,2,FALSE),0),"")</f>
        <v/>
      </c>
      <c r="AA1039" t="str">
        <f>IFERROR(ROUND(I1039*VLOOKUP(H1039,商品!$A$4:$B$60,2,FALSE),0),"")</f>
        <v/>
      </c>
      <c r="AB1039" t="str">
        <f>IFERROR(ROUND(K1039*VLOOKUP(J1039,[1]note_pop_types!$A$16:$E$16,4,FALSE),0),"")</f>
        <v/>
      </c>
      <c r="AC1039" t="str">
        <f>IFERROR(ROUND(M1039*VLOOKUP(L1039,[1]note_pop_types!$A$16:$E$16,4,FALSE),0),"")</f>
        <v/>
      </c>
      <c r="AD1039" t="str">
        <f>IFERROR(ROUND(O1039*VLOOKUP(N1039,[1]note_pop_types!$A$16:$E$16,4,FALSE),0),"")</f>
        <v/>
      </c>
      <c r="AE1039" t="str">
        <f>IFERROR(ROUND(Q1039*VLOOKUP(P1039,商品!$A$4:$B$60,2,FALSE),0),"")</f>
        <v/>
      </c>
      <c r="AF1039" t="str">
        <f>IFERROR(ROUND(S1039*VLOOKUP(R1039,商品!$A$4:$B$60,2,FALSE),0),"")</f>
        <v/>
      </c>
    </row>
    <row r="1040" spans="1:32" ht="19.05" customHeight="1" x14ac:dyDescent="0.25">
      <c r="A1040" s="16" t="s">
        <v>401</v>
      </c>
      <c r="C1040" s="16">
        <v>2</v>
      </c>
      <c r="T1040" s="2">
        <f t="shared" si="64"/>
        <v>0</v>
      </c>
      <c r="U1040" s="2">
        <f t="shared" si="65"/>
        <v>0</v>
      </c>
      <c r="V1040" s="2">
        <f t="shared" si="66"/>
        <v>0</v>
      </c>
      <c r="W1040" s="2">
        <f t="shared" si="67"/>
        <v>0</v>
      </c>
      <c r="Y1040" t="str">
        <f>IFERROR(ROUND(E1040*VLOOKUP(D1040,商品!$A$4:$B$60,2,FALSE),0),"")</f>
        <v/>
      </c>
      <c r="Z1040" t="str">
        <f>IFERROR(ROUND(G1040*VLOOKUP(F1040,商品!$A$4:$B$60,2,FALSE),0),"")</f>
        <v/>
      </c>
      <c r="AA1040" t="str">
        <f>IFERROR(ROUND(I1040*VLOOKUP(H1040,商品!$A$4:$B$60,2,FALSE),0),"")</f>
        <v/>
      </c>
      <c r="AB1040" t="str">
        <f>IFERROR(ROUND(K1040*VLOOKUP(J1040,[1]note_pop_types!$A$16:$E$16,4,FALSE),0),"")</f>
        <v/>
      </c>
      <c r="AC1040" t="str">
        <f>IFERROR(ROUND(M1040*VLOOKUP(L1040,[1]note_pop_types!$A$16:$E$16,4,FALSE),0),"")</f>
        <v/>
      </c>
      <c r="AD1040" t="str">
        <f>IFERROR(ROUND(O1040*VLOOKUP(N1040,[1]note_pop_types!$A$16:$E$16,4,FALSE),0),"")</f>
        <v/>
      </c>
      <c r="AE1040" t="str">
        <f>IFERROR(ROUND(Q1040*VLOOKUP(P1040,商品!$A$4:$B$60,2,FALSE),0),"")</f>
        <v/>
      </c>
      <c r="AF1040" t="str">
        <f>IFERROR(ROUND(S1040*VLOOKUP(R1040,商品!$A$4:$B$60,2,FALSE),0),"")</f>
        <v/>
      </c>
    </row>
    <row r="1041" spans="1:32" ht="19.05" customHeight="1" x14ac:dyDescent="0.25">
      <c r="A1041" s="16" t="s">
        <v>401</v>
      </c>
      <c r="C1041" s="16">
        <v>3</v>
      </c>
      <c r="T1041" s="2">
        <f t="shared" si="64"/>
        <v>0</v>
      </c>
      <c r="U1041" s="2">
        <f t="shared" si="65"/>
        <v>0</v>
      </c>
      <c r="V1041" s="2">
        <f t="shared" si="66"/>
        <v>0</v>
      </c>
      <c r="W1041" s="2">
        <f t="shared" si="67"/>
        <v>0</v>
      </c>
      <c r="Y1041" t="str">
        <f>IFERROR(ROUND(E1041*VLOOKUP(D1041,商品!$A$4:$B$60,2,FALSE),0),"")</f>
        <v/>
      </c>
      <c r="Z1041" t="str">
        <f>IFERROR(ROUND(G1041*VLOOKUP(F1041,商品!$A$4:$B$60,2,FALSE),0),"")</f>
        <v/>
      </c>
      <c r="AA1041" t="str">
        <f>IFERROR(ROUND(I1041*VLOOKUP(H1041,商品!$A$4:$B$60,2,FALSE),0),"")</f>
        <v/>
      </c>
      <c r="AB1041" t="str">
        <f>IFERROR(ROUND(K1041*VLOOKUP(J1041,[1]note_pop_types!$A$16:$E$16,4,FALSE),0),"")</f>
        <v/>
      </c>
      <c r="AC1041" t="str">
        <f>IFERROR(ROUND(M1041*VLOOKUP(L1041,[1]note_pop_types!$A$16:$E$16,4,FALSE),0),"")</f>
        <v/>
      </c>
      <c r="AD1041" t="str">
        <f>IFERROR(ROUND(O1041*VLOOKUP(N1041,[1]note_pop_types!$A$16:$E$16,4,FALSE),0),"")</f>
        <v/>
      </c>
      <c r="AE1041" t="str">
        <f>IFERROR(ROUND(Q1041*VLOOKUP(P1041,商品!$A$4:$B$60,2,FALSE),0),"")</f>
        <v/>
      </c>
      <c r="AF1041" t="str">
        <f>IFERROR(ROUND(S1041*VLOOKUP(R1041,商品!$A$4:$B$60,2,FALSE),0),"")</f>
        <v/>
      </c>
    </row>
    <row r="1042" spans="1:32" ht="19.05" customHeight="1" x14ac:dyDescent="0.25">
      <c r="A1042" s="16" t="s">
        <v>401</v>
      </c>
      <c r="C1042" s="16">
        <v>4</v>
      </c>
      <c r="T1042" s="2">
        <f t="shared" si="64"/>
        <v>0</v>
      </c>
      <c r="U1042" s="2">
        <f t="shared" si="65"/>
        <v>0</v>
      </c>
      <c r="V1042" s="2">
        <f t="shared" si="66"/>
        <v>0</v>
      </c>
      <c r="W1042" s="2">
        <f t="shared" si="67"/>
        <v>0</v>
      </c>
      <c r="Y1042" t="str">
        <f>IFERROR(ROUND(E1042*VLOOKUP(D1042,商品!$A$4:$B$60,2,FALSE),0),"")</f>
        <v/>
      </c>
      <c r="Z1042" t="str">
        <f>IFERROR(ROUND(G1042*VLOOKUP(F1042,商品!$A$4:$B$60,2,FALSE),0),"")</f>
        <v/>
      </c>
      <c r="AA1042" t="str">
        <f>IFERROR(ROUND(I1042*VLOOKUP(H1042,商品!$A$4:$B$60,2,FALSE),0),"")</f>
        <v/>
      </c>
      <c r="AB1042" t="str">
        <f>IFERROR(ROUND(K1042*VLOOKUP(J1042,[1]note_pop_types!$A$16:$E$16,4,FALSE),0),"")</f>
        <v/>
      </c>
      <c r="AC1042" t="str">
        <f>IFERROR(ROUND(M1042*VLOOKUP(L1042,[1]note_pop_types!$A$16:$E$16,4,FALSE),0),"")</f>
        <v/>
      </c>
      <c r="AD1042" t="str">
        <f>IFERROR(ROUND(O1042*VLOOKUP(N1042,[1]note_pop_types!$A$16:$E$16,4,FALSE),0),"")</f>
        <v/>
      </c>
      <c r="AE1042" t="str">
        <f>IFERROR(ROUND(Q1042*VLOOKUP(P1042,商品!$A$4:$B$60,2,FALSE),0),"")</f>
        <v/>
      </c>
      <c r="AF1042" t="str">
        <f>IFERROR(ROUND(S1042*VLOOKUP(R1042,商品!$A$4:$B$60,2,FALSE),0),"")</f>
        <v/>
      </c>
    </row>
    <row r="1043" spans="1:32" ht="19.05" customHeight="1" x14ac:dyDescent="0.25">
      <c r="A1043" s="16" t="s">
        <v>401</v>
      </c>
      <c r="C1043" s="16">
        <v>5</v>
      </c>
      <c r="T1043" s="2">
        <f t="shared" si="64"/>
        <v>0</v>
      </c>
      <c r="U1043" s="2">
        <f t="shared" si="65"/>
        <v>0</v>
      </c>
      <c r="V1043" s="2">
        <f t="shared" si="66"/>
        <v>0</v>
      </c>
      <c r="W1043" s="2">
        <f t="shared" si="67"/>
        <v>0</v>
      </c>
      <c r="Y1043" t="str">
        <f>IFERROR(ROUND(E1043*VLOOKUP(D1043,商品!$A$4:$B$60,2,FALSE),0),"")</f>
        <v/>
      </c>
      <c r="Z1043" t="str">
        <f>IFERROR(ROUND(G1043*VLOOKUP(F1043,商品!$A$4:$B$60,2,FALSE),0),"")</f>
        <v/>
      </c>
      <c r="AA1043" t="str">
        <f>IFERROR(ROUND(I1043*VLOOKUP(H1043,商品!$A$4:$B$60,2,FALSE),0),"")</f>
        <v/>
      </c>
      <c r="AB1043" t="str">
        <f>IFERROR(ROUND(K1043*VLOOKUP(J1043,[1]note_pop_types!$A$16:$E$16,4,FALSE),0),"")</f>
        <v/>
      </c>
      <c r="AC1043" t="str">
        <f>IFERROR(ROUND(M1043*VLOOKUP(L1043,[1]note_pop_types!$A$16:$E$16,4,FALSE),0),"")</f>
        <v/>
      </c>
      <c r="AD1043" t="str">
        <f>IFERROR(ROUND(O1043*VLOOKUP(N1043,[1]note_pop_types!$A$16:$E$16,4,FALSE),0),"")</f>
        <v/>
      </c>
      <c r="AE1043" t="str">
        <f>IFERROR(ROUND(Q1043*VLOOKUP(P1043,商品!$A$4:$B$60,2,FALSE),0),"")</f>
        <v/>
      </c>
      <c r="AF1043" t="str">
        <f>IFERROR(ROUND(S1043*VLOOKUP(R1043,商品!$A$4:$B$60,2,FALSE),0),"")</f>
        <v/>
      </c>
    </row>
    <row r="1044" spans="1:32" ht="19.05" customHeight="1" x14ac:dyDescent="0.25">
      <c r="A1044" s="16" t="s">
        <v>401</v>
      </c>
      <c r="C1044" s="16">
        <v>6</v>
      </c>
      <c r="T1044" s="2">
        <f t="shared" si="64"/>
        <v>0</v>
      </c>
      <c r="U1044" s="2">
        <f t="shared" si="65"/>
        <v>0</v>
      </c>
      <c r="V1044" s="2">
        <f t="shared" si="66"/>
        <v>0</v>
      </c>
      <c r="W1044" s="2">
        <f t="shared" si="67"/>
        <v>0</v>
      </c>
      <c r="Y1044" t="str">
        <f>IFERROR(ROUND(E1044*VLOOKUP(D1044,商品!$A$4:$B$60,2,FALSE),0),"")</f>
        <v/>
      </c>
      <c r="Z1044" t="str">
        <f>IFERROR(ROUND(G1044*VLOOKUP(F1044,商品!$A$4:$B$60,2,FALSE),0),"")</f>
        <v/>
      </c>
      <c r="AA1044" t="str">
        <f>IFERROR(ROUND(I1044*VLOOKUP(H1044,商品!$A$4:$B$60,2,FALSE),0),"")</f>
        <v/>
      </c>
      <c r="AB1044" t="str">
        <f>IFERROR(ROUND(K1044*VLOOKUP(J1044,[1]note_pop_types!$A$16:$E$16,4,FALSE),0),"")</f>
        <v/>
      </c>
      <c r="AC1044" t="str">
        <f>IFERROR(ROUND(M1044*VLOOKUP(L1044,[1]note_pop_types!$A$16:$E$16,4,FALSE),0),"")</f>
        <v/>
      </c>
      <c r="AD1044" t="str">
        <f>IFERROR(ROUND(O1044*VLOOKUP(N1044,[1]note_pop_types!$A$16:$E$16,4,FALSE),0),"")</f>
        <v/>
      </c>
      <c r="AE1044" t="str">
        <f>IFERROR(ROUND(Q1044*VLOOKUP(P1044,商品!$A$4:$B$60,2,FALSE),0),"")</f>
        <v/>
      </c>
      <c r="AF1044" t="str">
        <f>IFERROR(ROUND(S1044*VLOOKUP(R1044,商品!$A$4:$B$60,2,FALSE),0),"")</f>
        <v/>
      </c>
    </row>
    <row r="1045" spans="1:32" ht="19.05" customHeight="1" x14ac:dyDescent="0.25">
      <c r="A1045" s="16" t="s">
        <v>401</v>
      </c>
      <c r="C1045" s="16">
        <v>7</v>
      </c>
      <c r="T1045" s="2">
        <f t="shared" si="64"/>
        <v>0</v>
      </c>
      <c r="U1045" s="2">
        <f t="shared" si="65"/>
        <v>0</v>
      </c>
      <c r="V1045" s="2">
        <f t="shared" si="66"/>
        <v>0</v>
      </c>
      <c r="W1045" s="2">
        <f t="shared" si="67"/>
        <v>0</v>
      </c>
      <c r="Y1045" t="str">
        <f>IFERROR(ROUND(E1045*VLOOKUP(D1045,商品!$A$4:$B$60,2,FALSE),0),"")</f>
        <v/>
      </c>
      <c r="Z1045" t="str">
        <f>IFERROR(ROUND(G1045*VLOOKUP(F1045,商品!$A$4:$B$60,2,FALSE),0),"")</f>
        <v/>
      </c>
      <c r="AA1045" t="str">
        <f>IFERROR(ROUND(I1045*VLOOKUP(H1045,商品!$A$4:$B$60,2,FALSE),0),"")</f>
        <v/>
      </c>
      <c r="AB1045" t="str">
        <f>IFERROR(ROUND(K1045*VLOOKUP(J1045,[1]note_pop_types!$A$16:$E$16,4,FALSE),0),"")</f>
        <v/>
      </c>
      <c r="AC1045" t="str">
        <f>IFERROR(ROUND(M1045*VLOOKUP(L1045,[1]note_pop_types!$A$16:$E$16,4,FALSE),0),"")</f>
        <v/>
      </c>
      <c r="AD1045" t="str">
        <f>IFERROR(ROUND(O1045*VLOOKUP(N1045,[1]note_pop_types!$A$16:$E$16,4,FALSE),0),"")</f>
        <v/>
      </c>
      <c r="AE1045" t="str">
        <f>IFERROR(ROUND(Q1045*VLOOKUP(P1045,商品!$A$4:$B$60,2,FALSE),0),"")</f>
        <v/>
      </c>
      <c r="AF1045" t="str">
        <f>IFERROR(ROUND(S1045*VLOOKUP(R1045,商品!$A$4:$B$60,2,FALSE),0),"")</f>
        <v/>
      </c>
    </row>
    <row r="1046" spans="1:32" ht="19.05" customHeight="1" x14ac:dyDescent="0.25">
      <c r="A1046" s="16" t="s">
        <v>401</v>
      </c>
      <c r="C1046" s="16">
        <v>8</v>
      </c>
      <c r="T1046" s="2">
        <f t="shared" si="64"/>
        <v>0</v>
      </c>
      <c r="U1046" s="2">
        <f t="shared" si="65"/>
        <v>0</v>
      </c>
      <c r="V1046" s="2">
        <f t="shared" si="66"/>
        <v>0</v>
      </c>
      <c r="W1046" s="2">
        <f t="shared" si="67"/>
        <v>0</v>
      </c>
      <c r="Y1046" t="str">
        <f>IFERROR(ROUND(E1046*VLOOKUP(D1046,商品!$A$4:$B$60,2,FALSE),0),"")</f>
        <v/>
      </c>
      <c r="Z1046" t="str">
        <f>IFERROR(ROUND(G1046*VLOOKUP(F1046,商品!$A$4:$B$60,2,FALSE),0),"")</f>
        <v/>
      </c>
      <c r="AA1046" t="str">
        <f>IFERROR(ROUND(I1046*VLOOKUP(H1046,商品!$A$4:$B$60,2,FALSE),0),"")</f>
        <v/>
      </c>
      <c r="AB1046" t="str">
        <f>IFERROR(ROUND(K1046*VLOOKUP(J1046,[1]note_pop_types!$A$16:$E$16,4,FALSE),0),"")</f>
        <v/>
      </c>
      <c r="AC1046" t="str">
        <f>IFERROR(ROUND(M1046*VLOOKUP(L1046,[1]note_pop_types!$A$16:$E$16,4,FALSE),0),"")</f>
        <v/>
      </c>
      <c r="AD1046" t="str">
        <f>IFERROR(ROUND(O1046*VLOOKUP(N1046,[1]note_pop_types!$A$16:$E$16,4,FALSE),0),"")</f>
        <v/>
      </c>
      <c r="AE1046" t="str">
        <f>IFERROR(ROUND(Q1046*VLOOKUP(P1046,商品!$A$4:$B$60,2,FALSE),0),"")</f>
        <v/>
      </c>
      <c r="AF1046" t="str">
        <f>IFERROR(ROUND(S1046*VLOOKUP(R1046,商品!$A$4:$B$60,2,FALSE),0),"")</f>
        <v/>
      </c>
    </row>
    <row r="1047" spans="1:32" ht="19.05" customHeight="1" x14ac:dyDescent="0.25">
      <c r="A1047" s="15" t="s">
        <v>403</v>
      </c>
      <c r="C1047" s="15">
        <v>1</v>
      </c>
      <c r="T1047" s="2">
        <f t="shared" si="64"/>
        <v>0</v>
      </c>
      <c r="U1047" s="2">
        <f t="shared" si="65"/>
        <v>0</v>
      </c>
      <c r="V1047" s="2">
        <f t="shared" si="66"/>
        <v>0</v>
      </c>
      <c r="W1047" s="2">
        <f t="shared" si="67"/>
        <v>0</v>
      </c>
      <c r="Y1047" t="str">
        <f>IFERROR(ROUND(E1047*VLOOKUP(D1047,商品!$A$4:$B$60,2,FALSE),0),"")</f>
        <v/>
      </c>
      <c r="Z1047" t="str">
        <f>IFERROR(ROUND(G1047*VLOOKUP(F1047,商品!$A$4:$B$60,2,FALSE),0),"")</f>
        <v/>
      </c>
      <c r="AA1047" t="str">
        <f>IFERROR(ROUND(I1047*VLOOKUP(H1047,商品!$A$4:$B$60,2,FALSE),0),"")</f>
        <v/>
      </c>
      <c r="AB1047" t="str">
        <f>IFERROR(ROUND(K1047*VLOOKUP(J1047,[1]note_pop_types!$A$16:$E$16,4,FALSE),0),"")</f>
        <v/>
      </c>
      <c r="AC1047" t="str">
        <f>IFERROR(ROUND(M1047*VLOOKUP(L1047,[1]note_pop_types!$A$16:$E$16,4,FALSE),0),"")</f>
        <v/>
      </c>
      <c r="AD1047" t="str">
        <f>IFERROR(ROUND(O1047*VLOOKUP(N1047,[1]note_pop_types!$A$16:$E$16,4,FALSE),0),"")</f>
        <v/>
      </c>
      <c r="AE1047" t="str">
        <f>IFERROR(ROUND(Q1047*VLOOKUP(P1047,商品!$A$4:$B$60,2,FALSE),0),"")</f>
        <v/>
      </c>
      <c r="AF1047" t="str">
        <f>IFERROR(ROUND(S1047*VLOOKUP(R1047,商品!$A$4:$B$60,2,FALSE),0),"")</f>
        <v/>
      </c>
    </row>
    <row r="1048" spans="1:32" ht="19.05" customHeight="1" x14ac:dyDescent="0.25">
      <c r="A1048" s="15" t="s">
        <v>403</v>
      </c>
      <c r="C1048" s="15">
        <v>2</v>
      </c>
      <c r="T1048" s="2">
        <f t="shared" si="64"/>
        <v>0</v>
      </c>
      <c r="U1048" s="2">
        <f t="shared" si="65"/>
        <v>0</v>
      </c>
      <c r="V1048" s="2">
        <f t="shared" si="66"/>
        <v>0</v>
      </c>
      <c r="W1048" s="2">
        <f t="shared" si="67"/>
        <v>0</v>
      </c>
      <c r="Y1048" t="str">
        <f>IFERROR(ROUND(E1048*VLOOKUP(D1048,商品!$A$4:$B$60,2,FALSE),0),"")</f>
        <v/>
      </c>
      <c r="Z1048" t="str">
        <f>IFERROR(ROUND(G1048*VLOOKUP(F1048,商品!$A$4:$B$60,2,FALSE),0),"")</f>
        <v/>
      </c>
      <c r="AA1048" t="str">
        <f>IFERROR(ROUND(I1048*VLOOKUP(H1048,商品!$A$4:$B$60,2,FALSE),0),"")</f>
        <v/>
      </c>
      <c r="AB1048" t="str">
        <f>IFERROR(ROUND(K1048*VLOOKUP(J1048,[1]note_pop_types!$A$16:$E$16,4,FALSE),0),"")</f>
        <v/>
      </c>
      <c r="AC1048" t="str">
        <f>IFERROR(ROUND(M1048*VLOOKUP(L1048,[1]note_pop_types!$A$16:$E$16,4,FALSE),0),"")</f>
        <v/>
      </c>
      <c r="AD1048" t="str">
        <f>IFERROR(ROUND(O1048*VLOOKUP(N1048,[1]note_pop_types!$A$16:$E$16,4,FALSE),0),"")</f>
        <v/>
      </c>
      <c r="AE1048" t="str">
        <f>IFERROR(ROUND(Q1048*VLOOKUP(P1048,商品!$A$4:$B$60,2,FALSE),0),"")</f>
        <v/>
      </c>
      <c r="AF1048" t="str">
        <f>IFERROR(ROUND(S1048*VLOOKUP(R1048,商品!$A$4:$B$60,2,FALSE),0),"")</f>
        <v/>
      </c>
    </row>
    <row r="1049" spans="1:32" ht="19.05" customHeight="1" x14ac:dyDescent="0.25">
      <c r="A1049" s="15" t="s">
        <v>403</v>
      </c>
      <c r="C1049" s="15">
        <v>3</v>
      </c>
      <c r="T1049" s="2">
        <f t="shared" si="64"/>
        <v>0</v>
      </c>
      <c r="U1049" s="2">
        <f t="shared" si="65"/>
        <v>0</v>
      </c>
      <c r="V1049" s="2">
        <f t="shared" si="66"/>
        <v>0</v>
      </c>
      <c r="W1049" s="2">
        <f t="shared" si="67"/>
        <v>0</v>
      </c>
      <c r="Y1049" t="str">
        <f>IFERROR(ROUND(E1049*VLOOKUP(D1049,商品!$A$4:$B$60,2,FALSE),0),"")</f>
        <v/>
      </c>
      <c r="Z1049" t="str">
        <f>IFERROR(ROUND(G1049*VLOOKUP(F1049,商品!$A$4:$B$60,2,FALSE),0),"")</f>
        <v/>
      </c>
      <c r="AA1049" t="str">
        <f>IFERROR(ROUND(I1049*VLOOKUP(H1049,商品!$A$4:$B$60,2,FALSE),0),"")</f>
        <v/>
      </c>
      <c r="AB1049" t="str">
        <f>IFERROR(ROUND(K1049*VLOOKUP(J1049,[1]note_pop_types!$A$16:$E$16,4,FALSE),0),"")</f>
        <v/>
      </c>
      <c r="AC1049" t="str">
        <f>IFERROR(ROUND(M1049*VLOOKUP(L1049,[1]note_pop_types!$A$16:$E$16,4,FALSE),0),"")</f>
        <v/>
      </c>
      <c r="AD1049" t="str">
        <f>IFERROR(ROUND(O1049*VLOOKUP(N1049,[1]note_pop_types!$A$16:$E$16,4,FALSE),0),"")</f>
        <v/>
      </c>
      <c r="AE1049" t="str">
        <f>IFERROR(ROUND(Q1049*VLOOKUP(P1049,商品!$A$4:$B$60,2,FALSE),0),"")</f>
        <v/>
      </c>
      <c r="AF1049" t="str">
        <f>IFERROR(ROUND(S1049*VLOOKUP(R1049,商品!$A$4:$B$60,2,FALSE),0),"")</f>
        <v/>
      </c>
    </row>
    <row r="1050" spans="1:32" ht="19.05" customHeight="1" x14ac:dyDescent="0.25">
      <c r="A1050" s="15" t="s">
        <v>403</v>
      </c>
      <c r="C1050" s="15">
        <v>4</v>
      </c>
      <c r="T1050" s="2">
        <f t="shared" si="64"/>
        <v>0</v>
      </c>
      <c r="U1050" s="2">
        <f t="shared" si="65"/>
        <v>0</v>
      </c>
      <c r="V1050" s="2">
        <f t="shared" si="66"/>
        <v>0</v>
      </c>
      <c r="W1050" s="2">
        <f t="shared" si="67"/>
        <v>0</v>
      </c>
      <c r="Y1050" t="str">
        <f>IFERROR(ROUND(E1050*VLOOKUP(D1050,商品!$A$4:$B$60,2,FALSE),0),"")</f>
        <v/>
      </c>
      <c r="Z1050" t="str">
        <f>IFERROR(ROUND(G1050*VLOOKUP(F1050,商品!$A$4:$B$60,2,FALSE),0),"")</f>
        <v/>
      </c>
      <c r="AA1050" t="str">
        <f>IFERROR(ROUND(I1050*VLOOKUP(H1050,商品!$A$4:$B$60,2,FALSE),0),"")</f>
        <v/>
      </c>
      <c r="AB1050" t="str">
        <f>IFERROR(ROUND(K1050*VLOOKUP(J1050,[1]note_pop_types!$A$16:$E$16,4,FALSE),0),"")</f>
        <v/>
      </c>
      <c r="AC1050" t="str">
        <f>IFERROR(ROUND(M1050*VLOOKUP(L1050,[1]note_pop_types!$A$16:$E$16,4,FALSE),0),"")</f>
        <v/>
      </c>
      <c r="AD1050" t="str">
        <f>IFERROR(ROUND(O1050*VLOOKUP(N1050,[1]note_pop_types!$A$16:$E$16,4,FALSE),0),"")</f>
        <v/>
      </c>
      <c r="AE1050" t="str">
        <f>IFERROR(ROUND(Q1050*VLOOKUP(P1050,商品!$A$4:$B$60,2,FALSE),0),"")</f>
        <v/>
      </c>
      <c r="AF1050" t="str">
        <f>IFERROR(ROUND(S1050*VLOOKUP(R1050,商品!$A$4:$B$60,2,FALSE),0),"")</f>
        <v/>
      </c>
    </row>
    <row r="1051" spans="1:32" ht="19.05" customHeight="1" x14ac:dyDescent="0.25">
      <c r="A1051" s="15" t="s">
        <v>403</v>
      </c>
      <c r="C1051" s="15">
        <v>5</v>
      </c>
      <c r="T1051" s="2">
        <f t="shared" si="64"/>
        <v>0</v>
      </c>
      <c r="U1051" s="2">
        <f t="shared" si="65"/>
        <v>0</v>
      </c>
      <c r="V1051" s="2">
        <f t="shared" si="66"/>
        <v>0</v>
      </c>
      <c r="W1051" s="2">
        <f t="shared" si="67"/>
        <v>0</v>
      </c>
      <c r="Y1051" t="str">
        <f>IFERROR(ROUND(E1051*VLOOKUP(D1051,商品!$A$4:$B$60,2,FALSE),0),"")</f>
        <v/>
      </c>
      <c r="Z1051" t="str">
        <f>IFERROR(ROUND(G1051*VLOOKUP(F1051,商品!$A$4:$B$60,2,FALSE),0),"")</f>
        <v/>
      </c>
      <c r="AA1051" t="str">
        <f>IFERROR(ROUND(I1051*VLOOKUP(H1051,商品!$A$4:$B$60,2,FALSE),0),"")</f>
        <v/>
      </c>
      <c r="AB1051" t="str">
        <f>IFERROR(ROUND(K1051*VLOOKUP(J1051,[1]note_pop_types!$A$16:$E$16,4,FALSE),0),"")</f>
        <v/>
      </c>
      <c r="AC1051" t="str">
        <f>IFERROR(ROUND(M1051*VLOOKUP(L1051,[1]note_pop_types!$A$16:$E$16,4,FALSE),0),"")</f>
        <v/>
      </c>
      <c r="AD1051" t="str">
        <f>IFERROR(ROUND(O1051*VLOOKUP(N1051,[1]note_pop_types!$A$16:$E$16,4,FALSE),0),"")</f>
        <v/>
      </c>
      <c r="AE1051" t="str">
        <f>IFERROR(ROUND(Q1051*VLOOKUP(P1051,商品!$A$4:$B$60,2,FALSE),0),"")</f>
        <v/>
      </c>
      <c r="AF1051" t="str">
        <f>IFERROR(ROUND(S1051*VLOOKUP(R1051,商品!$A$4:$B$60,2,FALSE),0),"")</f>
        <v/>
      </c>
    </row>
    <row r="1052" spans="1:32" ht="19.05" customHeight="1" x14ac:dyDescent="0.25">
      <c r="A1052" s="16" t="s">
        <v>550</v>
      </c>
      <c r="C1052" s="16">
        <v>1</v>
      </c>
      <c r="T1052" s="2">
        <f t="shared" si="64"/>
        <v>0</v>
      </c>
      <c r="U1052" s="2">
        <f t="shared" si="65"/>
        <v>0</v>
      </c>
      <c r="V1052" s="2">
        <f t="shared" si="66"/>
        <v>0</v>
      </c>
      <c r="W1052" s="2">
        <f t="shared" si="67"/>
        <v>0</v>
      </c>
      <c r="Y1052" t="str">
        <f>IFERROR(ROUND(E1052*VLOOKUP(D1052,商品!$A$4:$B$60,2,FALSE),0),"")</f>
        <v/>
      </c>
      <c r="Z1052" t="str">
        <f>IFERROR(ROUND(G1052*VLOOKUP(F1052,商品!$A$4:$B$60,2,FALSE),0),"")</f>
        <v/>
      </c>
      <c r="AA1052" t="str">
        <f>IFERROR(ROUND(I1052*VLOOKUP(H1052,商品!$A$4:$B$60,2,FALSE),0),"")</f>
        <v/>
      </c>
      <c r="AB1052" t="str">
        <f>IFERROR(ROUND(K1052*VLOOKUP(J1052,[1]note_pop_types!$A$16:$E$16,4,FALSE),0),"")</f>
        <v/>
      </c>
      <c r="AC1052" t="str">
        <f>IFERROR(ROUND(M1052*VLOOKUP(L1052,[1]note_pop_types!$A$16:$E$16,4,FALSE),0),"")</f>
        <v/>
      </c>
      <c r="AD1052" t="str">
        <f>IFERROR(ROUND(O1052*VLOOKUP(N1052,[1]note_pop_types!$A$16:$E$16,4,FALSE),0),"")</f>
        <v/>
      </c>
      <c r="AE1052" t="str">
        <f>IFERROR(ROUND(Q1052*VLOOKUP(P1052,商品!$A$4:$B$60,2,FALSE),0),"")</f>
        <v/>
      </c>
      <c r="AF1052" t="str">
        <f>IFERROR(ROUND(S1052*VLOOKUP(R1052,商品!$A$4:$B$60,2,FALSE),0),"")</f>
        <v/>
      </c>
    </row>
    <row r="1053" spans="1:32" ht="19.05" customHeight="1" x14ac:dyDescent="0.25">
      <c r="A1053" s="16" t="s">
        <v>550</v>
      </c>
      <c r="C1053" s="16">
        <v>2</v>
      </c>
      <c r="T1053" s="2">
        <f t="shared" si="64"/>
        <v>0</v>
      </c>
      <c r="U1053" s="2">
        <f t="shared" si="65"/>
        <v>0</v>
      </c>
      <c r="V1053" s="2">
        <f t="shared" si="66"/>
        <v>0</v>
      </c>
      <c r="W1053" s="2">
        <f t="shared" si="67"/>
        <v>0</v>
      </c>
      <c r="Y1053" t="str">
        <f>IFERROR(ROUND(E1053*VLOOKUP(D1053,商品!$A$4:$B$60,2,FALSE),0),"")</f>
        <v/>
      </c>
      <c r="Z1053" t="str">
        <f>IFERROR(ROUND(G1053*VLOOKUP(F1053,商品!$A$4:$B$60,2,FALSE),0),"")</f>
        <v/>
      </c>
      <c r="AA1053" t="str">
        <f>IFERROR(ROUND(I1053*VLOOKUP(H1053,商品!$A$4:$B$60,2,FALSE),0),"")</f>
        <v/>
      </c>
      <c r="AB1053" t="str">
        <f>IFERROR(ROUND(K1053*VLOOKUP(J1053,[1]note_pop_types!$A$16:$E$16,4,FALSE),0),"")</f>
        <v/>
      </c>
      <c r="AC1053" t="str">
        <f>IFERROR(ROUND(M1053*VLOOKUP(L1053,[1]note_pop_types!$A$16:$E$16,4,FALSE),0),"")</f>
        <v/>
      </c>
      <c r="AD1053" t="str">
        <f>IFERROR(ROUND(O1053*VLOOKUP(N1053,[1]note_pop_types!$A$16:$E$16,4,FALSE),0),"")</f>
        <v/>
      </c>
      <c r="AE1053" t="str">
        <f>IFERROR(ROUND(Q1053*VLOOKUP(P1053,商品!$A$4:$B$60,2,FALSE),0),"")</f>
        <v/>
      </c>
      <c r="AF1053" t="str">
        <f>IFERROR(ROUND(S1053*VLOOKUP(R1053,商品!$A$4:$B$60,2,FALSE),0),"")</f>
        <v/>
      </c>
    </row>
    <row r="1054" spans="1:32" ht="19.05" customHeight="1" x14ac:dyDescent="0.25">
      <c r="A1054" s="16" t="s">
        <v>550</v>
      </c>
      <c r="C1054" s="16">
        <v>3</v>
      </c>
      <c r="T1054" s="2">
        <f t="shared" si="64"/>
        <v>0</v>
      </c>
      <c r="U1054" s="2">
        <f t="shared" si="65"/>
        <v>0</v>
      </c>
      <c r="V1054" s="2">
        <f t="shared" si="66"/>
        <v>0</v>
      </c>
      <c r="W1054" s="2">
        <f t="shared" si="67"/>
        <v>0</v>
      </c>
      <c r="Y1054" t="str">
        <f>IFERROR(ROUND(E1054*VLOOKUP(D1054,商品!$A$4:$B$60,2,FALSE),0),"")</f>
        <v/>
      </c>
      <c r="Z1054" t="str">
        <f>IFERROR(ROUND(G1054*VLOOKUP(F1054,商品!$A$4:$B$60,2,FALSE),0),"")</f>
        <v/>
      </c>
      <c r="AA1054" t="str">
        <f>IFERROR(ROUND(I1054*VLOOKUP(H1054,商品!$A$4:$B$60,2,FALSE),0),"")</f>
        <v/>
      </c>
      <c r="AB1054" t="str">
        <f>IFERROR(ROUND(K1054*VLOOKUP(J1054,[1]note_pop_types!$A$16:$E$16,4,FALSE),0),"")</f>
        <v/>
      </c>
      <c r="AC1054" t="str">
        <f>IFERROR(ROUND(M1054*VLOOKUP(L1054,[1]note_pop_types!$A$16:$E$16,4,FALSE),0),"")</f>
        <v/>
      </c>
      <c r="AD1054" t="str">
        <f>IFERROR(ROUND(O1054*VLOOKUP(N1054,[1]note_pop_types!$A$16:$E$16,4,FALSE),0),"")</f>
        <v/>
      </c>
      <c r="AE1054" t="str">
        <f>IFERROR(ROUND(Q1054*VLOOKUP(P1054,商品!$A$4:$B$60,2,FALSE),0),"")</f>
        <v/>
      </c>
      <c r="AF1054" t="str">
        <f>IFERROR(ROUND(S1054*VLOOKUP(R1054,商品!$A$4:$B$60,2,FALSE),0),"")</f>
        <v/>
      </c>
    </row>
    <row r="1055" spans="1:32" ht="19.05" customHeight="1" x14ac:dyDescent="0.25">
      <c r="A1055" s="16" t="s">
        <v>550</v>
      </c>
      <c r="C1055" s="16">
        <v>4</v>
      </c>
      <c r="T1055" s="2">
        <f t="shared" si="64"/>
        <v>0</v>
      </c>
      <c r="U1055" s="2">
        <f t="shared" si="65"/>
        <v>0</v>
      </c>
      <c r="V1055" s="2">
        <f t="shared" si="66"/>
        <v>0</v>
      </c>
      <c r="W1055" s="2">
        <f t="shared" si="67"/>
        <v>0</v>
      </c>
      <c r="Y1055" t="str">
        <f>IFERROR(ROUND(E1055*VLOOKUP(D1055,商品!$A$4:$B$60,2,FALSE),0),"")</f>
        <v/>
      </c>
      <c r="Z1055" t="str">
        <f>IFERROR(ROUND(G1055*VLOOKUP(F1055,商品!$A$4:$B$60,2,FALSE),0),"")</f>
        <v/>
      </c>
      <c r="AA1055" t="str">
        <f>IFERROR(ROUND(I1055*VLOOKUP(H1055,商品!$A$4:$B$60,2,FALSE),0),"")</f>
        <v/>
      </c>
      <c r="AB1055" t="str">
        <f>IFERROR(ROUND(K1055*VLOOKUP(J1055,[1]note_pop_types!$A$16:$E$16,4,FALSE),0),"")</f>
        <v/>
      </c>
      <c r="AC1055" t="str">
        <f>IFERROR(ROUND(M1055*VLOOKUP(L1055,[1]note_pop_types!$A$16:$E$16,4,FALSE),0),"")</f>
        <v/>
      </c>
      <c r="AD1055" t="str">
        <f>IFERROR(ROUND(O1055*VLOOKUP(N1055,[1]note_pop_types!$A$16:$E$16,4,FALSE),0),"")</f>
        <v/>
      </c>
      <c r="AE1055" t="str">
        <f>IFERROR(ROUND(Q1055*VLOOKUP(P1055,商品!$A$4:$B$60,2,FALSE),0),"")</f>
        <v/>
      </c>
      <c r="AF1055" t="str">
        <f>IFERROR(ROUND(S1055*VLOOKUP(R1055,商品!$A$4:$B$60,2,FALSE),0),"")</f>
        <v/>
      </c>
    </row>
    <row r="1056" spans="1:32" ht="19.05" customHeight="1" x14ac:dyDescent="0.25">
      <c r="A1056" s="16" t="s">
        <v>550</v>
      </c>
      <c r="C1056" s="16">
        <v>5</v>
      </c>
      <c r="T1056" s="2">
        <f t="shared" si="64"/>
        <v>0</v>
      </c>
      <c r="U1056" s="2">
        <f t="shared" si="65"/>
        <v>0</v>
      </c>
      <c r="V1056" s="2">
        <f t="shared" si="66"/>
        <v>0</v>
      </c>
      <c r="W1056" s="2">
        <f t="shared" si="67"/>
        <v>0</v>
      </c>
      <c r="Y1056" t="str">
        <f>IFERROR(ROUND(E1056*VLOOKUP(D1056,商品!$A$4:$B$60,2,FALSE),0),"")</f>
        <v/>
      </c>
      <c r="Z1056" t="str">
        <f>IFERROR(ROUND(G1056*VLOOKUP(F1056,商品!$A$4:$B$60,2,FALSE),0),"")</f>
        <v/>
      </c>
      <c r="AA1056" t="str">
        <f>IFERROR(ROUND(I1056*VLOOKUP(H1056,商品!$A$4:$B$60,2,FALSE),0),"")</f>
        <v/>
      </c>
      <c r="AB1056" t="str">
        <f>IFERROR(ROUND(K1056*VLOOKUP(J1056,[1]note_pop_types!$A$16:$E$16,4,FALSE),0),"")</f>
        <v/>
      </c>
      <c r="AC1056" t="str">
        <f>IFERROR(ROUND(M1056*VLOOKUP(L1056,[1]note_pop_types!$A$16:$E$16,4,FALSE),0),"")</f>
        <v/>
      </c>
      <c r="AD1056" t="str">
        <f>IFERROR(ROUND(O1056*VLOOKUP(N1056,[1]note_pop_types!$A$16:$E$16,4,FALSE),0),"")</f>
        <v/>
      </c>
      <c r="AE1056" t="str">
        <f>IFERROR(ROUND(Q1056*VLOOKUP(P1056,商品!$A$4:$B$60,2,FALSE),0),"")</f>
        <v/>
      </c>
      <c r="AF1056" t="str">
        <f>IFERROR(ROUND(S1056*VLOOKUP(R1056,商品!$A$4:$B$60,2,FALSE),0),"")</f>
        <v/>
      </c>
    </row>
    <row r="1057" spans="1:32" ht="19.05" customHeight="1" x14ac:dyDescent="0.25">
      <c r="A1057" s="15" t="s">
        <v>550</v>
      </c>
      <c r="C1057" s="15">
        <v>1</v>
      </c>
      <c r="T1057" s="2">
        <f t="shared" si="64"/>
        <v>0</v>
      </c>
      <c r="U1057" s="2">
        <f t="shared" si="65"/>
        <v>0</v>
      </c>
      <c r="V1057" s="2">
        <f t="shared" si="66"/>
        <v>0</v>
      </c>
      <c r="W1057" s="2">
        <f t="shared" si="67"/>
        <v>0</v>
      </c>
      <c r="Y1057" t="str">
        <f>IFERROR(ROUND(E1057*VLOOKUP(D1057,商品!$A$4:$B$60,2,FALSE),0),"")</f>
        <v/>
      </c>
      <c r="Z1057" t="str">
        <f>IFERROR(ROUND(G1057*VLOOKUP(F1057,商品!$A$4:$B$60,2,FALSE),0),"")</f>
        <v/>
      </c>
      <c r="AA1057" t="str">
        <f>IFERROR(ROUND(I1057*VLOOKUP(H1057,商品!$A$4:$B$60,2,FALSE),0),"")</f>
        <v/>
      </c>
      <c r="AB1057" t="str">
        <f>IFERROR(ROUND(K1057*VLOOKUP(J1057,[1]note_pop_types!$A$16:$E$16,4,FALSE),0),"")</f>
        <v/>
      </c>
      <c r="AC1057" t="str">
        <f>IFERROR(ROUND(M1057*VLOOKUP(L1057,[1]note_pop_types!$A$16:$E$16,4,FALSE),0),"")</f>
        <v/>
      </c>
      <c r="AD1057" t="str">
        <f>IFERROR(ROUND(O1057*VLOOKUP(N1057,[1]note_pop_types!$A$16:$E$16,4,FALSE),0),"")</f>
        <v/>
      </c>
      <c r="AE1057" t="str">
        <f>IFERROR(ROUND(Q1057*VLOOKUP(P1057,商品!$A$4:$B$60,2,FALSE),0),"")</f>
        <v/>
      </c>
      <c r="AF1057" t="str">
        <f>IFERROR(ROUND(S1057*VLOOKUP(R1057,商品!$A$4:$B$60,2,FALSE),0),"")</f>
        <v/>
      </c>
    </row>
    <row r="1058" spans="1:32" ht="19.05" customHeight="1" x14ac:dyDescent="0.25">
      <c r="A1058" s="15" t="s">
        <v>550</v>
      </c>
      <c r="C1058" s="15">
        <v>2</v>
      </c>
      <c r="T1058" s="2">
        <f t="shared" si="64"/>
        <v>0</v>
      </c>
      <c r="U1058" s="2">
        <f t="shared" si="65"/>
        <v>0</v>
      </c>
      <c r="V1058" s="2">
        <f t="shared" si="66"/>
        <v>0</v>
      </c>
      <c r="W1058" s="2">
        <f t="shared" si="67"/>
        <v>0</v>
      </c>
      <c r="Y1058" t="str">
        <f>IFERROR(ROUND(E1058*VLOOKUP(D1058,商品!$A$4:$B$60,2,FALSE),0),"")</f>
        <v/>
      </c>
      <c r="Z1058" t="str">
        <f>IFERROR(ROUND(G1058*VLOOKUP(F1058,商品!$A$4:$B$60,2,FALSE),0),"")</f>
        <v/>
      </c>
      <c r="AA1058" t="str">
        <f>IFERROR(ROUND(I1058*VLOOKUP(H1058,商品!$A$4:$B$60,2,FALSE),0),"")</f>
        <v/>
      </c>
      <c r="AB1058" t="str">
        <f>IFERROR(ROUND(K1058*VLOOKUP(J1058,[1]note_pop_types!$A$16:$E$16,4,FALSE),0),"")</f>
        <v/>
      </c>
      <c r="AC1058" t="str">
        <f>IFERROR(ROUND(M1058*VLOOKUP(L1058,[1]note_pop_types!$A$16:$E$16,4,FALSE),0),"")</f>
        <v/>
      </c>
      <c r="AD1058" t="str">
        <f>IFERROR(ROUND(O1058*VLOOKUP(N1058,[1]note_pop_types!$A$16:$E$16,4,FALSE),0),"")</f>
        <v/>
      </c>
      <c r="AE1058" t="str">
        <f>IFERROR(ROUND(Q1058*VLOOKUP(P1058,商品!$A$4:$B$60,2,FALSE),0),"")</f>
        <v/>
      </c>
      <c r="AF1058" t="str">
        <f>IFERROR(ROUND(S1058*VLOOKUP(R1058,商品!$A$4:$B$60,2,FALSE),0),"")</f>
        <v/>
      </c>
    </row>
    <row r="1059" spans="1:32" ht="19.05" customHeight="1" x14ac:dyDescent="0.25">
      <c r="A1059" s="15" t="s">
        <v>550</v>
      </c>
      <c r="C1059" s="15">
        <v>3</v>
      </c>
      <c r="T1059" s="2">
        <f t="shared" si="64"/>
        <v>0</v>
      </c>
      <c r="U1059" s="2">
        <f t="shared" si="65"/>
        <v>0</v>
      </c>
      <c r="V1059" s="2">
        <f t="shared" si="66"/>
        <v>0</v>
      </c>
      <c r="W1059" s="2">
        <f t="shared" si="67"/>
        <v>0</v>
      </c>
      <c r="Y1059" t="str">
        <f>IFERROR(ROUND(E1059*VLOOKUP(D1059,商品!$A$4:$B$60,2,FALSE),0),"")</f>
        <v/>
      </c>
      <c r="Z1059" t="str">
        <f>IFERROR(ROUND(G1059*VLOOKUP(F1059,商品!$A$4:$B$60,2,FALSE),0),"")</f>
        <v/>
      </c>
      <c r="AA1059" t="str">
        <f>IFERROR(ROUND(I1059*VLOOKUP(H1059,商品!$A$4:$B$60,2,FALSE),0),"")</f>
        <v/>
      </c>
      <c r="AB1059" t="str">
        <f>IFERROR(ROUND(K1059*VLOOKUP(J1059,[1]note_pop_types!$A$16:$E$16,4,FALSE),0),"")</f>
        <v/>
      </c>
      <c r="AC1059" t="str">
        <f>IFERROR(ROUND(M1059*VLOOKUP(L1059,[1]note_pop_types!$A$16:$E$16,4,FALSE),0),"")</f>
        <v/>
      </c>
      <c r="AD1059" t="str">
        <f>IFERROR(ROUND(O1059*VLOOKUP(N1059,[1]note_pop_types!$A$16:$E$16,4,FALSE),0),"")</f>
        <v/>
      </c>
      <c r="AE1059" t="str">
        <f>IFERROR(ROUND(Q1059*VLOOKUP(P1059,商品!$A$4:$B$60,2,FALSE),0),"")</f>
        <v/>
      </c>
      <c r="AF1059" t="str">
        <f>IFERROR(ROUND(S1059*VLOOKUP(R1059,商品!$A$4:$B$60,2,FALSE),0),"")</f>
        <v/>
      </c>
    </row>
    <row r="1060" spans="1:32" ht="19.05" customHeight="1" x14ac:dyDescent="0.25">
      <c r="A1060" s="15" t="s">
        <v>550</v>
      </c>
      <c r="C1060" s="15">
        <v>4</v>
      </c>
      <c r="T1060" s="2">
        <f t="shared" si="64"/>
        <v>0</v>
      </c>
      <c r="U1060" s="2">
        <f t="shared" si="65"/>
        <v>0</v>
      </c>
      <c r="V1060" s="2">
        <f t="shared" si="66"/>
        <v>0</v>
      </c>
      <c r="W1060" s="2">
        <f t="shared" si="67"/>
        <v>0</v>
      </c>
      <c r="Y1060" t="str">
        <f>IFERROR(ROUND(E1060*VLOOKUP(D1060,商品!$A$4:$B$60,2,FALSE),0),"")</f>
        <v/>
      </c>
      <c r="Z1060" t="str">
        <f>IFERROR(ROUND(G1060*VLOOKUP(F1060,商品!$A$4:$B$60,2,FALSE),0),"")</f>
        <v/>
      </c>
      <c r="AA1060" t="str">
        <f>IFERROR(ROUND(I1060*VLOOKUP(H1060,商品!$A$4:$B$60,2,FALSE),0),"")</f>
        <v/>
      </c>
      <c r="AB1060" t="str">
        <f>IFERROR(ROUND(K1060*VLOOKUP(J1060,[1]note_pop_types!$A$16:$E$16,4,FALSE),0),"")</f>
        <v/>
      </c>
      <c r="AC1060" t="str">
        <f>IFERROR(ROUND(M1060*VLOOKUP(L1060,[1]note_pop_types!$A$16:$E$16,4,FALSE),0),"")</f>
        <v/>
      </c>
      <c r="AD1060" t="str">
        <f>IFERROR(ROUND(O1060*VLOOKUP(N1060,[1]note_pop_types!$A$16:$E$16,4,FALSE),0),"")</f>
        <v/>
      </c>
      <c r="AE1060" t="str">
        <f>IFERROR(ROUND(Q1060*VLOOKUP(P1060,商品!$A$4:$B$60,2,FALSE),0),"")</f>
        <v/>
      </c>
      <c r="AF1060" t="str">
        <f>IFERROR(ROUND(S1060*VLOOKUP(R1060,商品!$A$4:$B$60,2,FALSE),0),"")</f>
        <v/>
      </c>
    </row>
    <row r="1061" spans="1:32" ht="19.05" customHeight="1" x14ac:dyDescent="0.25">
      <c r="A1061" s="15" t="s">
        <v>550</v>
      </c>
      <c r="C1061" s="15">
        <v>5</v>
      </c>
      <c r="T1061" s="2">
        <f t="shared" si="64"/>
        <v>0</v>
      </c>
      <c r="U1061" s="2">
        <f t="shared" si="65"/>
        <v>0</v>
      </c>
      <c r="V1061" s="2">
        <f t="shared" si="66"/>
        <v>0</v>
      </c>
      <c r="W1061" s="2">
        <f t="shared" si="67"/>
        <v>0</v>
      </c>
      <c r="Y1061" t="str">
        <f>IFERROR(ROUND(E1061*VLOOKUP(D1061,商品!$A$4:$B$60,2,FALSE),0),"")</f>
        <v/>
      </c>
      <c r="Z1061" t="str">
        <f>IFERROR(ROUND(G1061*VLOOKUP(F1061,商品!$A$4:$B$60,2,FALSE),0),"")</f>
        <v/>
      </c>
      <c r="AA1061" t="str">
        <f>IFERROR(ROUND(I1061*VLOOKUP(H1061,商品!$A$4:$B$60,2,FALSE),0),"")</f>
        <v/>
      </c>
      <c r="AB1061" t="str">
        <f>IFERROR(ROUND(K1061*VLOOKUP(J1061,[1]note_pop_types!$A$16:$E$16,4,FALSE),0),"")</f>
        <v/>
      </c>
      <c r="AC1061" t="str">
        <f>IFERROR(ROUND(M1061*VLOOKUP(L1061,[1]note_pop_types!$A$16:$E$16,4,FALSE),0),"")</f>
        <v/>
      </c>
      <c r="AD1061" t="str">
        <f>IFERROR(ROUND(O1061*VLOOKUP(N1061,[1]note_pop_types!$A$16:$E$16,4,FALSE),0),"")</f>
        <v/>
      </c>
      <c r="AE1061" t="str">
        <f>IFERROR(ROUND(Q1061*VLOOKUP(P1061,商品!$A$4:$B$60,2,FALSE),0),"")</f>
        <v/>
      </c>
      <c r="AF1061" t="str">
        <f>IFERROR(ROUND(S1061*VLOOKUP(R1061,商品!$A$4:$B$60,2,FALSE),0),"")</f>
        <v/>
      </c>
    </row>
    <row r="1062" spans="1:32" ht="19.05" customHeight="1" x14ac:dyDescent="0.25">
      <c r="A1062" s="16" t="s">
        <v>406</v>
      </c>
      <c r="C1062" s="16">
        <v>1</v>
      </c>
      <c r="T1062" s="2">
        <f t="shared" si="64"/>
        <v>0</v>
      </c>
      <c r="U1062" s="2">
        <f t="shared" si="65"/>
        <v>0</v>
      </c>
      <c r="V1062" s="2">
        <f t="shared" si="66"/>
        <v>0</v>
      </c>
      <c r="W1062" s="2">
        <f t="shared" si="67"/>
        <v>0</v>
      </c>
      <c r="Y1062" t="str">
        <f>IFERROR(ROUND(E1062*VLOOKUP(D1062,商品!$A$4:$B$60,2,FALSE),0),"")</f>
        <v/>
      </c>
      <c r="Z1062" t="str">
        <f>IFERROR(ROUND(G1062*VLOOKUP(F1062,商品!$A$4:$B$60,2,FALSE),0),"")</f>
        <v/>
      </c>
      <c r="AA1062" t="str">
        <f>IFERROR(ROUND(I1062*VLOOKUP(H1062,商品!$A$4:$B$60,2,FALSE),0),"")</f>
        <v/>
      </c>
      <c r="AB1062" t="str">
        <f>IFERROR(ROUND(K1062*VLOOKUP(J1062,[1]note_pop_types!$A$16:$E$16,4,FALSE),0),"")</f>
        <v/>
      </c>
      <c r="AC1062" t="str">
        <f>IFERROR(ROUND(M1062*VLOOKUP(L1062,[1]note_pop_types!$A$16:$E$16,4,FALSE),0),"")</f>
        <v/>
      </c>
      <c r="AD1062" t="str">
        <f>IFERROR(ROUND(O1062*VLOOKUP(N1062,[1]note_pop_types!$A$16:$E$16,4,FALSE),0),"")</f>
        <v/>
      </c>
      <c r="AE1062" t="str">
        <f>IFERROR(ROUND(Q1062*VLOOKUP(P1062,商品!$A$4:$B$60,2,FALSE),0),"")</f>
        <v/>
      </c>
      <c r="AF1062" t="str">
        <f>IFERROR(ROUND(S1062*VLOOKUP(R1062,商品!$A$4:$B$60,2,FALSE),0),"")</f>
        <v/>
      </c>
    </row>
    <row r="1063" spans="1:32" ht="19.05" customHeight="1" x14ac:dyDescent="0.25">
      <c r="A1063" s="16" t="s">
        <v>406</v>
      </c>
      <c r="C1063" s="16">
        <v>2</v>
      </c>
      <c r="T1063" s="2">
        <f t="shared" si="64"/>
        <v>0</v>
      </c>
      <c r="U1063" s="2">
        <f t="shared" si="65"/>
        <v>0</v>
      </c>
      <c r="V1063" s="2">
        <f t="shared" si="66"/>
        <v>0</v>
      </c>
      <c r="W1063" s="2">
        <f t="shared" si="67"/>
        <v>0</v>
      </c>
      <c r="Y1063" t="str">
        <f>IFERROR(ROUND(E1063*VLOOKUP(D1063,商品!$A$4:$B$60,2,FALSE),0),"")</f>
        <v/>
      </c>
      <c r="Z1063" t="str">
        <f>IFERROR(ROUND(G1063*VLOOKUP(F1063,商品!$A$4:$B$60,2,FALSE),0),"")</f>
        <v/>
      </c>
      <c r="AA1063" t="str">
        <f>IFERROR(ROUND(I1063*VLOOKUP(H1063,商品!$A$4:$B$60,2,FALSE),0),"")</f>
        <v/>
      </c>
      <c r="AB1063" t="str">
        <f>IFERROR(ROUND(K1063*VLOOKUP(J1063,[1]note_pop_types!$A$16:$E$16,4,FALSE),0),"")</f>
        <v/>
      </c>
      <c r="AC1063" t="str">
        <f>IFERROR(ROUND(M1063*VLOOKUP(L1063,[1]note_pop_types!$A$16:$E$16,4,FALSE),0),"")</f>
        <v/>
      </c>
      <c r="AD1063" t="str">
        <f>IFERROR(ROUND(O1063*VLOOKUP(N1063,[1]note_pop_types!$A$16:$E$16,4,FALSE),0),"")</f>
        <v/>
      </c>
      <c r="AE1063" t="str">
        <f>IFERROR(ROUND(Q1063*VLOOKUP(P1063,商品!$A$4:$B$60,2,FALSE),0),"")</f>
        <v/>
      </c>
      <c r="AF1063" t="str">
        <f>IFERROR(ROUND(S1063*VLOOKUP(R1063,商品!$A$4:$B$60,2,FALSE),0),"")</f>
        <v/>
      </c>
    </row>
    <row r="1064" spans="1:32" ht="19.05" customHeight="1" x14ac:dyDescent="0.25">
      <c r="A1064" s="16" t="s">
        <v>406</v>
      </c>
      <c r="C1064" s="16">
        <v>3</v>
      </c>
      <c r="T1064" s="2">
        <f t="shared" si="64"/>
        <v>0</v>
      </c>
      <c r="U1064" s="2">
        <f t="shared" si="65"/>
        <v>0</v>
      </c>
      <c r="V1064" s="2">
        <f t="shared" si="66"/>
        <v>0</v>
      </c>
      <c r="W1064" s="2">
        <f t="shared" si="67"/>
        <v>0</v>
      </c>
      <c r="Y1064" t="str">
        <f>IFERROR(ROUND(E1064*VLOOKUP(D1064,商品!$A$4:$B$60,2,FALSE),0),"")</f>
        <v/>
      </c>
      <c r="Z1064" t="str">
        <f>IFERROR(ROUND(G1064*VLOOKUP(F1064,商品!$A$4:$B$60,2,FALSE),0),"")</f>
        <v/>
      </c>
      <c r="AA1064" t="str">
        <f>IFERROR(ROUND(I1064*VLOOKUP(H1064,商品!$A$4:$B$60,2,FALSE),0),"")</f>
        <v/>
      </c>
      <c r="AB1064" t="str">
        <f>IFERROR(ROUND(K1064*VLOOKUP(J1064,[1]note_pop_types!$A$16:$E$16,4,FALSE),0),"")</f>
        <v/>
      </c>
      <c r="AC1064" t="str">
        <f>IFERROR(ROUND(M1064*VLOOKUP(L1064,[1]note_pop_types!$A$16:$E$16,4,FALSE),0),"")</f>
        <v/>
      </c>
      <c r="AD1064" t="str">
        <f>IFERROR(ROUND(O1064*VLOOKUP(N1064,[1]note_pop_types!$A$16:$E$16,4,FALSE),0),"")</f>
        <v/>
      </c>
      <c r="AE1064" t="str">
        <f>IFERROR(ROUND(Q1064*VLOOKUP(P1064,商品!$A$4:$B$60,2,FALSE),0),"")</f>
        <v/>
      </c>
      <c r="AF1064" t="str">
        <f>IFERROR(ROUND(S1064*VLOOKUP(R1064,商品!$A$4:$B$60,2,FALSE),0),"")</f>
        <v/>
      </c>
    </row>
    <row r="1065" spans="1:32" ht="19.05" customHeight="1" x14ac:dyDescent="0.25">
      <c r="A1065" s="16" t="s">
        <v>406</v>
      </c>
      <c r="C1065" s="16">
        <v>4</v>
      </c>
      <c r="T1065" s="2">
        <f t="shared" si="64"/>
        <v>0</v>
      </c>
      <c r="U1065" s="2">
        <f t="shared" si="65"/>
        <v>0</v>
      </c>
      <c r="V1065" s="2">
        <f t="shared" si="66"/>
        <v>0</v>
      </c>
      <c r="W1065" s="2">
        <f t="shared" si="67"/>
        <v>0</v>
      </c>
      <c r="Y1065" t="str">
        <f>IFERROR(ROUND(E1065*VLOOKUP(D1065,商品!$A$4:$B$60,2,FALSE),0),"")</f>
        <v/>
      </c>
      <c r="Z1065" t="str">
        <f>IFERROR(ROUND(G1065*VLOOKUP(F1065,商品!$A$4:$B$60,2,FALSE),0),"")</f>
        <v/>
      </c>
      <c r="AA1065" t="str">
        <f>IFERROR(ROUND(I1065*VLOOKUP(H1065,商品!$A$4:$B$60,2,FALSE),0),"")</f>
        <v/>
      </c>
      <c r="AB1065" t="str">
        <f>IFERROR(ROUND(K1065*VLOOKUP(J1065,[1]note_pop_types!$A$16:$E$16,4,FALSE),0),"")</f>
        <v/>
      </c>
      <c r="AC1065" t="str">
        <f>IFERROR(ROUND(M1065*VLOOKUP(L1065,[1]note_pop_types!$A$16:$E$16,4,FALSE),0),"")</f>
        <v/>
      </c>
      <c r="AD1065" t="str">
        <f>IFERROR(ROUND(O1065*VLOOKUP(N1065,[1]note_pop_types!$A$16:$E$16,4,FALSE),0),"")</f>
        <v/>
      </c>
      <c r="AE1065" t="str">
        <f>IFERROR(ROUND(Q1065*VLOOKUP(P1065,商品!$A$4:$B$60,2,FALSE),0),"")</f>
        <v/>
      </c>
      <c r="AF1065" t="str">
        <f>IFERROR(ROUND(S1065*VLOOKUP(R1065,商品!$A$4:$B$60,2,FALSE),0),"")</f>
        <v/>
      </c>
    </row>
    <row r="1066" spans="1:32" ht="19.05" customHeight="1" x14ac:dyDescent="0.25">
      <c r="A1066" s="16" t="s">
        <v>406</v>
      </c>
      <c r="C1066" s="16">
        <v>5</v>
      </c>
      <c r="T1066" s="2">
        <f t="shared" si="64"/>
        <v>0</v>
      </c>
      <c r="U1066" s="2">
        <f t="shared" si="65"/>
        <v>0</v>
      </c>
      <c r="V1066" s="2">
        <f t="shared" si="66"/>
        <v>0</v>
      </c>
      <c r="W1066" s="2">
        <f t="shared" si="67"/>
        <v>0</v>
      </c>
      <c r="Y1066" t="str">
        <f>IFERROR(ROUND(E1066*VLOOKUP(D1066,商品!$A$4:$B$60,2,FALSE),0),"")</f>
        <v/>
      </c>
      <c r="Z1066" t="str">
        <f>IFERROR(ROUND(G1066*VLOOKUP(F1066,商品!$A$4:$B$60,2,FALSE),0),"")</f>
        <v/>
      </c>
      <c r="AA1066" t="str">
        <f>IFERROR(ROUND(I1066*VLOOKUP(H1066,商品!$A$4:$B$60,2,FALSE),0),"")</f>
        <v/>
      </c>
      <c r="AB1066" t="str">
        <f>IFERROR(ROUND(K1066*VLOOKUP(J1066,[1]note_pop_types!$A$16:$E$16,4,FALSE),0),"")</f>
        <v/>
      </c>
      <c r="AC1066" t="str">
        <f>IFERROR(ROUND(M1066*VLOOKUP(L1066,[1]note_pop_types!$A$16:$E$16,4,FALSE),0),"")</f>
        <v/>
      </c>
      <c r="AD1066" t="str">
        <f>IFERROR(ROUND(O1066*VLOOKUP(N1066,[1]note_pop_types!$A$16:$E$16,4,FALSE),0),"")</f>
        <v/>
      </c>
      <c r="AE1066" t="str">
        <f>IFERROR(ROUND(Q1066*VLOOKUP(P1066,商品!$A$4:$B$60,2,FALSE),0),"")</f>
        <v/>
      </c>
      <c r="AF1066" t="str">
        <f>IFERROR(ROUND(S1066*VLOOKUP(R1066,商品!$A$4:$B$60,2,FALSE),0),"")</f>
        <v/>
      </c>
    </row>
    <row r="1067" spans="1:32" ht="19.05" customHeight="1" x14ac:dyDescent="0.25">
      <c r="A1067" s="16" t="s">
        <v>406</v>
      </c>
      <c r="C1067" s="16">
        <v>6</v>
      </c>
      <c r="T1067" s="2">
        <f t="shared" si="64"/>
        <v>0</v>
      </c>
      <c r="U1067" s="2">
        <f t="shared" si="65"/>
        <v>0</v>
      </c>
      <c r="V1067" s="2">
        <f t="shared" si="66"/>
        <v>0</v>
      </c>
      <c r="W1067" s="2">
        <f t="shared" si="67"/>
        <v>0</v>
      </c>
      <c r="Y1067" t="str">
        <f>IFERROR(ROUND(E1067*VLOOKUP(D1067,商品!$A$4:$B$60,2,FALSE),0),"")</f>
        <v/>
      </c>
      <c r="Z1067" t="str">
        <f>IFERROR(ROUND(G1067*VLOOKUP(F1067,商品!$A$4:$B$60,2,FALSE),0),"")</f>
        <v/>
      </c>
      <c r="AA1067" t="str">
        <f>IFERROR(ROUND(I1067*VLOOKUP(H1067,商品!$A$4:$B$60,2,FALSE),0),"")</f>
        <v/>
      </c>
      <c r="AB1067" t="str">
        <f>IFERROR(ROUND(K1067*VLOOKUP(J1067,[1]note_pop_types!$A$16:$E$16,4,FALSE),0),"")</f>
        <v/>
      </c>
      <c r="AC1067" t="str">
        <f>IFERROR(ROUND(M1067*VLOOKUP(L1067,[1]note_pop_types!$A$16:$E$16,4,FALSE),0),"")</f>
        <v/>
      </c>
      <c r="AD1067" t="str">
        <f>IFERROR(ROUND(O1067*VLOOKUP(N1067,[1]note_pop_types!$A$16:$E$16,4,FALSE),0),"")</f>
        <v/>
      </c>
      <c r="AE1067" t="str">
        <f>IFERROR(ROUND(Q1067*VLOOKUP(P1067,商品!$A$4:$B$60,2,FALSE),0),"")</f>
        <v/>
      </c>
      <c r="AF1067" t="str">
        <f>IFERROR(ROUND(S1067*VLOOKUP(R1067,商品!$A$4:$B$60,2,FALSE),0),"")</f>
        <v/>
      </c>
    </row>
    <row r="1068" spans="1:32" ht="19.05" customHeight="1" x14ac:dyDescent="0.25">
      <c r="A1068" s="16" t="s">
        <v>406</v>
      </c>
      <c r="C1068" s="16">
        <v>7</v>
      </c>
      <c r="T1068" s="2">
        <f t="shared" si="64"/>
        <v>0</v>
      </c>
      <c r="U1068" s="2">
        <f t="shared" si="65"/>
        <v>0</v>
      </c>
      <c r="V1068" s="2">
        <f t="shared" si="66"/>
        <v>0</v>
      </c>
      <c r="W1068" s="2">
        <f t="shared" si="67"/>
        <v>0</v>
      </c>
      <c r="Y1068" t="str">
        <f>IFERROR(ROUND(E1068*VLOOKUP(D1068,商品!$A$4:$B$60,2,FALSE),0),"")</f>
        <v/>
      </c>
      <c r="Z1068" t="str">
        <f>IFERROR(ROUND(G1068*VLOOKUP(F1068,商品!$A$4:$B$60,2,FALSE),0),"")</f>
        <v/>
      </c>
      <c r="AA1068" t="str">
        <f>IFERROR(ROUND(I1068*VLOOKUP(H1068,商品!$A$4:$B$60,2,FALSE),0),"")</f>
        <v/>
      </c>
      <c r="AB1068" t="str">
        <f>IFERROR(ROUND(K1068*VLOOKUP(J1068,[1]note_pop_types!$A$16:$E$16,4,FALSE),0),"")</f>
        <v/>
      </c>
      <c r="AC1068" t="str">
        <f>IFERROR(ROUND(M1068*VLOOKUP(L1068,[1]note_pop_types!$A$16:$E$16,4,FALSE),0),"")</f>
        <v/>
      </c>
      <c r="AD1068" t="str">
        <f>IFERROR(ROUND(O1068*VLOOKUP(N1068,[1]note_pop_types!$A$16:$E$16,4,FALSE),0),"")</f>
        <v/>
      </c>
      <c r="AE1068" t="str">
        <f>IFERROR(ROUND(Q1068*VLOOKUP(P1068,商品!$A$4:$B$60,2,FALSE),0),"")</f>
        <v/>
      </c>
      <c r="AF1068" t="str">
        <f>IFERROR(ROUND(S1068*VLOOKUP(R1068,商品!$A$4:$B$60,2,FALSE),0),"")</f>
        <v/>
      </c>
    </row>
    <row r="1069" spans="1:32" ht="19.05" customHeight="1" x14ac:dyDescent="0.25">
      <c r="A1069" s="16" t="s">
        <v>406</v>
      </c>
      <c r="C1069" s="16">
        <v>8</v>
      </c>
      <c r="T1069" s="2">
        <f t="shared" si="64"/>
        <v>0</v>
      </c>
      <c r="U1069" s="2">
        <f t="shared" si="65"/>
        <v>0</v>
      </c>
      <c r="V1069" s="2">
        <f t="shared" si="66"/>
        <v>0</v>
      </c>
      <c r="W1069" s="2">
        <f t="shared" si="67"/>
        <v>0</v>
      </c>
      <c r="Y1069" t="str">
        <f>IFERROR(ROUND(E1069*VLOOKUP(D1069,商品!$A$4:$B$60,2,FALSE),0),"")</f>
        <v/>
      </c>
      <c r="Z1069" t="str">
        <f>IFERROR(ROUND(G1069*VLOOKUP(F1069,商品!$A$4:$B$60,2,FALSE),0),"")</f>
        <v/>
      </c>
      <c r="AA1069" t="str">
        <f>IFERROR(ROUND(I1069*VLOOKUP(H1069,商品!$A$4:$B$60,2,FALSE),0),"")</f>
        <v/>
      </c>
      <c r="AB1069" t="str">
        <f>IFERROR(ROUND(K1069*VLOOKUP(J1069,[1]note_pop_types!$A$16:$E$16,4,FALSE),0),"")</f>
        <v/>
      </c>
      <c r="AC1069" t="str">
        <f>IFERROR(ROUND(M1069*VLOOKUP(L1069,[1]note_pop_types!$A$16:$E$16,4,FALSE),0),"")</f>
        <v/>
      </c>
      <c r="AD1069" t="str">
        <f>IFERROR(ROUND(O1069*VLOOKUP(N1069,[1]note_pop_types!$A$16:$E$16,4,FALSE),0),"")</f>
        <v/>
      </c>
      <c r="AE1069" t="str">
        <f>IFERROR(ROUND(Q1069*VLOOKUP(P1069,商品!$A$4:$B$60,2,FALSE),0),"")</f>
        <v/>
      </c>
      <c r="AF1069" t="str">
        <f>IFERROR(ROUND(S1069*VLOOKUP(R1069,商品!$A$4:$B$60,2,FALSE),0),"")</f>
        <v/>
      </c>
    </row>
    <row r="1070" spans="1:32" ht="19.05" customHeight="1" x14ac:dyDescent="0.25">
      <c r="A1070" s="15" t="s">
        <v>408</v>
      </c>
      <c r="C1070" s="15">
        <v>1</v>
      </c>
      <c r="T1070" s="2">
        <f t="shared" si="64"/>
        <v>0</v>
      </c>
      <c r="U1070" s="2">
        <f t="shared" si="65"/>
        <v>0</v>
      </c>
      <c r="V1070" s="2">
        <f t="shared" si="66"/>
        <v>0</v>
      </c>
      <c r="W1070" s="2">
        <f t="shared" si="67"/>
        <v>0</v>
      </c>
      <c r="Y1070" t="str">
        <f>IFERROR(ROUND(E1070*VLOOKUP(D1070,商品!$A$4:$B$60,2,FALSE),0),"")</f>
        <v/>
      </c>
      <c r="Z1070" t="str">
        <f>IFERROR(ROUND(G1070*VLOOKUP(F1070,商品!$A$4:$B$60,2,FALSE),0),"")</f>
        <v/>
      </c>
      <c r="AA1070" t="str">
        <f>IFERROR(ROUND(I1070*VLOOKUP(H1070,商品!$A$4:$B$60,2,FALSE),0),"")</f>
        <v/>
      </c>
      <c r="AB1070" t="str">
        <f>IFERROR(ROUND(K1070*VLOOKUP(J1070,[1]note_pop_types!$A$16:$E$16,4,FALSE),0),"")</f>
        <v/>
      </c>
      <c r="AC1070" t="str">
        <f>IFERROR(ROUND(M1070*VLOOKUP(L1070,[1]note_pop_types!$A$16:$E$16,4,FALSE),0),"")</f>
        <v/>
      </c>
      <c r="AD1070" t="str">
        <f>IFERROR(ROUND(O1070*VLOOKUP(N1070,[1]note_pop_types!$A$16:$E$16,4,FALSE),0),"")</f>
        <v/>
      </c>
      <c r="AE1070" t="str">
        <f>IFERROR(ROUND(Q1070*VLOOKUP(P1070,商品!$A$4:$B$60,2,FALSE),0),"")</f>
        <v/>
      </c>
      <c r="AF1070" t="str">
        <f>IFERROR(ROUND(S1070*VLOOKUP(R1070,商品!$A$4:$B$60,2,FALSE),0),"")</f>
        <v/>
      </c>
    </row>
    <row r="1071" spans="1:32" ht="19.05" customHeight="1" x14ac:dyDescent="0.25">
      <c r="A1071" s="15" t="s">
        <v>408</v>
      </c>
      <c r="C1071" s="15">
        <v>2</v>
      </c>
      <c r="T1071" s="2">
        <f t="shared" si="64"/>
        <v>0</v>
      </c>
      <c r="U1071" s="2">
        <f t="shared" si="65"/>
        <v>0</v>
      </c>
      <c r="V1071" s="2">
        <f t="shared" si="66"/>
        <v>0</v>
      </c>
      <c r="W1071" s="2">
        <f t="shared" si="67"/>
        <v>0</v>
      </c>
      <c r="Y1071" t="str">
        <f>IFERROR(ROUND(E1071*VLOOKUP(D1071,商品!$A$4:$B$60,2,FALSE),0),"")</f>
        <v/>
      </c>
      <c r="Z1071" t="str">
        <f>IFERROR(ROUND(G1071*VLOOKUP(F1071,商品!$A$4:$B$60,2,FALSE),0),"")</f>
        <v/>
      </c>
      <c r="AA1071" t="str">
        <f>IFERROR(ROUND(I1071*VLOOKUP(H1071,商品!$A$4:$B$60,2,FALSE),0),"")</f>
        <v/>
      </c>
      <c r="AB1071" t="str">
        <f>IFERROR(ROUND(K1071*VLOOKUP(J1071,[1]note_pop_types!$A$16:$E$16,4,FALSE),0),"")</f>
        <v/>
      </c>
      <c r="AC1071" t="str">
        <f>IFERROR(ROUND(M1071*VLOOKUP(L1071,[1]note_pop_types!$A$16:$E$16,4,FALSE),0),"")</f>
        <v/>
      </c>
      <c r="AD1071" t="str">
        <f>IFERROR(ROUND(O1071*VLOOKUP(N1071,[1]note_pop_types!$A$16:$E$16,4,FALSE),0),"")</f>
        <v/>
      </c>
      <c r="AE1071" t="str">
        <f>IFERROR(ROUND(Q1071*VLOOKUP(P1071,商品!$A$4:$B$60,2,FALSE),0),"")</f>
        <v/>
      </c>
      <c r="AF1071" t="str">
        <f>IFERROR(ROUND(S1071*VLOOKUP(R1071,商品!$A$4:$B$60,2,FALSE),0),"")</f>
        <v/>
      </c>
    </row>
    <row r="1072" spans="1:32" ht="19.05" customHeight="1" x14ac:dyDescent="0.25">
      <c r="A1072" s="15" t="s">
        <v>408</v>
      </c>
      <c r="C1072" s="15">
        <v>3</v>
      </c>
      <c r="T1072" s="2">
        <f t="shared" si="64"/>
        <v>0</v>
      </c>
      <c r="U1072" s="2">
        <f t="shared" si="65"/>
        <v>0</v>
      </c>
      <c r="V1072" s="2">
        <f t="shared" si="66"/>
        <v>0</v>
      </c>
      <c r="W1072" s="2">
        <f t="shared" si="67"/>
        <v>0</v>
      </c>
      <c r="Y1072" t="str">
        <f>IFERROR(ROUND(E1072*VLOOKUP(D1072,商品!$A$4:$B$60,2,FALSE),0),"")</f>
        <v/>
      </c>
      <c r="Z1072" t="str">
        <f>IFERROR(ROUND(G1072*VLOOKUP(F1072,商品!$A$4:$B$60,2,FALSE),0),"")</f>
        <v/>
      </c>
      <c r="AA1072" t="str">
        <f>IFERROR(ROUND(I1072*VLOOKUP(H1072,商品!$A$4:$B$60,2,FALSE),0),"")</f>
        <v/>
      </c>
      <c r="AB1072" t="str">
        <f>IFERROR(ROUND(K1072*VLOOKUP(J1072,[1]note_pop_types!$A$16:$E$16,4,FALSE),0),"")</f>
        <v/>
      </c>
      <c r="AC1072" t="str">
        <f>IFERROR(ROUND(M1072*VLOOKUP(L1072,[1]note_pop_types!$A$16:$E$16,4,FALSE),0),"")</f>
        <v/>
      </c>
      <c r="AD1072" t="str">
        <f>IFERROR(ROUND(O1072*VLOOKUP(N1072,[1]note_pop_types!$A$16:$E$16,4,FALSE),0),"")</f>
        <v/>
      </c>
      <c r="AE1072" t="str">
        <f>IFERROR(ROUND(Q1072*VLOOKUP(P1072,商品!$A$4:$B$60,2,FALSE),0),"")</f>
        <v/>
      </c>
      <c r="AF1072" t="str">
        <f>IFERROR(ROUND(S1072*VLOOKUP(R1072,商品!$A$4:$B$60,2,FALSE),0),"")</f>
        <v/>
      </c>
    </row>
    <row r="1073" spans="1:32" ht="19.05" customHeight="1" x14ac:dyDescent="0.25">
      <c r="A1073" s="15" t="s">
        <v>408</v>
      </c>
      <c r="C1073" s="15">
        <v>4</v>
      </c>
      <c r="T1073" s="2">
        <f t="shared" si="64"/>
        <v>0</v>
      </c>
      <c r="U1073" s="2">
        <f t="shared" si="65"/>
        <v>0</v>
      </c>
      <c r="V1073" s="2">
        <f t="shared" si="66"/>
        <v>0</v>
      </c>
      <c r="W1073" s="2">
        <f t="shared" si="67"/>
        <v>0</v>
      </c>
      <c r="Y1073" t="str">
        <f>IFERROR(ROUND(E1073*VLOOKUP(D1073,商品!$A$4:$B$60,2,FALSE),0),"")</f>
        <v/>
      </c>
      <c r="Z1073" t="str">
        <f>IFERROR(ROUND(G1073*VLOOKUP(F1073,商品!$A$4:$B$60,2,FALSE),0),"")</f>
        <v/>
      </c>
      <c r="AA1073" t="str">
        <f>IFERROR(ROUND(I1073*VLOOKUP(H1073,商品!$A$4:$B$60,2,FALSE),0),"")</f>
        <v/>
      </c>
      <c r="AB1073" t="str">
        <f>IFERROR(ROUND(K1073*VLOOKUP(J1073,[1]note_pop_types!$A$16:$E$16,4,FALSE),0),"")</f>
        <v/>
      </c>
      <c r="AC1073" t="str">
        <f>IFERROR(ROUND(M1073*VLOOKUP(L1073,[1]note_pop_types!$A$16:$E$16,4,FALSE),0),"")</f>
        <v/>
      </c>
      <c r="AD1073" t="str">
        <f>IFERROR(ROUND(O1073*VLOOKUP(N1073,[1]note_pop_types!$A$16:$E$16,4,FALSE),0),"")</f>
        <v/>
      </c>
      <c r="AE1073" t="str">
        <f>IFERROR(ROUND(Q1073*VLOOKUP(P1073,商品!$A$4:$B$60,2,FALSE),0),"")</f>
        <v/>
      </c>
      <c r="AF1073" t="str">
        <f>IFERROR(ROUND(S1073*VLOOKUP(R1073,商品!$A$4:$B$60,2,FALSE),0),"")</f>
        <v/>
      </c>
    </row>
    <row r="1074" spans="1:32" ht="19.05" customHeight="1" x14ac:dyDescent="0.25">
      <c r="A1074" s="15" t="s">
        <v>408</v>
      </c>
      <c r="C1074" s="15">
        <v>5</v>
      </c>
      <c r="T1074" s="2">
        <f t="shared" si="64"/>
        <v>0</v>
      </c>
      <c r="U1074" s="2">
        <f t="shared" si="65"/>
        <v>0</v>
      </c>
      <c r="V1074" s="2">
        <f t="shared" si="66"/>
        <v>0</v>
      </c>
      <c r="W1074" s="2">
        <f t="shared" si="67"/>
        <v>0</v>
      </c>
      <c r="Y1074" t="str">
        <f>IFERROR(ROUND(E1074*VLOOKUP(D1074,商品!$A$4:$B$60,2,FALSE),0),"")</f>
        <v/>
      </c>
      <c r="Z1074" t="str">
        <f>IFERROR(ROUND(G1074*VLOOKUP(F1074,商品!$A$4:$B$60,2,FALSE),0),"")</f>
        <v/>
      </c>
      <c r="AA1074" t="str">
        <f>IFERROR(ROUND(I1074*VLOOKUP(H1074,商品!$A$4:$B$60,2,FALSE),0),"")</f>
        <v/>
      </c>
      <c r="AB1074" t="str">
        <f>IFERROR(ROUND(K1074*VLOOKUP(J1074,[1]note_pop_types!$A$16:$E$16,4,FALSE),0),"")</f>
        <v/>
      </c>
      <c r="AC1074" t="str">
        <f>IFERROR(ROUND(M1074*VLOOKUP(L1074,[1]note_pop_types!$A$16:$E$16,4,FALSE),0),"")</f>
        <v/>
      </c>
      <c r="AD1074" t="str">
        <f>IFERROR(ROUND(O1074*VLOOKUP(N1074,[1]note_pop_types!$A$16:$E$16,4,FALSE),0),"")</f>
        <v/>
      </c>
      <c r="AE1074" t="str">
        <f>IFERROR(ROUND(Q1074*VLOOKUP(P1074,商品!$A$4:$B$60,2,FALSE),0),"")</f>
        <v/>
      </c>
      <c r="AF1074" t="str">
        <f>IFERROR(ROUND(S1074*VLOOKUP(R1074,商品!$A$4:$B$60,2,FALSE),0),"")</f>
        <v/>
      </c>
    </row>
    <row r="1075" spans="1:32" ht="19.05" customHeight="1" x14ac:dyDescent="0.25">
      <c r="A1075" s="16" t="s">
        <v>551</v>
      </c>
      <c r="C1075" s="16">
        <v>1</v>
      </c>
      <c r="T1075" s="2">
        <f t="shared" si="64"/>
        <v>0</v>
      </c>
      <c r="U1075" s="2">
        <f t="shared" si="65"/>
        <v>0</v>
      </c>
      <c r="V1075" s="2">
        <f t="shared" si="66"/>
        <v>0</v>
      </c>
      <c r="W1075" s="2">
        <f t="shared" si="67"/>
        <v>0</v>
      </c>
      <c r="Y1075" t="str">
        <f>IFERROR(ROUND(E1075*VLOOKUP(D1075,商品!$A$4:$B$60,2,FALSE),0),"")</f>
        <v/>
      </c>
      <c r="Z1075" t="str">
        <f>IFERROR(ROUND(G1075*VLOOKUP(F1075,商品!$A$4:$B$60,2,FALSE),0),"")</f>
        <v/>
      </c>
      <c r="AA1075" t="str">
        <f>IFERROR(ROUND(I1075*VLOOKUP(H1075,商品!$A$4:$B$60,2,FALSE),0),"")</f>
        <v/>
      </c>
      <c r="AB1075" t="str">
        <f>IFERROR(ROUND(K1075*VLOOKUP(J1075,[1]note_pop_types!$A$16:$E$16,4,FALSE),0),"")</f>
        <v/>
      </c>
      <c r="AC1075" t="str">
        <f>IFERROR(ROUND(M1075*VLOOKUP(L1075,[1]note_pop_types!$A$16:$E$16,4,FALSE),0),"")</f>
        <v/>
      </c>
      <c r="AD1075" t="str">
        <f>IFERROR(ROUND(O1075*VLOOKUP(N1075,[1]note_pop_types!$A$16:$E$16,4,FALSE),0),"")</f>
        <v/>
      </c>
      <c r="AE1075" t="str">
        <f>IFERROR(ROUND(Q1075*VLOOKUP(P1075,商品!$A$4:$B$60,2,FALSE),0),"")</f>
        <v/>
      </c>
      <c r="AF1075" t="str">
        <f>IFERROR(ROUND(S1075*VLOOKUP(R1075,商品!$A$4:$B$60,2,FALSE),0),"")</f>
        <v/>
      </c>
    </row>
    <row r="1076" spans="1:32" ht="19.05" customHeight="1" x14ac:dyDescent="0.25">
      <c r="A1076" s="16" t="s">
        <v>551</v>
      </c>
      <c r="C1076" s="16">
        <v>2</v>
      </c>
      <c r="T1076" s="2">
        <f t="shared" si="64"/>
        <v>0</v>
      </c>
      <c r="U1076" s="2">
        <f t="shared" si="65"/>
        <v>0</v>
      </c>
      <c r="V1076" s="2">
        <f t="shared" si="66"/>
        <v>0</v>
      </c>
      <c r="W1076" s="2">
        <f t="shared" si="67"/>
        <v>0</v>
      </c>
      <c r="Y1076" t="str">
        <f>IFERROR(ROUND(E1076*VLOOKUP(D1076,商品!$A$4:$B$60,2,FALSE),0),"")</f>
        <v/>
      </c>
      <c r="Z1076" t="str">
        <f>IFERROR(ROUND(G1076*VLOOKUP(F1076,商品!$A$4:$B$60,2,FALSE),0),"")</f>
        <v/>
      </c>
      <c r="AA1076" t="str">
        <f>IFERROR(ROUND(I1076*VLOOKUP(H1076,商品!$A$4:$B$60,2,FALSE),0),"")</f>
        <v/>
      </c>
      <c r="AB1076" t="str">
        <f>IFERROR(ROUND(K1076*VLOOKUP(J1076,[1]note_pop_types!$A$16:$E$16,4,FALSE),0),"")</f>
        <v/>
      </c>
      <c r="AC1076" t="str">
        <f>IFERROR(ROUND(M1076*VLOOKUP(L1076,[1]note_pop_types!$A$16:$E$16,4,FALSE),0),"")</f>
        <v/>
      </c>
      <c r="AD1076" t="str">
        <f>IFERROR(ROUND(O1076*VLOOKUP(N1076,[1]note_pop_types!$A$16:$E$16,4,FALSE),0),"")</f>
        <v/>
      </c>
      <c r="AE1076" t="str">
        <f>IFERROR(ROUND(Q1076*VLOOKUP(P1076,商品!$A$4:$B$60,2,FALSE),0),"")</f>
        <v/>
      </c>
      <c r="AF1076" t="str">
        <f>IFERROR(ROUND(S1076*VLOOKUP(R1076,商品!$A$4:$B$60,2,FALSE),0),"")</f>
        <v/>
      </c>
    </row>
    <row r="1077" spans="1:32" ht="19.05" customHeight="1" x14ac:dyDescent="0.25">
      <c r="A1077" s="16" t="s">
        <v>551</v>
      </c>
      <c r="C1077" s="16">
        <v>3</v>
      </c>
      <c r="T1077" s="2">
        <f t="shared" si="64"/>
        <v>0</v>
      </c>
      <c r="U1077" s="2">
        <f t="shared" si="65"/>
        <v>0</v>
      </c>
      <c r="V1077" s="2">
        <f t="shared" si="66"/>
        <v>0</v>
      </c>
      <c r="W1077" s="2">
        <f t="shared" si="67"/>
        <v>0</v>
      </c>
      <c r="Y1077" t="str">
        <f>IFERROR(ROUND(E1077*VLOOKUP(D1077,商品!$A$4:$B$60,2,FALSE),0),"")</f>
        <v/>
      </c>
      <c r="Z1077" t="str">
        <f>IFERROR(ROUND(G1077*VLOOKUP(F1077,商品!$A$4:$B$60,2,FALSE),0),"")</f>
        <v/>
      </c>
      <c r="AA1077" t="str">
        <f>IFERROR(ROUND(I1077*VLOOKUP(H1077,商品!$A$4:$B$60,2,FALSE),0),"")</f>
        <v/>
      </c>
      <c r="AB1077" t="str">
        <f>IFERROR(ROUND(K1077*VLOOKUP(J1077,[1]note_pop_types!$A$16:$E$16,4,FALSE),0),"")</f>
        <v/>
      </c>
      <c r="AC1077" t="str">
        <f>IFERROR(ROUND(M1077*VLOOKUP(L1077,[1]note_pop_types!$A$16:$E$16,4,FALSE),0),"")</f>
        <v/>
      </c>
      <c r="AD1077" t="str">
        <f>IFERROR(ROUND(O1077*VLOOKUP(N1077,[1]note_pop_types!$A$16:$E$16,4,FALSE),0),"")</f>
        <v/>
      </c>
      <c r="AE1077" t="str">
        <f>IFERROR(ROUND(Q1077*VLOOKUP(P1077,商品!$A$4:$B$60,2,FALSE),0),"")</f>
        <v/>
      </c>
      <c r="AF1077" t="str">
        <f>IFERROR(ROUND(S1077*VLOOKUP(R1077,商品!$A$4:$B$60,2,FALSE),0),"")</f>
        <v/>
      </c>
    </row>
    <row r="1078" spans="1:32" ht="19.05" customHeight="1" x14ac:dyDescent="0.25">
      <c r="A1078" s="16" t="s">
        <v>551</v>
      </c>
      <c r="C1078" s="16">
        <v>4</v>
      </c>
      <c r="T1078" s="2">
        <f t="shared" si="64"/>
        <v>0</v>
      </c>
      <c r="U1078" s="2">
        <f t="shared" si="65"/>
        <v>0</v>
      </c>
      <c r="V1078" s="2">
        <f t="shared" si="66"/>
        <v>0</v>
      </c>
      <c r="W1078" s="2">
        <f t="shared" si="67"/>
        <v>0</v>
      </c>
      <c r="Y1078" t="str">
        <f>IFERROR(ROUND(E1078*VLOOKUP(D1078,商品!$A$4:$B$60,2,FALSE),0),"")</f>
        <v/>
      </c>
      <c r="Z1078" t="str">
        <f>IFERROR(ROUND(G1078*VLOOKUP(F1078,商品!$A$4:$B$60,2,FALSE),0),"")</f>
        <v/>
      </c>
      <c r="AA1078" t="str">
        <f>IFERROR(ROUND(I1078*VLOOKUP(H1078,商品!$A$4:$B$60,2,FALSE),0),"")</f>
        <v/>
      </c>
      <c r="AB1078" t="str">
        <f>IFERROR(ROUND(K1078*VLOOKUP(J1078,[1]note_pop_types!$A$16:$E$16,4,FALSE),0),"")</f>
        <v/>
      </c>
      <c r="AC1078" t="str">
        <f>IFERROR(ROUND(M1078*VLOOKUP(L1078,[1]note_pop_types!$A$16:$E$16,4,FALSE),0),"")</f>
        <v/>
      </c>
      <c r="AD1078" t="str">
        <f>IFERROR(ROUND(O1078*VLOOKUP(N1078,[1]note_pop_types!$A$16:$E$16,4,FALSE),0),"")</f>
        <v/>
      </c>
      <c r="AE1078" t="str">
        <f>IFERROR(ROUND(Q1078*VLOOKUP(P1078,商品!$A$4:$B$60,2,FALSE),0),"")</f>
        <v/>
      </c>
      <c r="AF1078" t="str">
        <f>IFERROR(ROUND(S1078*VLOOKUP(R1078,商品!$A$4:$B$60,2,FALSE),0),"")</f>
        <v/>
      </c>
    </row>
    <row r="1079" spans="1:32" ht="19.05" customHeight="1" x14ac:dyDescent="0.25">
      <c r="A1079" s="16" t="s">
        <v>551</v>
      </c>
      <c r="C1079" s="16">
        <v>5</v>
      </c>
      <c r="T1079" s="2">
        <f t="shared" si="64"/>
        <v>0</v>
      </c>
      <c r="U1079" s="2">
        <f t="shared" si="65"/>
        <v>0</v>
      </c>
      <c r="V1079" s="2">
        <f t="shared" si="66"/>
        <v>0</v>
      </c>
      <c r="W1079" s="2">
        <f t="shared" si="67"/>
        <v>0</v>
      </c>
      <c r="Y1079" t="str">
        <f>IFERROR(ROUND(E1079*VLOOKUP(D1079,商品!$A$4:$B$60,2,FALSE),0),"")</f>
        <v/>
      </c>
      <c r="Z1079" t="str">
        <f>IFERROR(ROUND(G1079*VLOOKUP(F1079,商品!$A$4:$B$60,2,FALSE),0),"")</f>
        <v/>
      </c>
      <c r="AA1079" t="str">
        <f>IFERROR(ROUND(I1079*VLOOKUP(H1079,商品!$A$4:$B$60,2,FALSE),0),"")</f>
        <v/>
      </c>
      <c r="AB1079" t="str">
        <f>IFERROR(ROUND(K1079*VLOOKUP(J1079,[1]note_pop_types!$A$16:$E$16,4,FALSE),0),"")</f>
        <v/>
      </c>
      <c r="AC1079" t="str">
        <f>IFERROR(ROUND(M1079*VLOOKUP(L1079,[1]note_pop_types!$A$16:$E$16,4,FALSE),0),"")</f>
        <v/>
      </c>
      <c r="AD1079" t="str">
        <f>IFERROR(ROUND(O1079*VLOOKUP(N1079,[1]note_pop_types!$A$16:$E$16,4,FALSE),0),"")</f>
        <v/>
      </c>
      <c r="AE1079" t="str">
        <f>IFERROR(ROUND(Q1079*VLOOKUP(P1079,商品!$A$4:$B$60,2,FALSE),0),"")</f>
        <v/>
      </c>
      <c r="AF1079" t="str">
        <f>IFERROR(ROUND(S1079*VLOOKUP(R1079,商品!$A$4:$B$60,2,FALSE),0),"")</f>
        <v/>
      </c>
    </row>
    <row r="1080" spans="1:32" ht="19.05" customHeight="1" x14ac:dyDescent="0.25">
      <c r="A1080" s="15" t="s">
        <v>551</v>
      </c>
      <c r="C1080" s="15">
        <v>1</v>
      </c>
      <c r="T1080" s="2">
        <f t="shared" si="64"/>
        <v>0</v>
      </c>
      <c r="U1080" s="2">
        <f t="shared" si="65"/>
        <v>0</v>
      </c>
      <c r="V1080" s="2">
        <f t="shared" si="66"/>
        <v>0</v>
      </c>
      <c r="W1080" s="2">
        <f t="shared" si="67"/>
        <v>0</v>
      </c>
      <c r="Y1080" t="str">
        <f>IFERROR(ROUND(E1080*VLOOKUP(D1080,商品!$A$4:$B$60,2,FALSE),0),"")</f>
        <v/>
      </c>
      <c r="Z1080" t="str">
        <f>IFERROR(ROUND(G1080*VLOOKUP(F1080,商品!$A$4:$B$60,2,FALSE),0),"")</f>
        <v/>
      </c>
      <c r="AA1080" t="str">
        <f>IFERROR(ROUND(I1080*VLOOKUP(H1080,商品!$A$4:$B$60,2,FALSE),0),"")</f>
        <v/>
      </c>
      <c r="AB1080" t="str">
        <f>IFERROR(ROUND(K1080*VLOOKUP(J1080,[1]note_pop_types!$A$16:$E$16,4,FALSE),0),"")</f>
        <v/>
      </c>
      <c r="AC1080" t="str">
        <f>IFERROR(ROUND(M1080*VLOOKUP(L1080,[1]note_pop_types!$A$16:$E$16,4,FALSE),0),"")</f>
        <v/>
      </c>
      <c r="AD1080" t="str">
        <f>IFERROR(ROUND(O1080*VLOOKUP(N1080,[1]note_pop_types!$A$16:$E$16,4,FALSE),0),"")</f>
        <v/>
      </c>
      <c r="AE1080" t="str">
        <f>IFERROR(ROUND(Q1080*VLOOKUP(P1080,商品!$A$4:$B$60,2,FALSE),0),"")</f>
        <v/>
      </c>
      <c r="AF1080" t="str">
        <f>IFERROR(ROUND(S1080*VLOOKUP(R1080,商品!$A$4:$B$60,2,FALSE),0),"")</f>
        <v/>
      </c>
    </row>
    <row r="1081" spans="1:32" ht="19.05" customHeight="1" x14ac:dyDescent="0.25">
      <c r="A1081" s="15" t="s">
        <v>551</v>
      </c>
      <c r="C1081" s="15">
        <v>2</v>
      </c>
      <c r="T1081" s="2">
        <f t="shared" si="64"/>
        <v>0</v>
      </c>
      <c r="U1081" s="2">
        <f t="shared" si="65"/>
        <v>0</v>
      </c>
      <c r="V1081" s="2">
        <f t="shared" si="66"/>
        <v>0</v>
      </c>
      <c r="W1081" s="2">
        <f t="shared" si="67"/>
        <v>0</v>
      </c>
      <c r="Y1081" t="str">
        <f>IFERROR(ROUND(E1081*VLOOKUP(D1081,商品!$A$4:$B$60,2,FALSE),0),"")</f>
        <v/>
      </c>
      <c r="Z1081" t="str">
        <f>IFERROR(ROUND(G1081*VLOOKUP(F1081,商品!$A$4:$B$60,2,FALSE),0),"")</f>
        <v/>
      </c>
      <c r="AA1081" t="str">
        <f>IFERROR(ROUND(I1081*VLOOKUP(H1081,商品!$A$4:$B$60,2,FALSE),0),"")</f>
        <v/>
      </c>
      <c r="AB1081" t="str">
        <f>IFERROR(ROUND(K1081*VLOOKUP(J1081,[1]note_pop_types!$A$16:$E$16,4,FALSE),0),"")</f>
        <v/>
      </c>
      <c r="AC1081" t="str">
        <f>IFERROR(ROUND(M1081*VLOOKUP(L1081,[1]note_pop_types!$A$16:$E$16,4,FALSE),0),"")</f>
        <v/>
      </c>
      <c r="AD1081" t="str">
        <f>IFERROR(ROUND(O1081*VLOOKUP(N1081,[1]note_pop_types!$A$16:$E$16,4,FALSE),0),"")</f>
        <v/>
      </c>
      <c r="AE1081" t="str">
        <f>IFERROR(ROUND(Q1081*VLOOKUP(P1081,商品!$A$4:$B$60,2,FALSE),0),"")</f>
        <v/>
      </c>
      <c r="AF1081" t="str">
        <f>IFERROR(ROUND(S1081*VLOOKUP(R1081,商品!$A$4:$B$60,2,FALSE),0),"")</f>
        <v/>
      </c>
    </row>
    <row r="1082" spans="1:32" ht="19.05" customHeight="1" x14ac:dyDescent="0.25">
      <c r="A1082" s="15" t="s">
        <v>551</v>
      </c>
      <c r="C1082" s="15">
        <v>3</v>
      </c>
      <c r="T1082" s="2">
        <f t="shared" si="64"/>
        <v>0</v>
      </c>
      <c r="U1082" s="2">
        <f t="shared" si="65"/>
        <v>0</v>
      </c>
      <c r="V1082" s="2">
        <f t="shared" si="66"/>
        <v>0</v>
      </c>
      <c r="W1082" s="2">
        <f t="shared" si="67"/>
        <v>0</v>
      </c>
      <c r="Y1082" t="str">
        <f>IFERROR(ROUND(E1082*VLOOKUP(D1082,商品!$A$4:$B$60,2,FALSE),0),"")</f>
        <v/>
      </c>
      <c r="Z1082" t="str">
        <f>IFERROR(ROUND(G1082*VLOOKUP(F1082,商品!$A$4:$B$60,2,FALSE),0),"")</f>
        <v/>
      </c>
      <c r="AA1082" t="str">
        <f>IFERROR(ROUND(I1082*VLOOKUP(H1082,商品!$A$4:$B$60,2,FALSE),0),"")</f>
        <v/>
      </c>
      <c r="AB1082" t="str">
        <f>IFERROR(ROUND(K1082*VLOOKUP(J1082,[1]note_pop_types!$A$16:$E$16,4,FALSE),0),"")</f>
        <v/>
      </c>
      <c r="AC1082" t="str">
        <f>IFERROR(ROUND(M1082*VLOOKUP(L1082,[1]note_pop_types!$A$16:$E$16,4,FALSE),0),"")</f>
        <v/>
      </c>
      <c r="AD1082" t="str">
        <f>IFERROR(ROUND(O1082*VLOOKUP(N1082,[1]note_pop_types!$A$16:$E$16,4,FALSE),0),"")</f>
        <v/>
      </c>
      <c r="AE1082" t="str">
        <f>IFERROR(ROUND(Q1082*VLOOKUP(P1082,商品!$A$4:$B$60,2,FALSE),0),"")</f>
        <v/>
      </c>
      <c r="AF1082" t="str">
        <f>IFERROR(ROUND(S1082*VLOOKUP(R1082,商品!$A$4:$B$60,2,FALSE),0),"")</f>
        <v/>
      </c>
    </row>
    <row r="1083" spans="1:32" ht="19.05" customHeight="1" x14ac:dyDescent="0.25">
      <c r="A1083" s="15" t="s">
        <v>551</v>
      </c>
      <c r="C1083" s="15">
        <v>4</v>
      </c>
      <c r="T1083" s="2">
        <f t="shared" si="64"/>
        <v>0</v>
      </c>
      <c r="U1083" s="2">
        <f t="shared" si="65"/>
        <v>0</v>
      </c>
      <c r="V1083" s="2">
        <f t="shared" si="66"/>
        <v>0</v>
      </c>
      <c r="W1083" s="2">
        <f t="shared" si="67"/>
        <v>0</v>
      </c>
      <c r="Y1083" t="str">
        <f>IFERROR(ROUND(E1083*VLOOKUP(D1083,商品!$A$4:$B$60,2,FALSE),0),"")</f>
        <v/>
      </c>
      <c r="Z1083" t="str">
        <f>IFERROR(ROUND(G1083*VLOOKUP(F1083,商品!$A$4:$B$60,2,FALSE),0),"")</f>
        <v/>
      </c>
      <c r="AA1083" t="str">
        <f>IFERROR(ROUND(I1083*VLOOKUP(H1083,商品!$A$4:$B$60,2,FALSE),0),"")</f>
        <v/>
      </c>
      <c r="AB1083" t="str">
        <f>IFERROR(ROUND(K1083*VLOOKUP(J1083,[1]note_pop_types!$A$16:$E$16,4,FALSE),0),"")</f>
        <v/>
      </c>
      <c r="AC1083" t="str">
        <f>IFERROR(ROUND(M1083*VLOOKUP(L1083,[1]note_pop_types!$A$16:$E$16,4,FALSE),0),"")</f>
        <v/>
      </c>
      <c r="AD1083" t="str">
        <f>IFERROR(ROUND(O1083*VLOOKUP(N1083,[1]note_pop_types!$A$16:$E$16,4,FALSE),0),"")</f>
        <v/>
      </c>
      <c r="AE1083" t="str">
        <f>IFERROR(ROUND(Q1083*VLOOKUP(P1083,商品!$A$4:$B$60,2,FALSE),0),"")</f>
        <v/>
      </c>
      <c r="AF1083" t="str">
        <f>IFERROR(ROUND(S1083*VLOOKUP(R1083,商品!$A$4:$B$60,2,FALSE),0),"")</f>
        <v/>
      </c>
    </row>
    <row r="1084" spans="1:32" ht="19.05" customHeight="1" x14ac:dyDescent="0.25">
      <c r="A1084" s="15" t="s">
        <v>551</v>
      </c>
      <c r="C1084" s="15">
        <v>5</v>
      </c>
      <c r="T1084" s="2">
        <f t="shared" si="64"/>
        <v>0</v>
      </c>
      <c r="U1084" s="2">
        <f t="shared" si="65"/>
        <v>0</v>
      </c>
      <c r="V1084" s="2">
        <f t="shared" si="66"/>
        <v>0</v>
      </c>
      <c r="W1084" s="2">
        <f t="shared" si="67"/>
        <v>0</v>
      </c>
      <c r="Y1084" t="str">
        <f>IFERROR(ROUND(E1084*VLOOKUP(D1084,商品!$A$4:$B$60,2,FALSE),0),"")</f>
        <v/>
      </c>
      <c r="Z1084" t="str">
        <f>IFERROR(ROUND(G1084*VLOOKUP(F1084,商品!$A$4:$B$60,2,FALSE),0),"")</f>
        <v/>
      </c>
      <c r="AA1084" t="str">
        <f>IFERROR(ROUND(I1084*VLOOKUP(H1084,商品!$A$4:$B$60,2,FALSE),0),"")</f>
        <v/>
      </c>
      <c r="AB1084" t="str">
        <f>IFERROR(ROUND(K1084*VLOOKUP(J1084,[1]note_pop_types!$A$16:$E$16,4,FALSE),0),"")</f>
        <v/>
      </c>
      <c r="AC1084" t="str">
        <f>IFERROR(ROUND(M1084*VLOOKUP(L1084,[1]note_pop_types!$A$16:$E$16,4,FALSE),0),"")</f>
        <v/>
      </c>
      <c r="AD1084" t="str">
        <f>IFERROR(ROUND(O1084*VLOOKUP(N1084,[1]note_pop_types!$A$16:$E$16,4,FALSE),0),"")</f>
        <v/>
      </c>
      <c r="AE1084" t="str">
        <f>IFERROR(ROUND(Q1084*VLOOKUP(P1084,商品!$A$4:$B$60,2,FALSE),0),"")</f>
        <v/>
      </c>
      <c r="AF1084" t="str">
        <f>IFERROR(ROUND(S1084*VLOOKUP(R1084,商品!$A$4:$B$60,2,FALSE),0),"")</f>
        <v/>
      </c>
    </row>
    <row r="1085" spans="1:32" ht="19.05" customHeight="1" x14ac:dyDescent="0.25">
      <c r="A1085" s="16" t="s">
        <v>411</v>
      </c>
      <c r="C1085" s="16">
        <v>1</v>
      </c>
      <c r="T1085" s="2">
        <f t="shared" si="64"/>
        <v>0</v>
      </c>
      <c r="U1085" s="2">
        <f t="shared" si="65"/>
        <v>0</v>
      </c>
      <c r="V1085" s="2">
        <f t="shared" si="66"/>
        <v>0</v>
      </c>
      <c r="W1085" s="2">
        <f t="shared" si="67"/>
        <v>0</v>
      </c>
      <c r="Y1085" t="str">
        <f>IFERROR(ROUND(E1085*VLOOKUP(D1085,商品!$A$4:$B$60,2,FALSE),0),"")</f>
        <v/>
      </c>
      <c r="Z1085" t="str">
        <f>IFERROR(ROUND(G1085*VLOOKUP(F1085,商品!$A$4:$B$60,2,FALSE),0),"")</f>
        <v/>
      </c>
      <c r="AA1085" t="str">
        <f>IFERROR(ROUND(I1085*VLOOKUP(H1085,商品!$A$4:$B$60,2,FALSE),0),"")</f>
        <v/>
      </c>
      <c r="AB1085" t="str">
        <f>IFERROR(ROUND(K1085*VLOOKUP(J1085,[1]note_pop_types!$A$16:$E$16,4,FALSE),0),"")</f>
        <v/>
      </c>
      <c r="AC1085" t="str">
        <f>IFERROR(ROUND(M1085*VLOOKUP(L1085,[1]note_pop_types!$A$16:$E$16,4,FALSE),0),"")</f>
        <v/>
      </c>
      <c r="AD1085" t="str">
        <f>IFERROR(ROUND(O1085*VLOOKUP(N1085,[1]note_pop_types!$A$16:$E$16,4,FALSE),0),"")</f>
        <v/>
      </c>
      <c r="AE1085" t="str">
        <f>IFERROR(ROUND(Q1085*VLOOKUP(P1085,商品!$A$4:$B$60,2,FALSE),0),"")</f>
        <v/>
      </c>
      <c r="AF1085" t="str">
        <f>IFERROR(ROUND(S1085*VLOOKUP(R1085,商品!$A$4:$B$60,2,FALSE),0),"")</f>
        <v/>
      </c>
    </row>
    <row r="1086" spans="1:32" ht="19.05" customHeight="1" x14ac:dyDescent="0.25">
      <c r="A1086" s="16" t="s">
        <v>411</v>
      </c>
      <c r="C1086" s="16">
        <v>2</v>
      </c>
      <c r="T1086" s="2">
        <f t="shared" si="64"/>
        <v>0</v>
      </c>
      <c r="U1086" s="2">
        <f t="shared" si="65"/>
        <v>0</v>
      </c>
      <c r="V1086" s="2">
        <f t="shared" si="66"/>
        <v>0</v>
      </c>
      <c r="W1086" s="2">
        <f t="shared" si="67"/>
        <v>0</v>
      </c>
      <c r="Y1086" t="str">
        <f>IFERROR(ROUND(E1086*VLOOKUP(D1086,商品!$A$4:$B$60,2,FALSE),0),"")</f>
        <v/>
      </c>
      <c r="Z1086" t="str">
        <f>IFERROR(ROUND(G1086*VLOOKUP(F1086,商品!$A$4:$B$60,2,FALSE),0),"")</f>
        <v/>
      </c>
      <c r="AA1086" t="str">
        <f>IFERROR(ROUND(I1086*VLOOKUP(H1086,商品!$A$4:$B$60,2,FALSE),0),"")</f>
        <v/>
      </c>
      <c r="AB1086" t="str">
        <f>IFERROR(ROUND(K1086*VLOOKUP(J1086,[1]note_pop_types!$A$16:$E$16,4,FALSE),0),"")</f>
        <v/>
      </c>
      <c r="AC1086" t="str">
        <f>IFERROR(ROUND(M1086*VLOOKUP(L1086,[1]note_pop_types!$A$16:$E$16,4,FALSE),0),"")</f>
        <v/>
      </c>
      <c r="AD1086" t="str">
        <f>IFERROR(ROUND(O1086*VLOOKUP(N1086,[1]note_pop_types!$A$16:$E$16,4,FALSE),0),"")</f>
        <v/>
      </c>
      <c r="AE1086" t="str">
        <f>IFERROR(ROUND(Q1086*VLOOKUP(P1086,商品!$A$4:$B$60,2,FALSE),0),"")</f>
        <v/>
      </c>
      <c r="AF1086" t="str">
        <f>IFERROR(ROUND(S1086*VLOOKUP(R1086,商品!$A$4:$B$60,2,FALSE),0),"")</f>
        <v/>
      </c>
    </row>
    <row r="1087" spans="1:32" ht="19.05" customHeight="1" x14ac:dyDescent="0.25">
      <c r="A1087" s="16" t="s">
        <v>411</v>
      </c>
      <c r="C1087" s="16">
        <v>3</v>
      </c>
      <c r="T1087" s="2">
        <f t="shared" si="64"/>
        <v>0</v>
      </c>
      <c r="U1087" s="2">
        <f t="shared" si="65"/>
        <v>0</v>
      </c>
      <c r="V1087" s="2">
        <f t="shared" si="66"/>
        <v>0</v>
      </c>
      <c r="W1087" s="2">
        <f t="shared" si="67"/>
        <v>0</v>
      </c>
      <c r="Y1087" t="str">
        <f>IFERROR(ROUND(E1087*VLOOKUP(D1087,商品!$A$4:$B$60,2,FALSE),0),"")</f>
        <v/>
      </c>
      <c r="Z1087" t="str">
        <f>IFERROR(ROUND(G1087*VLOOKUP(F1087,商品!$A$4:$B$60,2,FALSE),0),"")</f>
        <v/>
      </c>
      <c r="AA1087" t="str">
        <f>IFERROR(ROUND(I1087*VLOOKUP(H1087,商品!$A$4:$B$60,2,FALSE),0),"")</f>
        <v/>
      </c>
      <c r="AB1087" t="str">
        <f>IFERROR(ROUND(K1087*VLOOKUP(J1087,[1]note_pop_types!$A$16:$E$16,4,FALSE),0),"")</f>
        <v/>
      </c>
      <c r="AC1087" t="str">
        <f>IFERROR(ROUND(M1087*VLOOKUP(L1087,[1]note_pop_types!$A$16:$E$16,4,FALSE),0),"")</f>
        <v/>
      </c>
      <c r="AD1087" t="str">
        <f>IFERROR(ROUND(O1087*VLOOKUP(N1087,[1]note_pop_types!$A$16:$E$16,4,FALSE),0),"")</f>
        <v/>
      </c>
      <c r="AE1087" t="str">
        <f>IFERROR(ROUND(Q1087*VLOOKUP(P1087,商品!$A$4:$B$60,2,FALSE),0),"")</f>
        <v/>
      </c>
      <c r="AF1087" t="str">
        <f>IFERROR(ROUND(S1087*VLOOKUP(R1087,商品!$A$4:$B$60,2,FALSE),0),"")</f>
        <v/>
      </c>
    </row>
    <row r="1088" spans="1:32" ht="19.05" customHeight="1" x14ac:dyDescent="0.25">
      <c r="A1088" s="16" t="s">
        <v>411</v>
      </c>
      <c r="C1088" s="16">
        <v>4</v>
      </c>
      <c r="T1088" s="2">
        <f t="shared" si="64"/>
        <v>0</v>
      </c>
      <c r="U1088" s="2">
        <f t="shared" si="65"/>
        <v>0</v>
      </c>
      <c r="V1088" s="2">
        <f t="shared" si="66"/>
        <v>0</v>
      </c>
      <c r="W1088" s="2">
        <f t="shared" si="67"/>
        <v>0</v>
      </c>
      <c r="Y1088" t="str">
        <f>IFERROR(ROUND(E1088*VLOOKUP(D1088,商品!$A$4:$B$60,2,FALSE),0),"")</f>
        <v/>
      </c>
      <c r="Z1088" t="str">
        <f>IFERROR(ROUND(G1088*VLOOKUP(F1088,商品!$A$4:$B$60,2,FALSE),0),"")</f>
        <v/>
      </c>
      <c r="AA1088" t="str">
        <f>IFERROR(ROUND(I1088*VLOOKUP(H1088,商品!$A$4:$B$60,2,FALSE),0),"")</f>
        <v/>
      </c>
      <c r="AB1088" t="str">
        <f>IFERROR(ROUND(K1088*VLOOKUP(J1088,[1]note_pop_types!$A$16:$E$16,4,FALSE),0),"")</f>
        <v/>
      </c>
      <c r="AC1088" t="str">
        <f>IFERROR(ROUND(M1088*VLOOKUP(L1088,[1]note_pop_types!$A$16:$E$16,4,FALSE),0),"")</f>
        <v/>
      </c>
      <c r="AD1088" t="str">
        <f>IFERROR(ROUND(O1088*VLOOKUP(N1088,[1]note_pop_types!$A$16:$E$16,4,FALSE),0),"")</f>
        <v/>
      </c>
      <c r="AE1088" t="str">
        <f>IFERROR(ROUND(Q1088*VLOOKUP(P1088,商品!$A$4:$B$60,2,FALSE),0),"")</f>
        <v/>
      </c>
      <c r="AF1088" t="str">
        <f>IFERROR(ROUND(S1088*VLOOKUP(R1088,商品!$A$4:$B$60,2,FALSE),0),"")</f>
        <v/>
      </c>
    </row>
    <row r="1089" spans="1:32" ht="19.05" customHeight="1" x14ac:dyDescent="0.25">
      <c r="A1089" s="16" t="s">
        <v>411</v>
      </c>
      <c r="C1089" s="16">
        <v>5</v>
      </c>
      <c r="T1089" s="2">
        <f t="shared" si="64"/>
        <v>0</v>
      </c>
      <c r="U1089" s="2">
        <f t="shared" si="65"/>
        <v>0</v>
      </c>
      <c r="V1089" s="2">
        <f t="shared" si="66"/>
        <v>0</v>
      </c>
      <c r="W1089" s="2">
        <f t="shared" si="67"/>
        <v>0</v>
      </c>
      <c r="Y1089" t="str">
        <f>IFERROR(ROUND(E1089*VLOOKUP(D1089,商品!$A$4:$B$60,2,FALSE),0),"")</f>
        <v/>
      </c>
      <c r="Z1089" t="str">
        <f>IFERROR(ROUND(G1089*VLOOKUP(F1089,商品!$A$4:$B$60,2,FALSE),0),"")</f>
        <v/>
      </c>
      <c r="AA1089" t="str">
        <f>IFERROR(ROUND(I1089*VLOOKUP(H1089,商品!$A$4:$B$60,2,FALSE),0),"")</f>
        <v/>
      </c>
      <c r="AB1089" t="str">
        <f>IFERROR(ROUND(K1089*VLOOKUP(J1089,[1]note_pop_types!$A$16:$E$16,4,FALSE),0),"")</f>
        <v/>
      </c>
      <c r="AC1089" t="str">
        <f>IFERROR(ROUND(M1089*VLOOKUP(L1089,[1]note_pop_types!$A$16:$E$16,4,FALSE),0),"")</f>
        <v/>
      </c>
      <c r="AD1089" t="str">
        <f>IFERROR(ROUND(O1089*VLOOKUP(N1089,[1]note_pop_types!$A$16:$E$16,4,FALSE),0),"")</f>
        <v/>
      </c>
      <c r="AE1089" t="str">
        <f>IFERROR(ROUND(Q1089*VLOOKUP(P1089,商品!$A$4:$B$60,2,FALSE),0),"")</f>
        <v/>
      </c>
      <c r="AF1089" t="str">
        <f>IFERROR(ROUND(S1089*VLOOKUP(R1089,商品!$A$4:$B$60,2,FALSE),0),"")</f>
        <v/>
      </c>
    </row>
    <row r="1090" spans="1:32" ht="19.05" customHeight="1" x14ac:dyDescent="0.25">
      <c r="A1090" s="16" t="s">
        <v>411</v>
      </c>
      <c r="C1090" s="16">
        <v>6</v>
      </c>
      <c r="T1090" s="2">
        <f t="shared" si="64"/>
        <v>0</v>
      </c>
      <c r="U1090" s="2">
        <f t="shared" si="65"/>
        <v>0</v>
      </c>
      <c r="V1090" s="2">
        <f t="shared" si="66"/>
        <v>0</v>
      </c>
      <c r="W1090" s="2">
        <f t="shared" si="67"/>
        <v>0</v>
      </c>
      <c r="Y1090" t="str">
        <f>IFERROR(ROUND(E1090*VLOOKUP(D1090,商品!$A$4:$B$60,2,FALSE),0),"")</f>
        <v/>
      </c>
      <c r="Z1090" t="str">
        <f>IFERROR(ROUND(G1090*VLOOKUP(F1090,商品!$A$4:$B$60,2,FALSE),0),"")</f>
        <v/>
      </c>
      <c r="AA1090" t="str">
        <f>IFERROR(ROUND(I1090*VLOOKUP(H1090,商品!$A$4:$B$60,2,FALSE),0),"")</f>
        <v/>
      </c>
      <c r="AB1090" t="str">
        <f>IFERROR(ROUND(K1090*VLOOKUP(J1090,[1]note_pop_types!$A$16:$E$16,4,FALSE),0),"")</f>
        <v/>
      </c>
      <c r="AC1090" t="str">
        <f>IFERROR(ROUND(M1090*VLOOKUP(L1090,[1]note_pop_types!$A$16:$E$16,4,FALSE),0),"")</f>
        <v/>
      </c>
      <c r="AD1090" t="str">
        <f>IFERROR(ROUND(O1090*VLOOKUP(N1090,[1]note_pop_types!$A$16:$E$16,4,FALSE),0),"")</f>
        <v/>
      </c>
      <c r="AE1090" t="str">
        <f>IFERROR(ROUND(Q1090*VLOOKUP(P1090,商品!$A$4:$B$60,2,FALSE),0),"")</f>
        <v/>
      </c>
      <c r="AF1090" t="str">
        <f>IFERROR(ROUND(S1090*VLOOKUP(R1090,商品!$A$4:$B$60,2,FALSE),0),"")</f>
        <v/>
      </c>
    </row>
    <row r="1091" spans="1:32" ht="19.05" customHeight="1" x14ac:dyDescent="0.25">
      <c r="A1091" s="16" t="s">
        <v>411</v>
      </c>
      <c r="C1091" s="16">
        <v>7</v>
      </c>
      <c r="T1091" s="2">
        <f t="shared" si="64"/>
        <v>0</v>
      </c>
      <c r="U1091" s="2">
        <f t="shared" si="65"/>
        <v>0</v>
      </c>
      <c r="V1091" s="2">
        <f t="shared" si="66"/>
        <v>0</v>
      </c>
      <c r="W1091" s="2">
        <f t="shared" si="67"/>
        <v>0</v>
      </c>
      <c r="Y1091" t="str">
        <f>IFERROR(ROUND(E1091*VLOOKUP(D1091,商品!$A$4:$B$60,2,FALSE),0),"")</f>
        <v/>
      </c>
      <c r="Z1091" t="str">
        <f>IFERROR(ROUND(G1091*VLOOKUP(F1091,商品!$A$4:$B$60,2,FALSE),0),"")</f>
        <v/>
      </c>
      <c r="AA1091" t="str">
        <f>IFERROR(ROUND(I1091*VLOOKUP(H1091,商品!$A$4:$B$60,2,FALSE),0),"")</f>
        <v/>
      </c>
      <c r="AB1091" t="str">
        <f>IFERROR(ROUND(K1091*VLOOKUP(J1091,[1]note_pop_types!$A$16:$E$16,4,FALSE),0),"")</f>
        <v/>
      </c>
      <c r="AC1091" t="str">
        <f>IFERROR(ROUND(M1091*VLOOKUP(L1091,[1]note_pop_types!$A$16:$E$16,4,FALSE),0),"")</f>
        <v/>
      </c>
      <c r="AD1091" t="str">
        <f>IFERROR(ROUND(O1091*VLOOKUP(N1091,[1]note_pop_types!$A$16:$E$16,4,FALSE),0),"")</f>
        <v/>
      </c>
      <c r="AE1091" t="str">
        <f>IFERROR(ROUND(Q1091*VLOOKUP(P1091,商品!$A$4:$B$60,2,FALSE),0),"")</f>
        <v/>
      </c>
      <c r="AF1091" t="str">
        <f>IFERROR(ROUND(S1091*VLOOKUP(R1091,商品!$A$4:$B$60,2,FALSE),0),"")</f>
        <v/>
      </c>
    </row>
    <row r="1092" spans="1:32" ht="19.05" customHeight="1" x14ac:dyDescent="0.25">
      <c r="A1092" s="16" t="s">
        <v>411</v>
      </c>
      <c r="C1092" s="16">
        <v>8</v>
      </c>
      <c r="T1092" s="2">
        <f t="shared" si="64"/>
        <v>0</v>
      </c>
      <c r="U1092" s="2">
        <f t="shared" si="65"/>
        <v>0</v>
      </c>
      <c r="V1092" s="2">
        <f t="shared" si="66"/>
        <v>0</v>
      </c>
      <c r="W1092" s="2">
        <f t="shared" si="67"/>
        <v>0</v>
      </c>
      <c r="Y1092" t="str">
        <f>IFERROR(ROUND(E1092*VLOOKUP(D1092,商品!$A$4:$B$60,2,FALSE),0),"")</f>
        <v/>
      </c>
      <c r="Z1092" t="str">
        <f>IFERROR(ROUND(G1092*VLOOKUP(F1092,商品!$A$4:$B$60,2,FALSE),0),"")</f>
        <v/>
      </c>
      <c r="AA1092" t="str">
        <f>IFERROR(ROUND(I1092*VLOOKUP(H1092,商品!$A$4:$B$60,2,FALSE),0),"")</f>
        <v/>
      </c>
      <c r="AB1092" t="str">
        <f>IFERROR(ROUND(K1092*VLOOKUP(J1092,[1]note_pop_types!$A$16:$E$16,4,FALSE),0),"")</f>
        <v/>
      </c>
      <c r="AC1092" t="str">
        <f>IFERROR(ROUND(M1092*VLOOKUP(L1092,[1]note_pop_types!$A$16:$E$16,4,FALSE),0),"")</f>
        <v/>
      </c>
      <c r="AD1092" t="str">
        <f>IFERROR(ROUND(O1092*VLOOKUP(N1092,[1]note_pop_types!$A$16:$E$16,4,FALSE),0),"")</f>
        <v/>
      </c>
      <c r="AE1092" t="str">
        <f>IFERROR(ROUND(Q1092*VLOOKUP(P1092,商品!$A$4:$B$60,2,FALSE),0),"")</f>
        <v/>
      </c>
      <c r="AF1092" t="str">
        <f>IFERROR(ROUND(S1092*VLOOKUP(R1092,商品!$A$4:$B$60,2,FALSE),0),"")</f>
        <v/>
      </c>
    </row>
    <row r="1093" spans="1:32" ht="19.05" customHeight="1" x14ac:dyDescent="0.25">
      <c r="A1093" s="15" t="s">
        <v>413</v>
      </c>
      <c r="C1093" s="15">
        <v>1</v>
      </c>
      <c r="T1093" s="2">
        <f t="shared" si="64"/>
        <v>0</v>
      </c>
      <c r="U1093" s="2">
        <f t="shared" si="65"/>
        <v>0</v>
      </c>
      <c r="V1093" s="2">
        <f t="shared" si="66"/>
        <v>0</v>
      </c>
      <c r="W1093" s="2">
        <f t="shared" si="67"/>
        <v>0</v>
      </c>
      <c r="Y1093" t="str">
        <f>IFERROR(ROUND(E1093*VLOOKUP(D1093,商品!$A$4:$B$60,2,FALSE),0),"")</f>
        <v/>
      </c>
      <c r="Z1093" t="str">
        <f>IFERROR(ROUND(G1093*VLOOKUP(F1093,商品!$A$4:$B$60,2,FALSE),0),"")</f>
        <v/>
      </c>
      <c r="AA1093" t="str">
        <f>IFERROR(ROUND(I1093*VLOOKUP(H1093,商品!$A$4:$B$60,2,FALSE),0),"")</f>
        <v/>
      </c>
      <c r="AB1093" t="str">
        <f>IFERROR(ROUND(K1093*VLOOKUP(J1093,[1]note_pop_types!$A$16:$E$16,4,FALSE),0),"")</f>
        <v/>
      </c>
      <c r="AC1093" t="str">
        <f>IFERROR(ROUND(M1093*VLOOKUP(L1093,[1]note_pop_types!$A$16:$E$16,4,FALSE),0),"")</f>
        <v/>
      </c>
      <c r="AD1093" t="str">
        <f>IFERROR(ROUND(O1093*VLOOKUP(N1093,[1]note_pop_types!$A$16:$E$16,4,FALSE),0),"")</f>
        <v/>
      </c>
      <c r="AE1093" t="str">
        <f>IFERROR(ROUND(Q1093*VLOOKUP(P1093,商品!$A$4:$B$60,2,FALSE),0),"")</f>
        <v/>
      </c>
      <c r="AF1093" t="str">
        <f>IFERROR(ROUND(S1093*VLOOKUP(R1093,商品!$A$4:$B$60,2,FALSE),0),"")</f>
        <v/>
      </c>
    </row>
    <row r="1094" spans="1:32" ht="19.05" customHeight="1" x14ac:dyDescent="0.25">
      <c r="A1094" s="15" t="s">
        <v>413</v>
      </c>
      <c r="C1094" s="15">
        <v>2</v>
      </c>
      <c r="T1094" s="2">
        <f t="shared" ref="T1094:T1157" si="68">SUM(Y1094:AA1094)</f>
        <v>0</v>
      </c>
      <c r="U1094" s="2">
        <f t="shared" ref="U1094:U1157" si="69">SUM(AB1094:AC1094)</f>
        <v>0</v>
      </c>
      <c r="V1094" s="2">
        <f t="shared" ref="V1094:V1157" si="70">SUM(AE1094:AF1094)</f>
        <v>0</v>
      </c>
      <c r="W1094" s="2">
        <f t="shared" ref="W1094:W1157" si="71">V1094-T1094-U1094</f>
        <v>0</v>
      </c>
      <c r="Y1094" t="str">
        <f>IFERROR(ROUND(E1094*VLOOKUP(D1094,商品!$A$4:$B$60,2,FALSE),0),"")</f>
        <v/>
      </c>
      <c r="Z1094" t="str">
        <f>IFERROR(ROUND(G1094*VLOOKUP(F1094,商品!$A$4:$B$60,2,FALSE),0),"")</f>
        <v/>
      </c>
      <c r="AA1094" t="str">
        <f>IFERROR(ROUND(I1094*VLOOKUP(H1094,商品!$A$4:$B$60,2,FALSE),0),"")</f>
        <v/>
      </c>
      <c r="AB1094" t="str">
        <f>IFERROR(ROUND(K1094*VLOOKUP(J1094,[1]note_pop_types!$A$16:$E$16,4,FALSE),0),"")</f>
        <v/>
      </c>
      <c r="AC1094" t="str">
        <f>IFERROR(ROUND(M1094*VLOOKUP(L1094,[1]note_pop_types!$A$16:$E$16,4,FALSE),0),"")</f>
        <v/>
      </c>
      <c r="AD1094" t="str">
        <f>IFERROR(ROUND(O1094*VLOOKUP(N1094,[1]note_pop_types!$A$16:$E$16,4,FALSE),0),"")</f>
        <v/>
      </c>
      <c r="AE1094" t="str">
        <f>IFERROR(ROUND(Q1094*VLOOKUP(P1094,商品!$A$4:$B$60,2,FALSE),0),"")</f>
        <v/>
      </c>
      <c r="AF1094" t="str">
        <f>IFERROR(ROUND(S1094*VLOOKUP(R1094,商品!$A$4:$B$60,2,FALSE),0),"")</f>
        <v/>
      </c>
    </row>
    <row r="1095" spans="1:32" ht="19.05" customHeight="1" x14ac:dyDescent="0.25">
      <c r="A1095" s="15" t="s">
        <v>413</v>
      </c>
      <c r="C1095" s="15">
        <v>3</v>
      </c>
      <c r="T1095" s="2">
        <f t="shared" si="68"/>
        <v>0</v>
      </c>
      <c r="U1095" s="2">
        <f t="shared" si="69"/>
        <v>0</v>
      </c>
      <c r="V1095" s="2">
        <f t="shared" si="70"/>
        <v>0</v>
      </c>
      <c r="W1095" s="2">
        <f t="shared" si="71"/>
        <v>0</v>
      </c>
      <c r="Y1095" t="str">
        <f>IFERROR(ROUND(E1095*VLOOKUP(D1095,商品!$A$4:$B$60,2,FALSE),0),"")</f>
        <v/>
      </c>
      <c r="Z1095" t="str">
        <f>IFERROR(ROUND(G1095*VLOOKUP(F1095,商品!$A$4:$B$60,2,FALSE),0),"")</f>
        <v/>
      </c>
      <c r="AA1095" t="str">
        <f>IFERROR(ROUND(I1095*VLOOKUP(H1095,商品!$A$4:$B$60,2,FALSE),0),"")</f>
        <v/>
      </c>
      <c r="AB1095" t="str">
        <f>IFERROR(ROUND(K1095*VLOOKUP(J1095,[1]note_pop_types!$A$16:$E$16,4,FALSE),0),"")</f>
        <v/>
      </c>
      <c r="AC1095" t="str">
        <f>IFERROR(ROUND(M1095*VLOOKUP(L1095,[1]note_pop_types!$A$16:$E$16,4,FALSE),0),"")</f>
        <v/>
      </c>
      <c r="AD1095" t="str">
        <f>IFERROR(ROUND(O1095*VLOOKUP(N1095,[1]note_pop_types!$A$16:$E$16,4,FALSE),0),"")</f>
        <v/>
      </c>
      <c r="AE1095" t="str">
        <f>IFERROR(ROUND(Q1095*VLOOKUP(P1095,商品!$A$4:$B$60,2,FALSE),0),"")</f>
        <v/>
      </c>
      <c r="AF1095" t="str">
        <f>IFERROR(ROUND(S1095*VLOOKUP(R1095,商品!$A$4:$B$60,2,FALSE),0),"")</f>
        <v/>
      </c>
    </row>
    <row r="1096" spans="1:32" ht="19.05" customHeight="1" x14ac:dyDescent="0.25">
      <c r="A1096" s="15" t="s">
        <v>413</v>
      </c>
      <c r="C1096" s="15">
        <v>4</v>
      </c>
      <c r="T1096" s="2">
        <f t="shared" si="68"/>
        <v>0</v>
      </c>
      <c r="U1096" s="2">
        <f t="shared" si="69"/>
        <v>0</v>
      </c>
      <c r="V1096" s="2">
        <f t="shared" si="70"/>
        <v>0</v>
      </c>
      <c r="W1096" s="2">
        <f t="shared" si="71"/>
        <v>0</v>
      </c>
      <c r="Y1096" t="str">
        <f>IFERROR(ROUND(E1096*VLOOKUP(D1096,商品!$A$4:$B$60,2,FALSE),0),"")</f>
        <v/>
      </c>
      <c r="Z1096" t="str">
        <f>IFERROR(ROUND(G1096*VLOOKUP(F1096,商品!$A$4:$B$60,2,FALSE),0),"")</f>
        <v/>
      </c>
      <c r="AA1096" t="str">
        <f>IFERROR(ROUND(I1096*VLOOKUP(H1096,商品!$A$4:$B$60,2,FALSE),0),"")</f>
        <v/>
      </c>
      <c r="AB1096" t="str">
        <f>IFERROR(ROUND(K1096*VLOOKUP(J1096,[1]note_pop_types!$A$16:$E$16,4,FALSE),0),"")</f>
        <v/>
      </c>
      <c r="AC1096" t="str">
        <f>IFERROR(ROUND(M1096*VLOOKUP(L1096,[1]note_pop_types!$A$16:$E$16,4,FALSE),0),"")</f>
        <v/>
      </c>
      <c r="AD1096" t="str">
        <f>IFERROR(ROUND(O1096*VLOOKUP(N1096,[1]note_pop_types!$A$16:$E$16,4,FALSE),0),"")</f>
        <v/>
      </c>
      <c r="AE1096" t="str">
        <f>IFERROR(ROUND(Q1096*VLOOKUP(P1096,商品!$A$4:$B$60,2,FALSE),0),"")</f>
        <v/>
      </c>
      <c r="AF1096" t="str">
        <f>IFERROR(ROUND(S1096*VLOOKUP(R1096,商品!$A$4:$B$60,2,FALSE),0),"")</f>
        <v/>
      </c>
    </row>
    <row r="1097" spans="1:32" ht="19.05" customHeight="1" x14ac:dyDescent="0.25">
      <c r="A1097" s="15" t="s">
        <v>413</v>
      </c>
      <c r="C1097" s="15">
        <v>5</v>
      </c>
      <c r="T1097" s="2">
        <f t="shared" si="68"/>
        <v>0</v>
      </c>
      <c r="U1097" s="2">
        <f t="shared" si="69"/>
        <v>0</v>
      </c>
      <c r="V1097" s="2">
        <f t="shared" si="70"/>
        <v>0</v>
      </c>
      <c r="W1097" s="2">
        <f t="shared" si="71"/>
        <v>0</v>
      </c>
      <c r="Y1097" t="str">
        <f>IFERROR(ROUND(E1097*VLOOKUP(D1097,商品!$A$4:$B$60,2,FALSE),0),"")</f>
        <v/>
      </c>
      <c r="Z1097" t="str">
        <f>IFERROR(ROUND(G1097*VLOOKUP(F1097,商品!$A$4:$B$60,2,FALSE),0),"")</f>
        <v/>
      </c>
      <c r="AA1097" t="str">
        <f>IFERROR(ROUND(I1097*VLOOKUP(H1097,商品!$A$4:$B$60,2,FALSE),0),"")</f>
        <v/>
      </c>
      <c r="AB1097" t="str">
        <f>IFERROR(ROUND(K1097*VLOOKUP(J1097,[1]note_pop_types!$A$16:$E$16,4,FALSE),0),"")</f>
        <v/>
      </c>
      <c r="AC1097" t="str">
        <f>IFERROR(ROUND(M1097*VLOOKUP(L1097,[1]note_pop_types!$A$16:$E$16,4,FALSE),0),"")</f>
        <v/>
      </c>
      <c r="AD1097" t="str">
        <f>IFERROR(ROUND(O1097*VLOOKUP(N1097,[1]note_pop_types!$A$16:$E$16,4,FALSE),0),"")</f>
        <v/>
      </c>
      <c r="AE1097" t="str">
        <f>IFERROR(ROUND(Q1097*VLOOKUP(P1097,商品!$A$4:$B$60,2,FALSE),0),"")</f>
        <v/>
      </c>
      <c r="AF1097" t="str">
        <f>IFERROR(ROUND(S1097*VLOOKUP(R1097,商品!$A$4:$B$60,2,FALSE),0),"")</f>
        <v/>
      </c>
    </row>
    <row r="1098" spans="1:32" ht="19.05" customHeight="1" x14ac:dyDescent="0.25">
      <c r="A1098" s="16" t="s">
        <v>552</v>
      </c>
      <c r="C1098" s="16">
        <v>1</v>
      </c>
      <c r="T1098" s="2">
        <f t="shared" si="68"/>
        <v>0</v>
      </c>
      <c r="U1098" s="2">
        <f t="shared" si="69"/>
        <v>0</v>
      </c>
      <c r="V1098" s="2">
        <f t="shared" si="70"/>
        <v>0</v>
      </c>
      <c r="W1098" s="2">
        <f t="shared" si="71"/>
        <v>0</v>
      </c>
      <c r="Y1098" t="str">
        <f>IFERROR(ROUND(E1098*VLOOKUP(D1098,商品!$A$4:$B$60,2,FALSE),0),"")</f>
        <v/>
      </c>
      <c r="Z1098" t="str">
        <f>IFERROR(ROUND(G1098*VLOOKUP(F1098,商品!$A$4:$B$60,2,FALSE),0),"")</f>
        <v/>
      </c>
      <c r="AA1098" t="str">
        <f>IFERROR(ROUND(I1098*VLOOKUP(H1098,商品!$A$4:$B$60,2,FALSE),0),"")</f>
        <v/>
      </c>
      <c r="AB1098" t="str">
        <f>IFERROR(ROUND(K1098*VLOOKUP(J1098,[1]note_pop_types!$A$16:$E$16,4,FALSE),0),"")</f>
        <v/>
      </c>
      <c r="AC1098" t="str">
        <f>IFERROR(ROUND(M1098*VLOOKUP(L1098,[1]note_pop_types!$A$16:$E$16,4,FALSE),0),"")</f>
        <v/>
      </c>
      <c r="AD1098" t="str">
        <f>IFERROR(ROUND(O1098*VLOOKUP(N1098,[1]note_pop_types!$A$16:$E$16,4,FALSE),0),"")</f>
        <v/>
      </c>
      <c r="AE1098" t="str">
        <f>IFERROR(ROUND(Q1098*VLOOKUP(P1098,商品!$A$4:$B$60,2,FALSE),0),"")</f>
        <v/>
      </c>
      <c r="AF1098" t="str">
        <f>IFERROR(ROUND(S1098*VLOOKUP(R1098,商品!$A$4:$B$60,2,FALSE),0),"")</f>
        <v/>
      </c>
    </row>
    <row r="1099" spans="1:32" ht="19.05" customHeight="1" x14ac:dyDescent="0.25">
      <c r="A1099" s="16" t="s">
        <v>552</v>
      </c>
      <c r="C1099" s="16">
        <v>2</v>
      </c>
      <c r="T1099" s="2">
        <f t="shared" si="68"/>
        <v>0</v>
      </c>
      <c r="U1099" s="2">
        <f t="shared" si="69"/>
        <v>0</v>
      </c>
      <c r="V1099" s="2">
        <f t="shared" si="70"/>
        <v>0</v>
      </c>
      <c r="W1099" s="2">
        <f t="shared" si="71"/>
        <v>0</v>
      </c>
      <c r="Y1099" t="str">
        <f>IFERROR(ROUND(E1099*VLOOKUP(D1099,商品!$A$4:$B$60,2,FALSE),0),"")</f>
        <v/>
      </c>
      <c r="Z1099" t="str">
        <f>IFERROR(ROUND(G1099*VLOOKUP(F1099,商品!$A$4:$B$60,2,FALSE),0),"")</f>
        <v/>
      </c>
      <c r="AA1099" t="str">
        <f>IFERROR(ROUND(I1099*VLOOKUP(H1099,商品!$A$4:$B$60,2,FALSE),0),"")</f>
        <v/>
      </c>
      <c r="AB1099" t="str">
        <f>IFERROR(ROUND(K1099*VLOOKUP(J1099,[1]note_pop_types!$A$16:$E$16,4,FALSE),0),"")</f>
        <v/>
      </c>
      <c r="AC1099" t="str">
        <f>IFERROR(ROUND(M1099*VLOOKUP(L1099,[1]note_pop_types!$A$16:$E$16,4,FALSE),0),"")</f>
        <v/>
      </c>
      <c r="AD1099" t="str">
        <f>IFERROR(ROUND(O1099*VLOOKUP(N1099,[1]note_pop_types!$A$16:$E$16,4,FALSE),0),"")</f>
        <v/>
      </c>
      <c r="AE1099" t="str">
        <f>IFERROR(ROUND(Q1099*VLOOKUP(P1099,商品!$A$4:$B$60,2,FALSE),0),"")</f>
        <v/>
      </c>
      <c r="AF1099" t="str">
        <f>IFERROR(ROUND(S1099*VLOOKUP(R1099,商品!$A$4:$B$60,2,FALSE),0),"")</f>
        <v/>
      </c>
    </row>
    <row r="1100" spans="1:32" ht="19.05" customHeight="1" x14ac:dyDescent="0.25">
      <c r="A1100" s="16" t="s">
        <v>552</v>
      </c>
      <c r="C1100" s="16">
        <v>3</v>
      </c>
      <c r="T1100" s="2">
        <f t="shared" si="68"/>
        <v>0</v>
      </c>
      <c r="U1100" s="2">
        <f t="shared" si="69"/>
        <v>0</v>
      </c>
      <c r="V1100" s="2">
        <f t="shared" si="70"/>
        <v>0</v>
      </c>
      <c r="W1100" s="2">
        <f t="shared" si="71"/>
        <v>0</v>
      </c>
      <c r="Y1100" t="str">
        <f>IFERROR(ROUND(E1100*VLOOKUP(D1100,商品!$A$4:$B$60,2,FALSE),0),"")</f>
        <v/>
      </c>
      <c r="Z1100" t="str">
        <f>IFERROR(ROUND(G1100*VLOOKUP(F1100,商品!$A$4:$B$60,2,FALSE),0),"")</f>
        <v/>
      </c>
      <c r="AA1100" t="str">
        <f>IFERROR(ROUND(I1100*VLOOKUP(H1100,商品!$A$4:$B$60,2,FALSE),0),"")</f>
        <v/>
      </c>
      <c r="AB1100" t="str">
        <f>IFERROR(ROUND(K1100*VLOOKUP(J1100,[1]note_pop_types!$A$16:$E$16,4,FALSE),0),"")</f>
        <v/>
      </c>
      <c r="AC1100" t="str">
        <f>IFERROR(ROUND(M1100*VLOOKUP(L1100,[1]note_pop_types!$A$16:$E$16,4,FALSE),0),"")</f>
        <v/>
      </c>
      <c r="AD1100" t="str">
        <f>IFERROR(ROUND(O1100*VLOOKUP(N1100,[1]note_pop_types!$A$16:$E$16,4,FALSE),0),"")</f>
        <v/>
      </c>
      <c r="AE1100" t="str">
        <f>IFERROR(ROUND(Q1100*VLOOKUP(P1100,商品!$A$4:$B$60,2,FALSE),0),"")</f>
        <v/>
      </c>
      <c r="AF1100" t="str">
        <f>IFERROR(ROUND(S1100*VLOOKUP(R1100,商品!$A$4:$B$60,2,FALSE),0),"")</f>
        <v/>
      </c>
    </row>
    <row r="1101" spans="1:32" ht="19.05" customHeight="1" x14ac:dyDescent="0.25">
      <c r="A1101" s="16" t="s">
        <v>552</v>
      </c>
      <c r="C1101" s="16">
        <v>4</v>
      </c>
      <c r="T1101" s="2">
        <f t="shared" si="68"/>
        <v>0</v>
      </c>
      <c r="U1101" s="2">
        <f t="shared" si="69"/>
        <v>0</v>
      </c>
      <c r="V1101" s="2">
        <f t="shared" si="70"/>
        <v>0</v>
      </c>
      <c r="W1101" s="2">
        <f t="shared" si="71"/>
        <v>0</v>
      </c>
      <c r="Y1101" t="str">
        <f>IFERROR(ROUND(E1101*VLOOKUP(D1101,商品!$A$4:$B$60,2,FALSE),0),"")</f>
        <v/>
      </c>
      <c r="Z1101" t="str">
        <f>IFERROR(ROUND(G1101*VLOOKUP(F1101,商品!$A$4:$B$60,2,FALSE),0),"")</f>
        <v/>
      </c>
      <c r="AA1101" t="str">
        <f>IFERROR(ROUND(I1101*VLOOKUP(H1101,商品!$A$4:$B$60,2,FALSE),0),"")</f>
        <v/>
      </c>
      <c r="AB1101" t="str">
        <f>IFERROR(ROUND(K1101*VLOOKUP(J1101,[1]note_pop_types!$A$16:$E$16,4,FALSE),0),"")</f>
        <v/>
      </c>
      <c r="AC1101" t="str">
        <f>IFERROR(ROUND(M1101*VLOOKUP(L1101,[1]note_pop_types!$A$16:$E$16,4,FALSE),0),"")</f>
        <v/>
      </c>
      <c r="AD1101" t="str">
        <f>IFERROR(ROUND(O1101*VLOOKUP(N1101,[1]note_pop_types!$A$16:$E$16,4,FALSE),0),"")</f>
        <v/>
      </c>
      <c r="AE1101" t="str">
        <f>IFERROR(ROUND(Q1101*VLOOKUP(P1101,商品!$A$4:$B$60,2,FALSE),0),"")</f>
        <v/>
      </c>
      <c r="AF1101" t="str">
        <f>IFERROR(ROUND(S1101*VLOOKUP(R1101,商品!$A$4:$B$60,2,FALSE),0),"")</f>
        <v/>
      </c>
    </row>
    <row r="1102" spans="1:32" ht="19.05" customHeight="1" x14ac:dyDescent="0.25">
      <c r="A1102" s="16" t="s">
        <v>552</v>
      </c>
      <c r="C1102" s="16">
        <v>5</v>
      </c>
      <c r="T1102" s="2">
        <f t="shared" si="68"/>
        <v>0</v>
      </c>
      <c r="U1102" s="2">
        <f t="shared" si="69"/>
        <v>0</v>
      </c>
      <c r="V1102" s="2">
        <f t="shared" si="70"/>
        <v>0</v>
      </c>
      <c r="W1102" s="2">
        <f t="shared" si="71"/>
        <v>0</v>
      </c>
      <c r="Y1102" t="str">
        <f>IFERROR(ROUND(E1102*VLOOKUP(D1102,商品!$A$4:$B$60,2,FALSE),0),"")</f>
        <v/>
      </c>
      <c r="Z1102" t="str">
        <f>IFERROR(ROUND(G1102*VLOOKUP(F1102,商品!$A$4:$B$60,2,FALSE),0),"")</f>
        <v/>
      </c>
      <c r="AA1102" t="str">
        <f>IFERROR(ROUND(I1102*VLOOKUP(H1102,商品!$A$4:$B$60,2,FALSE),0),"")</f>
        <v/>
      </c>
      <c r="AB1102" t="str">
        <f>IFERROR(ROUND(K1102*VLOOKUP(J1102,[1]note_pop_types!$A$16:$E$16,4,FALSE),0),"")</f>
        <v/>
      </c>
      <c r="AC1102" t="str">
        <f>IFERROR(ROUND(M1102*VLOOKUP(L1102,[1]note_pop_types!$A$16:$E$16,4,FALSE),0),"")</f>
        <v/>
      </c>
      <c r="AD1102" t="str">
        <f>IFERROR(ROUND(O1102*VLOOKUP(N1102,[1]note_pop_types!$A$16:$E$16,4,FALSE),0),"")</f>
        <v/>
      </c>
      <c r="AE1102" t="str">
        <f>IFERROR(ROUND(Q1102*VLOOKUP(P1102,商品!$A$4:$B$60,2,FALSE),0),"")</f>
        <v/>
      </c>
      <c r="AF1102" t="str">
        <f>IFERROR(ROUND(S1102*VLOOKUP(R1102,商品!$A$4:$B$60,2,FALSE),0),"")</f>
        <v/>
      </c>
    </row>
    <row r="1103" spans="1:32" ht="19.05" customHeight="1" x14ac:dyDescent="0.25">
      <c r="A1103" s="15" t="s">
        <v>552</v>
      </c>
      <c r="C1103" s="15">
        <v>1</v>
      </c>
      <c r="T1103" s="2">
        <f t="shared" si="68"/>
        <v>0</v>
      </c>
      <c r="U1103" s="2">
        <f t="shared" si="69"/>
        <v>0</v>
      </c>
      <c r="V1103" s="2">
        <f t="shared" si="70"/>
        <v>0</v>
      </c>
      <c r="W1103" s="2">
        <f t="shared" si="71"/>
        <v>0</v>
      </c>
      <c r="Y1103" t="str">
        <f>IFERROR(ROUND(E1103*VLOOKUP(D1103,商品!$A$4:$B$60,2,FALSE),0),"")</f>
        <v/>
      </c>
      <c r="Z1103" t="str">
        <f>IFERROR(ROUND(G1103*VLOOKUP(F1103,商品!$A$4:$B$60,2,FALSE),0),"")</f>
        <v/>
      </c>
      <c r="AA1103" t="str">
        <f>IFERROR(ROUND(I1103*VLOOKUP(H1103,商品!$A$4:$B$60,2,FALSE),0),"")</f>
        <v/>
      </c>
      <c r="AB1103" t="str">
        <f>IFERROR(ROUND(K1103*VLOOKUP(J1103,[1]note_pop_types!$A$16:$E$16,4,FALSE),0),"")</f>
        <v/>
      </c>
      <c r="AC1103" t="str">
        <f>IFERROR(ROUND(M1103*VLOOKUP(L1103,[1]note_pop_types!$A$16:$E$16,4,FALSE),0),"")</f>
        <v/>
      </c>
      <c r="AD1103" t="str">
        <f>IFERROR(ROUND(O1103*VLOOKUP(N1103,[1]note_pop_types!$A$16:$E$16,4,FALSE),0),"")</f>
        <v/>
      </c>
      <c r="AE1103" t="str">
        <f>IFERROR(ROUND(Q1103*VLOOKUP(P1103,商品!$A$4:$B$60,2,FALSE),0),"")</f>
        <v/>
      </c>
      <c r="AF1103" t="str">
        <f>IFERROR(ROUND(S1103*VLOOKUP(R1103,商品!$A$4:$B$60,2,FALSE),0),"")</f>
        <v/>
      </c>
    </row>
    <row r="1104" spans="1:32" ht="19.05" customHeight="1" x14ac:dyDescent="0.25">
      <c r="A1104" s="15" t="s">
        <v>552</v>
      </c>
      <c r="C1104" s="15">
        <v>2</v>
      </c>
      <c r="T1104" s="2">
        <f t="shared" si="68"/>
        <v>0</v>
      </c>
      <c r="U1104" s="2">
        <f t="shared" si="69"/>
        <v>0</v>
      </c>
      <c r="V1104" s="2">
        <f t="shared" si="70"/>
        <v>0</v>
      </c>
      <c r="W1104" s="2">
        <f t="shared" si="71"/>
        <v>0</v>
      </c>
      <c r="Y1104" t="str">
        <f>IFERROR(ROUND(E1104*VLOOKUP(D1104,商品!$A$4:$B$60,2,FALSE),0),"")</f>
        <v/>
      </c>
      <c r="Z1104" t="str">
        <f>IFERROR(ROUND(G1104*VLOOKUP(F1104,商品!$A$4:$B$60,2,FALSE),0),"")</f>
        <v/>
      </c>
      <c r="AA1104" t="str">
        <f>IFERROR(ROUND(I1104*VLOOKUP(H1104,商品!$A$4:$B$60,2,FALSE),0),"")</f>
        <v/>
      </c>
      <c r="AB1104" t="str">
        <f>IFERROR(ROUND(K1104*VLOOKUP(J1104,[1]note_pop_types!$A$16:$E$16,4,FALSE),0),"")</f>
        <v/>
      </c>
      <c r="AC1104" t="str">
        <f>IFERROR(ROUND(M1104*VLOOKUP(L1104,[1]note_pop_types!$A$16:$E$16,4,FALSE),0),"")</f>
        <v/>
      </c>
      <c r="AD1104" t="str">
        <f>IFERROR(ROUND(O1104*VLOOKUP(N1104,[1]note_pop_types!$A$16:$E$16,4,FALSE),0),"")</f>
        <v/>
      </c>
      <c r="AE1104" t="str">
        <f>IFERROR(ROUND(Q1104*VLOOKUP(P1104,商品!$A$4:$B$60,2,FALSE),0),"")</f>
        <v/>
      </c>
      <c r="AF1104" t="str">
        <f>IFERROR(ROUND(S1104*VLOOKUP(R1104,商品!$A$4:$B$60,2,FALSE),0),"")</f>
        <v/>
      </c>
    </row>
    <row r="1105" spans="1:32" ht="19.05" customHeight="1" x14ac:dyDescent="0.25">
      <c r="A1105" s="15" t="s">
        <v>552</v>
      </c>
      <c r="C1105" s="15">
        <v>3</v>
      </c>
      <c r="T1105" s="2">
        <f t="shared" si="68"/>
        <v>0</v>
      </c>
      <c r="U1105" s="2">
        <f t="shared" si="69"/>
        <v>0</v>
      </c>
      <c r="V1105" s="2">
        <f t="shared" si="70"/>
        <v>0</v>
      </c>
      <c r="W1105" s="2">
        <f t="shared" si="71"/>
        <v>0</v>
      </c>
      <c r="Y1105" t="str">
        <f>IFERROR(ROUND(E1105*VLOOKUP(D1105,商品!$A$4:$B$60,2,FALSE),0),"")</f>
        <v/>
      </c>
      <c r="Z1105" t="str">
        <f>IFERROR(ROUND(G1105*VLOOKUP(F1105,商品!$A$4:$B$60,2,FALSE),0),"")</f>
        <v/>
      </c>
      <c r="AA1105" t="str">
        <f>IFERROR(ROUND(I1105*VLOOKUP(H1105,商品!$A$4:$B$60,2,FALSE),0),"")</f>
        <v/>
      </c>
      <c r="AB1105" t="str">
        <f>IFERROR(ROUND(K1105*VLOOKUP(J1105,[1]note_pop_types!$A$16:$E$16,4,FALSE),0),"")</f>
        <v/>
      </c>
      <c r="AC1105" t="str">
        <f>IFERROR(ROUND(M1105*VLOOKUP(L1105,[1]note_pop_types!$A$16:$E$16,4,FALSE),0),"")</f>
        <v/>
      </c>
      <c r="AD1105" t="str">
        <f>IFERROR(ROUND(O1105*VLOOKUP(N1105,[1]note_pop_types!$A$16:$E$16,4,FALSE),0),"")</f>
        <v/>
      </c>
      <c r="AE1105" t="str">
        <f>IFERROR(ROUND(Q1105*VLOOKUP(P1105,商品!$A$4:$B$60,2,FALSE),0),"")</f>
        <v/>
      </c>
      <c r="AF1105" t="str">
        <f>IFERROR(ROUND(S1105*VLOOKUP(R1105,商品!$A$4:$B$60,2,FALSE),0),"")</f>
        <v/>
      </c>
    </row>
    <row r="1106" spans="1:32" ht="19.05" customHeight="1" x14ac:dyDescent="0.25">
      <c r="A1106" s="15" t="s">
        <v>552</v>
      </c>
      <c r="C1106" s="15">
        <v>4</v>
      </c>
      <c r="T1106" s="2">
        <f t="shared" si="68"/>
        <v>0</v>
      </c>
      <c r="U1106" s="2">
        <f t="shared" si="69"/>
        <v>0</v>
      </c>
      <c r="V1106" s="2">
        <f t="shared" si="70"/>
        <v>0</v>
      </c>
      <c r="W1106" s="2">
        <f t="shared" si="71"/>
        <v>0</v>
      </c>
      <c r="Y1106" t="str">
        <f>IFERROR(ROUND(E1106*VLOOKUP(D1106,商品!$A$4:$B$60,2,FALSE),0),"")</f>
        <v/>
      </c>
      <c r="Z1106" t="str">
        <f>IFERROR(ROUND(G1106*VLOOKUP(F1106,商品!$A$4:$B$60,2,FALSE),0),"")</f>
        <v/>
      </c>
      <c r="AA1106" t="str">
        <f>IFERROR(ROUND(I1106*VLOOKUP(H1106,商品!$A$4:$B$60,2,FALSE),0),"")</f>
        <v/>
      </c>
      <c r="AB1106" t="str">
        <f>IFERROR(ROUND(K1106*VLOOKUP(J1106,[1]note_pop_types!$A$16:$E$16,4,FALSE),0),"")</f>
        <v/>
      </c>
      <c r="AC1106" t="str">
        <f>IFERROR(ROUND(M1106*VLOOKUP(L1106,[1]note_pop_types!$A$16:$E$16,4,FALSE),0),"")</f>
        <v/>
      </c>
      <c r="AD1106" t="str">
        <f>IFERROR(ROUND(O1106*VLOOKUP(N1106,[1]note_pop_types!$A$16:$E$16,4,FALSE),0),"")</f>
        <v/>
      </c>
      <c r="AE1106" t="str">
        <f>IFERROR(ROUND(Q1106*VLOOKUP(P1106,商品!$A$4:$B$60,2,FALSE),0),"")</f>
        <v/>
      </c>
      <c r="AF1106" t="str">
        <f>IFERROR(ROUND(S1106*VLOOKUP(R1106,商品!$A$4:$B$60,2,FALSE),0),"")</f>
        <v/>
      </c>
    </row>
    <row r="1107" spans="1:32" ht="19.05" customHeight="1" x14ac:dyDescent="0.25">
      <c r="A1107" s="15" t="s">
        <v>552</v>
      </c>
      <c r="C1107" s="15">
        <v>5</v>
      </c>
      <c r="T1107" s="2">
        <f t="shared" si="68"/>
        <v>0</v>
      </c>
      <c r="U1107" s="2">
        <f t="shared" si="69"/>
        <v>0</v>
      </c>
      <c r="V1107" s="2">
        <f t="shared" si="70"/>
        <v>0</v>
      </c>
      <c r="W1107" s="2">
        <f t="shared" si="71"/>
        <v>0</v>
      </c>
      <c r="Y1107" t="str">
        <f>IFERROR(ROUND(E1107*VLOOKUP(D1107,商品!$A$4:$B$60,2,FALSE),0),"")</f>
        <v/>
      </c>
      <c r="Z1107" t="str">
        <f>IFERROR(ROUND(G1107*VLOOKUP(F1107,商品!$A$4:$B$60,2,FALSE),0),"")</f>
        <v/>
      </c>
      <c r="AA1107" t="str">
        <f>IFERROR(ROUND(I1107*VLOOKUP(H1107,商品!$A$4:$B$60,2,FALSE),0),"")</f>
        <v/>
      </c>
      <c r="AB1107" t="str">
        <f>IFERROR(ROUND(K1107*VLOOKUP(J1107,[1]note_pop_types!$A$16:$E$16,4,FALSE),0),"")</f>
        <v/>
      </c>
      <c r="AC1107" t="str">
        <f>IFERROR(ROUND(M1107*VLOOKUP(L1107,[1]note_pop_types!$A$16:$E$16,4,FALSE),0),"")</f>
        <v/>
      </c>
      <c r="AD1107" t="str">
        <f>IFERROR(ROUND(O1107*VLOOKUP(N1107,[1]note_pop_types!$A$16:$E$16,4,FALSE),0),"")</f>
        <v/>
      </c>
      <c r="AE1107" t="str">
        <f>IFERROR(ROUND(Q1107*VLOOKUP(P1107,商品!$A$4:$B$60,2,FALSE),0),"")</f>
        <v/>
      </c>
      <c r="AF1107" t="str">
        <f>IFERROR(ROUND(S1107*VLOOKUP(R1107,商品!$A$4:$B$60,2,FALSE),0),"")</f>
        <v/>
      </c>
    </row>
    <row r="1108" spans="1:32" ht="19.05" customHeight="1" x14ac:dyDescent="0.25">
      <c r="A1108" s="16" t="s">
        <v>416</v>
      </c>
      <c r="C1108" s="16">
        <v>1</v>
      </c>
      <c r="T1108" s="2">
        <f t="shared" si="68"/>
        <v>0</v>
      </c>
      <c r="U1108" s="2">
        <f t="shared" si="69"/>
        <v>0</v>
      </c>
      <c r="V1108" s="2">
        <f t="shared" si="70"/>
        <v>0</v>
      </c>
      <c r="W1108" s="2">
        <f t="shared" si="71"/>
        <v>0</v>
      </c>
      <c r="Y1108" t="str">
        <f>IFERROR(ROUND(E1108*VLOOKUP(D1108,商品!$A$4:$B$60,2,FALSE),0),"")</f>
        <v/>
      </c>
      <c r="Z1108" t="str">
        <f>IFERROR(ROUND(G1108*VLOOKUP(F1108,商品!$A$4:$B$60,2,FALSE),0),"")</f>
        <v/>
      </c>
      <c r="AA1108" t="str">
        <f>IFERROR(ROUND(I1108*VLOOKUP(H1108,商品!$A$4:$B$60,2,FALSE),0),"")</f>
        <v/>
      </c>
      <c r="AB1108" t="str">
        <f>IFERROR(ROUND(K1108*VLOOKUP(J1108,[1]note_pop_types!$A$16:$E$16,4,FALSE),0),"")</f>
        <v/>
      </c>
      <c r="AC1108" t="str">
        <f>IFERROR(ROUND(M1108*VLOOKUP(L1108,[1]note_pop_types!$A$16:$E$16,4,FALSE),0),"")</f>
        <v/>
      </c>
      <c r="AD1108" t="str">
        <f>IFERROR(ROUND(O1108*VLOOKUP(N1108,[1]note_pop_types!$A$16:$E$16,4,FALSE),0),"")</f>
        <v/>
      </c>
      <c r="AE1108" t="str">
        <f>IFERROR(ROUND(Q1108*VLOOKUP(P1108,商品!$A$4:$B$60,2,FALSE),0),"")</f>
        <v/>
      </c>
      <c r="AF1108" t="str">
        <f>IFERROR(ROUND(S1108*VLOOKUP(R1108,商品!$A$4:$B$60,2,FALSE),0),"")</f>
        <v/>
      </c>
    </row>
    <row r="1109" spans="1:32" ht="19.05" customHeight="1" x14ac:dyDescent="0.25">
      <c r="A1109" s="16" t="s">
        <v>416</v>
      </c>
      <c r="C1109" s="16">
        <v>2</v>
      </c>
      <c r="T1109" s="2">
        <f t="shared" si="68"/>
        <v>0</v>
      </c>
      <c r="U1109" s="2">
        <f t="shared" si="69"/>
        <v>0</v>
      </c>
      <c r="V1109" s="2">
        <f t="shared" si="70"/>
        <v>0</v>
      </c>
      <c r="W1109" s="2">
        <f t="shared" si="71"/>
        <v>0</v>
      </c>
      <c r="Y1109" t="str">
        <f>IFERROR(ROUND(E1109*VLOOKUP(D1109,商品!$A$4:$B$60,2,FALSE),0),"")</f>
        <v/>
      </c>
      <c r="Z1109" t="str">
        <f>IFERROR(ROUND(G1109*VLOOKUP(F1109,商品!$A$4:$B$60,2,FALSE),0),"")</f>
        <v/>
      </c>
      <c r="AA1109" t="str">
        <f>IFERROR(ROUND(I1109*VLOOKUP(H1109,商品!$A$4:$B$60,2,FALSE),0),"")</f>
        <v/>
      </c>
      <c r="AB1109" t="str">
        <f>IFERROR(ROUND(K1109*VLOOKUP(J1109,[1]note_pop_types!$A$16:$E$16,4,FALSE),0),"")</f>
        <v/>
      </c>
      <c r="AC1109" t="str">
        <f>IFERROR(ROUND(M1109*VLOOKUP(L1109,[1]note_pop_types!$A$16:$E$16,4,FALSE),0),"")</f>
        <v/>
      </c>
      <c r="AD1109" t="str">
        <f>IFERROR(ROUND(O1109*VLOOKUP(N1109,[1]note_pop_types!$A$16:$E$16,4,FALSE),0),"")</f>
        <v/>
      </c>
      <c r="AE1109" t="str">
        <f>IFERROR(ROUND(Q1109*VLOOKUP(P1109,商品!$A$4:$B$60,2,FALSE),0),"")</f>
        <v/>
      </c>
      <c r="AF1109" t="str">
        <f>IFERROR(ROUND(S1109*VLOOKUP(R1109,商品!$A$4:$B$60,2,FALSE),0),"")</f>
        <v/>
      </c>
    </row>
    <row r="1110" spans="1:32" ht="19.05" customHeight="1" x14ac:dyDescent="0.25">
      <c r="A1110" s="16" t="s">
        <v>416</v>
      </c>
      <c r="C1110" s="16">
        <v>3</v>
      </c>
      <c r="T1110" s="2">
        <f t="shared" si="68"/>
        <v>0</v>
      </c>
      <c r="U1110" s="2">
        <f t="shared" si="69"/>
        <v>0</v>
      </c>
      <c r="V1110" s="2">
        <f t="shared" si="70"/>
        <v>0</v>
      </c>
      <c r="W1110" s="2">
        <f t="shared" si="71"/>
        <v>0</v>
      </c>
      <c r="Y1110" t="str">
        <f>IFERROR(ROUND(E1110*VLOOKUP(D1110,商品!$A$4:$B$60,2,FALSE),0),"")</f>
        <v/>
      </c>
      <c r="Z1110" t="str">
        <f>IFERROR(ROUND(G1110*VLOOKUP(F1110,商品!$A$4:$B$60,2,FALSE),0),"")</f>
        <v/>
      </c>
      <c r="AA1110" t="str">
        <f>IFERROR(ROUND(I1110*VLOOKUP(H1110,商品!$A$4:$B$60,2,FALSE),0),"")</f>
        <v/>
      </c>
      <c r="AB1110" t="str">
        <f>IFERROR(ROUND(K1110*VLOOKUP(J1110,[1]note_pop_types!$A$16:$E$16,4,FALSE),0),"")</f>
        <v/>
      </c>
      <c r="AC1110" t="str">
        <f>IFERROR(ROUND(M1110*VLOOKUP(L1110,[1]note_pop_types!$A$16:$E$16,4,FALSE),0),"")</f>
        <v/>
      </c>
      <c r="AD1110" t="str">
        <f>IFERROR(ROUND(O1110*VLOOKUP(N1110,[1]note_pop_types!$A$16:$E$16,4,FALSE),0),"")</f>
        <v/>
      </c>
      <c r="AE1110" t="str">
        <f>IFERROR(ROUND(Q1110*VLOOKUP(P1110,商品!$A$4:$B$60,2,FALSE),0),"")</f>
        <v/>
      </c>
      <c r="AF1110" t="str">
        <f>IFERROR(ROUND(S1110*VLOOKUP(R1110,商品!$A$4:$B$60,2,FALSE),0),"")</f>
        <v/>
      </c>
    </row>
    <row r="1111" spans="1:32" ht="19.05" customHeight="1" x14ac:dyDescent="0.25">
      <c r="A1111" s="16" t="s">
        <v>416</v>
      </c>
      <c r="C1111" s="16">
        <v>4</v>
      </c>
      <c r="T1111" s="2">
        <f t="shared" si="68"/>
        <v>0</v>
      </c>
      <c r="U1111" s="2">
        <f t="shared" si="69"/>
        <v>0</v>
      </c>
      <c r="V1111" s="2">
        <f t="shared" si="70"/>
        <v>0</v>
      </c>
      <c r="W1111" s="2">
        <f t="shared" si="71"/>
        <v>0</v>
      </c>
      <c r="Y1111" t="str">
        <f>IFERROR(ROUND(E1111*VLOOKUP(D1111,商品!$A$4:$B$60,2,FALSE),0),"")</f>
        <v/>
      </c>
      <c r="Z1111" t="str">
        <f>IFERROR(ROUND(G1111*VLOOKUP(F1111,商品!$A$4:$B$60,2,FALSE),0),"")</f>
        <v/>
      </c>
      <c r="AA1111" t="str">
        <f>IFERROR(ROUND(I1111*VLOOKUP(H1111,商品!$A$4:$B$60,2,FALSE),0),"")</f>
        <v/>
      </c>
      <c r="AB1111" t="str">
        <f>IFERROR(ROUND(K1111*VLOOKUP(J1111,[1]note_pop_types!$A$16:$E$16,4,FALSE),0),"")</f>
        <v/>
      </c>
      <c r="AC1111" t="str">
        <f>IFERROR(ROUND(M1111*VLOOKUP(L1111,[1]note_pop_types!$A$16:$E$16,4,FALSE),0),"")</f>
        <v/>
      </c>
      <c r="AD1111" t="str">
        <f>IFERROR(ROUND(O1111*VLOOKUP(N1111,[1]note_pop_types!$A$16:$E$16,4,FALSE),0),"")</f>
        <v/>
      </c>
      <c r="AE1111" t="str">
        <f>IFERROR(ROUND(Q1111*VLOOKUP(P1111,商品!$A$4:$B$60,2,FALSE),0),"")</f>
        <v/>
      </c>
      <c r="AF1111" t="str">
        <f>IFERROR(ROUND(S1111*VLOOKUP(R1111,商品!$A$4:$B$60,2,FALSE),0),"")</f>
        <v/>
      </c>
    </row>
    <row r="1112" spans="1:32" ht="19.05" customHeight="1" x14ac:dyDescent="0.25">
      <c r="A1112" s="16" t="s">
        <v>416</v>
      </c>
      <c r="C1112" s="16">
        <v>5</v>
      </c>
      <c r="T1112" s="2">
        <f t="shared" si="68"/>
        <v>0</v>
      </c>
      <c r="U1112" s="2">
        <f t="shared" si="69"/>
        <v>0</v>
      </c>
      <c r="V1112" s="2">
        <f t="shared" si="70"/>
        <v>0</v>
      </c>
      <c r="W1112" s="2">
        <f t="shared" si="71"/>
        <v>0</v>
      </c>
      <c r="Y1112" t="str">
        <f>IFERROR(ROUND(E1112*VLOOKUP(D1112,商品!$A$4:$B$60,2,FALSE),0),"")</f>
        <v/>
      </c>
      <c r="Z1112" t="str">
        <f>IFERROR(ROUND(G1112*VLOOKUP(F1112,商品!$A$4:$B$60,2,FALSE),0),"")</f>
        <v/>
      </c>
      <c r="AA1112" t="str">
        <f>IFERROR(ROUND(I1112*VLOOKUP(H1112,商品!$A$4:$B$60,2,FALSE),0),"")</f>
        <v/>
      </c>
      <c r="AB1112" t="str">
        <f>IFERROR(ROUND(K1112*VLOOKUP(J1112,[1]note_pop_types!$A$16:$E$16,4,FALSE),0),"")</f>
        <v/>
      </c>
      <c r="AC1112" t="str">
        <f>IFERROR(ROUND(M1112*VLOOKUP(L1112,[1]note_pop_types!$A$16:$E$16,4,FALSE),0),"")</f>
        <v/>
      </c>
      <c r="AD1112" t="str">
        <f>IFERROR(ROUND(O1112*VLOOKUP(N1112,[1]note_pop_types!$A$16:$E$16,4,FALSE),0),"")</f>
        <v/>
      </c>
      <c r="AE1112" t="str">
        <f>IFERROR(ROUND(Q1112*VLOOKUP(P1112,商品!$A$4:$B$60,2,FALSE),0),"")</f>
        <v/>
      </c>
      <c r="AF1112" t="str">
        <f>IFERROR(ROUND(S1112*VLOOKUP(R1112,商品!$A$4:$B$60,2,FALSE),0),"")</f>
        <v/>
      </c>
    </row>
    <row r="1113" spans="1:32" ht="19.05" customHeight="1" x14ac:dyDescent="0.25">
      <c r="A1113" s="16" t="s">
        <v>416</v>
      </c>
      <c r="C1113" s="16">
        <v>6</v>
      </c>
      <c r="T1113" s="2">
        <f t="shared" si="68"/>
        <v>0</v>
      </c>
      <c r="U1113" s="2">
        <f t="shared" si="69"/>
        <v>0</v>
      </c>
      <c r="V1113" s="2">
        <f t="shared" si="70"/>
        <v>0</v>
      </c>
      <c r="W1113" s="2">
        <f t="shared" si="71"/>
        <v>0</v>
      </c>
      <c r="Y1113" t="str">
        <f>IFERROR(ROUND(E1113*VLOOKUP(D1113,商品!$A$4:$B$60,2,FALSE),0),"")</f>
        <v/>
      </c>
      <c r="Z1113" t="str">
        <f>IFERROR(ROUND(G1113*VLOOKUP(F1113,商品!$A$4:$B$60,2,FALSE),0),"")</f>
        <v/>
      </c>
      <c r="AA1113" t="str">
        <f>IFERROR(ROUND(I1113*VLOOKUP(H1113,商品!$A$4:$B$60,2,FALSE),0),"")</f>
        <v/>
      </c>
      <c r="AB1113" t="str">
        <f>IFERROR(ROUND(K1113*VLOOKUP(J1113,[1]note_pop_types!$A$16:$E$16,4,FALSE),0),"")</f>
        <v/>
      </c>
      <c r="AC1113" t="str">
        <f>IFERROR(ROUND(M1113*VLOOKUP(L1113,[1]note_pop_types!$A$16:$E$16,4,FALSE),0),"")</f>
        <v/>
      </c>
      <c r="AD1113" t="str">
        <f>IFERROR(ROUND(O1113*VLOOKUP(N1113,[1]note_pop_types!$A$16:$E$16,4,FALSE),0),"")</f>
        <v/>
      </c>
      <c r="AE1113" t="str">
        <f>IFERROR(ROUND(Q1113*VLOOKUP(P1113,商品!$A$4:$B$60,2,FALSE),0),"")</f>
        <v/>
      </c>
      <c r="AF1113" t="str">
        <f>IFERROR(ROUND(S1113*VLOOKUP(R1113,商品!$A$4:$B$60,2,FALSE),0),"")</f>
        <v/>
      </c>
    </row>
    <row r="1114" spans="1:32" ht="19.05" customHeight="1" x14ac:dyDescent="0.25">
      <c r="A1114" s="16" t="s">
        <v>416</v>
      </c>
      <c r="C1114" s="16">
        <v>7</v>
      </c>
      <c r="T1114" s="2">
        <f t="shared" si="68"/>
        <v>0</v>
      </c>
      <c r="U1114" s="2">
        <f t="shared" si="69"/>
        <v>0</v>
      </c>
      <c r="V1114" s="2">
        <f t="shared" si="70"/>
        <v>0</v>
      </c>
      <c r="W1114" s="2">
        <f t="shared" si="71"/>
        <v>0</v>
      </c>
      <c r="Y1114" t="str">
        <f>IFERROR(ROUND(E1114*VLOOKUP(D1114,商品!$A$4:$B$60,2,FALSE),0),"")</f>
        <v/>
      </c>
      <c r="Z1114" t="str">
        <f>IFERROR(ROUND(G1114*VLOOKUP(F1114,商品!$A$4:$B$60,2,FALSE),0),"")</f>
        <v/>
      </c>
      <c r="AA1114" t="str">
        <f>IFERROR(ROUND(I1114*VLOOKUP(H1114,商品!$A$4:$B$60,2,FALSE),0),"")</f>
        <v/>
      </c>
      <c r="AB1114" t="str">
        <f>IFERROR(ROUND(K1114*VLOOKUP(J1114,[1]note_pop_types!$A$16:$E$16,4,FALSE),0),"")</f>
        <v/>
      </c>
      <c r="AC1114" t="str">
        <f>IFERROR(ROUND(M1114*VLOOKUP(L1114,[1]note_pop_types!$A$16:$E$16,4,FALSE),0),"")</f>
        <v/>
      </c>
      <c r="AD1114" t="str">
        <f>IFERROR(ROUND(O1114*VLOOKUP(N1114,[1]note_pop_types!$A$16:$E$16,4,FALSE),0),"")</f>
        <v/>
      </c>
      <c r="AE1114" t="str">
        <f>IFERROR(ROUND(Q1114*VLOOKUP(P1114,商品!$A$4:$B$60,2,FALSE),0),"")</f>
        <v/>
      </c>
      <c r="AF1114" t="str">
        <f>IFERROR(ROUND(S1114*VLOOKUP(R1114,商品!$A$4:$B$60,2,FALSE),0),"")</f>
        <v/>
      </c>
    </row>
    <row r="1115" spans="1:32" ht="19.05" customHeight="1" x14ac:dyDescent="0.25">
      <c r="A1115" s="16" t="s">
        <v>416</v>
      </c>
      <c r="C1115" s="16">
        <v>8</v>
      </c>
      <c r="T1115" s="2">
        <f t="shared" si="68"/>
        <v>0</v>
      </c>
      <c r="U1115" s="2">
        <f t="shared" si="69"/>
        <v>0</v>
      </c>
      <c r="V1115" s="2">
        <f t="shared" si="70"/>
        <v>0</v>
      </c>
      <c r="W1115" s="2">
        <f t="shared" si="71"/>
        <v>0</v>
      </c>
      <c r="Y1115" t="str">
        <f>IFERROR(ROUND(E1115*VLOOKUP(D1115,商品!$A$4:$B$60,2,FALSE),0),"")</f>
        <v/>
      </c>
      <c r="Z1115" t="str">
        <f>IFERROR(ROUND(G1115*VLOOKUP(F1115,商品!$A$4:$B$60,2,FALSE),0),"")</f>
        <v/>
      </c>
      <c r="AA1115" t="str">
        <f>IFERROR(ROUND(I1115*VLOOKUP(H1115,商品!$A$4:$B$60,2,FALSE),0),"")</f>
        <v/>
      </c>
      <c r="AB1115" t="str">
        <f>IFERROR(ROUND(K1115*VLOOKUP(J1115,[1]note_pop_types!$A$16:$E$16,4,FALSE),0),"")</f>
        <v/>
      </c>
      <c r="AC1115" t="str">
        <f>IFERROR(ROUND(M1115*VLOOKUP(L1115,[1]note_pop_types!$A$16:$E$16,4,FALSE),0),"")</f>
        <v/>
      </c>
      <c r="AD1115" t="str">
        <f>IFERROR(ROUND(O1115*VLOOKUP(N1115,[1]note_pop_types!$A$16:$E$16,4,FALSE),0),"")</f>
        <v/>
      </c>
      <c r="AE1115" t="str">
        <f>IFERROR(ROUND(Q1115*VLOOKUP(P1115,商品!$A$4:$B$60,2,FALSE),0),"")</f>
        <v/>
      </c>
      <c r="AF1115" t="str">
        <f>IFERROR(ROUND(S1115*VLOOKUP(R1115,商品!$A$4:$B$60,2,FALSE),0),"")</f>
        <v/>
      </c>
    </row>
    <row r="1116" spans="1:32" ht="19.05" customHeight="1" x14ac:dyDescent="0.25">
      <c r="A1116" s="15" t="s">
        <v>418</v>
      </c>
      <c r="C1116" s="15">
        <v>1</v>
      </c>
      <c r="T1116" s="2">
        <f t="shared" si="68"/>
        <v>0</v>
      </c>
      <c r="U1116" s="2">
        <f t="shared" si="69"/>
        <v>0</v>
      </c>
      <c r="V1116" s="2">
        <f t="shared" si="70"/>
        <v>0</v>
      </c>
      <c r="W1116" s="2">
        <f t="shared" si="71"/>
        <v>0</v>
      </c>
      <c r="Y1116" t="str">
        <f>IFERROR(ROUND(E1116*VLOOKUP(D1116,商品!$A$4:$B$60,2,FALSE),0),"")</f>
        <v/>
      </c>
      <c r="Z1116" t="str">
        <f>IFERROR(ROUND(G1116*VLOOKUP(F1116,商品!$A$4:$B$60,2,FALSE),0),"")</f>
        <v/>
      </c>
      <c r="AA1116" t="str">
        <f>IFERROR(ROUND(I1116*VLOOKUP(H1116,商品!$A$4:$B$60,2,FALSE),0),"")</f>
        <v/>
      </c>
      <c r="AB1116" t="str">
        <f>IFERROR(ROUND(K1116*VLOOKUP(J1116,[1]note_pop_types!$A$16:$E$16,4,FALSE),0),"")</f>
        <v/>
      </c>
      <c r="AC1116" t="str">
        <f>IFERROR(ROUND(M1116*VLOOKUP(L1116,[1]note_pop_types!$A$16:$E$16,4,FALSE),0),"")</f>
        <v/>
      </c>
      <c r="AD1116" t="str">
        <f>IFERROR(ROUND(O1116*VLOOKUP(N1116,[1]note_pop_types!$A$16:$E$16,4,FALSE),0),"")</f>
        <v/>
      </c>
      <c r="AE1116" t="str">
        <f>IFERROR(ROUND(Q1116*VLOOKUP(P1116,商品!$A$4:$B$60,2,FALSE),0),"")</f>
        <v/>
      </c>
      <c r="AF1116" t="str">
        <f>IFERROR(ROUND(S1116*VLOOKUP(R1116,商品!$A$4:$B$60,2,FALSE),0),"")</f>
        <v/>
      </c>
    </row>
    <row r="1117" spans="1:32" ht="19.05" customHeight="1" x14ac:dyDescent="0.25">
      <c r="A1117" s="15" t="s">
        <v>418</v>
      </c>
      <c r="C1117" s="15">
        <v>2</v>
      </c>
      <c r="T1117" s="2">
        <f t="shared" si="68"/>
        <v>0</v>
      </c>
      <c r="U1117" s="2">
        <f t="shared" si="69"/>
        <v>0</v>
      </c>
      <c r="V1117" s="2">
        <f t="shared" si="70"/>
        <v>0</v>
      </c>
      <c r="W1117" s="2">
        <f t="shared" si="71"/>
        <v>0</v>
      </c>
      <c r="Y1117" t="str">
        <f>IFERROR(ROUND(E1117*VLOOKUP(D1117,商品!$A$4:$B$60,2,FALSE),0),"")</f>
        <v/>
      </c>
      <c r="Z1117" t="str">
        <f>IFERROR(ROUND(G1117*VLOOKUP(F1117,商品!$A$4:$B$60,2,FALSE),0),"")</f>
        <v/>
      </c>
      <c r="AA1117" t="str">
        <f>IFERROR(ROUND(I1117*VLOOKUP(H1117,商品!$A$4:$B$60,2,FALSE),0),"")</f>
        <v/>
      </c>
      <c r="AB1117" t="str">
        <f>IFERROR(ROUND(K1117*VLOOKUP(J1117,[1]note_pop_types!$A$16:$E$16,4,FALSE),0),"")</f>
        <v/>
      </c>
      <c r="AC1117" t="str">
        <f>IFERROR(ROUND(M1117*VLOOKUP(L1117,[1]note_pop_types!$A$16:$E$16,4,FALSE),0),"")</f>
        <v/>
      </c>
      <c r="AD1117" t="str">
        <f>IFERROR(ROUND(O1117*VLOOKUP(N1117,[1]note_pop_types!$A$16:$E$16,4,FALSE),0),"")</f>
        <v/>
      </c>
      <c r="AE1117" t="str">
        <f>IFERROR(ROUND(Q1117*VLOOKUP(P1117,商品!$A$4:$B$60,2,FALSE),0),"")</f>
        <v/>
      </c>
      <c r="AF1117" t="str">
        <f>IFERROR(ROUND(S1117*VLOOKUP(R1117,商品!$A$4:$B$60,2,FALSE),0),"")</f>
        <v/>
      </c>
    </row>
    <row r="1118" spans="1:32" ht="19.05" customHeight="1" x14ac:dyDescent="0.25">
      <c r="A1118" s="15" t="s">
        <v>418</v>
      </c>
      <c r="C1118" s="15">
        <v>3</v>
      </c>
      <c r="T1118" s="2">
        <f t="shared" si="68"/>
        <v>0</v>
      </c>
      <c r="U1118" s="2">
        <f t="shared" si="69"/>
        <v>0</v>
      </c>
      <c r="V1118" s="2">
        <f t="shared" si="70"/>
        <v>0</v>
      </c>
      <c r="W1118" s="2">
        <f t="shared" si="71"/>
        <v>0</v>
      </c>
      <c r="Y1118" t="str">
        <f>IFERROR(ROUND(E1118*VLOOKUP(D1118,商品!$A$4:$B$60,2,FALSE),0),"")</f>
        <v/>
      </c>
      <c r="Z1118" t="str">
        <f>IFERROR(ROUND(G1118*VLOOKUP(F1118,商品!$A$4:$B$60,2,FALSE),0),"")</f>
        <v/>
      </c>
      <c r="AA1118" t="str">
        <f>IFERROR(ROUND(I1118*VLOOKUP(H1118,商品!$A$4:$B$60,2,FALSE),0),"")</f>
        <v/>
      </c>
      <c r="AB1118" t="str">
        <f>IFERROR(ROUND(K1118*VLOOKUP(J1118,[1]note_pop_types!$A$16:$E$16,4,FALSE),0),"")</f>
        <v/>
      </c>
      <c r="AC1118" t="str">
        <f>IFERROR(ROUND(M1118*VLOOKUP(L1118,[1]note_pop_types!$A$16:$E$16,4,FALSE),0),"")</f>
        <v/>
      </c>
      <c r="AD1118" t="str">
        <f>IFERROR(ROUND(O1118*VLOOKUP(N1118,[1]note_pop_types!$A$16:$E$16,4,FALSE),0),"")</f>
        <v/>
      </c>
      <c r="AE1118" t="str">
        <f>IFERROR(ROUND(Q1118*VLOOKUP(P1118,商品!$A$4:$B$60,2,FALSE),0),"")</f>
        <v/>
      </c>
      <c r="AF1118" t="str">
        <f>IFERROR(ROUND(S1118*VLOOKUP(R1118,商品!$A$4:$B$60,2,FALSE),0),"")</f>
        <v/>
      </c>
    </row>
    <row r="1119" spans="1:32" ht="19.05" customHeight="1" x14ac:dyDescent="0.25">
      <c r="A1119" s="15" t="s">
        <v>418</v>
      </c>
      <c r="C1119" s="15">
        <v>4</v>
      </c>
      <c r="T1119" s="2">
        <f t="shared" si="68"/>
        <v>0</v>
      </c>
      <c r="U1119" s="2">
        <f t="shared" si="69"/>
        <v>0</v>
      </c>
      <c r="V1119" s="2">
        <f t="shared" si="70"/>
        <v>0</v>
      </c>
      <c r="W1119" s="2">
        <f t="shared" si="71"/>
        <v>0</v>
      </c>
      <c r="Y1119" t="str">
        <f>IFERROR(ROUND(E1119*VLOOKUP(D1119,商品!$A$4:$B$60,2,FALSE),0),"")</f>
        <v/>
      </c>
      <c r="Z1119" t="str">
        <f>IFERROR(ROUND(G1119*VLOOKUP(F1119,商品!$A$4:$B$60,2,FALSE),0),"")</f>
        <v/>
      </c>
      <c r="AA1119" t="str">
        <f>IFERROR(ROUND(I1119*VLOOKUP(H1119,商品!$A$4:$B$60,2,FALSE),0),"")</f>
        <v/>
      </c>
      <c r="AB1119" t="str">
        <f>IFERROR(ROUND(K1119*VLOOKUP(J1119,[1]note_pop_types!$A$16:$E$16,4,FALSE),0),"")</f>
        <v/>
      </c>
      <c r="AC1119" t="str">
        <f>IFERROR(ROUND(M1119*VLOOKUP(L1119,[1]note_pop_types!$A$16:$E$16,4,FALSE),0),"")</f>
        <v/>
      </c>
      <c r="AD1119" t="str">
        <f>IFERROR(ROUND(O1119*VLOOKUP(N1119,[1]note_pop_types!$A$16:$E$16,4,FALSE),0),"")</f>
        <v/>
      </c>
      <c r="AE1119" t="str">
        <f>IFERROR(ROUND(Q1119*VLOOKUP(P1119,商品!$A$4:$B$60,2,FALSE),0),"")</f>
        <v/>
      </c>
      <c r="AF1119" t="str">
        <f>IFERROR(ROUND(S1119*VLOOKUP(R1119,商品!$A$4:$B$60,2,FALSE),0),"")</f>
        <v/>
      </c>
    </row>
    <row r="1120" spans="1:32" ht="19.05" customHeight="1" x14ac:dyDescent="0.25">
      <c r="A1120" s="15" t="s">
        <v>418</v>
      </c>
      <c r="C1120" s="15">
        <v>5</v>
      </c>
      <c r="T1120" s="2">
        <f t="shared" si="68"/>
        <v>0</v>
      </c>
      <c r="U1120" s="2">
        <f t="shared" si="69"/>
        <v>0</v>
      </c>
      <c r="V1120" s="2">
        <f t="shared" si="70"/>
        <v>0</v>
      </c>
      <c r="W1120" s="2">
        <f t="shared" si="71"/>
        <v>0</v>
      </c>
      <c r="Y1120" t="str">
        <f>IFERROR(ROUND(E1120*VLOOKUP(D1120,商品!$A$4:$B$60,2,FALSE),0),"")</f>
        <v/>
      </c>
      <c r="Z1120" t="str">
        <f>IFERROR(ROUND(G1120*VLOOKUP(F1120,商品!$A$4:$B$60,2,FALSE),0),"")</f>
        <v/>
      </c>
      <c r="AA1120" t="str">
        <f>IFERROR(ROUND(I1120*VLOOKUP(H1120,商品!$A$4:$B$60,2,FALSE),0),"")</f>
        <v/>
      </c>
      <c r="AB1120" t="str">
        <f>IFERROR(ROUND(K1120*VLOOKUP(J1120,[1]note_pop_types!$A$16:$E$16,4,FALSE),0),"")</f>
        <v/>
      </c>
      <c r="AC1120" t="str">
        <f>IFERROR(ROUND(M1120*VLOOKUP(L1120,[1]note_pop_types!$A$16:$E$16,4,FALSE),0),"")</f>
        <v/>
      </c>
      <c r="AD1120" t="str">
        <f>IFERROR(ROUND(O1120*VLOOKUP(N1120,[1]note_pop_types!$A$16:$E$16,4,FALSE),0),"")</f>
        <v/>
      </c>
      <c r="AE1120" t="str">
        <f>IFERROR(ROUND(Q1120*VLOOKUP(P1120,商品!$A$4:$B$60,2,FALSE),0),"")</f>
        <v/>
      </c>
      <c r="AF1120" t="str">
        <f>IFERROR(ROUND(S1120*VLOOKUP(R1120,商品!$A$4:$B$60,2,FALSE),0),"")</f>
        <v/>
      </c>
    </row>
    <row r="1121" spans="1:32" ht="19.05" customHeight="1" x14ac:dyDescent="0.25">
      <c r="A1121" s="16" t="s">
        <v>553</v>
      </c>
      <c r="C1121" s="16">
        <v>1</v>
      </c>
      <c r="T1121" s="2">
        <f t="shared" si="68"/>
        <v>0</v>
      </c>
      <c r="U1121" s="2">
        <f t="shared" si="69"/>
        <v>0</v>
      </c>
      <c r="V1121" s="2">
        <f t="shared" si="70"/>
        <v>0</v>
      </c>
      <c r="W1121" s="2">
        <f t="shared" si="71"/>
        <v>0</v>
      </c>
      <c r="Y1121" t="str">
        <f>IFERROR(ROUND(E1121*VLOOKUP(D1121,商品!$A$4:$B$60,2,FALSE),0),"")</f>
        <v/>
      </c>
      <c r="Z1121" t="str">
        <f>IFERROR(ROUND(G1121*VLOOKUP(F1121,商品!$A$4:$B$60,2,FALSE),0),"")</f>
        <v/>
      </c>
      <c r="AA1121" t="str">
        <f>IFERROR(ROUND(I1121*VLOOKUP(H1121,商品!$A$4:$B$60,2,FALSE),0),"")</f>
        <v/>
      </c>
      <c r="AB1121" t="str">
        <f>IFERROR(ROUND(K1121*VLOOKUP(J1121,[1]note_pop_types!$A$16:$E$16,4,FALSE),0),"")</f>
        <v/>
      </c>
      <c r="AC1121" t="str">
        <f>IFERROR(ROUND(M1121*VLOOKUP(L1121,[1]note_pop_types!$A$16:$E$16,4,FALSE),0),"")</f>
        <v/>
      </c>
      <c r="AD1121" t="str">
        <f>IFERROR(ROUND(O1121*VLOOKUP(N1121,[1]note_pop_types!$A$16:$E$16,4,FALSE),0),"")</f>
        <v/>
      </c>
      <c r="AE1121" t="str">
        <f>IFERROR(ROUND(Q1121*VLOOKUP(P1121,商品!$A$4:$B$60,2,FALSE),0),"")</f>
        <v/>
      </c>
      <c r="AF1121" t="str">
        <f>IFERROR(ROUND(S1121*VLOOKUP(R1121,商品!$A$4:$B$60,2,FALSE),0),"")</f>
        <v/>
      </c>
    </row>
    <row r="1122" spans="1:32" ht="19.05" customHeight="1" x14ac:dyDescent="0.25">
      <c r="A1122" s="16" t="s">
        <v>553</v>
      </c>
      <c r="C1122" s="16">
        <v>2</v>
      </c>
      <c r="T1122" s="2">
        <f t="shared" si="68"/>
        <v>0</v>
      </c>
      <c r="U1122" s="2">
        <f t="shared" si="69"/>
        <v>0</v>
      </c>
      <c r="V1122" s="2">
        <f t="shared" si="70"/>
        <v>0</v>
      </c>
      <c r="W1122" s="2">
        <f t="shared" si="71"/>
        <v>0</v>
      </c>
      <c r="Y1122" t="str">
        <f>IFERROR(ROUND(E1122*VLOOKUP(D1122,商品!$A$4:$B$60,2,FALSE),0),"")</f>
        <v/>
      </c>
      <c r="Z1122" t="str">
        <f>IFERROR(ROUND(G1122*VLOOKUP(F1122,商品!$A$4:$B$60,2,FALSE),0),"")</f>
        <v/>
      </c>
      <c r="AA1122" t="str">
        <f>IFERROR(ROUND(I1122*VLOOKUP(H1122,商品!$A$4:$B$60,2,FALSE),0),"")</f>
        <v/>
      </c>
      <c r="AB1122" t="str">
        <f>IFERROR(ROUND(K1122*VLOOKUP(J1122,[1]note_pop_types!$A$16:$E$16,4,FALSE),0),"")</f>
        <v/>
      </c>
      <c r="AC1122" t="str">
        <f>IFERROR(ROUND(M1122*VLOOKUP(L1122,[1]note_pop_types!$A$16:$E$16,4,FALSE),0),"")</f>
        <v/>
      </c>
      <c r="AD1122" t="str">
        <f>IFERROR(ROUND(O1122*VLOOKUP(N1122,[1]note_pop_types!$A$16:$E$16,4,FALSE),0),"")</f>
        <v/>
      </c>
      <c r="AE1122" t="str">
        <f>IFERROR(ROUND(Q1122*VLOOKUP(P1122,商品!$A$4:$B$60,2,FALSE),0),"")</f>
        <v/>
      </c>
      <c r="AF1122" t="str">
        <f>IFERROR(ROUND(S1122*VLOOKUP(R1122,商品!$A$4:$B$60,2,FALSE),0),"")</f>
        <v/>
      </c>
    </row>
    <row r="1123" spans="1:32" ht="19.05" customHeight="1" x14ac:dyDescent="0.25">
      <c r="A1123" s="16" t="s">
        <v>553</v>
      </c>
      <c r="C1123" s="16">
        <v>3</v>
      </c>
      <c r="T1123" s="2">
        <f t="shared" si="68"/>
        <v>0</v>
      </c>
      <c r="U1123" s="2">
        <f t="shared" si="69"/>
        <v>0</v>
      </c>
      <c r="V1123" s="2">
        <f t="shared" si="70"/>
        <v>0</v>
      </c>
      <c r="W1123" s="2">
        <f t="shared" si="71"/>
        <v>0</v>
      </c>
      <c r="Y1123" t="str">
        <f>IFERROR(ROUND(E1123*VLOOKUP(D1123,商品!$A$4:$B$60,2,FALSE),0),"")</f>
        <v/>
      </c>
      <c r="Z1123" t="str">
        <f>IFERROR(ROUND(G1123*VLOOKUP(F1123,商品!$A$4:$B$60,2,FALSE),0),"")</f>
        <v/>
      </c>
      <c r="AA1123" t="str">
        <f>IFERROR(ROUND(I1123*VLOOKUP(H1123,商品!$A$4:$B$60,2,FALSE),0),"")</f>
        <v/>
      </c>
      <c r="AB1123" t="str">
        <f>IFERROR(ROUND(K1123*VLOOKUP(J1123,[1]note_pop_types!$A$16:$E$16,4,FALSE),0),"")</f>
        <v/>
      </c>
      <c r="AC1123" t="str">
        <f>IFERROR(ROUND(M1123*VLOOKUP(L1123,[1]note_pop_types!$A$16:$E$16,4,FALSE),0),"")</f>
        <v/>
      </c>
      <c r="AD1123" t="str">
        <f>IFERROR(ROUND(O1123*VLOOKUP(N1123,[1]note_pop_types!$A$16:$E$16,4,FALSE),0),"")</f>
        <v/>
      </c>
      <c r="AE1123" t="str">
        <f>IFERROR(ROUND(Q1123*VLOOKUP(P1123,商品!$A$4:$B$60,2,FALSE),0),"")</f>
        <v/>
      </c>
      <c r="AF1123" t="str">
        <f>IFERROR(ROUND(S1123*VLOOKUP(R1123,商品!$A$4:$B$60,2,FALSE),0),"")</f>
        <v/>
      </c>
    </row>
    <row r="1124" spans="1:32" ht="19.05" customHeight="1" x14ac:dyDescent="0.25">
      <c r="A1124" s="16" t="s">
        <v>553</v>
      </c>
      <c r="C1124" s="16">
        <v>4</v>
      </c>
      <c r="T1124" s="2">
        <f t="shared" si="68"/>
        <v>0</v>
      </c>
      <c r="U1124" s="2">
        <f t="shared" si="69"/>
        <v>0</v>
      </c>
      <c r="V1124" s="2">
        <f t="shared" si="70"/>
        <v>0</v>
      </c>
      <c r="W1124" s="2">
        <f t="shared" si="71"/>
        <v>0</v>
      </c>
      <c r="Y1124" t="str">
        <f>IFERROR(ROUND(E1124*VLOOKUP(D1124,商品!$A$4:$B$60,2,FALSE),0),"")</f>
        <v/>
      </c>
      <c r="Z1124" t="str">
        <f>IFERROR(ROUND(G1124*VLOOKUP(F1124,商品!$A$4:$B$60,2,FALSE),0),"")</f>
        <v/>
      </c>
      <c r="AA1124" t="str">
        <f>IFERROR(ROUND(I1124*VLOOKUP(H1124,商品!$A$4:$B$60,2,FALSE),0),"")</f>
        <v/>
      </c>
      <c r="AB1124" t="str">
        <f>IFERROR(ROUND(K1124*VLOOKUP(J1124,[1]note_pop_types!$A$16:$E$16,4,FALSE),0),"")</f>
        <v/>
      </c>
      <c r="AC1124" t="str">
        <f>IFERROR(ROUND(M1124*VLOOKUP(L1124,[1]note_pop_types!$A$16:$E$16,4,FALSE),0),"")</f>
        <v/>
      </c>
      <c r="AD1124" t="str">
        <f>IFERROR(ROUND(O1124*VLOOKUP(N1124,[1]note_pop_types!$A$16:$E$16,4,FALSE),0),"")</f>
        <v/>
      </c>
      <c r="AE1124" t="str">
        <f>IFERROR(ROUND(Q1124*VLOOKUP(P1124,商品!$A$4:$B$60,2,FALSE),0),"")</f>
        <v/>
      </c>
      <c r="AF1124" t="str">
        <f>IFERROR(ROUND(S1124*VLOOKUP(R1124,商品!$A$4:$B$60,2,FALSE),0),"")</f>
        <v/>
      </c>
    </row>
    <row r="1125" spans="1:32" ht="19.05" customHeight="1" x14ac:dyDescent="0.25">
      <c r="A1125" s="16" t="s">
        <v>553</v>
      </c>
      <c r="C1125" s="16">
        <v>5</v>
      </c>
      <c r="T1125" s="2">
        <f t="shared" si="68"/>
        <v>0</v>
      </c>
      <c r="U1125" s="2">
        <f t="shared" si="69"/>
        <v>0</v>
      </c>
      <c r="V1125" s="2">
        <f t="shared" si="70"/>
        <v>0</v>
      </c>
      <c r="W1125" s="2">
        <f t="shared" si="71"/>
        <v>0</v>
      </c>
      <c r="Y1125" t="str">
        <f>IFERROR(ROUND(E1125*VLOOKUP(D1125,商品!$A$4:$B$60,2,FALSE),0),"")</f>
        <v/>
      </c>
      <c r="Z1125" t="str">
        <f>IFERROR(ROUND(G1125*VLOOKUP(F1125,商品!$A$4:$B$60,2,FALSE),0),"")</f>
        <v/>
      </c>
      <c r="AA1125" t="str">
        <f>IFERROR(ROUND(I1125*VLOOKUP(H1125,商品!$A$4:$B$60,2,FALSE),0),"")</f>
        <v/>
      </c>
      <c r="AB1125" t="str">
        <f>IFERROR(ROUND(K1125*VLOOKUP(J1125,[1]note_pop_types!$A$16:$E$16,4,FALSE),0),"")</f>
        <v/>
      </c>
      <c r="AC1125" t="str">
        <f>IFERROR(ROUND(M1125*VLOOKUP(L1125,[1]note_pop_types!$A$16:$E$16,4,FALSE),0),"")</f>
        <v/>
      </c>
      <c r="AD1125" t="str">
        <f>IFERROR(ROUND(O1125*VLOOKUP(N1125,[1]note_pop_types!$A$16:$E$16,4,FALSE),0),"")</f>
        <v/>
      </c>
      <c r="AE1125" t="str">
        <f>IFERROR(ROUND(Q1125*VLOOKUP(P1125,商品!$A$4:$B$60,2,FALSE),0),"")</f>
        <v/>
      </c>
      <c r="AF1125" t="str">
        <f>IFERROR(ROUND(S1125*VLOOKUP(R1125,商品!$A$4:$B$60,2,FALSE),0),"")</f>
        <v/>
      </c>
    </row>
    <row r="1126" spans="1:32" ht="19.05" customHeight="1" x14ac:dyDescent="0.25">
      <c r="A1126" s="15" t="s">
        <v>553</v>
      </c>
      <c r="C1126" s="15">
        <v>1</v>
      </c>
      <c r="T1126" s="2">
        <f t="shared" si="68"/>
        <v>0</v>
      </c>
      <c r="U1126" s="2">
        <f t="shared" si="69"/>
        <v>0</v>
      </c>
      <c r="V1126" s="2">
        <f t="shared" si="70"/>
        <v>0</v>
      </c>
      <c r="W1126" s="2">
        <f t="shared" si="71"/>
        <v>0</v>
      </c>
      <c r="Y1126" t="str">
        <f>IFERROR(ROUND(E1126*VLOOKUP(D1126,商品!$A$4:$B$60,2,FALSE),0),"")</f>
        <v/>
      </c>
      <c r="Z1126" t="str">
        <f>IFERROR(ROUND(G1126*VLOOKUP(F1126,商品!$A$4:$B$60,2,FALSE),0),"")</f>
        <v/>
      </c>
      <c r="AA1126" t="str">
        <f>IFERROR(ROUND(I1126*VLOOKUP(H1126,商品!$A$4:$B$60,2,FALSE),0),"")</f>
        <v/>
      </c>
      <c r="AB1126" t="str">
        <f>IFERROR(ROUND(K1126*VLOOKUP(J1126,[1]note_pop_types!$A$16:$E$16,4,FALSE),0),"")</f>
        <v/>
      </c>
      <c r="AC1126" t="str">
        <f>IFERROR(ROUND(M1126*VLOOKUP(L1126,[1]note_pop_types!$A$16:$E$16,4,FALSE),0),"")</f>
        <v/>
      </c>
      <c r="AD1126" t="str">
        <f>IFERROR(ROUND(O1126*VLOOKUP(N1126,[1]note_pop_types!$A$16:$E$16,4,FALSE),0),"")</f>
        <v/>
      </c>
      <c r="AE1126" t="str">
        <f>IFERROR(ROUND(Q1126*VLOOKUP(P1126,商品!$A$4:$B$60,2,FALSE),0),"")</f>
        <v/>
      </c>
      <c r="AF1126" t="str">
        <f>IFERROR(ROUND(S1126*VLOOKUP(R1126,商品!$A$4:$B$60,2,FALSE),0),"")</f>
        <v/>
      </c>
    </row>
    <row r="1127" spans="1:32" ht="19.05" customHeight="1" x14ac:dyDescent="0.25">
      <c r="A1127" s="15" t="s">
        <v>553</v>
      </c>
      <c r="C1127" s="15">
        <v>2</v>
      </c>
      <c r="T1127" s="2">
        <f t="shared" si="68"/>
        <v>0</v>
      </c>
      <c r="U1127" s="2">
        <f t="shared" si="69"/>
        <v>0</v>
      </c>
      <c r="V1127" s="2">
        <f t="shared" si="70"/>
        <v>0</v>
      </c>
      <c r="W1127" s="2">
        <f t="shared" si="71"/>
        <v>0</v>
      </c>
      <c r="Y1127" t="str">
        <f>IFERROR(ROUND(E1127*VLOOKUP(D1127,商品!$A$4:$B$60,2,FALSE),0),"")</f>
        <v/>
      </c>
      <c r="Z1127" t="str">
        <f>IFERROR(ROUND(G1127*VLOOKUP(F1127,商品!$A$4:$B$60,2,FALSE),0),"")</f>
        <v/>
      </c>
      <c r="AA1127" t="str">
        <f>IFERROR(ROUND(I1127*VLOOKUP(H1127,商品!$A$4:$B$60,2,FALSE),0),"")</f>
        <v/>
      </c>
      <c r="AB1127" t="str">
        <f>IFERROR(ROUND(K1127*VLOOKUP(J1127,[1]note_pop_types!$A$16:$E$16,4,FALSE),0),"")</f>
        <v/>
      </c>
      <c r="AC1127" t="str">
        <f>IFERROR(ROUND(M1127*VLOOKUP(L1127,[1]note_pop_types!$A$16:$E$16,4,FALSE),0),"")</f>
        <v/>
      </c>
      <c r="AD1127" t="str">
        <f>IFERROR(ROUND(O1127*VLOOKUP(N1127,[1]note_pop_types!$A$16:$E$16,4,FALSE),0),"")</f>
        <v/>
      </c>
      <c r="AE1127" t="str">
        <f>IFERROR(ROUND(Q1127*VLOOKUP(P1127,商品!$A$4:$B$60,2,FALSE),0),"")</f>
        <v/>
      </c>
      <c r="AF1127" t="str">
        <f>IFERROR(ROUND(S1127*VLOOKUP(R1127,商品!$A$4:$B$60,2,FALSE),0),"")</f>
        <v/>
      </c>
    </row>
    <row r="1128" spans="1:32" ht="19.05" customHeight="1" x14ac:dyDescent="0.25">
      <c r="A1128" s="15" t="s">
        <v>553</v>
      </c>
      <c r="C1128" s="15">
        <v>3</v>
      </c>
      <c r="T1128" s="2">
        <f t="shared" si="68"/>
        <v>0</v>
      </c>
      <c r="U1128" s="2">
        <f t="shared" si="69"/>
        <v>0</v>
      </c>
      <c r="V1128" s="2">
        <f t="shared" si="70"/>
        <v>0</v>
      </c>
      <c r="W1128" s="2">
        <f t="shared" si="71"/>
        <v>0</v>
      </c>
      <c r="Y1128" t="str">
        <f>IFERROR(ROUND(E1128*VLOOKUP(D1128,商品!$A$4:$B$60,2,FALSE),0),"")</f>
        <v/>
      </c>
      <c r="Z1128" t="str">
        <f>IFERROR(ROUND(G1128*VLOOKUP(F1128,商品!$A$4:$B$60,2,FALSE),0),"")</f>
        <v/>
      </c>
      <c r="AA1128" t="str">
        <f>IFERROR(ROUND(I1128*VLOOKUP(H1128,商品!$A$4:$B$60,2,FALSE),0),"")</f>
        <v/>
      </c>
      <c r="AB1128" t="str">
        <f>IFERROR(ROUND(K1128*VLOOKUP(J1128,[1]note_pop_types!$A$16:$E$16,4,FALSE),0),"")</f>
        <v/>
      </c>
      <c r="AC1128" t="str">
        <f>IFERROR(ROUND(M1128*VLOOKUP(L1128,[1]note_pop_types!$A$16:$E$16,4,FALSE),0),"")</f>
        <v/>
      </c>
      <c r="AD1128" t="str">
        <f>IFERROR(ROUND(O1128*VLOOKUP(N1128,[1]note_pop_types!$A$16:$E$16,4,FALSE),0),"")</f>
        <v/>
      </c>
      <c r="AE1128" t="str">
        <f>IFERROR(ROUND(Q1128*VLOOKUP(P1128,商品!$A$4:$B$60,2,FALSE),0),"")</f>
        <v/>
      </c>
      <c r="AF1128" t="str">
        <f>IFERROR(ROUND(S1128*VLOOKUP(R1128,商品!$A$4:$B$60,2,FALSE),0),"")</f>
        <v/>
      </c>
    </row>
    <row r="1129" spans="1:32" ht="19.05" customHeight="1" x14ac:dyDescent="0.25">
      <c r="A1129" s="15" t="s">
        <v>553</v>
      </c>
      <c r="C1129" s="15">
        <v>4</v>
      </c>
      <c r="T1129" s="2">
        <f t="shared" si="68"/>
        <v>0</v>
      </c>
      <c r="U1129" s="2">
        <f t="shared" si="69"/>
        <v>0</v>
      </c>
      <c r="V1129" s="2">
        <f t="shared" si="70"/>
        <v>0</v>
      </c>
      <c r="W1129" s="2">
        <f t="shared" si="71"/>
        <v>0</v>
      </c>
      <c r="Y1129" t="str">
        <f>IFERROR(ROUND(E1129*VLOOKUP(D1129,商品!$A$4:$B$60,2,FALSE),0),"")</f>
        <v/>
      </c>
      <c r="Z1129" t="str">
        <f>IFERROR(ROUND(G1129*VLOOKUP(F1129,商品!$A$4:$B$60,2,FALSE),0),"")</f>
        <v/>
      </c>
      <c r="AA1129" t="str">
        <f>IFERROR(ROUND(I1129*VLOOKUP(H1129,商品!$A$4:$B$60,2,FALSE),0),"")</f>
        <v/>
      </c>
      <c r="AB1129" t="str">
        <f>IFERROR(ROUND(K1129*VLOOKUP(J1129,[1]note_pop_types!$A$16:$E$16,4,FALSE),0),"")</f>
        <v/>
      </c>
      <c r="AC1129" t="str">
        <f>IFERROR(ROUND(M1129*VLOOKUP(L1129,[1]note_pop_types!$A$16:$E$16,4,FALSE),0),"")</f>
        <v/>
      </c>
      <c r="AD1129" t="str">
        <f>IFERROR(ROUND(O1129*VLOOKUP(N1129,[1]note_pop_types!$A$16:$E$16,4,FALSE),0),"")</f>
        <v/>
      </c>
      <c r="AE1129" t="str">
        <f>IFERROR(ROUND(Q1129*VLOOKUP(P1129,商品!$A$4:$B$60,2,FALSE),0),"")</f>
        <v/>
      </c>
      <c r="AF1129" t="str">
        <f>IFERROR(ROUND(S1129*VLOOKUP(R1129,商品!$A$4:$B$60,2,FALSE),0),"")</f>
        <v/>
      </c>
    </row>
    <row r="1130" spans="1:32" ht="19.05" customHeight="1" x14ac:dyDescent="0.25">
      <c r="A1130" s="15" t="s">
        <v>553</v>
      </c>
      <c r="C1130" s="15">
        <v>5</v>
      </c>
      <c r="T1130" s="2">
        <f t="shared" si="68"/>
        <v>0</v>
      </c>
      <c r="U1130" s="2">
        <f t="shared" si="69"/>
        <v>0</v>
      </c>
      <c r="V1130" s="2">
        <f t="shared" si="70"/>
        <v>0</v>
      </c>
      <c r="W1130" s="2">
        <f t="shared" si="71"/>
        <v>0</v>
      </c>
      <c r="Y1130" t="str">
        <f>IFERROR(ROUND(E1130*VLOOKUP(D1130,商品!$A$4:$B$60,2,FALSE),0),"")</f>
        <v/>
      </c>
      <c r="Z1130" t="str">
        <f>IFERROR(ROUND(G1130*VLOOKUP(F1130,商品!$A$4:$B$60,2,FALSE),0),"")</f>
        <v/>
      </c>
      <c r="AA1130" t="str">
        <f>IFERROR(ROUND(I1130*VLOOKUP(H1130,商品!$A$4:$B$60,2,FALSE),0),"")</f>
        <v/>
      </c>
      <c r="AB1130" t="str">
        <f>IFERROR(ROUND(K1130*VLOOKUP(J1130,[1]note_pop_types!$A$16:$E$16,4,FALSE),0),"")</f>
        <v/>
      </c>
      <c r="AC1130" t="str">
        <f>IFERROR(ROUND(M1130*VLOOKUP(L1130,[1]note_pop_types!$A$16:$E$16,4,FALSE),0),"")</f>
        <v/>
      </c>
      <c r="AD1130" t="str">
        <f>IFERROR(ROUND(O1130*VLOOKUP(N1130,[1]note_pop_types!$A$16:$E$16,4,FALSE),0),"")</f>
        <v/>
      </c>
      <c r="AE1130" t="str">
        <f>IFERROR(ROUND(Q1130*VLOOKUP(P1130,商品!$A$4:$B$60,2,FALSE),0),"")</f>
        <v/>
      </c>
      <c r="AF1130" t="str">
        <f>IFERROR(ROUND(S1130*VLOOKUP(R1130,商品!$A$4:$B$60,2,FALSE),0),"")</f>
        <v/>
      </c>
    </row>
    <row r="1131" spans="1:32" ht="19.05" customHeight="1" x14ac:dyDescent="0.25">
      <c r="A1131" s="16" t="s">
        <v>421</v>
      </c>
      <c r="C1131" s="16">
        <v>1</v>
      </c>
      <c r="T1131" s="2">
        <f t="shared" si="68"/>
        <v>0</v>
      </c>
      <c r="U1131" s="2">
        <f t="shared" si="69"/>
        <v>0</v>
      </c>
      <c r="V1131" s="2">
        <f t="shared" si="70"/>
        <v>0</v>
      </c>
      <c r="W1131" s="2">
        <f t="shared" si="71"/>
        <v>0</v>
      </c>
      <c r="Y1131" t="str">
        <f>IFERROR(ROUND(E1131*VLOOKUP(D1131,商品!$A$4:$B$60,2,FALSE),0),"")</f>
        <v/>
      </c>
      <c r="Z1131" t="str">
        <f>IFERROR(ROUND(G1131*VLOOKUP(F1131,商品!$A$4:$B$60,2,FALSE),0),"")</f>
        <v/>
      </c>
      <c r="AA1131" t="str">
        <f>IFERROR(ROUND(I1131*VLOOKUP(H1131,商品!$A$4:$B$60,2,FALSE),0),"")</f>
        <v/>
      </c>
      <c r="AB1131" t="str">
        <f>IFERROR(ROUND(K1131*VLOOKUP(J1131,[1]note_pop_types!$A$16:$E$16,4,FALSE),0),"")</f>
        <v/>
      </c>
      <c r="AC1131" t="str">
        <f>IFERROR(ROUND(M1131*VLOOKUP(L1131,[1]note_pop_types!$A$16:$E$16,4,FALSE),0),"")</f>
        <v/>
      </c>
      <c r="AD1131" t="str">
        <f>IFERROR(ROUND(O1131*VLOOKUP(N1131,[1]note_pop_types!$A$16:$E$16,4,FALSE),0),"")</f>
        <v/>
      </c>
      <c r="AE1131" t="str">
        <f>IFERROR(ROUND(Q1131*VLOOKUP(P1131,商品!$A$4:$B$60,2,FALSE),0),"")</f>
        <v/>
      </c>
      <c r="AF1131" t="str">
        <f>IFERROR(ROUND(S1131*VLOOKUP(R1131,商品!$A$4:$B$60,2,FALSE),0),"")</f>
        <v/>
      </c>
    </row>
    <row r="1132" spans="1:32" ht="19.05" customHeight="1" x14ac:dyDescent="0.25">
      <c r="A1132" s="16" t="s">
        <v>421</v>
      </c>
      <c r="C1132" s="16">
        <v>2</v>
      </c>
      <c r="T1132" s="2">
        <f t="shared" si="68"/>
        <v>0</v>
      </c>
      <c r="U1132" s="2">
        <f t="shared" si="69"/>
        <v>0</v>
      </c>
      <c r="V1132" s="2">
        <f t="shared" si="70"/>
        <v>0</v>
      </c>
      <c r="W1132" s="2">
        <f t="shared" si="71"/>
        <v>0</v>
      </c>
      <c r="Y1132" t="str">
        <f>IFERROR(ROUND(E1132*VLOOKUP(D1132,商品!$A$4:$B$60,2,FALSE),0),"")</f>
        <v/>
      </c>
      <c r="Z1132" t="str">
        <f>IFERROR(ROUND(G1132*VLOOKUP(F1132,商品!$A$4:$B$60,2,FALSE),0),"")</f>
        <v/>
      </c>
      <c r="AA1132" t="str">
        <f>IFERROR(ROUND(I1132*VLOOKUP(H1132,商品!$A$4:$B$60,2,FALSE),0),"")</f>
        <v/>
      </c>
      <c r="AB1132" t="str">
        <f>IFERROR(ROUND(K1132*VLOOKUP(J1132,[1]note_pop_types!$A$16:$E$16,4,FALSE),0),"")</f>
        <v/>
      </c>
      <c r="AC1132" t="str">
        <f>IFERROR(ROUND(M1132*VLOOKUP(L1132,[1]note_pop_types!$A$16:$E$16,4,FALSE),0),"")</f>
        <v/>
      </c>
      <c r="AD1132" t="str">
        <f>IFERROR(ROUND(O1132*VLOOKUP(N1132,[1]note_pop_types!$A$16:$E$16,4,FALSE),0),"")</f>
        <v/>
      </c>
      <c r="AE1132" t="str">
        <f>IFERROR(ROUND(Q1132*VLOOKUP(P1132,商品!$A$4:$B$60,2,FALSE),0),"")</f>
        <v/>
      </c>
      <c r="AF1132" t="str">
        <f>IFERROR(ROUND(S1132*VLOOKUP(R1132,商品!$A$4:$B$60,2,FALSE),0),"")</f>
        <v/>
      </c>
    </row>
    <row r="1133" spans="1:32" ht="19.05" customHeight="1" x14ac:dyDescent="0.25">
      <c r="A1133" s="16" t="s">
        <v>421</v>
      </c>
      <c r="C1133" s="16">
        <v>3</v>
      </c>
      <c r="T1133" s="2">
        <f t="shared" si="68"/>
        <v>0</v>
      </c>
      <c r="U1133" s="2">
        <f t="shared" si="69"/>
        <v>0</v>
      </c>
      <c r="V1133" s="2">
        <f t="shared" si="70"/>
        <v>0</v>
      </c>
      <c r="W1133" s="2">
        <f t="shared" si="71"/>
        <v>0</v>
      </c>
      <c r="Y1133" t="str">
        <f>IFERROR(ROUND(E1133*VLOOKUP(D1133,商品!$A$4:$B$60,2,FALSE),0),"")</f>
        <v/>
      </c>
      <c r="Z1133" t="str">
        <f>IFERROR(ROUND(G1133*VLOOKUP(F1133,商品!$A$4:$B$60,2,FALSE),0),"")</f>
        <v/>
      </c>
      <c r="AA1133" t="str">
        <f>IFERROR(ROUND(I1133*VLOOKUP(H1133,商品!$A$4:$B$60,2,FALSE),0),"")</f>
        <v/>
      </c>
      <c r="AB1133" t="str">
        <f>IFERROR(ROUND(K1133*VLOOKUP(J1133,[1]note_pop_types!$A$16:$E$16,4,FALSE),0),"")</f>
        <v/>
      </c>
      <c r="AC1133" t="str">
        <f>IFERROR(ROUND(M1133*VLOOKUP(L1133,[1]note_pop_types!$A$16:$E$16,4,FALSE),0),"")</f>
        <v/>
      </c>
      <c r="AD1133" t="str">
        <f>IFERROR(ROUND(O1133*VLOOKUP(N1133,[1]note_pop_types!$A$16:$E$16,4,FALSE),0),"")</f>
        <v/>
      </c>
      <c r="AE1133" t="str">
        <f>IFERROR(ROUND(Q1133*VLOOKUP(P1133,商品!$A$4:$B$60,2,FALSE),0),"")</f>
        <v/>
      </c>
      <c r="AF1133" t="str">
        <f>IFERROR(ROUND(S1133*VLOOKUP(R1133,商品!$A$4:$B$60,2,FALSE),0),"")</f>
        <v/>
      </c>
    </row>
    <row r="1134" spans="1:32" ht="19.05" customHeight="1" x14ac:dyDescent="0.25">
      <c r="A1134" s="16" t="s">
        <v>421</v>
      </c>
      <c r="C1134" s="16">
        <v>4</v>
      </c>
      <c r="T1134" s="2">
        <f t="shared" si="68"/>
        <v>0</v>
      </c>
      <c r="U1134" s="2">
        <f t="shared" si="69"/>
        <v>0</v>
      </c>
      <c r="V1134" s="2">
        <f t="shared" si="70"/>
        <v>0</v>
      </c>
      <c r="W1134" s="2">
        <f t="shared" si="71"/>
        <v>0</v>
      </c>
      <c r="Y1134" t="str">
        <f>IFERROR(ROUND(E1134*VLOOKUP(D1134,商品!$A$4:$B$60,2,FALSE),0),"")</f>
        <v/>
      </c>
      <c r="Z1134" t="str">
        <f>IFERROR(ROUND(G1134*VLOOKUP(F1134,商品!$A$4:$B$60,2,FALSE),0),"")</f>
        <v/>
      </c>
      <c r="AA1134" t="str">
        <f>IFERROR(ROUND(I1134*VLOOKUP(H1134,商品!$A$4:$B$60,2,FALSE),0),"")</f>
        <v/>
      </c>
      <c r="AB1134" t="str">
        <f>IFERROR(ROUND(K1134*VLOOKUP(J1134,[1]note_pop_types!$A$16:$E$16,4,FALSE),0),"")</f>
        <v/>
      </c>
      <c r="AC1134" t="str">
        <f>IFERROR(ROUND(M1134*VLOOKUP(L1134,[1]note_pop_types!$A$16:$E$16,4,FALSE),0),"")</f>
        <v/>
      </c>
      <c r="AD1134" t="str">
        <f>IFERROR(ROUND(O1134*VLOOKUP(N1134,[1]note_pop_types!$A$16:$E$16,4,FALSE),0),"")</f>
        <v/>
      </c>
      <c r="AE1134" t="str">
        <f>IFERROR(ROUND(Q1134*VLOOKUP(P1134,商品!$A$4:$B$60,2,FALSE),0),"")</f>
        <v/>
      </c>
      <c r="AF1134" t="str">
        <f>IFERROR(ROUND(S1134*VLOOKUP(R1134,商品!$A$4:$B$60,2,FALSE),0),"")</f>
        <v/>
      </c>
    </row>
    <row r="1135" spans="1:32" ht="19.05" customHeight="1" x14ac:dyDescent="0.25">
      <c r="A1135" s="16" t="s">
        <v>421</v>
      </c>
      <c r="C1135" s="16">
        <v>5</v>
      </c>
      <c r="T1135" s="2">
        <f t="shared" si="68"/>
        <v>0</v>
      </c>
      <c r="U1135" s="2">
        <f t="shared" si="69"/>
        <v>0</v>
      </c>
      <c r="V1135" s="2">
        <f t="shared" si="70"/>
        <v>0</v>
      </c>
      <c r="W1135" s="2">
        <f t="shared" si="71"/>
        <v>0</v>
      </c>
      <c r="Y1135" t="str">
        <f>IFERROR(ROUND(E1135*VLOOKUP(D1135,商品!$A$4:$B$60,2,FALSE),0),"")</f>
        <v/>
      </c>
      <c r="Z1135" t="str">
        <f>IFERROR(ROUND(G1135*VLOOKUP(F1135,商品!$A$4:$B$60,2,FALSE),0),"")</f>
        <v/>
      </c>
      <c r="AA1135" t="str">
        <f>IFERROR(ROUND(I1135*VLOOKUP(H1135,商品!$A$4:$B$60,2,FALSE),0),"")</f>
        <v/>
      </c>
      <c r="AB1135" t="str">
        <f>IFERROR(ROUND(K1135*VLOOKUP(J1135,[1]note_pop_types!$A$16:$E$16,4,FALSE),0),"")</f>
        <v/>
      </c>
      <c r="AC1135" t="str">
        <f>IFERROR(ROUND(M1135*VLOOKUP(L1135,[1]note_pop_types!$A$16:$E$16,4,FALSE),0),"")</f>
        <v/>
      </c>
      <c r="AD1135" t="str">
        <f>IFERROR(ROUND(O1135*VLOOKUP(N1135,[1]note_pop_types!$A$16:$E$16,4,FALSE),0),"")</f>
        <v/>
      </c>
      <c r="AE1135" t="str">
        <f>IFERROR(ROUND(Q1135*VLOOKUP(P1135,商品!$A$4:$B$60,2,FALSE),0),"")</f>
        <v/>
      </c>
      <c r="AF1135" t="str">
        <f>IFERROR(ROUND(S1135*VLOOKUP(R1135,商品!$A$4:$B$60,2,FALSE),0),"")</f>
        <v/>
      </c>
    </row>
    <row r="1136" spans="1:32" ht="19.05" customHeight="1" x14ac:dyDescent="0.25">
      <c r="A1136" s="16" t="s">
        <v>421</v>
      </c>
      <c r="C1136" s="16">
        <v>6</v>
      </c>
      <c r="T1136" s="2">
        <f t="shared" si="68"/>
        <v>0</v>
      </c>
      <c r="U1136" s="2">
        <f t="shared" si="69"/>
        <v>0</v>
      </c>
      <c r="V1136" s="2">
        <f t="shared" si="70"/>
        <v>0</v>
      </c>
      <c r="W1136" s="2">
        <f t="shared" si="71"/>
        <v>0</v>
      </c>
      <c r="Y1136" t="str">
        <f>IFERROR(ROUND(E1136*VLOOKUP(D1136,商品!$A$4:$B$60,2,FALSE),0),"")</f>
        <v/>
      </c>
      <c r="Z1136" t="str">
        <f>IFERROR(ROUND(G1136*VLOOKUP(F1136,商品!$A$4:$B$60,2,FALSE),0),"")</f>
        <v/>
      </c>
      <c r="AA1136" t="str">
        <f>IFERROR(ROUND(I1136*VLOOKUP(H1136,商品!$A$4:$B$60,2,FALSE),0),"")</f>
        <v/>
      </c>
      <c r="AB1136" t="str">
        <f>IFERROR(ROUND(K1136*VLOOKUP(J1136,[1]note_pop_types!$A$16:$E$16,4,FALSE),0),"")</f>
        <v/>
      </c>
      <c r="AC1136" t="str">
        <f>IFERROR(ROUND(M1136*VLOOKUP(L1136,[1]note_pop_types!$A$16:$E$16,4,FALSE),0),"")</f>
        <v/>
      </c>
      <c r="AD1136" t="str">
        <f>IFERROR(ROUND(O1136*VLOOKUP(N1136,[1]note_pop_types!$A$16:$E$16,4,FALSE),0),"")</f>
        <v/>
      </c>
      <c r="AE1136" t="str">
        <f>IFERROR(ROUND(Q1136*VLOOKUP(P1136,商品!$A$4:$B$60,2,FALSE),0),"")</f>
        <v/>
      </c>
      <c r="AF1136" t="str">
        <f>IFERROR(ROUND(S1136*VLOOKUP(R1136,商品!$A$4:$B$60,2,FALSE),0),"")</f>
        <v/>
      </c>
    </row>
    <row r="1137" spans="1:32" ht="19.05" customHeight="1" x14ac:dyDescent="0.25">
      <c r="A1137" s="16" t="s">
        <v>421</v>
      </c>
      <c r="C1137" s="16">
        <v>7</v>
      </c>
      <c r="T1137" s="2">
        <f t="shared" si="68"/>
        <v>0</v>
      </c>
      <c r="U1137" s="2">
        <f t="shared" si="69"/>
        <v>0</v>
      </c>
      <c r="V1137" s="2">
        <f t="shared" si="70"/>
        <v>0</v>
      </c>
      <c r="W1137" s="2">
        <f t="shared" si="71"/>
        <v>0</v>
      </c>
      <c r="Y1137" t="str">
        <f>IFERROR(ROUND(E1137*VLOOKUP(D1137,商品!$A$4:$B$60,2,FALSE),0),"")</f>
        <v/>
      </c>
      <c r="Z1137" t="str">
        <f>IFERROR(ROUND(G1137*VLOOKUP(F1137,商品!$A$4:$B$60,2,FALSE),0),"")</f>
        <v/>
      </c>
      <c r="AA1137" t="str">
        <f>IFERROR(ROUND(I1137*VLOOKUP(H1137,商品!$A$4:$B$60,2,FALSE),0),"")</f>
        <v/>
      </c>
      <c r="AB1137" t="str">
        <f>IFERROR(ROUND(K1137*VLOOKUP(J1137,[1]note_pop_types!$A$16:$E$16,4,FALSE),0),"")</f>
        <v/>
      </c>
      <c r="AC1137" t="str">
        <f>IFERROR(ROUND(M1137*VLOOKUP(L1137,[1]note_pop_types!$A$16:$E$16,4,FALSE),0),"")</f>
        <v/>
      </c>
      <c r="AD1137" t="str">
        <f>IFERROR(ROUND(O1137*VLOOKUP(N1137,[1]note_pop_types!$A$16:$E$16,4,FALSE),0),"")</f>
        <v/>
      </c>
      <c r="AE1137" t="str">
        <f>IFERROR(ROUND(Q1137*VLOOKUP(P1137,商品!$A$4:$B$60,2,FALSE),0),"")</f>
        <v/>
      </c>
      <c r="AF1137" t="str">
        <f>IFERROR(ROUND(S1137*VLOOKUP(R1137,商品!$A$4:$B$60,2,FALSE),0),"")</f>
        <v/>
      </c>
    </row>
    <row r="1138" spans="1:32" ht="19.05" customHeight="1" x14ac:dyDescent="0.25">
      <c r="A1138" s="16" t="s">
        <v>421</v>
      </c>
      <c r="C1138" s="16">
        <v>8</v>
      </c>
      <c r="T1138" s="2">
        <f t="shared" si="68"/>
        <v>0</v>
      </c>
      <c r="U1138" s="2">
        <f t="shared" si="69"/>
        <v>0</v>
      </c>
      <c r="V1138" s="2">
        <f t="shared" si="70"/>
        <v>0</v>
      </c>
      <c r="W1138" s="2">
        <f t="shared" si="71"/>
        <v>0</v>
      </c>
      <c r="Y1138" t="str">
        <f>IFERROR(ROUND(E1138*VLOOKUP(D1138,商品!$A$4:$B$60,2,FALSE),0),"")</f>
        <v/>
      </c>
      <c r="Z1138" t="str">
        <f>IFERROR(ROUND(G1138*VLOOKUP(F1138,商品!$A$4:$B$60,2,FALSE),0),"")</f>
        <v/>
      </c>
      <c r="AA1138" t="str">
        <f>IFERROR(ROUND(I1138*VLOOKUP(H1138,商品!$A$4:$B$60,2,FALSE),0),"")</f>
        <v/>
      </c>
      <c r="AB1138" t="str">
        <f>IFERROR(ROUND(K1138*VLOOKUP(J1138,[1]note_pop_types!$A$16:$E$16,4,FALSE),0),"")</f>
        <v/>
      </c>
      <c r="AC1138" t="str">
        <f>IFERROR(ROUND(M1138*VLOOKUP(L1138,[1]note_pop_types!$A$16:$E$16,4,FALSE),0),"")</f>
        <v/>
      </c>
      <c r="AD1138" t="str">
        <f>IFERROR(ROUND(O1138*VLOOKUP(N1138,[1]note_pop_types!$A$16:$E$16,4,FALSE),0),"")</f>
        <v/>
      </c>
      <c r="AE1138" t="str">
        <f>IFERROR(ROUND(Q1138*VLOOKUP(P1138,商品!$A$4:$B$60,2,FALSE),0),"")</f>
        <v/>
      </c>
      <c r="AF1138" t="str">
        <f>IFERROR(ROUND(S1138*VLOOKUP(R1138,商品!$A$4:$B$60,2,FALSE),0),"")</f>
        <v/>
      </c>
    </row>
    <row r="1139" spans="1:32" ht="19.05" customHeight="1" x14ac:dyDescent="0.25">
      <c r="A1139" s="15" t="s">
        <v>423</v>
      </c>
      <c r="C1139" s="15">
        <v>1</v>
      </c>
      <c r="T1139" s="2">
        <f t="shared" si="68"/>
        <v>0</v>
      </c>
      <c r="U1139" s="2">
        <f t="shared" si="69"/>
        <v>0</v>
      </c>
      <c r="V1139" s="2">
        <f t="shared" si="70"/>
        <v>0</v>
      </c>
      <c r="W1139" s="2">
        <f t="shared" si="71"/>
        <v>0</v>
      </c>
      <c r="Y1139" t="str">
        <f>IFERROR(ROUND(E1139*VLOOKUP(D1139,商品!$A$4:$B$60,2,FALSE),0),"")</f>
        <v/>
      </c>
      <c r="Z1139" t="str">
        <f>IFERROR(ROUND(G1139*VLOOKUP(F1139,商品!$A$4:$B$60,2,FALSE),0),"")</f>
        <v/>
      </c>
      <c r="AA1139" t="str">
        <f>IFERROR(ROUND(I1139*VLOOKUP(H1139,商品!$A$4:$B$60,2,FALSE),0),"")</f>
        <v/>
      </c>
      <c r="AB1139" t="str">
        <f>IFERROR(ROUND(K1139*VLOOKUP(J1139,[1]note_pop_types!$A$16:$E$16,4,FALSE),0),"")</f>
        <v/>
      </c>
      <c r="AC1139" t="str">
        <f>IFERROR(ROUND(M1139*VLOOKUP(L1139,[1]note_pop_types!$A$16:$E$16,4,FALSE),0),"")</f>
        <v/>
      </c>
      <c r="AD1139" t="str">
        <f>IFERROR(ROUND(O1139*VLOOKUP(N1139,[1]note_pop_types!$A$16:$E$16,4,FALSE),0),"")</f>
        <v/>
      </c>
      <c r="AE1139" t="str">
        <f>IFERROR(ROUND(Q1139*VLOOKUP(P1139,商品!$A$4:$B$60,2,FALSE),0),"")</f>
        <v/>
      </c>
      <c r="AF1139" t="str">
        <f>IFERROR(ROUND(S1139*VLOOKUP(R1139,商品!$A$4:$B$60,2,FALSE),0),"")</f>
        <v/>
      </c>
    </row>
    <row r="1140" spans="1:32" ht="19.05" customHeight="1" x14ac:dyDescent="0.25">
      <c r="A1140" s="15" t="s">
        <v>423</v>
      </c>
      <c r="C1140" s="15">
        <v>2</v>
      </c>
      <c r="T1140" s="2">
        <f t="shared" si="68"/>
        <v>0</v>
      </c>
      <c r="U1140" s="2">
        <f t="shared" si="69"/>
        <v>0</v>
      </c>
      <c r="V1140" s="2">
        <f t="shared" si="70"/>
        <v>0</v>
      </c>
      <c r="W1140" s="2">
        <f t="shared" si="71"/>
        <v>0</v>
      </c>
      <c r="Y1140" t="str">
        <f>IFERROR(ROUND(E1140*VLOOKUP(D1140,商品!$A$4:$B$60,2,FALSE),0),"")</f>
        <v/>
      </c>
      <c r="Z1140" t="str">
        <f>IFERROR(ROUND(G1140*VLOOKUP(F1140,商品!$A$4:$B$60,2,FALSE),0),"")</f>
        <v/>
      </c>
      <c r="AA1140" t="str">
        <f>IFERROR(ROUND(I1140*VLOOKUP(H1140,商品!$A$4:$B$60,2,FALSE),0),"")</f>
        <v/>
      </c>
      <c r="AB1140" t="str">
        <f>IFERROR(ROUND(K1140*VLOOKUP(J1140,[1]note_pop_types!$A$16:$E$16,4,FALSE),0),"")</f>
        <v/>
      </c>
      <c r="AC1140" t="str">
        <f>IFERROR(ROUND(M1140*VLOOKUP(L1140,[1]note_pop_types!$A$16:$E$16,4,FALSE),0),"")</f>
        <v/>
      </c>
      <c r="AD1140" t="str">
        <f>IFERROR(ROUND(O1140*VLOOKUP(N1140,[1]note_pop_types!$A$16:$E$16,4,FALSE),0),"")</f>
        <v/>
      </c>
      <c r="AE1140" t="str">
        <f>IFERROR(ROUND(Q1140*VLOOKUP(P1140,商品!$A$4:$B$60,2,FALSE),0),"")</f>
        <v/>
      </c>
      <c r="AF1140" t="str">
        <f>IFERROR(ROUND(S1140*VLOOKUP(R1140,商品!$A$4:$B$60,2,FALSE),0),"")</f>
        <v/>
      </c>
    </row>
    <row r="1141" spans="1:32" ht="19.05" customHeight="1" x14ac:dyDescent="0.25">
      <c r="A1141" s="15" t="s">
        <v>423</v>
      </c>
      <c r="C1141" s="15">
        <v>3</v>
      </c>
      <c r="T1141" s="2">
        <f t="shared" si="68"/>
        <v>0</v>
      </c>
      <c r="U1141" s="2">
        <f t="shared" si="69"/>
        <v>0</v>
      </c>
      <c r="V1141" s="2">
        <f t="shared" si="70"/>
        <v>0</v>
      </c>
      <c r="W1141" s="2">
        <f t="shared" si="71"/>
        <v>0</v>
      </c>
      <c r="Y1141" t="str">
        <f>IFERROR(ROUND(E1141*VLOOKUP(D1141,商品!$A$4:$B$60,2,FALSE),0),"")</f>
        <v/>
      </c>
      <c r="Z1141" t="str">
        <f>IFERROR(ROUND(G1141*VLOOKUP(F1141,商品!$A$4:$B$60,2,FALSE),0),"")</f>
        <v/>
      </c>
      <c r="AA1141" t="str">
        <f>IFERROR(ROUND(I1141*VLOOKUP(H1141,商品!$A$4:$B$60,2,FALSE),0),"")</f>
        <v/>
      </c>
      <c r="AB1141" t="str">
        <f>IFERROR(ROUND(K1141*VLOOKUP(J1141,[1]note_pop_types!$A$16:$E$16,4,FALSE),0),"")</f>
        <v/>
      </c>
      <c r="AC1141" t="str">
        <f>IFERROR(ROUND(M1141*VLOOKUP(L1141,[1]note_pop_types!$A$16:$E$16,4,FALSE),0),"")</f>
        <v/>
      </c>
      <c r="AD1141" t="str">
        <f>IFERROR(ROUND(O1141*VLOOKUP(N1141,[1]note_pop_types!$A$16:$E$16,4,FALSE),0),"")</f>
        <v/>
      </c>
      <c r="AE1141" t="str">
        <f>IFERROR(ROUND(Q1141*VLOOKUP(P1141,商品!$A$4:$B$60,2,FALSE),0),"")</f>
        <v/>
      </c>
      <c r="AF1141" t="str">
        <f>IFERROR(ROUND(S1141*VLOOKUP(R1141,商品!$A$4:$B$60,2,FALSE),0),"")</f>
        <v/>
      </c>
    </row>
    <row r="1142" spans="1:32" ht="19.05" customHeight="1" x14ac:dyDescent="0.25">
      <c r="A1142" s="15" t="s">
        <v>423</v>
      </c>
      <c r="C1142" s="15">
        <v>4</v>
      </c>
      <c r="T1142" s="2">
        <f t="shared" si="68"/>
        <v>0</v>
      </c>
      <c r="U1142" s="2">
        <f t="shared" si="69"/>
        <v>0</v>
      </c>
      <c r="V1142" s="2">
        <f t="shared" si="70"/>
        <v>0</v>
      </c>
      <c r="W1142" s="2">
        <f t="shared" si="71"/>
        <v>0</v>
      </c>
      <c r="Y1142" t="str">
        <f>IFERROR(ROUND(E1142*VLOOKUP(D1142,商品!$A$4:$B$60,2,FALSE),0),"")</f>
        <v/>
      </c>
      <c r="Z1142" t="str">
        <f>IFERROR(ROUND(G1142*VLOOKUP(F1142,商品!$A$4:$B$60,2,FALSE),0),"")</f>
        <v/>
      </c>
      <c r="AA1142" t="str">
        <f>IFERROR(ROUND(I1142*VLOOKUP(H1142,商品!$A$4:$B$60,2,FALSE),0),"")</f>
        <v/>
      </c>
      <c r="AB1142" t="str">
        <f>IFERROR(ROUND(K1142*VLOOKUP(J1142,[1]note_pop_types!$A$16:$E$16,4,FALSE),0),"")</f>
        <v/>
      </c>
      <c r="AC1142" t="str">
        <f>IFERROR(ROUND(M1142*VLOOKUP(L1142,[1]note_pop_types!$A$16:$E$16,4,FALSE),0),"")</f>
        <v/>
      </c>
      <c r="AD1142" t="str">
        <f>IFERROR(ROUND(O1142*VLOOKUP(N1142,[1]note_pop_types!$A$16:$E$16,4,FALSE),0),"")</f>
        <v/>
      </c>
      <c r="AE1142" t="str">
        <f>IFERROR(ROUND(Q1142*VLOOKUP(P1142,商品!$A$4:$B$60,2,FALSE),0),"")</f>
        <v/>
      </c>
      <c r="AF1142" t="str">
        <f>IFERROR(ROUND(S1142*VLOOKUP(R1142,商品!$A$4:$B$60,2,FALSE),0),"")</f>
        <v/>
      </c>
    </row>
    <row r="1143" spans="1:32" ht="19.05" customHeight="1" x14ac:dyDescent="0.25">
      <c r="A1143" s="15" t="s">
        <v>423</v>
      </c>
      <c r="C1143" s="15">
        <v>5</v>
      </c>
      <c r="T1143" s="2">
        <f t="shared" si="68"/>
        <v>0</v>
      </c>
      <c r="U1143" s="2">
        <f t="shared" si="69"/>
        <v>0</v>
      </c>
      <c r="V1143" s="2">
        <f t="shared" si="70"/>
        <v>0</v>
      </c>
      <c r="W1143" s="2">
        <f t="shared" si="71"/>
        <v>0</v>
      </c>
      <c r="Y1143" t="str">
        <f>IFERROR(ROUND(E1143*VLOOKUP(D1143,商品!$A$4:$B$60,2,FALSE),0),"")</f>
        <v/>
      </c>
      <c r="Z1143" t="str">
        <f>IFERROR(ROUND(G1143*VLOOKUP(F1143,商品!$A$4:$B$60,2,FALSE),0),"")</f>
        <v/>
      </c>
      <c r="AA1143" t="str">
        <f>IFERROR(ROUND(I1143*VLOOKUP(H1143,商品!$A$4:$B$60,2,FALSE),0),"")</f>
        <v/>
      </c>
      <c r="AB1143" t="str">
        <f>IFERROR(ROUND(K1143*VLOOKUP(J1143,[1]note_pop_types!$A$16:$E$16,4,FALSE),0),"")</f>
        <v/>
      </c>
      <c r="AC1143" t="str">
        <f>IFERROR(ROUND(M1143*VLOOKUP(L1143,[1]note_pop_types!$A$16:$E$16,4,FALSE),0),"")</f>
        <v/>
      </c>
      <c r="AD1143" t="str">
        <f>IFERROR(ROUND(O1143*VLOOKUP(N1143,[1]note_pop_types!$A$16:$E$16,4,FALSE),0),"")</f>
        <v/>
      </c>
      <c r="AE1143" t="str">
        <f>IFERROR(ROUND(Q1143*VLOOKUP(P1143,商品!$A$4:$B$60,2,FALSE),0),"")</f>
        <v/>
      </c>
      <c r="AF1143" t="str">
        <f>IFERROR(ROUND(S1143*VLOOKUP(R1143,商品!$A$4:$B$60,2,FALSE),0),"")</f>
        <v/>
      </c>
    </row>
    <row r="1144" spans="1:32" ht="19.05" customHeight="1" x14ac:dyDescent="0.25">
      <c r="A1144" s="16" t="s">
        <v>554</v>
      </c>
      <c r="C1144" s="16">
        <v>1</v>
      </c>
      <c r="T1144" s="2">
        <f t="shared" si="68"/>
        <v>0</v>
      </c>
      <c r="U1144" s="2">
        <f t="shared" si="69"/>
        <v>0</v>
      </c>
      <c r="V1144" s="2">
        <f t="shared" si="70"/>
        <v>0</v>
      </c>
      <c r="W1144" s="2">
        <f t="shared" si="71"/>
        <v>0</v>
      </c>
      <c r="Y1144" t="str">
        <f>IFERROR(ROUND(E1144*VLOOKUP(D1144,商品!$A$4:$B$60,2,FALSE),0),"")</f>
        <v/>
      </c>
      <c r="Z1144" t="str">
        <f>IFERROR(ROUND(G1144*VLOOKUP(F1144,商品!$A$4:$B$60,2,FALSE),0),"")</f>
        <v/>
      </c>
      <c r="AA1144" t="str">
        <f>IFERROR(ROUND(I1144*VLOOKUP(H1144,商品!$A$4:$B$60,2,FALSE),0),"")</f>
        <v/>
      </c>
      <c r="AB1144" t="str">
        <f>IFERROR(ROUND(K1144*VLOOKUP(J1144,[1]note_pop_types!$A$16:$E$16,4,FALSE),0),"")</f>
        <v/>
      </c>
      <c r="AC1144" t="str">
        <f>IFERROR(ROUND(M1144*VLOOKUP(L1144,[1]note_pop_types!$A$16:$E$16,4,FALSE),0),"")</f>
        <v/>
      </c>
      <c r="AD1144" t="str">
        <f>IFERROR(ROUND(O1144*VLOOKUP(N1144,[1]note_pop_types!$A$16:$E$16,4,FALSE),0),"")</f>
        <v/>
      </c>
      <c r="AE1144" t="str">
        <f>IFERROR(ROUND(Q1144*VLOOKUP(P1144,商品!$A$4:$B$60,2,FALSE),0),"")</f>
        <v/>
      </c>
      <c r="AF1144" t="str">
        <f>IFERROR(ROUND(S1144*VLOOKUP(R1144,商品!$A$4:$B$60,2,FALSE),0),"")</f>
        <v/>
      </c>
    </row>
    <row r="1145" spans="1:32" ht="19.05" customHeight="1" x14ac:dyDescent="0.25">
      <c r="A1145" s="16" t="s">
        <v>554</v>
      </c>
      <c r="C1145" s="16">
        <v>2</v>
      </c>
      <c r="T1145" s="2">
        <f t="shared" si="68"/>
        <v>0</v>
      </c>
      <c r="U1145" s="2">
        <f t="shared" si="69"/>
        <v>0</v>
      </c>
      <c r="V1145" s="2">
        <f t="shared" si="70"/>
        <v>0</v>
      </c>
      <c r="W1145" s="2">
        <f t="shared" si="71"/>
        <v>0</v>
      </c>
      <c r="Y1145" t="str">
        <f>IFERROR(ROUND(E1145*VLOOKUP(D1145,商品!$A$4:$B$60,2,FALSE),0),"")</f>
        <v/>
      </c>
      <c r="Z1145" t="str">
        <f>IFERROR(ROUND(G1145*VLOOKUP(F1145,商品!$A$4:$B$60,2,FALSE),0),"")</f>
        <v/>
      </c>
      <c r="AA1145" t="str">
        <f>IFERROR(ROUND(I1145*VLOOKUP(H1145,商品!$A$4:$B$60,2,FALSE),0),"")</f>
        <v/>
      </c>
      <c r="AB1145" t="str">
        <f>IFERROR(ROUND(K1145*VLOOKUP(J1145,[1]note_pop_types!$A$16:$E$16,4,FALSE),0),"")</f>
        <v/>
      </c>
      <c r="AC1145" t="str">
        <f>IFERROR(ROUND(M1145*VLOOKUP(L1145,[1]note_pop_types!$A$16:$E$16,4,FALSE),0),"")</f>
        <v/>
      </c>
      <c r="AD1145" t="str">
        <f>IFERROR(ROUND(O1145*VLOOKUP(N1145,[1]note_pop_types!$A$16:$E$16,4,FALSE),0),"")</f>
        <v/>
      </c>
      <c r="AE1145" t="str">
        <f>IFERROR(ROUND(Q1145*VLOOKUP(P1145,商品!$A$4:$B$60,2,FALSE),0),"")</f>
        <v/>
      </c>
      <c r="AF1145" t="str">
        <f>IFERROR(ROUND(S1145*VLOOKUP(R1145,商品!$A$4:$B$60,2,FALSE),0),"")</f>
        <v/>
      </c>
    </row>
    <row r="1146" spans="1:32" ht="19.05" customHeight="1" x14ac:dyDescent="0.25">
      <c r="A1146" s="16" t="s">
        <v>554</v>
      </c>
      <c r="C1146" s="16">
        <v>3</v>
      </c>
      <c r="T1146" s="2">
        <f t="shared" si="68"/>
        <v>0</v>
      </c>
      <c r="U1146" s="2">
        <f t="shared" si="69"/>
        <v>0</v>
      </c>
      <c r="V1146" s="2">
        <f t="shared" si="70"/>
        <v>0</v>
      </c>
      <c r="W1146" s="2">
        <f t="shared" si="71"/>
        <v>0</v>
      </c>
      <c r="Y1146" t="str">
        <f>IFERROR(ROUND(E1146*VLOOKUP(D1146,商品!$A$4:$B$60,2,FALSE),0),"")</f>
        <v/>
      </c>
      <c r="Z1146" t="str">
        <f>IFERROR(ROUND(G1146*VLOOKUP(F1146,商品!$A$4:$B$60,2,FALSE),0),"")</f>
        <v/>
      </c>
      <c r="AA1146" t="str">
        <f>IFERROR(ROUND(I1146*VLOOKUP(H1146,商品!$A$4:$B$60,2,FALSE),0),"")</f>
        <v/>
      </c>
      <c r="AB1146" t="str">
        <f>IFERROR(ROUND(K1146*VLOOKUP(J1146,[1]note_pop_types!$A$16:$E$16,4,FALSE),0),"")</f>
        <v/>
      </c>
      <c r="AC1146" t="str">
        <f>IFERROR(ROUND(M1146*VLOOKUP(L1146,[1]note_pop_types!$A$16:$E$16,4,FALSE),0),"")</f>
        <v/>
      </c>
      <c r="AD1146" t="str">
        <f>IFERROR(ROUND(O1146*VLOOKUP(N1146,[1]note_pop_types!$A$16:$E$16,4,FALSE),0),"")</f>
        <v/>
      </c>
      <c r="AE1146" t="str">
        <f>IFERROR(ROUND(Q1146*VLOOKUP(P1146,商品!$A$4:$B$60,2,FALSE),0),"")</f>
        <v/>
      </c>
      <c r="AF1146" t="str">
        <f>IFERROR(ROUND(S1146*VLOOKUP(R1146,商品!$A$4:$B$60,2,FALSE),0),"")</f>
        <v/>
      </c>
    </row>
    <row r="1147" spans="1:32" ht="19.05" customHeight="1" x14ac:dyDescent="0.25">
      <c r="A1147" s="16" t="s">
        <v>554</v>
      </c>
      <c r="C1147" s="16">
        <v>4</v>
      </c>
      <c r="T1147" s="2">
        <f t="shared" si="68"/>
        <v>0</v>
      </c>
      <c r="U1147" s="2">
        <f t="shared" si="69"/>
        <v>0</v>
      </c>
      <c r="V1147" s="2">
        <f t="shared" si="70"/>
        <v>0</v>
      </c>
      <c r="W1147" s="2">
        <f t="shared" si="71"/>
        <v>0</v>
      </c>
      <c r="Y1147" t="str">
        <f>IFERROR(ROUND(E1147*VLOOKUP(D1147,商品!$A$4:$B$60,2,FALSE),0),"")</f>
        <v/>
      </c>
      <c r="Z1147" t="str">
        <f>IFERROR(ROUND(G1147*VLOOKUP(F1147,商品!$A$4:$B$60,2,FALSE),0),"")</f>
        <v/>
      </c>
      <c r="AA1147" t="str">
        <f>IFERROR(ROUND(I1147*VLOOKUP(H1147,商品!$A$4:$B$60,2,FALSE),0),"")</f>
        <v/>
      </c>
      <c r="AB1147" t="str">
        <f>IFERROR(ROUND(K1147*VLOOKUP(J1147,[1]note_pop_types!$A$16:$E$16,4,FALSE),0),"")</f>
        <v/>
      </c>
      <c r="AC1147" t="str">
        <f>IFERROR(ROUND(M1147*VLOOKUP(L1147,[1]note_pop_types!$A$16:$E$16,4,FALSE),0),"")</f>
        <v/>
      </c>
      <c r="AD1147" t="str">
        <f>IFERROR(ROUND(O1147*VLOOKUP(N1147,[1]note_pop_types!$A$16:$E$16,4,FALSE),0),"")</f>
        <v/>
      </c>
      <c r="AE1147" t="str">
        <f>IFERROR(ROUND(Q1147*VLOOKUP(P1147,商品!$A$4:$B$60,2,FALSE),0),"")</f>
        <v/>
      </c>
      <c r="AF1147" t="str">
        <f>IFERROR(ROUND(S1147*VLOOKUP(R1147,商品!$A$4:$B$60,2,FALSE),0),"")</f>
        <v/>
      </c>
    </row>
    <row r="1148" spans="1:32" ht="19.05" customHeight="1" x14ac:dyDescent="0.25">
      <c r="A1148" s="16" t="s">
        <v>554</v>
      </c>
      <c r="C1148" s="16">
        <v>5</v>
      </c>
      <c r="T1148" s="2">
        <f t="shared" si="68"/>
        <v>0</v>
      </c>
      <c r="U1148" s="2">
        <f t="shared" si="69"/>
        <v>0</v>
      </c>
      <c r="V1148" s="2">
        <f t="shared" si="70"/>
        <v>0</v>
      </c>
      <c r="W1148" s="2">
        <f t="shared" si="71"/>
        <v>0</v>
      </c>
      <c r="Y1148" t="str">
        <f>IFERROR(ROUND(E1148*VLOOKUP(D1148,商品!$A$4:$B$60,2,FALSE),0),"")</f>
        <v/>
      </c>
      <c r="Z1148" t="str">
        <f>IFERROR(ROUND(G1148*VLOOKUP(F1148,商品!$A$4:$B$60,2,FALSE),0),"")</f>
        <v/>
      </c>
      <c r="AA1148" t="str">
        <f>IFERROR(ROUND(I1148*VLOOKUP(H1148,商品!$A$4:$B$60,2,FALSE),0),"")</f>
        <v/>
      </c>
      <c r="AB1148" t="str">
        <f>IFERROR(ROUND(K1148*VLOOKUP(J1148,[1]note_pop_types!$A$16:$E$16,4,FALSE),0),"")</f>
        <v/>
      </c>
      <c r="AC1148" t="str">
        <f>IFERROR(ROUND(M1148*VLOOKUP(L1148,[1]note_pop_types!$A$16:$E$16,4,FALSE),0),"")</f>
        <v/>
      </c>
      <c r="AD1148" t="str">
        <f>IFERROR(ROUND(O1148*VLOOKUP(N1148,[1]note_pop_types!$A$16:$E$16,4,FALSE),0),"")</f>
        <v/>
      </c>
      <c r="AE1148" t="str">
        <f>IFERROR(ROUND(Q1148*VLOOKUP(P1148,商品!$A$4:$B$60,2,FALSE),0),"")</f>
        <v/>
      </c>
      <c r="AF1148" t="str">
        <f>IFERROR(ROUND(S1148*VLOOKUP(R1148,商品!$A$4:$B$60,2,FALSE),0),"")</f>
        <v/>
      </c>
    </row>
    <row r="1149" spans="1:32" ht="19.05" customHeight="1" x14ac:dyDescent="0.25">
      <c r="A1149" s="15" t="s">
        <v>554</v>
      </c>
      <c r="C1149" s="15">
        <v>1</v>
      </c>
      <c r="T1149" s="2">
        <f t="shared" si="68"/>
        <v>0</v>
      </c>
      <c r="U1149" s="2">
        <f t="shared" si="69"/>
        <v>0</v>
      </c>
      <c r="V1149" s="2">
        <f t="shared" si="70"/>
        <v>0</v>
      </c>
      <c r="W1149" s="2">
        <f t="shared" si="71"/>
        <v>0</v>
      </c>
      <c r="Y1149" t="str">
        <f>IFERROR(ROUND(E1149*VLOOKUP(D1149,商品!$A$4:$B$60,2,FALSE),0),"")</f>
        <v/>
      </c>
      <c r="Z1149" t="str">
        <f>IFERROR(ROUND(G1149*VLOOKUP(F1149,商品!$A$4:$B$60,2,FALSE),0),"")</f>
        <v/>
      </c>
      <c r="AA1149" t="str">
        <f>IFERROR(ROUND(I1149*VLOOKUP(H1149,商品!$A$4:$B$60,2,FALSE),0),"")</f>
        <v/>
      </c>
      <c r="AB1149" t="str">
        <f>IFERROR(ROUND(K1149*VLOOKUP(J1149,[1]note_pop_types!$A$16:$E$16,4,FALSE),0),"")</f>
        <v/>
      </c>
      <c r="AC1149" t="str">
        <f>IFERROR(ROUND(M1149*VLOOKUP(L1149,[1]note_pop_types!$A$16:$E$16,4,FALSE),0),"")</f>
        <v/>
      </c>
      <c r="AD1149" t="str">
        <f>IFERROR(ROUND(O1149*VLOOKUP(N1149,[1]note_pop_types!$A$16:$E$16,4,FALSE),0),"")</f>
        <v/>
      </c>
      <c r="AE1149" t="str">
        <f>IFERROR(ROUND(Q1149*VLOOKUP(P1149,商品!$A$4:$B$60,2,FALSE),0),"")</f>
        <v/>
      </c>
      <c r="AF1149" t="str">
        <f>IFERROR(ROUND(S1149*VLOOKUP(R1149,商品!$A$4:$B$60,2,FALSE),0),"")</f>
        <v/>
      </c>
    </row>
    <row r="1150" spans="1:32" ht="19.05" customHeight="1" x14ac:dyDescent="0.25">
      <c r="A1150" s="15" t="s">
        <v>554</v>
      </c>
      <c r="C1150" s="15">
        <v>2</v>
      </c>
      <c r="T1150" s="2">
        <f t="shared" si="68"/>
        <v>0</v>
      </c>
      <c r="U1150" s="2">
        <f t="shared" si="69"/>
        <v>0</v>
      </c>
      <c r="V1150" s="2">
        <f t="shared" si="70"/>
        <v>0</v>
      </c>
      <c r="W1150" s="2">
        <f t="shared" si="71"/>
        <v>0</v>
      </c>
      <c r="Y1150" t="str">
        <f>IFERROR(ROUND(E1150*VLOOKUP(D1150,商品!$A$4:$B$60,2,FALSE),0),"")</f>
        <v/>
      </c>
      <c r="Z1150" t="str">
        <f>IFERROR(ROUND(G1150*VLOOKUP(F1150,商品!$A$4:$B$60,2,FALSE),0),"")</f>
        <v/>
      </c>
      <c r="AA1150" t="str">
        <f>IFERROR(ROUND(I1150*VLOOKUP(H1150,商品!$A$4:$B$60,2,FALSE),0),"")</f>
        <v/>
      </c>
      <c r="AB1150" t="str">
        <f>IFERROR(ROUND(K1150*VLOOKUP(J1150,[1]note_pop_types!$A$16:$E$16,4,FALSE),0),"")</f>
        <v/>
      </c>
      <c r="AC1150" t="str">
        <f>IFERROR(ROUND(M1150*VLOOKUP(L1150,[1]note_pop_types!$A$16:$E$16,4,FALSE),0),"")</f>
        <v/>
      </c>
      <c r="AD1150" t="str">
        <f>IFERROR(ROUND(O1150*VLOOKUP(N1150,[1]note_pop_types!$A$16:$E$16,4,FALSE),0),"")</f>
        <v/>
      </c>
      <c r="AE1150" t="str">
        <f>IFERROR(ROUND(Q1150*VLOOKUP(P1150,商品!$A$4:$B$60,2,FALSE),0),"")</f>
        <v/>
      </c>
      <c r="AF1150" t="str">
        <f>IFERROR(ROUND(S1150*VLOOKUP(R1150,商品!$A$4:$B$60,2,FALSE),0),"")</f>
        <v/>
      </c>
    </row>
    <row r="1151" spans="1:32" ht="19.05" customHeight="1" x14ac:dyDescent="0.25">
      <c r="A1151" s="15" t="s">
        <v>554</v>
      </c>
      <c r="C1151" s="15">
        <v>3</v>
      </c>
      <c r="T1151" s="2">
        <f t="shared" si="68"/>
        <v>0</v>
      </c>
      <c r="U1151" s="2">
        <f t="shared" si="69"/>
        <v>0</v>
      </c>
      <c r="V1151" s="2">
        <f t="shared" si="70"/>
        <v>0</v>
      </c>
      <c r="W1151" s="2">
        <f t="shared" si="71"/>
        <v>0</v>
      </c>
      <c r="Y1151" t="str">
        <f>IFERROR(ROUND(E1151*VLOOKUP(D1151,商品!$A$4:$B$60,2,FALSE),0),"")</f>
        <v/>
      </c>
      <c r="Z1151" t="str">
        <f>IFERROR(ROUND(G1151*VLOOKUP(F1151,商品!$A$4:$B$60,2,FALSE),0),"")</f>
        <v/>
      </c>
      <c r="AA1151" t="str">
        <f>IFERROR(ROUND(I1151*VLOOKUP(H1151,商品!$A$4:$B$60,2,FALSE),0),"")</f>
        <v/>
      </c>
      <c r="AB1151" t="str">
        <f>IFERROR(ROUND(K1151*VLOOKUP(J1151,[1]note_pop_types!$A$16:$E$16,4,FALSE),0),"")</f>
        <v/>
      </c>
      <c r="AC1151" t="str">
        <f>IFERROR(ROUND(M1151*VLOOKUP(L1151,[1]note_pop_types!$A$16:$E$16,4,FALSE),0),"")</f>
        <v/>
      </c>
      <c r="AD1151" t="str">
        <f>IFERROR(ROUND(O1151*VLOOKUP(N1151,[1]note_pop_types!$A$16:$E$16,4,FALSE),0),"")</f>
        <v/>
      </c>
      <c r="AE1151" t="str">
        <f>IFERROR(ROUND(Q1151*VLOOKUP(P1151,商品!$A$4:$B$60,2,FALSE),0),"")</f>
        <v/>
      </c>
      <c r="AF1151" t="str">
        <f>IFERROR(ROUND(S1151*VLOOKUP(R1151,商品!$A$4:$B$60,2,FALSE),0),"")</f>
        <v/>
      </c>
    </row>
    <row r="1152" spans="1:32" ht="19.05" customHeight="1" x14ac:dyDescent="0.25">
      <c r="A1152" s="15" t="s">
        <v>554</v>
      </c>
      <c r="C1152" s="15">
        <v>4</v>
      </c>
      <c r="T1152" s="2">
        <f t="shared" si="68"/>
        <v>0</v>
      </c>
      <c r="U1152" s="2">
        <f t="shared" si="69"/>
        <v>0</v>
      </c>
      <c r="V1152" s="2">
        <f t="shared" si="70"/>
        <v>0</v>
      </c>
      <c r="W1152" s="2">
        <f t="shared" si="71"/>
        <v>0</v>
      </c>
      <c r="Y1152" t="str">
        <f>IFERROR(ROUND(E1152*VLOOKUP(D1152,商品!$A$4:$B$60,2,FALSE),0),"")</f>
        <v/>
      </c>
      <c r="Z1152" t="str">
        <f>IFERROR(ROUND(G1152*VLOOKUP(F1152,商品!$A$4:$B$60,2,FALSE),0),"")</f>
        <v/>
      </c>
      <c r="AA1152" t="str">
        <f>IFERROR(ROUND(I1152*VLOOKUP(H1152,商品!$A$4:$B$60,2,FALSE),0),"")</f>
        <v/>
      </c>
      <c r="AB1152" t="str">
        <f>IFERROR(ROUND(K1152*VLOOKUP(J1152,[1]note_pop_types!$A$16:$E$16,4,FALSE),0),"")</f>
        <v/>
      </c>
      <c r="AC1152" t="str">
        <f>IFERROR(ROUND(M1152*VLOOKUP(L1152,[1]note_pop_types!$A$16:$E$16,4,FALSE),0),"")</f>
        <v/>
      </c>
      <c r="AD1152" t="str">
        <f>IFERROR(ROUND(O1152*VLOOKUP(N1152,[1]note_pop_types!$A$16:$E$16,4,FALSE),0),"")</f>
        <v/>
      </c>
      <c r="AE1152" t="str">
        <f>IFERROR(ROUND(Q1152*VLOOKUP(P1152,商品!$A$4:$B$60,2,FALSE),0),"")</f>
        <v/>
      </c>
      <c r="AF1152" t="str">
        <f>IFERROR(ROUND(S1152*VLOOKUP(R1152,商品!$A$4:$B$60,2,FALSE),0),"")</f>
        <v/>
      </c>
    </row>
    <row r="1153" spans="1:32" ht="19.05" customHeight="1" x14ac:dyDescent="0.25">
      <c r="A1153" s="15" t="s">
        <v>554</v>
      </c>
      <c r="C1153" s="15">
        <v>5</v>
      </c>
      <c r="T1153" s="2">
        <f t="shared" si="68"/>
        <v>0</v>
      </c>
      <c r="U1153" s="2">
        <f t="shared" si="69"/>
        <v>0</v>
      </c>
      <c r="V1153" s="2">
        <f t="shared" si="70"/>
        <v>0</v>
      </c>
      <c r="W1153" s="2">
        <f t="shared" si="71"/>
        <v>0</v>
      </c>
      <c r="Y1153" t="str">
        <f>IFERROR(ROUND(E1153*VLOOKUP(D1153,商品!$A$4:$B$60,2,FALSE),0),"")</f>
        <v/>
      </c>
      <c r="Z1153" t="str">
        <f>IFERROR(ROUND(G1153*VLOOKUP(F1153,商品!$A$4:$B$60,2,FALSE),0),"")</f>
        <v/>
      </c>
      <c r="AA1153" t="str">
        <f>IFERROR(ROUND(I1153*VLOOKUP(H1153,商品!$A$4:$B$60,2,FALSE),0),"")</f>
        <v/>
      </c>
      <c r="AB1153" t="str">
        <f>IFERROR(ROUND(K1153*VLOOKUP(J1153,[1]note_pop_types!$A$16:$E$16,4,FALSE),0),"")</f>
        <v/>
      </c>
      <c r="AC1153" t="str">
        <f>IFERROR(ROUND(M1153*VLOOKUP(L1153,[1]note_pop_types!$A$16:$E$16,4,FALSE),0),"")</f>
        <v/>
      </c>
      <c r="AD1153" t="str">
        <f>IFERROR(ROUND(O1153*VLOOKUP(N1153,[1]note_pop_types!$A$16:$E$16,4,FALSE),0),"")</f>
        <v/>
      </c>
      <c r="AE1153" t="str">
        <f>IFERROR(ROUND(Q1153*VLOOKUP(P1153,商品!$A$4:$B$60,2,FALSE),0),"")</f>
        <v/>
      </c>
      <c r="AF1153" t="str">
        <f>IFERROR(ROUND(S1153*VLOOKUP(R1153,商品!$A$4:$B$60,2,FALSE),0),"")</f>
        <v/>
      </c>
    </row>
    <row r="1154" spans="1:32" ht="19.05" customHeight="1" x14ac:dyDescent="0.25">
      <c r="A1154" s="16" t="s">
        <v>426</v>
      </c>
      <c r="C1154" s="16">
        <v>1</v>
      </c>
      <c r="T1154" s="2">
        <f t="shared" si="68"/>
        <v>0</v>
      </c>
      <c r="U1154" s="2">
        <f t="shared" si="69"/>
        <v>0</v>
      </c>
      <c r="V1154" s="2">
        <f t="shared" si="70"/>
        <v>0</v>
      </c>
      <c r="W1154" s="2">
        <f t="shared" si="71"/>
        <v>0</v>
      </c>
      <c r="Y1154" t="str">
        <f>IFERROR(ROUND(E1154*VLOOKUP(D1154,商品!$A$4:$B$60,2,FALSE),0),"")</f>
        <v/>
      </c>
      <c r="Z1154" t="str">
        <f>IFERROR(ROUND(G1154*VLOOKUP(F1154,商品!$A$4:$B$60,2,FALSE),0),"")</f>
        <v/>
      </c>
      <c r="AA1154" t="str">
        <f>IFERROR(ROUND(I1154*VLOOKUP(H1154,商品!$A$4:$B$60,2,FALSE),0),"")</f>
        <v/>
      </c>
      <c r="AB1154" t="str">
        <f>IFERROR(ROUND(K1154*VLOOKUP(J1154,[1]note_pop_types!$A$16:$E$16,4,FALSE),0),"")</f>
        <v/>
      </c>
      <c r="AC1154" t="str">
        <f>IFERROR(ROUND(M1154*VLOOKUP(L1154,[1]note_pop_types!$A$16:$E$16,4,FALSE),0),"")</f>
        <v/>
      </c>
      <c r="AD1154" t="str">
        <f>IFERROR(ROUND(O1154*VLOOKUP(N1154,[1]note_pop_types!$A$16:$E$16,4,FALSE),0),"")</f>
        <v/>
      </c>
      <c r="AE1154" t="str">
        <f>IFERROR(ROUND(Q1154*VLOOKUP(P1154,商品!$A$4:$B$60,2,FALSE),0),"")</f>
        <v/>
      </c>
      <c r="AF1154" t="str">
        <f>IFERROR(ROUND(S1154*VLOOKUP(R1154,商品!$A$4:$B$60,2,FALSE),0),"")</f>
        <v/>
      </c>
    </row>
    <row r="1155" spans="1:32" ht="19.05" customHeight="1" x14ac:dyDescent="0.25">
      <c r="A1155" s="16" t="s">
        <v>426</v>
      </c>
      <c r="C1155" s="16">
        <v>2</v>
      </c>
      <c r="T1155" s="2">
        <f t="shared" si="68"/>
        <v>0</v>
      </c>
      <c r="U1155" s="2">
        <f t="shared" si="69"/>
        <v>0</v>
      </c>
      <c r="V1155" s="2">
        <f t="shared" si="70"/>
        <v>0</v>
      </c>
      <c r="W1155" s="2">
        <f t="shared" si="71"/>
        <v>0</v>
      </c>
      <c r="Y1155" t="str">
        <f>IFERROR(ROUND(E1155*VLOOKUP(D1155,商品!$A$4:$B$60,2,FALSE),0),"")</f>
        <v/>
      </c>
      <c r="Z1155" t="str">
        <f>IFERROR(ROUND(G1155*VLOOKUP(F1155,商品!$A$4:$B$60,2,FALSE),0),"")</f>
        <v/>
      </c>
      <c r="AA1155" t="str">
        <f>IFERROR(ROUND(I1155*VLOOKUP(H1155,商品!$A$4:$B$60,2,FALSE),0),"")</f>
        <v/>
      </c>
      <c r="AB1155" t="str">
        <f>IFERROR(ROUND(K1155*VLOOKUP(J1155,[1]note_pop_types!$A$16:$E$16,4,FALSE),0),"")</f>
        <v/>
      </c>
      <c r="AC1155" t="str">
        <f>IFERROR(ROUND(M1155*VLOOKUP(L1155,[1]note_pop_types!$A$16:$E$16,4,FALSE),0),"")</f>
        <v/>
      </c>
      <c r="AD1155" t="str">
        <f>IFERROR(ROUND(O1155*VLOOKUP(N1155,[1]note_pop_types!$A$16:$E$16,4,FALSE),0),"")</f>
        <v/>
      </c>
      <c r="AE1155" t="str">
        <f>IFERROR(ROUND(Q1155*VLOOKUP(P1155,商品!$A$4:$B$60,2,FALSE),0),"")</f>
        <v/>
      </c>
      <c r="AF1155" t="str">
        <f>IFERROR(ROUND(S1155*VLOOKUP(R1155,商品!$A$4:$B$60,2,FALSE),0),"")</f>
        <v/>
      </c>
    </row>
    <row r="1156" spans="1:32" ht="19.05" customHeight="1" x14ac:dyDescent="0.25">
      <c r="A1156" s="16" t="s">
        <v>426</v>
      </c>
      <c r="C1156" s="16">
        <v>3</v>
      </c>
      <c r="T1156" s="2">
        <f t="shared" si="68"/>
        <v>0</v>
      </c>
      <c r="U1156" s="2">
        <f t="shared" si="69"/>
        <v>0</v>
      </c>
      <c r="V1156" s="2">
        <f t="shared" si="70"/>
        <v>0</v>
      </c>
      <c r="W1156" s="2">
        <f t="shared" si="71"/>
        <v>0</v>
      </c>
      <c r="Y1156" t="str">
        <f>IFERROR(ROUND(E1156*VLOOKUP(D1156,商品!$A$4:$B$60,2,FALSE),0),"")</f>
        <v/>
      </c>
      <c r="Z1156" t="str">
        <f>IFERROR(ROUND(G1156*VLOOKUP(F1156,商品!$A$4:$B$60,2,FALSE),0),"")</f>
        <v/>
      </c>
      <c r="AA1156" t="str">
        <f>IFERROR(ROUND(I1156*VLOOKUP(H1156,商品!$A$4:$B$60,2,FALSE),0),"")</f>
        <v/>
      </c>
      <c r="AB1156" t="str">
        <f>IFERROR(ROUND(K1156*VLOOKUP(J1156,[1]note_pop_types!$A$16:$E$16,4,FALSE),0),"")</f>
        <v/>
      </c>
      <c r="AC1156" t="str">
        <f>IFERROR(ROUND(M1156*VLOOKUP(L1156,[1]note_pop_types!$A$16:$E$16,4,FALSE),0),"")</f>
        <v/>
      </c>
      <c r="AD1156" t="str">
        <f>IFERROR(ROUND(O1156*VLOOKUP(N1156,[1]note_pop_types!$A$16:$E$16,4,FALSE),0),"")</f>
        <v/>
      </c>
      <c r="AE1156" t="str">
        <f>IFERROR(ROUND(Q1156*VLOOKUP(P1156,商品!$A$4:$B$60,2,FALSE),0),"")</f>
        <v/>
      </c>
      <c r="AF1156" t="str">
        <f>IFERROR(ROUND(S1156*VLOOKUP(R1156,商品!$A$4:$B$60,2,FALSE),0),"")</f>
        <v/>
      </c>
    </row>
    <row r="1157" spans="1:32" ht="19.05" customHeight="1" x14ac:dyDescent="0.25">
      <c r="A1157" s="16" t="s">
        <v>426</v>
      </c>
      <c r="C1157" s="16">
        <v>4</v>
      </c>
      <c r="T1157" s="2">
        <f t="shared" si="68"/>
        <v>0</v>
      </c>
      <c r="U1157" s="2">
        <f t="shared" si="69"/>
        <v>0</v>
      </c>
      <c r="V1157" s="2">
        <f t="shared" si="70"/>
        <v>0</v>
      </c>
      <c r="W1157" s="2">
        <f t="shared" si="71"/>
        <v>0</v>
      </c>
      <c r="Y1157" t="str">
        <f>IFERROR(ROUND(E1157*VLOOKUP(D1157,商品!$A$4:$B$60,2,FALSE),0),"")</f>
        <v/>
      </c>
      <c r="Z1157" t="str">
        <f>IFERROR(ROUND(G1157*VLOOKUP(F1157,商品!$A$4:$B$60,2,FALSE),0),"")</f>
        <v/>
      </c>
      <c r="AA1157" t="str">
        <f>IFERROR(ROUND(I1157*VLOOKUP(H1157,商品!$A$4:$B$60,2,FALSE),0),"")</f>
        <v/>
      </c>
      <c r="AB1157" t="str">
        <f>IFERROR(ROUND(K1157*VLOOKUP(J1157,[1]note_pop_types!$A$16:$E$16,4,FALSE),0),"")</f>
        <v/>
      </c>
      <c r="AC1157" t="str">
        <f>IFERROR(ROUND(M1157*VLOOKUP(L1157,[1]note_pop_types!$A$16:$E$16,4,FALSE),0),"")</f>
        <v/>
      </c>
      <c r="AD1157" t="str">
        <f>IFERROR(ROUND(O1157*VLOOKUP(N1157,[1]note_pop_types!$A$16:$E$16,4,FALSE),0),"")</f>
        <v/>
      </c>
      <c r="AE1157" t="str">
        <f>IFERROR(ROUND(Q1157*VLOOKUP(P1157,商品!$A$4:$B$60,2,FALSE),0),"")</f>
        <v/>
      </c>
      <c r="AF1157" t="str">
        <f>IFERROR(ROUND(S1157*VLOOKUP(R1157,商品!$A$4:$B$60,2,FALSE),0),"")</f>
        <v/>
      </c>
    </row>
    <row r="1158" spans="1:32" ht="19.05" customHeight="1" x14ac:dyDescent="0.25">
      <c r="A1158" s="16" t="s">
        <v>426</v>
      </c>
      <c r="C1158" s="16">
        <v>5</v>
      </c>
      <c r="T1158" s="2">
        <f t="shared" ref="T1158:T1207" si="72">SUM(Y1158:AA1158)</f>
        <v>0</v>
      </c>
      <c r="U1158" s="2">
        <f t="shared" ref="U1158:U1207" si="73">SUM(AB1158:AC1158)</f>
        <v>0</v>
      </c>
      <c r="V1158" s="2">
        <f t="shared" ref="V1158:V1207" si="74">SUM(AE1158:AF1158)</f>
        <v>0</v>
      </c>
      <c r="W1158" s="2">
        <f t="shared" ref="W1158:W1207" si="75">V1158-T1158-U1158</f>
        <v>0</v>
      </c>
      <c r="Y1158" t="str">
        <f>IFERROR(ROUND(E1158*VLOOKUP(D1158,商品!$A$4:$B$60,2,FALSE),0),"")</f>
        <v/>
      </c>
      <c r="Z1158" t="str">
        <f>IFERROR(ROUND(G1158*VLOOKUP(F1158,商品!$A$4:$B$60,2,FALSE),0),"")</f>
        <v/>
      </c>
      <c r="AA1158" t="str">
        <f>IFERROR(ROUND(I1158*VLOOKUP(H1158,商品!$A$4:$B$60,2,FALSE),0),"")</f>
        <v/>
      </c>
      <c r="AB1158" t="str">
        <f>IFERROR(ROUND(K1158*VLOOKUP(J1158,[1]note_pop_types!$A$16:$E$16,4,FALSE),0),"")</f>
        <v/>
      </c>
      <c r="AC1158" t="str">
        <f>IFERROR(ROUND(M1158*VLOOKUP(L1158,[1]note_pop_types!$A$16:$E$16,4,FALSE),0),"")</f>
        <v/>
      </c>
      <c r="AD1158" t="str">
        <f>IFERROR(ROUND(O1158*VLOOKUP(N1158,[1]note_pop_types!$A$16:$E$16,4,FALSE),0),"")</f>
        <v/>
      </c>
      <c r="AE1158" t="str">
        <f>IFERROR(ROUND(Q1158*VLOOKUP(P1158,商品!$A$4:$B$60,2,FALSE),0),"")</f>
        <v/>
      </c>
      <c r="AF1158" t="str">
        <f>IFERROR(ROUND(S1158*VLOOKUP(R1158,商品!$A$4:$B$60,2,FALSE),0),"")</f>
        <v/>
      </c>
    </row>
    <row r="1159" spans="1:32" ht="19.05" customHeight="1" x14ac:dyDescent="0.25">
      <c r="A1159" s="16" t="s">
        <v>426</v>
      </c>
      <c r="C1159" s="16">
        <v>6</v>
      </c>
      <c r="T1159" s="2">
        <f t="shared" si="72"/>
        <v>0</v>
      </c>
      <c r="U1159" s="2">
        <f t="shared" si="73"/>
        <v>0</v>
      </c>
      <c r="V1159" s="2">
        <f t="shared" si="74"/>
        <v>0</v>
      </c>
      <c r="W1159" s="2">
        <f t="shared" si="75"/>
        <v>0</v>
      </c>
      <c r="Y1159" t="str">
        <f>IFERROR(ROUND(E1159*VLOOKUP(D1159,商品!$A$4:$B$60,2,FALSE),0),"")</f>
        <v/>
      </c>
      <c r="Z1159" t="str">
        <f>IFERROR(ROUND(G1159*VLOOKUP(F1159,商品!$A$4:$B$60,2,FALSE),0),"")</f>
        <v/>
      </c>
      <c r="AA1159" t="str">
        <f>IFERROR(ROUND(I1159*VLOOKUP(H1159,商品!$A$4:$B$60,2,FALSE),0),"")</f>
        <v/>
      </c>
      <c r="AB1159" t="str">
        <f>IFERROR(ROUND(K1159*VLOOKUP(J1159,[1]note_pop_types!$A$16:$E$16,4,FALSE),0),"")</f>
        <v/>
      </c>
      <c r="AC1159" t="str">
        <f>IFERROR(ROUND(M1159*VLOOKUP(L1159,[1]note_pop_types!$A$16:$E$16,4,FALSE),0),"")</f>
        <v/>
      </c>
      <c r="AD1159" t="str">
        <f>IFERROR(ROUND(O1159*VLOOKUP(N1159,[1]note_pop_types!$A$16:$E$16,4,FALSE),0),"")</f>
        <v/>
      </c>
      <c r="AE1159" t="str">
        <f>IFERROR(ROUND(Q1159*VLOOKUP(P1159,商品!$A$4:$B$60,2,FALSE),0),"")</f>
        <v/>
      </c>
      <c r="AF1159" t="str">
        <f>IFERROR(ROUND(S1159*VLOOKUP(R1159,商品!$A$4:$B$60,2,FALSE),0),"")</f>
        <v/>
      </c>
    </row>
    <row r="1160" spans="1:32" ht="19.05" customHeight="1" x14ac:dyDescent="0.25">
      <c r="A1160" s="16" t="s">
        <v>426</v>
      </c>
      <c r="C1160" s="16">
        <v>7</v>
      </c>
      <c r="T1160" s="2">
        <f t="shared" si="72"/>
        <v>0</v>
      </c>
      <c r="U1160" s="2">
        <f t="shared" si="73"/>
        <v>0</v>
      </c>
      <c r="V1160" s="2">
        <f t="shared" si="74"/>
        <v>0</v>
      </c>
      <c r="W1160" s="2">
        <f t="shared" si="75"/>
        <v>0</v>
      </c>
      <c r="Y1160" t="str">
        <f>IFERROR(ROUND(E1160*VLOOKUP(D1160,商品!$A$4:$B$60,2,FALSE),0),"")</f>
        <v/>
      </c>
      <c r="Z1160" t="str">
        <f>IFERROR(ROUND(G1160*VLOOKUP(F1160,商品!$A$4:$B$60,2,FALSE),0),"")</f>
        <v/>
      </c>
      <c r="AA1160" t="str">
        <f>IFERROR(ROUND(I1160*VLOOKUP(H1160,商品!$A$4:$B$60,2,FALSE),0),"")</f>
        <v/>
      </c>
      <c r="AB1160" t="str">
        <f>IFERROR(ROUND(K1160*VLOOKUP(J1160,[1]note_pop_types!$A$16:$E$16,4,FALSE),0),"")</f>
        <v/>
      </c>
      <c r="AC1160" t="str">
        <f>IFERROR(ROUND(M1160*VLOOKUP(L1160,[1]note_pop_types!$A$16:$E$16,4,FALSE),0),"")</f>
        <v/>
      </c>
      <c r="AD1160" t="str">
        <f>IFERROR(ROUND(O1160*VLOOKUP(N1160,[1]note_pop_types!$A$16:$E$16,4,FALSE),0),"")</f>
        <v/>
      </c>
      <c r="AE1160" t="str">
        <f>IFERROR(ROUND(Q1160*VLOOKUP(P1160,商品!$A$4:$B$60,2,FALSE),0),"")</f>
        <v/>
      </c>
      <c r="AF1160" t="str">
        <f>IFERROR(ROUND(S1160*VLOOKUP(R1160,商品!$A$4:$B$60,2,FALSE),0),"")</f>
        <v/>
      </c>
    </row>
    <row r="1161" spans="1:32" ht="19.05" customHeight="1" x14ac:dyDescent="0.25">
      <c r="A1161" s="16" t="s">
        <v>426</v>
      </c>
      <c r="C1161" s="16">
        <v>8</v>
      </c>
      <c r="T1161" s="2">
        <f t="shared" si="72"/>
        <v>0</v>
      </c>
      <c r="U1161" s="2">
        <f t="shared" si="73"/>
        <v>0</v>
      </c>
      <c r="V1161" s="2">
        <f t="shared" si="74"/>
        <v>0</v>
      </c>
      <c r="W1161" s="2">
        <f t="shared" si="75"/>
        <v>0</v>
      </c>
      <c r="Y1161" t="str">
        <f>IFERROR(ROUND(E1161*VLOOKUP(D1161,商品!$A$4:$B$60,2,FALSE),0),"")</f>
        <v/>
      </c>
      <c r="Z1161" t="str">
        <f>IFERROR(ROUND(G1161*VLOOKUP(F1161,商品!$A$4:$B$60,2,FALSE),0),"")</f>
        <v/>
      </c>
      <c r="AA1161" t="str">
        <f>IFERROR(ROUND(I1161*VLOOKUP(H1161,商品!$A$4:$B$60,2,FALSE),0),"")</f>
        <v/>
      </c>
      <c r="AB1161" t="str">
        <f>IFERROR(ROUND(K1161*VLOOKUP(J1161,[1]note_pop_types!$A$16:$E$16,4,FALSE),0),"")</f>
        <v/>
      </c>
      <c r="AC1161" t="str">
        <f>IFERROR(ROUND(M1161*VLOOKUP(L1161,[1]note_pop_types!$A$16:$E$16,4,FALSE),0),"")</f>
        <v/>
      </c>
      <c r="AD1161" t="str">
        <f>IFERROR(ROUND(O1161*VLOOKUP(N1161,[1]note_pop_types!$A$16:$E$16,4,FALSE),0),"")</f>
        <v/>
      </c>
      <c r="AE1161" t="str">
        <f>IFERROR(ROUND(Q1161*VLOOKUP(P1161,商品!$A$4:$B$60,2,FALSE),0),"")</f>
        <v/>
      </c>
      <c r="AF1161" t="str">
        <f>IFERROR(ROUND(S1161*VLOOKUP(R1161,商品!$A$4:$B$60,2,FALSE),0),"")</f>
        <v/>
      </c>
    </row>
    <row r="1162" spans="1:32" ht="19.05" customHeight="1" x14ac:dyDescent="0.25">
      <c r="A1162" s="15" t="s">
        <v>428</v>
      </c>
      <c r="C1162" s="15">
        <v>1</v>
      </c>
      <c r="T1162" s="2">
        <f t="shared" si="72"/>
        <v>0</v>
      </c>
      <c r="U1162" s="2">
        <f t="shared" si="73"/>
        <v>0</v>
      </c>
      <c r="V1162" s="2">
        <f t="shared" si="74"/>
        <v>0</v>
      </c>
      <c r="W1162" s="2">
        <f t="shared" si="75"/>
        <v>0</v>
      </c>
      <c r="Y1162" t="str">
        <f>IFERROR(ROUND(E1162*VLOOKUP(D1162,商品!$A$4:$B$60,2,FALSE),0),"")</f>
        <v/>
      </c>
      <c r="Z1162" t="str">
        <f>IFERROR(ROUND(G1162*VLOOKUP(F1162,商品!$A$4:$B$60,2,FALSE),0),"")</f>
        <v/>
      </c>
      <c r="AA1162" t="str">
        <f>IFERROR(ROUND(I1162*VLOOKUP(H1162,商品!$A$4:$B$60,2,FALSE),0),"")</f>
        <v/>
      </c>
      <c r="AB1162" t="str">
        <f>IFERROR(ROUND(K1162*VLOOKUP(J1162,[1]note_pop_types!$A$16:$E$16,4,FALSE),0),"")</f>
        <v/>
      </c>
      <c r="AC1162" t="str">
        <f>IFERROR(ROUND(M1162*VLOOKUP(L1162,[1]note_pop_types!$A$16:$E$16,4,FALSE),0),"")</f>
        <v/>
      </c>
      <c r="AD1162" t="str">
        <f>IFERROR(ROUND(O1162*VLOOKUP(N1162,[1]note_pop_types!$A$16:$E$16,4,FALSE),0),"")</f>
        <v/>
      </c>
      <c r="AE1162" t="str">
        <f>IFERROR(ROUND(Q1162*VLOOKUP(P1162,商品!$A$4:$B$60,2,FALSE),0),"")</f>
        <v/>
      </c>
      <c r="AF1162" t="str">
        <f>IFERROR(ROUND(S1162*VLOOKUP(R1162,商品!$A$4:$B$60,2,FALSE),0),"")</f>
        <v/>
      </c>
    </row>
    <row r="1163" spans="1:32" ht="19.05" customHeight="1" x14ac:dyDescent="0.25">
      <c r="A1163" s="15" t="s">
        <v>428</v>
      </c>
      <c r="C1163" s="15">
        <v>2</v>
      </c>
      <c r="T1163" s="2">
        <f t="shared" si="72"/>
        <v>0</v>
      </c>
      <c r="U1163" s="2">
        <f t="shared" si="73"/>
        <v>0</v>
      </c>
      <c r="V1163" s="2">
        <f t="shared" si="74"/>
        <v>0</v>
      </c>
      <c r="W1163" s="2">
        <f t="shared" si="75"/>
        <v>0</v>
      </c>
      <c r="Y1163" t="str">
        <f>IFERROR(ROUND(E1163*VLOOKUP(D1163,商品!$A$4:$B$60,2,FALSE),0),"")</f>
        <v/>
      </c>
      <c r="Z1163" t="str">
        <f>IFERROR(ROUND(G1163*VLOOKUP(F1163,商品!$A$4:$B$60,2,FALSE),0),"")</f>
        <v/>
      </c>
      <c r="AA1163" t="str">
        <f>IFERROR(ROUND(I1163*VLOOKUP(H1163,商品!$A$4:$B$60,2,FALSE),0),"")</f>
        <v/>
      </c>
      <c r="AB1163" t="str">
        <f>IFERROR(ROUND(K1163*VLOOKUP(J1163,[1]note_pop_types!$A$16:$E$16,4,FALSE),0),"")</f>
        <v/>
      </c>
      <c r="AC1163" t="str">
        <f>IFERROR(ROUND(M1163*VLOOKUP(L1163,[1]note_pop_types!$A$16:$E$16,4,FALSE),0),"")</f>
        <v/>
      </c>
      <c r="AD1163" t="str">
        <f>IFERROR(ROUND(O1163*VLOOKUP(N1163,[1]note_pop_types!$A$16:$E$16,4,FALSE),0),"")</f>
        <v/>
      </c>
      <c r="AE1163" t="str">
        <f>IFERROR(ROUND(Q1163*VLOOKUP(P1163,商品!$A$4:$B$60,2,FALSE),0),"")</f>
        <v/>
      </c>
      <c r="AF1163" t="str">
        <f>IFERROR(ROUND(S1163*VLOOKUP(R1163,商品!$A$4:$B$60,2,FALSE),0),"")</f>
        <v/>
      </c>
    </row>
    <row r="1164" spans="1:32" ht="19.05" customHeight="1" x14ac:dyDescent="0.25">
      <c r="A1164" s="15" t="s">
        <v>428</v>
      </c>
      <c r="C1164" s="15">
        <v>3</v>
      </c>
      <c r="T1164" s="2">
        <f t="shared" si="72"/>
        <v>0</v>
      </c>
      <c r="U1164" s="2">
        <f t="shared" si="73"/>
        <v>0</v>
      </c>
      <c r="V1164" s="2">
        <f t="shared" si="74"/>
        <v>0</v>
      </c>
      <c r="W1164" s="2">
        <f t="shared" si="75"/>
        <v>0</v>
      </c>
      <c r="Y1164" t="str">
        <f>IFERROR(ROUND(E1164*VLOOKUP(D1164,商品!$A$4:$B$60,2,FALSE),0),"")</f>
        <v/>
      </c>
      <c r="Z1164" t="str">
        <f>IFERROR(ROUND(G1164*VLOOKUP(F1164,商品!$A$4:$B$60,2,FALSE),0),"")</f>
        <v/>
      </c>
      <c r="AA1164" t="str">
        <f>IFERROR(ROUND(I1164*VLOOKUP(H1164,商品!$A$4:$B$60,2,FALSE),0),"")</f>
        <v/>
      </c>
      <c r="AB1164" t="str">
        <f>IFERROR(ROUND(K1164*VLOOKUP(J1164,[1]note_pop_types!$A$16:$E$16,4,FALSE),0),"")</f>
        <v/>
      </c>
      <c r="AC1164" t="str">
        <f>IFERROR(ROUND(M1164*VLOOKUP(L1164,[1]note_pop_types!$A$16:$E$16,4,FALSE),0),"")</f>
        <v/>
      </c>
      <c r="AD1164" t="str">
        <f>IFERROR(ROUND(O1164*VLOOKUP(N1164,[1]note_pop_types!$A$16:$E$16,4,FALSE),0),"")</f>
        <v/>
      </c>
      <c r="AE1164" t="str">
        <f>IFERROR(ROUND(Q1164*VLOOKUP(P1164,商品!$A$4:$B$60,2,FALSE),0),"")</f>
        <v/>
      </c>
      <c r="AF1164" t="str">
        <f>IFERROR(ROUND(S1164*VLOOKUP(R1164,商品!$A$4:$B$60,2,FALSE),0),"")</f>
        <v/>
      </c>
    </row>
    <row r="1165" spans="1:32" ht="19.05" customHeight="1" x14ac:dyDescent="0.25">
      <c r="A1165" s="15" t="s">
        <v>428</v>
      </c>
      <c r="C1165" s="15">
        <v>4</v>
      </c>
      <c r="T1165" s="2">
        <f t="shared" si="72"/>
        <v>0</v>
      </c>
      <c r="U1165" s="2">
        <f t="shared" si="73"/>
        <v>0</v>
      </c>
      <c r="V1165" s="2">
        <f t="shared" si="74"/>
        <v>0</v>
      </c>
      <c r="W1165" s="2">
        <f t="shared" si="75"/>
        <v>0</v>
      </c>
      <c r="Y1165" t="str">
        <f>IFERROR(ROUND(E1165*VLOOKUP(D1165,商品!$A$4:$B$60,2,FALSE),0),"")</f>
        <v/>
      </c>
      <c r="Z1165" t="str">
        <f>IFERROR(ROUND(G1165*VLOOKUP(F1165,商品!$A$4:$B$60,2,FALSE),0),"")</f>
        <v/>
      </c>
      <c r="AA1165" t="str">
        <f>IFERROR(ROUND(I1165*VLOOKUP(H1165,商品!$A$4:$B$60,2,FALSE),0),"")</f>
        <v/>
      </c>
      <c r="AB1165" t="str">
        <f>IFERROR(ROUND(K1165*VLOOKUP(J1165,[1]note_pop_types!$A$16:$E$16,4,FALSE),0),"")</f>
        <v/>
      </c>
      <c r="AC1165" t="str">
        <f>IFERROR(ROUND(M1165*VLOOKUP(L1165,[1]note_pop_types!$A$16:$E$16,4,FALSE),0),"")</f>
        <v/>
      </c>
      <c r="AD1165" t="str">
        <f>IFERROR(ROUND(O1165*VLOOKUP(N1165,[1]note_pop_types!$A$16:$E$16,4,FALSE),0),"")</f>
        <v/>
      </c>
      <c r="AE1165" t="str">
        <f>IFERROR(ROUND(Q1165*VLOOKUP(P1165,商品!$A$4:$B$60,2,FALSE),0),"")</f>
        <v/>
      </c>
      <c r="AF1165" t="str">
        <f>IFERROR(ROUND(S1165*VLOOKUP(R1165,商品!$A$4:$B$60,2,FALSE),0),"")</f>
        <v/>
      </c>
    </row>
    <row r="1166" spans="1:32" ht="19.05" customHeight="1" x14ac:dyDescent="0.25">
      <c r="A1166" s="15" t="s">
        <v>428</v>
      </c>
      <c r="C1166" s="15">
        <v>5</v>
      </c>
      <c r="T1166" s="2">
        <f t="shared" si="72"/>
        <v>0</v>
      </c>
      <c r="U1166" s="2">
        <f t="shared" si="73"/>
        <v>0</v>
      </c>
      <c r="V1166" s="2">
        <f t="shared" si="74"/>
        <v>0</v>
      </c>
      <c r="W1166" s="2">
        <f t="shared" si="75"/>
        <v>0</v>
      </c>
      <c r="Y1166" t="str">
        <f>IFERROR(ROUND(E1166*VLOOKUP(D1166,商品!$A$4:$B$60,2,FALSE),0),"")</f>
        <v/>
      </c>
      <c r="Z1166" t="str">
        <f>IFERROR(ROUND(G1166*VLOOKUP(F1166,商品!$A$4:$B$60,2,FALSE),0),"")</f>
        <v/>
      </c>
      <c r="AA1166" t="str">
        <f>IFERROR(ROUND(I1166*VLOOKUP(H1166,商品!$A$4:$B$60,2,FALSE),0),"")</f>
        <v/>
      </c>
      <c r="AB1166" t="str">
        <f>IFERROR(ROUND(K1166*VLOOKUP(J1166,[1]note_pop_types!$A$16:$E$16,4,FALSE),0),"")</f>
        <v/>
      </c>
      <c r="AC1166" t="str">
        <f>IFERROR(ROUND(M1166*VLOOKUP(L1166,[1]note_pop_types!$A$16:$E$16,4,FALSE),0),"")</f>
        <v/>
      </c>
      <c r="AD1166" t="str">
        <f>IFERROR(ROUND(O1166*VLOOKUP(N1166,[1]note_pop_types!$A$16:$E$16,4,FALSE),0),"")</f>
        <v/>
      </c>
      <c r="AE1166" t="str">
        <f>IFERROR(ROUND(Q1166*VLOOKUP(P1166,商品!$A$4:$B$60,2,FALSE),0),"")</f>
        <v/>
      </c>
      <c r="AF1166" t="str">
        <f>IFERROR(ROUND(S1166*VLOOKUP(R1166,商品!$A$4:$B$60,2,FALSE),0),"")</f>
        <v/>
      </c>
    </row>
    <row r="1167" spans="1:32" ht="19.05" customHeight="1" x14ac:dyDescent="0.25">
      <c r="A1167" s="16" t="s">
        <v>555</v>
      </c>
      <c r="C1167" s="16">
        <v>1</v>
      </c>
      <c r="T1167" s="2">
        <f t="shared" si="72"/>
        <v>0</v>
      </c>
      <c r="U1167" s="2">
        <f t="shared" si="73"/>
        <v>0</v>
      </c>
      <c r="V1167" s="2">
        <f t="shared" si="74"/>
        <v>0</v>
      </c>
      <c r="W1167" s="2">
        <f t="shared" si="75"/>
        <v>0</v>
      </c>
      <c r="Y1167" t="str">
        <f>IFERROR(ROUND(E1167*VLOOKUP(D1167,商品!$A$4:$B$60,2,FALSE),0),"")</f>
        <v/>
      </c>
      <c r="Z1167" t="str">
        <f>IFERROR(ROUND(G1167*VLOOKUP(F1167,商品!$A$4:$B$60,2,FALSE),0),"")</f>
        <v/>
      </c>
      <c r="AA1167" t="str">
        <f>IFERROR(ROUND(I1167*VLOOKUP(H1167,商品!$A$4:$B$60,2,FALSE),0),"")</f>
        <v/>
      </c>
      <c r="AB1167" t="str">
        <f>IFERROR(ROUND(K1167*VLOOKUP(J1167,[1]note_pop_types!$A$16:$E$16,4,FALSE),0),"")</f>
        <v/>
      </c>
      <c r="AC1167" t="str">
        <f>IFERROR(ROUND(M1167*VLOOKUP(L1167,[1]note_pop_types!$A$16:$E$16,4,FALSE),0),"")</f>
        <v/>
      </c>
      <c r="AD1167" t="str">
        <f>IFERROR(ROUND(O1167*VLOOKUP(N1167,[1]note_pop_types!$A$16:$E$16,4,FALSE),0),"")</f>
        <v/>
      </c>
      <c r="AE1167" t="str">
        <f>IFERROR(ROUND(Q1167*VLOOKUP(P1167,商品!$A$4:$B$60,2,FALSE),0),"")</f>
        <v/>
      </c>
      <c r="AF1167" t="str">
        <f>IFERROR(ROUND(S1167*VLOOKUP(R1167,商品!$A$4:$B$60,2,FALSE),0),"")</f>
        <v/>
      </c>
    </row>
    <row r="1168" spans="1:32" ht="19.05" customHeight="1" x14ac:dyDescent="0.25">
      <c r="A1168" s="16" t="s">
        <v>555</v>
      </c>
      <c r="C1168" s="16">
        <v>2</v>
      </c>
      <c r="T1168" s="2">
        <f t="shared" si="72"/>
        <v>0</v>
      </c>
      <c r="U1168" s="2">
        <f t="shared" si="73"/>
        <v>0</v>
      </c>
      <c r="V1168" s="2">
        <f t="shared" si="74"/>
        <v>0</v>
      </c>
      <c r="W1168" s="2">
        <f t="shared" si="75"/>
        <v>0</v>
      </c>
      <c r="Y1168" t="str">
        <f>IFERROR(ROUND(E1168*VLOOKUP(D1168,商品!$A$4:$B$60,2,FALSE),0),"")</f>
        <v/>
      </c>
      <c r="Z1168" t="str">
        <f>IFERROR(ROUND(G1168*VLOOKUP(F1168,商品!$A$4:$B$60,2,FALSE),0),"")</f>
        <v/>
      </c>
      <c r="AA1168" t="str">
        <f>IFERROR(ROUND(I1168*VLOOKUP(H1168,商品!$A$4:$B$60,2,FALSE),0),"")</f>
        <v/>
      </c>
      <c r="AB1168" t="str">
        <f>IFERROR(ROUND(K1168*VLOOKUP(J1168,[1]note_pop_types!$A$16:$E$16,4,FALSE),0),"")</f>
        <v/>
      </c>
      <c r="AC1168" t="str">
        <f>IFERROR(ROUND(M1168*VLOOKUP(L1168,[1]note_pop_types!$A$16:$E$16,4,FALSE),0),"")</f>
        <v/>
      </c>
      <c r="AD1168" t="str">
        <f>IFERROR(ROUND(O1168*VLOOKUP(N1168,[1]note_pop_types!$A$16:$E$16,4,FALSE),0),"")</f>
        <v/>
      </c>
      <c r="AE1168" t="str">
        <f>IFERROR(ROUND(Q1168*VLOOKUP(P1168,商品!$A$4:$B$60,2,FALSE),0),"")</f>
        <v/>
      </c>
      <c r="AF1168" t="str">
        <f>IFERROR(ROUND(S1168*VLOOKUP(R1168,商品!$A$4:$B$60,2,FALSE),0),"")</f>
        <v/>
      </c>
    </row>
    <row r="1169" spans="1:32" ht="19.05" customHeight="1" x14ac:dyDescent="0.25">
      <c r="A1169" s="16" t="s">
        <v>555</v>
      </c>
      <c r="C1169" s="16">
        <v>3</v>
      </c>
      <c r="T1169" s="2">
        <f t="shared" si="72"/>
        <v>0</v>
      </c>
      <c r="U1169" s="2">
        <f t="shared" si="73"/>
        <v>0</v>
      </c>
      <c r="V1169" s="2">
        <f t="shared" si="74"/>
        <v>0</v>
      </c>
      <c r="W1169" s="2">
        <f t="shared" si="75"/>
        <v>0</v>
      </c>
      <c r="Y1169" t="str">
        <f>IFERROR(ROUND(E1169*VLOOKUP(D1169,商品!$A$4:$B$60,2,FALSE),0),"")</f>
        <v/>
      </c>
      <c r="Z1169" t="str">
        <f>IFERROR(ROUND(G1169*VLOOKUP(F1169,商品!$A$4:$B$60,2,FALSE),0),"")</f>
        <v/>
      </c>
      <c r="AA1169" t="str">
        <f>IFERROR(ROUND(I1169*VLOOKUP(H1169,商品!$A$4:$B$60,2,FALSE),0),"")</f>
        <v/>
      </c>
      <c r="AB1169" t="str">
        <f>IFERROR(ROUND(K1169*VLOOKUP(J1169,[1]note_pop_types!$A$16:$E$16,4,FALSE),0),"")</f>
        <v/>
      </c>
      <c r="AC1169" t="str">
        <f>IFERROR(ROUND(M1169*VLOOKUP(L1169,[1]note_pop_types!$A$16:$E$16,4,FALSE),0),"")</f>
        <v/>
      </c>
      <c r="AD1169" t="str">
        <f>IFERROR(ROUND(O1169*VLOOKUP(N1169,[1]note_pop_types!$A$16:$E$16,4,FALSE),0),"")</f>
        <v/>
      </c>
      <c r="AE1169" t="str">
        <f>IFERROR(ROUND(Q1169*VLOOKUP(P1169,商品!$A$4:$B$60,2,FALSE),0),"")</f>
        <v/>
      </c>
      <c r="AF1169" t="str">
        <f>IFERROR(ROUND(S1169*VLOOKUP(R1169,商品!$A$4:$B$60,2,FALSE),0),"")</f>
        <v/>
      </c>
    </row>
    <row r="1170" spans="1:32" ht="19.05" customHeight="1" x14ac:dyDescent="0.25">
      <c r="A1170" s="16" t="s">
        <v>555</v>
      </c>
      <c r="C1170" s="16">
        <v>4</v>
      </c>
      <c r="T1170" s="2">
        <f t="shared" si="72"/>
        <v>0</v>
      </c>
      <c r="U1170" s="2">
        <f t="shared" si="73"/>
        <v>0</v>
      </c>
      <c r="V1170" s="2">
        <f t="shared" si="74"/>
        <v>0</v>
      </c>
      <c r="W1170" s="2">
        <f t="shared" si="75"/>
        <v>0</v>
      </c>
      <c r="Y1170" t="str">
        <f>IFERROR(ROUND(E1170*VLOOKUP(D1170,商品!$A$4:$B$60,2,FALSE),0),"")</f>
        <v/>
      </c>
      <c r="Z1170" t="str">
        <f>IFERROR(ROUND(G1170*VLOOKUP(F1170,商品!$A$4:$B$60,2,FALSE),0),"")</f>
        <v/>
      </c>
      <c r="AA1170" t="str">
        <f>IFERROR(ROUND(I1170*VLOOKUP(H1170,商品!$A$4:$B$60,2,FALSE),0),"")</f>
        <v/>
      </c>
      <c r="AB1170" t="str">
        <f>IFERROR(ROUND(K1170*VLOOKUP(J1170,[1]note_pop_types!$A$16:$E$16,4,FALSE),0),"")</f>
        <v/>
      </c>
      <c r="AC1170" t="str">
        <f>IFERROR(ROUND(M1170*VLOOKUP(L1170,[1]note_pop_types!$A$16:$E$16,4,FALSE),0),"")</f>
        <v/>
      </c>
      <c r="AD1170" t="str">
        <f>IFERROR(ROUND(O1170*VLOOKUP(N1170,[1]note_pop_types!$A$16:$E$16,4,FALSE),0),"")</f>
        <v/>
      </c>
      <c r="AE1170" t="str">
        <f>IFERROR(ROUND(Q1170*VLOOKUP(P1170,商品!$A$4:$B$60,2,FALSE),0),"")</f>
        <v/>
      </c>
      <c r="AF1170" t="str">
        <f>IFERROR(ROUND(S1170*VLOOKUP(R1170,商品!$A$4:$B$60,2,FALSE),0),"")</f>
        <v/>
      </c>
    </row>
    <row r="1171" spans="1:32" ht="19.05" customHeight="1" x14ac:dyDescent="0.25">
      <c r="A1171" s="16" t="s">
        <v>555</v>
      </c>
      <c r="C1171" s="16">
        <v>5</v>
      </c>
      <c r="T1171" s="2">
        <f t="shared" si="72"/>
        <v>0</v>
      </c>
      <c r="U1171" s="2">
        <f t="shared" si="73"/>
        <v>0</v>
      </c>
      <c r="V1171" s="2">
        <f t="shared" si="74"/>
        <v>0</v>
      </c>
      <c r="W1171" s="2">
        <f t="shared" si="75"/>
        <v>0</v>
      </c>
      <c r="Y1171" t="str">
        <f>IFERROR(ROUND(E1171*VLOOKUP(D1171,商品!$A$4:$B$60,2,FALSE),0),"")</f>
        <v/>
      </c>
      <c r="Z1171" t="str">
        <f>IFERROR(ROUND(G1171*VLOOKUP(F1171,商品!$A$4:$B$60,2,FALSE),0),"")</f>
        <v/>
      </c>
      <c r="AA1171" t="str">
        <f>IFERROR(ROUND(I1171*VLOOKUP(H1171,商品!$A$4:$B$60,2,FALSE),0),"")</f>
        <v/>
      </c>
      <c r="AB1171" t="str">
        <f>IFERROR(ROUND(K1171*VLOOKUP(J1171,[1]note_pop_types!$A$16:$E$16,4,FALSE),0),"")</f>
        <v/>
      </c>
      <c r="AC1171" t="str">
        <f>IFERROR(ROUND(M1171*VLOOKUP(L1171,[1]note_pop_types!$A$16:$E$16,4,FALSE),0),"")</f>
        <v/>
      </c>
      <c r="AD1171" t="str">
        <f>IFERROR(ROUND(O1171*VLOOKUP(N1171,[1]note_pop_types!$A$16:$E$16,4,FALSE),0),"")</f>
        <v/>
      </c>
      <c r="AE1171" t="str">
        <f>IFERROR(ROUND(Q1171*VLOOKUP(P1171,商品!$A$4:$B$60,2,FALSE),0),"")</f>
        <v/>
      </c>
      <c r="AF1171" t="str">
        <f>IFERROR(ROUND(S1171*VLOOKUP(R1171,商品!$A$4:$B$60,2,FALSE),0),"")</f>
        <v/>
      </c>
    </row>
    <row r="1172" spans="1:32" ht="19.05" customHeight="1" x14ac:dyDescent="0.25">
      <c r="A1172" s="15" t="s">
        <v>555</v>
      </c>
      <c r="C1172" s="15">
        <v>1</v>
      </c>
      <c r="T1172" s="2">
        <f t="shared" si="72"/>
        <v>0</v>
      </c>
      <c r="U1172" s="2">
        <f t="shared" si="73"/>
        <v>0</v>
      </c>
      <c r="V1172" s="2">
        <f t="shared" si="74"/>
        <v>0</v>
      </c>
      <c r="W1172" s="2">
        <f t="shared" si="75"/>
        <v>0</v>
      </c>
      <c r="Y1172" t="str">
        <f>IFERROR(ROUND(E1172*VLOOKUP(D1172,商品!$A$4:$B$60,2,FALSE),0),"")</f>
        <v/>
      </c>
      <c r="Z1172" t="str">
        <f>IFERROR(ROUND(G1172*VLOOKUP(F1172,商品!$A$4:$B$60,2,FALSE),0),"")</f>
        <v/>
      </c>
      <c r="AA1172" t="str">
        <f>IFERROR(ROUND(I1172*VLOOKUP(H1172,商品!$A$4:$B$60,2,FALSE),0),"")</f>
        <v/>
      </c>
      <c r="AB1172" t="str">
        <f>IFERROR(ROUND(K1172*VLOOKUP(J1172,[1]note_pop_types!$A$16:$E$16,4,FALSE),0),"")</f>
        <v/>
      </c>
      <c r="AC1172" t="str">
        <f>IFERROR(ROUND(M1172*VLOOKUP(L1172,[1]note_pop_types!$A$16:$E$16,4,FALSE),0),"")</f>
        <v/>
      </c>
      <c r="AD1172" t="str">
        <f>IFERROR(ROUND(O1172*VLOOKUP(N1172,[1]note_pop_types!$A$16:$E$16,4,FALSE),0),"")</f>
        <v/>
      </c>
      <c r="AE1172" t="str">
        <f>IFERROR(ROUND(Q1172*VLOOKUP(P1172,商品!$A$4:$B$60,2,FALSE),0),"")</f>
        <v/>
      </c>
      <c r="AF1172" t="str">
        <f>IFERROR(ROUND(S1172*VLOOKUP(R1172,商品!$A$4:$B$60,2,FALSE),0),"")</f>
        <v/>
      </c>
    </row>
    <row r="1173" spans="1:32" ht="19.05" customHeight="1" x14ac:dyDescent="0.25">
      <c r="A1173" s="15" t="s">
        <v>555</v>
      </c>
      <c r="C1173" s="15">
        <v>2</v>
      </c>
      <c r="T1173" s="2">
        <f t="shared" si="72"/>
        <v>0</v>
      </c>
      <c r="U1173" s="2">
        <f t="shared" si="73"/>
        <v>0</v>
      </c>
      <c r="V1173" s="2">
        <f t="shared" si="74"/>
        <v>0</v>
      </c>
      <c r="W1173" s="2">
        <f t="shared" si="75"/>
        <v>0</v>
      </c>
      <c r="Y1173" t="str">
        <f>IFERROR(ROUND(E1173*VLOOKUP(D1173,商品!$A$4:$B$60,2,FALSE),0),"")</f>
        <v/>
      </c>
      <c r="Z1173" t="str">
        <f>IFERROR(ROUND(G1173*VLOOKUP(F1173,商品!$A$4:$B$60,2,FALSE),0),"")</f>
        <v/>
      </c>
      <c r="AA1173" t="str">
        <f>IFERROR(ROUND(I1173*VLOOKUP(H1173,商品!$A$4:$B$60,2,FALSE),0),"")</f>
        <v/>
      </c>
      <c r="AB1173" t="str">
        <f>IFERROR(ROUND(K1173*VLOOKUP(J1173,[1]note_pop_types!$A$16:$E$16,4,FALSE),0),"")</f>
        <v/>
      </c>
      <c r="AC1173" t="str">
        <f>IFERROR(ROUND(M1173*VLOOKUP(L1173,[1]note_pop_types!$A$16:$E$16,4,FALSE),0),"")</f>
        <v/>
      </c>
      <c r="AD1173" t="str">
        <f>IFERROR(ROUND(O1173*VLOOKUP(N1173,[1]note_pop_types!$A$16:$E$16,4,FALSE),0),"")</f>
        <v/>
      </c>
      <c r="AE1173" t="str">
        <f>IFERROR(ROUND(Q1173*VLOOKUP(P1173,商品!$A$4:$B$60,2,FALSE),0),"")</f>
        <v/>
      </c>
      <c r="AF1173" t="str">
        <f>IFERROR(ROUND(S1173*VLOOKUP(R1173,商品!$A$4:$B$60,2,FALSE),0),"")</f>
        <v/>
      </c>
    </row>
    <row r="1174" spans="1:32" ht="19.05" customHeight="1" x14ac:dyDescent="0.25">
      <c r="A1174" s="15" t="s">
        <v>555</v>
      </c>
      <c r="C1174" s="15">
        <v>3</v>
      </c>
      <c r="T1174" s="2">
        <f t="shared" si="72"/>
        <v>0</v>
      </c>
      <c r="U1174" s="2">
        <f t="shared" si="73"/>
        <v>0</v>
      </c>
      <c r="V1174" s="2">
        <f t="shared" si="74"/>
        <v>0</v>
      </c>
      <c r="W1174" s="2">
        <f t="shared" si="75"/>
        <v>0</v>
      </c>
      <c r="Y1174" t="str">
        <f>IFERROR(ROUND(E1174*VLOOKUP(D1174,商品!$A$4:$B$60,2,FALSE),0),"")</f>
        <v/>
      </c>
      <c r="Z1174" t="str">
        <f>IFERROR(ROUND(G1174*VLOOKUP(F1174,商品!$A$4:$B$60,2,FALSE),0),"")</f>
        <v/>
      </c>
      <c r="AA1174" t="str">
        <f>IFERROR(ROUND(I1174*VLOOKUP(H1174,商品!$A$4:$B$60,2,FALSE),0),"")</f>
        <v/>
      </c>
      <c r="AB1174" t="str">
        <f>IFERROR(ROUND(K1174*VLOOKUP(J1174,[1]note_pop_types!$A$16:$E$16,4,FALSE),0),"")</f>
        <v/>
      </c>
      <c r="AC1174" t="str">
        <f>IFERROR(ROUND(M1174*VLOOKUP(L1174,[1]note_pop_types!$A$16:$E$16,4,FALSE),0),"")</f>
        <v/>
      </c>
      <c r="AD1174" t="str">
        <f>IFERROR(ROUND(O1174*VLOOKUP(N1174,[1]note_pop_types!$A$16:$E$16,4,FALSE),0),"")</f>
        <v/>
      </c>
      <c r="AE1174" t="str">
        <f>IFERROR(ROUND(Q1174*VLOOKUP(P1174,商品!$A$4:$B$60,2,FALSE),0),"")</f>
        <v/>
      </c>
      <c r="AF1174" t="str">
        <f>IFERROR(ROUND(S1174*VLOOKUP(R1174,商品!$A$4:$B$60,2,FALSE),0),"")</f>
        <v/>
      </c>
    </row>
    <row r="1175" spans="1:32" ht="19.05" customHeight="1" x14ac:dyDescent="0.25">
      <c r="A1175" s="15" t="s">
        <v>555</v>
      </c>
      <c r="C1175" s="15">
        <v>4</v>
      </c>
      <c r="T1175" s="2">
        <f t="shared" si="72"/>
        <v>0</v>
      </c>
      <c r="U1175" s="2">
        <f t="shared" si="73"/>
        <v>0</v>
      </c>
      <c r="V1175" s="2">
        <f t="shared" si="74"/>
        <v>0</v>
      </c>
      <c r="W1175" s="2">
        <f t="shared" si="75"/>
        <v>0</v>
      </c>
      <c r="Y1175" t="str">
        <f>IFERROR(ROUND(E1175*VLOOKUP(D1175,商品!$A$4:$B$60,2,FALSE),0),"")</f>
        <v/>
      </c>
      <c r="Z1175" t="str">
        <f>IFERROR(ROUND(G1175*VLOOKUP(F1175,商品!$A$4:$B$60,2,FALSE),0),"")</f>
        <v/>
      </c>
      <c r="AA1175" t="str">
        <f>IFERROR(ROUND(I1175*VLOOKUP(H1175,商品!$A$4:$B$60,2,FALSE),0),"")</f>
        <v/>
      </c>
      <c r="AB1175" t="str">
        <f>IFERROR(ROUND(K1175*VLOOKUP(J1175,[1]note_pop_types!$A$16:$E$16,4,FALSE),0),"")</f>
        <v/>
      </c>
      <c r="AC1175" t="str">
        <f>IFERROR(ROUND(M1175*VLOOKUP(L1175,[1]note_pop_types!$A$16:$E$16,4,FALSE),0),"")</f>
        <v/>
      </c>
      <c r="AD1175" t="str">
        <f>IFERROR(ROUND(O1175*VLOOKUP(N1175,[1]note_pop_types!$A$16:$E$16,4,FALSE),0),"")</f>
        <v/>
      </c>
      <c r="AE1175" t="str">
        <f>IFERROR(ROUND(Q1175*VLOOKUP(P1175,商品!$A$4:$B$60,2,FALSE),0),"")</f>
        <v/>
      </c>
      <c r="AF1175" t="str">
        <f>IFERROR(ROUND(S1175*VLOOKUP(R1175,商品!$A$4:$B$60,2,FALSE),0),"")</f>
        <v/>
      </c>
    </row>
    <row r="1176" spans="1:32" ht="19.05" customHeight="1" x14ac:dyDescent="0.25">
      <c r="A1176" s="15" t="s">
        <v>555</v>
      </c>
      <c r="C1176" s="15">
        <v>5</v>
      </c>
      <c r="T1176" s="2">
        <f t="shared" si="72"/>
        <v>0</v>
      </c>
      <c r="U1176" s="2">
        <f t="shared" si="73"/>
        <v>0</v>
      </c>
      <c r="V1176" s="2">
        <f t="shared" si="74"/>
        <v>0</v>
      </c>
      <c r="W1176" s="2">
        <f t="shared" si="75"/>
        <v>0</v>
      </c>
      <c r="Y1176" t="str">
        <f>IFERROR(ROUND(E1176*VLOOKUP(D1176,商品!$A$4:$B$60,2,FALSE),0),"")</f>
        <v/>
      </c>
      <c r="Z1176" t="str">
        <f>IFERROR(ROUND(G1176*VLOOKUP(F1176,商品!$A$4:$B$60,2,FALSE),0),"")</f>
        <v/>
      </c>
      <c r="AA1176" t="str">
        <f>IFERROR(ROUND(I1176*VLOOKUP(H1176,商品!$A$4:$B$60,2,FALSE),0),"")</f>
        <v/>
      </c>
      <c r="AB1176" t="str">
        <f>IFERROR(ROUND(K1176*VLOOKUP(J1176,[1]note_pop_types!$A$16:$E$16,4,FALSE),0),"")</f>
        <v/>
      </c>
      <c r="AC1176" t="str">
        <f>IFERROR(ROUND(M1176*VLOOKUP(L1176,[1]note_pop_types!$A$16:$E$16,4,FALSE),0),"")</f>
        <v/>
      </c>
      <c r="AD1176" t="str">
        <f>IFERROR(ROUND(O1176*VLOOKUP(N1176,[1]note_pop_types!$A$16:$E$16,4,FALSE),0),"")</f>
        <v/>
      </c>
      <c r="AE1176" t="str">
        <f>IFERROR(ROUND(Q1176*VLOOKUP(P1176,商品!$A$4:$B$60,2,FALSE),0),"")</f>
        <v/>
      </c>
      <c r="AF1176" t="str">
        <f>IFERROR(ROUND(S1176*VLOOKUP(R1176,商品!$A$4:$B$60,2,FALSE),0),"")</f>
        <v/>
      </c>
    </row>
    <row r="1177" spans="1:32" ht="19.05" customHeight="1" x14ac:dyDescent="0.25">
      <c r="A1177" s="16" t="s">
        <v>431</v>
      </c>
      <c r="C1177" s="16">
        <v>1</v>
      </c>
      <c r="T1177" s="2">
        <f t="shared" si="72"/>
        <v>0</v>
      </c>
      <c r="U1177" s="2">
        <f t="shared" si="73"/>
        <v>0</v>
      </c>
      <c r="V1177" s="2">
        <f t="shared" si="74"/>
        <v>0</v>
      </c>
      <c r="W1177" s="2">
        <f t="shared" si="75"/>
        <v>0</v>
      </c>
      <c r="Y1177" t="str">
        <f>IFERROR(ROUND(E1177*VLOOKUP(D1177,商品!$A$4:$B$60,2,FALSE),0),"")</f>
        <v/>
      </c>
      <c r="Z1177" t="str">
        <f>IFERROR(ROUND(G1177*VLOOKUP(F1177,商品!$A$4:$B$60,2,FALSE),0),"")</f>
        <v/>
      </c>
      <c r="AA1177" t="str">
        <f>IFERROR(ROUND(I1177*VLOOKUP(H1177,商品!$A$4:$B$60,2,FALSE),0),"")</f>
        <v/>
      </c>
      <c r="AB1177" t="str">
        <f>IFERROR(ROUND(K1177*VLOOKUP(J1177,[1]note_pop_types!$A$16:$E$16,4,FALSE),0),"")</f>
        <v/>
      </c>
      <c r="AC1177" t="str">
        <f>IFERROR(ROUND(M1177*VLOOKUP(L1177,[1]note_pop_types!$A$16:$E$16,4,FALSE),0),"")</f>
        <v/>
      </c>
      <c r="AD1177" t="str">
        <f>IFERROR(ROUND(O1177*VLOOKUP(N1177,[1]note_pop_types!$A$16:$E$16,4,FALSE),0),"")</f>
        <v/>
      </c>
      <c r="AE1177" t="str">
        <f>IFERROR(ROUND(Q1177*VLOOKUP(P1177,商品!$A$4:$B$60,2,FALSE),0),"")</f>
        <v/>
      </c>
      <c r="AF1177" t="str">
        <f>IFERROR(ROUND(S1177*VLOOKUP(R1177,商品!$A$4:$B$60,2,FALSE),0),"")</f>
        <v/>
      </c>
    </row>
    <row r="1178" spans="1:32" ht="19.05" customHeight="1" x14ac:dyDescent="0.25">
      <c r="A1178" s="16" t="s">
        <v>431</v>
      </c>
      <c r="C1178" s="16">
        <v>2</v>
      </c>
      <c r="T1178" s="2">
        <f t="shared" si="72"/>
        <v>0</v>
      </c>
      <c r="U1178" s="2">
        <f t="shared" si="73"/>
        <v>0</v>
      </c>
      <c r="V1178" s="2">
        <f t="shared" si="74"/>
        <v>0</v>
      </c>
      <c r="W1178" s="2">
        <f t="shared" si="75"/>
        <v>0</v>
      </c>
      <c r="Y1178" t="str">
        <f>IFERROR(ROUND(E1178*VLOOKUP(D1178,商品!$A$4:$B$60,2,FALSE),0),"")</f>
        <v/>
      </c>
      <c r="Z1178" t="str">
        <f>IFERROR(ROUND(G1178*VLOOKUP(F1178,商品!$A$4:$B$60,2,FALSE),0),"")</f>
        <v/>
      </c>
      <c r="AA1178" t="str">
        <f>IFERROR(ROUND(I1178*VLOOKUP(H1178,商品!$A$4:$B$60,2,FALSE),0),"")</f>
        <v/>
      </c>
      <c r="AB1178" t="str">
        <f>IFERROR(ROUND(K1178*VLOOKUP(J1178,[1]note_pop_types!$A$16:$E$16,4,FALSE),0),"")</f>
        <v/>
      </c>
      <c r="AC1178" t="str">
        <f>IFERROR(ROUND(M1178*VLOOKUP(L1178,[1]note_pop_types!$A$16:$E$16,4,FALSE),0),"")</f>
        <v/>
      </c>
      <c r="AD1178" t="str">
        <f>IFERROR(ROUND(O1178*VLOOKUP(N1178,[1]note_pop_types!$A$16:$E$16,4,FALSE),0),"")</f>
        <v/>
      </c>
      <c r="AE1178" t="str">
        <f>IFERROR(ROUND(Q1178*VLOOKUP(P1178,商品!$A$4:$B$60,2,FALSE),0),"")</f>
        <v/>
      </c>
      <c r="AF1178" t="str">
        <f>IFERROR(ROUND(S1178*VLOOKUP(R1178,商品!$A$4:$B$60,2,FALSE),0),"")</f>
        <v/>
      </c>
    </row>
    <row r="1179" spans="1:32" ht="19.05" customHeight="1" x14ac:dyDescent="0.25">
      <c r="A1179" s="16" t="s">
        <v>431</v>
      </c>
      <c r="C1179" s="16">
        <v>3</v>
      </c>
      <c r="T1179" s="2">
        <f t="shared" si="72"/>
        <v>0</v>
      </c>
      <c r="U1179" s="2">
        <f t="shared" si="73"/>
        <v>0</v>
      </c>
      <c r="V1179" s="2">
        <f t="shared" si="74"/>
        <v>0</v>
      </c>
      <c r="W1179" s="2">
        <f t="shared" si="75"/>
        <v>0</v>
      </c>
      <c r="Y1179" t="str">
        <f>IFERROR(ROUND(E1179*VLOOKUP(D1179,商品!$A$4:$B$60,2,FALSE),0),"")</f>
        <v/>
      </c>
      <c r="Z1179" t="str">
        <f>IFERROR(ROUND(G1179*VLOOKUP(F1179,商品!$A$4:$B$60,2,FALSE),0),"")</f>
        <v/>
      </c>
      <c r="AA1179" t="str">
        <f>IFERROR(ROUND(I1179*VLOOKUP(H1179,商品!$A$4:$B$60,2,FALSE),0),"")</f>
        <v/>
      </c>
      <c r="AB1179" t="str">
        <f>IFERROR(ROUND(K1179*VLOOKUP(J1179,[1]note_pop_types!$A$16:$E$16,4,FALSE),0),"")</f>
        <v/>
      </c>
      <c r="AC1179" t="str">
        <f>IFERROR(ROUND(M1179*VLOOKUP(L1179,[1]note_pop_types!$A$16:$E$16,4,FALSE),0),"")</f>
        <v/>
      </c>
      <c r="AD1179" t="str">
        <f>IFERROR(ROUND(O1179*VLOOKUP(N1179,[1]note_pop_types!$A$16:$E$16,4,FALSE),0),"")</f>
        <v/>
      </c>
      <c r="AE1179" t="str">
        <f>IFERROR(ROUND(Q1179*VLOOKUP(P1179,商品!$A$4:$B$60,2,FALSE),0),"")</f>
        <v/>
      </c>
      <c r="AF1179" t="str">
        <f>IFERROR(ROUND(S1179*VLOOKUP(R1179,商品!$A$4:$B$60,2,FALSE),0),"")</f>
        <v/>
      </c>
    </row>
    <row r="1180" spans="1:32" ht="19.05" customHeight="1" x14ac:dyDescent="0.25">
      <c r="A1180" s="16" t="s">
        <v>431</v>
      </c>
      <c r="C1180" s="16">
        <v>4</v>
      </c>
      <c r="T1180" s="2">
        <f t="shared" si="72"/>
        <v>0</v>
      </c>
      <c r="U1180" s="2">
        <f t="shared" si="73"/>
        <v>0</v>
      </c>
      <c r="V1180" s="2">
        <f t="shared" si="74"/>
        <v>0</v>
      </c>
      <c r="W1180" s="2">
        <f t="shared" si="75"/>
        <v>0</v>
      </c>
      <c r="Y1180" t="str">
        <f>IFERROR(ROUND(E1180*VLOOKUP(D1180,商品!$A$4:$B$60,2,FALSE),0),"")</f>
        <v/>
      </c>
      <c r="Z1180" t="str">
        <f>IFERROR(ROUND(G1180*VLOOKUP(F1180,商品!$A$4:$B$60,2,FALSE),0),"")</f>
        <v/>
      </c>
      <c r="AA1180" t="str">
        <f>IFERROR(ROUND(I1180*VLOOKUP(H1180,商品!$A$4:$B$60,2,FALSE),0),"")</f>
        <v/>
      </c>
      <c r="AB1180" t="str">
        <f>IFERROR(ROUND(K1180*VLOOKUP(J1180,[1]note_pop_types!$A$16:$E$16,4,FALSE),0),"")</f>
        <v/>
      </c>
      <c r="AC1180" t="str">
        <f>IFERROR(ROUND(M1180*VLOOKUP(L1180,[1]note_pop_types!$A$16:$E$16,4,FALSE),0),"")</f>
        <v/>
      </c>
      <c r="AD1180" t="str">
        <f>IFERROR(ROUND(O1180*VLOOKUP(N1180,[1]note_pop_types!$A$16:$E$16,4,FALSE),0),"")</f>
        <v/>
      </c>
      <c r="AE1180" t="str">
        <f>IFERROR(ROUND(Q1180*VLOOKUP(P1180,商品!$A$4:$B$60,2,FALSE),0),"")</f>
        <v/>
      </c>
      <c r="AF1180" t="str">
        <f>IFERROR(ROUND(S1180*VLOOKUP(R1180,商品!$A$4:$B$60,2,FALSE),0),"")</f>
        <v/>
      </c>
    </row>
    <row r="1181" spans="1:32" ht="19.05" customHeight="1" x14ac:dyDescent="0.25">
      <c r="A1181" s="16" t="s">
        <v>431</v>
      </c>
      <c r="C1181" s="16">
        <v>5</v>
      </c>
      <c r="T1181" s="2">
        <f t="shared" si="72"/>
        <v>0</v>
      </c>
      <c r="U1181" s="2">
        <f t="shared" si="73"/>
        <v>0</v>
      </c>
      <c r="V1181" s="2">
        <f t="shared" si="74"/>
        <v>0</v>
      </c>
      <c r="W1181" s="2">
        <f t="shared" si="75"/>
        <v>0</v>
      </c>
      <c r="Y1181" t="str">
        <f>IFERROR(ROUND(E1181*VLOOKUP(D1181,商品!$A$4:$B$60,2,FALSE),0),"")</f>
        <v/>
      </c>
      <c r="Z1181" t="str">
        <f>IFERROR(ROUND(G1181*VLOOKUP(F1181,商品!$A$4:$B$60,2,FALSE),0),"")</f>
        <v/>
      </c>
      <c r="AA1181" t="str">
        <f>IFERROR(ROUND(I1181*VLOOKUP(H1181,商品!$A$4:$B$60,2,FALSE),0),"")</f>
        <v/>
      </c>
      <c r="AB1181" t="str">
        <f>IFERROR(ROUND(K1181*VLOOKUP(J1181,[1]note_pop_types!$A$16:$E$16,4,FALSE),0),"")</f>
        <v/>
      </c>
      <c r="AC1181" t="str">
        <f>IFERROR(ROUND(M1181*VLOOKUP(L1181,[1]note_pop_types!$A$16:$E$16,4,FALSE),0),"")</f>
        <v/>
      </c>
      <c r="AD1181" t="str">
        <f>IFERROR(ROUND(O1181*VLOOKUP(N1181,[1]note_pop_types!$A$16:$E$16,4,FALSE),0),"")</f>
        <v/>
      </c>
      <c r="AE1181" t="str">
        <f>IFERROR(ROUND(Q1181*VLOOKUP(P1181,商品!$A$4:$B$60,2,FALSE),0),"")</f>
        <v/>
      </c>
      <c r="AF1181" t="str">
        <f>IFERROR(ROUND(S1181*VLOOKUP(R1181,商品!$A$4:$B$60,2,FALSE),0),"")</f>
        <v/>
      </c>
    </row>
    <row r="1182" spans="1:32" ht="19.05" customHeight="1" x14ac:dyDescent="0.25">
      <c r="A1182" s="16" t="s">
        <v>431</v>
      </c>
      <c r="C1182" s="16">
        <v>6</v>
      </c>
      <c r="T1182" s="2">
        <f t="shared" si="72"/>
        <v>0</v>
      </c>
      <c r="U1182" s="2">
        <f t="shared" si="73"/>
        <v>0</v>
      </c>
      <c r="V1182" s="2">
        <f t="shared" si="74"/>
        <v>0</v>
      </c>
      <c r="W1182" s="2">
        <f t="shared" si="75"/>
        <v>0</v>
      </c>
      <c r="Y1182" t="str">
        <f>IFERROR(ROUND(E1182*VLOOKUP(D1182,商品!$A$4:$B$60,2,FALSE),0),"")</f>
        <v/>
      </c>
      <c r="Z1182" t="str">
        <f>IFERROR(ROUND(G1182*VLOOKUP(F1182,商品!$A$4:$B$60,2,FALSE),0),"")</f>
        <v/>
      </c>
      <c r="AA1182" t="str">
        <f>IFERROR(ROUND(I1182*VLOOKUP(H1182,商品!$A$4:$B$60,2,FALSE),0),"")</f>
        <v/>
      </c>
      <c r="AB1182" t="str">
        <f>IFERROR(ROUND(K1182*VLOOKUP(J1182,[1]note_pop_types!$A$16:$E$16,4,FALSE),0),"")</f>
        <v/>
      </c>
      <c r="AC1182" t="str">
        <f>IFERROR(ROUND(M1182*VLOOKUP(L1182,[1]note_pop_types!$A$16:$E$16,4,FALSE),0),"")</f>
        <v/>
      </c>
      <c r="AD1182" t="str">
        <f>IFERROR(ROUND(O1182*VLOOKUP(N1182,[1]note_pop_types!$A$16:$E$16,4,FALSE),0),"")</f>
        <v/>
      </c>
      <c r="AE1182" t="str">
        <f>IFERROR(ROUND(Q1182*VLOOKUP(P1182,商品!$A$4:$B$60,2,FALSE),0),"")</f>
        <v/>
      </c>
      <c r="AF1182" t="str">
        <f>IFERROR(ROUND(S1182*VLOOKUP(R1182,商品!$A$4:$B$60,2,FALSE),0),"")</f>
        <v/>
      </c>
    </row>
    <row r="1183" spans="1:32" ht="19.05" customHeight="1" x14ac:dyDescent="0.25">
      <c r="A1183" s="16" t="s">
        <v>431</v>
      </c>
      <c r="C1183" s="16">
        <v>7</v>
      </c>
      <c r="T1183" s="2">
        <f t="shared" si="72"/>
        <v>0</v>
      </c>
      <c r="U1183" s="2">
        <f t="shared" si="73"/>
        <v>0</v>
      </c>
      <c r="V1183" s="2">
        <f t="shared" si="74"/>
        <v>0</v>
      </c>
      <c r="W1183" s="2">
        <f t="shared" si="75"/>
        <v>0</v>
      </c>
      <c r="Y1183" t="str">
        <f>IFERROR(ROUND(E1183*VLOOKUP(D1183,商品!$A$4:$B$60,2,FALSE),0),"")</f>
        <v/>
      </c>
      <c r="Z1183" t="str">
        <f>IFERROR(ROUND(G1183*VLOOKUP(F1183,商品!$A$4:$B$60,2,FALSE),0),"")</f>
        <v/>
      </c>
      <c r="AA1183" t="str">
        <f>IFERROR(ROUND(I1183*VLOOKUP(H1183,商品!$A$4:$B$60,2,FALSE),0),"")</f>
        <v/>
      </c>
      <c r="AB1183" t="str">
        <f>IFERROR(ROUND(K1183*VLOOKUP(J1183,[1]note_pop_types!$A$16:$E$16,4,FALSE),0),"")</f>
        <v/>
      </c>
      <c r="AC1183" t="str">
        <f>IFERROR(ROUND(M1183*VLOOKUP(L1183,[1]note_pop_types!$A$16:$E$16,4,FALSE),0),"")</f>
        <v/>
      </c>
      <c r="AD1183" t="str">
        <f>IFERROR(ROUND(O1183*VLOOKUP(N1183,[1]note_pop_types!$A$16:$E$16,4,FALSE),0),"")</f>
        <v/>
      </c>
      <c r="AE1183" t="str">
        <f>IFERROR(ROUND(Q1183*VLOOKUP(P1183,商品!$A$4:$B$60,2,FALSE),0),"")</f>
        <v/>
      </c>
      <c r="AF1183" t="str">
        <f>IFERROR(ROUND(S1183*VLOOKUP(R1183,商品!$A$4:$B$60,2,FALSE),0),"")</f>
        <v/>
      </c>
    </row>
    <row r="1184" spans="1:32" ht="19.05" customHeight="1" x14ac:dyDescent="0.25">
      <c r="A1184" s="16" t="s">
        <v>431</v>
      </c>
      <c r="C1184" s="16">
        <v>8</v>
      </c>
      <c r="T1184" s="2">
        <f t="shared" si="72"/>
        <v>0</v>
      </c>
      <c r="U1184" s="2">
        <f t="shared" si="73"/>
        <v>0</v>
      </c>
      <c r="V1184" s="2">
        <f t="shared" si="74"/>
        <v>0</v>
      </c>
      <c r="W1184" s="2">
        <f t="shared" si="75"/>
        <v>0</v>
      </c>
      <c r="Y1184" t="str">
        <f>IFERROR(ROUND(E1184*VLOOKUP(D1184,商品!$A$4:$B$60,2,FALSE),0),"")</f>
        <v/>
      </c>
      <c r="Z1184" t="str">
        <f>IFERROR(ROUND(G1184*VLOOKUP(F1184,商品!$A$4:$B$60,2,FALSE),0),"")</f>
        <v/>
      </c>
      <c r="AA1184" t="str">
        <f>IFERROR(ROUND(I1184*VLOOKUP(H1184,商品!$A$4:$B$60,2,FALSE),0),"")</f>
        <v/>
      </c>
      <c r="AB1184" t="str">
        <f>IFERROR(ROUND(K1184*VLOOKUP(J1184,[1]note_pop_types!$A$16:$E$16,4,FALSE),0),"")</f>
        <v/>
      </c>
      <c r="AC1184" t="str">
        <f>IFERROR(ROUND(M1184*VLOOKUP(L1184,[1]note_pop_types!$A$16:$E$16,4,FALSE),0),"")</f>
        <v/>
      </c>
      <c r="AD1184" t="str">
        <f>IFERROR(ROUND(O1184*VLOOKUP(N1184,[1]note_pop_types!$A$16:$E$16,4,FALSE),0),"")</f>
        <v/>
      </c>
      <c r="AE1184" t="str">
        <f>IFERROR(ROUND(Q1184*VLOOKUP(P1184,商品!$A$4:$B$60,2,FALSE),0),"")</f>
        <v/>
      </c>
      <c r="AF1184" t="str">
        <f>IFERROR(ROUND(S1184*VLOOKUP(R1184,商品!$A$4:$B$60,2,FALSE),0),"")</f>
        <v/>
      </c>
    </row>
    <row r="1185" spans="1:32" ht="19.05" customHeight="1" x14ac:dyDescent="0.25">
      <c r="A1185" s="15" t="s">
        <v>433</v>
      </c>
      <c r="C1185" s="15">
        <v>1</v>
      </c>
      <c r="T1185" s="2">
        <f t="shared" si="72"/>
        <v>0</v>
      </c>
      <c r="U1185" s="2">
        <f t="shared" si="73"/>
        <v>0</v>
      </c>
      <c r="V1185" s="2">
        <f t="shared" si="74"/>
        <v>0</v>
      </c>
      <c r="W1185" s="2">
        <f t="shared" si="75"/>
        <v>0</v>
      </c>
      <c r="Y1185" t="str">
        <f>IFERROR(ROUND(E1185*VLOOKUP(D1185,商品!$A$4:$B$60,2,FALSE),0),"")</f>
        <v/>
      </c>
      <c r="Z1185" t="str">
        <f>IFERROR(ROUND(G1185*VLOOKUP(F1185,商品!$A$4:$B$60,2,FALSE),0),"")</f>
        <v/>
      </c>
      <c r="AA1185" t="str">
        <f>IFERROR(ROUND(I1185*VLOOKUP(H1185,商品!$A$4:$B$60,2,FALSE),0),"")</f>
        <v/>
      </c>
      <c r="AB1185" t="str">
        <f>IFERROR(ROUND(K1185*VLOOKUP(J1185,[1]note_pop_types!$A$16:$E$16,4,FALSE),0),"")</f>
        <v/>
      </c>
      <c r="AC1185" t="str">
        <f>IFERROR(ROUND(M1185*VLOOKUP(L1185,[1]note_pop_types!$A$16:$E$16,4,FALSE),0),"")</f>
        <v/>
      </c>
      <c r="AD1185" t="str">
        <f>IFERROR(ROUND(O1185*VLOOKUP(N1185,[1]note_pop_types!$A$16:$E$16,4,FALSE),0),"")</f>
        <v/>
      </c>
      <c r="AE1185" t="str">
        <f>IFERROR(ROUND(Q1185*VLOOKUP(P1185,商品!$A$4:$B$60,2,FALSE),0),"")</f>
        <v/>
      </c>
      <c r="AF1185" t="str">
        <f>IFERROR(ROUND(S1185*VLOOKUP(R1185,商品!$A$4:$B$60,2,FALSE),0),"")</f>
        <v/>
      </c>
    </row>
    <row r="1186" spans="1:32" ht="19.05" customHeight="1" x14ac:dyDescent="0.25">
      <c r="A1186" s="15" t="s">
        <v>433</v>
      </c>
      <c r="C1186" s="15">
        <v>2</v>
      </c>
      <c r="T1186" s="2">
        <f t="shared" si="72"/>
        <v>0</v>
      </c>
      <c r="U1186" s="2">
        <f t="shared" si="73"/>
        <v>0</v>
      </c>
      <c r="V1186" s="2">
        <f t="shared" si="74"/>
        <v>0</v>
      </c>
      <c r="W1186" s="2">
        <f t="shared" si="75"/>
        <v>0</v>
      </c>
      <c r="Y1186" t="str">
        <f>IFERROR(ROUND(E1186*VLOOKUP(D1186,商品!$A$4:$B$60,2,FALSE),0),"")</f>
        <v/>
      </c>
      <c r="Z1186" t="str">
        <f>IFERROR(ROUND(G1186*VLOOKUP(F1186,商品!$A$4:$B$60,2,FALSE),0),"")</f>
        <v/>
      </c>
      <c r="AA1186" t="str">
        <f>IFERROR(ROUND(I1186*VLOOKUP(H1186,商品!$A$4:$B$60,2,FALSE),0),"")</f>
        <v/>
      </c>
      <c r="AB1186" t="str">
        <f>IFERROR(ROUND(K1186*VLOOKUP(J1186,[1]note_pop_types!$A$16:$E$16,4,FALSE),0),"")</f>
        <v/>
      </c>
      <c r="AC1186" t="str">
        <f>IFERROR(ROUND(M1186*VLOOKUP(L1186,[1]note_pop_types!$A$16:$E$16,4,FALSE),0),"")</f>
        <v/>
      </c>
      <c r="AD1186" t="str">
        <f>IFERROR(ROUND(O1186*VLOOKUP(N1186,[1]note_pop_types!$A$16:$E$16,4,FALSE),0),"")</f>
        <v/>
      </c>
      <c r="AE1186" t="str">
        <f>IFERROR(ROUND(Q1186*VLOOKUP(P1186,商品!$A$4:$B$60,2,FALSE),0),"")</f>
        <v/>
      </c>
      <c r="AF1186" t="str">
        <f>IFERROR(ROUND(S1186*VLOOKUP(R1186,商品!$A$4:$B$60,2,FALSE),0),"")</f>
        <v/>
      </c>
    </row>
    <row r="1187" spans="1:32" ht="19.05" customHeight="1" x14ac:dyDescent="0.25">
      <c r="A1187" s="15" t="s">
        <v>433</v>
      </c>
      <c r="C1187" s="15">
        <v>3</v>
      </c>
      <c r="T1187" s="2">
        <f t="shared" si="72"/>
        <v>0</v>
      </c>
      <c r="U1187" s="2">
        <f t="shared" si="73"/>
        <v>0</v>
      </c>
      <c r="V1187" s="2">
        <f t="shared" si="74"/>
        <v>0</v>
      </c>
      <c r="W1187" s="2">
        <f t="shared" si="75"/>
        <v>0</v>
      </c>
      <c r="Y1187" t="str">
        <f>IFERROR(ROUND(E1187*VLOOKUP(D1187,商品!$A$4:$B$60,2,FALSE),0),"")</f>
        <v/>
      </c>
      <c r="Z1187" t="str">
        <f>IFERROR(ROUND(G1187*VLOOKUP(F1187,商品!$A$4:$B$60,2,FALSE),0),"")</f>
        <v/>
      </c>
      <c r="AA1187" t="str">
        <f>IFERROR(ROUND(I1187*VLOOKUP(H1187,商品!$A$4:$B$60,2,FALSE),0),"")</f>
        <v/>
      </c>
      <c r="AB1187" t="str">
        <f>IFERROR(ROUND(K1187*VLOOKUP(J1187,[1]note_pop_types!$A$16:$E$16,4,FALSE),0),"")</f>
        <v/>
      </c>
      <c r="AC1187" t="str">
        <f>IFERROR(ROUND(M1187*VLOOKUP(L1187,[1]note_pop_types!$A$16:$E$16,4,FALSE),0),"")</f>
        <v/>
      </c>
      <c r="AD1187" t="str">
        <f>IFERROR(ROUND(O1187*VLOOKUP(N1187,[1]note_pop_types!$A$16:$E$16,4,FALSE),0),"")</f>
        <v/>
      </c>
      <c r="AE1187" t="str">
        <f>IFERROR(ROUND(Q1187*VLOOKUP(P1187,商品!$A$4:$B$60,2,FALSE),0),"")</f>
        <v/>
      </c>
      <c r="AF1187" t="str">
        <f>IFERROR(ROUND(S1187*VLOOKUP(R1187,商品!$A$4:$B$60,2,FALSE),0),"")</f>
        <v/>
      </c>
    </row>
    <row r="1188" spans="1:32" ht="19.05" customHeight="1" x14ac:dyDescent="0.25">
      <c r="A1188" s="15" t="s">
        <v>433</v>
      </c>
      <c r="C1188" s="15">
        <v>4</v>
      </c>
      <c r="T1188" s="2">
        <f t="shared" si="72"/>
        <v>0</v>
      </c>
      <c r="U1188" s="2">
        <f t="shared" si="73"/>
        <v>0</v>
      </c>
      <c r="V1188" s="2">
        <f t="shared" si="74"/>
        <v>0</v>
      </c>
      <c r="W1188" s="2">
        <f t="shared" si="75"/>
        <v>0</v>
      </c>
      <c r="Y1188" t="str">
        <f>IFERROR(ROUND(E1188*VLOOKUP(D1188,商品!$A$4:$B$60,2,FALSE),0),"")</f>
        <v/>
      </c>
      <c r="Z1188" t="str">
        <f>IFERROR(ROUND(G1188*VLOOKUP(F1188,商品!$A$4:$B$60,2,FALSE),0),"")</f>
        <v/>
      </c>
      <c r="AA1188" t="str">
        <f>IFERROR(ROUND(I1188*VLOOKUP(H1188,商品!$A$4:$B$60,2,FALSE),0),"")</f>
        <v/>
      </c>
      <c r="AB1188" t="str">
        <f>IFERROR(ROUND(K1188*VLOOKUP(J1188,[1]note_pop_types!$A$16:$E$16,4,FALSE),0),"")</f>
        <v/>
      </c>
      <c r="AC1188" t="str">
        <f>IFERROR(ROUND(M1188*VLOOKUP(L1188,[1]note_pop_types!$A$16:$E$16,4,FALSE),0),"")</f>
        <v/>
      </c>
      <c r="AD1188" t="str">
        <f>IFERROR(ROUND(O1188*VLOOKUP(N1188,[1]note_pop_types!$A$16:$E$16,4,FALSE),0),"")</f>
        <v/>
      </c>
      <c r="AE1188" t="str">
        <f>IFERROR(ROUND(Q1188*VLOOKUP(P1188,商品!$A$4:$B$60,2,FALSE),0),"")</f>
        <v/>
      </c>
      <c r="AF1188" t="str">
        <f>IFERROR(ROUND(S1188*VLOOKUP(R1188,商品!$A$4:$B$60,2,FALSE),0),"")</f>
        <v/>
      </c>
    </row>
    <row r="1189" spans="1:32" ht="19.05" customHeight="1" x14ac:dyDescent="0.25">
      <c r="A1189" s="15" t="s">
        <v>433</v>
      </c>
      <c r="C1189" s="15">
        <v>5</v>
      </c>
      <c r="T1189" s="2">
        <f t="shared" si="72"/>
        <v>0</v>
      </c>
      <c r="U1189" s="2">
        <f t="shared" si="73"/>
        <v>0</v>
      </c>
      <c r="V1189" s="2">
        <f t="shared" si="74"/>
        <v>0</v>
      </c>
      <c r="W1189" s="2">
        <f t="shared" si="75"/>
        <v>0</v>
      </c>
      <c r="Y1189" t="str">
        <f>IFERROR(ROUND(E1189*VLOOKUP(D1189,商品!$A$4:$B$60,2,FALSE),0),"")</f>
        <v/>
      </c>
      <c r="Z1189" t="str">
        <f>IFERROR(ROUND(G1189*VLOOKUP(F1189,商品!$A$4:$B$60,2,FALSE),0),"")</f>
        <v/>
      </c>
      <c r="AA1189" t="str">
        <f>IFERROR(ROUND(I1189*VLOOKUP(H1189,商品!$A$4:$B$60,2,FALSE),0),"")</f>
        <v/>
      </c>
      <c r="AB1189" t="str">
        <f>IFERROR(ROUND(K1189*VLOOKUP(J1189,[1]note_pop_types!$A$16:$E$16,4,FALSE),0),"")</f>
        <v/>
      </c>
      <c r="AC1189" t="str">
        <f>IFERROR(ROUND(M1189*VLOOKUP(L1189,[1]note_pop_types!$A$16:$E$16,4,FALSE),0),"")</f>
        <v/>
      </c>
      <c r="AD1189" t="str">
        <f>IFERROR(ROUND(O1189*VLOOKUP(N1189,[1]note_pop_types!$A$16:$E$16,4,FALSE),0),"")</f>
        <v/>
      </c>
      <c r="AE1189" t="str">
        <f>IFERROR(ROUND(Q1189*VLOOKUP(P1189,商品!$A$4:$B$60,2,FALSE),0),"")</f>
        <v/>
      </c>
      <c r="AF1189" t="str">
        <f>IFERROR(ROUND(S1189*VLOOKUP(R1189,商品!$A$4:$B$60,2,FALSE),0),"")</f>
        <v/>
      </c>
    </row>
    <row r="1190" spans="1:32" ht="19.05" customHeight="1" x14ac:dyDescent="0.25">
      <c r="A1190" s="16" t="s">
        <v>556</v>
      </c>
      <c r="C1190" s="16">
        <v>1</v>
      </c>
      <c r="T1190" s="2">
        <f t="shared" si="72"/>
        <v>0</v>
      </c>
      <c r="U1190" s="2">
        <f t="shared" si="73"/>
        <v>0</v>
      </c>
      <c r="V1190" s="2">
        <f t="shared" si="74"/>
        <v>0</v>
      </c>
      <c r="W1190" s="2">
        <f t="shared" si="75"/>
        <v>0</v>
      </c>
      <c r="Y1190" t="str">
        <f>IFERROR(ROUND(E1190*VLOOKUP(D1190,商品!$A$4:$B$60,2,FALSE),0),"")</f>
        <v/>
      </c>
      <c r="Z1190" t="str">
        <f>IFERROR(ROUND(G1190*VLOOKUP(F1190,商品!$A$4:$B$60,2,FALSE),0),"")</f>
        <v/>
      </c>
      <c r="AA1190" t="str">
        <f>IFERROR(ROUND(I1190*VLOOKUP(H1190,商品!$A$4:$B$60,2,FALSE),0),"")</f>
        <v/>
      </c>
      <c r="AB1190" t="str">
        <f>IFERROR(ROUND(K1190*VLOOKUP(J1190,[1]note_pop_types!$A$16:$E$16,4,FALSE),0),"")</f>
        <v/>
      </c>
      <c r="AC1190" t="str">
        <f>IFERROR(ROUND(M1190*VLOOKUP(L1190,[1]note_pop_types!$A$16:$E$16,4,FALSE),0),"")</f>
        <v/>
      </c>
      <c r="AD1190" t="str">
        <f>IFERROR(ROUND(O1190*VLOOKUP(N1190,[1]note_pop_types!$A$16:$E$16,4,FALSE),0),"")</f>
        <v/>
      </c>
      <c r="AE1190" t="str">
        <f>IFERROR(ROUND(Q1190*VLOOKUP(P1190,商品!$A$4:$B$60,2,FALSE),0),"")</f>
        <v/>
      </c>
      <c r="AF1190" t="str">
        <f>IFERROR(ROUND(S1190*VLOOKUP(R1190,商品!$A$4:$B$60,2,FALSE),0),"")</f>
        <v/>
      </c>
    </row>
    <row r="1191" spans="1:32" ht="19.05" customHeight="1" x14ac:dyDescent="0.25">
      <c r="A1191" s="16" t="s">
        <v>556</v>
      </c>
      <c r="C1191" s="16">
        <v>2</v>
      </c>
      <c r="T1191" s="2">
        <f t="shared" si="72"/>
        <v>0</v>
      </c>
      <c r="U1191" s="2">
        <f t="shared" si="73"/>
        <v>0</v>
      </c>
      <c r="V1191" s="2">
        <f t="shared" si="74"/>
        <v>0</v>
      </c>
      <c r="W1191" s="2">
        <f t="shared" si="75"/>
        <v>0</v>
      </c>
      <c r="Y1191" t="str">
        <f>IFERROR(ROUND(E1191*VLOOKUP(D1191,商品!$A$4:$B$60,2,FALSE),0),"")</f>
        <v/>
      </c>
      <c r="Z1191" t="str">
        <f>IFERROR(ROUND(G1191*VLOOKUP(F1191,商品!$A$4:$B$60,2,FALSE),0),"")</f>
        <v/>
      </c>
      <c r="AA1191" t="str">
        <f>IFERROR(ROUND(I1191*VLOOKUP(H1191,商品!$A$4:$B$60,2,FALSE),0),"")</f>
        <v/>
      </c>
      <c r="AB1191" t="str">
        <f>IFERROR(ROUND(K1191*VLOOKUP(J1191,[1]note_pop_types!$A$16:$E$16,4,FALSE),0),"")</f>
        <v/>
      </c>
      <c r="AC1191" t="str">
        <f>IFERROR(ROUND(M1191*VLOOKUP(L1191,[1]note_pop_types!$A$16:$E$16,4,FALSE),0),"")</f>
        <v/>
      </c>
      <c r="AD1191" t="str">
        <f>IFERROR(ROUND(O1191*VLOOKUP(N1191,[1]note_pop_types!$A$16:$E$16,4,FALSE),0),"")</f>
        <v/>
      </c>
      <c r="AE1191" t="str">
        <f>IFERROR(ROUND(Q1191*VLOOKUP(P1191,商品!$A$4:$B$60,2,FALSE),0),"")</f>
        <v/>
      </c>
      <c r="AF1191" t="str">
        <f>IFERROR(ROUND(S1191*VLOOKUP(R1191,商品!$A$4:$B$60,2,FALSE),0),"")</f>
        <v/>
      </c>
    </row>
    <row r="1192" spans="1:32" ht="19.05" customHeight="1" x14ac:dyDescent="0.25">
      <c r="A1192" s="16" t="s">
        <v>556</v>
      </c>
      <c r="C1192" s="16">
        <v>3</v>
      </c>
      <c r="T1192" s="2">
        <f t="shared" si="72"/>
        <v>0</v>
      </c>
      <c r="U1192" s="2">
        <f t="shared" si="73"/>
        <v>0</v>
      </c>
      <c r="V1192" s="2">
        <f t="shared" si="74"/>
        <v>0</v>
      </c>
      <c r="W1192" s="2">
        <f t="shared" si="75"/>
        <v>0</v>
      </c>
      <c r="Y1192" t="str">
        <f>IFERROR(ROUND(E1192*VLOOKUP(D1192,商品!$A$4:$B$60,2,FALSE),0),"")</f>
        <v/>
      </c>
      <c r="Z1192" t="str">
        <f>IFERROR(ROUND(G1192*VLOOKUP(F1192,商品!$A$4:$B$60,2,FALSE),0),"")</f>
        <v/>
      </c>
      <c r="AA1192" t="str">
        <f>IFERROR(ROUND(I1192*VLOOKUP(H1192,商品!$A$4:$B$60,2,FALSE),0),"")</f>
        <v/>
      </c>
      <c r="AB1192" t="str">
        <f>IFERROR(ROUND(K1192*VLOOKUP(J1192,[1]note_pop_types!$A$16:$E$16,4,FALSE),0),"")</f>
        <v/>
      </c>
      <c r="AC1192" t="str">
        <f>IFERROR(ROUND(M1192*VLOOKUP(L1192,[1]note_pop_types!$A$16:$E$16,4,FALSE),0),"")</f>
        <v/>
      </c>
      <c r="AD1192" t="str">
        <f>IFERROR(ROUND(O1192*VLOOKUP(N1192,[1]note_pop_types!$A$16:$E$16,4,FALSE),0),"")</f>
        <v/>
      </c>
      <c r="AE1192" t="str">
        <f>IFERROR(ROUND(Q1192*VLOOKUP(P1192,商品!$A$4:$B$60,2,FALSE),0),"")</f>
        <v/>
      </c>
      <c r="AF1192" t="str">
        <f>IFERROR(ROUND(S1192*VLOOKUP(R1192,商品!$A$4:$B$60,2,FALSE),0),"")</f>
        <v/>
      </c>
    </row>
    <row r="1193" spans="1:32" ht="19.05" customHeight="1" x14ac:dyDescent="0.25">
      <c r="A1193" s="16" t="s">
        <v>556</v>
      </c>
      <c r="C1193" s="16">
        <v>4</v>
      </c>
      <c r="T1193" s="2">
        <f t="shared" si="72"/>
        <v>0</v>
      </c>
      <c r="U1193" s="2">
        <f t="shared" si="73"/>
        <v>0</v>
      </c>
      <c r="V1193" s="2">
        <f t="shared" si="74"/>
        <v>0</v>
      </c>
      <c r="W1193" s="2">
        <f t="shared" si="75"/>
        <v>0</v>
      </c>
      <c r="Y1193" t="str">
        <f>IFERROR(ROUND(E1193*VLOOKUP(D1193,商品!$A$4:$B$60,2,FALSE),0),"")</f>
        <v/>
      </c>
      <c r="Z1193" t="str">
        <f>IFERROR(ROUND(G1193*VLOOKUP(F1193,商品!$A$4:$B$60,2,FALSE),0),"")</f>
        <v/>
      </c>
      <c r="AA1193" t="str">
        <f>IFERROR(ROUND(I1193*VLOOKUP(H1193,商品!$A$4:$B$60,2,FALSE),0),"")</f>
        <v/>
      </c>
      <c r="AB1193" t="str">
        <f>IFERROR(ROUND(K1193*VLOOKUP(J1193,[1]note_pop_types!$A$16:$E$16,4,FALSE),0),"")</f>
        <v/>
      </c>
      <c r="AC1193" t="str">
        <f>IFERROR(ROUND(M1193*VLOOKUP(L1193,[1]note_pop_types!$A$16:$E$16,4,FALSE),0),"")</f>
        <v/>
      </c>
      <c r="AD1193" t="str">
        <f>IFERROR(ROUND(O1193*VLOOKUP(N1193,[1]note_pop_types!$A$16:$E$16,4,FALSE),0),"")</f>
        <v/>
      </c>
      <c r="AE1193" t="str">
        <f>IFERROR(ROUND(Q1193*VLOOKUP(P1193,商品!$A$4:$B$60,2,FALSE),0),"")</f>
        <v/>
      </c>
      <c r="AF1193" t="str">
        <f>IFERROR(ROUND(S1193*VLOOKUP(R1193,商品!$A$4:$B$60,2,FALSE),0),"")</f>
        <v/>
      </c>
    </row>
    <row r="1194" spans="1:32" ht="19.05" customHeight="1" x14ac:dyDescent="0.25">
      <c r="A1194" s="16" t="s">
        <v>556</v>
      </c>
      <c r="C1194" s="16">
        <v>5</v>
      </c>
      <c r="T1194" s="2">
        <f t="shared" si="72"/>
        <v>0</v>
      </c>
      <c r="U1194" s="2">
        <f t="shared" si="73"/>
        <v>0</v>
      </c>
      <c r="V1194" s="2">
        <f t="shared" si="74"/>
        <v>0</v>
      </c>
      <c r="W1194" s="2">
        <f t="shared" si="75"/>
        <v>0</v>
      </c>
      <c r="Y1194" t="str">
        <f>IFERROR(ROUND(E1194*VLOOKUP(D1194,商品!$A$4:$B$60,2,FALSE),0),"")</f>
        <v/>
      </c>
      <c r="Z1194" t="str">
        <f>IFERROR(ROUND(G1194*VLOOKUP(F1194,商品!$A$4:$B$60,2,FALSE),0),"")</f>
        <v/>
      </c>
      <c r="AA1194" t="str">
        <f>IFERROR(ROUND(I1194*VLOOKUP(H1194,商品!$A$4:$B$60,2,FALSE),0),"")</f>
        <v/>
      </c>
      <c r="AB1194" t="str">
        <f>IFERROR(ROUND(K1194*VLOOKUP(J1194,[1]note_pop_types!$A$16:$E$16,4,FALSE),0),"")</f>
        <v/>
      </c>
      <c r="AC1194" t="str">
        <f>IFERROR(ROUND(M1194*VLOOKUP(L1194,[1]note_pop_types!$A$16:$E$16,4,FALSE),0),"")</f>
        <v/>
      </c>
      <c r="AD1194" t="str">
        <f>IFERROR(ROUND(O1194*VLOOKUP(N1194,[1]note_pop_types!$A$16:$E$16,4,FALSE),0),"")</f>
        <v/>
      </c>
      <c r="AE1194" t="str">
        <f>IFERROR(ROUND(Q1194*VLOOKUP(P1194,商品!$A$4:$B$60,2,FALSE),0),"")</f>
        <v/>
      </c>
      <c r="AF1194" t="str">
        <f>IFERROR(ROUND(S1194*VLOOKUP(R1194,商品!$A$4:$B$60,2,FALSE),0),"")</f>
        <v/>
      </c>
    </row>
    <row r="1195" spans="1:32" ht="19.05" customHeight="1" x14ac:dyDescent="0.25">
      <c r="A1195" s="15" t="s">
        <v>556</v>
      </c>
      <c r="C1195" s="15">
        <v>1</v>
      </c>
      <c r="T1195" s="2">
        <f t="shared" si="72"/>
        <v>0</v>
      </c>
      <c r="U1195" s="2">
        <f t="shared" si="73"/>
        <v>0</v>
      </c>
      <c r="V1195" s="2">
        <f t="shared" si="74"/>
        <v>0</v>
      </c>
      <c r="W1195" s="2">
        <f t="shared" si="75"/>
        <v>0</v>
      </c>
      <c r="Y1195" t="str">
        <f>IFERROR(ROUND(E1195*VLOOKUP(D1195,商品!$A$4:$B$60,2,FALSE),0),"")</f>
        <v/>
      </c>
      <c r="Z1195" t="str">
        <f>IFERROR(ROUND(G1195*VLOOKUP(F1195,商品!$A$4:$B$60,2,FALSE),0),"")</f>
        <v/>
      </c>
      <c r="AA1195" t="str">
        <f>IFERROR(ROUND(I1195*VLOOKUP(H1195,商品!$A$4:$B$60,2,FALSE),0),"")</f>
        <v/>
      </c>
      <c r="AB1195" t="str">
        <f>IFERROR(ROUND(K1195*VLOOKUP(J1195,[1]note_pop_types!$A$16:$E$16,4,FALSE),0),"")</f>
        <v/>
      </c>
      <c r="AC1195" t="str">
        <f>IFERROR(ROUND(M1195*VLOOKUP(L1195,[1]note_pop_types!$A$16:$E$16,4,FALSE),0),"")</f>
        <v/>
      </c>
      <c r="AD1195" t="str">
        <f>IFERROR(ROUND(O1195*VLOOKUP(N1195,[1]note_pop_types!$A$16:$E$16,4,FALSE),0),"")</f>
        <v/>
      </c>
      <c r="AE1195" t="str">
        <f>IFERROR(ROUND(Q1195*VLOOKUP(P1195,商品!$A$4:$B$60,2,FALSE),0),"")</f>
        <v/>
      </c>
      <c r="AF1195" t="str">
        <f>IFERROR(ROUND(S1195*VLOOKUP(R1195,商品!$A$4:$B$60,2,FALSE),0),"")</f>
        <v/>
      </c>
    </row>
    <row r="1196" spans="1:32" ht="19.05" customHeight="1" x14ac:dyDescent="0.25">
      <c r="A1196" s="15" t="s">
        <v>556</v>
      </c>
      <c r="C1196" s="15">
        <v>2</v>
      </c>
      <c r="T1196" s="2">
        <f t="shared" si="72"/>
        <v>0</v>
      </c>
      <c r="U1196" s="2">
        <f t="shared" si="73"/>
        <v>0</v>
      </c>
      <c r="V1196" s="2">
        <f t="shared" si="74"/>
        <v>0</v>
      </c>
      <c r="W1196" s="2">
        <f t="shared" si="75"/>
        <v>0</v>
      </c>
      <c r="Y1196" t="str">
        <f>IFERROR(ROUND(E1196*VLOOKUP(D1196,商品!$A$4:$B$60,2,FALSE),0),"")</f>
        <v/>
      </c>
      <c r="Z1196" t="str">
        <f>IFERROR(ROUND(G1196*VLOOKUP(F1196,商品!$A$4:$B$60,2,FALSE),0),"")</f>
        <v/>
      </c>
      <c r="AA1196" t="str">
        <f>IFERROR(ROUND(I1196*VLOOKUP(H1196,商品!$A$4:$B$60,2,FALSE),0),"")</f>
        <v/>
      </c>
      <c r="AB1196" t="str">
        <f>IFERROR(ROUND(K1196*VLOOKUP(J1196,[1]note_pop_types!$A$16:$E$16,4,FALSE),0),"")</f>
        <v/>
      </c>
      <c r="AC1196" t="str">
        <f>IFERROR(ROUND(M1196*VLOOKUP(L1196,[1]note_pop_types!$A$16:$E$16,4,FALSE),0),"")</f>
        <v/>
      </c>
      <c r="AD1196" t="str">
        <f>IFERROR(ROUND(O1196*VLOOKUP(N1196,[1]note_pop_types!$A$16:$E$16,4,FALSE),0),"")</f>
        <v/>
      </c>
      <c r="AE1196" t="str">
        <f>IFERROR(ROUND(Q1196*VLOOKUP(P1196,商品!$A$4:$B$60,2,FALSE),0),"")</f>
        <v/>
      </c>
      <c r="AF1196" t="str">
        <f>IFERROR(ROUND(S1196*VLOOKUP(R1196,商品!$A$4:$B$60,2,FALSE),0),"")</f>
        <v/>
      </c>
    </row>
    <row r="1197" spans="1:32" ht="19.05" customHeight="1" x14ac:dyDescent="0.25">
      <c r="A1197" s="15" t="s">
        <v>556</v>
      </c>
      <c r="C1197" s="15">
        <v>3</v>
      </c>
      <c r="T1197" s="2">
        <f t="shared" si="72"/>
        <v>0</v>
      </c>
      <c r="U1197" s="2">
        <f t="shared" si="73"/>
        <v>0</v>
      </c>
      <c r="V1197" s="2">
        <f t="shared" si="74"/>
        <v>0</v>
      </c>
      <c r="W1197" s="2">
        <f t="shared" si="75"/>
        <v>0</v>
      </c>
      <c r="Y1197" t="str">
        <f>IFERROR(ROUND(E1197*VLOOKUP(D1197,商品!$A$4:$B$60,2,FALSE),0),"")</f>
        <v/>
      </c>
      <c r="Z1197" t="str">
        <f>IFERROR(ROUND(G1197*VLOOKUP(F1197,商品!$A$4:$B$60,2,FALSE),0),"")</f>
        <v/>
      </c>
      <c r="AA1197" t="str">
        <f>IFERROR(ROUND(I1197*VLOOKUP(H1197,商品!$A$4:$B$60,2,FALSE),0),"")</f>
        <v/>
      </c>
      <c r="AB1197" t="str">
        <f>IFERROR(ROUND(K1197*VLOOKUP(J1197,[1]note_pop_types!$A$16:$E$16,4,FALSE),0),"")</f>
        <v/>
      </c>
      <c r="AC1197" t="str">
        <f>IFERROR(ROUND(M1197*VLOOKUP(L1197,[1]note_pop_types!$A$16:$E$16,4,FALSE),0),"")</f>
        <v/>
      </c>
      <c r="AD1197" t="str">
        <f>IFERROR(ROUND(O1197*VLOOKUP(N1197,[1]note_pop_types!$A$16:$E$16,4,FALSE),0),"")</f>
        <v/>
      </c>
      <c r="AE1197" t="str">
        <f>IFERROR(ROUND(Q1197*VLOOKUP(P1197,商品!$A$4:$B$60,2,FALSE),0),"")</f>
        <v/>
      </c>
      <c r="AF1197" t="str">
        <f>IFERROR(ROUND(S1197*VLOOKUP(R1197,商品!$A$4:$B$60,2,FALSE),0),"")</f>
        <v/>
      </c>
    </row>
    <row r="1198" spans="1:32" ht="19.05" customHeight="1" x14ac:dyDescent="0.25">
      <c r="A1198" s="15" t="s">
        <v>556</v>
      </c>
      <c r="C1198" s="15">
        <v>4</v>
      </c>
      <c r="T1198" s="2">
        <f t="shared" si="72"/>
        <v>0</v>
      </c>
      <c r="U1198" s="2">
        <f t="shared" si="73"/>
        <v>0</v>
      </c>
      <c r="V1198" s="2">
        <f t="shared" si="74"/>
        <v>0</v>
      </c>
      <c r="W1198" s="2">
        <f t="shared" si="75"/>
        <v>0</v>
      </c>
      <c r="Y1198" t="str">
        <f>IFERROR(ROUND(E1198*VLOOKUP(D1198,商品!$A$4:$B$60,2,FALSE),0),"")</f>
        <v/>
      </c>
      <c r="Z1198" t="str">
        <f>IFERROR(ROUND(G1198*VLOOKUP(F1198,商品!$A$4:$B$60,2,FALSE),0),"")</f>
        <v/>
      </c>
      <c r="AA1198" t="str">
        <f>IFERROR(ROUND(I1198*VLOOKUP(H1198,商品!$A$4:$B$60,2,FALSE),0),"")</f>
        <v/>
      </c>
      <c r="AB1198" t="str">
        <f>IFERROR(ROUND(K1198*VLOOKUP(J1198,[1]note_pop_types!$A$16:$E$16,4,FALSE),0),"")</f>
        <v/>
      </c>
      <c r="AC1198" t="str">
        <f>IFERROR(ROUND(M1198*VLOOKUP(L1198,[1]note_pop_types!$A$16:$E$16,4,FALSE),0),"")</f>
        <v/>
      </c>
      <c r="AD1198" t="str">
        <f>IFERROR(ROUND(O1198*VLOOKUP(N1198,[1]note_pop_types!$A$16:$E$16,4,FALSE),0),"")</f>
        <v/>
      </c>
      <c r="AE1198" t="str">
        <f>IFERROR(ROUND(Q1198*VLOOKUP(P1198,商品!$A$4:$B$60,2,FALSE),0),"")</f>
        <v/>
      </c>
      <c r="AF1198" t="str">
        <f>IFERROR(ROUND(S1198*VLOOKUP(R1198,商品!$A$4:$B$60,2,FALSE),0),"")</f>
        <v/>
      </c>
    </row>
    <row r="1199" spans="1:32" ht="19.05" customHeight="1" x14ac:dyDescent="0.25">
      <c r="A1199" s="15" t="s">
        <v>556</v>
      </c>
      <c r="C1199" s="15">
        <v>5</v>
      </c>
      <c r="T1199" s="2">
        <f t="shared" si="72"/>
        <v>0</v>
      </c>
      <c r="U1199" s="2">
        <f t="shared" si="73"/>
        <v>0</v>
      </c>
      <c r="V1199" s="2">
        <f t="shared" si="74"/>
        <v>0</v>
      </c>
      <c r="W1199" s="2">
        <f t="shared" si="75"/>
        <v>0</v>
      </c>
      <c r="Y1199" t="str">
        <f>IFERROR(ROUND(E1199*VLOOKUP(D1199,商品!$A$4:$B$60,2,FALSE),0),"")</f>
        <v/>
      </c>
      <c r="Z1199" t="str">
        <f>IFERROR(ROUND(G1199*VLOOKUP(F1199,商品!$A$4:$B$60,2,FALSE),0),"")</f>
        <v/>
      </c>
      <c r="AA1199" t="str">
        <f>IFERROR(ROUND(I1199*VLOOKUP(H1199,商品!$A$4:$B$60,2,FALSE),0),"")</f>
        <v/>
      </c>
      <c r="AB1199" t="str">
        <f>IFERROR(ROUND(K1199*VLOOKUP(J1199,[1]note_pop_types!$A$16:$E$16,4,FALSE),0),"")</f>
        <v/>
      </c>
      <c r="AC1199" t="str">
        <f>IFERROR(ROUND(M1199*VLOOKUP(L1199,[1]note_pop_types!$A$16:$E$16,4,FALSE),0),"")</f>
        <v/>
      </c>
      <c r="AD1199" t="str">
        <f>IFERROR(ROUND(O1199*VLOOKUP(N1199,[1]note_pop_types!$A$16:$E$16,4,FALSE),0),"")</f>
        <v/>
      </c>
      <c r="AE1199" t="str">
        <f>IFERROR(ROUND(Q1199*VLOOKUP(P1199,商品!$A$4:$B$60,2,FALSE),0),"")</f>
        <v/>
      </c>
      <c r="AF1199" t="str">
        <f>IFERROR(ROUND(S1199*VLOOKUP(R1199,商品!$A$4:$B$60,2,FALSE),0),"")</f>
        <v/>
      </c>
    </row>
    <row r="1200" spans="1:32" ht="19.05" customHeight="1" x14ac:dyDescent="0.25">
      <c r="A1200" s="16" t="s">
        <v>436</v>
      </c>
      <c r="C1200" s="16">
        <v>1</v>
      </c>
      <c r="T1200" s="2">
        <f t="shared" si="72"/>
        <v>0</v>
      </c>
      <c r="U1200" s="2">
        <f t="shared" si="73"/>
        <v>0</v>
      </c>
      <c r="V1200" s="2">
        <f t="shared" si="74"/>
        <v>0</v>
      </c>
      <c r="W1200" s="2">
        <f t="shared" si="75"/>
        <v>0</v>
      </c>
      <c r="Y1200" t="str">
        <f>IFERROR(ROUND(E1200*VLOOKUP(D1200,商品!$A$4:$B$60,2,FALSE),0),"")</f>
        <v/>
      </c>
      <c r="Z1200" t="str">
        <f>IFERROR(ROUND(G1200*VLOOKUP(F1200,商品!$A$4:$B$60,2,FALSE),0),"")</f>
        <v/>
      </c>
      <c r="AA1200" t="str">
        <f>IFERROR(ROUND(I1200*VLOOKUP(H1200,商品!$A$4:$B$60,2,FALSE),0),"")</f>
        <v/>
      </c>
      <c r="AB1200" t="str">
        <f>IFERROR(ROUND(K1200*VLOOKUP(J1200,[1]note_pop_types!$A$16:$E$16,4,FALSE),0),"")</f>
        <v/>
      </c>
      <c r="AC1200" t="str">
        <f>IFERROR(ROUND(M1200*VLOOKUP(L1200,[1]note_pop_types!$A$16:$E$16,4,FALSE),0),"")</f>
        <v/>
      </c>
      <c r="AD1200" t="str">
        <f>IFERROR(ROUND(O1200*VLOOKUP(N1200,[1]note_pop_types!$A$16:$E$16,4,FALSE),0),"")</f>
        <v/>
      </c>
      <c r="AE1200" t="str">
        <f>IFERROR(ROUND(Q1200*VLOOKUP(P1200,商品!$A$4:$B$60,2,FALSE),0),"")</f>
        <v/>
      </c>
      <c r="AF1200" t="str">
        <f>IFERROR(ROUND(S1200*VLOOKUP(R1200,商品!$A$4:$B$60,2,FALSE),0),"")</f>
        <v/>
      </c>
    </row>
    <row r="1201" spans="1:32" ht="19.05" customHeight="1" x14ac:dyDescent="0.25">
      <c r="A1201" s="16" t="s">
        <v>436</v>
      </c>
      <c r="C1201" s="16">
        <v>2</v>
      </c>
      <c r="T1201" s="2">
        <f t="shared" si="72"/>
        <v>0</v>
      </c>
      <c r="U1201" s="2">
        <f t="shared" si="73"/>
        <v>0</v>
      </c>
      <c r="V1201" s="2">
        <f t="shared" si="74"/>
        <v>0</v>
      </c>
      <c r="W1201" s="2">
        <f t="shared" si="75"/>
        <v>0</v>
      </c>
      <c r="Y1201" t="str">
        <f>IFERROR(ROUND(E1201*VLOOKUP(D1201,商品!$A$4:$B$60,2,FALSE),0),"")</f>
        <v/>
      </c>
      <c r="Z1201" t="str">
        <f>IFERROR(ROUND(G1201*VLOOKUP(F1201,商品!$A$4:$B$60,2,FALSE),0),"")</f>
        <v/>
      </c>
      <c r="AA1201" t="str">
        <f>IFERROR(ROUND(I1201*VLOOKUP(H1201,商品!$A$4:$B$60,2,FALSE),0),"")</f>
        <v/>
      </c>
      <c r="AB1201" t="str">
        <f>IFERROR(ROUND(K1201*VLOOKUP(J1201,[1]note_pop_types!$A$16:$E$16,4,FALSE),0),"")</f>
        <v/>
      </c>
      <c r="AC1201" t="str">
        <f>IFERROR(ROUND(M1201*VLOOKUP(L1201,[1]note_pop_types!$A$16:$E$16,4,FALSE),0),"")</f>
        <v/>
      </c>
      <c r="AD1201" t="str">
        <f>IFERROR(ROUND(O1201*VLOOKUP(N1201,[1]note_pop_types!$A$16:$E$16,4,FALSE),0),"")</f>
        <v/>
      </c>
      <c r="AE1201" t="str">
        <f>IFERROR(ROUND(Q1201*VLOOKUP(P1201,商品!$A$4:$B$60,2,FALSE),0),"")</f>
        <v/>
      </c>
      <c r="AF1201" t="str">
        <f>IFERROR(ROUND(S1201*VLOOKUP(R1201,商品!$A$4:$B$60,2,FALSE),0),"")</f>
        <v/>
      </c>
    </row>
    <row r="1202" spans="1:32" ht="19.05" customHeight="1" x14ac:dyDescent="0.25">
      <c r="A1202" s="16" t="s">
        <v>436</v>
      </c>
      <c r="C1202" s="16">
        <v>3</v>
      </c>
      <c r="T1202" s="2">
        <f t="shared" si="72"/>
        <v>0</v>
      </c>
      <c r="U1202" s="2">
        <f t="shared" si="73"/>
        <v>0</v>
      </c>
      <c r="V1202" s="2">
        <f t="shared" si="74"/>
        <v>0</v>
      </c>
      <c r="W1202" s="2">
        <f t="shared" si="75"/>
        <v>0</v>
      </c>
      <c r="Y1202" t="str">
        <f>IFERROR(ROUND(E1202*VLOOKUP(D1202,商品!$A$4:$B$60,2,FALSE),0),"")</f>
        <v/>
      </c>
      <c r="Z1202" t="str">
        <f>IFERROR(ROUND(G1202*VLOOKUP(F1202,商品!$A$4:$B$60,2,FALSE),0),"")</f>
        <v/>
      </c>
      <c r="AA1202" t="str">
        <f>IFERROR(ROUND(I1202*VLOOKUP(H1202,商品!$A$4:$B$60,2,FALSE),0),"")</f>
        <v/>
      </c>
      <c r="AB1202" t="str">
        <f>IFERROR(ROUND(K1202*VLOOKUP(J1202,[1]note_pop_types!$A$16:$E$16,4,FALSE),0),"")</f>
        <v/>
      </c>
      <c r="AC1202" t="str">
        <f>IFERROR(ROUND(M1202*VLOOKUP(L1202,[1]note_pop_types!$A$16:$E$16,4,FALSE),0),"")</f>
        <v/>
      </c>
      <c r="AD1202" t="str">
        <f>IFERROR(ROUND(O1202*VLOOKUP(N1202,[1]note_pop_types!$A$16:$E$16,4,FALSE),0),"")</f>
        <v/>
      </c>
      <c r="AE1202" t="str">
        <f>IFERROR(ROUND(Q1202*VLOOKUP(P1202,商品!$A$4:$B$60,2,FALSE),0),"")</f>
        <v/>
      </c>
      <c r="AF1202" t="str">
        <f>IFERROR(ROUND(S1202*VLOOKUP(R1202,商品!$A$4:$B$60,2,FALSE),0),"")</f>
        <v/>
      </c>
    </row>
    <row r="1203" spans="1:32" ht="19.05" customHeight="1" x14ac:dyDescent="0.25">
      <c r="A1203" s="16" t="s">
        <v>436</v>
      </c>
      <c r="C1203" s="16">
        <v>4</v>
      </c>
      <c r="T1203" s="2">
        <f t="shared" si="72"/>
        <v>0</v>
      </c>
      <c r="U1203" s="2">
        <f t="shared" si="73"/>
        <v>0</v>
      </c>
      <c r="V1203" s="2">
        <f t="shared" si="74"/>
        <v>0</v>
      </c>
      <c r="W1203" s="2">
        <f t="shared" si="75"/>
        <v>0</v>
      </c>
      <c r="Y1203" t="str">
        <f>IFERROR(ROUND(E1203*VLOOKUP(D1203,商品!$A$4:$B$60,2,FALSE),0),"")</f>
        <v/>
      </c>
      <c r="Z1203" t="str">
        <f>IFERROR(ROUND(G1203*VLOOKUP(F1203,商品!$A$4:$B$60,2,FALSE),0),"")</f>
        <v/>
      </c>
      <c r="AA1203" t="str">
        <f>IFERROR(ROUND(I1203*VLOOKUP(H1203,商品!$A$4:$B$60,2,FALSE),0),"")</f>
        <v/>
      </c>
      <c r="AB1203" t="str">
        <f>IFERROR(ROUND(K1203*VLOOKUP(J1203,[1]note_pop_types!$A$16:$E$16,4,FALSE),0),"")</f>
        <v/>
      </c>
      <c r="AC1203" t="str">
        <f>IFERROR(ROUND(M1203*VLOOKUP(L1203,[1]note_pop_types!$A$16:$E$16,4,FALSE),0),"")</f>
        <v/>
      </c>
      <c r="AD1203" t="str">
        <f>IFERROR(ROUND(O1203*VLOOKUP(N1203,[1]note_pop_types!$A$16:$E$16,4,FALSE),0),"")</f>
        <v/>
      </c>
      <c r="AE1203" t="str">
        <f>IFERROR(ROUND(Q1203*VLOOKUP(P1203,商品!$A$4:$B$60,2,FALSE),0),"")</f>
        <v/>
      </c>
      <c r="AF1203" t="str">
        <f>IFERROR(ROUND(S1203*VLOOKUP(R1203,商品!$A$4:$B$60,2,FALSE),0),"")</f>
        <v/>
      </c>
    </row>
    <row r="1204" spans="1:32" ht="19.05" customHeight="1" x14ac:dyDescent="0.25">
      <c r="A1204" s="16" t="s">
        <v>436</v>
      </c>
      <c r="C1204" s="16">
        <v>5</v>
      </c>
      <c r="T1204" s="2">
        <f t="shared" si="72"/>
        <v>0</v>
      </c>
      <c r="U1204" s="2">
        <f t="shared" si="73"/>
        <v>0</v>
      </c>
      <c r="V1204" s="2">
        <f t="shared" si="74"/>
        <v>0</v>
      </c>
      <c r="W1204" s="2">
        <f t="shared" si="75"/>
        <v>0</v>
      </c>
      <c r="Y1204" t="str">
        <f>IFERROR(ROUND(E1204*VLOOKUP(D1204,商品!$A$4:$B$60,2,FALSE),0),"")</f>
        <v/>
      </c>
      <c r="Z1204" t="str">
        <f>IFERROR(ROUND(G1204*VLOOKUP(F1204,商品!$A$4:$B$60,2,FALSE),0),"")</f>
        <v/>
      </c>
      <c r="AA1204" t="str">
        <f>IFERROR(ROUND(I1204*VLOOKUP(H1204,商品!$A$4:$B$60,2,FALSE),0),"")</f>
        <v/>
      </c>
      <c r="AB1204" t="str">
        <f>IFERROR(ROUND(K1204*VLOOKUP(J1204,[1]note_pop_types!$A$16:$E$16,4,FALSE),0),"")</f>
        <v/>
      </c>
      <c r="AC1204" t="str">
        <f>IFERROR(ROUND(M1204*VLOOKUP(L1204,[1]note_pop_types!$A$16:$E$16,4,FALSE),0),"")</f>
        <v/>
      </c>
      <c r="AD1204" t="str">
        <f>IFERROR(ROUND(O1204*VLOOKUP(N1204,[1]note_pop_types!$A$16:$E$16,4,FALSE),0),"")</f>
        <v/>
      </c>
      <c r="AE1204" t="str">
        <f>IFERROR(ROUND(Q1204*VLOOKUP(P1204,商品!$A$4:$B$60,2,FALSE),0),"")</f>
        <v/>
      </c>
      <c r="AF1204" t="str">
        <f>IFERROR(ROUND(S1204*VLOOKUP(R1204,商品!$A$4:$B$60,2,FALSE),0),"")</f>
        <v/>
      </c>
    </row>
    <row r="1205" spans="1:32" ht="19.05" customHeight="1" x14ac:dyDescent="0.25">
      <c r="A1205" s="16" t="s">
        <v>436</v>
      </c>
      <c r="C1205" s="16">
        <v>6</v>
      </c>
      <c r="T1205" s="2">
        <f t="shared" si="72"/>
        <v>0</v>
      </c>
      <c r="U1205" s="2">
        <f t="shared" si="73"/>
        <v>0</v>
      </c>
      <c r="V1205" s="2">
        <f t="shared" si="74"/>
        <v>0</v>
      </c>
      <c r="W1205" s="2">
        <f t="shared" si="75"/>
        <v>0</v>
      </c>
      <c r="Y1205" t="str">
        <f>IFERROR(ROUND(E1205*VLOOKUP(D1205,商品!$A$4:$B$60,2,FALSE),0),"")</f>
        <v/>
      </c>
      <c r="Z1205" t="str">
        <f>IFERROR(ROUND(G1205*VLOOKUP(F1205,商品!$A$4:$B$60,2,FALSE),0),"")</f>
        <v/>
      </c>
      <c r="AA1205" t="str">
        <f>IFERROR(ROUND(I1205*VLOOKUP(H1205,商品!$A$4:$B$60,2,FALSE),0),"")</f>
        <v/>
      </c>
      <c r="AB1205" t="str">
        <f>IFERROR(ROUND(K1205*VLOOKUP(J1205,[1]note_pop_types!$A$16:$E$16,4,FALSE),0),"")</f>
        <v/>
      </c>
      <c r="AC1205" t="str">
        <f>IFERROR(ROUND(M1205*VLOOKUP(L1205,[1]note_pop_types!$A$16:$E$16,4,FALSE),0),"")</f>
        <v/>
      </c>
      <c r="AD1205" t="str">
        <f>IFERROR(ROUND(O1205*VLOOKUP(N1205,[1]note_pop_types!$A$16:$E$16,4,FALSE),0),"")</f>
        <v/>
      </c>
      <c r="AE1205" t="str">
        <f>IFERROR(ROUND(Q1205*VLOOKUP(P1205,商品!$A$4:$B$60,2,FALSE),0),"")</f>
        <v/>
      </c>
      <c r="AF1205" t="str">
        <f>IFERROR(ROUND(S1205*VLOOKUP(R1205,商品!$A$4:$B$60,2,FALSE),0),"")</f>
        <v/>
      </c>
    </row>
    <row r="1206" spans="1:32" ht="19.05" customHeight="1" x14ac:dyDescent="0.25">
      <c r="A1206" s="16" t="s">
        <v>436</v>
      </c>
      <c r="C1206" s="16">
        <v>7</v>
      </c>
      <c r="T1206" s="2">
        <f t="shared" si="72"/>
        <v>0</v>
      </c>
      <c r="U1206" s="2">
        <f t="shared" si="73"/>
        <v>0</v>
      </c>
      <c r="V1206" s="2">
        <f t="shared" si="74"/>
        <v>0</v>
      </c>
      <c r="W1206" s="2">
        <f t="shared" si="75"/>
        <v>0</v>
      </c>
      <c r="Y1206" t="str">
        <f>IFERROR(ROUND(E1206*VLOOKUP(D1206,商品!$A$4:$B$60,2,FALSE),0),"")</f>
        <v/>
      </c>
      <c r="Z1206" t="str">
        <f>IFERROR(ROUND(G1206*VLOOKUP(F1206,商品!$A$4:$B$60,2,FALSE),0),"")</f>
        <v/>
      </c>
      <c r="AA1206" t="str">
        <f>IFERROR(ROUND(I1206*VLOOKUP(H1206,商品!$A$4:$B$60,2,FALSE),0),"")</f>
        <v/>
      </c>
      <c r="AB1206" t="str">
        <f>IFERROR(ROUND(K1206*VLOOKUP(J1206,[1]note_pop_types!$A$16:$E$16,4,FALSE),0),"")</f>
        <v/>
      </c>
      <c r="AC1206" t="str">
        <f>IFERROR(ROUND(M1206*VLOOKUP(L1206,[1]note_pop_types!$A$16:$E$16,4,FALSE),0),"")</f>
        <v/>
      </c>
      <c r="AD1206" t="str">
        <f>IFERROR(ROUND(O1206*VLOOKUP(N1206,[1]note_pop_types!$A$16:$E$16,4,FALSE),0),"")</f>
        <v/>
      </c>
      <c r="AE1206" t="str">
        <f>IFERROR(ROUND(Q1206*VLOOKUP(P1206,商品!$A$4:$B$60,2,FALSE),0),"")</f>
        <v/>
      </c>
      <c r="AF1206" t="str">
        <f>IFERROR(ROUND(S1206*VLOOKUP(R1206,商品!$A$4:$B$60,2,FALSE),0),"")</f>
        <v/>
      </c>
    </row>
    <row r="1207" spans="1:32" ht="19.05" customHeight="1" x14ac:dyDescent="0.25">
      <c r="A1207" s="16" t="s">
        <v>436</v>
      </c>
      <c r="C1207" s="16">
        <v>8</v>
      </c>
      <c r="T1207" s="2">
        <f t="shared" si="72"/>
        <v>0</v>
      </c>
      <c r="U1207" s="2">
        <f t="shared" si="73"/>
        <v>0</v>
      </c>
      <c r="V1207" s="2">
        <f t="shared" si="74"/>
        <v>0</v>
      </c>
      <c r="W1207" s="2">
        <f t="shared" si="75"/>
        <v>0</v>
      </c>
      <c r="Y1207" t="str">
        <f>IFERROR(ROUND(E1207*VLOOKUP(D1207,商品!$A$4:$B$60,2,FALSE),0),"")</f>
        <v/>
      </c>
      <c r="Z1207" t="str">
        <f>IFERROR(ROUND(G1207*VLOOKUP(F1207,商品!$A$4:$B$60,2,FALSE),0),"")</f>
        <v/>
      </c>
      <c r="AA1207" t="str">
        <f>IFERROR(ROUND(I1207*VLOOKUP(H1207,商品!$A$4:$B$60,2,FALSE),0),"")</f>
        <v/>
      </c>
      <c r="AB1207" t="str">
        <f>IFERROR(ROUND(K1207*VLOOKUP(J1207,[1]note_pop_types!$A$16:$E$16,4,FALSE),0),"")</f>
        <v/>
      </c>
      <c r="AC1207" t="str">
        <f>IFERROR(ROUND(M1207*VLOOKUP(L1207,[1]note_pop_types!$A$16:$E$16,4,FALSE),0),"")</f>
        <v/>
      </c>
      <c r="AD1207" t="str">
        <f>IFERROR(ROUND(O1207*VLOOKUP(N1207,[1]note_pop_types!$A$16:$E$16,4,FALSE),0),"")</f>
        <v/>
      </c>
      <c r="AE1207" t="str">
        <f>IFERROR(ROUND(Q1207*VLOOKUP(P1207,商品!$A$4:$B$60,2,FALSE),0),"")</f>
        <v/>
      </c>
      <c r="AF1207" t="str">
        <f>IFERROR(ROUND(S1207*VLOOKUP(R1207,商品!$A$4:$B$60,2,FALSE),0),"")</f>
        <v/>
      </c>
    </row>
  </sheetData>
  <mergeCells count="2">
    <mergeCell ref="X1:X4"/>
    <mergeCell ref="AG1:AG4"/>
  </mergeCells>
  <phoneticPr fontId="12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E270"/>
  <sheetViews>
    <sheetView showGridLines="0" zoomScaleNormal="100" workbookViewId="0">
      <pane ySplit="3" topLeftCell="A210" activePane="bottomLeft" state="frozen"/>
      <selection pane="bottomLeft" activeCell="B219" sqref="B219"/>
    </sheetView>
  </sheetViews>
  <sheetFormatPr defaultColWidth="9" defaultRowHeight="19.95" customHeight="1" x14ac:dyDescent="0.25"/>
  <cols>
    <col min="1" max="1" width="41.88671875" customWidth="1"/>
    <col min="2" max="2" width="71.44140625" style="2" customWidth="1"/>
    <col min="3" max="3" width="16.109375" customWidth="1"/>
    <col min="4" max="4" width="41.88671875" customWidth="1"/>
    <col min="5" max="5" width="26.88671875" customWidth="1"/>
  </cols>
  <sheetData>
    <row r="1" spans="1:5" ht="19.95" customHeight="1" x14ac:dyDescent="0.25">
      <c r="B1" s="3" t="s">
        <v>60</v>
      </c>
      <c r="C1" s="4" t="s">
        <v>60</v>
      </c>
      <c r="D1" s="5" t="s">
        <v>60</v>
      </c>
    </row>
    <row r="2" spans="1:5" s="1" customFormat="1" ht="37.049999999999997" customHeight="1" x14ac:dyDescent="0.25">
      <c r="A2" s="6" t="s">
        <v>557</v>
      </c>
      <c r="B2" s="6" t="s">
        <v>558</v>
      </c>
      <c r="C2" s="6" t="s">
        <v>559</v>
      </c>
      <c r="D2" s="6"/>
      <c r="E2" s="6" t="s">
        <v>560</v>
      </c>
    </row>
    <row r="3" spans="1:5" s="1" customFormat="1" ht="37.049999999999997" customHeight="1" x14ac:dyDescent="0.25">
      <c r="A3" s="6" t="s">
        <v>561</v>
      </c>
      <c r="B3" s="6" t="s">
        <v>562</v>
      </c>
      <c r="C3" s="6"/>
      <c r="D3" s="6"/>
      <c r="E3" s="6" t="s">
        <v>563</v>
      </c>
    </row>
    <row r="4" spans="1:5" ht="19.95" customHeight="1" x14ac:dyDescent="0.25">
      <c r="A4" s="3" t="s">
        <v>485</v>
      </c>
      <c r="B4" s="4" t="s">
        <v>564</v>
      </c>
      <c r="C4" s="3" t="s">
        <v>167</v>
      </c>
      <c r="D4" s="3"/>
    </row>
    <row r="5" spans="1:5" ht="19.95" customHeight="1" x14ac:dyDescent="0.25">
      <c r="A5" s="3" t="s">
        <v>486</v>
      </c>
      <c r="B5" s="4" t="s">
        <v>565</v>
      </c>
      <c r="C5" s="3" t="s">
        <v>167</v>
      </c>
      <c r="D5" s="3"/>
    </row>
    <row r="6" spans="1:5" ht="19.95" customHeight="1" x14ac:dyDescent="0.25">
      <c r="A6" s="3" t="s">
        <v>487</v>
      </c>
      <c r="B6" s="4" t="s">
        <v>566</v>
      </c>
      <c r="C6" s="3" t="s">
        <v>167</v>
      </c>
      <c r="D6" s="3"/>
    </row>
    <row r="7" spans="1:5" ht="19.95" customHeight="1" x14ac:dyDescent="0.25">
      <c r="A7" s="3" t="s">
        <v>488</v>
      </c>
      <c r="B7" s="4" t="s">
        <v>567</v>
      </c>
      <c r="C7" s="3" t="s">
        <v>167</v>
      </c>
      <c r="D7" s="3"/>
    </row>
    <row r="8" spans="1:5" ht="19.95" customHeight="1" x14ac:dyDescent="0.25">
      <c r="A8" s="3" t="s">
        <v>489</v>
      </c>
      <c r="B8" s="4" t="s">
        <v>568</v>
      </c>
      <c r="C8" s="3" t="s">
        <v>167</v>
      </c>
      <c r="D8" s="3"/>
    </row>
    <row r="9" spans="1:5" ht="19.95" customHeight="1" x14ac:dyDescent="0.25">
      <c r="A9" s="3" t="s">
        <v>490</v>
      </c>
      <c r="B9" s="4" t="s">
        <v>569</v>
      </c>
      <c r="C9" s="3" t="s">
        <v>167</v>
      </c>
      <c r="D9" s="3"/>
    </row>
    <row r="10" spans="1:5" ht="19.95" customHeight="1" x14ac:dyDescent="0.25">
      <c r="A10" s="3" t="s">
        <v>491</v>
      </c>
      <c r="B10" s="4" t="s">
        <v>570</v>
      </c>
      <c r="C10" s="3" t="s">
        <v>167</v>
      </c>
      <c r="D10" s="3"/>
    </row>
    <row r="11" spans="1:5" ht="19.95" customHeight="1" x14ac:dyDescent="0.25">
      <c r="A11" s="3" t="s">
        <v>492</v>
      </c>
      <c r="B11" s="4" t="s">
        <v>571</v>
      </c>
      <c r="C11" s="3" t="s">
        <v>167</v>
      </c>
      <c r="D11" s="3"/>
    </row>
    <row r="12" spans="1:5" ht="19.95" customHeight="1" x14ac:dyDescent="0.25">
      <c r="A12" s="3" t="s">
        <v>572</v>
      </c>
      <c r="B12" s="4" t="s">
        <v>573</v>
      </c>
      <c r="C12" s="3" t="s">
        <v>167</v>
      </c>
      <c r="D12" s="3"/>
    </row>
    <row r="13" spans="1:5" ht="19.95" customHeight="1" x14ac:dyDescent="0.25">
      <c r="A13" s="7" t="s">
        <v>574</v>
      </c>
      <c r="B13" s="8" t="s">
        <v>575</v>
      </c>
      <c r="C13" s="7" t="s">
        <v>167</v>
      </c>
      <c r="D13" s="7"/>
    </row>
    <row r="14" spans="1:5" ht="19.95" customHeight="1" x14ac:dyDescent="0.25">
      <c r="A14" s="3" t="s">
        <v>576</v>
      </c>
      <c r="B14" s="4" t="s">
        <v>577</v>
      </c>
      <c r="C14" s="3" t="s">
        <v>167</v>
      </c>
      <c r="D14" s="3"/>
    </row>
    <row r="15" spans="1:5" ht="19.95" customHeight="1" x14ac:dyDescent="0.25">
      <c r="A15" s="3" t="s">
        <v>578</v>
      </c>
      <c r="B15" s="4" t="s">
        <v>579</v>
      </c>
      <c r="C15" s="3" t="s">
        <v>167</v>
      </c>
      <c r="D15" s="3"/>
    </row>
    <row r="16" spans="1:5" ht="19.95" customHeight="1" x14ac:dyDescent="0.25">
      <c r="A16" s="3" t="s">
        <v>580</v>
      </c>
      <c r="B16" s="4" t="s">
        <v>581</v>
      </c>
      <c r="C16" s="3" t="s">
        <v>167</v>
      </c>
      <c r="D16" s="3"/>
    </row>
    <row r="17" spans="1:4" ht="19.95" customHeight="1" x14ac:dyDescent="0.25">
      <c r="A17" s="3" t="s">
        <v>582</v>
      </c>
      <c r="B17" s="4" t="s">
        <v>583</v>
      </c>
      <c r="C17" s="3" t="s">
        <v>167</v>
      </c>
      <c r="D17" s="3"/>
    </row>
    <row r="18" spans="1:4" ht="19.95" customHeight="1" x14ac:dyDescent="0.25">
      <c r="A18" s="3" t="s">
        <v>584</v>
      </c>
      <c r="B18" s="4" t="s">
        <v>585</v>
      </c>
      <c r="C18" s="3" t="s">
        <v>167</v>
      </c>
      <c r="D18" s="3"/>
    </row>
    <row r="19" spans="1:4" ht="19.95" customHeight="1" x14ac:dyDescent="0.25">
      <c r="A19" s="3" t="s">
        <v>586</v>
      </c>
      <c r="B19" s="4" t="s">
        <v>587</v>
      </c>
      <c r="C19" s="3" t="s">
        <v>167</v>
      </c>
      <c r="D19" s="3"/>
    </row>
    <row r="20" spans="1:4" ht="19.95" customHeight="1" x14ac:dyDescent="0.25">
      <c r="A20" s="3" t="s">
        <v>588</v>
      </c>
      <c r="B20" s="4" t="s">
        <v>589</v>
      </c>
      <c r="C20" s="3" t="s">
        <v>167</v>
      </c>
      <c r="D20" s="3"/>
    </row>
    <row r="21" spans="1:4" ht="19.95" customHeight="1" x14ac:dyDescent="0.25">
      <c r="A21" s="3" t="s">
        <v>590</v>
      </c>
      <c r="B21" s="4" t="s">
        <v>591</v>
      </c>
      <c r="C21" s="3" t="s">
        <v>167</v>
      </c>
      <c r="D21" s="3"/>
    </row>
    <row r="22" spans="1:4" ht="19.95" customHeight="1" x14ac:dyDescent="0.25">
      <c r="A22" s="3" t="s">
        <v>592</v>
      </c>
      <c r="B22" s="4" t="s">
        <v>593</v>
      </c>
      <c r="C22" s="3" t="s">
        <v>167</v>
      </c>
      <c r="D22" s="3"/>
    </row>
    <row r="23" spans="1:4" ht="19.95" customHeight="1" x14ac:dyDescent="0.25">
      <c r="A23" s="3" t="s">
        <v>594</v>
      </c>
      <c r="B23" s="4" t="s">
        <v>595</v>
      </c>
      <c r="C23" s="3" t="s">
        <v>167</v>
      </c>
      <c r="D23" s="3"/>
    </row>
    <row r="24" spans="1:4" ht="19.95" customHeight="1" x14ac:dyDescent="0.25">
      <c r="A24" s="3" t="s">
        <v>596</v>
      </c>
      <c r="B24" s="4" t="s">
        <v>597</v>
      </c>
      <c r="C24" s="3" t="s">
        <v>167</v>
      </c>
      <c r="D24" s="3"/>
    </row>
    <row r="25" spans="1:4" ht="19.95" customHeight="1" x14ac:dyDescent="0.25">
      <c r="A25" s="3" t="s">
        <v>598</v>
      </c>
      <c r="B25" s="4" t="s">
        <v>599</v>
      </c>
      <c r="C25" s="3" t="s">
        <v>167</v>
      </c>
      <c r="D25" s="3"/>
    </row>
    <row r="26" spans="1:4" ht="19.95" customHeight="1" x14ac:dyDescent="0.25">
      <c r="A26" s="3" t="s">
        <v>600</v>
      </c>
      <c r="B26" s="4" t="s">
        <v>601</v>
      </c>
      <c r="C26" s="3" t="s">
        <v>167</v>
      </c>
      <c r="D26" s="3"/>
    </row>
    <row r="27" spans="1:4" ht="19.95" customHeight="1" x14ac:dyDescent="0.25">
      <c r="A27" s="3" t="s">
        <v>602</v>
      </c>
      <c r="B27" s="4" t="s">
        <v>603</v>
      </c>
      <c r="C27" s="3" t="s">
        <v>167</v>
      </c>
      <c r="D27" s="3"/>
    </row>
    <row r="28" spans="1:4" ht="19.95" customHeight="1" x14ac:dyDescent="0.25">
      <c r="A28" s="3" t="s">
        <v>604</v>
      </c>
      <c r="B28" s="4" t="s">
        <v>605</v>
      </c>
      <c r="C28" s="3" t="s">
        <v>167</v>
      </c>
      <c r="D28" s="3"/>
    </row>
    <row r="29" spans="1:4" ht="19.95" customHeight="1" x14ac:dyDescent="0.25">
      <c r="A29" s="3" t="s">
        <v>606</v>
      </c>
      <c r="B29" s="4" t="s">
        <v>607</v>
      </c>
      <c r="C29" s="3" t="s">
        <v>167</v>
      </c>
      <c r="D29" s="3"/>
    </row>
    <row r="30" spans="1:4" ht="19.95" customHeight="1" x14ac:dyDescent="0.25">
      <c r="A30" s="3" t="s">
        <v>608</v>
      </c>
      <c r="B30" s="4" t="s">
        <v>609</v>
      </c>
      <c r="C30" s="3" t="s">
        <v>167</v>
      </c>
      <c r="D30" s="3"/>
    </row>
    <row r="31" spans="1:4" ht="19.95" customHeight="1" x14ac:dyDescent="0.25">
      <c r="A31" s="3" t="s">
        <v>610</v>
      </c>
      <c r="B31" s="4" t="s">
        <v>611</v>
      </c>
      <c r="C31" s="3" t="s">
        <v>167</v>
      </c>
      <c r="D31" s="3"/>
    </row>
    <row r="32" spans="1:4" ht="19.95" customHeight="1" x14ac:dyDescent="0.25">
      <c r="A32" s="3" t="s">
        <v>612</v>
      </c>
      <c r="B32" s="4" t="s">
        <v>613</v>
      </c>
      <c r="C32" s="3" t="s">
        <v>167</v>
      </c>
      <c r="D32" s="3"/>
    </row>
    <row r="33" spans="1:4" ht="19.95" customHeight="1" x14ac:dyDescent="0.25">
      <c r="A33" s="3" t="s">
        <v>614</v>
      </c>
      <c r="B33" s="4" t="s">
        <v>615</v>
      </c>
      <c r="C33" s="3" t="s">
        <v>167</v>
      </c>
      <c r="D33" s="3"/>
    </row>
    <row r="34" spans="1:4" ht="19.95" customHeight="1" x14ac:dyDescent="0.25">
      <c r="A34" s="3" t="s">
        <v>616</v>
      </c>
      <c r="B34" s="4" t="s">
        <v>617</v>
      </c>
      <c r="C34" s="3" t="s">
        <v>167</v>
      </c>
      <c r="D34" s="3"/>
    </row>
    <row r="35" spans="1:4" ht="19.95" customHeight="1" x14ac:dyDescent="0.25">
      <c r="A35" s="3" t="s">
        <v>618</v>
      </c>
      <c r="B35" s="4" t="s">
        <v>619</v>
      </c>
      <c r="C35" s="3" t="s">
        <v>167</v>
      </c>
      <c r="D35" s="3"/>
    </row>
    <row r="36" spans="1:4" ht="19.95" customHeight="1" x14ac:dyDescent="0.25">
      <c r="A36" s="3" t="s">
        <v>620</v>
      </c>
      <c r="B36" s="4" t="s">
        <v>621</v>
      </c>
      <c r="C36" s="3" t="s">
        <v>167</v>
      </c>
      <c r="D36" s="3"/>
    </row>
    <row r="37" spans="1:4" ht="19.95" customHeight="1" x14ac:dyDescent="0.25">
      <c r="A37" s="3" t="s">
        <v>622</v>
      </c>
      <c r="B37" s="4" t="s">
        <v>623</v>
      </c>
      <c r="C37" s="3" t="s">
        <v>167</v>
      </c>
      <c r="D37" s="3"/>
    </row>
    <row r="38" spans="1:4" ht="19.95" customHeight="1" x14ac:dyDescent="0.25">
      <c r="A38" s="3" t="s">
        <v>624</v>
      </c>
      <c r="B38" s="4" t="s">
        <v>625</v>
      </c>
      <c r="C38" s="3" t="s">
        <v>167</v>
      </c>
      <c r="D38" s="3"/>
    </row>
    <row r="39" spans="1:4" ht="19.95" customHeight="1" x14ac:dyDescent="0.25">
      <c r="A39" s="3" t="s">
        <v>626</v>
      </c>
      <c r="B39" s="4" t="s">
        <v>627</v>
      </c>
      <c r="C39" s="3" t="s">
        <v>167</v>
      </c>
      <c r="D39" s="3"/>
    </row>
    <row r="40" spans="1:4" ht="19.95" customHeight="1" x14ac:dyDescent="0.25">
      <c r="A40" s="3" t="s">
        <v>628</v>
      </c>
      <c r="B40" s="4" t="s">
        <v>629</v>
      </c>
      <c r="C40" s="3" t="s">
        <v>167</v>
      </c>
      <c r="D40" s="3"/>
    </row>
    <row r="41" spans="1:4" ht="19.95" customHeight="1" x14ac:dyDescent="0.25">
      <c r="A41" s="3" t="s">
        <v>630</v>
      </c>
      <c r="B41" s="4" t="s">
        <v>631</v>
      </c>
      <c r="C41" s="3" t="s">
        <v>167</v>
      </c>
      <c r="D41" s="3"/>
    </row>
    <row r="42" spans="1:4" ht="19.95" customHeight="1" x14ac:dyDescent="0.25">
      <c r="A42" s="3" t="s">
        <v>632</v>
      </c>
      <c r="B42" s="4" t="s">
        <v>633</v>
      </c>
      <c r="C42" s="3" t="s">
        <v>167</v>
      </c>
      <c r="D42" s="3"/>
    </row>
    <row r="43" spans="1:4" ht="19.95" customHeight="1" x14ac:dyDescent="0.25">
      <c r="A43" s="3" t="s">
        <v>634</v>
      </c>
      <c r="B43" s="4" t="s">
        <v>635</v>
      </c>
      <c r="C43" s="3" t="s">
        <v>167</v>
      </c>
      <c r="D43" s="3"/>
    </row>
    <row r="44" spans="1:4" ht="19.95" customHeight="1" x14ac:dyDescent="0.25">
      <c r="A44" s="3" t="s">
        <v>636</v>
      </c>
      <c r="B44" s="4" t="s">
        <v>637</v>
      </c>
      <c r="C44" s="3" t="s">
        <v>167</v>
      </c>
      <c r="D44" s="3"/>
    </row>
    <row r="45" spans="1:4" ht="19.95" customHeight="1" x14ac:dyDescent="0.25">
      <c r="A45" s="3" t="s">
        <v>638</v>
      </c>
      <c r="B45" s="4" t="s">
        <v>639</v>
      </c>
      <c r="C45" s="3" t="s">
        <v>167</v>
      </c>
      <c r="D45" s="3"/>
    </row>
    <row r="46" spans="1:4" ht="19.95" customHeight="1" x14ac:dyDescent="0.25">
      <c r="A46" s="3" t="s">
        <v>640</v>
      </c>
      <c r="B46" s="4" t="s">
        <v>641</v>
      </c>
      <c r="C46" s="3" t="s">
        <v>167</v>
      </c>
      <c r="D46" s="3"/>
    </row>
    <row r="47" spans="1:4" ht="19.95" customHeight="1" x14ac:dyDescent="0.25">
      <c r="A47" s="3" t="s">
        <v>642</v>
      </c>
      <c r="B47" s="4" t="s">
        <v>643</v>
      </c>
      <c r="C47" s="3" t="s">
        <v>167</v>
      </c>
      <c r="D47" s="3"/>
    </row>
    <row r="48" spans="1:4" ht="19.95" customHeight="1" x14ac:dyDescent="0.25">
      <c r="A48" s="3" t="s">
        <v>644</v>
      </c>
      <c r="B48" s="4" t="s">
        <v>645</v>
      </c>
      <c r="C48" s="3" t="s">
        <v>167</v>
      </c>
      <c r="D48" s="3"/>
    </row>
    <row r="49" spans="1:4" ht="19.95" customHeight="1" x14ac:dyDescent="0.25">
      <c r="A49" s="3" t="s">
        <v>646</v>
      </c>
      <c r="B49" s="4" t="s">
        <v>647</v>
      </c>
      <c r="C49" s="3" t="s">
        <v>167</v>
      </c>
      <c r="D49" s="3"/>
    </row>
    <row r="50" spans="1:4" ht="19.95" customHeight="1" x14ac:dyDescent="0.25">
      <c r="A50" s="3" t="s">
        <v>648</v>
      </c>
      <c r="B50" s="4" t="s">
        <v>649</v>
      </c>
      <c r="C50" s="3" t="s">
        <v>167</v>
      </c>
      <c r="D50" s="3"/>
    </row>
    <row r="51" spans="1:4" ht="19.95" customHeight="1" x14ac:dyDescent="0.25">
      <c r="A51" s="3" t="s">
        <v>650</v>
      </c>
      <c r="B51" s="4" t="s">
        <v>651</v>
      </c>
      <c r="C51" s="3" t="s">
        <v>167</v>
      </c>
      <c r="D51" s="3"/>
    </row>
    <row r="52" spans="1:4" ht="19.95" customHeight="1" x14ac:dyDescent="0.25">
      <c r="A52" s="3" t="s">
        <v>652</v>
      </c>
      <c r="B52" s="4" t="s">
        <v>653</v>
      </c>
      <c r="C52" s="3" t="s">
        <v>167</v>
      </c>
      <c r="D52" s="3"/>
    </row>
    <row r="53" spans="1:4" ht="19.95" customHeight="1" x14ac:dyDescent="0.25">
      <c r="A53" s="3" t="s">
        <v>654</v>
      </c>
      <c r="B53" s="4" t="s">
        <v>655</v>
      </c>
      <c r="C53" s="3" t="s">
        <v>167</v>
      </c>
      <c r="D53" s="3"/>
    </row>
    <row r="54" spans="1:4" ht="19.95" customHeight="1" x14ac:dyDescent="0.25">
      <c r="A54" s="3" t="s">
        <v>656</v>
      </c>
      <c r="B54" s="4" t="s">
        <v>657</v>
      </c>
      <c r="C54" s="3" t="s">
        <v>167</v>
      </c>
      <c r="D54" s="3"/>
    </row>
    <row r="55" spans="1:4" ht="19.95" customHeight="1" x14ac:dyDescent="0.25">
      <c r="A55" s="3" t="s">
        <v>658</v>
      </c>
      <c r="B55" s="4" t="s">
        <v>659</v>
      </c>
      <c r="C55" s="3" t="s">
        <v>167</v>
      </c>
      <c r="D55" s="3"/>
    </row>
    <row r="56" spans="1:4" ht="19.95" customHeight="1" x14ac:dyDescent="0.25">
      <c r="A56" s="3" t="s">
        <v>660</v>
      </c>
      <c r="B56" s="4" t="s">
        <v>661</v>
      </c>
      <c r="C56" s="3" t="s">
        <v>167</v>
      </c>
      <c r="D56" s="3"/>
    </row>
    <row r="57" spans="1:4" ht="19.95" customHeight="1" x14ac:dyDescent="0.25">
      <c r="A57" s="3" t="s">
        <v>662</v>
      </c>
      <c r="B57" s="4" t="s">
        <v>663</v>
      </c>
      <c r="C57" s="3" t="s">
        <v>167</v>
      </c>
      <c r="D57" s="3"/>
    </row>
    <row r="58" spans="1:4" ht="19.95" customHeight="1" x14ac:dyDescent="0.25">
      <c r="A58" s="3" t="s">
        <v>664</v>
      </c>
      <c r="B58" s="4" t="s">
        <v>665</v>
      </c>
      <c r="C58" s="3" t="s">
        <v>167</v>
      </c>
      <c r="D58" s="3"/>
    </row>
    <row r="59" spans="1:4" ht="19.95" customHeight="1" x14ac:dyDescent="0.25">
      <c r="A59" s="3" t="s">
        <v>666</v>
      </c>
      <c r="B59" s="4" t="s">
        <v>667</v>
      </c>
      <c r="C59" s="3" t="s">
        <v>167</v>
      </c>
      <c r="D59" s="3"/>
    </row>
    <row r="60" spans="1:4" ht="19.95" customHeight="1" x14ac:dyDescent="0.25">
      <c r="A60" s="3" t="s">
        <v>668</v>
      </c>
      <c r="B60" s="4" t="s">
        <v>669</v>
      </c>
      <c r="C60" s="3" t="s">
        <v>167</v>
      </c>
      <c r="D60" s="3"/>
    </row>
    <row r="61" spans="1:4" ht="19.95" customHeight="1" x14ac:dyDescent="0.25">
      <c r="A61" s="3" t="s">
        <v>670</v>
      </c>
      <c r="B61" s="4" t="s">
        <v>671</v>
      </c>
      <c r="C61" s="3" t="s">
        <v>167</v>
      </c>
      <c r="D61" s="3"/>
    </row>
    <row r="62" spans="1:4" ht="19.95" customHeight="1" x14ac:dyDescent="0.25">
      <c r="A62" s="3" t="s">
        <v>672</v>
      </c>
      <c r="B62" s="4" t="s">
        <v>673</v>
      </c>
      <c r="C62" s="3" t="s">
        <v>167</v>
      </c>
      <c r="D62" s="3"/>
    </row>
    <row r="63" spans="1:4" ht="19.95" customHeight="1" x14ac:dyDescent="0.25">
      <c r="A63" s="3" t="s">
        <v>674</v>
      </c>
      <c r="B63" s="4" t="s">
        <v>675</v>
      </c>
      <c r="C63" s="3" t="s">
        <v>167</v>
      </c>
      <c r="D63" s="3"/>
    </row>
    <row r="64" spans="1:4" ht="19.95" customHeight="1" x14ac:dyDescent="0.25">
      <c r="A64" s="3" t="s">
        <v>676</v>
      </c>
      <c r="B64" s="4" t="s">
        <v>677</v>
      </c>
      <c r="C64" s="3" t="s">
        <v>167</v>
      </c>
      <c r="D64" s="3"/>
    </row>
    <row r="65" spans="1:4" ht="19.95" customHeight="1" x14ac:dyDescent="0.25">
      <c r="A65" s="3" t="s">
        <v>678</v>
      </c>
      <c r="B65" s="4" t="s">
        <v>679</v>
      </c>
      <c r="C65" s="3" t="s">
        <v>167</v>
      </c>
      <c r="D65" s="3"/>
    </row>
    <row r="66" spans="1:4" ht="19.95" customHeight="1" x14ac:dyDescent="0.25">
      <c r="A66" s="3" t="s">
        <v>680</v>
      </c>
      <c r="B66" s="4" t="s">
        <v>681</v>
      </c>
      <c r="C66" s="3" t="s">
        <v>167</v>
      </c>
      <c r="D66" s="3"/>
    </row>
    <row r="67" spans="1:4" ht="19.95" customHeight="1" x14ac:dyDescent="0.25">
      <c r="A67" s="3" t="s">
        <v>682</v>
      </c>
      <c r="B67" s="4" t="s">
        <v>683</v>
      </c>
      <c r="C67" s="3" t="s">
        <v>167</v>
      </c>
      <c r="D67" s="3"/>
    </row>
    <row r="68" spans="1:4" ht="19.95" customHeight="1" x14ac:dyDescent="0.25">
      <c r="A68" s="3" t="s">
        <v>684</v>
      </c>
      <c r="B68" s="4" t="s">
        <v>685</v>
      </c>
      <c r="C68" s="3" t="s">
        <v>167</v>
      </c>
      <c r="D68" s="3"/>
    </row>
    <row r="69" spans="1:4" ht="19.95" customHeight="1" x14ac:dyDescent="0.25">
      <c r="A69" s="3" t="s">
        <v>686</v>
      </c>
      <c r="B69" s="4" t="s">
        <v>687</v>
      </c>
      <c r="C69" s="3" t="s">
        <v>167</v>
      </c>
      <c r="D69" s="3"/>
    </row>
    <row r="70" spans="1:4" ht="19.95" customHeight="1" x14ac:dyDescent="0.25">
      <c r="A70" s="3" t="s">
        <v>688</v>
      </c>
      <c r="B70" s="4" t="s">
        <v>689</v>
      </c>
      <c r="C70" s="3" t="s">
        <v>167</v>
      </c>
      <c r="D70" s="3"/>
    </row>
    <row r="71" spans="1:4" ht="19.95" customHeight="1" x14ac:dyDescent="0.25">
      <c r="A71" s="3" t="s">
        <v>690</v>
      </c>
      <c r="B71" s="4" t="s">
        <v>691</v>
      </c>
      <c r="C71" s="3" t="s">
        <v>167</v>
      </c>
      <c r="D71" s="3"/>
    </row>
    <row r="72" spans="1:4" ht="19.95" customHeight="1" x14ac:dyDescent="0.25">
      <c r="A72" s="3" t="s">
        <v>692</v>
      </c>
      <c r="B72" s="4" t="s">
        <v>693</v>
      </c>
      <c r="C72" s="3" t="s">
        <v>167</v>
      </c>
      <c r="D72" s="3"/>
    </row>
    <row r="73" spans="1:4" ht="19.95" customHeight="1" x14ac:dyDescent="0.25">
      <c r="A73" s="3" t="s">
        <v>694</v>
      </c>
      <c r="B73" s="4" t="s">
        <v>695</v>
      </c>
      <c r="C73" s="3" t="s">
        <v>167</v>
      </c>
      <c r="D73" s="3"/>
    </row>
    <row r="74" spans="1:4" ht="19.95" customHeight="1" x14ac:dyDescent="0.25">
      <c r="A74" s="3" t="s">
        <v>696</v>
      </c>
      <c r="B74" s="4" t="s">
        <v>697</v>
      </c>
      <c r="C74" s="3" t="s">
        <v>167</v>
      </c>
      <c r="D74" s="3"/>
    </row>
    <row r="75" spans="1:4" ht="19.95" customHeight="1" x14ac:dyDescent="0.25">
      <c r="A75" s="3" t="s">
        <v>698</v>
      </c>
      <c r="B75" s="4" t="s">
        <v>699</v>
      </c>
      <c r="C75" s="3" t="s">
        <v>167</v>
      </c>
      <c r="D75" s="3"/>
    </row>
    <row r="76" spans="1:4" ht="19.95" customHeight="1" x14ac:dyDescent="0.25">
      <c r="A76" s="3" t="s">
        <v>700</v>
      </c>
      <c r="B76" s="4" t="s">
        <v>701</v>
      </c>
      <c r="C76" s="3" t="s">
        <v>167</v>
      </c>
      <c r="D76" s="3"/>
    </row>
    <row r="77" spans="1:4" ht="19.95" customHeight="1" x14ac:dyDescent="0.25">
      <c r="A77" s="3" t="s">
        <v>702</v>
      </c>
      <c r="B77" s="4" t="s">
        <v>703</v>
      </c>
      <c r="C77" s="3" t="s">
        <v>167</v>
      </c>
      <c r="D77" s="3"/>
    </row>
    <row r="78" spans="1:4" ht="19.95" customHeight="1" x14ac:dyDescent="0.25">
      <c r="A78" s="3" t="s">
        <v>704</v>
      </c>
      <c r="B78" s="4" t="s">
        <v>705</v>
      </c>
      <c r="C78" s="3" t="s">
        <v>167</v>
      </c>
      <c r="D78" s="3"/>
    </row>
    <row r="79" spans="1:4" ht="19.95" customHeight="1" x14ac:dyDescent="0.25">
      <c r="A79" s="3" t="s">
        <v>706</v>
      </c>
      <c r="B79" s="4" t="s">
        <v>707</v>
      </c>
      <c r="C79" s="3" t="s">
        <v>167</v>
      </c>
      <c r="D79" s="3"/>
    </row>
    <row r="80" spans="1:4" ht="19.95" customHeight="1" x14ac:dyDescent="0.25">
      <c r="A80" s="3" t="s">
        <v>708</v>
      </c>
      <c r="B80" s="4" t="s">
        <v>709</v>
      </c>
      <c r="C80" s="3" t="s">
        <v>167</v>
      </c>
      <c r="D80" s="3"/>
    </row>
    <row r="81" spans="1:4" ht="19.95" customHeight="1" x14ac:dyDescent="0.25">
      <c r="A81" s="3" t="s">
        <v>710</v>
      </c>
      <c r="B81" s="4" t="s">
        <v>711</v>
      </c>
      <c r="C81" s="3" t="s">
        <v>167</v>
      </c>
      <c r="D81" s="3"/>
    </row>
    <row r="82" spans="1:4" ht="19.95" customHeight="1" x14ac:dyDescent="0.25">
      <c r="A82" s="3" t="s">
        <v>712</v>
      </c>
      <c r="B82" s="4" t="s">
        <v>713</v>
      </c>
      <c r="C82" s="3" t="s">
        <v>167</v>
      </c>
      <c r="D82" s="3"/>
    </row>
    <row r="83" spans="1:4" ht="19.95" customHeight="1" x14ac:dyDescent="0.25">
      <c r="A83" s="3" t="s">
        <v>714</v>
      </c>
      <c r="B83" s="4" t="s">
        <v>715</v>
      </c>
      <c r="C83" s="3" t="s">
        <v>167</v>
      </c>
      <c r="D83" s="3"/>
    </row>
    <row r="84" spans="1:4" ht="19.95" customHeight="1" x14ac:dyDescent="0.25">
      <c r="A84" s="3" t="s">
        <v>716</v>
      </c>
      <c r="B84" s="4" t="s">
        <v>717</v>
      </c>
      <c r="C84" s="3" t="s">
        <v>167</v>
      </c>
      <c r="D84" s="3"/>
    </row>
    <row r="85" spans="1:4" ht="19.95" customHeight="1" x14ac:dyDescent="0.25">
      <c r="A85" s="3" t="s">
        <v>718</v>
      </c>
      <c r="B85" s="4" t="s">
        <v>719</v>
      </c>
      <c r="C85" s="3" t="s">
        <v>167</v>
      </c>
      <c r="D85" s="3"/>
    </row>
    <row r="86" spans="1:4" ht="19.95" customHeight="1" x14ac:dyDescent="0.25">
      <c r="A86" s="3" t="s">
        <v>720</v>
      </c>
      <c r="B86" s="4" t="s">
        <v>721</v>
      </c>
      <c r="C86" s="3" t="s">
        <v>167</v>
      </c>
      <c r="D86" s="3"/>
    </row>
    <row r="87" spans="1:4" ht="19.95" customHeight="1" x14ac:dyDescent="0.25">
      <c r="A87" s="3" t="s">
        <v>722</v>
      </c>
      <c r="B87" s="4" t="s">
        <v>723</v>
      </c>
      <c r="C87" s="3" t="s">
        <v>167</v>
      </c>
      <c r="D87" s="3"/>
    </row>
    <row r="88" spans="1:4" ht="19.95" customHeight="1" x14ac:dyDescent="0.25">
      <c r="A88" s="3" t="s">
        <v>724</v>
      </c>
      <c r="B88" s="4" t="s">
        <v>725</v>
      </c>
      <c r="C88" s="3" t="s">
        <v>167</v>
      </c>
      <c r="D88" s="3"/>
    </row>
    <row r="89" spans="1:4" ht="19.95" customHeight="1" x14ac:dyDescent="0.25">
      <c r="A89" s="3" t="s">
        <v>726</v>
      </c>
      <c r="B89" s="4" t="s">
        <v>727</v>
      </c>
      <c r="C89" s="3" t="s">
        <v>167</v>
      </c>
      <c r="D89" s="3"/>
    </row>
    <row r="90" spans="1:4" ht="19.95" customHeight="1" x14ac:dyDescent="0.25">
      <c r="A90" s="3" t="s">
        <v>728</v>
      </c>
      <c r="B90" s="4" t="s">
        <v>729</v>
      </c>
      <c r="C90" s="3" t="s">
        <v>167</v>
      </c>
      <c r="D90" s="3"/>
    </row>
    <row r="91" spans="1:4" ht="19.95" customHeight="1" x14ac:dyDescent="0.25">
      <c r="A91" s="3" t="s">
        <v>730</v>
      </c>
      <c r="B91" s="4" t="s">
        <v>731</v>
      </c>
      <c r="C91" s="3" t="s">
        <v>167</v>
      </c>
      <c r="D91" s="3"/>
    </row>
    <row r="92" spans="1:4" ht="19.95" customHeight="1" x14ac:dyDescent="0.25">
      <c r="A92" s="3" t="s">
        <v>732</v>
      </c>
      <c r="B92" s="4" t="s">
        <v>733</v>
      </c>
      <c r="C92" s="3" t="s">
        <v>167</v>
      </c>
      <c r="D92" s="3"/>
    </row>
    <row r="93" spans="1:4" ht="19.95" customHeight="1" x14ac:dyDescent="0.25">
      <c r="A93" s="3" t="s">
        <v>734</v>
      </c>
      <c r="B93" s="4" t="s">
        <v>735</v>
      </c>
      <c r="C93" s="3" t="s">
        <v>167</v>
      </c>
      <c r="D93" s="3"/>
    </row>
    <row r="94" spans="1:4" ht="19.95" customHeight="1" x14ac:dyDescent="0.25">
      <c r="A94" s="3" t="s">
        <v>736</v>
      </c>
      <c r="B94" s="4" t="s">
        <v>737</v>
      </c>
      <c r="C94" s="3" t="s">
        <v>167</v>
      </c>
      <c r="D94" s="3"/>
    </row>
    <row r="95" spans="1:4" ht="19.95" customHeight="1" x14ac:dyDescent="0.25">
      <c r="A95" s="3" t="s">
        <v>738</v>
      </c>
      <c r="B95" s="4" t="s">
        <v>739</v>
      </c>
      <c r="C95" s="3" t="s">
        <v>167</v>
      </c>
      <c r="D95" s="3"/>
    </row>
    <row r="96" spans="1:4" ht="19.95" customHeight="1" x14ac:dyDescent="0.25">
      <c r="A96" s="3" t="s">
        <v>740</v>
      </c>
      <c r="B96" s="4" t="s">
        <v>741</v>
      </c>
      <c r="C96" s="3" t="s">
        <v>167</v>
      </c>
      <c r="D96" s="3"/>
    </row>
    <row r="97" spans="1:4" ht="19.95" customHeight="1" x14ac:dyDescent="0.25">
      <c r="A97" s="3" t="s">
        <v>742</v>
      </c>
      <c r="B97" s="4" t="s">
        <v>743</v>
      </c>
      <c r="C97" s="3" t="s">
        <v>167</v>
      </c>
      <c r="D97" s="3"/>
    </row>
    <row r="98" spans="1:4" ht="19.95" customHeight="1" x14ac:dyDescent="0.25">
      <c r="A98" s="3" t="s">
        <v>744</v>
      </c>
      <c r="B98" s="4" t="s">
        <v>745</v>
      </c>
      <c r="C98" s="3" t="s">
        <v>167</v>
      </c>
      <c r="D98" s="3"/>
    </row>
    <row r="99" spans="1:4" ht="19.95" customHeight="1" x14ac:dyDescent="0.25">
      <c r="A99" s="3" t="s">
        <v>746</v>
      </c>
      <c r="B99" s="4" t="s">
        <v>747</v>
      </c>
      <c r="C99" s="3" t="s">
        <v>167</v>
      </c>
      <c r="D99" s="3"/>
    </row>
    <row r="100" spans="1:4" ht="19.95" customHeight="1" x14ac:dyDescent="0.25">
      <c r="A100" s="3" t="s">
        <v>748</v>
      </c>
      <c r="B100" s="4" t="s">
        <v>749</v>
      </c>
      <c r="C100" s="3" t="s">
        <v>167</v>
      </c>
      <c r="D100" s="3"/>
    </row>
    <row r="101" spans="1:4" ht="19.95" customHeight="1" x14ac:dyDescent="0.25">
      <c r="A101" s="3" t="s">
        <v>750</v>
      </c>
      <c r="B101" s="4" t="s">
        <v>751</v>
      </c>
      <c r="C101" s="3" t="s">
        <v>167</v>
      </c>
      <c r="D101" s="3"/>
    </row>
    <row r="102" spans="1:4" ht="19.95" customHeight="1" x14ac:dyDescent="0.25">
      <c r="A102" s="3" t="s">
        <v>752</v>
      </c>
      <c r="B102" s="4" t="s">
        <v>753</v>
      </c>
      <c r="C102" s="3" t="s">
        <v>167</v>
      </c>
      <c r="D102" s="3"/>
    </row>
    <row r="103" spans="1:4" ht="19.95" customHeight="1" x14ac:dyDescent="0.25">
      <c r="A103" s="3" t="s">
        <v>754</v>
      </c>
      <c r="B103" s="4" t="s">
        <v>755</v>
      </c>
      <c r="C103" s="3" t="s">
        <v>167</v>
      </c>
      <c r="D103" s="3"/>
    </row>
    <row r="104" spans="1:4" ht="19.95" customHeight="1" x14ac:dyDescent="0.25">
      <c r="A104" s="3" t="s">
        <v>756</v>
      </c>
      <c r="B104" s="4" t="s">
        <v>757</v>
      </c>
      <c r="C104" s="3" t="s">
        <v>167</v>
      </c>
      <c r="D104" s="3"/>
    </row>
    <row r="105" spans="1:4" ht="19.95" customHeight="1" x14ac:dyDescent="0.25">
      <c r="A105" s="3" t="s">
        <v>758</v>
      </c>
      <c r="B105" s="4" t="s">
        <v>759</v>
      </c>
      <c r="C105" s="3" t="s">
        <v>167</v>
      </c>
      <c r="D105" s="3"/>
    </row>
    <row r="106" spans="1:4" ht="19.95" customHeight="1" x14ac:dyDescent="0.25">
      <c r="A106" s="3" t="s">
        <v>760</v>
      </c>
      <c r="B106" s="4" t="s">
        <v>761</v>
      </c>
      <c r="C106" s="3" t="s">
        <v>167</v>
      </c>
      <c r="D106" s="3"/>
    </row>
    <row r="107" spans="1:4" ht="19.95" customHeight="1" x14ac:dyDescent="0.25">
      <c r="A107" s="3" t="s">
        <v>762</v>
      </c>
      <c r="B107" s="4" t="s">
        <v>763</v>
      </c>
      <c r="C107" s="3" t="s">
        <v>167</v>
      </c>
      <c r="D107" s="3"/>
    </row>
    <row r="108" spans="1:4" ht="19.95" customHeight="1" x14ac:dyDescent="0.25">
      <c r="A108" s="3" t="s">
        <v>764</v>
      </c>
      <c r="B108" s="4" t="s">
        <v>765</v>
      </c>
      <c r="C108" s="3" t="s">
        <v>167</v>
      </c>
      <c r="D108" s="3"/>
    </row>
    <row r="109" spans="1:4" ht="19.95" customHeight="1" x14ac:dyDescent="0.25">
      <c r="A109" s="3" t="s">
        <v>766</v>
      </c>
      <c r="B109" s="4" t="s">
        <v>767</v>
      </c>
      <c r="C109" s="3" t="s">
        <v>167</v>
      </c>
      <c r="D109" s="3"/>
    </row>
    <row r="110" spans="1:4" ht="19.95" customHeight="1" x14ac:dyDescent="0.25">
      <c r="A110" s="3" t="s">
        <v>768</v>
      </c>
      <c r="B110" s="4" t="s">
        <v>769</v>
      </c>
      <c r="C110" s="3" t="s">
        <v>167</v>
      </c>
      <c r="D110" s="3"/>
    </row>
    <row r="111" spans="1:4" ht="19.95" customHeight="1" x14ac:dyDescent="0.25">
      <c r="A111" s="3" t="s">
        <v>770</v>
      </c>
      <c r="B111" s="4" t="s">
        <v>771</v>
      </c>
      <c r="C111" s="3" t="s">
        <v>167</v>
      </c>
      <c r="D111" s="3"/>
    </row>
    <row r="112" spans="1:4" ht="19.95" customHeight="1" x14ac:dyDescent="0.25">
      <c r="A112" s="3" t="s">
        <v>772</v>
      </c>
      <c r="B112" s="4" t="s">
        <v>773</v>
      </c>
      <c r="C112" s="3" t="s">
        <v>167</v>
      </c>
      <c r="D112" s="3"/>
    </row>
    <row r="113" spans="1:4" ht="19.95" customHeight="1" x14ac:dyDescent="0.25">
      <c r="A113" s="3" t="s">
        <v>774</v>
      </c>
      <c r="B113" s="4" t="s">
        <v>775</v>
      </c>
      <c r="C113" s="3" t="s">
        <v>167</v>
      </c>
      <c r="D113" s="3"/>
    </row>
    <row r="114" spans="1:4" ht="19.95" customHeight="1" x14ac:dyDescent="0.25">
      <c r="A114" s="3" t="s">
        <v>776</v>
      </c>
      <c r="B114" s="4" t="s">
        <v>777</v>
      </c>
      <c r="C114" s="3" t="s">
        <v>167</v>
      </c>
      <c r="D114" s="3"/>
    </row>
    <row r="115" spans="1:4" ht="19.95" customHeight="1" x14ac:dyDescent="0.25">
      <c r="A115" s="3" t="s">
        <v>778</v>
      </c>
      <c r="B115" s="4" t="s">
        <v>779</v>
      </c>
      <c r="C115" s="3" t="s">
        <v>167</v>
      </c>
      <c r="D115" s="3"/>
    </row>
    <row r="116" spans="1:4" ht="19.95" customHeight="1" x14ac:dyDescent="0.25">
      <c r="A116" s="3" t="s">
        <v>780</v>
      </c>
      <c r="B116" s="4" t="s">
        <v>781</v>
      </c>
      <c r="C116" s="3" t="s">
        <v>167</v>
      </c>
      <c r="D116" s="3"/>
    </row>
    <row r="117" spans="1:4" ht="19.95" customHeight="1" x14ac:dyDescent="0.25">
      <c r="A117" s="3" t="s">
        <v>782</v>
      </c>
      <c r="B117" s="4" t="s">
        <v>783</v>
      </c>
      <c r="C117" s="3" t="s">
        <v>167</v>
      </c>
      <c r="D117" s="3"/>
    </row>
    <row r="118" spans="1:4" ht="19.95" customHeight="1" x14ac:dyDescent="0.25">
      <c r="A118" s="3" t="s">
        <v>467</v>
      </c>
      <c r="B118" s="4" t="s">
        <v>784</v>
      </c>
      <c r="C118" s="3" t="s">
        <v>167</v>
      </c>
      <c r="D118" s="3"/>
    </row>
    <row r="119" spans="1:4" ht="19.95" customHeight="1" x14ac:dyDescent="0.25">
      <c r="A119" s="3" t="s">
        <v>468</v>
      </c>
      <c r="B119" s="4" t="s">
        <v>785</v>
      </c>
      <c r="C119" s="3" t="s">
        <v>167</v>
      </c>
      <c r="D119" s="3"/>
    </row>
    <row r="120" spans="1:4" ht="19.95" customHeight="1" x14ac:dyDescent="0.25">
      <c r="A120" s="3" t="s">
        <v>469</v>
      </c>
      <c r="B120" s="4" t="s">
        <v>786</v>
      </c>
      <c r="C120" s="3" t="s">
        <v>167</v>
      </c>
      <c r="D120" s="3"/>
    </row>
    <row r="121" spans="1:4" ht="19.95" customHeight="1" x14ac:dyDescent="0.25">
      <c r="A121" s="3" t="s">
        <v>471</v>
      </c>
      <c r="B121" s="4" t="s">
        <v>787</v>
      </c>
      <c r="C121" s="3" t="s">
        <v>167</v>
      </c>
      <c r="D121" s="3"/>
    </row>
    <row r="122" spans="1:4" ht="19.95" customHeight="1" x14ac:dyDescent="0.25">
      <c r="A122" s="3" t="s">
        <v>473</v>
      </c>
      <c r="B122" s="4" t="s">
        <v>788</v>
      </c>
      <c r="C122" s="3" t="s">
        <v>167</v>
      </c>
      <c r="D122" s="3"/>
    </row>
    <row r="123" spans="1:4" ht="19.95" customHeight="1" x14ac:dyDescent="0.25">
      <c r="A123" s="3" t="s">
        <v>474</v>
      </c>
      <c r="B123" s="4" t="s">
        <v>789</v>
      </c>
      <c r="C123" s="3" t="s">
        <v>167</v>
      </c>
      <c r="D123" s="3"/>
    </row>
    <row r="124" spans="1:4" ht="19.95" customHeight="1" x14ac:dyDescent="0.25">
      <c r="A124" s="3" t="s">
        <v>476</v>
      </c>
      <c r="B124" s="4" t="s">
        <v>790</v>
      </c>
      <c r="C124" s="3" t="s">
        <v>167</v>
      </c>
      <c r="D124" s="3"/>
    </row>
    <row r="125" spans="1:4" ht="19.95" customHeight="1" x14ac:dyDescent="0.25">
      <c r="A125" s="3" t="s">
        <v>477</v>
      </c>
      <c r="B125" s="4" t="s">
        <v>791</v>
      </c>
      <c r="C125" s="3" t="s">
        <v>167</v>
      </c>
      <c r="D125" s="3"/>
    </row>
    <row r="126" spans="1:4" ht="19.95" customHeight="1" x14ac:dyDescent="0.25">
      <c r="A126" s="3" t="s">
        <v>478</v>
      </c>
      <c r="B126" s="4" t="s">
        <v>792</v>
      </c>
      <c r="C126" s="3" t="s">
        <v>167</v>
      </c>
      <c r="D126" s="3"/>
    </row>
    <row r="127" spans="1:4" ht="19.95" customHeight="1" x14ac:dyDescent="0.25">
      <c r="A127" s="3" t="s">
        <v>479</v>
      </c>
      <c r="B127" s="4" t="s">
        <v>793</v>
      </c>
      <c r="C127" s="3" t="s">
        <v>167</v>
      </c>
      <c r="D127" s="3"/>
    </row>
    <row r="128" spans="1:4" ht="19.95" customHeight="1" x14ac:dyDescent="0.25">
      <c r="A128" s="3" t="s">
        <v>480</v>
      </c>
      <c r="B128" s="4" t="s">
        <v>794</v>
      </c>
      <c r="C128" s="3" t="s">
        <v>167</v>
      </c>
      <c r="D128" s="3"/>
    </row>
    <row r="129" spans="1:4" ht="19.95" customHeight="1" x14ac:dyDescent="0.25">
      <c r="A129" s="3" t="s">
        <v>481</v>
      </c>
      <c r="B129" s="4" t="s">
        <v>795</v>
      </c>
      <c r="C129" s="3" t="s">
        <v>167</v>
      </c>
      <c r="D129" s="3"/>
    </row>
    <row r="130" spans="1:4" ht="19.95" customHeight="1" x14ac:dyDescent="0.25">
      <c r="A130" s="3" t="s">
        <v>482</v>
      </c>
      <c r="B130" s="4" t="s">
        <v>796</v>
      </c>
      <c r="C130" s="3" t="s">
        <v>167</v>
      </c>
      <c r="D130" s="3"/>
    </row>
    <row r="131" spans="1:4" ht="19.95" customHeight="1" x14ac:dyDescent="0.25">
      <c r="A131" s="3" t="s">
        <v>483</v>
      </c>
      <c r="B131" s="4" t="s">
        <v>797</v>
      </c>
      <c r="C131" s="3" t="s">
        <v>167</v>
      </c>
      <c r="D131" s="3"/>
    </row>
    <row r="132" spans="1:4" ht="19.95" customHeight="1" x14ac:dyDescent="0.25">
      <c r="A132" s="3" t="s">
        <v>484</v>
      </c>
      <c r="B132" s="4" t="s">
        <v>798</v>
      </c>
      <c r="C132" s="3" t="s">
        <v>167</v>
      </c>
      <c r="D132" s="3"/>
    </row>
    <row r="133" spans="1:4" ht="19.95" customHeight="1" x14ac:dyDescent="0.25">
      <c r="A133" s="3" t="s">
        <v>493</v>
      </c>
      <c r="B133" s="4" t="s">
        <v>799</v>
      </c>
      <c r="C133" s="3" t="s">
        <v>167</v>
      </c>
      <c r="D133" s="3"/>
    </row>
    <row r="134" spans="1:4" ht="19.95" customHeight="1" x14ac:dyDescent="0.25">
      <c r="A134" s="3" t="s">
        <v>494</v>
      </c>
      <c r="B134" s="4" t="s">
        <v>800</v>
      </c>
      <c r="C134" s="3" t="s">
        <v>167</v>
      </c>
      <c r="D134" s="3"/>
    </row>
    <row r="135" spans="1:4" ht="19.95" customHeight="1" x14ac:dyDescent="0.25">
      <c r="A135" s="3" t="s">
        <v>495</v>
      </c>
      <c r="B135" s="4" t="s">
        <v>801</v>
      </c>
      <c r="C135" s="3" t="s">
        <v>167</v>
      </c>
      <c r="D135" s="3"/>
    </row>
    <row r="136" spans="1:4" ht="19.95" customHeight="1" x14ac:dyDescent="0.25">
      <c r="A136" s="3" t="s">
        <v>496</v>
      </c>
      <c r="B136" s="4" t="s">
        <v>802</v>
      </c>
      <c r="C136" s="3" t="s">
        <v>167</v>
      </c>
      <c r="D136" s="3"/>
    </row>
    <row r="137" spans="1:4" ht="19.95" customHeight="1" x14ac:dyDescent="0.25">
      <c r="A137" s="3" t="s">
        <v>498</v>
      </c>
      <c r="B137" s="4" t="s">
        <v>803</v>
      </c>
      <c r="C137" s="3" t="s">
        <v>167</v>
      </c>
      <c r="D137" s="3"/>
    </row>
    <row r="138" spans="1:4" ht="19.95" customHeight="1" x14ac:dyDescent="0.25">
      <c r="A138" s="3" t="s">
        <v>499</v>
      </c>
      <c r="B138" s="4" t="s">
        <v>804</v>
      </c>
      <c r="C138" s="3" t="s">
        <v>167</v>
      </c>
      <c r="D138" s="3"/>
    </row>
    <row r="139" spans="1:4" ht="19.95" customHeight="1" x14ac:dyDescent="0.25">
      <c r="A139" s="3" t="s">
        <v>500</v>
      </c>
      <c r="B139" s="4" t="s">
        <v>805</v>
      </c>
      <c r="C139" s="3" t="s">
        <v>167</v>
      </c>
      <c r="D139" s="3"/>
    </row>
    <row r="140" spans="1:4" ht="19.95" customHeight="1" x14ac:dyDescent="0.25">
      <c r="A140" s="3" t="s">
        <v>501</v>
      </c>
      <c r="B140" s="4" t="s">
        <v>806</v>
      </c>
      <c r="C140" s="3" t="s">
        <v>167</v>
      </c>
      <c r="D140" s="3"/>
    </row>
    <row r="141" spans="1:4" ht="19.95" customHeight="1" x14ac:dyDescent="0.25">
      <c r="A141" s="3" t="s">
        <v>502</v>
      </c>
      <c r="B141" s="4" t="s">
        <v>807</v>
      </c>
      <c r="C141" s="3" t="s">
        <v>167</v>
      </c>
      <c r="D141" s="3"/>
    </row>
    <row r="142" spans="1:4" ht="19.95" customHeight="1" x14ac:dyDescent="0.25">
      <c r="A142" s="3" t="s">
        <v>503</v>
      </c>
      <c r="B142" s="4" t="s">
        <v>808</v>
      </c>
      <c r="C142" s="3" t="s">
        <v>167</v>
      </c>
      <c r="D142" s="3"/>
    </row>
    <row r="143" spans="1:4" ht="19.95" customHeight="1" x14ac:dyDescent="0.25">
      <c r="A143" s="3" t="s">
        <v>504</v>
      </c>
      <c r="B143" s="4" t="s">
        <v>809</v>
      </c>
      <c r="C143" s="3" t="s">
        <v>167</v>
      </c>
      <c r="D143" s="3"/>
    </row>
    <row r="144" spans="1:4" ht="19.95" customHeight="1" x14ac:dyDescent="0.25">
      <c r="A144" s="3" t="s">
        <v>505</v>
      </c>
      <c r="B144" s="4" t="s">
        <v>797</v>
      </c>
      <c r="C144" s="3" t="s">
        <v>167</v>
      </c>
      <c r="D144" s="3"/>
    </row>
    <row r="145" spans="1:4" ht="19.95" customHeight="1" x14ac:dyDescent="0.25">
      <c r="A145" s="3" t="s">
        <v>506</v>
      </c>
      <c r="B145" s="4" t="s">
        <v>798</v>
      </c>
      <c r="C145" s="3" t="s">
        <v>167</v>
      </c>
      <c r="D145" s="3"/>
    </row>
    <row r="146" spans="1:4" ht="19.95" customHeight="1" x14ac:dyDescent="0.25">
      <c r="A146" s="3" t="s">
        <v>810</v>
      </c>
      <c r="B146" s="4" t="s">
        <v>811</v>
      </c>
      <c r="C146" s="3" t="s">
        <v>167</v>
      </c>
      <c r="D146" s="3"/>
    </row>
    <row r="147" spans="1:4" ht="19.95" customHeight="1" x14ac:dyDescent="0.25">
      <c r="A147" s="3" t="s">
        <v>812</v>
      </c>
      <c r="B147" s="4" t="s">
        <v>813</v>
      </c>
      <c r="C147" s="3" t="s">
        <v>167</v>
      </c>
      <c r="D147" s="3"/>
    </row>
    <row r="148" spans="1:4" ht="19.95" customHeight="1" x14ac:dyDescent="0.25">
      <c r="A148" s="3" t="s">
        <v>814</v>
      </c>
      <c r="B148" s="4" t="s">
        <v>815</v>
      </c>
      <c r="C148" s="3" t="s">
        <v>167</v>
      </c>
      <c r="D148" s="3"/>
    </row>
    <row r="149" spans="1:4" ht="19.95" customHeight="1" x14ac:dyDescent="0.25">
      <c r="A149" s="3" t="s">
        <v>816</v>
      </c>
      <c r="B149" s="4" t="s">
        <v>817</v>
      </c>
      <c r="C149" s="3" t="s">
        <v>167</v>
      </c>
      <c r="D149" s="3"/>
    </row>
    <row r="150" spans="1:4" ht="19.95" customHeight="1" x14ac:dyDescent="0.25">
      <c r="A150" s="3" t="s">
        <v>818</v>
      </c>
      <c r="B150" s="4" t="s">
        <v>819</v>
      </c>
      <c r="C150" s="3" t="s">
        <v>167</v>
      </c>
      <c r="D150" s="3"/>
    </row>
    <row r="151" spans="1:4" ht="19.95" customHeight="1" x14ac:dyDescent="0.25">
      <c r="A151" s="3" t="s">
        <v>820</v>
      </c>
      <c r="B151" s="4" t="s">
        <v>821</v>
      </c>
      <c r="C151" s="3" t="s">
        <v>167</v>
      </c>
      <c r="D151" s="3"/>
    </row>
    <row r="152" spans="1:4" ht="19.95" customHeight="1" x14ac:dyDescent="0.25">
      <c r="A152" s="3" t="s">
        <v>822</v>
      </c>
      <c r="B152" s="4" t="s">
        <v>823</v>
      </c>
      <c r="C152" s="3" t="s">
        <v>167</v>
      </c>
      <c r="D152" s="3"/>
    </row>
    <row r="153" spans="1:4" ht="19.95" customHeight="1" x14ac:dyDescent="0.25">
      <c r="A153" s="3" t="s">
        <v>824</v>
      </c>
      <c r="B153" s="4" t="s">
        <v>825</v>
      </c>
      <c r="C153" s="3" t="s">
        <v>167</v>
      </c>
      <c r="D153" s="3"/>
    </row>
    <row r="154" spans="1:4" ht="19.95" customHeight="1" x14ac:dyDescent="0.25">
      <c r="A154" s="3" t="s">
        <v>826</v>
      </c>
      <c r="B154" s="4" t="s">
        <v>827</v>
      </c>
      <c r="C154" s="3" t="s">
        <v>167</v>
      </c>
      <c r="D154" s="3"/>
    </row>
    <row r="155" spans="1:4" ht="19.95" customHeight="1" x14ac:dyDescent="0.25">
      <c r="A155" s="3" t="s">
        <v>828</v>
      </c>
      <c r="B155" s="4" t="s">
        <v>829</v>
      </c>
      <c r="C155" s="3" t="s">
        <v>167</v>
      </c>
      <c r="D155" s="3"/>
    </row>
    <row r="156" spans="1:4" ht="19.95" customHeight="1" x14ac:dyDescent="0.25">
      <c r="A156" s="3" t="s">
        <v>830</v>
      </c>
      <c r="B156" s="4" t="s">
        <v>831</v>
      </c>
      <c r="C156" s="3" t="s">
        <v>167</v>
      </c>
      <c r="D156" s="3"/>
    </row>
    <row r="157" spans="1:4" ht="19.95" customHeight="1" x14ac:dyDescent="0.25">
      <c r="A157" s="3" t="s">
        <v>832</v>
      </c>
      <c r="B157" s="4" t="s">
        <v>833</v>
      </c>
      <c r="C157" s="3" t="s">
        <v>167</v>
      </c>
      <c r="D157" s="3"/>
    </row>
    <row r="158" spans="1:4" ht="19.95" customHeight="1" x14ac:dyDescent="0.25">
      <c r="A158" s="3" t="s">
        <v>834</v>
      </c>
      <c r="B158" s="4" t="s">
        <v>835</v>
      </c>
      <c r="C158" s="3" t="s">
        <v>167</v>
      </c>
      <c r="D158" s="3"/>
    </row>
    <row r="159" spans="1:4" ht="19.95" customHeight="1" x14ac:dyDescent="0.25">
      <c r="A159" s="9" t="s">
        <v>836</v>
      </c>
      <c r="B159" s="4" t="s">
        <v>837</v>
      </c>
      <c r="C159" s="9" t="s">
        <v>166</v>
      </c>
      <c r="D159" s="9"/>
    </row>
    <row r="160" spans="1:4" ht="19.95" customHeight="1" x14ac:dyDescent="0.25">
      <c r="A160" s="9" t="s">
        <v>838</v>
      </c>
      <c r="B160" s="4" t="s">
        <v>839</v>
      </c>
      <c r="C160" s="9" t="s">
        <v>166</v>
      </c>
      <c r="D160" s="9"/>
    </row>
    <row r="161" spans="1:4" ht="19.95" customHeight="1" x14ac:dyDescent="0.25">
      <c r="A161" s="5" t="s">
        <v>840</v>
      </c>
      <c r="B161" s="4" t="s">
        <v>841</v>
      </c>
      <c r="C161" s="5" t="s">
        <v>166</v>
      </c>
      <c r="D161" s="5"/>
    </row>
    <row r="162" spans="1:4" ht="19.95" customHeight="1" x14ac:dyDescent="0.25">
      <c r="A162" s="9" t="s">
        <v>842</v>
      </c>
      <c r="B162" s="4" t="s">
        <v>843</v>
      </c>
      <c r="C162" s="9" t="s">
        <v>166</v>
      </c>
      <c r="D162" s="9"/>
    </row>
    <row r="163" spans="1:4" ht="19.95" customHeight="1" x14ac:dyDescent="0.25">
      <c r="A163" s="5" t="s">
        <v>844</v>
      </c>
      <c r="B163" s="4" t="s">
        <v>845</v>
      </c>
      <c r="C163" s="5" t="s">
        <v>166</v>
      </c>
      <c r="D163" s="5"/>
    </row>
    <row r="164" spans="1:4" ht="19.95" customHeight="1" x14ac:dyDescent="0.25">
      <c r="A164" s="5" t="s">
        <v>846</v>
      </c>
      <c r="B164" s="4" t="s">
        <v>847</v>
      </c>
      <c r="C164" s="5" t="s">
        <v>166</v>
      </c>
      <c r="D164" s="5"/>
    </row>
    <row r="165" spans="1:4" ht="19.95" customHeight="1" x14ac:dyDescent="0.25">
      <c r="A165" s="5" t="s">
        <v>848</v>
      </c>
      <c r="B165" s="4" t="s">
        <v>849</v>
      </c>
      <c r="C165" s="5" t="s">
        <v>166</v>
      </c>
      <c r="D165" s="5"/>
    </row>
    <row r="166" spans="1:4" ht="19.95" customHeight="1" x14ac:dyDescent="0.25">
      <c r="A166" s="5" t="s">
        <v>850</v>
      </c>
      <c r="B166" s="4" t="s">
        <v>851</v>
      </c>
      <c r="C166" s="5" t="s">
        <v>166</v>
      </c>
      <c r="D166" s="5"/>
    </row>
    <row r="167" spans="1:4" ht="19.95" customHeight="1" x14ac:dyDescent="0.25">
      <c r="A167" s="5" t="s">
        <v>852</v>
      </c>
      <c r="B167" s="4" t="s">
        <v>853</v>
      </c>
      <c r="C167" s="5" t="s">
        <v>166</v>
      </c>
      <c r="D167" s="5"/>
    </row>
    <row r="168" spans="1:4" ht="19.95" customHeight="1" x14ac:dyDescent="0.25">
      <c r="A168" s="5" t="s">
        <v>854</v>
      </c>
      <c r="B168" s="4" t="s">
        <v>855</v>
      </c>
      <c r="C168" s="5" t="s">
        <v>166</v>
      </c>
      <c r="D168" s="5"/>
    </row>
    <row r="169" spans="1:4" ht="19.95" customHeight="1" x14ac:dyDescent="0.25">
      <c r="A169" s="5" t="s">
        <v>856</v>
      </c>
      <c r="B169" s="4" t="s">
        <v>857</v>
      </c>
      <c r="C169" s="5" t="s">
        <v>166</v>
      </c>
      <c r="D169" s="5"/>
    </row>
    <row r="170" spans="1:4" ht="19.95" customHeight="1" x14ac:dyDescent="0.25">
      <c r="A170" s="5" t="s">
        <v>858</v>
      </c>
      <c r="B170" s="4" t="s">
        <v>859</v>
      </c>
      <c r="C170" s="5" t="s">
        <v>166</v>
      </c>
      <c r="D170" s="5"/>
    </row>
    <row r="171" spans="1:4" ht="19.95" customHeight="1" x14ac:dyDescent="0.25">
      <c r="A171" s="5" t="s">
        <v>860</v>
      </c>
      <c r="B171" s="4" t="s">
        <v>861</v>
      </c>
      <c r="C171" s="5" t="s">
        <v>166</v>
      </c>
      <c r="D171" s="5"/>
    </row>
    <row r="172" spans="1:4" ht="19.95" customHeight="1" x14ac:dyDescent="0.25">
      <c r="A172" s="5" t="s">
        <v>862</v>
      </c>
      <c r="B172" s="4" t="s">
        <v>863</v>
      </c>
      <c r="C172" s="5" t="s">
        <v>166</v>
      </c>
      <c r="D172" s="5"/>
    </row>
    <row r="173" spans="1:4" ht="19.95" customHeight="1" x14ac:dyDescent="0.25">
      <c r="A173" s="5" t="s">
        <v>864</v>
      </c>
      <c r="B173" s="4" t="s">
        <v>865</v>
      </c>
      <c r="C173" s="5" t="s">
        <v>166</v>
      </c>
      <c r="D173" s="5"/>
    </row>
    <row r="174" spans="1:4" ht="19.95" customHeight="1" x14ac:dyDescent="0.25">
      <c r="A174" s="5" t="s">
        <v>866</v>
      </c>
      <c r="B174" s="4" t="s">
        <v>867</v>
      </c>
      <c r="C174" s="5" t="s">
        <v>166</v>
      </c>
      <c r="D174" s="5"/>
    </row>
    <row r="175" spans="1:4" ht="19.95" customHeight="1" x14ac:dyDescent="0.25">
      <c r="A175" s="5" t="s">
        <v>868</v>
      </c>
      <c r="B175" s="4" t="s">
        <v>869</v>
      </c>
      <c r="C175" s="5" t="s">
        <v>166</v>
      </c>
      <c r="D175" s="5"/>
    </row>
    <row r="176" spans="1:4" ht="19.95" customHeight="1" x14ac:dyDescent="0.25">
      <c r="A176" s="5" t="s">
        <v>870</v>
      </c>
      <c r="B176" s="4" t="s">
        <v>871</v>
      </c>
      <c r="C176" s="5" t="s">
        <v>166</v>
      </c>
      <c r="D176" s="5"/>
    </row>
    <row r="177" spans="1:4" ht="19.95" customHeight="1" x14ac:dyDescent="0.25">
      <c r="A177" s="5" t="s">
        <v>872</v>
      </c>
      <c r="B177" s="4" t="s">
        <v>873</v>
      </c>
      <c r="C177" s="5" t="s">
        <v>166</v>
      </c>
      <c r="D177" s="5"/>
    </row>
    <row r="178" spans="1:4" ht="19.95" customHeight="1" x14ac:dyDescent="0.25">
      <c r="A178" s="5" t="s">
        <v>874</v>
      </c>
      <c r="B178" s="4" t="s">
        <v>875</v>
      </c>
      <c r="C178" s="5" t="s">
        <v>166</v>
      </c>
      <c r="D178" s="5"/>
    </row>
    <row r="179" spans="1:4" ht="19.95" customHeight="1" x14ac:dyDescent="0.25">
      <c r="A179" s="5" t="s">
        <v>876</v>
      </c>
      <c r="B179" s="4" t="s">
        <v>877</v>
      </c>
      <c r="C179" s="5" t="s">
        <v>166</v>
      </c>
      <c r="D179" s="5"/>
    </row>
    <row r="180" spans="1:4" ht="19.95" customHeight="1" x14ac:dyDescent="0.25">
      <c r="A180" s="5" t="s">
        <v>878</v>
      </c>
      <c r="B180" s="4" t="s">
        <v>879</v>
      </c>
      <c r="C180" s="5" t="s">
        <v>166</v>
      </c>
      <c r="D180" s="5"/>
    </row>
    <row r="181" spans="1:4" ht="19.95" customHeight="1" x14ac:dyDescent="0.25">
      <c r="A181" s="5" t="s">
        <v>880</v>
      </c>
      <c r="B181" s="4" t="s">
        <v>881</v>
      </c>
      <c r="C181" s="5" t="s">
        <v>166</v>
      </c>
      <c r="D181" s="5"/>
    </row>
    <row r="182" spans="1:4" ht="19.95" customHeight="1" x14ac:dyDescent="0.25">
      <c r="A182" s="5" t="s">
        <v>882</v>
      </c>
      <c r="B182" s="4" t="s">
        <v>883</v>
      </c>
      <c r="C182" s="5" t="s">
        <v>166</v>
      </c>
      <c r="D182" s="5"/>
    </row>
    <row r="183" spans="1:4" ht="19.95" customHeight="1" x14ac:dyDescent="0.25">
      <c r="A183" s="5" t="s">
        <v>884</v>
      </c>
      <c r="B183" s="4" t="s">
        <v>885</v>
      </c>
      <c r="C183" s="5" t="s">
        <v>166</v>
      </c>
      <c r="D183" s="5"/>
    </row>
    <row r="184" spans="1:4" ht="19.95" customHeight="1" x14ac:dyDescent="0.25">
      <c r="A184" s="5" t="s">
        <v>886</v>
      </c>
      <c r="B184" s="4" t="s">
        <v>887</v>
      </c>
      <c r="C184" s="5" t="s">
        <v>166</v>
      </c>
      <c r="D184" s="5"/>
    </row>
    <row r="185" spans="1:4" ht="19.95" customHeight="1" x14ac:dyDescent="0.25">
      <c r="A185" s="5" t="s">
        <v>888</v>
      </c>
      <c r="B185" s="4" t="s">
        <v>889</v>
      </c>
      <c r="C185" s="5" t="s">
        <v>166</v>
      </c>
      <c r="D185" s="5"/>
    </row>
    <row r="186" spans="1:4" ht="19.95" customHeight="1" x14ac:dyDescent="0.25">
      <c r="A186" s="5" t="s">
        <v>890</v>
      </c>
      <c r="B186" s="4" t="s">
        <v>891</v>
      </c>
      <c r="C186" s="5" t="s">
        <v>166</v>
      </c>
      <c r="D186" s="5"/>
    </row>
    <row r="187" spans="1:4" ht="19.95" customHeight="1" x14ac:dyDescent="0.25">
      <c r="A187" s="5" t="s">
        <v>892</v>
      </c>
      <c r="B187" s="4" t="s">
        <v>893</v>
      </c>
      <c r="C187" s="5" t="s">
        <v>166</v>
      </c>
      <c r="D187" s="5"/>
    </row>
    <row r="188" spans="1:4" ht="19.95" customHeight="1" x14ac:dyDescent="0.25">
      <c r="A188" s="5" t="s">
        <v>894</v>
      </c>
      <c r="B188" s="4" t="s">
        <v>895</v>
      </c>
      <c r="C188" s="5" t="s">
        <v>166</v>
      </c>
      <c r="D188" s="5"/>
    </row>
    <row r="189" spans="1:4" ht="19.95" customHeight="1" x14ac:dyDescent="0.25">
      <c r="A189" s="5" t="s">
        <v>470</v>
      </c>
      <c r="B189" s="4" t="s">
        <v>896</v>
      </c>
      <c r="C189" s="5" t="s">
        <v>166</v>
      </c>
      <c r="D189" s="5"/>
    </row>
    <row r="190" spans="1:4" ht="19.95" customHeight="1" x14ac:dyDescent="0.25">
      <c r="A190" s="5" t="s">
        <v>897</v>
      </c>
      <c r="B190" s="4" t="s">
        <v>898</v>
      </c>
      <c r="C190" s="5" t="s">
        <v>166</v>
      </c>
      <c r="D190" s="5"/>
    </row>
    <row r="191" spans="1:4" ht="19.95" customHeight="1" x14ac:dyDescent="0.25">
      <c r="A191" s="5" t="s">
        <v>899</v>
      </c>
      <c r="B191" s="4" t="s">
        <v>900</v>
      </c>
      <c r="C191" s="5" t="s">
        <v>166</v>
      </c>
      <c r="D191" s="5"/>
    </row>
    <row r="192" spans="1:4" ht="19.95" customHeight="1" x14ac:dyDescent="0.25">
      <c r="A192" s="5" t="s">
        <v>901</v>
      </c>
      <c r="B192" s="4" t="s">
        <v>902</v>
      </c>
      <c r="C192" s="5" t="s">
        <v>166</v>
      </c>
      <c r="D192" s="5"/>
    </row>
    <row r="193" spans="1:4" ht="19.95" customHeight="1" x14ac:dyDescent="0.25">
      <c r="A193" s="5" t="s">
        <v>903</v>
      </c>
      <c r="B193" s="4" t="s">
        <v>904</v>
      </c>
      <c r="C193" s="5" t="s">
        <v>166</v>
      </c>
      <c r="D193" s="5"/>
    </row>
    <row r="194" spans="1:4" ht="19.95" customHeight="1" x14ac:dyDescent="0.25">
      <c r="A194" s="5" t="s">
        <v>905</v>
      </c>
      <c r="B194" s="4" t="s">
        <v>906</v>
      </c>
      <c r="C194" s="5" t="s">
        <v>166</v>
      </c>
      <c r="D194" s="5"/>
    </row>
    <row r="195" spans="1:4" ht="19.95" customHeight="1" x14ac:dyDescent="0.25">
      <c r="A195" s="5" t="s">
        <v>907</v>
      </c>
      <c r="B195" s="4" t="s">
        <v>908</v>
      </c>
      <c r="C195" s="5" t="s">
        <v>166</v>
      </c>
      <c r="D195" s="5"/>
    </row>
    <row r="196" spans="1:4" ht="19.95" customHeight="1" x14ac:dyDescent="0.25">
      <c r="A196" s="5" t="s">
        <v>909</v>
      </c>
      <c r="B196" s="4" t="s">
        <v>910</v>
      </c>
      <c r="C196" s="5" t="s">
        <v>166</v>
      </c>
      <c r="D196" s="5"/>
    </row>
    <row r="197" spans="1:4" ht="19.95" customHeight="1" x14ac:dyDescent="0.25">
      <c r="A197" s="5" t="s">
        <v>911</v>
      </c>
      <c r="B197" s="4" t="s">
        <v>912</v>
      </c>
      <c r="C197" s="5" t="s">
        <v>166</v>
      </c>
      <c r="D197" s="5"/>
    </row>
    <row r="198" spans="1:4" ht="19.95" customHeight="1" x14ac:dyDescent="0.25">
      <c r="A198" s="5" t="s">
        <v>913</v>
      </c>
      <c r="B198" s="4" t="s">
        <v>914</v>
      </c>
      <c r="C198" s="5" t="s">
        <v>166</v>
      </c>
      <c r="D198" s="5"/>
    </row>
    <row r="199" spans="1:4" ht="19.95" customHeight="1" x14ac:dyDescent="0.25">
      <c r="A199" s="3" t="s">
        <v>220</v>
      </c>
      <c r="B199" s="4" t="s">
        <v>915</v>
      </c>
      <c r="C199" s="3" t="s">
        <v>916</v>
      </c>
      <c r="D199" s="3"/>
    </row>
    <row r="200" spans="1:4" ht="19.95" customHeight="1" x14ac:dyDescent="0.25">
      <c r="A200" s="3" t="s">
        <v>243</v>
      </c>
      <c r="B200" s="4" t="s">
        <v>917</v>
      </c>
      <c r="C200" s="3" t="s">
        <v>916</v>
      </c>
      <c r="D200" s="3"/>
    </row>
    <row r="201" spans="1:4" ht="19.95" customHeight="1" x14ac:dyDescent="0.25">
      <c r="A201" s="3" t="s">
        <v>918</v>
      </c>
      <c r="B201" s="4" t="s">
        <v>919</v>
      </c>
      <c r="C201" s="3" t="s">
        <v>916</v>
      </c>
      <c r="D201" s="3"/>
    </row>
    <row r="202" spans="1:4" ht="19.95" customHeight="1" x14ac:dyDescent="0.25">
      <c r="A202" s="3" t="s">
        <v>248</v>
      </c>
      <c r="B202" s="4" t="s">
        <v>920</v>
      </c>
      <c r="C202" s="3" t="s">
        <v>916</v>
      </c>
      <c r="D202" s="3"/>
    </row>
    <row r="203" spans="1:4" ht="19.95" customHeight="1" x14ac:dyDescent="0.25">
      <c r="A203" s="3" t="s">
        <v>921</v>
      </c>
      <c r="B203" s="4" t="s">
        <v>922</v>
      </c>
      <c r="C203" s="3" t="s">
        <v>916</v>
      </c>
      <c r="D203" s="3"/>
    </row>
    <row r="204" spans="1:4" ht="19.95" customHeight="1" x14ac:dyDescent="0.25">
      <c r="A204" s="3" t="s">
        <v>923</v>
      </c>
      <c r="B204" s="4" t="s">
        <v>924</v>
      </c>
      <c r="C204" s="3" t="s">
        <v>916</v>
      </c>
      <c r="D204" s="3"/>
    </row>
    <row r="205" spans="1:4" ht="19.95" customHeight="1" x14ac:dyDescent="0.25">
      <c r="A205" s="3" t="s">
        <v>925</v>
      </c>
      <c r="B205" s="4" t="s">
        <v>926</v>
      </c>
      <c r="C205" s="3" t="s">
        <v>916</v>
      </c>
      <c r="D205" s="3"/>
    </row>
    <row r="206" spans="1:4" ht="19.95" customHeight="1" x14ac:dyDescent="0.25">
      <c r="A206" s="3" t="s">
        <v>274</v>
      </c>
      <c r="B206" s="4" t="s">
        <v>927</v>
      </c>
      <c r="C206" s="3" t="s">
        <v>916</v>
      </c>
      <c r="D206" s="3"/>
    </row>
    <row r="207" spans="1:4" ht="19.95" customHeight="1" x14ac:dyDescent="0.25">
      <c r="A207" s="3" t="s">
        <v>268</v>
      </c>
      <c r="B207" s="4" t="s">
        <v>928</v>
      </c>
      <c r="C207" s="3" t="s">
        <v>916</v>
      </c>
      <c r="D207" s="3"/>
    </row>
    <row r="208" spans="1:4" ht="19.95" customHeight="1" x14ac:dyDescent="0.25">
      <c r="A208" s="3" t="s">
        <v>226</v>
      </c>
      <c r="B208" s="4" t="s">
        <v>929</v>
      </c>
      <c r="C208" s="3" t="s">
        <v>916</v>
      </c>
      <c r="D208" s="3"/>
    </row>
    <row r="209" spans="1:4" ht="19.95" customHeight="1" x14ac:dyDescent="0.25">
      <c r="A209" s="3" t="s">
        <v>169</v>
      </c>
      <c r="B209" s="4" t="s">
        <v>930</v>
      </c>
      <c r="C209" s="3" t="s">
        <v>916</v>
      </c>
      <c r="D209" s="3"/>
    </row>
    <row r="210" spans="1:4" ht="19.95" customHeight="1" x14ac:dyDescent="0.25">
      <c r="A210" s="3" t="s">
        <v>180</v>
      </c>
      <c r="B210" s="4" t="s">
        <v>931</v>
      </c>
      <c r="C210" s="3" t="s">
        <v>916</v>
      </c>
      <c r="D210" s="3"/>
    </row>
    <row r="211" spans="1:4" ht="19.95" customHeight="1" x14ac:dyDescent="0.25">
      <c r="A211" s="3" t="s">
        <v>190</v>
      </c>
      <c r="B211" s="4" t="s">
        <v>932</v>
      </c>
      <c r="C211" s="3" t="s">
        <v>916</v>
      </c>
      <c r="D211" s="3"/>
    </row>
    <row r="212" spans="1:4" ht="19.95" customHeight="1" x14ac:dyDescent="0.25">
      <c r="A212" s="3" t="s">
        <v>197</v>
      </c>
      <c r="B212" s="4" t="s">
        <v>933</v>
      </c>
      <c r="C212" s="3" t="s">
        <v>916</v>
      </c>
      <c r="D212" s="3"/>
    </row>
    <row r="213" spans="1:4" ht="19.95" customHeight="1" x14ac:dyDescent="0.25">
      <c r="A213" s="5" t="s">
        <v>2</v>
      </c>
      <c r="B213" s="65" t="s">
        <v>934</v>
      </c>
      <c r="C213" s="66" t="s">
        <v>990</v>
      </c>
      <c r="D213" s="5"/>
    </row>
    <row r="214" spans="1:4" ht="19.95" customHeight="1" x14ac:dyDescent="0.25">
      <c r="A214" s="5" t="s">
        <v>3</v>
      </c>
      <c r="B214" s="65" t="s">
        <v>935</v>
      </c>
      <c r="C214" s="66" t="s">
        <v>990</v>
      </c>
      <c r="D214" s="5"/>
    </row>
    <row r="215" spans="1:4" ht="19.95" customHeight="1" x14ac:dyDescent="0.25">
      <c r="A215" s="5" t="s">
        <v>4</v>
      </c>
      <c r="B215" s="65" t="s">
        <v>936</v>
      </c>
      <c r="C215" s="66" t="s">
        <v>990</v>
      </c>
      <c r="D215" s="5"/>
    </row>
    <row r="216" spans="1:4" ht="19.95" customHeight="1" x14ac:dyDescent="0.25">
      <c r="A216" s="5" t="s">
        <v>5</v>
      </c>
      <c r="B216" s="65" t="s">
        <v>937</v>
      </c>
      <c r="C216" s="66" t="s">
        <v>990</v>
      </c>
      <c r="D216" s="5"/>
    </row>
    <row r="217" spans="1:4" ht="19.95" customHeight="1" x14ac:dyDescent="0.25">
      <c r="A217" s="5" t="s">
        <v>6</v>
      </c>
      <c r="B217" s="65" t="s">
        <v>994</v>
      </c>
      <c r="C217" s="66" t="s">
        <v>990</v>
      </c>
      <c r="D217" s="5"/>
    </row>
    <row r="218" spans="1:4" ht="19.95" customHeight="1" x14ac:dyDescent="0.25">
      <c r="A218" s="5" t="s">
        <v>7</v>
      </c>
      <c r="B218" s="65" t="s">
        <v>947</v>
      </c>
      <c r="C218" s="66" t="s">
        <v>990</v>
      </c>
      <c r="D218" s="5"/>
    </row>
    <row r="219" spans="1:4" ht="19.95" customHeight="1" x14ac:dyDescent="0.25">
      <c r="A219" s="5" t="s">
        <v>8</v>
      </c>
      <c r="B219" s="4" t="s">
        <v>938</v>
      </c>
      <c r="C219" s="66" t="s">
        <v>990</v>
      </c>
      <c r="D219" s="5"/>
    </row>
    <row r="220" spans="1:4" ht="19.95" customHeight="1" x14ac:dyDescent="0.25">
      <c r="A220" s="5" t="s">
        <v>9</v>
      </c>
      <c r="B220" s="65" t="s">
        <v>939</v>
      </c>
      <c r="C220" s="66" t="s">
        <v>990</v>
      </c>
      <c r="D220" s="5"/>
    </row>
    <row r="221" spans="1:4" ht="19.95" customHeight="1" x14ac:dyDescent="0.25">
      <c r="A221" s="5" t="s">
        <v>10</v>
      </c>
      <c r="B221" s="65" t="s">
        <v>940</v>
      </c>
      <c r="C221" s="66" t="s">
        <v>990</v>
      </c>
      <c r="D221" s="5"/>
    </row>
    <row r="222" spans="1:4" ht="19.95" customHeight="1" x14ac:dyDescent="0.25">
      <c r="A222" s="5" t="s">
        <v>11</v>
      </c>
      <c r="B222" s="65" t="s">
        <v>941</v>
      </c>
      <c r="C222" s="66" t="s">
        <v>990</v>
      </c>
      <c r="D222" s="5"/>
    </row>
    <row r="223" spans="1:4" ht="19.95" customHeight="1" x14ac:dyDescent="0.25">
      <c r="A223" s="5" t="s">
        <v>12</v>
      </c>
      <c r="B223" s="65" t="s">
        <v>942</v>
      </c>
      <c r="C223" s="66" t="s">
        <v>990</v>
      </c>
      <c r="D223" s="5"/>
    </row>
    <row r="224" spans="1:4" ht="19.95" customHeight="1" x14ac:dyDescent="0.25">
      <c r="A224" s="5" t="s">
        <v>13</v>
      </c>
      <c r="B224" s="65" t="s">
        <v>943</v>
      </c>
      <c r="C224" s="66" t="s">
        <v>990</v>
      </c>
      <c r="D224" s="5"/>
    </row>
    <row r="225" spans="1:4" ht="19.95" customHeight="1" x14ac:dyDescent="0.25">
      <c r="A225" s="5" t="s">
        <v>14</v>
      </c>
      <c r="B225" s="65" t="s">
        <v>944</v>
      </c>
      <c r="C225" s="66" t="s">
        <v>990</v>
      </c>
      <c r="D225" s="5"/>
    </row>
    <row r="226" spans="1:4" ht="19.95" customHeight="1" x14ac:dyDescent="0.25">
      <c r="A226" s="5" t="s">
        <v>15</v>
      </c>
      <c r="B226" s="65" t="s">
        <v>945</v>
      </c>
      <c r="C226" s="66" t="s">
        <v>990</v>
      </c>
      <c r="D226" s="5"/>
    </row>
    <row r="227" spans="1:4" ht="19.95" customHeight="1" x14ac:dyDescent="0.25">
      <c r="A227" s="5" t="s">
        <v>16</v>
      </c>
      <c r="B227" s="65" t="s">
        <v>946</v>
      </c>
      <c r="C227" s="66" t="s">
        <v>990</v>
      </c>
      <c r="D227" s="5"/>
    </row>
    <row r="228" spans="1:4" ht="19.95" customHeight="1" x14ac:dyDescent="0.25">
      <c r="A228" s="5" t="s">
        <v>17</v>
      </c>
      <c r="B228" s="65" t="s">
        <v>948</v>
      </c>
      <c r="C228" s="66" t="s">
        <v>990</v>
      </c>
      <c r="D228" s="5"/>
    </row>
    <row r="229" spans="1:4" ht="19.95" customHeight="1" x14ac:dyDescent="0.25">
      <c r="A229" s="5" t="s">
        <v>18</v>
      </c>
      <c r="B229" s="65" t="s">
        <v>949</v>
      </c>
      <c r="C229" s="66" t="s">
        <v>990</v>
      </c>
      <c r="D229" s="5"/>
    </row>
    <row r="230" spans="1:4" ht="19.95" customHeight="1" x14ac:dyDescent="0.25">
      <c r="A230" s="5" t="s">
        <v>19</v>
      </c>
      <c r="B230" s="65" t="s">
        <v>950</v>
      </c>
      <c r="C230" s="66" t="s">
        <v>990</v>
      </c>
      <c r="D230" s="5"/>
    </row>
    <row r="231" spans="1:4" ht="19.95" customHeight="1" x14ac:dyDescent="0.25">
      <c r="A231" s="5" t="s">
        <v>20</v>
      </c>
      <c r="B231" s="65" t="s">
        <v>951</v>
      </c>
      <c r="C231" s="66" t="s">
        <v>990</v>
      </c>
      <c r="D231" s="5"/>
    </row>
    <row r="232" spans="1:4" ht="19.95" customHeight="1" x14ac:dyDescent="0.25">
      <c r="A232" s="5" t="s">
        <v>21</v>
      </c>
      <c r="B232" s="65" t="s">
        <v>952</v>
      </c>
      <c r="C232" s="66" t="s">
        <v>990</v>
      </c>
      <c r="D232" s="5"/>
    </row>
    <row r="233" spans="1:4" ht="19.95" customHeight="1" x14ac:dyDescent="0.25">
      <c r="A233" s="5" t="s">
        <v>22</v>
      </c>
      <c r="B233" s="65" t="s">
        <v>953</v>
      </c>
      <c r="C233" s="66" t="s">
        <v>990</v>
      </c>
      <c r="D233" s="5"/>
    </row>
    <row r="234" spans="1:4" ht="19.95" customHeight="1" x14ac:dyDescent="0.25">
      <c r="A234" s="5" t="s">
        <v>23</v>
      </c>
      <c r="B234" s="65" t="s">
        <v>954</v>
      </c>
      <c r="C234" s="66" t="s">
        <v>990</v>
      </c>
      <c r="D234" s="5"/>
    </row>
    <row r="235" spans="1:4" ht="19.95" customHeight="1" x14ac:dyDescent="0.25">
      <c r="A235" s="5" t="s">
        <v>24</v>
      </c>
      <c r="B235" s="65" t="s">
        <v>955</v>
      </c>
      <c r="C235" s="66" t="s">
        <v>990</v>
      </c>
      <c r="D235" s="5"/>
    </row>
    <row r="236" spans="1:4" ht="19.95" customHeight="1" x14ac:dyDescent="0.25">
      <c r="A236" s="5" t="s">
        <v>25</v>
      </c>
      <c r="B236" s="65" t="s">
        <v>956</v>
      </c>
      <c r="C236" s="66" t="s">
        <v>990</v>
      </c>
      <c r="D236" s="5"/>
    </row>
    <row r="237" spans="1:4" ht="19.95" customHeight="1" x14ac:dyDescent="0.25">
      <c r="A237" s="5" t="s">
        <v>26</v>
      </c>
      <c r="B237" s="65" t="s">
        <v>957</v>
      </c>
      <c r="C237" s="66" t="s">
        <v>990</v>
      </c>
      <c r="D237" s="5"/>
    </row>
    <row r="238" spans="1:4" ht="19.95" customHeight="1" x14ac:dyDescent="0.25">
      <c r="A238" s="5" t="s">
        <v>27</v>
      </c>
      <c r="B238" s="65" t="s">
        <v>958</v>
      </c>
      <c r="C238" s="66" t="s">
        <v>990</v>
      </c>
      <c r="D238" s="5"/>
    </row>
    <row r="239" spans="1:4" ht="19.95" customHeight="1" x14ac:dyDescent="0.25">
      <c r="A239" s="5" t="s">
        <v>28</v>
      </c>
      <c r="B239" s="65" t="s">
        <v>959</v>
      </c>
      <c r="C239" s="66" t="s">
        <v>990</v>
      </c>
      <c r="D239" s="5"/>
    </row>
    <row r="240" spans="1:4" ht="19.95" customHeight="1" x14ac:dyDescent="0.25">
      <c r="A240" s="5" t="s">
        <v>29</v>
      </c>
      <c r="B240" s="65" t="s">
        <v>960</v>
      </c>
      <c r="C240" s="66" t="s">
        <v>990</v>
      </c>
      <c r="D240" s="5"/>
    </row>
    <row r="241" spans="1:4" ht="19.95" customHeight="1" x14ac:dyDescent="0.25">
      <c r="A241" s="5" t="s">
        <v>30</v>
      </c>
      <c r="B241" s="65" t="s">
        <v>961</v>
      </c>
      <c r="C241" s="66" t="s">
        <v>990</v>
      </c>
      <c r="D241" s="5"/>
    </row>
    <row r="242" spans="1:4" ht="19.95" customHeight="1" x14ac:dyDescent="0.25">
      <c r="A242" s="5" t="s">
        <v>31</v>
      </c>
      <c r="B242" s="65" t="s">
        <v>962</v>
      </c>
      <c r="C242" s="66" t="s">
        <v>990</v>
      </c>
      <c r="D242" s="5"/>
    </row>
    <row r="243" spans="1:4" ht="19.95" customHeight="1" x14ac:dyDescent="0.25">
      <c r="A243" s="5" t="s">
        <v>32</v>
      </c>
      <c r="B243" s="65" t="s">
        <v>963</v>
      </c>
      <c r="C243" s="66" t="s">
        <v>990</v>
      </c>
      <c r="D243" s="5"/>
    </row>
    <row r="244" spans="1:4" ht="19.95" customHeight="1" x14ac:dyDescent="0.25">
      <c r="A244" s="5" t="s">
        <v>33</v>
      </c>
      <c r="B244" s="65" t="s">
        <v>964</v>
      </c>
      <c r="C244" s="66" t="s">
        <v>990</v>
      </c>
      <c r="D244" s="5"/>
    </row>
    <row r="245" spans="1:4" ht="19.95" customHeight="1" x14ac:dyDescent="0.25">
      <c r="A245" s="5" t="s">
        <v>34</v>
      </c>
      <c r="B245" s="65" t="s">
        <v>965</v>
      </c>
      <c r="C245" s="66" t="s">
        <v>990</v>
      </c>
      <c r="D245" s="5"/>
    </row>
    <row r="246" spans="1:4" ht="19.95" customHeight="1" x14ac:dyDescent="0.25">
      <c r="A246" s="5" t="s">
        <v>35</v>
      </c>
      <c r="B246" s="65" t="s">
        <v>966</v>
      </c>
      <c r="C246" s="66" t="s">
        <v>990</v>
      </c>
      <c r="D246" s="5"/>
    </row>
    <row r="247" spans="1:4" ht="19.95" customHeight="1" x14ac:dyDescent="0.25">
      <c r="A247" s="5" t="s">
        <v>36</v>
      </c>
      <c r="B247" s="65" t="s">
        <v>967</v>
      </c>
      <c r="C247" s="66" t="s">
        <v>990</v>
      </c>
      <c r="D247" s="5"/>
    </row>
    <row r="248" spans="1:4" ht="19.95" customHeight="1" x14ac:dyDescent="0.25">
      <c r="A248" s="5" t="s">
        <v>37</v>
      </c>
      <c r="B248" s="65" t="s">
        <v>968</v>
      </c>
      <c r="C248" s="66" t="s">
        <v>990</v>
      </c>
      <c r="D248" s="5"/>
    </row>
    <row r="249" spans="1:4" ht="19.95" customHeight="1" x14ac:dyDescent="0.25">
      <c r="A249" s="5" t="s">
        <v>38</v>
      </c>
      <c r="B249" s="65" t="s">
        <v>969</v>
      </c>
      <c r="C249" s="66" t="s">
        <v>990</v>
      </c>
      <c r="D249" s="5"/>
    </row>
    <row r="250" spans="1:4" ht="19.95" customHeight="1" x14ac:dyDescent="0.25">
      <c r="A250" s="5" t="s">
        <v>39</v>
      </c>
      <c r="B250" s="65" t="s">
        <v>970</v>
      </c>
      <c r="C250" s="66" t="s">
        <v>990</v>
      </c>
      <c r="D250" s="5"/>
    </row>
    <row r="251" spans="1:4" ht="19.95" customHeight="1" x14ac:dyDescent="0.25">
      <c r="A251" s="5" t="s">
        <v>40</v>
      </c>
      <c r="B251" s="65" t="s">
        <v>971</v>
      </c>
      <c r="C251" s="66" t="s">
        <v>990</v>
      </c>
      <c r="D251" s="5"/>
    </row>
    <row r="252" spans="1:4" ht="19.95" customHeight="1" x14ac:dyDescent="0.25">
      <c r="A252" s="5" t="s">
        <v>41</v>
      </c>
      <c r="B252" s="65" t="s">
        <v>972</v>
      </c>
      <c r="C252" s="66" t="s">
        <v>990</v>
      </c>
      <c r="D252" s="5"/>
    </row>
    <row r="253" spans="1:4" ht="19.95" customHeight="1" x14ac:dyDescent="0.25">
      <c r="A253" s="5" t="s">
        <v>42</v>
      </c>
      <c r="B253" s="65" t="s">
        <v>973</v>
      </c>
      <c r="C253" s="66" t="s">
        <v>990</v>
      </c>
      <c r="D253" s="5"/>
    </row>
    <row r="254" spans="1:4" ht="19.95" customHeight="1" x14ac:dyDescent="0.25">
      <c r="A254" s="5" t="s">
        <v>43</v>
      </c>
      <c r="B254" s="65" t="s">
        <v>974</v>
      </c>
      <c r="C254" s="66" t="s">
        <v>990</v>
      </c>
      <c r="D254" s="5"/>
    </row>
    <row r="255" spans="1:4" ht="19.95" customHeight="1" x14ac:dyDescent="0.25">
      <c r="A255" s="5" t="s">
        <v>44</v>
      </c>
      <c r="B255" s="65" t="s">
        <v>975</v>
      </c>
      <c r="C255" s="66" t="s">
        <v>990</v>
      </c>
      <c r="D255" s="5"/>
    </row>
    <row r="256" spans="1:4" ht="19.95" customHeight="1" x14ac:dyDescent="0.25">
      <c r="A256" s="5" t="s">
        <v>45</v>
      </c>
      <c r="B256" s="65" t="s">
        <v>976</v>
      </c>
      <c r="C256" s="66" t="s">
        <v>990</v>
      </c>
      <c r="D256" s="5"/>
    </row>
    <row r="257" spans="1:4" ht="19.95" customHeight="1" x14ac:dyDescent="0.25">
      <c r="A257" s="5" t="s">
        <v>46</v>
      </c>
      <c r="B257" s="65" t="s">
        <v>977</v>
      </c>
      <c r="C257" s="66" t="s">
        <v>990</v>
      </c>
      <c r="D257" s="5"/>
    </row>
    <row r="258" spans="1:4" ht="19.95" customHeight="1" x14ac:dyDescent="0.25">
      <c r="A258" s="5" t="s">
        <v>47</v>
      </c>
      <c r="B258" s="65" t="s">
        <v>978</v>
      </c>
      <c r="C258" s="66" t="s">
        <v>990</v>
      </c>
      <c r="D258" s="5"/>
    </row>
    <row r="259" spans="1:4" ht="19.95" customHeight="1" x14ac:dyDescent="0.25">
      <c r="A259" s="5" t="s">
        <v>48</v>
      </c>
      <c r="B259" s="65" t="s">
        <v>979</v>
      </c>
      <c r="C259" s="66" t="s">
        <v>990</v>
      </c>
      <c r="D259" s="5"/>
    </row>
    <row r="260" spans="1:4" ht="19.95" customHeight="1" x14ac:dyDescent="0.25">
      <c r="A260" s="5" t="s">
        <v>49</v>
      </c>
      <c r="B260" s="4" t="s">
        <v>980</v>
      </c>
      <c r="C260" s="66" t="s">
        <v>990</v>
      </c>
      <c r="D260" s="5"/>
    </row>
    <row r="261" spans="1:4" ht="19.95" customHeight="1" x14ac:dyDescent="0.25">
      <c r="A261" s="5" t="s">
        <v>50</v>
      </c>
      <c r="B261" s="65" t="s">
        <v>981</v>
      </c>
      <c r="C261" s="66" t="s">
        <v>990</v>
      </c>
      <c r="D261" s="5"/>
    </row>
    <row r="262" spans="1:4" ht="19.95" customHeight="1" x14ac:dyDescent="0.25">
      <c r="A262" s="5" t="s">
        <v>51</v>
      </c>
      <c r="B262" s="65" t="s">
        <v>982</v>
      </c>
      <c r="C262" s="66" t="s">
        <v>990</v>
      </c>
      <c r="D262" s="5"/>
    </row>
    <row r="263" spans="1:4" ht="19.95" customHeight="1" x14ac:dyDescent="0.25">
      <c r="A263" s="5" t="s">
        <v>52</v>
      </c>
      <c r="B263" s="65" t="s">
        <v>983</v>
      </c>
      <c r="C263" s="66" t="s">
        <v>990</v>
      </c>
      <c r="D263" s="5"/>
    </row>
    <row r="264" spans="1:4" ht="19.95" customHeight="1" x14ac:dyDescent="0.25">
      <c r="A264" s="5" t="s">
        <v>53</v>
      </c>
      <c r="B264" s="65" t="s">
        <v>984</v>
      </c>
      <c r="C264" s="66" t="s">
        <v>990</v>
      </c>
      <c r="D264" s="5"/>
    </row>
    <row r="265" spans="1:4" ht="19.95" customHeight="1" x14ac:dyDescent="0.25">
      <c r="A265" s="5" t="s">
        <v>54</v>
      </c>
      <c r="B265" s="65" t="s">
        <v>985</v>
      </c>
      <c r="C265" s="66" t="s">
        <v>990</v>
      </c>
      <c r="D265" s="5"/>
    </row>
    <row r="266" spans="1:4" ht="19.95" customHeight="1" x14ac:dyDescent="0.25">
      <c r="A266" s="5" t="s">
        <v>55</v>
      </c>
      <c r="B266" s="65" t="s">
        <v>986</v>
      </c>
      <c r="C266" s="66" t="s">
        <v>990</v>
      </c>
      <c r="D266" s="5"/>
    </row>
    <row r="267" spans="1:4" ht="19.95" customHeight="1" x14ac:dyDescent="0.25">
      <c r="A267" s="5" t="s">
        <v>56</v>
      </c>
      <c r="B267" s="65" t="s">
        <v>987</v>
      </c>
      <c r="C267" s="66" t="s">
        <v>990</v>
      </c>
      <c r="D267" s="5"/>
    </row>
    <row r="268" spans="1:4" ht="19.95" customHeight="1" x14ac:dyDescent="0.25">
      <c r="A268" s="5" t="s">
        <v>57</v>
      </c>
      <c r="B268" s="65" t="s">
        <v>988</v>
      </c>
      <c r="C268" s="66" t="s">
        <v>990</v>
      </c>
      <c r="D268" s="5"/>
    </row>
    <row r="269" spans="1:4" ht="19.95" customHeight="1" x14ac:dyDescent="0.25">
      <c r="A269" s="5" t="s">
        <v>58</v>
      </c>
      <c r="B269" s="65" t="s">
        <v>989</v>
      </c>
      <c r="C269" s="66" t="s">
        <v>990</v>
      </c>
      <c r="D269" s="5"/>
    </row>
    <row r="270" spans="1:4" ht="19.95" customHeight="1" x14ac:dyDescent="0.25">
      <c r="A270" s="66" t="s">
        <v>992</v>
      </c>
      <c r="B270" s="65" t="s">
        <v>993</v>
      </c>
      <c r="C270" s="66" t="s">
        <v>990</v>
      </c>
      <c r="D270" s="5"/>
    </row>
  </sheetData>
  <phoneticPr fontId="10" type="noConversion"/>
  <conditionalFormatting sqref="B1">
    <cfRule type="duplicateValues" dxfId="14" priority="12"/>
  </conditionalFormatting>
  <conditionalFormatting sqref="C1">
    <cfRule type="duplicateValues" dxfId="13" priority="9"/>
  </conditionalFormatting>
  <conditionalFormatting sqref="A139:A141">
    <cfRule type="duplicateValues" dxfId="12" priority="6"/>
  </conditionalFormatting>
  <conditionalFormatting sqref="A144:A145">
    <cfRule type="duplicateValues" dxfId="11" priority="3"/>
  </conditionalFormatting>
  <conditionalFormatting sqref="A199:A212">
    <cfRule type="duplicateValues" dxfId="10" priority="13"/>
  </conditionalFormatting>
  <conditionalFormatting sqref="B139:B141">
    <cfRule type="duplicateValues" dxfId="9" priority="7"/>
  </conditionalFormatting>
  <conditionalFormatting sqref="B144:B145">
    <cfRule type="duplicateValues" dxfId="8" priority="4"/>
  </conditionalFormatting>
  <conditionalFormatting sqref="B198:B212">
    <cfRule type="duplicateValues" dxfId="7" priority="14"/>
  </conditionalFormatting>
  <conditionalFormatting sqref="D139:D141">
    <cfRule type="duplicateValues" dxfId="6" priority="5"/>
  </conditionalFormatting>
  <conditionalFormatting sqref="D144:D145">
    <cfRule type="duplicateValues" dxfId="5" priority="2"/>
  </conditionalFormatting>
  <conditionalFormatting sqref="D199:D212">
    <cfRule type="duplicateValues" dxfId="4" priority="8"/>
  </conditionalFormatting>
  <conditionalFormatting sqref="A4:A138 A142:A143 A146:A158">
    <cfRule type="duplicateValues" dxfId="3" priority="20"/>
  </conditionalFormatting>
  <conditionalFormatting sqref="B4:B138 B142:B143 B146:B197">
    <cfRule type="duplicateValues" dxfId="2" priority="21"/>
  </conditionalFormatting>
  <conditionalFormatting sqref="D4:D138 D142:D143 D146:D158">
    <cfRule type="duplicateValues" dxfId="1" priority="15"/>
  </conditionalFormatting>
  <conditionalFormatting sqref="B213:B270">
    <cfRule type="duplicateValues" dxfId="0" priority="22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商品</vt:lpstr>
      <vt:lpstr>职业</vt:lpstr>
      <vt:lpstr>生产方式定位</vt:lpstr>
      <vt:lpstr>生产方式组</vt:lpstr>
      <vt:lpstr>生产方式演算表</vt:lpstr>
      <vt:lpstr>生产方式配置表</vt:lpstr>
      <vt:lpstr>string_dictionary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2022-05-15T08:22:00Z</dcterms:created>
  <dcterms:modified xsi:type="dcterms:W3CDTF">2023-01-10T15:28:58Z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CBDBFF2A49864BB3920CE55DB3543B36</vt:lpwstr>
  </property>
  <property fmtid="{D5CDD505-2E9C-101B-9397-08002B2CF9AE}" pid="3" name="KSOProductBuildVer">
    <vt:lpwstr>2052-11.1.0.13703</vt:lpwstr>
  </property>
</Properties>
</file>