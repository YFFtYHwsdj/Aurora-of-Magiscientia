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ACEB09B1-49A0-45AB-A4E6-C7EAF291606C}" xr6:coauthVersionLast="47" xr6:coauthVersionMax="47" xr10:uidLastSave="{00000000-0000-0000-0000-000000000000}"/>
  <bookViews>
    <workbookView xWindow="-93" yWindow="-93" windowWidth="25786" windowHeight="13866" tabRatio="679" firstSheet="1" activeTab="6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D16" i="2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E13" i="2"/>
  <c r="E15" i="2"/>
  <c r="E16" i="2"/>
  <c r="D59" i="1"/>
  <c r="D45" i="1"/>
  <c r="E12" i="2" l="1"/>
  <c r="E9" i="2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翻译在string_dictionary</t>
        </r>
      </text>
    </comment>
    <comment ref="I3" authorId="0" shapeId="0" xr:uid="{00000000-0006-0000-01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10"/>
            <rFont val="宋体"/>
            <family val="3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family val="3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10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family val="3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Y3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 xml:space="preserve">Ayano：
</t>
        </r>
        <r>
          <rPr>
            <sz val="9"/>
            <rFont val="宋体"/>
            <family val="3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<sst xmlns="http://schemas.openxmlformats.org/spreadsheetml/2006/main" count="4530" uniqueCount="1232">
  <si>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</si>
  <si>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</si>
  <si>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</si>
  <si>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</si>
  <si>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</si>
  <si>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</si>
  <si>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</si>
  <si>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</si>
  <si>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</si>
  <si>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</si>
  <si>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</si>
  <si>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</si>
  <si>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</si>
  <si>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</si>
  <si>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</si>
  <si>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</si>
  <si>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</si>
  <si>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</si>
  <si>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</si>
  <si>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</si>
  <si>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</si>
  <si>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</si>
  <si>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</si>
  <si>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</si>
  <si>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</si>
  <si>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</si>
  <si>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</si>
  <si>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</si>
  <si>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pm_A = {
    title = {
        煤炭 = 1
        铁 = 1
        钢 = 1
    }
    abc = {
        h
        t
    }
}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</si>
  <si>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</si>
  <si>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</si>
  <si>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</si>
  <si>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</si>
  <si>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</si>
  <si>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</si>
  <si>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</si>
  <si>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</si>
  <si>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</si>
  <si>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</si>
  <si>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</si>
  <si>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</si>
  <si>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</si>
  <si>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</si>
  <si>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</si>
  <si>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</si>
  <si>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</si>
  <si>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</si>
  <si>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</si>
  <si>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</si>
  <si>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</si>
  <si>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</si>
  <si>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</si>
  <si>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</si>
  <si>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</si>
  <si>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</si>
  <si>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</si>
  <si>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</si>
  <si>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</si>
  <si>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</si>
  <si>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</si>
  <si>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</si>
  <si>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</si>
  <si>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</si>
  <si>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</si>
  <si>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</si>
  <si>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"gfx/interface/icons/goods_icons/grain.dds"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</si>
  <si>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</si>
  <si>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</si>
  <si>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</si>
  <si>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</si>
  <si>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</si>
  <si>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</si>
  <si>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</si>
  <si>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</si>
  <si>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</si>
  <si>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</si>
  <si>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</si>
  <si>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</si>
  <si>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</si>
  <si>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</si>
  <si>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</si>
  <si>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</si>
  <si>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</si>
  <si>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</si>
  <si>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</si>
  <si>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</si>
  <si>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</si>
  <si>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</si>
  <si>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</si>
  <si>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</si>
  <si>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</si>
  <si>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</si>
  <si>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</si>
  <si>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</si>
  <si>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</si>
  <si>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</si>
  <si>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</si>
  <si>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</si>
  <si>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</si>
  <si>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</si>
  <si>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</si>
  <si>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</si>
  <si>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</si>
  <si>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</si>
  <si>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</si>
  <si>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</si>
  <si>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</si>
  <si>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</si>
  <si>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</si>
  <si>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</si>
  <si>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</si>
  <si>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</si>
  <si>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</si>
  <si>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</si>
  <si>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</si>
  <si>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</si>
  <si>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</si>
  <si>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</si>
  <si>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</si>
  <si>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</si>
  <si>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</si>
  <si>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</si>
  <si>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</si>
  <si>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</si>
  <si>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</si>
  <si>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</si>
  <si>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</si>
  <si>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金属防具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</si>
  <si>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</si>
  <si>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</si>
  <si>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</si>
  <si>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</si>
  <si>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</si>
  <si>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</si>
  <si>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</si>
  <si>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</si>
  <si>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</si>
  <si>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</si>
  <si>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</si>
  <si>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</si>
  <si>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</si>
  <si>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</si>
  <si>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</si>
  <si>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</si>
  <si>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</si>
  <si>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</si>
  <si>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</si>
  <si>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</si>
  <si>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</si>
  <si>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</si>
  <si>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</si>
  <si>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</si>
  <si>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</si>
  <si>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</si>
  <si>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</si>
  <si>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</si>
  <si>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</si>
  <si>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</si>
  <si>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</si>
  <si>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</si>
  <si>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</si>
  <si>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</si>
  <si>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</si>
  <si>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</si>
  <si>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</si>
  <si>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</si>
  <si>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</si>
  <si>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</si>
  <si>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</si>
  <si>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</si>
  <si>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</si>
  <si>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</si>
  <si>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</si>
  <si>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</si>
  <si>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</si>
  <si>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</si>
  <si>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</si>
  <si>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</si>
  <si>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</si>
  <si>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</si>
  <si>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</si>
  <si>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</si>
  <si>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</si>
  <si>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</si>
  <si>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</si>
  <si>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</si>
  <si>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</si>
  <si>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</si>
  <si>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</si>
  <si>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</si>
  <si>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</si>
  <si>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</si>
  <si>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</si>
  <si>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</si>
  <si>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</si>
  <si>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</si>
  <si>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</si>
  <si>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</si>
  <si>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</si>
  <si>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</si>
  <si>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</si>
  <si>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</si>
  <si>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</si>
  <si>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</si>
  <si>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</si>
  <si>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</si>
  <si>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</si>
  <si>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</si>
  <si>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</si>
  <si>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</si>
  <si>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</si>
  <si>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</si>
  <si>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</si>
  <si>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</si>
  <si>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</si>
  <si>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</si>
  <si>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</si>
  <si>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</si>
  <si>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</si>
  <si>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</si>
  <si>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</si>
  <si>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</si>
  <si>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</si>
  <si>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</si>
  <si>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</si>
  <si>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</si>
  <si>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</si>
  <si>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</si>
  <si>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</si>
  <si>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</si>
  <si>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</si>
  <si>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</si>
  <si>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</si>
  <si>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</si>
  <si>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</si>
  <si>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</si>
  <si>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</si>
  <si>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</si>
  <si>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</si>
  <si>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</si>
  <si>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</si>
  <si>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</si>
  <si>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</si>
  <si>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</si>
  <si>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</si>
  <si>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</si>
  <si>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</si>
  <si>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</si>
  <si>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</si>
  <si>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</si>
  <si>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</si>
  <si>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</si>
  <si>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</si>
  <si>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</si>
  <si>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</si>
  <si>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</si>
  <si>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</si>
  <si>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</si>
  <si>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</si>
  <si>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</si>
  <si>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</si>
  <si>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</si>
  <si>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</si>
  <si>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</si>
  <si>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</si>
  <si>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</si>
  <si>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</si>
  <si>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</si>
  <si>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</si>
  <si>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</si>
  <si>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</si>
  <si>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</si>
  <si>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</si>
  <si>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</si>
  <si>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</si>
  <si>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</si>
  <si>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</si>
  <si>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</si>
  <si>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</si>
  <si>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</si>
  <si>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</si>
  <si>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</si>
  <si>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</si>
  <si>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</si>
  <si>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</si>
  <si>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</si>
  <si>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</si>
  <si>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</si>
  <si>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</si>
  <si>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</si>
  <si>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</si>
  <si>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</si>
  <si>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</si>
  <si>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</si>
  <si>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</si>
  <si>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</si>
  <si>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</si>
  <si>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</si>
  <si>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</si>
  <si>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</si>
  <si>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</si>
  <si>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</si>
  <si>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</si>
  <si>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</si>
  <si>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</si>
  <si>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</si>
  <si>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</si>
  <si>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</si>
  <si>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</si>
  <si>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</si>
  <si>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</si>
  <si>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</si>
  <si>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</si>
  <si>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</si>
  <si>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</si>
  <si>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</si>
  <si>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</si>
  <si>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</si>
  <si>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</si>
  <si>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</si>
  <si>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</si>
  <si>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</si>
  <si>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</si>
  <si>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</si>
  <si>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</si>
  <si>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</si>
  <si>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</si>
  <si>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</si>
  <si>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</si>
  <si>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</si>
  <si>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</si>
  <si>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</si>
  <si>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</si>
  <si>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</si>
  <si>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</si>
  <si>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</si>
  <si>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</si>
  <si>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</si>
  <si>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</si>
  <si>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</si>
  <si>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</si>
  <si>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</si>
  <si>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</si>
  <si>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</si>
  <si>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</si>
  <si>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</si>
  <si>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</si>
  <si>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</si>
  <si>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</si>
  <si>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</si>
  <si>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</si>
  <si>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</si>
  <si>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</si>
  <si>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</si>
  <si>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</si>
  <si>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</si>
  <si>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</si>
  <si>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</si>
  <si>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</si>
  <si>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</si>
  <si>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</si>
  <si>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</si>
  <si>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</si>
  <si>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</si>
  <si>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</si>
  <si>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</si>
  <si>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</si>
  <si>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</si>
  <si>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</si>
  <si>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</si>
  <si>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</si>
  <si>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</si>
  <si>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</si>
  <si>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</si>
  <si>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</si>
  <si>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</si>
  <si>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</si>
  <si>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</si>
  <si>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</si>
  <si>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</si>
  <si>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</si>
  <si>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</si>
  <si>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</si>
  <si>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</si>
  <si>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</si>
  <si>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</si>
  <si>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</si>
  <si>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</si>
  <si>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</si>
  <si>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</si>
  <si>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</si>
  <si>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</si>
  <si>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</si>
  <si>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</si>
  <si>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</si>
  <si>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</si>
  <si>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</si>
  <si>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</si>
  <si>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</si>
  <si>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</si>
  <si>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</si>
  <si>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</si>
  <si>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</si>
  <si>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</si>
  <si>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</si>
  <si>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</si>
  <si>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</si>
  <si>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</si>
  <si>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</si>
  <si>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</si>
  <si>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</si>
  <si>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</si>
  <si>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</si>
  <si>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</si>
  <si>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</si>
  <si>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</si>
  <si>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</si>
  <si>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</si>
  <si>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</si>
  <si>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</si>
  <si>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</si>
  <si>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</si>
  <si>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</si>
  <si>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</si>
  <si>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</si>
  <si>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</si>
  <si>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</si>
  <si>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</si>
  <si>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</si>
  <si>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</si>
  <si>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</si>
  <si>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</si>
  <si>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</si>
  <si>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</si>
  <si>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</si>
  <si>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</si>
  <si>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</si>
  <si>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</si>
  <si>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</si>
  <si>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</si>
  <si>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</si>
  <si>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</si>
  <si>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</si>
  <si>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</si>
  <si>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</si>
  <si>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</si>
  <si>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</si>
  <si>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</si>
  <si>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</si>
  <si>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</si>
  <si>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</si>
  <si>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</si>
  <si>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</si>
  <si>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</si>
  <si>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</si>
  <si>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</si>
  <si>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</si>
  <si>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</si>
  <si>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</si>
  <si>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</si>
  <si>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</si>
  <si>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</si>
  <si>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</si>
  <si>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</si>
  <si>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</si>
  <si>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</si>
  <si>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</si>
  <si>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</si>
  <si>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</si>
  <si>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</si>
  <si>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</si>
  <si>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</si>
  <si>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</si>
  <si>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</si>
  <si>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</si>
  <si>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</si>
  <si>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</si>
  <si>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</si>
  <si>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</si>
  <si>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</si>
  <si>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</si>
  <si>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</si>
  <si>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</si>
  <si>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</si>
  <si>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</si>
  <si>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</si>
  <si>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</si>
  <si>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</si>
  <si>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</si>
  <si>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</si>
  <si>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</si>
  <si>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</si>
  <si>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</si>
  <si>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</si>
  <si>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</si>
  <si>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</si>
  <si>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</si>
  <si>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</si>
  <si>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</si>
  <si>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</si>
  <si>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</si>
  <si>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</si>
  <si>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</si>
  <si>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</si>
  <si>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</si>
  <si>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</si>
  <si>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</si>
  <si>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</si>
  <si>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</si>
  <si>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</si>
  <si>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</si>
  <si>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</si>
  <si>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</si>
  <si>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</si>
  <si>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</si>
  <si>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</si>
  <si>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</si>
  <si>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</si>
  <si>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</si>
  <si>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</si>
  <si>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</si>
  <si>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</si>
  <si>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</si>
  <si>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</si>
  <si>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</si>
  <si>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</si>
  <si>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</si>
  <si>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 xml:space="preserve">unlocking_production_methods,2,1 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</si>
  <si>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</si>
  <si>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</si>
  <si>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</si>
  <si>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</si>
  <si>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</si>
  <si>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</si>
  <si>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</si>
  <si>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</si>
  <si>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</si>
  <si>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</si>
  <si>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</si>
  <si>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</si>
  <si>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禁止该生产方式的法律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</si>
  <si>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</si>
  <si>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</si>
  <si>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</si>
  <si>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</si>
  <si>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</si>
  <si>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</si>
  <si>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</si>
  <si>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</si>
  <si>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</si>
  <si>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</si>
  <si>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</si>
  <si>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</si>
  <si>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</si>
  <si>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</si>
  <si>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</si>
  <si>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</si>
  <si>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</si>
  <si>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</si>
  <si>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店主</t>
  </si>
  <si>
    <t>building_shopkeepers_shares_add</t>
  </si>
  <si>
    <t>building_aristocrats_shares_add</t>
  </si>
  <si>
    <t>law_traditionalism</t>
  </si>
  <si>
    <t>职员</t>
  </si>
  <si>
    <t>building_capitalists_shares_add</t>
  </si>
  <si>
    <t>机工</t>
  </si>
  <si>
    <t>building_laborers_shares_add</t>
  </si>
  <si>
    <t>building_machinists_shares_add</t>
  </si>
  <si>
    <t>building_engineers_shares_add</t>
  </si>
  <si>
    <t>building_magiciteain_shares_add</t>
  </si>
  <si>
    <t>铁矿石</t>
  </si>
  <si>
    <t>生铁</t>
  </si>
  <si>
    <t>pm_钢铁_无魔法自动化</t>
  </si>
  <si>
    <t>law_authority_only</t>
  </si>
  <si>
    <t>law_forbid_magic</t>
  </si>
  <si>
    <t>pm_钢铁_无魔导自动化</t>
  </si>
  <si>
    <t>law_prohibition_magiscientia</t>
  </si>
  <si>
    <t>引擎</t>
  </si>
  <si>
    <t>pm_科动_无自动化</t>
  </si>
  <si>
    <t>大法师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</si>
  <si>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</si>
  <si>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</si>
  <si>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</si>
  <si>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</si>
  <si>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</si>
  <si>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魔能轻武器</t>
  </si>
  <si>
    <t>pm_魔武_无自动化</t>
  </si>
  <si>
    <t>魔能浮空车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</si>
  <si>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</si>
  <si>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</si>
  <si>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</si>
  <si>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</si>
  <si>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</si>
  <si>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精致食物</t>
  </si>
  <si>
    <t>烈酒</t>
  </si>
  <si>
    <t xml:space="preserve"> </t>
  </si>
  <si>
    <t>普通衣物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</si>
  <si>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</si>
  <si>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</si>
  <si>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</si>
  <si>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</si>
  <si>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</si>
  <si>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</si>
  <si>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</si>
  <si>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</si>
  <si>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</si>
  <si>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</si>
  <si>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</si>
  <si>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</si>
  <si>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</si>
  <si>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</si>
  <si>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</si>
  <si>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</si>
  <si>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</si>
  <si>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</si>
  <si>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</si>
  <si>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</si>
  <si>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</si>
  <si>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</si>
  <si>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</si>
  <si>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</si>
  <si>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</si>
  <si>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</si>
  <si>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</si>
  <si>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</si>
  <si>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</si>
  <si>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</si>
  <si>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</si>
  <si>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</si>
  <si>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</si>
  <si>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</si>
  <si>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</si>
  <si>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</si>
  <si>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</si>
  <si>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</si>
  <si>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</si>
  <si>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</si>
  <si>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</si>
  <si>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</si>
  <si>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</si>
  <si>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</si>
  <si>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</si>
  <si>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</si>
  <si>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</si>
  <si>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</si>
  <si>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</si>
  <si>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</si>
  <si>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</si>
  <si>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</si>
  <si>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</si>
  <si>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</si>
  <si>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</si>
  <si>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</si>
  <si>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</si>
  <si>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</si>
  <si>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</si>
  <si>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</si>
  <si>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</si>
  <si>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</si>
  <si>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</si>
  <si>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</si>
  <si>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</si>
  <si>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</si>
  <si>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</si>
  <si>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</si>
  <si>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</si>
  <si>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</si>
  <si>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</si>
  <si>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</si>
  <si>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</si>
  <si>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</si>
  <si>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</si>
  <si>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</si>
  <si>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</si>
  <si>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</si>
  <si>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</si>
  <si>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</si>
  <si>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</si>
  <si>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</si>
  <si>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</si>
  <si>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</si>
  <si>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</si>
  <si>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</si>
  <si>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</si>
  <si>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</si>
  <si>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</si>
  <si>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</si>
  <si>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</si>
  <si>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</si>
  <si>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</si>
  <si>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</si>
  <si>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</si>
  <si>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</si>
  <si>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</si>
  <si>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</si>
  <si>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</si>
  <si>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</si>
  <si>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</si>
  <si>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</si>
  <si>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</si>
  <si>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</si>
  <si>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</si>
  <si>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</si>
  <si>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</si>
  <si>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</si>
  <si>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</si>
  <si>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</si>
  <si>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</si>
  <si>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</si>
  <si>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</si>
  <si>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</si>
  <si>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</si>
  <si>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</si>
  <si>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</si>
  <si>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</si>
  <si>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</si>
  <si>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</si>
  <si>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</si>
  <si>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</si>
  <si>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</si>
  <si>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</si>
  <si>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</si>
  <si>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</si>
  <si>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</si>
  <si>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</si>
  <si>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</si>
  <si>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</si>
  <si>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</si>
  <si>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</si>
  <si>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</si>
  <si>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</si>
  <si>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</si>
  <si>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</si>
  <si>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</si>
  <si>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</si>
  <si>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</si>
  <si>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</si>
  <si>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</si>
  <si>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</si>
  <si>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</si>
  <si>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</si>
  <si>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</si>
  <si>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</si>
  <si>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</si>
  <si>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</si>
  <si>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</si>
  <si>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</si>
  <si>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</si>
  <si>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</si>
  <si>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</si>
  <si>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</si>
  <si>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</si>
  <si>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</si>
  <si>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</si>
  <si>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</si>
  <si>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</si>
  <si>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</si>
  <si>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</si>
  <si>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</si>
  <si>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</si>
  <si>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</si>
  <si>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</si>
  <si>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</si>
  <si>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</si>
  <si>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</si>
  <si>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</si>
  <si>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</si>
  <si>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</si>
  <si>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</si>
  <si>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</si>
  <si>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</si>
  <si>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</si>
  <si>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</si>
  <si>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</si>
  <si>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</si>
  <si>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</si>
  <si>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</si>
  <si>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</si>
  <si>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</si>
  <si>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</si>
  <si>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</si>
  <si>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</si>
  <si>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</si>
  <si>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</si>
  <si>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</si>
  <si>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</si>
  <si>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</si>
  <si>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</si>
  <si>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</si>
  <si>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</si>
  <si>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</si>
  <si>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</si>
  <si>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</si>
  <si>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</si>
  <si>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</si>
  <si>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</si>
  <si>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</si>
  <si>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</si>
  <si>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</si>
  <si>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</si>
  <si>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</si>
  <si>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</si>
  <si>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</si>
  <si>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</si>
  <si>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</si>
  <si>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</si>
  <si>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</si>
  <si>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</si>
  <si>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</si>
  <si>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</si>
  <si>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</si>
  <si>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</si>
  <si>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5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</si>
  <si>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</si>
  <si>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</si>
  <si>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</si>
  <si>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</si>
  <si>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</si>
  <si>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</si>
  <si>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</si>
  <si>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</si>
  <si>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</si>
  <si>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</si>
  <si>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</si>
  <si>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</si>
  <si>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</si>
  <si>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</si>
  <si>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</si>
  <si>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</si>
  <si>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</si>
  <si>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</si>
  <si>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</si>
  <si>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</si>
  <si>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</si>
  <si>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</si>
  <si>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</si>
  <si>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</si>
  <si>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</si>
  <si>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</si>
  <si>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</si>
  <si>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</si>
  <si>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</si>
  <si>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</si>
  <si>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grain</t>
    <phoneticPr fontId="15" type="noConversion"/>
  </si>
  <si>
    <t>商品</t>
    <phoneticPr fontId="15" type="noConversion"/>
  </si>
  <si>
    <t>fish</t>
    <phoneticPr fontId="15" type="noConversion"/>
  </si>
  <si>
    <t>sugar</t>
    <phoneticPr fontId="15" type="noConversion"/>
  </si>
  <si>
    <t>meat</t>
    <phoneticPr fontId="15" type="noConversion"/>
  </si>
  <si>
    <t>opium</t>
    <phoneticPr fontId="15" type="noConversion"/>
  </si>
  <si>
    <t>tobacco</t>
  </si>
  <si>
    <t>tea</t>
    <phoneticPr fontId="15" type="noConversion"/>
  </si>
  <si>
    <t>silk</t>
    <phoneticPr fontId="15" type="noConversion"/>
  </si>
  <si>
    <t>wood</t>
    <phoneticPr fontId="15" type="noConversion"/>
  </si>
  <si>
    <t>fabric</t>
    <phoneticPr fontId="15" type="noConversion"/>
  </si>
  <si>
    <t>dye</t>
    <phoneticPr fontId="15" type="noConversion"/>
  </si>
  <si>
    <t>hardwood</t>
    <phoneticPr fontId="15" type="noConversion"/>
  </si>
  <si>
    <t>rubber</t>
    <phoneticPr fontId="15" type="noConversion"/>
  </si>
  <si>
    <t>iron</t>
    <phoneticPr fontId="15" type="noConversion"/>
  </si>
  <si>
    <t>lead</t>
    <phoneticPr fontId="15" type="noConversion"/>
  </si>
  <si>
    <t>sulur</t>
    <phoneticPr fontId="15" type="noConversion"/>
  </si>
  <si>
    <t>coal</t>
    <phoneticPr fontId="15" type="noConversion"/>
  </si>
  <si>
    <t>psychical_crystal</t>
    <phoneticPr fontId="15" type="noConversion"/>
  </si>
  <si>
    <t>electricity</t>
    <phoneticPr fontId="15" type="noConversion"/>
  </si>
  <si>
    <t>zro</t>
    <phoneticPr fontId="15" type="noConversion"/>
  </si>
  <si>
    <t>groceries</t>
    <phoneticPr fontId="15" type="noConversion"/>
  </si>
  <si>
    <t>service</t>
    <phoneticPr fontId="15" type="noConversion"/>
  </si>
  <si>
    <t>glass</t>
    <phoneticPr fontId="15" type="noConversion"/>
  </si>
  <si>
    <t>clothes</t>
    <phoneticPr fontId="15" type="noConversion"/>
  </si>
  <si>
    <t>furniture</t>
    <phoneticPr fontId="15" type="noConversion"/>
  </si>
  <si>
    <t>liquor</t>
    <phoneticPr fontId="15" type="noConversion"/>
  </si>
  <si>
    <t>porcelain</t>
    <phoneticPr fontId="15" type="noConversion"/>
  </si>
  <si>
    <t>luxury_clothes</t>
    <phoneticPr fontId="15" type="noConversion"/>
  </si>
  <si>
    <t>luxury_furniture</t>
    <phoneticPr fontId="15" type="noConversion"/>
  </si>
  <si>
    <t>wine</t>
    <phoneticPr fontId="15" type="noConversion"/>
  </si>
  <si>
    <t>floating_vehicles</t>
    <phoneticPr fontId="15" type="noConversion"/>
  </si>
  <si>
    <t>gold</t>
    <phoneticPr fontId="15" type="noConversion"/>
  </si>
  <si>
    <t>fine_art</t>
    <phoneticPr fontId="15" type="noConversion"/>
  </si>
  <si>
    <t>paper</t>
    <phoneticPr fontId="15" type="noConversion"/>
  </si>
  <si>
    <t>clippers</t>
    <phoneticPr fontId="15" type="noConversion"/>
  </si>
  <si>
    <t>fertilizer</t>
    <phoneticPr fontId="15" type="noConversion"/>
  </si>
  <si>
    <t>steel</t>
    <phoneticPr fontId="15" type="noConversion"/>
  </si>
  <si>
    <t>mithril</t>
    <phoneticPr fontId="15" type="noConversion"/>
  </si>
  <si>
    <t>tools</t>
    <phoneticPr fontId="15" type="noConversion"/>
  </si>
  <si>
    <t>magical_dolls</t>
    <phoneticPr fontId="15" type="noConversion"/>
  </si>
  <si>
    <t>transportation</t>
    <phoneticPr fontId="15" type="noConversion"/>
  </si>
  <si>
    <t>explosives</t>
    <phoneticPr fontId="15" type="noConversion"/>
  </si>
  <si>
    <t>engines</t>
    <phoneticPr fontId="15" type="noConversion"/>
  </si>
  <si>
    <t>maginscientia_engines</t>
    <phoneticPr fontId="15" type="noConversion"/>
  </si>
  <si>
    <t>small_weapons</t>
    <phoneticPr fontId="15" type="noConversion"/>
  </si>
  <si>
    <t>medal_arms</t>
    <phoneticPr fontId="15" type="noConversion"/>
  </si>
  <si>
    <t>artillery</t>
  </si>
  <si>
    <t>magical_artillery</t>
    <phoneticPr fontId="15" type="noConversion"/>
  </si>
  <si>
    <t>steam_aerocraft</t>
    <phoneticPr fontId="15" type="noConversion"/>
  </si>
  <si>
    <t>magic_aerocraft</t>
    <phoneticPr fontId="15" type="noConversion"/>
  </si>
  <si>
    <t>steam_mecha</t>
    <phoneticPr fontId="15" type="noConversion"/>
  </si>
  <si>
    <t>magic_mecha</t>
    <phoneticPr fontId="15" type="noConversion"/>
  </si>
  <si>
    <t>magiscientia_mecha</t>
    <phoneticPr fontId="15" type="noConversion"/>
  </si>
  <si>
    <t>construction</t>
    <phoneticPr fontId="15" type="noConversion"/>
  </si>
  <si>
    <t>trade</t>
    <phoneticPr fontId="15" type="noConversion"/>
  </si>
  <si>
    <t>magic_gun</t>
    <phoneticPr fontId="15" type="noConversion"/>
  </si>
  <si>
    <t>staple</t>
    <phoneticPr fontId="15" type="noConversion"/>
  </si>
  <si>
    <t>"gfx/interface/icons/goods_icons/fish.dds"</t>
    <phoneticPr fontId="15" type="noConversion"/>
  </si>
  <si>
    <t>"gfx/interface/icons/goods_icons/sugar.dds"</t>
  </si>
  <si>
    <t>luxury</t>
  </si>
  <si>
    <t>"gfx/interface/icons/goods_icons/meat.dds"</t>
  </si>
  <si>
    <t>luxury</t>
    <phoneticPr fontId="15" type="noConversion"/>
  </si>
  <si>
    <t>fruit</t>
    <phoneticPr fontId="15" type="noConversion"/>
  </si>
  <si>
    <t>"gfx/interface/icons/goods_icons/fruit.dds"</t>
  </si>
  <si>
    <t>"gfx/interface/icons/goods_icons/opium.dds"</t>
  </si>
  <si>
    <t>"gfx/interface/icons/goods_icons/tobacco.dds"</t>
  </si>
  <si>
    <t>"gfx/interface/icons/goods_icons/tea.dds"</t>
  </si>
  <si>
    <t>industrial</t>
  </si>
  <si>
    <t>"gfx/interface/icons/goods_icons/silk.dds"</t>
  </si>
  <si>
    <t>"gfx/interface/icons/goods_icons/hardwood.dds"</t>
  </si>
  <si>
    <t>"gfx/interface/icons/goods_icons/rubber.dds"</t>
  </si>
  <si>
    <t>"gfx/interface/icons/goods_icons/fabric.dds"</t>
  </si>
  <si>
    <t>零工</t>
    <phoneticPr fontId="15" type="noConversion"/>
  </si>
  <si>
    <t>building_steel_mills</t>
    <phoneticPr fontId="15" type="noConversion"/>
  </si>
  <si>
    <t>building_造纸厂</t>
  </si>
  <si>
    <t>building_paper_mills</t>
    <phoneticPr fontId="15" type="noConversion"/>
  </si>
  <si>
    <t>建筑</t>
    <phoneticPr fontId="15" type="noConversion"/>
  </si>
  <si>
    <t>building_玻璃厂</t>
  </si>
  <si>
    <t>building_glassworks</t>
  </si>
  <si>
    <t>building_化工厂</t>
  </si>
  <si>
    <t>building_chemical_plants</t>
  </si>
  <si>
    <t>building_工具作坊</t>
  </si>
  <si>
    <t>building_tooling_workshops</t>
  </si>
  <si>
    <t>building_道路</t>
  </si>
  <si>
    <t>building_roads</t>
    <phoneticPr fontId="15" type="noConversion"/>
  </si>
  <si>
    <t>building_铁路</t>
  </si>
  <si>
    <t>building_railways</t>
    <phoneticPr fontId="15" type="noConversion"/>
  </si>
  <si>
    <t>building_传送阵</t>
  </si>
  <si>
    <t>bnuilding_transports</t>
    <phoneticPr fontId="15" type="noConversion"/>
  </si>
  <si>
    <t>building_艺术学院</t>
  </si>
  <si>
    <t>building_arts_academy</t>
  </si>
  <si>
    <t>building_城镇中心</t>
  </si>
  <si>
    <t>building_city_centers</t>
    <phoneticPr fontId="15" type="noConversion"/>
  </si>
  <si>
    <t>building_建造部门</t>
  </si>
  <si>
    <t>building_construction_sector</t>
  </si>
  <si>
    <t>building_港口</t>
  </si>
  <si>
    <t>building_ports</t>
    <phoneticPr fontId="15" type="noConversion"/>
  </si>
  <si>
    <t>building_行政机构</t>
  </si>
  <si>
    <t>building_government_administration</t>
  </si>
  <si>
    <t>building_大学</t>
  </si>
  <si>
    <t>building_university</t>
    <phoneticPr fontId="15" type="noConversion"/>
  </si>
  <si>
    <t>building_晶体萃取厂</t>
  </si>
  <si>
    <t>building_crystal_extraction</t>
    <phoneticPr fontId="15" type="noConversion"/>
  </si>
  <si>
    <t>building_科学动力厂</t>
  </si>
  <si>
    <t>building_science_motor_industry</t>
    <phoneticPr fontId="15" type="noConversion"/>
  </si>
  <si>
    <t>building_魔导动力厂</t>
  </si>
  <si>
    <t>building_magic_motor_industry</t>
    <phoneticPr fontId="15" type="noConversion"/>
  </si>
  <si>
    <t>building_煤矿</t>
  </si>
  <si>
    <t>building_coal_mines</t>
    <phoneticPr fontId="15" type="noConversion"/>
  </si>
  <si>
    <t>building_铁矿</t>
  </si>
  <si>
    <t>building_iron_mines</t>
    <phoneticPr fontId="15" type="noConversion"/>
  </si>
  <si>
    <t>building_铅矿</t>
  </si>
  <si>
    <t>building_lead_mines</t>
    <phoneticPr fontId="15" type="noConversion"/>
  </si>
  <si>
    <t>building_硫矿</t>
  </si>
  <si>
    <t>building_sulfur_mines</t>
    <phoneticPr fontId="15" type="noConversion"/>
  </si>
  <si>
    <t>building_金矿</t>
  </si>
  <si>
    <t>building_gold_mines</t>
    <phoneticPr fontId="15" type="noConversion"/>
  </si>
  <si>
    <t>building_油井</t>
  </si>
  <si>
    <t>building_oil_extratcion</t>
    <phoneticPr fontId="15" type="noConversion"/>
  </si>
  <si>
    <t>building_棉花</t>
  </si>
  <si>
    <t>building_cotton_plantations</t>
  </si>
  <si>
    <t>building_染料</t>
  </si>
  <si>
    <t>building_dye_plantations</t>
  </si>
  <si>
    <t>building_鸦片</t>
  </si>
  <si>
    <t>building_opium_plantations</t>
  </si>
  <si>
    <t>building_茶叶</t>
  </si>
  <si>
    <t>building_tea_plantations</t>
  </si>
  <si>
    <t>building_烟草</t>
  </si>
  <si>
    <t>building_tobacoo_plantations</t>
  </si>
  <si>
    <t>building_香蕉</t>
  </si>
  <si>
    <t>building_banana_plantations</t>
  </si>
  <si>
    <t>building_糖类</t>
  </si>
  <si>
    <t>building_sugar_plantations</t>
  </si>
  <si>
    <t>building_丝绸</t>
  </si>
  <si>
    <t>building_silk_plantations</t>
  </si>
  <si>
    <t>building_伐木场</t>
  </si>
  <si>
    <t>building_logging_camp</t>
    <phoneticPr fontId="15" type="noConversion"/>
  </si>
  <si>
    <t>building_树胶</t>
  </si>
  <si>
    <t>building_rubber_plantations</t>
  </si>
  <si>
    <t>building_黑麦</t>
  </si>
  <si>
    <t>building_rye_farms</t>
    <phoneticPr fontId="15" type="noConversion"/>
  </si>
  <si>
    <t>building_小麦</t>
  </si>
  <si>
    <t>building_wheat_farms</t>
    <phoneticPr fontId="15" type="noConversion"/>
  </si>
  <si>
    <t>building_大米</t>
  </si>
  <si>
    <t>building_rice_farms</t>
    <phoneticPr fontId="15" type="noConversion"/>
  </si>
  <si>
    <t>building_玉米</t>
  </si>
  <si>
    <t>building_maize_farms</t>
    <phoneticPr fontId="15" type="noConversion"/>
  </si>
  <si>
    <t>building_小米</t>
  </si>
  <si>
    <t>building_millet_farms</t>
    <phoneticPr fontId="15" type="noConversion"/>
  </si>
  <si>
    <t>building_牧场</t>
  </si>
  <si>
    <t>building_livestock_ranches</t>
    <phoneticPr fontId="15" type="noConversion"/>
  </si>
  <si>
    <t>building_渔船码头</t>
  </si>
  <si>
    <t>building_fishing</t>
    <phoneticPr fontId="15" type="noConversion"/>
  </si>
  <si>
    <t>building_捕鲸站</t>
  </si>
  <si>
    <t>building_whaling</t>
    <phoneticPr fontId="15" type="noConversion"/>
  </si>
  <si>
    <t>gig</t>
    <phoneticPr fontId="15" type="noConversion"/>
  </si>
  <si>
    <t>building_魔导武器厂</t>
  </si>
  <si>
    <t>building_合成材料工厂</t>
  </si>
  <si>
    <t>pmg_食品厂_科学自动化</t>
  </si>
  <si>
    <t>pmg_食品厂_魔法自动化</t>
  </si>
  <si>
    <t>pmg_食品厂_所有制</t>
  </si>
  <si>
    <t>pmg_魔偶工厂_基础生产</t>
    <phoneticPr fontId="15" type="noConversion"/>
  </si>
  <si>
    <t>pmg_钢铁厂_基础生产</t>
  </si>
  <si>
    <t>pmg_炼金厂_基础生产</t>
  </si>
  <si>
    <t>pmg_科学军械厂_基础生产</t>
  </si>
  <si>
    <t>pmg_魔能军械厂_基础生产</t>
  </si>
  <si>
    <t>pmg_酿酒厂_基础生产</t>
  </si>
  <si>
    <t>pmg_纺织厂_基础生产</t>
  </si>
  <si>
    <t>pmg_家具厂_基础生产</t>
  </si>
  <si>
    <t>pmg_造纸厂_基础生产</t>
  </si>
  <si>
    <t>pmg_玻璃厂_基础生产</t>
  </si>
  <si>
    <t>pmg_化工厂_基础生产</t>
  </si>
  <si>
    <t>pmg_工具作坊_基础生产</t>
  </si>
  <si>
    <t>pmg_魔偶工厂_科学自动化</t>
  </si>
  <si>
    <t>pmg_魔偶工厂_魔法自动化</t>
  </si>
  <si>
    <t>pmg_钢铁厂_科学自动化</t>
  </si>
  <si>
    <t>pmg_钢铁厂_魔法自动化</t>
  </si>
  <si>
    <t>pmg_炼金厂_科学自动化</t>
  </si>
  <si>
    <t>pmg_炼金厂_魔法自动化</t>
  </si>
  <si>
    <t>pmg_食品厂_基础生产</t>
    <phoneticPr fontId="15" type="noConversion"/>
  </si>
  <si>
    <t>pmg_酿酒厂_科学自动化</t>
  </si>
  <si>
    <t>pmg_酿酒厂_魔法自动化</t>
  </si>
  <si>
    <t>pmg_酿酒厂_所有制</t>
  </si>
  <si>
    <t>pmg_造纸厂_科学自动化</t>
  </si>
  <si>
    <t>pmg_造纸厂_魔法自动化</t>
  </si>
  <si>
    <t>pmg_造纸厂_所有制</t>
  </si>
  <si>
    <t>pmg_纺织厂_高级生产</t>
  </si>
  <si>
    <t>pmg_纺织厂_科学自动化</t>
  </si>
  <si>
    <t>pmg_纺织厂_魔法自动化</t>
  </si>
  <si>
    <t>pmg_纺织厂_所有制</t>
  </si>
  <si>
    <t>pmg_家具厂_高级生产</t>
  </si>
  <si>
    <t>pmg_家具厂_科学自动化</t>
  </si>
  <si>
    <t>pmg_家具厂_魔法自动化</t>
  </si>
  <si>
    <t>pmg_家具厂_所有制</t>
  </si>
  <si>
    <t>pmg_玻璃厂_高级生产</t>
  </si>
  <si>
    <t>pmg_玻璃厂_科学自动化</t>
  </si>
  <si>
    <t>pmg_玻璃厂_魔法自动化</t>
  </si>
  <si>
    <t>pmg_玻璃厂_所有制</t>
  </si>
  <si>
    <t>pmg_化工厂_高级生产</t>
  </si>
  <si>
    <t>pmg_化工厂_科学自动化</t>
  </si>
  <si>
    <t>pmg_化工厂_魔法自动化</t>
  </si>
  <si>
    <t>pmg_化工厂_所有制</t>
  </si>
  <si>
    <t>pmg_工具作坊_科学自动化</t>
  </si>
  <si>
    <t>pmg_工具作坊_魔法自动化</t>
  </si>
  <si>
    <t>pmg_工具作坊_所有制</t>
  </si>
  <si>
    <t>pmg_科学武器厂_基础生产</t>
    <phoneticPr fontId="15" type="noConversion"/>
  </si>
  <si>
    <t>pmg_科学武器厂_高级生产</t>
  </si>
  <si>
    <t>pmg_科学武器厂_科学自动化</t>
  </si>
  <si>
    <t>pmg_科学武器厂_魔法自动化</t>
  </si>
  <si>
    <t>pmg_科学武器厂_所有制</t>
  </si>
  <si>
    <t>building_magiscientia_arms_industry</t>
    <phoneticPr fontId="15" type="noConversion"/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</si>
  <si>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</si>
  <si>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</si>
  <si>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</si>
  <si>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</si>
  <si>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</si>
  <si>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pmg_合成材料工厂_基础生产</t>
  </si>
  <si>
    <t>pmg_合成材料工厂_科学自动化</t>
  </si>
  <si>
    <t>pmg_合成材料工厂_魔法自动化</t>
  </si>
  <si>
    <t>pmg_合成材料工厂_所有制</t>
  </si>
  <si>
    <t>pmg_晶体萃取厂_基础生产</t>
  </si>
  <si>
    <t>pmg_晶体萃取厂_科学自动化</t>
  </si>
  <si>
    <t>pmg_晶体萃取厂_魔法自动化</t>
  </si>
  <si>
    <t>pmg_晶体萃取厂_所有制</t>
  </si>
  <si>
    <t>pmg_科学动力厂_基础生产</t>
  </si>
  <si>
    <t>pmg_科学动力厂_科学自动化</t>
  </si>
  <si>
    <t>pmg_科学动力厂_魔法自动化</t>
  </si>
  <si>
    <t>pmg_科学动力厂_所有制</t>
  </si>
  <si>
    <t>pmg_魔导动力厂_基础生产</t>
  </si>
  <si>
    <t>pmg_魔导动力厂_科学自动化</t>
  </si>
  <si>
    <t>pmg_魔导动力厂_魔法自动化</t>
  </si>
  <si>
    <t>pmg_魔导动力厂_所有制</t>
  </si>
  <si>
    <t>pmg_魔能军械厂_高级生产</t>
  </si>
  <si>
    <t>pmg_魔能军械厂_科学自动化</t>
  </si>
  <si>
    <t>pmg_魔能军械厂_魔法自动化</t>
  </si>
  <si>
    <t>pmg_魔能军械厂_所有制</t>
  </si>
  <si>
    <t>pmg_科学军械厂_高级生产</t>
  </si>
  <si>
    <t>pmg_科学军械厂_科学自动化</t>
  </si>
  <si>
    <t>pmg_科学军械厂_魔法自动化</t>
  </si>
  <si>
    <t>pmg_科学军械厂_所有制</t>
  </si>
  <si>
    <t>pmg_道路_基础生产</t>
  </si>
  <si>
    <t>pmg_道路_高级生产</t>
  </si>
  <si>
    <t>pmg_道路_所有制</t>
  </si>
  <si>
    <t>pmg_铁路_基础生产</t>
  </si>
  <si>
    <t>pmg_铁路_所有制</t>
  </si>
  <si>
    <t>pmg_传送阵_基础生产</t>
  </si>
  <si>
    <t>pmg_传送阵_所有制</t>
  </si>
  <si>
    <t>pmg_艺术学院_基础生产</t>
  </si>
  <si>
    <t>pmg_艺术学院_所有制</t>
  </si>
  <si>
    <t>pmg_城镇中心_基础生产</t>
  </si>
  <si>
    <t>pmg_城镇中心_运输方式</t>
  </si>
  <si>
    <t>pmg_城镇中心_所有制</t>
  </si>
  <si>
    <t>pmg_建造部门_基础生产</t>
  </si>
  <si>
    <t>pmg_港口_基础生产</t>
  </si>
  <si>
    <t>pmg_港口_所有制</t>
  </si>
  <si>
    <t>pmg_行政机构_基础生产</t>
  </si>
  <si>
    <t>pmg_行政机构_所有制</t>
  </si>
  <si>
    <t>pmg_大学_基础生产</t>
  </si>
  <si>
    <t>pmg_大学_所有制</t>
  </si>
  <si>
    <t>pmg_煤矿_基础生产</t>
  </si>
  <si>
    <t>pmg_煤矿_高级生产</t>
  </si>
  <si>
    <t>pmg_煤矿_科学所有制</t>
  </si>
  <si>
    <t>pmg_煤矿_魔法所有制</t>
  </si>
  <si>
    <t>pmg_铁矿_基础生产</t>
  </si>
  <si>
    <t>pmg_铁矿_高级生产</t>
  </si>
  <si>
    <t>pmg_铁矿_科学所有制</t>
  </si>
  <si>
    <t>pmg_铁矿_魔法所有制</t>
  </si>
  <si>
    <t>pmg_铅矿_基础生产</t>
  </si>
  <si>
    <t>pmg_铅矿_高级生产</t>
  </si>
  <si>
    <t>pmg_铅矿_科学所有制</t>
  </si>
  <si>
    <t>pmg_铅矿_魔法所有制</t>
  </si>
  <si>
    <t>pmg_硫矿_基础生产</t>
  </si>
  <si>
    <t>pmg_硫矿_高级生产</t>
  </si>
  <si>
    <t>pmg_硫矿_科学所有制</t>
  </si>
  <si>
    <t>pmg_硫矿_魔法所有制</t>
  </si>
  <si>
    <t>pmg_金矿_基础生产</t>
  </si>
  <si>
    <t>pmg_金矿_高级生产</t>
  </si>
  <si>
    <t>pmg_金矿_科学所有制</t>
  </si>
  <si>
    <t>pmg_金矿_魔法所有制</t>
  </si>
  <si>
    <t>pmg_油井_基础生产</t>
  </si>
  <si>
    <t>pmg_油井_高级生产</t>
  </si>
  <si>
    <t>pmg_油井_科学所有制</t>
  </si>
  <si>
    <t>pmg_油井_魔法所有制</t>
  </si>
  <si>
    <t>pmg_棉花_基础生产</t>
  </si>
  <si>
    <t>pmg_棉花_高级生产</t>
  </si>
  <si>
    <t>pmg_棉花_科学所有制</t>
  </si>
  <si>
    <t>pmg_棉花_魔法所有制</t>
  </si>
  <si>
    <t>pmg_染料_基础生产</t>
  </si>
  <si>
    <t>pmg_染料_高级生产</t>
  </si>
  <si>
    <t>pmg_染料_科学所有制</t>
  </si>
  <si>
    <t>pmg_染料_魔法所有制</t>
  </si>
  <si>
    <t>pmg_鸦片_基础生产</t>
  </si>
  <si>
    <t>pmg_鸦片_高级生产</t>
  </si>
  <si>
    <t>pmg_鸦片_科学所有制</t>
  </si>
  <si>
    <t>pmg_鸦片_魔法所有制</t>
  </si>
  <si>
    <t>pmg_茶叶_基础生产</t>
  </si>
  <si>
    <t>pmg_茶叶_高级生产</t>
  </si>
  <si>
    <t>pmg_茶叶_科学所有制</t>
  </si>
  <si>
    <t>pmg_茶叶_魔法所有制</t>
  </si>
  <si>
    <t>pmg_烟草_基础生产</t>
  </si>
  <si>
    <t>pmg_烟草_高级生产</t>
  </si>
  <si>
    <t>pmg_烟草_科学所有制</t>
  </si>
  <si>
    <t>pmg_烟草_魔法所有制</t>
  </si>
  <si>
    <t>pmg_香蕉_基础生产</t>
  </si>
  <si>
    <t>pmg_香蕉_高级生产</t>
  </si>
  <si>
    <t>pmg_香蕉_科学所有制</t>
  </si>
  <si>
    <t>pmg_香蕉_魔法所有制</t>
  </si>
  <si>
    <t>pmg_糖类_基础生产</t>
  </si>
  <si>
    <t>pmg_糖类_高级生产</t>
  </si>
  <si>
    <t>pmg_糖类_科学所有制</t>
  </si>
  <si>
    <t>pmg_糖类_魔法所有制</t>
  </si>
  <si>
    <t>pmg_丝绸_基础生产</t>
  </si>
  <si>
    <t>pmg_丝绸_高级生产</t>
  </si>
  <si>
    <t>pmg_丝绸_科学所有制</t>
  </si>
  <si>
    <t>pmg_丝绸_魔法所有制</t>
  </si>
  <si>
    <t>pmg_伐木场_基础生产</t>
  </si>
  <si>
    <t>pmg_伐木场_高级生产</t>
  </si>
  <si>
    <t>pmg_伐木场_科学所有制</t>
  </si>
  <si>
    <t>pmg_伐木场_魔法所有制</t>
  </si>
  <si>
    <t>pmg_树胶_基础生产</t>
  </si>
  <si>
    <t>pmg_树胶_高级生产</t>
  </si>
  <si>
    <t>pmg_树胶_科学所有制</t>
  </si>
  <si>
    <t>pmg_树胶_魔法所有制</t>
  </si>
  <si>
    <t>pmg_黑麦_基础生产</t>
  </si>
  <si>
    <t>pmg_黑麦_高级生产</t>
  </si>
  <si>
    <t>pmg_黑麦_科学所有制</t>
  </si>
  <si>
    <t>pmg_黑麦_魔法所有制</t>
  </si>
  <si>
    <t>pmg_小麦_基础生产</t>
  </si>
  <si>
    <t>pmg_小麦_高级生产</t>
  </si>
  <si>
    <t>pmg_小麦_科学所有制</t>
  </si>
  <si>
    <t>pmg_小麦_魔法所有制</t>
  </si>
  <si>
    <t>pmg_大米_基础生产</t>
  </si>
  <si>
    <t>pmg_大米_高级生产</t>
  </si>
  <si>
    <t>pmg_大米_科学所有制</t>
  </si>
  <si>
    <t>pmg_大米_魔法所有制</t>
  </si>
  <si>
    <t>pmg_玉米_基础生产</t>
  </si>
  <si>
    <t>pmg_玉米_高级生产</t>
  </si>
  <si>
    <t>pmg_玉米_科学所有制</t>
  </si>
  <si>
    <t>pmg_玉米_魔法所有制</t>
  </si>
  <si>
    <t>pmg_小米_基础生产</t>
  </si>
  <si>
    <t>pmg_小米_高级生产</t>
  </si>
  <si>
    <t>pmg_小米_科学所有制</t>
  </si>
  <si>
    <t>pmg_小米_魔法所有制</t>
  </si>
  <si>
    <t>pmg_牧场_基础生产</t>
  </si>
  <si>
    <t>pmg_牧场_高级生产</t>
  </si>
  <si>
    <t>pmg_牧场_科学所有制</t>
  </si>
  <si>
    <t>pmg_牧场_魔法所有制</t>
  </si>
  <si>
    <t>pmg_渔船码头_基础生产</t>
  </si>
  <si>
    <t>pmg_渔船码头_科学所有制</t>
  </si>
  <si>
    <t>pmg_渔船码头_魔法所有制</t>
  </si>
  <si>
    <t>pmg_捕鲸站_基础生产</t>
  </si>
  <si>
    <t>pmg_捕鲸站_科学所有制</t>
  </si>
  <si>
    <t>pmg_捕鲸站_魔法所有制</t>
  </si>
  <si>
    <t>pm_科武_来复枪</t>
    <phoneticPr fontId="15" type="noConversion"/>
  </si>
  <si>
    <t>pmg_魔偶工厂_所有制</t>
    <phoneticPr fontId="15" type="noConversion"/>
  </si>
  <si>
    <t>pmg_钢铁厂_所有制</t>
    <phoneticPr fontId="15" type="noConversion"/>
  </si>
  <si>
    <t>pmg_炼金厂_所有制</t>
    <phoneticPr fontId="15" type="noConversion"/>
  </si>
  <si>
    <t>pmg_重工业所有制</t>
    <phoneticPr fontId="15" type="noConversion"/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</si>
  <si>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</si>
  <si>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</si>
  <si>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</si>
  <si>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</si>
  <si>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</si>
  <si>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</si>
  <si>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</si>
  <si>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</si>
  <si>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pmg_农业所有制</t>
  </si>
  <si>
    <t>pmg_农业所有制</t>
    <phoneticPr fontId="15" type="noConversion"/>
  </si>
  <si>
    <t>职员</t>
    <phoneticPr fontId="15" type="noConversion"/>
  </si>
  <si>
    <t>building_clearks_shares_add</t>
    <phoneticPr fontId="15" type="noConversion"/>
  </si>
  <si>
    <t>劳工</t>
    <phoneticPr fontId="15" type="noConversion"/>
  </si>
  <si>
    <t>工程师</t>
    <phoneticPr fontId="15" type="noConversion"/>
  </si>
  <si>
    <t>法士</t>
    <phoneticPr fontId="15" type="noConversion"/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</si>
  <si>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</si>
  <si>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</si>
  <si>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</si>
  <si>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</si>
  <si>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</si>
  <si>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</si>
  <si>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</si>
  <si>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</si>
  <si>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building_clergymen_shares_add</t>
    <phoneticPr fontId="15" type="noConversion"/>
  </si>
  <si>
    <t>building_bureaucrats_add</t>
    <phoneticPr fontId="15" type="noConversion"/>
  </si>
  <si>
    <t>law_interventionism</t>
  </si>
  <si>
    <t>disallowing_laws,6,1</t>
    <phoneticPr fontId="15" type="noConversion"/>
  </si>
  <si>
    <t>law_laissez_faire</t>
  </si>
  <si>
    <t>law_laissez_faire</t>
    <phoneticPr fontId="15" type="noConversion"/>
  </si>
  <si>
    <t>法师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</si>
</sst>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75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6" fillId="14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8" fillId="14" borderId="2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6" borderId="2" xfId="0" applyFont="1" applyFill="1" applyBorder="1" applyAlignment="1">
      <alignment horizontal="left" vertical="center"/>
    </xf>
    <xf numFmtId="0" fontId="10" fillId="7" borderId="2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00000000-0005-0000-0000-000031000000}"/>
  </cellStyles>
  <dxfs count="42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13" workbookViewId="0">
      <selection activeCell="B25" sqref="B25"/>
    </sheetView>
  </sheetViews>
  <sheetFormatPr defaultColWidth="9" defaultRowHeight="19.100000000000001" customHeight="1" x14ac:dyDescent="0.4"/>
  <cols>
    <col min="1" max="1" width="10.41015625" customWidth="1"/>
    <col min="2" max="2" width="24.64453125" customWidth="1"/>
    <col min="3" max="3" width="11.1171875" customWidth="1"/>
  </cols>
  <sheetData>
    <row r="2" spans="1:1" ht="19.100000000000001" customHeight="1" x14ac:dyDescent="0.4">
      <c r="A2" t="s">
        <v>0</v>
      </c>
    </row>
    <row r="3" spans="1:1" ht="19.100000000000001" customHeight="1" x14ac:dyDescent="0.4">
      <c r="A3" t="s">
        <v>1</v>
      </c>
    </row>
    <row r="4" spans="1:1" ht="19.100000000000001" customHeight="1" x14ac:dyDescent="0.4">
      <c r="A4" t="s">
        <v>2</v>
      </c>
    </row>
    <row r="6" spans="1:1" ht="19.100000000000001" customHeight="1" x14ac:dyDescent="0.4">
      <c r="A6" s="60" t="s">
        <v>3</v>
      </c>
    </row>
    <row r="7" spans="1:1" ht="19.100000000000001" customHeight="1" x14ac:dyDescent="0.4">
      <c r="A7" t="s">
        <v>4</v>
      </c>
    </row>
    <row r="9" spans="1:1" ht="19.100000000000001" customHeight="1" x14ac:dyDescent="0.4">
      <c r="A9" s="60" t="s">
        <v>5</v>
      </c>
    </row>
    <row r="10" spans="1:1" ht="19.100000000000001" customHeight="1" x14ac:dyDescent="0.4">
      <c r="A10" t="s">
        <v>6</v>
      </c>
    </row>
    <row r="12" spans="1:1" ht="19.100000000000001" customHeight="1" x14ac:dyDescent="0.4">
      <c r="A12" s="60" t="s">
        <v>7</v>
      </c>
    </row>
    <row r="13" spans="1:1" ht="19.100000000000001" customHeight="1" x14ac:dyDescent="0.4">
      <c r="A13" s="60" t="s">
        <v>8</v>
      </c>
    </row>
    <row r="14" spans="1:1" ht="19.100000000000001" customHeight="1" x14ac:dyDescent="0.4">
      <c r="A14" t="s">
        <v>9</v>
      </c>
    </row>
    <row r="15" spans="1:1" ht="19.100000000000001" customHeight="1" x14ac:dyDescent="0.4">
      <c r="A15" t="s">
        <v>10</v>
      </c>
    </row>
    <row r="16" spans="1:1" ht="19.100000000000001" customHeight="1" x14ac:dyDescent="0.4">
      <c r="A16" t="s">
        <v>11</v>
      </c>
    </row>
    <row r="18" spans="1:11" ht="19.100000000000001" customHeight="1" x14ac:dyDescent="0.4">
      <c r="A18" s="60" t="s">
        <v>12</v>
      </c>
    </row>
    <row r="19" spans="1:11" ht="19.100000000000001" customHeight="1" x14ac:dyDescent="0.4">
      <c r="A19" t="s">
        <v>13</v>
      </c>
    </row>
    <row r="20" spans="1:11" ht="19.100000000000001" customHeight="1" x14ac:dyDescent="0.4">
      <c r="A20" t="s">
        <v>14</v>
      </c>
    </row>
    <row r="21" spans="1:11" ht="19.100000000000001" customHeight="1" x14ac:dyDescent="0.4">
      <c r="A21" t="s">
        <v>15</v>
      </c>
    </row>
    <row r="22" spans="1:11" ht="19.100000000000001" customHeight="1" x14ac:dyDescent="0.4">
      <c r="A22" s="61" t="s">
        <v>16</v>
      </c>
      <c r="B22" s="61" t="s">
        <v>17</v>
      </c>
      <c r="C22" s="61" t="s">
        <v>18</v>
      </c>
      <c r="D22" s="61" t="s">
        <v>19</v>
      </c>
      <c r="E22" s="61" t="s">
        <v>18</v>
      </c>
      <c r="F22" s="61" t="s">
        <v>19</v>
      </c>
      <c r="G22" s="61" t="s">
        <v>18</v>
      </c>
      <c r="H22" s="61" t="s">
        <v>19</v>
      </c>
      <c r="I22" s="61" t="s">
        <v>20</v>
      </c>
      <c r="J22" s="61" t="s">
        <v>19</v>
      </c>
      <c r="K22" s="61" t="s">
        <v>19</v>
      </c>
    </row>
    <row r="23" spans="1:11" ht="19.100000000000001" customHeight="1" x14ac:dyDescent="0.4">
      <c r="A23" s="61" t="s">
        <v>21</v>
      </c>
      <c r="B23" s="61"/>
      <c r="C23" s="61" t="s">
        <v>22</v>
      </c>
      <c r="D23" s="61">
        <v>1</v>
      </c>
      <c r="E23" s="61" t="s">
        <v>23</v>
      </c>
      <c r="F23" s="61">
        <v>1</v>
      </c>
      <c r="G23" s="61" t="s">
        <v>24</v>
      </c>
      <c r="H23" s="61">
        <v>1</v>
      </c>
      <c r="I23" s="61"/>
      <c r="J23" s="61" t="s">
        <v>25</v>
      </c>
      <c r="K23" s="61" t="s">
        <v>26</v>
      </c>
    </row>
    <row r="24" spans="1:11" ht="19.100000000000001" customHeight="1" x14ac:dyDescent="0.4">
      <c r="A24" t="s">
        <v>27</v>
      </c>
    </row>
    <row r="25" spans="1:11" ht="153" customHeight="1" x14ac:dyDescent="0.4">
      <c r="B25" s="62" t="s">
        <v>28</v>
      </c>
    </row>
    <row r="26" spans="1:11" ht="19.95" customHeight="1" x14ac:dyDescent="0.4">
      <c r="B26" s="62"/>
    </row>
    <row r="27" spans="1:11" ht="19.100000000000001" customHeight="1" x14ac:dyDescent="0.4">
      <c r="A27" s="60" t="s">
        <v>29</v>
      </c>
    </row>
    <row r="28" spans="1:11" ht="19.100000000000001" customHeight="1" x14ac:dyDescent="0.4">
      <c r="A28" t="s">
        <v>30</v>
      </c>
    </row>
    <row r="29" spans="1:11" ht="19.100000000000001" customHeight="1" x14ac:dyDescent="0.4">
      <c r="A29" t="s">
        <v>31</v>
      </c>
    </row>
    <row r="30" spans="1:11" ht="19.100000000000001" customHeight="1" x14ac:dyDescent="0.4">
      <c r="A30" t="s">
        <v>32</v>
      </c>
    </row>
    <row r="31" spans="1:11" ht="76.099999999999994" customHeight="1" x14ac:dyDescent="0.4">
      <c r="B31" s="62" t="s">
        <v>33</v>
      </c>
    </row>
    <row r="32" spans="1:11" ht="19.100000000000001" customHeight="1" x14ac:dyDescent="0.4">
      <c r="A32" t="s">
        <v>34</v>
      </c>
    </row>
    <row r="33" spans="1:1" ht="19.100000000000001" customHeight="1" x14ac:dyDescent="0.4">
      <c r="A33" t="s">
        <v>35</v>
      </c>
    </row>
    <row r="34" spans="1:1" ht="19.100000000000001" customHeight="1" x14ac:dyDescent="0.4">
      <c r="A34" t="s">
        <v>36</v>
      </c>
    </row>
    <row r="35" spans="1:1" ht="19.100000000000001" customHeight="1" x14ac:dyDescent="0.4">
      <c r="A35" t="s">
        <v>37</v>
      </c>
    </row>
    <row r="36" spans="1:1" ht="19.100000000000001" customHeight="1" x14ac:dyDescent="0.4">
      <c r="A36" s="60"/>
    </row>
    <row r="37" spans="1:1" ht="19.100000000000001" customHeight="1" x14ac:dyDescent="0.4">
      <c r="A37" s="60" t="s">
        <v>38</v>
      </c>
    </row>
    <row r="38" spans="1:1" ht="19.100000000000001" customHeight="1" x14ac:dyDescent="0.4">
      <c r="A38" t="s">
        <v>39</v>
      </c>
    </row>
    <row r="39" spans="1:1" ht="19.100000000000001" customHeight="1" x14ac:dyDescent="0.4">
      <c r="A39" t="s">
        <v>40</v>
      </c>
    </row>
    <row r="40" spans="1:1" ht="19.100000000000001" customHeight="1" x14ac:dyDescent="0.4">
      <c r="A40" t="s">
        <v>41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62"/>
  <sheetViews>
    <sheetView showGridLines="0" zoomScale="90" zoomScaleNormal="90" workbookViewId="0">
      <pane ySplit="3" topLeftCell="A10" activePane="bottomLeft" state="frozen"/>
      <selection pane="bottomLeft" activeCell="H14" sqref="H14"/>
    </sheetView>
  </sheetViews>
  <sheetFormatPr defaultColWidth="9" defaultRowHeight="19.95" customHeight="1" x14ac:dyDescent="0.4"/>
  <cols>
    <col min="1" max="1" width="17.234375" style="56" customWidth="1"/>
    <col min="2" max="2" width="22.1171875" style="56" customWidth="1"/>
    <col min="3" max="3" width="17.87890625" style="56" customWidth="1"/>
    <col min="4" max="4" width="21.41015625" style="56" customWidth="1"/>
    <col min="5" max="6" width="17.1171875" style="56" customWidth="1"/>
    <col min="7" max="7" width="24.87890625" style="56" customWidth="1"/>
    <col min="8" max="8" width="22.64453125" style="57" customWidth="1"/>
    <col min="9" max="9" width="43.76171875" style="57" customWidth="1"/>
    <col min="10" max="14" width="13.1171875" style="57" customWidth="1"/>
    <col min="15" max="16384" width="9" style="57"/>
  </cols>
  <sheetData>
    <row r="1" spans="1:19" ht="33" customHeight="1" x14ac:dyDescent="0.4">
      <c r="A1" s="29" t="s">
        <v>42</v>
      </c>
      <c r="B1" s="3" t="s">
        <v>43</v>
      </c>
      <c r="C1" s="4" t="s">
        <v>43</v>
      </c>
      <c r="D1" s="5" t="s">
        <v>43</v>
      </c>
    </row>
    <row r="2" spans="1:19" ht="19.95" customHeight="1" x14ac:dyDescent="0.4">
      <c r="A2" s="34" t="s">
        <v>44</v>
      </c>
      <c r="B2" s="36" t="s">
        <v>45</v>
      </c>
      <c r="C2" s="34" t="s">
        <v>46</v>
      </c>
      <c r="D2" s="34" t="s">
        <v>47</v>
      </c>
      <c r="E2" s="34" t="s">
        <v>48</v>
      </c>
      <c r="F2" s="34" t="s">
        <v>49</v>
      </c>
      <c r="G2" s="34" t="s">
        <v>50</v>
      </c>
      <c r="H2" s="34" t="s">
        <v>51</v>
      </c>
      <c r="I2" s="34" t="s">
        <v>52</v>
      </c>
    </row>
    <row r="3" spans="1:19" ht="30" customHeight="1" x14ac:dyDescent="0.4">
      <c r="A3" s="34" t="s">
        <v>53</v>
      </c>
      <c r="B3" s="36" t="s">
        <v>54</v>
      </c>
      <c r="C3" s="34" t="s">
        <v>55</v>
      </c>
      <c r="D3" s="34" t="s">
        <v>56</v>
      </c>
      <c r="E3" s="34" t="s">
        <v>57</v>
      </c>
      <c r="F3" s="34" t="s">
        <v>58</v>
      </c>
      <c r="G3" s="34" t="s">
        <v>59</v>
      </c>
      <c r="H3" s="34" t="s">
        <v>60</v>
      </c>
      <c r="I3" s="34" t="s">
        <v>61</v>
      </c>
      <c r="K3"/>
      <c r="L3"/>
      <c r="M3"/>
      <c r="N3"/>
      <c r="O3"/>
      <c r="P3"/>
      <c r="Q3"/>
      <c r="R3"/>
      <c r="S3"/>
    </row>
    <row r="4" spans="1:19" ht="22.1" customHeight="1" x14ac:dyDescent="0.4">
      <c r="A4" s="58" t="s">
        <v>62</v>
      </c>
      <c r="B4" s="56" t="s">
        <v>63</v>
      </c>
      <c r="C4" s="56" t="s">
        <v>64</v>
      </c>
      <c r="D4" s="59">
        <v>20</v>
      </c>
      <c r="E4">
        <v>3</v>
      </c>
      <c r="F4">
        <v>20</v>
      </c>
      <c r="G4">
        <v>0.25</v>
      </c>
      <c r="H4">
        <v>500</v>
      </c>
      <c r="I4" t="s">
        <v>65</v>
      </c>
      <c r="J4"/>
      <c r="K4"/>
      <c r="L4"/>
      <c r="M4"/>
      <c r="N4"/>
      <c r="O4"/>
      <c r="P4"/>
      <c r="Q4"/>
      <c r="R4"/>
      <c r="S4"/>
    </row>
    <row r="5" spans="1:19" ht="22.1" customHeight="1" x14ac:dyDescent="0.4">
      <c r="A5" s="58" t="s">
        <v>66</v>
      </c>
      <c r="B5" s="56" t="s">
        <v>63</v>
      </c>
      <c r="C5" s="64" t="s">
        <v>900</v>
      </c>
      <c r="D5" s="59">
        <v>20</v>
      </c>
      <c r="E5">
        <v>3</v>
      </c>
      <c r="F5">
        <v>20</v>
      </c>
      <c r="G5">
        <v>0.25</v>
      </c>
      <c r="H5">
        <v>300</v>
      </c>
      <c r="I5" s="65" t="s">
        <v>901</v>
      </c>
      <c r="J5"/>
      <c r="K5"/>
      <c r="L5"/>
      <c r="M5"/>
      <c r="N5"/>
      <c r="O5"/>
      <c r="P5"/>
      <c r="Q5"/>
      <c r="R5"/>
      <c r="S5"/>
    </row>
    <row r="6" spans="1:19" ht="22.1" customHeight="1" x14ac:dyDescent="0.4">
      <c r="A6" s="58" t="s">
        <v>67</v>
      </c>
      <c r="B6" s="56" t="s">
        <v>68</v>
      </c>
      <c r="C6" s="64" t="s">
        <v>903</v>
      </c>
      <c r="D6" s="59">
        <v>40</v>
      </c>
      <c r="E6">
        <v>4</v>
      </c>
      <c r="F6">
        <v>15</v>
      </c>
      <c r="G6">
        <v>0.75</v>
      </c>
      <c r="H6"/>
      <c r="I6" t="s">
        <v>902</v>
      </c>
      <c r="J6"/>
      <c r="K6"/>
      <c r="L6"/>
      <c r="M6"/>
      <c r="N6"/>
      <c r="O6"/>
      <c r="P6"/>
      <c r="Q6"/>
      <c r="R6"/>
      <c r="S6"/>
    </row>
    <row r="7" spans="1:19" ht="22.1" customHeight="1" x14ac:dyDescent="0.4">
      <c r="A7" s="58" t="s">
        <v>69</v>
      </c>
      <c r="B7" s="56" t="s">
        <v>68</v>
      </c>
      <c r="C7" s="64" t="s">
        <v>905</v>
      </c>
      <c r="D7" s="59">
        <v>40</v>
      </c>
      <c r="E7">
        <v>4</v>
      </c>
      <c r="F7">
        <v>15</v>
      </c>
      <c r="G7">
        <v>0.75</v>
      </c>
      <c r="H7">
        <v>200</v>
      </c>
      <c r="I7" t="s">
        <v>904</v>
      </c>
      <c r="J7"/>
      <c r="K7"/>
      <c r="L7"/>
      <c r="M7"/>
      <c r="N7"/>
      <c r="O7"/>
      <c r="P7"/>
      <c r="Q7"/>
      <c r="R7"/>
      <c r="S7"/>
    </row>
    <row r="8" spans="1:19" ht="22.1" customHeight="1" x14ac:dyDescent="0.4">
      <c r="A8" s="58" t="s">
        <v>70</v>
      </c>
      <c r="B8" s="56" t="s">
        <v>68</v>
      </c>
      <c r="C8" s="64" t="s">
        <v>905</v>
      </c>
      <c r="D8" s="59">
        <v>40</v>
      </c>
      <c r="E8">
        <v>4</v>
      </c>
      <c r="F8">
        <v>15</v>
      </c>
      <c r="G8" s="65">
        <v>0.75</v>
      </c>
      <c r="H8" s="65">
        <v>200</v>
      </c>
      <c r="I8" t="s">
        <v>907</v>
      </c>
      <c r="J8"/>
      <c r="K8"/>
      <c r="L8"/>
      <c r="M8"/>
      <c r="N8"/>
      <c r="O8"/>
      <c r="P8"/>
      <c r="Q8"/>
      <c r="R8"/>
      <c r="S8"/>
    </row>
    <row r="9" spans="1:19" ht="22.1" customHeight="1" x14ac:dyDescent="0.4">
      <c r="A9" s="58" t="s">
        <v>71</v>
      </c>
      <c r="B9" s="56" t="s">
        <v>72</v>
      </c>
      <c r="C9" s="64" t="s">
        <v>905</v>
      </c>
      <c r="D9" s="59">
        <v>60</v>
      </c>
      <c r="E9">
        <v>2</v>
      </c>
      <c r="F9">
        <v>4</v>
      </c>
      <c r="G9" s="65">
        <v>0.75</v>
      </c>
      <c r="H9"/>
      <c r="I9" t="s">
        <v>908</v>
      </c>
      <c r="J9"/>
      <c r="K9"/>
      <c r="L9"/>
      <c r="M9"/>
      <c r="N9"/>
      <c r="O9"/>
      <c r="P9"/>
      <c r="Q9"/>
      <c r="R9"/>
      <c r="S9"/>
    </row>
    <row r="10" spans="1:19" ht="22.1" customHeight="1" x14ac:dyDescent="0.4">
      <c r="A10" s="58" t="s">
        <v>73</v>
      </c>
      <c r="B10" s="56" t="s">
        <v>72</v>
      </c>
      <c r="C10" s="56" t="s">
        <v>903</v>
      </c>
      <c r="D10" s="59">
        <v>60</v>
      </c>
      <c r="E10">
        <v>4</v>
      </c>
      <c r="F10"/>
      <c r="G10" s="65">
        <v>0.75</v>
      </c>
      <c r="H10"/>
      <c r="I10" t="s">
        <v>909</v>
      </c>
      <c r="J10"/>
      <c r="K10"/>
      <c r="L10"/>
      <c r="M10"/>
      <c r="N10"/>
      <c r="O10"/>
      <c r="P10"/>
      <c r="Q10"/>
      <c r="R10"/>
      <c r="S10"/>
    </row>
    <row r="11" spans="1:19" ht="22.1" customHeight="1" x14ac:dyDescent="0.4">
      <c r="A11" s="58" t="s">
        <v>74</v>
      </c>
      <c r="B11" s="56" t="s">
        <v>72</v>
      </c>
      <c r="C11" s="56" t="s">
        <v>903</v>
      </c>
      <c r="D11" s="59">
        <v>60</v>
      </c>
      <c r="E11">
        <v>4</v>
      </c>
      <c r="F11"/>
      <c r="G11" s="65">
        <v>0.75</v>
      </c>
      <c r="H11"/>
      <c r="I11" t="s">
        <v>910</v>
      </c>
      <c r="J11"/>
      <c r="K11"/>
      <c r="L11"/>
      <c r="M11"/>
      <c r="N11"/>
      <c r="O11"/>
      <c r="P11"/>
      <c r="Q11"/>
      <c r="R11"/>
      <c r="S11"/>
    </row>
    <row r="12" spans="1:19" ht="22.1" customHeight="1" x14ac:dyDescent="0.4">
      <c r="A12" s="58" t="s">
        <v>75</v>
      </c>
      <c r="B12" s="56" t="s">
        <v>72</v>
      </c>
      <c r="C12" s="56" t="s">
        <v>911</v>
      </c>
      <c r="D12" s="59">
        <v>60</v>
      </c>
      <c r="E12">
        <v>5</v>
      </c>
      <c r="F12"/>
      <c r="G12"/>
      <c r="H12"/>
      <c r="I12" t="s">
        <v>912</v>
      </c>
      <c r="J12"/>
      <c r="K12"/>
      <c r="L12"/>
      <c r="M12"/>
      <c r="N12"/>
      <c r="O12"/>
      <c r="P12"/>
      <c r="Q12"/>
      <c r="R12"/>
      <c r="S12"/>
    </row>
    <row r="13" spans="1:19" ht="22.1" customHeight="1" x14ac:dyDescent="0.4">
      <c r="A13" s="58" t="s">
        <v>76</v>
      </c>
      <c r="B13" s="56" t="s">
        <v>77</v>
      </c>
      <c r="C13" s="56" t="s">
        <v>911</v>
      </c>
      <c r="D13" s="59">
        <v>20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spans="1:19" ht="22.1" customHeight="1" x14ac:dyDescent="0.4">
      <c r="A14" s="58" t="s">
        <v>78</v>
      </c>
      <c r="B14" s="56" t="s">
        <v>77</v>
      </c>
      <c r="C14" s="56" t="s">
        <v>64</v>
      </c>
      <c r="D14" s="59">
        <v>20</v>
      </c>
      <c r="E14">
        <v>3</v>
      </c>
      <c r="F14">
        <v>20</v>
      </c>
      <c r="G14">
        <v>0.25</v>
      </c>
      <c r="H14">
        <v>300</v>
      </c>
      <c r="I14" t="s">
        <v>915</v>
      </c>
      <c r="J14"/>
      <c r="K14"/>
      <c r="L14"/>
      <c r="M14"/>
      <c r="N14"/>
      <c r="O14"/>
      <c r="P14"/>
      <c r="Q14"/>
      <c r="R14"/>
      <c r="S14"/>
    </row>
    <row r="15" spans="1:19" ht="22.1" customHeight="1" x14ac:dyDescent="0.4">
      <c r="A15" s="58" t="s">
        <v>79</v>
      </c>
      <c r="B15" s="56" t="s">
        <v>77</v>
      </c>
      <c r="C15" s="56" t="s">
        <v>911</v>
      </c>
      <c r="D15" s="59">
        <v>20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spans="1:19" ht="22.1" customHeight="1" x14ac:dyDescent="0.4">
      <c r="A16" s="58" t="s">
        <v>80</v>
      </c>
      <c r="B16" s="56" t="s">
        <v>81</v>
      </c>
      <c r="C16" s="56" t="s">
        <v>911</v>
      </c>
      <c r="D16" s="59">
        <v>40</v>
      </c>
      <c r="E16">
        <v>5</v>
      </c>
      <c r="F16"/>
      <c r="G16"/>
      <c r="H16"/>
      <c r="I16" t="s">
        <v>913</v>
      </c>
      <c r="J16"/>
      <c r="K16"/>
      <c r="L16"/>
      <c r="M16"/>
      <c r="N16"/>
      <c r="O16"/>
      <c r="P16"/>
      <c r="Q16"/>
      <c r="R16"/>
      <c r="S16"/>
    </row>
    <row r="17" spans="1:19" ht="22.1" customHeight="1" x14ac:dyDescent="0.4">
      <c r="A17" s="58" t="s">
        <v>82</v>
      </c>
      <c r="B17" s="56" t="s">
        <v>81</v>
      </c>
      <c r="C17" s="56" t="s">
        <v>911</v>
      </c>
      <c r="D17" s="59">
        <v>40</v>
      </c>
      <c r="E17">
        <v>5</v>
      </c>
      <c r="F17"/>
      <c r="G17"/>
      <c r="H17"/>
      <c r="I17" t="s">
        <v>914</v>
      </c>
      <c r="J17"/>
      <c r="K17"/>
      <c r="L17"/>
      <c r="M17"/>
      <c r="N17"/>
      <c r="O17"/>
      <c r="P17"/>
      <c r="Q17"/>
      <c r="R17"/>
      <c r="S17"/>
    </row>
    <row r="18" spans="1:19" ht="22.1" customHeight="1" x14ac:dyDescent="0.4">
      <c r="A18" s="58" t="s">
        <v>23</v>
      </c>
      <c r="B18" s="56" t="s">
        <v>81</v>
      </c>
      <c r="C18" s="56" t="s">
        <v>911</v>
      </c>
      <c r="D18" s="59">
        <v>40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19" ht="22.1" customHeight="1" x14ac:dyDescent="0.4">
      <c r="A19" s="58" t="s">
        <v>83</v>
      </c>
      <c r="B19" s="56" t="s">
        <v>84</v>
      </c>
      <c r="C19" s="56" t="s">
        <v>911</v>
      </c>
      <c r="D19" s="59">
        <v>60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 ht="22.1" customHeight="1" x14ac:dyDescent="0.4">
      <c r="A20" s="58" t="s">
        <v>85</v>
      </c>
      <c r="B20" s="56" t="s">
        <v>84</v>
      </c>
      <c r="C20" s="56" t="s">
        <v>911</v>
      </c>
      <c r="D20" s="59">
        <v>60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ht="19.95" customHeight="1" x14ac:dyDescent="0.4">
      <c r="A21" s="58" t="s">
        <v>86</v>
      </c>
      <c r="B21" s="56" t="s">
        <v>87</v>
      </c>
      <c r="C21" s="56" t="s">
        <v>911</v>
      </c>
      <c r="D21" s="59">
        <v>30</v>
      </c>
    </row>
    <row r="22" spans="1:19" ht="19.95" customHeight="1" x14ac:dyDescent="0.4">
      <c r="A22" s="58" t="s">
        <v>88</v>
      </c>
      <c r="B22" s="56" t="s">
        <v>87</v>
      </c>
      <c r="D22" s="59">
        <v>30</v>
      </c>
    </row>
    <row r="23" spans="1:19" ht="19.95" customHeight="1" x14ac:dyDescent="0.4">
      <c r="A23" s="58" t="s">
        <v>89</v>
      </c>
      <c r="B23" s="56" t="s">
        <v>87</v>
      </c>
      <c r="D23" s="59">
        <v>50</v>
      </c>
    </row>
    <row r="24" spans="1:19" ht="19.95" customHeight="1" x14ac:dyDescent="0.4">
      <c r="A24" s="58" t="s">
        <v>90</v>
      </c>
      <c r="B24" s="56" t="s">
        <v>87</v>
      </c>
      <c r="D24" s="59">
        <v>50</v>
      </c>
    </row>
    <row r="25" spans="1:19" ht="19.95" customHeight="1" x14ac:dyDescent="0.4">
      <c r="A25" s="58" t="s">
        <v>91</v>
      </c>
      <c r="B25" s="56" t="s">
        <v>92</v>
      </c>
      <c r="D25" s="59">
        <v>30</v>
      </c>
    </row>
    <row r="26" spans="1:19" ht="19.95" customHeight="1" x14ac:dyDescent="0.4">
      <c r="A26" s="58" t="s">
        <v>93</v>
      </c>
      <c r="B26" s="56" t="s">
        <v>92</v>
      </c>
      <c r="D26" s="59">
        <v>30</v>
      </c>
    </row>
    <row r="27" spans="1:19" ht="19.95" customHeight="1" x14ac:dyDescent="0.4">
      <c r="A27" s="58" t="s">
        <v>94</v>
      </c>
      <c r="B27" s="56" t="s">
        <v>92</v>
      </c>
      <c r="D27" s="59">
        <v>30</v>
      </c>
    </row>
    <row r="28" spans="1:19" ht="19.95" customHeight="1" x14ac:dyDescent="0.4">
      <c r="A28" s="58" t="s">
        <v>95</v>
      </c>
      <c r="B28" s="56" t="s">
        <v>92</v>
      </c>
      <c r="D28" s="59">
        <v>30</v>
      </c>
    </row>
    <row r="29" spans="1:19" ht="19.95" customHeight="1" x14ac:dyDescent="0.4">
      <c r="A29" s="58" t="s">
        <v>96</v>
      </c>
      <c r="B29" s="56" t="s">
        <v>92</v>
      </c>
      <c r="D29" s="59">
        <v>30</v>
      </c>
    </row>
    <row r="30" spans="1:19" ht="19.95" customHeight="1" x14ac:dyDescent="0.4">
      <c r="A30" s="58" t="s">
        <v>97</v>
      </c>
      <c r="B30" s="56" t="s">
        <v>92</v>
      </c>
      <c r="D30" s="59">
        <v>30</v>
      </c>
    </row>
    <row r="31" spans="1:19" ht="19.95" customHeight="1" x14ac:dyDescent="0.4">
      <c r="A31" s="58" t="s">
        <v>98</v>
      </c>
      <c r="B31" s="56" t="s">
        <v>99</v>
      </c>
      <c r="D31" s="59">
        <v>50</v>
      </c>
    </row>
    <row r="32" spans="1:19" ht="19.95" customHeight="1" x14ac:dyDescent="0.4">
      <c r="A32" s="58" t="s">
        <v>100</v>
      </c>
      <c r="B32" s="56" t="s">
        <v>99</v>
      </c>
      <c r="D32" s="59">
        <v>50</v>
      </c>
    </row>
    <row r="33" spans="1:4" ht="19.95" customHeight="1" x14ac:dyDescent="0.4">
      <c r="A33" s="58" t="s">
        <v>101</v>
      </c>
      <c r="B33" s="56" t="s">
        <v>99</v>
      </c>
      <c r="D33" s="59">
        <v>50</v>
      </c>
    </row>
    <row r="34" spans="1:4" ht="19.95" customHeight="1" x14ac:dyDescent="0.4">
      <c r="A34" s="58" t="s">
        <v>102</v>
      </c>
      <c r="B34" s="56" t="s">
        <v>99</v>
      </c>
      <c r="D34" s="59">
        <v>50</v>
      </c>
    </row>
    <row r="35" spans="1:4" ht="19.95" customHeight="1" x14ac:dyDescent="0.4">
      <c r="A35" s="58" t="s">
        <v>103</v>
      </c>
      <c r="B35" s="56" t="s">
        <v>104</v>
      </c>
      <c r="D35" s="59">
        <v>70</v>
      </c>
    </row>
    <row r="36" spans="1:4" ht="19.95" customHeight="1" x14ac:dyDescent="0.4">
      <c r="A36" s="58" t="s">
        <v>105</v>
      </c>
      <c r="B36" s="56" t="s">
        <v>104</v>
      </c>
      <c r="D36" s="59">
        <v>70</v>
      </c>
    </row>
    <row r="37" spans="1:4" ht="19.95" customHeight="1" x14ac:dyDescent="0.4">
      <c r="A37" s="58" t="s">
        <v>106</v>
      </c>
      <c r="B37" s="56" t="s">
        <v>104</v>
      </c>
      <c r="D37" s="59">
        <v>70</v>
      </c>
    </row>
    <row r="38" spans="1:4" ht="19.95" customHeight="1" x14ac:dyDescent="0.4">
      <c r="A38" s="58" t="s">
        <v>107</v>
      </c>
      <c r="B38" s="56" t="s">
        <v>108</v>
      </c>
      <c r="D38" s="59">
        <v>40</v>
      </c>
    </row>
    <row r="39" spans="1:4" ht="19.95" customHeight="1" x14ac:dyDescent="0.4">
      <c r="A39" s="58" t="s">
        <v>109</v>
      </c>
      <c r="B39" s="56" t="s">
        <v>108</v>
      </c>
      <c r="D39" s="59">
        <v>40</v>
      </c>
    </row>
    <row r="40" spans="1:4" ht="19.95" customHeight="1" x14ac:dyDescent="0.4">
      <c r="A40" s="58" t="s">
        <v>110</v>
      </c>
      <c r="B40" s="56" t="s">
        <v>111</v>
      </c>
      <c r="D40" s="59">
        <v>60</v>
      </c>
    </row>
    <row r="41" spans="1:4" ht="19.95" customHeight="1" x14ac:dyDescent="0.4">
      <c r="A41" s="58" t="s">
        <v>112</v>
      </c>
      <c r="B41" s="56" t="s">
        <v>111</v>
      </c>
      <c r="D41" s="59">
        <v>60</v>
      </c>
    </row>
    <row r="42" spans="1:4" ht="19.95" customHeight="1" x14ac:dyDescent="0.4">
      <c r="A42" s="58" t="s">
        <v>113</v>
      </c>
      <c r="B42" s="56" t="s">
        <v>114</v>
      </c>
      <c r="D42" s="59">
        <v>80</v>
      </c>
    </row>
    <row r="43" spans="1:4" ht="19.95" customHeight="1" x14ac:dyDescent="0.4">
      <c r="A43" s="58" t="s">
        <v>115</v>
      </c>
      <c r="B43" s="56" t="s">
        <v>116</v>
      </c>
      <c r="D43" s="59">
        <v>40</v>
      </c>
    </row>
    <row r="44" spans="1:4" ht="19.95" customHeight="1" x14ac:dyDescent="0.4">
      <c r="A44" s="58" t="s">
        <v>117</v>
      </c>
      <c r="B44" s="56" t="s">
        <v>116</v>
      </c>
      <c r="D44" s="59">
        <v>40</v>
      </c>
    </row>
    <row r="45" spans="1:4" ht="19.95" customHeight="1" x14ac:dyDescent="0.4">
      <c r="A45" s="58" t="s">
        <v>118</v>
      </c>
      <c r="B45" s="56" t="s">
        <v>119</v>
      </c>
      <c r="D45" s="59">
        <f>D59</f>
        <v>10</v>
      </c>
    </row>
    <row r="46" spans="1:4" ht="19.95" customHeight="1" x14ac:dyDescent="0.4">
      <c r="A46" s="58" t="s">
        <v>120</v>
      </c>
      <c r="B46" s="56" t="s">
        <v>119</v>
      </c>
      <c r="D46" s="59">
        <v>60</v>
      </c>
    </row>
    <row r="47" spans="1:4" ht="19.95" customHeight="1" x14ac:dyDescent="0.4">
      <c r="A47" s="58" t="s">
        <v>121</v>
      </c>
      <c r="B47" s="56" t="s">
        <v>122</v>
      </c>
      <c r="D47" s="59">
        <v>80</v>
      </c>
    </row>
    <row r="48" spans="1:4" ht="19.95" customHeight="1" x14ac:dyDescent="0.4">
      <c r="A48" s="58" t="s">
        <v>123</v>
      </c>
      <c r="B48" s="56" t="s">
        <v>122</v>
      </c>
      <c r="D48" s="59">
        <v>80</v>
      </c>
    </row>
    <row r="49" spans="1:4" ht="19.95" customHeight="1" x14ac:dyDescent="0.4">
      <c r="A49" s="58" t="s">
        <v>124</v>
      </c>
      <c r="B49" s="56" t="s">
        <v>125</v>
      </c>
      <c r="D49" s="59">
        <v>60</v>
      </c>
    </row>
    <row r="50" spans="1:4" ht="19.95" customHeight="1" x14ac:dyDescent="0.4">
      <c r="A50" s="58" t="s">
        <v>126</v>
      </c>
      <c r="B50" s="56" t="s">
        <v>125</v>
      </c>
      <c r="D50" s="59">
        <v>60</v>
      </c>
    </row>
    <row r="51" spans="1:4" ht="19.95" customHeight="1" x14ac:dyDescent="0.4">
      <c r="A51" s="58" t="s">
        <v>127</v>
      </c>
      <c r="B51" s="56" t="s">
        <v>125</v>
      </c>
      <c r="D51" s="59">
        <v>60</v>
      </c>
    </row>
    <row r="52" spans="1:4" ht="19.95" customHeight="1" x14ac:dyDescent="0.4">
      <c r="A52" s="58" t="s">
        <v>128</v>
      </c>
      <c r="B52" s="56" t="s">
        <v>129</v>
      </c>
      <c r="D52" s="59">
        <v>80</v>
      </c>
    </row>
    <row r="53" spans="1:4" ht="19.95" customHeight="1" x14ac:dyDescent="0.4">
      <c r="A53" s="58" t="s">
        <v>130</v>
      </c>
      <c r="B53" s="56" t="s">
        <v>129</v>
      </c>
      <c r="D53" s="59">
        <v>80</v>
      </c>
    </row>
    <row r="54" spans="1:4" ht="19.95" customHeight="1" x14ac:dyDescent="0.4">
      <c r="A54" s="58" t="s">
        <v>131</v>
      </c>
      <c r="B54" s="56" t="s">
        <v>129</v>
      </c>
      <c r="D54" s="59">
        <v>80</v>
      </c>
    </row>
    <row r="55" spans="1:4" ht="19.95" customHeight="1" x14ac:dyDescent="0.4">
      <c r="A55" s="58" t="s">
        <v>132</v>
      </c>
      <c r="B55" s="56" t="s">
        <v>129</v>
      </c>
      <c r="D55" s="59">
        <v>80</v>
      </c>
    </row>
    <row r="56" spans="1:4" ht="19.95" customHeight="1" x14ac:dyDescent="0.4">
      <c r="A56" s="58" t="s">
        <v>133</v>
      </c>
      <c r="B56" s="56" t="s">
        <v>134</v>
      </c>
      <c r="D56" s="59">
        <v>100</v>
      </c>
    </row>
    <row r="57" spans="1:4" ht="19.95" customHeight="1" x14ac:dyDescent="0.4">
      <c r="A57" s="58" t="s">
        <v>135</v>
      </c>
      <c r="B57" s="56" t="s">
        <v>134</v>
      </c>
      <c r="D57" s="59">
        <v>100</v>
      </c>
    </row>
    <row r="58" spans="1:4" ht="19.95" customHeight="1" x14ac:dyDescent="0.4">
      <c r="A58" s="58" t="s">
        <v>136</v>
      </c>
      <c r="B58" s="56" t="s">
        <v>134</v>
      </c>
      <c r="D58" s="59">
        <v>100</v>
      </c>
    </row>
    <row r="59" spans="1:4" ht="19.95" customHeight="1" x14ac:dyDescent="0.4">
      <c r="A59" s="58" t="s">
        <v>137</v>
      </c>
      <c r="D59" s="59">
        <f>D60</f>
        <v>10</v>
      </c>
    </row>
    <row r="60" spans="1:4" ht="19.95" customHeight="1" x14ac:dyDescent="0.4">
      <c r="A60" s="58" t="s">
        <v>138</v>
      </c>
      <c r="D60" s="59">
        <v>10</v>
      </c>
    </row>
    <row r="61" spans="1:4" ht="19.95" customHeight="1" x14ac:dyDescent="0.4">
      <c r="A61" s="58" t="s">
        <v>139</v>
      </c>
      <c r="B61" s="56" t="s">
        <v>129</v>
      </c>
      <c r="D61" s="59">
        <v>80</v>
      </c>
    </row>
    <row r="62" spans="1:4" ht="19.95" customHeight="1" x14ac:dyDescent="0.4">
      <c r="A62" s="66" t="s">
        <v>916</v>
      </c>
      <c r="D62" s="59">
        <v>50</v>
      </c>
    </row>
  </sheetData>
  <phoneticPr fontId="15" type="noConversion"/>
  <conditionalFormatting sqref="B1">
    <cfRule type="duplicateValues" dxfId="41" priority="3"/>
  </conditionalFormatting>
  <conditionalFormatting sqref="C1">
    <cfRule type="duplicateValues" dxfId="40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S74" sqref="A68:S74"/>
    </sheetView>
  </sheetViews>
  <sheetFormatPr defaultColWidth="9" defaultRowHeight="19.95" customHeight="1" x14ac:dyDescent="0.4"/>
  <cols>
    <col min="1" max="1" width="13.76171875" bestFit="1" customWidth="1"/>
    <col min="2" max="2" width="20.234375" style="2" bestFit="1" customWidth="1"/>
    <col min="3" max="3" width="15.3515625" style="2" bestFit="1" customWidth="1"/>
    <col min="4" max="4" width="12.87890625" style="2" bestFit="1" customWidth="1"/>
    <col min="5" max="5" width="26.1171875" style="2" bestFit="1" customWidth="1"/>
    <col min="6" max="6" width="7.1171875" bestFit="1" customWidth="1"/>
    <col min="7" max="7" width="21.64453125" style="2" bestFit="1" customWidth="1"/>
    <col min="8" max="8" width="7.1171875" bestFit="1" customWidth="1"/>
    <col min="9" max="9" width="20.52734375" style="2" bestFit="1" customWidth="1"/>
    <col min="10" max="10" width="7.1171875" bestFit="1" customWidth="1"/>
    <col min="11" max="11" width="28.234375" style="2" bestFit="1" customWidth="1"/>
    <col min="12" max="12" width="7.1171875" bestFit="1" customWidth="1"/>
    <col min="13" max="13" width="26.1171875" style="2" bestFit="1" customWidth="1"/>
    <col min="14" max="14" width="7.1171875" bestFit="1" customWidth="1"/>
    <col min="15" max="15" width="17.234375" style="2" bestFit="1" customWidth="1"/>
    <col min="16" max="16" width="7.1171875" bestFit="1" customWidth="1"/>
    <col min="17" max="17" width="21.64453125" style="2" bestFit="1" customWidth="1"/>
    <col min="18" max="18" width="7.1171875" bestFit="1" customWidth="1"/>
    <col min="19" max="19" width="18.3515625" style="2" bestFit="1" customWidth="1"/>
    <col min="20" max="20" width="7.52734375" bestFit="1" customWidth="1"/>
    <col min="21" max="21" width="23.87890625" style="2" bestFit="1" customWidth="1"/>
    <col min="22" max="22" width="7.52734375" bestFit="1" customWidth="1"/>
    <col min="23" max="23" width="23.87890625" style="2" bestFit="1" customWidth="1"/>
    <col min="24" max="24" width="7.52734375" bestFit="1" customWidth="1"/>
    <col min="25" max="25" width="23.87890625" style="2" bestFit="1" customWidth="1"/>
    <col min="26" max="26" width="7.52734375" bestFit="1" customWidth="1"/>
    <col min="27" max="27" width="21.64453125" style="2" bestFit="1" customWidth="1"/>
    <col min="28" max="28" width="7.52734375" bestFit="1" customWidth="1"/>
    <col min="29" max="29" width="22.76171875" style="2" bestFit="1" customWidth="1"/>
    <col min="30" max="30" width="7.52734375" bestFit="1" customWidth="1"/>
    <col min="31" max="31" width="6" style="2" bestFit="1" customWidth="1"/>
    <col min="32" max="32" width="7.52734375" bestFit="1" customWidth="1"/>
  </cols>
  <sheetData>
    <row r="1" spans="1:32" ht="39" customHeight="1" x14ac:dyDescent="0.4">
      <c r="A1" s="29" t="s">
        <v>42</v>
      </c>
      <c r="B1" s="3" t="s">
        <v>43</v>
      </c>
      <c r="C1" s="4" t="s">
        <v>43</v>
      </c>
      <c r="D1" s="5" t="s">
        <v>43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7" customFormat="1" ht="34.1" customHeight="1" x14ac:dyDescent="0.4">
      <c r="A2" s="34" t="s">
        <v>44</v>
      </c>
      <c r="B2" s="32" t="s">
        <v>140</v>
      </c>
      <c r="C2" s="33" t="s">
        <v>141</v>
      </c>
      <c r="D2" s="34" t="s">
        <v>142</v>
      </c>
      <c r="E2" s="34" t="s">
        <v>18</v>
      </c>
      <c r="F2" s="34" t="s">
        <v>19</v>
      </c>
      <c r="G2" s="34" t="s">
        <v>18</v>
      </c>
      <c r="H2" s="34" t="s">
        <v>19</v>
      </c>
      <c r="I2" s="34" t="s">
        <v>18</v>
      </c>
      <c r="J2" s="34" t="s">
        <v>19</v>
      </c>
      <c r="K2" s="34" t="s">
        <v>18</v>
      </c>
      <c r="L2" s="34" t="s">
        <v>19</v>
      </c>
      <c r="M2" s="34" t="s">
        <v>18</v>
      </c>
      <c r="N2" s="34" t="s">
        <v>19</v>
      </c>
      <c r="O2" s="34" t="s">
        <v>18</v>
      </c>
      <c r="P2" s="34" t="s">
        <v>19</v>
      </c>
      <c r="Q2" s="34" t="s">
        <v>18</v>
      </c>
      <c r="R2" s="34" t="s">
        <v>19</v>
      </c>
      <c r="S2" s="34" t="s">
        <v>18</v>
      </c>
      <c r="T2" s="34" t="s">
        <v>19</v>
      </c>
      <c r="U2" s="34" t="s">
        <v>18</v>
      </c>
      <c r="V2" s="34" t="s">
        <v>19</v>
      </c>
      <c r="W2" s="34" t="s">
        <v>18</v>
      </c>
      <c r="X2" s="34" t="s">
        <v>19</v>
      </c>
      <c r="Y2" s="34" t="s">
        <v>18</v>
      </c>
      <c r="Z2" s="34" t="s">
        <v>19</v>
      </c>
      <c r="AA2" s="34" t="s">
        <v>18</v>
      </c>
      <c r="AB2" s="34" t="s">
        <v>19</v>
      </c>
      <c r="AC2" s="34" t="s">
        <v>18</v>
      </c>
      <c r="AD2" s="34" t="s">
        <v>19</v>
      </c>
      <c r="AE2" s="34" t="s">
        <v>18</v>
      </c>
      <c r="AF2" s="34" t="s">
        <v>19</v>
      </c>
    </row>
    <row r="3" spans="1:32" s="37" customFormat="1" ht="19.95" customHeight="1" x14ac:dyDescent="0.4">
      <c r="A3" s="34" t="s">
        <v>143</v>
      </c>
      <c r="B3" s="34" t="s">
        <v>144</v>
      </c>
      <c r="C3" s="36" t="s">
        <v>145</v>
      </c>
      <c r="D3" s="34"/>
      <c r="E3" s="34" t="s">
        <v>146</v>
      </c>
      <c r="F3" s="34"/>
      <c r="G3" s="34" t="s">
        <v>147</v>
      </c>
      <c r="H3" s="34"/>
      <c r="I3" s="34" t="s">
        <v>148</v>
      </c>
      <c r="J3" s="34"/>
      <c r="K3" s="34" t="s">
        <v>149</v>
      </c>
      <c r="L3" s="34"/>
      <c r="M3" s="34" t="s">
        <v>150</v>
      </c>
      <c r="N3" s="34"/>
      <c r="O3" s="34" t="s">
        <v>151</v>
      </c>
      <c r="P3" s="34"/>
      <c r="Q3" s="34" t="s">
        <v>97</v>
      </c>
      <c r="R3" s="34"/>
      <c r="S3" s="34" t="s">
        <v>93</v>
      </c>
      <c r="T3" s="34"/>
      <c r="U3" s="34" t="s">
        <v>152</v>
      </c>
      <c r="V3" s="34"/>
      <c r="W3" s="34" t="s">
        <v>153</v>
      </c>
      <c r="X3" s="34"/>
      <c r="Y3" s="34" t="s">
        <v>154</v>
      </c>
      <c r="Z3" s="34"/>
      <c r="AA3" s="34" t="s">
        <v>155</v>
      </c>
      <c r="AB3" s="34"/>
      <c r="AC3" s="34" t="s">
        <v>156</v>
      </c>
      <c r="AD3" s="34"/>
      <c r="AE3" s="55" t="s">
        <v>157</v>
      </c>
      <c r="AF3" s="34"/>
    </row>
    <row r="4" spans="1:32" ht="19.95" customHeight="1" x14ac:dyDescent="0.4">
      <c r="A4" s="38" t="s">
        <v>158</v>
      </c>
      <c r="B4" s="38">
        <v>0.03</v>
      </c>
      <c r="C4" s="38">
        <f>SUM(F4:AF4)</f>
        <v>157</v>
      </c>
      <c r="D4" s="39"/>
      <c r="E4" s="63" t="s">
        <v>812</v>
      </c>
      <c r="F4" s="39">
        <v>23</v>
      </c>
      <c r="G4" s="39"/>
      <c r="H4" s="39"/>
      <c r="I4" s="39" t="s">
        <v>813</v>
      </c>
      <c r="J4" s="39">
        <v>119</v>
      </c>
      <c r="K4" s="39"/>
      <c r="L4" s="39"/>
      <c r="M4" s="39"/>
      <c r="N4" s="39"/>
      <c r="O4" s="39" t="s">
        <v>817</v>
      </c>
      <c r="P4" s="39">
        <v>15</v>
      </c>
      <c r="Q4" s="39" t="s">
        <v>818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</row>
    <row r="5" spans="1:32" ht="19.95" customHeight="1" x14ac:dyDescent="0.4">
      <c r="A5" s="38" t="s">
        <v>159</v>
      </c>
      <c r="B5" s="38">
        <v>0.04</v>
      </c>
      <c r="C5" s="38">
        <f>SUM(F5:AF5)</f>
        <v>183</v>
      </c>
      <c r="D5" s="39"/>
      <c r="E5" s="63" t="s">
        <v>812</v>
      </c>
      <c r="F5" s="39">
        <v>26</v>
      </c>
      <c r="G5" s="39"/>
      <c r="H5" s="39"/>
      <c r="I5" s="39" t="s">
        <v>813</v>
      </c>
      <c r="J5" s="39">
        <v>140</v>
      </c>
      <c r="K5" s="39"/>
      <c r="L5" s="39"/>
      <c r="M5" s="39"/>
      <c r="N5" s="39"/>
      <c r="O5" s="39" t="s">
        <v>817</v>
      </c>
      <c r="P5" s="39">
        <v>17</v>
      </c>
      <c r="Q5" s="39" t="s">
        <v>818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</row>
    <row r="6" spans="1:32" ht="19.95" customHeight="1" x14ac:dyDescent="0.4">
      <c r="A6" s="38" t="s">
        <v>160</v>
      </c>
      <c r="B6" s="38">
        <v>0.05</v>
      </c>
      <c r="C6" s="38">
        <f t="shared" ref="C6:C36" si="0">SUM(F6:AF6)</f>
        <v>209</v>
      </c>
      <c r="D6" s="39"/>
      <c r="E6" s="63" t="s">
        <v>812</v>
      </c>
      <c r="F6" s="39">
        <v>33</v>
      </c>
      <c r="G6" s="39"/>
      <c r="H6" s="39"/>
      <c r="I6" s="39" t="s">
        <v>813</v>
      </c>
      <c r="J6" s="39">
        <v>158</v>
      </c>
      <c r="K6" s="39"/>
      <c r="L6" s="39"/>
      <c r="M6" s="39"/>
      <c r="N6" s="39"/>
      <c r="O6" s="39" t="s">
        <v>817</v>
      </c>
      <c r="P6" s="39">
        <v>18</v>
      </c>
      <c r="Q6" s="39" t="s">
        <v>818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</row>
    <row r="7" spans="1:32" ht="19.95" customHeight="1" x14ac:dyDescent="0.4">
      <c r="A7" s="38" t="s">
        <v>161</v>
      </c>
      <c r="B7" s="38">
        <v>0.1</v>
      </c>
      <c r="C7" s="38">
        <f t="shared" si="0"/>
        <v>228</v>
      </c>
      <c r="D7" s="39"/>
      <c r="E7" s="63" t="s">
        <v>812</v>
      </c>
      <c r="F7" s="39">
        <v>36</v>
      </c>
      <c r="G7" s="39"/>
      <c r="H7" s="39"/>
      <c r="I7" s="39" t="s">
        <v>813</v>
      </c>
      <c r="J7" s="39">
        <v>172</v>
      </c>
      <c r="K7" s="39"/>
      <c r="L7" s="39"/>
      <c r="M7" s="39"/>
      <c r="N7" s="39"/>
      <c r="O7" s="39" t="s">
        <v>817</v>
      </c>
      <c r="P7" s="39">
        <v>20</v>
      </c>
      <c r="Q7" s="39" t="s">
        <v>818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</row>
    <row r="8" spans="1:32" s="40" customFormat="1" ht="19.95" customHeight="1" x14ac:dyDescent="0.4">
      <c r="A8" s="40" t="s">
        <v>162</v>
      </c>
      <c r="B8" s="40">
        <v>0.15</v>
      </c>
      <c r="C8" s="40">
        <f t="shared" si="0"/>
        <v>255</v>
      </c>
      <c r="E8" s="40" t="s">
        <v>812</v>
      </c>
      <c r="F8" s="40">
        <v>38</v>
      </c>
      <c r="G8" s="40" t="s">
        <v>814</v>
      </c>
      <c r="H8" s="40">
        <v>9</v>
      </c>
      <c r="I8" s="40" t="s">
        <v>813</v>
      </c>
      <c r="J8" s="40">
        <v>184</v>
      </c>
      <c r="O8" s="40" t="s">
        <v>817</v>
      </c>
      <c r="P8" s="40">
        <v>21</v>
      </c>
      <c r="Q8" s="40" t="s">
        <v>818</v>
      </c>
      <c r="R8" s="40">
        <v>3</v>
      </c>
    </row>
    <row r="9" spans="1:32" s="40" customFormat="1" ht="19.95" customHeight="1" x14ac:dyDescent="0.4">
      <c r="A9" s="40" t="s">
        <v>163</v>
      </c>
      <c r="B9" s="40">
        <v>0.25</v>
      </c>
      <c r="C9" s="40">
        <f t="shared" si="0"/>
        <v>286</v>
      </c>
      <c r="E9" s="40" t="s">
        <v>812</v>
      </c>
      <c r="F9" s="40">
        <v>43</v>
      </c>
      <c r="G9" s="40" t="s">
        <v>814</v>
      </c>
      <c r="H9" s="40">
        <v>17</v>
      </c>
      <c r="I9" s="40" t="s">
        <v>813</v>
      </c>
      <c r="J9" s="40">
        <v>192</v>
      </c>
      <c r="O9" s="40" t="s">
        <v>817</v>
      </c>
      <c r="P9" s="40">
        <v>24</v>
      </c>
      <c r="Q9" s="40" t="s">
        <v>818</v>
      </c>
      <c r="R9" s="40">
        <v>10</v>
      </c>
    </row>
    <row r="10" spans="1:32" s="40" customFormat="1" ht="19.95" customHeight="1" x14ac:dyDescent="0.4">
      <c r="A10" s="40" t="s">
        <v>164</v>
      </c>
      <c r="B10" s="40">
        <v>0.35</v>
      </c>
      <c r="C10" s="40">
        <f t="shared" si="0"/>
        <v>311</v>
      </c>
      <c r="E10" s="40" t="s">
        <v>812</v>
      </c>
      <c r="F10" s="40">
        <v>43</v>
      </c>
      <c r="G10" s="40" t="s">
        <v>814</v>
      </c>
      <c r="H10" s="40">
        <v>25</v>
      </c>
      <c r="I10" s="40" t="s">
        <v>813</v>
      </c>
      <c r="J10" s="40">
        <v>198</v>
      </c>
      <c r="O10" s="40" t="s">
        <v>817</v>
      </c>
      <c r="P10" s="40">
        <v>27</v>
      </c>
      <c r="Q10" s="40" t="s">
        <v>818</v>
      </c>
      <c r="R10" s="40">
        <v>18</v>
      </c>
    </row>
    <row r="11" spans="1:32" s="40" customFormat="1" ht="19.95" customHeight="1" x14ac:dyDescent="0.4">
      <c r="A11" s="40" t="s">
        <v>165</v>
      </c>
      <c r="B11" s="40">
        <v>0.45</v>
      </c>
      <c r="C11" s="40">
        <f t="shared" si="0"/>
        <v>335</v>
      </c>
      <c r="E11" s="40" t="s">
        <v>812</v>
      </c>
      <c r="F11" s="40">
        <v>43</v>
      </c>
      <c r="G11" s="40" t="s">
        <v>814</v>
      </c>
      <c r="H11" s="40">
        <v>38</v>
      </c>
      <c r="I11" s="40" t="s">
        <v>813</v>
      </c>
      <c r="J11" s="40">
        <v>202</v>
      </c>
      <c r="O11" s="40" t="s">
        <v>817</v>
      </c>
      <c r="P11" s="40">
        <v>31</v>
      </c>
      <c r="Q11" s="40" t="s">
        <v>818</v>
      </c>
      <c r="R11" s="40">
        <v>21</v>
      </c>
    </row>
    <row r="12" spans="1:32" s="40" customFormat="1" ht="19.95" customHeight="1" x14ac:dyDescent="0.4">
      <c r="A12" s="40" t="s">
        <v>166</v>
      </c>
      <c r="B12" s="40">
        <v>0.6</v>
      </c>
      <c r="C12" s="40">
        <f t="shared" si="0"/>
        <v>355</v>
      </c>
      <c r="E12" s="40" t="s">
        <v>812</v>
      </c>
      <c r="F12" s="40">
        <v>43</v>
      </c>
      <c r="G12" s="40" t="s">
        <v>814</v>
      </c>
      <c r="H12" s="40">
        <v>49</v>
      </c>
      <c r="I12" s="40" t="s">
        <v>813</v>
      </c>
      <c r="J12" s="40">
        <v>203</v>
      </c>
      <c r="O12" s="40" t="s">
        <v>817</v>
      </c>
      <c r="P12" s="40">
        <v>36</v>
      </c>
      <c r="Q12" s="40" t="s">
        <v>818</v>
      </c>
      <c r="R12" s="40">
        <v>24</v>
      </c>
    </row>
    <row r="13" spans="1:32" ht="19.95" customHeight="1" x14ac:dyDescent="0.4">
      <c r="A13" s="41" t="s">
        <v>167</v>
      </c>
      <c r="B13" s="41">
        <v>0.75</v>
      </c>
      <c r="C13" s="41">
        <f t="shared" si="0"/>
        <v>399</v>
      </c>
      <c r="D13" s="42"/>
      <c r="E13" s="42" t="s">
        <v>812</v>
      </c>
      <c r="F13" s="42">
        <v>51</v>
      </c>
      <c r="G13" s="42" t="s">
        <v>814</v>
      </c>
      <c r="H13" s="42">
        <v>45</v>
      </c>
      <c r="I13" s="42" t="s">
        <v>813</v>
      </c>
      <c r="J13" s="42">
        <v>203</v>
      </c>
      <c r="K13" s="42" t="s">
        <v>815</v>
      </c>
      <c r="L13" s="42">
        <v>10</v>
      </c>
      <c r="M13" s="42" t="s">
        <v>816</v>
      </c>
      <c r="N13" s="42">
        <v>7</v>
      </c>
      <c r="O13" s="42" t="s">
        <v>817</v>
      </c>
      <c r="P13" s="42">
        <v>29</v>
      </c>
      <c r="Q13" s="42" t="s">
        <v>818</v>
      </c>
      <c r="R13" s="42">
        <v>30</v>
      </c>
      <c r="S13" s="42" t="s">
        <v>819</v>
      </c>
      <c r="T13" s="42">
        <v>24</v>
      </c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9.95" customHeight="1" x14ac:dyDescent="0.4">
      <c r="A14" s="41" t="s">
        <v>168</v>
      </c>
      <c r="B14" s="41">
        <v>0.9</v>
      </c>
      <c r="C14" s="41">
        <f t="shared" si="0"/>
        <v>433</v>
      </c>
      <c r="D14" s="42"/>
      <c r="E14" s="42" t="s">
        <v>812</v>
      </c>
      <c r="F14" s="42">
        <v>47</v>
      </c>
      <c r="G14" s="42" t="s">
        <v>814</v>
      </c>
      <c r="H14" s="42">
        <v>43</v>
      </c>
      <c r="I14" s="42" t="s">
        <v>813</v>
      </c>
      <c r="J14" s="42">
        <v>201</v>
      </c>
      <c r="K14" s="42" t="s">
        <v>815</v>
      </c>
      <c r="L14" s="42">
        <v>23</v>
      </c>
      <c r="M14" s="42" t="s">
        <v>816</v>
      </c>
      <c r="N14" s="42">
        <v>20</v>
      </c>
      <c r="O14" s="42" t="s">
        <v>817</v>
      </c>
      <c r="P14" s="42">
        <v>29</v>
      </c>
      <c r="Q14" s="42" t="s">
        <v>818</v>
      </c>
      <c r="R14" s="42">
        <v>39</v>
      </c>
      <c r="S14" s="42" t="s">
        <v>819</v>
      </c>
      <c r="T14" s="42">
        <v>31</v>
      </c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</row>
    <row r="15" spans="1:32" ht="19.95" customHeight="1" x14ac:dyDescent="0.4">
      <c r="A15" s="41" t="s">
        <v>169</v>
      </c>
      <c r="B15" s="41">
        <v>1.4</v>
      </c>
      <c r="C15" s="41">
        <f t="shared" si="0"/>
        <v>462</v>
      </c>
      <c r="D15" s="42"/>
      <c r="E15" s="42" t="s">
        <v>812</v>
      </c>
      <c r="F15" s="42">
        <v>37</v>
      </c>
      <c r="G15" s="42" t="s">
        <v>814</v>
      </c>
      <c r="H15" s="42">
        <v>37</v>
      </c>
      <c r="I15" s="42" t="s">
        <v>813</v>
      </c>
      <c r="J15" s="42">
        <v>198</v>
      </c>
      <c r="K15" s="42" t="s">
        <v>815</v>
      </c>
      <c r="L15" s="42">
        <v>37</v>
      </c>
      <c r="M15" s="42" t="s">
        <v>816</v>
      </c>
      <c r="N15" s="42">
        <v>37</v>
      </c>
      <c r="O15" s="42" t="s">
        <v>817</v>
      </c>
      <c r="P15" s="42">
        <v>29</v>
      </c>
      <c r="Q15" s="42" t="s">
        <v>818</v>
      </c>
      <c r="R15" s="42">
        <v>46</v>
      </c>
      <c r="S15" s="42" t="s">
        <v>819</v>
      </c>
      <c r="T15" s="42">
        <v>41</v>
      </c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</row>
    <row r="16" spans="1:32" ht="19.95" customHeight="1" x14ac:dyDescent="0.4">
      <c r="A16" s="41" t="s">
        <v>170</v>
      </c>
      <c r="B16" s="41">
        <v>1.9</v>
      </c>
      <c r="C16" s="41">
        <f t="shared" si="0"/>
        <v>489</v>
      </c>
      <c r="D16" s="42"/>
      <c r="E16" s="42" t="s">
        <v>812</v>
      </c>
      <c r="F16" s="42">
        <v>20</v>
      </c>
      <c r="G16" s="42" t="s">
        <v>814</v>
      </c>
      <c r="H16" s="42">
        <v>20</v>
      </c>
      <c r="I16" s="42" t="s">
        <v>813</v>
      </c>
      <c r="J16" s="42">
        <v>194</v>
      </c>
      <c r="K16" s="42" t="s">
        <v>815</v>
      </c>
      <c r="L16" s="42">
        <v>69</v>
      </c>
      <c r="M16" s="42" t="s">
        <v>816</v>
      </c>
      <c r="N16" s="42">
        <v>59</v>
      </c>
      <c r="O16" s="42" t="s">
        <v>817</v>
      </c>
      <c r="P16" s="42">
        <v>29</v>
      </c>
      <c r="Q16" s="42" t="s">
        <v>818</v>
      </c>
      <c r="R16" s="42">
        <v>49</v>
      </c>
      <c r="S16" s="42" t="s">
        <v>819</v>
      </c>
      <c r="T16" s="42">
        <v>49</v>
      </c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</row>
    <row r="17" spans="1:32" ht="19.95" customHeight="1" x14ac:dyDescent="0.4">
      <c r="A17" s="41" t="s">
        <v>171</v>
      </c>
      <c r="B17" s="41">
        <v>2.4</v>
      </c>
      <c r="C17" s="41">
        <f t="shared" si="0"/>
        <v>526</v>
      </c>
      <c r="D17" s="42"/>
      <c r="E17" s="42" t="s">
        <v>812</v>
      </c>
      <c r="F17" s="42">
        <v>11</v>
      </c>
      <c r="G17" s="42" t="s">
        <v>814</v>
      </c>
      <c r="H17" s="42">
        <v>11</v>
      </c>
      <c r="I17" s="42" t="s">
        <v>813</v>
      </c>
      <c r="J17" s="42">
        <v>188</v>
      </c>
      <c r="K17" s="42" t="s">
        <v>815</v>
      </c>
      <c r="L17" s="42">
        <v>89</v>
      </c>
      <c r="M17" s="42" t="s">
        <v>816</v>
      </c>
      <c r="N17" s="42">
        <v>77</v>
      </c>
      <c r="O17" s="42" t="s">
        <v>817</v>
      </c>
      <c r="P17" s="42">
        <v>29</v>
      </c>
      <c r="Q17" s="42" t="s">
        <v>818</v>
      </c>
      <c r="R17" s="42">
        <v>60</v>
      </c>
      <c r="S17" s="42" t="s">
        <v>819</v>
      </c>
      <c r="T17" s="42">
        <v>61</v>
      </c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</row>
    <row r="18" spans="1:32" ht="19.95" customHeight="1" x14ac:dyDescent="0.4">
      <c r="A18" s="43" t="s">
        <v>172</v>
      </c>
      <c r="B18" s="43">
        <v>4.5999999999999996</v>
      </c>
      <c r="C18" s="43">
        <f t="shared" si="0"/>
        <v>574</v>
      </c>
      <c r="D18" s="44"/>
      <c r="E18" s="44"/>
      <c r="F18" s="44"/>
      <c r="G18" s="44"/>
      <c r="H18" s="44"/>
      <c r="I18" s="44" t="s">
        <v>813</v>
      </c>
      <c r="J18" s="44">
        <v>182</v>
      </c>
      <c r="K18" s="44" t="s">
        <v>815</v>
      </c>
      <c r="L18" s="44">
        <v>106</v>
      </c>
      <c r="M18" s="44" t="s">
        <v>816</v>
      </c>
      <c r="N18" s="44">
        <v>89</v>
      </c>
      <c r="O18" s="44" t="s">
        <v>817</v>
      </c>
      <c r="P18" s="44">
        <v>29</v>
      </c>
      <c r="Q18" s="44" t="s">
        <v>818</v>
      </c>
      <c r="R18" s="44">
        <v>56</v>
      </c>
      <c r="S18" s="44" t="s">
        <v>819</v>
      </c>
      <c r="T18" s="44">
        <v>67</v>
      </c>
      <c r="U18" s="44" t="s">
        <v>820</v>
      </c>
      <c r="V18" s="44">
        <v>17</v>
      </c>
      <c r="W18" s="44" t="s">
        <v>821</v>
      </c>
      <c r="X18" s="44">
        <v>17</v>
      </c>
      <c r="Y18" s="44"/>
      <c r="Z18" s="44"/>
      <c r="AA18" s="44"/>
      <c r="AB18" s="44"/>
      <c r="AC18" s="44" t="s">
        <v>824</v>
      </c>
      <c r="AD18" s="44">
        <v>11</v>
      </c>
      <c r="AE18" s="44"/>
      <c r="AF18" s="44"/>
    </row>
    <row r="19" spans="1:32" ht="19.95" customHeight="1" x14ac:dyDescent="0.4">
      <c r="A19" s="43" t="s">
        <v>173</v>
      </c>
      <c r="B19" s="43">
        <v>6.8</v>
      </c>
      <c r="C19" s="43">
        <f t="shared" si="0"/>
        <v>629</v>
      </c>
      <c r="D19" s="44"/>
      <c r="E19" s="44"/>
      <c r="F19" s="44"/>
      <c r="G19" s="44"/>
      <c r="H19" s="44"/>
      <c r="I19" s="44" t="s">
        <v>813</v>
      </c>
      <c r="J19" s="44">
        <v>182</v>
      </c>
      <c r="K19" s="44" t="s">
        <v>815</v>
      </c>
      <c r="L19" s="44">
        <v>110</v>
      </c>
      <c r="M19" s="44" t="s">
        <v>816</v>
      </c>
      <c r="N19" s="44">
        <v>98</v>
      </c>
      <c r="O19" s="44" t="s">
        <v>817</v>
      </c>
      <c r="P19" s="44">
        <v>29</v>
      </c>
      <c r="Q19" s="44" t="s">
        <v>818</v>
      </c>
      <c r="R19" s="44">
        <v>61</v>
      </c>
      <c r="S19" s="44" t="s">
        <v>819</v>
      </c>
      <c r="T19" s="44">
        <v>77</v>
      </c>
      <c r="U19" s="44" t="s">
        <v>820</v>
      </c>
      <c r="V19" s="44">
        <v>24</v>
      </c>
      <c r="W19" s="44" t="s">
        <v>821</v>
      </c>
      <c r="X19" s="44">
        <v>24</v>
      </c>
      <c r="Y19" s="44"/>
      <c r="Z19" s="44"/>
      <c r="AA19" s="44"/>
      <c r="AB19" s="44"/>
      <c r="AC19" s="44" t="s">
        <v>824</v>
      </c>
      <c r="AD19" s="44">
        <v>24</v>
      </c>
      <c r="AE19" s="44"/>
      <c r="AF19" s="44"/>
    </row>
    <row r="20" spans="1:32" ht="19.95" customHeight="1" x14ac:dyDescent="0.4">
      <c r="A20" s="43" t="s">
        <v>174</v>
      </c>
      <c r="B20" s="43">
        <v>9</v>
      </c>
      <c r="C20" s="43">
        <f t="shared" si="0"/>
        <v>694</v>
      </c>
      <c r="D20" s="44"/>
      <c r="E20" s="44"/>
      <c r="F20" s="44"/>
      <c r="G20" s="44"/>
      <c r="H20" s="44"/>
      <c r="I20" s="44" t="s">
        <v>813</v>
      </c>
      <c r="J20" s="44">
        <v>182</v>
      </c>
      <c r="K20" s="44" t="s">
        <v>815</v>
      </c>
      <c r="L20" s="44">
        <v>114</v>
      </c>
      <c r="M20" s="44" t="s">
        <v>816</v>
      </c>
      <c r="N20" s="44">
        <v>107</v>
      </c>
      <c r="O20" s="44" t="s">
        <v>817</v>
      </c>
      <c r="P20" s="44">
        <v>29</v>
      </c>
      <c r="Q20" s="44" t="s">
        <v>818</v>
      </c>
      <c r="R20" s="44">
        <v>67</v>
      </c>
      <c r="S20" s="44" t="s">
        <v>819</v>
      </c>
      <c r="T20" s="44">
        <v>88</v>
      </c>
      <c r="U20" s="44" t="s">
        <v>820</v>
      </c>
      <c r="V20" s="44">
        <v>40</v>
      </c>
      <c r="W20" s="44" t="s">
        <v>821</v>
      </c>
      <c r="X20" s="44">
        <v>27</v>
      </c>
      <c r="Y20" s="44"/>
      <c r="Z20" s="44"/>
      <c r="AA20" s="44"/>
      <c r="AB20" s="44"/>
      <c r="AC20" s="44" t="s">
        <v>824</v>
      </c>
      <c r="AD20" s="44">
        <v>40</v>
      </c>
      <c r="AE20" s="44"/>
      <c r="AF20" s="44"/>
    </row>
    <row r="21" spans="1:32" ht="19.95" customHeight="1" x14ac:dyDescent="0.4">
      <c r="A21" s="43" t="s">
        <v>175</v>
      </c>
      <c r="B21" s="43">
        <v>12</v>
      </c>
      <c r="C21" s="43">
        <f t="shared" si="0"/>
        <v>764</v>
      </c>
      <c r="D21" s="44"/>
      <c r="E21" s="44"/>
      <c r="F21" s="44"/>
      <c r="G21" s="44"/>
      <c r="H21" s="44"/>
      <c r="I21" s="44" t="s">
        <v>813</v>
      </c>
      <c r="J21" s="44">
        <v>182</v>
      </c>
      <c r="K21" s="44" t="s">
        <v>815</v>
      </c>
      <c r="L21" s="44">
        <v>117</v>
      </c>
      <c r="M21" s="44" t="s">
        <v>816</v>
      </c>
      <c r="N21" s="44">
        <v>117</v>
      </c>
      <c r="O21" s="44" t="s">
        <v>817</v>
      </c>
      <c r="P21" s="44">
        <v>29</v>
      </c>
      <c r="Q21" s="44" t="s">
        <v>818</v>
      </c>
      <c r="R21" s="44">
        <v>73</v>
      </c>
      <c r="S21" s="44" t="s">
        <v>819</v>
      </c>
      <c r="T21" s="44">
        <v>99</v>
      </c>
      <c r="U21" s="44" t="s">
        <v>820</v>
      </c>
      <c r="V21" s="44">
        <v>59</v>
      </c>
      <c r="W21" s="44" t="s">
        <v>821</v>
      </c>
      <c r="X21" s="44">
        <v>29</v>
      </c>
      <c r="Y21" s="44"/>
      <c r="Z21" s="44"/>
      <c r="AA21" s="44"/>
      <c r="AB21" s="44"/>
      <c r="AC21" s="44" t="s">
        <v>824</v>
      </c>
      <c r="AD21" s="44">
        <v>59</v>
      </c>
      <c r="AE21" s="44"/>
      <c r="AF21" s="44"/>
    </row>
    <row r="22" spans="1:32" ht="19.95" customHeight="1" x14ac:dyDescent="0.4">
      <c r="A22" s="43" t="s">
        <v>176</v>
      </c>
      <c r="B22" s="43">
        <v>15</v>
      </c>
      <c r="C22" s="43">
        <f t="shared" si="0"/>
        <v>845</v>
      </c>
      <c r="D22" s="44"/>
      <c r="E22" s="44"/>
      <c r="F22" s="44"/>
      <c r="G22" s="44"/>
      <c r="H22" s="44"/>
      <c r="I22" s="44" t="s">
        <v>813</v>
      </c>
      <c r="J22" s="44">
        <v>182</v>
      </c>
      <c r="K22" s="44" t="s">
        <v>815</v>
      </c>
      <c r="L22" s="44">
        <v>119</v>
      </c>
      <c r="M22" s="44" t="s">
        <v>816</v>
      </c>
      <c r="N22" s="44">
        <v>127</v>
      </c>
      <c r="O22" s="44" t="s">
        <v>817</v>
      </c>
      <c r="P22" s="44">
        <v>29</v>
      </c>
      <c r="Q22" s="44" t="s">
        <v>818</v>
      </c>
      <c r="R22" s="44">
        <v>79</v>
      </c>
      <c r="S22" s="44" t="s">
        <v>819</v>
      </c>
      <c r="T22" s="44">
        <v>111</v>
      </c>
      <c r="U22" s="44" t="s">
        <v>820</v>
      </c>
      <c r="V22" s="44">
        <v>79</v>
      </c>
      <c r="W22" s="44" t="s">
        <v>821</v>
      </c>
      <c r="X22" s="44">
        <v>40</v>
      </c>
      <c r="Y22" s="44"/>
      <c r="Z22" s="44"/>
      <c r="AA22" s="44"/>
      <c r="AB22" s="44"/>
      <c r="AC22" s="44" t="s">
        <v>824</v>
      </c>
      <c r="AD22" s="44">
        <v>79</v>
      </c>
      <c r="AE22" s="44"/>
      <c r="AF22" s="44"/>
    </row>
    <row r="23" spans="1:32" ht="19.95" customHeight="1" x14ac:dyDescent="0.4">
      <c r="A23" s="45" t="s">
        <v>177</v>
      </c>
      <c r="B23" s="45">
        <v>18</v>
      </c>
      <c r="C23" s="45">
        <f t="shared" si="0"/>
        <v>934</v>
      </c>
      <c r="D23" s="46"/>
      <c r="E23" s="46"/>
      <c r="F23" s="46"/>
      <c r="G23" s="46"/>
      <c r="H23" s="46"/>
      <c r="I23" s="46" t="s">
        <v>813</v>
      </c>
      <c r="J23" s="46">
        <v>182</v>
      </c>
      <c r="K23" s="46" t="s">
        <v>815</v>
      </c>
      <c r="L23" s="46">
        <v>127</v>
      </c>
      <c r="M23" s="46" t="s">
        <v>816</v>
      </c>
      <c r="N23" s="46">
        <v>135</v>
      </c>
      <c r="O23" s="46" t="s">
        <v>817</v>
      </c>
      <c r="P23" s="46">
        <v>29</v>
      </c>
      <c r="Q23" s="46" t="s">
        <v>818</v>
      </c>
      <c r="R23" s="46">
        <v>85</v>
      </c>
      <c r="S23" s="46" t="s">
        <v>819</v>
      </c>
      <c r="T23" s="46">
        <v>122</v>
      </c>
      <c r="U23" s="46" t="s">
        <v>820</v>
      </c>
      <c r="V23" s="46">
        <v>85</v>
      </c>
      <c r="W23" s="46" t="s">
        <v>821</v>
      </c>
      <c r="X23" s="46">
        <v>42</v>
      </c>
      <c r="Y23" s="46" t="s">
        <v>822</v>
      </c>
      <c r="Z23" s="46">
        <v>17</v>
      </c>
      <c r="AA23" s="46" t="s">
        <v>823</v>
      </c>
      <c r="AB23" s="46">
        <v>8</v>
      </c>
      <c r="AC23" s="46" t="s">
        <v>824</v>
      </c>
      <c r="AD23" s="46">
        <v>102</v>
      </c>
      <c r="AE23" s="46"/>
      <c r="AF23" s="46"/>
    </row>
    <row r="24" spans="1:32" ht="19.95" customHeight="1" x14ac:dyDescent="0.4">
      <c r="A24" s="45" t="s">
        <v>178</v>
      </c>
      <c r="B24" s="45">
        <v>23</v>
      </c>
      <c r="C24" s="45">
        <f t="shared" si="0"/>
        <v>1025</v>
      </c>
      <c r="D24" s="46"/>
      <c r="E24" s="46"/>
      <c r="F24" s="46"/>
      <c r="G24" s="46"/>
      <c r="H24" s="46"/>
      <c r="I24" s="46" t="s">
        <v>813</v>
      </c>
      <c r="J24" s="46">
        <v>182</v>
      </c>
      <c r="K24" s="46" t="s">
        <v>815</v>
      </c>
      <c r="L24" s="46">
        <v>140</v>
      </c>
      <c r="M24" s="46" t="s">
        <v>816</v>
      </c>
      <c r="N24" s="46">
        <v>131</v>
      </c>
      <c r="O24" s="46" t="s">
        <v>817</v>
      </c>
      <c r="P24" s="46">
        <v>29</v>
      </c>
      <c r="Q24" s="46" t="s">
        <v>818</v>
      </c>
      <c r="R24" s="46">
        <v>94</v>
      </c>
      <c r="S24" s="46" t="s">
        <v>819</v>
      </c>
      <c r="T24" s="46">
        <v>139</v>
      </c>
      <c r="U24" s="46" t="s">
        <v>820</v>
      </c>
      <c r="V24" s="46">
        <v>94</v>
      </c>
      <c r="W24" s="46" t="s">
        <v>821</v>
      </c>
      <c r="X24" s="46">
        <v>47</v>
      </c>
      <c r="Y24" s="46" t="s">
        <v>822</v>
      </c>
      <c r="Z24" s="46">
        <v>19</v>
      </c>
      <c r="AA24" s="46" t="s">
        <v>823</v>
      </c>
      <c r="AB24" s="46">
        <v>19</v>
      </c>
      <c r="AC24" s="46" t="s">
        <v>824</v>
      </c>
      <c r="AD24" s="46">
        <v>131</v>
      </c>
      <c r="AE24" s="46"/>
      <c r="AF24" s="46"/>
    </row>
    <row r="25" spans="1:32" ht="19.95" customHeight="1" x14ac:dyDescent="0.4">
      <c r="A25" s="45" t="s">
        <v>179</v>
      </c>
      <c r="B25" s="45">
        <v>28</v>
      </c>
      <c r="C25" s="45">
        <f t="shared" si="0"/>
        <v>1123</v>
      </c>
      <c r="D25" s="46"/>
      <c r="E25" s="46"/>
      <c r="F25" s="46"/>
      <c r="G25" s="46"/>
      <c r="H25" s="46"/>
      <c r="I25" s="46" t="s">
        <v>813</v>
      </c>
      <c r="J25" s="46">
        <v>182</v>
      </c>
      <c r="K25" s="46" t="s">
        <v>815</v>
      </c>
      <c r="L25" s="46">
        <v>145</v>
      </c>
      <c r="M25" s="46" t="s">
        <v>816</v>
      </c>
      <c r="N25" s="46">
        <v>134</v>
      </c>
      <c r="O25" s="46" t="s">
        <v>817</v>
      </c>
      <c r="P25" s="46">
        <v>29</v>
      </c>
      <c r="Q25" s="46" t="s">
        <v>818</v>
      </c>
      <c r="R25" s="46">
        <v>103</v>
      </c>
      <c r="S25" s="46" t="s">
        <v>819</v>
      </c>
      <c r="T25" s="46">
        <v>158</v>
      </c>
      <c r="U25" s="46" t="s">
        <v>820</v>
      </c>
      <c r="V25" s="46">
        <v>103</v>
      </c>
      <c r="W25" s="46" t="s">
        <v>821</v>
      </c>
      <c r="X25" s="46">
        <v>52</v>
      </c>
      <c r="Y25" s="46" t="s">
        <v>822</v>
      </c>
      <c r="Z25" s="46">
        <v>21</v>
      </c>
      <c r="AA25" s="46" t="s">
        <v>823</v>
      </c>
      <c r="AB25" s="46">
        <v>31</v>
      </c>
      <c r="AC25" s="46" t="s">
        <v>824</v>
      </c>
      <c r="AD25" s="46">
        <v>165</v>
      </c>
      <c r="AE25" s="46"/>
      <c r="AF25" s="46"/>
    </row>
    <row r="26" spans="1:32" ht="19.95" customHeight="1" x14ac:dyDescent="0.4">
      <c r="A26" s="45" t="s">
        <v>180</v>
      </c>
      <c r="B26" s="45">
        <v>33</v>
      </c>
      <c r="C26" s="45">
        <f t="shared" si="0"/>
        <v>1236</v>
      </c>
      <c r="D26" s="46"/>
      <c r="E26" s="46"/>
      <c r="F26" s="46"/>
      <c r="G26" s="46"/>
      <c r="H26" s="46"/>
      <c r="I26" s="46" t="s">
        <v>813</v>
      </c>
      <c r="J26" s="46">
        <v>182</v>
      </c>
      <c r="K26" s="46" t="s">
        <v>815</v>
      </c>
      <c r="L26" s="46">
        <v>147</v>
      </c>
      <c r="M26" s="46" t="s">
        <v>816</v>
      </c>
      <c r="N26" s="46">
        <v>136</v>
      </c>
      <c r="O26" s="46" t="s">
        <v>817</v>
      </c>
      <c r="P26" s="46">
        <v>29</v>
      </c>
      <c r="Q26" s="46" t="s">
        <v>818</v>
      </c>
      <c r="R26" s="46">
        <v>113</v>
      </c>
      <c r="S26" s="46" t="s">
        <v>819</v>
      </c>
      <c r="T26" s="46">
        <v>178</v>
      </c>
      <c r="U26" s="46" t="s">
        <v>820</v>
      </c>
      <c r="V26" s="46">
        <v>124</v>
      </c>
      <c r="W26" s="46" t="s">
        <v>821</v>
      </c>
      <c r="X26" s="46">
        <v>56</v>
      </c>
      <c r="Y26" s="46" t="s">
        <v>822</v>
      </c>
      <c r="Z26" s="46">
        <v>23</v>
      </c>
      <c r="AA26" s="46" t="s">
        <v>823</v>
      </c>
      <c r="AB26" s="46">
        <v>45</v>
      </c>
      <c r="AC26" s="46" t="s">
        <v>824</v>
      </c>
      <c r="AD26" s="46">
        <v>203</v>
      </c>
      <c r="AE26" s="46"/>
      <c r="AF26" s="46"/>
    </row>
    <row r="27" spans="1:32" ht="19.95" customHeight="1" x14ac:dyDescent="0.4">
      <c r="A27" s="45" t="s">
        <v>181</v>
      </c>
      <c r="B27" s="45">
        <v>40</v>
      </c>
      <c r="C27" s="45">
        <f t="shared" si="0"/>
        <v>1360</v>
      </c>
      <c r="D27" s="46"/>
      <c r="E27" s="46"/>
      <c r="F27" s="46"/>
      <c r="G27" s="46"/>
      <c r="H27" s="46"/>
      <c r="I27" s="46" t="s">
        <v>813</v>
      </c>
      <c r="J27" s="46">
        <v>182</v>
      </c>
      <c r="K27" s="46" t="s">
        <v>815</v>
      </c>
      <c r="L27" s="46">
        <v>146</v>
      </c>
      <c r="M27" s="46" t="s">
        <v>816</v>
      </c>
      <c r="N27" s="46">
        <v>146</v>
      </c>
      <c r="O27" s="46" t="s">
        <v>817</v>
      </c>
      <c r="P27" s="46">
        <v>29</v>
      </c>
      <c r="Q27" s="46" t="s">
        <v>818</v>
      </c>
      <c r="R27" s="46">
        <v>122</v>
      </c>
      <c r="S27" s="46" t="s">
        <v>819</v>
      </c>
      <c r="T27" s="46">
        <v>199</v>
      </c>
      <c r="U27" s="46" t="s">
        <v>820</v>
      </c>
      <c r="V27" s="46">
        <v>134</v>
      </c>
      <c r="W27" s="46" t="s">
        <v>821</v>
      </c>
      <c r="X27" s="46">
        <v>73</v>
      </c>
      <c r="Y27" s="46" t="s">
        <v>822</v>
      </c>
      <c r="Z27" s="46">
        <v>24</v>
      </c>
      <c r="AA27" s="46" t="s">
        <v>823</v>
      </c>
      <c r="AB27" s="46">
        <v>61</v>
      </c>
      <c r="AC27" s="46" t="s">
        <v>824</v>
      </c>
      <c r="AD27" s="46">
        <v>244</v>
      </c>
      <c r="AE27" s="46"/>
      <c r="AF27" s="46"/>
    </row>
    <row r="28" spans="1:32" ht="19.95" customHeight="1" x14ac:dyDescent="0.4">
      <c r="A28" s="45" t="s">
        <v>182</v>
      </c>
      <c r="B28" s="45">
        <v>47</v>
      </c>
      <c r="C28" s="45">
        <f t="shared" si="0"/>
        <v>1502</v>
      </c>
      <c r="D28" s="46"/>
      <c r="E28" s="46"/>
      <c r="F28" s="46"/>
      <c r="G28" s="46"/>
      <c r="H28" s="46"/>
      <c r="I28" s="46" t="s">
        <v>813</v>
      </c>
      <c r="J28" s="46">
        <v>181</v>
      </c>
      <c r="K28" s="46" t="s">
        <v>815</v>
      </c>
      <c r="L28" s="46">
        <v>161</v>
      </c>
      <c r="M28" s="46" t="s">
        <v>816</v>
      </c>
      <c r="N28" s="46">
        <v>155</v>
      </c>
      <c r="O28" s="46" t="s">
        <v>817</v>
      </c>
      <c r="P28" s="46">
        <v>29</v>
      </c>
      <c r="Q28" s="46" t="s">
        <v>818</v>
      </c>
      <c r="R28" s="46">
        <v>129</v>
      </c>
      <c r="S28" s="46" t="s">
        <v>819</v>
      </c>
      <c r="T28" s="46">
        <v>215</v>
      </c>
      <c r="U28" s="46" t="s">
        <v>820</v>
      </c>
      <c r="V28" s="46">
        <v>155</v>
      </c>
      <c r="W28" s="46" t="s">
        <v>821</v>
      </c>
      <c r="X28" s="46">
        <v>90</v>
      </c>
      <c r="Y28" s="46" t="s">
        <v>822</v>
      </c>
      <c r="Z28" s="46">
        <v>26</v>
      </c>
      <c r="AA28" s="46" t="s">
        <v>823</v>
      </c>
      <c r="AB28" s="46">
        <v>77</v>
      </c>
      <c r="AC28" s="46" t="s">
        <v>824</v>
      </c>
      <c r="AD28" s="46">
        <v>284</v>
      </c>
      <c r="AE28" s="46"/>
      <c r="AF28" s="46"/>
    </row>
    <row r="29" spans="1:32" ht="19.95" customHeight="1" x14ac:dyDescent="0.4">
      <c r="A29" s="45" t="s">
        <v>183</v>
      </c>
      <c r="B29" s="45">
        <v>52</v>
      </c>
      <c r="C29" s="45">
        <f t="shared" si="0"/>
        <v>1649</v>
      </c>
      <c r="D29" s="46"/>
      <c r="E29" s="46"/>
      <c r="F29" s="46"/>
      <c r="G29" s="46"/>
      <c r="H29" s="46"/>
      <c r="I29" s="46" t="s">
        <v>813</v>
      </c>
      <c r="J29" s="46">
        <v>170</v>
      </c>
      <c r="K29" s="46" t="s">
        <v>815</v>
      </c>
      <c r="L29" s="46">
        <v>161</v>
      </c>
      <c r="M29" s="46" t="s">
        <v>816</v>
      </c>
      <c r="N29" s="46">
        <v>170</v>
      </c>
      <c r="O29" s="46" t="s">
        <v>817</v>
      </c>
      <c r="P29" s="46">
        <v>29</v>
      </c>
      <c r="Q29" s="46" t="s">
        <v>818</v>
      </c>
      <c r="R29" s="46">
        <v>141</v>
      </c>
      <c r="S29" s="46" t="s">
        <v>819</v>
      </c>
      <c r="T29" s="46">
        <v>243</v>
      </c>
      <c r="U29" s="46" t="s">
        <v>820</v>
      </c>
      <c r="V29" s="46">
        <v>170</v>
      </c>
      <c r="W29" s="46" t="s">
        <v>821</v>
      </c>
      <c r="X29" s="46">
        <v>113</v>
      </c>
      <c r="Y29" s="46" t="s">
        <v>822</v>
      </c>
      <c r="Z29" s="46">
        <v>28</v>
      </c>
      <c r="AA29" s="46" t="s">
        <v>823</v>
      </c>
      <c r="AB29" s="46">
        <v>85</v>
      </c>
      <c r="AC29" s="46" t="s">
        <v>824</v>
      </c>
      <c r="AD29" s="46">
        <v>339</v>
      </c>
      <c r="AE29" s="46"/>
      <c r="AF29" s="46"/>
    </row>
    <row r="30" spans="1:32" ht="19.95" customHeight="1" x14ac:dyDescent="0.4">
      <c r="A30" s="45" t="s">
        <v>184</v>
      </c>
      <c r="B30" s="45">
        <v>60</v>
      </c>
      <c r="C30" s="45">
        <f t="shared" si="0"/>
        <v>1816</v>
      </c>
      <c r="D30" s="46"/>
      <c r="E30" s="46"/>
      <c r="F30" s="46"/>
      <c r="G30" s="46"/>
      <c r="H30" s="46"/>
      <c r="I30" s="46" t="s">
        <v>813</v>
      </c>
      <c r="J30" s="46">
        <v>154</v>
      </c>
      <c r="K30" s="46" t="s">
        <v>815</v>
      </c>
      <c r="L30" s="46">
        <v>161</v>
      </c>
      <c r="M30" s="46" t="s">
        <v>816</v>
      </c>
      <c r="N30" s="46">
        <v>185</v>
      </c>
      <c r="O30" s="46" t="s">
        <v>817</v>
      </c>
      <c r="P30" s="46">
        <v>29</v>
      </c>
      <c r="Q30" s="46" t="s">
        <v>818</v>
      </c>
      <c r="R30" s="46">
        <v>154</v>
      </c>
      <c r="S30" s="46" t="s">
        <v>819</v>
      </c>
      <c r="T30" s="46">
        <v>271</v>
      </c>
      <c r="U30" s="46" t="s">
        <v>820</v>
      </c>
      <c r="V30" s="46">
        <v>185</v>
      </c>
      <c r="W30" s="46" t="s">
        <v>821</v>
      </c>
      <c r="X30" s="46">
        <v>138</v>
      </c>
      <c r="Y30" s="46" t="s">
        <v>822</v>
      </c>
      <c r="Z30" s="46">
        <v>31</v>
      </c>
      <c r="AA30" s="46" t="s">
        <v>823</v>
      </c>
      <c r="AB30" s="46">
        <v>108</v>
      </c>
      <c r="AC30" s="46" t="s">
        <v>824</v>
      </c>
      <c r="AD30" s="46">
        <v>400</v>
      </c>
      <c r="AE30" s="46"/>
      <c r="AF30" s="46"/>
    </row>
    <row r="31" spans="1:32" ht="19.95" customHeight="1" x14ac:dyDescent="0.4">
      <c r="A31" s="45" t="s">
        <v>185</v>
      </c>
      <c r="B31" s="45">
        <v>68</v>
      </c>
      <c r="C31" s="45">
        <f t="shared" si="0"/>
        <v>1998</v>
      </c>
      <c r="D31" s="46"/>
      <c r="E31" s="46"/>
      <c r="F31" s="46"/>
      <c r="G31" s="46"/>
      <c r="H31" s="46"/>
      <c r="I31" s="46" t="s">
        <v>813</v>
      </c>
      <c r="J31" s="46">
        <v>132</v>
      </c>
      <c r="K31" s="46" t="s">
        <v>815</v>
      </c>
      <c r="L31" s="46">
        <v>161</v>
      </c>
      <c r="M31" s="46" t="s">
        <v>816</v>
      </c>
      <c r="N31" s="46">
        <v>199</v>
      </c>
      <c r="O31" s="46" t="s">
        <v>817</v>
      </c>
      <c r="P31" s="46">
        <v>29</v>
      </c>
      <c r="Q31" s="46" t="s">
        <v>818</v>
      </c>
      <c r="R31" s="46">
        <v>166</v>
      </c>
      <c r="S31" s="46" t="s">
        <v>819</v>
      </c>
      <c r="T31" s="46">
        <v>300</v>
      </c>
      <c r="U31" s="46" t="s">
        <v>820</v>
      </c>
      <c r="V31" s="46">
        <v>199</v>
      </c>
      <c r="W31" s="46" t="s">
        <v>821</v>
      </c>
      <c r="X31" s="46">
        <v>166</v>
      </c>
      <c r="Y31" s="46" t="s">
        <v>822</v>
      </c>
      <c r="Z31" s="46">
        <v>33</v>
      </c>
      <c r="AA31" s="46" t="s">
        <v>823</v>
      </c>
      <c r="AB31" s="46">
        <v>149</v>
      </c>
      <c r="AC31" s="46" t="s">
        <v>824</v>
      </c>
      <c r="AD31" s="46">
        <v>464</v>
      </c>
      <c r="AE31" s="46"/>
      <c r="AF31" s="46"/>
    </row>
    <row r="32" spans="1:32" ht="19.95" customHeight="1" x14ac:dyDescent="0.4">
      <c r="A32" s="45" t="s">
        <v>186</v>
      </c>
      <c r="B32" s="45">
        <v>76</v>
      </c>
      <c r="C32" s="45">
        <f t="shared" si="0"/>
        <v>2197</v>
      </c>
      <c r="D32" s="46"/>
      <c r="E32" s="46"/>
      <c r="F32" s="46"/>
      <c r="G32" s="46"/>
      <c r="H32" s="46"/>
      <c r="I32" s="46" t="s">
        <v>813</v>
      </c>
      <c r="J32" s="46">
        <v>107</v>
      </c>
      <c r="K32" s="46" t="s">
        <v>815</v>
      </c>
      <c r="L32" s="46">
        <v>161</v>
      </c>
      <c r="M32" s="46" t="s">
        <v>816</v>
      </c>
      <c r="N32" s="46">
        <v>215</v>
      </c>
      <c r="O32" s="46" t="s">
        <v>817</v>
      </c>
      <c r="P32" s="46">
        <v>29</v>
      </c>
      <c r="Q32" s="46" t="s">
        <v>818</v>
      </c>
      <c r="R32" s="46">
        <v>179</v>
      </c>
      <c r="S32" s="46" t="s">
        <v>819</v>
      </c>
      <c r="T32" s="46">
        <v>324</v>
      </c>
      <c r="U32" s="46" t="s">
        <v>820</v>
      </c>
      <c r="V32" s="46">
        <v>233</v>
      </c>
      <c r="W32" s="46" t="s">
        <v>821</v>
      </c>
      <c r="X32" s="46">
        <v>179</v>
      </c>
      <c r="Y32" s="46" t="s">
        <v>822</v>
      </c>
      <c r="Z32" s="46">
        <v>36</v>
      </c>
      <c r="AA32" s="46" t="s">
        <v>823</v>
      </c>
      <c r="AB32" s="46">
        <v>197</v>
      </c>
      <c r="AC32" s="46" t="s">
        <v>824</v>
      </c>
      <c r="AD32" s="46">
        <v>537</v>
      </c>
      <c r="AE32" s="46"/>
      <c r="AF32" s="46"/>
    </row>
    <row r="33" spans="1:32" ht="19.95" customHeight="1" x14ac:dyDescent="0.4">
      <c r="A33" s="47" t="s">
        <v>187</v>
      </c>
      <c r="B33" s="47">
        <v>88</v>
      </c>
      <c r="C33" s="47">
        <f t="shared" si="0"/>
        <v>2434</v>
      </c>
      <c r="D33" s="48"/>
      <c r="E33" s="48"/>
      <c r="F33" s="48"/>
      <c r="G33" s="48"/>
      <c r="H33" s="48"/>
      <c r="I33" s="48"/>
      <c r="J33" s="48"/>
      <c r="K33" s="48" t="s">
        <v>815</v>
      </c>
      <c r="L33" s="48">
        <v>161</v>
      </c>
      <c r="M33" s="48" t="s">
        <v>816</v>
      </c>
      <c r="N33" s="48">
        <v>207</v>
      </c>
      <c r="O33" s="48" t="s">
        <v>817</v>
      </c>
      <c r="P33" s="48">
        <v>29</v>
      </c>
      <c r="Q33" s="48" t="s">
        <v>818</v>
      </c>
      <c r="R33" s="48">
        <v>216</v>
      </c>
      <c r="S33" s="48" t="s">
        <v>819</v>
      </c>
      <c r="T33" s="48">
        <v>374</v>
      </c>
      <c r="U33" s="48" t="s">
        <v>820</v>
      </c>
      <c r="V33" s="48">
        <v>269</v>
      </c>
      <c r="W33" s="48" t="s">
        <v>821</v>
      </c>
      <c r="X33" s="48">
        <v>207</v>
      </c>
      <c r="Y33" s="48" t="s">
        <v>822</v>
      </c>
      <c r="Z33" s="48">
        <v>62</v>
      </c>
      <c r="AA33" s="48" t="s">
        <v>823</v>
      </c>
      <c r="AB33" s="48">
        <v>269</v>
      </c>
      <c r="AC33" s="48" t="s">
        <v>824</v>
      </c>
      <c r="AD33" s="48">
        <v>640</v>
      </c>
      <c r="AE33" s="48"/>
      <c r="AF33" s="48"/>
    </row>
    <row r="34" spans="1:32" ht="19.95" customHeight="1" x14ac:dyDescent="0.4">
      <c r="A34" s="47" t="s">
        <v>188</v>
      </c>
      <c r="B34" s="47">
        <v>110</v>
      </c>
      <c r="C34" s="47">
        <f t="shared" si="0"/>
        <v>2710</v>
      </c>
      <c r="D34" s="48"/>
      <c r="E34" s="48"/>
      <c r="F34" s="48"/>
      <c r="G34" s="48"/>
      <c r="H34" s="48"/>
      <c r="I34" s="48"/>
      <c r="J34" s="48"/>
      <c r="K34" s="48" t="s">
        <v>815</v>
      </c>
      <c r="L34" s="48">
        <v>161</v>
      </c>
      <c r="M34" s="48" t="s">
        <v>816</v>
      </c>
      <c r="N34" s="48">
        <v>238</v>
      </c>
      <c r="O34" s="48" t="s">
        <v>817</v>
      </c>
      <c r="P34" s="48">
        <v>29</v>
      </c>
      <c r="Q34" s="48" t="s">
        <v>818</v>
      </c>
      <c r="R34" s="48">
        <v>216</v>
      </c>
      <c r="S34" s="48" t="s">
        <v>819</v>
      </c>
      <c r="T34" s="48">
        <v>406</v>
      </c>
      <c r="U34" s="48" t="s">
        <v>820</v>
      </c>
      <c r="V34" s="48">
        <v>314</v>
      </c>
      <c r="W34" s="48" t="s">
        <v>821</v>
      </c>
      <c r="X34" s="48">
        <v>224</v>
      </c>
      <c r="Y34" s="48" t="s">
        <v>822</v>
      </c>
      <c r="Z34" s="48">
        <v>90</v>
      </c>
      <c r="AA34" s="48" t="s">
        <v>823</v>
      </c>
      <c r="AB34" s="48">
        <v>314</v>
      </c>
      <c r="AC34" s="48" t="s">
        <v>824</v>
      </c>
      <c r="AD34" s="48">
        <v>718</v>
      </c>
      <c r="AE34" s="48"/>
      <c r="AF34" s="48"/>
    </row>
    <row r="35" spans="1:32" ht="19.95" customHeight="1" x14ac:dyDescent="0.4">
      <c r="A35" s="47" t="s">
        <v>189</v>
      </c>
      <c r="B35" s="47">
        <v>120</v>
      </c>
      <c r="C35" s="47">
        <f t="shared" si="0"/>
        <v>2970</v>
      </c>
      <c r="D35" s="48"/>
      <c r="E35" s="48"/>
      <c r="F35" s="48"/>
      <c r="G35" s="48"/>
      <c r="H35" s="48"/>
      <c r="I35" s="48"/>
      <c r="J35" s="48"/>
      <c r="K35" s="48" t="s">
        <v>815</v>
      </c>
      <c r="L35" s="48">
        <v>161</v>
      </c>
      <c r="M35" s="48" t="s">
        <v>816</v>
      </c>
      <c r="N35" s="48">
        <v>238</v>
      </c>
      <c r="O35" s="48" t="s">
        <v>817</v>
      </c>
      <c r="P35" s="48">
        <v>29</v>
      </c>
      <c r="Q35" s="48" t="s">
        <v>818</v>
      </c>
      <c r="R35" s="48">
        <v>216</v>
      </c>
      <c r="S35" s="48" t="s">
        <v>819</v>
      </c>
      <c r="T35" s="48">
        <v>447</v>
      </c>
      <c r="U35" s="48" t="s">
        <v>820</v>
      </c>
      <c r="V35" s="48">
        <v>346</v>
      </c>
      <c r="W35" s="48" t="s">
        <v>821</v>
      </c>
      <c r="X35" s="48">
        <v>247</v>
      </c>
      <c r="Y35" s="48" t="s">
        <v>822</v>
      </c>
      <c r="Z35" s="48">
        <v>124</v>
      </c>
      <c r="AA35" s="48" t="s">
        <v>823</v>
      </c>
      <c r="AB35" s="48">
        <v>346</v>
      </c>
      <c r="AC35" s="48" t="s">
        <v>824</v>
      </c>
      <c r="AD35" s="48">
        <v>816</v>
      </c>
      <c r="AE35" s="48"/>
      <c r="AF35" s="48"/>
    </row>
    <row r="36" spans="1:32" ht="19.95" customHeight="1" x14ac:dyDescent="0.4">
      <c r="A36" s="47" t="s">
        <v>190</v>
      </c>
      <c r="B36" s="47">
        <v>130</v>
      </c>
      <c r="C36" s="47">
        <f t="shared" si="0"/>
        <v>3253</v>
      </c>
      <c r="D36" s="48"/>
      <c r="E36" s="48"/>
      <c r="F36" s="48"/>
      <c r="G36" s="48"/>
      <c r="H36" s="48"/>
      <c r="I36" s="48"/>
      <c r="J36" s="48"/>
      <c r="K36" s="48" t="s">
        <v>815</v>
      </c>
      <c r="L36" s="48">
        <v>161</v>
      </c>
      <c r="M36" s="48" t="s">
        <v>816</v>
      </c>
      <c r="N36" s="48">
        <v>238</v>
      </c>
      <c r="O36" s="48" t="s">
        <v>817</v>
      </c>
      <c r="P36" s="48">
        <v>29</v>
      </c>
      <c r="Q36" s="48" t="s">
        <v>818</v>
      </c>
      <c r="R36" s="48">
        <v>216</v>
      </c>
      <c r="S36" s="48" t="s">
        <v>819</v>
      </c>
      <c r="T36" s="48">
        <v>497</v>
      </c>
      <c r="U36" s="48" t="s">
        <v>820</v>
      </c>
      <c r="V36" s="48">
        <v>384</v>
      </c>
      <c r="W36" s="48" t="s">
        <v>821</v>
      </c>
      <c r="X36" s="48">
        <v>274</v>
      </c>
      <c r="Y36" s="48" t="s">
        <v>822</v>
      </c>
      <c r="Z36" s="48">
        <v>137</v>
      </c>
      <c r="AA36" s="48" t="s">
        <v>823</v>
      </c>
      <c r="AB36" s="48">
        <v>384</v>
      </c>
      <c r="AC36" s="48" t="s">
        <v>824</v>
      </c>
      <c r="AD36" s="48">
        <v>933</v>
      </c>
      <c r="AE36" s="48"/>
      <c r="AF36" s="48"/>
    </row>
    <row r="37" spans="1:32" ht="19.95" customHeight="1" x14ac:dyDescent="0.4">
      <c r="A37" s="47" t="s">
        <v>191</v>
      </c>
      <c r="B37" s="47">
        <v>145</v>
      </c>
      <c r="C37" s="47">
        <f t="shared" ref="C37:C68" si="1">SUM(F37:AF37)</f>
        <v>3566</v>
      </c>
      <c r="D37" s="48"/>
      <c r="E37" s="48"/>
      <c r="F37" s="48"/>
      <c r="G37" s="48"/>
      <c r="H37" s="48"/>
      <c r="I37" s="48"/>
      <c r="J37" s="48"/>
      <c r="K37" s="48" t="s">
        <v>815</v>
      </c>
      <c r="L37" s="48">
        <v>161</v>
      </c>
      <c r="M37" s="48" t="s">
        <v>816</v>
      </c>
      <c r="N37" s="48">
        <v>238</v>
      </c>
      <c r="O37" s="48" t="s">
        <v>817</v>
      </c>
      <c r="P37" s="48">
        <v>29</v>
      </c>
      <c r="Q37" s="48" t="s">
        <v>818</v>
      </c>
      <c r="R37" s="48">
        <v>216</v>
      </c>
      <c r="S37" s="48" t="s">
        <v>819</v>
      </c>
      <c r="T37" s="48">
        <v>550</v>
      </c>
      <c r="U37" s="48" t="s">
        <v>820</v>
      </c>
      <c r="V37" s="48">
        <v>426</v>
      </c>
      <c r="W37" s="48" t="s">
        <v>821</v>
      </c>
      <c r="X37" s="48">
        <v>304</v>
      </c>
      <c r="Y37" s="48" t="s">
        <v>822</v>
      </c>
      <c r="Z37" s="48">
        <v>152</v>
      </c>
      <c r="AA37" s="48" t="s">
        <v>823</v>
      </c>
      <c r="AB37" s="48">
        <v>426</v>
      </c>
      <c r="AC37" s="48" t="s">
        <v>824</v>
      </c>
      <c r="AD37" s="48">
        <v>1064</v>
      </c>
      <c r="AE37" s="48"/>
      <c r="AF37" s="48"/>
    </row>
    <row r="38" spans="1:32" ht="19.95" customHeight="1" x14ac:dyDescent="0.4">
      <c r="A38" s="47" t="s">
        <v>192</v>
      </c>
      <c r="B38" s="47">
        <v>160</v>
      </c>
      <c r="C38" s="47">
        <f t="shared" si="1"/>
        <v>3905</v>
      </c>
      <c r="D38" s="48"/>
      <c r="E38" s="48"/>
      <c r="F38" s="48"/>
      <c r="G38" s="48"/>
      <c r="H38" s="48"/>
      <c r="I38" s="48"/>
      <c r="J38" s="48"/>
      <c r="K38" s="48" t="s">
        <v>815</v>
      </c>
      <c r="L38" s="48">
        <v>161</v>
      </c>
      <c r="M38" s="48" t="s">
        <v>816</v>
      </c>
      <c r="N38" s="48">
        <v>238</v>
      </c>
      <c r="O38" s="48" t="s">
        <v>817</v>
      </c>
      <c r="P38" s="48">
        <v>29</v>
      </c>
      <c r="Q38" s="48" t="s">
        <v>818</v>
      </c>
      <c r="R38" s="48">
        <v>216</v>
      </c>
      <c r="S38" s="48" t="s">
        <v>819</v>
      </c>
      <c r="T38" s="48">
        <v>614</v>
      </c>
      <c r="U38" s="48" t="s">
        <v>820</v>
      </c>
      <c r="V38" s="48">
        <v>441</v>
      </c>
      <c r="W38" s="48" t="s">
        <v>821</v>
      </c>
      <c r="X38" s="48">
        <v>339</v>
      </c>
      <c r="Y38" s="48" t="s">
        <v>822</v>
      </c>
      <c r="Z38" s="48">
        <v>204</v>
      </c>
      <c r="AA38" s="48" t="s">
        <v>823</v>
      </c>
      <c r="AB38" s="48">
        <v>475</v>
      </c>
      <c r="AC38" s="48" t="s">
        <v>824</v>
      </c>
      <c r="AD38" s="48">
        <v>1188</v>
      </c>
      <c r="AE38" s="48"/>
      <c r="AF38" s="48"/>
    </row>
    <row r="39" spans="1:32" ht="19.95" customHeight="1" x14ac:dyDescent="0.4">
      <c r="A39" s="47" t="s">
        <v>193</v>
      </c>
      <c r="B39" s="47">
        <v>175</v>
      </c>
      <c r="C39" s="47">
        <f t="shared" si="1"/>
        <v>4287</v>
      </c>
      <c r="D39" s="48"/>
      <c r="E39" s="48"/>
      <c r="F39" s="48"/>
      <c r="G39" s="48"/>
      <c r="H39" s="48"/>
      <c r="I39" s="48"/>
      <c r="J39" s="48"/>
      <c r="K39" s="48" t="s">
        <v>815</v>
      </c>
      <c r="L39" s="48">
        <v>161</v>
      </c>
      <c r="M39" s="48" t="s">
        <v>816</v>
      </c>
      <c r="N39" s="48">
        <v>238</v>
      </c>
      <c r="O39" s="48" t="s">
        <v>817</v>
      </c>
      <c r="P39" s="48">
        <v>29</v>
      </c>
      <c r="Q39" s="48" t="s">
        <v>818</v>
      </c>
      <c r="R39" s="48">
        <v>216</v>
      </c>
      <c r="S39" s="48" t="s">
        <v>819</v>
      </c>
      <c r="T39" s="48">
        <v>679</v>
      </c>
      <c r="U39" s="48" t="s">
        <v>820</v>
      </c>
      <c r="V39" s="48">
        <v>488</v>
      </c>
      <c r="W39" s="48" t="s">
        <v>821</v>
      </c>
      <c r="X39" s="48">
        <v>375</v>
      </c>
      <c r="Y39" s="48" t="s">
        <v>822</v>
      </c>
      <c r="Z39" s="48">
        <v>225</v>
      </c>
      <c r="AA39" s="48" t="s">
        <v>823</v>
      </c>
      <c r="AB39" s="48">
        <v>563</v>
      </c>
      <c r="AC39" s="48" t="s">
        <v>824</v>
      </c>
      <c r="AD39" s="48">
        <v>1313</v>
      </c>
      <c r="AE39" s="48"/>
      <c r="AF39" s="48"/>
    </row>
    <row r="40" spans="1:32" ht="19.95" customHeight="1" x14ac:dyDescent="0.4">
      <c r="A40" s="47" t="s">
        <v>194</v>
      </c>
      <c r="B40" s="47">
        <v>190</v>
      </c>
      <c r="C40" s="47">
        <f t="shared" si="1"/>
        <v>4701</v>
      </c>
      <c r="D40" s="48"/>
      <c r="E40" s="48"/>
      <c r="F40" s="48"/>
      <c r="G40" s="48"/>
      <c r="H40" s="48"/>
      <c r="I40" s="48"/>
      <c r="J40" s="48"/>
      <c r="K40" s="48" t="s">
        <v>815</v>
      </c>
      <c r="L40" s="48">
        <v>161</v>
      </c>
      <c r="M40" s="48" t="s">
        <v>816</v>
      </c>
      <c r="N40" s="48">
        <v>238</v>
      </c>
      <c r="O40" s="48" t="s">
        <v>817</v>
      </c>
      <c r="P40" s="48">
        <v>29</v>
      </c>
      <c r="Q40" s="48" t="s">
        <v>818</v>
      </c>
      <c r="R40" s="48">
        <v>216</v>
      </c>
      <c r="S40" s="48" t="s">
        <v>819</v>
      </c>
      <c r="T40" s="48">
        <v>756</v>
      </c>
      <c r="U40" s="48" t="s">
        <v>820</v>
      </c>
      <c r="V40" s="48">
        <v>543</v>
      </c>
      <c r="W40" s="48" t="s">
        <v>821</v>
      </c>
      <c r="X40" s="48">
        <v>418</v>
      </c>
      <c r="Y40" s="48" t="s">
        <v>822</v>
      </c>
      <c r="Z40" s="48">
        <v>251</v>
      </c>
      <c r="AA40" s="48" t="s">
        <v>823</v>
      </c>
      <c r="AB40" s="48">
        <v>627</v>
      </c>
      <c r="AC40" s="48" t="s">
        <v>824</v>
      </c>
      <c r="AD40" s="48">
        <v>1462</v>
      </c>
      <c r="AE40" s="48"/>
      <c r="AF40" s="48"/>
    </row>
    <row r="41" spans="1:32" ht="19.95" customHeight="1" x14ac:dyDescent="0.4">
      <c r="A41" s="47" t="s">
        <v>195</v>
      </c>
      <c r="B41" s="47">
        <v>205</v>
      </c>
      <c r="C41" s="47">
        <f t="shared" si="1"/>
        <v>5157</v>
      </c>
      <c r="D41" s="48"/>
      <c r="E41" s="48"/>
      <c r="F41" s="48"/>
      <c r="G41" s="48"/>
      <c r="H41" s="48"/>
      <c r="I41" s="48"/>
      <c r="J41" s="48"/>
      <c r="K41" s="48" t="s">
        <v>815</v>
      </c>
      <c r="L41" s="48">
        <v>161</v>
      </c>
      <c r="M41" s="48" t="s">
        <v>816</v>
      </c>
      <c r="N41" s="48">
        <v>238</v>
      </c>
      <c r="O41" s="48" t="s">
        <v>817</v>
      </c>
      <c r="P41" s="48">
        <v>29</v>
      </c>
      <c r="Q41" s="48" t="s">
        <v>818</v>
      </c>
      <c r="R41" s="48">
        <v>216</v>
      </c>
      <c r="S41" s="48" t="s">
        <v>819</v>
      </c>
      <c r="T41" s="48">
        <v>841</v>
      </c>
      <c r="U41" s="48" t="s">
        <v>820</v>
      </c>
      <c r="V41" s="48">
        <v>604</v>
      </c>
      <c r="W41" s="48" t="s">
        <v>821</v>
      </c>
      <c r="X41" s="48">
        <v>465</v>
      </c>
      <c r="Y41" s="48" t="s">
        <v>822</v>
      </c>
      <c r="Z41" s="48">
        <v>279</v>
      </c>
      <c r="AA41" s="48" t="s">
        <v>823</v>
      </c>
      <c r="AB41" s="48">
        <v>697</v>
      </c>
      <c r="AC41" s="48" t="s">
        <v>824</v>
      </c>
      <c r="AD41" s="48">
        <v>1627</v>
      </c>
      <c r="AE41" s="48"/>
      <c r="AF41" s="48"/>
    </row>
    <row r="42" spans="1:32" ht="19.95" customHeight="1" x14ac:dyDescent="0.4">
      <c r="A42" s="47" t="s">
        <v>196</v>
      </c>
      <c r="B42" s="47">
        <v>225</v>
      </c>
      <c r="C42" s="47">
        <f t="shared" si="1"/>
        <v>5667</v>
      </c>
      <c r="D42" s="48"/>
      <c r="E42" s="48"/>
      <c r="F42" s="48"/>
      <c r="G42" s="48"/>
      <c r="H42" s="48"/>
      <c r="I42" s="48"/>
      <c r="J42" s="48"/>
      <c r="K42" s="48" t="s">
        <v>815</v>
      </c>
      <c r="L42" s="48">
        <v>161</v>
      </c>
      <c r="M42" s="48" t="s">
        <v>816</v>
      </c>
      <c r="N42" s="48">
        <v>238</v>
      </c>
      <c r="O42" s="48" t="s">
        <v>817</v>
      </c>
      <c r="P42" s="48">
        <v>29</v>
      </c>
      <c r="Q42" s="48" t="s">
        <v>818</v>
      </c>
      <c r="R42" s="48">
        <v>216</v>
      </c>
      <c r="S42" s="48" t="s">
        <v>819</v>
      </c>
      <c r="T42" s="48">
        <v>927</v>
      </c>
      <c r="U42" s="48" t="s">
        <v>820</v>
      </c>
      <c r="V42" s="48">
        <v>666</v>
      </c>
      <c r="W42" s="48" t="s">
        <v>821</v>
      </c>
      <c r="X42" s="48">
        <v>512</v>
      </c>
      <c r="Y42" s="48" t="s">
        <v>822</v>
      </c>
      <c r="Z42" s="48">
        <v>358</v>
      </c>
      <c r="AA42" s="48" t="s">
        <v>823</v>
      </c>
      <c r="AB42" s="48">
        <v>768</v>
      </c>
      <c r="AC42" s="48" t="s">
        <v>824</v>
      </c>
      <c r="AD42" s="48">
        <v>1792</v>
      </c>
      <c r="AE42" s="48"/>
      <c r="AF42" s="48"/>
    </row>
    <row r="43" spans="1:32" ht="19.95" customHeight="1" x14ac:dyDescent="0.4">
      <c r="A43" s="49" t="s">
        <v>197</v>
      </c>
      <c r="B43" s="49">
        <v>245</v>
      </c>
      <c r="C43" s="49">
        <f t="shared" si="1"/>
        <v>6211</v>
      </c>
      <c r="D43" s="50"/>
      <c r="E43" s="50"/>
      <c r="F43" s="50"/>
      <c r="G43" s="50"/>
      <c r="H43" s="50"/>
      <c r="I43" s="50"/>
      <c r="J43" s="50"/>
      <c r="K43" s="50"/>
      <c r="L43" s="50"/>
      <c r="M43" s="50" t="s">
        <v>816</v>
      </c>
      <c r="N43" s="50">
        <v>238</v>
      </c>
      <c r="O43" s="50" t="s">
        <v>817</v>
      </c>
      <c r="P43" s="50">
        <v>29</v>
      </c>
      <c r="Q43" s="50" t="s">
        <v>818</v>
      </c>
      <c r="R43" s="50">
        <v>216</v>
      </c>
      <c r="S43" s="50" t="s">
        <v>819</v>
      </c>
      <c r="T43" s="50">
        <v>964</v>
      </c>
      <c r="U43" s="50" t="s">
        <v>820</v>
      </c>
      <c r="V43" s="50">
        <v>681</v>
      </c>
      <c r="W43" s="50" t="s">
        <v>821</v>
      </c>
      <c r="X43" s="50">
        <v>567</v>
      </c>
      <c r="Y43" s="50" t="s">
        <v>822</v>
      </c>
      <c r="Z43" s="50">
        <v>454</v>
      </c>
      <c r="AA43" s="50" t="s">
        <v>823</v>
      </c>
      <c r="AB43" s="50">
        <v>851</v>
      </c>
      <c r="AC43" s="50" t="s">
        <v>824</v>
      </c>
      <c r="AD43" s="50">
        <v>2098</v>
      </c>
      <c r="AE43" s="50" t="s">
        <v>198</v>
      </c>
      <c r="AF43" s="50">
        <v>113</v>
      </c>
    </row>
    <row r="44" spans="1:32" ht="19.95" customHeight="1" x14ac:dyDescent="0.4">
      <c r="A44" s="49" t="s">
        <v>199</v>
      </c>
      <c r="B44" s="49">
        <v>265</v>
      </c>
      <c r="C44" s="49">
        <f t="shared" si="1"/>
        <v>6829</v>
      </c>
      <c r="D44" s="50"/>
      <c r="E44" s="50"/>
      <c r="F44" s="50"/>
      <c r="G44" s="50"/>
      <c r="H44" s="50"/>
      <c r="I44" s="50"/>
      <c r="J44" s="50"/>
      <c r="K44" s="50"/>
      <c r="L44" s="50"/>
      <c r="M44" s="50" t="s">
        <v>816</v>
      </c>
      <c r="N44" s="50">
        <v>238</v>
      </c>
      <c r="O44" s="50" t="s">
        <v>817</v>
      </c>
      <c r="P44" s="50">
        <v>29</v>
      </c>
      <c r="Q44" s="50" t="s">
        <v>818</v>
      </c>
      <c r="R44" s="50">
        <v>216</v>
      </c>
      <c r="S44" s="50" t="s">
        <v>819</v>
      </c>
      <c r="T44" s="50">
        <v>995</v>
      </c>
      <c r="U44" s="50" t="s">
        <v>820</v>
      </c>
      <c r="V44" s="50">
        <v>747</v>
      </c>
      <c r="W44" s="50" t="s">
        <v>821</v>
      </c>
      <c r="X44" s="50">
        <v>622</v>
      </c>
      <c r="Y44" s="50" t="s">
        <v>822</v>
      </c>
      <c r="Z44" s="50">
        <v>560</v>
      </c>
      <c r="AA44" s="50" t="s">
        <v>823</v>
      </c>
      <c r="AB44" s="50">
        <v>871</v>
      </c>
      <c r="AC44" s="50" t="s">
        <v>824</v>
      </c>
      <c r="AD44" s="50">
        <v>2364</v>
      </c>
      <c r="AE44" s="50" t="s">
        <v>198</v>
      </c>
      <c r="AF44" s="50">
        <v>187</v>
      </c>
    </row>
    <row r="45" spans="1:32" ht="19.95" customHeight="1" x14ac:dyDescent="0.4">
      <c r="A45" s="49" t="s">
        <v>200</v>
      </c>
      <c r="B45" s="49">
        <v>285</v>
      </c>
      <c r="C45" s="49">
        <f t="shared" si="1"/>
        <v>7509</v>
      </c>
      <c r="D45" s="50"/>
      <c r="E45" s="50"/>
      <c r="F45" s="50"/>
      <c r="G45" s="50"/>
      <c r="H45" s="50"/>
      <c r="I45" s="50"/>
      <c r="J45" s="50"/>
      <c r="K45" s="50"/>
      <c r="L45" s="50"/>
      <c r="M45" s="50" t="s">
        <v>816</v>
      </c>
      <c r="N45" s="50">
        <v>238</v>
      </c>
      <c r="O45" s="50" t="s">
        <v>817</v>
      </c>
      <c r="P45" s="50">
        <v>29</v>
      </c>
      <c r="Q45" s="50" t="s">
        <v>818</v>
      </c>
      <c r="R45" s="50">
        <v>216</v>
      </c>
      <c r="S45" s="50" t="s">
        <v>819</v>
      </c>
      <c r="T45" s="50">
        <v>1023</v>
      </c>
      <c r="U45" s="50" t="s">
        <v>820</v>
      </c>
      <c r="V45" s="50">
        <v>819</v>
      </c>
      <c r="W45" s="50" t="s">
        <v>821</v>
      </c>
      <c r="X45" s="50">
        <v>682</v>
      </c>
      <c r="Y45" s="50" t="s">
        <v>822</v>
      </c>
      <c r="Z45" s="50">
        <v>682</v>
      </c>
      <c r="AA45" s="50" t="s">
        <v>823</v>
      </c>
      <c r="AB45" s="50">
        <v>887</v>
      </c>
      <c r="AC45" s="50" t="s">
        <v>824</v>
      </c>
      <c r="AD45" s="50">
        <v>2660</v>
      </c>
      <c r="AE45" s="50" t="s">
        <v>198</v>
      </c>
      <c r="AF45" s="50">
        <v>273</v>
      </c>
    </row>
    <row r="46" spans="1:32" ht="19.95" customHeight="1" x14ac:dyDescent="0.4">
      <c r="A46" s="49" t="s">
        <v>201</v>
      </c>
      <c r="B46" s="49">
        <v>305</v>
      </c>
      <c r="C46" s="49">
        <f t="shared" si="1"/>
        <v>8261</v>
      </c>
      <c r="D46" s="50"/>
      <c r="E46" s="50"/>
      <c r="F46" s="50"/>
      <c r="G46" s="50"/>
      <c r="H46" s="50"/>
      <c r="I46" s="50"/>
      <c r="J46" s="50"/>
      <c r="K46" s="50"/>
      <c r="L46" s="50"/>
      <c r="M46" s="50" t="s">
        <v>816</v>
      </c>
      <c r="N46" s="50">
        <v>238</v>
      </c>
      <c r="O46" s="50" t="s">
        <v>817</v>
      </c>
      <c r="P46" s="50">
        <v>29</v>
      </c>
      <c r="Q46" s="50" t="s">
        <v>818</v>
      </c>
      <c r="R46" s="50">
        <v>216</v>
      </c>
      <c r="S46" s="50" t="s">
        <v>819</v>
      </c>
      <c r="T46" s="50">
        <v>1111</v>
      </c>
      <c r="U46" s="50" t="s">
        <v>820</v>
      </c>
      <c r="V46" s="50">
        <v>889</v>
      </c>
      <c r="W46" s="50" t="s">
        <v>821</v>
      </c>
      <c r="X46" s="50">
        <v>741</v>
      </c>
      <c r="Y46" s="50" t="s">
        <v>822</v>
      </c>
      <c r="Z46" s="50">
        <v>741</v>
      </c>
      <c r="AA46" s="50" t="s">
        <v>823</v>
      </c>
      <c r="AB46" s="50">
        <v>963</v>
      </c>
      <c r="AC46" s="50" t="s">
        <v>824</v>
      </c>
      <c r="AD46" s="50">
        <v>2963</v>
      </c>
      <c r="AE46" s="50" t="s">
        <v>198</v>
      </c>
      <c r="AF46" s="50">
        <v>370</v>
      </c>
    </row>
    <row r="47" spans="1:32" ht="19.95" customHeight="1" x14ac:dyDescent="0.4">
      <c r="A47" s="49" t="s">
        <v>202</v>
      </c>
      <c r="B47" s="49">
        <v>325</v>
      </c>
      <c r="C47" s="49">
        <f t="shared" si="1"/>
        <v>9081</v>
      </c>
      <c r="D47" s="50"/>
      <c r="E47" s="50"/>
      <c r="F47" s="50"/>
      <c r="G47" s="50"/>
      <c r="H47" s="50"/>
      <c r="I47" s="50"/>
      <c r="J47" s="50"/>
      <c r="K47" s="50"/>
      <c r="L47" s="50"/>
      <c r="M47" s="50" t="s">
        <v>816</v>
      </c>
      <c r="N47" s="50">
        <v>238</v>
      </c>
      <c r="O47" s="50" t="s">
        <v>817</v>
      </c>
      <c r="P47" s="50">
        <v>29</v>
      </c>
      <c r="Q47" s="50" t="s">
        <v>818</v>
      </c>
      <c r="R47" s="50">
        <v>216</v>
      </c>
      <c r="S47" s="50" t="s">
        <v>819</v>
      </c>
      <c r="T47" s="50">
        <v>1228</v>
      </c>
      <c r="U47" s="50" t="s">
        <v>820</v>
      </c>
      <c r="V47" s="50">
        <v>983</v>
      </c>
      <c r="W47" s="50" t="s">
        <v>821</v>
      </c>
      <c r="X47" s="50">
        <v>819</v>
      </c>
      <c r="Y47" s="50" t="s">
        <v>822</v>
      </c>
      <c r="Z47" s="50">
        <v>819</v>
      </c>
      <c r="AA47" s="50" t="s">
        <v>823</v>
      </c>
      <c r="AB47" s="50">
        <v>1065</v>
      </c>
      <c r="AC47" s="50" t="s">
        <v>824</v>
      </c>
      <c r="AD47" s="50">
        <v>3275</v>
      </c>
      <c r="AE47" s="50" t="s">
        <v>198</v>
      </c>
      <c r="AF47" s="50">
        <v>409</v>
      </c>
    </row>
    <row r="48" spans="1:32" ht="19.95" customHeight="1" x14ac:dyDescent="0.4">
      <c r="A48" s="51" t="s">
        <v>203</v>
      </c>
      <c r="B48" s="51">
        <v>350</v>
      </c>
      <c r="C48" s="51">
        <f t="shared" si="1"/>
        <v>9955</v>
      </c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 t="s">
        <v>817</v>
      </c>
      <c r="P48" s="52">
        <v>29</v>
      </c>
      <c r="Q48" s="52" t="s">
        <v>818</v>
      </c>
      <c r="R48" s="52">
        <v>216</v>
      </c>
      <c r="S48" s="52" t="s">
        <v>819</v>
      </c>
      <c r="T48" s="52">
        <v>1400</v>
      </c>
      <c r="U48" s="52" t="s">
        <v>820</v>
      </c>
      <c r="V48" s="52">
        <v>1027</v>
      </c>
      <c r="W48" s="52" t="s">
        <v>821</v>
      </c>
      <c r="X48" s="52">
        <v>934</v>
      </c>
      <c r="Y48" s="52" t="s">
        <v>822</v>
      </c>
      <c r="Z48" s="52">
        <v>934</v>
      </c>
      <c r="AA48" s="52" t="s">
        <v>823</v>
      </c>
      <c r="AB48" s="52">
        <v>1214</v>
      </c>
      <c r="AC48" s="52" t="s">
        <v>824</v>
      </c>
      <c r="AD48" s="52">
        <v>3734</v>
      </c>
      <c r="AE48" s="52" t="s">
        <v>198</v>
      </c>
      <c r="AF48" s="52">
        <v>467</v>
      </c>
    </row>
    <row r="49" spans="1:32" ht="19.95" customHeight="1" x14ac:dyDescent="0.4">
      <c r="A49" s="51" t="s">
        <v>204</v>
      </c>
      <c r="B49" s="51">
        <v>375</v>
      </c>
      <c r="C49" s="51">
        <f t="shared" si="1"/>
        <v>10948</v>
      </c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 t="s">
        <v>817</v>
      </c>
      <c r="P49" s="52">
        <v>29</v>
      </c>
      <c r="Q49" s="52" t="s">
        <v>818</v>
      </c>
      <c r="R49" s="52">
        <v>216</v>
      </c>
      <c r="S49" s="52" t="s">
        <v>819</v>
      </c>
      <c r="T49" s="52">
        <v>1544</v>
      </c>
      <c r="U49" s="52" t="s">
        <v>820</v>
      </c>
      <c r="V49" s="52">
        <v>1132</v>
      </c>
      <c r="W49" s="52" t="s">
        <v>821</v>
      </c>
      <c r="X49" s="52">
        <v>1029</v>
      </c>
      <c r="Y49" s="52" t="s">
        <v>822</v>
      </c>
      <c r="Z49" s="52">
        <v>1029</v>
      </c>
      <c r="AA49" s="52" t="s">
        <v>823</v>
      </c>
      <c r="AB49" s="52">
        <v>1338</v>
      </c>
      <c r="AC49" s="52" t="s">
        <v>824</v>
      </c>
      <c r="AD49" s="52">
        <v>4116</v>
      </c>
      <c r="AE49" s="52" t="s">
        <v>198</v>
      </c>
      <c r="AF49" s="52">
        <v>515</v>
      </c>
    </row>
    <row r="50" spans="1:32" ht="19.95" customHeight="1" x14ac:dyDescent="0.4">
      <c r="A50" s="51" t="s">
        <v>205</v>
      </c>
      <c r="B50" s="51">
        <v>400</v>
      </c>
      <c r="C50" s="51">
        <f t="shared" si="1"/>
        <v>12040</v>
      </c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 t="s">
        <v>817</v>
      </c>
      <c r="P50" s="52">
        <v>29</v>
      </c>
      <c r="Q50" s="52" t="s">
        <v>818</v>
      </c>
      <c r="R50" s="52">
        <v>216</v>
      </c>
      <c r="S50" s="52" t="s">
        <v>819</v>
      </c>
      <c r="T50" s="52">
        <v>1701</v>
      </c>
      <c r="U50" s="52" t="s">
        <v>820</v>
      </c>
      <c r="V50" s="52">
        <v>1248</v>
      </c>
      <c r="W50" s="52" t="s">
        <v>821</v>
      </c>
      <c r="X50" s="52">
        <v>1134</v>
      </c>
      <c r="Y50" s="52" t="s">
        <v>822</v>
      </c>
      <c r="Z50" s="52">
        <v>1134</v>
      </c>
      <c r="AA50" s="52" t="s">
        <v>823</v>
      </c>
      <c r="AB50" s="52">
        <v>1474</v>
      </c>
      <c r="AC50" s="52" t="s">
        <v>824</v>
      </c>
      <c r="AD50" s="52">
        <v>4537</v>
      </c>
      <c r="AE50" s="52" t="s">
        <v>198</v>
      </c>
      <c r="AF50" s="52">
        <v>567</v>
      </c>
    </row>
    <row r="51" spans="1:32" ht="19.95" customHeight="1" x14ac:dyDescent="0.4">
      <c r="A51" s="51" t="s">
        <v>206</v>
      </c>
      <c r="B51" s="51">
        <v>425</v>
      </c>
      <c r="C51" s="51">
        <f t="shared" si="1"/>
        <v>13244</v>
      </c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 t="s">
        <v>817</v>
      </c>
      <c r="P51" s="52">
        <v>29</v>
      </c>
      <c r="Q51" s="52" t="s">
        <v>818</v>
      </c>
      <c r="R51" s="52">
        <v>216</v>
      </c>
      <c r="S51" s="52" t="s">
        <v>819</v>
      </c>
      <c r="T51" s="52">
        <v>1875</v>
      </c>
      <c r="U51" s="52" t="s">
        <v>820</v>
      </c>
      <c r="V51" s="52">
        <v>1375</v>
      </c>
      <c r="W51" s="52" t="s">
        <v>821</v>
      </c>
      <c r="X51" s="52">
        <v>1250</v>
      </c>
      <c r="Y51" s="52" t="s">
        <v>822</v>
      </c>
      <c r="Z51" s="52">
        <v>1250</v>
      </c>
      <c r="AA51" s="52" t="s">
        <v>823</v>
      </c>
      <c r="AB51" s="52">
        <v>1625</v>
      </c>
      <c r="AC51" s="52" t="s">
        <v>824</v>
      </c>
      <c r="AD51" s="52">
        <v>4999</v>
      </c>
      <c r="AE51" s="52" t="s">
        <v>198</v>
      </c>
      <c r="AF51" s="52">
        <v>625</v>
      </c>
    </row>
    <row r="52" spans="1:32" ht="19.95" customHeight="1" x14ac:dyDescent="0.4">
      <c r="A52" s="51" t="s">
        <v>207</v>
      </c>
      <c r="B52" s="51">
        <v>450</v>
      </c>
      <c r="C52" s="51">
        <f t="shared" si="1"/>
        <v>14566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 t="s">
        <v>817</v>
      </c>
      <c r="P52" s="52">
        <v>29</v>
      </c>
      <c r="Q52" s="52" t="s">
        <v>818</v>
      </c>
      <c r="R52" s="52">
        <v>216</v>
      </c>
      <c r="S52" s="52" t="s">
        <v>819</v>
      </c>
      <c r="T52" s="52">
        <v>2046</v>
      </c>
      <c r="U52" s="52" t="s">
        <v>820</v>
      </c>
      <c r="V52" s="52">
        <v>1500</v>
      </c>
      <c r="W52" s="52" t="s">
        <v>821</v>
      </c>
      <c r="X52" s="52">
        <v>1364</v>
      </c>
      <c r="Y52" s="52" t="s">
        <v>822</v>
      </c>
      <c r="Z52" s="52">
        <v>1364</v>
      </c>
      <c r="AA52" s="52" t="s">
        <v>823</v>
      </c>
      <c r="AB52" s="52">
        <v>1773</v>
      </c>
      <c r="AC52" s="52" t="s">
        <v>824</v>
      </c>
      <c r="AD52" s="52">
        <v>5456</v>
      </c>
      <c r="AE52" s="52" t="s">
        <v>198</v>
      </c>
      <c r="AF52" s="52">
        <v>818</v>
      </c>
    </row>
    <row r="53" spans="1:32" ht="19.95" customHeight="1" x14ac:dyDescent="0.4">
      <c r="A53" s="51" t="s">
        <v>208</v>
      </c>
      <c r="B53" s="51">
        <v>475</v>
      </c>
      <c r="C53" s="51">
        <f t="shared" si="1"/>
        <v>16024</v>
      </c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 t="s">
        <v>817</v>
      </c>
      <c r="P53" s="52">
        <v>29</v>
      </c>
      <c r="Q53" s="52" t="s">
        <v>818</v>
      </c>
      <c r="R53" s="52">
        <v>216</v>
      </c>
      <c r="S53" s="52" t="s">
        <v>819</v>
      </c>
      <c r="T53" s="52">
        <v>2254</v>
      </c>
      <c r="U53" s="52" t="s">
        <v>820</v>
      </c>
      <c r="V53" s="52">
        <v>1503</v>
      </c>
      <c r="W53" s="52" t="s">
        <v>821</v>
      </c>
      <c r="X53" s="52">
        <v>1503</v>
      </c>
      <c r="Y53" s="52" t="s">
        <v>822</v>
      </c>
      <c r="Z53" s="52">
        <v>1503</v>
      </c>
      <c r="AA53" s="52" t="s">
        <v>823</v>
      </c>
      <c r="AB53" s="52">
        <v>1953</v>
      </c>
      <c r="AC53" s="52" t="s">
        <v>824</v>
      </c>
      <c r="AD53" s="52">
        <v>6011</v>
      </c>
      <c r="AE53" s="52" t="s">
        <v>198</v>
      </c>
      <c r="AF53" s="52">
        <v>1052</v>
      </c>
    </row>
    <row r="54" spans="1:32" ht="19.95" customHeight="1" x14ac:dyDescent="0.4">
      <c r="A54" s="51" t="s">
        <v>209</v>
      </c>
      <c r="B54" s="51">
        <v>500</v>
      </c>
      <c r="C54" s="51">
        <f t="shared" si="1"/>
        <v>17627</v>
      </c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 t="s">
        <v>817</v>
      </c>
      <c r="P54" s="52">
        <v>29</v>
      </c>
      <c r="Q54" s="52" t="s">
        <v>818</v>
      </c>
      <c r="R54" s="52">
        <v>216</v>
      </c>
      <c r="S54" s="52" t="s">
        <v>819</v>
      </c>
      <c r="T54" s="52">
        <v>2459</v>
      </c>
      <c r="U54" s="52" t="s">
        <v>820</v>
      </c>
      <c r="V54" s="52">
        <v>1640</v>
      </c>
      <c r="W54" s="52" t="s">
        <v>821</v>
      </c>
      <c r="X54" s="52">
        <v>1640</v>
      </c>
      <c r="Y54" s="52" t="s">
        <v>822</v>
      </c>
      <c r="Z54" s="52">
        <v>1640</v>
      </c>
      <c r="AA54" s="52" t="s">
        <v>823</v>
      </c>
      <c r="AB54" s="52">
        <v>1968</v>
      </c>
      <c r="AC54" s="52" t="s">
        <v>824</v>
      </c>
      <c r="AD54" s="52">
        <v>6559</v>
      </c>
      <c r="AE54" s="52" t="s">
        <v>198</v>
      </c>
      <c r="AF54" s="52">
        <v>1476</v>
      </c>
    </row>
    <row r="55" spans="1:32" ht="19.95" customHeight="1" x14ac:dyDescent="0.4">
      <c r="A55" s="51" t="s">
        <v>210</v>
      </c>
      <c r="B55" s="51">
        <v>525</v>
      </c>
      <c r="C55" s="51">
        <f t="shared" si="1"/>
        <v>19391</v>
      </c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 t="s">
        <v>817</v>
      </c>
      <c r="P55" s="52">
        <v>29</v>
      </c>
      <c r="Q55" s="52" t="s">
        <v>818</v>
      </c>
      <c r="R55" s="52">
        <v>216</v>
      </c>
      <c r="S55" s="52" t="s">
        <v>819</v>
      </c>
      <c r="T55" s="52">
        <v>2659</v>
      </c>
      <c r="U55" s="52" t="s">
        <v>820</v>
      </c>
      <c r="V55" s="52">
        <v>1773</v>
      </c>
      <c r="W55" s="52" t="s">
        <v>821</v>
      </c>
      <c r="X55" s="52">
        <v>1773</v>
      </c>
      <c r="Y55" s="52" t="s">
        <v>822</v>
      </c>
      <c r="Z55" s="52">
        <v>1773</v>
      </c>
      <c r="AA55" s="52" t="s">
        <v>823</v>
      </c>
      <c r="AB55" s="52">
        <v>2127</v>
      </c>
      <c r="AC55" s="52" t="s">
        <v>824</v>
      </c>
      <c r="AD55" s="52">
        <v>7091</v>
      </c>
      <c r="AE55" s="52" t="s">
        <v>198</v>
      </c>
      <c r="AF55" s="52">
        <v>1950</v>
      </c>
    </row>
    <row r="56" spans="1:32" ht="19.95" customHeight="1" x14ac:dyDescent="0.4">
      <c r="A56" s="51" t="s">
        <v>211</v>
      </c>
      <c r="B56" s="51">
        <v>550</v>
      </c>
      <c r="C56" s="51">
        <f t="shared" si="1"/>
        <v>21331</v>
      </c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 t="s">
        <v>817</v>
      </c>
      <c r="P56" s="52">
        <v>29</v>
      </c>
      <c r="Q56" s="52" t="s">
        <v>818</v>
      </c>
      <c r="R56" s="52">
        <v>216</v>
      </c>
      <c r="S56" s="52" t="s">
        <v>819</v>
      </c>
      <c r="T56" s="52">
        <v>2875</v>
      </c>
      <c r="U56" s="52" t="s">
        <v>820</v>
      </c>
      <c r="V56" s="52">
        <v>1917</v>
      </c>
      <c r="W56" s="52" t="s">
        <v>821</v>
      </c>
      <c r="X56" s="52">
        <v>1917</v>
      </c>
      <c r="Y56" s="52" t="s">
        <v>822</v>
      </c>
      <c r="Z56" s="52">
        <v>1917</v>
      </c>
      <c r="AA56" s="52" t="s">
        <v>823</v>
      </c>
      <c r="AB56" s="52">
        <v>2300</v>
      </c>
      <c r="AC56" s="52" t="s">
        <v>824</v>
      </c>
      <c r="AD56" s="52">
        <v>7668</v>
      </c>
      <c r="AE56" s="52" t="s">
        <v>198</v>
      </c>
      <c r="AF56" s="52">
        <v>2492</v>
      </c>
    </row>
    <row r="57" spans="1:32" ht="19.95" customHeight="1" x14ac:dyDescent="0.4">
      <c r="A57" s="51" t="s">
        <v>212</v>
      </c>
      <c r="B57" s="51">
        <v>575</v>
      </c>
      <c r="C57" s="51">
        <f t="shared" si="1"/>
        <v>23465</v>
      </c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 t="s">
        <v>817</v>
      </c>
      <c r="P57" s="52">
        <v>29</v>
      </c>
      <c r="Q57" s="52" t="s">
        <v>818</v>
      </c>
      <c r="R57" s="52">
        <v>216</v>
      </c>
      <c r="S57" s="52" t="s">
        <v>819</v>
      </c>
      <c r="T57" s="52">
        <v>3110</v>
      </c>
      <c r="U57" s="52" t="s">
        <v>820</v>
      </c>
      <c r="V57" s="52">
        <v>2073</v>
      </c>
      <c r="W57" s="52" t="s">
        <v>821</v>
      </c>
      <c r="X57" s="52">
        <v>2073</v>
      </c>
      <c r="Y57" s="52" t="s">
        <v>822</v>
      </c>
      <c r="Z57" s="52">
        <v>2073</v>
      </c>
      <c r="AA57" s="52" t="s">
        <v>823</v>
      </c>
      <c r="AB57" s="52">
        <v>2488</v>
      </c>
      <c r="AC57" s="52" t="s">
        <v>824</v>
      </c>
      <c r="AD57" s="52">
        <v>8293</v>
      </c>
      <c r="AE57" s="52" t="s">
        <v>198</v>
      </c>
      <c r="AF57" s="52">
        <v>3110</v>
      </c>
    </row>
    <row r="58" spans="1:32" ht="19.95" customHeight="1" x14ac:dyDescent="0.4">
      <c r="A58" s="53" t="s">
        <v>213</v>
      </c>
      <c r="B58" s="53">
        <v>600</v>
      </c>
      <c r="C58" s="53">
        <f t="shared" si="1"/>
        <v>25810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 t="s">
        <v>817</v>
      </c>
      <c r="P58" s="54">
        <v>29</v>
      </c>
      <c r="Q58" s="54" t="s">
        <v>818</v>
      </c>
      <c r="R58" s="54">
        <v>216</v>
      </c>
      <c r="S58" s="54" t="s">
        <v>819</v>
      </c>
      <c r="T58" s="54">
        <v>3394</v>
      </c>
      <c r="U58" s="54" t="s">
        <v>820</v>
      </c>
      <c r="V58" s="54">
        <v>2262</v>
      </c>
      <c r="W58" s="54" t="s">
        <v>821</v>
      </c>
      <c r="X58" s="54">
        <v>2262</v>
      </c>
      <c r="Y58" s="54" t="s">
        <v>822</v>
      </c>
      <c r="Z58" s="54">
        <v>2262</v>
      </c>
      <c r="AA58" s="54" t="s">
        <v>823</v>
      </c>
      <c r="AB58" s="54">
        <v>2489</v>
      </c>
      <c r="AC58" s="54" t="s">
        <v>824</v>
      </c>
      <c r="AD58" s="54">
        <v>9050</v>
      </c>
      <c r="AE58" s="54" t="s">
        <v>198</v>
      </c>
      <c r="AF58" s="54">
        <v>3846</v>
      </c>
    </row>
    <row r="59" spans="1:32" ht="19.95" customHeight="1" x14ac:dyDescent="0.4">
      <c r="A59" s="53" t="s">
        <v>214</v>
      </c>
      <c r="B59" s="53">
        <v>620</v>
      </c>
      <c r="C59" s="53">
        <f t="shared" si="1"/>
        <v>28392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 t="s">
        <v>817</v>
      </c>
      <c r="P59" s="54">
        <v>29</v>
      </c>
      <c r="Q59" s="54" t="s">
        <v>818</v>
      </c>
      <c r="R59" s="54">
        <v>216</v>
      </c>
      <c r="S59" s="54" t="s">
        <v>819</v>
      </c>
      <c r="T59" s="54">
        <v>3671</v>
      </c>
      <c r="U59" s="54" t="s">
        <v>820</v>
      </c>
      <c r="V59" s="54">
        <v>2448</v>
      </c>
      <c r="W59" s="54" t="s">
        <v>821</v>
      </c>
      <c r="X59" s="54">
        <v>2448</v>
      </c>
      <c r="Y59" s="54" t="s">
        <v>822</v>
      </c>
      <c r="Z59" s="54">
        <v>2448</v>
      </c>
      <c r="AA59" s="54" t="s">
        <v>823</v>
      </c>
      <c r="AB59" s="54">
        <v>2692</v>
      </c>
      <c r="AC59" s="54" t="s">
        <v>824</v>
      </c>
      <c r="AD59" s="54">
        <v>9790</v>
      </c>
      <c r="AE59" s="54" t="s">
        <v>198</v>
      </c>
      <c r="AF59" s="54">
        <v>4650</v>
      </c>
    </row>
    <row r="60" spans="1:32" ht="19.95" customHeight="1" x14ac:dyDescent="0.4">
      <c r="A60" s="53" t="s">
        <v>215</v>
      </c>
      <c r="B60" s="53">
        <v>640</v>
      </c>
      <c r="C60" s="53">
        <f t="shared" si="1"/>
        <v>31231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 t="s">
        <v>817</v>
      </c>
      <c r="P60" s="54">
        <v>29</v>
      </c>
      <c r="Q60" s="54" t="s">
        <v>818</v>
      </c>
      <c r="R60" s="54">
        <v>216</v>
      </c>
      <c r="S60" s="54" t="s">
        <v>819</v>
      </c>
      <c r="T60" s="54">
        <v>3973</v>
      </c>
      <c r="U60" s="54" t="s">
        <v>820</v>
      </c>
      <c r="V60" s="54">
        <v>2648</v>
      </c>
      <c r="W60" s="54" t="s">
        <v>821</v>
      </c>
      <c r="X60" s="54">
        <v>2648</v>
      </c>
      <c r="Y60" s="54" t="s">
        <v>822</v>
      </c>
      <c r="Z60" s="54">
        <v>2648</v>
      </c>
      <c r="AA60" s="54" t="s">
        <v>823</v>
      </c>
      <c r="AB60" s="54">
        <v>2913</v>
      </c>
      <c r="AC60" s="54" t="s">
        <v>824</v>
      </c>
      <c r="AD60" s="54">
        <v>10594</v>
      </c>
      <c r="AE60" s="54" t="s">
        <v>198</v>
      </c>
      <c r="AF60" s="54">
        <v>5562</v>
      </c>
    </row>
    <row r="61" spans="1:32" ht="19.95" customHeight="1" x14ac:dyDescent="0.4">
      <c r="A61" s="53" t="s">
        <v>216</v>
      </c>
      <c r="B61" s="53">
        <v>660</v>
      </c>
      <c r="C61" s="53">
        <f t="shared" si="1"/>
        <v>34354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 t="s">
        <v>817</v>
      </c>
      <c r="P61" s="54">
        <v>29</v>
      </c>
      <c r="Q61" s="54" t="s">
        <v>818</v>
      </c>
      <c r="R61" s="54">
        <v>216</v>
      </c>
      <c r="S61" s="54" t="s">
        <v>819</v>
      </c>
      <c r="T61" s="54">
        <v>4300</v>
      </c>
      <c r="U61" s="54" t="s">
        <v>820</v>
      </c>
      <c r="V61" s="54">
        <v>2866</v>
      </c>
      <c r="W61" s="54" t="s">
        <v>821</v>
      </c>
      <c r="X61" s="54">
        <v>2866</v>
      </c>
      <c r="Y61" s="54" t="s">
        <v>822</v>
      </c>
      <c r="Z61" s="54">
        <v>2866</v>
      </c>
      <c r="AA61" s="54" t="s">
        <v>823</v>
      </c>
      <c r="AB61" s="54">
        <v>3153</v>
      </c>
      <c r="AC61" s="54" t="s">
        <v>824</v>
      </c>
      <c r="AD61" s="54">
        <v>11465</v>
      </c>
      <c r="AE61" s="54" t="s">
        <v>198</v>
      </c>
      <c r="AF61" s="54">
        <v>6593</v>
      </c>
    </row>
    <row r="62" spans="1:32" ht="19.95" customHeight="1" x14ac:dyDescent="0.4">
      <c r="A62" s="53" t="s">
        <v>217</v>
      </c>
      <c r="B62" s="53">
        <v>680</v>
      </c>
      <c r="C62" s="53">
        <f t="shared" si="1"/>
        <v>37789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 t="s">
        <v>817</v>
      </c>
      <c r="P62" s="54">
        <v>29</v>
      </c>
      <c r="Q62" s="54" t="s">
        <v>818</v>
      </c>
      <c r="R62" s="54">
        <v>216</v>
      </c>
      <c r="S62" s="54" t="s">
        <v>819</v>
      </c>
      <c r="T62" s="54">
        <v>4654</v>
      </c>
      <c r="U62" s="54" t="s">
        <v>820</v>
      </c>
      <c r="V62" s="54">
        <v>3103</v>
      </c>
      <c r="W62" s="54" t="s">
        <v>821</v>
      </c>
      <c r="X62" s="54">
        <v>3103</v>
      </c>
      <c r="Y62" s="54" t="s">
        <v>822</v>
      </c>
      <c r="Z62" s="54">
        <v>3103</v>
      </c>
      <c r="AA62" s="54" t="s">
        <v>823</v>
      </c>
      <c r="AB62" s="54">
        <v>3413</v>
      </c>
      <c r="AC62" s="54" t="s">
        <v>824</v>
      </c>
      <c r="AD62" s="54">
        <v>12411</v>
      </c>
      <c r="AE62" s="54" t="s">
        <v>198</v>
      </c>
      <c r="AF62" s="54">
        <v>7757</v>
      </c>
    </row>
    <row r="63" spans="1:32" ht="19.95" customHeight="1" x14ac:dyDescent="0.4">
      <c r="A63" s="53" t="s">
        <v>218</v>
      </c>
      <c r="B63" s="53">
        <v>700</v>
      </c>
      <c r="C63" s="53">
        <f t="shared" si="1"/>
        <v>41566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 t="s">
        <v>817</v>
      </c>
      <c r="P63" s="54">
        <v>29</v>
      </c>
      <c r="Q63" s="54" t="s">
        <v>818</v>
      </c>
      <c r="R63" s="54">
        <v>216</v>
      </c>
      <c r="S63" s="54" t="s">
        <v>819</v>
      </c>
      <c r="T63" s="54">
        <v>5080</v>
      </c>
      <c r="U63" s="54" t="s">
        <v>820</v>
      </c>
      <c r="V63" s="54">
        <v>3387</v>
      </c>
      <c r="W63" s="54" t="s">
        <v>821</v>
      </c>
      <c r="X63" s="54">
        <v>3387</v>
      </c>
      <c r="Y63" s="54" t="s">
        <v>822</v>
      </c>
      <c r="Z63" s="54">
        <v>3387</v>
      </c>
      <c r="AA63" s="54" t="s">
        <v>823</v>
      </c>
      <c r="AB63" s="54">
        <v>3387</v>
      </c>
      <c r="AC63" s="54" t="s">
        <v>824</v>
      </c>
      <c r="AD63" s="54">
        <v>13548</v>
      </c>
      <c r="AE63" s="54" t="s">
        <v>198</v>
      </c>
      <c r="AF63" s="54">
        <v>9145</v>
      </c>
    </row>
    <row r="64" spans="1:32" ht="19.95" customHeight="1" x14ac:dyDescent="0.4">
      <c r="A64" s="53" t="s">
        <v>219</v>
      </c>
      <c r="B64" s="53">
        <v>720</v>
      </c>
      <c r="C64" s="53">
        <f t="shared" si="1"/>
        <v>45721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 t="s">
        <v>817</v>
      </c>
      <c r="P64" s="54">
        <v>29</v>
      </c>
      <c r="Q64" s="54" t="s">
        <v>818</v>
      </c>
      <c r="R64" s="54">
        <v>216</v>
      </c>
      <c r="S64" s="54" t="s">
        <v>819</v>
      </c>
      <c r="T64" s="54">
        <v>5457</v>
      </c>
      <c r="U64" s="54" t="s">
        <v>820</v>
      </c>
      <c r="V64" s="54">
        <v>3638</v>
      </c>
      <c r="W64" s="54" t="s">
        <v>821</v>
      </c>
      <c r="X64" s="54">
        <v>3638</v>
      </c>
      <c r="Y64" s="54" t="s">
        <v>822</v>
      </c>
      <c r="Z64" s="54">
        <v>3638</v>
      </c>
      <c r="AA64" s="54" t="s">
        <v>823</v>
      </c>
      <c r="AB64" s="54">
        <v>3638</v>
      </c>
      <c r="AC64" s="54" t="s">
        <v>824</v>
      </c>
      <c r="AD64" s="54">
        <v>14553</v>
      </c>
      <c r="AE64" s="54" t="s">
        <v>198</v>
      </c>
      <c r="AF64" s="54">
        <v>10914</v>
      </c>
    </row>
    <row r="65" spans="1:32" ht="19.95" customHeight="1" x14ac:dyDescent="0.4">
      <c r="A65" s="53" t="s">
        <v>220</v>
      </c>
      <c r="B65" s="53">
        <v>740</v>
      </c>
      <c r="C65" s="53">
        <f t="shared" si="1"/>
        <v>50291</v>
      </c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 t="s">
        <v>817</v>
      </c>
      <c r="P65" s="54">
        <v>29</v>
      </c>
      <c r="Q65" s="54" t="s">
        <v>818</v>
      </c>
      <c r="R65" s="54">
        <v>216</v>
      </c>
      <c r="S65" s="54" t="s">
        <v>819</v>
      </c>
      <c r="T65" s="54">
        <v>5958</v>
      </c>
      <c r="U65" s="54" t="s">
        <v>820</v>
      </c>
      <c r="V65" s="54">
        <v>3972</v>
      </c>
      <c r="W65" s="54" t="s">
        <v>821</v>
      </c>
      <c r="X65" s="54">
        <v>3972</v>
      </c>
      <c r="Y65" s="54" t="s">
        <v>822</v>
      </c>
      <c r="Z65" s="54">
        <v>3972</v>
      </c>
      <c r="AA65" s="54" t="s">
        <v>823</v>
      </c>
      <c r="AB65" s="54">
        <v>3972</v>
      </c>
      <c r="AC65" s="54" t="s">
        <v>824</v>
      </c>
      <c r="AD65" s="54">
        <v>15887</v>
      </c>
      <c r="AE65" s="54" t="s">
        <v>198</v>
      </c>
      <c r="AF65" s="54">
        <v>12313</v>
      </c>
    </row>
    <row r="66" spans="1:32" ht="19.95" customHeight="1" x14ac:dyDescent="0.4">
      <c r="A66" s="53" t="s">
        <v>221</v>
      </c>
      <c r="B66" s="53">
        <v>760</v>
      </c>
      <c r="C66" s="53">
        <f t="shared" si="1"/>
        <v>55314</v>
      </c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 t="s">
        <v>817</v>
      </c>
      <c r="P66" s="54">
        <v>29</v>
      </c>
      <c r="Q66" s="54" t="s">
        <v>818</v>
      </c>
      <c r="R66" s="54">
        <v>216</v>
      </c>
      <c r="S66" s="54" t="s">
        <v>819</v>
      </c>
      <c r="T66" s="54">
        <v>6504</v>
      </c>
      <c r="U66" s="54" t="s">
        <v>820</v>
      </c>
      <c r="V66" s="54">
        <v>4336</v>
      </c>
      <c r="W66" s="54" t="s">
        <v>821</v>
      </c>
      <c r="X66" s="54">
        <v>4336</v>
      </c>
      <c r="Y66" s="54" t="s">
        <v>822</v>
      </c>
      <c r="Z66" s="54">
        <v>4336</v>
      </c>
      <c r="AA66" s="54" t="s">
        <v>823</v>
      </c>
      <c r="AB66" s="54">
        <v>4336</v>
      </c>
      <c r="AC66" s="54" t="s">
        <v>824</v>
      </c>
      <c r="AD66" s="54">
        <v>17345</v>
      </c>
      <c r="AE66" s="54" t="s">
        <v>198</v>
      </c>
      <c r="AF66" s="54">
        <v>13876</v>
      </c>
    </row>
    <row r="67" spans="1:32" ht="19.95" customHeight="1" x14ac:dyDescent="0.4">
      <c r="A67" s="53" t="s">
        <v>222</v>
      </c>
      <c r="B67" s="53">
        <v>780</v>
      </c>
      <c r="C67" s="53">
        <f t="shared" si="1"/>
        <v>60842</v>
      </c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 t="s">
        <v>817</v>
      </c>
      <c r="P67" s="54">
        <v>29</v>
      </c>
      <c r="Q67" s="54" t="s">
        <v>818</v>
      </c>
      <c r="R67" s="54">
        <v>216</v>
      </c>
      <c r="S67" s="54" t="s">
        <v>819</v>
      </c>
      <c r="T67" s="54">
        <v>7101</v>
      </c>
      <c r="U67" s="54" t="s">
        <v>820</v>
      </c>
      <c r="V67" s="54">
        <v>4734</v>
      </c>
      <c r="W67" s="54" t="s">
        <v>821</v>
      </c>
      <c r="X67" s="54">
        <v>4734</v>
      </c>
      <c r="Y67" s="54" t="s">
        <v>822</v>
      </c>
      <c r="Z67" s="54">
        <v>4734</v>
      </c>
      <c r="AA67" s="54" t="s">
        <v>823</v>
      </c>
      <c r="AB67" s="54">
        <v>4734</v>
      </c>
      <c r="AC67" s="54" t="s">
        <v>824</v>
      </c>
      <c r="AD67" s="54">
        <v>18937</v>
      </c>
      <c r="AE67" s="54" t="s">
        <v>198</v>
      </c>
      <c r="AF67" s="54">
        <v>15623</v>
      </c>
    </row>
    <row r="68" spans="1:32" ht="19.95" customHeight="1" x14ac:dyDescent="0.4">
      <c r="A68" s="53" t="s">
        <v>223</v>
      </c>
      <c r="B68" s="53">
        <v>800</v>
      </c>
      <c r="C68" s="53">
        <f t="shared" si="1"/>
        <v>66924</v>
      </c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 t="s">
        <v>817</v>
      </c>
      <c r="P68" s="54">
        <v>29</v>
      </c>
      <c r="Q68" s="54" t="s">
        <v>818</v>
      </c>
      <c r="R68" s="54">
        <v>216</v>
      </c>
      <c r="S68" s="54" t="s">
        <v>819</v>
      </c>
      <c r="T68" s="54">
        <v>7753</v>
      </c>
      <c r="U68" s="54" t="s">
        <v>820</v>
      </c>
      <c r="V68" s="54">
        <v>5169</v>
      </c>
      <c r="W68" s="54" t="s">
        <v>821</v>
      </c>
      <c r="X68" s="54">
        <v>5169</v>
      </c>
      <c r="Y68" s="54" t="s">
        <v>822</v>
      </c>
      <c r="Z68" s="54">
        <v>5169</v>
      </c>
      <c r="AA68" s="54" t="s">
        <v>823</v>
      </c>
      <c r="AB68" s="54">
        <v>5169</v>
      </c>
      <c r="AC68" s="54" t="s">
        <v>824</v>
      </c>
      <c r="AD68" s="54">
        <v>20676</v>
      </c>
      <c r="AE68" s="54" t="s">
        <v>198</v>
      </c>
      <c r="AF68" s="54">
        <v>17574</v>
      </c>
    </row>
    <row r="69" spans="1:32" ht="19.95" customHeight="1" x14ac:dyDescent="0.4">
      <c r="A69" s="53" t="s">
        <v>224</v>
      </c>
      <c r="B69" s="53">
        <v>820</v>
      </c>
      <c r="C69" s="53">
        <f t="shared" ref="C69:C102" si="2">SUM(F69:AF69)</f>
        <v>73614</v>
      </c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 t="s">
        <v>817</v>
      </c>
      <c r="P69" s="54">
        <v>29</v>
      </c>
      <c r="Q69" s="54" t="s">
        <v>818</v>
      </c>
      <c r="R69" s="54">
        <v>216</v>
      </c>
      <c r="S69" s="54" t="s">
        <v>819</v>
      </c>
      <c r="T69" s="54">
        <v>8465</v>
      </c>
      <c r="U69" s="54" t="s">
        <v>820</v>
      </c>
      <c r="V69" s="54">
        <v>5644</v>
      </c>
      <c r="W69" s="54" t="s">
        <v>821</v>
      </c>
      <c r="X69" s="54">
        <v>5644</v>
      </c>
      <c r="Y69" s="54" t="s">
        <v>822</v>
      </c>
      <c r="Z69" s="54">
        <v>5644</v>
      </c>
      <c r="AA69" s="54" t="s">
        <v>823</v>
      </c>
      <c r="AB69" s="54">
        <v>5644</v>
      </c>
      <c r="AC69" s="54" t="s">
        <v>824</v>
      </c>
      <c r="AD69" s="54">
        <v>22575</v>
      </c>
      <c r="AE69" s="54" t="s">
        <v>198</v>
      </c>
      <c r="AF69" s="54">
        <v>19753</v>
      </c>
    </row>
    <row r="70" spans="1:32" ht="19.95" customHeight="1" x14ac:dyDescent="0.4">
      <c r="A70" s="53" t="s">
        <v>225</v>
      </c>
      <c r="B70" s="53">
        <v>840</v>
      </c>
      <c r="C70" s="53">
        <f t="shared" si="2"/>
        <v>80969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 t="s">
        <v>817</v>
      </c>
      <c r="P70" s="54">
        <v>29</v>
      </c>
      <c r="Q70" s="54" t="s">
        <v>818</v>
      </c>
      <c r="R70" s="54">
        <v>216</v>
      </c>
      <c r="S70" s="54" t="s">
        <v>819</v>
      </c>
      <c r="T70" s="54">
        <v>9243</v>
      </c>
      <c r="U70" s="54" t="s">
        <v>820</v>
      </c>
      <c r="V70" s="54">
        <v>6162</v>
      </c>
      <c r="W70" s="54" t="s">
        <v>821</v>
      </c>
      <c r="X70" s="54">
        <v>6162</v>
      </c>
      <c r="Y70" s="54" t="s">
        <v>822</v>
      </c>
      <c r="Z70" s="54">
        <v>6162</v>
      </c>
      <c r="AA70" s="54" t="s">
        <v>823</v>
      </c>
      <c r="AB70" s="54">
        <v>6162</v>
      </c>
      <c r="AC70" s="54" t="s">
        <v>824</v>
      </c>
      <c r="AD70" s="54">
        <v>24649</v>
      </c>
      <c r="AE70" s="54" t="s">
        <v>198</v>
      </c>
      <c r="AF70" s="54">
        <v>22184</v>
      </c>
    </row>
    <row r="71" spans="1:32" ht="19.95" customHeight="1" x14ac:dyDescent="0.4">
      <c r="A71" s="53" t="s">
        <v>226</v>
      </c>
      <c r="B71" s="53">
        <v>860</v>
      </c>
      <c r="C71" s="53">
        <f t="shared" si="2"/>
        <v>89064</v>
      </c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 t="s">
        <v>817</v>
      </c>
      <c r="P71" s="54">
        <v>29</v>
      </c>
      <c r="Q71" s="54" t="s">
        <v>818</v>
      </c>
      <c r="R71" s="54">
        <v>216</v>
      </c>
      <c r="S71" s="54" t="s">
        <v>819</v>
      </c>
      <c r="T71" s="54">
        <v>10093</v>
      </c>
      <c r="U71" s="54" t="s">
        <v>820</v>
      </c>
      <c r="V71" s="54">
        <v>6729</v>
      </c>
      <c r="W71" s="54" t="s">
        <v>821</v>
      </c>
      <c r="X71" s="54">
        <v>6729</v>
      </c>
      <c r="Y71" s="54" t="s">
        <v>822</v>
      </c>
      <c r="Z71" s="54">
        <v>6729</v>
      </c>
      <c r="AA71" s="54" t="s">
        <v>823</v>
      </c>
      <c r="AB71" s="54">
        <v>6729</v>
      </c>
      <c r="AC71" s="54" t="s">
        <v>824</v>
      </c>
      <c r="AD71" s="54">
        <v>26914</v>
      </c>
      <c r="AE71" s="54" t="s">
        <v>198</v>
      </c>
      <c r="AF71" s="54">
        <v>24896</v>
      </c>
    </row>
    <row r="72" spans="1:32" ht="19.95" customHeight="1" x14ac:dyDescent="0.4">
      <c r="A72" s="53" t="s">
        <v>227</v>
      </c>
      <c r="B72" s="53">
        <v>880</v>
      </c>
      <c r="C72" s="53">
        <f t="shared" si="2"/>
        <v>97963</v>
      </c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 t="s">
        <v>817</v>
      </c>
      <c r="P72" s="54">
        <v>29</v>
      </c>
      <c r="Q72" s="54" t="s">
        <v>818</v>
      </c>
      <c r="R72" s="54">
        <v>216</v>
      </c>
      <c r="S72" s="54" t="s">
        <v>819</v>
      </c>
      <c r="T72" s="54">
        <v>11021</v>
      </c>
      <c r="U72" s="54" t="s">
        <v>820</v>
      </c>
      <c r="V72" s="54">
        <v>7347</v>
      </c>
      <c r="W72" s="54" t="s">
        <v>821</v>
      </c>
      <c r="X72" s="54">
        <v>7347</v>
      </c>
      <c r="Y72" s="54" t="s">
        <v>822</v>
      </c>
      <c r="Z72" s="54">
        <v>7347</v>
      </c>
      <c r="AA72" s="54" t="s">
        <v>823</v>
      </c>
      <c r="AB72" s="54">
        <v>7347</v>
      </c>
      <c r="AC72" s="54" t="s">
        <v>824</v>
      </c>
      <c r="AD72" s="54">
        <v>29389</v>
      </c>
      <c r="AE72" s="54" t="s">
        <v>198</v>
      </c>
      <c r="AF72" s="54">
        <v>27920</v>
      </c>
    </row>
    <row r="73" spans="1:32" ht="19.95" customHeight="1" x14ac:dyDescent="0.4">
      <c r="A73" s="53" t="s">
        <v>228</v>
      </c>
      <c r="B73" s="53">
        <v>900</v>
      </c>
      <c r="C73" s="53">
        <f t="shared" si="2"/>
        <v>107757</v>
      </c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 t="s">
        <v>817</v>
      </c>
      <c r="P73" s="54">
        <v>29</v>
      </c>
      <c r="Q73" s="54" t="s">
        <v>818</v>
      </c>
      <c r="R73" s="54">
        <v>216</v>
      </c>
      <c r="S73" s="54" t="s">
        <v>819</v>
      </c>
      <c r="T73" s="54">
        <v>11946</v>
      </c>
      <c r="U73" s="54" t="s">
        <v>820</v>
      </c>
      <c r="V73" s="54">
        <v>7964</v>
      </c>
      <c r="W73" s="54" t="s">
        <v>821</v>
      </c>
      <c r="X73" s="54">
        <v>7964</v>
      </c>
      <c r="Y73" s="54" t="s">
        <v>822</v>
      </c>
      <c r="Z73" s="54">
        <v>7964</v>
      </c>
      <c r="AA73" s="54" t="s">
        <v>823</v>
      </c>
      <c r="AB73" s="54">
        <v>7964</v>
      </c>
      <c r="AC73" s="54" t="s">
        <v>824</v>
      </c>
      <c r="AD73" s="54">
        <v>31855</v>
      </c>
      <c r="AE73" s="54" t="s">
        <v>198</v>
      </c>
      <c r="AF73" s="54">
        <v>31855</v>
      </c>
    </row>
    <row r="74" spans="1:32" ht="19.95" customHeight="1" x14ac:dyDescent="0.4">
      <c r="A74" s="53" t="s">
        <v>229</v>
      </c>
      <c r="B74" s="53">
        <v>920</v>
      </c>
      <c r="C74" s="53">
        <f t="shared" si="2"/>
        <v>118527</v>
      </c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 t="s">
        <v>817</v>
      </c>
      <c r="P74" s="54">
        <v>29</v>
      </c>
      <c r="Q74" s="54" t="s">
        <v>818</v>
      </c>
      <c r="R74" s="54">
        <v>216</v>
      </c>
      <c r="S74" s="54" t="s">
        <v>819</v>
      </c>
      <c r="T74" s="54">
        <v>13142</v>
      </c>
      <c r="U74" s="54" t="s">
        <v>820</v>
      </c>
      <c r="V74" s="54">
        <v>8762</v>
      </c>
      <c r="W74" s="54" t="s">
        <v>821</v>
      </c>
      <c r="X74" s="54">
        <v>8762</v>
      </c>
      <c r="Y74" s="54" t="s">
        <v>822</v>
      </c>
      <c r="Z74" s="54">
        <v>8762</v>
      </c>
      <c r="AA74" s="54" t="s">
        <v>823</v>
      </c>
      <c r="AB74" s="54">
        <v>8762</v>
      </c>
      <c r="AC74" s="54" t="s">
        <v>824</v>
      </c>
      <c r="AD74" s="54">
        <v>35046</v>
      </c>
      <c r="AE74" s="54" t="s">
        <v>198</v>
      </c>
      <c r="AF74" s="54">
        <v>35046</v>
      </c>
    </row>
    <row r="75" spans="1:32" ht="19.95" customHeight="1" x14ac:dyDescent="0.4">
      <c r="A75" s="53" t="s">
        <v>230</v>
      </c>
      <c r="B75" s="53">
        <v>940</v>
      </c>
      <c r="C75" s="53">
        <f t="shared" si="2"/>
        <v>130372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 t="s">
        <v>817</v>
      </c>
      <c r="P75" s="54">
        <v>29</v>
      </c>
      <c r="Q75" s="54" t="s">
        <v>818</v>
      </c>
      <c r="R75" s="54">
        <v>216</v>
      </c>
      <c r="S75" s="54" t="s">
        <v>819</v>
      </c>
      <c r="T75" s="54">
        <v>14459</v>
      </c>
      <c r="U75" s="54" t="s">
        <v>820</v>
      </c>
      <c r="V75" s="54">
        <v>9639</v>
      </c>
      <c r="W75" s="54" t="s">
        <v>821</v>
      </c>
      <c r="X75" s="54">
        <v>9639</v>
      </c>
      <c r="Y75" s="54" t="s">
        <v>822</v>
      </c>
      <c r="Z75" s="54">
        <v>9639</v>
      </c>
      <c r="AA75" s="54" t="s">
        <v>823</v>
      </c>
      <c r="AB75" s="54">
        <v>9639</v>
      </c>
      <c r="AC75" s="54" t="s">
        <v>824</v>
      </c>
      <c r="AD75" s="54">
        <v>38556</v>
      </c>
      <c r="AE75" s="54" t="s">
        <v>198</v>
      </c>
      <c r="AF75" s="54">
        <v>38556</v>
      </c>
    </row>
    <row r="76" spans="1:32" ht="19.95" customHeight="1" x14ac:dyDescent="0.4">
      <c r="A76" s="53" t="s">
        <v>231</v>
      </c>
      <c r="B76" s="53">
        <v>960</v>
      </c>
      <c r="C76" s="53">
        <f t="shared" si="2"/>
        <v>143401</v>
      </c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 t="s">
        <v>817</v>
      </c>
      <c r="P76" s="54">
        <v>29</v>
      </c>
      <c r="Q76" s="54" t="s">
        <v>818</v>
      </c>
      <c r="R76" s="54">
        <v>216</v>
      </c>
      <c r="S76" s="54" t="s">
        <v>819</v>
      </c>
      <c r="T76" s="54">
        <v>15906</v>
      </c>
      <c r="U76" s="54" t="s">
        <v>820</v>
      </c>
      <c r="V76" s="54">
        <v>10604</v>
      </c>
      <c r="W76" s="54" t="s">
        <v>821</v>
      </c>
      <c r="X76" s="54">
        <v>10604</v>
      </c>
      <c r="Y76" s="54" t="s">
        <v>822</v>
      </c>
      <c r="Z76" s="54">
        <v>10604</v>
      </c>
      <c r="AA76" s="54" t="s">
        <v>823</v>
      </c>
      <c r="AB76" s="54">
        <v>10604</v>
      </c>
      <c r="AC76" s="54" t="s">
        <v>824</v>
      </c>
      <c r="AD76" s="54">
        <v>42417</v>
      </c>
      <c r="AE76" s="54" t="s">
        <v>198</v>
      </c>
      <c r="AF76" s="54">
        <v>42417</v>
      </c>
    </row>
    <row r="77" spans="1:32" ht="19.95" customHeight="1" x14ac:dyDescent="0.4">
      <c r="A77" s="53" t="s">
        <v>232</v>
      </c>
      <c r="B77" s="53">
        <v>980</v>
      </c>
      <c r="C77" s="53">
        <f t="shared" si="2"/>
        <v>157736</v>
      </c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 t="s">
        <v>817</v>
      </c>
      <c r="P77" s="54">
        <v>29</v>
      </c>
      <c r="Q77" s="54" t="s">
        <v>818</v>
      </c>
      <c r="R77" s="54">
        <v>216</v>
      </c>
      <c r="S77" s="54" t="s">
        <v>819</v>
      </c>
      <c r="T77" s="54">
        <v>17499</v>
      </c>
      <c r="U77" s="54" t="s">
        <v>820</v>
      </c>
      <c r="V77" s="54">
        <v>11666</v>
      </c>
      <c r="W77" s="54" t="s">
        <v>821</v>
      </c>
      <c r="X77" s="54">
        <v>11666</v>
      </c>
      <c r="Y77" s="54" t="s">
        <v>822</v>
      </c>
      <c r="Z77" s="54">
        <v>11666</v>
      </c>
      <c r="AA77" s="54" t="s">
        <v>823</v>
      </c>
      <c r="AB77" s="54">
        <v>11666</v>
      </c>
      <c r="AC77" s="54" t="s">
        <v>824</v>
      </c>
      <c r="AD77" s="54">
        <v>46664</v>
      </c>
      <c r="AE77" s="54" t="s">
        <v>198</v>
      </c>
      <c r="AF77" s="54">
        <v>46664</v>
      </c>
    </row>
    <row r="78" spans="1:32" ht="19.95" customHeight="1" x14ac:dyDescent="0.4">
      <c r="A78" s="53" t="s">
        <v>233</v>
      </c>
      <c r="B78" s="53">
        <v>1000</v>
      </c>
      <c r="C78" s="53">
        <f t="shared" si="2"/>
        <v>173504</v>
      </c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 t="s">
        <v>817</v>
      </c>
      <c r="P78" s="54">
        <v>29</v>
      </c>
      <c r="Q78" s="54" t="s">
        <v>818</v>
      </c>
      <c r="R78" s="54">
        <v>216</v>
      </c>
      <c r="S78" s="54" t="s">
        <v>819</v>
      </c>
      <c r="T78" s="54">
        <v>19251</v>
      </c>
      <c r="U78" s="54" t="s">
        <v>820</v>
      </c>
      <c r="V78" s="54">
        <v>12834</v>
      </c>
      <c r="W78" s="54" t="s">
        <v>821</v>
      </c>
      <c r="X78" s="54">
        <v>12834</v>
      </c>
      <c r="Y78" s="54" t="s">
        <v>822</v>
      </c>
      <c r="Z78" s="54">
        <v>12834</v>
      </c>
      <c r="AA78" s="54" t="s">
        <v>823</v>
      </c>
      <c r="AB78" s="54">
        <v>12834</v>
      </c>
      <c r="AC78" s="54" t="s">
        <v>824</v>
      </c>
      <c r="AD78" s="54">
        <v>51336</v>
      </c>
      <c r="AE78" s="54" t="s">
        <v>198</v>
      </c>
      <c r="AF78" s="54">
        <v>51336</v>
      </c>
    </row>
    <row r="79" spans="1:32" ht="19.95" customHeight="1" x14ac:dyDescent="0.4">
      <c r="A79" s="53" t="s">
        <v>234</v>
      </c>
      <c r="B79" s="53">
        <v>1020</v>
      </c>
      <c r="C79" s="53">
        <f t="shared" si="2"/>
        <v>190849</v>
      </c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 t="s">
        <v>817</v>
      </c>
      <c r="P79" s="54">
        <v>29</v>
      </c>
      <c r="Q79" s="54" t="s">
        <v>818</v>
      </c>
      <c r="R79" s="54">
        <v>216</v>
      </c>
      <c r="S79" s="54" t="s">
        <v>819</v>
      </c>
      <c r="T79" s="54">
        <v>21178</v>
      </c>
      <c r="U79" s="54" t="s">
        <v>820</v>
      </c>
      <c r="V79" s="54">
        <v>14119</v>
      </c>
      <c r="W79" s="54" t="s">
        <v>821</v>
      </c>
      <c r="X79" s="54">
        <v>14119</v>
      </c>
      <c r="Y79" s="54" t="s">
        <v>822</v>
      </c>
      <c r="Z79" s="54">
        <v>14119</v>
      </c>
      <c r="AA79" s="54" t="s">
        <v>823</v>
      </c>
      <c r="AB79" s="54">
        <v>14119</v>
      </c>
      <c r="AC79" s="54" t="s">
        <v>824</v>
      </c>
      <c r="AD79" s="54">
        <v>56475</v>
      </c>
      <c r="AE79" s="54" t="s">
        <v>198</v>
      </c>
      <c r="AF79" s="54">
        <v>56475</v>
      </c>
    </row>
    <row r="80" spans="1:32" ht="19.95" customHeight="1" x14ac:dyDescent="0.4">
      <c r="A80" s="53" t="s">
        <v>235</v>
      </c>
      <c r="B80" s="53">
        <v>1040</v>
      </c>
      <c r="C80" s="53">
        <f t="shared" si="2"/>
        <v>209927</v>
      </c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 t="s">
        <v>817</v>
      </c>
      <c r="P80" s="54">
        <v>29</v>
      </c>
      <c r="Q80" s="54" t="s">
        <v>818</v>
      </c>
      <c r="R80" s="54">
        <v>216</v>
      </c>
      <c r="S80" s="54" t="s">
        <v>819</v>
      </c>
      <c r="T80" s="54">
        <v>23298</v>
      </c>
      <c r="U80" s="54" t="s">
        <v>820</v>
      </c>
      <c r="V80" s="54">
        <v>15532</v>
      </c>
      <c r="W80" s="54" t="s">
        <v>821</v>
      </c>
      <c r="X80" s="54">
        <v>15532</v>
      </c>
      <c r="Y80" s="54" t="s">
        <v>822</v>
      </c>
      <c r="Z80" s="54">
        <v>15532</v>
      </c>
      <c r="AA80" s="54" t="s">
        <v>823</v>
      </c>
      <c r="AB80" s="54">
        <v>15532</v>
      </c>
      <c r="AC80" s="54" t="s">
        <v>824</v>
      </c>
      <c r="AD80" s="54">
        <v>62128</v>
      </c>
      <c r="AE80" s="54" t="s">
        <v>198</v>
      </c>
      <c r="AF80" s="54">
        <v>62128</v>
      </c>
    </row>
    <row r="81" spans="1:32" ht="19.95" customHeight="1" x14ac:dyDescent="0.4">
      <c r="A81" s="53" t="s">
        <v>236</v>
      </c>
      <c r="B81" s="53">
        <v>1060</v>
      </c>
      <c r="C81" s="53">
        <f t="shared" si="2"/>
        <v>230911</v>
      </c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 t="s">
        <v>817</v>
      </c>
      <c r="P81" s="54">
        <v>29</v>
      </c>
      <c r="Q81" s="54" t="s">
        <v>818</v>
      </c>
      <c r="R81" s="54">
        <v>216</v>
      </c>
      <c r="S81" s="54" t="s">
        <v>819</v>
      </c>
      <c r="T81" s="54">
        <v>25630</v>
      </c>
      <c r="U81" s="54" t="s">
        <v>820</v>
      </c>
      <c r="V81" s="54">
        <v>17086</v>
      </c>
      <c r="W81" s="54" t="s">
        <v>821</v>
      </c>
      <c r="X81" s="54">
        <v>17086</v>
      </c>
      <c r="Y81" s="54" t="s">
        <v>822</v>
      </c>
      <c r="Z81" s="54">
        <v>17086</v>
      </c>
      <c r="AA81" s="54" t="s">
        <v>823</v>
      </c>
      <c r="AB81" s="54">
        <v>17086</v>
      </c>
      <c r="AC81" s="54" t="s">
        <v>824</v>
      </c>
      <c r="AD81" s="54">
        <v>68346</v>
      </c>
      <c r="AE81" s="54" t="s">
        <v>198</v>
      </c>
      <c r="AF81" s="54">
        <v>68346</v>
      </c>
    </row>
    <row r="82" spans="1:32" ht="19.95" customHeight="1" x14ac:dyDescent="0.4">
      <c r="A82" s="53" t="s">
        <v>237</v>
      </c>
      <c r="B82" s="53">
        <v>1080</v>
      </c>
      <c r="C82" s="53">
        <f t="shared" si="2"/>
        <v>253996</v>
      </c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 t="s">
        <v>817</v>
      </c>
      <c r="P82" s="54">
        <v>29</v>
      </c>
      <c r="Q82" s="54" t="s">
        <v>818</v>
      </c>
      <c r="R82" s="54">
        <v>216</v>
      </c>
      <c r="S82" s="54" t="s">
        <v>819</v>
      </c>
      <c r="T82" s="54">
        <v>28195</v>
      </c>
      <c r="U82" s="54" t="s">
        <v>820</v>
      </c>
      <c r="V82" s="54">
        <v>18796</v>
      </c>
      <c r="W82" s="54" t="s">
        <v>821</v>
      </c>
      <c r="X82" s="54">
        <v>18796</v>
      </c>
      <c r="Y82" s="54" t="s">
        <v>822</v>
      </c>
      <c r="Z82" s="54">
        <v>18796</v>
      </c>
      <c r="AA82" s="54" t="s">
        <v>823</v>
      </c>
      <c r="AB82" s="54">
        <v>18796</v>
      </c>
      <c r="AC82" s="54" t="s">
        <v>824</v>
      </c>
      <c r="AD82" s="54">
        <v>75186</v>
      </c>
      <c r="AE82" s="54" t="s">
        <v>198</v>
      </c>
      <c r="AF82" s="54">
        <v>75186</v>
      </c>
    </row>
    <row r="83" spans="1:32" ht="19.95" customHeight="1" x14ac:dyDescent="0.4">
      <c r="A83" s="53" t="s">
        <v>238</v>
      </c>
      <c r="B83" s="53">
        <v>1100</v>
      </c>
      <c r="C83" s="53">
        <f t="shared" si="2"/>
        <v>279389</v>
      </c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 t="s">
        <v>817</v>
      </c>
      <c r="P83" s="54">
        <v>29</v>
      </c>
      <c r="Q83" s="54" t="s">
        <v>818</v>
      </c>
      <c r="R83" s="54">
        <v>216</v>
      </c>
      <c r="S83" s="54" t="s">
        <v>819</v>
      </c>
      <c r="T83" s="54">
        <v>31016</v>
      </c>
      <c r="U83" s="54" t="s">
        <v>820</v>
      </c>
      <c r="V83" s="54">
        <v>20677</v>
      </c>
      <c r="W83" s="54" t="s">
        <v>821</v>
      </c>
      <c r="X83" s="54">
        <v>20677</v>
      </c>
      <c r="Y83" s="54" t="s">
        <v>822</v>
      </c>
      <c r="Z83" s="54">
        <v>20677</v>
      </c>
      <c r="AA83" s="54" t="s">
        <v>823</v>
      </c>
      <c r="AB83" s="54">
        <v>20677</v>
      </c>
      <c r="AC83" s="54" t="s">
        <v>824</v>
      </c>
      <c r="AD83" s="54">
        <v>82710</v>
      </c>
      <c r="AE83" s="54" t="s">
        <v>198</v>
      </c>
      <c r="AF83" s="54">
        <v>82710</v>
      </c>
    </row>
    <row r="84" spans="1:32" ht="19.95" customHeight="1" x14ac:dyDescent="0.4">
      <c r="A84" s="53" t="s">
        <v>239</v>
      </c>
      <c r="B84" s="53">
        <v>1120</v>
      </c>
      <c r="C84" s="53">
        <f t="shared" si="2"/>
        <v>307325</v>
      </c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 t="s">
        <v>817</v>
      </c>
      <c r="P84" s="54">
        <v>29</v>
      </c>
      <c r="Q84" s="54" t="s">
        <v>818</v>
      </c>
      <c r="R84" s="54">
        <v>216</v>
      </c>
      <c r="S84" s="54" t="s">
        <v>819</v>
      </c>
      <c r="T84" s="54">
        <v>34120</v>
      </c>
      <c r="U84" s="54" t="s">
        <v>820</v>
      </c>
      <c r="V84" s="54">
        <v>22747</v>
      </c>
      <c r="W84" s="54" t="s">
        <v>821</v>
      </c>
      <c r="X84" s="54">
        <v>22747</v>
      </c>
      <c r="Y84" s="54" t="s">
        <v>822</v>
      </c>
      <c r="Z84" s="54">
        <v>22747</v>
      </c>
      <c r="AA84" s="54" t="s">
        <v>823</v>
      </c>
      <c r="AB84" s="54">
        <v>22747</v>
      </c>
      <c r="AC84" s="54" t="s">
        <v>824</v>
      </c>
      <c r="AD84" s="54">
        <v>90986</v>
      </c>
      <c r="AE84" s="54" t="s">
        <v>198</v>
      </c>
      <c r="AF84" s="54">
        <v>90986</v>
      </c>
    </row>
    <row r="85" spans="1:32" ht="19.95" customHeight="1" x14ac:dyDescent="0.4">
      <c r="A85" s="53" t="s">
        <v>240</v>
      </c>
      <c r="B85" s="53">
        <v>1140</v>
      </c>
      <c r="C85" s="53">
        <f t="shared" si="2"/>
        <v>338051</v>
      </c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 t="s">
        <v>817</v>
      </c>
      <c r="P85" s="54">
        <v>29</v>
      </c>
      <c r="Q85" s="54" t="s">
        <v>818</v>
      </c>
      <c r="R85" s="54">
        <v>216</v>
      </c>
      <c r="S85" s="54" t="s">
        <v>819</v>
      </c>
      <c r="T85" s="54">
        <v>37534</v>
      </c>
      <c r="U85" s="54" t="s">
        <v>820</v>
      </c>
      <c r="V85" s="54">
        <v>25023</v>
      </c>
      <c r="W85" s="54" t="s">
        <v>821</v>
      </c>
      <c r="X85" s="54">
        <v>25023</v>
      </c>
      <c r="Y85" s="54" t="s">
        <v>822</v>
      </c>
      <c r="Z85" s="54">
        <v>25023</v>
      </c>
      <c r="AA85" s="54" t="s">
        <v>823</v>
      </c>
      <c r="AB85" s="54">
        <v>25023</v>
      </c>
      <c r="AC85" s="54" t="s">
        <v>824</v>
      </c>
      <c r="AD85" s="54">
        <v>100090</v>
      </c>
      <c r="AE85" s="54" t="s">
        <v>198</v>
      </c>
      <c r="AF85" s="54">
        <v>100090</v>
      </c>
    </row>
    <row r="86" spans="1:32" ht="19.95" customHeight="1" x14ac:dyDescent="0.4">
      <c r="A86" s="53" t="s">
        <v>241</v>
      </c>
      <c r="B86" s="53">
        <v>1160</v>
      </c>
      <c r="C86" s="53">
        <f t="shared" si="2"/>
        <v>371848</v>
      </c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 t="s">
        <v>817</v>
      </c>
      <c r="P86" s="54">
        <v>29</v>
      </c>
      <c r="Q86" s="54" t="s">
        <v>818</v>
      </c>
      <c r="R86" s="54">
        <v>216</v>
      </c>
      <c r="S86" s="54" t="s">
        <v>819</v>
      </c>
      <c r="T86" s="54">
        <v>41289</v>
      </c>
      <c r="U86" s="54" t="s">
        <v>820</v>
      </c>
      <c r="V86" s="54">
        <v>27526</v>
      </c>
      <c r="W86" s="54" t="s">
        <v>821</v>
      </c>
      <c r="X86" s="54">
        <v>27526</v>
      </c>
      <c r="Y86" s="54" t="s">
        <v>822</v>
      </c>
      <c r="Z86" s="54">
        <v>27526</v>
      </c>
      <c r="AA86" s="54" t="s">
        <v>823</v>
      </c>
      <c r="AB86" s="54">
        <v>27526</v>
      </c>
      <c r="AC86" s="54" t="s">
        <v>824</v>
      </c>
      <c r="AD86" s="54">
        <v>110105</v>
      </c>
      <c r="AE86" s="54" t="s">
        <v>198</v>
      </c>
      <c r="AF86" s="54">
        <v>110105</v>
      </c>
    </row>
    <row r="87" spans="1:32" ht="19.95" customHeight="1" x14ac:dyDescent="0.4">
      <c r="A87" s="53" t="s">
        <v>242</v>
      </c>
      <c r="B87" s="53">
        <v>1180</v>
      </c>
      <c r="C87" s="53">
        <f t="shared" si="2"/>
        <v>409025</v>
      </c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 t="s">
        <v>817</v>
      </c>
      <c r="P87" s="54">
        <v>29</v>
      </c>
      <c r="Q87" s="54" t="s">
        <v>818</v>
      </c>
      <c r="R87" s="54">
        <v>216</v>
      </c>
      <c r="S87" s="54" t="s">
        <v>819</v>
      </c>
      <c r="T87" s="54">
        <v>45420</v>
      </c>
      <c r="U87" s="54" t="s">
        <v>820</v>
      </c>
      <c r="V87" s="54">
        <v>30280</v>
      </c>
      <c r="W87" s="54" t="s">
        <v>821</v>
      </c>
      <c r="X87" s="54">
        <v>30280</v>
      </c>
      <c r="Y87" s="54" t="s">
        <v>822</v>
      </c>
      <c r="Z87" s="54">
        <v>30280</v>
      </c>
      <c r="AA87" s="54" t="s">
        <v>823</v>
      </c>
      <c r="AB87" s="54">
        <v>30280</v>
      </c>
      <c r="AC87" s="54" t="s">
        <v>824</v>
      </c>
      <c r="AD87" s="54">
        <v>121120</v>
      </c>
      <c r="AE87" s="54" t="s">
        <v>198</v>
      </c>
      <c r="AF87" s="54">
        <v>121120</v>
      </c>
    </row>
    <row r="88" spans="1:32" ht="19.95" customHeight="1" x14ac:dyDescent="0.4">
      <c r="A88" s="53" t="s">
        <v>243</v>
      </c>
      <c r="B88" s="53">
        <v>1200</v>
      </c>
      <c r="C88" s="53">
        <f t="shared" si="2"/>
        <v>449921</v>
      </c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 t="s">
        <v>817</v>
      </c>
      <c r="P88" s="54">
        <v>29</v>
      </c>
      <c r="Q88" s="54" t="s">
        <v>818</v>
      </c>
      <c r="R88" s="54">
        <v>216</v>
      </c>
      <c r="S88" s="54" t="s">
        <v>819</v>
      </c>
      <c r="T88" s="54">
        <v>49964</v>
      </c>
      <c r="U88" s="54" t="s">
        <v>820</v>
      </c>
      <c r="V88" s="54">
        <v>33309</v>
      </c>
      <c r="W88" s="54" t="s">
        <v>821</v>
      </c>
      <c r="X88" s="54">
        <v>33309</v>
      </c>
      <c r="Y88" s="54" t="s">
        <v>822</v>
      </c>
      <c r="Z88" s="54">
        <v>33309</v>
      </c>
      <c r="AA88" s="54" t="s">
        <v>823</v>
      </c>
      <c r="AB88" s="54">
        <v>33309</v>
      </c>
      <c r="AC88" s="54" t="s">
        <v>824</v>
      </c>
      <c r="AD88" s="54">
        <v>133238</v>
      </c>
      <c r="AE88" s="54" t="s">
        <v>198</v>
      </c>
      <c r="AF88" s="54">
        <v>133238</v>
      </c>
    </row>
    <row r="89" spans="1:32" ht="19.95" customHeight="1" x14ac:dyDescent="0.4">
      <c r="A89" s="53" t="s">
        <v>244</v>
      </c>
      <c r="B89" s="53">
        <v>1220</v>
      </c>
      <c r="C89" s="53">
        <f t="shared" si="2"/>
        <v>494910</v>
      </c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 t="s">
        <v>817</v>
      </c>
      <c r="P89" s="54">
        <v>29</v>
      </c>
      <c r="Q89" s="54" t="s">
        <v>818</v>
      </c>
      <c r="R89" s="54">
        <v>216</v>
      </c>
      <c r="S89" s="54" t="s">
        <v>819</v>
      </c>
      <c r="T89" s="54">
        <v>54963</v>
      </c>
      <c r="U89" s="54" t="s">
        <v>820</v>
      </c>
      <c r="V89" s="54">
        <v>36642</v>
      </c>
      <c r="W89" s="54" t="s">
        <v>821</v>
      </c>
      <c r="X89" s="54">
        <v>36642</v>
      </c>
      <c r="Y89" s="54" t="s">
        <v>822</v>
      </c>
      <c r="Z89" s="54">
        <v>36642</v>
      </c>
      <c r="AA89" s="54" t="s">
        <v>823</v>
      </c>
      <c r="AB89" s="54">
        <v>36642</v>
      </c>
      <c r="AC89" s="54" t="s">
        <v>824</v>
      </c>
      <c r="AD89" s="54">
        <v>146567</v>
      </c>
      <c r="AE89" s="54" t="s">
        <v>198</v>
      </c>
      <c r="AF89" s="54">
        <v>146567</v>
      </c>
    </row>
    <row r="90" spans="1:32" ht="19.95" customHeight="1" x14ac:dyDescent="0.4">
      <c r="A90" s="53" t="s">
        <v>245</v>
      </c>
      <c r="B90" s="53">
        <v>1240</v>
      </c>
      <c r="C90" s="53">
        <f t="shared" si="2"/>
        <v>544392</v>
      </c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 t="s">
        <v>817</v>
      </c>
      <c r="P90" s="54">
        <v>29</v>
      </c>
      <c r="Q90" s="54" t="s">
        <v>818</v>
      </c>
      <c r="R90" s="54">
        <v>216</v>
      </c>
      <c r="S90" s="54" t="s">
        <v>819</v>
      </c>
      <c r="T90" s="54">
        <v>60461</v>
      </c>
      <c r="U90" s="54" t="s">
        <v>820</v>
      </c>
      <c r="V90" s="54">
        <v>40307</v>
      </c>
      <c r="W90" s="54" t="s">
        <v>821</v>
      </c>
      <c r="X90" s="54">
        <v>40307</v>
      </c>
      <c r="Y90" s="54" t="s">
        <v>822</v>
      </c>
      <c r="Z90" s="54">
        <v>40307</v>
      </c>
      <c r="AA90" s="54" t="s">
        <v>823</v>
      </c>
      <c r="AB90" s="54">
        <v>40307</v>
      </c>
      <c r="AC90" s="54" t="s">
        <v>824</v>
      </c>
      <c r="AD90" s="54">
        <v>161229</v>
      </c>
      <c r="AE90" s="54" t="s">
        <v>198</v>
      </c>
      <c r="AF90" s="54">
        <v>161229</v>
      </c>
    </row>
    <row r="91" spans="1:32" ht="19.95" customHeight="1" x14ac:dyDescent="0.4">
      <c r="A91" s="53" t="s">
        <v>246</v>
      </c>
      <c r="B91" s="53">
        <v>1260</v>
      </c>
      <c r="C91" s="53">
        <f t="shared" si="2"/>
        <v>598824</v>
      </c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 t="s">
        <v>817</v>
      </c>
      <c r="P91" s="54">
        <v>29</v>
      </c>
      <c r="Q91" s="54" t="s">
        <v>818</v>
      </c>
      <c r="R91" s="54">
        <v>216</v>
      </c>
      <c r="S91" s="54" t="s">
        <v>819</v>
      </c>
      <c r="T91" s="54">
        <v>66509</v>
      </c>
      <c r="U91" s="54" t="s">
        <v>820</v>
      </c>
      <c r="V91" s="54">
        <v>44339</v>
      </c>
      <c r="W91" s="54" t="s">
        <v>821</v>
      </c>
      <c r="X91" s="54">
        <v>44339</v>
      </c>
      <c r="Y91" s="54" t="s">
        <v>822</v>
      </c>
      <c r="Z91" s="54">
        <v>44339</v>
      </c>
      <c r="AA91" s="54" t="s">
        <v>823</v>
      </c>
      <c r="AB91" s="54">
        <v>44339</v>
      </c>
      <c r="AC91" s="54" t="s">
        <v>824</v>
      </c>
      <c r="AD91" s="54">
        <v>177357</v>
      </c>
      <c r="AE91" s="54" t="s">
        <v>198</v>
      </c>
      <c r="AF91" s="54">
        <v>177357</v>
      </c>
    </row>
    <row r="92" spans="1:32" ht="19.95" customHeight="1" x14ac:dyDescent="0.4">
      <c r="A92" s="53" t="s">
        <v>247</v>
      </c>
      <c r="B92" s="53">
        <v>1280</v>
      </c>
      <c r="C92" s="53">
        <f t="shared" si="2"/>
        <v>658705</v>
      </c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 t="s">
        <v>817</v>
      </c>
      <c r="P92" s="54">
        <v>29</v>
      </c>
      <c r="Q92" s="54" t="s">
        <v>818</v>
      </c>
      <c r="R92" s="54">
        <v>216</v>
      </c>
      <c r="S92" s="54" t="s">
        <v>819</v>
      </c>
      <c r="T92" s="54">
        <v>73162</v>
      </c>
      <c r="U92" s="54" t="s">
        <v>820</v>
      </c>
      <c r="V92" s="54">
        <v>48775</v>
      </c>
      <c r="W92" s="54" t="s">
        <v>821</v>
      </c>
      <c r="X92" s="54">
        <v>48775</v>
      </c>
      <c r="Y92" s="54" t="s">
        <v>822</v>
      </c>
      <c r="Z92" s="54">
        <v>48775</v>
      </c>
      <c r="AA92" s="54" t="s">
        <v>823</v>
      </c>
      <c r="AB92" s="54">
        <v>48775</v>
      </c>
      <c r="AC92" s="54" t="s">
        <v>824</v>
      </c>
      <c r="AD92" s="54">
        <v>195099</v>
      </c>
      <c r="AE92" s="54" t="s">
        <v>198</v>
      </c>
      <c r="AF92" s="54">
        <v>195099</v>
      </c>
    </row>
    <row r="93" spans="1:32" ht="19.95" customHeight="1" x14ac:dyDescent="0.4">
      <c r="A93" s="53" t="s">
        <v>248</v>
      </c>
      <c r="B93" s="53">
        <v>1300</v>
      </c>
      <c r="C93" s="53">
        <f t="shared" si="2"/>
        <v>724565</v>
      </c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 t="s">
        <v>817</v>
      </c>
      <c r="P93" s="54">
        <v>29</v>
      </c>
      <c r="Q93" s="54" t="s">
        <v>818</v>
      </c>
      <c r="R93" s="54">
        <v>216</v>
      </c>
      <c r="S93" s="54" t="s">
        <v>819</v>
      </c>
      <c r="T93" s="54">
        <v>80480</v>
      </c>
      <c r="U93" s="54" t="s">
        <v>820</v>
      </c>
      <c r="V93" s="54">
        <v>53653</v>
      </c>
      <c r="W93" s="54" t="s">
        <v>821</v>
      </c>
      <c r="X93" s="54">
        <v>53653</v>
      </c>
      <c r="Y93" s="54" t="s">
        <v>822</v>
      </c>
      <c r="Z93" s="54">
        <v>53653</v>
      </c>
      <c r="AA93" s="54" t="s">
        <v>823</v>
      </c>
      <c r="AB93" s="54">
        <v>53653</v>
      </c>
      <c r="AC93" s="54" t="s">
        <v>824</v>
      </c>
      <c r="AD93" s="54">
        <v>214614</v>
      </c>
      <c r="AE93" s="54" t="s">
        <v>198</v>
      </c>
      <c r="AF93" s="54">
        <v>214614</v>
      </c>
    </row>
    <row r="94" spans="1:32" ht="19.95" customHeight="1" x14ac:dyDescent="0.4">
      <c r="A94" s="53" t="s">
        <v>249</v>
      </c>
      <c r="B94" s="53">
        <v>1320</v>
      </c>
      <c r="C94" s="53">
        <f t="shared" si="2"/>
        <v>797017</v>
      </c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 t="s">
        <v>817</v>
      </c>
      <c r="P94" s="54">
        <v>29</v>
      </c>
      <c r="Q94" s="54" t="s">
        <v>818</v>
      </c>
      <c r="R94" s="54">
        <v>216</v>
      </c>
      <c r="S94" s="54" t="s">
        <v>819</v>
      </c>
      <c r="T94" s="54">
        <v>88530</v>
      </c>
      <c r="U94" s="54" t="s">
        <v>820</v>
      </c>
      <c r="V94" s="54">
        <v>59020</v>
      </c>
      <c r="W94" s="54" t="s">
        <v>821</v>
      </c>
      <c r="X94" s="54">
        <v>59020</v>
      </c>
      <c r="Y94" s="54" t="s">
        <v>822</v>
      </c>
      <c r="Z94" s="54">
        <v>59020</v>
      </c>
      <c r="AA94" s="54" t="s">
        <v>823</v>
      </c>
      <c r="AB94" s="54">
        <v>59020</v>
      </c>
      <c r="AC94" s="54" t="s">
        <v>824</v>
      </c>
      <c r="AD94" s="54">
        <v>236081</v>
      </c>
      <c r="AE94" s="54" t="s">
        <v>198</v>
      </c>
      <c r="AF94" s="54">
        <v>236081</v>
      </c>
    </row>
    <row r="95" spans="1:32" ht="19.95" customHeight="1" x14ac:dyDescent="0.4">
      <c r="A95" s="53" t="s">
        <v>250</v>
      </c>
      <c r="B95" s="53">
        <v>1340</v>
      </c>
      <c r="C95" s="53">
        <f t="shared" si="2"/>
        <v>876710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 t="s">
        <v>817</v>
      </c>
      <c r="P95" s="54">
        <v>29</v>
      </c>
      <c r="Q95" s="54" t="s">
        <v>818</v>
      </c>
      <c r="R95" s="54">
        <v>216</v>
      </c>
      <c r="S95" s="54" t="s">
        <v>819</v>
      </c>
      <c r="T95" s="54">
        <v>97385</v>
      </c>
      <c r="U95" s="54" t="s">
        <v>820</v>
      </c>
      <c r="V95" s="54">
        <v>64923</v>
      </c>
      <c r="W95" s="54" t="s">
        <v>821</v>
      </c>
      <c r="X95" s="54">
        <v>64923</v>
      </c>
      <c r="Y95" s="54" t="s">
        <v>822</v>
      </c>
      <c r="Z95" s="54">
        <v>64923</v>
      </c>
      <c r="AA95" s="54" t="s">
        <v>823</v>
      </c>
      <c r="AB95" s="54">
        <v>64923</v>
      </c>
      <c r="AC95" s="54" t="s">
        <v>824</v>
      </c>
      <c r="AD95" s="54">
        <v>259694</v>
      </c>
      <c r="AE95" s="54" t="s">
        <v>198</v>
      </c>
      <c r="AF95" s="54">
        <v>259694</v>
      </c>
    </row>
    <row r="96" spans="1:32" ht="19.95" customHeight="1" x14ac:dyDescent="0.4">
      <c r="A96" s="53" t="s">
        <v>251</v>
      </c>
      <c r="B96" s="53">
        <v>1360</v>
      </c>
      <c r="C96" s="53">
        <f t="shared" si="2"/>
        <v>964377</v>
      </c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 t="s">
        <v>817</v>
      </c>
      <c r="P96" s="54">
        <v>29</v>
      </c>
      <c r="Q96" s="54" t="s">
        <v>818</v>
      </c>
      <c r="R96" s="54">
        <v>216</v>
      </c>
      <c r="S96" s="54" t="s">
        <v>819</v>
      </c>
      <c r="T96" s="54">
        <v>107126</v>
      </c>
      <c r="U96" s="54" t="s">
        <v>820</v>
      </c>
      <c r="V96" s="54">
        <v>71417</v>
      </c>
      <c r="W96" s="54" t="s">
        <v>821</v>
      </c>
      <c r="X96" s="54">
        <v>71417</v>
      </c>
      <c r="Y96" s="54" t="s">
        <v>822</v>
      </c>
      <c r="Z96" s="54">
        <v>71417</v>
      </c>
      <c r="AA96" s="54" t="s">
        <v>823</v>
      </c>
      <c r="AB96" s="54">
        <v>71417</v>
      </c>
      <c r="AC96" s="54" t="s">
        <v>824</v>
      </c>
      <c r="AD96" s="54">
        <v>285669</v>
      </c>
      <c r="AE96" s="54" t="s">
        <v>198</v>
      </c>
      <c r="AF96" s="54">
        <v>285669</v>
      </c>
    </row>
    <row r="97" spans="1:32" ht="19.95" customHeight="1" x14ac:dyDescent="0.4">
      <c r="A97" s="53" t="s">
        <v>252</v>
      </c>
      <c r="B97" s="53">
        <v>1380</v>
      </c>
      <c r="C97" s="53">
        <f t="shared" si="2"/>
        <v>1060807</v>
      </c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 t="s">
        <v>817</v>
      </c>
      <c r="P97" s="54">
        <v>29</v>
      </c>
      <c r="Q97" s="54" t="s">
        <v>818</v>
      </c>
      <c r="R97" s="54">
        <v>216</v>
      </c>
      <c r="S97" s="54" t="s">
        <v>819</v>
      </c>
      <c r="T97" s="54">
        <v>117840</v>
      </c>
      <c r="U97" s="54" t="s">
        <v>820</v>
      </c>
      <c r="V97" s="54">
        <v>78560</v>
      </c>
      <c r="W97" s="54" t="s">
        <v>821</v>
      </c>
      <c r="X97" s="54">
        <v>78560</v>
      </c>
      <c r="Y97" s="54" t="s">
        <v>822</v>
      </c>
      <c r="Z97" s="54">
        <v>78560</v>
      </c>
      <c r="AA97" s="54" t="s">
        <v>823</v>
      </c>
      <c r="AB97" s="54">
        <v>78560</v>
      </c>
      <c r="AC97" s="54" t="s">
        <v>824</v>
      </c>
      <c r="AD97" s="54">
        <v>314241</v>
      </c>
      <c r="AE97" s="54" t="s">
        <v>198</v>
      </c>
      <c r="AF97" s="54">
        <v>314241</v>
      </c>
    </row>
    <row r="98" spans="1:32" ht="19.95" customHeight="1" x14ac:dyDescent="0.4">
      <c r="A98" s="53" t="s">
        <v>253</v>
      </c>
      <c r="B98" s="53">
        <v>1400</v>
      </c>
      <c r="C98" s="53">
        <f t="shared" si="2"/>
        <v>1166883</v>
      </c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 t="s">
        <v>817</v>
      </c>
      <c r="P98" s="54">
        <v>29</v>
      </c>
      <c r="Q98" s="54" t="s">
        <v>818</v>
      </c>
      <c r="R98" s="54">
        <v>216</v>
      </c>
      <c r="S98" s="54" t="s">
        <v>819</v>
      </c>
      <c r="T98" s="54">
        <v>129626</v>
      </c>
      <c r="U98" s="54" t="s">
        <v>820</v>
      </c>
      <c r="V98" s="54">
        <v>86418</v>
      </c>
      <c r="W98" s="54" t="s">
        <v>821</v>
      </c>
      <c r="X98" s="54">
        <v>86418</v>
      </c>
      <c r="Y98" s="54" t="s">
        <v>822</v>
      </c>
      <c r="Z98" s="54">
        <v>86418</v>
      </c>
      <c r="AA98" s="54" t="s">
        <v>823</v>
      </c>
      <c r="AB98" s="54">
        <v>86418</v>
      </c>
      <c r="AC98" s="54" t="s">
        <v>824</v>
      </c>
      <c r="AD98" s="54">
        <v>345670</v>
      </c>
      <c r="AE98" s="54" t="s">
        <v>198</v>
      </c>
      <c r="AF98" s="54">
        <v>345670</v>
      </c>
    </row>
    <row r="99" spans="1:32" ht="19.95" customHeight="1" x14ac:dyDescent="0.4">
      <c r="A99" s="53" t="s">
        <v>254</v>
      </c>
      <c r="B99" s="53">
        <v>1420</v>
      </c>
      <c r="C99" s="53">
        <f t="shared" si="2"/>
        <v>1283566</v>
      </c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 t="s">
        <v>817</v>
      </c>
      <c r="P99" s="54">
        <v>29</v>
      </c>
      <c r="Q99" s="54" t="s">
        <v>818</v>
      </c>
      <c r="R99" s="54">
        <v>216</v>
      </c>
      <c r="S99" s="54" t="s">
        <v>819</v>
      </c>
      <c r="T99" s="54">
        <v>142591</v>
      </c>
      <c r="U99" s="54" t="s">
        <v>820</v>
      </c>
      <c r="V99" s="54">
        <v>95061</v>
      </c>
      <c r="W99" s="54" t="s">
        <v>821</v>
      </c>
      <c r="X99" s="54">
        <v>95061</v>
      </c>
      <c r="Y99" s="54" t="s">
        <v>822</v>
      </c>
      <c r="Z99" s="54">
        <v>95061</v>
      </c>
      <c r="AA99" s="54" t="s">
        <v>823</v>
      </c>
      <c r="AB99" s="54">
        <v>95061</v>
      </c>
      <c r="AC99" s="54" t="s">
        <v>824</v>
      </c>
      <c r="AD99" s="54">
        <v>380243</v>
      </c>
      <c r="AE99" s="54" t="s">
        <v>198</v>
      </c>
      <c r="AF99" s="54">
        <v>380243</v>
      </c>
    </row>
    <row r="100" spans="1:32" ht="19.95" customHeight="1" x14ac:dyDescent="0.4">
      <c r="A100" s="53" t="s">
        <v>255</v>
      </c>
      <c r="B100" s="53">
        <v>1440</v>
      </c>
      <c r="C100" s="53">
        <f t="shared" si="2"/>
        <v>1411915</v>
      </c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 t="s">
        <v>817</v>
      </c>
      <c r="P100" s="54">
        <v>29</v>
      </c>
      <c r="Q100" s="54" t="s">
        <v>818</v>
      </c>
      <c r="R100" s="54">
        <v>216</v>
      </c>
      <c r="S100" s="54" t="s">
        <v>819</v>
      </c>
      <c r="T100" s="54">
        <v>156852</v>
      </c>
      <c r="U100" s="54" t="s">
        <v>820</v>
      </c>
      <c r="V100" s="54">
        <v>104568</v>
      </c>
      <c r="W100" s="54" t="s">
        <v>821</v>
      </c>
      <c r="X100" s="54">
        <v>104568</v>
      </c>
      <c r="Y100" s="54" t="s">
        <v>822</v>
      </c>
      <c r="Z100" s="54">
        <v>104568</v>
      </c>
      <c r="AA100" s="54" t="s">
        <v>823</v>
      </c>
      <c r="AB100" s="54">
        <v>104568</v>
      </c>
      <c r="AC100" s="54" t="s">
        <v>824</v>
      </c>
      <c r="AD100" s="54">
        <v>418273</v>
      </c>
      <c r="AE100" s="54" t="s">
        <v>198</v>
      </c>
      <c r="AF100" s="54">
        <v>418273</v>
      </c>
    </row>
    <row r="101" spans="1:32" ht="19.95" customHeight="1" x14ac:dyDescent="0.4">
      <c r="A101" s="53" t="s">
        <v>256</v>
      </c>
      <c r="B101" s="53">
        <v>1460</v>
      </c>
      <c r="C101" s="53">
        <f t="shared" si="2"/>
        <v>1553098</v>
      </c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 t="s">
        <v>817</v>
      </c>
      <c r="P101" s="54">
        <v>29</v>
      </c>
      <c r="Q101" s="54" t="s">
        <v>818</v>
      </c>
      <c r="R101" s="54">
        <v>216</v>
      </c>
      <c r="S101" s="54" t="s">
        <v>819</v>
      </c>
      <c r="T101" s="54">
        <v>172539</v>
      </c>
      <c r="U101" s="54" t="s">
        <v>820</v>
      </c>
      <c r="V101" s="54">
        <v>115026</v>
      </c>
      <c r="W101" s="54" t="s">
        <v>821</v>
      </c>
      <c r="X101" s="54">
        <v>115026</v>
      </c>
      <c r="Y101" s="54" t="s">
        <v>822</v>
      </c>
      <c r="Z101" s="54">
        <v>115026</v>
      </c>
      <c r="AA101" s="54" t="s">
        <v>823</v>
      </c>
      <c r="AB101" s="54">
        <v>115026</v>
      </c>
      <c r="AC101" s="54" t="s">
        <v>824</v>
      </c>
      <c r="AD101" s="54">
        <v>460105</v>
      </c>
      <c r="AE101" s="54" t="s">
        <v>198</v>
      </c>
      <c r="AF101" s="54">
        <v>460105</v>
      </c>
    </row>
    <row r="102" spans="1:32" ht="19.95" customHeight="1" x14ac:dyDescent="0.4">
      <c r="A102" s="53" t="s">
        <v>257</v>
      </c>
      <c r="B102" s="53">
        <v>1480</v>
      </c>
      <c r="C102" s="53">
        <f t="shared" si="2"/>
        <v>1708402</v>
      </c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 t="s">
        <v>817</v>
      </c>
      <c r="P102" s="54">
        <v>29</v>
      </c>
      <c r="Q102" s="54" t="s">
        <v>818</v>
      </c>
      <c r="R102" s="54">
        <v>216</v>
      </c>
      <c r="S102" s="54" t="s">
        <v>819</v>
      </c>
      <c r="T102" s="54">
        <v>189795</v>
      </c>
      <c r="U102" s="54" t="s">
        <v>820</v>
      </c>
      <c r="V102" s="54">
        <v>126530</v>
      </c>
      <c r="W102" s="54" t="s">
        <v>821</v>
      </c>
      <c r="X102" s="54">
        <v>126530</v>
      </c>
      <c r="Y102" s="54" t="s">
        <v>822</v>
      </c>
      <c r="Z102" s="54">
        <v>126530</v>
      </c>
      <c r="AA102" s="54" t="s">
        <v>823</v>
      </c>
      <c r="AB102" s="54">
        <v>126530</v>
      </c>
      <c r="AC102" s="54" t="s">
        <v>824</v>
      </c>
      <c r="AD102" s="54">
        <v>506121</v>
      </c>
      <c r="AE102" s="54" t="s">
        <v>198</v>
      </c>
      <c r="AF102" s="54">
        <v>506121</v>
      </c>
    </row>
  </sheetData>
  <phoneticPr fontId="15" type="noConversion"/>
  <conditionalFormatting sqref="B1">
    <cfRule type="duplicateValues" dxfId="39" priority="2"/>
  </conditionalFormatting>
  <conditionalFormatting sqref="C1">
    <cfRule type="duplicateValues" dxfId="38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D19" sqref="D19"/>
    </sheetView>
  </sheetViews>
  <sheetFormatPr defaultColWidth="9" defaultRowHeight="19.95" customHeight="1" x14ac:dyDescent="0.4"/>
  <cols>
    <col min="1" max="1" width="19" customWidth="1"/>
    <col min="2" max="2" width="9.64453125" customWidth="1"/>
    <col min="3" max="3" width="14.6445312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13.1171875" customWidth="1"/>
    <col min="9" max="9" width="11.76171875" customWidth="1"/>
  </cols>
  <sheetData>
    <row r="1" spans="1:7" ht="37.950000000000003" customHeight="1" x14ac:dyDescent="0.4">
      <c r="A1" s="29" t="s">
        <v>258</v>
      </c>
      <c r="B1" s="30"/>
      <c r="C1" s="31"/>
    </row>
    <row r="2" spans="1:7" ht="21" customHeight="1" x14ac:dyDescent="0.4">
      <c r="A2" s="32"/>
      <c r="B2" s="32"/>
      <c r="C2" s="33"/>
      <c r="D2" s="34"/>
      <c r="E2" s="34"/>
      <c r="F2" s="34"/>
      <c r="G2" s="34"/>
    </row>
    <row r="3" spans="1:7" ht="19.95" customHeight="1" x14ac:dyDescent="0.4">
      <c r="A3" s="35" t="s">
        <v>259</v>
      </c>
      <c r="B3" s="34" t="s">
        <v>260</v>
      </c>
      <c r="C3" s="36" t="s">
        <v>261</v>
      </c>
      <c r="D3" s="34" t="s">
        <v>262</v>
      </c>
      <c r="E3" s="35" t="s">
        <v>263</v>
      </c>
      <c r="F3" s="35" t="s">
        <v>264</v>
      </c>
      <c r="G3" s="35" t="s">
        <v>265</v>
      </c>
    </row>
    <row r="4" spans="1:7" ht="19.95" customHeight="1" x14ac:dyDescent="0.4">
      <c r="A4" s="2" t="s">
        <v>266</v>
      </c>
      <c r="B4" s="2" t="s">
        <v>267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268</v>
      </c>
      <c r="B5" s="2" t="s">
        <v>267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269</v>
      </c>
      <c r="B6" s="2" t="s">
        <v>267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270</v>
      </c>
      <c r="B7" s="2" t="s">
        <v>271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272</v>
      </c>
      <c r="B8" s="2" t="s">
        <v>271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273</v>
      </c>
      <c r="B9" s="2" t="s">
        <v>271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274</v>
      </c>
      <c r="B10" s="2" t="s">
        <v>271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275</v>
      </c>
      <c r="B11" s="2" t="s">
        <v>271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276</v>
      </c>
      <c r="B12" s="2" t="s">
        <v>271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277</v>
      </c>
      <c r="B13" s="2" t="s">
        <v>278</v>
      </c>
      <c r="C13">
        <v>7</v>
      </c>
      <c r="D13">
        <f t="shared" si="0"/>
        <v>4.4200000000000003E-2</v>
      </c>
      <c r="E13">
        <f>VLOOKUP("wealth_"&amp;C13,buy_packages!$A$4:$C$102,3,FALSE)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279</v>
      </c>
      <c r="B14" s="2" t="s">
        <v>278</v>
      </c>
      <c r="C14">
        <v>5</v>
      </c>
      <c r="D14">
        <f t="shared" si="0"/>
        <v>4.4200000000000003E-3</v>
      </c>
      <c r="E14">
        <f>VLOOKUP("wealth_"&amp;C14,buy_packages!$A$4:$C$102,3,FALSE)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280</v>
      </c>
      <c r="B15" s="2" t="s">
        <v>278</v>
      </c>
      <c r="C15">
        <v>5</v>
      </c>
      <c r="D15">
        <f t="shared" si="0"/>
        <v>2.2100000000000002E-2</v>
      </c>
      <c r="E15">
        <f>VLOOKUP("wealth_"&amp;C15,buy_packages!$A$4:$C$102,3,FALSE)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281</v>
      </c>
      <c r="B16" s="2" t="s">
        <v>278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5" type="noConversion"/>
  <conditionalFormatting sqref="B1">
    <cfRule type="duplicateValues" dxfId="37" priority="2"/>
  </conditionalFormatting>
  <conditionalFormatting sqref="C1">
    <cfRule type="duplicateValues" dxfId="36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55"/>
  <sheetViews>
    <sheetView showGridLines="0" zoomScale="85" zoomScaleNormal="85" workbookViewId="0">
      <pane xSplit="2" ySplit="3" topLeftCell="D4" activePane="bottomRight" state="frozen"/>
      <selection pane="topRight"/>
      <selection pane="bottomLeft"/>
      <selection pane="bottomRight" activeCell="G6" sqref="G6"/>
    </sheetView>
  </sheetViews>
  <sheetFormatPr defaultColWidth="9" defaultRowHeight="19.95" customHeight="1" x14ac:dyDescent="0.4"/>
  <cols>
    <col min="1" max="1" width="24.76171875" customWidth="1"/>
    <col min="2" max="2" width="17.87890625" customWidth="1"/>
    <col min="3" max="3" width="27.87890625" customWidth="1"/>
    <col min="4" max="4" width="8.87890625" customWidth="1"/>
    <col min="5" max="11" width="7" customWidth="1"/>
    <col min="12" max="12" width="32.87890625" customWidth="1"/>
    <col min="13" max="14" width="9.87890625" customWidth="1"/>
    <col min="15" max="15" width="8.87890625" customWidth="1"/>
    <col min="16" max="16" width="12.234375" customWidth="1"/>
    <col min="17" max="17" width="12.87890625" customWidth="1"/>
    <col min="18" max="18" width="15.3515625" customWidth="1"/>
    <col min="19" max="19" width="16.64453125" customWidth="1"/>
    <col min="20" max="20" width="11.64453125" customWidth="1"/>
    <col min="21" max="21" width="10.3515625" customWidth="1"/>
    <col min="22" max="22" width="61.41015625" customWidth="1"/>
    <col min="23" max="23" width="22.87890625" customWidth="1"/>
    <col min="24" max="24" width="26.64453125" customWidth="1"/>
    <col min="25" max="25" width="21.64453125" customWidth="1"/>
    <col min="26" max="26" width="35.3515625" customWidth="1"/>
    <col min="27" max="27" width="26.64453125" customWidth="1"/>
    <col min="28" max="28" width="12.234375" customWidth="1"/>
    <col min="29" max="29" width="31.64453125" customWidth="1"/>
    <col min="30" max="33" width="9.87890625" customWidth="1"/>
    <col min="34" max="34" width="24.1171875" customWidth="1"/>
    <col min="35" max="35" width="27.87890625" customWidth="1"/>
    <col min="36" max="38" width="12.234375" customWidth="1"/>
    <col min="39" max="39" width="24.1171875" customWidth="1"/>
    <col min="40" max="40" width="14.1171875" customWidth="1"/>
    <col min="41" max="41" width="25.3515625" customWidth="1"/>
    <col min="42" max="42" width="24.1171875" customWidth="1"/>
    <col min="43" max="43" width="24" customWidth="1"/>
    <col min="44" max="44" width="32.87890625" customWidth="1"/>
    <col min="45" max="45" width="31.64453125" customWidth="1"/>
    <col min="46" max="46" width="29.1171875" customWidth="1"/>
    <col min="47" max="47" width="12.87890625" customWidth="1"/>
    <col min="48" max="48" width="7" customWidth="1"/>
    <col min="49" max="49" width="32.87890625" customWidth="1"/>
    <col min="50" max="50" width="7" customWidth="1"/>
    <col min="51" max="51" width="36.64453125" customWidth="1"/>
    <col min="52" max="52" width="7" customWidth="1"/>
    <col min="53" max="53" width="27.87890625" customWidth="1"/>
    <col min="54" max="54" width="7" customWidth="1"/>
    <col min="55" max="55" width="12.234375" customWidth="1"/>
  </cols>
  <sheetData>
    <row r="1" spans="1:57" ht="19.95" customHeight="1" x14ac:dyDescent="0.4">
      <c r="A1" s="21" t="s">
        <v>282</v>
      </c>
      <c r="B1" s="24" t="s">
        <v>43</v>
      </c>
      <c r="C1" s="25" t="s">
        <v>43</v>
      </c>
      <c r="D1" s="26" t="s">
        <v>43</v>
      </c>
      <c r="E1" s="22"/>
      <c r="F1" s="22"/>
      <c r="G1" s="22"/>
      <c r="H1" s="22"/>
      <c r="I1" s="22"/>
      <c r="J1" s="22"/>
      <c r="K1" s="22"/>
      <c r="L1" s="22"/>
      <c r="M1" s="22"/>
      <c r="N1" s="22"/>
      <c r="R1" s="22"/>
      <c r="S1" s="22"/>
      <c r="T1" s="22"/>
      <c r="U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</row>
    <row r="2" spans="1:57" ht="39" customHeight="1" x14ac:dyDescent="0.4">
      <c r="A2" s="6" t="s">
        <v>44</v>
      </c>
      <c r="B2" s="6" t="s">
        <v>283</v>
      </c>
      <c r="C2" s="27" t="s">
        <v>284</v>
      </c>
      <c r="D2" s="27" t="s">
        <v>19</v>
      </c>
      <c r="E2" s="27" t="s">
        <v>19</v>
      </c>
      <c r="F2" s="27" t="s">
        <v>19</v>
      </c>
      <c r="G2" s="27" t="s">
        <v>19</v>
      </c>
      <c r="H2" s="27" t="s">
        <v>19</v>
      </c>
      <c r="I2" s="27" t="s">
        <v>19</v>
      </c>
      <c r="J2" s="27" t="s">
        <v>19</v>
      </c>
      <c r="K2" s="27" t="s">
        <v>19</v>
      </c>
      <c r="L2" s="28" t="s">
        <v>285</v>
      </c>
      <c r="M2" s="28" t="s">
        <v>19</v>
      </c>
      <c r="N2" s="28" t="s">
        <v>19</v>
      </c>
      <c r="O2" s="6" t="s">
        <v>286</v>
      </c>
      <c r="P2" s="6" t="s">
        <v>287</v>
      </c>
      <c r="Q2" s="6" t="s">
        <v>288</v>
      </c>
      <c r="R2" s="6" t="s">
        <v>289</v>
      </c>
      <c r="S2" s="6" t="s">
        <v>290</v>
      </c>
      <c r="T2" s="6" t="s">
        <v>291</v>
      </c>
      <c r="U2" s="6" t="s">
        <v>292</v>
      </c>
      <c r="V2" s="6" t="s">
        <v>52</v>
      </c>
      <c r="W2" s="6" t="s">
        <v>293</v>
      </c>
      <c r="X2" s="6" t="s">
        <v>294</v>
      </c>
      <c r="Y2" s="6" t="s">
        <v>295</v>
      </c>
      <c r="Z2" s="6" t="s">
        <v>296</v>
      </c>
      <c r="AA2" s="6" t="s">
        <v>297</v>
      </c>
      <c r="AB2" s="6" t="s">
        <v>298</v>
      </c>
      <c r="AC2" s="28" t="s">
        <v>299</v>
      </c>
      <c r="AD2" s="28" t="s">
        <v>18</v>
      </c>
      <c r="AE2" s="28" t="s">
        <v>19</v>
      </c>
      <c r="AF2" s="28" t="s">
        <v>18</v>
      </c>
      <c r="AG2" s="28" t="s">
        <v>19</v>
      </c>
      <c r="AH2" s="6" t="s">
        <v>300</v>
      </c>
      <c r="AI2" s="6" t="s">
        <v>301</v>
      </c>
      <c r="AJ2" s="6" t="s">
        <v>302</v>
      </c>
      <c r="AK2" s="6" t="s">
        <v>303</v>
      </c>
      <c r="AL2" s="6" t="s">
        <v>304</v>
      </c>
      <c r="AM2" s="6" t="s">
        <v>305</v>
      </c>
      <c r="AN2" s="6" t="s">
        <v>306</v>
      </c>
      <c r="AO2" s="6" t="s">
        <v>307</v>
      </c>
      <c r="AP2" s="6" t="s">
        <v>308</v>
      </c>
      <c r="AQ2" s="6" t="s">
        <v>309</v>
      </c>
      <c r="AR2" s="6" t="s">
        <v>310</v>
      </c>
      <c r="AS2" s="6" t="s">
        <v>311</v>
      </c>
      <c r="AT2" s="6" t="s">
        <v>312</v>
      </c>
      <c r="AU2" s="6" t="s">
        <v>313</v>
      </c>
      <c r="AV2" s="6" t="s">
        <v>19</v>
      </c>
      <c r="AW2" s="6" t="s">
        <v>314</v>
      </c>
      <c r="AX2" s="6" t="s">
        <v>19</v>
      </c>
      <c r="AY2" s="6" t="s">
        <v>315</v>
      </c>
      <c r="AZ2" s="6" t="s">
        <v>19</v>
      </c>
      <c r="BA2" s="6" t="s">
        <v>316</v>
      </c>
      <c r="BB2" s="6" t="s">
        <v>19</v>
      </c>
      <c r="BC2" s="6" t="s">
        <v>317</v>
      </c>
      <c r="BD2" s="22"/>
      <c r="BE2" s="22"/>
    </row>
    <row r="3" spans="1:57" ht="30" customHeight="1" x14ac:dyDescent="0.4">
      <c r="A3" s="6" t="s">
        <v>318</v>
      </c>
      <c r="B3" s="6" t="s">
        <v>319</v>
      </c>
      <c r="C3" s="27" t="s">
        <v>320</v>
      </c>
      <c r="D3" s="27"/>
      <c r="E3" s="27"/>
      <c r="F3" s="27"/>
      <c r="G3" s="27"/>
      <c r="H3" s="27"/>
      <c r="I3" s="27"/>
      <c r="J3" s="27"/>
      <c r="K3" s="27"/>
      <c r="L3" s="28" t="s">
        <v>321</v>
      </c>
      <c r="M3" s="28" t="s">
        <v>322</v>
      </c>
      <c r="N3" s="28" t="s">
        <v>322</v>
      </c>
      <c r="O3" s="6" t="s">
        <v>323</v>
      </c>
      <c r="P3" s="6" t="s">
        <v>324</v>
      </c>
      <c r="Q3" s="6" t="s">
        <v>325</v>
      </c>
      <c r="R3" s="6" t="s">
        <v>326</v>
      </c>
      <c r="S3" s="6" t="s">
        <v>327</v>
      </c>
      <c r="T3" s="6" t="s">
        <v>328</v>
      </c>
      <c r="U3" s="6" t="s">
        <v>329</v>
      </c>
      <c r="V3" s="6"/>
      <c r="W3" s="6" t="s">
        <v>330</v>
      </c>
      <c r="X3" s="6" t="s">
        <v>331</v>
      </c>
      <c r="Y3" s="6" t="s">
        <v>332</v>
      </c>
      <c r="Z3" s="6" t="s">
        <v>333</v>
      </c>
      <c r="AA3" s="6" t="s">
        <v>334</v>
      </c>
      <c r="AB3" s="6" t="s">
        <v>335</v>
      </c>
      <c r="AC3" s="28" t="s">
        <v>336</v>
      </c>
      <c r="AD3" s="28"/>
      <c r="AE3" s="28"/>
      <c r="AF3" s="28"/>
      <c r="AG3" s="28"/>
      <c r="AH3" s="6" t="s">
        <v>337</v>
      </c>
      <c r="AI3" s="6" t="s">
        <v>337</v>
      </c>
      <c r="AJ3" s="6" t="s">
        <v>337</v>
      </c>
      <c r="AK3" s="6" t="s">
        <v>338</v>
      </c>
      <c r="AL3" s="6" t="s">
        <v>339</v>
      </c>
      <c r="AM3" s="6" t="s">
        <v>337</v>
      </c>
      <c r="AN3" s="6" t="s">
        <v>340</v>
      </c>
      <c r="AO3" s="6" t="s">
        <v>337</v>
      </c>
      <c r="AP3" s="6" t="s">
        <v>341</v>
      </c>
      <c r="AQ3" s="6" t="s">
        <v>342</v>
      </c>
      <c r="AR3" s="6" t="s">
        <v>343</v>
      </c>
      <c r="AS3" s="6" t="s">
        <v>344</v>
      </c>
      <c r="AT3" s="7" t="s">
        <v>337</v>
      </c>
      <c r="AU3" s="7" t="s">
        <v>337</v>
      </c>
      <c r="AV3" s="6"/>
      <c r="AW3" s="7" t="s">
        <v>337</v>
      </c>
      <c r="AX3" s="6"/>
      <c r="AY3" s="6" t="s">
        <v>337</v>
      </c>
      <c r="AZ3" s="6"/>
      <c r="BA3" s="6" t="s">
        <v>337</v>
      </c>
      <c r="BB3" s="6"/>
      <c r="BC3" s="6" t="s">
        <v>345</v>
      </c>
      <c r="BD3" s="22"/>
      <c r="BE3" s="22"/>
    </row>
    <row r="4" spans="1:57" ht="19.95" customHeight="1" x14ac:dyDescent="0.4">
      <c r="A4" s="18" t="s">
        <v>787</v>
      </c>
      <c r="B4" s="23"/>
      <c r="D4" s="71" t="s">
        <v>1005</v>
      </c>
      <c r="E4" t="s">
        <v>1017</v>
      </c>
      <c r="F4" t="s">
        <v>1018</v>
      </c>
      <c r="G4" s="71" t="s">
        <v>1198</v>
      </c>
      <c r="L4" s="22"/>
      <c r="M4" s="22"/>
      <c r="Q4" s="22"/>
      <c r="R4" s="22"/>
      <c r="S4" s="22"/>
      <c r="V4" t="s">
        <v>346</v>
      </c>
      <c r="Z4" s="22"/>
      <c r="AA4" s="22"/>
      <c r="AB4" s="22"/>
    </row>
    <row r="5" spans="1:57" ht="19.95" customHeight="1" x14ac:dyDescent="0.4">
      <c r="A5" s="18" t="s">
        <v>789</v>
      </c>
      <c r="B5" s="23"/>
      <c r="D5" t="s">
        <v>1006</v>
      </c>
      <c r="E5" t="s">
        <v>1019</v>
      </c>
      <c r="F5" t="s">
        <v>1020</v>
      </c>
      <c r="G5" s="71" t="s">
        <v>1199</v>
      </c>
      <c r="L5" s="22"/>
      <c r="M5" s="22"/>
      <c r="Q5" s="22"/>
      <c r="R5" s="22"/>
      <c r="S5" s="22"/>
      <c r="Z5" s="22"/>
      <c r="AA5" s="22"/>
      <c r="AB5" s="22"/>
    </row>
    <row r="6" spans="1:57" ht="19.95" customHeight="1" x14ac:dyDescent="0.4">
      <c r="A6" s="18" t="s">
        <v>790</v>
      </c>
      <c r="B6" s="23"/>
      <c r="D6" t="s">
        <v>1007</v>
      </c>
      <c r="E6" t="s">
        <v>1021</v>
      </c>
      <c r="F6" t="s">
        <v>1022</v>
      </c>
      <c r="G6" s="71" t="s">
        <v>1200</v>
      </c>
    </row>
    <row r="7" spans="1:57" ht="19.95" customHeight="1" x14ac:dyDescent="0.4">
      <c r="A7" s="18" t="s">
        <v>798</v>
      </c>
      <c r="B7" s="23"/>
      <c r="D7" t="s">
        <v>1008</v>
      </c>
      <c r="E7" t="s">
        <v>1080</v>
      </c>
      <c r="F7" t="s">
        <v>1081</v>
      </c>
      <c r="G7" t="s">
        <v>1082</v>
      </c>
      <c r="H7" t="s">
        <v>1083</v>
      </c>
    </row>
    <row r="8" spans="1:57" ht="19.95" customHeight="1" x14ac:dyDescent="0.4">
      <c r="A8" s="18" t="s">
        <v>800</v>
      </c>
      <c r="B8" s="23"/>
      <c r="D8" t="s">
        <v>1009</v>
      </c>
      <c r="E8" t="s">
        <v>1076</v>
      </c>
      <c r="F8" t="s">
        <v>1077</v>
      </c>
      <c r="G8" t="s">
        <v>1078</v>
      </c>
      <c r="H8" t="s">
        <v>1079</v>
      </c>
    </row>
    <row r="9" spans="1:57" ht="19.95" customHeight="1" x14ac:dyDescent="0.4">
      <c r="A9" s="18" t="s">
        <v>1000</v>
      </c>
      <c r="B9" s="23"/>
      <c r="D9" t="s">
        <v>1055</v>
      </c>
      <c r="E9" t="s">
        <v>1056</v>
      </c>
      <c r="F9" t="s">
        <v>1057</v>
      </c>
      <c r="G9" t="s">
        <v>1058</v>
      </c>
      <c r="H9" t="s">
        <v>1059</v>
      </c>
    </row>
    <row r="10" spans="1:57" ht="19.95" customHeight="1" x14ac:dyDescent="0.4">
      <c r="A10" s="18" t="s">
        <v>802</v>
      </c>
      <c r="B10" s="23"/>
      <c r="D10" t="s">
        <v>1049</v>
      </c>
      <c r="E10" t="s">
        <v>1050</v>
      </c>
      <c r="F10" t="s">
        <v>1051</v>
      </c>
      <c r="G10" t="s">
        <v>1052</v>
      </c>
      <c r="H10" t="s">
        <v>1053</v>
      </c>
    </row>
    <row r="11" spans="1:57" ht="19.95" customHeight="1" x14ac:dyDescent="0.4">
      <c r="A11" s="18" t="s">
        <v>1001</v>
      </c>
      <c r="B11" s="23"/>
      <c r="D11" t="s">
        <v>1060</v>
      </c>
      <c r="E11" t="s">
        <v>1061</v>
      </c>
      <c r="F11" t="s">
        <v>1062</v>
      </c>
      <c r="G11" t="s">
        <v>1063</v>
      </c>
    </row>
    <row r="12" spans="1:57" ht="19.95" customHeight="1" x14ac:dyDescent="0.4">
      <c r="A12" s="18" t="s">
        <v>804</v>
      </c>
      <c r="B12" s="23"/>
      <c r="D12" t="s">
        <v>1023</v>
      </c>
      <c r="E12" t="s">
        <v>1002</v>
      </c>
      <c r="F12" t="s">
        <v>1003</v>
      </c>
      <c r="G12" t="s">
        <v>1004</v>
      </c>
    </row>
    <row r="13" spans="1:57" ht="19.95" customHeight="1" x14ac:dyDescent="0.4">
      <c r="A13" s="18" t="s">
        <v>806</v>
      </c>
      <c r="B13" s="23"/>
      <c r="D13" t="s">
        <v>1010</v>
      </c>
      <c r="E13" t="s">
        <v>1024</v>
      </c>
      <c r="F13" t="s">
        <v>1025</v>
      </c>
      <c r="G13" t="s">
        <v>1026</v>
      </c>
    </row>
    <row r="14" spans="1:57" ht="19.95" customHeight="1" x14ac:dyDescent="0.4">
      <c r="A14" s="18" t="s">
        <v>808</v>
      </c>
      <c r="B14" s="23"/>
      <c r="D14" t="s">
        <v>1011</v>
      </c>
      <c r="E14" t="s">
        <v>1030</v>
      </c>
      <c r="F14" t="s">
        <v>1031</v>
      </c>
      <c r="G14" t="s">
        <v>1032</v>
      </c>
      <c r="H14" t="s">
        <v>1033</v>
      </c>
    </row>
    <row r="15" spans="1:57" ht="19.95" customHeight="1" x14ac:dyDescent="0.4">
      <c r="A15" s="18" t="s">
        <v>810</v>
      </c>
      <c r="B15" s="23"/>
      <c r="D15" t="s">
        <v>1012</v>
      </c>
      <c r="E15" t="s">
        <v>1034</v>
      </c>
      <c r="F15" t="s">
        <v>1035</v>
      </c>
      <c r="G15" t="s">
        <v>1036</v>
      </c>
      <c r="H15" t="s">
        <v>1037</v>
      </c>
    </row>
    <row r="16" spans="1:57" ht="19.95" customHeight="1" x14ac:dyDescent="0.4">
      <c r="A16" s="18" t="s">
        <v>918</v>
      </c>
      <c r="B16" s="23"/>
      <c r="D16" t="s">
        <v>1013</v>
      </c>
      <c r="E16" t="s">
        <v>1027</v>
      </c>
      <c r="F16" t="s">
        <v>1028</v>
      </c>
      <c r="G16" t="s">
        <v>1029</v>
      </c>
    </row>
    <row r="17" spans="1:8" ht="19.95" customHeight="1" x14ac:dyDescent="0.4">
      <c r="A17" s="18" t="s">
        <v>921</v>
      </c>
      <c r="B17" s="23"/>
      <c r="D17" t="s">
        <v>1014</v>
      </c>
      <c r="E17" t="s">
        <v>1038</v>
      </c>
      <c r="F17" t="s">
        <v>1039</v>
      </c>
      <c r="G17" t="s">
        <v>1040</v>
      </c>
      <c r="H17" t="s">
        <v>1041</v>
      </c>
    </row>
    <row r="18" spans="1:8" ht="19.95" customHeight="1" x14ac:dyDescent="0.4">
      <c r="A18" s="18" t="s">
        <v>923</v>
      </c>
      <c r="B18" s="23"/>
      <c r="D18" t="s">
        <v>1015</v>
      </c>
      <c r="E18" t="s">
        <v>1042</v>
      </c>
      <c r="F18" t="s">
        <v>1043</v>
      </c>
      <c r="G18" t="s">
        <v>1044</v>
      </c>
      <c r="H18" t="s">
        <v>1045</v>
      </c>
    </row>
    <row r="19" spans="1:8" ht="19.95" customHeight="1" x14ac:dyDescent="0.4">
      <c r="A19" s="18" t="s">
        <v>925</v>
      </c>
      <c r="B19" s="23"/>
      <c r="D19" t="s">
        <v>1016</v>
      </c>
      <c r="E19" t="s">
        <v>1046</v>
      </c>
      <c r="F19" t="s">
        <v>1047</v>
      </c>
      <c r="G19" t="s">
        <v>1048</v>
      </c>
    </row>
    <row r="20" spans="1:8" ht="19.95" customHeight="1" x14ac:dyDescent="0.4">
      <c r="A20" s="18" t="s">
        <v>927</v>
      </c>
      <c r="B20" s="23"/>
      <c r="D20" t="s">
        <v>1084</v>
      </c>
      <c r="E20" t="s">
        <v>1085</v>
      </c>
      <c r="F20" t="s">
        <v>1086</v>
      </c>
    </row>
    <row r="21" spans="1:8" ht="19.95" customHeight="1" x14ac:dyDescent="0.4">
      <c r="A21" s="18" t="s">
        <v>929</v>
      </c>
      <c r="B21" s="23"/>
      <c r="D21" t="s">
        <v>1087</v>
      </c>
      <c r="E21" t="s">
        <v>1088</v>
      </c>
    </row>
    <row r="22" spans="1:8" ht="19.95" customHeight="1" x14ac:dyDescent="0.4">
      <c r="A22" s="18" t="s">
        <v>931</v>
      </c>
      <c r="B22" s="23"/>
      <c r="D22" t="s">
        <v>1089</v>
      </c>
      <c r="E22" t="s">
        <v>1090</v>
      </c>
    </row>
    <row r="23" spans="1:8" ht="19.95" customHeight="1" x14ac:dyDescent="0.4">
      <c r="A23" s="18" t="s">
        <v>933</v>
      </c>
      <c r="B23" s="23"/>
      <c r="D23" t="s">
        <v>1091</v>
      </c>
      <c r="E23" t="s">
        <v>1092</v>
      </c>
    </row>
    <row r="24" spans="1:8" ht="19.95" customHeight="1" x14ac:dyDescent="0.4">
      <c r="A24" s="18" t="s">
        <v>935</v>
      </c>
      <c r="B24" s="23"/>
      <c r="D24" t="s">
        <v>1093</v>
      </c>
      <c r="E24" t="s">
        <v>1094</v>
      </c>
      <c r="F24" t="s">
        <v>1095</v>
      </c>
    </row>
    <row r="25" spans="1:8" ht="19.95" customHeight="1" x14ac:dyDescent="0.4">
      <c r="A25" s="18" t="s">
        <v>937</v>
      </c>
      <c r="B25" s="23"/>
      <c r="D25" t="s">
        <v>1096</v>
      </c>
    </row>
    <row r="26" spans="1:8" ht="19.95" customHeight="1" x14ac:dyDescent="0.4">
      <c r="A26" s="18" t="s">
        <v>939</v>
      </c>
      <c r="B26" s="23"/>
      <c r="D26" t="s">
        <v>1097</v>
      </c>
      <c r="E26" t="s">
        <v>1098</v>
      </c>
    </row>
    <row r="27" spans="1:8" ht="19.95" customHeight="1" x14ac:dyDescent="0.4">
      <c r="A27" s="18" t="s">
        <v>941</v>
      </c>
      <c r="B27" s="23"/>
      <c r="D27" t="s">
        <v>1099</v>
      </c>
      <c r="E27" t="s">
        <v>1100</v>
      </c>
    </row>
    <row r="28" spans="1:8" ht="19.95" customHeight="1" x14ac:dyDescent="0.4">
      <c r="A28" s="18" t="s">
        <v>943</v>
      </c>
      <c r="B28" s="23"/>
      <c r="D28" t="s">
        <v>1101</v>
      </c>
      <c r="E28" t="s">
        <v>1102</v>
      </c>
    </row>
    <row r="29" spans="1:8" ht="19.95" customHeight="1" x14ac:dyDescent="0.4">
      <c r="A29" s="18" t="s">
        <v>945</v>
      </c>
      <c r="B29" s="23"/>
      <c r="D29" t="s">
        <v>1064</v>
      </c>
      <c r="E29" t="s">
        <v>1065</v>
      </c>
      <c r="F29" t="s">
        <v>1066</v>
      </c>
      <c r="G29" t="s">
        <v>1067</v>
      </c>
    </row>
    <row r="30" spans="1:8" ht="19.95" customHeight="1" x14ac:dyDescent="0.4">
      <c r="A30" s="18" t="s">
        <v>947</v>
      </c>
      <c r="B30" s="23"/>
      <c r="D30" t="s">
        <v>1068</v>
      </c>
      <c r="E30" t="s">
        <v>1069</v>
      </c>
      <c r="F30" t="s">
        <v>1070</v>
      </c>
      <c r="G30" t="s">
        <v>1071</v>
      </c>
    </row>
    <row r="31" spans="1:8" ht="19.95" customHeight="1" x14ac:dyDescent="0.4">
      <c r="A31" s="18" t="s">
        <v>949</v>
      </c>
      <c r="B31" s="23"/>
      <c r="D31" t="s">
        <v>1072</v>
      </c>
      <c r="E31" t="s">
        <v>1073</v>
      </c>
      <c r="F31" t="s">
        <v>1074</v>
      </c>
      <c r="G31" t="s">
        <v>1075</v>
      </c>
    </row>
    <row r="32" spans="1:8" ht="19.95" customHeight="1" x14ac:dyDescent="0.4">
      <c r="A32" s="18" t="s">
        <v>951</v>
      </c>
      <c r="B32" s="23"/>
      <c r="D32" t="s">
        <v>1103</v>
      </c>
      <c r="E32" t="s">
        <v>1104</v>
      </c>
      <c r="F32" t="s">
        <v>1105</v>
      </c>
      <c r="G32" t="s">
        <v>1106</v>
      </c>
    </row>
    <row r="33" spans="1:28" ht="19.95" customHeight="1" x14ac:dyDescent="0.4">
      <c r="A33" s="18" t="s">
        <v>953</v>
      </c>
      <c r="B33" s="23"/>
      <c r="D33" t="s">
        <v>1107</v>
      </c>
      <c r="E33" t="s">
        <v>1108</v>
      </c>
      <c r="F33" t="s">
        <v>1109</v>
      </c>
      <c r="G33" t="s">
        <v>1110</v>
      </c>
    </row>
    <row r="34" spans="1:28" ht="19.95" customHeight="1" x14ac:dyDescent="0.4">
      <c r="A34" s="18" t="s">
        <v>955</v>
      </c>
      <c r="B34" s="23"/>
      <c r="D34" t="s">
        <v>1111</v>
      </c>
      <c r="E34" t="s">
        <v>1112</v>
      </c>
      <c r="F34" t="s">
        <v>1113</v>
      </c>
      <c r="G34" t="s">
        <v>1114</v>
      </c>
    </row>
    <row r="35" spans="1:28" ht="19.95" customHeight="1" x14ac:dyDescent="0.4">
      <c r="A35" s="18" t="s">
        <v>957</v>
      </c>
      <c r="B35" s="23"/>
      <c r="D35" t="s">
        <v>1115</v>
      </c>
      <c r="E35" t="s">
        <v>1116</v>
      </c>
      <c r="F35" t="s">
        <v>1117</v>
      </c>
      <c r="G35" t="s">
        <v>1118</v>
      </c>
    </row>
    <row r="36" spans="1:28" ht="19.95" customHeight="1" x14ac:dyDescent="0.4">
      <c r="A36" s="18" t="s">
        <v>959</v>
      </c>
      <c r="B36" s="23"/>
      <c r="D36" t="s">
        <v>1119</v>
      </c>
      <c r="E36" t="s">
        <v>1120</v>
      </c>
      <c r="F36" t="s">
        <v>1121</v>
      </c>
      <c r="G36" t="s">
        <v>1122</v>
      </c>
    </row>
    <row r="37" spans="1:28" ht="19.95" customHeight="1" x14ac:dyDescent="0.4">
      <c r="A37" s="18" t="s">
        <v>961</v>
      </c>
      <c r="B37" s="23"/>
      <c r="D37" t="s">
        <v>1123</v>
      </c>
      <c r="E37" t="s">
        <v>1124</v>
      </c>
      <c r="F37" t="s">
        <v>1125</v>
      </c>
      <c r="G37" t="s">
        <v>1126</v>
      </c>
    </row>
    <row r="38" spans="1:28" ht="19.95" customHeight="1" x14ac:dyDescent="0.4">
      <c r="A38" s="18" t="s">
        <v>963</v>
      </c>
      <c r="B38" s="23"/>
      <c r="D38" t="s">
        <v>1127</v>
      </c>
      <c r="E38" t="s">
        <v>1128</v>
      </c>
      <c r="F38" t="s">
        <v>1129</v>
      </c>
      <c r="G38" t="s">
        <v>1130</v>
      </c>
    </row>
    <row r="39" spans="1:28" ht="19.95" customHeight="1" x14ac:dyDescent="0.4">
      <c r="A39" s="18" t="s">
        <v>965</v>
      </c>
      <c r="B39" s="23"/>
      <c r="D39" t="s">
        <v>1131</v>
      </c>
      <c r="E39" t="s">
        <v>1132</v>
      </c>
      <c r="F39" t="s">
        <v>1133</v>
      </c>
      <c r="G39" t="s">
        <v>1134</v>
      </c>
    </row>
    <row r="40" spans="1:28" ht="19.95" customHeight="1" x14ac:dyDescent="0.4">
      <c r="A40" s="18" t="s">
        <v>967</v>
      </c>
      <c r="B40" s="23"/>
      <c r="D40" t="s">
        <v>1135</v>
      </c>
      <c r="E40" t="s">
        <v>1136</v>
      </c>
      <c r="F40" t="s">
        <v>1137</v>
      </c>
      <c r="G40" t="s">
        <v>1138</v>
      </c>
    </row>
    <row r="41" spans="1:28" ht="19.95" customHeight="1" x14ac:dyDescent="0.4">
      <c r="A41" s="18" t="s">
        <v>969</v>
      </c>
      <c r="B41" s="23"/>
      <c r="D41" t="s">
        <v>1139</v>
      </c>
      <c r="E41" t="s">
        <v>1140</v>
      </c>
      <c r="F41" t="s">
        <v>1141</v>
      </c>
      <c r="G41" t="s">
        <v>1142</v>
      </c>
      <c r="L41" t="s">
        <v>347</v>
      </c>
      <c r="M41" t="s">
        <v>347</v>
      </c>
      <c r="Z41" t="s">
        <v>347</v>
      </c>
      <c r="AA41" t="s">
        <v>347</v>
      </c>
      <c r="AB41" t="s">
        <v>347</v>
      </c>
    </row>
    <row r="42" spans="1:28" ht="19.95" customHeight="1" x14ac:dyDescent="0.4">
      <c r="A42" s="18" t="s">
        <v>971</v>
      </c>
      <c r="B42" s="23"/>
      <c r="D42" t="s">
        <v>1143</v>
      </c>
      <c r="E42" t="s">
        <v>1144</v>
      </c>
      <c r="F42" t="s">
        <v>1145</v>
      </c>
      <c r="G42" t="s">
        <v>1146</v>
      </c>
    </row>
    <row r="43" spans="1:28" ht="19.95" customHeight="1" x14ac:dyDescent="0.4">
      <c r="A43" s="18" t="s">
        <v>973</v>
      </c>
      <c r="B43" s="23"/>
      <c r="D43" t="s">
        <v>1147</v>
      </c>
      <c r="E43" t="s">
        <v>1148</v>
      </c>
      <c r="F43" t="s">
        <v>1149</v>
      </c>
      <c r="G43" t="s">
        <v>1150</v>
      </c>
    </row>
    <row r="44" spans="1:28" ht="19.95" customHeight="1" x14ac:dyDescent="0.4">
      <c r="A44" s="18" t="s">
        <v>975</v>
      </c>
      <c r="B44" s="23"/>
      <c r="D44" t="s">
        <v>1151</v>
      </c>
      <c r="E44" t="s">
        <v>1152</v>
      </c>
      <c r="F44" t="s">
        <v>1153</v>
      </c>
      <c r="G44" t="s">
        <v>1154</v>
      </c>
    </row>
    <row r="45" spans="1:28" ht="19.95" customHeight="1" x14ac:dyDescent="0.4">
      <c r="A45" s="18" t="s">
        <v>977</v>
      </c>
      <c r="B45" s="23"/>
      <c r="D45" t="s">
        <v>1155</v>
      </c>
      <c r="E45" t="s">
        <v>1156</v>
      </c>
      <c r="F45" t="s">
        <v>1157</v>
      </c>
      <c r="G45" t="s">
        <v>1158</v>
      </c>
    </row>
    <row r="46" spans="1:28" ht="19.95" customHeight="1" x14ac:dyDescent="0.4">
      <c r="A46" s="18" t="s">
        <v>979</v>
      </c>
      <c r="B46" s="23"/>
      <c r="D46" t="s">
        <v>1159</v>
      </c>
      <c r="E46" t="s">
        <v>1160</v>
      </c>
      <c r="F46" t="s">
        <v>1161</v>
      </c>
      <c r="G46" t="s">
        <v>1162</v>
      </c>
    </row>
    <row r="47" spans="1:28" ht="19.95" customHeight="1" x14ac:dyDescent="0.4">
      <c r="A47" s="18" t="s">
        <v>981</v>
      </c>
      <c r="B47" s="23"/>
      <c r="D47" t="s">
        <v>1163</v>
      </c>
      <c r="E47" t="s">
        <v>1164</v>
      </c>
      <c r="F47" t="s">
        <v>1165</v>
      </c>
      <c r="G47" t="s">
        <v>1166</v>
      </c>
    </row>
    <row r="48" spans="1:28" ht="19.95" customHeight="1" x14ac:dyDescent="0.4">
      <c r="A48" s="18" t="s">
        <v>983</v>
      </c>
      <c r="B48" s="23"/>
      <c r="D48" t="s">
        <v>1167</v>
      </c>
      <c r="E48" t="s">
        <v>1168</v>
      </c>
      <c r="F48" t="s">
        <v>1169</v>
      </c>
      <c r="G48" t="s">
        <v>1170</v>
      </c>
    </row>
    <row r="49" spans="1:7" ht="19.95" customHeight="1" x14ac:dyDescent="0.4">
      <c r="A49" s="18" t="s">
        <v>985</v>
      </c>
      <c r="B49" s="23"/>
      <c r="D49" t="s">
        <v>1171</v>
      </c>
      <c r="E49" t="s">
        <v>1172</v>
      </c>
      <c r="F49" t="s">
        <v>1173</v>
      </c>
      <c r="G49" t="s">
        <v>1174</v>
      </c>
    </row>
    <row r="50" spans="1:7" ht="19.95" customHeight="1" x14ac:dyDescent="0.4">
      <c r="A50" s="18" t="s">
        <v>987</v>
      </c>
      <c r="B50" s="23"/>
      <c r="D50" t="s">
        <v>1175</v>
      </c>
      <c r="E50" t="s">
        <v>1176</v>
      </c>
      <c r="F50" t="s">
        <v>1177</v>
      </c>
      <c r="G50" t="s">
        <v>1178</v>
      </c>
    </row>
    <row r="51" spans="1:7" ht="19.95" customHeight="1" x14ac:dyDescent="0.4">
      <c r="A51" s="18" t="s">
        <v>989</v>
      </c>
      <c r="B51" s="23"/>
      <c r="D51" t="s">
        <v>1179</v>
      </c>
      <c r="E51" t="s">
        <v>1180</v>
      </c>
      <c r="F51" t="s">
        <v>1181</v>
      </c>
      <c r="G51" t="s">
        <v>1182</v>
      </c>
    </row>
    <row r="52" spans="1:7" ht="19.95" customHeight="1" x14ac:dyDescent="0.4">
      <c r="A52" s="18" t="s">
        <v>991</v>
      </c>
      <c r="B52" s="23"/>
      <c r="D52" t="s">
        <v>1183</v>
      </c>
      <c r="E52" t="s">
        <v>1184</v>
      </c>
      <c r="F52" t="s">
        <v>1185</v>
      </c>
      <c r="G52" t="s">
        <v>1186</v>
      </c>
    </row>
    <row r="53" spans="1:7" ht="19.95" customHeight="1" x14ac:dyDescent="0.4">
      <c r="A53" s="18" t="s">
        <v>993</v>
      </c>
      <c r="B53" s="23"/>
      <c r="D53" t="s">
        <v>1187</v>
      </c>
      <c r="E53" t="s">
        <v>1188</v>
      </c>
      <c r="F53" t="s">
        <v>1189</v>
      </c>
      <c r="G53" t="s">
        <v>1190</v>
      </c>
    </row>
    <row r="54" spans="1:7" ht="19.95" customHeight="1" x14ac:dyDescent="0.4">
      <c r="A54" s="18" t="s">
        <v>995</v>
      </c>
      <c r="B54" s="23"/>
      <c r="D54" t="s">
        <v>1191</v>
      </c>
      <c r="E54" t="s">
        <v>1192</v>
      </c>
      <c r="F54" t="s">
        <v>1193</v>
      </c>
    </row>
    <row r="55" spans="1:7" ht="19.95" customHeight="1" x14ac:dyDescent="0.4">
      <c r="A55" s="18" t="s">
        <v>997</v>
      </c>
      <c r="B55" s="23"/>
      <c r="D55" t="s">
        <v>1194</v>
      </c>
      <c r="E55" t="s">
        <v>1195</v>
      </c>
      <c r="F55" t="s">
        <v>1196</v>
      </c>
    </row>
  </sheetData>
  <phoneticPr fontId="15" type="noConversion"/>
  <conditionalFormatting sqref="B1">
    <cfRule type="duplicateValues" dxfId="35" priority="2"/>
  </conditionalFormatting>
  <conditionalFormatting sqref="D1">
    <cfRule type="duplicateValues" dxfId="34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44"/>
  <sheetViews>
    <sheetView showGridLines="0" topLeftCell="A27" zoomScale="90" zoomScaleNormal="90" workbookViewId="0">
      <selection activeCell="A44" sqref="A44"/>
    </sheetView>
  </sheetViews>
  <sheetFormatPr defaultColWidth="9" defaultRowHeight="19.95" customHeight="1" x14ac:dyDescent="0.4"/>
  <cols>
    <col min="1" max="1" width="24.41015625" customWidth="1"/>
    <col min="2" max="2" width="21.52734375" customWidth="1"/>
    <col min="3" max="3" width="27.87890625" customWidth="1"/>
    <col min="4" max="4" width="23.64453125" customWidth="1"/>
    <col min="5" max="5" width="21.41015625" customWidth="1"/>
    <col min="6" max="6" width="23.64453125" customWidth="1"/>
    <col min="7" max="7" width="25.76171875" customWidth="1"/>
    <col min="8" max="8" width="19.41015625" customWidth="1"/>
    <col min="9" max="10" width="21.41015625" customWidth="1"/>
    <col min="11" max="11" width="15.234375" customWidth="1"/>
    <col min="12" max="12" width="32.87890625" customWidth="1"/>
    <col min="13" max="13" width="15.3515625" customWidth="1"/>
    <col min="14" max="14" width="61.41015625" customWidth="1"/>
  </cols>
  <sheetData>
    <row r="1" spans="1:16" ht="19.95" customHeight="1" x14ac:dyDescent="0.4">
      <c r="A1" s="21" t="s">
        <v>282</v>
      </c>
      <c r="B1" s="3" t="s">
        <v>43</v>
      </c>
      <c r="C1" s="4" t="s">
        <v>43</v>
      </c>
      <c r="D1" s="5" t="s">
        <v>43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9.95" customHeight="1" x14ac:dyDescent="0.4">
      <c r="A2" s="6" t="s">
        <v>44</v>
      </c>
      <c r="B2" s="6" t="s">
        <v>45</v>
      </c>
      <c r="C2" s="6" t="s">
        <v>284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348</v>
      </c>
      <c r="M2" s="6" t="s">
        <v>349</v>
      </c>
      <c r="N2" s="6" t="s">
        <v>52</v>
      </c>
      <c r="O2" s="22"/>
      <c r="P2" s="22"/>
    </row>
    <row r="3" spans="1:16" ht="19.95" customHeight="1" x14ac:dyDescent="0.4">
      <c r="A3" s="6" t="s">
        <v>350</v>
      </c>
      <c r="B3" s="6" t="s">
        <v>318</v>
      </c>
      <c r="C3" s="6" t="s">
        <v>320</v>
      </c>
      <c r="D3" s="6"/>
      <c r="E3" s="6"/>
      <c r="F3" s="6"/>
      <c r="G3" s="6"/>
      <c r="H3" s="6"/>
      <c r="I3" s="6"/>
      <c r="J3" s="6"/>
      <c r="K3" s="6"/>
      <c r="L3" s="6" t="s">
        <v>351</v>
      </c>
      <c r="M3" s="6" t="s">
        <v>352</v>
      </c>
      <c r="N3" s="6"/>
      <c r="O3" s="22"/>
      <c r="P3" s="22"/>
    </row>
    <row r="4" spans="1:16" ht="19.95" customHeight="1" x14ac:dyDescent="0.4">
      <c r="A4" s="18" t="s">
        <v>353</v>
      </c>
      <c r="B4" s="23"/>
      <c r="D4" s="22" t="s">
        <v>354</v>
      </c>
      <c r="E4" s="22" t="s">
        <v>355</v>
      </c>
      <c r="F4" s="22" t="s">
        <v>356</v>
      </c>
      <c r="G4" s="22" t="s">
        <v>347</v>
      </c>
      <c r="H4" s="22" t="s">
        <v>347</v>
      </c>
      <c r="I4" s="22" t="s">
        <v>347</v>
      </c>
      <c r="J4" s="22" t="s">
        <v>347</v>
      </c>
      <c r="K4" s="22" t="s">
        <v>347</v>
      </c>
      <c r="N4" t="s">
        <v>346</v>
      </c>
    </row>
    <row r="5" spans="1:16" ht="19.95" customHeight="1" x14ac:dyDescent="0.4">
      <c r="A5" s="18" t="s">
        <v>357</v>
      </c>
      <c r="B5" s="23"/>
      <c r="D5" s="22" t="s">
        <v>358</v>
      </c>
      <c r="E5" s="22" t="s">
        <v>359</v>
      </c>
      <c r="F5" s="22" t="s">
        <v>360</v>
      </c>
      <c r="G5" s="22" t="s">
        <v>361</v>
      </c>
      <c r="H5" s="22" t="s">
        <v>362</v>
      </c>
      <c r="I5" s="22" t="s">
        <v>347</v>
      </c>
      <c r="J5" s="22" t="s">
        <v>347</v>
      </c>
      <c r="K5" s="22" t="s">
        <v>347</v>
      </c>
    </row>
    <row r="6" spans="1:16" ht="19.95" customHeight="1" x14ac:dyDescent="0.4">
      <c r="A6" s="72" t="s">
        <v>1201</v>
      </c>
      <c r="B6" s="23"/>
      <c r="D6" s="22" t="s">
        <v>364</v>
      </c>
      <c r="E6" s="22" t="s">
        <v>365</v>
      </c>
      <c r="F6" s="22" t="s">
        <v>366</v>
      </c>
      <c r="G6" s="22" t="s">
        <v>367</v>
      </c>
      <c r="H6" s="22" t="s">
        <v>368</v>
      </c>
      <c r="I6" s="22" t="s">
        <v>369</v>
      </c>
      <c r="J6" s="22" t="s">
        <v>370</v>
      </c>
      <c r="K6" s="22" t="s">
        <v>371</v>
      </c>
    </row>
    <row r="7" spans="1:16" ht="19.95" customHeight="1" x14ac:dyDescent="0.4">
      <c r="A7" s="18" t="s">
        <v>372</v>
      </c>
      <c r="B7" s="23"/>
      <c r="D7" t="s">
        <v>373</v>
      </c>
      <c r="E7" t="s">
        <v>374</v>
      </c>
      <c r="F7" t="s">
        <v>375</v>
      </c>
      <c r="G7" t="s">
        <v>376</v>
      </c>
      <c r="H7" t="s">
        <v>347</v>
      </c>
      <c r="I7" t="s">
        <v>347</v>
      </c>
      <c r="J7" t="s">
        <v>347</v>
      </c>
      <c r="K7" t="s">
        <v>347</v>
      </c>
    </row>
    <row r="8" spans="1:16" ht="19.95" customHeight="1" x14ac:dyDescent="0.4">
      <c r="A8" s="18" t="s">
        <v>377</v>
      </c>
      <c r="B8" s="23"/>
      <c r="D8" t="s">
        <v>378</v>
      </c>
      <c r="E8" t="s">
        <v>379</v>
      </c>
      <c r="F8" t="s">
        <v>380</v>
      </c>
      <c r="G8" t="s">
        <v>347</v>
      </c>
      <c r="H8" t="s">
        <v>347</v>
      </c>
      <c r="I8" t="s">
        <v>347</v>
      </c>
      <c r="J8" t="s">
        <v>347</v>
      </c>
      <c r="K8" t="s">
        <v>347</v>
      </c>
    </row>
    <row r="9" spans="1:16" ht="19.95" customHeight="1" x14ac:dyDescent="0.4">
      <c r="A9" s="18" t="s">
        <v>381</v>
      </c>
      <c r="B9" s="23"/>
      <c r="D9" t="s">
        <v>382</v>
      </c>
      <c r="E9" t="s">
        <v>383</v>
      </c>
      <c r="F9" t="s">
        <v>355</v>
      </c>
      <c r="G9" t="s">
        <v>384</v>
      </c>
      <c r="H9" t="s">
        <v>347</v>
      </c>
      <c r="I9" t="s">
        <v>347</v>
      </c>
      <c r="J9" t="s">
        <v>347</v>
      </c>
      <c r="K9" t="s">
        <v>347</v>
      </c>
    </row>
    <row r="10" spans="1:16" ht="19.95" customHeight="1" x14ac:dyDescent="0.4">
      <c r="A10" s="18" t="s">
        <v>385</v>
      </c>
      <c r="B10" s="23"/>
      <c r="D10" t="s">
        <v>386</v>
      </c>
      <c r="E10" t="s">
        <v>387</v>
      </c>
      <c r="F10" t="s">
        <v>347</v>
      </c>
      <c r="G10" t="s">
        <v>347</v>
      </c>
      <c r="H10" t="s">
        <v>347</v>
      </c>
      <c r="I10" t="s">
        <v>347</v>
      </c>
      <c r="J10" t="s">
        <v>347</v>
      </c>
      <c r="K10" t="s">
        <v>347</v>
      </c>
    </row>
    <row r="11" spans="1:16" ht="19.95" customHeight="1" x14ac:dyDescent="0.4">
      <c r="A11" s="18" t="s">
        <v>388</v>
      </c>
      <c r="B11" s="23"/>
      <c r="D11" t="s">
        <v>389</v>
      </c>
      <c r="E11" t="s">
        <v>390</v>
      </c>
      <c r="F11" t="s">
        <v>391</v>
      </c>
      <c r="G11" t="s">
        <v>347</v>
      </c>
      <c r="H11" t="s">
        <v>347</v>
      </c>
      <c r="I11" t="s">
        <v>347</v>
      </c>
      <c r="J11" t="s">
        <v>347</v>
      </c>
      <c r="K11" t="s">
        <v>347</v>
      </c>
    </row>
    <row r="12" spans="1:16" ht="19.95" customHeight="1" x14ac:dyDescent="0.4">
      <c r="A12" s="18" t="s">
        <v>392</v>
      </c>
      <c r="B12" s="23"/>
      <c r="D12" t="s">
        <v>393</v>
      </c>
      <c r="E12" t="s">
        <v>394</v>
      </c>
      <c r="F12" t="s">
        <v>395</v>
      </c>
      <c r="G12" t="s">
        <v>396</v>
      </c>
      <c r="H12" t="s">
        <v>397</v>
      </c>
      <c r="I12" t="s">
        <v>347</v>
      </c>
      <c r="J12" t="s">
        <v>347</v>
      </c>
      <c r="K12" t="s">
        <v>347</v>
      </c>
    </row>
    <row r="13" spans="1:16" ht="19.95" customHeight="1" x14ac:dyDescent="0.4">
      <c r="A13" s="18" t="s">
        <v>398</v>
      </c>
      <c r="B13" s="23"/>
      <c r="D13" t="s">
        <v>354</v>
      </c>
      <c r="E13" t="s">
        <v>399</v>
      </c>
      <c r="F13" t="s">
        <v>356</v>
      </c>
      <c r="G13" t="s">
        <v>347</v>
      </c>
      <c r="H13" t="s">
        <v>347</v>
      </c>
      <c r="I13" t="s">
        <v>347</v>
      </c>
      <c r="J13" t="s">
        <v>347</v>
      </c>
      <c r="K13" t="s">
        <v>347</v>
      </c>
    </row>
    <row r="14" spans="1:16" ht="19.95" customHeight="1" x14ac:dyDescent="0.4">
      <c r="A14" s="18" t="s">
        <v>400</v>
      </c>
      <c r="B14" s="23"/>
      <c r="D14" t="s">
        <v>401</v>
      </c>
      <c r="E14" t="s">
        <v>402</v>
      </c>
      <c r="F14" t="s">
        <v>403</v>
      </c>
      <c r="G14" t="s">
        <v>404</v>
      </c>
      <c r="H14" t="s">
        <v>405</v>
      </c>
      <c r="I14" t="s">
        <v>347</v>
      </c>
      <c r="J14" t="s">
        <v>347</v>
      </c>
      <c r="K14" t="s">
        <v>347</v>
      </c>
    </row>
    <row r="15" spans="1:16" ht="19.95" customHeight="1" x14ac:dyDescent="0.4">
      <c r="A15" s="18" t="s">
        <v>406</v>
      </c>
      <c r="B15" s="23"/>
      <c r="D15" t="s">
        <v>407</v>
      </c>
      <c r="E15" t="s">
        <v>408</v>
      </c>
      <c r="F15" t="s">
        <v>409</v>
      </c>
      <c r="G15" t="s">
        <v>347</v>
      </c>
      <c r="H15" t="s">
        <v>347</v>
      </c>
      <c r="I15" t="s">
        <v>347</v>
      </c>
      <c r="J15" t="s">
        <v>347</v>
      </c>
      <c r="K15" t="s">
        <v>347</v>
      </c>
    </row>
    <row r="16" spans="1:16" ht="19.95" customHeight="1" x14ac:dyDescent="0.4">
      <c r="A16" s="18" t="s">
        <v>410</v>
      </c>
      <c r="B16" s="23"/>
      <c r="D16" t="s">
        <v>401</v>
      </c>
      <c r="E16" t="s">
        <v>411</v>
      </c>
      <c r="F16" t="s">
        <v>412</v>
      </c>
      <c r="G16" t="s">
        <v>413</v>
      </c>
      <c r="H16" t="s">
        <v>414</v>
      </c>
      <c r="I16" t="s">
        <v>347</v>
      </c>
      <c r="J16" t="s">
        <v>347</v>
      </c>
      <c r="K16" t="s">
        <v>347</v>
      </c>
    </row>
    <row r="17" spans="1:11" ht="19.95" customHeight="1" x14ac:dyDescent="0.4">
      <c r="A17" s="18" t="s">
        <v>415</v>
      </c>
      <c r="B17" s="23"/>
      <c r="D17" t="s">
        <v>416</v>
      </c>
      <c r="E17" t="s">
        <v>417</v>
      </c>
      <c r="F17" t="s">
        <v>418</v>
      </c>
      <c r="G17" t="s">
        <v>347</v>
      </c>
      <c r="H17" t="s">
        <v>347</v>
      </c>
      <c r="I17" t="s">
        <v>347</v>
      </c>
      <c r="J17" t="s">
        <v>347</v>
      </c>
      <c r="K17" t="s">
        <v>347</v>
      </c>
    </row>
    <row r="18" spans="1:11" ht="19.95" customHeight="1" x14ac:dyDescent="0.4">
      <c r="A18" s="18" t="s">
        <v>419</v>
      </c>
      <c r="B18" s="23"/>
      <c r="D18" t="s">
        <v>418</v>
      </c>
      <c r="E18" t="s">
        <v>420</v>
      </c>
      <c r="F18" t="s">
        <v>421</v>
      </c>
      <c r="G18" t="s">
        <v>422</v>
      </c>
      <c r="H18" t="s">
        <v>347</v>
      </c>
      <c r="I18" t="s">
        <v>347</v>
      </c>
      <c r="J18" t="s">
        <v>347</v>
      </c>
      <c r="K18" t="s">
        <v>347</v>
      </c>
    </row>
    <row r="19" spans="1:11" ht="19.95" customHeight="1" x14ac:dyDescent="0.4">
      <c r="A19" s="18" t="s">
        <v>423</v>
      </c>
      <c r="B19" s="23"/>
      <c r="D19" t="s">
        <v>401</v>
      </c>
      <c r="E19" t="s">
        <v>424</v>
      </c>
      <c r="F19" t="s">
        <v>425</v>
      </c>
      <c r="G19" t="s">
        <v>426</v>
      </c>
      <c r="H19" t="s">
        <v>427</v>
      </c>
      <c r="I19" t="s">
        <v>347</v>
      </c>
      <c r="J19" t="s">
        <v>347</v>
      </c>
      <c r="K19" t="s">
        <v>347</v>
      </c>
    </row>
    <row r="20" spans="1:11" ht="19.95" customHeight="1" x14ac:dyDescent="0.4">
      <c r="A20" s="18" t="s">
        <v>428</v>
      </c>
      <c r="B20" s="23"/>
      <c r="D20" t="s">
        <v>429</v>
      </c>
      <c r="E20" t="s">
        <v>430</v>
      </c>
      <c r="F20" t="s">
        <v>431</v>
      </c>
      <c r="G20" t="s">
        <v>347</v>
      </c>
      <c r="H20" t="s">
        <v>347</v>
      </c>
      <c r="I20" t="s">
        <v>347</v>
      </c>
      <c r="J20" t="s">
        <v>347</v>
      </c>
      <c r="K20" t="s">
        <v>347</v>
      </c>
    </row>
    <row r="21" spans="1:11" ht="19.95" customHeight="1" x14ac:dyDescent="0.4">
      <c r="A21" s="18" t="s">
        <v>432</v>
      </c>
      <c r="B21" s="23"/>
      <c r="D21" t="s">
        <v>433</v>
      </c>
      <c r="E21" t="s">
        <v>434</v>
      </c>
      <c r="F21" t="s">
        <v>347</v>
      </c>
      <c r="G21" t="s">
        <v>347</v>
      </c>
      <c r="H21" t="s">
        <v>347</v>
      </c>
      <c r="I21" t="s">
        <v>347</v>
      </c>
      <c r="J21" t="s">
        <v>347</v>
      </c>
      <c r="K21" t="s">
        <v>347</v>
      </c>
    </row>
    <row r="22" spans="1:11" ht="19.95" customHeight="1" x14ac:dyDescent="0.4">
      <c r="A22" s="18" t="s">
        <v>435</v>
      </c>
      <c r="B22" s="23"/>
      <c r="D22" t="s">
        <v>401</v>
      </c>
      <c r="E22" t="s">
        <v>436</v>
      </c>
      <c r="F22" t="s">
        <v>437</v>
      </c>
      <c r="G22" t="s">
        <v>438</v>
      </c>
      <c r="H22" t="s">
        <v>439</v>
      </c>
      <c r="I22" t="s">
        <v>347</v>
      </c>
      <c r="J22" t="s">
        <v>347</v>
      </c>
      <c r="K22" t="s">
        <v>347</v>
      </c>
    </row>
    <row r="23" spans="1:11" ht="19.95" customHeight="1" x14ac:dyDescent="0.4">
      <c r="A23" s="18" t="s">
        <v>440</v>
      </c>
      <c r="B23" s="23"/>
      <c r="D23" t="s">
        <v>441</v>
      </c>
      <c r="E23" t="s">
        <v>442</v>
      </c>
      <c r="F23" t="s">
        <v>443</v>
      </c>
      <c r="G23" t="s">
        <v>347</v>
      </c>
      <c r="H23" t="s">
        <v>347</v>
      </c>
      <c r="I23" t="s">
        <v>347</v>
      </c>
      <c r="J23" t="s">
        <v>347</v>
      </c>
      <c r="K23" t="s">
        <v>347</v>
      </c>
    </row>
    <row r="24" spans="1:11" ht="19.95" customHeight="1" x14ac:dyDescent="0.4">
      <c r="A24" s="18" t="s">
        <v>444</v>
      </c>
      <c r="B24" s="23"/>
      <c r="D24" t="s">
        <v>445</v>
      </c>
      <c r="E24" t="s">
        <v>446</v>
      </c>
      <c r="F24" t="s">
        <v>447</v>
      </c>
      <c r="G24" t="s">
        <v>347</v>
      </c>
      <c r="H24" t="s">
        <v>347</v>
      </c>
      <c r="I24" t="s">
        <v>347</v>
      </c>
      <c r="J24" t="s">
        <v>347</v>
      </c>
      <c r="K24" t="s">
        <v>347</v>
      </c>
    </row>
    <row r="25" spans="1:11" ht="19.95" customHeight="1" x14ac:dyDescent="0.4">
      <c r="A25" s="18" t="s">
        <v>448</v>
      </c>
      <c r="B25" s="23"/>
      <c r="D25" t="s">
        <v>401</v>
      </c>
      <c r="E25" t="s">
        <v>449</v>
      </c>
      <c r="F25" t="s">
        <v>450</v>
      </c>
      <c r="G25" t="s">
        <v>451</v>
      </c>
      <c r="H25" t="s">
        <v>452</v>
      </c>
      <c r="I25" t="s">
        <v>347</v>
      </c>
      <c r="J25" t="s">
        <v>347</v>
      </c>
      <c r="K25" t="s">
        <v>347</v>
      </c>
    </row>
    <row r="26" spans="1:11" ht="19.95" customHeight="1" x14ac:dyDescent="0.4">
      <c r="A26" s="18" t="s">
        <v>453</v>
      </c>
      <c r="B26" s="23"/>
      <c r="D26" t="s">
        <v>441</v>
      </c>
      <c r="E26" t="s">
        <v>454</v>
      </c>
      <c r="F26" t="s">
        <v>455</v>
      </c>
      <c r="G26" t="s">
        <v>347</v>
      </c>
      <c r="H26" t="s">
        <v>347</v>
      </c>
      <c r="I26" t="s">
        <v>347</v>
      </c>
      <c r="J26" t="s">
        <v>347</v>
      </c>
      <c r="K26" t="s">
        <v>347</v>
      </c>
    </row>
    <row r="27" spans="1:11" ht="19.95" customHeight="1" x14ac:dyDescent="0.4">
      <c r="A27" s="18" t="s">
        <v>456</v>
      </c>
      <c r="B27" s="23"/>
      <c r="D27" t="s">
        <v>445</v>
      </c>
      <c r="E27" t="s">
        <v>457</v>
      </c>
      <c r="F27" t="s">
        <v>447</v>
      </c>
      <c r="G27" t="s">
        <v>347</v>
      </c>
      <c r="H27" t="s">
        <v>347</v>
      </c>
      <c r="I27" t="s">
        <v>347</v>
      </c>
      <c r="J27" t="s">
        <v>347</v>
      </c>
      <c r="K27" t="s">
        <v>347</v>
      </c>
    </row>
    <row r="28" spans="1:11" ht="19.95" customHeight="1" x14ac:dyDescent="0.4">
      <c r="A28" s="18" t="s">
        <v>458</v>
      </c>
      <c r="B28" s="23"/>
      <c r="D28" t="s">
        <v>401</v>
      </c>
      <c r="E28" t="s">
        <v>459</v>
      </c>
      <c r="F28" t="s">
        <v>460</v>
      </c>
      <c r="G28" t="s">
        <v>461</v>
      </c>
      <c r="H28" t="s">
        <v>462</v>
      </c>
      <c r="I28" t="s">
        <v>347</v>
      </c>
      <c r="J28" t="s">
        <v>347</v>
      </c>
      <c r="K28" t="s">
        <v>347</v>
      </c>
    </row>
    <row r="29" spans="1:11" ht="19.95" customHeight="1" x14ac:dyDescent="0.4">
      <c r="A29" s="18" t="s">
        <v>463</v>
      </c>
      <c r="B29" s="23"/>
      <c r="D29" t="s">
        <v>464</v>
      </c>
      <c r="E29" s="71" t="s">
        <v>1197</v>
      </c>
      <c r="F29" t="s">
        <v>466</v>
      </c>
      <c r="G29" t="s">
        <v>467</v>
      </c>
      <c r="H29" t="s">
        <v>347</v>
      </c>
      <c r="I29" t="s">
        <v>347</v>
      </c>
      <c r="J29" t="s">
        <v>347</v>
      </c>
      <c r="K29" t="s">
        <v>347</v>
      </c>
    </row>
    <row r="30" spans="1:11" ht="19.95" customHeight="1" x14ac:dyDescent="0.4">
      <c r="A30" s="18" t="s">
        <v>468</v>
      </c>
      <c r="B30" s="23"/>
      <c r="D30" t="s">
        <v>469</v>
      </c>
      <c r="E30" t="s">
        <v>470</v>
      </c>
      <c r="F30" t="s">
        <v>471</v>
      </c>
      <c r="G30" t="s">
        <v>472</v>
      </c>
      <c r="H30" t="s">
        <v>347</v>
      </c>
      <c r="I30" t="s">
        <v>347</v>
      </c>
      <c r="J30" t="s">
        <v>347</v>
      </c>
      <c r="K30" t="s">
        <v>347</v>
      </c>
    </row>
    <row r="31" spans="1:11" ht="19.95" customHeight="1" x14ac:dyDescent="0.4">
      <c r="A31" s="18" t="s">
        <v>473</v>
      </c>
      <c r="B31" s="23"/>
      <c r="D31" t="s">
        <v>393</v>
      </c>
      <c r="E31" t="s">
        <v>474</v>
      </c>
      <c r="F31" t="s">
        <v>475</v>
      </c>
      <c r="G31" t="s">
        <v>476</v>
      </c>
      <c r="H31" t="s">
        <v>477</v>
      </c>
      <c r="I31" t="s">
        <v>347</v>
      </c>
      <c r="J31" t="s">
        <v>347</v>
      </c>
      <c r="K31" t="s">
        <v>347</v>
      </c>
    </row>
    <row r="32" spans="1:11" ht="19.95" customHeight="1" x14ac:dyDescent="0.4">
      <c r="A32" s="18" t="s">
        <v>478</v>
      </c>
      <c r="B32" s="23"/>
      <c r="D32" t="s">
        <v>479</v>
      </c>
      <c r="E32" t="s">
        <v>480</v>
      </c>
      <c r="F32" t="s">
        <v>481</v>
      </c>
      <c r="G32" t="s">
        <v>482</v>
      </c>
      <c r="H32" t="s">
        <v>483</v>
      </c>
      <c r="I32" t="s">
        <v>484</v>
      </c>
      <c r="J32" t="s">
        <v>485</v>
      </c>
      <c r="K32" t="s">
        <v>486</v>
      </c>
    </row>
    <row r="33" spans="1:11" ht="19.95" customHeight="1" x14ac:dyDescent="0.4">
      <c r="A33" s="18" t="s">
        <v>487</v>
      </c>
      <c r="B33" s="23"/>
      <c r="D33" t="s">
        <v>488</v>
      </c>
      <c r="E33" t="s">
        <v>489</v>
      </c>
      <c r="F33" t="s">
        <v>490</v>
      </c>
      <c r="G33" t="s">
        <v>347</v>
      </c>
      <c r="H33" t="s">
        <v>347</v>
      </c>
      <c r="I33" t="s">
        <v>347</v>
      </c>
      <c r="J33" t="s">
        <v>347</v>
      </c>
      <c r="K33" t="s">
        <v>347</v>
      </c>
    </row>
    <row r="34" spans="1:11" ht="19.95" customHeight="1" x14ac:dyDescent="0.4">
      <c r="A34" s="18" t="s">
        <v>491</v>
      </c>
      <c r="B34" s="23"/>
      <c r="D34" t="s">
        <v>492</v>
      </c>
      <c r="E34" t="s">
        <v>493</v>
      </c>
      <c r="F34" t="s">
        <v>494</v>
      </c>
      <c r="G34" t="s">
        <v>347</v>
      </c>
      <c r="H34" t="s">
        <v>347</v>
      </c>
      <c r="I34" t="s">
        <v>347</v>
      </c>
      <c r="J34" t="s">
        <v>347</v>
      </c>
      <c r="K34" t="s">
        <v>347</v>
      </c>
    </row>
    <row r="35" spans="1:11" ht="19.95" customHeight="1" x14ac:dyDescent="0.4">
      <c r="A35" s="18" t="s">
        <v>495</v>
      </c>
      <c r="B35" s="23"/>
      <c r="D35" t="s">
        <v>496</v>
      </c>
      <c r="E35" t="s">
        <v>497</v>
      </c>
      <c r="F35" t="s">
        <v>498</v>
      </c>
      <c r="G35" t="s">
        <v>499</v>
      </c>
      <c r="H35" t="s">
        <v>347</v>
      </c>
      <c r="I35" t="s">
        <v>347</v>
      </c>
      <c r="J35" t="s">
        <v>347</v>
      </c>
      <c r="K35" t="s">
        <v>347</v>
      </c>
    </row>
    <row r="36" spans="1:11" ht="19.95" customHeight="1" x14ac:dyDescent="0.4">
      <c r="A36" s="18" t="s">
        <v>500</v>
      </c>
      <c r="B36" s="23"/>
      <c r="D36" t="s">
        <v>501</v>
      </c>
      <c r="E36" t="s">
        <v>502</v>
      </c>
      <c r="G36" t="s">
        <v>347</v>
      </c>
      <c r="H36" t="s">
        <v>347</v>
      </c>
      <c r="I36" t="s">
        <v>347</v>
      </c>
      <c r="J36" t="s">
        <v>347</v>
      </c>
      <c r="K36" t="s">
        <v>347</v>
      </c>
    </row>
    <row r="37" spans="1:11" ht="19.95" customHeight="1" x14ac:dyDescent="0.4">
      <c r="A37" s="18" t="s">
        <v>503</v>
      </c>
      <c r="B37" s="23"/>
      <c r="D37" t="s">
        <v>504</v>
      </c>
      <c r="E37" t="s">
        <v>505</v>
      </c>
      <c r="F37" t="s">
        <v>347</v>
      </c>
      <c r="G37" t="s">
        <v>347</v>
      </c>
      <c r="H37" t="s">
        <v>347</v>
      </c>
      <c r="I37" t="s">
        <v>347</v>
      </c>
      <c r="J37" t="s">
        <v>347</v>
      </c>
      <c r="K37" t="s">
        <v>347</v>
      </c>
    </row>
    <row r="38" spans="1:11" ht="19.95" customHeight="1" x14ac:dyDescent="0.4">
      <c r="A38" s="18" t="s">
        <v>506</v>
      </c>
      <c r="B38" s="23"/>
      <c r="D38" t="s">
        <v>507</v>
      </c>
      <c r="E38" t="s">
        <v>508</v>
      </c>
      <c r="F38" t="s">
        <v>509</v>
      </c>
      <c r="G38" t="s">
        <v>510</v>
      </c>
      <c r="H38" t="s">
        <v>347</v>
      </c>
      <c r="I38" t="s">
        <v>347</v>
      </c>
      <c r="J38" t="s">
        <v>347</v>
      </c>
      <c r="K38" t="s">
        <v>347</v>
      </c>
    </row>
    <row r="39" spans="1:11" ht="19.95" customHeight="1" x14ac:dyDescent="0.4">
      <c r="A39" s="18" t="s">
        <v>511</v>
      </c>
      <c r="B39" s="23"/>
      <c r="D39" t="s">
        <v>512</v>
      </c>
      <c r="E39" t="s">
        <v>513</v>
      </c>
      <c r="F39" t="s">
        <v>347</v>
      </c>
      <c r="G39" t="s">
        <v>347</v>
      </c>
      <c r="H39" t="s">
        <v>347</v>
      </c>
      <c r="I39" t="s">
        <v>347</v>
      </c>
      <c r="J39" t="s">
        <v>347</v>
      </c>
      <c r="K39" t="s">
        <v>347</v>
      </c>
    </row>
    <row r="40" spans="1:11" ht="19.95" customHeight="1" x14ac:dyDescent="0.4">
      <c r="A40" s="18" t="s">
        <v>514</v>
      </c>
      <c r="B40" s="23"/>
      <c r="D40" t="s">
        <v>515</v>
      </c>
      <c r="E40" t="s">
        <v>516</v>
      </c>
      <c r="F40" t="s">
        <v>517</v>
      </c>
      <c r="G40" t="s">
        <v>347</v>
      </c>
      <c r="H40" t="s">
        <v>347</v>
      </c>
      <c r="I40" t="s">
        <v>347</v>
      </c>
      <c r="J40" t="s">
        <v>347</v>
      </c>
      <c r="K40" t="s">
        <v>347</v>
      </c>
    </row>
    <row r="41" spans="1:11" ht="19.95" customHeight="1" x14ac:dyDescent="0.4">
      <c r="A41" s="18" t="s">
        <v>518</v>
      </c>
      <c r="B41" s="23"/>
      <c r="D41" t="s">
        <v>519</v>
      </c>
      <c r="E41" t="s">
        <v>520</v>
      </c>
      <c r="F41" t="s">
        <v>521</v>
      </c>
      <c r="G41" t="s">
        <v>347</v>
      </c>
      <c r="H41" t="s">
        <v>347</v>
      </c>
      <c r="I41" t="s">
        <v>347</v>
      </c>
      <c r="J41" t="s">
        <v>347</v>
      </c>
      <c r="K41" t="s">
        <v>347</v>
      </c>
    </row>
    <row r="42" spans="1:11" ht="19.95" customHeight="1" x14ac:dyDescent="0.4">
      <c r="A42" s="18" t="s">
        <v>522</v>
      </c>
      <c r="B42" s="23"/>
      <c r="D42" t="s">
        <v>382</v>
      </c>
      <c r="E42" t="s">
        <v>523</v>
      </c>
      <c r="F42" t="s">
        <v>524</v>
      </c>
      <c r="G42" t="s">
        <v>347</v>
      </c>
      <c r="H42" t="s">
        <v>347</v>
      </c>
      <c r="I42" t="s">
        <v>347</v>
      </c>
      <c r="J42" t="s">
        <v>347</v>
      </c>
      <c r="K42" t="s">
        <v>347</v>
      </c>
    </row>
    <row r="43" spans="1:11" ht="19.95" customHeight="1" x14ac:dyDescent="0.4">
      <c r="A43" s="18" t="s">
        <v>525</v>
      </c>
      <c r="B43" s="23"/>
      <c r="D43" t="s">
        <v>386</v>
      </c>
      <c r="E43" t="s">
        <v>526</v>
      </c>
      <c r="F43" t="s">
        <v>347</v>
      </c>
      <c r="G43" t="s">
        <v>347</v>
      </c>
      <c r="H43" t="s">
        <v>347</v>
      </c>
      <c r="I43" t="s">
        <v>347</v>
      </c>
      <c r="J43" t="s">
        <v>347</v>
      </c>
      <c r="K43" t="s">
        <v>347</v>
      </c>
    </row>
    <row r="44" spans="1:11" ht="19.95" customHeight="1" x14ac:dyDescent="0.4">
      <c r="A44" s="72" t="s">
        <v>1211</v>
      </c>
      <c r="B44" s="23"/>
      <c r="D44" t="s">
        <v>1202</v>
      </c>
      <c r="E44" t="s">
        <v>1203</v>
      </c>
      <c r="F44" t="s">
        <v>1204</v>
      </c>
      <c r="G44" t="s">
        <v>1205</v>
      </c>
      <c r="H44" t="s">
        <v>1206</v>
      </c>
      <c r="I44" t="s">
        <v>1207</v>
      </c>
      <c r="J44" t="s">
        <v>1208</v>
      </c>
      <c r="K44" t="s">
        <v>1209</v>
      </c>
    </row>
  </sheetData>
  <phoneticPr fontId="15" type="noConversion"/>
  <conditionalFormatting sqref="B1">
    <cfRule type="duplicateValues" dxfId="33" priority="2"/>
  </conditionalFormatting>
  <conditionalFormatting sqref="C1">
    <cfRule type="duplicateValues" dxfId="32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F164"/>
  <sheetViews>
    <sheetView showGridLines="0" tabSelected="1" zoomScale="90" zoomScaleNormal="90" workbookViewId="0">
      <pane xSplit="2" ySplit="3" topLeftCell="AF4" activePane="bottomRight" state="frozen"/>
      <selection pane="topRight"/>
      <selection pane="bottomLeft"/>
      <selection pane="bottomRight" activeCell="AL7" sqref="AL7"/>
    </sheetView>
  </sheetViews>
  <sheetFormatPr defaultColWidth="13.234375" defaultRowHeight="19.95" customHeight="1" x14ac:dyDescent="0.4"/>
  <cols>
    <col min="1" max="1" width="25.76171875" style="12" customWidth="1"/>
    <col min="2" max="2" width="24.76171875" style="12" customWidth="1"/>
    <col min="3" max="3" width="32.87890625" customWidth="1"/>
    <col min="4" max="5" width="9.87890625" customWidth="1"/>
    <col min="6" max="6" width="41.64453125" customWidth="1"/>
    <col min="7" max="7" width="25.76171875" style="12" customWidth="1"/>
    <col min="8" max="8" width="21.41015625" style="12" customWidth="1"/>
    <col min="9" max="12" width="25.3515625" customWidth="1"/>
    <col min="13" max="13" width="31.41015625" style="12" customWidth="1"/>
    <col min="14" max="14" width="24" style="12" customWidth="1"/>
    <col min="15" max="15" width="24.87890625" style="12" customWidth="1"/>
    <col min="16" max="16" width="49.1171875" style="2" customWidth="1"/>
    <col min="17" max="17" width="8.87890625" customWidth="1"/>
    <col min="18" max="18" width="7" customWidth="1"/>
    <col min="19" max="19" width="8.87890625" customWidth="1"/>
    <col min="20" max="20" width="7" customWidth="1"/>
    <col min="21" max="21" width="8.87890625" customWidth="1"/>
    <col min="22" max="22" width="7" customWidth="1"/>
    <col min="23" max="23" width="8.87890625" customWidth="1"/>
    <col min="24" max="24" width="7" customWidth="1"/>
    <col min="25" max="25" width="5.87890625" customWidth="1"/>
    <col min="26" max="26" width="7" customWidth="1"/>
    <col min="27" max="27" width="10.87890625" customWidth="1"/>
    <col min="28" max="28" width="7" customWidth="1"/>
    <col min="29" max="29" width="8.87890625" customWidth="1"/>
    <col min="30" max="30" width="7" customWidth="1"/>
    <col min="31" max="31" width="44.1171875" style="2" customWidth="1"/>
    <col min="32" max="32" width="7" style="2" customWidth="1"/>
    <col min="33" max="33" width="6.3515625" style="13" customWidth="1"/>
    <col min="34" max="34" width="7" style="2" customWidth="1"/>
    <col min="35" max="35" width="6.3515625" style="13" customWidth="1"/>
    <col min="36" max="36" width="7" style="2" customWidth="1"/>
    <col min="37" max="37" width="6.3515625" style="13" customWidth="1"/>
    <col min="38" max="38" width="39.1171875" customWidth="1"/>
    <col min="39" max="39" width="37.1171875" customWidth="1"/>
    <col min="40" max="40" width="6.3515625" customWidth="1"/>
    <col min="41" max="41" width="36" customWidth="1"/>
    <col min="42" max="42" width="6.3515625" customWidth="1"/>
    <col min="43" max="43" width="32.64453125" customWidth="1"/>
    <col min="44" max="44" width="6.3515625" customWidth="1"/>
    <col min="45" max="45" width="47.87890625" customWidth="1"/>
    <col min="46" max="46" width="5.3515625" customWidth="1"/>
    <col min="47" max="47" width="6.3515625" customWidth="1"/>
    <col min="48" max="48" width="47.87890625" customWidth="1"/>
    <col min="49" max="49" width="5.3515625" customWidth="1"/>
    <col min="50" max="50" width="6.3515625" customWidth="1"/>
    <col min="51" max="51" width="25.3515625" customWidth="1"/>
    <col min="52" max="52" width="7" customWidth="1"/>
    <col min="53" max="53" width="41.64453125" customWidth="1"/>
    <col min="54" max="54" width="7" customWidth="1"/>
    <col min="55" max="55" width="9.234375" style="2" customWidth="1"/>
    <col min="56" max="56" width="11.64453125" style="2" customWidth="1"/>
    <col min="57" max="57" width="26.64453125" customWidth="1"/>
    <col min="58" max="58" width="21.64453125" customWidth="1"/>
  </cols>
  <sheetData>
    <row r="1" spans="1:58" ht="19.95" customHeight="1" x14ac:dyDescent="0.4">
      <c r="A1" s="14" t="s">
        <v>282</v>
      </c>
      <c r="B1"/>
      <c r="BC1"/>
      <c r="BD1"/>
    </row>
    <row r="2" spans="1:58" s="11" customFormat="1" ht="49.1" customHeight="1" x14ac:dyDescent="0.4">
      <c r="A2" s="6" t="s">
        <v>44</v>
      </c>
      <c r="B2" s="6" t="s">
        <v>45</v>
      </c>
      <c r="C2" s="6" t="s">
        <v>285</v>
      </c>
      <c r="D2" s="6" t="s">
        <v>19</v>
      </c>
      <c r="E2" s="6" t="s">
        <v>19</v>
      </c>
      <c r="F2" s="6" t="s">
        <v>527</v>
      </c>
      <c r="G2" s="6" t="s">
        <v>19</v>
      </c>
      <c r="H2" s="6" t="s">
        <v>19</v>
      </c>
      <c r="I2" s="6" t="s">
        <v>1228</v>
      </c>
      <c r="J2" s="6" t="s">
        <v>19</v>
      </c>
      <c r="K2" s="6" t="s">
        <v>19</v>
      </c>
      <c r="L2" s="6" t="s">
        <v>19</v>
      </c>
      <c r="M2" s="6" t="s">
        <v>19</v>
      </c>
      <c r="N2" s="6" t="s">
        <v>19</v>
      </c>
      <c r="O2" s="6" t="s">
        <v>19</v>
      </c>
      <c r="P2" s="6" t="s">
        <v>528</v>
      </c>
      <c r="Q2" s="6" t="s">
        <v>18</v>
      </c>
      <c r="R2" s="6" t="s">
        <v>19</v>
      </c>
      <c r="S2" s="6" t="s">
        <v>18</v>
      </c>
      <c r="T2" s="6" t="s">
        <v>19</v>
      </c>
      <c r="U2" s="6" t="s">
        <v>18</v>
      </c>
      <c r="V2" s="6" t="s">
        <v>19</v>
      </c>
      <c r="W2" s="6" t="s">
        <v>18</v>
      </c>
      <c r="X2" s="6" t="s">
        <v>19</v>
      </c>
      <c r="Y2" s="6" t="s">
        <v>18</v>
      </c>
      <c r="Z2" s="6" t="s">
        <v>19</v>
      </c>
      <c r="AA2" s="6" t="s">
        <v>18</v>
      </c>
      <c r="AB2" s="6" t="s">
        <v>19</v>
      </c>
      <c r="AC2" s="6" t="s">
        <v>18</v>
      </c>
      <c r="AD2" s="6" t="s">
        <v>19</v>
      </c>
      <c r="AE2" s="6" t="s">
        <v>529</v>
      </c>
      <c r="AF2" s="6" t="s">
        <v>18</v>
      </c>
      <c r="AG2" s="6" t="s">
        <v>19</v>
      </c>
      <c r="AH2" s="6" t="s">
        <v>18</v>
      </c>
      <c r="AI2" s="6" t="s">
        <v>19</v>
      </c>
      <c r="AJ2" s="6" t="s">
        <v>18</v>
      </c>
      <c r="AK2" s="6" t="s">
        <v>19</v>
      </c>
      <c r="AL2" s="6" t="s">
        <v>530</v>
      </c>
      <c r="AM2" s="6" t="s">
        <v>18</v>
      </c>
      <c r="AN2" s="6" t="s">
        <v>19</v>
      </c>
      <c r="AO2" s="6" t="s">
        <v>18</v>
      </c>
      <c r="AP2" s="6" t="s">
        <v>19</v>
      </c>
      <c r="AQ2" s="6" t="s">
        <v>18</v>
      </c>
      <c r="AR2" s="6" t="s">
        <v>19</v>
      </c>
      <c r="AS2" s="6" t="s">
        <v>531</v>
      </c>
      <c r="AT2" s="6" t="s">
        <v>18</v>
      </c>
      <c r="AU2" s="6" t="s">
        <v>19</v>
      </c>
      <c r="AV2" s="6" t="s">
        <v>532</v>
      </c>
      <c r="AW2" s="6" t="s">
        <v>18</v>
      </c>
      <c r="AX2" s="6" t="s">
        <v>19</v>
      </c>
      <c r="AY2" s="6" t="s">
        <v>533</v>
      </c>
      <c r="AZ2" s="6" t="s">
        <v>19</v>
      </c>
      <c r="BA2" s="6" t="s">
        <v>534</v>
      </c>
      <c r="BB2" s="6" t="s">
        <v>19</v>
      </c>
      <c r="BC2" s="6" t="s">
        <v>52</v>
      </c>
      <c r="BD2" s="6" t="s">
        <v>535</v>
      </c>
      <c r="BE2" s="6" t="s">
        <v>536</v>
      </c>
      <c r="BF2" s="6" t="s">
        <v>537</v>
      </c>
    </row>
    <row r="3" spans="1:58" s="11" customFormat="1" ht="34.950000000000003" customHeight="1" x14ac:dyDescent="0.4">
      <c r="A3" s="6" t="s">
        <v>320</v>
      </c>
      <c r="B3" s="6" t="s">
        <v>538</v>
      </c>
      <c r="C3" s="6" t="s">
        <v>321</v>
      </c>
      <c r="D3" s="6" t="s">
        <v>321</v>
      </c>
      <c r="E3" s="6" t="s">
        <v>321</v>
      </c>
      <c r="F3" s="6" t="s">
        <v>539</v>
      </c>
      <c r="G3" s="6" t="s">
        <v>539</v>
      </c>
      <c r="H3" s="6" t="s">
        <v>539</v>
      </c>
      <c r="I3" s="6" t="s">
        <v>540</v>
      </c>
      <c r="J3" s="6" t="s">
        <v>540</v>
      </c>
      <c r="K3" s="6" t="s">
        <v>540</v>
      </c>
      <c r="L3" s="6" t="s">
        <v>540</v>
      </c>
      <c r="M3" s="6" t="s">
        <v>540</v>
      </c>
      <c r="N3" s="6" t="s">
        <v>540</v>
      </c>
      <c r="O3" s="6" t="s">
        <v>540</v>
      </c>
      <c r="P3" s="6" t="s">
        <v>541</v>
      </c>
      <c r="Q3" s="19" t="s">
        <v>542</v>
      </c>
      <c r="R3" s="19" t="s">
        <v>543</v>
      </c>
      <c r="S3" s="19" t="s">
        <v>542</v>
      </c>
      <c r="T3" s="19" t="s">
        <v>543</v>
      </c>
      <c r="U3" s="19" t="s">
        <v>542</v>
      </c>
      <c r="V3" s="19" t="s">
        <v>543</v>
      </c>
      <c r="W3" s="19" t="s">
        <v>542</v>
      </c>
      <c r="X3" s="19" t="s">
        <v>543</v>
      </c>
      <c r="Y3" s="19" t="s">
        <v>542</v>
      </c>
      <c r="Z3" s="19" t="s">
        <v>543</v>
      </c>
      <c r="AA3" s="20" t="s">
        <v>544</v>
      </c>
      <c r="AB3" s="20" t="s">
        <v>543</v>
      </c>
      <c r="AC3" s="20" t="s">
        <v>544</v>
      </c>
      <c r="AD3" s="20" t="s">
        <v>543</v>
      </c>
      <c r="AE3" s="6" t="s">
        <v>545</v>
      </c>
      <c r="AF3" s="19" t="s">
        <v>546</v>
      </c>
      <c r="AG3" s="19" t="s">
        <v>543</v>
      </c>
      <c r="AH3" s="19" t="s">
        <v>546</v>
      </c>
      <c r="AI3" s="19" t="s">
        <v>543</v>
      </c>
      <c r="AJ3" s="19" t="s">
        <v>546</v>
      </c>
      <c r="AK3" s="19" t="s">
        <v>543</v>
      </c>
      <c r="AL3" s="6" t="s">
        <v>547</v>
      </c>
      <c r="AM3" s="20" t="s">
        <v>548</v>
      </c>
      <c r="AN3" s="20" t="s">
        <v>543</v>
      </c>
      <c r="AO3" s="20" t="s">
        <v>548</v>
      </c>
      <c r="AP3" s="20" t="s">
        <v>543</v>
      </c>
      <c r="AQ3" s="20" t="s">
        <v>548</v>
      </c>
      <c r="AR3" s="20" t="s">
        <v>543</v>
      </c>
      <c r="AS3" s="6" t="s">
        <v>549</v>
      </c>
      <c r="AT3" s="6"/>
      <c r="AU3" s="6"/>
      <c r="AV3" s="6" t="s">
        <v>550</v>
      </c>
      <c r="AW3" s="6"/>
      <c r="AX3" s="6"/>
      <c r="AY3" s="6" t="s">
        <v>551</v>
      </c>
      <c r="AZ3" s="6"/>
      <c r="BA3" s="6" t="s">
        <v>552</v>
      </c>
      <c r="BB3" s="6"/>
      <c r="BC3" s="6" t="s">
        <v>61</v>
      </c>
      <c r="BD3" s="6" t="s">
        <v>553</v>
      </c>
      <c r="BE3" s="6" t="s">
        <v>554</v>
      </c>
      <c r="BF3" s="6" t="s">
        <v>555</v>
      </c>
    </row>
    <row r="4" spans="1:58" ht="19.95" customHeight="1" x14ac:dyDescent="0.4">
      <c r="A4" s="15" t="s">
        <v>364</v>
      </c>
      <c r="B4" s="15" t="s">
        <v>363</v>
      </c>
      <c r="D4" s="16"/>
      <c r="E4" s="16"/>
      <c r="G4" s="17" t="s">
        <v>347</v>
      </c>
      <c r="H4" s="17" t="s">
        <v>347</v>
      </c>
      <c r="J4" s="71" t="s">
        <v>1230</v>
      </c>
      <c r="K4" t="s">
        <v>1227</v>
      </c>
      <c r="L4" s="71"/>
      <c r="M4" s="17" t="s">
        <v>556</v>
      </c>
      <c r="N4" s="17" t="s">
        <v>557</v>
      </c>
      <c r="O4" s="17" t="s">
        <v>558</v>
      </c>
      <c r="Q4" s="19"/>
      <c r="R4" s="19"/>
      <c r="S4" s="19"/>
      <c r="T4" s="19"/>
      <c r="U4" s="19"/>
      <c r="V4" s="19"/>
      <c r="W4" s="19"/>
      <c r="X4" s="19"/>
      <c r="Y4" s="19"/>
      <c r="Z4" s="19"/>
      <c r="AA4" s="20"/>
      <c r="AB4" s="20"/>
      <c r="AC4" s="20"/>
      <c r="AD4" s="20"/>
      <c r="AF4" s="73" t="s">
        <v>1212</v>
      </c>
      <c r="AG4" s="19">
        <v>450</v>
      </c>
      <c r="AH4" s="19" t="s">
        <v>268</v>
      </c>
      <c r="AI4" s="19">
        <v>50</v>
      </c>
      <c r="AJ4" s="19"/>
      <c r="AK4" s="19"/>
      <c r="AM4" s="74" t="s">
        <v>1213</v>
      </c>
      <c r="AN4" s="20">
        <v>4</v>
      </c>
      <c r="AO4" s="20" t="s">
        <v>561</v>
      </c>
      <c r="AP4" s="20">
        <v>1</v>
      </c>
      <c r="AQ4" s="20"/>
      <c r="AR4" s="20"/>
      <c r="BC4" s="16"/>
      <c r="BD4" s="16"/>
      <c r="BE4" s="16"/>
    </row>
    <row r="5" spans="1:58" ht="19.95" customHeight="1" x14ac:dyDescent="0.4">
      <c r="A5" s="15" t="s">
        <v>365</v>
      </c>
      <c r="B5" s="15" t="s">
        <v>363</v>
      </c>
      <c r="D5" s="16"/>
      <c r="E5" s="16"/>
      <c r="G5" s="17" t="s">
        <v>347</v>
      </c>
      <c r="H5" s="17" t="s">
        <v>347</v>
      </c>
      <c r="J5" t="s">
        <v>1229</v>
      </c>
      <c r="K5" t="s">
        <v>1227</v>
      </c>
      <c r="L5" s="71" t="s">
        <v>562</v>
      </c>
      <c r="M5" s="17" t="s">
        <v>556</v>
      </c>
      <c r="N5" s="17" t="s">
        <v>557</v>
      </c>
      <c r="O5" s="17"/>
      <c r="Q5" s="19"/>
      <c r="R5" s="19"/>
      <c r="S5" s="19"/>
      <c r="T5" s="19"/>
      <c r="U5" s="19"/>
      <c r="V5" s="19"/>
      <c r="W5" s="19"/>
      <c r="X5" s="19"/>
      <c r="Y5" s="19"/>
      <c r="Z5" s="19"/>
      <c r="AA5" s="20"/>
      <c r="AB5" s="20"/>
      <c r="AC5" s="20"/>
      <c r="AD5" s="20"/>
      <c r="AF5" s="19" t="s">
        <v>272</v>
      </c>
      <c r="AG5" s="19">
        <v>500</v>
      </c>
      <c r="AH5" s="19"/>
      <c r="AI5" s="19"/>
      <c r="AJ5" s="19"/>
      <c r="AK5" s="19"/>
      <c r="AM5" s="74" t="s">
        <v>1225</v>
      </c>
      <c r="AN5" s="20">
        <v>5</v>
      </c>
      <c r="AO5" s="20"/>
      <c r="AP5" s="20"/>
      <c r="AQ5" s="20"/>
      <c r="AR5" s="20"/>
      <c r="BC5" s="16"/>
      <c r="BD5" s="16"/>
      <c r="BE5" s="16"/>
    </row>
    <row r="6" spans="1:58" ht="19.95" customHeight="1" x14ac:dyDescent="0.4">
      <c r="A6" s="15" t="s">
        <v>366</v>
      </c>
      <c r="B6" s="15" t="s">
        <v>363</v>
      </c>
      <c r="D6" s="16"/>
      <c r="E6" s="16"/>
      <c r="G6" s="17" t="s">
        <v>347</v>
      </c>
      <c r="H6" s="17" t="s">
        <v>347</v>
      </c>
      <c r="L6" s="71" t="s">
        <v>562</v>
      </c>
      <c r="M6" s="17" t="s">
        <v>556</v>
      </c>
      <c r="N6" s="17" t="s">
        <v>557</v>
      </c>
      <c r="O6" s="17" t="s">
        <v>558</v>
      </c>
      <c r="Q6" s="19"/>
      <c r="R6" s="19"/>
      <c r="S6" s="19"/>
      <c r="T6" s="19"/>
      <c r="U6" s="19"/>
      <c r="V6" s="19"/>
      <c r="W6" s="19"/>
      <c r="X6" s="19"/>
      <c r="Y6" s="19"/>
      <c r="Z6" s="19"/>
      <c r="AA6" s="20"/>
      <c r="AB6" s="20"/>
      <c r="AC6" s="20"/>
      <c r="AD6" s="20"/>
      <c r="AF6" s="19" t="s">
        <v>563</v>
      </c>
      <c r="AG6" s="19">
        <v>350</v>
      </c>
      <c r="AH6" s="19" t="s">
        <v>269</v>
      </c>
      <c r="AI6" s="19">
        <v>150</v>
      </c>
      <c r="AJ6" s="19"/>
      <c r="AK6" s="19"/>
      <c r="AM6" s="20" t="s">
        <v>564</v>
      </c>
      <c r="AN6" s="20">
        <v>4</v>
      </c>
      <c r="AO6" s="20" t="s">
        <v>561</v>
      </c>
      <c r="AP6" s="20">
        <v>1</v>
      </c>
      <c r="AQ6" s="20"/>
      <c r="AR6" s="20"/>
      <c r="BC6" s="16"/>
      <c r="BD6" s="16"/>
      <c r="BE6" s="16"/>
    </row>
    <row r="7" spans="1:58" ht="19.95" customHeight="1" x14ac:dyDescent="0.4">
      <c r="A7" s="15" t="s">
        <v>367</v>
      </c>
      <c r="B7" s="15" t="s">
        <v>363</v>
      </c>
      <c r="D7" s="16"/>
      <c r="E7" s="16"/>
      <c r="G7" s="17" t="s">
        <v>347</v>
      </c>
      <c r="H7" s="17" t="s">
        <v>347</v>
      </c>
      <c r="L7" s="71" t="s">
        <v>562</v>
      </c>
      <c r="M7" s="17" t="s">
        <v>556</v>
      </c>
      <c r="N7" s="17" t="s">
        <v>557</v>
      </c>
      <c r="O7" s="17" t="s">
        <v>558</v>
      </c>
      <c r="Q7" s="19"/>
      <c r="R7" s="19"/>
      <c r="S7" s="19"/>
      <c r="T7" s="19"/>
      <c r="U7" s="19"/>
      <c r="V7" s="19"/>
      <c r="W7" s="19"/>
      <c r="X7" s="19"/>
      <c r="Y7" s="19"/>
      <c r="Z7" s="19"/>
      <c r="AA7" s="20"/>
      <c r="AB7" s="20"/>
      <c r="AC7" s="20"/>
      <c r="AD7" s="20"/>
      <c r="AF7" s="19" t="s">
        <v>563</v>
      </c>
      <c r="AG7" s="19">
        <v>150</v>
      </c>
      <c r="AH7" s="19" t="s">
        <v>269</v>
      </c>
      <c r="AI7" s="19">
        <v>50</v>
      </c>
      <c r="AJ7" s="19"/>
      <c r="AK7" s="19"/>
      <c r="AM7" s="20" t="s">
        <v>564</v>
      </c>
      <c r="AN7" s="20">
        <v>5</v>
      </c>
      <c r="AO7" s="20"/>
      <c r="AP7" s="20"/>
      <c r="AQ7" s="20"/>
      <c r="AR7" s="20"/>
      <c r="BC7" s="16"/>
      <c r="BD7" s="16"/>
      <c r="BE7" s="16"/>
    </row>
    <row r="8" spans="1:58" ht="19.95" customHeight="1" x14ac:dyDescent="0.4">
      <c r="A8" s="15" t="s">
        <v>368</v>
      </c>
      <c r="B8" s="15" t="s">
        <v>363</v>
      </c>
      <c r="D8" s="16"/>
      <c r="E8" s="16"/>
      <c r="G8" s="17" t="s">
        <v>347</v>
      </c>
      <c r="H8" s="17" t="s">
        <v>347</v>
      </c>
      <c r="J8" t="s">
        <v>1229</v>
      </c>
      <c r="K8" t="s">
        <v>1227</v>
      </c>
      <c r="L8" s="71" t="s">
        <v>562</v>
      </c>
      <c r="M8" s="17"/>
      <c r="N8" s="17" t="s">
        <v>557</v>
      </c>
      <c r="O8" s="17" t="s">
        <v>558</v>
      </c>
      <c r="Q8" s="19"/>
      <c r="R8" s="19"/>
      <c r="S8" s="19"/>
      <c r="T8" s="19"/>
      <c r="U8" s="19"/>
      <c r="V8" s="19"/>
      <c r="W8" s="19"/>
      <c r="X8" s="19"/>
      <c r="Y8" s="19"/>
      <c r="Z8" s="19"/>
      <c r="AA8" s="20"/>
      <c r="AB8" s="20"/>
      <c r="AC8" s="20"/>
      <c r="AD8" s="20"/>
      <c r="AF8" s="19" t="s">
        <v>270</v>
      </c>
      <c r="AG8" s="19">
        <v>100</v>
      </c>
      <c r="AH8" s="19"/>
      <c r="AI8" s="19"/>
      <c r="AJ8" s="19"/>
      <c r="AK8" s="19"/>
      <c r="AM8" s="74" t="s">
        <v>1226</v>
      </c>
      <c r="AN8" s="20">
        <v>5</v>
      </c>
      <c r="AO8" s="20"/>
      <c r="AP8" s="20"/>
      <c r="AQ8" s="20"/>
      <c r="AR8" s="20"/>
      <c r="BC8" s="16"/>
      <c r="BD8" s="16"/>
      <c r="BE8" s="16"/>
    </row>
    <row r="9" spans="1:58" ht="19.95" customHeight="1" x14ac:dyDescent="0.4">
      <c r="A9" s="15" t="s">
        <v>369</v>
      </c>
      <c r="B9" s="15" t="s">
        <v>363</v>
      </c>
      <c r="D9" s="16"/>
      <c r="E9" s="16"/>
      <c r="G9" s="17" t="s">
        <v>347</v>
      </c>
      <c r="H9" s="17" t="s">
        <v>347</v>
      </c>
      <c r="J9" t="s">
        <v>1229</v>
      </c>
      <c r="K9" t="s">
        <v>1227</v>
      </c>
      <c r="L9" s="71" t="s">
        <v>562</v>
      </c>
      <c r="M9" s="17"/>
      <c r="N9" s="17" t="s">
        <v>557</v>
      </c>
      <c r="O9" s="17" t="s">
        <v>558</v>
      </c>
      <c r="Q9" s="19"/>
      <c r="R9" s="19"/>
      <c r="S9" s="19"/>
      <c r="T9" s="19"/>
      <c r="U9" s="19"/>
      <c r="V9" s="19"/>
      <c r="W9" s="19"/>
      <c r="X9" s="19"/>
      <c r="Y9" s="19"/>
      <c r="Z9" s="19"/>
      <c r="AA9" s="20"/>
      <c r="AB9" s="20"/>
      <c r="AC9" s="20"/>
      <c r="AD9" s="20"/>
      <c r="AF9" s="19" t="s">
        <v>280</v>
      </c>
      <c r="AG9" s="19">
        <v>300</v>
      </c>
      <c r="AH9" s="73" t="s">
        <v>1215</v>
      </c>
      <c r="AI9" s="19">
        <v>200</v>
      </c>
      <c r="AJ9" s="19"/>
      <c r="AK9" s="19"/>
      <c r="AM9" s="20" t="s">
        <v>566</v>
      </c>
      <c r="AN9" s="20">
        <v>3</v>
      </c>
      <c r="AO9" s="20" t="s">
        <v>567</v>
      </c>
      <c r="AP9" s="20">
        <v>2</v>
      </c>
      <c r="AQ9" s="20"/>
      <c r="AR9" s="20"/>
      <c r="BC9" s="16"/>
      <c r="BD9" s="16"/>
      <c r="BE9" s="16"/>
    </row>
    <row r="10" spans="1:58" ht="19.95" customHeight="1" x14ac:dyDescent="0.4">
      <c r="A10" s="15" t="s">
        <v>370</v>
      </c>
      <c r="B10" s="15" t="s">
        <v>363</v>
      </c>
      <c r="D10" s="16"/>
      <c r="E10" s="16"/>
      <c r="G10" s="17" t="s">
        <v>347</v>
      </c>
      <c r="H10" s="17" t="s">
        <v>347</v>
      </c>
      <c r="J10" t="s">
        <v>1229</v>
      </c>
      <c r="K10" t="s">
        <v>1227</v>
      </c>
      <c r="L10" s="71" t="s">
        <v>562</v>
      </c>
      <c r="M10" s="17"/>
      <c r="N10" s="17" t="s">
        <v>557</v>
      </c>
      <c r="O10" s="17" t="s">
        <v>558</v>
      </c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20"/>
      <c r="AB10" s="20"/>
      <c r="AC10" s="20"/>
      <c r="AD10" s="20"/>
      <c r="AF10" s="73" t="s">
        <v>1214</v>
      </c>
      <c r="AG10" s="19">
        <v>150</v>
      </c>
      <c r="AH10" s="73" t="s">
        <v>1215</v>
      </c>
      <c r="AI10" s="19">
        <v>125</v>
      </c>
      <c r="AJ10" s="73" t="s">
        <v>1216</v>
      </c>
      <c r="AK10" s="19">
        <v>100</v>
      </c>
      <c r="AM10" s="20" t="s">
        <v>568</v>
      </c>
      <c r="AN10" s="20">
        <v>2</v>
      </c>
      <c r="AO10" s="20" t="s">
        <v>569</v>
      </c>
      <c r="AP10" s="20">
        <v>2</v>
      </c>
      <c r="AQ10" s="20"/>
      <c r="AR10" s="20"/>
      <c r="BC10" s="16"/>
      <c r="BD10" s="16"/>
      <c r="BE10" s="16"/>
    </row>
    <row r="11" spans="1:58" ht="19.95" customHeight="1" x14ac:dyDescent="0.4">
      <c r="A11" s="15" t="s">
        <v>371</v>
      </c>
      <c r="B11" s="15" t="s">
        <v>363</v>
      </c>
      <c r="D11" s="16"/>
      <c r="E11" s="16"/>
      <c r="G11" s="17" t="s">
        <v>347</v>
      </c>
      <c r="H11" s="17" t="s">
        <v>347</v>
      </c>
      <c r="J11" t="s">
        <v>1229</v>
      </c>
      <c r="K11" t="s">
        <v>1227</v>
      </c>
      <c r="L11" s="71" t="s">
        <v>562</v>
      </c>
      <c r="M11" s="17" t="s">
        <v>556</v>
      </c>
      <c r="N11" s="17"/>
      <c r="O11" s="17" t="s">
        <v>558</v>
      </c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20"/>
      <c r="AB11" s="20"/>
      <c r="AC11" s="20"/>
      <c r="AD11" s="20"/>
      <c r="AF11" s="73" t="s">
        <v>1231</v>
      </c>
      <c r="AG11" s="19">
        <v>50</v>
      </c>
      <c r="AH11" s="73" t="s">
        <v>1216</v>
      </c>
      <c r="AI11" s="19">
        <v>300</v>
      </c>
      <c r="AJ11" s="19"/>
      <c r="AK11" s="19"/>
      <c r="AM11" s="20"/>
      <c r="AN11" s="20"/>
      <c r="AO11" s="20"/>
      <c r="AP11" s="20"/>
      <c r="AQ11" s="20"/>
      <c r="AR11" s="20"/>
      <c r="BC11" s="16"/>
      <c r="BD11" s="16"/>
      <c r="BE11" s="16"/>
    </row>
    <row r="12" spans="1:58" ht="19.95" customHeight="1" x14ac:dyDescent="0.4">
      <c r="A12" s="3" t="s">
        <v>479</v>
      </c>
      <c r="B12" s="15" t="s">
        <v>478</v>
      </c>
      <c r="D12" s="16"/>
      <c r="E12" s="16"/>
      <c r="G12" s="17"/>
      <c r="H12" s="17"/>
      <c r="J12" s="71" t="s">
        <v>1230</v>
      </c>
      <c r="K12" t="s">
        <v>1227</v>
      </c>
      <c r="L12" s="71"/>
      <c r="M12" s="17" t="s">
        <v>556</v>
      </c>
      <c r="N12" s="17" t="s">
        <v>557</v>
      </c>
      <c r="O12" s="17" t="s">
        <v>558</v>
      </c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20"/>
      <c r="AB12" s="20"/>
      <c r="AC12" s="20"/>
      <c r="AD12" s="20"/>
      <c r="AF12" s="19"/>
      <c r="AG12" s="19"/>
      <c r="AH12" s="19"/>
      <c r="AI12" s="19"/>
      <c r="AJ12" s="19"/>
      <c r="AK12" s="19"/>
      <c r="AM12" s="20"/>
      <c r="AN12" s="20"/>
      <c r="AO12" s="20"/>
      <c r="AP12" s="20"/>
      <c r="AQ12" s="20"/>
      <c r="AR12" s="20"/>
      <c r="BC12" s="16"/>
      <c r="BD12" s="16"/>
      <c r="BE12" s="16"/>
    </row>
    <row r="13" spans="1:58" ht="19.95" customHeight="1" x14ac:dyDescent="0.4">
      <c r="A13" s="3" t="s">
        <v>480</v>
      </c>
      <c r="B13" s="15" t="s">
        <v>478</v>
      </c>
      <c r="D13" s="16"/>
      <c r="E13" s="16"/>
      <c r="G13" s="17"/>
      <c r="H13" s="17"/>
      <c r="J13" t="s">
        <v>1229</v>
      </c>
      <c r="K13" t="s">
        <v>1227</v>
      </c>
      <c r="L13" s="71" t="s">
        <v>562</v>
      </c>
      <c r="M13" s="17" t="s">
        <v>556</v>
      </c>
      <c r="N13" s="17" t="s">
        <v>557</v>
      </c>
      <c r="O13" s="17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20"/>
      <c r="AB13" s="20"/>
      <c r="AC13" s="20"/>
      <c r="AD13" s="20"/>
      <c r="AF13" s="19"/>
      <c r="AG13" s="19"/>
      <c r="AH13" s="19"/>
      <c r="AI13" s="19"/>
      <c r="AJ13" s="19"/>
      <c r="AK13" s="19"/>
      <c r="AM13" s="20"/>
      <c r="AN13" s="20"/>
      <c r="AO13" s="20"/>
      <c r="AP13" s="20"/>
      <c r="AQ13" s="20"/>
      <c r="AR13" s="20"/>
      <c r="BC13" s="16"/>
      <c r="BD13" s="16"/>
      <c r="BE13" s="16"/>
    </row>
    <row r="14" spans="1:58" ht="19.95" customHeight="1" x14ac:dyDescent="0.4">
      <c r="A14" s="3" t="s">
        <v>481</v>
      </c>
      <c r="B14" s="15" t="s">
        <v>478</v>
      </c>
      <c r="D14" s="16"/>
      <c r="E14" s="16"/>
      <c r="G14" s="17"/>
      <c r="H14" s="17"/>
      <c r="L14" s="71" t="s">
        <v>562</v>
      </c>
      <c r="M14" s="17" t="s">
        <v>556</v>
      </c>
      <c r="N14" s="17" t="s">
        <v>557</v>
      </c>
      <c r="O14" s="17" t="s">
        <v>558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20"/>
      <c r="AB14" s="20"/>
      <c r="AC14" s="20"/>
      <c r="AD14" s="20"/>
      <c r="AF14" s="19"/>
      <c r="AG14" s="19"/>
      <c r="AH14" s="19"/>
      <c r="AI14" s="19"/>
      <c r="AJ14" s="19"/>
      <c r="AK14" s="19"/>
      <c r="AM14" s="20"/>
      <c r="AN14" s="20"/>
      <c r="AO14" s="20"/>
      <c r="AP14" s="20"/>
      <c r="AQ14" s="20"/>
      <c r="AR14" s="20"/>
      <c r="BC14" s="16"/>
      <c r="BD14" s="16"/>
      <c r="BE14" s="16"/>
    </row>
    <row r="15" spans="1:58" ht="19.95" customHeight="1" x14ac:dyDescent="0.4">
      <c r="A15" s="3" t="s">
        <v>482</v>
      </c>
      <c r="B15" s="15" t="s">
        <v>478</v>
      </c>
      <c r="D15" s="16"/>
      <c r="E15" s="16"/>
      <c r="G15" s="17"/>
      <c r="H15" s="17"/>
      <c r="L15" s="71" t="s">
        <v>562</v>
      </c>
      <c r="M15" s="17" t="s">
        <v>556</v>
      </c>
      <c r="N15" s="17" t="s">
        <v>557</v>
      </c>
      <c r="O15" s="17" t="s">
        <v>558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20"/>
      <c r="AB15" s="20"/>
      <c r="AC15" s="20"/>
      <c r="AD15" s="20"/>
      <c r="AF15" s="19"/>
      <c r="AG15" s="19"/>
      <c r="AH15" s="19"/>
      <c r="AI15" s="19"/>
      <c r="AJ15" s="19"/>
      <c r="AK15" s="19"/>
      <c r="AM15" s="20"/>
      <c r="AN15" s="20"/>
      <c r="AO15" s="20"/>
      <c r="AP15" s="20"/>
      <c r="AQ15" s="20"/>
      <c r="AR15" s="20"/>
      <c r="BC15" s="16"/>
      <c r="BD15" s="16"/>
      <c r="BE15" s="16"/>
    </row>
    <row r="16" spans="1:58" ht="19.95" customHeight="1" x14ac:dyDescent="0.4">
      <c r="A16" s="3" t="s">
        <v>483</v>
      </c>
      <c r="B16" s="15" t="s">
        <v>478</v>
      </c>
      <c r="D16" s="16"/>
      <c r="E16" s="16"/>
      <c r="G16" s="17"/>
      <c r="H16" s="17"/>
      <c r="J16" t="s">
        <v>1229</v>
      </c>
      <c r="K16" t="s">
        <v>1227</v>
      </c>
      <c r="L16" s="71" t="s">
        <v>562</v>
      </c>
      <c r="M16" s="17"/>
      <c r="N16" s="17" t="s">
        <v>557</v>
      </c>
      <c r="O16" s="17" t="s">
        <v>558</v>
      </c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20"/>
      <c r="AB16" s="20"/>
      <c r="AC16" s="20"/>
      <c r="AD16" s="20"/>
      <c r="AF16" s="19"/>
      <c r="AG16" s="19"/>
      <c r="AH16" s="19"/>
      <c r="AI16" s="19"/>
      <c r="AJ16" s="19"/>
      <c r="AK16" s="19"/>
      <c r="AM16" s="20"/>
      <c r="AN16" s="20"/>
      <c r="AO16" s="20"/>
      <c r="AP16" s="20"/>
      <c r="AQ16" s="20"/>
      <c r="AR16" s="20"/>
      <c r="BC16" s="16"/>
      <c r="BD16" s="16"/>
      <c r="BE16" s="16"/>
    </row>
    <row r="17" spans="1:57" ht="19.95" customHeight="1" x14ac:dyDescent="0.4">
      <c r="A17" s="3" t="s">
        <v>484</v>
      </c>
      <c r="B17" s="15" t="s">
        <v>478</v>
      </c>
      <c r="D17" s="16"/>
      <c r="E17" s="16"/>
      <c r="G17" s="17"/>
      <c r="H17" s="17"/>
      <c r="J17" t="s">
        <v>1229</v>
      </c>
      <c r="K17" t="s">
        <v>1227</v>
      </c>
      <c r="L17" s="71" t="s">
        <v>562</v>
      </c>
      <c r="M17" s="17"/>
      <c r="N17" s="17" t="s">
        <v>557</v>
      </c>
      <c r="O17" s="17" t="s">
        <v>558</v>
      </c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20"/>
      <c r="AB17" s="20"/>
      <c r="AC17" s="20"/>
      <c r="AD17" s="20"/>
      <c r="AF17" s="19"/>
      <c r="AG17" s="19"/>
      <c r="AH17" s="19"/>
      <c r="AI17" s="19"/>
      <c r="AJ17" s="19"/>
      <c r="AK17" s="19"/>
      <c r="AM17" s="20"/>
      <c r="AN17" s="20"/>
      <c r="AO17" s="20"/>
      <c r="AP17" s="20"/>
      <c r="AQ17" s="20"/>
      <c r="AR17" s="20"/>
      <c r="BC17" s="16"/>
      <c r="BD17" s="16"/>
      <c r="BE17" s="16"/>
    </row>
    <row r="18" spans="1:57" ht="19.95" customHeight="1" x14ac:dyDescent="0.4">
      <c r="A18" s="3" t="s">
        <v>485</v>
      </c>
      <c r="B18" s="15" t="s">
        <v>478</v>
      </c>
      <c r="D18" s="16"/>
      <c r="E18" s="16"/>
      <c r="G18" s="17"/>
      <c r="H18" s="17"/>
      <c r="J18" t="s">
        <v>1229</v>
      </c>
      <c r="K18" t="s">
        <v>1227</v>
      </c>
      <c r="L18" s="71" t="s">
        <v>562</v>
      </c>
      <c r="M18" s="17"/>
      <c r="N18" s="17" t="s">
        <v>557</v>
      </c>
      <c r="O18" s="17" t="s">
        <v>558</v>
      </c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20"/>
      <c r="AB18" s="20"/>
      <c r="AC18" s="20"/>
      <c r="AD18" s="20"/>
      <c r="AF18" s="19"/>
      <c r="AG18" s="19"/>
      <c r="AH18" s="19"/>
      <c r="AI18" s="19"/>
      <c r="AJ18" s="19"/>
      <c r="AK18" s="19"/>
      <c r="AM18" s="20"/>
      <c r="AN18" s="20"/>
      <c r="AO18" s="20"/>
      <c r="AP18" s="20"/>
      <c r="AQ18" s="20"/>
      <c r="AR18" s="20"/>
      <c r="BC18" s="16"/>
      <c r="BD18" s="16"/>
      <c r="BE18" s="16"/>
    </row>
    <row r="19" spans="1:57" ht="19.95" customHeight="1" x14ac:dyDescent="0.4">
      <c r="A19" s="3" t="s">
        <v>486</v>
      </c>
      <c r="B19" s="15" t="s">
        <v>478</v>
      </c>
      <c r="D19" s="16"/>
      <c r="E19" s="16"/>
      <c r="G19" s="17"/>
      <c r="H19" s="17"/>
      <c r="J19" t="s">
        <v>1229</v>
      </c>
      <c r="K19" t="s">
        <v>1227</v>
      </c>
      <c r="L19" s="71" t="s">
        <v>562</v>
      </c>
      <c r="M19" s="17" t="s">
        <v>556</v>
      </c>
      <c r="N19" s="17"/>
      <c r="O19" s="17" t="s">
        <v>558</v>
      </c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20"/>
      <c r="AB19" s="20"/>
      <c r="AC19" s="20"/>
      <c r="AD19" s="20"/>
      <c r="AF19" s="19"/>
      <c r="AG19" s="19"/>
      <c r="AH19" s="19"/>
      <c r="AI19" s="19"/>
      <c r="AJ19" s="19"/>
      <c r="AK19" s="19"/>
      <c r="AM19" s="20"/>
      <c r="AN19" s="20"/>
      <c r="AO19" s="20"/>
      <c r="AP19" s="20"/>
      <c r="AQ19" s="20"/>
      <c r="AR19" s="20"/>
      <c r="BC19" s="16"/>
      <c r="BD19" s="16"/>
      <c r="BE19" s="16"/>
    </row>
    <row r="20" spans="1:57" ht="19.95" customHeight="1" x14ac:dyDescent="0.4">
      <c r="A20" s="3" t="s">
        <v>1202</v>
      </c>
      <c r="B20" s="15" t="s">
        <v>1210</v>
      </c>
      <c r="D20" s="16"/>
      <c r="E20" s="16"/>
      <c r="G20" s="17"/>
      <c r="H20" s="17"/>
      <c r="J20" s="71" t="s">
        <v>1230</v>
      </c>
      <c r="K20" t="s">
        <v>1227</v>
      </c>
      <c r="L20" s="71"/>
      <c r="M20" s="17" t="s">
        <v>556</v>
      </c>
      <c r="N20" s="17" t="s">
        <v>557</v>
      </c>
      <c r="O20" s="17" t="s">
        <v>558</v>
      </c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20"/>
      <c r="AB20" s="20"/>
      <c r="AC20" s="20"/>
      <c r="AD20" s="20"/>
      <c r="AF20" s="19"/>
      <c r="AG20" s="19"/>
      <c r="AH20" s="19"/>
      <c r="AI20" s="19"/>
      <c r="AJ20" s="19"/>
      <c r="AK20" s="19"/>
      <c r="AM20" s="20"/>
      <c r="AN20" s="20"/>
      <c r="AO20" s="20"/>
      <c r="AP20" s="20"/>
      <c r="AQ20" s="20"/>
      <c r="AR20" s="20"/>
      <c r="BC20" s="16"/>
      <c r="BD20" s="16"/>
      <c r="BE20" s="16"/>
    </row>
    <row r="21" spans="1:57" ht="19.95" customHeight="1" x14ac:dyDescent="0.4">
      <c r="A21" s="3" t="s">
        <v>1203</v>
      </c>
      <c r="B21" s="15" t="s">
        <v>1210</v>
      </c>
      <c r="D21" s="16"/>
      <c r="E21" s="16"/>
      <c r="G21" s="17"/>
      <c r="H21" s="17"/>
      <c r="J21" t="s">
        <v>1229</v>
      </c>
      <c r="K21" t="s">
        <v>1227</v>
      </c>
      <c r="L21" s="71" t="s">
        <v>562</v>
      </c>
      <c r="M21" s="17" t="s">
        <v>556</v>
      </c>
      <c r="N21" s="17" t="s">
        <v>557</v>
      </c>
      <c r="O21" s="17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20"/>
      <c r="AB21" s="20"/>
      <c r="AC21" s="20"/>
      <c r="AD21" s="20"/>
      <c r="AF21" s="19"/>
      <c r="AG21" s="19"/>
      <c r="AH21" s="19"/>
      <c r="AI21" s="19"/>
      <c r="AJ21" s="19"/>
      <c r="AK21" s="19"/>
      <c r="AM21" s="20"/>
      <c r="AN21" s="20"/>
      <c r="AO21" s="20"/>
      <c r="AP21" s="20"/>
      <c r="AQ21" s="20"/>
      <c r="AR21" s="20"/>
      <c r="BC21" s="16"/>
      <c r="BD21" s="16"/>
      <c r="BE21" s="16"/>
    </row>
    <row r="22" spans="1:57" ht="19.95" customHeight="1" x14ac:dyDescent="0.4">
      <c r="A22" s="3" t="s">
        <v>1204</v>
      </c>
      <c r="B22" s="15" t="s">
        <v>1210</v>
      </c>
      <c r="D22" s="16"/>
      <c r="E22" s="16"/>
      <c r="G22" s="17"/>
      <c r="H22" s="17"/>
      <c r="L22" s="71" t="s">
        <v>562</v>
      </c>
      <c r="M22" s="17" t="s">
        <v>556</v>
      </c>
      <c r="N22" s="17" t="s">
        <v>557</v>
      </c>
      <c r="O22" s="17" t="s">
        <v>558</v>
      </c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20"/>
      <c r="AB22" s="20"/>
      <c r="AC22" s="20"/>
      <c r="AD22" s="20"/>
      <c r="AF22" s="19"/>
      <c r="AG22" s="19"/>
      <c r="AH22" s="19"/>
      <c r="AI22" s="19"/>
      <c r="AJ22" s="19"/>
      <c r="AK22" s="19"/>
      <c r="AM22" s="20"/>
      <c r="AN22" s="20"/>
      <c r="AO22" s="20"/>
      <c r="AP22" s="20"/>
      <c r="AQ22" s="20"/>
      <c r="AR22" s="20"/>
      <c r="BC22" s="16"/>
      <c r="BD22" s="16"/>
      <c r="BE22" s="16"/>
    </row>
    <row r="23" spans="1:57" ht="19.95" customHeight="1" x14ac:dyDescent="0.4">
      <c r="A23" s="3" t="s">
        <v>1205</v>
      </c>
      <c r="B23" s="15" t="s">
        <v>1210</v>
      </c>
      <c r="D23" s="16"/>
      <c r="E23" s="16"/>
      <c r="G23" s="17"/>
      <c r="H23" s="17"/>
      <c r="L23" s="71" t="s">
        <v>562</v>
      </c>
      <c r="M23" s="17" t="s">
        <v>556</v>
      </c>
      <c r="N23" s="17" t="s">
        <v>557</v>
      </c>
      <c r="O23" s="17" t="s">
        <v>558</v>
      </c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20"/>
      <c r="AB23" s="20"/>
      <c r="AC23" s="20"/>
      <c r="AD23" s="20"/>
      <c r="AF23" s="19"/>
      <c r="AG23" s="19"/>
      <c r="AH23" s="19"/>
      <c r="AI23" s="19"/>
      <c r="AJ23" s="19"/>
      <c r="AK23" s="19"/>
      <c r="AM23" s="20"/>
      <c r="AN23" s="20"/>
      <c r="AO23" s="20"/>
      <c r="AP23" s="20"/>
      <c r="AQ23" s="20"/>
      <c r="AR23" s="20"/>
      <c r="BC23" s="16"/>
      <c r="BD23" s="16"/>
      <c r="BE23" s="16"/>
    </row>
    <row r="24" spans="1:57" ht="19.95" customHeight="1" x14ac:dyDescent="0.4">
      <c r="A24" s="3" t="s">
        <v>1206</v>
      </c>
      <c r="B24" s="15" t="s">
        <v>1210</v>
      </c>
      <c r="D24" s="16"/>
      <c r="E24" s="16"/>
      <c r="G24" s="17"/>
      <c r="H24" s="17"/>
      <c r="J24" t="s">
        <v>1229</v>
      </c>
      <c r="K24" t="s">
        <v>1227</v>
      </c>
      <c r="L24" s="71" t="s">
        <v>562</v>
      </c>
      <c r="M24" s="17"/>
      <c r="N24" s="17" t="s">
        <v>557</v>
      </c>
      <c r="O24" s="17" t="s">
        <v>558</v>
      </c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20"/>
      <c r="AB24" s="20"/>
      <c r="AC24" s="20"/>
      <c r="AD24" s="20"/>
      <c r="AF24" s="19"/>
      <c r="AG24" s="19"/>
      <c r="AH24" s="19"/>
      <c r="AI24" s="19"/>
      <c r="AJ24" s="19"/>
      <c r="AK24" s="19"/>
      <c r="AM24" s="20"/>
      <c r="AN24" s="20"/>
      <c r="AO24" s="20"/>
      <c r="AP24" s="20"/>
      <c r="AQ24" s="20"/>
      <c r="AR24" s="20"/>
      <c r="BC24" s="16"/>
      <c r="BD24" s="16"/>
      <c r="BE24" s="16"/>
    </row>
    <row r="25" spans="1:57" ht="19.95" customHeight="1" x14ac:dyDescent="0.4">
      <c r="A25" s="3" t="s">
        <v>1207</v>
      </c>
      <c r="B25" s="15" t="s">
        <v>1210</v>
      </c>
      <c r="D25" s="16"/>
      <c r="E25" s="16"/>
      <c r="G25" s="17"/>
      <c r="H25" s="17"/>
      <c r="J25" t="s">
        <v>1229</v>
      </c>
      <c r="K25" t="s">
        <v>1227</v>
      </c>
      <c r="L25" s="71" t="s">
        <v>562</v>
      </c>
      <c r="M25" s="17"/>
      <c r="N25" s="17" t="s">
        <v>557</v>
      </c>
      <c r="O25" s="17" t="s">
        <v>558</v>
      </c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20"/>
      <c r="AB25" s="20"/>
      <c r="AC25" s="20"/>
      <c r="AD25" s="20"/>
      <c r="AF25" s="19"/>
      <c r="AG25" s="19"/>
      <c r="AH25" s="19"/>
      <c r="AI25" s="19"/>
      <c r="AJ25" s="19"/>
      <c r="AK25" s="19"/>
      <c r="AM25" s="20"/>
      <c r="AN25" s="20"/>
      <c r="AO25" s="20"/>
      <c r="AP25" s="20"/>
      <c r="AQ25" s="20"/>
      <c r="AR25" s="20"/>
      <c r="BC25" s="16"/>
      <c r="BD25" s="16"/>
      <c r="BE25" s="16"/>
    </row>
    <row r="26" spans="1:57" ht="19.95" customHeight="1" x14ac:dyDescent="0.4">
      <c r="A26" s="3" t="s">
        <v>1208</v>
      </c>
      <c r="B26" s="15" t="s">
        <v>1210</v>
      </c>
      <c r="D26" s="16"/>
      <c r="E26" s="16"/>
      <c r="G26" s="17"/>
      <c r="H26" s="17"/>
      <c r="J26" t="s">
        <v>1229</v>
      </c>
      <c r="K26" t="s">
        <v>1227</v>
      </c>
      <c r="L26" s="71" t="s">
        <v>562</v>
      </c>
      <c r="M26" s="17"/>
      <c r="N26" s="17" t="s">
        <v>557</v>
      </c>
      <c r="O26" s="17" t="s">
        <v>558</v>
      </c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20"/>
      <c r="AB26" s="20"/>
      <c r="AC26" s="20"/>
      <c r="AD26" s="20"/>
      <c r="AF26" s="19"/>
      <c r="AG26" s="19"/>
      <c r="AH26" s="19"/>
      <c r="AI26" s="19"/>
      <c r="AJ26" s="19"/>
      <c r="AK26" s="19"/>
      <c r="AM26" s="20"/>
      <c r="AN26" s="20"/>
      <c r="AO26" s="20"/>
      <c r="AP26" s="20"/>
      <c r="AQ26" s="20"/>
      <c r="AR26" s="20"/>
      <c r="BC26" s="16"/>
      <c r="BD26" s="16"/>
      <c r="BE26" s="16"/>
    </row>
    <row r="27" spans="1:57" ht="19.95" customHeight="1" x14ac:dyDescent="0.4">
      <c r="A27" s="3" t="s">
        <v>1209</v>
      </c>
      <c r="B27" s="15" t="s">
        <v>1210</v>
      </c>
      <c r="D27" s="16"/>
      <c r="E27" s="16"/>
      <c r="G27" s="17"/>
      <c r="H27" s="17"/>
      <c r="J27" t="s">
        <v>1229</v>
      </c>
      <c r="K27" t="s">
        <v>1227</v>
      </c>
      <c r="L27" s="71" t="s">
        <v>562</v>
      </c>
      <c r="M27" s="17" t="s">
        <v>556</v>
      </c>
      <c r="N27" s="17"/>
      <c r="O27" s="17" t="s">
        <v>558</v>
      </c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20"/>
      <c r="AB27" s="20"/>
      <c r="AC27" s="20"/>
      <c r="AD27" s="20"/>
      <c r="AF27" s="19"/>
      <c r="AG27" s="19"/>
      <c r="AH27" s="19"/>
      <c r="AI27" s="19"/>
      <c r="AJ27" s="19"/>
      <c r="AK27" s="19"/>
      <c r="AM27" s="20"/>
      <c r="AN27" s="20"/>
      <c r="AO27" s="20"/>
      <c r="AP27" s="20"/>
      <c r="AQ27" s="20"/>
      <c r="AR27" s="20"/>
      <c r="BC27" s="16"/>
      <c r="BD27" s="16"/>
      <c r="BE27" s="16"/>
    </row>
    <row r="28" spans="1:57" ht="19.95" customHeight="1" x14ac:dyDescent="0.4">
      <c r="A28" s="18" t="s">
        <v>358</v>
      </c>
      <c r="B28" s="18" t="s">
        <v>357</v>
      </c>
      <c r="D28" s="16"/>
      <c r="E28" s="16"/>
      <c r="G28" s="17" t="s">
        <v>347</v>
      </c>
      <c r="H28" s="17" t="s">
        <v>347</v>
      </c>
      <c r="M28" s="17"/>
      <c r="N28" s="17"/>
      <c r="O28" s="17"/>
      <c r="Q28" s="19" t="s">
        <v>22</v>
      </c>
      <c r="R28" s="19">
        <v>3</v>
      </c>
      <c r="S28" s="19" t="s">
        <v>570</v>
      </c>
      <c r="T28" s="19">
        <v>3</v>
      </c>
      <c r="U28" s="19"/>
      <c r="V28" s="19"/>
      <c r="W28" s="19"/>
      <c r="X28" s="19"/>
      <c r="Y28" s="19"/>
      <c r="Z28" s="19"/>
      <c r="AA28" s="20"/>
      <c r="AB28" s="20"/>
      <c r="AC28" s="20"/>
      <c r="AD28" s="20"/>
      <c r="AF28" s="19"/>
      <c r="AG28" s="19"/>
      <c r="AH28" s="19"/>
      <c r="AI28" s="19"/>
      <c r="AJ28" s="19"/>
      <c r="AK28" s="19"/>
      <c r="AM28" s="20"/>
      <c r="AN28" s="20"/>
      <c r="AO28" s="20"/>
      <c r="AP28" s="20"/>
      <c r="AQ28" s="20"/>
      <c r="AR28" s="20"/>
      <c r="BC28" s="16"/>
      <c r="BD28" s="16"/>
      <c r="BE28" s="16"/>
    </row>
    <row r="29" spans="1:57" ht="19.95" customHeight="1" x14ac:dyDescent="0.4">
      <c r="A29" s="18" t="s">
        <v>359</v>
      </c>
      <c r="B29" s="18" t="s">
        <v>357</v>
      </c>
      <c r="D29" s="16"/>
      <c r="E29" s="16"/>
      <c r="G29" s="17" t="s">
        <v>347</v>
      </c>
      <c r="H29" s="17" t="s">
        <v>347</v>
      </c>
      <c r="M29" s="17"/>
      <c r="N29" s="17"/>
      <c r="O29" s="17"/>
      <c r="Q29" s="19" t="s">
        <v>22</v>
      </c>
      <c r="R29" s="19">
        <v>3</v>
      </c>
      <c r="S29" s="19" t="s">
        <v>570</v>
      </c>
      <c r="T29" s="19">
        <v>3</v>
      </c>
      <c r="U29" s="19"/>
      <c r="V29" s="19"/>
      <c r="W29" s="19"/>
      <c r="X29" s="19"/>
      <c r="Y29" s="19"/>
      <c r="Z29" s="19"/>
      <c r="AA29" s="20"/>
      <c r="AB29" s="20"/>
      <c r="AC29" s="20" t="s">
        <v>571</v>
      </c>
      <c r="AD29" s="20">
        <v>50</v>
      </c>
      <c r="AF29" s="19" t="s">
        <v>280</v>
      </c>
      <c r="AG29" s="19">
        <v>4900</v>
      </c>
      <c r="AH29" s="19"/>
      <c r="AI29" s="19"/>
      <c r="AJ29" s="19"/>
      <c r="AK29" s="19"/>
      <c r="AM29" s="20"/>
      <c r="AN29" s="20"/>
      <c r="AO29" s="20"/>
      <c r="AP29" s="20"/>
      <c r="AQ29" s="20"/>
      <c r="AR29" s="20"/>
      <c r="BC29" s="16"/>
      <c r="BD29" s="16"/>
      <c r="BE29" s="16"/>
    </row>
    <row r="30" spans="1:57" ht="19.95" customHeight="1" x14ac:dyDescent="0.4">
      <c r="A30" s="18" t="s">
        <v>360</v>
      </c>
      <c r="B30" s="18" t="s">
        <v>357</v>
      </c>
      <c r="D30" s="16"/>
      <c r="E30" s="16"/>
      <c r="G30" s="17" t="s">
        <v>347</v>
      </c>
      <c r="H30" s="17" t="s">
        <v>347</v>
      </c>
      <c r="M30" s="17"/>
      <c r="N30" s="17"/>
      <c r="O30" s="17"/>
      <c r="Q30" s="19" t="s">
        <v>22</v>
      </c>
      <c r="R30" s="19">
        <v>25</v>
      </c>
      <c r="S30" s="19" t="s">
        <v>570</v>
      </c>
      <c r="T30" s="19">
        <v>35</v>
      </c>
      <c r="U30" s="19"/>
      <c r="V30" s="19"/>
      <c r="W30" s="19"/>
      <c r="X30" s="19"/>
      <c r="Y30" s="19"/>
      <c r="Z30" s="19"/>
      <c r="AA30" s="20" t="s">
        <v>24</v>
      </c>
      <c r="AB30" s="20">
        <v>70</v>
      </c>
      <c r="AC30" s="20" t="s">
        <v>571</v>
      </c>
      <c r="AD30" s="20">
        <v>40</v>
      </c>
      <c r="AF30" s="19" t="s">
        <v>280</v>
      </c>
      <c r="AG30" s="19">
        <v>4000</v>
      </c>
      <c r="AH30" s="19" t="s">
        <v>565</v>
      </c>
      <c r="AI30" s="19">
        <v>650</v>
      </c>
      <c r="AJ30" s="19" t="s">
        <v>273</v>
      </c>
      <c r="AK30" s="19">
        <v>300</v>
      </c>
      <c r="AM30" s="20"/>
      <c r="AN30" s="20"/>
      <c r="AO30" s="20"/>
      <c r="AP30" s="20"/>
      <c r="AQ30" s="20"/>
      <c r="AR30" s="20"/>
      <c r="BC30" s="16"/>
      <c r="BD30" s="16"/>
      <c r="BE30" s="16"/>
    </row>
    <row r="31" spans="1:57" ht="19.95" customHeight="1" x14ac:dyDescent="0.4">
      <c r="A31" s="18" t="s">
        <v>361</v>
      </c>
      <c r="B31" s="18" t="s">
        <v>357</v>
      </c>
      <c r="D31" s="16"/>
      <c r="E31" s="16"/>
      <c r="G31" s="17" t="s">
        <v>347</v>
      </c>
      <c r="H31" s="17" t="s">
        <v>347</v>
      </c>
      <c r="M31" s="17"/>
      <c r="N31" s="17"/>
      <c r="O31" s="17"/>
      <c r="Q31" s="19" t="s">
        <v>22</v>
      </c>
      <c r="R31" s="19">
        <v>35</v>
      </c>
      <c r="S31" s="19" t="s">
        <v>570</v>
      </c>
      <c r="T31" s="19">
        <v>55</v>
      </c>
      <c r="U31" s="19"/>
      <c r="V31" s="19"/>
      <c r="W31" s="19"/>
      <c r="X31" s="19"/>
      <c r="Y31" s="19"/>
      <c r="Z31" s="19"/>
      <c r="AA31" s="20" t="s">
        <v>24</v>
      </c>
      <c r="AB31" s="20">
        <v>90</v>
      </c>
      <c r="AC31" s="20" t="s">
        <v>571</v>
      </c>
      <c r="AD31" s="20">
        <v>45</v>
      </c>
      <c r="AF31" s="19" t="s">
        <v>280</v>
      </c>
      <c r="AG31" s="19">
        <v>3500</v>
      </c>
      <c r="AH31" s="19" t="s">
        <v>565</v>
      </c>
      <c r="AI31" s="19">
        <v>1000</v>
      </c>
      <c r="AJ31" s="19" t="s">
        <v>273</v>
      </c>
      <c r="AK31" s="19">
        <v>450</v>
      </c>
      <c r="AM31" s="20"/>
      <c r="AN31" s="20"/>
      <c r="AO31" s="20"/>
      <c r="AP31" s="20"/>
      <c r="AQ31" s="20"/>
      <c r="AR31" s="20"/>
      <c r="BC31" s="16"/>
      <c r="BD31" s="16"/>
      <c r="BE31" s="16"/>
    </row>
    <row r="32" spans="1:57" ht="19.95" customHeight="1" x14ac:dyDescent="0.4">
      <c r="A32" s="18" t="s">
        <v>362</v>
      </c>
      <c r="B32" s="18" t="s">
        <v>357</v>
      </c>
      <c r="D32" s="16"/>
      <c r="E32" s="16"/>
      <c r="G32" s="17" t="s">
        <v>347</v>
      </c>
      <c r="H32" s="17" t="s">
        <v>347</v>
      </c>
      <c r="M32" s="17"/>
      <c r="N32" s="17"/>
      <c r="O32" s="17"/>
      <c r="Q32" s="19" t="s">
        <v>22</v>
      </c>
      <c r="R32" s="19">
        <v>40</v>
      </c>
      <c r="S32" s="19" t="s">
        <v>570</v>
      </c>
      <c r="T32" s="19">
        <v>75</v>
      </c>
      <c r="U32" s="19"/>
      <c r="V32" s="19"/>
      <c r="W32" s="19"/>
      <c r="X32" s="19"/>
      <c r="Y32" s="19"/>
      <c r="Z32" s="19"/>
      <c r="AA32" s="20" t="s">
        <v>24</v>
      </c>
      <c r="AB32" s="20">
        <v>110</v>
      </c>
      <c r="AC32" s="20" t="s">
        <v>571</v>
      </c>
      <c r="AD32" s="20">
        <v>50</v>
      </c>
      <c r="AF32" s="19" t="s">
        <v>280</v>
      </c>
      <c r="AG32" s="19">
        <v>3000</v>
      </c>
      <c r="AH32" s="19" t="s">
        <v>565</v>
      </c>
      <c r="AI32" s="19">
        <v>1250</v>
      </c>
      <c r="AJ32" s="19" t="s">
        <v>273</v>
      </c>
      <c r="AK32" s="19">
        <v>700</v>
      </c>
      <c r="AM32" s="20"/>
      <c r="AN32" s="20"/>
      <c r="AO32" s="20"/>
      <c r="AP32" s="20"/>
      <c r="AQ32" s="20"/>
      <c r="AR32" s="20"/>
      <c r="BC32" s="16"/>
      <c r="BD32" s="16"/>
      <c r="BE32" s="16"/>
    </row>
    <row r="33" spans="1:57" ht="19.95" customHeight="1" x14ac:dyDescent="0.4">
      <c r="A33" s="18" t="s">
        <v>373</v>
      </c>
      <c r="B33" s="18" t="s">
        <v>372</v>
      </c>
      <c r="D33" s="16"/>
      <c r="E33" s="16"/>
      <c r="G33" s="17" t="s">
        <v>347</v>
      </c>
      <c r="H33" s="17" t="s">
        <v>347</v>
      </c>
      <c r="M33" s="17"/>
      <c r="N33" s="17"/>
      <c r="O33" s="17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20"/>
      <c r="AB33" s="20"/>
      <c r="AC33" s="20"/>
      <c r="AD33" s="20"/>
      <c r="AF33" s="19"/>
      <c r="AG33" s="19"/>
      <c r="AH33" s="19"/>
      <c r="AI33" s="19"/>
      <c r="AJ33" s="19"/>
      <c r="AK33" s="19"/>
      <c r="AM33" s="20"/>
      <c r="AN33" s="20"/>
      <c r="AO33" s="20"/>
      <c r="AP33" s="20"/>
      <c r="AQ33" s="20"/>
      <c r="AR33" s="20"/>
      <c r="BC33" s="16"/>
      <c r="BD33" s="16"/>
      <c r="BE33" s="16"/>
    </row>
    <row r="34" spans="1:57" ht="19.95" customHeight="1" x14ac:dyDescent="0.4">
      <c r="A34" s="18" t="s">
        <v>374</v>
      </c>
      <c r="B34" s="18" t="s">
        <v>372</v>
      </c>
      <c r="D34" s="16"/>
      <c r="E34" s="16"/>
      <c r="G34" s="17" t="s">
        <v>347</v>
      </c>
      <c r="H34" s="17" t="s">
        <v>347</v>
      </c>
      <c r="M34" s="17"/>
      <c r="N34" s="17"/>
      <c r="O34" s="17"/>
      <c r="Q34" s="19" t="s">
        <v>22</v>
      </c>
      <c r="R34" s="19">
        <v>0</v>
      </c>
      <c r="S34" s="19" t="s">
        <v>570</v>
      </c>
      <c r="T34" s="19">
        <v>35</v>
      </c>
      <c r="U34" s="19" t="s">
        <v>88</v>
      </c>
      <c r="V34" s="19">
        <v>20</v>
      </c>
      <c r="W34" s="19"/>
      <c r="X34" s="19"/>
      <c r="Y34" s="19"/>
      <c r="Z34" s="19"/>
      <c r="AA34" s="20" t="s">
        <v>24</v>
      </c>
      <c r="AB34" s="20">
        <v>85</v>
      </c>
      <c r="AC34" s="20" t="s">
        <v>571</v>
      </c>
      <c r="AD34" s="20">
        <v>45</v>
      </c>
      <c r="AF34" s="19" t="s">
        <v>280</v>
      </c>
      <c r="AG34" s="19">
        <v>750</v>
      </c>
      <c r="AH34" s="19"/>
      <c r="AI34" s="19"/>
      <c r="AJ34" s="19" t="s">
        <v>274</v>
      </c>
      <c r="AK34" s="19">
        <v>250</v>
      </c>
      <c r="AM34" s="20"/>
      <c r="AN34" s="20"/>
      <c r="AO34" s="20"/>
      <c r="AP34" s="20"/>
      <c r="AQ34" s="20"/>
      <c r="AR34" s="20"/>
      <c r="BC34" s="16"/>
      <c r="BD34" s="16"/>
      <c r="BE34" s="16"/>
    </row>
    <row r="35" spans="1:57" ht="19.95" customHeight="1" x14ac:dyDescent="0.4">
      <c r="A35" s="18" t="s">
        <v>375</v>
      </c>
      <c r="B35" s="18" t="s">
        <v>372</v>
      </c>
      <c r="D35" s="16"/>
      <c r="E35" s="16"/>
      <c r="G35" s="17" t="s">
        <v>347</v>
      </c>
      <c r="H35" s="17" t="s">
        <v>347</v>
      </c>
      <c r="M35" s="17"/>
      <c r="N35" s="17"/>
      <c r="O35" s="17"/>
      <c r="Q35" s="19" t="s">
        <v>22</v>
      </c>
      <c r="R35" s="19">
        <v>0</v>
      </c>
      <c r="S35" s="19" t="s">
        <v>570</v>
      </c>
      <c r="T35" s="19">
        <v>45</v>
      </c>
      <c r="U35" s="19" t="s">
        <v>88</v>
      </c>
      <c r="V35" s="19">
        <v>25</v>
      </c>
      <c r="W35" s="19"/>
      <c r="X35" s="19"/>
      <c r="Y35" s="19"/>
      <c r="Z35" s="19"/>
      <c r="AA35" s="20" t="s">
        <v>24</v>
      </c>
      <c r="AB35" s="20">
        <v>105</v>
      </c>
      <c r="AC35" s="20" t="s">
        <v>571</v>
      </c>
      <c r="AD35" s="20">
        <v>50</v>
      </c>
      <c r="AF35" s="19" t="s">
        <v>280</v>
      </c>
      <c r="AG35" s="19">
        <v>500</v>
      </c>
      <c r="AH35" s="19"/>
      <c r="AI35" s="19"/>
      <c r="AJ35" s="19" t="s">
        <v>274</v>
      </c>
      <c r="AK35" s="19">
        <v>500</v>
      </c>
      <c r="AM35" s="20"/>
      <c r="AN35" s="20"/>
      <c r="AO35" s="20"/>
      <c r="AP35" s="20"/>
      <c r="AQ35" s="20"/>
      <c r="AR35" s="20"/>
      <c r="BC35" s="16"/>
      <c r="BD35" s="16"/>
      <c r="BE35" s="16"/>
    </row>
    <row r="36" spans="1:57" ht="19.95" customHeight="1" x14ac:dyDescent="0.4">
      <c r="A36" s="18" t="s">
        <v>376</v>
      </c>
      <c r="B36" s="18" t="s">
        <v>372</v>
      </c>
      <c r="D36" s="16"/>
      <c r="E36" s="16"/>
      <c r="G36" s="17" t="s">
        <v>347</v>
      </c>
      <c r="H36" s="17" t="s">
        <v>347</v>
      </c>
      <c r="M36" s="17"/>
      <c r="N36" s="17"/>
      <c r="O36" s="17"/>
      <c r="Q36" s="19" t="s">
        <v>22</v>
      </c>
      <c r="R36" s="19">
        <v>0</v>
      </c>
      <c r="S36" s="19" t="s">
        <v>570</v>
      </c>
      <c r="T36" s="19">
        <v>55</v>
      </c>
      <c r="U36" s="19" t="s">
        <v>88</v>
      </c>
      <c r="V36" s="19">
        <v>30</v>
      </c>
      <c r="W36" s="19"/>
      <c r="X36" s="19"/>
      <c r="Y36" s="19"/>
      <c r="Z36" s="19"/>
      <c r="AA36" s="20" t="s">
        <v>24</v>
      </c>
      <c r="AB36" s="20">
        <v>120</v>
      </c>
      <c r="AC36" s="20" t="s">
        <v>571</v>
      </c>
      <c r="AD36" s="20">
        <v>55</v>
      </c>
      <c r="AF36" s="19" t="s">
        <v>280</v>
      </c>
      <c r="AG36" s="19">
        <v>250</v>
      </c>
      <c r="AH36" s="19"/>
      <c r="AI36" s="19"/>
      <c r="AJ36" s="19" t="s">
        <v>274</v>
      </c>
      <c r="AK36" s="19">
        <v>750</v>
      </c>
      <c r="AM36" s="20"/>
      <c r="AN36" s="20"/>
      <c r="AO36" s="20"/>
      <c r="AP36" s="20"/>
      <c r="AQ36" s="20"/>
      <c r="AR36" s="20"/>
      <c r="BC36" s="16"/>
      <c r="BD36" s="16"/>
      <c r="BE36" s="16"/>
    </row>
    <row r="37" spans="1:57" ht="19.95" customHeight="1" x14ac:dyDescent="0.4">
      <c r="A37" s="18" t="s">
        <v>378</v>
      </c>
      <c r="B37" s="18" t="s">
        <v>377</v>
      </c>
      <c r="D37" s="16"/>
      <c r="E37" s="16"/>
      <c r="G37" s="17" t="s">
        <v>347</v>
      </c>
      <c r="H37" s="17" t="s">
        <v>347</v>
      </c>
      <c r="M37" s="17"/>
      <c r="N37" s="17"/>
      <c r="O37" s="17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20"/>
      <c r="AB37" s="20"/>
      <c r="AC37" s="20"/>
      <c r="AD37" s="20"/>
      <c r="AF37" s="19"/>
      <c r="AG37" s="19"/>
      <c r="AH37" s="19"/>
      <c r="AI37" s="19"/>
      <c r="AJ37" s="19"/>
      <c r="AK37" s="19"/>
      <c r="AM37" s="20"/>
      <c r="AN37" s="20"/>
      <c r="AO37" s="20"/>
      <c r="AP37" s="20"/>
      <c r="AQ37" s="20"/>
      <c r="AR37" s="20"/>
      <c r="BC37" s="16"/>
      <c r="BD37" s="16"/>
      <c r="BE37" s="16"/>
    </row>
    <row r="38" spans="1:57" ht="19.95" customHeight="1" x14ac:dyDescent="0.4">
      <c r="A38" s="18" t="s">
        <v>379</v>
      </c>
      <c r="B38" s="18" t="s">
        <v>377</v>
      </c>
      <c r="D38" s="16"/>
      <c r="E38" s="16"/>
      <c r="G38" s="17" t="s">
        <v>360</v>
      </c>
      <c r="H38" s="17" t="s">
        <v>347</v>
      </c>
      <c r="M38" s="17"/>
      <c r="N38" s="17"/>
      <c r="O38" s="17"/>
      <c r="Q38" s="19" t="s">
        <v>22</v>
      </c>
      <c r="R38" s="19">
        <v>3</v>
      </c>
      <c r="S38" s="19" t="s">
        <v>570</v>
      </c>
      <c r="T38" s="19">
        <v>0</v>
      </c>
      <c r="U38" s="19" t="s">
        <v>115</v>
      </c>
      <c r="V38" s="19">
        <v>3</v>
      </c>
      <c r="W38" s="19"/>
      <c r="X38" s="19"/>
      <c r="Y38" s="19"/>
      <c r="Z38" s="19"/>
      <c r="AA38" s="20"/>
      <c r="AB38" s="20"/>
      <c r="AC38" s="20"/>
      <c r="AD38" s="20"/>
      <c r="AF38" s="19" t="s">
        <v>280</v>
      </c>
      <c r="AG38" s="19">
        <v>-750</v>
      </c>
      <c r="AH38" s="19" t="s">
        <v>565</v>
      </c>
      <c r="AI38" s="19">
        <v>150</v>
      </c>
      <c r="AJ38" s="19" t="s">
        <v>273</v>
      </c>
      <c r="AK38" s="19">
        <v>50</v>
      </c>
      <c r="AM38" s="20"/>
      <c r="AN38" s="20"/>
      <c r="AO38" s="20"/>
      <c r="AP38" s="20"/>
      <c r="AQ38" s="20"/>
      <c r="AR38" s="20"/>
      <c r="BC38" s="16"/>
      <c r="BD38" s="16"/>
      <c r="BE38" s="16"/>
    </row>
    <row r="39" spans="1:57" ht="19.95" customHeight="1" x14ac:dyDescent="0.4">
      <c r="A39" s="18" t="s">
        <v>380</v>
      </c>
      <c r="B39" s="18" t="s">
        <v>377</v>
      </c>
      <c r="D39" s="16"/>
      <c r="E39" s="16"/>
      <c r="G39" s="17" t="s">
        <v>361</v>
      </c>
      <c r="H39" s="17" t="s">
        <v>347</v>
      </c>
      <c r="M39" s="17"/>
      <c r="N39" s="17"/>
      <c r="O39" s="17"/>
      <c r="Q39" s="19" t="s">
        <v>22</v>
      </c>
      <c r="R39" s="19">
        <v>10</v>
      </c>
      <c r="S39" s="19" t="s">
        <v>570</v>
      </c>
      <c r="T39" s="19">
        <v>0</v>
      </c>
      <c r="U39" s="19" t="s">
        <v>115</v>
      </c>
      <c r="V39" s="19">
        <v>5</v>
      </c>
      <c r="W39" s="19"/>
      <c r="X39" s="19"/>
      <c r="Y39" s="19"/>
      <c r="Z39" s="19"/>
      <c r="AA39" s="20"/>
      <c r="AB39" s="20"/>
      <c r="AC39" s="20"/>
      <c r="AD39" s="20"/>
      <c r="AF39" s="19" t="s">
        <v>280</v>
      </c>
      <c r="AG39" s="19">
        <v>-1250</v>
      </c>
      <c r="AH39" s="19" t="s">
        <v>565</v>
      </c>
      <c r="AI39" s="19">
        <v>50</v>
      </c>
      <c r="AJ39" s="19" t="s">
        <v>273</v>
      </c>
      <c r="AK39" s="19">
        <v>150</v>
      </c>
      <c r="AM39" s="20"/>
      <c r="AN39" s="20"/>
      <c r="AO39" s="20"/>
      <c r="AP39" s="20"/>
      <c r="AQ39" s="20"/>
      <c r="AR39" s="20"/>
      <c r="BC39" s="16"/>
      <c r="BD39" s="16"/>
      <c r="BE39" s="16"/>
    </row>
    <row r="40" spans="1:57" ht="19.95" customHeight="1" x14ac:dyDescent="0.4">
      <c r="A40" s="18" t="s">
        <v>572</v>
      </c>
      <c r="B40" s="18" t="s">
        <v>381</v>
      </c>
      <c r="D40" s="16"/>
      <c r="E40" s="16"/>
      <c r="G40" s="17" t="s">
        <v>347</v>
      </c>
      <c r="H40" s="17" t="s">
        <v>347</v>
      </c>
      <c r="M40" s="17"/>
      <c r="N40" s="17"/>
      <c r="O40" s="17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20"/>
      <c r="AB40" s="20"/>
      <c r="AC40" s="20"/>
      <c r="AD40" s="20"/>
      <c r="AF40" s="19"/>
      <c r="AG40" s="19"/>
      <c r="AH40" s="19"/>
      <c r="AI40" s="19"/>
      <c r="AJ40" s="19"/>
      <c r="AK40" s="19"/>
      <c r="AM40" s="20"/>
      <c r="AN40" s="20"/>
      <c r="AO40" s="20"/>
      <c r="AP40" s="20"/>
      <c r="AQ40" s="20"/>
      <c r="AR40" s="20"/>
      <c r="BC40" s="16"/>
      <c r="BD40" s="16"/>
      <c r="BE40" s="16"/>
    </row>
    <row r="41" spans="1:57" ht="19.95" customHeight="1" x14ac:dyDescent="0.4">
      <c r="A41" s="18" t="s">
        <v>383</v>
      </c>
      <c r="B41" s="18" t="s">
        <v>381</v>
      </c>
      <c r="D41" s="16"/>
      <c r="E41" s="16"/>
      <c r="G41" s="17" t="s">
        <v>374</v>
      </c>
      <c r="H41" s="17" t="s">
        <v>347</v>
      </c>
      <c r="M41" s="17" t="s">
        <v>573</v>
      </c>
      <c r="N41" s="17" t="s">
        <v>574</v>
      </c>
      <c r="O41" s="17"/>
      <c r="Q41" s="19" t="s">
        <v>22</v>
      </c>
      <c r="R41" s="19">
        <v>0</v>
      </c>
      <c r="S41" s="19" t="s">
        <v>88</v>
      </c>
      <c r="T41" s="19">
        <v>1</v>
      </c>
      <c r="U41" s="19" t="s">
        <v>115</v>
      </c>
      <c r="V41" s="19">
        <v>1</v>
      </c>
      <c r="W41" s="19" t="s">
        <v>117</v>
      </c>
      <c r="X41" s="19">
        <v>1</v>
      </c>
      <c r="Y41" s="19"/>
      <c r="Z41" s="19"/>
      <c r="AA41" s="20"/>
      <c r="AB41" s="20"/>
      <c r="AC41" s="20"/>
      <c r="AD41" s="20"/>
      <c r="AF41" s="19" t="s">
        <v>280</v>
      </c>
      <c r="AG41" s="19">
        <v>-500</v>
      </c>
      <c r="AH41" s="19" t="s">
        <v>273</v>
      </c>
      <c r="AI41" s="19">
        <v>0</v>
      </c>
      <c r="AJ41" s="19" t="s">
        <v>274</v>
      </c>
      <c r="AK41" s="19">
        <v>50</v>
      </c>
      <c r="AM41" s="20"/>
      <c r="AN41" s="20"/>
      <c r="AO41" s="20"/>
      <c r="AP41" s="20"/>
      <c r="AQ41" s="20"/>
      <c r="AR41" s="20"/>
      <c r="BC41" s="16"/>
      <c r="BD41" s="16"/>
      <c r="BE41" s="16"/>
    </row>
    <row r="42" spans="1:57" ht="19.95" customHeight="1" x14ac:dyDescent="0.4">
      <c r="A42" s="18" t="s">
        <v>355</v>
      </c>
      <c r="B42" s="18" t="s">
        <v>381</v>
      </c>
      <c r="D42" s="16"/>
      <c r="E42" s="16"/>
      <c r="G42" s="17" t="s">
        <v>375</v>
      </c>
      <c r="H42" s="17" t="s">
        <v>347</v>
      </c>
      <c r="M42" s="17" t="s">
        <v>573</v>
      </c>
      <c r="N42" s="17" t="s">
        <v>574</v>
      </c>
      <c r="O42" s="17"/>
      <c r="Q42" s="19" t="s">
        <v>22</v>
      </c>
      <c r="R42" s="19">
        <v>0</v>
      </c>
      <c r="S42" s="19" t="s">
        <v>88</v>
      </c>
      <c r="T42" s="19">
        <v>2</v>
      </c>
      <c r="U42" s="19" t="s">
        <v>115</v>
      </c>
      <c r="V42" s="19">
        <v>1</v>
      </c>
      <c r="W42" s="19" t="s">
        <v>117</v>
      </c>
      <c r="X42" s="19">
        <v>2</v>
      </c>
      <c r="Y42" s="19"/>
      <c r="Z42" s="19"/>
      <c r="AA42" s="20"/>
      <c r="AB42" s="20"/>
      <c r="AC42" s="20"/>
      <c r="AD42" s="20"/>
      <c r="AF42" s="19" t="s">
        <v>280</v>
      </c>
      <c r="AG42" s="19">
        <v>-1000</v>
      </c>
      <c r="AH42" s="19" t="s">
        <v>273</v>
      </c>
      <c r="AI42" s="19">
        <v>0</v>
      </c>
      <c r="AJ42" s="19" t="s">
        <v>274</v>
      </c>
      <c r="AK42" s="19">
        <v>100</v>
      </c>
      <c r="AM42" s="20"/>
      <c r="AN42" s="20"/>
      <c r="AO42" s="20"/>
      <c r="AP42" s="20"/>
      <c r="AQ42" s="20"/>
      <c r="AR42" s="20"/>
      <c r="BC42" s="16"/>
      <c r="BD42" s="16"/>
      <c r="BE42" s="16"/>
    </row>
    <row r="43" spans="1:57" ht="19.95" customHeight="1" x14ac:dyDescent="0.4">
      <c r="A43" s="18" t="s">
        <v>384</v>
      </c>
      <c r="B43" s="18" t="s">
        <v>381</v>
      </c>
      <c r="D43" s="16"/>
      <c r="E43" s="16"/>
      <c r="G43" s="17" t="s">
        <v>376</v>
      </c>
      <c r="H43" s="17" t="s">
        <v>347</v>
      </c>
      <c r="M43" s="17" t="s">
        <v>573</v>
      </c>
      <c r="N43" s="17" t="s">
        <v>574</v>
      </c>
      <c r="O43" s="17"/>
      <c r="Q43" s="19" t="s">
        <v>22</v>
      </c>
      <c r="R43" s="19">
        <v>0</v>
      </c>
      <c r="S43" s="19" t="s">
        <v>88</v>
      </c>
      <c r="T43" s="19">
        <v>3</v>
      </c>
      <c r="U43" s="19" t="s">
        <v>115</v>
      </c>
      <c r="V43" s="19">
        <v>1</v>
      </c>
      <c r="W43" s="19" t="s">
        <v>117</v>
      </c>
      <c r="X43" s="19">
        <v>3</v>
      </c>
      <c r="Y43" s="19"/>
      <c r="Z43" s="19"/>
      <c r="AA43" s="20"/>
      <c r="AB43" s="20"/>
      <c r="AC43" s="20"/>
      <c r="AD43" s="20"/>
      <c r="AF43" s="19" t="s">
        <v>280</v>
      </c>
      <c r="AG43" s="19">
        <v>-2000</v>
      </c>
      <c r="AH43" s="19" t="s">
        <v>273</v>
      </c>
      <c r="AI43" s="19">
        <v>0</v>
      </c>
      <c r="AJ43" s="19" t="s">
        <v>274</v>
      </c>
      <c r="AK43" s="19">
        <v>150</v>
      </c>
      <c r="AM43" s="20"/>
      <c r="AN43" s="20"/>
      <c r="AO43" s="20"/>
      <c r="AP43" s="20"/>
      <c r="AQ43" s="20"/>
      <c r="AR43" s="20"/>
      <c r="BC43" s="16"/>
      <c r="BD43" s="16"/>
      <c r="BE43" s="16"/>
    </row>
    <row r="44" spans="1:57" ht="19.95" customHeight="1" x14ac:dyDescent="0.4">
      <c r="A44" s="18" t="s">
        <v>575</v>
      </c>
      <c r="B44" s="18" t="s">
        <v>385</v>
      </c>
      <c r="D44" s="16"/>
      <c r="E44" s="16"/>
      <c r="G44" s="17" t="s">
        <v>347</v>
      </c>
      <c r="H44" s="17" t="s">
        <v>347</v>
      </c>
      <c r="M44" s="17"/>
      <c r="N44" s="17"/>
      <c r="O44" s="17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20"/>
      <c r="AB44" s="20"/>
      <c r="AC44" s="20"/>
      <c r="AD44" s="20"/>
      <c r="AF44" s="19"/>
      <c r="AG44" s="19"/>
      <c r="AH44" s="19"/>
      <c r="AI44" s="19"/>
      <c r="AJ44" s="19"/>
      <c r="AK44" s="19"/>
      <c r="AM44" s="20"/>
      <c r="AN44" s="20"/>
      <c r="AO44" s="20"/>
      <c r="AP44" s="20"/>
      <c r="AQ44" s="20"/>
      <c r="AR44" s="20"/>
      <c r="BC44" s="16"/>
      <c r="BD44" s="16"/>
      <c r="BE44" s="16"/>
    </row>
    <row r="45" spans="1:57" ht="19.95" customHeight="1" x14ac:dyDescent="0.4">
      <c r="A45" s="18" t="s">
        <v>387</v>
      </c>
      <c r="B45" s="18" t="s">
        <v>385</v>
      </c>
      <c r="D45" s="16"/>
      <c r="E45" s="16"/>
      <c r="G45" s="17" t="s">
        <v>380</v>
      </c>
      <c r="H45" s="17" t="s">
        <v>384</v>
      </c>
      <c r="M45" s="17" t="s">
        <v>576</v>
      </c>
      <c r="N45" s="17"/>
      <c r="O45" s="17"/>
      <c r="Q45" s="19" t="s">
        <v>22</v>
      </c>
      <c r="R45" s="19">
        <v>5</v>
      </c>
      <c r="S45" s="19" t="s">
        <v>88</v>
      </c>
      <c r="T45" s="19">
        <v>1</v>
      </c>
      <c r="U45" s="19" t="s">
        <v>115</v>
      </c>
      <c r="V45" s="19">
        <v>3</v>
      </c>
      <c r="W45" s="19" t="s">
        <v>117</v>
      </c>
      <c r="X45" s="19">
        <v>1</v>
      </c>
      <c r="Y45" s="19" t="s">
        <v>82</v>
      </c>
      <c r="Z45" s="19">
        <v>1</v>
      </c>
      <c r="AA45" s="20"/>
      <c r="AB45" s="20"/>
      <c r="AC45" s="20"/>
      <c r="AD45" s="20"/>
      <c r="AF45" s="19" t="s">
        <v>565</v>
      </c>
      <c r="AG45" s="19">
        <v>-1250</v>
      </c>
      <c r="AH45" s="19" t="s">
        <v>273</v>
      </c>
      <c r="AI45" s="19">
        <v>250</v>
      </c>
      <c r="AJ45" s="19" t="s">
        <v>274</v>
      </c>
      <c r="AK45" s="19">
        <v>250</v>
      </c>
      <c r="AM45" s="20"/>
      <c r="AN45" s="20"/>
      <c r="AO45" s="20"/>
      <c r="AP45" s="20"/>
      <c r="AQ45" s="20"/>
      <c r="AR45" s="20"/>
      <c r="BC45" s="16"/>
      <c r="BD45" s="16"/>
      <c r="BE45" s="16"/>
    </row>
    <row r="46" spans="1:57" ht="19.95" customHeight="1" x14ac:dyDescent="0.4">
      <c r="A46" s="15" t="s">
        <v>389</v>
      </c>
      <c r="B46" s="15" t="s">
        <v>388</v>
      </c>
      <c r="D46" s="16"/>
      <c r="E46" s="16"/>
      <c r="G46" s="17" t="s">
        <v>347</v>
      </c>
      <c r="H46" s="17" t="s">
        <v>347</v>
      </c>
      <c r="M46" s="17"/>
      <c r="N46" s="17"/>
      <c r="O46" s="17"/>
      <c r="Q46" s="19" t="s">
        <v>24</v>
      </c>
      <c r="R46" s="19">
        <v>20</v>
      </c>
      <c r="S46" s="19"/>
      <c r="T46" s="19"/>
      <c r="U46" s="19"/>
      <c r="V46" s="19"/>
      <c r="W46" s="19"/>
      <c r="X46" s="19"/>
      <c r="Y46" s="19"/>
      <c r="Z46" s="19"/>
      <c r="AA46" s="20" t="s">
        <v>577</v>
      </c>
      <c r="AB46" s="20">
        <v>80</v>
      </c>
      <c r="AC46" s="20"/>
      <c r="AD46" s="20"/>
      <c r="AF46" s="19" t="s">
        <v>280</v>
      </c>
      <c r="AG46" s="19">
        <v>4900</v>
      </c>
      <c r="AH46" s="19"/>
      <c r="AI46" s="19"/>
      <c r="AJ46" s="19"/>
      <c r="AK46" s="19"/>
      <c r="AM46" s="20"/>
      <c r="AN46" s="20"/>
      <c r="AO46" s="20"/>
      <c r="AP46" s="20"/>
      <c r="AQ46" s="20"/>
      <c r="AR46" s="20"/>
      <c r="BC46" s="16"/>
      <c r="BD46" s="16"/>
      <c r="BE46" s="16"/>
    </row>
    <row r="47" spans="1:57" ht="19.95" customHeight="1" x14ac:dyDescent="0.4">
      <c r="A47" s="15" t="s">
        <v>390</v>
      </c>
      <c r="B47" s="15" t="s">
        <v>388</v>
      </c>
      <c r="D47" s="16"/>
      <c r="E47" s="16"/>
      <c r="G47" s="17" t="s">
        <v>347</v>
      </c>
      <c r="H47" s="17" t="s">
        <v>347</v>
      </c>
      <c r="M47" s="17"/>
      <c r="N47" s="17"/>
      <c r="O47" s="17"/>
      <c r="Q47" s="19" t="s">
        <v>24</v>
      </c>
      <c r="R47" s="19">
        <v>40</v>
      </c>
      <c r="S47" s="19" t="s">
        <v>577</v>
      </c>
      <c r="T47" s="19">
        <v>10</v>
      </c>
      <c r="U47" s="19" t="s">
        <v>22</v>
      </c>
      <c r="V47" s="19">
        <v>5</v>
      </c>
      <c r="W47" s="19"/>
      <c r="X47" s="19"/>
      <c r="Y47" s="19"/>
      <c r="Z47" s="19"/>
      <c r="AA47" s="20" t="s">
        <v>577</v>
      </c>
      <c r="AB47" s="20">
        <v>120</v>
      </c>
      <c r="AC47" s="20"/>
      <c r="AD47" s="20"/>
      <c r="AF47" s="19" t="s">
        <v>280</v>
      </c>
      <c r="AG47" s="19">
        <v>4000</v>
      </c>
      <c r="AH47" s="19" t="s">
        <v>565</v>
      </c>
      <c r="AI47" s="19">
        <v>650</v>
      </c>
      <c r="AJ47" s="19" t="s">
        <v>273</v>
      </c>
      <c r="AK47" s="19">
        <v>300</v>
      </c>
      <c r="AM47" s="20"/>
      <c r="AN47" s="20"/>
      <c r="AO47" s="20"/>
      <c r="AP47" s="20"/>
      <c r="AQ47" s="20"/>
      <c r="AR47" s="20"/>
      <c r="BC47" s="16"/>
      <c r="BD47" s="16"/>
      <c r="BE47" s="16"/>
    </row>
    <row r="48" spans="1:57" ht="19.95" customHeight="1" x14ac:dyDescent="0.4">
      <c r="A48" s="15" t="s">
        <v>391</v>
      </c>
      <c r="B48" s="15" t="s">
        <v>388</v>
      </c>
      <c r="D48" s="16"/>
      <c r="E48" s="16"/>
      <c r="G48" s="17" t="s">
        <v>347</v>
      </c>
      <c r="H48" s="17" t="s">
        <v>347</v>
      </c>
      <c r="M48" s="17"/>
      <c r="N48" s="17"/>
      <c r="O48" s="17"/>
      <c r="Q48" s="19" t="s">
        <v>24</v>
      </c>
      <c r="R48" s="19">
        <v>50</v>
      </c>
      <c r="S48" s="19" t="s">
        <v>90</v>
      </c>
      <c r="T48" s="19">
        <v>10</v>
      </c>
      <c r="U48" s="19" t="s">
        <v>113</v>
      </c>
      <c r="V48" s="19">
        <v>10</v>
      </c>
      <c r="W48" s="19" t="s">
        <v>577</v>
      </c>
      <c r="X48" s="19">
        <v>10</v>
      </c>
      <c r="Y48" s="19" t="s">
        <v>22</v>
      </c>
      <c r="Z48" s="19">
        <v>5</v>
      </c>
      <c r="AA48" s="20" t="s">
        <v>577</v>
      </c>
      <c r="AB48" s="20">
        <v>180</v>
      </c>
      <c r="AC48" s="20"/>
      <c r="AD48" s="20"/>
      <c r="AF48" s="19" t="s">
        <v>280</v>
      </c>
      <c r="AG48" s="19">
        <v>3900</v>
      </c>
      <c r="AH48" s="19" t="s">
        <v>273</v>
      </c>
      <c r="AI48" s="19">
        <v>750</v>
      </c>
      <c r="AJ48" s="19" t="s">
        <v>274</v>
      </c>
      <c r="AK48" s="19">
        <v>250</v>
      </c>
      <c r="AM48" s="20"/>
      <c r="AN48" s="20"/>
      <c r="AO48" s="20"/>
      <c r="AP48" s="20"/>
      <c r="AQ48" s="20"/>
      <c r="AR48" s="20"/>
      <c r="BC48" s="16"/>
      <c r="BD48" s="16"/>
      <c r="BE48" s="16"/>
    </row>
    <row r="49" spans="1:57" ht="19.95" customHeight="1" x14ac:dyDescent="0.4">
      <c r="A49" s="15" t="s">
        <v>578</v>
      </c>
      <c r="B49" s="15" t="s">
        <v>392</v>
      </c>
      <c r="D49" s="16"/>
      <c r="E49" s="16"/>
      <c r="G49" s="17" t="s">
        <v>347</v>
      </c>
      <c r="H49" s="17" t="s">
        <v>347</v>
      </c>
      <c r="M49" s="17"/>
      <c r="N49" s="17"/>
      <c r="O49" s="17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20"/>
      <c r="AB49" s="20"/>
      <c r="AC49" s="20"/>
      <c r="AD49" s="20"/>
      <c r="AF49" s="19"/>
      <c r="AG49" s="19"/>
      <c r="AH49" s="19"/>
      <c r="AI49" s="19"/>
      <c r="AJ49" s="19"/>
      <c r="AK49" s="19"/>
      <c r="AM49" s="20"/>
      <c r="AN49" s="20"/>
      <c r="AO49" s="20"/>
      <c r="AP49" s="20"/>
      <c r="AQ49" s="20"/>
      <c r="AR49" s="20"/>
      <c r="BC49" s="16"/>
      <c r="BD49" s="16"/>
      <c r="BE49" s="16"/>
    </row>
    <row r="50" spans="1:57" ht="19.95" customHeight="1" x14ac:dyDescent="0.4">
      <c r="A50" s="15" t="s">
        <v>394</v>
      </c>
      <c r="B50" s="15" t="s">
        <v>392</v>
      </c>
      <c r="D50" s="16"/>
      <c r="E50" s="16"/>
      <c r="G50" s="17" t="s">
        <v>389</v>
      </c>
      <c r="H50" s="17" t="s">
        <v>347</v>
      </c>
      <c r="M50" s="17"/>
      <c r="N50" s="17"/>
      <c r="O50" s="17"/>
      <c r="Q50" s="19" t="s">
        <v>22</v>
      </c>
      <c r="R50" s="19">
        <v>2</v>
      </c>
      <c r="S50" s="19" t="s">
        <v>115</v>
      </c>
      <c r="T50" s="19">
        <v>2</v>
      </c>
      <c r="U50" s="19"/>
      <c r="V50" s="19"/>
      <c r="W50" s="19"/>
      <c r="X50" s="19"/>
      <c r="Y50" s="19"/>
      <c r="Z50" s="19"/>
      <c r="AA50" s="20"/>
      <c r="AB50" s="20"/>
      <c r="AC50" s="20"/>
      <c r="AD50" s="20"/>
      <c r="AF50" s="19" t="s">
        <v>280</v>
      </c>
      <c r="AG50" s="19">
        <v>-750</v>
      </c>
      <c r="AH50" s="19" t="s">
        <v>565</v>
      </c>
      <c r="AI50" s="19">
        <v>250</v>
      </c>
      <c r="AJ50" s="19" t="s">
        <v>273</v>
      </c>
      <c r="AK50" s="19">
        <v>150</v>
      </c>
      <c r="AM50" s="20"/>
      <c r="AN50" s="20"/>
      <c r="AO50" s="20"/>
      <c r="AP50" s="20"/>
      <c r="AQ50" s="20"/>
      <c r="AR50" s="20"/>
      <c r="BC50" s="16"/>
      <c r="BD50" s="16"/>
      <c r="BE50" s="16"/>
    </row>
    <row r="51" spans="1:57" ht="19.95" customHeight="1" x14ac:dyDescent="0.4">
      <c r="A51" s="15" t="s">
        <v>395</v>
      </c>
      <c r="B51" s="15" t="s">
        <v>392</v>
      </c>
      <c r="D51" s="16"/>
      <c r="E51" s="16"/>
      <c r="G51" s="17" t="s">
        <v>390</v>
      </c>
      <c r="H51" s="17" t="s">
        <v>347</v>
      </c>
      <c r="M51" s="17"/>
      <c r="N51" s="17"/>
      <c r="O51" s="17"/>
      <c r="Q51" s="19" t="s">
        <v>22</v>
      </c>
      <c r="R51" s="19">
        <v>5</v>
      </c>
      <c r="S51" s="19" t="s">
        <v>115</v>
      </c>
      <c r="T51" s="19">
        <v>5</v>
      </c>
      <c r="U51" s="19"/>
      <c r="V51" s="19"/>
      <c r="W51" s="19"/>
      <c r="X51" s="19"/>
      <c r="Y51" s="19"/>
      <c r="Z51" s="19"/>
      <c r="AA51" s="20"/>
      <c r="AB51" s="20"/>
      <c r="AC51" s="20"/>
      <c r="AD51" s="20"/>
      <c r="AF51" s="19" t="s">
        <v>280</v>
      </c>
      <c r="AG51" s="19">
        <v>-1250</v>
      </c>
      <c r="AH51" s="19" t="s">
        <v>565</v>
      </c>
      <c r="AI51" s="19">
        <v>200</v>
      </c>
      <c r="AJ51" s="19" t="s">
        <v>273</v>
      </c>
      <c r="AK51" s="19">
        <v>200</v>
      </c>
      <c r="AM51" s="20"/>
      <c r="AN51" s="20"/>
      <c r="AO51" s="20"/>
      <c r="AP51" s="20"/>
      <c r="AQ51" s="20"/>
      <c r="AR51" s="20"/>
      <c r="BC51" s="16"/>
      <c r="BD51" s="16"/>
      <c r="BE51" s="16"/>
    </row>
    <row r="52" spans="1:57" ht="19.95" customHeight="1" x14ac:dyDescent="0.4">
      <c r="A52" s="15" t="s">
        <v>396</v>
      </c>
      <c r="B52" s="15" t="s">
        <v>392</v>
      </c>
      <c r="D52" s="16"/>
      <c r="E52" s="16"/>
      <c r="G52" s="17" t="s">
        <v>390</v>
      </c>
      <c r="H52" s="17" t="s">
        <v>347</v>
      </c>
      <c r="M52" s="17"/>
      <c r="N52" s="17"/>
      <c r="O52" s="17"/>
      <c r="Q52" s="19" t="s">
        <v>22</v>
      </c>
      <c r="R52" s="19">
        <v>10</v>
      </c>
      <c r="S52" s="19" t="s">
        <v>115</v>
      </c>
      <c r="T52" s="19">
        <v>10</v>
      </c>
      <c r="U52" s="19" t="s">
        <v>82</v>
      </c>
      <c r="V52" s="19">
        <v>1</v>
      </c>
      <c r="W52" s="19"/>
      <c r="X52" s="19"/>
      <c r="Y52" s="19"/>
      <c r="Z52" s="19"/>
      <c r="AA52" s="20"/>
      <c r="AB52" s="20"/>
      <c r="AC52" s="20"/>
      <c r="AD52" s="20"/>
      <c r="AF52" s="19" t="s">
        <v>280</v>
      </c>
      <c r="AG52" s="19">
        <v>-2000</v>
      </c>
      <c r="AH52" s="19" t="s">
        <v>565</v>
      </c>
      <c r="AI52" s="19">
        <v>150</v>
      </c>
      <c r="AJ52" s="19" t="s">
        <v>273</v>
      </c>
      <c r="AK52" s="19">
        <v>250</v>
      </c>
      <c r="AM52" s="20"/>
      <c r="AN52" s="20"/>
      <c r="AO52" s="20"/>
      <c r="AP52" s="20"/>
      <c r="AQ52" s="20"/>
      <c r="AR52" s="20"/>
      <c r="BC52" s="16"/>
      <c r="BD52" s="16"/>
      <c r="BE52" s="16"/>
    </row>
    <row r="53" spans="1:57" ht="19.95" customHeight="1" x14ac:dyDescent="0.4">
      <c r="A53" s="15" t="s">
        <v>397</v>
      </c>
      <c r="B53" s="15" t="s">
        <v>392</v>
      </c>
      <c r="D53" s="16"/>
      <c r="E53" s="16"/>
      <c r="G53" s="17" t="s">
        <v>391</v>
      </c>
      <c r="H53" s="17" t="s">
        <v>347</v>
      </c>
      <c r="M53" s="17" t="s">
        <v>576</v>
      </c>
      <c r="N53" s="17"/>
      <c r="O53" s="17"/>
      <c r="Q53" s="19" t="s">
        <v>22</v>
      </c>
      <c r="R53" s="19">
        <v>10</v>
      </c>
      <c r="S53" s="19" t="s">
        <v>115</v>
      </c>
      <c r="T53" s="19">
        <v>10</v>
      </c>
      <c r="U53" s="19" t="s">
        <v>117</v>
      </c>
      <c r="V53" s="19">
        <v>2</v>
      </c>
      <c r="W53" s="19" t="s">
        <v>88</v>
      </c>
      <c r="X53" s="19">
        <v>2</v>
      </c>
      <c r="Y53" s="19" t="s">
        <v>82</v>
      </c>
      <c r="Z53" s="19">
        <v>1</v>
      </c>
      <c r="AA53" s="20"/>
      <c r="AB53" s="20"/>
      <c r="AC53" s="20"/>
      <c r="AD53" s="20"/>
      <c r="AF53" s="19" t="s">
        <v>280</v>
      </c>
      <c r="AG53" s="19">
        <v>-3900</v>
      </c>
      <c r="AH53" s="19" t="s">
        <v>273</v>
      </c>
      <c r="AI53" s="19">
        <v>500</v>
      </c>
      <c r="AJ53" s="19" t="s">
        <v>274</v>
      </c>
      <c r="AK53" s="19">
        <v>500</v>
      </c>
      <c r="AM53" s="20"/>
      <c r="AN53" s="20"/>
      <c r="AO53" s="20"/>
      <c r="AP53" s="20"/>
      <c r="AQ53" s="20"/>
      <c r="AR53" s="20"/>
      <c r="BC53" s="16"/>
      <c r="BD53" s="16"/>
      <c r="BE53" s="16"/>
    </row>
    <row r="54" spans="1:57" ht="19.95" customHeight="1" x14ac:dyDescent="0.4">
      <c r="A54" s="18" t="s">
        <v>354</v>
      </c>
      <c r="B54" s="18" t="s">
        <v>398</v>
      </c>
      <c r="D54" s="16"/>
      <c r="E54" s="16"/>
      <c r="G54" s="17" t="s">
        <v>347</v>
      </c>
      <c r="H54" s="17" t="s">
        <v>347</v>
      </c>
      <c r="M54" s="17" t="s">
        <v>573</v>
      </c>
      <c r="N54" s="17"/>
      <c r="O54" s="17"/>
      <c r="Q54" s="19" t="s">
        <v>90</v>
      </c>
      <c r="R54" s="19">
        <v>5</v>
      </c>
      <c r="S54" s="19" t="s">
        <v>88</v>
      </c>
      <c r="T54" s="19">
        <v>5</v>
      </c>
      <c r="U54" s="19" t="s">
        <v>24</v>
      </c>
      <c r="V54" s="19">
        <v>5</v>
      </c>
      <c r="W54" s="19"/>
      <c r="X54" s="19"/>
      <c r="Y54" s="19"/>
      <c r="Z54" s="19"/>
      <c r="AA54" s="20" t="s">
        <v>117</v>
      </c>
      <c r="AB54" s="20">
        <v>40</v>
      </c>
      <c r="AC54" s="20"/>
      <c r="AD54" s="20"/>
      <c r="AF54" s="19" t="s">
        <v>274</v>
      </c>
      <c r="AG54" s="19">
        <v>1100</v>
      </c>
      <c r="AH54" s="19" t="s">
        <v>266</v>
      </c>
      <c r="AI54" s="19">
        <v>350</v>
      </c>
      <c r="AJ54" s="19" t="s">
        <v>579</v>
      </c>
      <c r="AK54" s="19">
        <v>50</v>
      </c>
      <c r="AM54" s="20"/>
      <c r="AN54" s="20"/>
      <c r="AO54" s="20"/>
      <c r="AP54" s="20"/>
      <c r="AQ54" s="20"/>
      <c r="AR54" s="20"/>
      <c r="BC54" s="16"/>
      <c r="BD54" s="16"/>
      <c r="BE54" s="16"/>
    </row>
    <row r="55" spans="1:57" ht="19.95" customHeight="1" x14ac:dyDescent="0.4">
      <c r="A55" s="18" t="s">
        <v>399</v>
      </c>
      <c r="B55" s="18" t="s">
        <v>398</v>
      </c>
      <c r="D55" s="16"/>
      <c r="E55" s="16"/>
      <c r="G55" s="17" t="s">
        <v>347</v>
      </c>
      <c r="H55" s="17" t="s">
        <v>347</v>
      </c>
      <c r="M55" s="17" t="s">
        <v>573</v>
      </c>
      <c r="N55" s="17"/>
      <c r="O55" s="17"/>
      <c r="Q55" s="19" t="s">
        <v>90</v>
      </c>
      <c r="R55" s="19">
        <v>10</v>
      </c>
      <c r="S55" s="19" t="s">
        <v>88</v>
      </c>
      <c r="T55" s="19">
        <v>10</v>
      </c>
      <c r="U55" s="19" t="s">
        <v>24</v>
      </c>
      <c r="V55" s="19">
        <v>5</v>
      </c>
      <c r="W55" s="19"/>
      <c r="X55" s="19"/>
      <c r="Y55" s="19"/>
      <c r="Z55" s="19"/>
      <c r="AA55" s="20" t="s">
        <v>117</v>
      </c>
      <c r="AB55" s="20">
        <v>50</v>
      </c>
      <c r="AC55" s="20"/>
      <c r="AD55" s="20"/>
      <c r="AF55" s="19" t="s">
        <v>274</v>
      </c>
      <c r="AG55" s="19">
        <v>1000</v>
      </c>
      <c r="AH55" s="19" t="s">
        <v>266</v>
      </c>
      <c r="AI55" s="19">
        <v>450</v>
      </c>
      <c r="AJ55" s="19" t="s">
        <v>579</v>
      </c>
      <c r="AK55" s="19">
        <v>50</v>
      </c>
      <c r="AM55" s="20"/>
      <c r="AN55" s="20"/>
      <c r="AO55" s="20"/>
      <c r="AP55" s="20"/>
      <c r="AQ55" s="20"/>
      <c r="AR55" s="20"/>
      <c r="BC55" s="16"/>
      <c r="BD55" s="16"/>
      <c r="BE55" s="16"/>
    </row>
    <row r="56" spans="1:57" ht="19.95" customHeight="1" x14ac:dyDescent="0.4">
      <c r="A56" s="18" t="s">
        <v>356</v>
      </c>
      <c r="B56" s="18" t="s">
        <v>398</v>
      </c>
      <c r="D56" s="16"/>
      <c r="E56" s="16"/>
      <c r="G56" s="17" t="s">
        <v>347</v>
      </c>
      <c r="H56" s="17" t="s">
        <v>347</v>
      </c>
      <c r="M56" s="17" t="s">
        <v>573</v>
      </c>
      <c r="N56" s="17"/>
      <c r="O56" s="17"/>
      <c r="Q56" s="19" t="s">
        <v>90</v>
      </c>
      <c r="R56" s="19">
        <v>10</v>
      </c>
      <c r="S56" s="19" t="s">
        <v>88</v>
      </c>
      <c r="T56" s="19">
        <v>10</v>
      </c>
      <c r="U56" s="19" t="s">
        <v>24</v>
      </c>
      <c r="V56" s="19">
        <v>10</v>
      </c>
      <c r="W56" s="19" t="s">
        <v>113</v>
      </c>
      <c r="X56" s="19">
        <v>5</v>
      </c>
      <c r="Y56" s="19" t="s">
        <v>82</v>
      </c>
      <c r="Z56" s="19">
        <v>5</v>
      </c>
      <c r="AA56" s="20" t="s">
        <v>117</v>
      </c>
      <c r="AB56" s="20">
        <v>70</v>
      </c>
      <c r="AC56" s="20"/>
      <c r="AD56" s="20"/>
      <c r="AF56" s="19" t="s">
        <v>274</v>
      </c>
      <c r="AG56" s="19">
        <v>800</v>
      </c>
      <c r="AH56" s="19" t="s">
        <v>266</v>
      </c>
      <c r="AI56" s="19">
        <v>650</v>
      </c>
      <c r="AJ56" s="19" t="s">
        <v>579</v>
      </c>
      <c r="AK56" s="19">
        <v>100</v>
      </c>
      <c r="AM56" s="20"/>
      <c r="AN56" s="20"/>
      <c r="AO56" s="20"/>
      <c r="AP56" s="20"/>
      <c r="AQ56" s="20"/>
      <c r="AR56" s="20"/>
      <c r="BC56" s="16"/>
      <c r="BD56" s="16"/>
      <c r="BE56" s="16"/>
    </row>
    <row r="57" spans="1:57" ht="19.95" customHeight="1" x14ac:dyDescent="0.4">
      <c r="A57" s="18" t="s">
        <v>580</v>
      </c>
      <c r="B57" s="18" t="s">
        <v>400</v>
      </c>
      <c r="D57" s="16"/>
      <c r="E57" s="16"/>
      <c r="G57" s="17" t="s">
        <v>347</v>
      </c>
      <c r="H57" s="17" t="s">
        <v>347</v>
      </c>
      <c r="M57" s="17"/>
      <c r="N57" s="17"/>
      <c r="O57" s="17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20"/>
      <c r="AB57" s="20"/>
      <c r="AC57" s="20"/>
      <c r="AD57" s="20"/>
      <c r="AF57" s="19"/>
      <c r="AG57" s="19"/>
      <c r="AH57" s="19"/>
      <c r="AI57" s="19"/>
      <c r="AJ57" s="19"/>
      <c r="AK57" s="19"/>
      <c r="AM57" s="20"/>
      <c r="AN57" s="20"/>
      <c r="AO57" s="20"/>
      <c r="AP57" s="20"/>
      <c r="AQ57" s="20"/>
      <c r="AR57" s="20"/>
      <c r="BC57" s="16"/>
      <c r="BD57" s="16"/>
      <c r="BE57" s="16"/>
    </row>
    <row r="58" spans="1:57" ht="19.95" customHeight="1" x14ac:dyDescent="0.4">
      <c r="A58" s="18" t="s">
        <v>402</v>
      </c>
      <c r="B58" s="18" t="s">
        <v>400</v>
      </c>
      <c r="D58" s="16"/>
      <c r="E58" s="16"/>
      <c r="G58" s="17" t="s">
        <v>347</v>
      </c>
      <c r="H58" s="17" t="s">
        <v>347</v>
      </c>
      <c r="M58" s="17" t="s">
        <v>573</v>
      </c>
      <c r="N58" s="17"/>
      <c r="O58" s="17"/>
      <c r="Q58" s="19"/>
      <c r="R58" s="19"/>
      <c r="S58" s="19" t="s">
        <v>88</v>
      </c>
      <c r="T58" s="19">
        <v>1</v>
      </c>
      <c r="U58" s="19" t="s">
        <v>117</v>
      </c>
      <c r="V58" s="19">
        <v>1</v>
      </c>
      <c r="W58" s="19" t="s">
        <v>115</v>
      </c>
      <c r="X58" s="19">
        <v>1</v>
      </c>
      <c r="Y58" s="19"/>
      <c r="Z58" s="19"/>
      <c r="AA58" s="20"/>
      <c r="AB58" s="20"/>
      <c r="AC58" s="20"/>
      <c r="AD58" s="20"/>
      <c r="AF58" s="19" t="s">
        <v>274</v>
      </c>
      <c r="AG58" s="19">
        <v>-200</v>
      </c>
      <c r="AH58" s="19"/>
      <c r="AI58" s="19"/>
      <c r="AJ58" s="19"/>
      <c r="AK58" s="19"/>
      <c r="AM58" s="20"/>
      <c r="AN58" s="20"/>
      <c r="AO58" s="20"/>
      <c r="AP58" s="20"/>
      <c r="AQ58" s="20"/>
      <c r="AR58" s="20"/>
      <c r="BC58" s="16"/>
      <c r="BD58" s="16"/>
      <c r="BE58" s="16"/>
    </row>
    <row r="59" spans="1:57" ht="19.95" customHeight="1" x14ac:dyDescent="0.4">
      <c r="A59" s="18" t="s">
        <v>403</v>
      </c>
      <c r="B59" s="18" t="s">
        <v>400</v>
      </c>
      <c r="D59" s="16"/>
      <c r="E59" s="16"/>
      <c r="G59" s="17" t="s">
        <v>347</v>
      </c>
      <c r="H59" s="17" t="s">
        <v>347</v>
      </c>
      <c r="M59" s="17" t="s">
        <v>573</v>
      </c>
      <c r="N59" s="17"/>
      <c r="O59" s="17"/>
      <c r="Q59" s="19"/>
      <c r="R59" s="19"/>
      <c r="S59" s="19" t="s">
        <v>88</v>
      </c>
      <c r="T59" s="19">
        <v>2</v>
      </c>
      <c r="U59" s="19" t="s">
        <v>117</v>
      </c>
      <c r="V59" s="19">
        <v>2</v>
      </c>
      <c r="W59" s="19" t="s">
        <v>115</v>
      </c>
      <c r="X59" s="19">
        <v>2</v>
      </c>
      <c r="Y59" s="19"/>
      <c r="Z59" s="19"/>
      <c r="AA59" s="20"/>
      <c r="AB59" s="20"/>
      <c r="AC59" s="20"/>
      <c r="AD59" s="20"/>
      <c r="AF59" s="19" t="s">
        <v>274</v>
      </c>
      <c r="AG59" s="19">
        <v>-300</v>
      </c>
      <c r="AH59" s="19" t="s">
        <v>266</v>
      </c>
      <c r="AI59" s="19">
        <v>-50</v>
      </c>
      <c r="AJ59" s="19"/>
      <c r="AK59" s="19"/>
      <c r="AM59" s="20"/>
      <c r="AN59" s="20"/>
      <c r="AO59" s="20"/>
      <c r="AP59" s="20"/>
      <c r="AQ59" s="20"/>
      <c r="AR59" s="20"/>
      <c r="BC59" s="16"/>
      <c r="BD59" s="16"/>
      <c r="BE59" s="16"/>
    </row>
    <row r="60" spans="1:57" ht="19.95" customHeight="1" x14ac:dyDescent="0.4">
      <c r="A60" s="18" t="s">
        <v>404</v>
      </c>
      <c r="B60" s="18" t="s">
        <v>400</v>
      </c>
      <c r="D60" s="16"/>
      <c r="E60" s="16"/>
      <c r="G60" s="17" t="s">
        <v>347</v>
      </c>
      <c r="H60" s="17" t="s">
        <v>347</v>
      </c>
      <c r="M60" s="17" t="s">
        <v>573</v>
      </c>
      <c r="N60" s="17"/>
      <c r="O60" s="17"/>
      <c r="Q60" s="19"/>
      <c r="R60" s="19"/>
      <c r="S60" s="19" t="s">
        <v>88</v>
      </c>
      <c r="T60" s="19">
        <v>3</v>
      </c>
      <c r="U60" s="19" t="s">
        <v>117</v>
      </c>
      <c r="V60" s="19">
        <v>3</v>
      </c>
      <c r="W60" s="19" t="s">
        <v>115</v>
      </c>
      <c r="X60" s="19">
        <v>3</v>
      </c>
      <c r="Y60" s="19"/>
      <c r="Z60" s="19"/>
      <c r="AA60" s="20"/>
      <c r="AB60" s="20"/>
      <c r="AC60" s="20"/>
      <c r="AD60" s="20"/>
      <c r="AF60" s="19" t="s">
        <v>274</v>
      </c>
      <c r="AG60" s="19">
        <v>-500</v>
      </c>
      <c r="AH60" s="19" t="s">
        <v>266</v>
      </c>
      <c r="AI60" s="19">
        <v>-100</v>
      </c>
      <c r="AJ60" s="19"/>
      <c r="AK60" s="19"/>
      <c r="AM60" s="20"/>
      <c r="AN60" s="20"/>
      <c r="AO60" s="20"/>
      <c r="AP60" s="20"/>
      <c r="AQ60" s="20"/>
      <c r="AR60" s="20"/>
      <c r="BC60" s="16"/>
      <c r="BD60" s="16"/>
      <c r="BE60" s="16"/>
    </row>
    <row r="61" spans="1:57" ht="19.95" customHeight="1" x14ac:dyDescent="0.4">
      <c r="A61" s="18" t="s">
        <v>405</v>
      </c>
      <c r="B61" s="18" t="s">
        <v>400</v>
      </c>
      <c r="D61" s="16"/>
      <c r="E61" s="16"/>
      <c r="G61" s="17" t="s">
        <v>356</v>
      </c>
      <c r="H61" s="17" t="s">
        <v>347</v>
      </c>
      <c r="M61" s="17" t="s">
        <v>576</v>
      </c>
      <c r="N61" s="17"/>
      <c r="O61" s="17"/>
      <c r="Q61" s="19" t="s">
        <v>82</v>
      </c>
      <c r="R61" s="19">
        <v>1</v>
      </c>
      <c r="S61" s="19" t="s">
        <v>88</v>
      </c>
      <c r="T61" s="19">
        <v>2</v>
      </c>
      <c r="U61" s="19" t="s">
        <v>117</v>
      </c>
      <c r="V61" s="19">
        <v>2</v>
      </c>
      <c r="W61" s="19" t="s">
        <v>115</v>
      </c>
      <c r="X61" s="19">
        <v>2</v>
      </c>
      <c r="Y61" s="19" t="s">
        <v>22</v>
      </c>
      <c r="Z61" s="19">
        <v>5</v>
      </c>
      <c r="AA61" s="20"/>
      <c r="AB61" s="20"/>
      <c r="AC61" s="20"/>
      <c r="AD61" s="20"/>
      <c r="AF61" s="19" t="s">
        <v>274</v>
      </c>
      <c r="AG61" s="19">
        <v>-800</v>
      </c>
      <c r="AH61" s="19" t="s">
        <v>266</v>
      </c>
      <c r="AI61" s="19">
        <v>-150</v>
      </c>
      <c r="AJ61" s="19"/>
      <c r="AK61" s="19"/>
      <c r="AM61" s="20"/>
      <c r="AN61" s="20"/>
      <c r="AO61" s="20"/>
      <c r="AP61" s="20"/>
      <c r="AQ61" s="20"/>
      <c r="AR61" s="20"/>
      <c r="BC61" s="16"/>
      <c r="BD61" s="16"/>
      <c r="BE61" s="16"/>
    </row>
    <row r="62" spans="1:57" ht="19.95" customHeight="1" x14ac:dyDescent="0.4">
      <c r="A62" s="15" t="s">
        <v>407</v>
      </c>
      <c r="B62" s="15" t="s">
        <v>406</v>
      </c>
      <c r="D62" s="16"/>
      <c r="E62" s="16"/>
      <c r="G62" s="17" t="s">
        <v>347</v>
      </c>
      <c r="H62" s="17" t="s">
        <v>347</v>
      </c>
      <c r="M62" s="17"/>
      <c r="N62" s="17"/>
      <c r="O62" s="17"/>
      <c r="Q62" s="19" t="s">
        <v>90</v>
      </c>
      <c r="R62" s="19">
        <v>5</v>
      </c>
      <c r="S62" s="19" t="s">
        <v>24</v>
      </c>
      <c r="T62" s="19">
        <v>15</v>
      </c>
      <c r="U62" s="19" t="s">
        <v>88</v>
      </c>
      <c r="V62" s="19">
        <v>5</v>
      </c>
      <c r="W62" s="19"/>
      <c r="X62" s="19"/>
      <c r="Y62" s="19"/>
      <c r="Z62" s="19"/>
      <c r="AA62" s="20" t="s">
        <v>113</v>
      </c>
      <c r="AB62" s="20">
        <v>50</v>
      </c>
      <c r="AC62" s="20"/>
      <c r="AD62" s="20"/>
      <c r="AF62" s="19" t="s">
        <v>274</v>
      </c>
      <c r="AG62" s="19">
        <v>1100</v>
      </c>
      <c r="AH62" s="19" t="s">
        <v>266</v>
      </c>
      <c r="AI62" s="19">
        <v>350</v>
      </c>
      <c r="AJ62" s="19" t="s">
        <v>579</v>
      </c>
      <c r="AK62" s="19">
        <v>50</v>
      </c>
      <c r="AM62" s="20"/>
      <c r="AN62" s="20"/>
      <c r="AO62" s="20"/>
      <c r="AP62" s="20"/>
      <c r="AQ62" s="20"/>
      <c r="AR62" s="20"/>
      <c r="BC62" s="16"/>
      <c r="BD62" s="16"/>
      <c r="BE62" s="16"/>
    </row>
    <row r="63" spans="1:57" ht="19.95" customHeight="1" x14ac:dyDescent="0.4">
      <c r="A63" s="15" t="s">
        <v>408</v>
      </c>
      <c r="B63" s="15" t="s">
        <v>406</v>
      </c>
      <c r="D63" s="16"/>
      <c r="E63" s="16"/>
      <c r="G63" s="17" t="s">
        <v>347</v>
      </c>
      <c r="H63" s="17" t="s">
        <v>347</v>
      </c>
      <c r="M63" s="17"/>
      <c r="N63" s="17"/>
      <c r="O63" s="17"/>
      <c r="Q63" s="19" t="s">
        <v>90</v>
      </c>
      <c r="R63" s="19">
        <v>15</v>
      </c>
      <c r="S63" s="19" t="s">
        <v>24</v>
      </c>
      <c r="T63" s="19">
        <v>20</v>
      </c>
      <c r="U63" s="19" t="s">
        <v>88</v>
      </c>
      <c r="V63" s="19">
        <v>15</v>
      </c>
      <c r="W63" s="19"/>
      <c r="X63" s="19"/>
      <c r="Y63" s="19"/>
      <c r="Z63" s="19"/>
      <c r="AA63" s="20" t="s">
        <v>113</v>
      </c>
      <c r="AB63" s="20">
        <v>100</v>
      </c>
      <c r="AC63" s="20"/>
      <c r="AD63" s="20"/>
      <c r="AF63" s="19" t="s">
        <v>274</v>
      </c>
      <c r="AG63" s="19">
        <v>1000</v>
      </c>
      <c r="AH63" s="19" t="s">
        <v>266</v>
      </c>
      <c r="AI63" s="19">
        <v>450</v>
      </c>
      <c r="AJ63" s="19" t="s">
        <v>579</v>
      </c>
      <c r="AK63" s="19">
        <v>50</v>
      </c>
      <c r="AM63" s="20"/>
      <c r="AN63" s="20"/>
      <c r="AO63" s="20"/>
      <c r="AP63" s="20"/>
      <c r="AQ63" s="20"/>
      <c r="AR63" s="20"/>
      <c r="BC63" s="16"/>
      <c r="BD63" s="16"/>
      <c r="BE63" s="16"/>
    </row>
    <row r="64" spans="1:57" ht="19.95" customHeight="1" x14ac:dyDescent="0.4">
      <c r="A64" s="15" t="s">
        <v>409</v>
      </c>
      <c r="B64" s="15" t="s">
        <v>406</v>
      </c>
      <c r="D64" s="16"/>
      <c r="E64" s="16"/>
      <c r="G64" s="17" t="s">
        <v>347</v>
      </c>
      <c r="H64" s="17" t="s">
        <v>347</v>
      </c>
      <c r="M64" s="17"/>
      <c r="N64" s="17"/>
      <c r="O64" s="17"/>
      <c r="Q64" s="19" t="s">
        <v>90</v>
      </c>
      <c r="R64" s="19">
        <v>20</v>
      </c>
      <c r="S64" s="19" t="s">
        <v>24</v>
      </c>
      <c r="T64" s="19">
        <v>25</v>
      </c>
      <c r="U64" s="19" t="s">
        <v>88</v>
      </c>
      <c r="V64" s="19">
        <v>20</v>
      </c>
      <c r="W64" s="19"/>
      <c r="X64" s="19"/>
      <c r="Y64" s="19"/>
      <c r="Z64" s="19"/>
      <c r="AA64" s="20" t="s">
        <v>113</v>
      </c>
      <c r="AB64" s="20">
        <v>140</v>
      </c>
      <c r="AC64" s="20"/>
      <c r="AD64" s="20"/>
      <c r="AF64" s="19" t="s">
        <v>274</v>
      </c>
      <c r="AG64" s="19">
        <v>800</v>
      </c>
      <c r="AH64" s="19" t="s">
        <v>266</v>
      </c>
      <c r="AI64" s="19">
        <v>650</v>
      </c>
      <c r="AJ64" s="19" t="s">
        <v>579</v>
      </c>
      <c r="AK64" s="19">
        <v>100</v>
      </c>
      <c r="AM64" s="20"/>
      <c r="AN64" s="20"/>
      <c r="AO64" s="20"/>
      <c r="AP64" s="20"/>
      <c r="AQ64" s="20"/>
      <c r="AR64" s="20"/>
      <c r="BC64" s="16"/>
      <c r="BD64" s="16"/>
      <c r="BE64" s="16"/>
    </row>
    <row r="65" spans="1:57" ht="19.95" customHeight="1" x14ac:dyDescent="0.4">
      <c r="A65" s="15" t="s">
        <v>581</v>
      </c>
      <c r="B65" s="15" t="s">
        <v>410</v>
      </c>
      <c r="D65" s="16"/>
      <c r="E65" s="16"/>
      <c r="G65" s="17" t="s">
        <v>347</v>
      </c>
      <c r="H65" s="17" t="s">
        <v>347</v>
      </c>
      <c r="M65" s="17"/>
      <c r="N65" s="17"/>
      <c r="O65" s="17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20"/>
      <c r="AB65" s="20"/>
      <c r="AC65" s="20"/>
      <c r="AD65" s="20"/>
      <c r="AF65" s="19"/>
      <c r="AG65" s="19"/>
      <c r="AH65" s="19"/>
      <c r="AI65" s="19"/>
      <c r="AJ65" s="19"/>
      <c r="AK65" s="19"/>
      <c r="AM65" s="20"/>
      <c r="AN65" s="20"/>
      <c r="AO65" s="20"/>
      <c r="AP65" s="20"/>
      <c r="AQ65" s="20"/>
      <c r="AR65" s="20"/>
      <c r="BC65" s="16"/>
      <c r="BD65" s="16"/>
      <c r="BE65" s="16"/>
    </row>
    <row r="66" spans="1:57" ht="19.95" customHeight="1" x14ac:dyDescent="0.4">
      <c r="A66" s="15" t="s">
        <v>411</v>
      </c>
      <c r="B66" s="15" t="s">
        <v>410</v>
      </c>
      <c r="D66" s="16"/>
      <c r="E66" s="16"/>
      <c r="G66" s="17" t="s">
        <v>347</v>
      </c>
      <c r="H66" s="17" t="s">
        <v>347</v>
      </c>
      <c r="M66" s="17"/>
      <c r="N66" s="17"/>
      <c r="O66" s="17"/>
      <c r="Q66" s="19" t="s">
        <v>88</v>
      </c>
      <c r="R66" s="19">
        <v>1</v>
      </c>
      <c r="S66" s="19" t="s">
        <v>117</v>
      </c>
      <c r="T66" s="19">
        <v>1</v>
      </c>
      <c r="U66" s="19" t="s">
        <v>115</v>
      </c>
      <c r="V66" s="19">
        <v>1</v>
      </c>
      <c r="W66" s="19"/>
      <c r="X66" s="19"/>
      <c r="Y66" s="19"/>
      <c r="Z66" s="19"/>
      <c r="AA66" s="20"/>
      <c r="AB66" s="20"/>
      <c r="AC66" s="20"/>
      <c r="AD66" s="20"/>
      <c r="AF66" s="19" t="s">
        <v>274</v>
      </c>
      <c r="AG66" s="19">
        <v>-200</v>
      </c>
      <c r="AH66" s="19"/>
      <c r="AI66" s="19"/>
      <c r="AJ66" s="19"/>
      <c r="AK66" s="19"/>
      <c r="AM66" s="20"/>
      <c r="AN66" s="20"/>
      <c r="AO66" s="20"/>
      <c r="AP66" s="20"/>
      <c r="AQ66" s="20"/>
      <c r="AR66" s="20"/>
      <c r="BC66" s="16"/>
      <c r="BD66" s="16"/>
      <c r="BE66" s="16"/>
    </row>
    <row r="67" spans="1:57" ht="19.95" customHeight="1" x14ac:dyDescent="0.4">
      <c r="A67" s="15" t="s">
        <v>412</v>
      </c>
      <c r="B67" s="15" t="s">
        <v>410</v>
      </c>
      <c r="D67" s="16"/>
      <c r="E67" s="16"/>
      <c r="G67" s="17" t="s">
        <v>347</v>
      </c>
      <c r="H67" s="17" t="s">
        <v>347</v>
      </c>
      <c r="M67" s="17"/>
      <c r="N67" s="17"/>
      <c r="O67" s="17"/>
      <c r="Q67" s="19" t="s">
        <v>88</v>
      </c>
      <c r="R67" s="19">
        <v>2</v>
      </c>
      <c r="S67" s="19" t="s">
        <v>117</v>
      </c>
      <c r="T67" s="19">
        <v>2</v>
      </c>
      <c r="U67" s="19" t="s">
        <v>115</v>
      </c>
      <c r="V67" s="19">
        <v>2</v>
      </c>
      <c r="W67" s="19"/>
      <c r="X67" s="19"/>
      <c r="Y67" s="19"/>
      <c r="Z67" s="19"/>
      <c r="AA67" s="20"/>
      <c r="AB67" s="20"/>
      <c r="AC67" s="20"/>
      <c r="AD67" s="20"/>
      <c r="AF67" s="19" t="s">
        <v>274</v>
      </c>
      <c r="AG67" s="19">
        <v>-300</v>
      </c>
      <c r="AH67" s="19" t="s">
        <v>266</v>
      </c>
      <c r="AI67" s="19">
        <v>-50</v>
      </c>
      <c r="AJ67" s="19"/>
      <c r="AK67" s="19"/>
      <c r="AM67" s="20"/>
      <c r="AN67" s="20"/>
      <c r="AO67" s="20"/>
      <c r="AP67" s="20"/>
      <c r="AQ67" s="20"/>
      <c r="AR67" s="20"/>
      <c r="BC67" s="16"/>
      <c r="BD67" s="16"/>
      <c r="BE67" s="16"/>
    </row>
    <row r="68" spans="1:57" ht="19.95" customHeight="1" x14ac:dyDescent="0.4">
      <c r="A68" s="15" t="s">
        <v>413</v>
      </c>
      <c r="B68" s="15" t="s">
        <v>410</v>
      </c>
      <c r="D68" s="16"/>
      <c r="E68" s="16"/>
      <c r="G68" s="17" t="s">
        <v>347</v>
      </c>
      <c r="H68" s="17" t="s">
        <v>347</v>
      </c>
      <c r="M68" s="17"/>
      <c r="N68" s="17"/>
      <c r="O68" s="17"/>
      <c r="Q68" s="19" t="s">
        <v>88</v>
      </c>
      <c r="R68" s="19">
        <v>3</v>
      </c>
      <c r="S68" s="19" t="s">
        <v>117</v>
      </c>
      <c r="T68" s="19">
        <v>3</v>
      </c>
      <c r="U68" s="19" t="s">
        <v>115</v>
      </c>
      <c r="V68" s="19">
        <v>3</v>
      </c>
      <c r="W68" s="19"/>
      <c r="X68" s="19"/>
      <c r="Y68" s="19"/>
      <c r="Z68" s="19"/>
      <c r="AA68" s="20"/>
      <c r="AB68" s="20"/>
      <c r="AC68" s="20"/>
      <c r="AD68" s="20"/>
      <c r="AF68" s="19" t="s">
        <v>274</v>
      </c>
      <c r="AG68" s="19">
        <v>-500</v>
      </c>
      <c r="AH68" s="19" t="s">
        <v>266</v>
      </c>
      <c r="AI68" s="19">
        <v>-100</v>
      </c>
      <c r="AJ68" s="19"/>
      <c r="AK68" s="19"/>
      <c r="AM68" s="20"/>
      <c r="AN68" s="20"/>
      <c r="AO68" s="20"/>
      <c r="AP68" s="20"/>
      <c r="AQ68" s="20"/>
      <c r="AR68" s="20"/>
      <c r="BC68" s="16"/>
      <c r="BD68" s="16"/>
      <c r="BE68" s="16"/>
    </row>
    <row r="69" spans="1:57" ht="19.95" customHeight="1" x14ac:dyDescent="0.4">
      <c r="A69" s="15" t="s">
        <v>414</v>
      </c>
      <c r="B69" s="15" t="s">
        <v>410</v>
      </c>
      <c r="D69" s="16"/>
      <c r="E69" s="16"/>
      <c r="G69" s="17" t="s">
        <v>347</v>
      </c>
      <c r="H69" s="17" t="s">
        <v>347</v>
      </c>
      <c r="M69" s="17"/>
      <c r="N69" s="17"/>
      <c r="O69" s="17"/>
      <c r="Q69" s="19" t="s">
        <v>88</v>
      </c>
      <c r="R69" s="19">
        <v>2</v>
      </c>
      <c r="S69" s="19" t="s">
        <v>117</v>
      </c>
      <c r="T69" s="19">
        <v>2</v>
      </c>
      <c r="U69" s="19" t="s">
        <v>115</v>
      </c>
      <c r="V69" s="19">
        <v>2</v>
      </c>
      <c r="W69" s="19" t="s">
        <v>22</v>
      </c>
      <c r="X69" s="19">
        <v>5</v>
      </c>
      <c r="Y69" s="19" t="s">
        <v>115</v>
      </c>
      <c r="Z69" s="19">
        <v>5</v>
      </c>
      <c r="AA69" s="20"/>
      <c r="AB69" s="20"/>
      <c r="AC69" s="20"/>
      <c r="AD69" s="20"/>
      <c r="AF69" s="19" t="s">
        <v>274</v>
      </c>
      <c r="AG69" s="19">
        <v>-800</v>
      </c>
      <c r="AH69" s="19" t="s">
        <v>266</v>
      </c>
      <c r="AI69" s="19">
        <v>-150</v>
      </c>
      <c r="AJ69" s="19"/>
      <c r="AK69" s="19"/>
      <c r="AM69" s="20"/>
      <c r="AN69" s="20"/>
      <c r="AO69" s="20"/>
      <c r="AP69" s="20"/>
      <c r="AQ69" s="20"/>
      <c r="AR69" s="20"/>
      <c r="BC69" s="16"/>
      <c r="BD69" s="16"/>
      <c r="BE69" s="16"/>
    </row>
    <row r="70" spans="1:57" ht="19.95" customHeight="1" x14ac:dyDescent="0.4">
      <c r="A70" s="18" t="s">
        <v>416</v>
      </c>
      <c r="B70" s="18" t="s">
        <v>415</v>
      </c>
      <c r="D70" s="16"/>
      <c r="E70" s="16"/>
      <c r="G70" s="17" t="s">
        <v>347</v>
      </c>
      <c r="H70" s="17" t="s">
        <v>347</v>
      </c>
      <c r="M70" s="17"/>
      <c r="N70" s="17"/>
      <c r="O70" s="17"/>
      <c r="Q70" s="19" t="s">
        <v>62</v>
      </c>
      <c r="R70" s="19">
        <v>30</v>
      </c>
      <c r="S70" s="19"/>
      <c r="T70" s="19"/>
      <c r="U70" s="19"/>
      <c r="V70" s="19"/>
      <c r="W70" s="19"/>
      <c r="X70" s="19"/>
      <c r="Y70" s="19"/>
      <c r="Z70" s="19"/>
      <c r="AA70" s="20" t="s">
        <v>90</v>
      </c>
      <c r="AB70" s="20">
        <v>10</v>
      </c>
      <c r="AC70" s="20"/>
      <c r="AD70" s="20"/>
      <c r="AF70" s="19" t="s">
        <v>280</v>
      </c>
      <c r="AG70" s="19">
        <v>500</v>
      </c>
      <c r="AH70" s="19" t="s">
        <v>281</v>
      </c>
      <c r="AI70" s="19">
        <v>3500</v>
      </c>
      <c r="AJ70" s="19" t="s">
        <v>274</v>
      </c>
      <c r="AK70" s="19">
        <v>900</v>
      </c>
      <c r="AM70" s="20" t="s">
        <v>582</v>
      </c>
      <c r="AN70" s="20">
        <v>0.5</v>
      </c>
      <c r="AO70" s="20" t="s">
        <v>583</v>
      </c>
      <c r="AP70" s="20">
        <v>0.25</v>
      </c>
      <c r="AQ70" s="20" t="s">
        <v>584</v>
      </c>
      <c r="AR70" s="20">
        <v>0.5</v>
      </c>
      <c r="BC70" s="16"/>
      <c r="BD70" s="16"/>
      <c r="BE70" s="16"/>
    </row>
    <row r="71" spans="1:57" ht="19.95" customHeight="1" x14ac:dyDescent="0.4">
      <c r="A71" s="18" t="s">
        <v>417</v>
      </c>
      <c r="B71" s="18" t="s">
        <v>415</v>
      </c>
      <c r="D71" s="16"/>
      <c r="E71" s="16"/>
      <c r="G71" s="17" t="s">
        <v>347</v>
      </c>
      <c r="H71" s="17" t="s">
        <v>347</v>
      </c>
      <c r="M71" s="17"/>
      <c r="N71" s="17"/>
      <c r="O71" s="17"/>
      <c r="Q71" s="19" t="s">
        <v>62</v>
      </c>
      <c r="R71" s="19">
        <v>10</v>
      </c>
      <c r="S71" s="19"/>
      <c r="T71" s="19"/>
      <c r="U71" s="19"/>
      <c r="V71" s="19"/>
      <c r="W71" s="19"/>
      <c r="X71" s="19"/>
      <c r="Y71" s="19"/>
      <c r="Z71" s="19"/>
      <c r="AA71" s="20" t="s">
        <v>90</v>
      </c>
      <c r="AB71" s="20">
        <v>40</v>
      </c>
      <c r="AC71" s="20"/>
      <c r="AD71" s="20"/>
      <c r="AF71" s="19" t="s">
        <v>280</v>
      </c>
      <c r="AG71" s="19">
        <v>1000</v>
      </c>
      <c r="AH71" s="19" t="s">
        <v>281</v>
      </c>
      <c r="AI71" s="19">
        <v>2500</v>
      </c>
      <c r="AJ71" s="19" t="s">
        <v>274</v>
      </c>
      <c r="AK71" s="19">
        <v>900</v>
      </c>
      <c r="AM71" s="20" t="s">
        <v>582</v>
      </c>
      <c r="AN71" s="20">
        <v>1.5</v>
      </c>
      <c r="AO71" s="20" t="s">
        <v>583</v>
      </c>
      <c r="AP71" s="20">
        <v>0.25</v>
      </c>
      <c r="AQ71" s="20"/>
      <c r="AR71" s="20"/>
      <c r="BC71" s="16"/>
      <c r="BD71" s="16"/>
      <c r="BE71" s="16"/>
    </row>
    <row r="72" spans="1:57" ht="19.95" customHeight="1" x14ac:dyDescent="0.4">
      <c r="A72" s="18" t="s">
        <v>418</v>
      </c>
      <c r="B72" s="18" t="s">
        <v>415</v>
      </c>
      <c r="D72" s="16"/>
      <c r="E72" s="16"/>
      <c r="G72" s="17" t="s">
        <v>347</v>
      </c>
      <c r="H72" s="17" t="s">
        <v>347</v>
      </c>
      <c r="M72" s="17"/>
      <c r="N72" s="17"/>
      <c r="O72" s="17"/>
      <c r="Q72" s="19" t="s">
        <v>80</v>
      </c>
      <c r="R72" s="19">
        <v>5</v>
      </c>
      <c r="S72" s="19" t="s">
        <v>90</v>
      </c>
      <c r="T72" s="19">
        <v>5</v>
      </c>
      <c r="U72" s="19"/>
      <c r="V72" s="19"/>
      <c r="W72" s="19"/>
      <c r="X72" s="19"/>
      <c r="Y72" s="19"/>
      <c r="Z72" s="19"/>
      <c r="AA72" s="20" t="s">
        <v>90</v>
      </c>
      <c r="AB72" s="20">
        <v>40</v>
      </c>
      <c r="AC72" s="20"/>
      <c r="AD72" s="20"/>
      <c r="AF72" s="19" t="s">
        <v>280</v>
      </c>
      <c r="AG72" s="19">
        <v>4500</v>
      </c>
      <c r="AH72" s="19" t="s">
        <v>268</v>
      </c>
      <c r="AI72" s="19">
        <v>400</v>
      </c>
      <c r="AJ72" s="19"/>
      <c r="AK72" s="19"/>
      <c r="AM72" s="20"/>
      <c r="AN72" s="20"/>
      <c r="AO72" s="20"/>
      <c r="AP72" s="20"/>
      <c r="AQ72" s="20"/>
      <c r="AR72" s="20"/>
      <c r="BC72" s="16"/>
      <c r="BD72" s="16"/>
      <c r="BE72" s="16"/>
    </row>
    <row r="73" spans="1:57" ht="19.95" customHeight="1" x14ac:dyDescent="0.4">
      <c r="A73" s="15" t="s">
        <v>420</v>
      </c>
      <c r="B73" s="15" t="s">
        <v>419</v>
      </c>
      <c r="D73" s="16"/>
      <c r="E73" s="16"/>
      <c r="G73" s="17" t="s">
        <v>347</v>
      </c>
      <c r="H73" s="17" t="s">
        <v>347</v>
      </c>
      <c r="M73" s="17"/>
      <c r="N73" s="17"/>
      <c r="O73" s="17"/>
      <c r="Q73" s="19" t="s">
        <v>571</v>
      </c>
      <c r="R73" s="19">
        <v>10</v>
      </c>
      <c r="S73" s="19" t="s">
        <v>90</v>
      </c>
      <c r="T73" s="19">
        <v>10</v>
      </c>
      <c r="U73" s="19"/>
      <c r="V73" s="19"/>
      <c r="W73" s="19"/>
      <c r="X73" s="19"/>
      <c r="Y73" s="19"/>
      <c r="Z73" s="19"/>
      <c r="AA73" s="20" t="s">
        <v>585</v>
      </c>
      <c r="AB73" s="20">
        <v>80</v>
      </c>
      <c r="AC73" s="20"/>
      <c r="AD73" s="20"/>
      <c r="AF73" s="19" t="s">
        <v>280</v>
      </c>
      <c r="AG73" s="19">
        <v>4500</v>
      </c>
      <c r="AH73" s="19" t="s">
        <v>272</v>
      </c>
      <c r="AI73" s="19">
        <v>400</v>
      </c>
      <c r="AJ73" s="19"/>
      <c r="AK73" s="19"/>
      <c r="AM73" s="20"/>
      <c r="AN73" s="20"/>
      <c r="AO73" s="20"/>
      <c r="AP73" s="20"/>
      <c r="AQ73" s="20"/>
      <c r="AR73" s="20"/>
      <c r="BC73" s="16"/>
      <c r="BD73" s="16"/>
      <c r="BE73" s="16"/>
    </row>
    <row r="74" spans="1:57" ht="19.95" customHeight="1" x14ac:dyDescent="0.4">
      <c r="A74" s="15" t="s">
        <v>421</v>
      </c>
      <c r="B74" s="15" t="s">
        <v>419</v>
      </c>
      <c r="D74" s="16"/>
      <c r="E74" s="16"/>
      <c r="G74" s="17" t="s">
        <v>347</v>
      </c>
      <c r="H74" s="17" t="s">
        <v>347</v>
      </c>
      <c r="M74" s="17"/>
      <c r="N74" s="17"/>
      <c r="O74" s="17"/>
      <c r="Q74" s="19" t="s">
        <v>24</v>
      </c>
      <c r="R74" s="19">
        <v>10</v>
      </c>
      <c r="S74" s="19" t="s">
        <v>90</v>
      </c>
      <c r="T74" s="19">
        <v>10</v>
      </c>
      <c r="U74" s="19" t="s">
        <v>88</v>
      </c>
      <c r="V74" s="19">
        <v>5</v>
      </c>
      <c r="W74" s="19"/>
      <c r="X74" s="19"/>
      <c r="Y74" s="19"/>
      <c r="Z74" s="19"/>
      <c r="AA74" s="20" t="s">
        <v>585</v>
      </c>
      <c r="AB74" s="20">
        <v>120</v>
      </c>
      <c r="AC74" s="20"/>
      <c r="AD74" s="20"/>
      <c r="AF74" s="19" t="s">
        <v>280</v>
      </c>
      <c r="AG74" s="19">
        <v>4500</v>
      </c>
      <c r="AH74" s="19" t="s">
        <v>274</v>
      </c>
      <c r="AI74" s="19">
        <v>400</v>
      </c>
      <c r="AJ74" s="19"/>
      <c r="AK74" s="19"/>
      <c r="AM74" s="20"/>
      <c r="AN74" s="20"/>
      <c r="AO74" s="20"/>
      <c r="AP74" s="20"/>
      <c r="AQ74" s="20"/>
      <c r="AR74" s="20"/>
      <c r="BC74" s="16"/>
      <c r="BD74" s="16"/>
      <c r="BE74" s="16"/>
    </row>
    <row r="75" spans="1:57" ht="19.95" customHeight="1" x14ac:dyDescent="0.4">
      <c r="A75" s="15" t="s">
        <v>422</v>
      </c>
      <c r="B75" s="15" t="s">
        <v>419</v>
      </c>
      <c r="D75" s="16"/>
      <c r="E75" s="16"/>
      <c r="G75" s="17" t="s">
        <v>347</v>
      </c>
      <c r="H75" s="17" t="s">
        <v>347</v>
      </c>
      <c r="M75" s="17"/>
      <c r="N75" s="17"/>
      <c r="O75" s="17"/>
      <c r="Q75" s="19" t="s">
        <v>24</v>
      </c>
      <c r="R75" s="19">
        <v>10</v>
      </c>
      <c r="S75" s="19" t="s">
        <v>90</v>
      </c>
      <c r="T75" s="19">
        <v>10</v>
      </c>
      <c r="U75" s="19" t="s">
        <v>88</v>
      </c>
      <c r="V75" s="19">
        <v>10</v>
      </c>
      <c r="W75" s="19" t="s">
        <v>113</v>
      </c>
      <c r="X75" s="19">
        <v>5</v>
      </c>
      <c r="Y75" s="19"/>
      <c r="Z75" s="19"/>
      <c r="AA75" s="20" t="s">
        <v>585</v>
      </c>
      <c r="AB75" s="20">
        <v>160</v>
      </c>
      <c r="AC75" s="20"/>
      <c r="AD75" s="20"/>
      <c r="AF75" s="19" t="s">
        <v>280</v>
      </c>
      <c r="AG75" s="19">
        <v>4000</v>
      </c>
      <c r="AH75" s="19" t="s">
        <v>274</v>
      </c>
      <c r="AI75" s="19">
        <v>900</v>
      </c>
      <c r="AJ75" s="19"/>
      <c r="AK75" s="19"/>
      <c r="AM75" s="20"/>
      <c r="AN75" s="20"/>
      <c r="AO75" s="20"/>
      <c r="AP75" s="20"/>
      <c r="AQ75" s="20"/>
      <c r="AR75" s="20"/>
      <c r="BC75" s="16"/>
      <c r="BD75" s="16"/>
      <c r="BE75" s="16"/>
    </row>
    <row r="76" spans="1:57" ht="19.95" customHeight="1" x14ac:dyDescent="0.4">
      <c r="A76" s="15" t="s">
        <v>586</v>
      </c>
      <c r="B76" s="15" t="s">
        <v>423</v>
      </c>
      <c r="D76" s="16"/>
      <c r="E76" s="16"/>
      <c r="G76" s="17" t="s">
        <v>347</v>
      </c>
      <c r="H76" s="17" t="s">
        <v>347</v>
      </c>
      <c r="M76" s="17"/>
      <c r="N76" s="17"/>
      <c r="O76" s="17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20"/>
      <c r="AB76" s="20"/>
      <c r="AC76" s="20"/>
      <c r="AD76" s="20"/>
      <c r="AF76" s="19"/>
      <c r="AG76" s="19"/>
      <c r="AH76" s="19"/>
      <c r="AI76" s="19"/>
      <c r="AJ76" s="19"/>
      <c r="AK76" s="19"/>
      <c r="AM76" s="20"/>
      <c r="AN76" s="20"/>
      <c r="AO76" s="20"/>
      <c r="AP76" s="20"/>
      <c r="AQ76" s="20"/>
      <c r="AR76" s="20"/>
      <c r="BC76" s="16"/>
      <c r="BD76" s="16"/>
      <c r="BE76" s="16"/>
    </row>
    <row r="77" spans="1:57" ht="19.95" customHeight="1" x14ac:dyDescent="0.4">
      <c r="A77" s="15" t="s">
        <v>424</v>
      </c>
      <c r="B77" s="15" t="s">
        <v>423</v>
      </c>
      <c r="D77" s="16"/>
      <c r="E77" s="16"/>
      <c r="G77" s="17" t="s">
        <v>421</v>
      </c>
      <c r="H77" s="17" t="s">
        <v>422</v>
      </c>
      <c r="M77" s="17"/>
      <c r="N77" s="17"/>
      <c r="O77" s="17"/>
      <c r="Q77" s="19" t="s">
        <v>88</v>
      </c>
      <c r="R77" s="19">
        <v>2</v>
      </c>
      <c r="S77" s="19" t="s">
        <v>117</v>
      </c>
      <c r="T77" s="19">
        <v>1</v>
      </c>
      <c r="U77" s="19" t="s">
        <v>115</v>
      </c>
      <c r="V77" s="19">
        <v>2</v>
      </c>
      <c r="W77" s="19"/>
      <c r="X77" s="19"/>
      <c r="Y77" s="19"/>
      <c r="Z77" s="19"/>
      <c r="AA77" s="20"/>
      <c r="AB77" s="20"/>
      <c r="AC77" s="20"/>
      <c r="AD77" s="20"/>
      <c r="AF77" s="19" t="s">
        <v>280</v>
      </c>
      <c r="AG77" s="19">
        <v>-1000</v>
      </c>
      <c r="AH77" s="19" t="s">
        <v>274</v>
      </c>
      <c r="AI77" s="19">
        <v>100</v>
      </c>
      <c r="AJ77" s="19"/>
      <c r="AK77" s="19"/>
      <c r="AM77" s="20"/>
      <c r="AN77" s="20"/>
      <c r="AO77" s="20"/>
      <c r="AP77" s="20"/>
      <c r="AQ77" s="20"/>
      <c r="AR77" s="20"/>
      <c r="BC77" s="16"/>
      <c r="BD77" s="16"/>
      <c r="BE77" s="16"/>
    </row>
    <row r="78" spans="1:57" ht="19.95" customHeight="1" x14ac:dyDescent="0.4">
      <c r="A78" s="15" t="s">
        <v>425</v>
      </c>
      <c r="B78" s="15" t="s">
        <v>423</v>
      </c>
      <c r="D78" s="16"/>
      <c r="E78" s="16"/>
      <c r="G78" s="17" t="s">
        <v>421</v>
      </c>
      <c r="H78" s="17" t="s">
        <v>422</v>
      </c>
      <c r="M78" s="17"/>
      <c r="N78" s="17"/>
      <c r="O78" s="17"/>
      <c r="Q78" s="19" t="s">
        <v>88</v>
      </c>
      <c r="R78" s="19">
        <v>3</v>
      </c>
      <c r="S78" s="19" t="s">
        <v>117</v>
      </c>
      <c r="T78" s="19">
        <v>2</v>
      </c>
      <c r="U78" s="19" t="s">
        <v>115</v>
      </c>
      <c r="V78" s="19">
        <v>3</v>
      </c>
      <c r="W78" s="19"/>
      <c r="X78" s="19"/>
      <c r="Y78" s="19"/>
      <c r="Z78" s="19"/>
      <c r="AA78" s="20"/>
      <c r="AB78" s="20"/>
      <c r="AC78" s="20"/>
      <c r="AD78" s="20"/>
      <c r="AF78" s="19" t="s">
        <v>280</v>
      </c>
      <c r="AG78" s="19">
        <v>-2000</v>
      </c>
      <c r="AH78" s="19" t="s">
        <v>274</v>
      </c>
      <c r="AI78" s="19">
        <v>200</v>
      </c>
      <c r="AJ78" s="19"/>
      <c r="AK78" s="19"/>
      <c r="AM78" s="20"/>
      <c r="AN78" s="20"/>
      <c r="AO78" s="20"/>
      <c r="AP78" s="20"/>
      <c r="AQ78" s="20"/>
      <c r="AR78" s="20"/>
      <c r="BC78" s="16"/>
      <c r="BD78" s="16"/>
      <c r="BE78" s="16"/>
    </row>
    <row r="79" spans="1:57" ht="19.95" customHeight="1" x14ac:dyDescent="0.4">
      <c r="A79" s="15" t="s">
        <v>426</v>
      </c>
      <c r="B79" s="15" t="s">
        <v>423</v>
      </c>
      <c r="D79" s="16"/>
      <c r="E79" s="16"/>
      <c r="G79" s="17" t="s">
        <v>421</v>
      </c>
      <c r="H79" s="17" t="s">
        <v>422</v>
      </c>
      <c r="M79" s="17"/>
      <c r="N79" s="17"/>
      <c r="O79" s="17"/>
      <c r="Q79" s="19" t="s">
        <v>88</v>
      </c>
      <c r="R79" s="19">
        <v>4</v>
      </c>
      <c r="S79" s="19" t="s">
        <v>117</v>
      </c>
      <c r="T79" s="19">
        <v>3</v>
      </c>
      <c r="U79" s="19" t="s">
        <v>115</v>
      </c>
      <c r="V79" s="19">
        <v>4</v>
      </c>
      <c r="W79" s="19"/>
      <c r="X79" s="19"/>
      <c r="Y79" s="19"/>
      <c r="Z79" s="19"/>
      <c r="AA79" s="20"/>
      <c r="AB79" s="20"/>
      <c r="AC79" s="20"/>
      <c r="AD79" s="20"/>
      <c r="AF79" s="19" t="s">
        <v>280</v>
      </c>
      <c r="AG79" s="19">
        <v>-3000</v>
      </c>
      <c r="AH79" s="19" t="s">
        <v>274</v>
      </c>
      <c r="AI79" s="19">
        <v>300</v>
      </c>
      <c r="AJ79" s="19"/>
      <c r="AK79" s="19"/>
      <c r="AM79" s="20"/>
      <c r="AN79" s="20"/>
      <c r="AO79" s="20"/>
      <c r="AP79" s="20"/>
      <c r="AQ79" s="20"/>
      <c r="AR79" s="20"/>
      <c r="BC79" s="16"/>
      <c r="BD79" s="16"/>
      <c r="BE79" s="16"/>
    </row>
    <row r="80" spans="1:57" ht="19.95" customHeight="1" x14ac:dyDescent="0.4">
      <c r="A80" s="15" t="s">
        <v>427</v>
      </c>
      <c r="B80" s="15" t="s">
        <v>423</v>
      </c>
      <c r="D80" s="16"/>
      <c r="E80" s="16"/>
      <c r="G80" s="17" t="s">
        <v>347</v>
      </c>
      <c r="H80" s="17" t="s">
        <v>422</v>
      </c>
      <c r="M80" s="17"/>
      <c r="N80" s="17"/>
      <c r="O80" s="17"/>
      <c r="Q80" s="19" t="s">
        <v>88</v>
      </c>
      <c r="R80" s="19">
        <v>3</v>
      </c>
      <c r="S80" s="19" t="s">
        <v>117</v>
      </c>
      <c r="T80" s="19">
        <v>2</v>
      </c>
      <c r="U80" s="19" t="s">
        <v>115</v>
      </c>
      <c r="V80" s="19">
        <v>4</v>
      </c>
      <c r="W80" s="19" t="s">
        <v>22</v>
      </c>
      <c r="X80" s="19">
        <v>5</v>
      </c>
      <c r="Y80" s="19" t="s">
        <v>115</v>
      </c>
      <c r="Z80" s="19">
        <v>5</v>
      </c>
      <c r="AA80" s="20"/>
      <c r="AB80" s="20"/>
      <c r="AC80" s="20"/>
      <c r="AD80" s="20"/>
      <c r="AF80" s="19" t="s">
        <v>280</v>
      </c>
      <c r="AG80" s="19">
        <v>-4000</v>
      </c>
      <c r="AH80" s="19" t="s">
        <v>274</v>
      </c>
      <c r="AI80" s="19">
        <v>400</v>
      </c>
      <c r="AJ80" s="19"/>
      <c r="AK80" s="19"/>
      <c r="AM80" s="20"/>
      <c r="AN80" s="20"/>
      <c r="AO80" s="20"/>
      <c r="AP80" s="20"/>
      <c r="AQ80" s="20"/>
      <c r="AR80" s="20"/>
      <c r="BC80" s="16"/>
      <c r="BD80" s="16"/>
      <c r="BE80" s="16"/>
    </row>
    <row r="81" spans="1:57" ht="19.95" customHeight="1" x14ac:dyDescent="0.4">
      <c r="A81" s="18" t="s">
        <v>429</v>
      </c>
      <c r="B81" s="18" t="s">
        <v>428</v>
      </c>
      <c r="D81" s="16"/>
      <c r="E81" s="16"/>
      <c r="G81" s="17" t="s">
        <v>347</v>
      </c>
      <c r="H81" s="17" t="s">
        <v>347</v>
      </c>
      <c r="M81" s="17"/>
      <c r="N81" s="17"/>
      <c r="O81" s="17"/>
      <c r="Q81" s="19" t="s">
        <v>90</v>
      </c>
      <c r="R81" s="19">
        <v>10</v>
      </c>
      <c r="S81" s="19"/>
      <c r="T81" s="19"/>
      <c r="U81" s="19"/>
      <c r="V81" s="19"/>
      <c r="W81" s="19"/>
      <c r="X81" s="19"/>
      <c r="Y81" s="19"/>
      <c r="Z81" s="19"/>
      <c r="AA81" s="20" t="s">
        <v>88</v>
      </c>
      <c r="AB81" s="20">
        <v>40</v>
      </c>
      <c r="AC81" s="20"/>
      <c r="AD81" s="20"/>
      <c r="AF81" s="19" t="s">
        <v>280</v>
      </c>
      <c r="AG81" s="19">
        <v>4500</v>
      </c>
      <c r="AH81" s="19" t="s">
        <v>274</v>
      </c>
      <c r="AI81" s="19">
        <v>400</v>
      </c>
      <c r="AJ81" s="19"/>
      <c r="AK81" s="19"/>
      <c r="AM81" s="20"/>
      <c r="AN81" s="20"/>
      <c r="AO81" s="20"/>
      <c r="AP81" s="20"/>
      <c r="AQ81" s="20"/>
      <c r="AR81" s="20"/>
      <c r="BC81" s="16"/>
      <c r="BD81" s="16"/>
      <c r="BE81" s="16"/>
    </row>
    <row r="82" spans="1:57" ht="19.95" customHeight="1" x14ac:dyDescent="0.4">
      <c r="A82" s="18" t="s">
        <v>430</v>
      </c>
      <c r="B82" s="18" t="s">
        <v>428</v>
      </c>
      <c r="D82" s="16"/>
      <c r="E82" s="16"/>
      <c r="G82" s="17" t="s">
        <v>347</v>
      </c>
      <c r="H82" s="17" t="s">
        <v>347</v>
      </c>
      <c r="M82" s="17"/>
      <c r="N82" s="17"/>
      <c r="O82" s="17"/>
      <c r="Q82" s="19" t="s">
        <v>90</v>
      </c>
      <c r="R82" s="19">
        <v>15</v>
      </c>
      <c r="S82" s="19"/>
      <c r="T82" s="19"/>
      <c r="U82" s="19"/>
      <c r="V82" s="19"/>
      <c r="W82" s="19"/>
      <c r="X82" s="19"/>
      <c r="Y82" s="19"/>
      <c r="Z82" s="19"/>
      <c r="AA82" s="20" t="s">
        <v>88</v>
      </c>
      <c r="AB82" s="20">
        <v>65</v>
      </c>
      <c r="AC82" s="20"/>
      <c r="AD82" s="20"/>
      <c r="AF82" s="19" t="s">
        <v>280</v>
      </c>
      <c r="AG82" s="19">
        <v>4300</v>
      </c>
      <c r="AH82" s="19" t="s">
        <v>274</v>
      </c>
      <c r="AI82" s="19">
        <v>600</v>
      </c>
      <c r="AJ82" s="19"/>
      <c r="AK82" s="19"/>
      <c r="AM82" s="20"/>
      <c r="AN82" s="20"/>
      <c r="AO82" s="20"/>
      <c r="AP82" s="20"/>
      <c r="AQ82" s="20"/>
      <c r="AR82" s="20"/>
      <c r="BC82" s="16"/>
      <c r="BD82" s="16"/>
      <c r="BE82" s="16"/>
    </row>
    <row r="83" spans="1:57" ht="19.95" customHeight="1" x14ac:dyDescent="0.4">
      <c r="A83" s="18" t="s">
        <v>431</v>
      </c>
      <c r="B83" s="18" t="s">
        <v>428</v>
      </c>
      <c r="D83" s="16"/>
      <c r="E83" s="16"/>
      <c r="G83" s="17" t="s">
        <v>347</v>
      </c>
      <c r="H83" s="17" t="s">
        <v>347</v>
      </c>
      <c r="M83" s="17"/>
      <c r="N83" s="17"/>
      <c r="O83" s="17"/>
      <c r="Q83" s="19" t="s">
        <v>90</v>
      </c>
      <c r="R83" s="19">
        <v>20</v>
      </c>
      <c r="S83" s="19"/>
      <c r="T83" s="19"/>
      <c r="U83" s="19"/>
      <c r="V83" s="19"/>
      <c r="W83" s="19"/>
      <c r="X83" s="19"/>
      <c r="Y83" s="19"/>
      <c r="Z83" s="19"/>
      <c r="AA83" s="20" t="s">
        <v>88</v>
      </c>
      <c r="AB83" s="20">
        <v>90</v>
      </c>
      <c r="AC83" s="20"/>
      <c r="AD83" s="20"/>
      <c r="AF83" s="19" t="s">
        <v>280</v>
      </c>
      <c r="AG83" s="19">
        <v>4000</v>
      </c>
      <c r="AH83" s="19" t="s">
        <v>274</v>
      </c>
      <c r="AI83" s="19">
        <v>900</v>
      </c>
      <c r="AJ83" s="19"/>
      <c r="AK83" s="19"/>
      <c r="AM83" s="20"/>
      <c r="AN83" s="20"/>
      <c r="AO83" s="20"/>
      <c r="AP83" s="20"/>
      <c r="AQ83" s="20"/>
      <c r="AR83" s="20"/>
      <c r="BC83" s="16"/>
      <c r="BD83" s="16"/>
      <c r="BE83" s="16"/>
    </row>
    <row r="84" spans="1:57" ht="19.95" customHeight="1" x14ac:dyDescent="0.4">
      <c r="A84" s="18" t="s">
        <v>433</v>
      </c>
      <c r="B84" s="18" t="s">
        <v>432</v>
      </c>
      <c r="D84" s="16"/>
      <c r="E84" s="16"/>
      <c r="G84" s="17" t="s">
        <v>347</v>
      </c>
      <c r="H84" s="17" t="s">
        <v>347</v>
      </c>
      <c r="M84" s="17"/>
      <c r="N84" s="17"/>
      <c r="O84" s="17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20"/>
      <c r="AB84" s="20"/>
      <c r="AC84" s="20"/>
      <c r="AD84" s="20"/>
      <c r="AF84" s="19"/>
      <c r="AG84" s="19"/>
      <c r="AH84" s="19"/>
      <c r="AI84" s="19"/>
      <c r="AJ84" s="19"/>
      <c r="AK84" s="19"/>
      <c r="AM84" s="20"/>
      <c r="AN84" s="20"/>
      <c r="AO84" s="20"/>
      <c r="AP84" s="20"/>
      <c r="AQ84" s="20"/>
      <c r="AR84" s="20"/>
      <c r="BC84" s="16"/>
      <c r="BD84" s="16"/>
      <c r="BE84" s="16"/>
    </row>
    <row r="85" spans="1:57" ht="19.95" customHeight="1" x14ac:dyDescent="0.4">
      <c r="A85" s="18" t="s">
        <v>434</v>
      </c>
      <c r="B85" s="18" t="s">
        <v>432</v>
      </c>
      <c r="D85" s="16"/>
      <c r="E85" s="16"/>
      <c r="G85" s="17" t="s">
        <v>347</v>
      </c>
      <c r="H85" s="17" t="s">
        <v>347</v>
      </c>
      <c r="M85" s="17"/>
      <c r="N85" s="17"/>
      <c r="O85" s="17"/>
      <c r="Q85" s="19" t="s">
        <v>90</v>
      </c>
      <c r="R85" s="19">
        <v>5</v>
      </c>
      <c r="S85" s="19" t="s">
        <v>88</v>
      </c>
      <c r="T85" s="19">
        <v>5</v>
      </c>
      <c r="U85" s="19" t="s">
        <v>113</v>
      </c>
      <c r="V85" s="19">
        <v>5</v>
      </c>
      <c r="W85" s="19" t="s">
        <v>80</v>
      </c>
      <c r="X85" s="19">
        <v>5</v>
      </c>
      <c r="Y85" s="19" t="s">
        <v>78</v>
      </c>
      <c r="Z85" s="19">
        <v>5</v>
      </c>
      <c r="AA85" s="20" t="s">
        <v>587</v>
      </c>
      <c r="AB85" s="20">
        <v>40</v>
      </c>
      <c r="AC85" s="20"/>
      <c r="AD85" s="20"/>
      <c r="AF85" s="19" t="s">
        <v>559</v>
      </c>
      <c r="AG85" s="19">
        <v>100</v>
      </c>
      <c r="AH85" s="19" t="s">
        <v>274</v>
      </c>
      <c r="AI85" s="19">
        <v>100</v>
      </c>
      <c r="AJ85" s="19"/>
      <c r="AK85" s="19"/>
      <c r="AM85" s="20"/>
      <c r="AN85" s="20"/>
      <c r="AO85" s="20"/>
      <c r="AP85" s="20"/>
      <c r="AQ85" s="20"/>
      <c r="AR85" s="20"/>
      <c r="BC85" s="16"/>
      <c r="BD85" s="16"/>
      <c r="BE85" s="16"/>
    </row>
    <row r="86" spans="1:57" ht="19.95" customHeight="1" x14ac:dyDescent="0.4">
      <c r="A86" s="18" t="s">
        <v>588</v>
      </c>
      <c r="B86" s="18" t="s">
        <v>435</v>
      </c>
      <c r="D86" s="16"/>
      <c r="E86" s="16"/>
      <c r="G86" s="17" t="s">
        <v>347</v>
      </c>
      <c r="H86" s="17" t="s">
        <v>347</v>
      </c>
      <c r="M86" s="17"/>
      <c r="N86" s="17"/>
      <c r="O86" s="17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20"/>
      <c r="AB86" s="20"/>
      <c r="AC86" s="20"/>
      <c r="AD86" s="20"/>
      <c r="AF86" s="19"/>
      <c r="AG86" s="19"/>
      <c r="AH86" s="19"/>
      <c r="AI86" s="19"/>
      <c r="AJ86" s="19"/>
      <c r="AK86" s="19"/>
      <c r="AM86" s="20"/>
      <c r="AN86" s="20"/>
      <c r="AO86" s="20"/>
      <c r="AP86" s="20"/>
      <c r="AQ86" s="20"/>
      <c r="AR86" s="20"/>
      <c r="BC86" s="16"/>
      <c r="BD86" s="16"/>
      <c r="BE86" s="16"/>
    </row>
    <row r="87" spans="1:57" ht="19.95" customHeight="1" x14ac:dyDescent="0.4">
      <c r="A87" s="18" t="s">
        <v>436</v>
      </c>
      <c r="B87" s="18" t="s">
        <v>435</v>
      </c>
      <c r="D87" s="16"/>
      <c r="E87" s="16"/>
      <c r="G87" s="17" t="s">
        <v>347</v>
      </c>
      <c r="H87" s="17" t="s">
        <v>347</v>
      </c>
      <c r="M87" s="17"/>
      <c r="N87" s="17"/>
      <c r="O87" s="17"/>
      <c r="Q87" s="19" t="s">
        <v>88</v>
      </c>
      <c r="R87" s="19">
        <v>2</v>
      </c>
      <c r="S87" s="19" t="s">
        <v>117</v>
      </c>
      <c r="T87" s="19">
        <v>1</v>
      </c>
      <c r="U87" s="19" t="s">
        <v>115</v>
      </c>
      <c r="V87" s="19">
        <v>2</v>
      </c>
      <c r="W87" s="19"/>
      <c r="X87" s="19"/>
      <c r="Y87" s="19"/>
      <c r="Z87" s="19"/>
      <c r="AA87" s="20"/>
      <c r="AB87" s="20"/>
      <c r="AC87" s="20"/>
      <c r="AD87" s="20"/>
      <c r="AF87" s="19" t="s">
        <v>280</v>
      </c>
      <c r="AG87" s="19">
        <v>-1000</v>
      </c>
      <c r="AH87" s="19" t="s">
        <v>274</v>
      </c>
      <c r="AI87" s="19">
        <v>100</v>
      </c>
      <c r="AJ87" s="19"/>
      <c r="AK87" s="19"/>
      <c r="AM87" s="20"/>
      <c r="AN87" s="20"/>
      <c r="AO87" s="20"/>
      <c r="AP87" s="20"/>
      <c r="AQ87" s="20"/>
      <c r="AR87" s="20"/>
      <c r="BC87" s="16"/>
      <c r="BD87" s="16"/>
      <c r="BE87" s="16"/>
    </row>
    <row r="88" spans="1:57" ht="19.95" customHeight="1" x14ac:dyDescent="0.4">
      <c r="A88" s="18" t="s">
        <v>437</v>
      </c>
      <c r="B88" s="18" t="s">
        <v>435</v>
      </c>
      <c r="D88" s="16"/>
      <c r="E88" s="16"/>
      <c r="G88" s="17" t="s">
        <v>347</v>
      </c>
      <c r="H88" s="17" t="s">
        <v>347</v>
      </c>
      <c r="M88" s="17"/>
      <c r="N88" s="17"/>
      <c r="O88" s="17"/>
      <c r="Q88" s="19" t="s">
        <v>88</v>
      </c>
      <c r="R88" s="19">
        <v>3</v>
      </c>
      <c r="S88" s="19" t="s">
        <v>117</v>
      </c>
      <c r="T88" s="19">
        <v>2</v>
      </c>
      <c r="U88" s="19" t="s">
        <v>115</v>
      </c>
      <c r="V88" s="19">
        <v>3</v>
      </c>
      <c r="W88" s="19"/>
      <c r="X88" s="19"/>
      <c r="Y88" s="19"/>
      <c r="Z88" s="19"/>
      <c r="AA88" s="20"/>
      <c r="AB88" s="20"/>
      <c r="AC88" s="20"/>
      <c r="AD88" s="20"/>
      <c r="AF88" s="19" t="s">
        <v>280</v>
      </c>
      <c r="AG88" s="19">
        <v>-2000</v>
      </c>
      <c r="AH88" s="19" t="s">
        <v>274</v>
      </c>
      <c r="AI88" s="19">
        <v>200</v>
      </c>
      <c r="AJ88" s="19"/>
      <c r="AK88" s="19"/>
      <c r="AM88" s="20"/>
      <c r="AN88" s="20"/>
      <c r="AO88" s="20"/>
      <c r="AP88" s="20"/>
      <c r="AQ88" s="20"/>
      <c r="AR88" s="20"/>
      <c r="BC88" s="16"/>
      <c r="BD88" s="16"/>
      <c r="BE88" s="16"/>
    </row>
    <row r="89" spans="1:57" ht="19.95" customHeight="1" x14ac:dyDescent="0.4">
      <c r="A89" s="18" t="s">
        <v>438</v>
      </c>
      <c r="B89" s="18" t="s">
        <v>435</v>
      </c>
      <c r="D89" s="16"/>
      <c r="E89" s="16"/>
      <c r="G89" s="17" t="s">
        <v>347</v>
      </c>
      <c r="H89" s="17" t="s">
        <v>347</v>
      </c>
      <c r="M89" s="17"/>
      <c r="N89" s="17"/>
      <c r="O89" s="17"/>
      <c r="Q89" s="19" t="s">
        <v>88</v>
      </c>
      <c r="R89" s="19">
        <v>4</v>
      </c>
      <c r="S89" s="19" t="s">
        <v>117</v>
      </c>
      <c r="T89" s="19">
        <v>3</v>
      </c>
      <c r="U89" s="19" t="s">
        <v>115</v>
      </c>
      <c r="V89" s="19">
        <v>4</v>
      </c>
      <c r="W89" s="19"/>
      <c r="X89" s="19"/>
      <c r="Y89" s="19"/>
      <c r="Z89" s="19"/>
      <c r="AA89" s="20"/>
      <c r="AB89" s="20"/>
      <c r="AC89" s="20"/>
      <c r="AD89" s="20"/>
      <c r="AF89" s="19" t="s">
        <v>280</v>
      </c>
      <c r="AG89" s="19">
        <v>-3000</v>
      </c>
      <c r="AH89" s="19" t="s">
        <v>274</v>
      </c>
      <c r="AI89" s="19">
        <v>300</v>
      </c>
      <c r="AJ89" s="19"/>
      <c r="AK89" s="19"/>
      <c r="AM89" s="20"/>
      <c r="AN89" s="20"/>
      <c r="AO89" s="20"/>
      <c r="AP89" s="20"/>
      <c r="AQ89" s="20"/>
      <c r="AR89" s="20"/>
      <c r="BC89" s="16"/>
      <c r="BD89" s="16"/>
      <c r="BE89" s="16"/>
    </row>
    <row r="90" spans="1:57" ht="19.95" customHeight="1" x14ac:dyDescent="0.4">
      <c r="A90" s="18" t="s">
        <v>439</v>
      </c>
      <c r="B90" s="18" t="s">
        <v>435</v>
      </c>
      <c r="D90" s="16"/>
      <c r="E90" s="16"/>
      <c r="G90" s="17" t="s">
        <v>347</v>
      </c>
      <c r="H90" s="17" t="s">
        <v>347</v>
      </c>
      <c r="M90" s="17"/>
      <c r="N90" s="17"/>
      <c r="O90" s="17"/>
      <c r="Q90" s="19" t="s">
        <v>88</v>
      </c>
      <c r="R90" s="19">
        <v>3</v>
      </c>
      <c r="S90" s="19" t="s">
        <v>117</v>
      </c>
      <c r="T90" s="19">
        <v>2</v>
      </c>
      <c r="U90" s="19" t="s">
        <v>115</v>
      </c>
      <c r="V90" s="19">
        <v>4</v>
      </c>
      <c r="W90" s="19" t="s">
        <v>22</v>
      </c>
      <c r="X90" s="19">
        <v>5</v>
      </c>
      <c r="Y90" s="19" t="s">
        <v>115</v>
      </c>
      <c r="Z90" s="19">
        <v>5</v>
      </c>
      <c r="AA90" s="20"/>
      <c r="AB90" s="20"/>
      <c r="AC90" s="20"/>
      <c r="AD90" s="20"/>
      <c r="AF90" s="19" t="s">
        <v>280</v>
      </c>
      <c r="AG90" s="19">
        <v>-4000</v>
      </c>
      <c r="AH90" s="19" t="s">
        <v>274</v>
      </c>
      <c r="AI90" s="19">
        <v>400</v>
      </c>
      <c r="AJ90" s="19"/>
      <c r="AK90" s="19"/>
      <c r="AM90" s="20"/>
      <c r="AN90" s="20"/>
      <c r="AO90" s="20"/>
      <c r="AP90" s="20"/>
      <c r="AQ90" s="20"/>
      <c r="AR90" s="20"/>
      <c r="BC90" s="16"/>
      <c r="BD90" s="16"/>
      <c r="BE90" s="16"/>
    </row>
    <row r="91" spans="1:57" ht="19.95" customHeight="1" x14ac:dyDescent="0.4">
      <c r="A91" s="15" t="s">
        <v>441</v>
      </c>
      <c r="B91" s="15" t="s">
        <v>440</v>
      </c>
      <c r="D91" s="16"/>
      <c r="E91" s="16"/>
      <c r="G91" s="17" t="s">
        <v>347</v>
      </c>
      <c r="H91" s="17" t="s">
        <v>347</v>
      </c>
      <c r="M91" s="17"/>
      <c r="N91" s="17"/>
      <c r="O91" s="17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20"/>
      <c r="AB91" s="20"/>
      <c r="AC91" s="20"/>
      <c r="AD91" s="20"/>
      <c r="AF91" s="19"/>
      <c r="AG91" s="19"/>
      <c r="AH91" s="19"/>
      <c r="AI91" s="19"/>
      <c r="AJ91" s="19"/>
      <c r="AK91" s="19"/>
      <c r="AM91" s="20"/>
      <c r="AN91" s="20"/>
      <c r="AO91" s="20"/>
      <c r="AP91" s="20"/>
      <c r="AQ91" s="20"/>
      <c r="AR91" s="20"/>
      <c r="BC91" s="16"/>
      <c r="BD91" s="16"/>
      <c r="BE91" s="16"/>
    </row>
    <row r="92" spans="1:57" ht="19.95" customHeight="1" x14ac:dyDescent="0.4">
      <c r="A92" s="15" t="s">
        <v>442</v>
      </c>
      <c r="B92" s="15" t="s">
        <v>440</v>
      </c>
      <c r="D92" s="16"/>
      <c r="E92" s="16"/>
      <c r="G92" s="17" t="s">
        <v>347</v>
      </c>
      <c r="H92" s="17" t="s">
        <v>347</v>
      </c>
      <c r="M92" s="17"/>
      <c r="N92" s="17"/>
      <c r="O92" s="17"/>
      <c r="Q92" s="19" t="s">
        <v>24</v>
      </c>
      <c r="R92" s="19">
        <v>10</v>
      </c>
      <c r="S92" s="19" t="s">
        <v>577</v>
      </c>
      <c r="T92" s="19">
        <v>10</v>
      </c>
      <c r="U92" s="19"/>
      <c r="V92" s="19"/>
      <c r="W92" s="19"/>
      <c r="X92" s="19"/>
      <c r="Y92" s="19"/>
      <c r="Z92" s="19"/>
      <c r="AA92" s="20" t="s">
        <v>131</v>
      </c>
      <c r="AB92" s="20">
        <v>40</v>
      </c>
      <c r="AC92" s="20"/>
      <c r="AD92" s="20"/>
      <c r="AF92" s="19" t="s">
        <v>280</v>
      </c>
      <c r="AG92" s="19">
        <v>2000</v>
      </c>
      <c r="AH92" s="19" t="s">
        <v>565</v>
      </c>
      <c r="AI92" s="19">
        <v>350</v>
      </c>
      <c r="AJ92" s="19" t="s">
        <v>273</v>
      </c>
      <c r="AK92" s="19">
        <v>100</v>
      </c>
      <c r="AM92" s="20"/>
      <c r="AN92" s="20"/>
      <c r="AO92" s="20"/>
      <c r="AP92" s="20"/>
      <c r="AQ92" s="20"/>
      <c r="AR92" s="20"/>
      <c r="BC92" s="16"/>
      <c r="BD92" s="16"/>
      <c r="BE92" s="16"/>
    </row>
    <row r="93" spans="1:57" ht="19.95" customHeight="1" x14ac:dyDescent="0.4">
      <c r="A93" s="15" t="s">
        <v>443</v>
      </c>
      <c r="B93" s="15" t="s">
        <v>440</v>
      </c>
      <c r="D93" s="16"/>
      <c r="E93" s="16"/>
      <c r="G93" s="17" t="s">
        <v>347</v>
      </c>
      <c r="H93" s="17" t="s">
        <v>347</v>
      </c>
      <c r="M93" s="17"/>
      <c r="N93" s="17"/>
      <c r="O93" s="17"/>
      <c r="Q93" s="19" t="s">
        <v>24</v>
      </c>
      <c r="R93" s="19">
        <v>10</v>
      </c>
      <c r="S93" s="19" t="s">
        <v>113</v>
      </c>
      <c r="T93" s="19">
        <v>10</v>
      </c>
      <c r="U93" s="19"/>
      <c r="V93" s="19"/>
      <c r="W93" s="19" t="s">
        <v>577</v>
      </c>
      <c r="X93" s="19">
        <v>10</v>
      </c>
      <c r="Y93" s="19"/>
      <c r="Z93" s="19"/>
      <c r="AA93" s="20" t="s">
        <v>131</v>
      </c>
      <c r="AB93" s="20">
        <v>80</v>
      </c>
      <c r="AC93" s="20"/>
      <c r="AD93" s="20"/>
      <c r="AF93" s="19" t="s">
        <v>280</v>
      </c>
      <c r="AG93" s="19">
        <v>2000</v>
      </c>
      <c r="AH93" s="19" t="s">
        <v>273</v>
      </c>
      <c r="AI93" s="19">
        <v>250</v>
      </c>
      <c r="AJ93" s="19" t="s">
        <v>274</v>
      </c>
      <c r="AK93" s="19">
        <v>250</v>
      </c>
      <c r="AM93" s="20"/>
      <c r="AN93" s="20"/>
      <c r="AO93" s="20"/>
      <c r="AP93" s="20"/>
      <c r="AQ93" s="20"/>
      <c r="AR93" s="20"/>
      <c r="BC93" s="16"/>
      <c r="BD93" s="16"/>
      <c r="BE93" s="16"/>
    </row>
    <row r="94" spans="1:57" ht="19.95" customHeight="1" x14ac:dyDescent="0.4">
      <c r="A94" s="15" t="s">
        <v>445</v>
      </c>
      <c r="B94" s="15" t="s">
        <v>444</v>
      </c>
      <c r="D94" s="16"/>
      <c r="E94" s="16"/>
      <c r="G94" s="17" t="s">
        <v>347</v>
      </c>
      <c r="H94" s="17" t="s">
        <v>347</v>
      </c>
      <c r="M94" s="17"/>
      <c r="N94" s="17"/>
      <c r="O94" s="17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20"/>
      <c r="AB94" s="20"/>
      <c r="AC94" s="20"/>
      <c r="AD94" s="20"/>
      <c r="AF94" s="19"/>
      <c r="AG94" s="19"/>
      <c r="AH94" s="19"/>
      <c r="AI94" s="19"/>
      <c r="AJ94" s="19"/>
      <c r="AK94" s="19"/>
      <c r="AM94" s="20"/>
      <c r="AN94" s="20"/>
      <c r="AO94" s="20"/>
      <c r="AP94" s="20"/>
      <c r="AQ94" s="20"/>
      <c r="AR94" s="20"/>
      <c r="BC94" s="16"/>
      <c r="BD94" s="16"/>
      <c r="BE94" s="16"/>
    </row>
    <row r="95" spans="1:57" ht="19.95" customHeight="1" x14ac:dyDescent="0.4">
      <c r="A95" s="15" t="s">
        <v>446</v>
      </c>
      <c r="B95" s="15" t="s">
        <v>444</v>
      </c>
      <c r="D95" s="16"/>
      <c r="E95" s="16"/>
      <c r="G95" s="17" t="s">
        <v>347</v>
      </c>
      <c r="H95" s="17" t="s">
        <v>347</v>
      </c>
      <c r="M95" s="17"/>
      <c r="N95" s="17"/>
      <c r="O95" s="17"/>
      <c r="Q95" s="19" t="s">
        <v>24</v>
      </c>
      <c r="R95" s="19">
        <v>10</v>
      </c>
      <c r="S95" s="19" t="s">
        <v>577</v>
      </c>
      <c r="T95" s="19">
        <v>5</v>
      </c>
      <c r="U95" s="19"/>
      <c r="V95" s="19"/>
      <c r="W95" s="19"/>
      <c r="X95" s="19"/>
      <c r="Y95" s="19"/>
      <c r="Z95" s="19"/>
      <c r="AA95" s="20" t="s">
        <v>133</v>
      </c>
      <c r="AB95" s="20">
        <v>30</v>
      </c>
      <c r="AC95" s="20"/>
      <c r="AD95" s="20"/>
      <c r="AF95" s="19" t="s">
        <v>280</v>
      </c>
      <c r="AG95" s="19">
        <v>2000</v>
      </c>
      <c r="AH95" s="19" t="s">
        <v>565</v>
      </c>
      <c r="AI95" s="19">
        <v>350</v>
      </c>
      <c r="AJ95" s="19" t="s">
        <v>273</v>
      </c>
      <c r="AK95" s="19">
        <v>100</v>
      </c>
      <c r="AM95" s="20"/>
      <c r="AN95" s="20"/>
      <c r="AO95" s="20"/>
      <c r="AP95" s="20"/>
      <c r="AQ95" s="20"/>
      <c r="AR95" s="20"/>
      <c r="BC95" s="16"/>
      <c r="BD95" s="16"/>
      <c r="BE95" s="16"/>
    </row>
    <row r="96" spans="1:57" ht="19.95" customHeight="1" x14ac:dyDescent="0.4">
      <c r="A96" s="15" t="s">
        <v>589</v>
      </c>
      <c r="B96" s="15" t="s">
        <v>444</v>
      </c>
      <c r="D96" s="16"/>
      <c r="E96" s="16"/>
      <c r="G96" s="17" t="s">
        <v>347</v>
      </c>
      <c r="H96" s="17" t="s">
        <v>347</v>
      </c>
      <c r="M96" s="17"/>
      <c r="N96" s="17"/>
      <c r="O96" s="17"/>
      <c r="Q96" s="19" t="s">
        <v>24</v>
      </c>
      <c r="R96" s="19">
        <v>10</v>
      </c>
      <c r="S96" s="19" t="s">
        <v>113</v>
      </c>
      <c r="T96" s="19">
        <v>5</v>
      </c>
      <c r="U96" s="19" t="s">
        <v>90</v>
      </c>
      <c r="V96" s="19">
        <v>5</v>
      </c>
      <c r="W96" s="19" t="s">
        <v>577</v>
      </c>
      <c r="X96" s="19">
        <v>5</v>
      </c>
      <c r="Y96" s="19"/>
      <c r="Z96" s="19"/>
      <c r="AA96" s="20" t="s">
        <v>136</v>
      </c>
      <c r="AB96" s="20">
        <v>50</v>
      </c>
      <c r="AC96" s="20"/>
      <c r="AD96" s="20"/>
      <c r="AF96" s="19" t="s">
        <v>565</v>
      </c>
      <c r="AG96" s="19">
        <v>1000</v>
      </c>
      <c r="AH96" s="19" t="s">
        <v>273</v>
      </c>
      <c r="AI96" s="19">
        <v>250</v>
      </c>
      <c r="AJ96" s="19" t="s">
        <v>274</v>
      </c>
      <c r="AK96" s="19">
        <v>250</v>
      </c>
      <c r="AM96" s="20"/>
      <c r="AN96" s="20"/>
      <c r="AO96" s="20"/>
      <c r="AP96" s="20"/>
      <c r="AQ96" s="20"/>
      <c r="AR96" s="20"/>
      <c r="BC96" s="16"/>
      <c r="BD96" s="16"/>
      <c r="BE96" s="16"/>
    </row>
    <row r="97" spans="1:57" ht="19.95" customHeight="1" x14ac:dyDescent="0.4">
      <c r="A97" s="15" t="s">
        <v>590</v>
      </c>
      <c r="B97" s="15" t="s">
        <v>448</v>
      </c>
      <c r="D97" s="16"/>
      <c r="E97" s="16"/>
      <c r="G97" s="17" t="s">
        <v>347</v>
      </c>
      <c r="H97" s="17" t="s">
        <v>347</v>
      </c>
      <c r="M97" s="17"/>
      <c r="N97" s="17"/>
      <c r="O97" s="17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20"/>
      <c r="AB97" s="20"/>
      <c r="AC97" s="20"/>
      <c r="AD97" s="20"/>
      <c r="AF97" s="19"/>
      <c r="AG97" s="19"/>
      <c r="AH97" s="19"/>
      <c r="AI97" s="19"/>
      <c r="AJ97" s="19"/>
      <c r="AK97" s="19"/>
      <c r="AM97" s="20"/>
      <c r="AN97" s="20"/>
      <c r="AO97" s="20"/>
      <c r="AP97" s="20"/>
      <c r="AQ97" s="20"/>
      <c r="AR97" s="20"/>
      <c r="BC97" s="16"/>
      <c r="BD97" s="16"/>
      <c r="BE97" s="16"/>
    </row>
    <row r="98" spans="1:57" ht="19.95" customHeight="1" x14ac:dyDescent="0.4">
      <c r="A98" s="15" t="s">
        <v>449</v>
      </c>
      <c r="B98" s="15" t="s">
        <v>448</v>
      </c>
      <c r="D98" s="16"/>
      <c r="E98" s="16"/>
      <c r="G98" s="17" t="s">
        <v>347</v>
      </c>
      <c r="H98" s="17" t="s">
        <v>347</v>
      </c>
      <c r="M98" s="17"/>
      <c r="N98" s="17"/>
      <c r="O98" s="17"/>
      <c r="Q98" s="19" t="s">
        <v>22</v>
      </c>
      <c r="R98" s="19">
        <v>2</v>
      </c>
      <c r="S98" s="19" t="s">
        <v>115</v>
      </c>
      <c r="T98" s="19">
        <v>2</v>
      </c>
      <c r="U98" s="19"/>
      <c r="V98" s="19"/>
      <c r="W98" s="19"/>
      <c r="X98" s="19"/>
      <c r="Y98" s="19"/>
      <c r="Z98" s="19"/>
      <c r="AA98" s="20"/>
      <c r="AB98" s="20"/>
      <c r="AC98" s="20"/>
      <c r="AD98" s="20"/>
      <c r="AF98" s="19" t="s">
        <v>280</v>
      </c>
      <c r="AG98" s="19">
        <v>-1000</v>
      </c>
      <c r="AH98" s="19" t="s">
        <v>565</v>
      </c>
      <c r="AI98" s="19">
        <v>350</v>
      </c>
      <c r="AJ98" s="19" t="s">
        <v>273</v>
      </c>
      <c r="AK98" s="19">
        <v>150</v>
      </c>
      <c r="AM98" s="20"/>
      <c r="AN98" s="20"/>
      <c r="AO98" s="20"/>
      <c r="AP98" s="20"/>
      <c r="AQ98" s="20"/>
      <c r="AR98" s="20"/>
      <c r="BC98" s="16"/>
      <c r="BD98" s="16"/>
      <c r="BE98" s="16"/>
    </row>
    <row r="99" spans="1:57" ht="19.95" customHeight="1" x14ac:dyDescent="0.4">
      <c r="A99" s="15" t="s">
        <v>450</v>
      </c>
      <c r="B99" s="15" t="s">
        <v>448</v>
      </c>
      <c r="D99" s="16"/>
      <c r="E99" s="16"/>
      <c r="G99" s="17" t="s">
        <v>347</v>
      </c>
      <c r="H99" s="17" t="s">
        <v>347</v>
      </c>
      <c r="M99" s="17"/>
      <c r="N99" s="17"/>
      <c r="O99" s="17"/>
      <c r="Q99" s="19" t="s">
        <v>22</v>
      </c>
      <c r="R99" s="19">
        <v>4</v>
      </c>
      <c r="S99" s="19" t="s">
        <v>115</v>
      </c>
      <c r="T99" s="19">
        <v>4</v>
      </c>
      <c r="U99" s="19"/>
      <c r="V99" s="19"/>
      <c r="W99" s="19"/>
      <c r="X99" s="19"/>
      <c r="Y99" s="19"/>
      <c r="Z99" s="19"/>
      <c r="AA99" s="20"/>
      <c r="AB99" s="20"/>
      <c r="AC99" s="20"/>
      <c r="AD99" s="20"/>
      <c r="AF99" s="19" t="s">
        <v>280</v>
      </c>
      <c r="AG99" s="19">
        <v>-2000</v>
      </c>
      <c r="AH99" s="19" t="s">
        <v>565</v>
      </c>
      <c r="AI99" s="19">
        <v>250</v>
      </c>
      <c r="AJ99" s="19" t="s">
        <v>273</v>
      </c>
      <c r="AK99" s="19">
        <v>250</v>
      </c>
      <c r="AM99" s="20"/>
      <c r="AN99" s="20"/>
      <c r="AO99" s="20"/>
      <c r="AP99" s="20"/>
      <c r="AQ99" s="20"/>
      <c r="AR99" s="20"/>
      <c r="BC99" s="16"/>
      <c r="BD99" s="16"/>
      <c r="BE99" s="16"/>
    </row>
    <row r="100" spans="1:57" ht="19.95" customHeight="1" x14ac:dyDescent="0.4">
      <c r="A100" s="15" t="s">
        <v>451</v>
      </c>
      <c r="B100" s="15" t="s">
        <v>448</v>
      </c>
      <c r="D100" s="16"/>
      <c r="E100" s="16"/>
      <c r="G100" s="17" t="s">
        <v>442</v>
      </c>
      <c r="H100" s="17" t="s">
        <v>446</v>
      </c>
      <c r="M100" s="17"/>
      <c r="N100" s="17"/>
      <c r="O100" s="17"/>
      <c r="Q100" s="19" t="s">
        <v>22</v>
      </c>
      <c r="R100" s="19">
        <v>8</v>
      </c>
      <c r="S100" s="19" t="s">
        <v>115</v>
      </c>
      <c r="T100" s="19">
        <v>8</v>
      </c>
      <c r="U100" s="19" t="s">
        <v>82</v>
      </c>
      <c r="V100" s="19">
        <v>1</v>
      </c>
      <c r="W100" s="19"/>
      <c r="X100" s="19"/>
      <c r="Y100" s="19"/>
      <c r="Z100" s="19"/>
      <c r="AA100" s="20"/>
      <c r="AB100" s="20"/>
      <c r="AC100" s="20"/>
      <c r="AD100" s="20"/>
      <c r="AF100" s="19" t="s">
        <v>280</v>
      </c>
      <c r="AG100" s="19">
        <v>-2000</v>
      </c>
      <c r="AH100" s="19" t="s">
        <v>565</v>
      </c>
      <c r="AI100" s="19">
        <v>150</v>
      </c>
      <c r="AJ100" s="19" t="s">
        <v>273</v>
      </c>
      <c r="AK100" s="19">
        <v>350</v>
      </c>
      <c r="AM100" s="20"/>
      <c r="AN100" s="20"/>
      <c r="AO100" s="20"/>
      <c r="AP100" s="20"/>
      <c r="AQ100" s="20"/>
      <c r="AR100" s="20"/>
      <c r="BC100" s="16"/>
      <c r="BD100" s="16"/>
      <c r="BE100" s="16"/>
    </row>
    <row r="101" spans="1:57" ht="19.95" customHeight="1" x14ac:dyDescent="0.4">
      <c r="A101" s="15" t="s">
        <v>452</v>
      </c>
      <c r="B101" s="15" t="s">
        <v>448</v>
      </c>
      <c r="D101" s="16"/>
      <c r="E101" s="16"/>
      <c r="G101" s="17" t="s">
        <v>447</v>
      </c>
      <c r="H101" s="17" t="s">
        <v>443</v>
      </c>
      <c r="M101" s="17" t="s">
        <v>573</v>
      </c>
      <c r="N101" s="17" t="s">
        <v>574</v>
      </c>
      <c r="O101" s="17"/>
      <c r="Q101" s="19" t="s">
        <v>22</v>
      </c>
      <c r="R101" s="19">
        <v>8</v>
      </c>
      <c r="S101" s="19" t="s">
        <v>115</v>
      </c>
      <c r="T101" s="19">
        <v>8</v>
      </c>
      <c r="U101" s="19" t="s">
        <v>117</v>
      </c>
      <c r="V101" s="19">
        <v>1</v>
      </c>
      <c r="W101" s="19" t="s">
        <v>88</v>
      </c>
      <c r="X101" s="19">
        <v>2</v>
      </c>
      <c r="Y101" s="19" t="s">
        <v>82</v>
      </c>
      <c r="Z101" s="19">
        <v>1</v>
      </c>
      <c r="AA101" s="20"/>
      <c r="AB101" s="20"/>
      <c r="AC101" s="20"/>
      <c r="AD101" s="20"/>
      <c r="AF101" s="19" t="s">
        <v>280</v>
      </c>
      <c r="AG101" s="19">
        <v>-2000</v>
      </c>
      <c r="AH101" s="19" t="s">
        <v>565</v>
      </c>
      <c r="AI101" s="19">
        <v>-500</v>
      </c>
      <c r="AJ101" s="19" t="s">
        <v>274</v>
      </c>
      <c r="AK101" s="19">
        <v>250</v>
      </c>
      <c r="AM101" s="20"/>
      <c r="AN101" s="20"/>
      <c r="AO101" s="20"/>
      <c r="AP101" s="20"/>
      <c r="AQ101" s="20"/>
      <c r="AR101" s="20"/>
      <c r="BC101" s="16"/>
      <c r="BD101" s="16"/>
      <c r="BE101" s="16"/>
    </row>
    <row r="102" spans="1:57" ht="19.95" customHeight="1" x14ac:dyDescent="0.4">
      <c r="A102" s="18" t="s">
        <v>591</v>
      </c>
      <c r="B102" s="18" t="s">
        <v>453</v>
      </c>
      <c r="D102" s="16"/>
      <c r="E102" s="16"/>
      <c r="G102" s="17" t="s">
        <v>347</v>
      </c>
      <c r="H102" s="17" t="s">
        <v>347</v>
      </c>
      <c r="M102" s="17"/>
      <c r="N102" s="17"/>
      <c r="O102" s="17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20"/>
      <c r="AB102" s="20"/>
      <c r="AC102" s="20"/>
      <c r="AD102" s="20"/>
      <c r="AF102" s="19"/>
      <c r="AG102" s="19"/>
      <c r="AH102" s="19"/>
      <c r="AI102" s="19"/>
      <c r="AJ102" s="19"/>
      <c r="AK102" s="19"/>
      <c r="AM102" s="20"/>
      <c r="AN102" s="20"/>
      <c r="AO102" s="20"/>
      <c r="AP102" s="20"/>
      <c r="AQ102" s="20"/>
      <c r="AR102" s="20"/>
      <c r="BC102" s="16"/>
      <c r="BD102" s="16"/>
      <c r="BE102" s="16"/>
    </row>
    <row r="103" spans="1:57" ht="19.95" customHeight="1" x14ac:dyDescent="0.4">
      <c r="A103" s="18" t="s">
        <v>454</v>
      </c>
      <c r="B103" s="18" t="s">
        <v>453</v>
      </c>
      <c r="D103" s="16"/>
      <c r="E103" s="16"/>
      <c r="G103" s="17" t="s">
        <v>347</v>
      </c>
      <c r="H103" s="17" t="s">
        <v>347</v>
      </c>
      <c r="M103" s="17"/>
      <c r="N103" s="17"/>
      <c r="O103" s="17"/>
      <c r="Q103" s="19" t="s">
        <v>24</v>
      </c>
      <c r="R103" s="19">
        <v>10</v>
      </c>
      <c r="S103" s="19" t="s">
        <v>80</v>
      </c>
      <c r="T103" s="19">
        <v>10</v>
      </c>
      <c r="U103" s="19" t="s">
        <v>90</v>
      </c>
      <c r="V103" s="19">
        <v>5</v>
      </c>
      <c r="W103" s="19"/>
      <c r="X103" s="19"/>
      <c r="Y103" s="19"/>
      <c r="Z103" s="19"/>
      <c r="AA103" s="20" t="s">
        <v>132</v>
      </c>
      <c r="AB103" s="20">
        <v>40</v>
      </c>
      <c r="AC103" s="20"/>
      <c r="AD103" s="20"/>
      <c r="AF103" s="19" t="s">
        <v>280</v>
      </c>
      <c r="AG103" s="19">
        <v>2000</v>
      </c>
      <c r="AH103" s="19" t="s">
        <v>274</v>
      </c>
      <c r="AI103" s="19">
        <v>450</v>
      </c>
      <c r="AJ103" s="19"/>
      <c r="AK103" s="19"/>
      <c r="AM103" s="20"/>
      <c r="AN103" s="20"/>
      <c r="AO103" s="20"/>
      <c r="AP103" s="20"/>
      <c r="AQ103" s="20"/>
      <c r="AR103" s="20"/>
      <c r="BC103" s="16"/>
      <c r="BD103" s="16"/>
      <c r="BE103" s="16"/>
    </row>
    <row r="104" spans="1:57" ht="19.95" customHeight="1" x14ac:dyDescent="0.4">
      <c r="A104" s="18" t="s">
        <v>455</v>
      </c>
      <c r="B104" s="18" t="s">
        <v>453</v>
      </c>
      <c r="D104" s="16"/>
      <c r="E104" s="16"/>
      <c r="G104" s="17" t="s">
        <v>347</v>
      </c>
      <c r="H104" s="17" t="s">
        <v>347</v>
      </c>
      <c r="M104" s="17"/>
      <c r="N104" s="17"/>
      <c r="O104" s="17"/>
      <c r="Q104" s="19" t="s">
        <v>24</v>
      </c>
      <c r="R104" s="19">
        <v>20</v>
      </c>
      <c r="S104" s="19" t="s">
        <v>80</v>
      </c>
      <c r="T104" s="19">
        <v>20</v>
      </c>
      <c r="U104" s="19" t="s">
        <v>90</v>
      </c>
      <c r="V104" s="19">
        <v>10</v>
      </c>
      <c r="W104" s="19"/>
      <c r="X104" s="19"/>
      <c r="Y104" s="19"/>
      <c r="Z104" s="19"/>
      <c r="AA104" s="20" t="s">
        <v>132</v>
      </c>
      <c r="AB104" s="20">
        <v>80</v>
      </c>
      <c r="AC104" s="20"/>
      <c r="AD104" s="20"/>
      <c r="AF104" s="19" t="s">
        <v>280</v>
      </c>
      <c r="AG104" s="19">
        <v>2000</v>
      </c>
      <c r="AH104" s="19" t="s">
        <v>274</v>
      </c>
      <c r="AI104" s="19">
        <v>450</v>
      </c>
      <c r="AJ104" s="19"/>
      <c r="AK104" s="19"/>
      <c r="AM104" s="20"/>
      <c r="AN104" s="20"/>
      <c r="AO104" s="20"/>
      <c r="AP104" s="20"/>
      <c r="AQ104" s="20"/>
      <c r="AR104" s="20"/>
      <c r="BC104" s="16"/>
      <c r="BD104" s="16"/>
      <c r="BE104" s="16"/>
    </row>
    <row r="105" spans="1:57" ht="19.95" customHeight="1" x14ac:dyDescent="0.4">
      <c r="A105" s="18" t="s">
        <v>592</v>
      </c>
      <c r="B105" s="18" t="s">
        <v>456</v>
      </c>
      <c r="D105" s="16"/>
      <c r="E105" s="16"/>
      <c r="G105" s="17" t="s">
        <v>347</v>
      </c>
      <c r="H105" s="17" t="s">
        <v>347</v>
      </c>
      <c r="M105" s="17"/>
      <c r="N105" s="17"/>
      <c r="O105" s="17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20"/>
      <c r="AB105" s="20"/>
      <c r="AC105" s="20"/>
      <c r="AD105" s="20"/>
      <c r="AF105" s="19"/>
      <c r="AG105" s="19"/>
      <c r="AH105" s="19"/>
      <c r="AI105" s="19"/>
      <c r="AJ105" s="19"/>
      <c r="AK105" s="19"/>
      <c r="AM105" s="20"/>
      <c r="AN105" s="20"/>
      <c r="AO105" s="20"/>
      <c r="AP105" s="20"/>
      <c r="AQ105" s="20"/>
      <c r="AR105" s="20"/>
      <c r="BC105" s="16"/>
      <c r="BD105" s="16"/>
      <c r="BE105" s="16"/>
    </row>
    <row r="106" spans="1:57" ht="19.95" customHeight="1" x14ac:dyDescent="0.4">
      <c r="A106" s="18" t="s">
        <v>457</v>
      </c>
      <c r="B106" s="18" t="s">
        <v>456</v>
      </c>
      <c r="D106" s="16"/>
      <c r="E106" s="16"/>
      <c r="G106" s="17" t="s">
        <v>347</v>
      </c>
      <c r="H106" s="17" t="s">
        <v>347</v>
      </c>
      <c r="M106" s="17"/>
      <c r="N106" s="17"/>
      <c r="O106" s="17"/>
      <c r="Q106" s="19" t="s">
        <v>24</v>
      </c>
      <c r="R106" s="19">
        <v>10</v>
      </c>
      <c r="S106" s="19" t="s">
        <v>80</v>
      </c>
      <c r="T106" s="19">
        <v>5</v>
      </c>
      <c r="U106" s="19" t="s">
        <v>90</v>
      </c>
      <c r="V106" s="19">
        <v>5</v>
      </c>
      <c r="W106" s="19"/>
      <c r="X106" s="19"/>
      <c r="Y106" s="19"/>
      <c r="Z106" s="19"/>
      <c r="AA106" s="20" t="s">
        <v>135</v>
      </c>
      <c r="AB106" s="20">
        <v>30</v>
      </c>
      <c r="AC106" s="20"/>
      <c r="AD106" s="20"/>
      <c r="AF106" s="19" t="s">
        <v>280</v>
      </c>
      <c r="AG106" s="19">
        <v>2000</v>
      </c>
      <c r="AH106" s="19" t="s">
        <v>274</v>
      </c>
      <c r="AI106" s="19">
        <v>450</v>
      </c>
      <c r="AJ106" s="19"/>
      <c r="AK106" s="19"/>
      <c r="AM106" s="20"/>
      <c r="AN106" s="20"/>
      <c r="AO106" s="20"/>
      <c r="AP106" s="20"/>
      <c r="AQ106" s="20"/>
      <c r="AR106" s="20"/>
      <c r="BC106" s="16"/>
      <c r="BD106" s="16"/>
      <c r="BE106" s="16"/>
    </row>
    <row r="107" spans="1:57" ht="19.95" customHeight="1" x14ac:dyDescent="0.4">
      <c r="A107" s="18" t="s">
        <v>447</v>
      </c>
      <c r="B107" s="18" t="s">
        <v>456</v>
      </c>
      <c r="D107" s="16"/>
      <c r="E107" s="16"/>
      <c r="G107" s="17" t="s">
        <v>347</v>
      </c>
      <c r="H107" s="17" t="s">
        <v>347</v>
      </c>
      <c r="M107" s="17"/>
      <c r="N107" s="17"/>
      <c r="O107" s="17"/>
      <c r="Q107" s="19" t="s">
        <v>24</v>
      </c>
      <c r="R107" s="19">
        <v>10</v>
      </c>
      <c r="S107" s="19" t="s">
        <v>113</v>
      </c>
      <c r="T107" s="19">
        <v>5</v>
      </c>
      <c r="U107" s="19" t="s">
        <v>90</v>
      </c>
      <c r="V107" s="19">
        <v>5</v>
      </c>
      <c r="W107" s="19" t="s">
        <v>577</v>
      </c>
      <c r="X107" s="19">
        <v>5</v>
      </c>
      <c r="Y107" s="19"/>
      <c r="Z107" s="19"/>
      <c r="AA107" s="20" t="s">
        <v>136</v>
      </c>
      <c r="AB107" s="20">
        <v>50</v>
      </c>
      <c r="AC107" s="20"/>
      <c r="AD107" s="20"/>
      <c r="AF107" s="19" t="s">
        <v>565</v>
      </c>
      <c r="AG107" s="19">
        <v>1000</v>
      </c>
      <c r="AH107" s="19" t="s">
        <v>273</v>
      </c>
      <c r="AI107" s="19">
        <v>250</v>
      </c>
      <c r="AJ107" s="19" t="s">
        <v>274</v>
      </c>
      <c r="AK107" s="19">
        <v>250</v>
      </c>
      <c r="AM107" s="20"/>
      <c r="AN107" s="20"/>
      <c r="AO107" s="20"/>
      <c r="AP107" s="20"/>
      <c r="AQ107" s="20"/>
      <c r="AR107" s="20"/>
      <c r="BC107" s="16"/>
      <c r="BD107" s="16"/>
      <c r="BE107" s="16"/>
    </row>
    <row r="108" spans="1:57" ht="19.95" customHeight="1" x14ac:dyDescent="0.4">
      <c r="A108" s="18" t="s">
        <v>401</v>
      </c>
      <c r="B108" s="18" t="s">
        <v>458</v>
      </c>
      <c r="D108" s="16"/>
      <c r="E108" s="16"/>
      <c r="G108" s="17" t="s">
        <v>347</v>
      </c>
      <c r="H108" s="17" t="s">
        <v>347</v>
      </c>
      <c r="M108" s="17"/>
      <c r="N108" s="17"/>
      <c r="O108" s="17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20"/>
      <c r="AB108" s="20"/>
      <c r="AC108" s="20"/>
      <c r="AD108" s="20"/>
      <c r="AF108" s="19"/>
      <c r="AG108" s="19"/>
      <c r="AH108" s="19"/>
      <c r="AI108" s="19"/>
      <c r="AJ108" s="19"/>
      <c r="AK108" s="19"/>
      <c r="AM108" s="20"/>
      <c r="AN108" s="20"/>
      <c r="AO108" s="20"/>
      <c r="AP108" s="20"/>
      <c r="AQ108" s="20"/>
      <c r="AR108" s="20"/>
      <c r="BC108" s="16"/>
      <c r="BD108" s="16"/>
      <c r="BE108" s="16"/>
    </row>
    <row r="109" spans="1:57" ht="19.95" customHeight="1" x14ac:dyDescent="0.4">
      <c r="A109" s="18" t="s">
        <v>459</v>
      </c>
      <c r="B109" s="18" t="s">
        <v>458</v>
      </c>
      <c r="D109" s="16"/>
      <c r="E109" s="16"/>
      <c r="G109" s="17" t="s">
        <v>347</v>
      </c>
      <c r="H109" s="17" t="s">
        <v>347</v>
      </c>
      <c r="M109" s="17"/>
      <c r="N109" s="17"/>
      <c r="O109" s="17"/>
      <c r="Q109" s="19" t="s">
        <v>88</v>
      </c>
      <c r="R109" s="19">
        <v>1</v>
      </c>
      <c r="S109" s="19" t="s">
        <v>117</v>
      </c>
      <c r="T109" s="19">
        <v>1</v>
      </c>
      <c r="U109" s="19" t="s">
        <v>115</v>
      </c>
      <c r="V109" s="19">
        <v>2</v>
      </c>
      <c r="W109" s="19"/>
      <c r="X109" s="19"/>
      <c r="Y109" s="19"/>
      <c r="Z109" s="19"/>
      <c r="AA109" s="20"/>
      <c r="AB109" s="20"/>
      <c r="AC109" s="20"/>
      <c r="AD109" s="20"/>
      <c r="AF109" s="19" t="s">
        <v>280</v>
      </c>
      <c r="AG109" s="19">
        <v>-500</v>
      </c>
      <c r="AH109" s="19"/>
      <c r="AI109" s="19"/>
      <c r="AJ109" s="19" t="s">
        <v>274</v>
      </c>
      <c r="AK109" s="19">
        <v>50</v>
      </c>
      <c r="AM109" s="20"/>
      <c r="AN109" s="20"/>
      <c r="AO109" s="20"/>
      <c r="AP109" s="20"/>
      <c r="AQ109" s="20"/>
      <c r="AR109" s="20"/>
      <c r="BC109" s="16"/>
      <c r="BD109" s="16"/>
      <c r="BE109" s="16"/>
    </row>
    <row r="110" spans="1:57" ht="19.95" customHeight="1" x14ac:dyDescent="0.4">
      <c r="A110" s="18" t="s">
        <v>460</v>
      </c>
      <c r="B110" s="18" t="s">
        <v>458</v>
      </c>
      <c r="D110" s="16"/>
      <c r="E110" s="16"/>
      <c r="G110" s="17" t="s">
        <v>347</v>
      </c>
      <c r="H110" s="17" t="s">
        <v>347</v>
      </c>
      <c r="M110" s="17"/>
      <c r="N110" s="17"/>
      <c r="O110" s="17"/>
      <c r="Q110" s="19" t="s">
        <v>88</v>
      </c>
      <c r="R110" s="19">
        <v>2</v>
      </c>
      <c r="S110" s="19" t="s">
        <v>117</v>
      </c>
      <c r="T110" s="19">
        <v>2</v>
      </c>
      <c r="U110" s="19" t="s">
        <v>115</v>
      </c>
      <c r="V110" s="19">
        <v>3</v>
      </c>
      <c r="W110" s="19"/>
      <c r="X110" s="19"/>
      <c r="Y110" s="19"/>
      <c r="Z110" s="19"/>
      <c r="AA110" s="20"/>
      <c r="AB110" s="20"/>
      <c r="AC110" s="20"/>
      <c r="AD110" s="20"/>
      <c r="AF110" s="19" t="s">
        <v>280</v>
      </c>
      <c r="AG110" s="19">
        <v>-1000</v>
      </c>
      <c r="AH110" s="19"/>
      <c r="AI110" s="19"/>
      <c r="AJ110" s="19" t="s">
        <v>274</v>
      </c>
      <c r="AK110" s="19">
        <v>100</v>
      </c>
      <c r="AM110" s="20"/>
      <c r="AN110" s="20"/>
      <c r="AO110" s="20"/>
      <c r="AP110" s="20"/>
      <c r="AQ110" s="20"/>
      <c r="AR110" s="20"/>
      <c r="BC110" s="16"/>
      <c r="BD110" s="16"/>
      <c r="BE110" s="16"/>
    </row>
    <row r="111" spans="1:57" ht="19.95" customHeight="1" x14ac:dyDescent="0.4">
      <c r="A111" s="18" t="s">
        <v>461</v>
      </c>
      <c r="B111" s="18" t="s">
        <v>458</v>
      </c>
      <c r="D111" s="16"/>
      <c r="E111" s="16"/>
      <c r="G111" s="17" t="s">
        <v>347</v>
      </c>
      <c r="H111" s="17" t="s">
        <v>347</v>
      </c>
      <c r="M111" s="17"/>
      <c r="N111" s="17"/>
      <c r="O111" s="17"/>
      <c r="Q111" s="19" t="s">
        <v>88</v>
      </c>
      <c r="R111" s="19">
        <v>3</v>
      </c>
      <c r="S111" s="19" t="s">
        <v>117</v>
      </c>
      <c r="T111" s="19">
        <v>3</v>
      </c>
      <c r="U111" s="19" t="s">
        <v>115</v>
      </c>
      <c r="V111" s="19">
        <v>4</v>
      </c>
      <c r="W111" s="19"/>
      <c r="X111" s="19"/>
      <c r="Y111" s="19"/>
      <c r="Z111" s="19"/>
      <c r="AA111" s="20"/>
      <c r="AB111" s="20"/>
      <c r="AC111" s="20"/>
      <c r="AD111" s="20"/>
      <c r="AF111" s="19" t="s">
        <v>280</v>
      </c>
      <c r="AG111" s="19">
        <v>-1500</v>
      </c>
      <c r="AH111" s="19"/>
      <c r="AI111" s="19"/>
      <c r="AJ111" s="19" t="s">
        <v>274</v>
      </c>
      <c r="AK111" s="19">
        <v>150</v>
      </c>
      <c r="AM111" s="20"/>
      <c r="AN111" s="20"/>
      <c r="AO111" s="20"/>
      <c r="AP111" s="20"/>
      <c r="AQ111" s="20"/>
      <c r="AR111" s="20"/>
      <c r="BC111" s="16"/>
      <c r="BD111" s="16"/>
      <c r="BE111" s="16"/>
    </row>
    <row r="112" spans="1:57" ht="19.95" customHeight="1" x14ac:dyDescent="0.4">
      <c r="A112" s="18" t="s">
        <v>462</v>
      </c>
      <c r="B112" s="18" t="s">
        <v>458</v>
      </c>
      <c r="D112" s="16"/>
      <c r="E112" s="16"/>
      <c r="G112" s="17" t="s">
        <v>455</v>
      </c>
      <c r="H112" s="17" t="s">
        <v>447</v>
      </c>
      <c r="M112" s="17"/>
      <c r="N112" s="17"/>
      <c r="O112" s="17"/>
      <c r="Q112" s="19" t="s">
        <v>88</v>
      </c>
      <c r="R112" s="19">
        <v>3</v>
      </c>
      <c r="S112" s="19" t="s">
        <v>117</v>
      </c>
      <c r="T112" s="19">
        <v>2</v>
      </c>
      <c r="U112" s="19" t="s">
        <v>115</v>
      </c>
      <c r="V112" s="19">
        <v>4</v>
      </c>
      <c r="W112" s="19" t="s">
        <v>22</v>
      </c>
      <c r="X112" s="19">
        <v>5</v>
      </c>
      <c r="Y112" s="19" t="s">
        <v>115</v>
      </c>
      <c r="Z112" s="19">
        <v>5</v>
      </c>
      <c r="AA112" s="20"/>
      <c r="AB112" s="20"/>
      <c r="AC112" s="20"/>
      <c r="AD112" s="20"/>
      <c r="AF112" s="19" t="s">
        <v>280</v>
      </c>
      <c r="AG112" s="19">
        <v>-2000</v>
      </c>
      <c r="AH112" s="19" t="s">
        <v>565</v>
      </c>
      <c r="AI112" s="19">
        <v>-1000</v>
      </c>
      <c r="AJ112" s="19" t="s">
        <v>274</v>
      </c>
      <c r="AK112" s="19">
        <v>250</v>
      </c>
      <c r="AM112" s="20"/>
      <c r="AN112" s="20"/>
      <c r="AO112" s="20"/>
      <c r="AP112" s="20"/>
      <c r="AQ112" s="20"/>
      <c r="AR112" s="20"/>
      <c r="BC112" s="16"/>
      <c r="BD112" s="16"/>
      <c r="BE112" s="16"/>
    </row>
    <row r="113" spans="1:57" ht="19.95" customHeight="1" x14ac:dyDescent="0.4">
      <c r="A113" s="15" t="s">
        <v>464</v>
      </c>
      <c r="B113" s="15" t="s">
        <v>463</v>
      </c>
      <c r="D113" s="16"/>
      <c r="E113" s="16"/>
      <c r="G113" s="17" t="s">
        <v>347</v>
      </c>
      <c r="H113" s="17" t="s">
        <v>347</v>
      </c>
      <c r="M113" s="17"/>
      <c r="N113" s="17"/>
      <c r="O113" s="17"/>
      <c r="Q113" s="19" t="s">
        <v>571</v>
      </c>
      <c r="R113" s="19">
        <v>10</v>
      </c>
      <c r="S113" s="19" t="s">
        <v>80</v>
      </c>
      <c r="T113" s="19">
        <v>8</v>
      </c>
      <c r="U113" s="19" t="s">
        <v>120</v>
      </c>
      <c r="V113" s="19">
        <v>5</v>
      </c>
      <c r="W113" s="19"/>
      <c r="X113" s="19"/>
      <c r="Y113" s="19"/>
      <c r="Z113" s="19"/>
      <c r="AA113" s="20" t="s">
        <v>124</v>
      </c>
      <c r="AB113" s="20">
        <v>40</v>
      </c>
      <c r="AC113" s="20"/>
      <c r="AD113" s="20"/>
      <c r="AF113" s="19" t="s">
        <v>280</v>
      </c>
      <c r="AG113" s="19">
        <v>3500</v>
      </c>
      <c r="AH113" s="19" t="s">
        <v>565</v>
      </c>
      <c r="AI113" s="19">
        <v>350</v>
      </c>
      <c r="AJ113" s="19" t="s">
        <v>273</v>
      </c>
      <c r="AK113" s="19">
        <v>150</v>
      </c>
      <c r="AM113" s="20"/>
      <c r="AN113" s="20"/>
      <c r="AO113" s="20"/>
      <c r="AP113" s="20"/>
      <c r="AQ113" s="20"/>
      <c r="AR113" s="20"/>
      <c r="BC113" s="16"/>
      <c r="BD113" s="16"/>
      <c r="BE113" s="16"/>
    </row>
    <row r="114" spans="1:57" ht="19.95" customHeight="1" x14ac:dyDescent="0.4">
      <c r="A114" s="15" t="s">
        <v>465</v>
      </c>
      <c r="B114" s="15" t="s">
        <v>463</v>
      </c>
      <c r="D114" s="16"/>
      <c r="E114" s="16"/>
      <c r="G114" s="17" t="s">
        <v>347</v>
      </c>
      <c r="H114" s="17" t="s">
        <v>347</v>
      </c>
      <c r="M114" s="17"/>
      <c r="N114" s="17"/>
      <c r="O114" s="17"/>
      <c r="Q114" s="19" t="s">
        <v>24</v>
      </c>
      <c r="R114" s="19">
        <v>10</v>
      </c>
      <c r="S114" s="19" t="s">
        <v>80</v>
      </c>
      <c r="T114" s="19">
        <v>8</v>
      </c>
      <c r="U114" s="19" t="s">
        <v>120</v>
      </c>
      <c r="V114" s="19">
        <v>10</v>
      </c>
      <c r="W114" s="19" t="s">
        <v>83</v>
      </c>
      <c r="X114" s="19">
        <v>5</v>
      </c>
      <c r="Y114" s="19" t="s">
        <v>115</v>
      </c>
      <c r="Z114" s="19">
        <v>5</v>
      </c>
      <c r="AA114" s="20" t="s">
        <v>124</v>
      </c>
      <c r="AB114" s="20">
        <v>70</v>
      </c>
      <c r="AC114" s="20"/>
      <c r="AD114" s="20"/>
      <c r="AF114" s="19" t="s">
        <v>280</v>
      </c>
      <c r="AG114" s="19">
        <v>3000</v>
      </c>
      <c r="AH114" s="19" t="s">
        <v>565</v>
      </c>
      <c r="AI114" s="19">
        <v>250</v>
      </c>
      <c r="AJ114" s="19" t="s">
        <v>273</v>
      </c>
      <c r="AK114" s="19">
        <v>250</v>
      </c>
      <c r="AM114" s="20"/>
      <c r="AN114" s="20"/>
      <c r="AO114" s="20"/>
      <c r="AP114" s="20"/>
      <c r="AQ114" s="20"/>
      <c r="AR114" s="20"/>
      <c r="BC114" s="16"/>
      <c r="BD114" s="16"/>
      <c r="BE114" s="16"/>
    </row>
    <row r="115" spans="1:57" ht="19.95" customHeight="1" x14ac:dyDescent="0.4">
      <c r="A115" s="15" t="s">
        <v>466</v>
      </c>
      <c r="B115" s="15" t="s">
        <v>463</v>
      </c>
      <c r="D115" s="16"/>
      <c r="E115" s="16"/>
      <c r="G115" s="17" t="s">
        <v>347</v>
      </c>
      <c r="H115" s="17" t="s">
        <v>347</v>
      </c>
      <c r="M115" s="17"/>
      <c r="N115" s="17"/>
      <c r="O115" s="17"/>
      <c r="Q115" s="19" t="s">
        <v>24</v>
      </c>
      <c r="R115" s="19">
        <v>12</v>
      </c>
      <c r="S115" s="19" t="s">
        <v>80</v>
      </c>
      <c r="T115" s="19">
        <v>8</v>
      </c>
      <c r="U115" s="19" t="s">
        <v>120</v>
      </c>
      <c r="V115" s="19">
        <v>12</v>
      </c>
      <c r="W115" s="19" t="s">
        <v>83</v>
      </c>
      <c r="X115" s="19">
        <v>7</v>
      </c>
      <c r="Y115" s="19" t="s">
        <v>115</v>
      </c>
      <c r="Z115" s="19">
        <v>7</v>
      </c>
      <c r="AA115" s="20" t="s">
        <v>124</v>
      </c>
      <c r="AB115" s="20">
        <v>90</v>
      </c>
      <c r="AC115" s="20"/>
      <c r="AD115" s="20"/>
      <c r="AF115" s="19" t="s">
        <v>280</v>
      </c>
      <c r="AG115" s="19">
        <v>2500</v>
      </c>
      <c r="AH115" s="19" t="s">
        <v>565</v>
      </c>
      <c r="AI115" s="19">
        <v>150</v>
      </c>
      <c r="AJ115" s="19" t="s">
        <v>273</v>
      </c>
      <c r="AK115" s="19">
        <v>350</v>
      </c>
      <c r="AM115" s="20"/>
      <c r="AN115" s="20"/>
      <c r="AO115" s="20"/>
      <c r="AP115" s="20"/>
      <c r="AQ115" s="20"/>
      <c r="AR115" s="20"/>
      <c r="BC115" s="16"/>
      <c r="BD115" s="16"/>
      <c r="BE115" s="16"/>
    </row>
    <row r="116" spans="1:57" ht="19.95" customHeight="1" x14ac:dyDescent="0.4">
      <c r="A116" s="15" t="s">
        <v>467</v>
      </c>
      <c r="B116" s="15" t="s">
        <v>463</v>
      </c>
      <c r="D116" s="16"/>
      <c r="E116" s="16"/>
      <c r="G116" s="17" t="s">
        <v>347</v>
      </c>
      <c r="H116" s="17" t="s">
        <v>347</v>
      </c>
      <c r="M116" s="17"/>
      <c r="N116" s="17"/>
      <c r="O116" s="17"/>
      <c r="Q116" s="19" t="s">
        <v>24</v>
      </c>
      <c r="R116" s="19">
        <v>15</v>
      </c>
      <c r="S116" s="19" t="s">
        <v>80</v>
      </c>
      <c r="T116" s="19">
        <v>8</v>
      </c>
      <c r="U116" s="19" t="s">
        <v>120</v>
      </c>
      <c r="V116" s="19">
        <v>15</v>
      </c>
      <c r="W116" s="19" t="s">
        <v>83</v>
      </c>
      <c r="X116" s="19">
        <v>10</v>
      </c>
      <c r="Y116" s="19" t="s">
        <v>115</v>
      </c>
      <c r="Z116" s="19">
        <v>10</v>
      </c>
      <c r="AA116" s="20" t="s">
        <v>124</v>
      </c>
      <c r="AB116" s="20">
        <v>120</v>
      </c>
      <c r="AC116" s="20"/>
      <c r="AD116" s="20"/>
      <c r="AF116" s="19" t="s">
        <v>565</v>
      </c>
      <c r="AG116" s="19">
        <v>1500</v>
      </c>
      <c r="AH116" s="19" t="s">
        <v>273</v>
      </c>
      <c r="AI116" s="19">
        <v>500</v>
      </c>
      <c r="AJ116" s="19"/>
      <c r="AK116" s="19"/>
      <c r="AM116" s="20"/>
      <c r="AN116" s="20"/>
      <c r="AO116" s="20"/>
      <c r="AP116" s="20"/>
      <c r="AQ116" s="20"/>
      <c r="AR116" s="20"/>
      <c r="BC116" s="16"/>
      <c r="BD116" s="16"/>
      <c r="BE116" s="16"/>
    </row>
    <row r="117" spans="1:57" ht="19.95" customHeight="1" x14ac:dyDescent="0.4">
      <c r="A117" s="15" t="s">
        <v>469</v>
      </c>
      <c r="B117" s="15" t="s">
        <v>468</v>
      </c>
      <c r="D117" s="16"/>
      <c r="E117" s="16"/>
      <c r="G117" s="17" t="s">
        <v>347</v>
      </c>
      <c r="H117" s="17" t="s">
        <v>347</v>
      </c>
      <c r="M117" s="17"/>
      <c r="N117" s="17"/>
      <c r="O117" s="17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20"/>
      <c r="AB117" s="20"/>
      <c r="AC117" s="20"/>
      <c r="AD117" s="20"/>
      <c r="AF117" s="19"/>
      <c r="AG117" s="19"/>
      <c r="AH117" s="19"/>
      <c r="AI117" s="19"/>
      <c r="AJ117" s="19"/>
      <c r="AK117" s="19"/>
      <c r="AM117" s="20"/>
      <c r="AN117" s="20"/>
      <c r="AO117" s="20"/>
      <c r="AP117" s="20"/>
      <c r="AQ117" s="20"/>
      <c r="AR117" s="20"/>
      <c r="BC117" s="16"/>
      <c r="BD117" s="16"/>
      <c r="BE117" s="16"/>
    </row>
    <row r="118" spans="1:57" ht="19.95" customHeight="1" x14ac:dyDescent="0.4">
      <c r="A118" s="15" t="s">
        <v>470</v>
      </c>
      <c r="B118" s="15" t="s">
        <v>468</v>
      </c>
      <c r="D118" s="16"/>
      <c r="E118" s="16"/>
      <c r="G118" s="17" t="s">
        <v>347</v>
      </c>
      <c r="H118" s="17" t="s">
        <v>347</v>
      </c>
      <c r="M118" s="17"/>
      <c r="N118" s="17"/>
      <c r="O118" s="17"/>
      <c r="Q118" s="19" t="s">
        <v>571</v>
      </c>
      <c r="R118" s="19">
        <v>5</v>
      </c>
      <c r="S118" s="19" t="s">
        <v>120</v>
      </c>
      <c r="T118" s="19">
        <v>5</v>
      </c>
      <c r="U118" s="19"/>
      <c r="V118" s="19"/>
      <c r="W118" s="19"/>
      <c r="X118" s="19"/>
      <c r="Y118" s="19"/>
      <c r="Z118" s="19"/>
      <c r="AA118" s="20" t="s">
        <v>128</v>
      </c>
      <c r="AB118" s="20">
        <v>10</v>
      </c>
      <c r="AC118" s="20"/>
      <c r="AD118" s="20"/>
      <c r="AF118" s="19" t="s">
        <v>280</v>
      </c>
      <c r="AG118" s="19">
        <v>1000</v>
      </c>
      <c r="AH118" s="19" t="s">
        <v>565</v>
      </c>
      <c r="AI118" s="19">
        <v>250</v>
      </c>
      <c r="AJ118" s="19" t="s">
        <v>273</v>
      </c>
      <c r="AK118" s="19">
        <v>150</v>
      </c>
      <c r="AM118" s="20"/>
      <c r="AN118" s="20"/>
      <c r="AO118" s="20"/>
      <c r="AP118" s="20"/>
      <c r="AQ118" s="20"/>
      <c r="AR118" s="20"/>
      <c r="BC118" s="16"/>
      <c r="BD118" s="16"/>
      <c r="BE118" s="16"/>
    </row>
    <row r="119" spans="1:57" ht="19.95" customHeight="1" x14ac:dyDescent="0.4">
      <c r="A119" s="15" t="s">
        <v>471</v>
      </c>
      <c r="B119" s="15" t="s">
        <v>468</v>
      </c>
      <c r="D119" s="16"/>
      <c r="E119" s="16"/>
      <c r="G119" s="17" t="s">
        <v>347</v>
      </c>
      <c r="H119" s="17" t="s">
        <v>347</v>
      </c>
      <c r="M119" s="17"/>
      <c r="N119" s="17"/>
      <c r="O119" s="17"/>
      <c r="Q119" s="19" t="s">
        <v>24</v>
      </c>
      <c r="R119" s="19">
        <v>10</v>
      </c>
      <c r="S119" s="19" t="s">
        <v>120</v>
      </c>
      <c r="T119" s="19">
        <v>10</v>
      </c>
      <c r="U119" s="19"/>
      <c r="V119" s="19"/>
      <c r="W119" s="19"/>
      <c r="X119" s="19"/>
      <c r="Y119" s="19"/>
      <c r="Z119" s="19"/>
      <c r="AA119" s="20" t="s">
        <v>128</v>
      </c>
      <c r="AB119" s="20">
        <v>20</v>
      </c>
      <c r="AC119" s="20"/>
      <c r="AD119" s="20"/>
      <c r="AF119" s="19" t="s">
        <v>280</v>
      </c>
      <c r="AG119" s="19">
        <v>1000</v>
      </c>
      <c r="AH119" s="19" t="s">
        <v>565</v>
      </c>
      <c r="AI119" s="19">
        <v>150</v>
      </c>
      <c r="AJ119" s="19" t="s">
        <v>273</v>
      </c>
      <c r="AK119" s="19">
        <v>250</v>
      </c>
      <c r="AM119" s="20"/>
      <c r="AN119" s="20"/>
      <c r="AO119" s="20"/>
      <c r="AP119" s="20"/>
      <c r="AQ119" s="20"/>
      <c r="AR119" s="20"/>
      <c r="BC119" s="16"/>
      <c r="BD119" s="16"/>
      <c r="BE119" s="16"/>
    </row>
    <row r="120" spans="1:57" ht="19.95" customHeight="1" x14ac:dyDescent="0.4">
      <c r="A120" s="15" t="s">
        <v>472</v>
      </c>
      <c r="B120" s="15" t="s">
        <v>468</v>
      </c>
      <c r="D120" s="16"/>
      <c r="E120" s="16"/>
      <c r="G120" s="17" t="s">
        <v>347</v>
      </c>
      <c r="H120" s="17" t="s">
        <v>347</v>
      </c>
      <c r="M120" s="17"/>
      <c r="N120" s="17"/>
      <c r="O120" s="17"/>
      <c r="Q120" s="19" t="s">
        <v>24</v>
      </c>
      <c r="R120" s="19">
        <v>15</v>
      </c>
      <c r="S120" s="19" t="s">
        <v>120</v>
      </c>
      <c r="T120" s="19">
        <v>15</v>
      </c>
      <c r="U120" s="19"/>
      <c r="V120" s="19"/>
      <c r="W120" s="19"/>
      <c r="X120" s="19"/>
      <c r="Y120" s="19"/>
      <c r="Z120" s="19"/>
      <c r="AA120" s="20" t="s">
        <v>128</v>
      </c>
      <c r="AB120" s="20">
        <v>30</v>
      </c>
      <c r="AC120" s="20"/>
      <c r="AD120" s="20"/>
      <c r="AF120" s="19" t="s">
        <v>565</v>
      </c>
      <c r="AG120" s="19">
        <v>500</v>
      </c>
      <c r="AH120" s="19" t="s">
        <v>273</v>
      </c>
      <c r="AI120" s="19">
        <v>500</v>
      </c>
      <c r="AJ120" s="19"/>
      <c r="AK120" s="19"/>
      <c r="AM120" s="20"/>
      <c r="AN120" s="20"/>
      <c r="AO120" s="20"/>
      <c r="AP120" s="20"/>
      <c r="AQ120" s="20"/>
      <c r="AR120" s="20"/>
      <c r="BC120" s="16"/>
      <c r="BD120" s="16"/>
      <c r="BE120" s="16"/>
    </row>
    <row r="121" spans="1:57" ht="19.95" customHeight="1" x14ac:dyDescent="0.4">
      <c r="A121" s="15" t="s">
        <v>393</v>
      </c>
      <c r="B121" s="15" t="s">
        <v>473</v>
      </c>
      <c r="D121" s="16"/>
      <c r="E121" s="16"/>
      <c r="G121" s="17" t="s">
        <v>347</v>
      </c>
      <c r="H121" s="17" t="s">
        <v>347</v>
      </c>
      <c r="M121" s="17"/>
      <c r="N121" s="17"/>
      <c r="O121" s="17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20"/>
      <c r="AB121" s="20"/>
      <c r="AC121" s="20"/>
      <c r="AD121" s="20"/>
      <c r="AF121" s="19"/>
      <c r="AG121" s="19"/>
      <c r="AH121" s="19"/>
      <c r="AI121" s="19"/>
      <c r="AJ121" s="19"/>
      <c r="AK121" s="19"/>
      <c r="AM121" s="20"/>
      <c r="AN121" s="20"/>
      <c r="AO121" s="20"/>
      <c r="AP121" s="20"/>
      <c r="AQ121" s="20"/>
      <c r="AR121" s="20"/>
      <c r="BC121" s="16"/>
      <c r="BD121" s="16"/>
      <c r="BE121" s="16"/>
    </row>
    <row r="122" spans="1:57" ht="19.95" customHeight="1" x14ac:dyDescent="0.4">
      <c r="A122" s="15" t="s">
        <v>474</v>
      </c>
      <c r="B122" s="15" t="s">
        <v>473</v>
      </c>
      <c r="D122" s="16"/>
      <c r="E122" s="16"/>
      <c r="G122" s="17" t="s">
        <v>347</v>
      </c>
      <c r="H122" s="17" t="s">
        <v>347</v>
      </c>
      <c r="M122" s="17"/>
      <c r="N122" s="17"/>
      <c r="O122" s="17"/>
      <c r="Q122" s="19" t="s">
        <v>22</v>
      </c>
      <c r="R122" s="19">
        <v>2</v>
      </c>
      <c r="S122" s="19" t="s">
        <v>115</v>
      </c>
      <c r="T122" s="19">
        <v>2</v>
      </c>
      <c r="U122" s="19"/>
      <c r="V122" s="19"/>
      <c r="W122" s="19"/>
      <c r="X122" s="19"/>
      <c r="Y122" s="19"/>
      <c r="Z122" s="19"/>
      <c r="AA122" s="20"/>
      <c r="AB122" s="20"/>
      <c r="AC122" s="20"/>
      <c r="AD122" s="20"/>
      <c r="AF122" s="19" t="s">
        <v>280</v>
      </c>
      <c r="AG122" s="19">
        <v>-1000</v>
      </c>
      <c r="AH122" s="19" t="s">
        <v>565</v>
      </c>
      <c r="AI122" s="19"/>
      <c r="AJ122" s="19" t="s">
        <v>273</v>
      </c>
      <c r="AK122" s="19"/>
      <c r="AM122" s="20"/>
      <c r="AN122" s="20"/>
      <c r="AO122" s="20"/>
      <c r="AP122" s="20"/>
      <c r="AQ122" s="20"/>
      <c r="AR122" s="20"/>
      <c r="BC122" s="16"/>
      <c r="BD122" s="16"/>
      <c r="BE122" s="16"/>
    </row>
    <row r="123" spans="1:57" ht="19.95" customHeight="1" x14ac:dyDescent="0.4">
      <c r="A123" s="15" t="s">
        <v>475</v>
      </c>
      <c r="B123" s="15" t="s">
        <v>473</v>
      </c>
      <c r="D123" s="16"/>
      <c r="E123" s="16"/>
      <c r="G123" s="17" t="s">
        <v>347</v>
      </c>
      <c r="H123" s="17" t="s">
        <v>347</v>
      </c>
      <c r="M123" s="17"/>
      <c r="N123" s="17"/>
      <c r="O123" s="17"/>
      <c r="Q123" s="19" t="s">
        <v>22</v>
      </c>
      <c r="R123" s="19">
        <v>5</v>
      </c>
      <c r="S123" s="19" t="s">
        <v>115</v>
      </c>
      <c r="T123" s="19">
        <v>5</v>
      </c>
      <c r="U123" s="19"/>
      <c r="V123" s="19"/>
      <c r="W123" s="19"/>
      <c r="X123" s="19"/>
      <c r="Y123" s="19"/>
      <c r="Z123" s="19"/>
      <c r="AA123" s="20"/>
      <c r="AB123" s="20"/>
      <c r="AC123" s="20"/>
      <c r="AD123" s="20"/>
      <c r="AF123" s="19" t="s">
        <v>280</v>
      </c>
      <c r="AG123" s="19">
        <v>-2000</v>
      </c>
      <c r="AH123" s="19" t="s">
        <v>565</v>
      </c>
      <c r="AI123" s="19"/>
      <c r="AJ123" s="19" t="s">
        <v>273</v>
      </c>
      <c r="AK123" s="19"/>
      <c r="AM123" s="20"/>
      <c r="AN123" s="20"/>
      <c r="AO123" s="20"/>
      <c r="AP123" s="20"/>
      <c r="AQ123" s="20"/>
      <c r="AR123" s="20"/>
      <c r="BC123" s="16"/>
      <c r="BD123" s="16"/>
      <c r="BE123" s="16"/>
    </row>
    <row r="124" spans="1:57" ht="19.95" customHeight="1" x14ac:dyDescent="0.4">
      <c r="A124" s="15" t="s">
        <v>476</v>
      </c>
      <c r="B124" s="15" t="s">
        <v>473</v>
      </c>
      <c r="D124" s="16"/>
      <c r="E124" s="16"/>
      <c r="G124" s="17" t="s">
        <v>347</v>
      </c>
      <c r="H124" s="17" t="s">
        <v>347</v>
      </c>
      <c r="M124" s="17"/>
      <c r="N124" s="17"/>
      <c r="O124" s="17"/>
      <c r="Q124" s="19" t="s">
        <v>22</v>
      </c>
      <c r="R124" s="19">
        <v>10</v>
      </c>
      <c r="S124" s="19" t="s">
        <v>115</v>
      </c>
      <c r="T124" s="19">
        <v>10</v>
      </c>
      <c r="U124" s="19" t="s">
        <v>82</v>
      </c>
      <c r="V124" s="19">
        <v>1</v>
      </c>
      <c r="W124" s="19"/>
      <c r="X124" s="19"/>
      <c r="Y124" s="19"/>
      <c r="Z124" s="19"/>
      <c r="AA124" s="20"/>
      <c r="AB124" s="20"/>
      <c r="AC124" s="20"/>
      <c r="AD124" s="20"/>
      <c r="AF124" s="19" t="s">
        <v>280</v>
      </c>
      <c r="AG124" s="19">
        <v>-3500</v>
      </c>
      <c r="AH124" s="19" t="s">
        <v>565</v>
      </c>
      <c r="AI124" s="19">
        <v>500</v>
      </c>
      <c r="AJ124" s="19" t="s">
        <v>273</v>
      </c>
      <c r="AK124" s="19">
        <v>250</v>
      </c>
      <c r="AM124" s="20"/>
      <c r="AN124" s="20"/>
      <c r="AO124" s="20"/>
      <c r="AP124" s="20"/>
      <c r="AQ124" s="20"/>
      <c r="AR124" s="20"/>
      <c r="BC124" s="16"/>
      <c r="BD124" s="16"/>
      <c r="BE124" s="16"/>
    </row>
    <row r="125" spans="1:57" ht="19.95" customHeight="1" x14ac:dyDescent="0.4">
      <c r="A125" s="15" t="s">
        <v>477</v>
      </c>
      <c r="B125" s="15" t="s">
        <v>473</v>
      </c>
      <c r="D125" s="16"/>
      <c r="E125" s="16"/>
      <c r="G125" s="17" t="s">
        <v>472</v>
      </c>
      <c r="H125" s="17" t="s">
        <v>467</v>
      </c>
      <c r="M125" s="17"/>
      <c r="N125" s="17"/>
      <c r="O125" s="17"/>
      <c r="Q125" s="19" t="s">
        <v>22</v>
      </c>
      <c r="R125" s="19">
        <v>8</v>
      </c>
      <c r="S125" s="19" t="s">
        <v>115</v>
      </c>
      <c r="T125" s="19">
        <v>8</v>
      </c>
      <c r="U125" s="19" t="s">
        <v>117</v>
      </c>
      <c r="V125" s="19">
        <v>1</v>
      </c>
      <c r="W125" s="19" t="s">
        <v>88</v>
      </c>
      <c r="X125" s="19">
        <v>1</v>
      </c>
      <c r="Y125" s="19" t="s">
        <v>82</v>
      </c>
      <c r="Z125" s="19">
        <v>1</v>
      </c>
      <c r="AA125" s="20"/>
      <c r="AB125" s="20"/>
      <c r="AC125" s="20"/>
      <c r="AD125" s="20"/>
      <c r="AF125" s="19" t="s">
        <v>565</v>
      </c>
      <c r="AG125" s="19">
        <v>-2000</v>
      </c>
      <c r="AH125" s="19" t="s">
        <v>273</v>
      </c>
      <c r="AI125" s="19">
        <v>250</v>
      </c>
      <c r="AJ125" s="19" t="s">
        <v>274</v>
      </c>
      <c r="AK125" s="19">
        <v>250</v>
      </c>
      <c r="AM125" s="20"/>
      <c r="AN125" s="20"/>
      <c r="AO125" s="20"/>
      <c r="AP125" s="20"/>
      <c r="AQ125" s="20"/>
      <c r="AR125" s="20"/>
      <c r="BC125" s="16"/>
      <c r="BD125" s="16"/>
      <c r="BE125" s="16"/>
    </row>
    <row r="126" spans="1:57" ht="19.95" customHeight="1" x14ac:dyDescent="0.4">
      <c r="A126" s="18" t="s">
        <v>479</v>
      </c>
      <c r="B126" s="18" t="s">
        <v>478</v>
      </c>
      <c r="D126" s="16"/>
      <c r="E126" s="16"/>
      <c r="G126" s="17" t="s">
        <v>347</v>
      </c>
      <c r="H126" s="17" t="s">
        <v>347</v>
      </c>
      <c r="M126" s="17" t="s">
        <v>556</v>
      </c>
      <c r="N126" s="17" t="s">
        <v>557</v>
      </c>
      <c r="O126" s="17" t="s">
        <v>558</v>
      </c>
      <c r="Q126" s="19" t="s">
        <v>137</v>
      </c>
      <c r="R126" s="19">
        <v>3</v>
      </c>
      <c r="S126" s="19" t="s">
        <v>118</v>
      </c>
      <c r="T126" s="19">
        <v>6</v>
      </c>
      <c r="U126" s="19"/>
      <c r="V126" s="19"/>
      <c r="W126" s="19"/>
      <c r="X126" s="19"/>
      <c r="Y126" s="19"/>
      <c r="Z126" s="19"/>
      <c r="AA126" s="20"/>
      <c r="AB126" s="20"/>
      <c r="AC126" s="20"/>
      <c r="AD126" s="20"/>
      <c r="AF126" s="19" t="s">
        <v>559</v>
      </c>
      <c r="AG126" s="19">
        <v>90</v>
      </c>
      <c r="AH126" s="19" t="s">
        <v>268</v>
      </c>
      <c r="AI126" s="19">
        <v>10</v>
      </c>
      <c r="AJ126" s="19"/>
      <c r="AK126" s="19"/>
      <c r="AM126" s="20" t="s">
        <v>560</v>
      </c>
      <c r="AN126" s="20">
        <v>3</v>
      </c>
      <c r="AO126" s="20" t="s">
        <v>561</v>
      </c>
      <c r="AP126" s="20">
        <v>2</v>
      </c>
      <c r="AQ126" s="20"/>
      <c r="AR126" s="20"/>
      <c r="BC126" s="16"/>
      <c r="BD126" s="16"/>
      <c r="BE126" s="16"/>
    </row>
    <row r="127" spans="1:57" ht="19.95" customHeight="1" x14ac:dyDescent="0.4">
      <c r="A127" s="18" t="s">
        <v>480</v>
      </c>
      <c r="B127" s="18" t="s">
        <v>478</v>
      </c>
      <c r="D127" s="16"/>
      <c r="E127" s="16"/>
      <c r="G127" s="17" t="s">
        <v>347</v>
      </c>
      <c r="H127" s="17" t="s">
        <v>347</v>
      </c>
      <c r="M127" s="17" t="s">
        <v>562</v>
      </c>
      <c r="N127" s="17" t="s">
        <v>557</v>
      </c>
      <c r="O127" s="17"/>
      <c r="Q127" s="19" t="s">
        <v>137</v>
      </c>
      <c r="R127" s="19">
        <v>3</v>
      </c>
      <c r="S127" s="19" t="s">
        <v>118</v>
      </c>
      <c r="T127" s="19">
        <v>6</v>
      </c>
      <c r="U127" s="19"/>
      <c r="V127" s="19"/>
      <c r="W127" s="19"/>
      <c r="X127" s="19"/>
      <c r="Y127" s="19"/>
      <c r="Z127" s="19"/>
      <c r="AA127" s="20"/>
      <c r="AB127" s="20"/>
      <c r="AC127" s="20"/>
      <c r="AD127" s="20"/>
      <c r="AF127" s="19" t="s">
        <v>272</v>
      </c>
      <c r="AG127" s="19">
        <v>100</v>
      </c>
      <c r="AH127" s="19"/>
      <c r="AI127" s="19"/>
      <c r="AJ127" s="19"/>
      <c r="AK127" s="19"/>
      <c r="AM127" s="20"/>
      <c r="AN127" s="20"/>
      <c r="AO127" s="20"/>
      <c r="AP127" s="20"/>
      <c r="AQ127" s="20"/>
      <c r="AR127" s="20"/>
      <c r="BC127" s="16"/>
      <c r="BD127" s="16"/>
      <c r="BE127" s="16"/>
    </row>
    <row r="128" spans="1:57" ht="19.95" customHeight="1" x14ac:dyDescent="0.4">
      <c r="A128" s="18" t="s">
        <v>481</v>
      </c>
      <c r="B128" s="18" t="s">
        <v>478</v>
      </c>
      <c r="D128" s="16"/>
      <c r="E128" s="16"/>
      <c r="G128" s="17" t="s">
        <v>347</v>
      </c>
      <c r="H128" s="17" t="s">
        <v>347</v>
      </c>
      <c r="M128" s="17"/>
      <c r="N128" s="17" t="s">
        <v>557</v>
      </c>
      <c r="O128" s="17" t="s">
        <v>558</v>
      </c>
      <c r="Q128" s="19" t="s">
        <v>137</v>
      </c>
      <c r="R128" s="19">
        <v>6</v>
      </c>
      <c r="S128" s="19" t="s">
        <v>118</v>
      </c>
      <c r="T128" s="19">
        <v>6</v>
      </c>
      <c r="U128" s="19"/>
      <c r="V128" s="19"/>
      <c r="W128" s="19"/>
      <c r="X128" s="19"/>
      <c r="Y128" s="19"/>
      <c r="Z128" s="19"/>
      <c r="AA128" s="20"/>
      <c r="AB128" s="20"/>
      <c r="AC128" s="20"/>
      <c r="AD128" s="20"/>
      <c r="AF128" s="19" t="s">
        <v>563</v>
      </c>
      <c r="AG128" s="19">
        <v>90</v>
      </c>
      <c r="AH128" s="19" t="s">
        <v>269</v>
      </c>
      <c r="AI128" s="19">
        <v>8</v>
      </c>
      <c r="AJ128" s="19" t="s">
        <v>268</v>
      </c>
      <c r="AK128" s="19">
        <v>2</v>
      </c>
      <c r="AM128" s="20" t="s">
        <v>564</v>
      </c>
      <c r="AN128" s="20">
        <v>4</v>
      </c>
      <c r="AO128" s="20" t="s">
        <v>561</v>
      </c>
      <c r="AP128" s="20">
        <v>1</v>
      </c>
      <c r="AQ128" s="20"/>
      <c r="AR128" s="20"/>
      <c r="BC128" s="16"/>
      <c r="BD128" s="16"/>
      <c r="BE128" s="16"/>
    </row>
    <row r="129" spans="1:57" ht="19.95" customHeight="1" x14ac:dyDescent="0.4">
      <c r="A129" s="18" t="s">
        <v>482</v>
      </c>
      <c r="B129" s="18" t="s">
        <v>478</v>
      </c>
      <c r="D129" s="16"/>
      <c r="E129" s="16"/>
      <c r="G129" s="17" t="s">
        <v>347</v>
      </c>
      <c r="H129" s="17" t="s">
        <v>347</v>
      </c>
      <c r="M129" s="17" t="s">
        <v>556</v>
      </c>
      <c r="N129" s="17" t="s">
        <v>557</v>
      </c>
      <c r="O129" s="17" t="s">
        <v>558</v>
      </c>
      <c r="Q129" s="19" t="s">
        <v>137</v>
      </c>
      <c r="R129" s="19">
        <v>7</v>
      </c>
      <c r="S129" s="19" t="s">
        <v>118</v>
      </c>
      <c r="T129" s="19">
        <v>6</v>
      </c>
      <c r="U129" s="19"/>
      <c r="V129" s="19"/>
      <c r="W129" s="19"/>
      <c r="X129" s="19"/>
      <c r="Y129" s="19"/>
      <c r="Z129" s="19"/>
      <c r="AA129" s="20"/>
      <c r="AB129" s="20"/>
      <c r="AC129" s="20"/>
      <c r="AD129" s="20"/>
      <c r="AF129" s="19" t="s">
        <v>563</v>
      </c>
      <c r="AG129" s="19">
        <v>90</v>
      </c>
      <c r="AH129" s="19" t="s">
        <v>269</v>
      </c>
      <c r="AI129" s="19">
        <v>10</v>
      </c>
      <c r="AJ129" s="19"/>
      <c r="AK129" s="19"/>
      <c r="AM129" s="20" t="s">
        <v>564</v>
      </c>
      <c r="AN129" s="20">
        <v>5</v>
      </c>
      <c r="AO129" s="20"/>
      <c r="AP129" s="20"/>
      <c r="AQ129" s="20"/>
      <c r="AR129" s="20"/>
      <c r="BC129" s="16"/>
      <c r="BD129" s="16"/>
      <c r="BE129" s="16"/>
    </row>
    <row r="130" spans="1:57" ht="19.95" customHeight="1" x14ac:dyDescent="0.4">
      <c r="A130" s="18" t="s">
        <v>483</v>
      </c>
      <c r="B130" s="18" t="s">
        <v>478</v>
      </c>
      <c r="D130" s="16"/>
      <c r="E130" s="16"/>
      <c r="G130" s="17" t="s">
        <v>347</v>
      </c>
      <c r="H130" s="17" t="s">
        <v>347</v>
      </c>
      <c r="M130" s="17"/>
      <c r="N130" s="17" t="s">
        <v>557</v>
      </c>
      <c r="O130" s="17" t="s">
        <v>558</v>
      </c>
      <c r="Q130" s="19" t="s">
        <v>137</v>
      </c>
      <c r="R130" s="19">
        <v>3</v>
      </c>
      <c r="S130" s="19" t="s">
        <v>118</v>
      </c>
      <c r="T130" s="19">
        <v>6</v>
      </c>
      <c r="U130" s="19"/>
      <c r="V130" s="19"/>
      <c r="W130" s="19"/>
      <c r="X130" s="19"/>
      <c r="Y130" s="19"/>
      <c r="Z130" s="19"/>
      <c r="AA130" s="20"/>
      <c r="AB130" s="20"/>
      <c r="AC130" s="20"/>
      <c r="AD130" s="20"/>
      <c r="AF130" s="19" t="s">
        <v>270</v>
      </c>
      <c r="AG130" s="19">
        <v>100</v>
      </c>
      <c r="AH130" s="19"/>
      <c r="AI130" s="19"/>
      <c r="AJ130" s="19"/>
      <c r="AK130" s="19"/>
      <c r="AM130" s="20"/>
      <c r="AN130" s="20"/>
      <c r="AO130" s="20"/>
      <c r="AP130" s="20"/>
      <c r="AQ130" s="20"/>
      <c r="AR130" s="20"/>
      <c r="BC130" s="16"/>
      <c r="BD130" s="16"/>
      <c r="BE130" s="16"/>
    </row>
    <row r="131" spans="1:57" ht="19.95" customHeight="1" x14ac:dyDescent="0.4">
      <c r="A131" s="18" t="s">
        <v>484</v>
      </c>
      <c r="B131" s="18" t="s">
        <v>478</v>
      </c>
      <c r="D131" s="16"/>
      <c r="E131" s="16"/>
      <c r="G131" s="17" t="s">
        <v>347</v>
      </c>
      <c r="H131" s="17" t="s">
        <v>347</v>
      </c>
      <c r="M131" s="17"/>
      <c r="N131" s="17" t="s">
        <v>557</v>
      </c>
      <c r="O131" s="17" t="s">
        <v>558</v>
      </c>
      <c r="Q131" s="19" t="s">
        <v>137</v>
      </c>
      <c r="R131" s="19">
        <v>3</v>
      </c>
      <c r="S131" s="19" t="s">
        <v>118</v>
      </c>
      <c r="T131" s="19">
        <v>6</v>
      </c>
      <c r="U131" s="19"/>
      <c r="V131" s="19"/>
      <c r="W131" s="19"/>
      <c r="X131" s="19"/>
      <c r="Y131" s="19"/>
      <c r="Z131" s="19"/>
      <c r="AA131" s="20"/>
      <c r="AB131" s="20"/>
      <c r="AC131" s="20"/>
      <c r="AD131" s="20"/>
      <c r="AF131" s="19" t="s">
        <v>280</v>
      </c>
      <c r="AG131" s="19">
        <v>60</v>
      </c>
      <c r="AH131" s="19" t="s">
        <v>565</v>
      </c>
      <c r="AI131" s="19">
        <v>40</v>
      </c>
      <c r="AJ131" s="19"/>
      <c r="AK131" s="19"/>
      <c r="AM131" s="20" t="s">
        <v>566</v>
      </c>
      <c r="AN131" s="20">
        <v>3</v>
      </c>
      <c r="AO131" s="20" t="s">
        <v>567</v>
      </c>
      <c r="AP131" s="20">
        <v>2</v>
      </c>
      <c r="AQ131" s="20"/>
      <c r="AR131" s="20"/>
      <c r="BC131" s="16"/>
      <c r="BD131" s="16"/>
      <c r="BE131" s="16"/>
    </row>
    <row r="132" spans="1:57" ht="19.95" customHeight="1" x14ac:dyDescent="0.4">
      <c r="A132" s="18" t="s">
        <v>485</v>
      </c>
      <c r="B132" s="18" t="s">
        <v>478</v>
      </c>
      <c r="D132" s="16"/>
      <c r="E132" s="16"/>
      <c r="G132" s="17" t="s">
        <v>347</v>
      </c>
      <c r="H132" s="17" t="s">
        <v>347</v>
      </c>
      <c r="M132" s="17"/>
      <c r="N132" s="17" t="s">
        <v>557</v>
      </c>
      <c r="O132" s="17" t="s">
        <v>558</v>
      </c>
      <c r="Q132" s="19" t="s">
        <v>137</v>
      </c>
      <c r="R132" s="19">
        <v>3</v>
      </c>
      <c r="S132" s="19" t="s">
        <v>118</v>
      </c>
      <c r="T132" s="19">
        <v>6</v>
      </c>
      <c r="U132" s="19"/>
      <c r="V132" s="19"/>
      <c r="W132" s="19"/>
      <c r="X132" s="19"/>
      <c r="Y132" s="19"/>
      <c r="Z132" s="19"/>
      <c r="AA132" s="20"/>
      <c r="AB132" s="20"/>
      <c r="AC132" s="20"/>
      <c r="AD132" s="20"/>
      <c r="AF132" s="19" t="s">
        <v>273</v>
      </c>
      <c r="AG132" s="19">
        <v>60</v>
      </c>
      <c r="AH132" s="19" t="s">
        <v>274</v>
      </c>
      <c r="AI132" s="19">
        <v>40</v>
      </c>
      <c r="AJ132" s="19"/>
      <c r="AK132" s="19"/>
      <c r="AM132" s="20" t="s">
        <v>568</v>
      </c>
      <c r="AN132" s="20">
        <v>2</v>
      </c>
      <c r="AO132" s="20" t="s">
        <v>569</v>
      </c>
      <c r="AP132" s="20">
        <v>2</v>
      </c>
      <c r="AQ132" s="20"/>
      <c r="AR132" s="20"/>
      <c r="BC132" s="16"/>
      <c r="BD132" s="16"/>
      <c r="BE132" s="16"/>
    </row>
    <row r="133" spans="1:57" ht="19.95" customHeight="1" x14ac:dyDescent="0.4">
      <c r="A133" s="18" t="s">
        <v>486</v>
      </c>
      <c r="B133" s="18" t="s">
        <v>478</v>
      </c>
      <c r="D133" s="16"/>
      <c r="E133" s="16"/>
      <c r="G133" s="17" t="s">
        <v>347</v>
      </c>
      <c r="H133" s="17" t="s">
        <v>347</v>
      </c>
      <c r="M133" s="17"/>
      <c r="N133" s="17"/>
      <c r="O133" s="17" t="s">
        <v>558</v>
      </c>
      <c r="Q133" s="19" t="s">
        <v>137</v>
      </c>
      <c r="R133" s="19">
        <v>3</v>
      </c>
      <c r="S133" s="19" t="s">
        <v>118</v>
      </c>
      <c r="T133" s="19">
        <v>6</v>
      </c>
      <c r="U133" s="19"/>
      <c r="V133" s="19"/>
      <c r="W133" s="19"/>
      <c r="X133" s="19"/>
      <c r="Y133" s="19"/>
      <c r="Z133" s="19"/>
      <c r="AA133" s="20"/>
      <c r="AB133" s="20"/>
      <c r="AC133" s="20"/>
      <c r="AD133" s="20"/>
      <c r="AF133" s="19"/>
      <c r="AG133" s="19"/>
      <c r="AH133" s="19"/>
      <c r="AI133" s="19"/>
      <c r="AJ133" s="19"/>
      <c r="AK133" s="19"/>
      <c r="AM133" s="20"/>
      <c r="AN133" s="20"/>
      <c r="AO133" s="20"/>
      <c r="AP133" s="20"/>
      <c r="AQ133" s="20"/>
      <c r="AR133" s="20"/>
      <c r="BC133" s="16"/>
      <c r="BD133" s="16"/>
      <c r="BE133" s="16"/>
    </row>
    <row r="134" spans="1:57" ht="19.95" customHeight="1" x14ac:dyDescent="0.4">
      <c r="A134" s="15" t="s">
        <v>488</v>
      </c>
      <c r="B134" s="15" t="s">
        <v>487</v>
      </c>
      <c r="D134" s="16"/>
      <c r="E134" s="16"/>
      <c r="G134" s="17" t="s">
        <v>347</v>
      </c>
      <c r="H134" s="17" t="s">
        <v>347</v>
      </c>
      <c r="M134" s="17"/>
      <c r="N134" s="17"/>
      <c r="O134" s="17"/>
      <c r="Q134" s="19" t="s">
        <v>62</v>
      </c>
      <c r="R134" s="19">
        <v>80</v>
      </c>
      <c r="S134" s="19"/>
      <c r="T134" s="19"/>
      <c r="U134" s="19"/>
      <c r="V134" s="19"/>
      <c r="W134" s="19"/>
      <c r="X134" s="19"/>
      <c r="Y134" s="19"/>
      <c r="Z134" s="19"/>
      <c r="AA134" s="20" t="s">
        <v>593</v>
      </c>
      <c r="AB134" s="20">
        <v>140</v>
      </c>
      <c r="AC134" s="20"/>
      <c r="AD134" s="20"/>
      <c r="AF134" s="19" t="s">
        <v>280</v>
      </c>
      <c r="AG134" s="19">
        <v>4900</v>
      </c>
      <c r="AH134" s="19"/>
      <c r="AI134" s="19"/>
      <c r="AJ134" s="19"/>
      <c r="AK134" s="19"/>
      <c r="AM134" s="20"/>
      <c r="AN134" s="20"/>
      <c r="AO134" s="20"/>
      <c r="AP134" s="20"/>
      <c r="AQ134" s="20"/>
      <c r="AR134" s="20"/>
      <c r="BC134" s="16"/>
      <c r="BD134" s="16"/>
      <c r="BE134" s="16"/>
    </row>
    <row r="135" spans="1:57" ht="19.95" customHeight="1" x14ac:dyDescent="0.4">
      <c r="A135" s="15" t="s">
        <v>489</v>
      </c>
      <c r="B135" s="15" t="s">
        <v>487</v>
      </c>
      <c r="D135" s="16"/>
      <c r="E135" s="16"/>
      <c r="G135" s="17" t="s">
        <v>347</v>
      </c>
      <c r="H135" s="17" t="s">
        <v>347</v>
      </c>
      <c r="M135" s="17"/>
      <c r="N135" s="17"/>
      <c r="O135" s="17"/>
      <c r="Q135" s="19" t="s">
        <v>62</v>
      </c>
      <c r="R135" s="19">
        <v>80</v>
      </c>
      <c r="S135" s="19" t="s">
        <v>67</v>
      </c>
      <c r="T135" s="19">
        <v>20</v>
      </c>
      <c r="U135" s="19"/>
      <c r="V135" s="19"/>
      <c r="W135" s="19"/>
      <c r="X135" s="19"/>
      <c r="Y135" s="19"/>
      <c r="Z135" s="19"/>
      <c r="AA135" s="20" t="s">
        <v>593</v>
      </c>
      <c r="AB135" s="20">
        <v>160</v>
      </c>
      <c r="AC135" s="20"/>
      <c r="AD135" s="20"/>
      <c r="AF135" s="19" t="s">
        <v>280</v>
      </c>
      <c r="AG135" s="19">
        <v>3000</v>
      </c>
      <c r="AH135" s="19" t="s">
        <v>565</v>
      </c>
      <c r="AI135" s="19">
        <v>700</v>
      </c>
      <c r="AJ135" s="19" t="s">
        <v>273</v>
      </c>
      <c r="AK135" s="19">
        <v>200</v>
      </c>
      <c r="AM135" s="20"/>
      <c r="AN135" s="20"/>
      <c r="AO135" s="20"/>
      <c r="AP135" s="20"/>
      <c r="AQ135" s="20"/>
      <c r="AR135" s="20"/>
      <c r="BC135" s="16"/>
      <c r="BD135" s="16"/>
      <c r="BE135" s="16"/>
    </row>
    <row r="136" spans="1:57" ht="19.95" customHeight="1" x14ac:dyDescent="0.4">
      <c r="A136" s="15" t="s">
        <v>490</v>
      </c>
      <c r="B136" s="15" t="s">
        <v>487</v>
      </c>
      <c r="D136" s="16"/>
      <c r="E136" s="16"/>
      <c r="G136" s="17" t="s">
        <v>347</v>
      </c>
      <c r="H136" s="17" t="s">
        <v>347</v>
      </c>
      <c r="M136" s="17"/>
      <c r="N136" s="17"/>
      <c r="O136" s="17"/>
      <c r="Q136" s="19" t="s">
        <v>62</v>
      </c>
      <c r="R136" s="19">
        <v>100</v>
      </c>
      <c r="S136" s="19" t="s">
        <v>67</v>
      </c>
      <c r="T136" s="19">
        <v>40</v>
      </c>
      <c r="U136" s="19"/>
      <c r="V136" s="19"/>
      <c r="W136" s="19"/>
      <c r="X136" s="19"/>
      <c r="Y136" s="19"/>
      <c r="Z136" s="19"/>
      <c r="AA136" s="20" t="s">
        <v>593</v>
      </c>
      <c r="AB136" s="20">
        <v>200</v>
      </c>
      <c r="AC136" s="20"/>
      <c r="AD136" s="20"/>
      <c r="AF136" s="19" t="s">
        <v>280</v>
      </c>
      <c r="AG136" s="19">
        <v>2000</v>
      </c>
      <c r="AH136" s="19" t="s">
        <v>565</v>
      </c>
      <c r="AI136" s="19">
        <v>1000</v>
      </c>
      <c r="AJ136" s="19" t="s">
        <v>273</v>
      </c>
      <c r="AK136" s="19">
        <v>300</v>
      </c>
      <c r="AM136" s="20"/>
      <c r="AN136" s="20"/>
      <c r="AO136" s="20"/>
      <c r="AP136" s="20"/>
      <c r="AQ136" s="20"/>
      <c r="AR136" s="20"/>
      <c r="BC136" s="16"/>
      <c r="BD136" s="16"/>
      <c r="BE136" s="16"/>
    </row>
    <row r="137" spans="1:57" ht="19.95" customHeight="1" x14ac:dyDescent="0.4">
      <c r="A137" s="15" t="s">
        <v>492</v>
      </c>
      <c r="B137" s="15" t="s">
        <v>491</v>
      </c>
      <c r="D137" s="16"/>
      <c r="E137" s="16"/>
      <c r="G137" s="17" t="s">
        <v>347</v>
      </c>
      <c r="H137" s="17" t="s">
        <v>347</v>
      </c>
      <c r="M137" s="17"/>
      <c r="N137" s="17"/>
      <c r="O137" s="17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20"/>
      <c r="AB137" s="20"/>
      <c r="AC137" s="20"/>
      <c r="AD137" s="20"/>
      <c r="AF137" s="19"/>
      <c r="AG137" s="19"/>
      <c r="AH137" s="19"/>
      <c r="AI137" s="19"/>
      <c r="AJ137" s="19"/>
      <c r="AK137" s="19"/>
      <c r="AM137" s="20"/>
      <c r="AN137" s="20"/>
      <c r="AO137" s="20"/>
      <c r="AP137" s="20"/>
      <c r="AQ137" s="20"/>
      <c r="AR137" s="20"/>
      <c r="BC137" s="16"/>
      <c r="BD137" s="16"/>
      <c r="BE137" s="16"/>
    </row>
    <row r="138" spans="1:57" ht="19.95" customHeight="1" x14ac:dyDescent="0.4">
      <c r="A138" s="15" t="s">
        <v>493</v>
      </c>
      <c r="B138" s="15" t="s">
        <v>491</v>
      </c>
      <c r="D138" s="16"/>
      <c r="E138" s="16"/>
      <c r="G138" s="17" t="s">
        <v>347</v>
      </c>
      <c r="H138" s="17" t="s">
        <v>347</v>
      </c>
      <c r="M138" s="17"/>
      <c r="N138" s="17"/>
      <c r="O138" s="17"/>
      <c r="Q138" s="19" t="s">
        <v>571</v>
      </c>
      <c r="R138" s="19">
        <v>3</v>
      </c>
      <c r="S138" s="19"/>
      <c r="T138" s="19"/>
      <c r="U138" s="19"/>
      <c r="V138" s="19"/>
      <c r="W138" s="19"/>
      <c r="X138" s="19"/>
      <c r="Y138" s="19"/>
      <c r="Z138" s="19"/>
      <c r="AA138" s="20"/>
      <c r="AB138" s="20"/>
      <c r="AC138" s="20"/>
      <c r="AD138" s="20"/>
      <c r="AF138" s="19" t="s">
        <v>280</v>
      </c>
      <c r="AG138" s="19">
        <v>-1000</v>
      </c>
      <c r="AH138" s="19" t="s">
        <v>565</v>
      </c>
      <c r="AI138" s="19">
        <v>200</v>
      </c>
      <c r="AJ138" s="19" t="s">
        <v>273</v>
      </c>
      <c r="AK138" s="19">
        <v>100</v>
      </c>
      <c r="AM138" s="20"/>
      <c r="AN138" s="20"/>
      <c r="AO138" s="20"/>
      <c r="AP138" s="20"/>
      <c r="AQ138" s="20"/>
      <c r="AR138" s="20"/>
      <c r="BC138" s="16"/>
      <c r="BD138" s="16"/>
      <c r="BE138" s="16"/>
    </row>
    <row r="139" spans="1:57" ht="19.95" customHeight="1" x14ac:dyDescent="0.4">
      <c r="A139" s="15" t="s">
        <v>494</v>
      </c>
      <c r="B139" s="15" t="s">
        <v>491</v>
      </c>
      <c r="D139" s="16"/>
      <c r="E139" s="16"/>
      <c r="G139" s="17" t="s">
        <v>347</v>
      </c>
      <c r="H139" s="17" t="s">
        <v>347</v>
      </c>
      <c r="M139" s="17"/>
      <c r="N139" s="17"/>
      <c r="O139" s="17"/>
      <c r="Q139" s="19" t="s">
        <v>571</v>
      </c>
      <c r="R139" s="19">
        <v>5</v>
      </c>
      <c r="S139" s="19" t="s">
        <v>577</v>
      </c>
      <c r="T139" s="19">
        <v>1</v>
      </c>
      <c r="U139" s="19" t="s">
        <v>22</v>
      </c>
      <c r="V139" s="19">
        <v>1</v>
      </c>
      <c r="W139" s="19"/>
      <c r="X139" s="19"/>
      <c r="Y139" s="19"/>
      <c r="Z139" s="19"/>
      <c r="AA139" s="20"/>
      <c r="AB139" s="20"/>
      <c r="AC139" s="20"/>
      <c r="AD139" s="20"/>
      <c r="AF139" s="19" t="s">
        <v>280</v>
      </c>
      <c r="AG139" s="19">
        <v>-2000</v>
      </c>
      <c r="AH139" s="19" t="s">
        <v>565</v>
      </c>
      <c r="AI139" s="19">
        <v>400</v>
      </c>
      <c r="AJ139" s="19" t="s">
        <v>273</v>
      </c>
      <c r="AK139" s="19">
        <v>200</v>
      </c>
      <c r="AM139" s="20"/>
      <c r="AN139" s="20"/>
      <c r="AO139" s="20"/>
      <c r="AP139" s="20"/>
      <c r="AQ139" s="20"/>
      <c r="AR139" s="20"/>
      <c r="BC139" s="16"/>
      <c r="BD139" s="16"/>
      <c r="BE139" s="16"/>
    </row>
    <row r="140" spans="1:57" ht="19.95" customHeight="1" x14ac:dyDescent="0.4">
      <c r="A140" s="15" t="s">
        <v>496</v>
      </c>
      <c r="B140" s="15" t="s">
        <v>495</v>
      </c>
      <c r="D140" s="16"/>
      <c r="E140" s="16"/>
      <c r="G140" s="17" t="s">
        <v>347</v>
      </c>
      <c r="H140" s="17" t="s">
        <v>347</v>
      </c>
      <c r="M140" s="17"/>
      <c r="N140" s="17"/>
      <c r="O140" s="17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20"/>
      <c r="AB140" s="20"/>
      <c r="AC140" s="20"/>
      <c r="AD140" s="20"/>
      <c r="AF140" s="19"/>
      <c r="AG140" s="19"/>
      <c r="AH140" s="19"/>
      <c r="AI140" s="19"/>
      <c r="AJ140" s="19"/>
      <c r="AK140" s="19"/>
      <c r="AM140" s="20"/>
      <c r="AN140" s="20"/>
      <c r="AO140" s="20"/>
      <c r="AP140" s="20"/>
      <c r="AQ140" s="20"/>
      <c r="AR140" s="20"/>
      <c r="BC140" s="16"/>
      <c r="BD140" s="16"/>
      <c r="BE140" s="16"/>
    </row>
    <row r="141" spans="1:57" ht="19.95" customHeight="1" x14ac:dyDescent="0.4">
      <c r="A141" s="15" t="s">
        <v>497</v>
      </c>
      <c r="B141" s="15" t="s">
        <v>495</v>
      </c>
      <c r="D141" s="16"/>
      <c r="E141" s="16"/>
      <c r="G141" s="17" t="s">
        <v>490</v>
      </c>
      <c r="H141" s="17" t="s">
        <v>347</v>
      </c>
      <c r="M141" s="17"/>
      <c r="N141" s="17"/>
      <c r="O141" s="17"/>
      <c r="Q141" s="19" t="s">
        <v>115</v>
      </c>
      <c r="R141" s="19">
        <v>3</v>
      </c>
      <c r="S141" s="19" t="s">
        <v>577</v>
      </c>
      <c r="T141" s="19">
        <v>1</v>
      </c>
      <c r="U141" s="19" t="s">
        <v>22</v>
      </c>
      <c r="V141" s="19">
        <v>2</v>
      </c>
      <c r="W141" s="19"/>
      <c r="X141" s="19"/>
      <c r="Y141" s="19"/>
      <c r="Z141" s="19"/>
      <c r="AA141" s="20"/>
      <c r="AB141" s="20"/>
      <c r="AC141" s="20"/>
      <c r="AD141" s="20"/>
      <c r="AF141" s="19" t="s">
        <v>565</v>
      </c>
      <c r="AG141" s="19">
        <v>-800</v>
      </c>
      <c r="AH141" s="19" t="s">
        <v>273</v>
      </c>
      <c r="AI141" s="19">
        <v>100</v>
      </c>
      <c r="AJ141" s="19"/>
      <c r="AK141" s="19"/>
      <c r="AM141" s="20"/>
      <c r="AN141" s="20"/>
      <c r="AO141" s="20"/>
      <c r="AP141" s="20"/>
      <c r="AQ141" s="20"/>
      <c r="AR141" s="20"/>
      <c r="BC141" s="16"/>
      <c r="BD141" s="16"/>
      <c r="BE141" s="16"/>
    </row>
    <row r="142" spans="1:57" ht="19.95" customHeight="1" x14ac:dyDescent="0.4">
      <c r="A142" s="15" t="s">
        <v>498</v>
      </c>
      <c r="B142" s="15" t="s">
        <v>495</v>
      </c>
      <c r="D142" s="16"/>
      <c r="E142" s="16"/>
      <c r="G142" s="17" t="s">
        <v>347</v>
      </c>
      <c r="H142" s="17" t="s">
        <v>347</v>
      </c>
      <c r="M142" s="17"/>
      <c r="N142" s="17"/>
      <c r="O142" s="17"/>
      <c r="Q142" s="19" t="s">
        <v>117</v>
      </c>
      <c r="R142" s="19">
        <v>1</v>
      </c>
      <c r="S142" s="19" t="s">
        <v>88</v>
      </c>
      <c r="T142" s="19">
        <v>2</v>
      </c>
      <c r="U142" s="19" t="s">
        <v>115</v>
      </c>
      <c r="V142" s="19">
        <v>1</v>
      </c>
      <c r="W142" s="19"/>
      <c r="X142" s="19"/>
      <c r="Y142" s="19"/>
      <c r="Z142" s="19"/>
      <c r="AA142" s="20"/>
      <c r="AB142" s="20"/>
      <c r="AC142" s="20"/>
      <c r="AD142" s="20"/>
      <c r="AF142" s="19" t="s">
        <v>565</v>
      </c>
      <c r="AG142" s="19">
        <v>-1000</v>
      </c>
      <c r="AH142" s="19" t="s">
        <v>274</v>
      </c>
      <c r="AI142" s="19">
        <v>50</v>
      </c>
      <c r="AJ142" s="19"/>
      <c r="AK142" s="19"/>
      <c r="AM142" s="20"/>
      <c r="AN142" s="20"/>
      <c r="AO142" s="20"/>
      <c r="AP142" s="20"/>
      <c r="AQ142" s="20"/>
      <c r="AR142" s="20"/>
      <c r="BC142" s="16"/>
      <c r="BD142" s="16"/>
      <c r="BE142" s="16"/>
    </row>
    <row r="143" spans="1:57" ht="19.95" customHeight="1" x14ac:dyDescent="0.4">
      <c r="A143" s="15" t="s">
        <v>499</v>
      </c>
      <c r="B143" s="15" t="s">
        <v>495</v>
      </c>
      <c r="D143" s="16"/>
      <c r="E143" s="16"/>
      <c r="G143" s="17" t="s">
        <v>490</v>
      </c>
      <c r="H143" s="17" t="s">
        <v>494</v>
      </c>
      <c r="M143" s="17"/>
      <c r="N143" s="17"/>
      <c r="O143" s="17"/>
      <c r="Q143" s="19" t="s">
        <v>117</v>
      </c>
      <c r="R143" s="19">
        <v>1</v>
      </c>
      <c r="S143" s="19" t="s">
        <v>88</v>
      </c>
      <c r="T143" s="19">
        <v>1</v>
      </c>
      <c r="U143" s="19" t="s">
        <v>115</v>
      </c>
      <c r="V143" s="19">
        <v>2</v>
      </c>
      <c r="W143" s="19" t="s">
        <v>22</v>
      </c>
      <c r="X143" s="19">
        <v>2</v>
      </c>
      <c r="Y143" s="19" t="s">
        <v>577</v>
      </c>
      <c r="Z143" s="19">
        <v>1</v>
      </c>
      <c r="AA143" s="20"/>
      <c r="AB143" s="20"/>
      <c r="AC143" s="20"/>
      <c r="AD143" s="20"/>
      <c r="AF143" s="19" t="s">
        <v>565</v>
      </c>
      <c r="AG143" s="19">
        <v>-1400</v>
      </c>
      <c r="AH143" s="19" t="s">
        <v>273</v>
      </c>
      <c r="AI143" s="19">
        <v>50</v>
      </c>
      <c r="AJ143" s="19" t="s">
        <v>274</v>
      </c>
      <c r="AK143" s="19">
        <v>25</v>
      </c>
      <c r="AM143" s="20"/>
      <c r="AN143" s="20"/>
      <c r="AO143" s="20"/>
      <c r="AP143" s="20"/>
      <c r="AQ143" s="20"/>
      <c r="AR143" s="20"/>
      <c r="BC143" s="16"/>
      <c r="BD143" s="16"/>
      <c r="BE143" s="16"/>
    </row>
    <row r="144" spans="1:57" ht="19.95" customHeight="1" x14ac:dyDescent="0.4">
      <c r="A144" s="18" t="s">
        <v>501</v>
      </c>
      <c r="B144" s="18" t="s">
        <v>500</v>
      </c>
      <c r="D144" s="16"/>
      <c r="E144" s="16"/>
      <c r="G144" s="17" t="s">
        <v>347</v>
      </c>
      <c r="H144" s="17" t="s">
        <v>347</v>
      </c>
      <c r="M144" s="17"/>
      <c r="N144" s="17"/>
      <c r="O144" s="17"/>
      <c r="Q144" s="19" t="s">
        <v>62</v>
      </c>
      <c r="R144" s="19">
        <v>120</v>
      </c>
      <c r="S144" s="19"/>
      <c r="T144" s="19"/>
      <c r="U144" s="19"/>
      <c r="V144" s="19"/>
      <c r="W144" s="19"/>
      <c r="X144" s="19"/>
      <c r="Y144" s="19"/>
      <c r="Z144" s="19"/>
      <c r="AA144" s="20" t="s">
        <v>594</v>
      </c>
      <c r="AB144" s="20">
        <v>135</v>
      </c>
      <c r="AC144" s="20"/>
      <c r="AD144" s="20"/>
      <c r="AF144" s="19" t="s">
        <v>280</v>
      </c>
      <c r="AG144" s="19">
        <v>4900</v>
      </c>
      <c r="AH144" s="19"/>
      <c r="AI144" s="19"/>
      <c r="AJ144" s="19"/>
      <c r="AK144" s="19"/>
      <c r="AM144" s="20"/>
      <c r="AN144" s="20"/>
      <c r="AO144" s="20"/>
      <c r="AP144" s="20"/>
      <c r="AQ144" s="20"/>
      <c r="AR144" s="20"/>
      <c r="BC144" s="16"/>
      <c r="BD144" s="16"/>
      <c r="BE144" s="16"/>
    </row>
    <row r="145" spans="1:57" ht="19.95" customHeight="1" x14ac:dyDescent="0.4">
      <c r="A145" s="18" t="s">
        <v>502</v>
      </c>
      <c r="B145" s="18" t="s">
        <v>500</v>
      </c>
      <c r="D145" s="16"/>
      <c r="E145" s="16"/>
      <c r="G145" s="17" t="s">
        <v>347</v>
      </c>
      <c r="H145" s="17" t="s">
        <v>347</v>
      </c>
      <c r="M145" s="17"/>
      <c r="N145" s="17"/>
      <c r="O145" s="17"/>
      <c r="Q145" s="19" t="s">
        <v>62</v>
      </c>
      <c r="R145" s="19">
        <v>120</v>
      </c>
      <c r="S145" s="19"/>
      <c r="T145" s="19" t="s">
        <v>595</v>
      </c>
      <c r="U145" s="19"/>
      <c r="V145" s="19"/>
      <c r="W145" s="19"/>
      <c r="X145" s="19"/>
      <c r="Y145" s="19"/>
      <c r="Z145" s="19"/>
      <c r="AA145" s="20" t="s">
        <v>594</v>
      </c>
      <c r="AB145" s="20">
        <v>145</v>
      </c>
      <c r="AC145" s="20"/>
      <c r="AD145" s="20"/>
      <c r="AF145" s="19" t="s">
        <v>280</v>
      </c>
      <c r="AG145" s="19">
        <v>3900</v>
      </c>
      <c r="AH145" s="19" t="s">
        <v>565</v>
      </c>
      <c r="AI145" s="19">
        <v>300</v>
      </c>
      <c r="AJ145" s="19" t="s">
        <v>273</v>
      </c>
      <c r="AK145" s="19">
        <v>200</v>
      </c>
      <c r="AM145" s="20"/>
      <c r="AN145" s="20"/>
      <c r="AO145" s="20"/>
      <c r="AP145" s="20"/>
      <c r="AQ145" s="20"/>
      <c r="AR145" s="20"/>
      <c r="BC145" s="16"/>
      <c r="BD145" s="16"/>
      <c r="BE145" s="16"/>
    </row>
    <row r="146" spans="1:57" ht="19.95" customHeight="1" x14ac:dyDescent="0.4">
      <c r="A146" s="18" t="s">
        <v>504</v>
      </c>
      <c r="B146" s="18" t="s">
        <v>503</v>
      </c>
      <c r="D146" s="16"/>
      <c r="E146" s="16"/>
      <c r="G146" s="17" t="s">
        <v>347</v>
      </c>
      <c r="H146" s="17" t="s">
        <v>347</v>
      </c>
      <c r="M146" s="17"/>
      <c r="N146" s="17"/>
      <c r="O146" s="17"/>
      <c r="Q146" s="19" t="s">
        <v>571</v>
      </c>
      <c r="R146" s="19">
        <v>5</v>
      </c>
      <c r="S146" s="19"/>
      <c r="T146" s="19"/>
      <c r="U146" s="19"/>
      <c r="V146" s="19"/>
      <c r="W146" s="19"/>
      <c r="X146" s="19"/>
      <c r="Y146" s="19"/>
      <c r="Z146" s="19"/>
      <c r="AA146" s="20" t="s">
        <v>594</v>
      </c>
      <c r="AB146" s="20">
        <v>-5</v>
      </c>
      <c r="AC146" s="20"/>
      <c r="AD146" s="20"/>
      <c r="AF146" s="19"/>
      <c r="AG146" s="19"/>
      <c r="AH146" s="19"/>
      <c r="AI146" s="19"/>
      <c r="AJ146" s="19"/>
      <c r="AK146" s="19"/>
      <c r="AM146" s="20"/>
      <c r="AN146" s="20"/>
      <c r="AO146" s="20"/>
      <c r="AP146" s="20"/>
      <c r="AQ146" s="20"/>
      <c r="AR146" s="20"/>
      <c r="BC146" s="16"/>
      <c r="BD146" s="16"/>
      <c r="BE146" s="16"/>
    </row>
    <row r="147" spans="1:57" ht="19.95" customHeight="1" x14ac:dyDescent="0.4">
      <c r="A147" s="18" t="s">
        <v>505</v>
      </c>
      <c r="B147" s="18" t="s">
        <v>503</v>
      </c>
      <c r="D147" s="16"/>
      <c r="E147" s="16"/>
      <c r="G147" s="17" t="s">
        <v>347</v>
      </c>
      <c r="H147" s="17" t="s">
        <v>347</v>
      </c>
      <c r="M147" s="17"/>
      <c r="N147" s="17"/>
      <c r="O147" s="17"/>
      <c r="Q147" s="19" t="s">
        <v>94</v>
      </c>
      <c r="R147" s="19">
        <v>5</v>
      </c>
      <c r="S147" s="19"/>
      <c r="T147" s="19"/>
      <c r="U147" s="19"/>
      <c r="V147" s="19"/>
      <c r="W147" s="19"/>
      <c r="X147" s="19"/>
      <c r="Y147" s="19"/>
      <c r="Z147" s="19"/>
      <c r="AA147" s="20"/>
      <c r="AB147" s="20"/>
      <c r="AC147" s="20"/>
      <c r="AD147" s="20"/>
      <c r="AF147" s="19" t="s">
        <v>280</v>
      </c>
      <c r="AG147" s="19">
        <v>-1500</v>
      </c>
      <c r="AH147" s="19" t="s">
        <v>565</v>
      </c>
      <c r="AI147" s="19">
        <v>50</v>
      </c>
      <c r="AJ147" s="19" t="s">
        <v>273</v>
      </c>
      <c r="AK147" s="19">
        <v>150</v>
      </c>
      <c r="AM147" s="20"/>
      <c r="AN147" s="20"/>
      <c r="AO147" s="20"/>
      <c r="AP147" s="20"/>
      <c r="AQ147" s="20"/>
      <c r="AR147" s="20"/>
      <c r="BC147" s="16"/>
      <c r="BD147" s="16"/>
      <c r="BE147" s="16"/>
    </row>
    <row r="148" spans="1:57" ht="19.95" customHeight="1" x14ac:dyDescent="0.4">
      <c r="A148" s="18" t="s">
        <v>507</v>
      </c>
      <c r="B148" s="18" t="s">
        <v>506</v>
      </c>
      <c r="D148" s="16"/>
      <c r="E148" s="16"/>
      <c r="G148" s="17" t="s">
        <v>347</v>
      </c>
      <c r="H148" s="17" t="s">
        <v>347</v>
      </c>
      <c r="M148" s="17"/>
      <c r="N148" s="17"/>
      <c r="O148" s="17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20"/>
      <c r="AB148" s="20"/>
      <c r="AC148" s="20"/>
      <c r="AD148" s="20"/>
      <c r="AF148" s="19"/>
      <c r="AG148" s="19"/>
      <c r="AH148" s="19"/>
      <c r="AI148" s="19"/>
      <c r="AJ148" s="19"/>
      <c r="AK148" s="19"/>
      <c r="AM148" s="20"/>
      <c r="AN148" s="20"/>
      <c r="AO148" s="20"/>
      <c r="AP148" s="20"/>
      <c r="AQ148" s="20"/>
      <c r="AR148" s="20"/>
      <c r="BC148" s="16"/>
      <c r="BD148" s="16"/>
      <c r="BE148" s="16"/>
    </row>
    <row r="149" spans="1:57" ht="19.95" customHeight="1" x14ac:dyDescent="0.4">
      <c r="A149" s="18" t="s">
        <v>508</v>
      </c>
      <c r="B149" s="18" t="s">
        <v>506</v>
      </c>
      <c r="D149" s="16"/>
      <c r="E149" s="16"/>
      <c r="G149" s="17" t="s">
        <v>347</v>
      </c>
      <c r="H149" s="17" t="s">
        <v>347</v>
      </c>
      <c r="M149" s="17"/>
      <c r="N149" s="17"/>
      <c r="O149" s="17"/>
      <c r="Q149" s="19" t="s">
        <v>115</v>
      </c>
      <c r="R149" s="19">
        <v>3</v>
      </c>
      <c r="S149" s="19" t="s">
        <v>577</v>
      </c>
      <c r="T149" s="19">
        <v>1</v>
      </c>
      <c r="U149" s="19" t="s">
        <v>22</v>
      </c>
      <c r="V149" s="19">
        <v>4</v>
      </c>
      <c r="W149" s="19"/>
      <c r="X149" s="19"/>
      <c r="Y149" s="19"/>
      <c r="Z149" s="19"/>
      <c r="AA149" s="20"/>
      <c r="AB149" s="20"/>
      <c r="AC149" s="20"/>
      <c r="AD149" s="20"/>
      <c r="AF149" s="19" t="s">
        <v>280</v>
      </c>
      <c r="AG149" s="19">
        <v>-1200</v>
      </c>
      <c r="AH149" s="19" t="s">
        <v>273</v>
      </c>
      <c r="AI149" s="19">
        <v>150</v>
      </c>
      <c r="AJ149" s="19" t="s">
        <v>565</v>
      </c>
      <c r="AK149" s="19">
        <v>250</v>
      </c>
      <c r="AM149" s="20"/>
      <c r="AN149" s="20"/>
      <c r="AO149" s="20"/>
      <c r="AP149" s="20"/>
      <c r="AQ149" s="20"/>
      <c r="AR149" s="20"/>
      <c r="BC149" s="16"/>
      <c r="BD149" s="16"/>
      <c r="BE149" s="16"/>
    </row>
    <row r="150" spans="1:57" ht="19.95" customHeight="1" x14ac:dyDescent="0.4">
      <c r="A150" s="18" t="s">
        <v>509</v>
      </c>
      <c r="B150" s="18" t="s">
        <v>506</v>
      </c>
      <c r="D150" s="16"/>
      <c r="E150" s="16"/>
      <c r="G150" s="17" t="s">
        <v>347</v>
      </c>
      <c r="H150" s="17" t="s">
        <v>347</v>
      </c>
      <c r="M150" s="17"/>
      <c r="N150" s="17"/>
      <c r="O150" s="17"/>
      <c r="Q150" s="19" t="s">
        <v>115</v>
      </c>
      <c r="R150" s="19">
        <v>3</v>
      </c>
      <c r="S150" s="19" t="s">
        <v>117</v>
      </c>
      <c r="T150" s="19">
        <v>3</v>
      </c>
      <c r="U150" s="19" t="s">
        <v>88</v>
      </c>
      <c r="V150" s="19">
        <v>2</v>
      </c>
      <c r="W150" s="19"/>
      <c r="X150" s="19"/>
      <c r="Y150" s="19"/>
      <c r="Z150" s="19"/>
      <c r="AA150" s="20"/>
      <c r="AB150" s="20"/>
      <c r="AC150" s="20"/>
      <c r="AD150" s="20"/>
      <c r="AF150" s="19" t="s">
        <v>280</v>
      </c>
      <c r="AG150" s="19">
        <v>-1800</v>
      </c>
      <c r="AH150" s="19" t="s">
        <v>274</v>
      </c>
      <c r="AI150" s="19">
        <v>150</v>
      </c>
      <c r="AJ150" s="19"/>
      <c r="AK150" s="19"/>
      <c r="AM150" s="20"/>
      <c r="AN150" s="20"/>
      <c r="AO150" s="20"/>
      <c r="AP150" s="20"/>
      <c r="AQ150" s="20"/>
      <c r="AR150" s="20"/>
      <c r="BC150" s="16"/>
      <c r="BD150" s="16"/>
      <c r="BE150" s="16"/>
    </row>
    <row r="151" spans="1:57" ht="19.95" customHeight="1" x14ac:dyDescent="0.4">
      <c r="A151" s="18" t="s">
        <v>510</v>
      </c>
      <c r="B151" s="18" t="s">
        <v>506</v>
      </c>
      <c r="D151" s="16"/>
      <c r="E151" s="16"/>
      <c r="G151" s="17" t="s">
        <v>502</v>
      </c>
      <c r="H151" s="17" t="s">
        <v>347</v>
      </c>
      <c r="M151" s="17"/>
      <c r="N151" s="17"/>
      <c r="O151" s="17"/>
      <c r="Q151" s="19" t="s">
        <v>115</v>
      </c>
      <c r="R151" s="19">
        <v>3</v>
      </c>
      <c r="S151" s="19" t="s">
        <v>117</v>
      </c>
      <c r="T151" s="19">
        <v>2</v>
      </c>
      <c r="U151" s="19" t="s">
        <v>88</v>
      </c>
      <c r="V151" s="19">
        <v>2</v>
      </c>
      <c r="W151" s="19" t="s">
        <v>577</v>
      </c>
      <c r="X151" s="19">
        <v>1</v>
      </c>
      <c r="Y151" s="19" t="s">
        <v>22</v>
      </c>
      <c r="Z151" s="19">
        <v>5</v>
      </c>
      <c r="AA151" s="20"/>
      <c r="AB151" s="20"/>
      <c r="AC151" s="20"/>
      <c r="AD151" s="20"/>
      <c r="AF151" s="19" t="s">
        <v>280</v>
      </c>
      <c r="AG151" s="19">
        <v>-2400</v>
      </c>
      <c r="AH151" s="19" t="s">
        <v>273</v>
      </c>
      <c r="AI151" s="19">
        <v>250</v>
      </c>
      <c r="AJ151" s="19" t="s">
        <v>274</v>
      </c>
      <c r="AK151" s="19">
        <v>150</v>
      </c>
      <c r="AM151" s="20"/>
      <c r="AN151" s="20"/>
      <c r="AO151" s="20"/>
      <c r="AP151" s="20"/>
      <c r="AQ151" s="20"/>
      <c r="AR151" s="20"/>
      <c r="BC151" s="16"/>
      <c r="BD151" s="16"/>
      <c r="BE151" s="16"/>
    </row>
    <row r="152" spans="1:57" ht="19.95" customHeight="1" x14ac:dyDescent="0.4">
      <c r="A152" s="15" t="s">
        <v>512</v>
      </c>
      <c r="B152" s="15" t="s">
        <v>511</v>
      </c>
      <c r="D152" s="16"/>
      <c r="E152" s="16"/>
      <c r="G152" s="17" t="s">
        <v>347</v>
      </c>
      <c r="H152" s="17" t="s">
        <v>347</v>
      </c>
      <c r="M152" s="17"/>
      <c r="N152" s="17"/>
      <c r="O152" s="17"/>
      <c r="Q152" s="19" t="s">
        <v>78</v>
      </c>
      <c r="R152" s="19">
        <v>40</v>
      </c>
      <c r="S152" s="19"/>
      <c r="T152" s="19"/>
      <c r="U152" s="19"/>
      <c r="V152" s="19"/>
      <c r="W152" s="19"/>
      <c r="X152" s="19"/>
      <c r="Y152" s="19"/>
      <c r="Z152" s="19"/>
      <c r="AA152" s="20" t="s">
        <v>596</v>
      </c>
      <c r="AB152" s="20">
        <v>100</v>
      </c>
      <c r="AC152" s="20"/>
      <c r="AD152" s="20"/>
      <c r="AF152" s="19" t="s">
        <v>280</v>
      </c>
      <c r="AG152" s="19">
        <v>4900</v>
      </c>
      <c r="AH152" s="19"/>
      <c r="AI152" s="19"/>
      <c r="AJ152" s="19"/>
      <c r="AK152" s="19"/>
      <c r="AM152" s="20"/>
      <c r="AN152" s="20"/>
      <c r="AO152" s="20"/>
      <c r="AP152" s="20"/>
      <c r="AQ152" s="20"/>
      <c r="AR152" s="20"/>
      <c r="BC152" s="16"/>
      <c r="BD152" s="16"/>
      <c r="BE152" s="16"/>
    </row>
    <row r="153" spans="1:57" ht="19.95" customHeight="1" x14ac:dyDescent="0.4">
      <c r="A153" s="15" t="s">
        <v>513</v>
      </c>
      <c r="B153" s="15" t="s">
        <v>511</v>
      </c>
      <c r="D153" s="16"/>
      <c r="E153" s="16"/>
      <c r="G153" s="17" t="s">
        <v>347</v>
      </c>
      <c r="H153" s="17" t="s">
        <v>347</v>
      </c>
      <c r="M153" s="17"/>
      <c r="N153" s="17"/>
      <c r="O153" s="17"/>
      <c r="Q153" s="19" t="s">
        <v>78</v>
      </c>
      <c r="R153" s="19">
        <v>40</v>
      </c>
      <c r="S153" s="19" t="s">
        <v>79</v>
      </c>
      <c r="T153" s="19">
        <v>5</v>
      </c>
      <c r="U153" s="19"/>
      <c r="V153" s="19"/>
      <c r="W153" s="19"/>
      <c r="X153" s="19"/>
      <c r="Y153" s="19"/>
      <c r="Z153" s="19"/>
      <c r="AA153" s="20" t="s">
        <v>596</v>
      </c>
      <c r="AB153" s="20">
        <v>150</v>
      </c>
      <c r="AC153" s="20"/>
      <c r="AD153" s="20"/>
      <c r="AF153" s="19" t="s">
        <v>280</v>
      </c>
      <c r="AG153" s="19">
        <v>4900</v>
      </c>
      <c r="AH153" s="19"/>
      <c r="AI153" s="19"/>
      <c r="AJ153" s="19"/>
      <c r="AK153" s="19"/>
      <c r="AM153" s="20"/>
      <c r="AN153" s="20"/>
      <c r="AO153" s="20"/>
      <c r="AP153" s="20"/>
      <c r="AQ153" s="20"/>
      <c r="AR153" s="20"/>
      <c r="BC153" s="16"/>
      <c r="BD153" s="16"/>
      <c r="BE153" s="16"/>
    </row>
    <row r="154" spans="1:57" ht="19.95" customHeight="1" x14ac:dyDescent="0.4">
      <c r="A154" s="15" t="s">
        <v>515</v>
      </c>
      <c r="B154" s="15" t="s">
        <v>514</v>
      </c>
      <c r="D154" s="16"/>
      <c r="E154" s="16"/>
      <c r="G154" s="17" t="s">
        <v>347</v>
      </c>
      <c r="H154" s="17" t="s">
        <v>347</v>
      </c>
      <c r="M154" s="17"/>
      <c r="N154" s="17"/>
      <c r="O154" s="17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20"/>
      <c r="AB154" s="20"/>
      <c r="AC154" s="20"/>
      <c r="AD154" s="20"/>
      <c r="AF154" s="19"/>
      <c r="AG154" s="19"/>
      <c r="AH154" s="19"/>
      <c r="AI154" s="19"/>
      <c r="AJ154" s="19"/>
      <c r="AK154" s="19"/>
      <c r="AM154" s="20"/>
      <c r="AN154" s="20"/>
      <c r="AO154" s="20"/>
      <c r="AP154" s="20"/>
      <c r="AQ154" s="20"/>
      <c r="AR154" s="20"/>
      <c r="BC154" s="16"/>
      <c r="BD154" s="16"/>
      <c r="BE154" s="16"/>
    </row>
    <row r="155" spans="1:57" ht="19.95" customHeight="1" x14ac:dyDescent="0.4">
      <c r="A155" s="15" t="s">
        <v>516</v>
      </c>
      <c r="B155" s="15" t="s">
        <v>514</v>
      </c>
      <c r="D155" s="16"/>
      <c r="E155" s="16"/>
      <c r="G155" s="17" t="s">
        <v>347</v>
      </c>
      <c r="H155" s="17" t="s">
        <v>347</v>
      </c>
      <c r="M155" s="17"/>
      <c r="N155" s="17"/>
      <c r="O155" s="17"/>
      <c r="Q155" s="19" t="s">
        <v>75</v>
      </c>
      <c r="R155" s="19">
        <v>15</v>
      </c>
      <c r="S155" s="19"/>
      <c r="T155" s="19"/>
      <c r="U155" s="19"/>
      <c r="V155" s="19"/>
      <c r="W155" s="19"/>
      <c r="X155" s="19"/>
      <c r="Y155" s="19"/>
      <c r="Z155" s="19"/>
      <c r="AA155" s="20" t="s">
        <v>100</v>
      </c>
      <c r="AB155" s="20">
        <v>30</v>
      </c>
      <c r="AC155" s="20" t="s">
        <v>596</v>
      </c>
      <c r="AD155" s="20">
        <v>-30</v>
      </c>
      <c r="AF155" s="19" t="s">
        <v>559</v>
      </c>
      <c r="AG155" s="19">
        <v>100</v>
      </c>
      <c r="AH155" s="19"/>
      <c r="AI155" s="19"/>
      <c r="AJ155" s="19"/>
      <c r="AK155" s="19"/>
      <c r="AM155" s="20"/>
      <c r="AN155" s="20"/>
      <c r="AO155" s="20"/>
      <c r="AP155" s="20"/>
      <c r="AQ155" s="20"/>
      <c r="AR155" s="20"/>
      <c r="BC155" s="16"/>
      <c r="BD155" s="16"/>
      <c r="BE155" s="16"/>
    </row>
    <row r="156" spans="1:57" ht="19.95" customHeight="1" x14ac:dyDescent="0.4">
      <c r="A156" s="15" t="s">
        <v>517</v>
      </c>
      <c r="B156" s="15" t="s">
        <v>514</v>
      </c>
      <c r="D156" s="16"/>
      <c r="E156" s="16"/>
      <c r="G156" s="17" t="s">
        <v>347</v>
      </c>
      <c r="H156" s="17" t="s">
        <v>347</v>
      </c>
      <c r="M156" s="17"/>
      <c r="N156" s="17"/>
      <c r="O156" s="17"/>
      <c r="Q156" s="19" t="s">
        <v>75</v>
      </c>
      <c r="R156" s="19">
        <v>15</v>
      </c>
      <c r="S156" s="19" t="s">
        <v>82</v>
      </c>
      <c r="T156" s="19">
        <v>5</v>
      </c>
      <c r="U156" s="19"/>
      <c r="V156" s="19"/>
      <c r="W156" s="19"/>
      <c r="X156" s="19"/>
      <c r="Y156" s="19"/>
      <c r="Z156" s="19"/>
      <c r="AA156" s="20" t="s">
        <v>100</v>
      </c>
      <c r="AB156" s="20">
        <v>50</v>
      </c>
      <c r="AC156" s="20" t="s">
        <v>596</v>
      </c>
      <c r="AD156" s="20">
        <v>-50</v>
      </c>
      <c r="AF156" s="19" t="s">
        <v>559</v>
      </c>
      <c r="AG156" s="19">
        <v>200</v>
      </c>
      <c r="AH156" s="19"/>
      <c r="AI156" s="19"/>
      <c r="AJ156" s="19"/>
      <c r="AK156" s="19"/>
      <c r="AM156" s="20"/>
      <c r="AN156" s="20"/>
      <c r="AO156" s="20"/>
      <c r="AP156" s="20"/>
      <c r="AQ156" s="20"/>
      <c r="AR156" s="20"/>
      <c r="BC156" s="16"/>
      <c r="BD156" s="16"/>
      <c r="BE156" s="16"/>
    </row>
    <row r="157" spans="1:57" ht="19.95" customHeight="1" x14ac:dyDescent="0.4">
      <c r="A157" s="15" t="s">
        <v>519</v>
      </c>
      <c r="B157" s="15" t="s">
        <v>518</v>
      </c>
      <c r="D157" s="16"/>
      <c r="E157" s="16"/>
      <c r="G157" s="17" t="s">
        <v>347</v>
      </c>
      <c r="H157" s="17" t="s">
        <v>347</v>
      </c>
      <c r="M157" s="17"/>
      <c r="N157" s="17"/>
      <c r="O157" s="17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20"/>
      <c r="AB157" s="20"/>
      <c r="AC157" s="20"/>
      <c r="AD157" s="20"/>
      <c r="AF157" s="19"/>
      <c r="AG157" s="19"/>
      <c r="AH157" s="19"/>
      <c r="AI157" s="19"/>
      <c r="AJ157" s="19"/>
      <c r="AK157" s="19"/>
      <c r="AM157" s="20"/>
      <c r="AN157" s="20"/>
      <c r="AO157" s="20"/>
      <c r="AP157" s="20"/>
      <c r="AQ157" s="20"/>
      <c r="AR157" s="20"/>
      <c r="BC157" s="16"/>
      <c r="BD157" s="16"/>
      <c r="BE157" s="16"/>
    </row>
    <row r="158" spans="1:57" ht="19.95" customHeight="1" x14ac:dyDescent="0.4">
      <c r="A158" s="15" t="s">
        <v>520</v>
      </c>
      <c r="B158" s="15" t="s">
        <v>518</v>
      </c>
      <c r="D158" s="16"/>
      <c r="E158" s="16"/>
      <c r="G158" s="17" t="s">
        <v>347</v>
      </c>
      <c r="H158" s="17" t="s">
        <v>347</v>
      </c>
      <c r="M158" s="17"/>
      <c r="N158" s="17"/>
      <c r="O158" s="17"/>
      <c r="Q158" s="19" t="s">
        <v>115</v>
      </c>
      <c r="R158" s="19">
        <v>6</v>
      </c>
      <c r="S158" s="19"/>
      <c r="T158" s="19"/>
      <c r="U158" s="19"/>
      <c r="V158" s="19"/>
      <c r="W158" s="19"/>
      <c r="X158" s="19"/>
      <c r="Y158" s="19"/>
      <c r="Z158" s="19"/>
      <c r="AA158" s="20"/>
      <c r="AB158" s="20"/>
      <c r="AC158" s="20"/>
      <c r="AD158" s="20"/>
      <c r="AF158" s="19" t="s">
        <v>280</v>
      </c>
      <c r="AG158" s="19">
        <v>-1000</v>
      </c>
      <c r="AH158" s="19" t="s">
        <v>565</v>
      </c>
      <c r="AI158" s="19">
        <v>400</v>
      </c>
      <c r="AJ158" s="19" t="s">
        <v>273</v>
      </c>
      <c r="AK158" s="19">
        <v>100</v>
      </c>
      <c r="AM158" s="20"/>
      <c r="AN158" s="20"/>
      <c r="AO158" s="20"/>
      <c r="AP158" s="20"/>
      <c r="AQ158" s="20"/>
      <c r="AR158" s="20"/>
      <c r="BC158" s="16"/>
      <c r="BD158" s="16"/>
      <c r="BE158" s="16"/>
    </row>
    <row r="159" spans="1:57" ht="19.95" customHeight="1" x14ac:dyDescent="0.4">
      <c r="A159" s="15" t="s">
        <v>521</v>
      </c>
      <c r="B159" s="15" t="s">
        <v>518</v>
      </c>
      <c r="D159" s="16"/>
      <c r="E159" s="16"/>
      <c r="G159" s="17" t="s">
        <v>347</v>
      </c>
      <c r="H159" s="17" t="s">
        <v>347</v>
      </c>
      <c r="M159" s="17"/>
      <c r="N159" s="17"/>
      <c r="O159" s="17"/>
      <c r="Q159" s="19" t="s">
        <v>115</v>
      </c>
      <c r="R159" s="19">
        <v>8</v>
      </c>
      <c r="S159" s="19" t="s">
        <v>22</v>
      </c>
      <c r="T159" s="19">
        <v>6</v>
      </c>
      <c r="U159" s="19"/>
      <c r="V159" s="19"/>
      <c r="W159" s="19"/>
      <c r="X159" s="19"/>
      <c r="Y159" s="19"/>
      <c r="Z159" s="19"/>
      <c r="AA159" s="20"/>
      <c r="AB159" s="20"/>
      <c r="AC159" s="20"/>
      <c r="AD159" s="20"/>
      <c r="AF159" s="19" t="s">
        <v>280</v>
      </c>
      <c r="AG159" s="19">
        <v>-2000</v>
      </c>
      <c r="AH159" s="19" t="s">
        <v>565</v>
      </c>
      <c r="AI159" s="19">
        <v>600</v>
      </c>
      <c r="AJ159" s="19" t="s">
        <v>273</v>
      </c>
      <c r="AK159" s="19">
        <v>300</v>
      </c>
      <c r="AM159" s="20"/>
      <c r="AN159" s="20"/>
      <c r="AO159" s="20"/>
      <c r="AP159" s="20"/>
      <c r="AQ159" s="20"/>
      <c r="AR159" s="20"/>
      <c r="BC159" s="16"/>
      <c r="BD159" s="16"/>
      <c r="BE159" s="16"/>
    </row>
    <row r="160" spans="1:57" ht="19.95" customHeight="1" x14ac:dyDescent="0.4">
      <c r="A160" s="15" t="s">
        <v>382</v>
      </c>
      <c r="B160" s="15" t="s">
        <v>522</v>
      </c>
      <c r="D160" s="16"/>
      <c r="E160" s="16"/>
      <c r="G160" s="17" t="s">
        <v>347</v>
      </c>
      <c r="H160" s="17" t="s">
        <v>347</v>
      </c>
      <c r="M160" s="17"/>
      <c r="N160" s="17"/>
      <c r="O160" s="17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20"/>
      <c r="AB160" s="20"/>
      <c r="AC160" s="20"/>
      <c r="AD160" s="20"/>
      <c r="AF160" s="19"/>
      <c r="AG160" s="19"/>
      <c r="AH160" s="19"/>
      <c r="AI160" s="19"/>
      <c r="AJ160" s="19"/>
      <c r="AK160" s="19"/>
      <c r="AM160" s="20"/>
      <c r="AN160" s="20"/>
      <c r="AO160" s="20"/>
      <c r="AP160" s="20"/>
      <c r="AQ160" s="20"/>
      <c r="AR160" s="20"/>
      <c r="BC160" s="16"/>
      <c r="BD160" s="16"/>
      <c r="BE160" s="16"/>
    </row>
    <row r="161" spans="1:57" ht="19.95" customHeight="1" x14ac:dyDescent="0.4">
      <c r="A161" s="15" t="s">
        <v>523</v>
      </c>
      <c r="B161" s="15" t="s">
        <v>522</v>
      </c>
      <c r="D161" s="16"/>
      <c r="E161" s="16"/>
      <c r="G161" s="17" t="s">
        <v>347</v>
      </c>
      <c r="H161" s="17" t="s">
        <v>347</v>
      </c>
      <c r="M161" s="17"/>
      <c r="N161" s="17"/>
      <c r="O161" s="17"/>
      <c r="Q161" s="19" t="s">
        <v>117</v>
      </c>
      <c r="R161" s="19">
        <v>2</v>
      </c>
      <c r="S161" s="19" t="s">
        <v>88</v>
      </c>
      <c r="T161" s="19">
        <v>1</v>
      </c>
      <c r="U161" s="19" t="s">
        <v>115</v>
      </c>
      <c r="V161" s="19">
        <v>6</v>
      </c>
      <c r="W161" s="19"/>
      <c r="X161" s="19"/>
      <c r="Y161" s="19"/>
      <c r="Z161" s="19"/>
      <c r="AA161" s="20"/>
      <c r="AB161" s="20"/>
      <c r="AC161" s="20"/>
      <c r="AD161" s="20"/>
      <c r="AF161" s="19" t="s">
        <v>280</v>
      </c>
      <c r="AG161" s="19">
        <v>-1500</v>
      </c>
      <c r="AH161" s="19" t="s">
        <v>274</v>
      </c>
      <c r="AI161" s="19">
        <v>200</v>
      </c>
      <c r="AJ161" s="19"/>
      <c r="AK161" s="19"/>
      <c r="AM161" s="20"/>
      <c r="AN161" s="20"/>
      <c r="AO161" s="20"/>
      <c r="AP161" s="20"/>
      <c r="AQ161" s="20"/>
      <c r="AR161" s="20"/>
      <c r="BC161" s="16"/>
      <c r="BD161" s="16"/>
      <c r="BE161" s="16"/>
    </row>
    <row r="162" spans="1:57" ht="19.95" customHeight="1" x14ac:dyDescent="0.4">
      <c r="A162" s="15" t="s">
        <v>524</v>
      </c>
      <c r="B162" s="15" t="s">
        <v>522</v>
      </c>
      <c r="D162" s="16"/>
      <c r="E162" s="16"/>
      <c r="G162" s="17" t="s">
        <v>347</v>
      </c>
      <c r="H162" s="17" t="s">
        <v>347</v>
      </c>
      <c r="M162" s="17"/>
      <c r="N162" s="17"/>
      <c r="O162" s="17"/>
      <c r="Q162" s="19" t="s">
        <v>117</v>
      </c>
      <c r="R162" s="19">
        <v>4</v>
      </c>
      <c r="S162" s="19" t="s">
        <v>88</v>
      </c>
      <c r="T162" s="19">
        <v>2</v>
      </c>
      <c r="U162" s="19" t="s">
        <v>115</v>
      </c>
      <c r="V162" s="19">
        <v>12</v>
      </c>
      <c r="W162" s="19"/>
      <c r="X162" s="19"/>
      <c r="Y162" s="19"/>
      <c r="Z162" s="19"/>
      <c r="AA162" s="20"/>
      <c r="AB162" s="20"/>
      <c r="AC162" s="20"/>
      <c r="AD162" s="20"/>
      <c r="AF162" s="19" t="s">
        <v>280</v>
      </c>
      <c r="AG162" s="19">
        <v>-2900</v>
      </c>
      <c r="AH162" s="19" t="s">
        <v>274</v>
      </c>
      <c r="AI162" s="19">
        <v>300</v>
      </c>
      <c r="AJ162" s="19"/>
      <c r="AK162" s="19"/>
      <c r="AM162" s="20"/>
      <c r="AN162" s="20"/>
      <c r="AO162" s="20"/>
      <c r="AP162" s="20"/>
      <c r="AQ162" s="20"/>
      <c r="AR162" s="20"/>
      <c r="BC162" s="16"/>
      <c r="BD162" s="16"/>
      <c r="BE162" s="16"/>
    </row>
    <row r="163" spans="1:57" ht="19.95" customHeight="1" x14ac:dyDescent="0.4">
      <c r="A163" s="15" t="s">
        <v>386</v>
      </c>
      <c r="B163" s="15" t="s">
        <v>525</v>
      </c>
      <c r="D163" s="16"/>
      <c r="E163" s="16"/>
      <c r="G163" s="17" t="s">
        <v>347</v>
      </c>
      <c r="H163" s="17" t="s">
        <v>347</v>
      </c>
      <c r="M163" s="17"/>
      <c r="N163" s="17"/>
      <c r="O163" s="17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20"/>
      <c r="AB163" s="20"/>
      <c r="AC163" s="20"/>
      <c r="AD163" s="20"/>
      <c r="AF163" s="19"/>
      <c r="AG163" s="19"/>
      <c r="AH163" s="19"/>
      <c r="AI163" s="19"/>
      <c r="AJ163" s="19"/>
      <c r="AK163" s="19"/>
      <c r="AM163" s="20"/>
      <c r="AN163" s="20"/>
      <c r="AO163" s="20"/>
      <c r="AP163" s="20"/>
      <c r="AQ163" s="20"/>
      <c r="AR163" s="20"/>
      <c r="BC163" s="16"/>
      <c r="BD163" s="16"/>
      <c r="BE163" s="16"/>
    </row>
    <row r="164" spans="1:57" ht="19.95" customHeight="1" x14ac:dyDescent="0.4">
      <c r="A164" s="15" t="s">
        <v>526</v>
      </c>
      <c r="B164" s="15" t="s">
        <v>525</v>
      </c>
      <c r="D164" s="16"/>
      <c r="E164" s="16"/>
      <c r="G164" s="17" t="s">
        <v>521</v>
      </c>
      <c r="H164" s="17" t="s">
        <v>524</v>
      </c>
      <c r="M164" s="17"/>
      <c r="N164" s="17"/>
      <c r="O164" s="17"/>
      <c r="Q164" s="19" t="s">
        <v>22</v>
      </c>
      <c r="R164" s="19">
        <v>4</v>
      </c>
      <c r="S164" s="19" t="s">
        <v>115</v>
      </c>
      <c r="T164" s="19">
        <v>4</v>
      </c>
      <c r="U164" s="19" t="s">
        <v>117</v>
      </c>
      <c r="V164" s="19">
        <v>1</v>
      </c>
      <c r="W164" s="19" t="s">
        <v>88</v>
      </c>
      <c r="X164" s="19">
        <v>1</v>
      </c>
      <c r="Y164" s="19" t="s">
        <v>82</v>
      </c>
      <c r="Z164" s="19">
        <v>1</v>
      </c>
      <c r="AA164" s="20"/>
      <c r="AB164" s="20"/>
      <c r="AC164" s="20"/>
      <c r="AD164" s="20"/>
      <c r="AF164" s="19" t="s">
        <v>565</v>
      </c>
      <c r="AG164" s="19">
        <v>-600</v>
      </c>
      <c r="AH164" s="19" t="s">
        <v>273</v>
      </c>
      <c r="AI164" s="19">
        <v>-150</v>
      </c>
      <c r="AJ164" s="19" t="s">
        <v>274</v>
      </c>
      <c r="AK164" s="19">
        <v>-150</v>
      </c>
      <c r="AM164" s="20"/>
      <c r="AN164" s="20"/>
      <c r="AO164" s="20"/>
      <c r="AP164" s="20"/>
      <c r="AQ164" s="20"/>
      <c r="AR164" s="20"/>
      <c r="BC164" s="16"/>
      <c r="BD164" s="16"/>
      <c r="BE164" s="16"/>
    </row>
  </sheetData>
  <phoneticPr fontId="15" type="noConversion"/>
  <conditionalFormatting sqref="A12:A19">
    <cfRule type="duplicateValues" dxfId="31" priority="2"/>
  </conditionalFormatting>
  <conditionalFormatting sqref="A20:A27">
    <cfRule type="duplicateValues" dxfId="30" priority="1"/>
  </conditionalFormatting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318"/>
  <sheetViews>
    <sheetView showGridLines="0" topLeftCell="A86" zoomScale="85" zoomScaleNormal="85" workbookViewId="0">
      <selection sqref="A1:E318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51.1171875" customWidth="1"/>
  </cols>
  <sheetData>
    <row r="1" spans="1:5" ht="19.95" customHeight="1" x14ac:dyDescent="0.4">
      <c r="B1" s="3" t="s">
        <v>43</v>
      </c>
      <c r="C1" s="4" t="s">
        <v>43</v>
      </c>
      <c r="D1" s="5" t="s">
        <v>43</v>
      </c>
    </row>
    <row r="2" spans="1:5" s="1" customFormat="1" ht="37.1" customHeight="1" x14ac:dyDescent="0.4">
      <c r="A2" s="67" t="s">
        <v>44</v>
      </c>
      <c r="B2" s="67" t="s">
        <v>19</v>
      </c>
      <c r="C2" s="67" t="s">
        <v>597</v>
      </c>
      <c r="D2" s="67"/>
      <c r="E2" s="67" t="s">
        <v>598</v>
      </c>
    </row>
    <row r="3" spans="1:5" s="1" customFormat="1" ht="37.1" customHeight="1" x14ac:dyDescent="0.4">
      <c r="A3" s="67" t="s">
        <v>599</v>
      </c>
      <c r="B3" s="67" t="s">
        <v>600</v>
      </c>
      <c r="C3" s="67"/>
      <c r="D3" s="67"/>
      <c r="E3" s="67" t="s">
        <v>601</v>
      </c>
    </row>
    <row r="4" spans="1:5" ht="19.95" customHeight="1" x14ac:dyDescent="0.4">
      <c r="A4" s="3" t="s">
        <v>364</v>
      </c>
      <c r="B4" s="4" t="s">
        <v>602</v>
      </c>
      <c r="C4" s="3" t="s">
        <v>320</v>
      </c>
      <c r="D4" s="3"/>
    </row>
    <row r="5" spans="1:5" ht="19.95" customHeight="1" x14ac:dyDescent="0.4">
      <c r="A5" s="3" t="s">
        <v>365</v>
      </c>
      <c r="B5" s="4" t="s">
        <v>603</v>
      </c>
      <c r="C5" s="3" t="s">
        <v>320</v>
      </c>
      <c r="D5" s="3"/>
    </row>
    <row r="6" spans="1:5" ht="19.95" customHeight="1" x14ac:dyDescent="0.4">
      <c r="A6" s="3" t="s">
        <v>366</v>
      </c>
      <c r="B6" s="4" t="s">
        <v>604</v>
      </c>
      <c r="C6" s="3" t="s">
        <v>320</v>
      </c>
      <c r="D6" s="3"/>
    </row>
    <row r="7" spans="1:5" ht="19.95" customHeight="1" x14ac:dyDescent="0.4">
      <c r="A7" s="3" t="s">
        <v>367</v>
      </c>
      <c r="B7" s="4" t="s">
        <v>605</v>
      </c>
      <c r="C7" s="3" t="s">
        <v>320</v>
      </c>
      <c r="D7" s="3"/>
    </row>
    <row r="8" spans="1:5" ht="19.95" customHeight="1" x14ac:dyDescent="0.4">
      <c r="A8" s="3" t="s">
        <v>368</v>
      </c>
      <c r="B8" s="4" t="s">
        <v>606</v>
      </c>
      <c r="C8" s="3" t="s">
        <v>320</v>
      </c>
      <c r="D8" s="3"/>
    </row>
    <row r="9" spans="1:5" ht="19.95" customHeight="1" x14ac:dyDescent="0.4">
      <c r="A9" s="3" t="s">
        <v>369</v>
      </c>
      <c r="B9" s="4" t="s">
        <v>607</v>
      </c>
      <c r="C9" s="3" t="s">
        <v>320</v>
      </c>
      <c r="D9" s="3"/>
    </row>
    <row r="10" spans="1:5" ht="19.95" customHeight="1" x14ac:dyDescent="0.4">
      <c r="A10" s="3" t="s">
        <v>370</v>
      </c>
      <c r="B10" s="4" t="s">
        <v>608</v>
      </c>
      <c r="C10" s="3" t="s">
        <v>320</v>
      </c>
      <c r="D10" s="3"/>
    </row>
    <row r="11" spans="1:5" ht="19.95" customHeight="1" x14ac:dyDescent="0.4">
      <c r="A11" s="3" t="s">
        <v>371</v>
      </c>
      <c r="B11" s="4" t="s">
        <v>609</v>
      </c>
      <c r="C11" s="3" t="s">
        <v>320</v>
      </c>
      <c r="D11" s="3"/>
    </row>
    <row r="12" spans="1:5" ht="19.95" customHeight="1" x14ac:dyDescent="0.4">
      <c r="A12" s="3" t="s">
        <v>358</v>
      </c>
      <c r="B12" s="4" t="s">
        <v>610</v>
      </c>
      <c r="C12" s="3" t="s">
        <v>320</v>
      </c>
      <c r="D12" s="3"/>
    </row>
    <row r="13" spans="1:5" ht="19.95" customHeight="1" x14ac:dyDescent="0.4">
      <c r="A13" s="8" t="s">
        <v>359</v>
      </c>
      <c r="B13" s="9" t="s">
        <v>611</v>
      </c>
      <c r="C13" s="8" t="s">
        <v>320</v>
      </c>
      <c r="D13" s="8"/>
    </row>
    <row r="14" spans="1:5" ht="19.95" customHeight="1" x14ac:dyDescent="0.4">
      <c r="A14" s="3" t="s">
        <v>360</v>
      </c>
      <c r="B14" s="4" t="s">
        <v>612</v>
      </c>
      <c r="C14" s="3" t="s">
        <v>320</v>
      </c>
      <c r="D14" s="3"/>
    </row>
    <row r="15" spans="1:5" ht="19.95" customHeight="1" x14ac:dyDescent="0.4">
      <c r="A15" s="3" t="s">
        <v>361</v>
      </c>
      <c r="B15" s="4" t="s">
        <v>613</v>
      </c>
      <c r="C15" s="3" t="s">
        <v>320</v>
      </c>
      <c r="D15" s="3"/>
    </row>
    <row r="16" spans="1:5" ht="19.95" customHeight="1" x14ac:dyDescent="0.4">
      <c r="A16" s="3" t="s">
        <v>362</v>
      </c>
      <c r="B16" s="4" t="s">
        <v>614</v>
      </c>
      <c r="C16" s="3" t="s">
        <v>320</v>
      </c>
      <c r="D16" s="3"/>
    </row>
    <row r="17" spans="1:4" ht="19.95" customHeight="1" x14ac:dyDescent="0.4">
      <c r="A17" s="3" t="s">
        <v>373</v>
      </c>
      <c r="B17" s="4" t="s">
        <v>615</v>
      </c>
      <c r="C17" s="3" t="s">
        <v>320</v>
      </c>
      <c r="D17" s="3"/>
    </row>
    <row r="18" spans="1:4" ht="19.95" customHeight="1" x14ac:dyDescent="0.4">
      <c r="A18" s="3" t="s">
        <v>374</v>
      </c>
      <c r="B18" s="4" t="s">
        <v>616</v>
      </c>
      <c r="C18" s="3" t="s">
        <v>320</v>
      </c>
      <c r="D18" s="3"/>
    </row>
    <row r="19" spans="1:4" ht="19.95" customHeight="1" x14ac:dyDescent="0.4">
      <c r="A19" s="3" t="s">
        <v>375</v>
      </c>
      <c r="B19" s="4" t="s">
        <v>617</v>
      </c>
      <c r="C19" s="3" t="s">
        <v>320</v>
      </c>
      <c r="D19" s="3"/>
    </row>
    <row r="20" spans="1:4" ht="19.95" customHeight="1" x14ac:dyDescent="0.4">
      <c r="A20" s="3" t="s">
        <v>376</v>
      </c>
      <c r="B20" s="4" t="s">
        <v>618</v>
      </c>
      <c r="C20" s="3" t="s">
        <v>320</v>
      </c>
      <c r="D20" s="3"/>
    </row>
    <row r="21" spans="1:4" ht="19.95" customHeight="1" x14ac:dyDescent="0.4">
      <c r="A21" s="3" t="s">
        <v>378</v>
      </c>
      <c r="B21" s="4" t="s">
        <v>619</v>
      </c>
      <c r="C21" s="3" t="s">
        <v>320</v>
      </c>
      <c r="D21" s="3"/>
    </row>
    <row r="22" spans="1:4" ht="19.95" customHeight="1" x14ac:dyDescent="0.4">
      <c r="A22" s="3" t="s">
        <v>379</v>
      </c>
      <c r="B22" s="4" t="s">
        <v>620</v>
      </c>
      <c r="C22" s="3" t="s">
        <v>320</v>
      </c>
      <c r="D22" s="3"/>
    </row>
    <row r="23" spans="1:4" ht="19.95" customHeight="1" x14ac:dyDescent="0.4">
      <c r="A23" s="3" t="s">
        <v>380</v>
      </c>
      <c r="B23" s="4" t="s">
        <v>621</v>
      </c>
      <c r="C23" s="3" t="s">
        <v>320</v>
      </c>
      <c r="D23" s="3"/>
    </row>
    <row r="24" spans="1:4" ht="19.95" customHeight="1" x14ac:dyDescent="0.4">
      <c r="A24" s="3" t="s">
        <v>572</v>
      </c>
      <c r="B24" s="4" t="s">
        <v>622</v>
      </c>
      <c r="C24" s="3" t="s">
        <v>320</v>
      </c>
      <c r="D24" s="3"/>
    </row>
    <row r="25" spans="1:4" ht="19.95" customHeight="1" x14ac:dyDescent="0.4">
      <c r="A25" s="3" t="s">
        <v>383</v>
      </c>
      <c r="B25" s="4" t="s">
        <v>623</v>
      </c>
      <c r="C25" s="3" t="s">
        <v>320</v>
      </c>
      <c r="D25" s="3"/>
    </row>
    <row r="26" spans="1:4" ht="19.95" customHeight="1" x14ac:dyDescent="0.4">
      <c r="A26" s="3" t="s">
        <v>355</v>
      </c>
      <c r="B26" s="4" t="s">
        <v>624</v>
      </c>
      <c r="C26" s="3" t="s">
        <v>320</v>
      </c>
      <c r="D26" s="3"/>
    </row>
    <row r="27" spans="1:4" ht="19.95" customHeight="1" x14ac:dyDescent="0.4">
      <c r="A27" s="3" t="s">
        <v>384</v>
      </c>
      <c r="B27" s="4" t="s">
        <v>625</v>
      </c>
      <c r="C27" s="3" t="s">
        <v>320</v>
      </c>
      <c r="D27" s="3"/>
    </row>
    <row r="28" spans="1:4" ht="19.95" customHeight="1" x14ac:dyDescent="0.4">
      <c r="A28" s="3" t="s">
        <v>575</v>
      </c>
      <c r="B28" s="4" t="s">
        <v>626</v>
      </c>
      <c r="C28" s="3" t="s">
        <v>320</v>
      </c>
      <c r="D28" s="3"/>
    </row>
    <row r="29" spans="1:4" ht="19.95" customHeight="1" x14ac:dyDescent="0.4">
      <c r="A29" s="3" t="s">
        <v>387</v>
      </c>
      <c r="B29" s="4" t="s">
        <v>627</v>
      </c>
      <c r="C29" s="3" t="s">
        <v>320</v>
      </c>
      <c r="D29" s="3"/>
    </row>
    <row r="30" spans="1:4" ht="19.95" customHeight="1" x14ac:dyDescent="0.4">
      <c r="A30" s="3" t="s">
        <v>389</v>
      </c>
      <c r="B30" s="4" t="s">
        <v>628</v>
      </c>
      <c r="C30" s="3" t="s">
        <v>320</v>
      </c>
      <c r="D30" s="3"/>
    </row>
    <row r="31" spans="1:4" ht="19.95" customHeight="1" x14ac:dyDescent="0.4">
      <c r="A31" s="3" t="s">
        <v>390</v>
      </c>
      <c r="B31" s="4" t="s">
        <v>629</v>
      </c>
      <c r="C31" s="3" t="s">
        <v>320</v>
      </c>
      <c r="D31" s="3"/>
    </row>
    <row r="32" spans="1:4" ht="19.95" customHeight="1" x14ac:dyDescent="0.4">
      <c r="A32" s="3" t="s">
        <v>391</v>
      </c>
      <c r="B32" s="4" t="s">
        <v>630</v>
      </c>
      <c r="C32" s="3" t="s">
        <v>320</v>
      </c>
      <c r="D32" s="3"/>
    </row>
    <row r="33" spans="1:4" ht="19.95" customHeight="1" x14ac:dyDescent="0.4">
      <c r="A33" s="3" t="s">
        <v>578</v>
      </c>
      <c r="B33" s="4" t="s">
        <v>631</v>
      </c>
      <c r="C33" s="3" t="s">
        <v>320</v>
      </c>
      <c r="D33" s="3"/>
    </row>
    <row r="34" spans="1:4" ht="19.95" customHeight="1" x14ac:dyDescent="0.4">
      <c r="A34" s="3" t="s">
        <v>394</v>
      </c>
      <c r="B34" s="4" t="s">
        <v>632</v>
      </c>
      <c r="C34" s="3" t="s">
        <v>320</v>
      </c>
      <c r="D34" s="3"/>
    </row>
    <row r="35" spans="1:4" ht="19.95" customHeight="1" x14ac:dyDescent="0.4">
      <c r="A35" s="3" t="s">
        <v>395</v>
      </c>
      <c r="B35" s="4" t="s">
        <v>633</v>
      </c>
      <c r="C35" s="3" t="s">
        <v>320</v>
      </c>
      <c r="D35" s="3"/>
    </row>
    <row r="36" spans="1:4" ht="19.95" customHeight="1" x14ac:dyDescent="0.4">
      <c r="A36" s="3" t="s">
        <v>396</v>
      </c>
      <c r="B36" s="4" t="s">
        <v>634</v>
      </c>
      <c r="C36" s="3" t="s">
        <v>320</v>
      </c>
      <c r="D36" s="3"/>
    </row>
    <row r="37" spans="1:4" ht="19.95" customHeight="1" x14ac:dyDescent="0.4">
      <c r="A37" s="3" t="s">
        <v>397</v>
      </c>
      <c r="B37" s="4" t="s">
        <v>635</v>
      </c>
      <c r="C37" s="3" t="s">
        <v>320</v>
      </c>
      <c r="D37" s="3"/>
    </row>
    <row r="38" spans="1:4" ht="19.95" customHeight="1" x14ac:dyDescent="0.4">
      <c r="A38" s="3" t="s">
        <v>354</v>
      </c>
      <c r="B38" s="4" t="s">
        <v>636</v>
      </c>
      <c r="C38" s="3" t="s">
        <v>320</v>
      </c>
      <c r="D38" s="3"/>
    </row>
    <row r="39" spans="1:4" ht="19.95" customHeight="1" x14ac:dyDescent="0.4">
      <c r="A39" s="3" t="s">
        <v>399</v>
      </c>
      <c r="B39" s="4" t="s">
        <v>637</v>
      </c>
      <c r="C39" s="3" t="s">
        <v>320</v>
      </c>
      <c r="D39" s="3"/>
    </row>
    <row r="40" spans="1:4" ht="19.95" customHeight="1" x14ac:dyDescent="0.4">
      <c r="A40" s="3" t="s">
        <v>356</v>
      </c>
      <c r="B40" s="4" t="s">
        <v>638</v>
      </c>
      <c r="C40" s="3" t="s">
        <v>320</v>
      </c>
      <c r="D40" s="3"/>
    </row>
    <row r="41" spans="1:4" ht="19.95" customHeight="1" x14ac:dyDescent="0.4">
      <c r="A41" s="3" t="s">
        <v>580</v>
      </c>
      <c r="B41" s="4" t="s">
        <v>639</v>
      </c>
      <c r="C41" s="3" t="s">
        <v>320</v>
      </c>
      <c r="D41" s="3"/>
    </row>
    <row r="42" spans="1:4" ht="19.95" customHeight="1" x14ac:dyDescent="0.4">
      <c r="A42" s="3" t="s">
        <v>402</v>
      </c>
      <c r="B42" s="4" t="s">
        <v>640</v>
      </c>
      <c r="C42" s="3" t="s">
        <v>320</v>
      </c>
      <c r="D42" s="3"/>
    </row>
    <row r="43" spans="1:4" ht="19.95" customHeight="1" x14ac:dyDescent="0.4">
      <c r="A43" s="3" t="s">
        <v>403</v>
      </c>
      <c r="B43" s="4" t="s">
        <v>641</v>
      </c>
      <c r="C43" s="3" t="s">
        <v>320</v>
      </c>
      <c r="D43" s="3"/>
    </row>
    <row r="44" spans="1:4" ht="19.95" customHeight="1" x14ac:dyDescent="0.4">
      <c r="A44" s="3" t="s">
        <v>404</v>
      </c>
      <c r="B44" s="4" t="s">
        <v>642</v>
      </c>
      <c r="C44" s="3" t="s">
        <v>320</v>
      </c>
      <c r="D44" s="3"/>
    </row>
    <row r="45" spans="1:4" ht="19.95" customHeight="1" x14ac:dyDescent="0.4">
      <c r="A45" s="3" t="s">
        <v>405</v>
      </c>
      <c r="B45" s="4" t="s">
        <v>643</v>
      </c>
      <c r="C45" s="3" t="s">
        <v>320</v>
      </c>
      <c r="D45" s="3"/>
    </row>
    <row r="46" spans="1:4" ht="19.95" customHeight="1" x14ac:dyDescent="0.4">
      <c r="A46" s="3" t="s">
        <v>407</v>
      </c>
      <c r="B46" s="4" t="s">
        <v>644</v>
      </c>
      <c r="C46" s="3" t="s">
        <v>320</v>
      </c>
      <c r="D46" s="3"/>
    </row>
    <row r="47" spans="1:4" ht="19.95" customHeight="1" x14ac:dyDescent="0.4">
      <c r="A47" s="3" t="s">
        <v>408</v>
      </c>
      <c r="B47" s="4" t="s">
        <v>645</v>
      </c>
      <c r="C47" s="3" t="s">
        <v>320</v>
      </c>
      <c r="D47" s="3"/>
    </row>
    <row r="48" spans="1:4" ht="19.95" customHeight="1" x14ac:dyDescent="0.4">
      <c r="A48" s="3" t="s">
        <v>409</v>
      </c>
      <c r="B48" s="4" t="s">
        <v>646</v>
      </c>
      <c r="C48" s="3" t="s">
        <v>320</v>
      </c>
      <c r="D48" s="3"/>
    </row>
    <row r="49" spans="1:4" ht="19.95" customHeight="1" x14ac:dyDescent="0.4">
      <c r="A49" s="3" t="s">
        <v>581</v>
      </c>
      <c r="B49" s="4" t="s">
        <v>647</v>
      </c>
      <c r="C49" s="3" t="s">
        <v>320</v>
      </c>
      <c r="D49" s="3"/>
    </row>
    <row r="50" spans="1:4" ht="19.95" customHeight="1" x14ac:dyDescent="0.4">
      <c r="A50" s="3" t="s">
        <v>411</v>
      </c>
      <c r="B50" s="4" t="s">
        <v>648</v>
      </c>
      <c r="C50" s="3" t="s">
        <v>320</v>
      </c>
      <c r="D50" s="3"/>
    </row>
    <row r="51" spans="1:4" ht="19.95" customHeight="1" x14ac:dyDescent="0.4">
      <c r="A51" s="3" t="s">
        <v>412</v>
      </c>
      <c r="B51" s="4" t="s">
        <v>649</v>
      </c>
      <c r="C51" s="3" t="s">
        <v>320</v>
      </c>
      <c r="D51" s="3"/>
    </row>
    <row r="52" spans="1:4" ht="19.95" customHeight="1" x14ac:dyDescent="0.4">
      <c r="A52" s="3" t="s">
        <v>413</v>
      </c>
      <c r="B52" s="4" t="s">
        <v>650</v>
      </c>
      <c r="C52" s="3" t="s">
        <v>320</v>
      </c>
      <c r="D52" s="3"/>
    </row>
    <row r="53" spans="1:4" ht="19.95" customHeight="1" x14ac:dyDescent="0.4">
      <c r="A53" s="3" t="s">
        <v>414</v>
      </c>
      <c r="B53" s="4" t="s">
        <v>651</v>
      </c>
      <c r="C53" s="3" t="s">
        <v>320</v>
      </c>
      <c r="D53" s="3"/>
    </row>
    <row r="54" spans="1:4" ht="19.95" customHeight="1" x14ac:dyDescent="0.4">
      <c r="A54" s="3" t="s">
        <v>416</v>
      </c>
      <c r="B54" s="4" t="s">
        <v>652</v>
      </c>
      <c r="C54" s="3" t="s">
        <v>320</v>
      </c>
      <c r="D54" s="3"/>
    </row>
    <row r="55" spans="1:4" ht="19.95" customHeight="1" x14ac:dyDescent="0.4">
      <c r="A55" s="3" t="s">
        <v>417</v>
      </c>
      <c r="B55" s="4" t="s">
        <v>653</v>
      </c>
      <c r="C55" s="3" t="s">
        <v>320</v>
      </c>
      <c r="D55" s="3"/>
    </row>
    <row r="56" spans="1:4" ht="19.95" customHeight="1" x14ac:dyDescent="0.4">
      <c r="A56" s="3" t="s">
        <v>418</v>
      </c>
      <c r="B56" s="4" t="s">
        <v>654</v>
      </c>
      <c r="C56" s="3" t="s">
        <v>320</v>
      </c>
      <c r="D56" s="3"/>
    </row>
    <row r="57" spans="1:4" ht="19.95" customHeight="1" x14ac:dyDescent="0.4">
      <c r="A57" s="3" t="s">
        <v>420</v>
      </c>
      <c r="B57" s="4" t="s">
        <v>655</v>
      </c>
      <c r="C57" s="3" t="s">
        <v>320</v>
      </c>
      <c r="D57" s="3"/>
    </row>
    <row r="58" spans="1:4" ht="19.95" customHeight="1" x14ac:dyDescent="0.4">
      <c r="A58" s="3" t="s">
        <v>421</v>
      </c>
      <c r="B58" s="4" t="s">
        <v>656</v>
      </c>
      <c r="C58" s="3" t="s">
        <v>320</v>
      </c>
      <c r="D58" s="3"/>
    </row>
    <row r="59" spans="1:4" ht="19.95" customHeight="1" x14ac:dyDescent="0.4">
      <c r="A59" s="3" t="s">
        <v>422</v>
      </c>
      <c r="B59" s="4" t="s">
        <v>657</v>
      </c>
      <c r="C59" s="3" t="s">
        <v>320</v>
      </c>
      <c r="D59" s="3"/>
    </row>
    <row r="60" spans="1:4" ht="19.95" customHeight="1" x14ac:dyDescent="0.4">
      <c r="A60" s="3" t="s">
        <v>586</v>
      </c>
      <c r="B60" s="4" t="s">
        <v>658</v>
      </c>
      <c r="C60" s="3" t="s">
        <v>320</v>
      </c>
      <c r="D60" s="3"/>
    </row>
    <row r="61" spans="1:4" ht="19.95" customHeight="1" x14ac:dyDescent="0.4">
      <c r="A61" s="3" t="s">
        <v>424</v>
      </c>
      <c r="B61" s="4" t="s">
        <v>659</v>
      </c>
      <c r="C61" s="3" t="s">
        <v>320</v>
      </c>
      <c r="D61" s="3"/>
    </row>
    <row r="62" spans="1:4" ht="19.95" customHeight="1" x14ac:dyDescent="0.4">
      <c r="A62" s="3" t="s">
        <v>425</v>
      </c>
      <c r="B62" s="4" t="s">
        <v>660</v>
      </c>
      <c r="C62" s="3" t="s">
        <v>320</v>
      </c>
      <c r="D62" s="3"/>
    </row>
    <row r="63" spans="1:4" ht="19.95" customHeight="1" x14ac:dyDescent="0.4">
      <c r="A63" s="3" t="s">
        <v>426</v>
      </c>
      <c r="B63" s="4" t="s">
        <v>661</v>
      </c>
      <c r="C63" s="3" t="s">
        <v>320</v>
      </c>
      <c r="D63" s="3"/>
    </row>
    <row r="64" spans="1:4" ht="19.95" customHeight="1" x14ac:dyDescent="0.4">
      <c r="A64" s="3" t="s">
        <v>427</v>
      </c>
      <c r="B64" s="4" t="s">
        <v>662</v>
      </c>
      <c r="C64" s="3" t="s">
        <v>320</v>
      </c>
      <c r="D64" s="3"/>
    </row>
    <row r="65" spans="1:4" ht="19.95" customHeight="1" x14ac:dyDescent="0.4">
      <c r="A65" s="3" t="s">
        <v>429</v>
      </c>
      <c r="B65" s="4" t="s">
        <v>663</v>
      </c>
      <c r="C65" s="3" t="s">
        <v>320</v>
      </c>
      <c r="D65" s="3"/>
    </row>
    <row r="66" spans="1:4" ht="19.95" customHeight="1" x14ac:dyDescent="0.4">
      <c r="A66" s="3" t="s">
        <v>430</v>
      </c>
      <c r="B66" s="4" t="s">
        <v>664</v>
      </c>
      <c r="C66" s="3" t="s">
        <v>320</v>
      </c>
      <c r="D66" s="3"/>
    </row>
    <row r="67" spans="1:4" ht="19.95" customHeight="1" x14ac:dyDescent="0.4">
      <c r="A67" s="3" t="s">
        <v>431</v>
      </c>
      <c r="B67" s="4" t="s">
        <v>665</v>
      </c>
      <c r="C67" s="3" t="s">
        <v>320</v>
      </c>
      <c r="D67" s="3"/>
    </row>
    <row r="68" spans="1:4" ht="19.95" customHeight="1" x14ac:dyDescent="0.4">
      <c r="A68" s="3" t="s">
        <v>433</v>
      </c>
      <c r="B68" s="4" t="s">
        <v>666</v>
      </c>
      <c r="C68" s="3" t="s">
        <v>320</v>
      </c>
      <c r="D68" s="3"/>
    </row>
    <row r="69" spans="1:4" ht="19.95" customHeight="1" x14ac:dyDescent="0.4">
      <c r="A69" s="3" t="s">
        <v>434</v>
      </c>
      <c r="B69" s="4" t="s">
        <v>667</v>
      </c>
      <c r="C69" s="3" t="s">
        <v>320</v>
      </c>
      <c r="D69" s="3"/>
    </row>
    <row r="70" spans="1:4" ht="19.95" customHeight="1" x14ac:dyDescent="0.4">
      <c r="A70" s="3" t="s">
        <v>588</v>
      </c>
      <c r="B70" s="4" t="s">
        <v>668</v>
      </c>
      <c r="C70" s="3" t="s">
        <v>320</v>
      </c>
      <c r="D70" s="3"/>
    </row>
    <row r="71" spans="1:4" ht="19.95" customHeight="1" x14ac:dyDescent="0.4">
      <c r="A71" s="3" t="s">
        <v>436</v>
      </c>
      <c r="B71" s="4" t="s">
        <v>669</v>
      </c>
      <c r="C71" s="3" t="s">
        <v>320</v>
      </c>
      <c r="D71" s="3"/>
    </row>
    <row r="72" spans="1:4" ht="19.95" customHeight="1" x14ac:dyDescent="0.4">
      <c r="A72" s="3" t="s">
        <v>437</v>
      </c>
      <c r="B72" s="4" t="s">
        <v>670</v>
      </c>
      <c r="C72" s="3" t="s">
        <v>320</v>
      </c>
      <c r="D72" s="3"/>
    </row>
    <row r="73" spans="1:4" ht="19.95" customHeight="1" x14ac:dyDescent="0.4">
      <c r="A73" s="3" t="s">
        <v>438</v>
      </c>
      <c r="B73" s="4" t="s">
        <v>671</v>
      </c>
      <c r="C73" s="3" t="s">
        <v>320</v>
      </c>
      <c r="D73" s="3"/>
    </row>
    <row r="74" spans="1:4" ht="19.95" customHeight="1" x14ac:dyDescent="0.4">
      <c r="A74" s="3" t="s">
        <v>439</v>
      </c>
      <c r="B74" s="4" t="s">
        <v>672</v>
      </c>
      <c r="C74" s="3" t="s">
        <v>320</v>
      </c>
      <c r="D74" s="3"/>
    </row>
    <row r="75" spans="1:4" ht="19.95" customHeight="1" x14ac:dyDescent="0.4">
      <c r="A75" s="3" t="s">
        <v>441</v>
      </c>
      <c r="B75" s="4" t="s">
        <v>673</v>
      </c>
      <c r="C75" s="3" t="s">
        <v>320</v>
      </c>
      <c r="D75" s="3"/>
    </row>
    <row r="76" spans="1:4" ht="19.95" customHeight="1" x14ac:dyDescent="0.4">
      <c r="A76" s="3" t="s">
        <v>442</v>
      </c>
      <c r="B76" s="4" t="s">
        <v>674</v>
      </c>
      <c r="C76" s="3" t="s">
        <v>320</v>
      </c>
      <c r="D76" s="3"/>
    </row>
    <row r="77" spans="1:4" ht="19.95" customHeight="1" x14ac:dyDescent="0.4">
      <c r="A77" s="3" t="s">
        <v>443</v>
      </c>
      <c r="B77" s="4" t="s">
        <v>675</v>
      </c>
      <c r="C77" s="3" t="s">
        <v>320</v>
      </c>
      <c r="D77" s="3"/>
    </row>
    <row r="78" spans="1:4" ht="19.95" customHeight="1" x14ac:dyDescent="0.4">
      <c r="A78" s="3" t="s">
        <v>445</v>
      </c>
      <c r="B78" s="4" t="s">
        <v>676</v>
      </c>
      <c r="C78" s="3" t="s">
        <v>320</v>
      </c>
      <c r="D78" s="3"/>
    </row>
    <row r="79" spans="1:4" ht="19.95" customHeight="1" x14ac:dyDescent="0.4">
      <c r="A79" s="3" t="s">
        <v>446</v>
      </c>
      <c r="B79" s="4" t="s">
        <v>677</v>
      </c>
      <c r="C79" s="3" t="s">
        <v>320</v>
      </c>
      <c r="D79" s="3"/>
    </row>
    <row r="80" spans="1:4" ht="19.95" customHeight="1" x14ac:dyDescent="0.4">
      <c r="A80" s="3" t="s">
        <v>589</v>
      </c>
      <c r="B80" s="4" t="s">
        <v>678</v>
      </c>
      <c r="C80" s="3" t="s">
        <v>320</v>
      </c>
      <c r="D80" s="3"/>
    </row>
    <row r="81" spans="1:4" ht="19.95" customHeight="1" x14ac:dyDescent="0.4">
      <c r="A81" s="3" t="s">
        <v>590</v>
      </c>
      <c r="B81" s="4" t="s">
        <v>679</v>
      </c>
      <c r="C81" s="3" t="s">
        <v>320</v>
      </c>
      <c r="D81" s="3"/>
    </row>
    <row r="82" spans="1:4" ht="19.95" customHeight="1" x14ac:dyDescent="0.4">
      <c r="A82" s="3" t="s">
        <v>449</v>
      </c>
      <c r="B82" s="4" t="s">
        <v>680</v>
      </c>
      <c r="C82" s="3" t="s">
        <v>320</v>
      </c>
      <c r="D82" s="3"/>
    </row>
    <row r="83" spans="1:4" ht="19.95" customHeight="1" x14ac:dyDescent="0.4">
      <c r="A83" s="3" t="s">
        <v>450</v>
      </c>
      <c r="B83" s="4" t="s">
        <v>681</v>
      </c>
      <c r="C83" s="3" t="s">
        <v>320</v>
      </c>
      <c r="D83" s="3"/>
    </row>
    <row r="84" spans="1:4" ht="19.95" customHeight="1" x14ac:dyDescent="0.4">
      <c r="A84" s="3" t="s">
        <v>451</v>
      </c>
      <c r="B84" s="4" t="s">
        <v>682</v>
      </c>
      <c r="C84" s="3" t="s">
        <v>320</v>
      </c>
      <c r="D84" s="3"/>
    </row>
    <row r="85" spans="1:4" ht="19.95" customHeight="1" x14ac:dyDescent="0.4">
      <c r="A85" s="3" t="s">
        <v>452</v>
      </c>
      <c r="B85" s="4" t="s">
        <v>683</v>
      </c>
      <c r="C85" s="3" t="s">
        <v>320</v>
      </c>
      <c r="D85" s="3"/>
    </row>
    <row r="86" spans="1:4" ht="19.95" customHeight="1" x14ac:dyDescent="0.4">
      <c r="A86" s="3" t="s">
        <v>591</v>
      </c>
      <c r="B86" s="4" t="s">
        <v>684</v>
      </c>
      <c r="C86" s="3" t="s">
        <v>320</v>
      </c>
      <c r="D86" s="3"/>
    </row>
    <row r="87" spans="1:4" ht="19.95" customHeight="1" x14ac:dyDescent="0.4">
      <c r="A87" s="3" t="s">
        <v>454</v>
      </c>
      <c r="B87" s="4" t="s">
        <v>685</v>
      </c>
      <c r="C87" s="3" t="s">
        <v>320</v>
      </c>
      <c r="D87" s="3"/>
    </row>
    <row r="88" spans="1:4" ht="19.95" customHeight="1" x14ac:dyDescent="0.4">
      <c r="A88" s="3" t="s">
        <v>455</v>
      </c>
      <c r="B88" s="4" t="s">
        <v>686</v>
      </c>
      <c r="C88" s="3" t="s">
        <v>320</v>
      </c>
      <c r="D88" s="3"/>
    </row>
    <row r="89" spans="1:4" ht="19.95" customHeight="1" x14ac:dyDescent="0.4">
      <c r="A89" s="3" t="s">
        <v>592</v>
      </c>
      <c r="B89" s="4" t="s">
        <v>687</v>
      </c>
      <c r="C89" s="3" t="s">
        <v>320</v>
      </c>
      <c r="D89" s="3"/>
    </row>
    <row r="90" spans="1:4" ht="19.95" customHeight="1" x14ac:dyDescent="0.4">
      <c r="A90" s="3" t="s">
        <v>457</v>
      </c>
      <c r="B90" s="4" t="s">
        <v>688</v>
      </c>
      <c r="C90" s="3" t="s">
        <v>320</v>
      </c>
      <c r="D90" s="3"/>
    </row>
    <row r="91" spans="1:4" ht="19.95" customHeight="1" x14ac:dyDescent="0.4">
      <c r="A91" s="3" t="s">
        <v>447</v>
      </c>
      <c r="B91" s="4" t="s">
        <v>689</v>
      </c>
      <c r="C91" s="3" t="s">
        <v>320</v>
      </c>
      <c r="D91" s="3"/>
    </row>
    <row r="92" spans="1:4" ht="19.95" customHeight="1" x14ac:dyDescent="0.4">
      <c r="A92" s="3" t="s">
        <v>401</v>
      </c>
      <c r="B92" s="4" t="s">
        <v>690</v>
      </c>
      <c r="C92" s="3" t="s">
        <v>320</v>
      </c>
      <c r="D92" s="3"/>
    </row>
    <row r="93" spans="1:4" ht="19.95" customHeight="1" x14ac:dyDescent="0.4">
      <c r="A93" s="3" t="s">
        <v>459</v>
      </c>
      <c r="B93" s="4" t="s">
        <v>691</v>
      </c>
      <c r="C93" s="3" t="s">
        <v>320</v>
      </c>
      <c r="D93" s="3"/>
    </row>
    <row r="94" spans="1:4" ht="19.95" customHeight="1" x14ac:dyDescent="0.4">
      <c r="A94" s="3" t="s">
        <v>460</v>
      </c>
      <c r="B94" s="4" t="s">
        <v>692</v>
      </c>
      <c r="C94" s="3" t="s">
        <v>320</v>
      </c>
      <c r="D94" s="3"/>
    </row>
    <row r="95" spans="1:4" ht="19.95" customHeight="1" x14ac:dyDescent="0.4">
      <c r="A95" s="3" t="s">
        <v>461</v>
      </c>
      <c r="B95" s="4" t="s">
        <v>693</v>
      </c>
      <c r="C95" s="3" t="s">
        <v>320</v>
      </c>
      <c r="D95" s="3"/>
    </row>
    <row r="96" spans="1:4" ht="19.95" customHeight="1" x14ac:dyDescent="0.4">
      <c r="A96" s="3" t="s">
        <v>462</v>
      </c>
      <c r="B96" s="4" t="s">
        <v>694</v>
      </c>
      <c r="C96" s="3" t="s">
        <v>320</v>
      </c>
      <c r="D96" s="3"/>
    </row>
    <row r="97" spans="1:4" ht="19.95" customHeight="1" x14ac:dyDescent="0.4">
      <c r="A97" s="3" t="s">
        <v>464</v>
      </c>
      <c r="B97" s="4" t="s">
        <v>695</v>
      </c>
      <c r="C97" s="3" t="s">
        <v>320</v>
      </c>
      <c r="D97" s="3"/>
    </row>
    <row r="98" spans="1:4" ht="19.95" customHeight="1" x14ac:dyDescent="0.4">
      <c r="A98" s="3" t="s">
        <v>465</v>
      </c>
      <c r="B98" s="4" t="s">
        <v>696</v>
      </c>
      <c r="C98" s="3" t="s">
        <v>320</v>
      </c>
      <c r="D98" s="3"/>
    </row>
    <row r="99" spans="1:4" ht="19.95" customHeight="1" x14ac:dyDescent="0.4">
      <c r="A99" s="3" t="s">
        <v>466</v>
      </c>
      <c r="B99" s="4" t="s">
        <v>697</v>
      </c>
      <c r="C99" s="3" t="s">
        <v>320</v>
      </c>
      <c r="D99" s="3"/>
    </row>
    <row r="100" spans="1:4" ht="19.95" customHeight="1" x14ac:dyDescent="0.4">
      <c r="A100" s="3" t="s">
        <v>467</v>
      </c>
      <c r="B100" s="4" t="s">
        <v>698</v>
      </c>
      <c r="C100" s="3" t="s">
        <v>320</v>
      </c>
      <c r="D100" s="3"/>
    </row>
    <row r="101" spans="1:4" ht="19.95" customHeight="1" x14ac:dyDescent="0.4">
      <c r="A101" s="3" t="s">
        <v>469</v>
      </c>
      <c r="B101" s="4" t="s">
        <v>699</v>
      </c>
      <c r="C101" s="3" t="s">
        <v>320</v>
      </c>
      <c r="D101" s="3"/>
    </row>
    <row r="102" spans="1:4" ht="19.95" customHeight="1" x14ac:dyDescent="0.4">
      <c r="A102" s="3" t="s">
        <v>470</v>
      </c>
      <c r="B102" s="4" t="s">
        <v>700</v>
      </c>
      <c r="C102" s="3" t="s">
        <v>320</v>
      </c>
      <c r="D102" s="3"/>
    </row>
    <row r="103" spans="1:4" ht="19.95" customHeight="1" x14ac:dyDescent="0.4">
      <c r="A103" s="3" t="s">
        <v>471</v>
      </c>
      <c r="B103" s="4" t="s">
        <v>701</v>
      </c>
      <c r="C103" s="3" t="s">
        <v>320</v>
      </c>
      <c r="D103" s="3"/>
    </row>
    <row r="104" spans="1:4" ht="19.95" customHeight="1" x14ac:dyDescent="0.4">
      <c r="A104" s="3" t="s">
        <v>472</v>
      </c>
      <c r="B104" s="4" t="s">
        <v>702</v>
      </c>
      <c r="C104" s="3" t="s">
        <v>320</v>
      </c>
      <c r="D104" s="3"/>
    </row>
    <row r="105" spans="1:4" ht="19.95" customHeight="1" x14ac:dyDescent="0.4">
      <c r="A105" s="3" t="s">
        <v>393</v>
      </c>
      <c r="B105" s="4" t="s">
        <v>703</v>
      </c>
      <c r="C105" s="3" t="s">
        <v>320</v>
      </c>
      <c r="D105" s="3"/>
    </row>
    <row r="106" spans="1:4" ht="19.95" customHeight="1" x14ac:dyDescent="0.4">
      <c r="A106" s="3" t="s">
        <v>474</v>
      </c>
      <c r="B106" s="4" t="s">
        <v>704</v>
      </c>
      <c r="C106" s="3" t="s">
        <v>320</v>
      </c>
      <c r="D106" s="3"/>
    </row>
    <row r="107" spans="1:4" ht="19.95" customHeight="1" x14ac:dyDescent="0.4">
      <c r="A107" s="3" t="s">
        <v>475</v>
      </c>
      <c r="B107" s="4" t="s">
        <v>705</v>
      </c>
      <c r="C107" s="3" t="s">
        <v>320</v>
      </c>
      <c r="D107" s="3"/>
    </row>
    <row r="108" spans="1:4" ht="19.95" customHeight="1" x14ac:dyDescent="0.4">
      <c r="A108" s="3" t="s">
        <v>476</v>
      </c>
      <c r="B108" s="4" t="s">
        <v>706</v>
      </c>
      <c r="C108" s="3" t="s">
        <v>320</v>
      </c>
      <c r="D108" s="3"/>
    </row>
    <row r="109" spans="1:4" ht="19.95" customHeight="1" x14ac:dyDescent="0.4">
      <c r="A109" s="3" t="s">
        <v>477</v>
      </c>
      <c r="B109" s="4" t="s">
        <v>707</v>
      </c>
      <c r="C109" s="3" t="s">
        <v>320</v>
      </c>
      <c r="D109" s="3"/>
    </row>
    <row r="110" spans="1:4" ht="19.95" customHeight="1" x14ac:dyDescent="0.4">
      <c r="A110" s="3" t="s">
        <v>1202</v>
      </c>
      <c r="B110" s="4" t="s">
        <v>1217</v>
      </c>
      <c r="C110" s="3" t="s">
        <v>320</v>
      </c>
      <c r="D110" s="3"/>
    </row>
    <row r="111" spans="1:4" ht="19.95" customHeight="1" x14ac:dyDescent="0.4">
      <c r="A111" s="3" t="s">
        <v>1203</v>
      </c>
      <c r="B111" s="4" t="s">
        <v>1218</v>
      </c>
      <c r="C111" s="3" t="s">
        <v>320</v>
      </c>
      <c r="D111" s="3"/>
    </row>
    <row r="112" spans="1:4" ht="19.95" customHeight="1" x14ac:dyDescent="0.4">
      <c r="A112" s="3" t="s">
        <v>1204</v>
      </c>
      <c r="B112" s="4" t="s">
        <v>1219</v>
      </c>
      <c r="C112" s="3" t="s">
        <v>320</v>
      </c>
      <c r="D112" s="3"/>
    </row>
    <row r="113" spans="1:4" ht="19.95" customHeight="1" x14ac:dyDescent="0.4">
      <c r="A113" s="3" t="s">
        <v>1205</v>
      </c>
      <c r="B113" s="4" t="s">
        <v>1220</v>
      </c>
      <c r="C113" s="3" t="s">
        <v>320</v>
      </c>
      <c r="D113" s="3"/>
    </row>
    <row r="114" spans="1:4" ht="19.95" customHeight="1" x14ac:dyDescent="0.4">
      <c r="A114" s="3" t="s">
        <v>1206</v>
      </c>
      <c r="B114" s="4" t="s">
        <v>1221</v>
      </c>
      <c r="C114" s="3" t="s">
        <v>320</v>
      </c>
      <c r="D114" s="3"/>
    </row>
    <row r="115" spans="1:4" ht="19.95" customHeight="1" x14ac:dyDescent="0.4">
      <c r="A115" s="3" t="s">
        <v>1207</v>
      </c>
      <c r="B115" s="4" t="s">
        <v>1222</v>
      </c>
      <c r="C115" s="3" t="s">
        <v>320</v>
      </c>
      <c r="D115" s="3"/>
    </row>
    <row r="116" spans="1:4" ht="19.95" customHeight="1" x14ac:dyDescent="0.4">
      <c r="A116" s="3" t="s">
        <v>1208</v>
      </c>
      <c r="B116" s="4" t="s">
        <v>1223</v>
      </c>
      <c r="C116" s="3" t="s">
        <v>320</v>
      </c>
      <c r="D116" s="3"/>
    </row>
    <row r="117" spans="1:4" ht="19.95" customHeight="1" x14ac:dyDescent="0.4">
      <c r="A117" s="3" t="s">
        <v>1209</v>
      </c>
      <c r="B117" s="4" t="s">
        <v>1224</v>
      </c>
      <c r="C117" s="3" t="s">
        <v>320</v>
      </c>
      <c r="D117" s="3"/>
    </row>
    <row r="118" spans="1:4" ht="19.95" customHeight="1" x14ac:dyDescent="0.4">
      <c r="A118" s="3" t="s">
        <v>479</v>
      </c>
      <c r="B118" s="4" t="s">
        <v>708</v>
      </c>
      <c r="C118" s="3" t="s">
        <v>320</v>
      </c>
      <c r="D118" s="3"/>
    </row>
    <row r="119" spans="1:4" ht="19.95" customHeight="1" x14ac:dyDescent="0.4">
      <c r="A119" s="3" t="s">
        <v>480</v>
      </c>
      <c r="B119" s="4" t="s">
        <v>709</v>
      </c>
      <c r="C119" s="3" t="s">
        <v>320</v>
      </c>
      <c r="D119" s="3"/>
    </row>
    <row r="120" spans="1:4" ht="19.95" customHeight="1" x14ac:dyDescent="0.4">
      <c r="A120" s="3" t="s">
        <v>481</v>
      </c>
      <c r="B120" s="4" t="s">
        <v>710</v>
      </c>
      <c r="C120" s="3" t="s">
        <v>320</v>
      </c>
      <c r="D120" s="3"/>
    </row>
    <row r="121" spans="1:4" ht="19.95" customHeight="1" x14ac:dyDescent="0.4">
      <c r="A121" s="3" t="s">
        <v>482</v>
      </c>
      <c r="B121" s="4" t="s">
        <v>711</v>
      </c>
      <c r="C121" s="3" t="s">
        <v>320</v>
      </c>
      <c r="D121" s="3"/>
    </row>
    <row r="122" spans="1:4" ht="19.95" customHeight="1" x14ac:dyDescent="0.4">
      <c r="A122" s="3" t="s">
        <v>483</v>
      </c>
      <c r="B122" s="4" t="s">
        <v>712</v>
      </c>
      <c r="C122" s="3" t="s">
        <v>320</v>
      </c>
      <c r="D122" s="3"/>
    </row>
    <row r="123" spans="1:4" ht="19.95" customHeight="1" x14ac:dyDescent="0.4">
      <c r="A123" s="3" t="s">
        <v>484</v>
      </c>
      <c r="B123" s="4" t="s">
        <v>713</v>
      </c>
      <c r="C123" s="3" t="s">
        <v>320</v>
      </c>
      <c r="D123" s="3"/>
    </row>
    <row r="124" spans="1:4" ht="19.95" customHeight="1" x14ac:dyDescent="0.4">
      <c r="A124" s="3" t="s">
        <v>485</v>
      </c>
      <c r="B124" s="4" t="s">
        <v>714</v>
      </c>
      <c r="C124" s="3" t="s">
        <v>320</v>
      </c>
      <c r="D124" s="3"/>
    </row>
    <row r="125" spans="1:4" ht="19.95" customHeight="1" x14ac:dyDescent="0.4">
      <c r="A125" s="3" t="s">
        <v>486</v>
      </c>
      <c r="B125" s="4" t="s">
        <v>715</v>
      </c>
      <c r="C125" s="3" t="s">
        <v>320</v>
      </c>
      <c r="D125" s="3"/>
    </row>
    <row r="126" spans="1:4" ht="19.95" customHeight="1" x14ac:dyDescent="0.4">
      <c r="A126" s="3" t="s">
        <v>488</v>
      </c>
      <c r="B126" s="4" t="s">
        <v>716</v>
      </c>
      <c r="C126" s="3" t="s">
        <v>320</v>
      </c>
      <c r="D126" s="3"/>
    </row>
    <row r="127" spans="1:4" ht="19.95" customHeight="1" x14ac:dyDescent="0.4">
      <c r="A127" s="3" t="s">
        <v>489</v>
      </c>
      <c r="B127" s="4" t="s">
        <v>717</v>
      </c>
      <c r="C127" s="3" t="s">
        <v>320</v>
      </c>
      <c r="D127" s="3"/>
    </row>
    <row r="128" spans="1:4" ht="19.95" customHeight="1" x14ac:dyDescent="0.4">
      <c r="A128" s="3" t="s">
        <v>490</v>
      </c>
      <c r="B128" s="4" t="s">
        <v>718</v>
      </c>
      <c r="C128" s="3" t="s">
        <v>320</v>
      </c>
      <c r="D128" s="3"/>
    </row>
    <row r="129" spans="1:4" ht="19.95" customHeight="1" x14ac:dyDescent="0.4">
      <c r="A129" s="3" t="s">
        <v>492</v>
      </c>
      <c r="B129" s="4" t="s">
        <v>719</v>
      </c>
      <c r="C129" s="3" t="s">
        <v>320</v>
      </c>
      <c r="D129" s="3"/>
    </row>
    <row r="130" spans="1:4" ht="19.95" customHeight="1" x14ac:dyDescent="0.4">
      <c r="A130" s="3" t="s">
        <v>493</v>
      </c>
      <c r="B130" s="4" t="s">
        <v>720</v>
      </c>
      <c r="C130" s="3" t="s">
        <v>320</v>
      </c>
      <c r="D130" s="3"/>
    </row>
    <row r="131" spans="1:4" ht="19.95" customHeight="1" x14ac:dyDescent="0.4">
      <c r="A131" s="3" t="s">
        <v>494</v>
      </c>
      <c r="B131" s="4" t="s">
        <v>721</v>
      </c>
      <c r="C131" s="3" t="s">
        <v>320</v>
      </c>
      <c r="D131" s="3"/>
    </row>
    <row r="132" spans="1:4" ht="19.95" customHeight="1" x14ac:dyDescent="0.4">
      <c r="A132" s="3" t="s">
        <v>496</v>
      </c>
      <c r="B132" s="4" t="s">
        <v>722</v>
      </c>
      <c r="C132" s="3" t="s">
        <v>320</v>
      </c>
      <c r="D132" s="3"/>
    </row>
    <row r="133" spans="1:4" ht="19.95" customHeight="1" x14ac:dyDescent="0.4">
      <c r="A133" s="3" t="s">
        <v>497</v>
      </c>
      <c r="B133" s="4" t="s">
        <v>723</v>
      </c>
      <c r="C133" s="3" t="s">
        <v>320</v>
      </c>
      <c r="D133" s="3"/>
    </row>
    <row r="134" spans="1:4" ht="19.95" customHeight="1" x14ac:dyDescent="0.4">
      <c r="A134" s="3" t="s">
        <v>825</v>
      </c>
      <c r="B134" s="4" t="s">
        <v>826</v>
      </c>
      <c r="C134" s="3" t="s">
        <v>320</v>
      </c>
      <c r="D134" s="3"/>
    </row>
    <row r="135" spans="1:4" ht="19.95" customHeight="1" x14ac:dyDescent="0.4">
      <c r="A135" s="3" t="s">
        <v>827</v>
      </c>
      <c r="B135" s="4" t="s">
        <v>828</v>
      </c>
      <c r="C135" s="3" t="s">
        <v>320</v>
      </c>
      <c r="D135" s="3"/>
    </row>
    <row r="136" spans="1:4" ht="19.95" customHeight="1" x14ac:dyDescent="0.4">
      <c r="A136" s="3" t="s">
        <v>829</v>
      </c>
      <c r="B136" s="4" t="s">
        <v>830</v>
      </c>
      <c r="C136" s="3" t="s">
        <v>320</v>
      </c>
      <c r="D136" s="3"/>
    </row>
    <row r="137" spans="1:4" ht="19.95" customHeight="1" x14ac:dyDescent="0.4">
      <c r="A137" s="3" t="s">
        <v>498</v>
      </c>
      <c r="B137" s="4" t="s">
        <v>724</v>
      </c>
      <c r="C137" s="3" t="s">
        <v>320</v>
      </c>
      <c r="D137" s="3"/>
    </row>
    <row r="138" spans="1:4" ht="19.95" customHeight="1" x14ac:dyDescent="0.4">
      <c r="A138" s="3" t="s">
        <v>499</v>
      </c>
      <c r="B138" s="4" t="s">
        <v>725</v>
      </c>
      <c r="C138" s="3" t="s">
        <v>320</v>
      </c>
      <c r="D138" s="3"/>
    </row>
    <row r="139" spans="1:4" ht="19.95" customHeight="1" x14ac:dyDescent="0.4">
      <c r="A139" s="3" t="s">
        <v>831</v>
      </c>
      <c r="B139" s="4" t="s">
        <v>832</v>
      </c>
      <c r="C139" s="3" t="s">
        <v>320</v>
      </c>
      <c r="D139" s="3"/>
    </row>
    <row r="140" spans="1:4" ht="19.95" customHeight="1" x14ac:dyDescent="0.4">
      <c r="A140" s="3" t="s">
        <v>833</v>
      </c>
      <c r="B140" s="4" t="s">
        <v>834</v>
      </c>
      <c r="C140" s="3" t="s">
        <v>320</v>
      </c>
      <c r="D140" s="3"/>
    </row>
    <row r="141" spans="1:4" ht="19.95" customHeight="1" x14ac:dyDescent="0.4">
      <c r="A141" s="3" t="s">
        <v>501</v>
      </c>
      <c r="B141" s="4" t="s">
        <v>726</v>
      </c>
      <c r="C141" s="3" t="s">
        <v>320</v>
      </c>
      <c r="D141" s="3"/>
    </row>
    <row r="142" spans="1:4" ht="19.95" customHeight="1" x14ac:dyDescent="0.4">
      <c r="A142" s="3" t="s">
        <v>502</v>
      </c>
      <c r="B142" s="4" t="s">
        <v>727</v>
      </c>
      <c r="C142" s="3" t="s">
        <v>320</v>
      </c>
      <c r="D142" s="3"/>
    </row>
    <row r="143" spans="1:4" ht="19.95" customHeight="1" x14ac:dyDescent="0.4">
      <c r="A143" s="3" t="s">
        <v>504</v>
      </c>
      <c r="B143" s="4" t="s">
        <v>728</v>
      </c>
      <c r="C143" s="3" t="s">
        <v>320</v>
      </c>
      <c r="D143" s="3"/>
    </row>
    <row r="144" spans="1:4" ht="19.95" customHeight="1" x14ac:dyDescent="0.4">
      <c r="A144" s="3" t="s">
        <v>505</v>
      </c>
      <c r="B144" s="4" t="s">
        <v>729</v>
      </c>
      <c r="C144" s="3" t="s">
        <v>320</v>
      </c>
      <c r="D144" s="3"/>
    </row>
    <row r="145" spans="1:4" ht="19.95" customHeight="1" x14ac:dyDescent="0.4">
      <c r="A145" s="3" t="s">
        <v>507</v>
      </c>
      <c r="B145" s="4" t="s">
        <v>730</v>
      </c>
      <c r="C145" s="3" t="s">
        <v>320</v>
      </c>
      <c r="D145" s="3"/>
    </row>
    <row r="146" spans="1:4" ht="19.95" customHeight="1" x14ac:dyDescent="0.4">
      <c r="A146" s="3" t="s">
        <v>508</v>
      </c>
      <c r="B146" s="4" t="s">
        <v>731</v>
      </c>
      <c r="C146" s="3" t="s">
        <v>320</v>
      </c>
      <c r="D146" s="3"/>
    </row>
    <row r="147" spans="1:4" ht="19.95" customHeight="1" x14ac:dyDescent="0.4">
      <c r="A147" s="3" t="s">
        <v>835</v>
      </c>
      <c r="B147" s="4" t="s">
        <v>836</v>
      </c>
      <c r="C147" s="3" t="s">
        <v>320</v>
      </c>
      <c r="D147" s="3"/>
    </row>
    <row r="148" spans="1:4" ht="19.95" customHeight="1" x14ac:dyDescent="0.4">
      <c r="A148" s="3" t="s">
        <v>837</v>
      </c>
      <c r="B148" s="4" t="s">
        <v>838</v>
      </c>
      <c r="C148" s="3" t="s">
        <v>320</v>
      </c>
      <c r="D148" s="3"/>
    </row>
    <row r="149" spans="1:4" ht="19.95" customHeight="1" x14ac:dyDescent="0.4">
      <c r="A149" s="3" t="s">
        <v>839</v>
      </c>
      <c r="B149" s="4" t="s">
        <v>840</v>
      </c>
      <c r="C149" s="3" t="s">
        <v>320</v>
      </c>
      <c r="D149" s="3"/>
    </row>
    <row r="150" spans="1:4" ht="19.95" customHeight="1" x14ac:dyDescent="0.4">
      <c r="A150" s="3" t="s">
        <v>509</v>
      </c>
      <c r="B150" s="4" t="s">
        <v>732</v>
      </c>
      <c r="C150" s="3" t="s">
        <v>320</v>
      </c>
      <c r="D150" s="3"/>
    </row>
    <row r="151" spans="1:4" ht="19.95" customHeight="1" x14ac:dyDescent="0.4">
      <c r="A151" s="3" t="s">
        <v>510</v>
      </c>
      <c r="B151" s="4" t="s">
        <v>733</v>
      </c>
      <c r="C151" s="3" t="s">
        <v>320</v>
      </c>
      <c r="D151" s="3"/>
    </row>
    <row r="152" spans="1:4" ht="19.95" customHeight="1" x14ac:dyDescent="0.4">
      <c r="A152" s="3" t="s">
        <v>841</v>
      </c>
      <c r="B152" s="4" t="s">
        <v>832</v>
      </c>
      <c r="C152" s="3" t="s">
        <v>320</v>
      </c>
      <c r="D152" s="3"/>
    </row>
    <row r="153" spans="1:4" ht="19.95" customHeight="1" x14ac:dyDescent="0.4">
      <c r="A153" s="3" t="s">
        <v>842</v>
      </c>
      <c r="B153" s="4" t="s">
        <v>834</v>
      </c>
      <c r="C153" s="3" t="s">
        <v>320</v>
      </c>
      <c r="D153" s="3"/>
    </row>
    <row r="154" spans="1:4" ht="19.95" customHeight="1" x14ac:dyDescent="0.4">
      <c r="A154" s="3" t="s">
        <v>512</v>
      </c>
      <c r="B154" s="4" t="s">
        <v>734</v>
      </c>
      <c r="C154" s="3" t="s">
        <v>320</v>
      </c>
      <c r="D154" s="3"/>
    </row>
    <row r="155" spans="1:4" ht="19.95" customHeight="1" x14ac:dyDescent="0.4">
      <c r="A155" s="3" t="s">
        <v>513</v>
      </c>
      <c r="B155" s="4" t="s">
        <v>735</v>
      </c>
      <c r="C155" s="3" t="s">
        <v>320</v>
      </c>
      <c r="D155" s="3"/>
    </row>
    <row r="156" spans="1:4" ht="19.95" customHeight="1" x14ac:dyDescent="0.4">
      <c r="A156" s="3" t="s">
        <v>515</v>
      </c>
      <c r="B156" s="4" t="s">
        <v>736</v>
      </c>
      <c r="C156" s="3" t="s">
        <v>320</v>
      </c>
      <c r="D156" s="3"/>
    </row>
    <row r="157" spans="1:4" ht="19.95" customHeight="1" x14ac:dyDescent="0.4">
      <c r="A157" s="3" t="s">
        <v>516</v>
      </c>
      <c r="B157" s="4" t="s">
        <v>737</v>
      </c>
      <c r="C157" s="3" t="s">
        <v>320</v>
      </c>
      <c r="D157" s="3"/>
    </row>
    <row r="158" spans="1:4" ht="19.95" customHeight="1" x14ac:dyDescent="0.4">
      <c r="A158" s="3" t="s">
        <v>517</v>
      </c>
      <c r="B158" s="4" t="s">
        <v>738</v>
      </c>
      <c r="C158" s="3" t="s">
        <v>320</v>
      </c>
      <c r="D158" s="3"/>
    </row>
    <row r="159" spans="1:4" ht="19.95" customHeight="1" x14ac:dyDescent="0.4">
      <c r="A159" s="3" t="s">
        <v>519</v>
      </c>
      <c r="B159" s="4" t="s">
        <v>739</v>
      </c>
      <c r="C159" s="3" t="s">
        <v>320</v>
      </c>
      <c r="D159" s="3"/>
    </row>
    <row r="160" spans="1:4" ht="19.95" customHeight="1" x14ac:dyDescent="0.4">
      <c r="A160" s="3" t="s">
        <v>520</v>
      </c>
      <c r="B160" s="4" t="s">
        <v>740</v>
      </c>
      <c r="C160" s="3" t="s">
        <v>320</v>
      </c>
      <c r="D160" s="3"/>
    </row>
    <row r="161" spans="1:4" ht="19.95" customHeight="1" x14ac:dyDescent="0.4">
      <c r="A161" s="3" t="s">
        <v>521</v>
      </c>
      <c r="B161" s="4" t="s">
        <v>741</v>
      </c>
      <c r="C161" s="3" t="s">
        <v>320</v>
      </c>
      <c r="D161" s="3"/>
    </row>
    <row r="162" spans="1:4" ht="19.95" customHeight="1" x14ac:dyDescent="0.4">
      <c r="A162" s="3" t="s">
        <v>382</v>
      </c>
      <c r="B162" s="4" t="s">
        <v>742</v>
      </c>
      <c r="C162" s="3" t="s">
        <v>320</v>
      </c>
      <c r="D162" s="3"/>
    </row>
    <row r="163" spans="1:4" ht="19.95" customHeight="1" x14ac:dyDescent="0.4">
      <c r="A163" s="3" t="s">
        <v>523</v>
      </c>
      <c r="B163" s="4" t="s">
        <v>743</v>
      </c>
      <c r="C163" s="3" t="s">
        <v>320</v>
      </c>
      <c r="D163" s="3"/>
    </row>
    <row r="164" spans="1:4" ht="19.95" customHeight="1" x14ac:dyDescent="0.4">
      <c r="A164" s="3" t="s">
        <v>524</v>
      </c>
      <c r="B164" s="4" t="s">
        <v>744</v>
      </c>
      <c r="C164" s="3" t="s">
        <v>320</v>
      </c>
      <c r="D164" s="3"/>
    </row>
    <row r="165" spans="1:4" ht="19.95" customHeight="1" x14ac:dyDescent="0.4">
      <c r="A165" s="3" t="s">
        <v>386</v>
      </c>
      <c r="B165" s="4" t="s">
        <v>745</v>
      </c>
      <c r="C165" s="3" t="s">
        <v>320</v>
      </c>
      <c r="D165" s="3"/>
    </row>
    <row r="166" spans="1:4" ht="19.95" customHeight="1" x14ac:dyDescent="0.4">
      <c r="A166" s="3" t="s">
        <v>526</v>
      </c>
      <c r="B166" s="4" t="s">
        <v>746</v>
      </c>
      <c r="C166" s="3" t="s">
        <v>320</v>
      </c>
      <c r="D166" s="3"/>
    </row>
    <row r="167" spans="1:4" ht="19.95" customHeight="1" x14ac:dyDescent="0.4">
      <c r="A167" s="10" t="s">
        <v>353</v>
      </c>
      <c r="B167" s="4" t="s">
        <v>747</v>
      </c>
      <c r="C167" s="10" t="s">
        <v>350</v>
      </c>
      <c r="D167" s="10"/>
    </row>
    <row r="168" spans="1:4" ht="19.95" customHeight="1" x14ac:dyDescent="0.4">
      <c r="A168" s="10" t="s">
        <v>357</v>
      </c>
      <c r="B168" s="4" t="s">
        <v>748</v>
      </c>
      <c r="C168" s="10" t="s">
        <v>350</v>
      </c>
      <c r="D168" s="10"/>
    </row>
    <row r="169" spans="1:4" ht="19.95" customHeight="1" x14ac:dyDescent="0.4">
      <c r="A169" s="5" t="s">
        <v>363</v>
      </c>
      <c r="B169" s="4" t="s">
        <v>749</v>
      </c>
      <c r="C169" s="5" t="s">
        <v>350</v>
      </c>
      <c r="D169" s="5"/>
    </row>
    <row r="170" spans="1:4" ht="19.95" customHeight="1" x14ac:dyDescent="0.4">
      <c r="A170" s="10" t="s">
        <v>372</v>
      </c>
      <c r="B170" s="4" t="s">
        <v>750</v>
      </c>
      <c r="C170" s="10" t="s">
        <v>350</v>
      </c>
      <c r="D170" s="10"/>
    </row>
    <row r="171" spans="1:4" ht="19.95" customHeight="1" x14ac:dyDescent="0.4">
      <c r="A171" s="5" t="s">
        <v>377</v>
      </c>
      <c r="B171" s="4" t="s">
        <v>751</v>
      </c>
      <c r="C171" s="5" t="s">
        <v>350</v>
      </c>
      <c r="D171" s="5"/>
    </row>
    <row r="172" spans="1:4" ht="19.95" customHeight="1" x14ac:dyDescent="0.4">
      <c r="A172" s="5" t="s">
        <v>381</v>
      </c>
      <c r="B172" s="4" t="s">
        <v>752</v>
      </c>
      <c r="C172" s="5" t="s">
        <v>350</v>
      </c>
      <c r="D172" s="5"/>
    </row>
    <row r="173" spans="1:4" ht="19.95" customHeight="1" x14ac:dyDescent="0.4">
      <c r="A173" s="5" t="s">
        <v>385</v>
      </c>
      <c r="B173" s="4" t="s">
        <v>753</v>
      </c>
      <c r="C173" s="5" t="s">
        <v>350</v>
      </c>
      <c r="D173" s="5"/>
    </row>
    <row r="174" spans="1:4" ht="19.95" customHeight="1" x14ac:dyDescent="0.4">
      <c r="A174" s="5" t="s">
        <v>388</v>
      </c>
      <c r="B174" s="4" t="s">
        <v>754</v>
      </c>
      <c r="C174" s="5" t="s">
        <v>350</v>
      </c>
      <c r="D174" s="5"/>
    </row>
    <row r="175" spans="1:4" ht="19.95" customHeight="1" x14ac:dyDescent="0.4">
      <c r="A175" s="5" t="s">
        <v>392</v>
      </c>
      <c r="B175" s="4" t="s">
        <v>755</v>
      </c>
      <c r="C175" s="5" t="s">
        <v>350</v>
      </c>
      <c r="D175" s="5"/>
    </row>
    <row r="176" spans="1:4" ht="19.95" customHeight="1" x14ac:dyDescent="0.4">
      <c r="A176" s="5" t="s">
        <v>398</v>
      </c>
      <c r="B176" s="4" t="s">
        <v>756</v>
      </c>
      <c r="C176" s="5" t="s">
        <v>350</v>
      </c>
      <c r="D176" s="5"/>
    </row>
    <row r="177" spans="1:4" ht="19.95" customHeight="1" x14ac:dyDescent="0.4">
      <c r="A177" s="5" t="s">
        <v>400</v>
      </c>
      <c r="B177" s="4" t="s">
        <v>757</v>
      </c>
      <c r="C177" s="5" t="s">
        <v>350</v>
      </c>
      <c r="D177" s="5"/>
    </row>
    <row r="178" spans="1:4" ht="19.95" customHeight="1" x14ac:dyDescent="0.4">
      <c r="A178" s="5" t="s">
        <v>406</v>
      </c>
      <c r="B178" s="4" t="s">
        <v>758</v>
      </c>
      <c r="C178" s="5" t="s">
        <v>350</v>
      </c>
      <c r="D178" s="5"/>
    </row>
    <row r="179" spans="1:4" ht="19.95" customHeight="1" x14ac:dyDescent="0.4">
      <c r="A179" s="5" t="s">
        <v>410</v>
      </c>
      <c r="B179" s="4" t="s">
        <v>759</v>
      </c>
      <c r="C179" s="5" t="s">
        <v>350</v>
      </c>
      <c r="D179" s="5"/>
    </row>
    <row r="180" spans="1:4" ht="19.95" customHeight="1" x14ac:dyDescent="0.4">
      <c r="A180" s="5" t="s">
        <v>415</v>
      </c>
      <c r="B180" s="4" t="s">
        <v>760</v>
      </c>
      <c r="C180" s="5" t="s">
        <v>350</v>
      </c>
      <c r="D180" s="5"/>
    </row>
    <row r="181" spans="1:4" ht="19.95" customHeight="1" x14ac:dyDescent="0.4">
      <c r="A181" s="5" t="s">
        <v>419</v>
      </c>
      <c r="B181" s="4" t="s">
        <v>761</v>
      </c>
      <c r="C181" s="5" t="s">
        <v>350</v>
      </c>
      <c r="D181" s="5"/>
    </row>
    <row r="182" spans="1:4" ht="19.95" customHeight="1" x14ac:dyDescent="0.4">
      <c r="A182" s="5" t="s">
        <v>423</v>
      </c>
      <c r="B182" s="4" t="s">
        <v>762</v>
      </c>
      <c r="C182" s="5" t="s">
        <v>350</v>
      </c>
      <c r="D182" s="5"/>
    </row>
    <row r="183" spans="1:4" ht="19.95" customHeight="1" x14ac:dyDescent="0.4">
      <c r="A183" s="5" t="s">
        <v>428</v>
      </c>
      <c r="B183" s="4" t="s">
        <v>763</v>
      </c>
      <c r="C183" s="5" t="s">
        <v>350</v>
      </c>
      <c r="D183" s="5"/>
    </row>
    <row r="184" spans="1:4" ht="19.95" customHeight="1" x14ac:dyDescent="0.4">
      <c r="A184" s="5" t="s">
        <v>432</v>
      </c>
      <c r="B184" s="4" t="s">
        <v>764</v>
      </c>
      <c r="C184" s="5" t="s">
        <v>350</v>
      </c>
      <c r="D184" s="5"/>
    </row>
    <row r="185" spans="1:4" ht="19.95" customHeight="1" x14ac:dyDescent="0.4">
      <c r="A185" s="5" t="s">
        <v>435</v>
      </c>
      <c r="B185" s="4" t="s">
        <v>765</v>
      </c>
      <c r="C185" s="5" t="s">
        <v>350</v>
      </c>
      <c r="D185" s="5"/>
    </row>
    <row r="186" spans="1:4" ht="19.95" customHeight="1" x14ac:dyDescent="0.4">
      <c r="A186" s="5" t="s">
        <v>440</v>
      </c>
      <c r="B186" s="4" t="s">
        <v>766</v>
      </c>
      <c r="C186" s="5" t="s">
        <v>350</v>
      </c>
      <c r="D186" s="5"/>
    </row>
    <row r="187" spans="1:4" ht="19.95" customHeight="1" x14ac:dyDescent="0.4">
      <c r="A187" s="5" t="s">
        <v>444</v>
      </c>
      <c r="B187" s="4" t="s">
        <v>767</v>
      </c>
      <c r="C187" s="5" t="s">
        <v>350</v>
      </c>
      <c r="D187" s="5"/>
    </row>
    <row r="188" spans="1:4" ht="19.95" customHeight="1" x14ac:dyDescent="0.4">
      <c r="A188" s="5" t="s">
        <v>448</v>
      </c>
      <c r="B188" s="4" t="s">
        <v>768</v>
      </c>
      <c r="C188" s="5" t="s">
        <v>350</v>
      </c>
      <c r="D188" s="5"/>
    </row>
    <row r="189" spans="1:4" ht="19.95" customHeight="1" x14ac:dyDescent="0.4">
      <c r="A189" s="5" t="s">
        <v>453</v>
      </c>
      <c r="B189" s="4" t="s">
        <v>769</v>
      </c>
      <c r="C189" s="5" t="s">
        <v>350</v>
      </c>
      <c r="D189" s="5"/>
    </row>
    <row r="190" spans="1:4" ht="19.95" customHeight="1" x14ac:dyDescent="0.4">
      <c r="A190" s="5" t="s">
        <v>456</v>
      </c>
      <c r="B190" s="4" t="s">
        <v>770</v>
      </c>
      <c r="C190" s="5" t="s">
        <v>350</v>
      </c>
      <c r="D190" s="5"/>
    </row>
    <row r="191" spans="1:4" ht="19.95" customHeight="1" x14ac:dyDescent="0.4">
      <c r="A191" s="5" t="s">
        <v>458</v>
      </c>
      <c r="B191" s="4" t="s">
        <v>771</v>
      </c>
      <c r="C191" s="5" t="s">
        <v>350</v>
      </c>
      <c r="D191" s="5"/>
    </row>
    <row r="192" spans="1:4" ht="19.95" customHeight="1" x14ac:dyDescent="0.4">
      <c r="A192" s="5" t="s">
        <v>463</v>
      </c>
      <c r="B192" s="4" t="s">
        <v>772</v>
      </c>
      <c r="C192" s="5" t="s">
        <v>350</v>
      </c>
      <c r="D192" s="5"/>
    </row>
    <row r="193" spans="1:4" ht="19.95" customHeight="1" x14ac:dyDescent="0.4">
      <c r="A193" s="5" t="s">
        <v>468</v>
      </c>
      <c r="B193" s="4" t="s">
        <v>773</v>
      </c>
      <c r="C193" s="5" t="s">
        <v>350</v>
      </c>
      <c r="D193" s="5"/>
    </row>
    <row r="194" spans="1:4" ht="19.95" customHeight="1" x14ac:dyDescent="0.4">
      <c r="A194" s="5" t="s">
        <v>473</v>
      </c>
      <c r="B194" s="4" t="s">
        <v>774</v>
      </c>
      <c r="C194" s="5" t="s">
        <v>350</v>
      </c>
      <c r="D194" s="5"/>
    </row>
    <row r="195" spans="1:4" ht="19.95" customHeight="1" x14ac:dyDescent="0.4">
      <c r="A195" s="5" t="s">
        <v>478</v>
      </c>
      <c r="B195" s="4" t="s">
        <v>775</v>
      </c>
      <c r="C195" s="5" t="s">
        <v>350</v>
      </c>
      <c r="D195" s="5"/>
    </row>
    <row r="196" spans="1:4" ht="19.95" customHeight="1" x14ac:dyDescent="0.4">
      <c r="A196" s="5" t="s">
        <v>487</v>
      </c>
      <c r="B196" s="4" t="s">
        <v>776</v>
      </c>
      <c r="C196" s="5" t="s">
        <v>350</v>
      </c>
      <c r="D196" s="5"/>
    </row>
    <row r="197" spans="1:4" ht="19.95" customHeight="1" x14ac:dyDescent="0.4">
      <c r="A197" s="5" t="s">
        <v>491</v>
      </c>
      <c r="B197" s="4" t="s">
        <v>777</v>
      </c>
      <c r="C197" s="5" t="s">
        <v>350</v>
      </c>
      <c r="D197" s="5"/>
    </row>
    <row r="198" spans="1:4" ht="19.95" customHeight="1" x14ac:dyDescent="0.4">
      <c r="A198" s="5" t="s">
        <v>495</v>
      </c>
      <c r="B198" s="4" t="s">
        <v>778</v>
      </c>
      <c r="C198" s="5" t="s">
        <v>350</v>
      </c>
      <c r="D198" s="5"/>
    </row>
    <row r="199" spans="1:4" ht="19.95" customHeight="1" x14ac:dyDescent="0.4">
      <c r="A199" s="5" t="s">
        <v>500</v>
      </c>
      <c r="B199" s="4" t="s">
        <v>779</v>
      </c>
      <c r="C199" s="5" t="s">
        <v>350</v>
      </c>
      <c r="D199" s="5"/>
    </row>
    <row r="200" spans="1:4" ht="19.95" customHeight="1" x14ac:dyDescent="0.4">
      <c r="A200" s="5" t="s">
        <v>503</v>
      </c>
      <c r="B200" s="4" t="s">
        <v>780</v>
      </c>
      <c r="C200" s="5" t="s">
        <v>350</v>
      </c>
      <c r="D200" s="5"/>
    </row>
    <row r="201" spans="1:4" ht="19.95" customHeight="1" x14ac:dyDescent="0.4">
      <c r="A201" s="5" t="s">
        <v>506</v>
      </c>
      <c r="B201" s="4" t="s">
        <v>781</v>
      </c>
      <c r="C201" s="5" t="s">
        <v>350</v>
      </c>
      <c r="D201" s="5"/>
    </row>
    <row r="202" spans="1:4" ht="19.95" customHeight="1" x14ac:dyDescent="0.4">
      <c r="A202" s="5" t="s">
        <v>511</v>
      </c>
      <c r="B202" s="4" t="s">
        <v>782</v>
      </c>
      <c r="C202" s="5" t="s">
        <v>350</v>
      </c>
      <c r="D202" s="5"/>
    </row>
    <row r="203" spans="1:4" ht="19.95" customHeight="1" x14ac:dyDescent="0.4">
      <c r="A203" s="5" t="s">
        <v>514</v>
      </c>
      <c r="B203" s="4" t="s">
        <v>783</v>
      </c>
      <c r="C203" s="5" t="s">
        <v>350</v>
      </c>
      <c r="D203" s="5"/>
    </row>
    <row r="204" spans="1:4" ht="19.95" customHeight="1" x14ac:dyDescent="0.4">
      <c r="A204" s="5" t="s">
        <v>518</v>
      </c>
      <c r="B204" s="4" t="s">
        <v>784</v>
      </c>
      <c r="C204" s="5" t="s">
        <v>350</v>
      </c>
      <c r="D204" s="5"/>
    </row>
    <row r="205" spans="1:4" ht="19.95" customHeight="1" x14ac:dyDescent="0.4">
      <c r="A205" s="5" t="s">
        <v>522</v>
      </c>
      <c r="B205" s="4" t="s">
        <v>785</v>
      </c>
      <c r="C205" s="5" t="s">
        <v>350</v>
      </c>
      <c r="D205" s="5"/>
    </row>
    <row r="206" spans="1:4" ht="19.95" customHeight="1" x14ac:dyDescent="0.4">
      <c r="A206" s="5" t="s">
        <v>525</v>
      </c>
      <c r="B206" s="4" t="s">
        <v>786</v>
      </c>
      <c r="C206" s="5" t="s">
        <v>350</v>
      </c>
      <c r="D206" s="5"/>
    </row>
    <row r="207" spans="1:4" ht="19.95" customHeight="1" x14ac:dyDescent="0.4">
      <c r="A207" s="3" t="s">
        <v>787</v>
      </c>
      <c r="B207" s="4" t="s">
        <v>788</v>
      </c>
      <c r="C207" s="3" t="s">
        <v>318</v>
      </c>
      <c r="D207" s="3"/>
    </row>
    <row r="208" spans="1:4" ht="19.95" customHeight="1" x14ac:dyDescent="0.4">
      <c r="A208" s="3" t="s">
        <v>789</v>
      </c>
      <c r="B208" s="68" t="s">
        <v>917</v>
      </c>
      <c r="C208" s="3" t="s">
        <v>318</v>
      </c>
      <c r="D208" s="3"/>
    </row>
    <row r="209" spans="1:4" ht="19.95" customHeight="1" x14ac:dyDescent="0.4">
      <c r="A209" s="3" t="s">
        <v>790</v>
      </c>
      <c r="B209" s="4" t="s">
        <v>791</v>
      </c>
      <c r="C209" s="3" t="s">
        <v>318</v>
      </c>
      <c r="D209" s="3"/>
    </row>
    <row r="210" spans="1:4" ht="19.95" customHeight="1" x14ac:dyDescent="0.4">
      <c r="A210" s="3" t="s">
        <v>792</v>
      </c>
      <c r="B210" s="4" t="s">
        <v>793</v>
      </c>
      <c r="C210" s="3" t="s">
        <v>318</v>
      </c>
      <c r="D210" s="3"/>
    </row>
    <row r="211" spans="1:4" ht="19.95" customHeight="1" x14ac:dyDescent="0.4">
      <c r="A211" s="3" t="s">
        <v>794</v>
      </c>
      <c r="B211" s="4" t="s">
        <v>795</v>
      </c>
      <c r="C211" s="3" t="s">
        <v>318</v>
      </c>
      <c r="D211" s="3"/>
    </row>
    <row r="212" spans="1:4" ht="19.95" customHeight="1" x14ac:dyDescent="0.4">
      <c r="A212" s="3" t="s">
        <v>796</v>
      </c>
      <c r="B212" s="4" t="s">
        <v>797</v>
      </c>
      <c r="C212" s="3" t="s">
        <v>318</v>
      </c>
      <c r="D212" s="3"/>
    </row>
    <row r="213" spans="1:4" ht="19.95" customHeight="1" x14ac:dyDescent="0.4">
      <c r="A213" s="3" t="s">
        <v>798</v>
      </c>
      <c r="B213" s="4" t="s">
        <v>799</v>
      </c>
      <c r="C213" s="3" t="s">
        <v>318</v>
      </c>
      <c r="D213" s="3"/>
    </row>
    <row r="214" spans="1:4" ht="19.95" customHeight="1" x14ac:dyDescent="0.4">
      <c r="A214" s="3" t="s">
        <v>800</v>
      </c>
      <c r="B214" s="4" t="s">
        <v>801</v>
      </c>
      <c r="C214" s="3" t="s">
        <v>318</v>
      </c>
      <c r="D214" s="3"/>
    </row>
    <row r="215" spans="1:4" ht="19.95" customHeight="1" x14ac:dyDescent="0.4">
      <c r="A215" s="3" t="s">
        <v>802</v>
      </c>
      <c r="B215" s="4" t="s">
        <v>803</v>
      </c>
      <c r="C215" s="3" t="s">
        <v>318</v>
      </c>
      <c r="D215" s="3"/>
    </row>
    <row r="216" spans="1:4" ht="19.95" customHeight="1" x14ac:dyDescent="0.4">
      <c r="A216" s="3" t="s">
        <v>1000</v>
      </c>
      <c r="B216" s="68" t="s">
        <v>1054</v>
      </c>
      <c r="C216" s="69" t="s">
        <v>920</v>
      </c>
      <c r="D216" s="3"/>
    </row>
    <row r="217" spans="1:4" ht="19.95" customHeight="1" x14ac:dyDescent="0.4">
      <c r="A217" s="3" t="s">
        <v>804</v>
      </c>
      <c r="B217" s="4" t="s">
        <v>805</v>
      </c>
      <c r="C217" s="3" t="s">
        <v>318</v>
      </c>
      <c r="D217" s="3"/>
    </row>
    <row r="218" spans="1:4" ht="19.95" customHeight="1" x14ac:dyDescent="0.4">
      <c r="A218" s="3" t="s">
        <v>806</v>
      </c>
      <c r="B218" s="4" t="s">
        <v>807</v>
      </c>
      <c r="C218" s="3" t="s">
        <v>318</v>
      </c>
      <c r="D218" s="3"/>
    </row>
    <row r="219" spans="1:4" ht="19.95" customHeight="1" x14ac:dyDescent="0.4">
      <c r="A219" s="3" t="s">
        <v>808</v>
      </c>
      <c r="B219" s="4" t="s">
        <v>809</v>
      </c>
      <c r="C219" s="3" t="s">
        <v>318</v>
      </c>
      <c r="D219" s="3"/>
    </row>
    <row r="220" spans="1:4" ht="19.95" customHeight="1" x14ac:dyDescent="0.4">
      <c r="A220" s="3" t="s">
        <v>810</v>
      </c>
      <c r="B220" s="4" t="s">
        <v>811</v>
      </c>
      <c r="C220" s="3" t="s">
        <v>318</v>
      </c>
      <c r="D220" s="3"/>
    </row>
    <row r="221" spans="1:4" ht="19.95" customHeight="1" x14ac:dyDescent="0.4">
      <c r="A221" s="3" t="s">
        <v>918</v>
      </c>
      <c r="B221" s="68" t="s">
        <v>919</v>
      </c>
      <c r="C221" s="69" t="s">
        <v>920</v>
      </c>
      <c r="D221" s="3"/>
    </row>
    <row r="222" spans="1:4" ht="19.95" customHeight="1" x14ac:dyDescent="0.4">
      <c r="A222" s="3" t="s">
        <v>921</v>
      </c>
      <c r="B222" s="4" t="s">
        <v>922</v>
      </c>
      <c r="C222" s="69" t="s">
        <v>920</v>
      </c>
      <c r="D222" s="3"/>
    </row>
    <row r="223" spans="1:4" ht="19.95" customHeight="1" x14ac:dyDescent="0.4">
      <c r="A223" s="3" t="s">
        <v>923</v>
      </c>
      <c r="B223" s="4" t="s">
        <v>924</v>
      </c>
      <c r="C223" s="69" t="s">
        <v>920</v>
      </c>
      <c r="D223" s="3"/>
    </row>
    <row r="224" spans="1:4" ht="19.95" customHeight="1" x14ac:dyDescent="0.4">
      <c r="A224" s="3" t="s">
        <v>925</v>
      </c>
      <c r="B224" s="4" t="s">
        <v>926</v>
      </c>
      <c r="C224" s="69" t="s">
        <v>920</v>
      </c>
      <c r="D224" s="3"/>
    </row>
    <row r="225" spans="1:4" ht="19.95" customHeight="1" x14ac:dyDescent="0.4">
      <c r="A225" s="3" t="s">
        <v>927</v>
      </c>
      <c r="B225" s="68" t="s">
        <v>928</v>
      </c>
      <c r="C225" s="69" t="s">
        <v>920</v>
      </c>
      <c r="D225" s="3"/>
    </row>
    <row r="226" spans="1:4" ht="19.95" customHeight="1" x14ac:dyDescent="0.4">
      <c r="A226" s="3" t="s">
        <v>929</v>
      </c>
      <c r="B226" s="68" t="s">
        <v>930</v>
      </c>
      <c r="C226" s="69" t="s">
        <v>920</v>
      </c>
      <c r="D226" s="3"/>
    </row>
    <row r="227" spans="1:4" ht="19.95" customHeight="1" x14ac:dyDescent="0.4">
      <c r="A227" s="3" t="s">
        <v>931</v>
      </c>
      <c r="B227" s="68" t="s">
        <v>932</v>
      </c>
      <c r="C227" s="69" t="s">
        <v>920</v>
      </c>
      <c r="D227" s="3"/>
    </row>
    <row r="228" spans="1:4" ht="19.95" customHeight="1" x14ac:dyDescent="0.4">
      <c r="A228" s="3" t="s">
        <v>933</v>
      </c>
      <c r="B228" s="68" t="s">
        <v>934</v>
      </c>
      <c r="C228" s="69" t="s">
        <v>920</v>
      </c>
      <c r="D228" s="3"/>
    </row>
    <row r="229" spans="1:4" ht="19.95" customHeight="1" x14ac:dyDescent="0.4">
      <c r="A229" s="3" t="s">
        <v>935</v>
      </c>
      <c r="B229" s="68" t="s">
        <v>936</v>
      </c>
      <c r="C229" s="69" t="s">
        <v>920</v>
      </c>
      <c r="D229" s="3"/>
    </row>
    <row r="230" spans="1:4" ht="19.95" customHeight="1" x14ac:dyDescent="0.4">
      <c r="A230" s="3" t="s">
        <v>937</v>
      </c>
      <c r="B230" s="68" t="s">
        <v>938</v>
      </c>
      <c r="C230" s="69" t="s">
        <v>920</v>
      </c>
      <c r="D230" s="3"/>
    </row>
    <row r="231" spans="1:4" ht="19.95" customHeight="1" x14ac:dyDescent="0.4">
      <c r="A231" s="3" t="s">
        <v>939</v>
      </c>
      <c r="B231" s="68" t="s">
        <v>940</v>
      </c>
      <c r="C231" s="69" t="s">
        <v>920</v>
      </c>
      <c r="D231" s="3"/>
    </row>
    <row r="232" spans="1:4" ht="19.95" customHeight="1" x14ac:dyDescent="0.4">
      <c r="A232" s="3" t="s">
        <v>941</v>
      </c>
      <c r="B232" s="68" t="s">
        <v>942</v>
      </c>
      <c r="C232" s="69" t="s">
        <v>920</v>
      </c>
      <c r="D232" s="3"/>
    </row>
    <row r="233" spans="1:4" ht="19.95" customHeight="1" x14ac:dyDescent="0.4">
      <c r="A233" s="3" t="s">
        <v>943</v>
      </c>
      <c r="B233" s="68" t="s">
        <v>944</v>
      </c>
      <c r="C233" s="69" t="s">
        <v>920</v>
      </c>
      <c r="D233" s="3"/>
    </row>
    <row r="234" spans="1:4" ht="19.95" customHeight="1" x14ac:dyDescent="0.4">
      <c r="A234" s="3" t="s">
        <v>945</v>
      </c>
      <c r="B234" s="68" t="s">
        <v>946</v>
      </c>
      <c r="C234" s="69" t="s">
        <v>920</v>
      </c>
      <c r="D234" s="3"/>
    </row>
    <row r="235" spans="1:4" ht="19.95" customHeight="1" x14ac:dyDescent="0.4">
      <c r="A235" s="3" t="s">
        <v>947</v>
      </c>
      <c r="B235" s="68" t="s">
        <v>948</v>
      </c>
      <c r="C235" s="69" t="s">
        <v>920</v>
      </c>
      <c r="D235" s="3"/>
    </row>
    <row r="236" spans="1:4" ht="19.95" customHeight="1" x14ac:dyDescent="0.4">
      <c r="A236" s="3" t="s">
        <v>949</v>
      </c>
      <c r="B236" s="68" t="s">
        <v>950</v>
      </c>
      <c r="C236" s="69" t="s">
        <v>920</v>
      </c>
      <c r="D236" s="3"/>
    </row>
    <row r="237" spans="1:4" ht="19.95" customHeight="1" x14ac:dyDescent="0.4">
      <c r="A237" s="3" t="s">
        <v>951</v>
      </c>
      <c r="B237" s="68" t="s">
        <v>952</v>
      </c>
      <c r="C237" s="69" t="s">
        <v>920</v>
      </c>
      <c r="D237" s="3"/>
    </row>
    <row r="238" spans="1:4" ht="19.95" customHeight="1" x14ac:dyDescent="0.4">
      <c r="A238" s="3" t="s">
        <v>953</v>
      </c>
      <c r="B238" s="68" t="s">
        <v>954</v>
      </c>
      <c r="C238" s="69" t="s">
        <v>920</v>
      </c>
      <c r="D238" s="3"/>
    </row>
    <row r="239" spans="1:4" ht="19.95" customHeight="1" x14ac:dyDescent="0.4">
      <c r="A239" s="3" t="s">
        <v>955</v>
      </c>
      <c r="B239" s="68" t="s">
        <v>956</v>
      </c>
      <c r="C239" s="69" t="s">
        <v>920</v>
      </c>
      <c r="D239" s="3"/>
    </row>
    <row r="240" spans="1:4" ht="19.95" customHeight="1" x14ac:dyDescent="0.4">
      <c r="A240" s="3" t="s">
        <v>957</v>
      </c>
      <c r="B240" s="68" t="s">
        <v>958</v>
      </c>
      <c r="C240" s="69" t="s">
        <v>920</v>
      </c>
      <c r="D240" s="3"/>
    </row>
    <row r="241" spans="1:4" ht="19.95" customHeight="1" x14ac:dyDescent="0.4">
      <c r="A241" s="3" t="s">
        <v>959</v>
      </c>
      <c r="B241" s="68" t="s">
        <v>960</v>
      </c>
      <c r="C241" s="69" t="s">
        <v>920</v>
      </c>
      <c r="D241" s="3"/>
    </row>
    <row r="242" spans="1:4" ht="19.95" customHeight="1" x14ac:dyDescent="0.4">
      <c r="A242" s="3" t="s">
        <v>961</v>
      </c>
      <c r="B242" s="68" t="s">
        <v>962</v>
      </c>
      <c r="C242" s="69" t="s">
        <v>920</v>
      </c>
      <c r="D242" s="3"/>
    </row>
    <row r="243" spans="1:4" ht="19.95" customHeight="1" x14ac:dyDescent="0.4">
      <c r="A243" s="3" t="s">
        <v>963</v>
      </c>
      <c r="B243" s="68" t="s">
        <v>964</v>
      </c>
      <c r="C243" s="69" t="s">
        <v>920</v>
      </c>
      <c r="D243" s="3"/>
    </row>
    <row r="244" spans="1:4" ht="19.95" customHeight="1" x14ac:dyDescent="0.4">
      <c r="A244" s="3" t="s">
        <v>965</v>
      </c>
      <c r="B244" s="68" t="s">
        <v>966</v>
      </c>
      <c r="C244" s="69" t="s">
        <v>920</v>
      </c>
      <c r="D244" s="3"/>
    </row>
    <row r="245" spans="1:4" ht="19.95" customHeight="1" x14ac:dyDescent="0.4">
      <c r="A245" s="3" t="s">
        <v>967</v>
      </c>
      <c r="B245" s="68" t="s">
        <v>968</v>
      </c>
      <c r="C245" s="69" t="s">
        <v>920</v>
      </c>
      <c r="D245" s="3"/>
    </row>
    <row r="246" spans="1:4" ht="19.95" customHeight="1" x14ac:dyDescent="0.4">
      <c r="A246" s="3" t="s">
        <v>969</v>
      </c>
      <c r="B246" s="68" t="s">
        <v>970</v>
      </c>
      <c r="C246" s="69" t="s">
        <v>920</v>
      </c>
      <c r="D246" s="3"/>
    </row>
    <row r="247" spans="1:4" ht="19.95" customHeight="1" x14ac:dyDescent="0.4">
      <c r="A247" s="3" t="s">
        <v>971</v>
      </c>
      <c r="B247" s="68" t="s">
        <v>972</v>
      </c>
      <c r="C247" s="69" t="s">
        <v>920</v>
      </c>
      <c r="D247" s="3"/>
    </row>
    <row r="248" spans="1:4" ht="19.95" customHeight="1" x14ac:dyDescent="0.4">
      <c r="A248" s="3" t="s">
        <v>973</v>
      </c>
      <c r="B248" s="68" t="s">
        <v>974</v>
      </c>
      <c r="C248" s="69" t="s">
        <v>920</v>
      </c>
      <c r="D248" s="3"/>
    </row>
    <row r="249" spans="1:4" ht="19.95" customHeight="1" x14ac:dyDescent="0.4">
      <c r="A249" s="3" t="s">
        <v>975</v>
      </c>
      <c r="B249" s="68" t="s">
        <v>976</v>
      </c>
      <c r="C249" s="69" t="s">
        <v>920</v>
      </c>
      <c r="D249" s="3"/>
    </row>
    <row r="250" spans="1:4" ht="19.95" customHeight="1" x14ac:dyDescent="0.4">
      <c r="A250" s="3" t="s">
        <v>977</v>
      </c>
      <c r="B250" s="68" t="s">
        <v>978</v>
      </c>
      <c r="C250" s="69" t="s">
        <v>920</v>
      </c>
      <c r="D250" s="3"/>
    </row>
    <row r="251" spans="1:4" ht="19.95" customHeight="1" x14ac:dyDescent="0.4">
      <c r="A251" s="3" t="s">
        <v>979</v>
      </c>
      <c r="B251" s="68" t="s">
        <v>980</v>
      </c>
      <c r="C251" s="69" t="s">
        <v>920</v>
      </c>
      <c r="D251" s="3"/>
    </row>
    <row r="252" spans="1:4" ht="19.95" customHeight="1" x14ac:dyDescent="0.4">
      <c r="A252" s="3" t="s">
        <v>981</v>
      </c>
      <c r="B252" s="68" t="s">
        <v>982</v>
      </c>
      <c r="C252" s="69" t="s">
        <v>920</v>
      </c>
      <c r="D252" s="3"/>
    </row>
    <row r="253" spans="1:4" ht="19.95" customHeight="1" x14ac:dyDescent="0.4">
      <c r="A253" s="3" t="s">
        <v>983</v>
      </c>
      <c r="B253" s="68" t="s">
        <v>984</v>
      </c>
      <c r="C253" s="69" t="s">
        <v>920</v>
      </c>
      <c r="D253" s="3"/>
    </row>
    <row r="254" spans="1:4" ht="19.95" customHeight="1" x14ac:dyDescent="0.4">
      <c r="A254" s="3" t="s">
        <v>985</v>
      </c>
      <c r="B254" s="68" t="s">
        <v>986</v>
      </c>
      <c r="C254" s="69" t="s">
        <v>920</v>
      </c>
      <c r="D254" s="3"/>
    </row>
    <row r="255" spans="1:4" ht="19.95" customHeight="1" x14ac:dyDescent="0.4">
      <c r="A255" s="3" t="s">
        <v>987</v>
      </c>
      <c r="B255" s="68" t="s">
        <v>988</v>
      </c>
      <c r="C255" s="69" t="s">
        <v>920</v>
      </c>
      <c r="D255" s="3"/>
    </row>
    <row r="256" spans="1:4" ht="19.95" customHeight="1" x14ac:dyDescent="0.4">
      <c r="A256" s="3" t="s">
        <v>989</v>
      </c>
      <c r="B256" s="68" t="s">
        <v>990</v>
      </c>
      <c r="C256" s="69" t="s">
        <v>920</v>
      </c>
      <c r="D256" s="3"/>
    </row>
    <row r="257" spans="1:5" ht="19.95" customHeight="1" x14ac:dyDescent="0.4">
      <c r="A257" s="3" t="s">
        <v>991</v>
      </c>
      <c r="B257" s="68" t="s">
        <v>992</v>
      </c>
      <c r="C257" s="69" t="s">
        <v>920</v>
      </c>
      <c r="D257" s="3"/>
    </row>
    <row r="258" spans="1:5" ht="19.95" customHeight="1" x14ac:dyDescent="0.4">
      <c r="A258" s="3" t="s">
        <v>993</v>
      </c>
      <c r="B258" s="68" t="s">
        <v>994</v>
      </c>
      <c r="C258" s="69" t="s">
        <v>920</v>
      </c>
      <c r="D258" s="3"/>
    </row>
    <row r="259" spans="1:5" ht="19.95" customHeight="1" x14ac:dyDescent="0.4">
      <c r="A259" s="3" t="s">
        <v>995</v>
      </c>
      <c r="B259" s="68" t="s">
        <v>996</v>
      </c>
      <c r="C259" s="69" t="s">
        <v>920</v>
      </c>
      <c r="D259" s="3"/>
    </row>
    <row r="260" spans="1:5" ht="19.95" customHeight="1" x14ac:dyDescent="0.4">
      <c r="A260" s="3" t="s">
        <v>997</v>
      </c>
      <c r="B260" s="68" t="s">
        <v>998</v>
      </c>
      <c r="C260" s="69" t="s">
        <v>920</v>
      </c>
      <c r="D260" s="3"/>
    </row>
    <row r="261" spans="1:5" ht="19.95" customHeight="1" x14ac:dyDescent="0.4">
      <c r="A261" s="70" t="s">
        <v>62</v>
      </c>
      <c r="B261" s="68" t="s">
        <v>843</v>
      </c>
      <c r="C261" s="70" t="s">
        <v>844</v>
      </c>
      <c r="D261" s="70"/>
      <c r="E261" s="71"/>
    </row>
    <row r="262" spans="1:5" ht="19.95" customHeight="1" x14ac:dyDescent="0.4">
      <c r="A262" s="5" t="s">
        <v>66</v>
      </c>
      <c r="B262" s="68" t="s">
        <v>845</v>
      </c>
      <c r="C262" s="70" t="s">
        <v>844</v>
      </c>
      <c r="D262" s="5"/>
    </row>
    <row r="263" spans="1:5" ht="19.95" customHeight="1" x14ac:dyDescent="0.4">
      <c r="A263" s="5" t="s">
        <v>67</v>
      </c>
      <c r="B263" s="68" t="s">
        <v>846</v>
      </c>
      <c r="C263" s="70" t="s">
        <v>844</v>
      </c>
      <c r="D263" s="5"/>
    </row>
    <row r="264" spans="1:5" ht="19.95" customHeight="1" x14ac:dyDescent="0.4">
      <c r="A264" s="5" t="s">
        <v>69</v>
      </c>
      <c r="B264" s="68" t="s">
        <v>847</v>
      </c>
      <c r="C264" s="70" t="s">
        <v>844</v>
      </c>
      <c r="D264" s="5"/>
    </row>
    <row r="265" spans="1:5" ht="19.95" customHeight="1" x14ac:dyDescent="0.4">
      <c r="A265" s="5" t="s">
        <v>70</v>
      </c>
      <c r="B265" s="68" t="s">
        <v>906</v>
      </c>
      <c r="C265" s="70" t="s">
        <v>844</v>
      </c>
      <c r="D265" s="5"/>
    </row>
    <row r="266" spans="1:5" ht="19.95" customHeight="1" x14ac:dyDescent="0.4">
      <c r="A266" s="5" t="s">
        <v>71</v>
      </c>
      <c r="B266" s="68" t="s">
        <v>848</v>
      </c>
      <c r="C266" s="70" t="s">
        <v>844</v>
      </c>
      <c r="D266" s="5"/>
    </row>
    <row r="267" spans="1:5" ht="19.95" customHeight="1" x14ac:dyDescent="0.4">
      <c r="A267" s="5" t="s">
        <v>73</v>
      </c>
      <c r="B267" s="4" t="s">
        <v>849</v>
      </c>
      <c r="C267" s="70" t="s">
        <v>844</v>
      </c>
      <c r="D267" s="5"/>
    </row>
    <row r="268" spans="1:5" ht="19.95" customHeight="1" x14ac:dyDescent="0.4">
      <c r="A268" s="5" t="s">
        <v>74</v>
      </c>
      <c r="B268" s="68" t="s">
        <v>850</v>
      </c>
      <c r="C268" s="70" t="s">
        <v>844</v>
      </c>
      <c r="D268" s="5"/>
    </row>
    <row r="269" spans="1:5" ht="19.95" customHeight="1" x14ac:dyDescent="0.4">
      <c r="A269" s="5" t="s">
        <v>75</v>
      </c>
      <c r="B269" s="68" t="s">
        <v>851</v>
      </c>
      <c r="C269" s="70" t="s">
        <v>844</v>
      </c>
      <c r="D269" s="5"/>
    </row>
    <row r="270" spans="1:5" ht="19.95" customHeight="1" x14ac:dyDescent="0.4">
      <c r="A270" s="5" t="s">
        <v>76</v>
      </c>
      <c r="B270" s="68" t="s">
        <v>852</v>
      </c>
      <c r="C270" s="70" t="s">
        <v>844</v>
      </c>
      <c r="D270" s="5"/>
    </row>
    <row r="271" spans="1:5" ht="19.95" customHeight="1" x14ac:dyDescent="0.4">
      <c r="A271" s="5" t="s">
        <v>78</v>
      </c>
      <c r="B271" s="68" t="s">
        <v>853</v>
      </c>
      <c r="C271" s="70" t="s">
        <v>844</v>
      </c>
      <c r="D271" s="5"/>
    </row>
    <row r="272" spans="1:5" ht="19.95" customHeight="1" x14ac:dyDescent="0.4">
      <c r="A272" s="5" t="s">
        <v>79</v>
      </c>
      <c r="B272" s="68" t="s">
        <v>854</v>
      </c>
      <c r="C272" s="70" t="s">
        <v>844</v>
      </c>
      <c r="D272" s="5"/>
    </row>
    <row r="273" spans="1:4" ht="19.95" customHeight="1" x14ac:dyDescent="0.4">
      <c r="A273" s="5" t="s">
        <v>80</v>
      </c>
      <c r="B273" s="68" t="s">
        <v>855</v>
      </c>
      <c r="C273" s="70" t="s">
        <v>844</v>
      </c>
      <c r="D273" s="5"/>
    </row>
    <row r="274" spans="1:4" ht="19.95" customHeight="1" x14ac:dyDescent="0.4">
      <c r="A274" s="5" t="s">
        <v>82</v>
      </c>
      <c r="B274" s="68" t="s">
        <v>856</v>
      </c>
      <c r="C274" s="70" t="s">
        <v>844</v>
      </c>
      <c r="D274" s="5"/>
    </row>
    <row r="275" spans="1:4" ht="19.95" customHeight="1" x14ac:dyDescent="0.4">
      <c r="A275" s="5" t="s">
        <v>23</v>
      </c>
      <c r="B275" s="68" t="s">
        <v>857</v>
      </c>
      <c r="C275" s="70" t="s">
        <v>844</v>
      </c>
      <c r="D275" s="5"/>
    </row>
    <row r="276" spans="1:4" ht="19.95" customHeight="1" x14ac:dyDescent="0.4">
      <c r="A276" s="5" t="s">
        <v>83</v>
      </c>
      <c r="B276" s="68" t="s">
        <v>858</v>
      </c>
      <c r="C276" s="70" t="s">
        <v>844</v>
      </c>
      <c r="D276" s="5"/>
    </row>
    <row r="277" spans="1:4" ht="19.95" customHeight="1" x14ac:dyDescent="0.4">
      <c r="A277" s="5" t="s">
        <v>85</v>
      </c>
      <c r="B277" s="68" t="s">
        <v>859</v>
      </c>
      <c r="C277" s="70" t="s">
        <v>844</v>
      </c>
      <c r="D277" s="5"/>
    </row>
    <row r="278" spans="1:4" ht="19.95" customHeight="1" x14ac:dyDescent="0.4">
      <c r="A278" s="5" t="s">
        <v>86</v>
      </c>
      <c r="B278" s="68" t="s">
        <v>860</v>
      </c>
      <c r="C278" s="70" t="s">
        <v>844</v>
      </c>
      <c r="D278" s="5"/>
    </row>
    <row r="279" spans="1:4" ht="19.95" customHeight="1" x14ac:dyDescent="0.4">
      <c r="A279" s="5" t="s">
        <v>88</v>
      </c>
      <c r="B279" s="68" t="s">
        <v>861</v>
      </c>
      <c r="C279" s="70" t="s">
        <v>844</v>
      </c>
      <c r="D279" s="5"/>
    </row>
    <row r="280" spans="1:4" ht="19.95" customHeight="1" x14ac:dyDescent="0.4">
      <c r="A280" s="5" t="s">
        <v>89</v>
      </c>
      <c r="B280" s="68" t="s">
        <v>862</v>
      </c>
      <c r="C280" s="70" t="s">
        <v>844</v>
      </c>
      <c r="D280" s="5"/>
    </row>
    <row r="281" spans="1:4" ht="19.95" customHeight="1" x14ac:dyDescent="0.4">
      <c r="A281" s="5" t="s">
        <v>90</v>
      </c>
      <c r="B281" s="68" t="s">
        <v>863</v>
      </c>
      <c r="C281" s="70" t="s">
        <v>844</v>
      </c>
      <c r="D281" s="5"/>
    </row>
    <row r="282" spans="1:4" ht="19.95" customHeight="1" x14ac:dyDescent="0.4">
      <c r="A282" s="5" t="s">
        <v>91</v>
      </c>
      <c r="B282" s="68" t="s">
        <v>864</v>
      </c>
      <c r="C282" s="70" t="s">
        <v>844</v>
      </c>
      <c r="D282" s="5"/>
    </row>
    <row r="283" spans="1:4" ht="19.95" customHeight="1" x14ac:dyDescent="0.4">
      <c r="A283" s="5" t="s">
        <v>93</v>
      </c>
      <c r="B283" s="68" t="s">
        <v>865</v>
      </c>
      <c r="C283" s="70" t="s">
        <v>844</v>
      </c>
      <c r="D283" s="5"/>
    </row>
    <row r="284" spans="1:4" ht="19.95" customHeight="1" x14ac:dyDescent="0.4">
      <c r="A284" s="5" t="s">
        <v>94</v>
      </c>
      <c r="B284" s="68" t="s">
        <v>866</v>
      </c>
      <c r="C284" s="70" t="s">
        <v>844</v>
      </c>
      <c r="D284" s="5"/>
    </row>
    <row r="285" spans="1:4" ht="19.95" customHeight="1" x14ac:dyDescent="0.4">
      <c r="A285" s="5" t="s">
        <v>95</v>
      </c>
      <c r="B285" s="68" t="s">
        <v>867</v>
      </c>
      <c r="C285" s="70" t="s">
        <v>844</v>
      </c>
      <c r="D285" s="5"/>
    </row>
    <row r="286" spans="1:4" ht="19.95" customHeight="1" x14ac:dyDescent="0.4">
      <c r="A286" s="5" t="s">
        <v>96</v>
      </c>
      <c r="B286" s="68" t="s">
        <v>868</v>
      </c>
      <c r="C286" s="70" t="s">
        <v>844</v>
      </c>
      <c r="D286" s="5"/>
    </row>
    <row r="287" spans="1:4" ht="19.95" customHeight="1" x14ac:dyDescent="0.4">
      <c r="A287" s="5" t="s">
        <v>97</v>
      </c>
      <c r="B287" s="68" t="s">
        <v>869</v>
      </c>
      <c r="C287" s="70" t="s">
        <v>844</v>
      </c>
      <c r="D287" s="5"/>
    </row>
    <row r="288" spans="1:4" ht="19.95" customHeight="1" x14ac:dyDescent="0.4">
      <c r="A288" s="5" t="s">
        <v>98</v>
      </c>
      <c r="B288" s="68" t="s">
        <v>870</v>
      </c>
      <c r="C288" s="70" t="s">
        <v>844</v>
      </c>
      <c r="D288" s="5"/>
    </row>
    <row r="289" spans="1:4" ht="19.95" customHeight="1" x14ac:dyDescent="0.4">
      <c r="A289" s="5" t="s">
        <v>100</v>
      </c>
      <c r="B289" s="68" t="s">
        <v>871</v>
      </c>
      <c r="C289" s="70" t="s">
        <v>844</v>
      </c>
      <c r="D289" s="5"/>
    </row>
    <row r="290" spans="1:4" ht="19.95" customHeight="1" x14ac:dyDescent="0.4">
      <c r="A290" s="5" t="s">
        <v>101</v>
      </c>
      <c r="B290" s="68" t="s">
        <v>872</v>
      </c>
      <c r="C290" s="70" t="s">
        <v>844</v>
      </c>
      <c r="D290" s="5"/>
    </row>
    <row r="291" spans="1:4" ht="19.95" customHeight="1" x14ac:dyDescent="0.4">
      <c r="A291" s="5" t="s">
        <v>102</v>
      </c>
      <c r="B291" s="68" t="s">
        <v>873</v>
      </c>
      <c r="C291" s="70" t="s">
        <v>844</v>
      </c>
      <c r="D291" s="5"/>
    </row>
    <row r="292" spans="1:4" ht="19.95" customHeight="1" x14ac:dyDescent="0.4">
      <c r="A292" s="5" t="s">
        <v>103</v>
      </c>
      <c r="B292" s="68" t="s">
        <v>874</v>
      </c>
      <c r="C292" s="70" t="s">
        <v>844</v>
      </c>
      <c r="D292" s="5"/>
    </row>
    <row r="293" spans="1:4" ht="19.95" customHeight="1" x14ac:dyDescent="0.4">
      <c r="A293" s="5" t="s">
        <v>105</v>
      </c>
      <c r="B293" s="68" t="s">
        <v>875</v>
      </c>
      <c r="C293" s="70" t="s">
        <v>844</v>
      </c>
      <c r="D293" s="5"/>
    </row>
    <row r="294" spans="1:4" ht="19.95" customHeight="1" x14ac:dyDescent="0.4">
      <c r="A294" s="5" t="s">
        <v>106</v>
      </c>
      <c r="B294" s="68" t="s">
        <v>876</v>
      </c>
      <c r="C294" s="70" t="s">
        <v>844</v>
      </c>
      <c r="D294" s="5"/>
    </row>
    <row r="295" spans="1:4" ht="19.95" customHeight="1" x14ac:dyDescent="0.4">
      <c r="A295" s="5" t="s">
        <v>107</v>
      </c>
      <c r="B295" s="68" t="s">
        <v>877</v>
      </c>
      <c r="C295" s="70" t="s">
        <v>844</v>
      </c>
      <c r="D295" s="5"/>
    </row>
    <row r="296" spans="1:4" ht="19.95" customHeight="1" x14ac:dyDescent="0.4">
      <c r="A296" s="5" t="s">
        <v>109</v>
      </c>
      <c r="B296" s="68" t="s">
        <v>878</v>
      </c>
      <c r="C296" s="70" t="s">
        <v>844</v>
      </c>
      <c r="D296" s="5"/>
    </row>
    <row r="297" spans="1:4" ht="19.95" customHeight="1" x14ac:dyDescent="0.4">
      <c r="A297" s="5" t="s">
        <v>110</v>
      </c>
      <c r="B297" s="68" t="s">
        <v>879</v>
      </c>
      <c r="C297" s="70" t="s">
        <v>844</v>
      </c>
      <c r="D297" s="5"/>
    </row>
    <row r="298" spans="1:4" ht="19.95" customHeight="1" x14ac:dyDescent="0.4">
      <c r="A298" s="5" t="s">
        <v>112</v>
      </c>
      <c r="B298" s="68" t="s">
        <v>880</v>
      </c>
      <c r="C298" s="70" t="s">
        <v>844</v>
      </c>
      <c r="D298" s="5"/>
    </row>
    <row r="299" spans="1:4" ht="19.95" customHeight="1" x14ac:dyDescent="0.4">
      <c r="A299" s="5" t="s">
        <v>113</v>
      </c>
      <c r="B299" s="68" t="s">
        <v>881</v>
      </c>
      <c r="C299" s="70" t="s">
        <v>844</v>
      </c>
      <c r="D299" s="5"/>
    </row>
    <row r="300" spans="1:4" ht="19.95" customHeight="1" x14ac:dyDescent="0.4">
      <c r="A300" s="5" t="s">
        <v>115</v>
      </c>
      <c r="B300" s="68" t="s">
        <v>882</v>
      </c>
      <c r="C300" s="70" t="s">
        <v>844</v>
      </c>
      <c r="D300" s="5"/>
    </row>
    <row r="301" spans="1:4" ht="19.95" customHeight="1" x14ac:dyDescent="0.4">
      <c r="A301" s="5" t="s">
        <v>117</v>
      </c>
      <c r="B301" s="68" t="s">
        <v>883</v>
      </c>
      <c r="C301" s="70" t="s">
        <v>844</v>
      </c>
      <c r="D301" s="5"/>
    </row>
    <row r="302" spans="1:4" ht="19.95" customHeight="1" x14ac:dyDescent="0.4">
      <c r="A302" s="5" t="s">
        <v>118</v>
      </c>
      <c r="B302" s="68" t="s">
        <v>884</v>
      </c>
      <c r="C302" s="70" t="s">
        <v>844</v>
      </c>
      <c r="D302" s="5"/>
    </row>
    <row r="303" spans="1:4" ht="19.95" customHeight="1" x14ac:dyDescent="0.4">
      <c r="A303" s="5" t="s">
        <v>120</v>
      </c>
      <c r="B303" s="68" t="s">
        <v>885</v>
      </c>
      <c r="C303" s="70" t="s">
        <v>844</v>
      </c>
      <c r="D303" s="5"/>
    </row>
    <row r="304" spans="1:4" ht="19.95" customHeight="1" x14ac:dyDescent="0.4">
      <c r="A304" s="5" t="s">
        <v>121</v>
      </c>
      <c r="B304" s="68" t="s">
        <v>886</v>
      </c>
      <c r="C304" s="70" t="s">
        <v>844</v>
      </c>
      <c r="D304" s="5"/>
    </row>
    <row r="305" spans="1:4" ht="19.95" customHeight="1" x14ac:dyDescent="0.4">
      <c r="A305" s="5" t="s">
        <v>123</v>
      </c>
      <c r="B305" s="68" t="s">
        <v>887</v>
      </c>
      <c r="C305" s="70" t="s">
        <v>844</v>
      </c>
      <c r="D305" s="5"/>
    </row>
    <row r="306" spans="1:4" ht="19.95" customHeight="1" x14ac:dyDescent="0.4">
      <c r="A306" s="5" t="s">
        <v>124</v>
      </c>
      <c r="B306" s="68" t="s">
        <v>888</v>
      </c>
      <c r="C306" s="70" t="s">
        <v>844</v>
      </c>
      <c r="D306" s="5"/>
    </row>
    <row r="307" spans="1:4" ht="19.95" customHeight="1" x14ac:dyDescent="0.4">
      <c r="A307" s="5" t="s">
        <v>126</v>
      </c>
      <c r="B307" s="68" t="s">
        <v>889</v>
      </c>
      <c r="C307" s="70" t="s">
        <v>844</v>
      </c>
      <c r="D307" s="5"/>
    </row>
    <row r="308" spans="1:4" ht="19.95" customHeight="1" x14ac:dyDescent="0.4">
      <c r="A308" s="5" t="s">
        <v>128</v>
      </c>
      <c r="B308" s="4" t="s">
        <v>890</v>
      </c>
      <c r="C308" s="70" t="s">
        <v>844</v>
      </c>
      <c r="D308" s="5"/>
    </row>
    <row r="309" spans="1:4" ht="19.95" customHeight="1" x14ac:dyDescent="0.4">
      <c r="A309" s="5" t="s">
        <v>130</v>
      </c>
      <c r="B309" s="68" t="s">
        <v>891</v>
      </c>
      <c r="C309" s="70" t="s">
        <v>844</v>
      </c>
      <c r="D309" s="5"/>
    </row>
    <row r="310" spans="1:4" ht="19.95" customHeight="1" x14ac:dyDescent="0.4">
      <c r="A310" s="5" t="s">
        <v>131</v>
      </c>
      <c r="B310" s="68" t="s">
        <v>892</v>
      </c>
      <c r="C310" s="70" t="s">
        <v>844</v>
      </c>
      <c r="D310" s="5"/>
    </row>
    <row r="311" spans="1:4" ht="19.95" customHeight="1" x14ac:dyDescent="0.4">
      <c r="A311" s="5" t="s">
        <v>132</v>
      </c>
      <c r="B311" s="68" t="s">
        <v>893</v>
      </c>
      <c r="C311" s="70" t="s">
        <v>844</v>
      </c>
      <c r="D311" s="5"/>
    </row>
    <row r="312" spans="1:4" ht="19.95" customHeight="1" x14ac:dyDescent="0.4">
      <c r="A312" s="5" t="s">
        <v>133</v>
      </c>
      <c r="B312" s="68" t="s">
        <v>894</v>
      </c>
      <c r="C312" s="70" t="s">
        <v>844</v>
      </c>
      <c r="D312" s="5"/>
    </row>
    <row r="313" spans="1:4" ht="19.95" customHeight="1" x14ac:dyDescent="0.4">
      <c r="A313" s="5" t="s">
        <v>135</v>
      </c>
      <c r="B313" s="68" t="s">
        <v>895</v>
      </c>
      <c r="C313" s="70" t="s">
        <v>844</v>
      </c>
      <c r="D313" s="5"/>
    </row>
    <row r="314" spans="1:4" ht="19.95" customHeight="1" x14ac:dyDescent="0.4">
      <c r="A314" s="5" t="s">
        <v>136</v>
      </c>
      <c r="B314" s="68" t="s">
        <v>896</v>
      </c>
      <c r="C314" s="70" t="s">
        <v>844</v>
      </c>
      <c r="D314" s="5"/>
    </row>
    <row r="315" spans="1:4" ht="19.95" customHeight="1" x14ac:dyDescent="0.4">
      <c r="A315" s="5" t="s">
        <v>137</v>
      </c>
      <c r="B315" s="68" t="s">
        <v>897</v>
      </c>
      <c r="C315" s="70" t="s">
        <v>844</v>
      </c>
      <c r="D315" s="5"/>
    </row>
    <row r="316" spans="1:4" ht="19.95" customHeight="1" x14ac:dyDescent="0.4">
      <c r="A316" s="5" t="s">
        <v>138</v>
      </c>
      <c r="B316" s="68" t="s">
        <v>898</v>
      </c>
      <c r="C316" s="70" t="s">
        <v>844</v>
      </c>
      <c r="D316" s="5"/>
    </row>
    <row r="317" spans="1:4" ht="19.95" customHeight="1" x14ac:dyDescent="0.4">
      <c r="A317" s="5" t="s">
        <v>139</v>
      </c>
      <c r="B317" s="68" t="s">
        <v>899</v>
      </c>
      <c r="C317" s="70" t="s">
        <v>844</v>
      </c>
      <c r="D317" s="5"/>
    </row>
    <row r="318" spans="1:4" ht="19.95" customHeight="1" x14ac:dyDescent="0.4">
      <c r="A318" s="70" t="s">
        <v>916</v>
      </c>
      <c r="B318" s="68" t="s">
        <v>999</v>
      </c>
      <c r="C318" s="70" t="s">
        <v>844</v>
      </c>
      <c r="D318" s="5"/>
    </row>
  </sheetData>
  <phoneticPr fontId="15" type="noConversion"/>
  <conditionalFormatting sqref="B1">
    <cfRule type="duplicateValues" dxfId="14" priority="8"/>
  </conditionalFormatting>
  <conditionalFormatting sqref="C1">
    <cfRule type="duplicateValues" dxfId="13" priority="7"/>
  </conditionalFormatting>
  <conditionalFormatting sqref="A147:A149">
    <cfRule type="duplicateValues" dxfId="12" priority="5"/>
  </conditionalFormatting>
  <conditionalFormatting sqref="A152:A153">
    <cfRule type="duplicateValues" dxfId="11" priority="2"/>
  </conditionalFormatting>
  <conditionalFormatting sqref="B147:B149">
    <cfRule type="duplicateValues" dxfId="10" priority="6"/>
  </conditionalFormatting>
  <conditionalFormatting sqref="B152:B153">
    <cfRule type="duplicateValues" dxfId="9" priority="3"/>
  </conditionalFormatting>
  <conditionalFormatting sqref="D147:D149">
    <cfRule type="duplicateValues" dxfId="8" priority="4"/>
  </conditionalFormatting>
  <conditionalFormatting sqref="D152:D153">
    <cfRule type="duplicateValues" dxfId="7" priority="1"/>
  </conditionalFormatting>
  <conditionalFormatting sqref="A4:A146 A150:A151 A154:A166">
    <cfRule type="duplicateValues" dxfId="6" priority="10"/>
  </conditionalFormatting>
  <conditionalFormatting sqref="B150:B151 B154:B205 B4:B146">
    <cfRule type="duplicateValues" dxfId="5" priority="11"/>
  </conditionalFormatting>
  <conditionalFormatting sqref="D4:D146 D150:D151 D154:D166">
    <cfRule type="duplicateValues" dxfId="4" priority="9"/>
  </conditionalFormatting>
  <conditionalFormatting sqref="B261:B318">
    <cfRule type="duplicateValues" dxfId="3" priority="12"/>
  </conditionalFormatting>
  <conditionalFormatting sqref="A207:A260">
    <cfRule type="duplicateValues" dxfId="2" priority="13"/>
  </conditionalFormatting>
  <conditionalFormatting sqref="B206:B260">
    <cfRule type="duplicateValues" dxfId="1" priority="14"/>
  </conditionalFormatting>
  <conditionalFormatting sqref="D207:D260">
    <cfRule type="duplicateValues" dxfId="0" priority="15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2023-01-14T07:23:35Z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